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EndFile\ExtractFile\"/>
    </mc:Choice>
  </mc:AlternateContent>
  <bookViews>
    <workbookView xWindow="600" yWindow="135" windowWidth="19395" windowHeight="7605" activeTab="2"/>
  </bookViews>
  <sheets>
    <sheet name="销售情况" sheetId="5" r:id="rId1"/>
    <sheet name="平均单价" sheetId="3" r:id="rId2"/>
    <sheet name="透视分析" sheetId="7" r:id="rId3"/>
  </sheets>
  <definedNames>
    <definedName name="_xlnm._FilterDatabase" localSheetId="0" hidden="1">销售情况!$A$3:$F$83</definedName>
    <definedName name="商品均价">平均单价!$B$3:$C$7</definedName>
  </definedNames>
  <calcPr calcId="162913" fullPrecision="0"/>
  <pivotCaches>
    <pivotCache cacheId="0" r:id="rId4"/>
  </pivotCaches>
</workbook>
</file>

<file path=xl/calcChain.xml><?xml version="1.0" encoding="utf-8"?>
<calcChain xmlns="http://schemas.openxmlformats.org/spreadsheetml/2006/main">
  <c r="F4" i="5" l="1"/>
  <c r="G1" i="7" l="1"/>
  <c r="F5" i="5" l="1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</calcChain>
</file>

<file path=xl/sharedStrings.xml><?xml version="1.0" encoding="utf-8"?>
<sst xmlns="http://schemas.openxmlformats.org/spreadsheetml/2006/main" count="346" uniqueCount="118">
  <si>
    <t>西直门店</t>
    <phoneticPr fontId="1" type="noConversion"/>
  </si>
  <si>
    <t>中关村店</t>
    <phoneticPr fontId="1" type="noConversion"/>
  </si>
  <si>
    <t>上地店</t>
    <phoneticPr fontId="1" type="noConversion"/>
  </si>
  <si>
    <t>亚运村店</t>
    <phoneticPr fontId="1" type="noConversion"/>
  </si>
  <si>
    <t>台式机</t>
    <phoneticPr fontId="1" type="noConversion"/>
  </si>
  <si>
    <t>鼠标</t>
    <phoneticPr fontId="1" type="noConversion"/>
  </si>
  <si>
    <t>键盘</t>
    <phoneticPr fontId="1" type="noConversion"/>
  </si>
  <si>
    <t>打印机</t>
    <phoneticPr fontId="1" type="noConversion"/>
  </si>
  <si>
    <t>季度</t>
    <phoneticPr fontId="1" type="noConversion"/>
  </si>
  <si>
    <t>笔记本</t>
    <phoneticPr fontId="1" type="noConversion"/>
  </si>
  <si>
    <t>商品名称</t>
    <phoneticPr fontId="1" type="noConversion"/>
  </si>
  <si>
    <t>笔记本</t>
  </si>
  <si>
    <t>台式机</t>
  </si>
  <si>
    <t>鼠标</t>
  </si>
  <si>
    <t>键盘</t>
  </si>
  <si>
    <t>打印机</t>
  </si>
  <si>
    <t>销售量</t>
    <phoneticPr fontId="1" type="noConversion"/>
  </si>
  <si>
    <t>商品名称</t>
    <phoneticPr fontId="1" type="noConversion"/>
  </si>
  <si>
    <t>平均单价（人民币元）</t>
    <phoneticPr fontId="1" type="noConversion"/>
  </si>
  <si>
    <t>大地公司某品牌计算机设备全年销量统计表</t>
    <phoneticPr fontId="1" type="noConversion"/>
  </si>
  <si>
    <t>1季度</t>
    <phoneticPr fontId="1" type="noConversion"/>
  </si>
  <si>
    <t>2季度</t>
  </si>
  <si>
    <t>3季度</t>
  </si>
  <si>
    <t>4季度</t>
  </si>
  <si>
    <t>销售额</t>
    <phoneticPr fontId="1" type="noConversion"/>
  </si>
  <si>
    <t>店铺</t>
    <phoneticPr fontId="1" type="noConversion"/>
  </si>
  <si>
    <t>图表标题：</t>
    <phoneticPr fontId="1" type="noConversion"/>
  </si>
  <si>
    <t>序号</t>
    <phoneticPr fontId="1" type="noConversion"/>
  </si>
  <si>
    <t>001</t>
    <phoneticPr fontId="1" type="noConversion"/>
  </si>
  <si>
    <t>004</t>
  </si>
  <si>
    <t>002</t>
  </si>
  <si>
    <t>003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</si>
  <si>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</si>
  <si>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</si>
  <si>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</si>
  <si>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</si>
  <si>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</si>
  <si>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</si>
  <si>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</si>
  <si>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</si>
  <si>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</si>
  <si>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</si>
  <si>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</si>
  <si>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</si>
  <si>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</si>
  <si>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</si>
  <si>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</si>
  <si>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</si>
  <si>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</si>
  <si>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</si>
  <si>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</si>
  <si>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</si>
  <si>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</si>
  <si>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</si>
  <si>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</si>
  <si>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</si>
  <si>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</si>
  <si>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</si>
  <si>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</si>
  <si>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</si>
  <si>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</si>
  <si>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</si>
  <si>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</si>
  <si>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</si>
  <si>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</si>
  <si>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</si>
  <si>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</si>
  <si>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</si>
  <si>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</si>
  <si>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</si>
  <si>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</si>
  <si>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</si>
  <si>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</si>
  <si>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</si>
  <si>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</si>
  <si>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</si>
  <si>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</si>
  <si>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</si>
  <si>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</si>
  <si>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</si>
  <si>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</si>
  <si>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</si>
  <si>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</si>
  <si>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</si>
  <si>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</si>
  <si>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</si>
  <si>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</si>
  <si>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</si>
  <si>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</si>
  <si>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</si>
  <si>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</si>
  <si>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</si>
  <si>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</si>
  <si>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</si>
  <si>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</si>
  <si>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</si>
  <si>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</si>
  <si>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</si>
  <si>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</si>
  <si>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</si>
  <si>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</si>
  <si>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</si>
  <si>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</si>
  <si>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</si>
  <si>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</si>
  <si>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</si>
  <si>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</si>
  <si>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</si>
  <si>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商品名称</t>
  </si>
  <si>
    <t>上地店</t>
  </si>
  <si>
    <t>西直门店</t>
  </si>
  <si>
    <t>亚运村店</t>
  </si>
  <si>
    <t>中关村店</t>
  </si>
  <si>
    <t>总计</t>
  </si>
  <si>
    <t>销量</t>
  </si>
  <si>
    <t>销售额（元）</t>
  </si>
  <si>
    <t>销售额排名</t>
  </si>
  <si>
    <t>门店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</si>
</sst>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0_ "/>
    <numFmt numFmtId="177" formatCode="0_ "/>
  </numFmts>
  <fonts count="1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0" tint="-0.249977111117893"/>
      <name val="微软雅黑"/>
      <family val="2"/>
      <charset val="134"/>
    </font>
    <font>
      <sz val="12"/>
      <color rgb="FF00B0F0"/>
      <name val="黑体"/>
      <family val="3"/>
      <charset val="134"/>
    </font>
    <font>
      <sz val="12"/>
      <color theme="1"/>
      <name val="宋体"/>
      <family val="2"/>
      <charset val="134"/>
      <scheme val="minor"/>
    </font>
    <font>
      <sz val="11"/>
      <color rgb="FF00000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>
      <alignment vertical="center"/>
    </xf>
    <xf numFmtId="176" fontId="3" fillId="3" borderId="4" xfId="0" applyNumberFormat="1" applyFont="1" applyFill="1" applyBorder="1">
      <alignment vertical="center"/>
    </xf>
    <xf numFmtId="0" fontId="3" fillId="4" borderId="5" xfId="0" applyFont="1" applyFill="1" applyBorder="1">
      <alignment vertical="center"/>
    </xf>
    <xf numFmtId="176" fontId="3" fillId="4" borderId="1" xfId="0" applyNumberFormat="1" applyFont="1" applyFill="1" applyBorder="1">
      <alignment vertical="center"/>
    </xf>
    <xf numFmtId="0" fontId="3" fillId="3" borderId="5" xfId="0" applyFont="1" applyFill="1" applyBorder="1">
      <alignment vertical="center"/>
    </xf>
    <xf numFmtId="176" fontId="3" fillId="3" borderId="1" xfId="0" applyNumberFormat="1" applyFont="1" applyFill="1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7" fontId="4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 applyProtection="1">
      <alignment horizontal="right" vertical="center"/>
      <protection hidden="1"/>
    </xf>
    <xf numFmtId="0" fontId="6" fillId="0" borderId="0" xfId="0" applyNumberFormat="1" applyFont="1" applyProtection="1">
      <alignment vertical="center"/>
      <protection hidden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Continuous" vertical="center"/>
    </xf>
    <xf numFmtId="176" fontId="4" fillId="0" borderId="0" xfId="0" applyNumberFormat="1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9" fillId="0" borderId="0" xfId="0" applyNumberFormat="1" applyFont="1">
      <alignment vertical="center"/>
    </xf>
    <xf numFmtId="0" fontId="7" fillId="0" borderId="0" xfId="0" applyNumberFormat="1" applyFont="1" applyAlignment="1">
      <alignment horizontal="centerContinuous" vertical="center"/>
    </xf>
    <xf numFmtId="0" fontId="8" fillId="0" borderId="0" xfId="0" applyFont="1" applyAlignment="1">
      <alignment horizontal="centerContinuous" vertical="center"/>
    </xf>
    <xf numFmtId="0" fontId="8" fillId="0" borderId="0" xfId="0" applyNumberFormat="1" applyFont="1" applyAlignment="1">
      <alignment horizontal="centerContinuous" vertical="center"/>
    </xf>
    <xf numFmtId="0" fontId="5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14">
    <dxf>
      <numFmt numFmtId="176" formatCode="#,##0.00_ "/>
    </dxf>
    <dxf>
      <numFmt numFmtId="179" formatCode="0.0"/>
    </dxf>
    <dxf>
      <numFmt numFmtId="2" formatCode="0.00"/>
    </dxf>
    <dxf>
      <font>
        <color rgb="FF000000"/>
      </font>
    </dxf>
    <dxf>
      <numFmt numFmtId="178" formatCode=";;;"/>
    </dxf>
    <dxf>
      <numFmt numFmtId="178" formatCode=";;;"/>
    </dxf>
    <dxf>
      <numFmt numFmtId="0" formatCode="General"/>
    </dxf>
    <dxf>
      <numFmt numFmtId="0" formatCode="General"/>
    </dxf>
    <dxf>
      <numFmt numFmtId="178" formatCode=";;;"/>
    </dxf>
    <dxf>
      <numFmt numFmtId="178" formatCode=";;;"/>
    </dxf>
    <dxf>
      <font>
        <color rgb="FF000000"/>
      </font>
    </dxf>
    <dxf>
      <numFmt numFmtId="2" formatCode="0.00"/>
    </dxf>
    <dxf>
      <numFmt numFmtId="179" formatCode="0.0"/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[Excel.xlsx]透视分析!数据透视表1</c:name>
    <c:fmtId val="5"/>
  </c:pivotSource>
  <c:chart>
    <c:title>
      <c:tx>
        <c:strRef>
          <c:f>透视分析!$G$1</c:f>
          <c:strCache>
            <c:ptCount val="1"/>
            <c:pt idx="0">
              <c:v>打印机销量占比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baseline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/>
            <a:lightRig rig="threePt" dir="t">
              <a:rot lat="0" lon="0" rev="1200000"/>
            </a:lightRig>
          </a:scene3d>
          <a:sp3d>
            <a:bevelT w="63500" h="25400"/>
            <a:bevelB w="12700" h="6985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/>
            <a:lightRig rig="threePt" dir="t">
              <a:rot lat="0" lon="0" rev="1200000"/>
            </a:lightRig>
          </a:scene3d>
          <a:sp3d>
            <a:bevelT w="63500" h="25400"/>
            <a:bevelB w="12700" h="82550"/>
          </a:sp3d>
        </c:spPr>
      </c:pivotFmt>
      <c:pivotFmt>
        <c:idx val="1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/>
            <a:lightRig rig="threePt" dir="t">
              <a:rot lat="0" lon="0" rev="1200000"/>
            </a:lightRig>
          </a:scene3d>
          <a:sp3d>
            <a:bevelT w="63500" h="25400"/>
            <a:bevelB w="12700" h="82550"/>
          </a:sp3d>
        </c:spPr>
      </c:pivotFmt>
      <c:pivotFmt>
        <c:idx val="2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/>
            <a:lightRig rig="threePt" dir="t">
              <a:rot lat="0" lon="0" rev="1200000"/>
            </a:lightRig>
          </a:scene3d>
          <a:sp3d>
            <a:bevelT w="63500" h="25400"/>
            <a:bevelB w="12700" h="82550"/>
          </a:sp3d>
        </c:spPr>
      </c:pivotFmt>
      <c:pivotFmt>
        <c:idx val="2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/>
            <a:lightRig rig="threePt" dir="t">
              <a:rot lat="0" lon="0" rev="1200000"/>
            </a:lightRig>
          </a:scene3d>
          <a:sp3d>
            <a:bevelT w="63500" h="25400"/>
            <a:bevelB w="12700" h="82550"/>
          </a:sp3d>
        </c:spPr>
      </c:pivotFmt>
      <c:pivotFmt>
        <c:idx val="2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/>
            <a:lightRig rig="threePt" dir="t">
              <a:rot lat="0" lon="0" rev="1200000"/>
            </a:lightRig>
          </a:scene3d>
          <a:sp3d>
            <a:bevelT w="63500" h="25400"/>
            <a:bevelB w="12700" h="82550"/>
          </a:sp3d>
        </c:spPr>
        <c:marker>
          <c:symbol val="none"/>
        </c:marker>
      </c:pivotFmt>
      <c:pivotFmt>
        <c:idx val="2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/>
            <a:lightRig rig="threePt" dir="t">
              <a:rot lat="0" lon="0" rev="1200000"/>
            </a:lightRig>
          </a:scene3d>
          <a:sp3d>
            <a:bevelT w="63500" h="25400"/>
            <a:bevelB w="12700" h="82550"/>
          </a:sp3d>
        </c:spPr>
        <c:marker>
          <c:symbol val="none"/>
        </c:marker>
        <c:dLbl>
          <c:idx val="0"/>
          <c:layout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/>
            <a:lightRig rig="threePt" dir="t">
              <a:rot lat="0" lon="0" rev="1200000"/>
            </a:lightRig>
          </a:scene3d>
          <a:sp3d>
            <a:bevelT w="63500" h="25400"/>
            <a:bevelB w="12700" h="82550"/>
          </a:sp3d>
        </c:spPr>
      </c:pivotFmt>
      <c:pivotFmt>
        <c:idx val="3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/>
            <a:lightRig rig="threePt" dir="t">
              <a:rot lat="0" lon="0" rev="1200000"/>
            </a:lightRig>
          </a:scene3d>
          <a:sp3d>
            <a:bevelT w="63500" h="25400"/>
            <a:bevelB w="12700" h="82550"/>
          </a:sp3d>
        </c:spPr>
      </c:pivotFmt>
      <c:pivotFmt>
        <c:idx val="3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/>
            <a:lightRig rig="threePt" dir="t">
              <a:rot lat="0" lon="0" rev="1200000"/>
            </a:lightRig>
          </a:scene3d>
          <a:sp3d>
            <a:bevelT w="63500" h="25400"/>
            <a:bevelB w="12700" h="82550"/>
          </a:sp3d>
        </c:spPr>
      </c:pivotFmt>
      <c:pivotFmt>
        <c:idx val="3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/>
            <a:lightRig rig="threePt" dir="t">
              <a:rot lat="0" lon="0" rev="1200000"/>
            </a:lightRig>
          </a:scene3d>
          <a:sp3d>
            <a:bevelT w="63500" h="25400"/>
            <a:bevelB w="12700" h="82550"/>
          </a:sp3d>
        </c:spPr>
      </c:pivotFmt>
      <c:pivotFmt>
        <c:idx val="3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view3D>
      <c:rotX val="30"/>
      <c:rotY val="9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透视分析!$G$1</c:f>
              <c:strCache>
                <c:ptCount val="1"/>
                <c:pt idx="0">
                  <c:v>销量</c:v>
                </c:pt>
              </c:strCache>
            </c:strRef>
          </c:tx>
          <c:spPr>
            <a:scene3d>
              <a:camera prst="orthographicFront"/>
              <a:lightRig rig="threePt" dir="t">
                <a:rot lat="0" lon="0" rev="1200000"/>
              </a:lightRig>
            </a:scene3d>
            <a:sp3d>
              <a:bevelT w="63500" h="25400"/>
              <a:bevelB w="12700" h="82550"/>
            </a:sp3d>
          </c:spPr>
          <c:explosion val="15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 w="63500" h="25400"/>
                <a:bevelB w="12700" h="82550"/>
              </a:sp3d>
            </c:spPr>
            <c:extLst>
              <c:ext xmlns:c16="http://schemas.microsoft.com/office/drawing/2014/chart" uri="{C3380CC4-5D6E-409C-BE32-E72D297353CC}">
                <c16:uniqueId val="{00000001-2E6F-47C7-B53F-582606DE0ED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 w="63500" h="25400"/>
                <a:bevelB w="12700" h="82550"/>
              </a:sp3d>
            </c:spPr>
            <c:extLst>
              <c:ext xmlns:c16="http://schemas.microsoft.com/office/drawing/2014/chart" uri="{C3380CC4-5D6E-409C-BE32-E72D297353CC}">
                <c16:uniqueId val="{00000003-2E6F-47C7-B53F-582606DE0ED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 w="63500" h="25400"/>
                <a:bevelB w="12700" h="82550"/>
              </a:sp3d>
            </c:spPr>
            <c:extLst>
              <c:ext xmlns:c16="http://schemas.microsoft.com/office/drawing/2014/chart" uri="{C3380CC4-5D6E-409C-BE32-E72D297353CC}">
                <c16:uniqueId val="{00000005-2E6F-47C7-B53F-582606DE0ED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 w="63500" h="25400"/>
                <a:bevelB w="12700" h="82550"/>
              </a:sp3d>
            </c:spPr>
            <c:extLst>
              <c:ext xmlns:c16="http://schemas.microsoft.com/office/drawing/2014/chart" uri="{C3380CC4-5D6E-409C-BE32-E72D297353CC}">
                <c16:uniqueId val="{00000007-2E6F-47C7-B53F-582606DE0ED2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透视分析!$G$1</c:f>
              <c:strCache>
                <c:ptCount val="4"/>
                <c:pt idx="0">
                  <c:v>上地店</c:v>
                </c:pt>
                <c:pt idx="1">
                  <c:v>西直门店</c:v>
                </c:pt>
                <c:pt idx="2">
                  <c:v>亚运村店</c:v>
                </c:pt>
                <c:pt idx="3">
                  <c:v>中关村店</c:v>
                </c:pt>
              </c:strCache>
            </c:strRef>
          </c:cat>
          <c:val>
            <c:numRef>
              <c:f>透视分析!$G$1</c:f>
              <c:numCache>
                <c:formatCode>General</c:formatCode>
                <c:ptCount val="4"/>
                <c:pt idx="0">
                  <c:v>3283</c:v>
                </c:pt>
                <c:pt idx="1">
                  <c:v>1821</c:v>
                </c:pt>
                <c:pt idx="2">
                  <c:v>1669</c:v>
                </c:pt>
                <c:pt idx="3">
                  <c:v>2883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52-4E44-8D0A-18BEA4F60C77}"/>
            </c:ext>
          </c:extLst>
        </c:ser>
        <c:ser>
          <c:idx val="1"/>
          <c:order val="1"/>
          <c:tx>
            <c:strRef>
              <c:f>透视分析!$G$1</c:f>
              <c:strCache>
                <c:ptCount val="1"/>
                <c:pt idx="0">
                  <c:v>销售额（元）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2E6F-47C7-B53F-582606DE0ED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2E6F-47C7-B53F-582606DE0ED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2E6F-47C7-B53F-582606DE0ED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2E6F-47C7-B53F-582606DE0E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透视分析!$G$1</c:f>
              <c:strCache>
                <c:ptCount val="4"/>
                <c:pt idx="0">
                  <c:v>上地店</c:v>
                </c:pt>
                <c:pt idx="1">
                  <c:v>西直门店</c:v>
                </c:pt>
                <c:pt idx="2">
                  <c:v>亚运村店</c:v>
                </c:pt>
                <c:pt idx="3">
                  <c:v>中关村店</c:v>
                </c:pt>
              </c:strCache>
            </c:strRef>
          </c:cat>
          <c:val>
            <c:numRef>
              <c:f>透视分析!$G$1</c:f>
              <c:numCache>
                <c:formatCode>#,##0.00_ </c:formatCode>
                <c:ptCount val="4"/>
                <c:pt idx="0">
                  <c:v>3776993</c:v>
                </c:pt>
                <c:pt idx="1">
                  <c:v>2095005.9</c:v>
                </c:pt>
                <c:pt idx="2">
                  <c:v>1920134.4</c:v>
                </c:pt>
                <c:pt idx="3">
                  <c:v>3316805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52-4E44-8D0A-18BEA4F60C77}"/>
            </c:ext>
          </c:extLst>
        </c:ser>
        <c:ser>
          <c:idx val="2"/>
          <c:order val="2"/>
          <c:tx>
            <c:strRef>
              <c:f>透视分析!$G$1</c:f>
              <c:strCache>
                <c:ptCount val="1"/>
                <c:pt idx="0">
                  <c:v>销售额排名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2E6F-47C7-B53F-582606DE0ED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2E6F-47C7-B53F-582606DE0ED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2E6F-47C7-B53F-582606DE0ED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2E6F-47C7-B53F-582606DE0E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透视分析!$G$1</c:f>
              <c:strCache>
                <c:ptCount val="4"/>
                <c:pt idx="0">
                  <c:v>上地店</c:v>
                </c:pt>
                <c:pt idx="1">
                  <c:v>西直门店</c:v>
                </c:pt>
                <c:pt idx="2">
                  <c:v>亚运村店</c:v>
                </c:pt>
                <c:pt idx="3">
                  <c:v>中关村店</c:v>
                </c:pt>
              </c:strCache>
            </c:strRef>
          </c:cat>
          <c:val>
            <c:numRef>
              <c:f>透视分析!$G$1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52-4E44-8D0A-18BEA4F60C7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3</xdr:row>
      <xdr:rowOff>38100</xdr:rowOff>
    </xdr:from>
    <xdr:to>
      <xdr:col>8</xdr:col>
      <xdr:colOff>1066800</xdr:colOff>
      <xdr:row>19</xdr:row>
      <xdr:rowOff>38100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" refreshedDate="44295.686778935182" createdVersion="6" refreshedVersion="6" minRefreshableVersion="3" recordCount="80">
  <cacheSource type="worksheet">
    <worksheetSource ref="A3:F83" sheet="销售情况"/>
  </cacheSource>
  <cacheFields count="6">
    <cacheField name="序号" numFmtId="49">
      <sharedItems/>
    </cacheField>
    <cacheField name="店铺" numFmtId="0">
      <sharedItems count="4">
        <s v="西直门店"/>
        <s v="中关村店"/>
        <s v="上地店"/>
        <s v="亚运村店"/>
      </sharedItems>
    </cacheField>
    <cacheField name="季度" numFmtId="0">
      <sharedItems/>
    </cacheField>
    <cacheField name="商品名称" numFmtId="0">
      <sharedItems count="5">
        <s v="笔记本"/>
        <s v="台式机"/>
        <s v="鼠标"/>
        <s v="键盘"/>
        <s v="打印机"/>
      </sharedItems>
    </cacheField>
    <cacheField name="销售量" numFmtId="177">
      <sharedItems containsSemiMixedTypes="0" containsString="0" containsNumber="1" containsInteger="1" minValue="140" maxValue="1048"/>
    </cacheField>
    <cacheField name="销售额" numFmtId="176">
      <sharedItems containsSemiMixedTypes="0" containsString="0" containsNumber="1" minValue="55432.3" maxValue="1606271.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s v="001"/>
    <x v="0"/>
    <s v="1季度"/>
    <x v="0"/>
    <n v="200"/>
    <n v="910462"/>
  </r>
  <r>
    <s v="002"/>
    <x v="0"/>
    <s v="2季度"/>
    <x v="0"/>
    <n v="150"/>
    <n v="682846.5"/>
  </r>
  <r>
    <s v="003"/>
    <x v="0"/>
    <s v="3季度"/>
    <x v="0"/>
    <n v="250"/>
    <n v="1138077.5"/>
  </r>
  <r>
    <s v="004"/>
    <x v="0"/>
    <s v="4季度"/>
    <x v="0"/>
    <n v="300"/>
    <n v="1365693"/>
  </r>
  <r>
    <s v="005"/>
    <x v="1"/>
    <s v="1季度"/>
    <x v="0"/>
    <n v="230"/>
    <n v="1047031.3"/>
  </r>
  <r>
    <s v="006"/>
    <x v="1"/>
    <s v="2季度"/>
    <x v="0"/>
    <n v="180"/>
    <n v="819415.8"/>
  </r>
  <r>
    <s v="007"/>
    <x v="1"/>
    <s v="3季度"/>
    <x v="0"/>
    <n v="290"/>
    <n v="1320169.8999999999"/>
  </r>
  <r>
    <s v="008"/>
    <x v="1"/>
    <s v="4季度"/>
    <x v="0"/>
    <n v="350"/>
    <n v="1593308.5"/>
  </r>
  <r>
    <s v="009"/>
    <x v="2"/>
    <s v="1季度"/>
    <x v="0"/>
    <n v="180"/>
    <n v="819415.8"/>
  </r>
  <r>
    <s v="010"/>
    <x v="2"/>
    <s v="2季度"/>
    <x v="0"/>
    <n v="140"/>
    <n v="637323.4"/>
  </r>
  <r>
    <s v="011"/>
    <x v="2"/>
    <s v="3季度"/>
    <x v="0"/>
    <n v="220"/>
    <n v="1001508.2"/>
  </r>
  <r>
    <s v="012"/>
    <x v="2"/>
    <s v="4季度"/>
    <x v="0"/>
    <n v="280"/>
    <n v="1274646.8"/>
  </r>
  <r>
    <s v="013"/>
    <x v="3"/>
    <s v="1季度"/>
    <x v="0"/>
    <n v="210"/>
    <n v="955985.1"/>
  </r>
  <r>
    <s v="014"/>
    <x v="3"/>
    <s v="2季度"/>
    <x v="0"/>
    <n v="170"/>
    <n v="773892.7"/>
  </r>
  <r>
    <s v="015"/>
    <x v="3"/>
    <s v="3季度"/>
    <x v="0"/>
    <n v="260"/>
    <n v="1183600.6000000001"/>
  </r>
  <r>
    <s v="016"/>
    <x v="3"/>
    <s v="4季度"/>
    <x v="0"/>
    <n v="320"/>
    <n v="1456739.2"/>
  </r>
  <r>
    <s v="017"/>
    <x v="0"/>
    <s v="1季度"/>
    <x v="1"/>
    <n v="260"/>
    <n v="1003919.8"/>
  </r>
  <r>
    <s v="018"/>
    <x v="0"/>
    <s v="2季度"/>
    <x v="1"/>
    <n v="243"/>
    <n v="938278.89"/>
  </r>
  <r>
    <s v="019"/>
    <x v="0"/>
    <s v="3季度"/>
    <x v="1"/>
    <n v="362"/>
    <n v="1397765.26"/>
  </r>
  <r>
    <s v="020"/>
    <x v="0"/>
    <s v="4季度"/>
    <x v="1"/>
    <n v="377"/>
    <n v="1455683.71"/>
  </r>
  <r>
    <s v="021"/>
    <x v="1"/>
    <s v="1季度"/>
    <x v="1"/>
    <n v="261"/>
    <n v="1007781.03"/>
  </r>
  <r>
    <s v="022"/>
    <x v="1"/>
    <s v="2季度"/>
    <x v="1"/>
    <n v="349"/>
    <n v="1347569.27"/>
  </r>
  <r>
    <s v="023"/>
    <x v="1"/>
    <s v="3季度"/>
    <x v="1"/>
    <n v="400"/>
    <n v="1544492"/>
  </r>
  <r>
    <s v="024"/>
    <x v="1"/>
    <s v="4季度"/>
    <x v="1"/>
    <n v="416"/>
    <n v="1606271.68"/>
  </r>
  <r>
    <s v="025"/>
    <x v="2"/>
    <s v="1季度"/>
    <x v="1"/>
    <n v="247"/>
    <n v="953723.81"/>
  </r>
  <r>
    <s v="026"/>
    <x v="2"/>
    <s v="2季度"/>
    <x v="1"/>
    <n v="230"/>
    <n v="888082.9"/>
  </r>
  <r>
    <s v="027"/>
    <x v="2"/>
    <s v="3季度"/>
    <x v="1"/>
    <n v="285"/>
    <n v="1100450.55"/>
  </r>
  <r>
    <s v="028"/>
    <x v="2"/>
    <s v="4季度"/>
    <x v="1"/>
    <n v="293"/>
    <n v="1131340.3899999999"/>
  </r>
  <r>
    <s v="029"/>
    <x v="3"/>
    <s v="1季度"/>
    <x v="1"/>
    <n v="336"/>
    <n v="1297373.28"/>
  </r>
  <r>
    <s v="030"/>
    <x v="3"/>
    <s v="2季度"/>
    <x v="1"/>
    <n v="315"/>
    <n v="1216287.45"/>
  </r>
  <r>
    <s v="031"/>
    <x v="3"/>
    <s v="3季度"/>
    <x v="1"/>
    <n v="357"/>
    <n v="1378459.11"/>
  </r>
  <r>
    <s v="032"/>
    <x v="3"/>
    <s v="4季度"/>
    <x v="1"/>
    <n v="377"/>
    <n v="1455683.71"/>
  </r>
  <r>
    <s v="033"/>
    <x v="0"/>
    <s v="1季度"/>
    <x v="2"/>
    <n v="538"/>
    <n v="58937.9"/>
  </r>
  <r>
    <s v="034"/>
    <x v="0"/>
    <s v="2季度"/>
    <x v="2"/>
    <n v="565"/>
    <n v="61895.75"/>
  </r>
  <r>
    <s v="035"/>
    <x v="0"/>
    <s v="3季度"/>
    <x v="2"/>
    <n v="566"/>
    <n v="62005.3"/>
  </r>
  <r>
    <s v="036"/>
    <x v="0"/>
    <s v="4季度"/>
    <x v="2"/>
    <n v="750"/>
    <n v="82162.5"/>
  </r>
  <r>
    <s v="037"/>
    <x v="1"/>
    <s v="1季度"/>
    <x v="2"/>
    <n v="586"/>
    <n v="64196.3"/>
  </r>
  <r>
    <s v="038"/>
    <x v="1"/>
    <s v="2季度"/>
    <x v="2"/>
    <n v="643"/>
    <n v="70440.649999999994"/>
  </r>
  <r>
    <s v="039"/>
    <x v="1"/>
    <s v="3季度"/>
    <x v="2"/>
    <n v="582"/>
    <n v="63758.1"/>
  </r>
  <r>
    <s v="040"/>
    <x v="1"/>
    <s v="4季度"/>
    <x v="2"/>
    <n v="733"/>
    <n v="80300.149999999994"/>
  </r>
  <r>
    <s v="041"/>
    <x v="2"/>
    <s v="1季度"/>
    <x v="2"/>
    <n v="516"/>
    <n v="56527.8"/>
  </r>
  <r>
    <s v="042"/>
    <x v="2"/>
    <s v="2季度"/>
    <x v="2"/>
    <n v="748"/>
    <n v="81943.399999999994"/>
  </r>
  <r>
    <s v="043"/>
    <x v="2"/>
    <s v="3季度"/>
    <x v="2"/>
    <n v="654"/>
    <n v="71645.7"/>
  </r>
  <r>
    <s v="044"/>
    <x v="2"/>
    <s v="4季度"/>
    <x v="2"/>
    <n v="700"/>
    <n v="76685"/>
  </r>
  <r>
    <s v="045"/>
    <x v="3"/>
    <s v="1季度"/>
    <x v="2"/>
    <n v="648"/>
    <n v="70988.399999999994"/>
  </r>
  <r>
    <s v="046"/>
    <x v="3"/>
    <s v="2季度"/>
    <x v="2"/>
    <n v="619"/>
    <n v="67811.45"/>
  </r>
  <r>
    <s v="047"/>
    <x v="3"/>
    <s v="3季度"/>
    <x v="2"/>
    <n v="509"/>
    <n v="55760.95"/>
  </r>
  <r>
    <s v="048"/>
    <x v="3"/>
    <s v="4季度"/>
    <x v="2"/>
    <n v="506"/>
    <n v="55432.3"/>
  </r>
  <r>
    <s v="049"/>
    <x v="0"/>
    <s v="1季度"/>
    <x v="3"/>
    <n v="597"/>
    <n v="104713.8"/>
  </r>
  <r>
    <s v="050"/>
    <x v="0"/>
    <s v="2季度"/>
    <x v="3"/>
    <n v="502"/>
    <n v="88050.8"/>
  </r>
  <r>
    <s v="051"/>
    <x v="0"/>
    <s v="3季度"/>
    <x v="3"/>
    <n v="682"/>
    <n v="119622.8"/>
  </r>
  <r>
    <s v="052"/>
    <x v="0"/>
    <s v="4季度"/>
    <x v="3"/>
    <n v="712"/>
    <n v="124884.8"/>
  </r>
  <r>
    <s v="053"/>
    <x v="1"/>
    <s v="1季度"/>
    <x v="3"/>
    <n v="754"/>
    <n v="132251.6"/>
  </r>
  <r>
    <s v="054"/>
    <x v="1"/>
    <s v="2季度"/>
    <x v="3"/>
    <n v="527"/>
    <n v="92435.8"/>
  </r>
  <r>
    <s v="055"/>
    <x v="1"/>
    <s v="3季度"/>
    <x v="3"/>
    <n v="768"/>
    <n v="134707.20000000001"/>
  </r>
  <r>
    <s v="056"/>
    <x v="1"/>
    <s v="4季度"/>
    <x v="3"/>
    <n v="798"/>
    <n v="139969.20000000001"/>
  </r>
  <r>
    <s v="057"/>
    <x v="2"/>
    <s v="1季度"/>
    <x v="3"/>
    <n v="686"/>
    <n v="120324.4"/>
  </r>
  <r>
    <s v="058"/>
    <x v="2"/>
    <s v="2季度"/>
    <x v="3"/>
    <n v="531"/>
    <n v="93137.4"/>
  </r>
  <r>
    <s v="059"/>
    <x v="2"/>
    <s v="3季度"/>
    <x v="3"/>
    <n v="581"/>
    <n v="101907.4"/>
  </r>
  <r>
    <s v="060"/>
    <x v="2"/>
    <s v="4季度"/>
    <x v="3"/>
    <n v="711"/>
    <n v="124709.4"/>
  </r>
  <r>
    <s v="061"/>
    <x v="3"/>
    <s v="1季度"/>
    <x v="3"/>
    <n v="674"/>
    <n v="118219.6"/>
  </r>
  <r>
    <s v="062"/>
    <x v="3"/>
    <s v="2季度"/>
    <x v="3"/>
    <n v="553"/>
    <n v="96996.2"/>
  </r>
  <r>
    <s v="063"/>
    <x v="3"/>
    <s v="3季度"/>
    <x v="3"/>
    <n v="650"/>
    <n v="114010"/>
  </r>
  <r>
    <s v="064"/>
    <x v="3"/>
    <s v="4季度"/>
    <x v="3"/>
    <n v="766"/>
    <n v="134356.4"/>
  </r>
  <r>
    <s v="065"/>
    <x v="0"/>
    <s v="1季度"/>
    <x v="4"/>
    <n v="403"/>
    <n v="463639.41"/>
  </r>
  <r>
    <s v="066"/>
    <x v="0"/>
    <s v="2季度"/>
    <x v="4"/>
    <n v="503"/>
    <n v="578686.41"/>
  </r>
  <r>
    <s v="067"/>
    <x v="0"/>
    <s v="3季度"/>
    <x v="4"/>
    <n v="430"/>
    <n v="494702.1"/>
  </r>
  <r>
    <s v="068"/>
    <x v="0"/>
    <s v="4季度"/>
    <x v="4"/>
    <n v="485"/>
    <n v="557977.94999999995"/>
  </r>
  <r>
    <s v="069"/>
    <x v="1"/>
    <s v="1季度"/>
    <x v="4"/>
    <n v="597"/>
    <n v="686830.59"/>
  </r>
  <r>
    <s v="070"/>
    <x v="1"/>
    <s v="2季度"/>
    <x v="4"/>
    <n v="711"/>
    <n v="817984.17"/>
  </r>
  <r>
    <s v="071"/>
    <x v="1"/>
    <s v="3季度"/>
    <x v="4"/>
    <n v="885"/>
    <n v="1018165.95"/>
  </r>
  <r>
    <s v="072"/>
    <x v="1"/>
    <s v="4季度"/>
    <x v="4"/>
    <n v="690"/>
    <n v="793824.3"/>
  </r>
  <r>
    <s v="073"/>
    <x v="2"/>
    <s v="1季度"/>
    <x v="4"/>
    <n v="610"/>
    <n v="701786.7"/>
  </r>
  <r>
    <s v="074"/>
    <x v="2"/>
    <s v="2季度"/>
    <x v="4"/>
    <n v="828"/>
    <n v="952589.16"/>
  </r>
  <r>
    <s v="075"/>
    <x v="2"/>
    <s v="3季度"/>
    <x v="4"/>
    <n v="1048"/>
    <n v="1205692.56"/>
  </r>
  <r>
    <s v="076"/>
    <x v="2"/>
    <s v="4季度"/>
    <x v="4"/>
    <n v="797"/>
    <n v="916924.59"/>
  </r>
  <r>
    <s v="077"/>
    <x v="3"/>
    <s v="1季度"/>
    <x v="4"/>
    <n v="306"/>
    <n v="352043.82"/>
  </r>
  <r>
    <s v="078"/>
    <x v="3"/>
    <s v="2季度"/>
    <x v="4"/>
    <n v="424"/>
    <n v="487799.28"/>
  </r>
  <r>
    <s v="079"/>
    <x v="3"/>
    <s v="3季度"/>
    <x v="4"/>
    <n v="462"/>
    <n v="531517.14"/>
  </r>
  <r>
    <s v="080"/>
    <x v="3"/>
    <s v="4季度"/>
    <x v="4"/>
    <n v="477"/>
    <n v="548774.189999999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dataPosition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chartFormat="6" rowHeaderCaption="门店">
  <location ref="A5:D10" firstHeaderRow="0" firstDataRow="1" firstDataCol="1" rowPageCount="1" colPageCount="1"/>
  <pivotFields count="6">
    <pivotField showAll="0" insertBlankRow="1"/>
    <pivotField axis="axisRow" showAll="0" insertBlankRow="1">
      <items count="5">
        <item x="2"/>
        <item x="0"/>
        <item x="3"/>
        <item x="1"/>
        <item t="default"/>
      </items>
    </pivotField>
    <pivotField showAll="0" insertBlankRow="1"/>
    <pivotField axis="axisPage" showAll="0" insertBlankRow="1">
      <items count="6">
        <item x="0"/>
        <item x="4"/>
        <item x="3"/>
        <item x="2"/>
        <item x="1"/>
        <item t="default"/>
      </items>
    </pivotField>
    <pivotField dataField="1" numFmtId="177" showAll="0" insertBlankRow="1"/>
    <pivotField dataField="1" numFmtId="176" showAll="0" insertBlankRow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item="1" hier="-1"/>
  </pageFields>
  <dataFields count="3">
    <dataField name="销量" fld="4" baseField="0" baseItem="0"/>
    <dataField name="销售额（元）" fld="5" baseField="0" baseItem="0" numFmtId="176"/>
    <dataField name="销售额排名" fld="4" baseField="1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formats count="7"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0"/>
          </reference>
          <reference field="1" count="1">
            <x v="1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0"/>
          </reference>
          <reference field="1" count="1">
            <x v="1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0"/>
          </reference>
          <reference field="1" count="1">
            <x v="3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0"/>
          </reference>
          <reference field="1" count="3">
            <x v="1"/>
            <x v="2"/>
            <x v="3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16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3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39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5" format="40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5" format="4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5" format="42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5" format="4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44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5" format="45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5" format="46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5" format="47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</chartFormats>
  <pivotTableStyleInfo name="PivotStyleMedium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83"/>
  <sheetViews>
    <sheetView workbookViewId="0">
      <selection activeCell="E19" sqref="E19"/>
    </sheetView>
  </sheetViews>
  <sheetFormatPr defaultRowHeight="13.5" x14ac:dyDescent="0.15"/>
  <cols>
    <col min="1" max="1" width="14.625" style="16" customWidth="1"/>
    <col min="2" max="2" width="14.625" customWidth="1"/>
    <col min="3" max="4" width="14.625" style="11" customWidth="1"/>
    <col min="5" max="5" width="14.625" customWidth="1"/>
    <col min="6" max="6" width="14.625" style="21" customWidth="1"/>
  </cols>
  <sheetData>
    <row r="1" spans="1:7" ht="14.25" x14ac:dyDescent="0.15">
      <c r="A1" s="23" t="s">
        <v>19</v>
      </c>
      <c r="B1" s="24"/>
      <c r="C1" s="24"/>
      <c r="D1" s="24"/>
      <c r="E1" s="24"/>
      <c r="F1" s="25"/>
    </row>
    <row r="2" spans="1:7" ht="5.25" customHeight="1" x14ac:dyDescent="0.15"/>
    <row r="3" spans="1:7" ht="18" customHeight="1" x14ac:dyDescent="0.15">
      <c r="A3" s="16" t="s">
        <v>27</v>
      </c>
      <c r="B3" s="13" t="s">
        <v>25</v>
      </c>
      <c r="C3" s="13" t="s">
        <v>8</v>
      </c>
      <c r="D3" s="13" t="s">
        <v>10</v>
      </c>
      <c r="E3" s="13" t="s">
        <v>16</v>
      </c>
      <c r="F3" s="26" t="s">
        <v>24</v>
      </c>
    </row>
    <row r="4" spans="1:7" ht="18" customHeight="1" x14ac:dyDescent="0.15">
      <c r="A4" s="16" t="s">
        <v>28</v>
      </c>
      <c r="B4" s="9" t="s">
        <v>0</v>
      </c>
      <c r="C4" s="10" t="s">
        <v>20</v>
      </c>
      <c r="D4" s="10" t="s">
        <v>11</v>
      </c>
      <c r="E4" s="12">
        <v>200</v>
      </c>
      <c r="F4" s="18">
        <f>VLOOKUP(D4,商品均价,2,0)*E4</f>
        <v>910462</v>
      </c>
    </row>
    <row r="5" spans="1:7" ht="18" customHeight="1" x14ac:dyDescent="0.15">
      <c r="A5" s="16" t="s">
        <v>30</v>
      </c>
      <c r="B5" s="9" t="s">
        <v>0</v>
      </c>
      <c r="C5" s="10" t="s">
        <v>21</v>
      </c>
      <c r="D5" s="10" t="s">
        <v>11</v>
      </c>
      <c r="E5" s="12">
        <v>150</v>
      </c>
      <c r="F5" s="18">
        <f t="shared" ref="F5:F35" si="0">VLOOKUP(D5,商品均价,2,0)*E5</f>
        <v>682846.5</v>
      </c>
      <c r="G5" s="17"/>
    </row>
    <row r="6" spans="1:7" ht="18" customHeight="1" x14ac:dyDescent="0.15">
      <c r="A6" s="16" t="s">
        <v>31</v>
      </c>
      <c r="B6" s="9" t="s">
        <v>0</v>
      </c>
      <c r="C6" s="10" t="s">
        <v>22</v>
      </c>
      <c r="D6" s="10" t="s">
        <v>11</v>
      </c>
      <c r="E6" s="12">
        <v>250</v>
      </c>
      <c r="F6" s="18">
        <f t="shared" si="0"/>
        <v>1138077.5</v>
      </c>
    </row>
    <row r="7" spans="1:7" ht="18" customHeight="1" x14ac:dyDescent="0.15">
      <c r="A7" s="16" t="s">
        <v>29</v>
      </c>
      <c r="B7" s="9" t="s">
        <v>0</v>
      </c>
      <c r="C7" s="10" t="s">
        <v>23</v>
      </c>
      <c r="D7" s="10" t="s">
        <v>11</v>
      </c>
      <c r="E7" s="12">
        <v>300</v>
      </c>
      <c r="F7" s="18">
        <f t="shared" si="0"/>
        <v>1365693</v>
      </c>
    </row>
    <row r="8" spans="1:7" ht="18" customHeight="1" x14ac:dyDescent="0.15">
      <c r="A8" s="16" t="s">
        <v>32</v>
      </c>
      <c r="B8" s="9" t="s">
        <v>1</v>
      </c>
      <c r="C8" s="10" t="s">
        <v>20</v>
      </c>
      <c r="D8" s="10" t="s">
        <v>11</v>
      </c>
      <c r="E8" s="12">
        <v>230</v>
      </c>
      <c r="F8" s="18">
        <f t="shared" si="0"/>
        <v>1047031.3</v>
      </c>
    </row>
    <row r="9" spans="1:7" ht="18" customHeight="1" x14ac:dyDescent="0.15">
      <c r="A9" s="16" t="s">
        <v>33</v>
      </c>
      <c r="B9" s="9" t="s">
        <v>1</v>
      </c>
      <c r="C9" s="10" t="s">
        <v>21</v>
      </c>
      <c r="D9" s="10" t="s">
        <v>11</v>
      </c>
      <c r="E9" s="12">
        <v>180</v>
      </c>
      <c r="F9" s="18">
        <f t="shared" si="0"/>
        <v>819415.8</v>
      </c>
    </row>
    <row r="10" spans="1:7" ht="18" customHeight="1" x14ac:dyDescent="0.15">
      <c r="A10" s="16" t="s">
        <v>34</v>
      </c>
      <c r="B10" s="9" t="s">
        <v>1</v>
      </c>
      <c r="C10" s="10" t="s">
        <v>22</v>
      </c>
      <c r="D10" s="10" t="s">
        <v>11</v>
      </c>
      <c r="E10" s="12">
        <v>290</v>
      </c>
      <c r="F10" s="18">
        <f t="shared" si="0"/>
        <v>1320169.8999999999</v>
      </c>
    </row>
    <row r="11" spans="1:7" ht="18" customHeight="1" x14ac:dyDescent="0.15">
      <c r="A11" s="16" t="s">
        <v>35</v>
      </c>
      <c r="B11" s="9" t="s">
        <v>1</v>
      </c>
      <c r="C11" s="10" t="s">
        <v>23</v>
      </c>
      <c r="D11" s="10" t="s">
        <v>11</v>
      </c>
      <c r="E11" s="12">
        <v>350</v>
      </c>
      <c r="F11" s="18">
        <f t="shared" si="0"/>
        <v>1593308.5</v>
      </c>
    </row>
    <row r="12" spans="1:7" ht="18" customHeight="1" x14ac:dyDescent="0.15">
      <c r="A12" s="16" t="s">
        <v>36</v>
      </c>
      <c r="B12" s="9" t="s">
        <v>2</v>
      </c>
      <c r="C12" s="10" t="s">
        <v>20</v>
      </c>
      <c r="D12" s="10" t="s">
        <v>11</v>
      </c>
      <c r="E12" s="12">
        <v>180</v>
      </c>
      <c r="F12" s="18">
        <f t="shared" si="0"/>
        <v>819415.8</v>
      </c>
    </row>
    <row r="13" spans="1:7" ht="18" customHeight="1" x14ac:dyDescent="0.15">
      <c r="A13" s="16" t="s">
        <v>37</v>
      </c>
      <c r="B13" s="9" t="s">
        <v>2</v>
      </c>
      <c r="C13" s="10" t="s">
        <v>21</v>
      </c>
      <c r="D13" s="10" t="s">
        <v>11</v>
      </c>
      <c r="E13" s="12">
        <v>140</v>
      </c>
      <c r="F13" s="18">
        <f t="shared" si="0"/>
        <v>637323.4</v>
      </c>
    </row>
    <row r="14" spans="1:7" ht="18" customHeight="1" x14ac:dyDescent="0.15">
      <c r="A14" s="16" t="s">
        <v>38</v>
      </c>
      <c r="B14" s="9" t="s">
        <v>2</v>
      </c>
      <c r="C14" s="10" t="s">
        <v>22</v>
      </c>
      <c r="D14" s="10" t="s">
        <v>11</v>
      </c>
      <c r="E14" s="12">
        <v>220</v>
      </c>
      <c r="F14" s="18">
        <f t="shared" si="0"/>
        <v>1001508.2</v>
      </c>
    </row>
    <row r="15" spans="1:7" ht="18" customHeight="1" x14ac:dyDescent="0.15">
      <c r="A15" s="16" t="s">
        <v>39</v>
      </c>
      <c r="B15" s="9" t="s">
        <v>2</v>
      </c>
      <c r="C15" s="10" t="s">
        <v>23</v>
      </c>
      <c r="D15" s="10" t="s">
        <v>11</v>
      </c>
      <c r="E15" s="12">
        <v>280</v>
      </c>
      <c r="F15" s="18">
        <f t="shared" si="0"/>
        <v>1274646.8</v>
      </c>
    </row>
    <row r="16" spans="1:7" ht="18" customHeight="1" x14ac:dyDescent="0.15">
      <c r="A16" s="16" t="s">
        <v>40</v>
      </c>
      <c r="B16" s="9" t="s">
        <v>3</v>
      </c>
      <c r="C16" s="10" t="s">
        <v>20</v>
      </c>
      <c r="D16" s="10" t="s">
        <v>11</v>
      </c>
      <c r="E16" s="12">
        <v>210</v>
      </c>
      <c r="F16" s="18">
        <f t="shared" si="0"/>
        <v>955985.1</v>
      </c>
    </row>
    <row r="17" spans="1:6" ht="18" customHeight="1" x14ac:dyDescent="0.15">
      <c r="A17" s="16" t="s">
        <v>41</v>
      </c>
      <c r="B17" s="9" t="s">
        <v>3</v>
      </c>
      <c r="C17" s="10" t="s">
        <v>21</v>
      </c>
      <c r="D17" s="10" t="s">
        <v>11</v>
      </c>
      <c r="E17" s="12">
        <v>170</v>
      </c>
      <c r="F17" s="18">
        <f t="shared" si="0"/>
        <v>773892.7</v>
      </c>
    </row>
    <row r="18" spans="1:6" ht="18" customHeight="1" x14ac:dyDescent="0.15">
      <c r="A18" s="16" t="s">
        <v>42</v>
      </c>
      <c r="B18" s="9" t="s">
        <v>3</v>
      </c>
      <c r="C18" s="10" t="s">
        <v>22</v>
      </c>
      <c r="D18" s="10" t="s">
        <v>11</v>
      </c>
      <c r="E18" s="12">
        <v>260</v>
      </c>
      <c r="F18" s="18">
        <f t="shared" si="0"/>
        <v>1183600.6000000001</v>
      </c>
    </row>
    <row r="19" spans="1:6" ht="18" customHeight="1" x14ac:dyDescent="0.15">
      <c r="A19" s="16" t="s">
        <v>43</v>
      </c>
      <c r="B19" s="9" t="s">
        <v>3</v>
      </c>
      <c r="C19" s="10" t="s">
        <v>23</v>
      </c>
      <c r="D19" s="10" t="s">
        <v>11</v>
      </c>
      <c r="E19" s="12">
        <v>320</v>
      </c>
      <c r="F19" s="18">
        <f t="shared" si="0"/>
        <v>1456739.2</v>
      </c>
    </row>
    <row r="20" spans="1:6" ht="18" customHeight="1" x14ac:dyDescent="0.15">
      <c r="A20" s="16" t="s">
        <v>44</v>
      </c>
      <c r="B20" s="9" t="s">
        <v>0</v>
      </c>
      <c r="C20" s="10" t="s">
        <v>20</v>
      </c>
      <c r="D20" s="10" t="s">
        <v>12</v>
      </c>
      <c r="E20" s="12">
        <v>260</v>
      </c>
      <c r="F20" s="18">
        <f t="shared" si="0"/>
        <v>1003919.8</v>
      </c>
    </row>
    <row r="21" spans="1:6" ht="18" customHeight="1" x14ac:dyDescent="0.15">
      <c r="A21" s="16" t="s">
        <v>45</v>
      </c>
      <c r="B21" s="9" t="s">
        <v>0</v>
      </c>
      <c r="C21" s="10" t="s">
        <v>21</v>
      </c>
      <c r="D21" s="10" t="s">
        <v>12</v>
      </c>
      <c r="E21" s="12">
        <v>243</v>
      </c>
      <c r="F21" s="18">
        <f t="shared" si="0"/>
        <v>938278.89</v>
      </c>
    </row>
    <row r="22" spans="1:6" ht="18" customHeight="1" x14ac:dyDescent="0.15">
      <c r="A22" s="16" t="s">
        <v>46</v>
      </c>
      <c r="B22" s="9" t="s">
        <v>0</v>
      </c>
      <c r="C22" s="10" t="s">
        <v>22</v>
      </c>
      <c r="D22" s="10" t="s">
        <v>12</v>
      </c>
      <c r="E22" s="12">
        <v>362</v>
      </c>
      <c r="F22" s="18">
        <f t="shared" si="0"/>
        <v>1397765.26</v>
      </c>
    </row>
    <row r="23" spans="1:6" ht="18" customHeight="1" x14ac:dyDescent="0.15">
      <c r="A23" s="16" t="s">
        <v>47</v>
      </c>
      <c r="B23" s="9" t="s">
        <v>0</v>
      </c>
      <c r="C23" s="10" t="s">
        <v>23</v>
      </c>
      <c r="D23" s="10" t="s">
        <v>12</v>
      </c>
      <c r="E23" s="12">
        <v>377</v>
      </c>
      <c r="F23" s="18">
        <f t="shared" si="0"/>
        <v>1455683.71</v>
      </c>
    </row>
    <row r="24" spans="1:6" ht="18" customHeight="1" x14ac:dyDescent="0.15">
      <c r="A24" s="16" t="s">
        <v>48</v>
      </c>
      <c r="B24" s="9" t="s">
        <v>1</v>
      </c>
      <c r="C24" s="10" t="s">
        <v>20</v>
      </c>
      <c r="D24" s="10" t="s">
        <v>12</v>
      </c>
      <c r="E24" s="12">
        <v>261</v>
      </c>
      <c r="F24" s="18">
        <f t="shared" si="0"/>
        <v>1007781.03</v>
      </c>
    </row>
    <row r="25" spans="1:6" ht="18" customHeight="1" x14ac:dyDescent="0.15">
      <c r="A25" s="16" t="s">
        <v>49</v>
      </c>
      <c r="B25" s="9" t="s">
        <v>1</v>
      </c>
      <c r="C25" s="10" t="s">
        <v>21</v>
      </c>
      <c r="D25" s="10" t="s">
        <v>12</v>
      </c>
      <c r="E25" s="12">
        <v>349</v>
      </c>
      <c r="F25" s="18">
        <f t="shared" si="0"/>
        <v>1347569.27</v>
      </c>
    </row>
    <row r="26" spans="1:6" ht="18" customHeight="1" x14ac:dyDescent="0.15">
      <c r="A26" s="16" t="s">
        <v>50</v>
      </c>
      <c r="B26" s="9" t="s">
        <v>1</v>
      </c>
      <c r="C26" s="10" t="s">
        <v>22</v>
      </c>
      <c r="D26" s="10" t="s">
        <v>12</v>
      </c>
      <c r="E26" s="12">
        <v>400</v>
      </c>
      <c r="F26" s="18">
        <f t="shared" si="0"/>
        <v>1544492</v>
      </c>
    </row>
    <row r="27" spans="1:6" ht="18" customHeight="1" x14ac:dyDescent="0.15">
      <c r="A27" s="16" t="s">
        <v>51</v>
      </c>
      <c r="B27" s="9" t="s">
        <v>1</v>
      </c>
      <c r="C27" s="10" t="s">
        <v>23</v>
      </c>
      <c r="D27" s="10" t="s">
        <v>12</v>
      </c>
      <c r="E27" s="12">
        <v>416</v>
      </c>
      <c r="F27" s="18">
        <f t="shared" si="0"/>
        <v>1606271.68</v>
      </c>
    </row>
    <row r="28" spans="1:6" ht="18" customHeight="1" x14ac:dyDescent="0.15">
      <c r="A28" s="16" t="s">
        <v>52</v>
      </c>
      <c r="B28" s="9" t="s">
        <v>2</v>
      </c>
      <c r="C28" s="10" t="s">
        <v>20</v>
      </c>
      <c r="D28" s="10" t="s">
        <v>12</v>
      </c>
      <c r="E28" s="12">
        <v>247</v>
      </c>
      <c r="F28" s="18">
        <f t="shared" si="0"/>
        <v>953723.81</v>
      </c>
    </row>
    <row r="29" spans="1:6" ht="18" customHeight="1" x14ac:dyDescent="0.15">
      <c r="A29" s="16" t="s">
        <v>53</v>
      </c>
      <c r="B29" s="9" t="s">
        <v>2</v>
      </c>
      <c r="C29" s="10" t="s">
        <v>21</v>
      </c>
      <c r="D29" s="10" t="s">
        <v>12</v>
      </c>
      <c r="E29" s="12">
        <v>230</v>
      </c>
      <c r="F29" s="18">
        <f t="shared" si="0"/>
        <v>888082.9</v>
      </c>
    </row>
    <row r="30" spans="1:6" ht="18" customHeight="1" x14ac:dyDescent="0.15">
      <c r="A30" s="16" t="s">
        <v>54</v>
      </c>
      <c r="B30" s="9" t="s">
        <v>2</v>
      </c>
      <c r="C30" s="10" t="s">
        <v>22</v>
      </c>
      <c r="D30" s="10" t="s">
        <v>12</v>
      </c>
      <c r="E30" s="12">
        <v>285</v>
      </c>
      <c r="F30" s="18">
        <f t="shared" si="0"/>
        <v>1100450.55</v>
      </c>
    </row>
    <row r="31" spans="1:6" ht="18" customHeight="1" x14ac:dyDescent="0.15">
      <c r="A31" s="16" t="s">
        <v>55</v>
      </c>
      <c r="B31" s="9" t="s">
        <v>2</v>
      </c>
      <c r="C31" s="10" t="s">
        <v>23</v>
      </c>
      <c r="D31" s="10" t="s">
        <v>12</v>
      </c>
      <c r="E31" s="12">
        <v>293</v>
      </c>
      <c r="F31" s="18">
        <f t="shared" si="0"/>
        <v>1131340.3899999999</v>
      </c>
    </row>
    <row r="32" spans="1:6" ht="18" customHeight="1" x14ac:dyDescent="0.15">
      <c r="A32" s="16" t="s">
        <v>56</v>
      </c>
      <c r="B32" s="9" t="s">
        <v>3</v>
      </c>
      <c r="C32" s="10" t="s">
        <v>20</v>
      </c>
      <c r="D32" s="10" t="s">
        <v>12</v>
      </c>
      <c r="E32" s="12">
        <v>336</v>
      </c>
      <c r="F32" s="18">
        <f t="shared" si="0"/>
        <v>1297373.28</v>
      </c>
    </row>
    <row r="33" spans="1:6" ht="18" customHeight="1" x14ac:dyDescent="0.15">
      <c r="A33" s="16" t="s">
        <v>57</v>
      </c>
      <c r="B33" s="9" t="s">
        <v>3</v>
      </c>
      <c r="C33" s="10" t="s">
        <v>21</v>
      </c>
      <c r="D33" s="10" t="s">
        <v>12</v>
      </c>
      <c r="E33" s="12">
        <v>315</v>
      </c>
      <c r="F33" s="18">
        <f t="shared" si="0"/>
        <v>1216287.45</v>
      </c>
    </row>
    <row r="34" spans="1:6" ht="18" customHeight="1" x14ac:dyDescent="0.15">
      <c r="A34" s="16" t="s">
        <v>58</v>
      </c>
      <c r="B34" s="9" t="s">
        <v>3</v>
      </c>
      <c r="C34" s="10" t="s">
        <v>22</v>
      </c>
      <c r="D34" s="10" t="s">
        <v>12</v>
      </c>
      <c r="E34" s="12">
        <v>357</v>
      </c>
      <c r="F34" s="18">
        <f t="shared" si="0"/>
        <v>1378459.11</v>
      </c>
    </row>
    <row r="35" spans="1:6" ht="18" customHeight="1" x14ac:dyDescent="0.15">
      <c r="A35" s="16" t="s">
        <v>59</v>
      </c>
      <c r="B35" s="9" t="s">
        <v>3</v>
      </c>
      <c r="C35" s="10" t="s">
        <v>23</v>
      </c>
      <c r="D35" s="10" t="s">
        <v>12</v>
      </c>
      <c r="E35" s="12">
        <v>377</v>
      </c>
      <c r="F35" s="18">
        <f t="shared" si="0"/>
        <v>1455683.71</v>
      </c>
    </row>
    <row r="36" spans="1:6" ht="18" customHeight="1" x14ac:dyDescent="0.15">
      <c r="A36" s="16" t="s">
        <v>60</v>
      </c>
      <c r="B36" s="9" t="s">
        <v>0</v>
      </c>
      <c r="C36" s="10" t="s">
        <v>20</v>
      </c>
      <c r="D36" s="10" t="s">
        <v>13</v>
      </c>
      <c r="E36" s="12">
        <v>538</v>
      </c>
      <c r="F36" s="18">
        <f t="shared" ref="F36:F67" si="1">VLOOKUP(D36,商品均价,2,0)*E36</f>
        <v>58937.9</v>
      </c>
    </row>
    <row r="37" spans="1:6" ht="18" customHeight="1" x14ac:dyDescent="0.15">
      <c r="A37" s="16" t="s">
        <v>61</v>
      </c>
      <c r="B37" s="9" t="s">
        <v>0</v>
      </c>
      <c r="C37" s="10" t="s">
        <v>21</v>
      </c>
      <c r="D37" s="10" t="s">
        <v>13</v>
      </c>
      <c r="E37" s="12">
        <v>565</v>
      </c>
      <c r="F37" s="18">
        <f t="shared" si="1"/>
        <v>61895.75</v>
      </c>
    </row>
    <row r="38" spans="1:6" ht="18" customHeight="1" x14ac:dyDescent="0.15">
      <c r="A38" s="16" t="s">
        <v>62</v>
      </c>
      <c r="B38" s="9" t="s">
        <v>0</v>
      </c>
      <c r="C38" s="10" t="s">
        <v>22</v>
      </c>
      <c r="D38" s="10" t="s">
        <v>13</v>
      </c>
      <c r="E38" s="12">
        <v>566</v>
      </c>
      <c r="F38" s="18">
        <f t="shared" si="1"/>
        <v>62005.3</v>
      </c>
    </row>
    <row r="39" spans="1:6" ht="18" customHeight="1" x14ac:dyDescent="0.15">
      <c r="A39" s="16" t="s">
        <v>63</v>
      </c>
      <c r="B39" s="9" t="s">
        <v>0</v>
      </c>
      <c r="C39" s="10" t="s">
        <v>23</v>
      </c>
      <c r="D39" s="10" t="s">
        <v>13</v>
      </c>
      <c r="E39" s="12">
        <v>750</v>
      </c>
      <c r="F39" s="18">
        <f t="shared" si="1"/>
        <v>82162.5</v>
      </c>
    </row>
    <row r="40" spans="1:6" ht="18" customHeight="1" x14ac:dyDescent="0.15">
      <c r="A40" s="16" t="s">
        <v>64</v>
      </c>
      <c r="B40" s="9" t="s">
        <v>1</v>
      </c>
      <c r="C40" s="10" t="s">
        <v>20</v>
      </c>
      <c r="D40" s="10" t="s">
        <v>13</v>
      </c>
      <c r="E40" s="12">
        <v>586</v>
      </c>
      <c r="F40" s="18">
        <f t="shared" si="1"/>
        <v>64196.3</v>
      </c>
    </row>
    <row r="41" spans="1:6" ht="18" customHeight="1" x14ac:dyDescent="0.15">
      <c r="A41" s="16" t="s">
        <v>65</v>
      </c>
      <c r="B41" s="9" t="s">
        <v>1</v>
      </c>
      <c r="C41" s="10" t="s">
        <v>21</v>
      </c>
      <c r="D41" s="10" t="s">
        <v>13</v>
      </c>
      <c r="E41" s="12">
        <v>643</v>
      </c>
      <c r="F41" s="18">
        <f t="shared" si="1"/>
        <v>70440.649999999994</v>
      </c>
    </row>
    <row r="42" spans="1:6" ht="18" customHeight="1" x14ac:dyDescent="0.15">
      <c r="A42" s="16" t="s">
        <v>66</v>
      </c>
      <c r="B42" s="9" t="s">
        <v>1</v>
      </c>
      <c r="C42" s="10" t="s">
        <v>22</v>
      </c>
      <c r="D42" s="10" t="s">
        <v>13</v>
      </c>
      <c r="E42" s="12">
        <v>582</v>
      </c>
      <c r="F42" s="18">
        <f t="shared" si="1"/>
        <v>63758.1</v>
      </c>
    </row>
    <row r="43" spans="1:6" ht="18" customHeight="1" x14ac:dyDescent="0.15">
      <c r="A43" s="16" t="s">
        <v>67</v>
      </c>
      <c r="B43" s="9" t="s">
        <v>1</v>
      </c>
      <c r="C43" s="10" t="s">
        <v>23</v>
      </c>
      <c r="D43" s="10" t="s">
        <v>13</v>
      </c>
      <c r="E43" s="12">
        <v>733</v>
      </c>
      <c r="F43" s="18">
        <f t="shared" si="1"/>
        <v>80300.149999999994</v>
      </c>
    </row>
    <row r="44" spans="1:6" ht="18" customHeight="1" x14ac:dyDescent="0.15">
      <c r="A44" s="16" t="s">
        <v>68</v>
      </c>
      <c r="B44" s="9" t="s">
        <v>2</v>
      </c>
      <c r="C44" s="10" t="s">
        <v>20</v>
      </c>
      <c r="D44" s="10" t="s">
        <v>13</v>
      </c>
      <c r="E44" s="12">
        <v>516</v>
      </c>
      <c r="F44" s="18">
        <f t="shared" si="1"/>
        <v>56527.8</v>
      </c>
    </row>
    <row r="45" spans="1:6" ht="18" customHeight="1" x14ac:dyDescent="0.15">
      <c r="A45" s="16" t="s">
        <v>69</v>
      </c>
      <c r="B45" s="9" t="s">
        <v>2</v>
      </c>
      <c r="C45" s="10" t="s">
        <v>21</v>
      </c>
      <c r="D45" s="10" t="s">
        <v>13</v>
      </c>
      <c r="E45" s="12">
        <v>748</v>
      </c>
      <c r="F45" s="18">
        <f t="shared" si="1"/>
        <v>81943.399999999994</v>
      </c>
    </row>
    <row r="46" spans="1:6" ht="18" customHeight="1" x14ac:dyDescent="0.15">
      <c r="A46" s="16" t="s">
        <v>70</v>
      </c>
      <c r="B46" s="9" t="s">
        <v>2</v>
      </c>
      <c r="C46" s="10" t="s">
        <v>22</v>
      </c>
      <c r="D46" s="10" t="s">
        <v>13</v>
      </c>
      <c r="E46" s="12">
        <v>654</v>
      </c>
      <c r="F46" s="18">
        <f t="shared" si="1"/>
        <v>71645.7</v>
      </c>
    </row>
    <row r="47" spans="1:6" ht="18" customHeight="1" x14ac:dyDescent="0.15">
      <c r="A47" s="16" t="s">
        <v>71</v>
      </c>
      <c r="B47" s="9" t="s">
        <v>2</v>
      </c>
      <c r="C47" s="10" t="s">
        <v>23</v>
      </c>
      <c r="D47" s="10" t="s">
        <v>13</v>
      </c>
      <c r="E47" s="12">
        <v>700</v>
      </c>
      <c r="F47" s="18">
        <f t="shared" si="1"/>
        <v>76685</v>
      </c>
    </row>
    <row r="48" spans="1:6" ht="18" customHeight="1" x14ac:dyDescent="0.15">
      <c r="A48" s="16" t="s">
        <v>72</v>
      </c>
      <c r="B48" s="9" t="s">
        <v>3</v>
      </c>
      <c r="C48" s="10" t="s">
        <v>20</v>
      </c>
      <c r="D48" s="10" t="s">
        <v>13</v>
      </c>
      <c r="E48" s="12">
        <v>648</v>
      </c>
      <c r="F48" s="18">
        <f t="shared" si="1"/>
        <v>70988.399999999994</v>
      </c>
    </row>
    <row r="49" spans="1:6" ht="18" customHeight="1" x14ac:dyDescent="0.15">
      <c r="A49" s="16" t="s">
        <v>73</v>
      </c>
      <c r="B49" s="9" t="s">
        <v>3</v>
      </c>
      <c r="C49" s="10" t="s">
        <v>21</v>
      </c>
      <c r="D49" s="10" t="s">
        <v>13</v>
      </c>
      <c r="E49" s="12">
        <v>619</v>
      </c>
      <c r="F49" s="18">
        <f t="shared" si="1"/>
        <v>67811.45</v>
      </c>
    </row>
    <row r="50" spans="1:6" ht="18" customHeight="1" x14ac:dyDescent="0.15">
      <c r="A50" s="16" t="s">
        <v>74</v>
      </c>
      <c r="B50" s="9" t="s">
        <v>3</v>
      </c>
      <c r="C50" s="10" t="s">
        <v>22</v>
      </c>
      <c r="D50" s="10" t="s">
        <v>13</v>
      </c>
      <c r="E50" s="12">
        <v>509</v>
      </c>
      <c r="F50" s="18">
        <f t="shared" si="1"/>
        <v>55760.95</v>
      </c>
    </row>
    <row r="51" spans="1:6" ht="18" customHeight="1" x14ac:dyDescent="0.15">
      <c r="A51" s="16" t="s">
        <v>75</v>
      </c>
      <c r="B51" s="9" t="s">
        <v>3</v>
      </c>
      <c r="C51" s="10" t="s">
        <v>23</v>
      </c>
      <c r="D51" s="10" t="s">
        <v>13</v>
      </c>
      <c r="E51" s="12">
        <v>506</v>
      </c>
      <c r="F51" s="18">
        <f t="shared" si="1"/>
        <v>55432.3</v>
      </c>
    </row>
    <row r="52" spans="1:6" ht="18" customHeight="1" x14ac:dyDescent="0.15">
      <c r="A52" s="16" t="s">
        <v>76</v>
      </c>
      <c r="B52" s="9" t="s">
        <v>0</v>
      </c>
      <c r="C52" s="10" t="s">
        <v>20</v>
      </c>
      <c r="D52" s="10" t="s">
        <v>14</v>
      </c>
      <c r="E52" s="12">
        <v>597</v>
      </c>
      <c r="F52" s="18">
        <f t="shared" si="1"/>
        <v>104713.8</v>
      </c>
    </row>
    <row r="53" spans="1:6" ht="18" customHeight="1" x14ac:dyDescent="0.15">
      <c r="A53" s="16" t="s">
        <v>77</v>
      </c>
      <c r="B53" s="9" t="s">
        <v>0</v>
      </c>
      <c r="C53" s="10" t="s">
        <v>21</v>
      </c>
      <c r="D53" s="10" t="s">
        <v>14</v>
      </c>
      <c r="E53" s="12">
        <v>502</v>
      </c>
      <c r="F53" s="18">
        <f t="shared" si="1"/>
        <v>88050.8</v>
      </c>
    </row>
    <row r="54" spans="1:6" ht="18" customHeight="1" x14ac:dyDescent="0.15">
      <c r="A54" s="16" t="s">
        <v>78</v>
      </c>
      <c r="B54" s="9" t="s">
        <v>0</v>
      </c>
      <c r="C54" s="10" t="s">
        <v>22</v>
      </c>
      <c r="D54" s="10" t="s">
        <v>14</v>
      </c>
      <c r="E54" s="12">
        <v>682</v>
      </c>
      <c r="F54" s="18">
        <f t="shared" si="1"/>
        <v>119622.8</v>
      </c>
    </row>
    <row r="55" spans="1:6" ht="18" customHeight="1" x14ac:dyDescent="0.15">
      <c r="A55" s="16" t="s">
        <v>79</v>
      </c>
      <c r="B55" s="9" t="s">
        <v>0</v>
      </c>
      <c r="C55" s="10" t="s">
        <v>23</v>
      </c>
      <c r="D55" s="10" t="s">
        <v>14</v>
      </c>
      <c r="E55" s="12">
        <v>712</v>
      </c>
      <c r="F55" s="18">
        <f t="shared" si="1"/>
        <v>124884.8</v>
      </c>
    </row>
    <row r="56" spans="1:6" ht="18" customHeight="1" x14ac:dyDescent="0.15">
      <c r="A56" s="16" t="s">
        <v>80</v>
      </c>
      <c r="B56" s="9" t="s">
        <v>1</v>
      </c>
      <c r="C56" s="10" t="s">
        <v>20</v>
      </c>
      <c r="D56" s="10" t="s">
        <v>14</v>
      </c>
      <c r="E56" s="12">
        <v>754</v>
      </c>
      <c r="F56" s="18">
        <f t="shared" si="1"/>
        <v>132251.6</v>
      </c>
    </row>
    <row r="57" spans="1:6" ht="18" customHeight="1" x14ac:dyDescent="0.15">
      <c r="A57" s="16" t="s">
        <v>81</v>
      </c>
      <c r="B57" s="9" t="s">
        <v>1</v>
      </c>
      <c r="C57" s="10" t="s">
        <v>21</v>
      </c>
      <c r="D57" s="10" t="s">
        <v>14</v>
      </c>
      <c r="E57" s="12">
        <v>527</v>
      </c>
      <c r="F57" s="18">
        <f t="shared" si="1"/>
        <v>92435.8</v>
      </c>
    </row>
    <row r="58" spans="1:6" ht="18" customHeight="1" x14ac:dyDescent="0.15">
      <c r="A58" s="16" t="s">
        <v>82</v>
      </c>
      <c r="B58" s="9" t="s">
        <v>1</v>
      </c>
      <c r="C58" s="10" t="s">
        <v>22</v>
      </c>
      <c r="D58" s="10" t="s">
        <v>14</v>
      </c>
      <c r="E58" s="12">
        <v>768</v>
      </c>
      <c r="F58" s="18">
        <f t="shared" si="1"/>
        <v>134707.20000000001</v>
      </c>
    </row>
    <row r="59" spans="1:6" ht="18" customHeight="1" x14ac:dyDescent="0.15">
      <c r="A59" s="16" t="s">
        <v>83</v>
      </c>
      <c r="B59" s="9" t="s">
        <v>1</v>
      </c>
      <c r="C59" s="10" t="s">
        <v>23</v>
      </c>
      <c r="D59" s="10" t="s">
        <v>14</v>
      </c>
      <c r="E59" s="12">
        <v>798</v>
      </c>
      <c r="F59" s="18">
        <f t="shared" si="1"/>
        <v>139969.20000000001</v>
      </c>
    </row>
    <row r="60" spans="1:6" ht="18" customHeight="1" x14ac:dyDescent="0.15">
      <c r="A60" s="16" t="s">
        <v>84</v>
      </c>
      <c r="B60" s="9" t="s">
        <v>2</v>
      </c>
      <c r="C60" s="10" t="s">
        <v>20</v>
      </c>
      <c r="D60" s="10" t="s">
        <v>14</v>
      </c>
      <c r="E60" s="12">
        <v>686</v>
      </c>
      <c r="F60" s="18">
        <f t="shared" si="1"/>
        <v>120324.4</v>
      </c>
    </row>
    <row r="61" spans="1:6" ht="18" customHeight="1" x14ac:dyDescent="0.15">
      <c r="A61" s="16" t="s">
        <v>85</v>
      </c>
      <c r="B61" s="9" t="s">
        <v>2</v>
      </c>
      <c r="C61" s="10" t="s">
        <v>21</v>
      </c>
      <c r="D61" s="10" t="s">
        <v>14</v>
      </c>
      <c r="E61" s="12">
        <v>531</v>
      </c>
      <c r="F61" s="18">
        <f t="shared" si="1"/>
        <v>93137.4</v>
      </c>
    </row>
    <row r="62" spans="1:6" ht="18" customHeight="1" x14ac:dyDescent="0.15">
      <c r="A62" s="16" t="s">
        <v>86</v>
      </c>
      <c r="B62" s="9" t="s">
        <v>2</v>
      </c>
      <c r="C62" s="10" t="s">
        <v>22</v>
      </c>
      <c r="D62" s="10" t="s">
        <v>14</v>
      </c>
      <c r="E62" s="12">
        <v>581</v>
      </c>
      <c r="F62" s="18">
        <f t="shared" si="1"/>
        <v>101907.4</v>
      </c>
    </row>
    <row r="63" spans="1:6" ht="18" customHeight="1" x14ac:dyDescent="0.15">
      <c r="A63" s="16" t="s">
        <v>87</v>
      </c>
      <c r="B63" s="9" t="s">
        <v>2</v>
      </c>
      <c r="C63" s="10" t="s">
        <v>23</v>
      </c>
      <c r="D63" s="10" t="s">
        <v>14</v>
      </c>
      <c r="E63" s="12">
        <v>711</v>
      </c>
      <c r="F63" s="18">
        <f t="shared" si="1"/>
        <v>124709.4</v>
      </c>
    </row>
    <row r="64" spans="1:6" ht="18" customHeight="1" x14ac:dyDescent="0.15">
      <c r="A64" s="16" t="s">
        <v>88</v>
      </c>
      <c r="B64" s="9" t="s">
        <v>3</v>
      </c>
      <c r="C64" s="10" t="s">
        <v>20</v>
      </c>
      <c r="D64" s="10" t="s">
        <v>14</v>
      </c>
      <c r="E64" s="12">
        <v>674</v>
      </c>
      <c r="F64" s="18">
        <f t="shared" si="1"/>
        <v>118219.6</v>
      </c>
    </row>
    <row r="65" spans="1:6" ht="18" customHeight="1" x14ac:dyDescent="0.15">
      <c r="A65" s="16" t="s">
        <v>89</v>
      </c>
      <c r="B65" s="9" t="s">
        <v>3</v>
      </c>
      <c r="C65" s="10" t="s">
        <v>21</v>
      </c>
      <c r="D65" s="10" t="s">
        <v>14</v>
      </c>
      <c r="E65" s="12">
        <v>553</v>
      </c>
      <c r="F65" s="18">
        <f t="shared" si="1"/>
        <v>96996.2</v>
      </c>
    </row>
    <row r="66" spans="1:6" ht="18" customHeight="1" x14ac:dyDescent="0.15">
      <c r="A66" s="16" t="s">
        <v>90</v>
      </c>
      <c r="B66" s="9" t="s">
        <v>3</v>
      </c>
      <c r="C66" s="10" t="s">
        <v>22</v>
      </c>
      <c r="D66" s="10" t="s">
        <v>14</v>
      </c>
      <c r="E66" s="12">
        <v>650</v>
      </c>
      <c r="F66" s="18">
        <f t="shared" si="1"/>
        <v>114010</v>
      </c>
    </row>
    <row r="67" spans="1:6" ht="18" customHeight="1" x14ac:dyDescent="0.15">
      <c r="A67" s="16" t="s">
        <v>91</v>
      </c>
      <c r="B67" s="9" t="s">
        <v>3</v>
      </c>
      <c r="C67" s="10" t="s">
        <v>23</v>
      </c>
      <c r="D67" s="10" t="s">
        <v>14</v>
      </c>
      <c r="E67" s="12">
        <v>766</v>
      </c>
      <c r="F67" s="18">
        <f t="shared" si="1"/>
        <v>134356.4</v>
      </c>
    </row>
    <row r="68" spans="1:6" ht="18" customHeight="1" x14ac:dyDescent="0.15">
      <c r="A68" s="16" t="s">
        <v>92</v>
      </c>
      <c r="B68" s="9" t="s">
        <v>0</v>
      </c>
      <c r="C68" s="10" t="s">
        <v>20</v>
      </c>
      <c r="D68" s="10" t="s">
        <v>15</v>
      </c>
      <c r="E68" s="12">
        <v>403</v>
      </c>
      <c r="F68" s="18">
        <f t="shared" ref="F68:F83" si="2">VLOOKUP(D68,商品均价,2,0)*E68</f>
        <v>463639.41</v>
      </c>
    </row>
    <row r="69" spans="1:6" ht="18" customHeight="1" x14ac:dyDescent="0.15">
      <c r="A69" s="16" t="s">
        <v>93</v>
      </c>
      <c r="B69" s="9" t="s">
        <v>0</v>
      </c>
      <c r="C69" s="10" t="s">
        <v>21</v>
      </c>
      <c r="D69" s="10" t="s">
        <v>15</v>
      </c>
      <c r="E69" s="12">
        <v>503</v>
      </c>
      <c r="F69" s="18">
        <f t="shared" si="2"/>
        <v>578686.41</v>
      </c>
    </row>
    <row r="70" spans="1:6" ht="18" customHeight="1" x14ac:dyDescent="0.15">
      <c r="A70" s="16" t="s">
        <v>94</v>
      </c>
      <c r="B70" s="9" t="s">
        <v>0</v>
      </c>
      <c r="C70" s="10" t="s">
        <v>22</v>
      </c>
      <c r="D70" s="10" t="s">
        <v>15</v>
      </c>
      <c r="E70" s="12">
        <v>430</v>
      </c>
      <c r="F70" s="18">
        <f t="shared" si="2"/>
        <v>494702.1</v>
      </c>
    </row>
    <row r="71" spans="1:6" ht="18" customHeight="1" x14ac:dyDescent="0.15">
      <c r="A71" s="16" t="s">
        <v>95</v>
      </c>
      <c r="B71" s="9" t="s">
        <v>0</v>
      </c>
      <c r="C71" s="10" t="s">
        <v>23</v>
      </c>
      <c r="D71" s="10" t="s">
        <v>15</v>
      </c>
      <c r="E71" s="12">
        <v>485</v>
      </c>
      <c r="F71" s="18">
        <f t="shared" si="2"/>
        <v>557977.94999999995</v>
      </c>
    </row>
    <row r="72" spans="1:6" ht="18" customHeight="1" x14ac:dyDescent="0.15">
      <c r="A72" s="16" t="s">
        <v>96</v>
      </c>
      <c r="B72" s="9" t="s">
        <v>1</v>
      </c>
      <c r="C72" s="10" t="s">
        <v>20</v>
      </c>
      <c r="D72" s="10" t="s">
        <v>15</v>
      </c>
      <c r="E72" s="12">
        <v>597</v>
      </c>
      <c r="F72" s="18">
        <f t="shared" si="2"/>
        <v>686830.59</v>
      </c>
    </row>
    <row r="73" spans="1:6" ht="18" customHeight="1" x14ac:dyDescent="0.15">
      <c r="A73" s="16" t="s">
        <v>97</v>
      </c>
      <c r="B73" s="9" t="s">
        <v>1</v>
      </c>
      <c r="C73" s="10" t="s">
        <v>21</v>
      </c>
      <c r="D73" s="10" t="s">
        <v>15</v>
      </c>
      <c r="E73" s="12">
        <v>711</v>
      </c>
      <c r="F73" s="18">
        <f t="shared" si="2"/>
        <v>817984.17</v>
      </c>
    </row>
    <row r="74" spans="1:6" ht="18" customHeight="1" x14ac:dyDescent="0.15">
      <c r="A74" s="16" t="s">
        <v>98</v>
      </c>
      <c r="B74" s="9" t="s">
        <v>1</v>
      </c>
      <c r="C74" s="10" t="s">
        <v>22</v>
      </c>
      <c r="D74" s="10" t="s">
        <v>15</v>
      </c>
      <c r="E74" s="12">
        <v>885</v>
      </c>
      <c r="F74" s="18">
        <f t="shared" si="2"/>
        <v>1018165.95</v>
      </c>
    </row>
    <row r="75" spans="1:6" ht="18" customHeight="1" x14ac:dyDescent="0.15">
      <c r="A75" s="16" t="s">
        <v>99</v>
      </c>
      <c r="B75" s="9" t="s">
        <v>1</v>
      </c>
      <c r="C75" s="10" t="s">
        <v>23</v>
      </c>
      <c r="D75" s="10" t="s">
        <v>15</v>
      </c>
      <c r="E75" s="12">
        <v>690</v>
      </c>
      <c r="F75" s="18">
        <f t="shared" si="2"/>
        <v>793824.3</v>
      </c>
    </row>
    <row r="76" spans="1:6" ht="18" customHeight="1" x14ac:dyDescent="0.15">
      <c r="A76" s="16" t="s">
        <v>100</v>
      </c>
      <c r="B76" s="9" t="s">
        <v>2</v>
      </c>
      <c r="C76" s="10" t="s">
        <v>20</v>
      </c>
      <c r="D76" s="10" t="s">
        <v>15</v>
      </c>
      <c r="E76" s="12">
        <v>610</v>
      </c>
      <c r="F76" s="18">
        <f t="shared" si="2"/>
        <v>701786.7</v>
      </c>
    </row>
    <row r="77" spans="1:6" ht="18" customHeight="1" x14ac:dyDescent="0.15">
      <c r="A77" s="16" t="s">
        <v>101</v>
      </c>
      <c r="B77" s="9" t="s">
        <v>2</v>
      </c>
      <c r="C77" s="10" t="s">
        <v>21</v>
      </c>
      <c r="D77" s="10" t="s">
        <v>15</v>
      </c>
      <c r="E77" s="12">
        <v>828</v>
      </c>
      <c r="F77" s="18">
        <f t="shared" si="2"/>
        <v>952589.16</v>
      </c>
    </row>
    <row r="78" spans="1:6" ht="18" customHeight="1" x14ac:dyDescent="0.15">
      <c r="A78" s="16" t="s">
        <v>102</v>
      </c>
      <c r="B78" s="9" t="s">
        <v>2</v>
      </c>
      <c r="C78" s="10" t="s">
        <v>22</v>
      </c>
      <c r="D78" s="10" t="s">
        <v>15</v>
      </c>
      <c r="E78" s="12">
        <v>1048</v>
      </c>
      <c r="F78" s="18">
        <f t="shared" si="2"/>
        <v>1205692.56</v>
      </c>
    </row>
    <row r="79" spans="1:6" ht="18" customHeight="1" x14ac:dyDescent="0.15">
      <c r="A79" s="16" t="s">
        <v>103</v>
      </c>
      <c r="B79" s="9" t="s">
        <v>2</v>
      </c>
      <c r="C79" s="10" t="s">
        <v>23</v>
      </c>
      <c r="D79" s="10" t="s">
        <v>15</v>
      </c>
      <c r="E79" s="12">
        <v>797</v>
      </c>
      <c r="F79" s="18">
        <f t="shared" si="2"/>
        <v>916924.59</v>
      </c>
    </row>
    <row r="80" spans="1:6" ht="18" customHeight="1" x14ac:dyDescent="0.15">
      <c r="A80" s="16" t="s">
        <v>104</v>
      </c>
      <c r="B80" s="9" t="s">
        <v>3</v>
      </c>
      <c r="C80" s="10" t="s">
        <v>20</v>
      </c>
      <c r="D80" s="10" t="s">
        <v>15</v>
      </c>
      <c r="E80" s="12">
        <v>306</v>
      </c>
      <c r="F80" s="18">
        <f t="shared" si="2"/>
        <v>352043.82</v>
      </c>
    </row>
    <row r="81" spans="1:6" ht="18" customHeight="1" x14ac:dyDescent="0.15">
      <c r="A81" s="16" t="s">
        <v>105</v>
      </c>
      <c r="B81" s="9" t="s">
        <v>3</v>
      </c>
      <c r="C81" s="10" t="s">
        <v>21</v>
      </c>
      <c r="D81" s="10" t="s">
        <v>15</v>
      </c>
      <c r="E81" s="12">
        <v>424</v>
      </c>
      <c r="F81" s="18">
        <f t="shared" si="2"/>
        <v>487799.28</v>
      </c>
    </row>
    <row r="82" spans="1:6" ht="18" customHeight="1" x14ac:dyDescent="0.15">
      <c r="A82" s="16" t="s">
        <v>106</v>
      </c>
      <c r="B82" s="9" t="s">
        <v>3</v>
      </c>
      <c r="C82" s="10" t="s">
        <v>22</v>
      </c>
      <c r="D82" s="10" t="s">
        <v>15</v>
      </c>
      <c r="E82" s="12">
        <v>462</v>
      </c>
      <c r="F82" s="18">
        <f t="shared" si="2"/>
        <v>531517.14</v>
      </c>
    </row>
    <row r="83" spans="1:6" ht="18" customHeight="1" x14ac:dyDescent="0.15">
      <c r="A83" s="16" t="s">
        <v>107</v>
      </c>
      <c r="B83" s="9" t="s">
        <v>3</v>
      </c>
      <c r="C83" s="10" t="s">
        <v>23</v>
      </c>
      <c r="D83" s="10" t="s">
        <v>15</v>
      </c>
      <c r="E83" s="12">
        <v>477</v>
      </c>
      <c r="F83" s="18">
        <f t="shared" si="2"/>
        <v>548774.18999999994</v>
      </c>
    </row>
  </sheetData>
  <phoneticPr fontId="1" type="noConversion"/>
  <conditionalFormatting sqref="A3:F83">
    <cfRule type="expression" dxfId="13" priority="1">
      <formula>ISODD(ROW())</formula>
    </cfRule>
  </conditionalFormatting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2:C7"/>
  <sheetViews>
    <sheetView workbookViewId="0">
      <selection activeCell="B3" sqref="B3:C7"/>
    </sheetView>
  </sheetViews>
  <sheetFormatPr defaultRowHeight="13.5" x14ac:dyDescent="0.15"/>
  <cols>
    <col min="1" max="1" width="6.5" customWidth="1"/>
    <col min="2" max="2" width="10.5" bestFit="1" customWidth="1"/>
    <col min="3" max="3" width="21.125" customWidth="1"/>
    <col min="6" max="6" width="10.5" bestFit="1" customWidth="1"/>
  </cols>
  <sheetData>
    <row r="2" spans="2:3" ht="23.25" customHeight="1" thickBot="1" x14ac:dyDescent="0.2">
      <c r="B2" s="1" t="s">
        <v>17</v>
      </c>
      <c r="C2" s="2" t="s">
        <v>18</v>
      </c>
    </row>
    <row r="3" spans="2:3" ht="21" customHeight="1" thickTop="1" x14ac:dyDescent="0.15">
      <c r="B3" s="3" t="s">
        <v>9</v>
      </c>
      <c r="C3" s="4">
        <v>4552.3100000000004</v>
      </c>
    </row>
    <row r="4" spans="2:3" ht="21" customHeight="1" x14ac:dyDescent="0.15">
      <c r="B4" s="5" t="s">
        <v>4</v>
      </c>
      <c r="C4" s="6">
        <v>3861.23</v>
      </c>
    </row>
    <row r="5" spans="2:3" ht="21" customHeight="1" x14ac:dyDescent="0.15">
      <c r="B5" s="7" t="s">
        <v>5</v>
      </c>
      <c r="C5" s="8">
        <v>109.55</v>
      </c>
    </row>
    <row r="6" spans="2:3" ht="21" customHeight="1" x14ac:dyDescent="0.15">
      <c r="B6" s="5" t="s">
        <v>6</v>
      </c>
      <c r="C6" s="6">
        <v>175.4</v>
      </c>
    </row>
    <row r="7" spans="2:3" ht="21" customHeight="1" x14ac:dyDescent="0.15">
      <c r="B7" s="7" t="s">
        <v>7</v>
      </c>
      <c r="C7" s="8">
        <v>1150.47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showGridLines="0" tabSelected="1" workbookViewId="0">
      <selection activeCell="C14" sqref="C14"/>
    </sheetView>
  </sheetViews>
  <sheetFormatPr defaultRowHeight="13.5" x14ac:dyDescent="0.15"/>
  <cols>
    <col min="1" max="1" width="9" customWidth="1"/>
    <col min="2" max="2" width="9.125" customWidth="1"/>
    <col min="3" max="3" width="16.5" customWidth="1"/>
    <col min="4" max="4" width="11" customWidth="1"/>
    <col min="5" max="5" width="11.625" customWidth="1"/>
    <col min="6" max="6" width="12.75" customWidth="1"/>
    <col min="7" max="7" width="13.25" customWidth="1"/>
    <col min="8" max="11" width="14.5" bestFit="1" customWidth="1"/>
    <col min="12" max="12" width="12" customWidth="1"/>
    <col min="13" max="13" width="13.25" bestFit="1" customWidth="1"/>
    <col min="14" max="18" width="14.5" bestFit="1" customWidth="1"/>
    <col min="19" max="19" width="13.25" customWidth="1"/>
    <col min="20" max="20" width="14.5" bestFit="1" customWidth="1"/>
    <col min="21" max="21" width="13.25" customWidth="1"/>
    <col min="22" max="23" width="14.5" bestFit="1" customWidth="1"/>
    <col min="24" max="25" width="13.25" bestFit="1" customWidth="1"/>
    <col min="26" max="28" width="14.5" bestFit="1" customWidth="1"/>
    <col min="29" max="29" width="13.25" bestFit="1" customWidth="1"/>
    <col min="30" max="32" width="14.5" bestFit="1" customWidth="1"/>
    <col min="33" max="33" width="13.25" bestFit="1" customWidth="1"/>
    <col min="34" max="36" width="14.5" bestFit="1" customWidth="1"/>
    <col min="37" max="37" width="13.25" bestFit="1" customWidth="1"/>
    <col min="38" max="38" width="14.5" bestFit="1" customWidth="1"/>
    <col min="39" max="39" width="13.25" customWidth="1"/>
    <col min="40" max="40" width="13.25" bestFit="1" customWidth="1"/>
    <col min="41" max="43" width="13.25" customWidth="1"/>
    <col min="44" max="44" width="13.25" bestFit="1" customWidth="1"/>
    <col min="45" max="47" width="13.25" customWidth="1"/>
    <col min="48" max="48" width="14.5" bestFit="1" customWidth="1"/>
    <col min="49" max="49" width="13.25" customWidth="1"/>
    <col min="50" max="51" width="13.25" bestFit="1" customWidth="1"/>
    <col min="52" max="52" width="13.25" customWidth="1"/>
    <col min="53" max="54" width="13.25" bestFit="1" customWidth="1"/>
    <col min="55" max="55" width="13.25" customWidth="1"/>
    <col min="56" max="57" width="13.25" bestFit="1" customWidth="1"/>
    <col min="58" max="60" width="14.5" bestFit="1" customWidth="1"/>
    <col min="61" max="61" width="13.25" customWidth="1"/>
    <col min="62" max="62" width="10.75" customWidth="1"/>
    <col min="63" max="63" width="13.25" customWidth="1"/>
    <col min="64" max="64" width="14.5" bestFit="1" customWidth="1"/>
    <col min="65" max="65" width="13.25" customWidth="1"/>
    <col min="66" max="66" width="13.25" bestFit="1" customWidth="1"/>
    <col min="67" max="67" width="12" customWidth="1"/>
    <col min="68" max="77" width="14.5" bestFit="1" customWidth="1"/>
    <col min="78" max="78" width="13.25" bestFit="1" customWidth="1"/>
    <col min="79" max="79" width="12" bestFit="1" customWidth="1"/>
    <col min="80" max="84" width="14.5" bestFit="1" customWidth="1"/>
  </cols>
  <sheetData>
    <row r="1" spans="1:7" ht="16.5" x14ac:dyDescent="0.15">
      <c r="F1" s="14" t="s">
        <v>26</v>
      </c>
      <c r="G1" s="15" t="str">
        <f>$B$3&amp;"销量占比"</f>
        <v>打印机销量占比</v>
      </c>
    </row>
    <row r="3" spans="1:7" x14ac:dyDescent="0.15">
      <c r="A3" s="19" t="s">
        <v>108</v>
      </c>
      <c r="B3" t="s">
        <v>15</v>
      </c>
    </row>
    <row r="5" spans="1:7" x14ac:dyDescent="0.15">
      <c r="A5" s="19" t="s">
        <v>117</v>
      </c>
      <c r="B5" t="s">
        <v>114</v>
      </c>
      <c r="C5" t="s">
        <v>115</v>
      </c>
      <c r="D5" t="s">
        <v>116</v>
      </c>
    </row>
    <row r="6" spans="1:7" x14ac:dyDescent="0.15">
      <c r="A6" s="20" t="s">
        <v>109</v>
      </c>
      <c r="B6" s="21">
        <v>3283</v>
      </c>
      <c r="C6" s="27">
        <v>3776993</v>
      </c>
      <c r="D6" s="21">
        <v>1</v>
      </c>
    </row>
    <row r="7" spans="1:7" x14ac:dyDescent="0.15">
      <c r="A7" s="20" t="s">
        <v>110</v>
      </c>
      <c r="B7" s="22">
        <v>1821</v>
      </c>
      <c r="C7" s="27">
        <v>2095005.9</v>
      </c>
      <c r="D7" s="21">
        <v>3</v>
      </c>
    </row>
    <row r="8" spans="1:7" x14ac:dyDescent="0.15">
      <c r="A8" s="20" t="s">
        <v>111</v>
      </c>
      <c r="B8" s="21">
        <v>1669</v>
      </c>
      <c r="C8" s="27">
        <v>1920134.4</v>
      </c>
      <c r="D8" s="21">
        <v>4</v>
      </c>
    </row>
    <row r="9" spans="1:7" x14ac:dyDescent="0.15">
      <c r="A9" s="20" t="s">
        <v>112</v>
      </c>
      <c r="B9" s="21">
        <v>2883</v>
      </c>
      <c r="C9" s="27">
        <v>3316805</v>
      </c>
      <c r="D9" s="21">
        <v>2</v>
      </c>
    </row>
    <row r="10" spans="1:7" x14ac:dyDescent="0.15">
      <c r="A10" s="20" t="s">
        <v>113</v>
      </c>
      <c r="B10" s="21">
        <v>9656</v>
      </c>
      <c r="C10" s="27">
        <v>11108938.300000001</v>
      </c>
      <c r="D10" s="21"/>
    </row>
  </sheetData>
  <phoneticPr fontId="1" type="noConversion"/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销售情况</vt:lpstr>
      <vt:lpstr>平均单价</vt:lpstr>
      <vt:lpstr>透视分析</vt:lpstr>
      <vt:lpstr>商品均价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jiyan</dc:creator>
  <cp:lastModifiedBy>Microsoft</cp:lastModifiedBy>
  <dcterms:created xsi:type="dcterms:W3CDTF">2013-04-07T04:00:31Z</dcterms:created>
  <dcterms:modified xsi:type="dcterms:W3CDTF">2021-05-31T02:48:50Z</dcterms:modified>
</cp:coreProperties>
</file>