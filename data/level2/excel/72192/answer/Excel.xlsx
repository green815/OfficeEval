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-105" yWindow="-105" windowWidth="19425" windowHeight="10425"/>
  </bookViews>
  <sheets>
    <sheet name="销售情况报告" sheetId="8" r:id="rId1"/>
    <sheet name="销售资料" sheetId="1" r:id="rId2"/>
    <sheet name="销往国家" sheetId="2" r:id="rId3"/>
    <sheet name="产品信息" sheetId="4" r:id="rId4"/>
    <sheet name="地区代码" sheetId="5" r:id="rId5"/>
    <sheet name="销售汇总" sheetId="6" r:id="rId6"/>
  </sheets>
  <definedNames>
    <definedName name="_xlnm._FilterDatabase" localSheetId="1" hidden="1">销售资料!$A$1:$J$117</definedName>
    <definedName name="北美洲">销往国家!$B$2:$B$4</definedName>
    <definedName name="服饰配件">销售汇总!$C$3:$C$6</definedName>
    <definedName name="各类别销售汇总">INDIRECT(销售汇总!$B$8)</definedName>
    <definedName name="南美洲">销往国家!$C$2:$C$3</definedName>
    <definedName name="欧洲">销往国家!$D$2:$D$7</definedName>
    <definedName name="日用品">销售汇总!$D$3:$D$6</definedName>
    <definedName name="销往地区">销往国家!$A$2:$A$5</definedName>
    <definedName name="亚洲">销往国家!$E$2:$E$5</definedName>
    <definedName name="自行车款">销售汇总!$E$3:$E$6</definedName>
    <definedName name="自行车配件">销售汇总!$F$3:$F$6</definedName>
  </definedNames>
  <calcPr calcId="162913"/>
</workbook>
</file>

<file path=xl/calcChain.xml><?xml version="1.0" encoding="utf-8"?>
<calcChain xmlns="http://schemas.openxmlformats.org/spreadsheetml/2006/main">
  <c r="C4" i="6" l="1"/>
  <c r="D4" i="6"/>
  <c r="E4" i="6"/>
  <c r="F4" i="6"/>
  <c r="C5" i="6"/>
  <c r="D5" i="6"/>
  <c r="E5" i="6"/>
  <c r="F5" i="6"/>
  <c r="C6" i="6"/>
  <c r="D6" i="6"/>
  <c r="E6" i="6"/>
  <c r="F6" i="6"/>
  <c r="D3" i="6"/>
  <c r="E3" i="6"/>
  <c r="F3" i="6"/>
  <c r="C3" i="6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2" i="1"/>
  <c r="X2" i="6" a="1"/>
  <c r="X2" i="6" l="1"/>
  <c r="X5" i="6"/>
  <c r="X4" i="6"/>
  <c r="X3" i="6"/>
</calcChain>
</file>

<file path=xl/sharedStrings.xml><?xml version="1.0" encoding="utf-8"?>
<sst xmlns="http://schemas.openxmlformats.org/spreadsheetml/2006/main" count="693" uniqueCount="154">
  <si>
    <t>标识符</t>
    <phoneticPr fontId="3" type="noConversion"/>
  </si>
  <si>
    <t>日期</t>
  </si>
  <si>
    <t>客户编号</t>
    <phoneticPr fontId="3" type="noConversion"/>
  </si>
  <si>
    <t>销往地区</t>
    <phoneticPr fontId="3" type="noConversion"/>
  </si>
  <si>
    <t>销往国家</t>
    <phoneticPr fontId="3" type="noConversion"/>
  </si>
  <si>
    <t>商品类别</t>
    <phoneticPr fontId="3" type="noConversion"/>
  </si>
  <si>
    <t>商品名称</t>
    <phoneticPr fontId="3" type="noConversion"/>
  </si>
  <si>
    <t>产品价格</t>
    <phoneticPr fontId="3" type="noConversion"/>
  </si>
  <si>
    <t>订购数量</t>
    <phoneticPr fontId="3" type="noConversion"/>
  </si>
  <si>
    <t>订购金额</t>
    <phoneticPr fontId="3" type="noConversion"/>
  </si>
  <si>
    <t>北美洲</t>
  </si>
  <si>
    <t>美国</t>
    <phoneticPr fontId="3" type="noConversion"/>
  </si>
  <si>
    <t>服饰配件</t>
    <phoneticPr fontId="3" type="noConversion"/>
  </si>
  <si>
    <t>立体车长裤</t>
    <phoneticPr fontId="3" type="noConversion"/>
  </si>
  <si>
    <t>欧洲</t>
    <phoneticPr fontId="3" type="noConversion"/>
  </si>
  <si>
    <t>德国</t>
    <phoneticPr fontId="3" type="noConversion"/>
  </si>
  <si>
    <t>自行车配件</t>
    <phoneticPr fontId="3" type="noConversion"/>
  </si>
  <si>
    <t>后视镜</t>
    <phoneticPr fontId="3" type="noConversion"/>
  </si>
  <si>
    <t>荷兰</t>
    <phoneticPr fontId="3" type="noConversion"/>
  </si>
  <si>
    <t>自行车款</t>
    <phoneticPr fontId="3" type="noConversion"/>
  </si>
  <si>
    <t>儿童车</t>
    <phoneticPr fontId="3" type="noConversion"/>
  </si>
  <si>
    <t>气网型袖套</t>
    <phoneticPr fontId="3" type="noConversion"/>
  </si>
  <si>
    <t>加拿大</t>
  </si>
  <si>
    <t>马鞍包</t>
    <phoneticPr fontId="3" type="noConversion"/>
  </si>
  <si>
    <t>亚洲</t>
    <phoneticPr fontId="3" type="noConversion"/>
  </si>
  <si>
    <t>日本</t>
  </si>
  <si>
    <t>自行车车衣</t>
    <phoneticPr fontId="3" type="noConversion"/>
  </si>
  <si>
    <t>马来西亚</t>
  </si>
  <si>
    <t>日用品</t>
  </si>
  <si>
    <t>背包</t>
  </si>
  <si>
    <t>法国</t>
    <phoneticPr fontId="3" type="noConversion"/>
  </si>
  <si>
    <t>多功能短裤</t>
    <phoneticPr fontId="3" type="noConversion"/>
  </si>
  <si>
    <t>头巾</t>
    <phoneticPr fontId="3" type="noConversion"/>
  </si>
  <si>
    <t>南美洲</t>
  </si>
  <si>
    <t>阿根廷</t>
  </si>
  <si>
    <t>淑女车</t>
    <phoneticPr fontId="3" type="noConversion"/>
  </si>
  <si>
    <t>公路车</t>
    <phoneticPr fontId="3" type="noConversion"/>
  </si>
  <si>
    <t>西班牙</t>
  </si>
  <si>
    <t>无变速小折</t>
    <phoneticPr fontId="3" type="noConversion"/>
  </si>
  <si>
    <t>意大利</t>
    <phoneticPr fontId="3" type="noConversion"/>
  </si>
  <si>
    <t>运动型水壶</t>
    <phoneticPr fontId="3" type="noConversion"/>
  </si>
  <si>
    <t>运动型眼镜</t>
    <phoneticPr fontId="3" type="noConversion"/>
  </si>
  <si>
    <t>韩国</t>
    <phoneticPr fontId="3" type="noConversion"/>
  </si>
  <si>
    <t>变速小折</t>
    <phoneticPr fontId="3" type="noConversion"/>
  </si>
  <si>
    <t>打气筒</t>
    <phoneticPr fontId="3" type="noConversion"/>
  </si>
  <si>
    <t>护腕</t>
    <phoneticPr fontId="3" type="noConversion"/>
  </si>
  <si>
    <t>自行车坐垫包</t>
    <phoneticPr fontId="3" type="noConversion"/>
  </si>
  <si>
    <t>英国</t>
    <phoneticPr fontId="3" type="noConversion"/>
  </si>
  <si>
    <t>安全帽</t>
  </si>
  <si>
    <t>墨西哥</t>
  </si>
  <si>
    <t>车头灯</t>
    <phoneticPr fontId="3" type="noConversion"/>
  </si>
  <si>
    <t>携车袋</t>
    <phoneticPr fontId="3" type="noConversion"/>
  </si>
  <si>
    <t>双人协力车</t>
    <phoneticPr fontId="3" type="noConversion"/>
  </si>
  <si>
    <t>立体车短裤</t>
    <phoneticPr fontId="3" type="noConversion"/>
  </si>
  <si>
    <t>车锁</t>
    <phoneticPr fontId="3" type="noConversion"/>
  </si>
  <si>
    <t>加拿大</t>
    <phoneticPr fontId="3" type="noConversion"/>
  </si>
  <si>
    <t>巴西</t>
  </si>
  <si>
    <t>登山车</t>
    <phoneticPr fontId="3" type="noConversion"/>
  </si>
  <si>
    <t>新加坡</t>
  </si>
  <si>
    <t>销往地区</t>
    <phoneticPr fontId="2" type="noConversion"/>
  </si>
  <si>
    <t>北美洲</t>
    <phoneticPr fontId="2" type="noConversion"/>
  </si>
  <si>
    <t>南美洲</t>
    <phoneticPr fontId="2" type="noConversion"/>
  </si>
  <si>
    <t>欧洲</t>
    <phoneticPr fontId="2" type="noConversion"/>
  </si>
  <si>
    <t>亚洲</t>
    <phoneticPr fontId="2" type="noConversion"/>
  </si>
  <si>
    <t>韩国</t>
  </si>
  <si>
    <t>美国</t>
  </si>
  <si>
    <t>德国</t>
  </si>
  <si>
    <t>欧洲</t>
  </si>
  <si>
    <t>法国</t>
  </si>
  <si>
    <t>亚洲</t>
  </si>
  <si>
    <t>荷兰</t>
  </si>
  <si>
    <t>马来西亚</t>
    <phoneticPr fontId="2" type="noConversion"/>
  </si>
  <si>
    <t>意大利</t>
  </si>
  <si>
    <t>英国</t>
  </si>
  <si>
    <t>商品类别</t>
  </si>
  <si>
    <t>商品名称</t>
  </si>
  <si>
    <t>服饰配件</t>
  </si>
  <si>
    <t>立体车长裤</t>
  </si>
  <si>
    <t>气网型袖套</t>
  </si>
  <si>
    <t>自行车车衣</t>
  </si>
  <si>
    <t>多功能短裤</t>
  </si>
  <si>
    <t>头巾</t>
  </si>
  <si>
    <t>立体车短裤</t>
  </si>
  <si>
    <t>运动型水壶</t>
  </si>
  <si>
    <t>运动型眼镜</t>
  </si>
  <si>
    <t>护腕</t>
  </si>
  <si>
    <t>自行车款</t>
  </si>
  <si>
    <t>儿童车</t>
  </si>
  <si>
    <t>淑女车</t>
  </si>
  <si>
    <t>公路车</t>
  </si>
  <si>
    <t>无变速小折</t>
  </si>
  <si>
    <t>变速小折</t>
  </si>
  <si>
    <t>双人协力车</t>
  </si>
  <si>
    <t>登山车</t>
  </si>
  <si>
    <t>自行车配件</t>
  </si>
  <si>
    <t>后视镜</t>
  </si>
  <si>
    <t>马鞍包</t>
  </si>
  <si>
    <t>打气筒</t>
  </si>
  <si>
    <t>自行车坐垫包</t>
  </si>
  <si>
    <t>车头灯</t>
  </si>
  <si>
    <t>携车袋</t>
  </si>
  <si>
    <t>车锁</t>
  </si>
  <si>
    <t>产品价格</t>
  </si>
  <si>
    <t>地区代码</t>
    <phoneticPr fontId="2" type="noConversion"/>
  </si>
  <si>
    <t>地区</t>
  </si>
  <si>
    <t>AS</t>
    <phoneticPr fontId="2" type="noConversion"/>
  </si>
  <si>
    <t>EU</t>
    <phoneticPr fontId="2" type="noConversion"/>
  </si>
  <si>
    <t>NA</t>
    <phoneticPr fontId="2" type="noConversion"/>
  </si>
  <si>
    <t>SA</t>
    <phoneticPr fontId="2" type="noConversion"/>
  </si>
  <si>
    <t>产品类别</t>
    <phoneticPr fontId="2" type="noConversion"/>
  </si>
  <si>
    <t>NA102</t>
  </si>
  <si>
    <t>EU127</t>
  </si>
  <si>
    <t>NA115</t>
  </si>
  <si>
    <t>NA117</t>
  </si>
  <si>
    <t>AS145</t>
  </si>
  <si>
    <t>EU132</t>
  </si>
  <si>
    <t>NA114</t>
  </si>
  <si>
    <t>AS137</t>
  </si>
  <si>
    <t>NA120</t>
  </si>
  <si>
    <t>SA124</t>
  </si>
  <si>
    <t>SA123</t>
  </si>
  <si>
    <t>AS140</t>
  </si>
  <si>
    <t>EU122</t>
  </si>
  <si>
    <t>EU128</t>
  </si>
  <si>
    <t>AS139</t>
  </si>
  <si>
    <t>SA121</t>
  </si>
  <si>
    <t>EU134</t>
  </si>
  <si>
    <t>AS138</t>
  </si>
  <si>
    <t>EU126</t>
  </si>
  <si>
    <t>AS144</t>
  </si>
  <si>
    <t>NA119</t>
  </si>
  <si>
    <t>AS141</t>
  </si>
  <si>
    <t>AS143</t>
  </si>
  <si>
    <t>NA110</t>
  </si>
  <si>
    <t>EU136</t>
  </si>
  <si>
    <t>NA116</t>
  </si>
  <si>
    <t>NA109</t>
  </si>
  <si>
    <t>SA125</t>
  </si>
  <si>
    <t>NA108</t>
  </si>
  <si>
    <t>NA113</t>
  </si>
  <si>
    <t>EU129</t>
  </si>
  <si>
    <t>EU133</t>
  </si>
  <si>
    <t>AS142</t>
  </si>
  <si>
    <t>EU124</t>
  </si>
  <si>
    <t>NA105</t>
  </si>
  <si>
    <t>NA118</t>
  </si>
  <si>
    <t>EU130</t>
  </si>
  <si>
    <t>NA103</t>
  </si>
  <si>
    <t>SA122</t>
  </si>
  <si>
    <t>NA112</t>
  </si>
  <si>
    <t>EU121</t>
  </si>
  <si>
    <t>EU135</t>
  </si>
  <si>
    <t>NA104</t>
  </si>
  <si>
    <t>EU123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</si>
</sst>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4" formatCode="\$#,##0_);[Red]\(\$#,##0\)"/>
    <numFmt numFmtId="176" formatCode="&quot;$&quot;#,##0_);[Red]\(&quot;$&quot;#,##0\)"/>
    <numFmt numFmtId="178" formatCode="mmmm\ d\,yyyy"/>
    <numFmt numFmtId="179" formatCode="\$#,##0;\-\$#,##0"/>
  </numFmts>
  <fonts count="7" x14ac:knownFonts="1">
    <font>
      <sz val="11"/>
      <color theme="1"/>
      <name val="宋体"/>
      <family val="2"/>
      <scheme val="minor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6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宋体"/>
      <family val="2"/>
      <scheme val="minor"/>
    </font>
    <font>
      <sz val="11"/>
      <color theme="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76" fontId="4" fillId="0" borderId="4" xfId="0" applyNumberFormat="1" applyFont="1" applyBorder="1" applyAlignment="1">
      <alignment vertical="center"/>
    </xf>
    <xf numFmtId="0" fontId="4" fillId="0" borderId="4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7" xfId="0" applyNumberFormat="1" applyFont="1" applyBorder="1" applyAlignment="1">
      <alignment vertical="center"/>
    </xf>
    <xf numFmtId="49" fontId="4" fillId="0" borderId="0" xfId="0" applyNumberFormat="1" applyFont="1"/>
    <xf numFmtId="0" fontId="4" fillId="0" borderId="0" xfId="0" applyNumberFormat="1" applyFont="1"/>
    <xf numFmtId="0" fontId="5" fillId="2" borderId="4" xfId="0" applyFont="1" applyFill="1" applyBorder="1"/>
    <xf numFmtId="0" fontId="5" fillId="2" borderId="8" xfId="0" applyFont="1" applyFill="1" applyBorder="1"/>
    <xf numFmtId="0" fontId="0" fillId="0" borderId="4" xfId="0" applyFont="1" applyFill="1" applyBorder="1"/>
    <xf numFmtId="0" fontId="0" fillId="0" borderId="8" xfId="0" applyFont="1" applyFill="1" applyBorder="1"/>
    <xf numFmtId="0" fontId="0" fillId="0" borderId="5" xfId="0" applyFont="1" applyFill="1" applyBorder="1"/>
    <xf numFmtId="0" fontId="0" fillId="0" borderId="4" xfId="0" applyBorder="1"/>
    <xf numFmtId="0" fontId="0" fillId="0" borderId="8" xfId="0" applyFont="1" applyBorder="1"/>
    <xf numFmtId="0" fontId="5" fillId="2" borderId="5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7" xfId="0" applyFont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/>
    <xf numFmtId="24" fontId="0" fillId="0" borderId="8" xfId="0" applyNumberFormat="1" applyFill="1" applyBorder="1"/>
    <xf numFmtId="0" fontId="6" fillId="0" borderId="0" xfId="0" applyFont="1"/>
    <xf numFmtId="0" fontId="0" fillId="3" borderId="8" xfId="0" applyFill="1" applyBorder="1" applyAlignment="1">
      <alignment horizontal="center" vertical="center"/>
    </xf>
    <xf numFmtId="178" fontId="4" fillId="0" borderId="4" xfId="0" applyNumberFormat="1" applyFont="1" applyBorder="1" applyAlignment="1">
      <alignment horizontal="right" vertical="center"/>
    </xf>
    <xf numFmtId="178" fontId="4" fillId="0" borderId="7" xfId="0" applyNumberFormat="1" applyFont="1" applyBorder="1" applyAlignment="1">
      <alignment horizontal="right" vertical="center"/>
    </xf>
    <xf numFmtId="179" fontId="4" fillId="0" borderId="5" xfId="0" applyNumberFormat="1" applyFont="1" applyBorder="1" applyAlignment="1">
      <alignment horizontal="right" vertical="center"/>
    </xf>
    <xf numFmtId="0" fontId="0" fillId="3" borderId="5" xfId="0" applyFill="1" applyBorder="1" applyAlignment="1">
      <alignment horizontal="center" vertical="center" textRotation="255"/>
    </xf>
    <xf numFmtId="0" fontId="0" fillId="3" borderId="10" xfId="0" applyFill="1" applyBorder="1" applyAlignment="1">
      <alignment horizontal="center" vertical="center" textRotation="255"/>
    </xf>
    <xf numFmtId="0" fontId="0" fillId="3" borderId="9" xfId="0" applyFill="1" applyBorder="1" applyAlignment="1">
      <alignment horizontal="center" vertical="center" textRotation="255"/>
    </xf>
  </cellXfs>
  <cellStyles count="1">
    <cellStyle name="常规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销售汇总!$B$8</c:f>
              <c:strCache>
                <c:ptCount val="1"/>
                <c:pt idx="0">
                  <c:v>自行车配件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销售汇总!$B$3:$B$6</c:f>
              <c:strCache>
                <c:ptCount val="4"/>
                <c:pt idx="0">
                  <c:v>北美洲</c:v>
                </c:pt>
                <c:pt idx="1">
                  <c:v>南美洲</c:v>
                </c:pt>
                <c:pt idx="2">
                  <c:v>欧洲</c:v>
                </c:pt>
                <c:pt idx="3">
                  <c:v>亚洲</c:v>
                </c:pt>
              </c:strCache>
            </c:strRef>
          </c:cat>
          <c:val>
            <c:numRef>
              <c:f>[0]!各类别销售汇总</c:f>
              <c:numCache>
                <c:formatCode>\$#,##0_);[Red]\(\$#,##0\)</c:formatCode>
                <c:ptCount val="4"/>
                <c:pt idx="0">
                  <c:v>202118</c:v>
                </c:pt>
                <c:pt idx="1">
                  <c:v>28399</c:v>
                </c:pt>
                <c:pt idx="2">
                  <c:v>184449</c:v>
                </c:pt>
                <c:pt idx="3">
                  <c:v>340170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3-4754-AF39-A377463B8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480944"/>
        <c:axId val="468481272"/>
      </c:barChart>
      <c:catAx>
        <c:axId val="4684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8481272"/>
        <c:crosses val="autoZero"/>
        <c:auto val="1"/>
        <c:lblAlgn val="ctr"/>
        <c:lblOffset val="100"/>
        <c:noMultiLvlLbl val="0"/>
      </c:catAx>
      <c:valAx>
        <c:axId val="468481272"/>
        <c:scaling>
          <c:orientation val="minMax"/>
        </c:scaling>
        <c:delete val="0"/>
        <c:axPos val="l"/>
        <c:numFmt formatCode="\$#,##0_);[Red]\(\$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8480944"/>
        <c:crosses val="autoZero"/>
        <c:crossBetween val="between"/>
        <c:majorUnit val="3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&#20135;&#21697;&#20449;&#24687;!A2"/><Relationship Id="rId2" Type="http://schemas.openxmlformats.org/officeDocument/2006/relationships/hyperlink" Target="#&#38144;&#24448;&#22269;&#23478;!A2"/><Relationship Id="rId1" Type="http://schemas.openxmlformats.org/officeDocument/2006/relationships/hyperlink" Target="#&#38144;&#21806;&#36164;&#26009;!A2"/><Relationship Id="rId5" Type="http://schemas.openxmlformats.org/officeDocument/2006/relationships/hyperlink" Target="#&#38144;&#21806;&#27719;&#24635;!A2"/><Relationship Id="rId4" Type="http://schemas.openxmlformats.org/officeDocument/2006/relationships/hyperlink" Target="#&#22320;&#21306;&#20195;&#30721;!A2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F031D8C-64F6-4AF6-92FF-6C145B72BA55}" type="doc">
      <dgm:prSet loTypeId="urn:microsoft.com/office/officeart/2005/8/layout/hList3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CN" altLang="en-US"/>
        </a:p>
      </dgm:t>
    </dgm:pt>
    <dgm:pt modelId="{15814978-6BE0-4132-9CED-80889C1C5FBC}">
      <dgm:prSet phldrT="[文本]"/>
      <dgm:spPr/>
      <dgm:t>
        <a:bodyPr/>
        <a:lstStyle/>
        <a:p>
          <a:r>
            <a:rPr lang="zh-CN" altLang="en-US"/>
            <a:t>国外销售情况报告</a:t>
          </a:r>
        </a:p>
      </dgm:t>
    </dgm:pt>
    <dgm:pt modelId="{5BAC70D8-2953-4C3B-8CF6-F09954868764}" type="parTrans" cxnId="{6F110DAA-A88C-461C-A8B4-12A3A44EE034}">
      <dgm:prSet/>
      <dgm:spPr/>
      <dgm:t>
        <a:bodyPr/>
        <a:lstStyle/>
        <a:p>
          <a:endParaRPr lang="zh-CN" altLang="en-US"/>
        </a:p>
      </dgm:t>
    </dgm:pt>
    <dgm:pt modelId="{499E804F-9265-459F-A70C-567B5E43CCCE}" type="sibTrans" cxnId="{6F110DAA-A88C-461C-A8B4-12A3A44EE034}">
      <dgm:prSet/>
      <dgm:spPr/>
      <dgm:t>
        <a:bodyPr/>
        <a:lstStyle/>
        <a:p>
          <a:endParaRPr lang="zh-CN" altLang="en-US"/>
        </a:p>
      </dgm:t>
    </dgm:pt>
    <dgm:pt modelId="{0BEBD665-B127-4EA1-91F8-5BD09FC7BDE4}">
      <dgm:prSet phldrT="[文本]"/>
      <dgm:spPr/>
      <dgm:t>
        <a:bodyPr/>
        <a:lstStyle/>
        <a:p>
          <a:r>
            <a:rPr lang="zh-CN" altLang="en-US"/>
            <a:t>销售资料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D1C0D7EE-08E5-45A5-ACFA-8BD89D2C4C51}" type="parTrans" cxnId="{FDE84E66-3C66-4531-8261-4A24EA17E14C}">
      <dgm:prSet/>
      <dgm:spPr/>
      <dgm:t>
        <a:bodyPr/>
        <a:lstStyle/>
        <a:p>
          <a:endParaRPr lang="zh-CN" altLang="en-US"/>
        </a:p>
      </dgm:t>
    </dgm:pt>
    <dgm:pt modelId="{6872AA93-788A-492E-B33C-E550FD593FC6}" type="sibTrans" cxnId="{FDE84E66-3C66-4531-8261-4A24EA17E14C}">
      <dgm:prSet/>
      <dgm:spPr/>
      <dgm:t>
        <a:bodyPr/>
        <a:lstStyle/>
        <a:p>
          <a:endParaRPr lang="zh-CN" altLang="en-US"/>
        </a:p>
      </dgm:t>
    </dgm:pt>
    <dgm:pt modelId="{9BCFDEFB-F4F4-4695-9428-F446497FBCC7}">
      <dgm:prSet phldrT="[文本]"/>
      <dgm:spPr/>
      <dgm:t>
        <a:bodyPr/>
        <a:lstStyle/>
        <a:p>
          <a:r>
            <a:rPr lang="zh-CN" altLang="en-US"/>
            <a:t>销往国家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FEFCADB4-D9FB-4745-9A5B-2F3955FDA4A2}" type="parTrans" cxnId="{DA75C304-664E-4A3E-BCEA-B7C3CCDC5C09}">
      <dgm:prSet/>
      <dgm:spPr/>
      <dgm:t>
        <a:bodyPr/>
        <a:lstStyle/>
        <a:p>
          <a:endParaRPr lang="zh-CN" altLang="en-US"/>
        </a:p>
      </dgm:t>
    </dgm:pt>
    <dgm:pt modelId="{1A34BAF4-E206-44F3-9551-366A2BFB75CD}" type="sibTrans" cxnId="{DA75C304-664E-4A3E-BCEA-B7C3CCDC5C09}">
      <dgm:prSet/>
      <dgm:spPr/>
      <dgm:t>
        <a:bodyPr/>
        <a:lstStyle/>
        <a:p>
          <a:endParaRPr lang="zh-CN" altLang="en-US"/>
        </a:p>
      </dgm:t>
    </dgm:pt>
    <dgm:pt modelId="{D4E8D2B1-3374-40B1-8F24-21629BC00035}">
      <dgm:prSet phldrT="[文本]"/>
      <dgm:spPr/>
      <dgm:t>
        <a:bodyPr/>
        <a:lstStyle/>
        <a:p>
          <a:r>
            <a:rPr lang="zh-CN" altLang="en-US"/>
            <a:t>产品信息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500121CC-5581-4F7A-81DF-D6A26C598CEB}" type="parTrans" cxnId="{B7EBF168-629A-461A-BB2D-C1B812D5D788}">
      <dgm:prSet/>
      <dgm:spPr/>
      <dgm:t>
        <a:bodyPr/>
        <a:lstStyle/>
        <a:p>
          <a:endParaRPr lang="zh-CN" altLang="en-US"/>
        </a:p>
      </dgm:t>
    </dgm:pt>
    <dgm:pt modelId="{9676774E-23AB-4CFF-987C-914D7FF674EB}" type="sibTrans" cxnId="{B7EBF168-629A-461A-BB2D-C1B812D5D788}">
      <dgm:prSet/>
      <dgm:spPr/>
      <dgm:t>
        <a:bodyPr/>
        <a:lstStyle/>
        <a:p>
          <a:endParaRPr lang="zh-CN" altLang="en-US"/>
        </a:p>
      </dgm:t>
    </dgm:pt>
    <dgm:pt modelId="{5594E0D5-C81B-488F-BFA8-29FA5BDE7254}">
      <dgm:prSet phldrT="[文本]"/>
      <dgm:spPr/>
      <dgm:t>
        <a:bodyPr/>
        <a:lstStyle/>
        <a:p>
          <a:r>
            <a:rPr lang="zh-CN" altLang="en-US"/>
            <a:t>地区代码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996A7425-B712-4AE8-846E-5CCEC66CB523}" type="parTrans" cxnId="{0CB34F75-F947-4A5C-9532-8265BC6A9FC3}">
      <dgm:prSet/>
      <dgm:spPr/>
      <dgm:t>
        <a:bodyPr/>
        <a:lstStyle/>
        <a:p>
          <a:endParaRPr lang="zh-CN" altLang="en-US"/>
        </a:p>
      </dgm:t>
    </dgm:pt>
    <dgm:pt modelId="{2FF64F59-E5C7-4C0B-AE05-386BFC469A98}" type="sibTrans" cxnId="{0CB34F75-F947-4A5C-9532-8265BC6A9FC3}">
      <dgm:prSet/>
      <dgm:spPr/>
      <dgm:t>
        <a:bodyPr/>
        <a:lstStyle/>
        <a:p>
          <a:endParaRPr lang="zh-CN" altLang="en-US"/>
        </a:p>
      </dgm:t>
    </dgm:pt>
    <dgm:pt modelId="{C44DCE78-B405-42CE-B414-BB14ECFDD0FB}">
      <dgm:prSet phldrT="[文本]"/>
      <dgm:spPr/>
      <dgm:t>
        <a:bodyPr/>
        <a:lstStyle/>
        <a:p>
          <a:r>
            <a:rPr lang="zh-CN" altLang="en-US"/>
            <a:t>销售汇总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E3DF50A1-6AB7-4680-913B-8F7F4383748F}" type="parTrans" cxnId="{2E3EA42A-E43D-458C-8561-D4075001092C}">
      <dgm:prSet/>
      <dgm:spPr/>
      <dgm:t>
        <a:bodyPr/>
        <a:lstStyle/>
        <a:p>
          <a:endParaRPr lang="zh-CN" altLang="en-US"/>
        </a:p>
      </dgm:t>
    </dgm:pt>
    <dgm:pt modelId="{47B077D8-731D-499F-B3F8-3C56445E4689}" type="sibTrans" cxnId="{2E3EA42A-E43D-458C-8561-D4075001092C}">
      <dgm:prSet/>
      <dgm:spPr/>
      <dgm:t>
        <a:bodyPr/>
        <a:lstStyle/>
        <a:p>
          <a:endParaRPr lang="zh-CN" altLang="en-US"/>
        </a:p>
      </dgm:t>
    </dgm:pt>
    <dgm:pt modelId="{C5065635-0B79-44AD-B08D-1E62CDF2C37C}" type="pres">
      <dgm:prSet presAssocID="{6F031D8C-64F6-4AF6-92FF-6C145B72BA55}" presName="composite" presStyleCnt="0">
        <dgm:presLayoutVars>
          <dgm:chMax val="1"/>
          <dgm:dir/>
          <dgm:resizeHandles val="exact"/>
        </dgm:presLayoutVars>
      </dgm:prSet>
      <dgm:spPr/>
    </dgm:pt>
    <dgm:pt modelId="{9E33D639-F2D7-465F-B538-B1D8303C4B20}" type="pres">
      <dgm:prSet presAssocID="{15814978-6BE0-4132-9CED-80889C1C5FBC}" presName="roof" presStyleLbl="dkBgShp" presStyleIdx="0" presStyleCnt="2"/>
      <dgm:spPr/>
    </dgm:pt>
    <dgm:pt modelId="{7AC463B2-81D8-43D6-B8B4-63D83DBB804E}" type="pres">
      <dgm:prSet presAssocID="{15814978-6BE0-4132-9CED-80889C1C5FBC}" presName="pillars" presStyleCnt="0"/>
      <dgm:spPr/>
    </dgm:pt>
    <dgm:pt modelId="{E0AC4000-22EA-47E7-8F7A-8CD2F48F2468}" type="pres">
      <dgm:prSet presAssocID="{15814978-6BE0-4132-9CED-80889C1C5FBC}" presName="pillar1" presStyleLbl="node1" presStyleIdx="0" presStyleCnt="5">
        <dgm:presLayoutVars>
          <dgm:bulletEnabled val="1"/>
        </dgm:presLayoutVars>
      </dgm:prSet>
      <dgm:spPr/>
    </dgm:pt>
    <dgm:pt modelId="{21C65092-59A9-4AB7-984A-56544E884D8D}" type="pres">
      <dgm:prSet presAssocID="{9BCFDEFB-F4F4-4695-9428-F446497FBCC7}" presName="pillarX" presStyleLbl="node1" presStyleIdx="1" presStyleCnt="5">
        <dgm:presLayoutVars>
          <dgm:bulletEnabled val="1"/>
        </dgm:presLayoutVars>
      </dgm:prSet>
      <dgm:spPr/>
    </dgm:pt>
    <dgm:pt modelId="{EC461459-5E91-4F59-A5A2-D04B49A025E6}" type="pres">
      <dgm:prSet presAssocID="{D4E8D2B1-3374-40B1-8F24-21629BC00035}" presName="pillarX" presStyleLbl="node1" presStyleIdx="2" presStyleCnt="5">
        <dgm:presLayoutVars>
          <dgm:bulletEnabled val="1"/>
        </dgm:presLayoutVars>
      </dgm:prSet>
      <dgm:spPr/>
    </dgm:pt>
    <dgm:pt modelId="{E7714D8B-6E2C-4494-BF05-61CB46683ACD}" type="pres">
      <dgm:prSet presAssocID="{5594E0D5-C81B-488F-BFA8-29FA5BDE7254}" presName="pillarX" presStyleLbl="node1" presStyleIdx="3" presStyleCnt="5">
        <dgm:presLayoutVars>
          <dgm:bulletEnabled val="1"/>
        </dgm:presLayoutVars>
      </dgm:prSet>
      <dgm:spPr/>
    </dgm:pt>
    <dgm:pt modelId="{F9EF7976-4135-41B8-84FD-7AB1B5C25F9B}" type="pres">
      <dgm:prSet presAssocID="{C44DCE78-B405-42CE-B414-BB14ECFDD0FB}" presName="pillarX" presStyleLbl="node1" presStyleIdx="4" presStyleCnt="5">
        <dgm:presLayoutVars>
          <dgm:bulletEnabled val="1"/>
        </dgm:presLayoutVars>
      </dgm:prSet>
      <dgm:spPr/>
    </dgm:pt>
    <dgm:pt modelId="{EC6DF35E-B6F1-498E-9CD0-F3FED69FBFF0}" type="pres">
      <dgm:prSet presAssocID="{15814978-6BE0-4132-9CED-80889C1C5FBC}" presName="base" presStyleLbl="dkBgShp" presStyleIdx="1" presStyleCnt="2"/>
      <dgm:spPr/>
    </dgm:pt>
  </dgm:ptLst>
  <dgm:cxnLst>
    <dgm:cxn modelId="{B7EBF168-629A-461A-BB2D-C1B812D5D788}" srcId="{15814978-6BE0-4132-9CED-80889C1C5FBC}" destId="{D4E8D2B1-3374-40B1-8F24-21629BC00035}" srcOrd="2" destOrd="0" parTransId="{500121CC-5581-4F7A-81DF-D6A26C598CEB}" sibTransId="{9676774E-23AB-4CFF-987C-914D7FF674EB}"/>
    <dgm:cxn modelId="{2EA70162-CECB-42F0-BC25-85C4C0CD9E11}" type="presOf" srcId="{5594E0D5-C81B-488F-BFA8-29FA5BDE7254}" destId="{E7714D8B-6E2C-4494-BF05-61CB46683ACD}" srcOrd="0" destOrd="0" presId="urn:microsoft.com/office/officeart/2005/8/layout/hList3"/>
    <dgm:cxn modelId="{633CAA81-1B1A-4C85-ACC8-819F9526436F}" type="presOf" srcId="{0BEBD665-B127-4EA1-91F8-5BD09FC7BDE4}" destId="{E0AC4000-22EA-47E7-8F7A-8CD2F48F2468}" srcOrd="0" destOrd="0" presId="urn:microsoft.com/office/officeart/2005/8/layout/hList3"/>
    <dgm:cxn modelId="{FDE84E66-3C66-4531-8261-4A24EA17E14C}" srcId="{15814978-6BE0-4132-9CED-80889C1C5FBC}" destId="{0BEBD665-B127-4EA1-91F8-5BD09FC7BDE4}" srcOrd="0" destOrd="0" parTransId="{D1C0D7EE-08E5-45A5-ACFA-8BD89D2C4C51}" sibTransId="{6872AA93-788A-492E-B33C-E550FD593FC6}"/>
    <dgm:cxn modelId="{6F110DAA-A88C-461C-A8B4-12A3A44EE034}" srcId="{6F031D8C-64F6-4AF6-92FF-6C145B72BA55}" destId="{15814978-6BE0-4132-9CED-80889C1C5FBC}" srcOrd="0" destOrd="0" parTransId="{5BAC70D8-2953-4C3B-8CF6-F09954868764}" sibTransId="{499E804F-9265-459F-A70C-567B5E43CCCE}"/>
    <dgm:cxn modelId="{DA75C304-664E-4A3E-BCEA-B7C3CCDC5C09}" srcId="{15814978-6BE0-4132-9CED-80889C1C5FBC}" destId="{9BCFDEFB-F4F4-4695-9428-F446497FBCC7}" srcOrd="1" destOrd="0" parTransId="{FEFCADB4-D9FB-4745-9A5B-2F3955FDA4A2}" sibTransId="{1A34BAF4-E206-44F3-9551-366A2BFB75CD}"/>
    <dgm:cxn modelId="{880AC884-071C-45DE-830D-768896A98BFD}" type="presOf" srcId="{9BCFDEFB-F4F4-4695-9428-F446497FBCC7}" destId="{21C65092-59A9-4AB7-984A-56544E884D8D}" srcOrd="0" destOrd="0" presId="urn:microsoft.com/office/officeart/2005/8/layout/hList3"/>
    <dgm:cxn modelId="{0CB34F75-F947-4A5C-9532-8265BC6A9FC3}" srcId="{15814978-6BE0-4132-9CED-80889C1C5FBC}" destId="{5594E0D5-C81B-488F-BFA8-29FA5BDE7254}" srcOrd="3" destOrd="0" parTransId="{996A7425-B712-4AE8-846E-5CCEC66CB523}" sibTransId="{2FF64F59-E5C7-4C0B-AE05-386BFC469A98}"/>
    <dgm:cxn modelId="{597D0F32-0650-4CB5-994E-3708E0458CE0}" type="presOf" srcId="{6F031D8C-64F6-4AF6-92FF-6C145B72BA55}" destId="{C5065635-0B79-44AD-B08D-1E62CDF2C37C}" srcOrd="0" destOrd="0" presId="urn:microsoft.com/office/officeart/2005/8/layout/hList3"/>
    <dgm:cxn modelId="{98A701BB-B36E-4807-B81C-FF9232733275}" type="presOf" srcId="{15814978-6BE0-4132-9CED-80889C1C5FBC}" destId="{9E33D639-F2D7-465F-B538-B1D8303C4B20}" srcOrd="0" destOrd="0" presId="urn:microsoft.com/office/officeart/2005/8/layout/hList3"/>
    <dgm:cxn modelId="{2E3EA42A-E43D-458C-8561-D4075001092C}" srcId="{15814978-6BE0-4132-9CED-80889C1C5FBC}" destId="{C44DCE78-B405-42CE-B414-BB14ECFDD0FB}" srcOrd="4" destOrd="0" parTransId="{E3DF50A1-6AB7-4680-913B-8F7F4383748F}" sibTransId="{47B077D8-731D-499F-B3F8-3C56445E4689}"/>
    <dgm:cxn modelId="{F6A25C44-D042-4784-98E2-6E6F6F579174}" type="presOf" srcId="{D4E8D2B1-3374-40B1-8F24-21629BC00035}" destId="{EC461459-5E91-4F59-A5A2-D04B49A025E6}" srcOrd="0" destOrd="0" presId="urn:microsoft.com/office/officeart/2005/8/layout/hList3"/>
    <dgm:cxn modelId="{F21546B6-3D4D-4A9F-BD98-2D706CA04743}" type="presOf" srcId="{C44DCE78-B405-42CE-B414-BB14ECFDD0FB}" destId="{F9EF7976-4135-41B8-84FD-7AB1B5C25F9B}" srcOrd="0" destOrd="0" presId="urn:microsoft.com/office/officeart/2005/8/layout/hList3"/>
    <dgm:cxn modelId="{327E3821-B743-4165-A3B3-528EB67E0A42}" type="presParOf" srcId="{C5065635-0B79-44AD-B08D-1E62CDF2C37C}" destId="{9E33D639-F2D7-465F-B538-B1D8303C4B20}" srcOrd="0" destOrd="0" presId="urn:microsoft.com/office/officeart/2005/8/layout/hList3"/>
    <dgm:cxn modelId="{097F00C2-479A-4BB0-8079-8F5AC3C8FFA6}" type="presParOf" srcId="{C5065635-0B79-44AD-B08D-1E62CDF2C37C}" destId="{7AC463B2-81D8-43D6-B8B4-63D83DBB804E}" srcOrd="1" destOrd="0" presId="urn:microsoft.com/office/officeart/2005/8/layout/hList3"/>
    <dgm:cxn modelId="{4DF79C3D-52D4-45EE-AC45-095D8FA711CA}" type="presParOf" srcId="{7AC463B2-81D8-43D6-B8B4-63D83DBB804E}" destId="{E0AC4000-22EA-47E7-8F7A-8CD2F48F2468}" srcOrd="0" destOrd="0" presId="urn:microsoft.com/office/officeart/2005/8/layout/hList3"/>
    <dgm:cxn modelId="{81981DB0-D924-4EA2-AAC9-C1E2A45C0943}" type="presParOf" srcId="{7AC463B2-81D8-43D6-B8B4-63D83DBB804E}" destId="{21C65092-59A9-4AB7-984A-56544E884D8D}" srcOrd="1" destOrd="0" presId="urn:microsoft.com/office/officeart/2005/8/layout/hList3"/>
    <dgm:cxn modelId="{67842FE6-477E-41D4-89EB-AEAD96AF1A90}" type="presParOf" srcId="{7AC463B2-81D8-43D6-B8B4-63D83DBB804E}" destId="{EC461459-5E91-4F59-A5A2-D04B49A025E6}" srcOrd="2" destOrd="0" presId="urn:microsoft.com/office/officeart/2005/8/layout/hList3"/>
    <dgm:cxn modelId="{F6B7B6B5-A516-4B96-BE98-6ACF8449B58F}" type="presParOf" srcId="{7AC463B2-81D8-43D6-B8B4-63D83DBB804E}" destId="{E7714D8B-6E2C-4494-BF05-61CB46683ACD}" srcOrd="3" destOrd="0" presId="urn:microsoft.com/office/officeart/2005/8/layout/hList3"/>
    <dgm:cxn modelId="{79C961BD-CFD0-4D6E-BF1F-A096D3A3AEF6}" type="presParOf" srcId="{7AC463B2-81D8-43D6-B8B4-63D83DBB804E}" destId="{F9EF7976-4135-41B8-84FD-7AB1B5C25F9B}" srcOrd="4" destOrd="0" presId="urn:microsoft.com/office/officeart/2005/8/layout/hList3"/>
    <dgm:cxn modelId="{36AEB90B-7533-47BF-9007-F1B5A06E2D1A}" type="presParOf" srcId="{C5065635-0B79-44AD-B08D-1E62CDF2C37C}" destId="{EC6DF35E-B6F1-498E-9CD0-F3FED69FBFF0}" srcOrd="2" destOrd="0" presId="urn:microsoft.com/office/officeart/2005/8/layout/hList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E33D639-F2D7-465F-B538-B1D8303C4B20}">
      <dsp:nvSpPr>
        <dsp:cNvPr id="0" name=""/>
        <dsp:cNvSpPr/>
      </dsp:nvSpPr>
      <dsp:spPr>
        <a:xfrm>
          <a:off x="0" y="0"/>
          <a:ext cx="8105776" cy="738663"/>
        </a:xfrm>
        <a:prstGeom prst="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1920" tIns="121920" rIns="121920" bIns="121920" numCol="1" spcCol="1270" anchor="ctr" anchorCtr="0">
          <a:noAutofit/>
        </a:bodyPr>
        <a:lstStyle/>
        <a:p>
          <a:pPr lvl="0" algn="ctr" defTabSz="14224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3200" kern="1200"/>
            <a:t>国外销售情况报告</a:t>
          </a:r>
        </a:p>
      </dsp:txBody>
      <dsp:txXfrm>
        <a:off x="0" y="0"/>
        <a:ext cx="8105776" cy="738663"/>
      </dsp:txXfrm>
    </dsp:sp>
    <dsp:sp modelId="{E0AC4000-22EA-47E7-8F7A-8CD2F48F2468}">
      <dsp:nvSpPr>
        <dsp:cNvPr id="0" name=""/>
        <dsp:cNvSpPr/>
      </dsp:nvSpPr>
      <dsp:spPr>
        <a:xfrm>
          <a:off x="989" y="738663"/>
          <a:ext cx="1620759" cy="155119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6210" tIns="156210" rIns="156210" bIns="156210" numCol="1" spcCol="1270" anchor="ctr" anchorCtr="0">
          <a:noAutofit/>
        </a:bodyPr>
        <a:lstStyle/>
        <a:p>
          <a:pPr lvl="0" algn="ctr" defTabSz="1822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4100" kern="1200"/>
            <a:t>销售资料</a:t>
          </a:r>
        </a:p>
      </dsp:txBody>
      <dsp:txXfrm>
        <a:off x="989" y="738663"/>
        <a:ext cx="1620759" cy="1551194"/>
      </dsp:txXfrm>
    </dsp:sp>
    <dsp:sp modelId="{21C65092-59A9-4AB7-984A-56544E884D8D}">
      <dsp:nvSpPr>
        <dsp:cNvPr id="0" name=""/>
        <dsp:cNvSpPr/>
      </dsp:nvSpPr>
      <dsp:spPr>
        <a:xfrm>
          <a:off x="1621748" y="738663"/>
          <a:ext cx="1620759" cy="155119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6210" tIns="156210" rIns="156210" bIns="156210" numCol="1" spcCol="1270" anchor="ctr" anchorCtr="0">
          <a:noAutofit/>
        </a:bodyPr>
        <a:lstStyle/>
        <a:p>
          <a:pPr lvl="0" algn="ctr" defTabSz="1822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4100" kern="1200"/>
            <a:t>销往国家</a:t>
          </a:r>
        </a:p>
      </dsp:txBody>
      <dsp:txXfrm>
        <a:off x="1621748" y="738663"/>
        <a:ext cx="1620759" cy="1551194"/>
      </dsp:txXfrm>
    </dsp:sp>
    <dsp:sp modelId="{EC461459-5E91-4F59-A5A2-D04B49A025E6}">
      <dsp:nvSpPr>
        <dsp:cNvPr id="0" name=""/>
        <dsp:cNvSpPr/>
      </dsp:nvSpPr>
      <dsp:spPr>
        <a:xfrm>
          <a:off x="3242508" y="738663"/>
          <a:ext cx="1620759" cy="155119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6210" tIns="156210" rIns="156210" bIns="156210" numCol="1" spcCol="1270" anchor="ctr" anchorCtr="0">
          <a:noAutofit/>
        </a:bodyPr>
        <a:lstStyle/>
        <a:p>
          <a:pPr lvl="0" algn="ctr" defTabSz="1822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4100" kern="1200"/>
            <a:t>产品信息</a:t>
          </a:r>
        </a:p>
      </dsp:txBody>
      <dsp:txXfrm>
        <a:off x="3242508" y="738663"/>
        <a:ext cx="1620759" cy="1551194"/>
      </dsp:txXfrm>
    </dsp:sp>
    <dsp:sp modelId="{E7714D8B-6E2C-4494-BF05-61CB46683ACD}">
      <dsp:nvSpPr>
        <dsp:cNvPr id="0" name=""/>
        <dsp:cNvSpPr/>
      </dsp:nvSpPr>
      <dsp:spPr>
        <a:xfrm>
          <a:off x="4863267" y="738663"/>
          <a:ext cx="1620759" cy="155119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6210" tIns="156210" rIns="156210" bIns="156210" numCol="1" spcCol="1270" anchor="ctr" anchorCtr="0">
          <a:noAutofit/>
        </a:bodyPr>
        <a:lstStyle/>
        <a:p>
          <a:pPr lvl="0" algn="ctr" defTabSz="1822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4100" kern="1200"/>
            <a:t>地区代码</a:t>
          </a:r>
        </a:p>
      </dsp:txBody>
      <dsp:txXfrm>
        <a:off x="4863267" y="738663"/>
        <a:ext cx="1620759" cy="1551194"/>
      </dsp:txXfrm>
    </dsp:sp>
    <dsp:sp modelId="{F9EF7976-4135-41B8-84FD-7AB1B5C25F9B}">
      <dsp:nvSpPr>
        <dsp:cNvPr id="0" name=""/>
        <dsp:cNvSpPr/>
      </dsp:nvSpPr>
      <dsp:spPr>
        <a:xfrm>
          <a:off x="6484027" y="738663"/>
          <a:ext cx="1620759" cy="155119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6210" tIns="156210" rIns="156210" bIns="156210" numCol="1" spcCol="1270" anchor="ctr" anchorCtr="0">
          <a:noAutofit/>
        </a:bodyPr>
        <a:lstStyle/>
        <a:p>
          <a:pPr lvl="0" algn="ctr" defTabSz="1822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zh-CN" altLang="en-US" sz="4100" kern="1200"/>
            <a:t>销售汇总</a:t>
          </a:r>
        </a:p>
      </dsp:txBody>
      <dsp:txXfrm>
        <a:off x="6484027" y="738663"/>
        <a:ext cx="1620759" cy="1551194"/>
      </dsp:txXfrm>
    </dsp:sp>
    <dsp:sp modelId="{EC6DF35E-B6F1-498E-9CD0-F3FED69FBFF0}">
      <dsp:nvSpPr>
        <dsp:cNvPr id="0" name=""/>
        <dsp:cNvSpPr/>
      </dsp:nvSpPr>
      <dsp:spPr>
        <a:xfrm>
          <a:off x="0" y="2289858"/>
          <a:ext cx="8105776" cy="172354"/>
        </a:xfrm>
        <a:prstGeom prst="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List3">
  <dgm:title val=""/>
  <dgm:desc val=""/>
  <dgm:catLst>
    <dgm:cat type="list" pri="19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5" srcId="0" destId="1" srcOrd="0" destOrd="0"/>
        <dgm:cxn modelId="6" srcId="1" destId="2" srcOrd="0" destOrd="0"/>
        <dgm:cxn modelId="7" srcId="1" destId="3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</dgm:ptLst>
      <dgm:cxnLst>
        <dgm:cxn modelId="6" srcId="0" destId="1" srcOrd="0" destOrd="0"/>
        <dgm:cxn modelId="7" srcId="1" destId="2" srcOrd="0" destOrd="0"/>
        <dgm:cxn modelId="8" srcId="1" destId="3" srcOrd="1" destOrd="0"/>
        <dgm:cxn modelId="9" srcId="1" destId="4" srcOrd="2" destOrd="0"/>
        <dgm:cxn modelId="10" srcId="1" destId="5" srcOrd="3" destOrd="0"/>
      </dgm:cxnLst>
      <dgm:bg/>
      <dgm:whole/>
    </dgm:dataModel>
  </dgm:clrData>
  <dgm:layoutNode name="composite">
    <dgm:varLst>
      <dgm:chMax val="1"/>
      <dgm:dir/>
      <dgm:resizeHandles val="exact"/>
    </dgm:varLst>
    <dgm:alg type="composite"/>
    <dgm:shape xmlns:r="http://schemas.openxmlformats.org/officeDocument/2006/relationships" r:blip="">
      <dgm:adjLst/>
    </dgm:shape>
    <dgm:presOf/>
    <dgm:constrLst>
      <dgm:constr type="w" for="ch" forName="roof" refType="w"/>
      <dgm:constr type="h" for="ch" forName="roof" refType="h" fact="0.3"/>
      <dgm:constr type="primFontSz" for="ch" forName="roof" val="65"/>
      <dgm:constr type="w" for="ch" forName="pillars" refType="w"/>
      <dgm:constr type="h" for="ch" forName="pillars" refType="h" fact="0.63"/>
      <dgm:constr type="t" for="ch" forName="pillars" refType="h" fact="0.3"/>
      <dgm:constr type="primFontSz" for="des" forName="pillar1" val="65"/>
      <dgm:constr type="primFontSz" for="des" forName="pillarX" refType="primFontSz" refFor="des" refForName="pillar1" op="equ"/>
      <dgm:constr type="w" for="ch" forName="base" refType="w"/>
      <dgm:constr type="h" for="ch" forName="base" refType="h" fact="0.07"/>
      <dgm:constr type="t" for="ch" forName="base" refType="h" fact="0.93"/>
    </dgm:constrLst>
    <dgm:ruleLst/>
    <dgm:forEach name="Name0" axis="ch" ptType="node" cnt="1">
      <dgm:layoutNode name="roof" styleLbl="dkBgShp">
        <dgm:alg type="tx"/>
        <dgm:shape xmlns:r="http://schemas.openxmlformats.org/officeDocument/2006/relationships" type="rect" r:blip="">
          <dgm:adjLst/>
        </dgm:shape>
        <dgm:presOf axis="self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layoutNode name="pillars" styleLbl="node1">
        <dgm:choose name="Name1">
          <dgm:if name="Name2" func="var" arg="dir" op="equ" val="norm">
            <dgm:alg type="lin">
              <dgm:param type="linDir" val="fromL"/>
            </dgm:alg>
          </dgm:if>
          <dgm:else name="Name3">
            <dgm:alg type="lin">
              <dgm:param type="linDir" val="fromR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w" for="ch" forName="pillar1" refType="w"/>
          <dgm:constr type="h" for="ch" forName="pillar1" refType="h"/>
          <dgm:constr type="w" for="ch" forName="pillarX" refType="w"/>
          <dgm:constr type="h" for="ch" forName="pillarX" refType="h"/>
        </dgm:constrLst>
        <dgm:ruleLst/>
        <dgm:layoutNode name="pillar1" styleLbl="node1">
          <dgm:varLst>
            <dgm:bulletEnabled val="1"/>
          </dgm:varLst>
          <dgm:alg type="tx"/>
          <dgm:shape xmlns:r="http://schemas.openxmlformats.org/officeDocument/2006/relationships" type="rect" r:blip="">
            <dgm:adjLst/>
          </dgm:shape>
          <dgm:presOf axis="ch desOrSelf" ptType="node node" st="1 1" cnt="1 0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forEach name="Name4" axis="ch" ptType="node" st="2">
          <dgm:layoutNode name="pillarX" styleLbl="node1">
            <dgm:varLst>
              <dgm:bulletEnabled val="1"/>
            </dgm:varLst>
            <dgm:alg type="tx"/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forEach>
      </dgm:layoutNode>
      <dgm:layoutNode name="base" styleLbl="dkBgShp">
        <dgm:alg type="sp"/>
        <dgm:shape xmlns:r="http://schemas.openxmlformats.org/officeDocument/2006/relationships" type="rect" r:blip="">
          <dgm:adjLst/>
        </dgm:shape>
        <dgm:presOf/>
        <dgm:constrLst/>
        <dgm:ruleLst/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10</xdr:row>
      <xdr:rowOff>52387</xdr:rowOff>
    </xdr:from>
    <xdr:to>
      <xdr:col>12</xdr:col>
      <xdr:colOff>609600</xdr:colOff>
      <xdr:row>24</xdr:row>
      <xdr:rowOff>114300</xdr:rowOff>
    </xdr:to>
    <xdr:graphicFrame macro="">
      <xdr:nvGraphicFramePr>
        <xdr:cNvPr id="2" name="图示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</xdr:colOff>
      <xdr:row>7</xdr:row>
      <xdr:rowOff>33337</xdr:rowOff>
    </xdr:from>
    <xdr:to>
      <xdr:col>5</xdr:col>
      <xdr:colOff>990600</xdr:colOff>
      <xdr:row>19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7" workbookViewId="0">
      <selection activeCell="G31" sqref="G31"/>
    </sheetView>
  </sheetViews>
  <sheetFormatPr defaultRowHeight="13.5" x14ac:dyDescent="0.15"/>
  <sheetData/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workbookViewId="0">
      <pane ySplit="1" topLeftCell="A2" activePane="bottomLeft" state="frozen"/>
      <selection activeCell="D1" sqref="D1"/>
      <selection pane="bottomLeft" activeCell="A2" sqref="A2"/>
    </sheetView>
  </sheetViews>
  <sheetFormatPr defaultColWidth="8.875" defaultRowHeight="16.5" x14ac:dyDescent="0.3"/>
  <cols>
    <col min="1" max="1" width="10" style="11" customWidth="1"/>
    <col min="2" max="2" width="20.75" style="15" bestFit="1" customWidth="1"/>
    <col min="3" max="3" width="12.375" style="11" customWidth="1"/>
    <col min="4" max="5" width="8.875" style="11" customWidth="1"/>
    <col min="6" max="6" width="13.5" style="11" customWidth="1"/>
    <col min="7" max="7" width="16" style="11" customWidth="1"/>
    <col min="8" max="8" width="10.875" style="11" customWidth="1"/>
    <col min="9" max="9" width="16.875" style="16" bestFit="1" customWidth="1"/>
    <col min="10" max="10" width="10.875" style="11" customWidth="1"/>
    <col min="11" max="11" width="7.625" style="11" bestFit="1" customWidth="1"/>
    <col min="12" max="16384" width="8.875" style="11"/>
  </cols>
  <sheetData>
    <row r="1" spans="1:11" s="5" customForma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</row>
    <row r="2" spans="1:11" x14ac:dyDescent="0.3">
      <c r="A2" s="6">
        <v>2185348</v>
      </c>
      <c r="B2" s="35">
        <v>41661</v>
      </c>
      <c r="C2" s="7" t="s">
        <v>110</v>
      </c>
      <c r="D2" s="7" t="s">
        <v>10</v>
      </c>
      <c r="E2" s="7" t="s">
        <v>11</v>
      </c>
      <c r="F2" s="7" t="s">
        <v>12</v>
      </c>
      <c r="G2" s="7" t="s">
        <v>13</v>
      </c>
      <c r="H2" s="8">
        <f>VLOOKUP(G2,产品信息!$B$2:$C$26,2,0)</f>
        <v>86</v>
      </c>
      <c r="I2" s="9">
        <v>707</v>
      </c>
      <c r="J2" s="37">
        <f>H2*I2</f>
        <v>60802</v>
      </c>
      <c r="K2" s="10"/>
    </row>
    <row r="3" spans="1:11" x14ac:dyDescent="0.3">
      <c r="A3" s="6">
        <v>2185349</v>
      </c>
      <c r="B3" s="35">
        <v>41665</v>
      </c>
      <c r="C3" s="7" t="s">
        <v>111</v>
      </c>
      <c r="D3" s="7" t="s">
        <v>14</v>
      </c>
      <c r="E3" s="7" t="s">
        <v>15</v>
      </c>
      <c r="F3" s="7" t="s">
        <v>16</v>
      </c>
      <c r="G3" s="7" t="s">
        <v>17</v>
      </c>
      <c r="H3" s="8">
        <f>VLOOKUP(G3,产品信息!$B$2:$C$26,2,0)</f>
        <v>14</v>
      </c>
      <c r="I3" s="9">
        <v>749</v>
      </c>
      <c r="J3" s="37">
        <f t="shared" ref="J3:J66" si="0">H3*I3</f>
        <v>10486</v>
      </c>
      <c r="K3" s="10"/>
    </row>
    <row r="4" spans="1:11" x14ac:dyDescent="0.3">
      <c r="A4" s="6">
        <v>2185350</v>
      </c>
      <c r="B4" s="35">
        <v>41686</v>
      </c>
      <c r="C4" s="7" t="s">
        <v>111</v>
      </c>
      <c r="D4" s="7" t="s">
        <v>14</v>
      </c>
      <c r="E4" s="7" t="s">
        <v>18</v>
      </c>
      <c r="F4" s="7" t="s">
        <v>19</v>
      </c>
      <c r="G4" s="7" t="s">
        <v>20</v>
      </c>
      <c r="H4" s="8">
        <f>VLOOKUP(G4,产品信息!$B$2:$C$26,2,0)</f>
        <v>77</v>
      </c>
      <c r="I4" s="9">
        <v>491</v>
      </c>
      <c r="J4" s="37">
        <f t="shared" si="0"/>
        <v>37807</v>
      </c>
      <c r="K4" s="10"/>
    </row>
    <row r="5" spans="1:11" x14ac:dyDescent="0.3">
      <c r="A5" s="6">
        <v>2185351</v>
      </c>
      <c r="B5" s="35">
        <v>41687</v>
      </c>
      <c r="C5" s="7" t="s">
        <v>112</v>
      </c>
      <c r="D5" s="7" t="s">
        <v>10</v>
      </c>
      <c r="E5" s="7" t="s">
        <v>11</v>
      </c>
      <c r="F5" s="7" t="s">
        <v>12</v>
      </c>
      <c r="G5" s="7" t="s">
        <v>21</v>
      </c>
      <c r="H5" s="8">
        <f>VLOOKUP(G5,产品信息!$B$2:$C$26,2,0)</f>
        <v>17</v>
      </c>
      <c r="I5" s="9">
        <v>647</v>
      </c>
      <c r="J5" s="37">
        <f t="shared" si="0"/>
        <v>10999</v>
      </c>
      <c r="K5" s="10"/>
    </row>
    <row r="6" spans="1:11" x14ac:dyDescent="0.3">
      <c r="A6" s="6">
        <v>2185352</v>
      </c>
      <c r="B6" s="35">
        <v>41702</v>
      </c>
      <c r="C6" s="7" t="s">
        <v>113</v>
      </c>
      <c r="D6" s="7" t="s">
        <v>10</v>
      </c>
      <c r="E6" s="7" t="s">
        <v>22</v>
      </c>
      <c r="F6" s="7" t="s">
        <v>16</v>
      </c>
      <c r="G6" s="7" t="s">
        <v>23</v>
      </c>
      <c r="H6" s="8">
        <f>VLOOKUP(G6,产品信息!$B$2:$C$26,2,0)</f>
        <v>40</v>
      </c>
      <c r="I6" s="9">
        <v>1067</v>
      </c>
      <c r="J6" s="37">
        <f t="shared" si="0"/>
        <v>42680</v>
      </c>
      <c r="K6" s="10"/>
    </row>
    <row r="7" spans="1:11" x14ac:dyDescent="0.3">
      <c r="A7" s="6">
        <v>2185353</v>
      </c>
      <c r="B7" s="35">
        <v>41705</v>
      </c>
      <c r="C7" s="7" t="s">
        <v>114</v>
      </c>
      <c r="D7" s="7" t="s">
        <v>24</v>
      </c>
      <c r="E7" s="7" t="s">
        <v>25</v>
      </c>
      <c r="F7" s="7" t="s">
        <v>12</v>
      </c>
      <c r="G7" s="7" t="s">
        <v>26</v>
      </c>
      <c r="H7" s="8">
        <f>VLOOKUP(G7,产品信息!$B$2:$C$26,2,0)</f>
        <v>57</v>
      </c>
      <c r="I7" s="9">
        <v>666</v>
      </c>
      <c r="J7" s="37">
        <f t="shared" si="0"/>
        <v>37962</v>
      </c>
      <c r="K7" s="10"/>
    </row>
    <row r="8" spans="1:11" x14ac:dyDescent="0.3">
      <c r="A8" s="6">
        <v>2185354</v>
      </c>
      <c r="B8" s="35">
        <v>41731</v>
      </c>
      <c r="C8" s="7" t="s">
        <v>114</v>
      </c>
      <c r="D8" s="7" t="s">
        <v>24</v>
      </c>
      <c r="E8" s="7" t="s">
        <v>27</v>
      </c>
      <c r="F8" s="7" t="s">
        <v>28</v>
      </c>
      <c r="G8" s="7" t="s">
        <v>29</v>
      </c>
      <c r="H8" s="8">
        <f>VLOOKUP(G8,产品信息!$B$2:$C$26,2,0)</f>
        <v>43</v>
      </c>
      <c r="I8" s="9">
        <v>1219</v>
      </c>
      <c r="J8" s="37">
        <f t="shared" si="0"/>
        <v>52417</v>
      </c>
      <c r="K8" s="10"/>
    </row>
    <row r="9" spans="1:11" x14ac:dyDescent="0.3">
      <c r="A9" s="6">
        <v>2185355</v>
      </c>
      <c r="B9" s="35">
        <v>41734</v>
      </c>
      <c r="C9" s="7" t="s">
        <v>115</v>
      </c>
      <c r="D9" s="7" t="s">
        <v>14</v>
      </c>
      <c r="E9" s="7" t="s">
        <v>30</v>
      </c>
      <c r="F9" s="7" t="s">
        <v>12</v>
      </c>
      <c r="G9" s="7" t="s">
        <v>13</v>
      </c>
      <c r="H9" s="8">
        <f>VLOOKUP(G9,产品信息!$B$2:$C$26,2,0)</f>
        <v>86</v>
      </c>
      <c r="I9" s="9">
        <v>651</v>
      </c>
      <c r="J9" s="37">
        <f t="shared" si="0"/>
        <v>55986</v>
      </c>
      <c r="K9" s="10"/>
    </row>
    <row r="10" spans="1:11" x14ac:dyDescent="0.3">
      <c r="A10" s="6">
        <v>2185356</v>
      </c>
      <c r="B10" s="35">
        <v>41737</v>
      </c>
      <c r="C10" s="7" t="s">
        <v>116</v>
      </c>
      <c r="D10" s="7" t="s">
        <v>10</v>
      </c>
      <c r="E10" s="7" t="s">
        <v>22</v>
      </c>
      <c r="F10" s="7" t="s">
        <v>12</v>
      </c>
      <c r="G10" s="7" t="s">
        <v>31</v>
      </c>
      <c r="H10" s="8">
        <f>VLOOKUP(G10,产品信息!$B$2:$C$26,2,0)</f>
        <v>43</v>
      </c>
      <c r="I10" s="9">
        <v>612</v>
      </c>
      <c r="J10" s="37">
        <f t="shared" si="0"/>
        <v>26316</v>
      </c>
      <c r="K10" s="10"/>
    </row>
    <row r="11" spans="1:11" x14ac:dyDescent="0.3">
      <c r="A11" s="6">
        <v>2185357</v>
      </c>
      <c r="B11" s="35">
        <v>41757</v>
      </c>
      <c r="C11" s="7" t="s">
        <v>117</v>
      </c>
      <c r="D11" s="7" t="s">
        <v>24</v>
      </c>
      <c r="E11" s="7" t="s">
        <v>25</v>
      </c>
      <c r="F11" s="7" t="s">
        <v>12</v>
      </c>
      <c r="G11" s="7" t="s">
        <v>31</v>
      </c>
      <c r="H11" s="8">
        <f>VLOOKUP(G11,产品信息!$B$2:$C$26,2,0)</f>
        <v>43</v>
      </c>
      <c r="I11" s="9">
        <v>703</v>
      </c>
      <c r="J11" s="37">
        <f t="shared" si="0"/>
        <v>30229</v>
      </c>
      <c r="K11" s="10"/>
    </row>
    <row r="12" spans="1:11" x14ac:dyDescent="0.3">
      <c r="A12" s="6">
        <v>2185358</v>
      </c>
      <c r="B12" s="35">
        <v>41757</v>
      </c>
      <c r="C12" s="7" t="s">
        <v>118</v>
      </c>
      <c r="D12" s="7" t="s">
        <v>10</v>
      </c>
      <c r="E12" s="7" t="s">
        <v>22</v>
      </c>
      <c r="F12" s="7" t="s">
        <v>12</v>
      </c>
      <c r="G12" s="7" t="s">
        <v>32</v>
      </c>
      <c r="H12" s="8">
        <f>VLOOKUP(G12,产品信息!$B$2:$C$26,2,0)</f>
        <v>17</v>
      </c>
      <c r="I12" s="9">
        <v>686</v>
      </c>
      <c r="J12" s="37">
        <f t="shared" si="0"/>
        <v>11662</v>
      </c>
      <c r="K12" s="10"/>
    </row>
    <row r="13" spans="1:11" x14ac:dyDescent="0.3">
      <c r="A13" s="6">
        <v>2185359</v>
      </c>
      <c r="B13" s="35">
        <v>41764</v>
      </c>
      <c r="C13" s="7" t="s">
        <v>119</v>
      </c>
      <c r="D13" s="7" t="s">
        <v>33</v>
      </c>
      <c r="E13" s="7" t="s">
        <v>34</v>
      </c>
      <c r="F13" s="7" t="s">
        <v>19</v>
      </c>
      <c r="G13" s="7" t="s">
        <v>35</v>
      </c>
      <c r="H13" s="8">
        <f>VLOOKUP(G13,产品信息!$B$2:$C$26,2,0)</f>
        <v>300</v>
      </c>
      <c r="I13" s="9">
        <v>488</v>
      </c>
      <c r="J13" s="37">
        <f t="shared" si="0"/>
        <v>146400</v>
      </c>
      <c r="K13" s="10"/>
    </row>
    <row r="14" spans="1:11" x14ac:dyDescent="0.3">
      <c r="A14" s="6">
        <v>2185360</v>
      </c>
      <c r="B14" s="35">
        <v>41801</v>
      </c>
      <c r="C14" s="7" t="s">
        <v>120</v>
      </c>
      <c r="D14" s="7" t="s">
        <v>33</v>
      </c>
      <c r="E14" s="7" t="s">
        <v>34</v>
      </c>
      <c r="F14" s="7" t="s">
        <v>12</v>
      </c>
      <c r="G14" s="7" t="s">
        <v>13</v>
      </c>
      <c r="H14" s="8">
        <f>VLOOKUP(G14,产品信息!$B$2:$C$26,2,0)</f>
        <v>86</v>
      </c>
      <c r="I14" s="9">
        <v>621</v>
      </c>
      <c r="J14" s="37">
        <f t="shared" si="0"/>
        <v>53406</v>
      </c>
      <c r="K14" s="10"/>
    </row>
    <row r="15" spans="1:11" x14ac:dyDescent="0.3">
      <c r="A15" s="6">
        <v>2185361</v>
      </c>
      <c r="B15" s="35">
        <v>41804</v>
      </c>
      <c r="C15" s="7" t="s">
        <v>112</v>
      </c>
      <c r="D15" s="7" t="s">
        <v>10</v>
      </c>
      <c r="E15" s="7" t="s">
        <v>11</v>
      </c>
      <c r="F15" s="7" t="s">
        <v>19</v>
      </c>
      <c r="G15" s="7" t="s">
        <v>36</v>
      </c>
      <c r="H15" s="8">
        <f>VLOOKUP(G15,产品信息!$B$2:$C$26,2,0)</f>
        <v>440</v>
      </c>
      <c r="I15" s="9">
        <v>392</v>
      </c>
      <c r="J15" s="37">
        <f t="shared" si="0"/>
        <v>172480</v>
      </c>
      <c r="K15" s="10"/>
    </row>
    <row r="16" spans="1:11" x14ac:dyDescent="0.3">
      <c r="A16" s="6">
        <v>2185362</v>
      </c>
      <c r="B16" s="35">
        <v>41811</v>
      </c>
      <c r="C16" s="7" t="s">
        <v>121</v>
      </c>
      <c r="D16" s="7" t="s">
        <v>24</v>
      </c>
      <c r="E16" s="7" t="s">
        <v>25</v>
      </c>
      <c r="F16" s="7" t="s">
        <v>16</v>
      </c>
      <c r="G16" s="7" t="s">
        <v>17</v>
      </c>
      <c r="H16" s="8">
        <f>VLOOKUP(G16,产品信息!$B$2:$C$26,2,0)</f>
        <v>14</v>
      </c>
      <c r="I16" s="9">
        <v>864</v>
      </c>
      <c r="J16" s="37">
        <f t="shared" si="0"/>
        <v>12096</v>
      </c>
      <c r="K16" s="10"/>
    </row>
    <row r="17" spans="1:11" x14ac:dyDescent="0.3">
      <c r="A17" s="6">
        <v>2185363</v>
      </c>
      <c r="B17" s="35">
        <v>41832</v>
      </c>
      <c r="C17" s="7" t="s">
        <v>122</v>
      </c>
      <c r="D17" s="7" t="s">
        <v>14</v>
      </c>
      <c r="E17" s="7" t="s">
        <v>37</v>
      </c>
      <c r="F17" s="7" t="s">
        <v>19</v>
      </c>
      <c r="G17" s="7" t="s">
        <v>38</v>
      </c>
      <c r="H17" s="8">
        <f>VLOOKUP(G17,产品信息!$B$2:$C$26,2,0)</f>
        <v>206</v>
      </c>
      <c r="I17" s="9">
        <v>308</v>
      </c>
      <c r="J17" s="37">
        <f t="shared" si="0"/>
        <v>63448</v>
      </c>
      <c r="K17" s="10"/>
    </row>
    <row r="18" spans="1:11" x14ac:dyDescent="0.3">
      <c r="A18" s="6">
        <v>2185364</v>
      </c>
      <c r="B18" s="35">
        <v>41840</v>
      </c>
      <c r="C18" s="7" t="s">
        <v>123</v>
      </c>
      <c r="D18" s="7" t="s">
        <v>14</v>
      </c>
      <c r="E18" s="7" t="s">
        <v>39</v>
      </c>
      <c r="F18" s="7" t="s">
        <v>28</v>
      </c>
      <c r="G18" s="7" t="s">
        <v>40</v>
      </c>
      <c r="H18" s="8">
        <f>VLOOKUP(G18,产品信息!$B$2:$C$26,2,0)</f>
        <v>13</v>
      </c>
      <c r="I18" s="9">
        <v>1299</v>
      </c>
      <c r="J18" s="37">
        <f t="shared" si="0"/>
        <v>16887</v>
      </c>
      <c r="K18" s="10"/>
    </row>
    <row r="19" spans="1:11" x14ac:dyDescent="0.3">
      <c r="A19" s="6">
        <v>2185365</v>
      </c>
      <c r="B19" s="35">
        <v>41844</v>
      </c>
      <c r="C19" s="7" t="s">
        <v>114</v>
      </c>
      <c r="D19" s="7" t="s">
        <v>24</v>
      </c>
      <c r="E19" s="7" t="s">
        <v>25</v>
      </c>
      <c r="F19" s="7" t="s">
        <v>12</v>
      </c>
      <c r="G19" s="7" t="s">
        <v>21</v>
      </c>
      <c r="H19" s="8">
        <f>VLOOKUP(G19,产品信息!$B$2:$C$26,2,0)</f>
        <v>17</v>
      </c>
      <c r="I19" s="9">
        <v>550</v>
      </c>
      <c r="J19" s="37">
        <f t="shared" si="0"/>
        <v>9350</v>
      </c>
      <c r="K19" s="10"/>
    </row>
    <row r="20" spans="1:11" x14ac:dyDescent="0.3">
      <c r="A20" s="6">
        <v>2185366</v>
      </c>
      <c r="B20" s="35">
        <v>41856</v>
      </c>
      <c r="C20" s="7" t="s">
        <v>123</v>
      </c>
      <c r="D20" s="7" t="s">
        <v>14</v>
      </c>
      <c r="E20" s="7" t="s">
        <v>15</v>
      </c>
      <c r="F20" s="7" t="s">
        <v>28</v>
      </c>
      <c r="G20" s="7" t="s">
        <v>41</v>
      </c>
      <c r="H20" s="8">
        <f>VLOOKUP(G20,产品信息!$B$2:$C$26,2,0)</f>
        <v>94</v>
      </c>
      <c r="I20" s="9">
        <v>1137</v>
      </c>
      <c r="J20" s="37">
        <f t="shared" si="0"/>
        <v>106878</v>
      </c>
      <c r="K20" s="10"/>
    </row>
    <row r="21" spans="1:11" x14ac:dyDescent="0.3">
      <c r="A21" s="6">
        <v>2185368</v>
      </c>
      <c r="B21" s="35">
        <v>41856</v>
      </c>
      <c r="C21" s="7" t="s">
        <v>124</v>
      </c>
      <c r="D21" s="7" t="s">
        <v>24</v>
      </c>
      <c r="E21" s="7" t="s">
        <v>42</v>
      </c>
      <c r="F21" s="7" t="s">
        <v>12</v>
      </c>
      <c r="G21" s="7" t="s">
        <v>13</v>
      </c>
      <c r="H21" s="8">
        <f>VLOOKUP(G21,产品信息!$B$2:$C$26,2,0)</f>
        <v>86</v>
      </c>
      <c r="I21" s="9">
        <v>653</v>
      </c>
      <c r="J21" s="37">
        <f t="shared" si="0"/>
        <v>56158</v>
      </c>
      <c r="K21" s="10"/>
    </row>
    <row r="22" spans="1:11" x14ac:dyDescent="0.3">
      <c r="A22" s="6">
        <v>2185369</v>
      </c>
      <c r="B22" s="35">
        <v>41870</v>
      </c>
      <c r="C22" s="7" t="s">
        <v>124</v>
      </c>
      <c r="D22" s="7" t="s">
        <v>24</v>
      </c>
      <c r="E22" s="7" t="s">
        <v>42</v>
      </c>
      <c r="F22" s="7" t="s">
        <v>12</v>
      </c>
      <c r="G22" s="7" t="s">
        <v>13</v>
      </c>
      <c r="H22" s="8">
        <f>VLOOKUP(G22,产品信息!$B$2:$C$26,2,0)</f>
        <v>86</v>
      </c>
      <c r="I22" s="9">
        <v>662</v>
      </c>
      <c r="J22" s="37">
        <f t="shared" si="0"/>
        <v>56932</v>
      </c>
      <c r="K22" s="10"/>
    </row>
    <row r="23" spans="1:11" x14ac:dyDescent="0.3">
      <c r="A23" s="6">
        <v>2185370</v>
      </c>
      <c r="B23" s="35">
        <v>41875</v>
      </c>
      <c r="C23" s="7" t="s">
        <v>124</v>
      </c>
      <c r="D23" s="7" t="s">
        <v>24</v>
      </c>
      <c r="E23" s="7" t="s">
        <v>25</v>
      </c>
      <c r="F23" s="7" t="s">
        <v>19</v>
      </c>
      <c r="G23" s="7" t="s">
        <v>43</v>
      </c>
      <c r="H23" s="8">
        <f>VLOOKUP(G23,产品信息!$B$2:$C$26,2,0)</f>
        <v>243</v>
      </c>
      <c r="I23" s="9">
        <v>396</v>
      </c>
      <c r="J23" s="37">
        <f t="shared" si="0"/>
        <v>96228</v>
      </c>
      <c r="K23" s="10"/>
    </row>
    <row r="24" spans="1:11" x14ac:dyDescent="0.3">
      <c r="A24" s="6">
        <v>2185371</v>
      </c>
      <c r="B24" s="35">
        <v>41885</v>
      </c>
      <c r="C24" s="7" t="s">
        <v>125</v>
      </c>
      <c r="D24" s="7" t="s">
        <v>33</v>
      </c>
      <c r="E24" s="7" t="s">
        <v>34</v>
      </c>
      <c r="F24" s="7" t="s">
        <v>16</v>
      </c>
      <c r="G24" s="7" t="s">
        <v>44</v>
      </c>
      <c r="H24" s="8">
        <f>VLOOKUP(G24,产品信息!$B$2:$C$26,2,0)</f>
        <v>15</v>
      </c>
      <c r="I24" s="9">
        <v>1085</v>
      </c>
      <c r="J24" s="37">
        <f t="shared" si="0"/>
        <v>16275</v>
      </c>
      <c r="K24" s="10"/>
    </row>
    <row r="25" spans="1:11" x14ac:dyDescent="0.3">
      <c r="A25" s="6">
        <v>2185373</v>
      </c>
      <c r="B25" s="35">
        <v>41901</v>
      </c>
      <c r="C25" s="7" t="s">
        <v>115</v>
      </c>
      <c r="D25" s="7" t="s">
        <v>14</v>
      </c>
      <c r="E25" s="7" t="s">
        <v>30</v>
      </c>
      <c r="F25" s="7" t="s">
        <v>19</v>
      </c>
      <c r="G25" s="7" t="s">
        <v>36</v>
      </c>
      <c r="H25" s="8">
        <f>VLOOKUP(G25,产品信息!$B$2:$C$26,2,0)</f>
        <v>440</v>
      </c>
      <c r="I25" s="9">
        <v>376</v>
      </c>
      <c r="J25" s="37">
        <f t="shared" si="0"/>
        <v>165440</v>
      </c>
      <c r="K25" s="10"/>
    </row>
    <row r="26" spans="1:11" x14ac:dyDescent="0.3">
      <c r="A26" s="6">
        <v>2185374</v>
      </c>
      <c r="B26" s="35">
        <v>41906</v>
      </c>
      <c r="C26" s="7" t="s">
        <v>126</v>
      </c>
      <c r="D26" s="7" t="s">
        <v>14</v>
      </c>
      <c r="E26" s="7" t="s">
        <v>18</v>
      </c>
      <c r="F26" s="7" t="s">
        <v>28</v>
      </c>
      <c r="G26" s="7" t="s">
        <v>40</v>
      </c>
      <c r="H26" s="8">
        <f>VLOOKUP(G26,产品信息!$B$2:$C$26,2,0)</f>
        <v>13</v>
      </c>
      <c r="I26" s="9">
        <v>1049</v>
      </c>
      <c r="J26" s="37">
        <f t="shared" si="0"/>
        <v>13637</v>
      </c>
      <c r="K26" s="10"/>
    </row>
    <row r="27" spans="1:11" x14ac:dyDescent="0.3">
      <c r="A27" s="6">
        <v>2185375</v>
      </c>
      <c r="B27" s="35">
        <v>41909</v>
      </c>
      <c r="C27" s="7" t="s">
        <v>127</v>
      </c>
      <c r="D27" s="7" t="s">
        <v>24</v>
      </c>
      <c r="E27" s="7" t="s">
        <v>27</v>
      </c>
      <c r="F27" s="7" t="s">
        <v>28</v>
      </c>
      <c r="G27" s="7" t="s">
        <v>45</v>
      </c>
      <c r="H27" s="8">
        <f>VLOOKUP(G27,产品信息!$B$2:$C$26,2,0)</f>
        <v>7</v>
      </c>
      <c r="I27" s="9">
        <v>1010</v>
      </c>
      <c r="J27" s="37">
        <f t="shared" si="0"/>
        <v>7070</v>
      </c>
      <c r="K27" s="10"/>
    </row>
    <row r="28" spans="1:11" x14ac:dyDescent="0.3">
      <c r="A28" s="6">
        <v>2185376</v>
      </c>
      <c r="B28" s="35">
        <v>41910</v>
      </c>
      <c r="C28" s="7" t="s">
        <v>117</v>
      </c>
      <c r="D28" s="7" t="s">
        <v>24</v>
      </c>
      <c r="E28" s="7" t="s">
        <v>27</v>
      </c>
      <c r="F28" s="7" t="s">
        <v>16</v>
      </c>
      <c r="G28" s="7" t="s">
        <v>46</v>
      </c>
      <c r="H28" s="8">
        <f>VLOOKUP(G28,产品信息!$B$2:$C$26,2,0)</f>
        <v>11</v>
      </c>
      <c r="I28" s="9">
        <v>789</v>
      </c>
      <c r="J28" s="37">
        <f t="shared" si="0"/>
        <v>8679</v>
      </c>
      <c r="K28" s="10"/>
    </row>
    <row r="29" spans="1:11" x14ac:dyDescent="0.3">
      <c r="A29" s="6">
        <v>2185377</v>
      </c>
      <c r="B29" s="35">
        <v>41912</v>
      </c>
      <c r="C29" s="7" t="s">
        <v>128</v>
      </c>
      <c r="D29" s="7" t="s">
        <v>14</v>
      </c>
      <c r="E29" s="7" t="s">
        <v>47</v>
      </c>
      <c r="F29" s="7" t="s">
        <v>28</v>
      </c>
      <c r="G29" s="7" t="s">
        <v>48</v>
      </c>
      <c r="H29" s="8">
        <f>VLOOKUP(G29,产品信息!$B$2:$C$26,2,0)</f>
        <v>60</v>
      </c>
      <c r="I29" s="9">
        <v>1224</v>
      </c>
      <c r="J29" s="37">
        <f t="shared" si="0"/>
        <v>73440</v>
      </c>
      <c r="K29" s="10"/>
    </row>
    <row r="30" spans="1:11" x14ac:dyDescent="0.3">
      <c r="A30" s="6">
        <v>2185378</v>
      </c>
      <c r="B30" s="35">
        <v>41914</v>
      </c>
      <c r="C30" s="7" t="s">
        <v>129</v>
      </c>
      <c r="D30" s="7" t="s">
        <v>24</v>
      </c>
      <c r="E30" s="7" t="s">
        <v>42</v>
      </c>
      <c r="F30" s="7" t="s">
        <v>16</v>
      </c>
      <c r="G30" s="7" t="s">
        <v>46</v>
      </c>
      <c r="H30" s="8">
        <f>VLOOKUP(G30,产品信息!$B$2:$C$26,2,0)</f>
        <v>11</v>
      </c>
      <c r="I30" s="9">
        <v>996</v>
      </c>
      <c r="J30" s="37">
        <f t="shared" si="0"/>
        <v>10956</v>
      </c>
      <c r="K30" s="10"/>
    </row>
    <row r="31" spans="1:11" x14ac:dyDescent="0.3">
      <c r="A31" s="6">
        <v>2185379</v>
      </c>
      <c r="B31" s="35">
        <v>41915</v>
      </c>
      <c r="C31" s="7" t="s">
        <v>130</v>
      </c>
      <c r="D31" s="7" t="s">
        <v>10</v>
      </c>
      <c r="E31" s="7" t="s">
        <v>49</v>
      </c>
      <c r="F31" s="7" t="s">
        <v>16</v>
      </c>
      <c r="G31" s="7" t="s">
        <v>50</v>
      </c>
      <c r="H31" s="8">
        <f>VLOOKUP(G31,产品信息!$B$2:$C$26,2,0)</f>
        <v>34</v>
      </c>
      <c r="I31" s="9">
        <v>1066</v>
      </c>
      <c r="J31" s="37">
        <f t="shared" si="0"/>
        <v>36244</v>
      </c>
      <c r="K31" s="10"/>
    </row>
    <row r="32" spans="1:11" x14ac:dyDescent="0.3">
      <c r="A32" s="6">
        <v>2185380</v>
      </c>
      <c r="B32" s="35">
        <v>41919</v>
      </c>
      <c r="C32" s="7" t="s">
        <v>131</v>
      </c>
      <c r="D32" s="7" t="s">
        <v>24</v>
      </c>
      <c r="E32" s="7" t="s">
        <v>25</v>
      </c>
      <c r="F32" s="7" t="s">
        <v>16</v>
      </c>
      <c r="G32" s="7" t="s">
        <v>51</v>
      </c>
      <c r="H32" s="8">
        <f>VLOOKUP(G32,产品信息!$B$2:$C$26,2,0)</f>
        <v>46</v>
      </c>
      <c r="I32" s="9">
        <v>855</v>
      </c>
      <c r="J32" s="37">
        <f t="shared" si="0"/>
        <v>39330</v>
      </c>
      <c r="K32" s="10"/>
    </row>
    <row r="33" spans="1:11" x14ac:dyDescent="0.3">
      <c r="A33" s="6">
        <v>2185381</v>
      </c>
      <c r="B33" s="35">
        <v>41920</v>
      </c>
      <c r="C33" s="7" t="s">
        <v>132</v>
      </c>
      <c r="D33" s="7" t="s">
        <v>24</v>
      </c>
      <c r="E33" s="7" t="s">
        <v>27</v>
      </c>
      <c r="F33" s="7" t="s">
        <v>19</v>
      </c>
      <c r="G33" s="7" t="s">
        <v>52</v>
      </c>
      <c r="H33" s="8">
        <f>VLOOKUP(G33,产品信息!$B$2:$C$26,2,0)</f>
        <v>149</v>
      </c>
      <c r="I33" s="9">
        <v>322</v>
      </c>
      <c r="J33" s="37">
        <f t="shared" si="0"/>
        <v>47978</v>
      </c>
      <c r="K33" s="10"/>
    </row>
    <row r="34" spans="1:11" x14ac:dyDescent="0.3">
      <c r="A34" s="6">
        <v>2185382</v>
      </c>
      <c r="B34" s="35">
        <v>41925</v>
      </c>
      <c r="C34" s="7" t="s">
        <v>120</v>
      </c>
      <c r="D34" s="7" t="s">
        <v>33</v>
      </c>
      <c r="E34" s="7" t="s">
        <v>34</v>
      </c>
      <c r="F34" s="7" t="s">
        <v>16</v>
      </c>
      <c r="G34" s="7" t="s">
        <v>17</v>
      </c>
      <c r="H34" s="8">
        <f>VLOOKUP(G34,产品信息!$B$2:$C$26,2,0)</f>
        <v>14</v>
      </c>
      <c r="I34" s="9">
        <v>866</v>
      </c>
      <c r="J34" s="37">
        <f t="shared" si="0"/>
        <v>12124</v>
      </c>
      <c r="K34" s="10"/>
    </row>
    <row r="35" spans="1:11" x14ac:dyDescent="0.3">
      <c r="A35" s="6">
        <v>2185383</v>
      </c>
      <c r="B35" s="35">
        <v>41942</v>
      </c>
      <c r="C35" s="7" t="s">
        <v>133</v>
      </c>
      <c r="D35" s="7" t="s">
        <v>10</v>
      </c>
      <c r="E35" s="7" t="s">
        <v>49</v>
      </c>
      <c r="F35" s="7" t="s">
        <v>28</v>
      </c>
      <c r="G35" s="7" t="s">
        <v>41</v>
      </c>
      <c r="H35" s="8">
        <f>VLOOKUP(G35,产品信息!$B$2:$C$26,2,0)</f>
        <v>94</v>
      </c>
      <c r="I35" s="9">
        <v>991</v>
      </c>
      <c r="J35" s="37">
        <f t="shared" si="0"/>
        <v>93154</v>
      </c>
      <c r="K35" s="10"/>
    </row>
    <row r="36" spans="1:11" x14ac:dyDescent="0.3">
      <c r="A36" s="6">
        <v>2185384</v>
      </c>
      <c r="B36" s="35">
        <v>41950</v>
      </c>
      <c r="C36" s="7" t="s">
        <v>115</v>
      </c>
      <c r="D36" s="7" t="s">
        <v>14</v>
      </c>
      <c r="E36" s="7" t="s">
        <v>18</v>
      </c>
      <c r="F36" s="7" t="s">
        <v>12</v>
      </c>
      <c r="G36" s="7" t="s">
        <v>32</v>
      </c>
      <c r="H36" s="8">
        <f>VLOOKUP(G36,产品信息!$B$2:$C$26,2,0)</f>
        <v>17</v>
      </c>
      <c r="I36" s="9">
        <v>604</v>
      </c>
      <c r="J36" s="37">
        <f t="shared" si="0"/>
        <v>10268</v>
      </c>
      <c r="K36" s="10"/>
    </row>
    <row r="37" spans="1:11" x14ac:dyDescent="0.3">
      <c r="A37" s="6">
        <v>2185385</v>
      </c>
      <c r="B37" s="35">
        <v>41981</v>
      </c>
      <c r="C37" s="7" t="s">
        <v>129</v>
      </c>
      <c r="D37" s="7" t="s">
        <v>24</v>
      </c>
      <c r="E37" s="7" t="s">
        <v>27</v>
      </c>
      <c r="F37" s="7" t="s">
        <v>12</v>
      </c>
      <c r="G37" s="7" t="s">
        <v>31</v>
      </c>
      <c r="H37" s="8">
        <f>VLOOKUP(G37,产品信息!$B$2:$C$26,2,0)</f>
        <v>43</v>
      </c>
      <c r="I37" s="9">
        <v>644</v>
      </c>
      <c r="J37" s="37">
        <f t="shared" si="0"/>
        <v>27692</v>
      </c>
      <c r="K37" s="10"/>
    </row>
    <row r="38" spans="1:11" x14ac:dyDescent="0.3">
      <c r="A38" s="6">
        <v>2185386</v>
      </c>
      <c r="B38" s="35">
        <v>41997</v>
      </c>
      <c r="C38" s="7" t="s">
        <v>134</v>
      </c>
      <c r="D38" s="7" t="s">
        <v>14</v>
      </c>
      <c r="E38" s="7" t="s">
        <v>39</v>
      </c>
      <c r="F38" s="7" t="s">
        <v>19</v>
      </c>
      <c r="G38" s="7" t="s">
        <v>20</v>
      </c>
      <c r="H38" s="8">
        <f>VLOOKUP(G38,产品信息!$B$2:$C$26,2,0)</f>
        <v>77</v>
      </c>
      <c r="I38" s="9">
        <v>463</v>
      </c>
      <c r="J38" s="37">
        <f t="shared" si="0"/>
        <v>35651</v>
      </c>
      <c r="K38" s="10"/>
    </row>
    <row r="39" spans="1:11" x14ac:dyDescent="0.3">
      <c r="A39" s="6">
        <v>2185387</v>
      </c>
      <c r="B39" s="35">
        <v>42016</v>
      </c>
      <c r="C39" s="7" t="s">
        <v>135</v>
      </c>
      <c r="D39" s="7" t="s">
        <v>10</v>
      </c>
      <c r="E39" s="7" t="s">
        <v>49</v>
      </c>
      <c r="F39" s="7" t="s">
        <v>28</v>
      </c>
      <c r="G39" s="7" t="s">
        <v>45</v>
      </c>
      <c r="H39" s="8">
        <f>VLOOKUP(G39,产品信息!$B$2:$C$26,2,0)</f>
        <v>7</v>
      </c>
      <c r="I39" s="9">
        <v>1140</v>
      </c>
      <c r="J39" s="37">
        <f t="shared" si="0"/>
        <v>7980</v>
      </c>
      <c r="K39" s="10"/>
    </row>
    <row r="40" spans="1:11" x14ac:dyDescent="0.3">
      <c r="A40" s="6">
        <v>2185388</v>
      </c>
      <c r="B40" s="35">
        <v>42049</v>
      </c>
      <c r="C40" s="7" t="s">
        <v>136</v>
      </c>
      <c r="D40" s="7" t="s">
        <v>10</v>
      </c>
      <c r="E40" s="7" t="s">
        <v>22</v>
      </c>
      <c r="F40" s="7" t="s">
        <v>28</v>
      </c>
      <c r="G40" s="7" t="s">
        <v>45</v>
      </c>
      <c r="H40" s="8">
        <f>VLOOKUP(G40,产品信息!$B$2:$C$26,2,0)</f>
        <v>7</v>
      </c>
      <c r="I40" s="9">
        <v>1199</v>
      </c>
      <c r="J40" s="37">
        <f t="shared" si="0"/>
        <v>8393</v>
      </c>
      <c r="K40" s="10"/>
    </row>
    <row r="41" spans="1:11" x14ac:dyDescent="0.3">
      <c r="A41" s="6">
        <v>2185389</v>
      </c>
      <c r="B41" s="35">
        <v>42054</v>
      </c>
      <c r="C41" s="7" t="s">
        <v>134</v>
      </c>
      <c r="D41" s="7" t="s">
        <v>14</v>
      </c>
      <c r="E41" s="7" t="s">
        <v>30</v>
      </c>
      <c r="F41" s="7" t="s">
        <v>19</v>
      </c>
      <c r="G41" s="7" t="s">
        <v>20</v>
      </c>
      <c r="H41" s="8">
        <f>VLOOKUP(G41,产品信息!$B$2:$C$26,2,0)</f>
        <v>77</v>
      </c>
      <c r="I41" s="9">
        <v>425</v>
      </c>
      <c r="J41" s="37">
        <f t="shared" si="0"/>
        <v>32725</v>
      </c>
      <c r="K41" s="10"/>
    </row>
    <row r="42" spans="1:11" x14ac:dyDescent="0.3">
      <c r="A42" s="6">
        <v>2185390</v>
      </c>
      <c r="B42" s="35">
        <v>42057</v>
      </c>
      <c r="C42" s="7" t="s">
        <v>137</v>
      </c>
      <c r="D42" s="7" t="s">
        <v>33</v>
      </c>
      <c r="E42" s="7" t="s">
        <v>34</v>
      </c>
      <c r="F42" s="7" t="s">
        <v>28</v>
      </c>
      <c r="G42" s="7" t="s">
        <v>48</v>
      </c>
      <c r="H42" s="8">
        <f>VLOOKUP(G42,产品信息!$B$2:$C$26,2,0)</f>
        <v>60</v>
      </c>
      <c r="I42" s="9">
        <v>1456</v>
      </c>
      <c r="J42" s="37">
        <f t="shared" si="0"/>
        <v>87360</v>
      </c>
      <c r="K42" s="10"/>
    </row>
    <row r="43" spans="1:11" x14ac:dyDescent="0.3">
      <c r="A43" s="6">
        <v>2185392</v>
      </c>
      <c r="B43" s="35">
        <v>42068</v>
      </c>
      <c r="C43" s="7" t="s">
        <v>123</v>
      </c>
      <c r="D43" s="7" t="s">
        <v>14</v>
      </c>
      <c r="E43" s="7" t="s">
        <v>47</v>
      </c>
      <c r="F43" s="7" t="s">
        <v>28</v>
      </c>
      <c r="G43" s="7" t="s">
        <v>45</v>
      </c>
      <c r="H43" s="8">
        <f>VLOOKUP(G43,产品信息!$B$2:$C$26,2,0)</f>
        <v>7</v>
      </c>
      <c r="I43" s="9">
        <v>1136</v>
      </c>
      <c r="J43" s="37">
        <f t="shared" si="0"/>
        <v>7952</v>
      </c>
      <c r="K43" s="10"/>
    </row>
    <row r="44" spans="1:11" x14ac:dyDescent="0.3">
      <c r="A44" s="6">
        <v>2185393</v>
      </c>
      <c r="B44" s="35">
        <v>42076</v>
      </c>
      <c r="C44" s="7" t="s">
        <v>138</v>
      </c>
      <c r="D44" s="7" t="s">
        <v>10</v>
      </c>
      <c r="E44" s="7" t="s">
        <v>11</v>
      </c>
      <c r="F44" s="7" t="s">
        <v>16</v>
      </c>
      <c r="G44" s="7" t="s">
        <v>17</v>
      </c>
      <c r="H44" s="8">
        <f>VLOOKUP(G44,产品信息!$B$2:$C$26,2,0)</f>
        <v>14</v>
      </c>
      <c r="I44" s="9">
        <v>733</v>
      </c>
      <c r="J44" s="37">
        <f t="shared" si="0"/>
        <v>10262</v>
      </c>
      <c r="K44" s="10"/>
    </row>
    <row r="45" spans="1:11" x14ac:dyDescent="0.3">
      <c r="A45" s="6">
        <v>2185394</v>
      </c>
      <c r="B45" s="35">
        <v>42085</v>
      </c>
      <c r="C45" s="7" t="s">
        <v>115</v>
      </c>
      <c r="D45" s="7" t="s">
        <v>14</v>
      </c>
      <c r="E45" s="7" t="s">
        <v>18</v>
      </c>
      <c r="F45" s="7" t="s">
        <v>16</v>
      </c>
      <c r="G45" s="7" t="s">
        <v>51</v>
      </c>
      <c r="H45" s="8">
        <f>VLOOKUP(G45,产品信息!$B$2:$C$26,2,0)</f>
        <v>46</v>
      </c>
      <c r="I45" s="9">
        <v>773</v>
      </c>
      <c r="J45" s="37">
        <f t="shared" si="0"/>
        <v>35558</v>
      </c>
      <c r="K45" s="10"/>
    </row>
    <row r="46" spans="1:11" x14ac:dyDescent="0.3">
      <c r="A46" s="6">
        <v>2185395</v>
      </c>
      <c r="B46" s="35">
        <v>42089</v>
      </c>
      <c r="C46" s="7" t="s">
        <v>133</v>
      </c>
      <c r="D46" s="7" t="s">
        <v>10</v>
      </c>
      <c r="E46" s="7" t="s">
        <v>22</v>
      </c>
      <c r="F46" s="7" t="s">
        <v>28</v>
      </c>
      <c r="G46" s="7" t="s">
        <v>48</v>
      </c>
      <c r="H46" s="8">
        <f>VLOOKUP(G46,产品信息!$B$2:$C$26,2,0)</f>
        <v>60</v>
      </c>
      <c r="I46" s="9">
        <v>1459</v>
      </c>
      <c r="J46" s="37">
        <f t="shared" si="0"/>
        <v>87540</v>
      </c>
      <c r="K46" s="10"/>
    </row>
    <row r="47" spans="1:11" x14ac:dyDescent="0.3">
      <c r="A47" s="6">
        <v>2185396</v>
      </c>
      <c r="B47" s="35">
        <v>42096</v>
      </c>
      <c r="C47" s="7" t="s">
        <v>129</v>
      </c>
      <c r="D47" s="7" t="s">
        <v>24</v>
      </c>
      <c r="E47" s="7" t="s">
        <v>27</v>
      </c>
      <c r="F47" s="7" t="s">
        <v>12</v>
      </c>
      <c r="G47" s="7" t="s">
        <v>21</v>
      </c>
      <c r="H47" s="8">
        <f>VLOOKUP(G47,产品信息!$B$2:$C$26,2,0)</f>
        <v>17</v>
      </c>
      <c r="I47" s="9">
        <v>523</v>
      </c>
      <c r="J47" s="37">
        <f t="shared" si="0"/>
        <v>8891</v>
      </c>
      <c r="K47" s="10"/>
    </row>
    <row r="48" spans="1:11" x14ac:dyDescent="0.3">
      <c r="A48" s="6">
        <v>2185397</v>
      </c>
      <c r="B48" s="35">
        <v>42142</v>
      </c>
      <c r="C48" s="7" t="s">
        <v>127</v>
      </c>
      <c r="D48" s="7" t="s">
        <v>24</v>
      </c>
      <c r="E48" s="7" t="s">
        <v>42</v>
      </c>
      <c r="F48" s="7" t="s">
        <v>16</v>
      </c>
      <c r="G48" s="7" t="s">
        <v>44</v>
      </c>
      <c r="H48" s="8">
        <f>VLOOKUP(G48,产品信息!$B$2:$C$26,2,0)</f>
        <v>15</v>
      </c>
      <c r="I48" s="9">
        <v>1010</v>
      </c>
      <c r="J48" s="37">
        <f t="shared" si="0"/>
        <v>15150</v>
      </c>
      <c r="K48" s="10"/>
    </row>
    <row r="49" spans="1:11" x14ac:dyDescent="0.3">
      <c r="A49" s="6">
        <v>2185398</v>
      </c>
      <c r="B49" s="35">
        <v>42174</v>
      </c>
      <c r="C49" s="7" t="s">
        <v>128</v>
      </c>
      <c r="D49" s="7" t="s">
        <v>14</v>
      </c>
      <c r="E49" s="7" t="s">
        <v>39</v>
      </c>
      <c r="F49" s="7" t="s">
        <v>16</v>
      </c>
      <c r="G49" s="7" t="s">
        <v>23</v>
      </c>
      <c r="H49" s="8">
        <f>VLOOKUP(G49,产品信息!$B$2:$C$26,2,0)</f>
        <v>40</v>
      </c>
      <c r="I49" s="9">
        <v>775</v>
      </c>
      <c r="J49" s="37">
        <f t="shared" si="0"/>
        <v>31000</v>
      </c>
      <c r="K49" s="10"/>
    </row>
    <row r="50" spans="1:11" x14ac:dyDescent="0.3">
      <c r="A50" s="6">
        <v>2185399</v>
      </c>
      <c r="B50" s="35">
        <v>42180</v>
      </c>
      <c r="C50" s="7" t="s">
        <v>130</v>
      </c>
      <c r="D50" s="7" t="s">
        <v>10</v>
      </c>
      <c r="E50" s="7" t="s">
        <v>11</v>
      </c>
      <c r="F50" s="7" t="s">
        <v>12</v>
      </c>
      <c r="G50" s="7" t="s">
        <v>21</v>
      </c>
      <c r="H50" s="8">
        <f>VLOOKUP(G50,产品信息!$B$2:$C$26,2,0)</f>
        <v>17</v>
      </c>
      <c r="I50" s="9">
        <v>521</v>
      </c>
      <c r="J50" s="37">
        <f t="shared" si="0"/>
        <v>8857</v>
      </c>
      <c r="K50" s="10"/>
    </row>
    <row r="51" spans="1:11" x14ac:dyDescent="0.3">
      <c r="A51" s="6">
        <v>2185400</v>
      </c>
      <c r="B51" s="35">
        <v>42181</v>
      </c>
      <c r="C51" s="7" t="s">
        <v>139</v>
      </c>
      <c r="D51" s="7" t="s">
        <v>10</v>
      </c>
      <c r="E51" s="7" t="s">
        <v>22</v>
      </c>
      <c r="F51" s="7" t="s">
        <v>19</v>
      </c>
      <c r="G51" s="7" t="s">
        <v>20</v>
      </c>
      <c r="H51" s="8">
        <f>VLOOKUP(G51,产品信息!$B$2:$C$26,2,0)</f>
        <v>77</v>
      </c>
      <c r="I51" s="9">
        <v>494</v>
      </c>
      <c r="J51" s="37">
        <f t="shared" si="0"/>
        <v>38038</v>
      </c>
      <c r="K51" s="10"/>
    </row>
    <row r="52" spans="1:11" x14ac:dyDescent="0.3">
      <c r="A52" s="6">
        <v>2185401</v>
      </c>
      <c r="B52" s="35">
        <v>42201</v>
      </c>
      <c r="C52" s="7" t="s">
        <v>126</v>
      </c>
      <c r="D52" s="7" t="s">
        <v>14</v>
      </c>
      <c r="E52" s="7" t="s">
        <v>30</v>
      </c>
      <c r="F52" s="7" t="s">
        <v>12</v>
      </c>
      <c r="G52" s="7" t="s">
        <v>53</v>
      </c>
      <c r="H52" s="8">
        <f>VLOOKUP(G52,产品信息!$B$2:$C$26,2,0)</f>
        <v>63</v>
      </c>
      <c r="I52" s="9">
        <v>603</v>
      </c>
      <c r="J52" s="37">
        <f t="shared" si="0"/>
        <v>37989</v>
      </c>
      <c r="K52" s="10"/>
    </row>
    <row r="53" spans="1:11" x14ac:dyDescent="0.3">
      <c r="A53" s="6">
        <v>2185402</v>
      </c>
      <c r="B53" s="35">
        <v>42209</v>
      </c>
      <c r="C53" s="7" t="s">
        <v>139</v>
      </c>
      <c r="D53" s="7" t="s">
        <v>10</v>
      </c>
      <c r="E53" s="7" t="s">
        <v>11</v>
      </c>
      <c r="F53" s="7" t="s">
        <v>28</v>
      </c>
      <c r="G53" s="7" t="s">
        <v>48</v>
      </c>
      <c r="H53" s="8">
        <f>VLOOKUP(G53,产品信息!$B$2:$C$26,2,0)</f>
        <v>60</v>
      </c>
      <c r="I53" s="9">
        <v>1081</v>
      </c>
      <c r="J53" s="37">
        <f t="shared" si="0"/>
        <v>64860</v>
      </c>
      <c r="K53" s="10"/>
    </row>
    <row r="54" spans="1:11" x14ac:dyDescent="0.3">
      <c r="A54" s="6">
        <v>2185403</v>
      </c>
      <c r="B54" s="35">
        <v>42215</v>
      </c>
      <c r="C54" s="7" t="s">
        <v>128</v>
      </c>
      <c r="D54" s="7" t="s">
        <v>14</v>
      </c>
      <c r="E54" s="7" t="s">
        <v>30</v>
      </c>
      <c r="F54" s="7" t="s">
        <v>16</v>
      </c>
      <c r="G54" s="7" t="s">
        <v>44</v>
      </c>
      <c r="H54" s="8">
        <f>VLOOKUP(G54,产品信息!$B$2:$C$26,2,0)</f>
        <v>15</v>
      </c>
      <c r="I54" s="9">
        <v>989</v>
      </c>
      <c r="J54" s="37">
        <f t="shared" si="0"/>
        <v>14835</v>
      </c>
      <c r="K54" s="10"/>
    </row>
    <row r="55" spans="1:11" x14ac:dyDescent="0.3">
      <c r="A55" s="6">
        <v>2185404</v>
      </c>
      <c r="B55" s="35">
        <v>42224</v>
      </c>
      <c r="C55" s="7" t="s">
        <v>140</v>
      </c>
      <c r="D55" s="7" t="s">
        <v>14</v>
      </c>
      <c r="E55" s="7" t="s">
        <v>47</v>
      </c>
      <c r="F55" s="7" t="s">
        <v>19</v>
      </c>
      <c r="G55" s="7" t="s">
        <v>43</v>
      </c>
      <c r="H55" s="8">
        <f>VLOOKUP(G55,产品信息!$B$2:$C$26,2,0)</f>
        <v>243</v>
      </c>
      <c r="I55" s="9">
        <v>373</v>
      </c>
      <c r="J55" s="37">
        <f t="shared" si="0"/>
        <v>90639</v>
      </c>
      <c r="K55" s="10"/>
    </row>
    <row r="56" spans="1:11" x14ac:dyDescent="0.3">
      <c r="A56" s="6">
        <v>2185405</v>
      </c>
      <c r="B56" s="35">
        <v>42231</v>
      </c>
      <c r="C56" s="7" t="s">
        <v>110</v>
      </c>
      <c r="D56" s="7" t="s">
        <v>10</v>
      </c>
      <c r="E56" s="7" t="s">
        <v>11</v>
      </c>
      <c r="F56" s="7" t="s">
        <v>16</v>
      </c>
      <c r="G56" s="7" t="s">
        <v>54</v>
      </c>
      <c r="H56" s="8">
        <f>VLOOKUP(G56,产品信息!$B$2:$C$26,2,0)</f>
        <v>23</v>
      </c>
      <c r="I56" s="9">
        <v>799</v>
      </c>
      <c r="J56" s="37">
        <f t="shared" si="0"/>
        <v>18377</v>
      </c>
      <c r="K56" s="10"/>
    </row>
    <row r="57" spans="1:11" x14ac:dyDescent="0.3">
      <c r="A57" s="6">
        <v>2185407</v>
      </c>
      <c r="B57" s="35">
        <v>42237</v>
      </c>
      <c r="C57" s="7" t="s">
        <v>129</v>
      </c>
      <c r="D57" s="7" t="s">
        <v>24</v>
      </c>
      <c r="E57" s="7" t="s">
        <v>42</v>
      </c>
      <c r="F57" s="7" t="s">
        <v>19</v>
      </c>
      <c r="G57" s="7" t="s">
        <v>43</v>
      </c>
      <c r="H57" s="8">
        <f>VLOOKUP(G57,产品信息!$B$2:$C$26,2,0)</f>
        <v>243</v>
      </c>
      <c r="I57" s="9">
        <v>326</v>
      </c>
      <c r="J57" s="37">
        <f t="shared" si="0"/>
        <v>79218</v>
      </c>
      <c r="K57" s="10"/>
    </row>
    <row r="58" spans="1:11" x14ac:dyDescent="0.3">
      <c r="A58" s="6">
        <v>2185408</v>
      </c>
      <c r="B58" s="35">
        <v>42237</v>
      </c>
      <c r="C58" s="7" t="s">
        <v>117</v>
      </c>
      <c r="D58" s="7" t="s">
        <v>24</v>
      </c>
      <c r="E58" s="7" t="s">
        <v>25</v>
      </c>
      <c r="F58" s="7" t="s">
        <v>16</v>
      </c>
      <c r="G58" s="7" t="s">
        <v>44</v>
      </c>
      <c r="H58" s="8">
        <f>VLOOKUP(G58,产品信息!$B$2:$C$26,2,0)</f>
        <v>15</v>
      </c>
      <c r="I58" s="9">
        <v>1051</v>
      </c>
      <c r="J58" s="37">
        <f t="shared" si="0"/>
        <v>15765</v>
      </c>
      <c r="K58" s="10"/>
    </row>
    <row r="59" spans="1:11" x14ac:dyDescent="0.3">
      <c r="A59" s="6">
        <v>2185409</v>
      </c>
      <c r="B59" s="35">
        <v>42240</v>
      </c>
      <c r="C59" s="7" t="s">
        <v>141</v>
      </c>
      <c r="D59" s="7" t="s">
        <v>14</v>
      </c>
      <c r="E59" s="7" t="s">
        <v>18</v>
      </c>
      <c r="F59" s="7" t="s">
        <v>28</v>
      </c>
      <c r="G59" s="7" t="s">
        <v>40</v>
      </c>
      <c r="H59" s="8">
        <f>VLOOKUP(G59,产品信息!$B$2:$C$26,2,0)</f>
        <v>13</v>
      </c>
      <c r="I59" s="9">
        <v>1059</v>
      </c>
      <c r="J59" s="37">
        <f t="shared" si="0"/>
        <v>13767</v>
      </c>
      <c r="K59" s="10"/>
    </row>
    <row r="60" spans="1:11" x14ac:dyDescent="0.3">
      <c r="A60" s="6">
        <v>2185410</v>
      </c>
      <c r="B60" s="35">
        <v>42259</v>
      </c>
      <c r="C60" s="7" t="s">
        <v>124</v>
      </c>
      <c r="D60" s="7" t="s">
        <v>24</v>
      </c>
      <c r="E60" s="7" t="s">
        <v>25</v>
      </c>
      <c r="F60" s="7" t="s">
        <v>16</v>
      </c>
      <c r="G60" s="7" t="s">
        <v>23</v>
      </c>
      <c r="H60" s="8">
        <f>VLOOKUP(G60,产品信息!$B$2:$C$26,2,0)</f>
        <v>40</v>
      </c>
      <c r="I60" s="9">
        <v>865</v>
      </c>
      <c r="J60" s="37">
        <f t="shared" si="0"/>
        <v>34600</v>
      </c>
      <c r="K60" s="10"/>
    </row>
    <row r="61" spans="1:11" x14ac:dyDescent="0.3">
      <c r="A61" s="6">
        <v>2185411</v>
      </c>
      <c r="B61" s="35">
        <v>42265</v>
      </c>
      <c r="C61" s="7" t="s">
        <v>142</v>
      </c>
      <c r="D61" s="7" t="s">
        <v>24</v>
      </c>
      <c r="E61" s="7" t="s">
        <v>27</v>
      </c>
      <c r="F61" s="7" t="s">
        <v>12</v>
      </c>
      <c r="G61" s="7" t="s">
        <v>31</v>
      </c>
      <c r="H61" s="8">
        <f>VLOOKUP(G61,产品信息!$B$2:$C$26,2,0)</f>
        <v>43</v>
      </c>
      <c r="I61" s="9">
        <v>685</v>
      </c>
      <c r="J61" s="37">
        <f t="shared" si="0"/>
        <v>29455</v>
      </c>
      <c r="K61" s="10"/>
    </row>
    <row r="62" spans="1:11" x14ac:dyDescent="0.3">
      <c r="A62" s="6">
        <v>2185412</v>
      </c>
      <c r="B62" s="35">
        <v>42269</v>
      </c>
      <c r="C62" s="7" t="s">
        <v>132</v>
      </c>
      <c r="D62" s="7" t="s">
        <v>24</v>
      </c>
      <c r="E62" s="7" t="s">
        <v>25</v>
      </c>
      <c r="F62" s="7" t="s">
        <v>16</v>
      </c>
      <c r="G62" s="7" t="s">
        <v>46</v>
      </c>
      <c r="H62" s="8">
        <f>VLOOKUP(G62,产品信息!$B$2:$C$26,2,0)</f>
        <v>11</v>
      </c>
      <c r="I62" s="9">
        <v>782</v>
      </c>
      <c r="J62" s="37">
        <f t="shared" si="0"/>
        <v>8602</v>
      </c>
      <c r="K62" s="10"/>
    </row>
    <row r="63" spans="1:11" x14ac:dyDescent="0.3">
      <c r="A63" s="6">
        <v>2185413</v>
      </c>
      <c r="B63" s="35">
        <v>42273</v>
      </c>
      <c r="C63" s="7" t="s">
        <v>124</v>
      </c>
      <c r="D63" s="7" t="s">
        <v>24</v>
      </c>
      <c r="E63" s="7" t="s">
        <v>42</v>
      </c>
      <c r="F63" s="7" t="s">
        <v>19</v>
      </c>
      <c r="G63" s="7" t="s">
        <v>36</v>
      </c>
      <c r="H63" s="8">
        <f>VLOOKUP(G63,产品信息!$B$2:$C$26,2,0)</f>
        <v>440</v>
      </c>
      <c r="I63" s="9">
        <v>350</v>
      </c>
      <c r="J63" s="37">
        <f t="shared" si="0"/>
        <v>154000</v>
      </c>
      <c r="K63" s="10"/>
    </row>
    <row r="64" spans="1:11" x14ac:dyDescent="0.3">
      <c r="A64" s="6">
        <v>2185414</v>
      </c>
      <c r="B64" s="35">
        <v>42278</v>
      </c>
      <c r="C64" s="7" t="s">
        <v>131</v>
      </c>
      <c r="D64" s="7" t="s">
        <v>24</v>
      </c>
      <c r="E64" s="7" t="s">
        <v>27</v>
      </c>
      <c r="F64" s="7" t="s">
        <v>28</v>
      </c>
      <c r="G64" s="7" t="s">
        <v>45</v>
      </c>
      <c r="H64" s="8">
        <f>VLOOKUP(G64,产品信息!$B$2:$C$26,2,0)</f>
        <v>7</v>
      </c>
      <c r="I64" s="9">
        <v>1189</v>
      </c>
      <c r="J64" s="37">
        <f t="shared" si="0"/>
        <v>8323</v>
      </c>
      <c r="K64" s="10"/>
    </row>
    <row r="65" spans="1:11" x14ac:dyDescent="0.3">
      <c r="A65" s="6">
        <v>2185415</v>
      </c>
      <c r="B65" s="35">
        <v>42281</v>
      </c>
      <c r="C65" s="7" t="s">
        <v>116</v>
      </c>
      <c r="D65" s="7" t="s">
        <v>10</v>
      </c>
      <c r="E65" s="7" t="s">
        <v>11</v>
      </c>
      <c r="F65" s="7" t="s">
        <v>12</v>
      </c>
      <c r="G65" s="7" t="s">
        <v>26</v>
      </c>
      <c r="H65" s="8">
        <f>VLOOKUP(G65,产品信息!$B$2:$C$26,2,0)</f>
        <v>57</v>
      </c>
      <c r="I65" s="9">
        <v>558</v>
      </c>
      <c r="J65" s="37">
        <f t="shared" si="0"/>
        <v>31806</v>
      </c>
      <c r="K65" s="10"/>
    </row>
    <row r="66" spans="1:11" x14ac:dyDescent="0.3">
      <c r="A66" s="6">
        <v>2185416</v>
      </c>
      <c r="B66" s="35">
        <v>42286</v>
      </c>
      <c r="C66" s="7" t="s">
        <v>123</v>
      </c>
      <c r="D66" s="7" t="s">
        <v>14</v>
      </c>
      <c r="E66" s="7" t="s">
        <v>15</v>
      </c>
      <c r="F66" s="7" t="s">
        <v>16</v>
      </c>
      <c r="G66" s="7" t="s">
        <v>50</v>
      </c>
      <c r="H66" s="8">
        <f>VLOOKUP(G66,产品信息!$B$2:$C$26,2,0)</f>
        <v>34</v>
      </c>
      <c r="I66" s="9">
        <v>1022</v>
      </c>
      <c r="J66" s="37">
        <f t="shared" si="0"/>
        <v>34748</v>
      </c>
      <c r="K66" s="10"/>
    </row>
    <row r="67" spans="1:11" x14ac:dyDescent="0.3">
      <c r="A67" s="6">
        <v>2185417</v>
      </c>
      <c r="B67" s="35">
        <v>42292</v>
      </c>
      <c r="C67" s="7" t="s">
        <v>115</v>
      </c>
      <c r="D67" s="7" t="s">
        <v>14</v>
      </c>
      <c r="E67" s="7" t="s">
        <v>18</v>
      </c>
      <c r="F67" s="7" t="s">
        <v>16</v>
      </c>
      <c r="G67" s="7" t="s">
        <v>54</v>
      </c>
      <c r="H67" s="8">
        <f>VLOOKUP(G67,产品信息!$B$2:$C$26,2,0)</f>
        <v>23</v>
      </c>
      <c r="I67" s="9">
        <v>832</v>
      </c>
      <c r="J67" s="37">
        <f t="shared" ref="J67:J117" si="1">H67*I67</f>
        <v>19136</v>
      </c>
      <c r="K67" s="10"/>
    </row>
    <row r="68" spans="1:11" x14ac:dyDescent="0.3">
      <c r="A68" s="6">
        <v>2185418</v>
      </c>
      <c r="B68" s="35">
        <v>42302</v>
      </c>
      <c r="C68" s="7" t="s">
        <v>129</v>
      </c>
      <c r="D68" s="7" t="s">
        <v>24</v>
      </c>
      <c r="E68" s="7" t="s">
        <v>27</v>
      </c>
      <c r="F68" s="7" t="s">
        <v>28</v>
      </c>
      <c r="G68" s="7" t="s">
        <v>40</v>
      </c>
      <c r="H68" s="8">
        <f>VLOOKUP(G68,产品信息!$B$2:$C$26,2,0)</f>
        <v>13</v>
      </c>
      <c r="I68" s="9">
        <v>1187</v>
      </c>
      <c r="J68" s="37">
        <f t="shared" si="1"/>
        <v>15431</v>
      </c>
      <c r="K68" s="10"/>
    </row>
    <row r="69" spans="1:11" x14ac:dyDescent="0.3">
      <c r="A69" s="6">
        <v>2185419</v>
      </c>
      <c r="B69" s="35">
        <v>42303</v>
      </c>
      <c r="C69" s="7" t="s">
        <v>131</v>
      </c>
      <c r="D69" s="7" t="s">
        <v>24</v>
      </c>
      <c r="E69" s="7" t="s">
        <v>25</v>
      </c>
      <c r="F69" s="7" t="s">
        <v>12</v>
      </c>
      <c r="G69" s="7" t="s">
        <v>21</v>
      </c>
      <c r="H69" s="8">
        <f>VLOOKUP(G69,产品信息!$B$2:$C$26,2,0)</f>
        <v>17</v>
      </c>
      <c r="I69" s="9">
        <v>579</v>
      </c>
      <c r="J69" s="37">
        <f t="shared" si="1"/>
        <v>9843</v>
      </c>
      <c r="K69" s="10"/>
    </row>
    <row r="70" spans="1:11" x14ac:dyDescent="0.3">
      <c r="A70" s="6">
        <v>2185420</v>
      </c>
      <c r="B70" s="35">
        <v>42312</v>
      </c>
      <c r="C70" s="7" t="s">
        <v>129</v>
      </c>
      <c r="D70" s="7" t="s">
        <v>24</v>
      </c>
      <c r="E70" s="7" t="s">
        <v>25</v>
      </c>
      <c r="F70" s="7" t="s">
        <v>16</v>
      </c>
      <c r="G70" s="7" t="s">
        <v>23</v>
      </c>
      <c r="H70" s="8">
        <f>VLOOKUP(G70,产品信息!$B$2:$C$26,2,0)</f>
        <v>40</v>
      </c>
      <c r="I70" s="9">
        <v>853</v>
      </c>
      <c r="J70" s="37">
        <f t="shared" si="1"/>
        <v>34120</v>
      </c>
      <c r="K70" s="10"/>
    </row>
    <row r="71" spans="1:11" x14ac:dyDescent="0.3">
      <c r="A71" s="6">
        <v>2185421</v>
      </c>
      <c r="B71" s="35">
        <v>42336</v>
      </c>
      <c r="C71" s="7" t="s">
        <v>129</v>
      </c>
      <c r="D71" s="7" t="s">
        <v>24</v>
      </c>
      <c r="E71" s="7" t="s">
        <v>27</v>
      </c>
      <c r="F71" s="7" t="s">
        <v>28</v>
      </c>
      <c r="G71" s="7" t="s">
        <v>48</v>
      </c>
      <c r="H71" s="8">
        <f>VLOOKUP(G71,产品信息!$B$2:$C$26,2,0)</f>
        <v>60</v>
      </c>
      <c r="I71" s="9">
        <v>1094</v>
      </c>
      <c r="J71" s="37">
        <f t="shared" si="1"/>
        <v>65640</v>
      </c>
      <c r="K71" s="10"/>
    </row>
    <row r="72" spans="1:11" x14ac:dyDescent="0.3">
      <c r="A72" s="6">
        <v>2185422</v>
      </c>
      <c r="B72" s="35">
        <v>42338</v>
      </c>
      <c r="C72" s="7" t="s">
        <v>134</v>
      </c>
      <c r="D72" s="7" t="s">
        <v>14</v>
      </c>
      <c r="E72" s="7" t="s">
        <v>47</v>
      </c>
      <c r="F72" s="7" t="s">
        <v>28</v>
      </c>
      <c r="G72" s="7" t="s">
        <v>45</v>
      </c>
      <c r="H72" s="8">
        <f>VLOOKUP(G72,产品信息!$B$2:$C$26,2,0)</f>
        <v>7</v>
      </c>
      <c r="I72" s="9">
        <v>1212</v>
      </c>
      <c r="J72" s="37">
        <f t="shared" si="1"/>
        <v>8484</v>
      </c>
      <c r="K72" s="10"/>
    </row>
    <row r="73" spans="1:11" x14ac:dyDescent="0.3">
      <c r="A73" s="6">
        <v>2185423</v>
      </c>
      <c r="B73" s="35">
        <v>42346</v>
      </c>
      <c r="C73" s="7" t="s">
        <v>143</v>
      </c>
      <c r="D73" s="7" t="s">
        <v>14</v>
      </c>
      <c r="E73" s="7" t="s">
        <v>37</v>
      </c>
      <c r="F73" s="7" t="s">
        <v>12</v>
      </c>
      <c r="G73" s="7" t="s">
        <v>31</v>
      </c>
      <c r="H73" s="8">
        <f>VLOOKUP(G73,产品信息!$B$2:$C$26,2,0)</f>
        <v>43</v>
      </c>
      <c r="I73" s="9">
        <v>601</v>
      </c>
      <c r="J73" s="37">
        <f t="shared" si="1"/>
        <v>25843</v>
      </c>
      <c r="K73" s="10"/>
    </row>
    <row r="74" spans="1:11" x14ac:dyDescent="0.3">
      <c r="A74" s="6">
        <v>2185424</v>
      </c>
      <c r="B74" s="35">
        <v>42350</v>
      </c>
      <c r="C74" s="7" t="s">
        <v>144</v>
      </c>
      <c r="D74" s="7" t="s">
        <v>10</v>
      </c>
      <c r="E74" s="7" t="s">
        <v>55</v>
      </c>
      <c r="F74" s="7" t="s">
        <v>16</v>
      </c>
      <c r="G74" s="7" t="s">
        <v>51</v>
      </c>
      <c r="H74" s="8">
        <f>VLOOKUP(G74,产品信息!$B$2:$C$26,2,0)</f>
        <v>46</v>
      </c>
      <c r="I74" s="9">
        <v>1022</v>
      </c>
      <c r="J74" s="37">
        <f t="shared" si="1"/>
        <v>47012</v>
      </c>
      <c r="K74" s="10"/>
    </row>
    <row r="75" spans="1:11" x14ac:dyDescent="0.3">
      <c r="A75" s="6">
        <v>2185425</v>
      </c>
      <c r="B75" s="35">
        <v>42360</v>
      </c>
      <c r="C75" s="7" t="s">
        <v>115</v>
      </c>
      <c r="D75" s="7" t="s">
        <v>14</v>
      </c>
      <c r="E75" s="7" t="s">
        <v>18</v>
      </c>
      <c r="F75" s="7" t="s">
        <v>12</v>
      </c>
      <c r="G75" s="7" t="s">
        <v>31</v>
      </c>
      <c r="H75" s="8">
        <f>VLOOKUP(G75,产品信息!$B$2:$C$26,2,0)</f>
        <v>43</v>
      </c>
      <c r="I75" s="9">
        <v>601</v>
      </c>
      <c r="J75" s="37">
        <f t="shared" si="1"/>
        <v>25843</v>
      </c>
      <c r="K75" s="10"/>
    </row>
    <row r="76" spans="1:11" x14ac:dyDescent="0.3">
      <c r="A76" s="6">
        <v>2185426</v>
      </c>
      <c r="B76" s="35">
        <v>42390</v>
      </c>
      <c r="C76" s="7" t="s">
        <v>134</v>
      </c>
      <c r="D76" s="7" t="s">
        <v>14</v>
      </c>
      <c r="E76" s="7" t="s">
        <v>15</v>
      </c>
      <c r="F76" s="7" t="s">
        <v>12</v>
      </c>
      <c r="G76" s="7" t="s">
        <v>21</v>
      </c>
      <c r="H76" s="8">
        <f>VLOOKUP(G76,产品信息!$B$2:$C$26,2,0)</f>
        <v>17</v>
      </c>
      <c r="I76" s="9">
        <v>753</v>
      </c>
      <c r="J76" s="37">
        <f t="shared" si="1"/>
        <v>12801</v>
      </c>
      <c r="K76" s="10"/>
    </row>
    <row r="77" spans="1:11" x14ac:dyDescent="0.3">
      <c r="A77" s="6">
        <v>2185427</v>
      </c>
      <c r="B77" s="35">
        <v>42405</v>
      </c>
      <c r="C77" s="7" t="s">
        <v>124</v>
      </c>
      <c r="D77" s="7" t="s">
        <v>24</v>
      </c>
      <c r="E77" s="7" t="s">
        <v>25</v>
      </c>
      <c r="F77" s="7" t="s">
        <v>19</v>
      </c>
      <c r="G77" s="7" t="s">
        <v>43</v>
      </c>
      <c r="H77" s="8">
        <f>VLOOKUP(G77,产品信息!$B$2:$C$26,2,0)</f>
        <v>243</v>
      </c>
      <c r="I77" s="9">
        <v>314</v>
      </c>
      <c r="J77" s="37">
        <f t="shared" si="1"/>
        <v>76302</v>
      </c>
      <c r="K77" s="10"/>
    </row>
    <row r="78" spans="1:11" x14ac:dyDescent="0.3">
      <c r="A78" s="6">
        <v>2185428</v>
      </c>
      <c r="B78" s="35">
        <v>42411</v>
      </c>
      <c r="C78" s="7" t="s">
        <v>145</v>
      </c>
      <c r="D78" s="7" t="s">
        <v>10</v>
      </c>
      <c r="E78" s="7" t="s">
        <v>22</v>
      </c>
      <c r="F78" s="7" t="s">
        <v>28</v>
      </c>
      <c r="G78" s="7" t="s">
        <v>40</v>
      </c>
      <c r="H78" s="8">
        <f>VLOOKUP(G78,产品信息!$B$2:$C$26,2,0)</f>
        <v>13</v>
      </c>
      <c r="I78" s="9">
        <v>1387</v>
      </c>
      <c r="J78" s="37">
        <f t="shared" si="1"/>
        <v>18031</v>
      </c>
      <c r="K78" s="10"/>
    </row>
    <row r="79" spans="1:11" x14ac:dyDescent="0.3">
      <c r="A79" s="6">
        <v>2185429</v>
      </c>
      <c r="B79" s="35">
        <v>42429</v>
      </c>
      <c r="C79" s="7" t="s">
        <v>130</v>
      </c>
      <c r="D79" s="7" t="s">
        <v>10</v>
      </c>
      <c r="E79" s="7" t="s">
        <v>22</v>
      </c>
      <c r="F79" s="7" t="s">
        <v>16</v>
      </c>
      <c r="G79" s="7" t="s">
        <v>46</v>
      </c>
      <c r="H79" s="8">
        <f>VLOOKUP(G79,产品信息!$B$2:$C$26,2,0)</f>
        <v>11</v>
      </c>
      <c r="I79" s="9">
        <v>803</v>
      </c>
      <c r="J79" s="37">
        <f t="shared" si="1"/>
        <v>8833</v>
      </c>
      <c r="K79" s="10"/>
    </row>
    <row r="80" spans="1:11" x14ac:dyDescent="0.3">
      <c r="A80" s="6">
        <v>2185430</v>
      </c>
      <c r="B80" s="35">
        <v>42457</v>
      </c>
      <c r="C80" s="7" t="s">
        <v>114</v>
      </c>
      <c r="D80" s="7" t="s">
        <v>24</v>
      </c>
      <c r="E80" s="7" t="s">
        <v>42</v>
      </c>
      <c r="F80" s="7" t="s">
        <v>16</v>
      </c>
      <c r="G80" s="7" t="s">
        <v>44</v>
      </c>
      <c r="H80" s="8">
        <f>VLOOKUP(G80,产品信息!$B$2:$C$26,2,0)</f>
        <v>15</v>
      </c>
      <c r="I80" s="9">
        <v>1078</v>
      </c>
      <c r="J80" s="37">
        <f t="shared" si="1"/>
        <v>16170</v>
      </c>
      <c r="K80" s="10"/>
    </row>
    <row r="81" spans="1:11" x14ac:dyDescent="0.3">
      <c r="A81" s="6">
        <v>2185431</v>
      </c>
      <c r="B81" s="35">
        <v>42459</v>
      </c>
      <c r="C81" s="7" t="s">
        <v>115</v>
      </c>
      <c r="D81" s="7" t="s">
        <v>14</v>
      </c>
      <c r="E81" s="7" t="s">
        <v>47</v>
      </c>
      <c r="F81" s="7" t="s">
        <v>12</v>
      </c>
      <c r="G81" s="7" t="s">
        <v>21</v>
      </c>
      <c r="H81" s="8">
        <f>VLOOKUP(G81,产品信息!$B$2:$C$26,2,0)</f>
        <v>17</v>
      </c>
      <c r="I81" s="9">
        <v>539</v>
      </c>
      <c r="J81" s="37">
        <f t="shared" si="1"/>
        <v>9163</v>
      </c>
      <c r="K81" s="10"/>
    </row>
    <row r="82" spans="1:11" x14ac:dyDescent="0.3">
      <c r="A82" s="6">
        <v>2185432</v>
      </c>
      <c r="B82" s="35">
        <v>42464</v>
      </c>
      <c r="C82" s="7" t="s">
        <v>134</v>
      </c>
      <c r="D82" s="7" t="s">
        <v>14</v>
      </c>
      <c r="E82" s="7" t="s">
        <v>47</v>
      </c>
      <c r="F82" s="7" t="s">
        <v>28</v>
      </c>
      <c r="G82" s="7" t="s">
        <v>48</v>
      </c>
      <c r="H82" s="8">
        <f>VLOOKUP(G82,产品信息!$B$2:$C$26,2,0)</f>
        <v>60</v>
      </c>
      <c r="I82" s="9">
        <v>1161</v>
      </c>
      <c r="J82" s="37">
        <f t="shared" si="1"/>
        <v>69660</v>
      </c>
      <c r="K82" s="10"/>
    </row>
    <row r="83" spans="1:11" x14ac:dyDescent="0.3">
      <c r="A83" s="6">
        <v>2185433</v>
      </c>
      <c r="B83" s="35">
        <v>42466</v>
      </c>
      <c r="C83" s="7" t="s">
        <v>144</v>
      </c>
      <c r="D83" s="7" t="s">
        <v>10</v>
      </c>
      <c r="E83" s="7" t="s">
        <v>11</v>
      </c>
      <c r="F83" s="7" t="s">
        <v>12</v>
      </c>
      <c r="G83" s="7" t="s">
        <v>32</v>
      </c>
      <c r="H83" s="8">
        <f>VLOOKUP(G83,产品信息!$B$2:$C$26,2,0)</f>
        <v>17</v>
      </c>
      <c r="I83" s="9">
        <v>546</v>
      </c>
      <c r="J83" s="37">
        <f t="shared" si="1"/>
        <v>9282</v>
      </c>
      <c r="K83" s="10"/>
    </row>
    <row r="84" spans="1:11" x14ac:dyDescent="0.3">
      <c r="A84" s="6">
        <v>2185436</v>
      </c>
      <c r="B84" s="35">
        <v>42467</v>
      </c>
      <c r="C84" s="7" t="s">
        <v>146</v>
      </c>
      <c r="D84" s="7" t="s">
        <v>14</v>
      </c>
      <c r="E84" s="7" t="s">
        <v>30</v>
      </c>
      <c r="F84" s="7" t="s">
        <v>28</v>
      </c>
      <c r="G84" s="7" t="s">
        <v>29</v>
      </c>
      <c r="H84" s="8">
        <f>VLOOKUP(G84,产品信息!$B$2:$C$26,2,0)</f>
        <v>43</v>
      </c>
      <c r="I84" s="9">
        <v>1128</v>
      </c>
      <c r="J84" s="37">
        <f t="shared" si="1"/>
        <v>48504</v>
      </c>
      <c r="K84" s="10"/>
    </row>
    <row r="85" spans="1:11" x14ac:dyDescent="0.3">
      <c r="A85" s="6">
        <v>2185437</v>
      </c>
      <c r="B85" s="35">
        <v>42471</v>
      </c>
      <c r="C85" s="7" t="s">
        <v>138</v>
      </c>
      <c r="D85" s="7" t="s">
        <v>10</v>
      </c>
      <c r="E85" s="7" t="s">
        <v>22</v>
      </c>
      <c r="F85" s="7" t="s">
        <v>12</v>
      </c>
      <c r="G85" s="7" t="s">
        <v>32</v>
      </c>
      <c r="H85" s="8">
        <f>VLOOKUP(G85,产品信息!$B$2:$C$26,2,0)</f>
        <v>17</v>
      </c>
      <c r="I85" s="9">
        <v>728</v>
      </c>
      <c r="J85" s="37">
        <f t="shared" si="1"/>
        <v>12376</v>
      </c>
      <c r="K85" s="10"/>
    </row>
    <row r="86" spans="1:11" x14ac:dyDescent="0.3">
      <c r="A86" s="6">
        <v>2185438</v>
      </c>
      <c r="B86" s="35">
        <v>42475</v>
      </c>
      <c r="C86" s="7" t="s">
        <v>147</v>
      </c>
      <c r="D86" s="7" t="s">
        <v>10</v>
      </c>
      <c r="E86" s="7" t="s">
        <v>49</v>
      </c>
      <c r="F86" s="7" t="s">
        <v>28</v>
      </c>
      <c r="G86" s="7" t="s">
        <v>41</v>
      </c>
      <c r="H86" s="8">
        <f>VLOOKUP(G86,产品信息!$B$2:$C$26,2,0)</f>
        <v>94</v>
      </c>
      <c r="I86" s="9">
        <v>972</v>
      </c>
      <c r="J86" s="37">
        <f t="shared" si="1"/>
        <v>91368</v>
      </c>
      <c r="K86" s="10"/>
    </row>
    <row r="87" spans="1:11" x14ac:dyDescent="0.3">
      <c r="A87" s="6">
        <v>2185439</v>
      </c>
      <c r="B87" s="35">
        <v>42487</v>
      </c>
      <c r="C87" s="7" t="s">
        <v>117</v>
      </c>
      <c r="D87" s="7" t="s">
        <v>24</v>
      </c>
      <c r="E87" s="7" t="s">
        <v>27</v>
      </c>
      <c r="F87" s="7" t="s">
        <v>19</v>
      </c>
      <c r="G87" s="7" t="s">
        <v>35</v>
      </c>
      <c r="H87" s="8">
        <f>VLOOKUP(G87,产品信息!$B$2:$C$26,2,0)</f>
        <v>300</v>
      </c>
      <c r="I87" s="9">
        <v>461</v>
      </c>
      <c r="J87" s="37">
        <f t="shared" si="1"/>
        <v>138300</v>
      </c>
      <c r="K87" s="10"/>
    </row>
    <row r="88" spans="1:11" x14ac:dyDescent="0.3">
      <c r="A88" s="6">
        <v>2185440</v>
      </c>
      <c r="B88" s="35">
        <v>42495</v>
      </c>
      <c r="C88" s="7" t="s">
        <v>116</v>
      </c>
      <c r="D88" s="7" t="s">
        <v>10</v>
      </c>
      <c r="E88" s="7" t="s">
        <v>22</v>
      </c>
      <c r="F88" s="7" t="s">
        <v>12</v>
      </c>
      <c r="G88" s="7" t="s">
        <v>13</v>
      </c>
      <c r="H88" s="8">
        <f>VLOOKUP(G88,产品信息!$B$2:$C$26,2,0)</f>
        <v>86</v>
      </c>
      <c r="I88" s="9">
        <v>514</v>
      </c>
      <c r="J88" s="37">
        <f t="shared" si="1"/>
        <v>44204</v>
      </c>
      <c r="K88" s="10"/>
    </row>
    <row r="89" spans="1:11" x14ac:dyDescent="0.3">
      <c r="A89" s="6">
        <v>2185441</v>
      </c>
      <c r="B89" s="35">
        <v>42512</v>
      </c>
      <c r="C89" s="7" t="s">
        <v>119</v>
      </c>
      <c r="D89" s="7" t="s">
        <v>33</v>
      </c>
      <c r="E89" s="7" t="s">
        <v>34</v>
      </c>
      <c r="F89" s="7" t="s">
        <v>12</v>
      </c>
      <c r="G89" s="7" t="s">
        <v>26</v>
      </c>
      <c r="H89" s="8">
        <f>VLOOKUP(G89,产品信息!$B$2:$C$26,2,0)</f>
        <v>57</v>
      </c>
      <c r="I89" s="9">
        <v>565</v>
      </c>
      <c r="J89" s="37">
        <f t="shared" si="1"/>
        <v>32205</v>
      </c>
      <c r="K89" s="10"/>
    </row>
    <row r="90" spans="1:11" x14ac:dyDescent="0.3">
      <c r="A90" s="6">
        <v>2185442</v>
      </c>
      <c r="B90" s="35">
        <v>42512</v>
      </c>
      <c r="C90" s="7" t="s">
        <v>113</v>
      </c>
      <c r="D90" s="7" t="s">
        <v>10</v>
      </c>
      <c r="E90" s="7" t="s">
        <v>22</v>
      </c>
      <c r="F90" s="7" t="s">
        <v>28</v>
      </c>
      <c r="G90" s="7" t="s">
        <v>29</v>
      </c>
      <c r="H90" s="8">
        <f>VLOOKUP(G90,产品信息!$B$2:$C$26,2,0)</f>
        <v>43</v>
      </c>
      <c r="I90" s="9">
        <v>1193</v>
      </c>
      <c r="J90" s="37">
        <f t="shared" si="1"/>
        <v>51299</v>
      </c>
      <c r="K90" s="10"/>
    </row>
    <row r="91" spans="1:11" x14ac:dyDescent="0.3">
      <c r="A91" s="6">
        <v>2185443</v>
      </c>
      <c r="B91" s="35">
        <v>42516</v>
      </c>
      <c r="C91" s="7" t="s">
        <v>148</v>
      </c>
      <c r="D91" s="7" t="s">
        <v>33</v>
      </c>
      <c r="E91" s="7" t="s">
        <v>56</v>
      </c>
      <c r="F91" s="7" t="s">
        <v>19</v>
      </c>
      <c r="G91" s="7" t="s">
        <v>52</v>
      </c>
      <c r="H91" s="8">
        <f>VLOOKUP(G91,产品信息!$B$2:$C$26,2,0)</f>
        <v>149</v>
      </c>
      <c r="I91" s="9">
        <v>490</v>
      </c>
      <c r="J91" s="37">
        <f t="shared" si="1"/>
        <v>73010</v>
      </c>
      <c r="K91" s="10"/>
    </row>
    <row r="92" spans="1:11" x14ac:dyDescent="0.3">
      <c r="A92" s="6">
        <v>2185444</v>
      </c>
      <c r="B92" s="35">
        <v>42519</v>
      </c>
      <c r="C92" s="7" t="s">
        <v>149</v>
      </c>
      <c r="D92" s="7" t="s">
        <v>10</v>
      </c>
      <c r="E92" s="7" t="s">
        <v>22</v>
      </c>
      <c r="F92" s="7" t="s">
        <v>28</v>
      </c>
      <c r="G92" s="7" t="s">
        <v>45</v>
      </c>
      <c r="H92" s="8">
        <f>VLOOKUP(G92,产品信息!$B$2:$C$26,2,0)</f>
        <v>7</v>
      </c>
      <c r="I92" s="9">
        <v>1123</v>
      </c>
      <c r="J92" s="37">
        <f t="shared" si="1"/>
        <v>7861</v>
      </c>
      <c r="K92" s="10"/>
    </row>
    <row r="93" spans="1:11" x14ac:dyDescent="0.3">
      <c r="A93" s="6">
        <v>2185445</v>
      </c>
      <c r="B93" s="35">
        <v>42551</v>
      </c>
      <c r="C93" s="7" t="s">
        <v>142</v>
      </c>
      <c r="D93" s="7" t="s">
        <v>24</v>
      </c>
      <c r="E93" s="7" t="s">
        <v>25</v>
      </c>
      <c r="F93" s="7" t="s">
        <v>28</v>
      </c>
      <c r="G93" s="7" t="s">
        <v>29</v>
      </c>
      <c r="H93" s="8">
        <f>VLOOKUP(G93,产品信息!$B$2:$C$26,2,0)</f>
        <v>43</v>
      </c>
      <c r="I93" s="9">
        <v>1128</v>
      </c>
      <c r="J93" s="37">
        <f t="shared" si="1"/>
        <v>48504</v>
      </c>
      <c r="K93" s="10"/>
    </row>
    <row r="94" spans="1:11" x14ac:dyDescent="0.3">
      <c r="A94" s="6">
        <v>2185446</v>
      </c>
      <c r="B94" s="35">
        <v>42552</v>
      </c>
      <c r="C94" s="7" t="s">
        <v>128</v>
      </c>
      <c r="D94" s="7" t="s">
        <v>14</v>
      </c>
      <c r="E94" s="7" t="s">
        <v>39</v>
      </c>
      <c r="F94" s="7" t="s">
        <v>16</v>
      </c>
      <c r="G94" s="7" t="s">
        <v>51</v>
      </c>
      <c r="H94" s="8">
        <f>VLOOKUP(G94,产品信息!$B$2:$C$26,2,0)</f>
        <v>46</v>
      </c>
      <c r="I94" s="9">
        <v>841</v>
      </c>
      <c r="J94" s="37">
        <f t="shared" si="1"/>
        <v>38686</v>
      </c>
      <c r="K94" s="10"/>
    </row>
    <row r="95" spans="1:11" x14ac:dyDescent="0.3">
      <c r="A95" s="6">
        <v>2185447</v>
      </c>
      <c r="B95" s="35">
        <v>42557</v>
      </c>
      <c r="C95" s="7" t="s">
        <v>127</v>
      </c>
      <c r="D95" s="7" t="s">
        <v>24</v>
      </c>
      <c r="E95" s="7" t="s">
        <v>42</v>
      </c>
      <c r="F95" s="7" t="s">
        <v>16</v>
      </c>
      <c r="G95" s="7" t="s">
        <v>44</v>
      </c>
      <c r="H95" s="8">
        <f>VLOOKUP(G95,产品信息!$B$2:$C$26,2,0)</f>
        <v>15</v>
      </c>
      <c r="I95" s="9">
        <v>880</v>
      </c>
      <c r="J95" s="37">
        <f t="shared" si="1"/>
        <v>13200</v>
      </c>
      <c r="K95" s="10"/>
    </row>
    <row r="96" spans="1:11" x14ac:dyDescent="0.3">
      <c r="A96" s="6">
        <v>2185448</v>
      </c>
      <c r="B96" s="35">
        <v>42584</v>
      </c>
      <c r="C96" s="7" t="s">
        <v>150</v>
      </c>
      <c r="D96" s="7" t="s">
        <v>14</v>
      </c>
      <c r="E96" s="7" t="s">
        <v>37</v>
      </c>
      <c r="F96" s="7" t="s">
        <v>12</v>
      </c>
      <c r="G96" s="7" t="s">
        <v>13</v>
      </c>
      <c r="H96" s="8">
        <f>VLOOKUP(G96,产品信息!$B$2:$C$26,2,0)</f>
        <v>86</v>
      </c>
      <c r="I96" s="9">
        <v>670</v>
      </c>
      <c r="J96" s="37">
        <f t="shared" si="1"/>
        <v>57620</v>
      </c>
      <c r="K96" s="10"/>
    </row>
    <row r="97" spans="1:11" x14ac:dyDescent="0.3">
      <c r="A97" s="6">
        <v>2185449</v>
      </c>
      <c r="B97" s="35">
        <v>42590</v>
      </c>
      <c r="C97" s="7" t="s">
        <v>117</v>
      </c>
      <c r="D97" s="7" t="s">
        <v>24</v>
      </c>
      <c r="E97" s="7" t="s">
        <v>25</v>
      </c>
      <c r="F97" s="7" t="s">
        <v>28</v>
      </c>
      <c r="G97" s="7" t="s">
        <v>41</v>
      </c>
      <c r="H97" s="8">
        <f>VLOOKUP(G97,产品信息!$B$2:$C$26,2,0)</f>
        <v>94</v>
      </c>
      <c r="I97" s="9">
        <v>1137</v>
      </c>
      <c r="J97" s="37">
        <f t="shared" si="1"/>
        <v>106878</v>
      </c>
      <c r="K97" s="10"/>
    </row>
    <row r="98" spans="1:11" x14ac:dyDescent="0.3">
      <c r="A98" s="6">
        <v>2185450</v>
      </c>
      <c r="B98" s="35">
        <v>42599</v>
      </c>
      <c r="C98" s="7" t="s">
        <v>119</v>
      </c>
      <c r="D98" s="7" t="s">
        <v>33</v>
      </c>
      <c r="E98" s="7" t="s">
        <v>34</v>
      </c>
      <c r="F98" s="7" t="s">
        <v>19</v>
      </c>
      <c r="G98" s="7" t="s">
        <v>52</v>
      </c>
      <c r="H98" s="8">
        <f>VLOOKUP(G98,产品信息!$B$2:$C$26,2,0)</f>
        <v>149</v>
      </c>
      <c r="I98" s="9">
        <v>328</v>
      </c>
      <c r="J98" s="37">
        <f t="shared" si="1"/>
        <v>48872</v>
      </c>
      <c r="K98" s="10"/>
    </row>
    <row r="99" spans="1:11" x14ac:dyDescent="0.3">
      <c r="A99" s="6">
        <v>2185451</v>
      </c>
      <c r="B99" s="35">
        <v>42601</v>
      </c>
      <c r="C99" s="7" t="s">
        <v>151</v>
      </c>
      <c r="D99" s="7" t="s">
        <v>14</v>
      </c>
      <c r="E99" s="7" t="s">
        <v>18</v>
      </c>
      <c r="F99" s="7" t="s">
        <v>28</v>
      </c>
      <c r="G99" s="7" t="s">
        <v>29</v>
      </c>
      <c r="H99" s="8">
        <f>VLOOKUP(G99,产品信息!$B$2:$C$26,2,0)</f>
        <v>43</v>
      </c>
      <c r="I99" s="9">
        <v>1440</v>
      </c>
      <c r="J99" s="37">
        <f t="shared" si="1"/>
        <v>61920</v>
      </c>
      <c r="K99" s="10"/>
    </row>
    <row r="100" spans="1:11" x14ac:dyDescent="0.3">
      <c r="A100" s="6">
        <v>2185452</v>
      </c>
      <c r="B100" s="35">
        <v>42607</v>
      </c>
      <c r="C100" s="7" t="s">
        <v>129</v>
      </c>
      <c r="D100" s="7" t="s">
        <v>24</v>
      </c>
      <c r="E100" s="7" t="s">
        <v>27</v>
      </c>
      <c r="F100" s="7" t="s">
        <v>16</v>
      </c>
      <c r="G100" s="7" t="s">
        <v>51</v>
      </c>
      <c r="H100" s="8">
        <f>VLOOKUP(G100,产品信息!$B$2:$C$26,2,0)</f>
        <v>46</v>
      </c>
      <c r="I100" s="9">
        <v>952</v>
      </c>
      <c r="J100" s="37">
        <f t="shared" si="1"/>
        <v>43792</v>
      </c>
      <c r="K100" s="10"/>
    </row>
    <row r="101" spans="1:11" x14ac:dyDescent="0.3">
      <c r="A101" s="6">
        <v>2185453</v>
      </c>
      <c r="B101" s="35">
        <v>42611</v>
      </c>
      <c r="C101" s="7" t="s">
        <v>146</v>
      </c>
      <c r="D101" s="7" t="s">
        <v>14</v>
      </c>
      <c r="E101" s="7" t="s">
        <v>18</v>
      </c>
      <c r="F101" s="7" t="s">
        <v>28</v>
      </c>
      <c r="G101" s="7" t="s">
        <v>48</v>
      </c>
      <c r="H101" s="8">
        <f>VLOOKUP(G101,产品信息!$B$2:$C$26,2,0)</f>
        <v>60</v>
      </c>
      <c r="I101" s="9">
        <v>1348</v>
      </c>
      <c r="J101" s="37">
        <f t="shared" si="1"/>
        <v>80880</v>
      </c>
      <c r="K101" s="10"/>
    </row>
    <row r="102" spans="1:11" x14ac:dyDescent="0.3">
      <c r="A102" s="6">
        <v>2185454</v>
      </c>
      <c r="B102" s="35">
        <v>42622</v>
      </c>
      <c r="C102" s="7" t="s">
        <v>149</v>
      </c>
      <c r="D102" s="7" t="s">
        <v>10</v>
      </c>
      <c r="E102" s="7" t="s">
        <v>11</v>
      </c>
      <c r="F102" s="7" t="s">
        <v>16</v>
      </c>
      <c r="G102" s="7" t="s">
        <v>17</v>
      </c>
      <c r="H102" s="8">
        <f>VLOOKUP(G102,产品信息!$B$2:$C$26,2,0)</f>
        <v>14</v>
      </c>
      <c r="I102" s="9">
        <v>1014</v>
      </c>
      <c r="J102" s="37">
        <f t="shared" si="1"/>
        <v>14196</v>
      </c>
      <c r="K102" s="10"/>
    </row>
    <row r="103" spans="1:11" x14ac:dyDescent="0.3">
      <c r="A103" s="6">
        <v>2185455</v>
      </c>
      <c r="B103" s="35">
        <v>42633</v>
      </c>
      <c r="C103" s="7" t="s">
        <v>118</v>
      </c>
      <c r="D103" s="7" t="s">
        <v>10</v>
      </c>
      <c r="E103" s="7" t="s">
        <v>22</v>
      </c>
      <c r="F103" s="7" t="s">
        <v>28</v>
      </c>
      <c r="G103" s="7" t="s">
        <v>45</v>
      </c>
      <c r="H103" s="8">
        <f>VLOOKUP(G103,产品信息!$B$2:$C$26,2,0)</f>
        <v>7</v>
      </c>
      <c r="I103" s="9">
        <v>1438</v>
      </c>
      <c r="J103" s="37">
        <f t="shared" si="1"/>
        <v>10066</v>
      </c>
      <c r="K103" s="10"/>
    </row>
    <row r="104" spans="1:11" x14ac:dyDescent="0.3">
      <c r="A104" s="6">
        <v>2185456</v>
      </c>
      <c r="B104" s="35">
        <v>42635</v>
      </c>
      <c r="C104" s="7" t="s">
        <v>141</v>
      </c>
      <c r="D104" s="7" t="s">
        <v>14</v>
      </c>
      <c r="E104" s="7" t="s">
        <v>15</v>
      </c>
      <c r="F104" s="7" t="s">
        <v>28</v>
      </c>
      <c r="G104" s="7" t="s">
        <v>48</v>
      </c>
      <c r="H104" s="8">
        <f>VLOOKUP(G104,产品信息!$B$2:$C$26,2,0)</f>
        <v>60</v>
      </c>
      <c r="I104" s="9">
        <v>1277</v>
      </c>
      <c r="J104" s="37">
        <f t="shared" si="1"/>
        <v>76620</v>
      </c>
      <c r="K104" s="10"/>
    </row>
    <row r="105" spans="1:11" x14ac:dyDescent="0.3">
      <c r="A105" s="6">
        <v>2185457</v>
      </c>
      <c r="B105" s="35">
        <v>42639</v>
      </c>
      <c r="C105" s="7" t="s">
        <v>115</v>
      </c>
      <c r="D105" s="7" t="s">
        <v>14</v>
      </c>
      <c r="E105" s="7" t="s">
        <v>47</v>
      </c>
      <c r="F105" s="7" t="s">
        <v>12</v>
      </c>
      <c r="G105" s="7" t="s">
        <v>13</v>
      </c>
      <c r="H105" s="8">
        <f>VLOOKUP(G105,产品信息!$B$2:$C$26,2,0)</f>
        <v>86</v>
      </c>
      <c r="I105" s="9">
        <v>610</v>
      </c>
      <c r="J105" s="37">
        <f t="shared" si="1"/>
        <v>52460</v>
      </c>
      <c r="K105" s="10"/>
    </row>
    <row r="106" spans="1:11" x14ac:dyDescent="0.3">
      <c r="A106" s="6">
        <v>2185458</v>
      </c>
      <c r="B106" s="35">
        <v>42656</v>
      </c>
      <c r="C106" s="7" t="s">
        <v>152</v>
      </c>
      <c r="D106" s="7" t="s">
        <v>10</v>
      </c>
      <c r="E106" s="7" t="s">
        <v>11</v>
      </c>
      <c r="F106" s="7" t="s">
        <v>16</v>
      </c>
      <c r="G106" s="7" t="s">
        <v>50</v>
      </c>
      <c r="H106" s="8">
        <f>VLOOKUP(G106,产品信息!$B$2:$C$26,2,0)</f>
        <v>34</v>
      </c>
      <c r="I106" s="9">
        <v>721</v>
      </c>
      <c r="J106" s="37">
        <f t="shared" si="1"/>
        <v>24514</v>
      </c>
      <c r="K106" s="10"/>
    </row>
    <row r="107" spans="1:11" x14ac:dyDescent="0.3">
      <c r="A107" s="6">
        <v>2185459</v>
      </c>
      <c r="B107" s="35">
        <v>42662</v>
      </c>
      <c r="C107" s="7" t="s">
        <v>153</v>
      </c>
      <c r="D107" s="7" t="s">
        <v>14</v>
      </c>
      <c r="E107" s="7" t="s">
        <v>37</v>
      </c>
      <c r="F107" s="7" t="s">
        <v>19</v>
      </c>
      <c r="G107" s="7" t="s">
        <v>57</v>
      </c>
      <c r="H107" s="8">
        <f>VLOOKUP(G107,产品信息!$B$2:$C$26,2,0)</f>
        <v>480</v>
      </c>
      <c r="I107" s="9">
        <v>441</v>
      </c>
      <c r="J107" s="37">
        <f t="shared" si="1"/>
        <v>211680</v>
      </c>
      <c r="K107" s="10"/>
    </row>
    <row r="108" spans="1:11" x14ac:dyDescent="0.3">
      <c r="A108" s="6">
        <v>2185460</v>
      </c>
      <c r="B108" s="35">
        <v>42664</v>
      </c>
      <c r="C108" s="7" t="s">
        <v>116</v>
      </c>
      <c r="D108" s="7" t="s">
        <v>10</v>
      </c>
      <c r="E108" s="7" t="s">
        <v>11</v>
      </c>
      <c r="F108" s="7" t="s">
        <v>19</v>
      </c>
      <c r="G108" s="7" t="s">
        <v>52</v>
      </c>
      <c r="H108" s="8">
        <f>VLOOKUP(G108,产品信息!$B$2:$C$26,2,0)</f>
        <v>149</v>
      </c>
      <c r="I108" s="9">
        <v>407</v>
      </c>
      <c r="J108" s="37">
        <f t="shared" si="1"/>
        <v>60643</v>
      </c>
      <c r="K108" s="10"/>
    </row>
    <row r="109" spans="1:11" x14ac:dyDescent="0.3">
      <c r="A109" s="6">
        <v>2185461</v>
      </c>
      <c r="B109" s="35">
        <v>42682</v>
      </c>
      <c r="C109" s="7" t="s">
        <v>124</v>
      </c>
      <c r="D109" s="7" t="s">
        <v>24</v>
      </c>
      <c r="E109" s="7" t="s">
        <v>42</v>
      </c>
      <c r="F109" s="7" t="s">
        <v>16</v>
      </c>
      <c r="G109" s="7" t="s">
        <v>23</v>
      </c>
      <c r="H109" s="8">
        <f>VLOOKUP(G109,产品信息!$B$2:$C$26,2,0)</f>
        <v>40</v>
      </c>
      <c r="I109" s="9">
        <v>945</v>
      </c>
      <c r="J109" s="37">
        <f t="shared" si="1"/>
        <v>37800</v>
      </c>
      <c r="K109" s="10"/>
    </row>
    <row r="110" spans="1:11" x14ac:dyDescent="0.3">
      <c r="A110" s="6">
        <v>2185462</v>
      </c>
      <c r="B110" s="35">
        <v>42687</v>
      </c>
      <c r="C110" s="7" t="s">
        <v>111</v>
      </c>
      <c r="D110" s="7" t="s">
        <v>14</v>
      </c>
      <c r="E110" s="7" t="s">
        <v>15</v>
      </c>
      <c r="F110" s="7" t="s">
        <v>19</v>
      </c>
      <c r="G110" s="7" t="s">
        <v>57</v>
      </c>
      <c r="H110" s="8">
        <f>VLOOKUP(G110,产品信息!$B$2:$C$26,2,0)</f>
        <v>480</v>
      </c>
      <c r="I110" s="9">
        <v>489</v>
      </c>
      <c r="J110" s="37">
        <f t="shared" si="1"/>
        <v>234720</v>
      </c>
      <c r="K110" s="10"/>
    </row>
    <row r="111" spans="1:11" x14ac:dyDescent="0.3">
      <c r="A111" s="6">
        <v>2185463</v>
      </c>
      <c r="B111" s="35">
        <v>42692</v>
      </c>
      <c r="C111" s="7" t="s">
        <v>131</v>
      </c>
      <c r="D111" s="7" t="s">
        <v>24</v>
      </c>
      <c r="E111" s="7" t="s">
        <v>42</v>
      </c>
      <c r="F111" s="7" t="s">
        <v>16</v>
      </c>
      <c r="G111" s="7" t="s">
        <v>51</v>
      </c>
      <c r="H111" s="8">
        <f>VLOOKUP(G111,产品信息!$B$2:$C$26,2,0)</f>
        <v>46</v>
      </c>
      <c r="I111" s="9">
        <v>1085</v>
      </c>
      <c r="J111" s="37">
        <f t="shared" si="1"/>
        <v>49910</v>
      </c>
      <c r="K111" s="10"/>
    </row>
    <row r="112" spans="1:11" x14ac:dyDescent="0.3">
      <c r="A112" s="6">
        <v>2185464</v>
      </c>
      <c r="B112" s="35">
        <v>42692</v>
      </c>
      <c r="C112" s="7" t="s">
        <v>116</v>
      </c>
      <c r="D112" s="7" t="s">
        <v>10</v>
      </c>
      <c r="E112" s="7" t="s">
        <v>11</v>
      </c>
      <c r="F112" s="7" t="s">
        <v>28</v>
      </c>
      <c r="G112" s="7" t="s">
        <v>48</v>
      </c>
      <c r="H112" s="8">
        <f>VLOOKUP(G112,产品信息!$B$2:$C$26,2,0)</f>
        <v>60</v>
      </c>
      <c r="I112" s="9">
        <v>968</v>
      </c>
      <c r="J112" s="37">
        <f t="shared" si="1"/>
        <v>58080</v>
      </c>
      <c r="K112" s="10"/>
    </row>
    <row r="113" spans="1:11" x14ac:dyDescent="0.3">
      <c r="A113" s="6">
        <v>2185465</v>
      </c>
      <c r="B113" s="35">
        <v>42693</v>
      </c>
      <c r="C113" s="7" t="s">
        <v>134</v>
      </c>
      <c r="D113" s="7" t="s">
        <v>14</v>
      </c>
      <c r="E113" s="7" t="s">
        <v>39</v>
      </c>
      <c r="F113" s="7" t="s">
        <v>28</v>
      </c>
      <c r="G113" s="7" t="s">
        <v>41</v>
      </c>
      <c r="H113" s="8">
        <f>VLOOKUP(G113,产品信息!$B$2:$C$26,2,0)</f>
        <v>94</v>
      </c>
      <c r="I113" s="9">
        <v>1360</v>
      </c>
      <c r="J113" s="37">
        <f t="shared" si="1"/>
        <v>127840</v>
      </c>
      <c r="K113" s="10"/>
    </row>
    <row r="114" spans="1:11" x14ac:dyDescent="0.3">
      <c r="A114" s="6">
        <v>2185466</v>
      </c>
      <c r="B114" s="35">
        <v>42705</v>
      </c>
      <c r="C114" s="7" t="s">
        <v>114</v>
      </c>
      <c r="D114" s="7" t="s">
        <v>24</v>
      </c>
      <c r="E114" s="7" t="s">
        <v>58</v>
      </c>
      <c r="F114" s="7" t="s">
        <v>12</v>
      </c>
      <c r="G114" s="7" t="s">
        <v>21</v>
      </c>
      <c r="H114" s="8">
        <f>VLOOKUP(G114,产品信息!$B$2:$C$26,2,0)</f>
        <v>17</v>
      </c>
      <c r="I114" s="9">
        <v>521</v>
      </c>
      <c r="J114" s="37">
        <f t="shared" si="1"/>
        <v>8857</v>
      </c>
      <c r="K114" s="10"/>
    </row>
    <row r="115" spans="1:11" x14ac:dyDescent="0.3">
      <c r="A115" s="6">
        <v>2185467</v>
      </c>
      <c r="B115" s="35">
        <v>42710</v>
      </c>
      <c r="C115" s="7" t="s">
        <v>134</v>
      </c>
      <c r="D115" s="7" t="s">
        <v>14</v>
      </c>
      <c r="E115" s="7" t="s">
        <v>15</v>
      </c>
      <c r="F115" s="7" t="s">
        <v>12</v>
      </c>
      <c r="G115" s="7" t="s">
        <v>31</v>
      </c>
      <c r="H115" s="8">
        <f>VLOOKUP(G115,产品信息!$B$2:$C$26,2,0)</f>
        <v>43</v>
      </c>
      <c r="I115" s="9">
        <v>732</v>
      </c>
      <c r="J115" s="37">
        <f t="shared" si="1"/>
        <v>31476</v>
      </c>
      <c r="K115" s="10"/>
    </row>
    <row r="116" spans="1:11" x14ac:dyDescent="0.3">
      <c r="A116" s="6">
        <v>2185468</v>
      </c>
      <c r="B116" s="35">
        <v>42715</v>
      </c>
      <c r="C116" s="7" t="s">
        <v>151</v>
      </c>
      <c r="D116" s="7" t="s">
        <v>14</v>
      </c>
      <c r="E116" s="7" t="s">
        <v>15</v>
      </c>
      <c r="F116" s="7" t="s">
        <v>28</v>
      </c>
      <c r="G116" s="7" t="s">
        <v>29</v>
      </c>
      <c r="H116" s="8">
        <f>VLOOKUP(G116,产品信息!$B$2:$C$26,2,0)</f>
        <v>43</v>
      </c>
      <c r="I116" s="9">
        <v>1387</v>
      </c>
      <c r="J116" s="37">
        <f t="shared" si="1"/>
        <v>59641</v>
      </c>
      <c r="K116" s="10"/>
    </row>
    <row r="117" spans="1:11" x14ac:dyDescent="0.3">
      <c r="A117" s="12">
        <v>2185469</v>
      </c>
      <c r="B117" s="36">
        <v>42731</v>
      </c>
      <c r="C117" s="13" t="s">
        <v>142</v>
      </c>
      <c r="D117" s="13" t="s">
        <v>24</v>
      </c>
      <c r="E117" s="13" t="s">
        <v>58</v>
      </c>
      <c r="F117" s="13" t="s">
        <v>12</v>
      </c>
      <c r="G117" s="13" t="s">
        <v>21</v>
      </c>
      <c r="H117" s="8">
        <f>VLOOKUP(G117,产品信息!$B$2:$C$26,2,0)</f>
        <v>17</v>
      </c>
      <c r="I117" s="14">
        <v>716</v>
      </c>
      <c r="J117" s="37">
        <f t="shared" si="1"/>
        <v>12172</v>
      </c>
      <c r="K117" s="10"/>
    </row>
  </sheetData>
  <phoneticPr fontId="2" type="noConversion"/>
  <dataValidations count="1">
    <dataValidation type="list" allowBlank="1" showInputMessage="1" showErrorMessage="1" sqref="E2:E117">
      <formula1>INDIRECT($D2)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" sqref="C1:C3 B1:B4 A1:A5 E1:E5 D1:D7"/>
    </sheetView>
  </sheetViews>
  <sheetFormatPr defaultRowHeight="13.5" x14ac:dyDescent="0.15"/>
  <cols>
    <col min="1" max="1" width="10" bestFit="1" customWidth="1"/>
    <col min="2" max="2" width="10" customWidth="1"/>
    <col min="3" max="3" width="10" bestFit="1" customWidth="1"/>
  </cols>
  <sheetData>
    <row r="1" spans="1:5" x14ac:dyDescent="0.15">
      <c r="A1" s="17" t="s">
        <v>59</v>
      </c>
      <c r="B1" s="17" t="s">
        <v>60</v>
      </c>
      <c r="C1" s="17" t="s">
        <v>61</v>
      </c>
      <c r="D1" s="17" t="s">
        <v>62</v>
      </c>
      <c r="E1" s="18" t="s">
        <v>63</v>
      </c>
    </row>
    <row r="2" spans="1:5" x14ac:dyDescent="0.15">
      <c r="A2" s="19" t="s">
        <v>60</v>
      </c>
      <c r="B2" s="20" t="s">
        <v>22</v>
      </c>
      <c r="C2" s="20" t="s">
        <v>34</v>
      </c>
      <c r="D2" s="20" t="s">
        <v>37</v>
      </c>
      <c r="E2" s="21" t="s">
        <v>64</v>
      </c>
    </row>
    <row r="3" spans="1:5" x14ac:dyDescent="0.15">
      <c r="A3" s="19" t="s">
        <v>33</v>
      </c>
      <c r="B3" s="20" t="s">
        <v>65</v>
      </c>
      <c r="C3" s="20" t="s">
        <v>56</v>
      </c>
      <c r="D3" s="20" t="s">
        <v>66</v>
      </c>
      <c r="E3" s="21" t="s">
        <v>25</v>
      </c>
    </row>
    <row r="4" spans="1:5" x14ac:dyDescent="0.15">
      <c r="A4" s="19" t="s">
        <v>67</v>
      </c>
      <c r="B4" s="20" t="s">
        <v>49</v>
      </c>
      <c r="D4" s="20" t="s">
        <v>68</v>
      </c>
      <c r="E4" s="21" t="s">
        <v>58</v>
      </c>
    </row>
    <row r="5" spans="1:5" x14ac:dyDescent="0.15">
      <c r="A5" s="20" t="s">
        <v>69</v>
      </c>
      <c r="D5" s="20" t="s">
        <v>70</v>
      </c>
      <c r="E5" s="20" t="s">
        <v>71</v>
      </c>
    </row>
    <row r="6" spans="1:5" x14ac:dyDescent="0.15">
      <c r="A6" s="22"/>
      <c r="D6" s="20" t="s">
        <v>72</v>
      </c>
    </row>
    <row r="7" spans="1:5" x14ac:dyDescent="0.15">
      <c r="D7" s="20" t="s">
        <v>73</v>
      </c>
    </row>
  </sheetData>
  <phoneticPr fontId="2" type="noConversion"/>
  <pageMargins left="0.7" right="0.7" top="0.75" bottom="0.75" header="0.3" footer="0.3"/>
  <pageSetup paperSize="9"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A2" sqref="A2"/>
    </sheetView>
  </sheetViews>
  <sheetFormatPr defaultRowHeight="13.5" x14ac:dyDescent="0.15"/>
  <cols>
    <col min="1" max="1" width="11.625" bestFit="1" customWidth="1"/>
    <col min="2" max="2" width="13.875" bestFit="1" customWidth="1"/>
    <col min="3" max="3" width="11.375" customWidth="1"/>
  </cols>
  <sheetData>
    <row r="1" spans="1:3" x14ac:dyDescent="0.15">
      <c r="A1" s="17" t="s">
        <v>74</v>
      </c>
      <c r="B1" s="17" t="s">
        <v>75</v>
      </c>
      <c r="C1" s="24" t="s">
        <v>102</v>
      </c>
    </row>
    <row r="2" spans="1:3" x14ac:dyDescent="0.15">
      <c r="A2" s="25" t="s">
        <v>76</v>
      </c>
      <c r="B2" s="25" t="s">
        <v>77</v>
      </c>
      <c r="C2" s="26">
        <v>86</v>
      </c>
    </row>
    <row r="3" spans="1:3" x14ac:dyDescent="0.15">
      <c r="A3" s="25" t="s">
        <v>76</v>
      </c>
      <c r="B3" s="25" t="s">
        <v>78</v>
      </c>
      <c r="C3" s="26">
        <v>17</v>
      </c>
    </row>
    <row r="4" spans="1:3" x14ac:dyDescent="0.15">
      <c r="A4" s="25" t="s">
        <v>76</v>
      </c>
      <c r="B4" s="25" t="s">
        <v>79</v>
      </c>
      <c r="C4" s="26">
        <v>57</v>
      </c>
    </row>
    <row r="5" spans="1:3" x14ac:dyDescent="0.15">
      <c r="A5" s="25" t="s">
        <v>76</v>
      </c>
      <c r="B5" s="25" t="s">
        <v>80</v>
      </c>
      <c r="C5" s="26">
        <v>43</v>
      </c>
    </row>
    <row r="6" spans="1:3" x14ac:dyDescent="0.15">
      <c r="A6" s="25" t="s">
        <v>76</v>
      </c>
      <c r="B6" s="25" t="s">
        <v>81</v>
      </c>
      <c r="C6" s="26">
        <v>17</v>
      </c>
    </row>
    <row r="7" spans="1:3" x14ac:dyDescent="0.15">
      <c r="A7" s="25" t="s">
        <v>76</v>
      </c>
      <c r="B7" s="25" t="s">
        <v>82</v>
      </c>
      <c r="C7" s="26">
        <v>63</v>
      </c>
    </row>
    <row r="8" spans="1:3" x14ac:dyDescent="0.15">
      <c r="A8" s="25" t="s">
        <v>28</v>
      </c>
      <c r="B8" s="25" t="s">
        <v>29</v>
      </c>
      <c r="C8" s="26">
        <v>43</v>
      </c>
    </row>
    <row r="9" spans="1:3" x14ac:dyDescent="0.15">
      <c r="A9" s="25" t="s">
        <v>28</v>
      </c>
      <c r="B9" s="25" t="s">
        <v>83</v>
      </c>
      <c r="C9" s="26">
        <v>13</v>
      </c>
    </row>
    <row r="10" spans="1:3" x14ac:dyDescent="0.15">
      <c r="A10" s="25" t="s">
        <v>28</v>
      </c>
      <c r="B10" s="25" t="s">
        <v>84</v>
      </c>
      <c r="C10" s="26">
        <v>94</v>
      </c>
    </row>
    <row r="11" spans="1:3" x14ac:dyDescent="0.15">
      <c r="A11" s="25" t="s">
        <v>28</v>
      </c>
      <c r="B11" s="25" t="s">
        <v>85</v>
      </c>
      <c r="C11" s="26">
        <v>7</v>
      </c>
    </row>
    <row r="12" spans="1:3" x14ac:dyDescent="0.15">
      <c r="A12" s="25" t="s">
        <v>28</v>
      </c>
      <c r="B12" s="25" t="s">
        <v>48</v>
      </c>
      <c r="C12" s="26">
        <v>60</v>
      </c>
    </row>
    <row r="13" spans="1:3" x14ac:dyDescent="0.15">
      <c r="A13" s="25" t="s">
        <v>86</v>
      </c>
      <c r="B13" s="25" t="s">
        <v>87</v>
      </c>
      <c r="C13" s="26">
        <v>77</v>
      </c>
    </row>
    <row r="14" spans="1:3" x14ac:dyDescent="0.15">
      <c r="A14" s="25" t="s">
        <v>86</v>
      </c>
      <c r="B14" s="25" t="s">
        <v>88</v>
      </c>
      <c r="C14" s="26">
        <v>300</v>
      </c>
    </row>
    <row r="15" spans="1:3" x14ac:dyDescent="0.15">
      <c r="A15" s="25" t="s">
        <v>86</v>
      </c>
      <c r="B15" s="25" t="s">
        <v>89</v>
      </c>
      <c r="C15" s="26">
        <v>440</v>
      </c>
    </row>
    <row r="16" spans="1:3" x14ac:dyDescent="0.15">
      <c r="A16" s="25" t="s">
        <v>86</v>
      </c>
      <c r="B16" s="25" t="s">
        <v>90</v>
      </c>
      <c r="C16" s="26">
        <v>206</v>
      </c>
    </row>
    <row r="17" spans="1:3" x14ac:dyDescent="0.15">
      <c r="A17" s="25" t="s">
        <v>86</v>
      </c>
      <c r="B17" s="25" t="s">
        <v>91</v>
      </c>
      <c r="C17" s="26">
        <v>243</v>
      </c>
    </row>
    <row r="18" spans="1:3" x14ac:dyDescent="0.15">
      <c r="A18" s="25" t="s">
        <v>86</v>
      </c>
      <c r="B18" s="25" t="s">
        <v>92</v>
      </c>
      <c r="C18" s="26">
        <v>149</v>
      </c>
    </row>
    <row r="19" spans="1:3" x14ac:dyDescent="0.15">
      <c r="A19" s="25" t="s">
        <v>86</v>
      </c>
      <c r="B19" s="25" t="s">
        <v>93</v>
      </c>
      <c r="C19" s="26">
        <v>480</v>
      </c>
    </row>
    <row r="20" spans="1:3" x14ac:dyDescent="0.15">
      <c r="A20" s="25" t="s">
        <v>94</v>
      </c>
      <c r="B20" s="25" t="s">
        <v>95</v>
      </c>
      <c r="C20" s="26">
        <v>14</v>
      </c>
    </row>
    <row r="21" spans="1:3" x14ac:dyDescent="0.15">
      <c r="A21" s="25" t="s">
        <v>94</v>
      </c>
      <c r="B21" s="25" t="s">
        <v>96</v>
      </c>
      <c r="C21" s="26">
        <v>40</v>
      </c>
    </row>
    <row r="22" spans="1:3" x14ac:dyDescent="0.15">
      <c r="A22" s="25" t="s">
        <v>94</v>
      </c>
      <c r="B22" s="25" t="s">
        <v>97</v>
      </c>
      <c r="C22" s="26">
        <v>15</v>
      </c>
    </row>
    <row r="23" spans="1:3" x14ac:dyDescent="0.15">
      <c r="A23" s="25" t="s">
        <v>94</v>
      </c>
      <c r="B23" s="25" t="s">
        <v>98</v>
      </c>
      <c r="C23" s="26">
        <v>11</v>
      </c>
    </row>
    <row r="24" spans="1:3" x14ac:dyDescent="0.15">
      <c r="A24" s="25" t="s">
        <v>94</v>
      </c>
      <c r="B24" s="25" t="s">
        <v>99</v>
      </c>
      <c r="C24" s="26">
        <v>34</v>
      </c>
    </row>
    <row r="25" spans="1:3" x14ac:dyDescent="0.15">
      <c r="A25" s="25" t="s">
        <v>94</v>
      </c>
      <c r="B25" s="25" t="s">
        <v>100</v>
      </c>
      <c r="C25" s="26">
        <v>46</v>
      </c>
    </row>
    <row r="26" spans="1:3" x14ac:dyDescent="0.15">
      <c r="A26" s="27" t="s">
        <v>94</v>
      </c>
      <c r="B26" s="27" t="s">
        <v>101</v>
      </c>
      <c r="C26" s="23">
        <v>23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" sqref="A2"/>
    </sheetView>
  </sheetViews>
  <sheetFormatPr defaultRowHeight="13.5" x14ac:dyDescent="0.15"/>
  <cols>
    <col min="1" max="1" width="11.375" customWidth="1"/>
  </cols>
  <sheetData>
    <row r="1" spans="1:3" x14ac:dyDescent="0.15">
      <c r="A1" s="18" t="s">
        <v>103</v>
      </c>
      <c r="B1" s="18" t="s">
        <v>104</v>
      </c>
      <c r="C1" s="18" t="s">
        <v>103</v>
      </c>
    </row>
    <row r="2" spans="1:3" x14ac:dyDescent="0.15">
      <c r="A2" s="23" t="s">
        <v>105</v>
      </c>
      <c r="B2" s="23" t="s">
        <v>69</v>
      </c>
      <c r="C2" s="23" t="s">
        <v>105</v>
      </c>
    </row>
    <row r="3" spans="1:3" x14ac:dyDescent="0.15">
      <c r="A3" s="23" t="s">
        <v>106</v>
      </c>
      <c r="B3" s="23" t="s">
        <v>67</v>
      </c>
      <c r="C3" s="23" t="s">
        <v>106</v>
      </c>
    </row>
    <row r="4" spans="1:3" x14ac:dyDescent="0.15">
      <c r="A4" s="23" t="s">
        <v>107</v>
      </c>
      <c r="B4" s="23" t="s">
        <v>10</v>
      </c>
      <c r="C4" s="23" t="s">
        <v>107</v>
      </c>
    </row>
    <row r="5" spans="1:3" x14ac:dyDescent="0.15">
      <c r="A5" s="23" t="s">
        <v>108</v>
      </c>
      <c r="B5" s="23" t="s">
        <v>33</v>
      </c>
      <c r="C5" s="23" t="s">
        <v>108</v>
      </c>
    </row>
  </sheetData>
  <phoneticPr fontId="2" type="noConversion"/>
  <pageMargins left="0.7" right="0.7" top="0.75" bottom="0.75" header="0.3" footer="0.3"/>
  <pageSetup paperSize="9" orientation="portrait" horizontalDpi="4294967294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selection activeCell="A2" sqref="A2"/>
    </sheetView>
  </sheetViews>
  <sheetFormatPr defaultRowHeight="13.5" x14ac:dyDescent="0.15"/>
  <cols>
    <col min="2" max="2" width="11.625" bestFit="1" customWidth="1"/>
    <col min="3" max="6" width="13.875" bestFit="1" customWidth="1"/>
    <col min="24" max="24" width="7.125" customWidth="1"/>
  </cols>
  <sheetData>
    <row r="1" spans="1:24" x14ac:dyDescent="0.15">
      <c r="A1" s="28"/>
      <c r="B1" s="28"/>
      <c r="C1" s="34" t="s">
        <v>109</v>
      </c>
      <c r="D1" s="34"/>
      <c r="E1" s="34"/>
      <c r="F1" s="34"/>
    </row>
    <row r="2" spans="1:24" x14ac:dyDescent="0.15">
      <c r="A2" s="28"/>
      <c r="B2" s="29"/>
      <c r="C2" s="30" t="s">
        <v>76</v>
      </c>
      <c r="D2" s="31" t="s">
        <v>28</v>
      </c>
      <c r="E2" s="31" t="s">
        <v>86</v>
      </c>
      <c r="F2" s="31" t="s">
        <v>94</v>
      </c>
      <c r="X2" s="33">
        <f t="array" aca="1" ref="X2:X5" ca="1">各类别销售汇总</f>
        <v>202118</v>
      </c>
    </row>
    <row r="3" spans="1:24" x14ac:dyDescent="0.15">
      <c r="A3" s="38" t="s">
        <v>59</v>
      </c>
      <c r="B3" s="30" t="s">
        <v>10</v>
      </c>
      <c r="C3" s="32">
        <f>SUMIFS(销售资料!$J$2:$J$117,销售资料!$D$2:$D$117,$B3,销售资料!$F$2:$F$117,C$2)</f>
        <v>216304</v>
      </c>
      <c r="D3" s="32">
        <f>SUMIFS(销售资料!$J$2:$J$117,销售资料!$D$2:$D$117,$B3,销售资料!$F$2:$F$117,D$2)</f>
        <v>498632</v>
      </c>
      <c r="E3" s="32">
        <f>SUMIFS(销售资料!$J$2:$J$117,销售资料!$D$2:$D$117,$B3,销售资料!$F$2:$F$117,E$2)</f>
        <v>271161</v>
      </c>
      <c r="F3" s="32">
        <f>SUMIFS(销售资料!$J$2:$J$117,销售资料!$D$2:$D$117,$B3,销售资料!$F$2:$F$117,F$2)</f>
        <v>202118</v>
      </c>
      <c r="X3" s="33">
        <f ca="1"/>
        <v>28399</v>
      </c>
    </row>
    <row r="4" spans="1:24" x14ac:dyDescent="0.15">
      <c r="A4" s="39"/>
      <c r="B4" s="30" t="s">
        <v>33</v>
      </c>
      <c r="C4" s="32">
        <f>SUMIFS(销售资料!$J$2:$J$117,销售资料!$D$2:$D$117,$B4,销售资料!$F$2:$F$117,C$2)</f>
        <v>85611</v>
      </c>
      <c r="D4" s="32">
        <f>SUMIFS(销售资料!$J$2:$J$117,销售资料!$D$2:$D$117,$B4,销售资料!$F$2:$F$117,D$2)</f>
        <v>87360</v>
      </c>
      <c r="E4" s="32">
        <f>SUMIFS(销售资料!$J$2:$J$117,销售资料!$D$2:$D$117,$B4,销售资料!$F$2:$F$117,E$2)</f>
        <v>268282</v>
      </c>
      <c r="F4" s="32">
        <f>SUMIFS(销售资料!$J$2:$J$117,销售资料!$D$2:$D$117,$B4,销售资料!$F$2:$F$117,F$2)</f>
        <v>28399</v>
      </c>
      <c r="X4" s="33">
        <f ca="1"/>
        <v>184449</v>
      </c>
    </row>
    <row r="5" spans="1:24" x14ac:dyDescent="0.15">
      <c r="A5" s="39"/>
      <c r="B5" s="30" t="s">
        <v>67</v>
      </c>
      <c r="C5" s="32">
        <f>SUMIFS(销售资料!$J$2:$J$117,销售资料!$D$2:$D$117,$B5,销售资料!$F$2:$F$117,C$2)</f>
        <v>319449</v>
      </c>
      <c r="D5" s="32">
        <f>SUMIFS(销售资料!$J$2:$J$117,销售资料!$D$2:$D$117,$B5,销售资料!$F$2:$F$117,D$2)</f>
        <v>766110</v>
      </c>
      <c r="E5" s="32">
        <f>SUMIFS(销售资料!$J$2:$J$117,销售资料!$D$2:$D$117,$B5,销售资料!$F$2:$F$117,E$2)</f>
        <v>872110</v>
      </c>
      <c r="F5" s="32">
        <f>SUMIFS(销售资料!$J$2:$J$117,销售资料!$D$2:$D$117,$B5,销售资料!$F$2:$F$117,F$2)</f>
        <v>184449</v>
      </c>
      <c r="X5" s="33">
        <f ca="1"/>
        <v>340170</v>
      </c>
    </row>
    <row r="6" spans="1:24" x14ac:dyDescent="0.15">
      <c r="A6" s="40"/>
      <c r="B6" s="30" t="s">
        <v>69</v>
      </c>
      <c r="C6" s="32">
        <f>SUMIFS(销售资料!$J$2:$J$117,销售资料!$D$2:$D$117,$B6,销售资料!$F$2:$F$117,C$2)</f>
        <v>287541</v>
      </c>
      <c r="D6" s="32">
        <f>SUMIFS(销售资料!$J$2:$J$117,销售资料!$D$2:$D$117,$B6,销售资料!$F$2:$F$117,D$2)</f>
        <v>304263</v>
      </c>
      <c r="E6" s="32">
        <f>SUMIFS(销售资料!$J$2:$J$117,销售资料!$D$2:$D$117,$B6,销售资料!$F$2:$F$117,E$2)</f>
        <v>592026</v>
      </c>
      <c r="F6" s="32">
        <f>SUMIFS(销售资料!$J$2:$J$117,销售资料!$D$2:$D$117,$B6,销售资料!$F$2:$F$117,F$2)</f>
        <v>340170</v>
      </c>
    </row>
    <row r="8" spans="1:24" x14ac:dyDescent="0.15">
      <c r="B8" t="s">
        <v>94</v>
      </c>
    </row>
  </sheetData>
  <mergeCells count="2">
    <mergeCell ref="C1:F1"/>
    <mergeCell ref="A3:A6"/>
  </mergeCells>
  <phoneticPr fontId="2" type="noConversion"/>
  <conditionalFormatting sqref="C3:F6">
    <cfRule type="expression" dxfId="0" priority="1">
      <formula>$B$8=C$2</formula>
    </cfRule>
  </conditionalFormatting>
  <dataValidations count="1">
    <dataValidation type="list" allowBlank="1" showInputMessage="1" showErrorMessage="1" sqref="B8">
      <formula1>$C$2:$F$2</formula1>
    </dataValidation>
  </dataValidations>
  <pageMargins left="0.7" right="0.7" top="0.75" bottom="0.75" header="0.3" footer="0.3"/>
  <pageSetup paperSize="9" orientation="portrait" horizontalDpi="4294967294" r:id="rId1"/>
  <ignoredErrors>
    <ignoredError sqref="X2:X5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9</vt:i4>
      </vt:variant>
    </vt:vector>
  </HeadingPairs>
  <TitlesOfParts>
    <vt:vector size="15" baseType="lpstr">
      <vt:lpstr>销售情况报告</vt:lpstr>
      <vt:lpstr>销售资料</vt:lpstr>
      <vt:lpstr>销往国家</vt:lpstr>
      <vt:lpstr>产品信息</vt:lpstr>
      <vt:lpstr>地区代码</vt:lpstr>
      <vt:lpstr>销售汇总</vt:lpstr>
      <vt:lpstr>北美洲</vt:lpstr>
      <vt:lpstr>服饰配件</vt:lpstr>
      <vt:lpstr>南美洲</vt:lpstr>
      <vt:lpstr>欧洲</vt:lpstr>
      <vt:lpstr>日用品</vt:lpstr>
      <vt:lpstr>销往地区</vt:lpstr>
      <vt:lpstr>亚洲</vt:lpstr>
      <vt:lpstr>自行车款</vt:lpstr>
      <vt:lpstr>自行车配件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51DS</dc:creator>
  <cp:lastModifiedBy>wuyou</cp:lastModifiedBy>
  <dcterms:created xsi:type="dcterms:W3CDTF">2018-02-21T13:33:36Z</dcterms:created>
  <dcterms:modified xsi:type="dcterms:W3CDTF">2022-03-30T06:46:13Z</dcterms:modified>
</cp:coreProperties>
</file>