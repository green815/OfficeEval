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0" yWindow="0" windowWidth="19200" windowHeight="7290"/>
  </bookViews>
  <sheets>
    <sheet name="主要城市降水量" sheetId="1" r:id="rId1"/>
    <sheet name="北京市" sheetId="34" r:id="rId2"/>
    <sheet name="成都市" sheetId="33" r:id="rId3"/>
    <sheet name="福州市" sheetId="32" r:id="rId4"/>
    <sheet name="广州市" sheetId="31" r:id="rId5"/>
    <sheet name="贵阳市" sheetId="30" r:id="rId6"/>
    <sheet name="哈尔滨市" sheetId="29" r:id="rId7"/>
    <sheet name="海口市" sheetId="28" r:id="rId8"/>
    <sheet name="杭州市" sheetId="27" r:id="rId9"/>
    <sheet name="合肥市" sheetId="26" r:id="rId10"/>
    <sheet name="呼和浩特市" sheetId="25" r:id="rId11"/>
    <sheet name="济南市" sheetId="24" r:id="rId12"/>
    <sheet name="昆明市" sheetId="23" r:id="rId13"/>
    <sheet name="拉萨市" sheetId="22" r:id="rId14"/>
    <sheet name="兰州市" sheetId="21" r:id="rId15"/>
    <sheet name="南昌市" sheetId="20" r:id="rId16"/>
    <sheet name="南京市" sheetId="19" r:id="rId17"/>
    <sheet name="南宁市" sheetId="18" r:id="rId18"/>
    <sheet name="上海市" sheetId="17" r:id="rId19"/>
    <sheet name="沈阳市" sheetId="16" r:id="rId20"/>
    <sheet name="石家庄市" sheetId="15" r:id="rId21"/>
    <sheet name="太原市" sheetId="14" r:id="rId22"/>
    <sheet name="天津市" sheetId="13" r:id="rId23"/>
    <sheet name="乌鲁木齐市" sheetId="12" r:id="rId24"/>
    <sheet name="武汉市" sheetId="11" r:id="rId25"/>
    <sheet name="西安市" sheetId="10" r:id="rId26"/>
    <sheet name="西宁市" sheetId="9" r:id="rId27"/>
    <sheet name="银川市" sheetId="8" r:id="rId28"/>
    <sheet name="长春市" sheetId="7" r:id="rId29"/>
    <sheet name="长沙市" sheetId="6" r:id="rId30"/>
    <sheet name="郑州市" sheetId="5" r:id="rId31"/>
    <sheet name="重庆市" sheetId="4" r:id="rId32"/>
    <sheet name="Sheet2" sheetId="3" r:id="rId33"/>
  </sheets>
  <calcPr calcId="162913"/>
  <pivotCaches>
    <pivotCache cacheId="0" r:id="rId3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</calcChain>
</file>

<file path=xl/sharedStrings.xml><?xml version="1.0" encoding="utf-8"?>
<sst xmlns="http://schemas.openxmlformats.org/spreadsheetml/2006/main" count="625" uniqueCount="64">
  <si>
    <t>10月</t>
    <phoneticPr fontId="2" type="noConversion"/>
  </si>
  <si>
    <t>11月</t>
    <phoneticPr fontId="2" type="noConversion"/>
  </si>
  <si>
    <t>12月</t>
    <phoneticPr fontId="2" type="noConversion"/>
  </si>
  <si>
    <t>城市（毫米）</t>
  </si>
  <si>
    <t>排名</t>
    <phoneticPr fontId="1" type="noConversion"/>
  </si>
  <si>
    <t>季节分布</t>
    <phoneticPr fontId="1" type="noConversion"/>
  </si>
  <si>
    <t>合计降水量</t>
    <phoneticPr fontId="1" type="noConversion"/>
  </si>
  <si>
    <t>9月</t>
  </si>
  <si>
    <t>1月</t>
    <phoneticPr fontId="2" type="noConversion"/>
  </si>
  <si>
    <t>2月</t>
    <phoneticPr fontId="2" type="noConversion"/>
  </si>
  <si>
    <t>3月</t>
    <phoneticPr fontId="2" type="noConversion"/>
  </si>
  <si>
    <t>4月</t>
    <phoneticPr fontId="1" type="noConversion"/>
  </si>
  <si>
    <t>5月</t>
    <phoneticPr fontId="1" type="noConversion"/>
  </si>
  <si>
    <t>7月</t>
    <phoneticPr fontId="1" type="noConversion"/>
  </si>
  <si>
    <t>6月</t>
    <phoneticPr fontId="1" type="noConversion"/>
  </si>
  <si>
    <t>8月</t>
    <phoneticPr fontId="1" type="noConversion"/>
  </si>
  <si>
    <t>北京市</t>
  </si>
  <si>
    <t>天津市</t>
  </si>
  <si>
    <t>石家庄市</t>
  </si>
  <si>
    <t>太原市</t>
  </si>
  <si>
    <t>呼和浩特市</t>
  </si>
  <si>
    <t>沈阳市</t>
  </si>
  <si>
    <t>长春市</t>
  </si>
  <si>
    <t>哈尔滨市</t>
  </si>
  <si>
    <t>上海市</t>
  </si>
  <si>
    <t>南京市</t>
  </si>
  <si>
    <t>杭州市</t>
  </si>
  <si>
    <t>合肥市</t>
  </si>
  <si>
    <t>福州市</t>
  </si>
  <si>
    <t>南昌市</t>
  </si>
  <si>
    <t>济南市</t>
  </si>
  <si>
    <t>郑州市</t>
  </si>
  <si>
    <t>武汉市</t>
  </si>
  <si>
    <t>长沙市</t>
  </si>
  <si>
    <t>广州市</t>
  </si>
  <si>
    <t>南宁市</t>
  </si>
  <si>
    <t>海口市</t>
  </si>
  <si>
    <t>重庆市</t>
  </si>
  <si>
    <t>成都市</t>
  </si>
  <si>
    <t>贵阳市</t>
  </si>
  <si>
    <t>昆明市</t>
  </si>
  <si>
    <t>拉萨市</t>
  </si>
  <si>
    <t>西安市</t>
  </si>
  <si>
    <t>兰州市</t>
  </si>
  <si>
    <t>西宁市</t>
  </si>
  <si>
    <t>银川市</t>
  </si>
  <si>
    <t>乌鲁木齐市</t>
  </si>
  <si>
    <t>7月</t>
  </si>
  <si>
    <t>行标签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</si>
  <si>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</si>
  <si>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</si>
  <si>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</si>
  <si>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</si>
  <si>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</si>
  <si>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</si>
  <si>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</si>
  <si>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</si>
  <si>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</si>
  <si>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8月</t>
  </si>
  <si>
    <t>总计</t>
  </si>
  <si>
    <t>(全部)</t>
  </si>
  <si>
    <t>行</t>
  </si>
  <si>
    <t>求和项:值</t>
  </si>
  <si>
    <t>全年占比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</si>
</sst>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&lt;15]&quot;干旱&quot;;General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18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76" formatCode="[&lt;15]&quot;干旱&quot;;General"/>
      <alignment horizontal="center" vertical="center" textRotation="0" wrapText="0" indent="0" justifyLastLine="0" shrinkToFit="0" readingOrder="0"/>
    </dxf>
    <dxf>
      <numFmt numFmtId="176" formatCode="[&lt;15]&quot;干旱&quot;;General"/>
    </dxf>
    <dxf>
      <numFmt numFmtId="176" formatCode="[&lt;15]&quot;干旱&quot;;General"/>
    </dxf>
    <dxf>
      <numFmt numFmtId="176" formatCode="[&lt;15]&quot;干旱&quot;;General"/>
    </dxf>
    <dxf>
      <numFmt numFmtId="176" formatCode="[&lt;15]&quot;干旱&quot;;General"/>
    </dxf>
    <dxf>
      <numFmt numFmtId="176" formatCode="[&lt;15]&quot;干旱&quot;;General"/>
    </dxf>
    <dxf>
      <numFmt numFmtId="176" formatCode="[&lt;15]&quot;干旱&quot;;General"/>
    </dxf>
    <dxf>
      <numFmt numFmtId="176" formatCode="[&lt;15]&quot;干旱&quot;;General"/>
    </dxf>
    <dxf>
      <numFmt numFmtId="176" formatCode="[&lt;15]&quot;干旱&quot;;General"/>
    </dxf>
    <dxf>
      <numFmt numFmtId="176" formatCode="[&lt;15]&quot;干旱&quot;;General"/>
    </dxf>
    <dxf>
      <numFmt numFmtId="176" formatCode="[&lt;15]&quot;干旱&quot;;General"/>
    </dxf>
    <dxf>
      <numFmt numFmtId="176" formatCode="[&lt;15]&quot;干旱&quot;;General"/>
    </dxf>
    <dxf>
      <numFmt numFmtId="176" formatCode="[&lt;15]&quot;干旱&quot;;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" refreshedDate="44292.741874421299" createdVersion="6" refreshedVersion="6" minRefreshableVersion="3" recordCount="372">
  <cacheSource type="consolidation">
    <consolidation>
      <pages count="1">
        <page count="1">
          <pageItem name="项1"/>
        </page>
      </pages>
      <rangeSets count="1">
        <rangeSet i1="0" ref="A1:M32" sheet="主要城市降水量"/>
      </rangeSets>
    </consolidation>
  </cacheSource>
  <cacheFields count="4">
    <cacheField name="行" numFmtId="0">
      <sharedItems count="31">
        <s v="北京市"/>
        <s v="天津市"/>
        <s v="石家庄市"/>
        <s v="太原市"/>
        <s v="呼和浩特市"/>
        <s v="沈阳市"/>
        <s v="长春市"/>
        <s v="哈尔滨市"/>
        <s v="上海市"/>
        <s v="南京市"/>
        <s v="杭州市"/>
        <s v="合肥市"/>
        <s v="福州市"/>
        <s v="南昌市"/>
        <s v="济南市"/>
        <s v="郑州市"/>
        <s v="武汉市"/>
        <s v="长沙市"/>
        <s v="广州市"/>
        <s v="南宁市"/>
        <s v="海口市"/>
        <s v="重庆市"/>
        <s v="成都市"/>
        <s v="贵阳市"/>
        <s v="昆明市"/>
        <s v="拉萨市"/>
        <s v="西安市"/>
        <s v="兰州市"/>
        <s v="西宁市"/>
        <s v="银川市"/>
        <s v="乌鲁木齐市"/>
      </sharedItems>
    </cacheField>
    <cacheField name="列" numFmtId="0">
      <sharedItems count="12">
        <s v="1月"/>
        <s v="2月"/>
        <s v="3月"/>
        <s v="4月"/>
        <s v="5月"/>
        <s v="6月"/>
        <s v="7月"/>
        <s v="8月"/>
        <s v="9月"/>
        <s v="10月"/>
        <s v="11月"/>
        <s v="12月"/>
      </sharedItems>
    </cacheField>
    <cacheField name="值" numFmtId="0">
      <sharedItems containsSemiMixedTypes="0" containsString="0" containsNumber="1" minValue="0" maxValue="901.2"/>
    </cacheField>
    <cacheField name="页1" numFmtId="0">
      <sharedItems count="1">
        <s v="项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2">
  <r>
    <x v="0"/>
    <x v="0"/>
    <n v="0.2"/>
    <x v="0"/>
  </r>
  <r>
    <x v="0"/>
    <x v="1"/>
    <n v="0"/>
    <x v="0"/>
  </r>
  <r>
    <x v="0"/>
    <x v="2"/>
    <n v="11.6"/>
    <x v="0"/>
  </r>
  <r>
    <x v="0"/>
    <x v="3"/>
    <n v="63.6"/>
    <x v="0"/>
  </r>
  <r>
    <x v="0"/>
    <x v="4"/>
    <n v="64.099999999999994"/>
    <x v="0"/>
  </r>
  <r>
    <x v="0"/>
    <x v="5"/>
    <n v="125.3"/>
    <x v="0"/>
  </r>
  <r>
    <x v="0"/>
    <x v="6"/>
    <n v="79.3"/>
    <x v="0"/>
  </r>
  <r>
    <x v="0"/>
    <x v="7"/>
    <n v="132.1"/>
    <x v="0"/>
  </r>
  <r>
    <x v="0"/>
    <x v="8"/>
    <n v="118.9"/>
    <x v="0"/>
  </r>
  <r>
    <x v="0"/>
    <x v="9"/>
    <n v="31.1"/>
    <x v="0"/>
  </r>
  <r>
    <x v="0"/>
    <x v="10"/>
    <n v="0"/>
    <x v="0"/>
  </r>
  <r>
    <x v="0"/>
    <x v="11"/>
    <n v="0.1"/>
    <x v="0"/>
  </r>
  <r>
    <x v="1"/>
    <x v="0"/>
    <n v="0.1"/>
    <x v="0"/>
  </r>
  <r>
    <x v="1"/>
    <x v="1"/>
    <n v="0.9"/>
    <x v="0"/>
  </r>
  <r>
    <x v="1"/>
    <x v="2"/>
    <n v="13.7"/>
    <x v="0"/>
  </r>
  <r>
    <x v="1"/>
    <x v="3"/>
    <n v="48.8"/>
    <x v="0"/>
  </r>
  <r>
    <x v="1"/>
    <x v="4"/>
    <n v="21.2"/>
    <x v="0"/>
  </r>
  <r>
    <x v="1"/>
    <x v="5"/>
    <n v="131.9"/>
    <x v="0"/>
  </r>
  <r>
    <x v="1"/>
    <x v="6"/>
    <n v="143.4"/>
    <x v="0"/>
  </r>
  <r>
    <x v="1"/>
    <x v="7"/>
    <n v="71.3"/>
    <x v="0"/>
  </r>
  <r>
    <x v="1"/>
    <x v="8"/>
    <n v="68.2"/>
    <x v="0"/>
  </r>
  <r>
    <x v="1"/>
    <x v="9"/>
    <n v="48.5"/>
    <x v="0"/>
  </r>
  <r>
    <x v="1"/>
    <x v="10"/>
    <n v="0"/>
    <x v="0"/>
  </r>
  <r>
    <x v="1"/>
    <x v="11"/>
    <n v="4.0999999999999996"/>
    <x v="0"/>
  </r>
  <r>
    <x v="2"/>
    <x v="0"/>
    <n v="8"/>
    <x v="0"/>
  </r>
  <r>
    <x v="2"/>
    <x v="1"/>
    <n v="0"/>
    <x v="0"/>
  </r>
  <r>
    <x v="2"/>
    <x v="2"/>
    <n v="22.1"/>
    <x v="0"/>
  </r>
  <r>
    <x v="2"/>
    <x v="3"/>
    <n v="47.9"/>
    <x v="0"/>
  </r>
  <r>
    <x v="2"/>
    <x v="4"/>
    <n v="31.5"/>
    <x v="0"/>
  </r>
  <r>
    <x v="2"/>
    <x v="5"/>
    <n v="97.1"/>
    <x v="0"/>
  </r>
  <r>
    <x v="2"/>
    <x v="6"/>
    <n v="129.19999999999999"/>
    <x v="0"/>
  </r>
  <r>
    <x v="2"/>
    <x v="7"/>
    <n v="238.6"/>
    <x v="0"/>
  </r>
  <r>
    <x v="2"/>
    <x v="8"/>
    <n v="116.4"/>
    <x v="0"/>
  </r>
  <r>
    <x v="2"/>
    <x v="9"/>
    <n v="16.600000000000001"/>
    <x v="0"/>
  </r>
  <r>
    <x v="2"/>
    <x v="10"/>
    <n v="0.2"/>
    <x v="0"/>
  </r>
  <r>
    <x v="2"/>
    <x v="11"/>
    <n v="0.1"/>
    <x v="0"/>
  </r>
  <r>
    <x v="3"/>
    <x v="0"/>
    <n v="3.7"/>
    <x v="0"/>
  </r>
  <r>
    <x v="3"/>
    <x v="1"/>
    <n v="2.7"/>
    <x v="0"/>
  </r>
  <r>
    <x v="3"/>
    <x v="2"/>
    <n v="20.9"/>
    <x v="0"/>
  </r>
  <r>
    <x v="3"/>
    <x v="3"/>
    <n v="63.4"/>
    <x v="0"/>
  </r>
  <r>
    <x v="3"/>
    <x v="4"/>
    <n v="17.600000000000001"/>
    <x v="0"/>
  </r>
  <r>
    <x v="3"/>
    <x v="5"/>
    <n v="103.8"/>
    <x v="0"/>
  </r>
  <r>
    <x v="3"/>
    <x v="6"/>
    <n v="23.9"/>
    <x v="0"/>
  </r>
  <r>
    <x v="3"/>
    <x v="7"/>
    <n v="45.2"/>
    <x v="0"/>
  </r>
  <r>
    <x v="3"/>
    <x v="8"/>
    <n v="56.7"/>
    <x v="0"/>
  </r>
  <r>
    <x v="3"/>
    <x v="9"/>
    <n v="17.399999999999999"/>
    <x v="0"/>
  </r>
  <r>
    <x v="3"/>
    <x v="10"/>
    <n v="0"/>
    <x v="0"/>
  </r>
  <r>
    <x v="3"/>
    <x v="11"/>
    <n v="0"/>
    <x v="0"/>
  </r>
  <r>
    <x v="4"/>
    <x v="0"/>
    <n v="6.5"/>
    <x v="0"/>
  </r>
  <r>
    <x v="4"/>
    <x v="1"/>
    <n v="2.9"/>
    <x v="0"/>
  </r>
  <r>
    <x v="4"/>
    <x v="2"/>
    <n v="20.3"/>
    <x v="0"/>
  </r>
  <r>
    <x v="4"/>
    <x v="3"/>
    <n v="11.5"/>
    <x v="0"/>
  </r>
  <r>
    <x v="4"/>
    <x v="4"/>
    <n v="7.9"/>
    <x v="0"/>
  </r>
  <r>
    <x v="4"/>
    <x v="5"/>
    <n v="137.4"/>
    <x v="0"/>
  </r>
  <r>
    <x v="4"/>
    <x v="6"/>
    <n v="165.5"/>
    <x v="0"/>
  </r>
  <r>
    <x v="4"/>
    <x v="7"/>
    <n v="132.69999999999999"/>
    <x v="0"/>
  </r>
  <r>
    <x v="4"/>
    <x v="8"/>
    <n v="54.9"/>
    <x v="0"/>
  </r>
  <r>
    <x v="4"/>
    <x v="9"/>
    <n v="24.7"/>
    <x v="0"/>
  </r>
  <r>
    <x v="4"/>
    <x v="10"/>
    <n v="6.7"/>
    <x v="0"/>
  </r>
  <r>
    <x v="4"/>
    <x v="11"/>
    <n v="0"/>
    <x v="0"/>
  </r>
  <r>
    <x v="5"/>
    <x v="0"/>
    <n v="0"/>
    <x v="0"/>
  </r>
  <r>
    <x v="5"/>
    <x v="1"/>
    <n v="1"/>
    <x v="0"/>
  </r>
  <r>
    <x v="5"/>
    <x v="2"/>
    <n v="37.200000000000003"/>
    <x v="0"/>
  </r>
  <r>
    <x v="5"/>
    <x v="3"/>
    <n v="71"/>
    <x v="0"/>
  </r>
  <r>
    <x v="5"/>
    <x v="4"/>
    <n v="79.099999999999994"/>
    <x v="0"/>
  </r>
  <r>
    <x v="5"/>
    <x v="5"/>
    <n v="88.1"/>
    <x v="0"/>
  </r>
  <r>
    <x v="5"/>
    <x v="6"/>
    <n v="221.1"/>
    <x v="0"/>
  </r>
  <r>
    <x v="5"/>
    <x v="7"/>
    <n v="109.3"/>
    <x v="0"/>
  </r>
  <r>
    <x v="5"/>
    <x v="8"/>
    <n v="70"/>
    <x v="0"/>
  </r>
  <r>
    <x v="5"/>
    <x v="9"/>
    <n v="17.899999999999999"/>
    <x v="0"/>
  </r>
  <r>
    <x v="5"/>
    <x v="10"/>
    <n v="8.3000000000000007"/>
    <x v="0"/>
  </r>
  <r>
    <x v="5"/>
    <x v="11"/>
    <n v="18.7"/>
    <x v="0"/>
  </r>
  <r>
    <x v="6"/>
    <x v="0"/>
    <n v="0.2"/>
    <x v="0"/>
  </r>
  <r>
    <x v="6"/>
    <x v="1"/>
    <n v="0.5"/>
    <x v="0"/>
  </r>
  <r>
    <x v="6"/>
    <x v="2"/>
    <n v="32.5"/>
    <x v="0"/>
  </r>
  <r>
    <x v="6"/>
    <x v="3"/>
    <n v="22.3"/>
    <x v="0"/>
  </r>
  <r>
    <x v="6"/>
    <x v="4"/>
    <n v="62.1"/>
    <x v="0"/>
  </r>
  <r>
    <x v="6"/>
    <x v="5"/>
    <n v="152.5"/>
    <x v="0"/>
  </r>
  <r>
    <x v="6"/>
    <x v="6"/>
    <n v="199.8"/>
    <x v="0"/>
  </r>
  <r>
    <x v="6"/>
    <x v="7"/>
    <n v="150.5"/>
    <x v="0"/>
  </r>
  <r>
    <x v="6"/>
    <x v="8"/>
    <n v="63"/>
    <x v="0"/>
  </r>
  <r>
    <x v="6"/>
    <x v="9"/>
    <n v="17"/>
    <x v="0"/>
  </r>
  <r>
    <x v="6"/>
    <x v="10"/>
    <n v="14.1"/>
    <x v="0"/>
  </r>
  <r>
    <x v="6"/>
    <x v="11"/>
    <n v="2.2999999999999998"/>
    <x v="0"/>
  </r>
  <r>
    <x v="7"/>
    <x v="0"/>
    <n v="0"/>
    <x v="0"/>
  </r>
  <r>
    <x v="7"/>
    <x v="1"/>
    <n v="0"/>
    <x v="0"/>
  </r>
  <r>
    <x v="7"/>
    <x v="2"/>
    <n v="21.8"/>
    <x v="0"/>
  </r>
  <r>
    <x v="7"/>
    <x v="3"/>
    <n v="31.3"/>
    <x v="0"/>
  </r>
  <r>
    <x v="7"/>
    <x v="4"/>
    <n v="71.3"/>
    <x v="0"/>
  </r>
  <r>
    <x v="7"/>
    <x v="5"/>
    <n v="57.4"/>
    <x v="0"/>
  </r>
  <r>
    <x v="7"/>
    <x v="6"/>
    <n v="94.8"/>
    <x v="0"/>
  </r>
  <r>
    <x v="7"/>
    <x v="7"/>
    <n v="46.1"/>
    <x v="0"/>
  </r>
  <r>
    <x v="7"/>
    <x v="8"/>
    <n v="80.400000000000006"/>
    <x v="0"/>
  </r>
  <r>
    <x v="7"/>
    <x v="9"/>
    <n v="18"/>
    <x v="0"/>
  </r>
  <r>
    <x v="7"/>
    <x v="10"/>
    <n v="9.3000000000000007"/>
    <x v="0"/>
  </r>
  <r>
    <x v="7"/>
    <x v="11"/>
    <n v="8.6"/>
    <x v="0"/>
  </r>
  <r>
    <x v="8"/>
    <x v="0"/>
    <n v="90.9"/>
    <x v="0"/>
  </r>
  <r>
    <x v="8"/>
    <x v="1"/>
    <n v="32.299999999999997"/>
    <x v="0"/>
  </r>
  <r>
    <x v="8"/>
    <x v="2"/>
    <n v="30.1"/>
    <x v="0"/>
  </r>
  <r>
    <x v="8"/>
    <x v="3"/>
    <n v="55.5"/>
    <x v="0"/>
  </r>
  <r>
    <x v="8"/>
    <x v="4"/>
    <n v="84.5"/>
    <x v="0"/>
  </r>
  <r>
    <x v="8"/>
    <x v="5"/>
    <n v="300"/>
    <x v="0"/>
  </r>
  <r>
    <x v="8"/>
    <x v="6"/>
    <n v="105.8"/>
    <x v="0"/>
  </r>
  <r>
    <x v="8"/>
    <x v="7"/>
    <n v="113.5"/>
    <x v="0"/>
  </r>
  <r>
    <x v="8"/>
    <x v="8"/>
    <n v="109.3"/>
    <x v="0"/>
  </r>
  <r>
    <x v="8"/>
    <x v="9"/>
    <n v="56.7"/>
    <x v="0"/>
  </r>
  <r>
    <x v="8"/>
    <x v="10"/>
    <n v="81.599999999999994"/>
    <x v="0"/>
  </r>
  <r>
    <x v="8"/>
    <x v="11"/>
    <n v="26.3"/>
    <x v="0"/>
  </r>
  <r>
    <x v="9"/>
    <x v="0"/>
    <n v="110.1"/>
    <x v="0"/>
  </r>
  <r>
    <x v="9"/>
    <x v="1"/>
    <n v="18.899999999999999"/>
    <x v="0"/>
  </r>
  <r>
    <x v="9"/>
    <x v="2"/>
    <n v="32.200000000000003"/>
    <x v="0"/>
  </r>
  <r>
    <x v="9"/>
    <x v="3"/>
    <n v="90"/>
    <x v="0"/>
  </r>
  <r>
    <x v="9"/>
    <x v="4"/>
    <n v="81.400000000000006"/>
    <x v="0"/>
  </r>
  <r>
    <x v="9"/>
    <x v="5"/>
    <n v="131.69999999999999"/>
    <x v="0"/>
  </r>
  <r>
    <x v="9"/>
    <x v="6"/>
    <n v="193.3"/>
    <x v="0"/>
  </r>
  <r>
    <x v="9"/>
    <x v="7"/>
    <n v="191"/>
    <x v="0"/>
  </r>
  <r>
    <x v="9"/>
    <x v="8"/>
    <n v="42.4"/>
    <x v="0"/>
  </r>
  <r>
    <x v="9"/>
    <x v="9"/>
    <n v="38.4"/>
    <x v="0"/>
  </r>
  <r>
    <x v="9"/>
    <x v="10"/>
    <n v="27.5"/>
    <x v="0"/>
  </r>
  <r>
    <x v="9"/>
    <x v="11"/>
    <n v="18.100000000000001"/>
    <x v="0"/>
  </r>
  <r>
    <x v="10"/>
    <x v="0"/>
    <n v="91.7"/>
    <x v="0"/>
  </r>
  <r>
    <x v="10"/>
    <x v="1"/>
    <n v="61.4"/>
    <x v="0"/>
  </r>
  <r>
    <x v="10"/>
    <x v="2"/>
    <n v="37.700000000000003"/>
    <x v="0"/>
  </r>
  <r>
    <x v="10"/>
    <x v="3"/>
    <n v="101.9"/>
    <x v="0"/>
  </r>
  <r>
    <x v="10"/>
    <x v="4"/>
    <n v="117.7"/>
    <x v="0"/>
  </r>
  <r>
    <x v="10"/>
    <x v="5"/>
    <n v="361"/>
    <x v="0"/>
  </r>
  <r>
    <x v="10"/>
    <x v="6"/>
    <n v="114.4"/>
    <x v="0"/>
  </r>
  <r>
    <x v="10"/>
    <x v="7"/>
    <n v="137.5"/>
    <x v="0"/>
  </r>
  <r>
    <x v="10"/>
    <x v="8"/>
    <n v="44.2"/>
    <x v="0"/>
  </r>
  <r>
    <x v="10"/>
    <x v="9"/>
    <n v="67.400000000000006"/>
    <x v="0"/>
  </r>
  <r>
    <x v="10"/>
    <x v="10"/>
    <n v="118.5"/>
    <x v="0"/>
  </r>
  <r>
    <x v="10"/>
    <x v="11"/>
    <n v="20.5"/>
    <x v="0"/>
  </r>
  <r>
    <x v="11"/>
    <x v="0"/>
    <n v="89.8"/>
    <x v="0"/>
  </r>
  <r>
    <x v="11"/>
    <x v="1"/>
    <n v="12.6"/>
    <x v="0"/>
  </r>
  <r>
    <x v="11"/>
    <x v="2"/>
    <n v="37.299999999999997"/>
    <x v="0"/>
  </r>
  <r>
    <x v="11"/>
    <x v="3"/>
    <n v="59.4"/>
    <x v="0"/>
  </r>
  <r>
    <x v="11"/>
    <x v="4"/>
    <n v="72.5"/>
    <x v="0"/>
  </r>
  <r>
    <x v="11"/>
    <x v="5"/>
    <n v="203.8"/>
    <x v="0"/>
  </r>
  <r>
    <x v="11"/>
    <x v="6"/>
    <n v="162.30000000000001"/>
    <x v="0"/>
  </r>
  <r>
    <x v="11"/>
    <x v="7"/>
    <n v="177.7"/>
    <x v="0"/>
  </r>
  <r>
    <x v="11"/>
    <x v="8"/>
    <n v="5.6"/>
    <x v="0"/>
  </r>
  <r>
    <x v="11"/>
    <x v="9"/>
    <n v="50.4"/>
    <x v="0"/>
  </r>
  <r>
    <x v="11"/>
    <x v="10"/>
    <n v="28.3"/>
    <x v="0"/>
  </r>
  <r>
    <x v="11"/>
    <x v="11"/>
    <n v="10.5"/>
    <x v="0"/>
  </r>
  <r>
    <x v="12"/>
    <x v="0"/>
    <n v="70.3"/>
    <x v="0"/>
  </r>
  <r>
    <x v="12"/>
    <x v="1"/>
    <n v="46.9"/>
    <x v="0"/>
  </r>
  <r>
    <x v="12"/>
    <x v="2"/>
    <n v="68.7"/>
    <x v="0"/>
  </r>
  <r>
    <x v="12"/>
    <x v="3"/>
    <n v="148.30000000000001"/>
    <x v="0"/>
  </r>
  <r>
    <x v="12"/>
    <x v="4"/>
    <n v="266.39999999999998"/>
    <x v="0"/>
  </r>
  <r>
    <x v="12"/>
    <x v="5"/>
    <n v="247.6"/>
    <x v="0"/>
  </r>
  <r>
    <x v="12"/>
    <x v="6"/>
    <n v="325.60000000000002"/>
    <x v="0"/>
  </r>
  <r>
    <x v="12"/>
    <x v="7"/>
    <n v="104.4"/>
    <x v="0"/>
  </r>
  <r>
    <x v="12"/>
    <x v="8"/>
    <n v="40.799999999999997"/>
    <x v="0"/>
  </r>
  <r>
    <x v="12"/>
    <x v="9"/>
    <n v="118.5"/>
    <x v="0"/>
  </r>
  <r>
    <x v="12"/>
    <x v="10"/>
    <n v="35.1"/>
    <x v="0"/>
  </r>
  <r>
    <x v="12"/>
    <x v="11"/>
    <n v="12.2"/>
    <x v="0"/>
  </r>
  <r>
    <x v="13"/>
    <x v="0"/>
    <n v="75.8"/>
    <x v="0"/>
  </r>
  <r>
    <x v="13"/>
    <x v="1"/>
    <n v="48.2"/>
    <x v="0"/>
  </r>
  <r>
    <x v="13"/>
    <x v="2"/>
    <n v="145.30000000000001"/>
    <x v="0"/>
  </r>
  <r>
    <x v="13"/>
    <x v="3"/>
    <n v="157.4"/>
    <x v="0"/>
  </r>
  <r>
    <x v="13"/>
    <x v="4"/>
    <n v="104.1"/>
    <x v="0"/>
  </r>
  <r>
    <x v="13"/>
    <x v="5"/>
    <n v="427.6"/>
    <x v="0"/>
  </r>
  <r>
    <x v="13"/>
    <x v="6"/>
    <n v="133.69999999999999"/>
    <x v="0"/>
  </r>
  <r>
    <x v="13"/>
    <x v="7"/>
    <n v="68"/>
    <x v="0"/>
  </r>
  <r>
    <x v="13"/>
    <x v="8"/>
    <n v="31"/>
    <x v="0"/>
  </r>
  <r>
    <x v="13"/>
    <x v="9"/>
    <n v="16.600000000000001"/>
    <x v="0"/>
  </r>
  <r>
    <x v="13"/>
    <x v="10"/>
    <n v="138.69999999999999"/>
    <x v="0"/>
  </r>
  <r>
    <x v="13"/>
    <x v="11"/>
    <n v="9.6999999999999993"/>
    <x v="0"/>
  </r>
  <r>
    <x v="14"/>
    <x v="0"/>
    <n v="6.8"/>
    <x v="0"/>
  </r>
  <r>
    <x v="14"/>
    <x v="1"/>
    <n v="5.9"/>
    <x v="0"/>
  </r>
  <r>
    <x v="14"/>
    <x v="2"/>
    <n v="13.1"/>
    <x v="0"/>
  </r>
  <r>
    <x v="14"/>
    <x v="3"/>
    <n v="53.5"/>
    <x v="0"/>
  </r>
  <r>
    <x v="14"/>
    <x v="4"/>
    <n v="61.6"/>
    <x v="0"/>
  </r>
  <r>
    <x v="14"/>
    <x v="5"/>
    <n v="27.2"/>
    <x v="0"/>
  </r>
  <r>
    <x v="14"/>
    <x v="6"/>
    <n v="254"/>
    <x v="0"/>
  </r>
  <r>
    <x v="14"/>
    <x v="7"/>
    <n v="186.7"/>
    <x v="0"/>
  </r>
  <r>
    <x v="14"/>
    <x v="8"/>
    <n v="73.900000000000006"/>
    <x v="0"/>
  </r>
  <r>
    <x v="14"/>
    <x v="9"/>
    <n v="18.600000000000001"/>
    <x v="0"/>
  </r>
  <r>
    <x v="14"/>
    <x v="10"/>
    <n v="3.4"/>
    <x v="0"/>
  </r>
  <r>
    <x v="14"/>
    <x v="11"/>
    <n v="0.4"/>
    <x v="0"/>
  </r>
  <r>
    <x v="15"/>
    <x v="0"/>
    <n v="17"/>
    <x v="0"/>
  </r>
  <r>
    <x v="15"/>
    <x v="1"/>
    <n v="2.5"/>
    <x v="0"/>
  </r>
  <r>
    <x v="15"/>
    <x v="2"/>
    <n v="2"/>
    <x v="0"/>
  </r>
  <r>
    <x v="15"/>
    <x v="3"/>
    <n v="90.8"/>
    <x v="0"/>
  </r>
  <r>
    <x v="15"/>
    <x v="4"/>
    <n v="59.4"/>
    <x v="0"/>
  </r>
  <r>
    <x v="15"/>
    <x v="5"/>
    <n v="24.6"/>
    <x v="0"/>
  </r>
  <r>
    <x v="15"/>
    <x v="6"/>
    <n v="309.7"/>
    <x v="0"/>
  </r>
  <r>
    <x v="15"/>
    <x v="7"/>
    <n v="58.5"/>
    <x v="0"/>
  </r>
  <r>
    <x v="15"/>
    <x v="8"/>
    <n v="64.400000000000006"/>
    <x v="0"/>
  </r>
  <r>
    <x v="15"/>
    <x v="9"/>
    <n v="13.3"/>
    <x v="0"/>
  </r>
  <r>
    <x v="15"/>
    <x v="10"/>
    <n v="12.9"/>
    <x v="0"/>
  </r>
  <r>
    <x v="15"/>
    <x v="11"/>
    <n v="3.1"/>
    <x v="0"/>
  </r>
  <r>
    <x v="16"/>
    <x v="0"/>
    <n v="72.400000000000006"/>
    <x v="0"/>
  </r>
  <r>
    <x v="16"/>
    <x v="1"/>
    <n v="20.7"/>
    <x v="0"/>
  </r>
  <r>
    <x v="16"/>
    <x v="2"/>
    <n v="79"/>
    <x v="0"/>
  </r>
  <r>
    <x v="16"/>
    <x v="3"/>
    <n v="54.3"/>
    <x v="0"/>
  </r>
  <r>
    <x v="16"/>
    <x v="4"/>
    <n v="344.2"/>
    <x v="0"/>
  </r>
  <r>
    <x v="16"/>
    <x v="5"/>
    <n v="129.4"/>
    <x v="0"/>
  </r>
  <r>
    <x v="16"/>
    <x v="6"/>
    <n v="148.1"/>
    <x v="0"/>
  </r>
  <r>
    <x v="16"/>
    <x v="7"/>
    <n v="240.7"/>
    <x v="0"/>
  </r>
  <r>
    <x v="16"/>
    <x v="8"/>
    <n v="40.799999999999997"/>
    <x v="0"/>
  </r>
  <r>
    <x v="16"/>
    <x v="9"/>
    <n v="92.5"/>
    <x v="0"/>
  </r>
  <r>
    <x v="16"/>
    <x v="10"/>
    <n v="39.1"/>
    <x v="0"/>
  </r>
  <r>
    <x v="16"/>
    <x v="11"/>
    <n v="5.6"/>
    <x v="0"/>
  </r>
  <r>
    <x v="17"/>
    <x v="0"/>
    <n v="96.4"/>
    <x v="0"/>
  </r>
  <r>
    <x v="17"/>
    <x v="1"/>
    <n v="53.8"/>
    <x v="0"/>
  </r>
  <r>
    <x v="17"/>
    <x v="2"/>
    <n v="159.9"/>
    <x v="0"/>
  </r>
  <r>
    <x v="17"/>
    <x v="3"/>
    <n v="101.6"/>
    <x v="0"/>
  </r>
  <r>
    <x v="17"/>
    <x v="4"/>
    <n v="110"/>
    <x v="0"/>
  </r>
  <r>
    <x v="17"/>
    <x v="5"/>
    <n v="116.4"/>
    <x v="0"/>
  </r>
  <r>
    <x v="17"/>
    <x v="6"/>
    <n v="215"/>
    <x v="0"/>
  </r>
  <r>
    <x v="17"/>
    <x v="7"/>
    <n v="143.9"/>
    <x v="0"/>
  </r>
  <r>
    <x v="17"/>
    <x v="8"/>
    <n v="146.69999999999999"/>
    <x v="0"/>
  </r>
  <r>
    <x v="17"/>
    <x v="9"/>
    <n v="55.8"/>
    <x v="0"/>
  </r>
  <r>
    <x v="17"/>
    <x v="10"/>
    <n v="243.9"/>
    <x v="0"/>
  </r>
  <r>
    <x v="17"/>
    <x v="11"/>
    <n v="9.5"/>
    <x v="0"/>
  </r>
  <r>
    <x v="18"/>
    <x v="0"/>
    <n v="98"/>
    <x v="0"/>
  </r>
  <r>
    <x v="18"/>
    <x v="1"/>
    <n v="49.9"/>
    <x v="0"/>
  </r>
  <r>
    <x v="18"/>
    <x v="2"/>
    <n v="70.900000000000006"/>
    <x v="0"/>
  </r>
  <r>
    <x v="18"/>
    <x v="3"/>
    <n v="111.7"/>
    <x v="0"/>
  </r>
  <r>
    <x v="18"/>
    <x v="4"/>
    <n v="285.2"/>
    <x v="0"/>
  </r>
  <r>
    <x v="18"/>
    <x v="5"/>
    <n v="834.6"/>
    <x v="0"/>
  </r>
  <r>
    <x v="18"/>
    <x v="6"/>
    <n v="170.3"/>
    <x v="0"/>
  </r>
  <r>
    <x v="18"/>
    <x v="7"/>
    <n v="188.4"/>
    <x v="0"/>
  </r>
  <r>
    <x v="18"/>
    <x v="8"/>
    <n v="262.60000000000002"/>
    <x v="0"/>
  </r>
  <r>
    <x v="18"/>
    <x v="9"/>
    <n v="136.4"/>
    <x v="0"/>
  </r>
  <r>
    <x v="18"/>
    <x v="10"/>
    <n v="61.9"/>
    <x v="0"/>
  </r>
  <r>
    <x v="18"/>
    <x v="11"/>
    <n v="14.1"/>
    <x v="0"/>
  </r>
  <r>
    <x v="19"/>
    <x v="0"/>
    <n v="76.099999999999994"/>
    <x v="0"/>
  </r>
  <r>
    <x v="19"/>
    <x v="1"/>
    <n v="70"/>
    <x v="0"/>
  </r>
  <r>
    <x v="19"/>
    <x v="2"/>
    <n v="18.7"/>
    <x v="0"/>
  </r>
  <r>
    <x v="19"/>
    <x v="3"/>
    <n v="45.2"/>
    <x v="0"/>
  </r>
  <r>
    <x v="19"/>
    <x v="4"/>
    <n v="121.8"/>
    <x v="0"/>
  </r>
  <r>
    <x v="19"/>
    <x v="5"/>
    <n v="300.60000000000002"/>
    <x v="0"/>
  </r>
  <r>
    <x v="19"/>
    <x v="6"/>
    <n v="260.10000000000002"/>
    <x v="0"/>
  </r>
  <r>
    <x v="19"/>
    <x v="7"/>
    <n v="317.39999999999998"/>
    <x v="0"/>
  </r>
  <r>
    <x v="19"/>
    <x v="8"/>
    <n v="187.6"/>
    <x v="0"/>
  </r>
  <r>
    <x v="19"/>
    <x v="9"/>
    <n v="47.6"/>
    <x v="0"/>
  </r>
  <r>
    <x v="19"/>
    <x v="10"/>
    <n v="156"/>
    <x v="0"/>
  </r>
  <r>
    <x v="19"/>
    <x v="11"/>
    <n v="23.9"/>
    <x v="0"/>
  </r>
  <r>
    <x v="20"/>
    <x v="0"/>
    <n v="35.5"/>
    <x v="0"/>
  </r>
  <r>
    <x v="20"/>
    <x v="1"/>
    <n v="27.7"/>
    <x v="0"/>
  </r>
  <r>
    <x v="20"/>
    <x v="2"/>
    <n v="13.6"/>
    <x v="0"/>
  </r>
  <r>
    <x v="20"/>
    <x v="3"/>
    <n v="53.9"/>
    <x v="0"/>
  </r>
  <r>
    <x v="20"/>
    <x v="4"/>
    <n v="193.3"/>
    <x v="0"/>
  </r>
  <r>
    <x v="20"/>
    <x v="5"/>
    <n v="227.3"/>
    <x v="0"/>
  </r>
  <r>
    <x v="20"/>
    <x v="6"/>
    <n v="164.7"/>
    <x v="0"/>
  </r>
  <r>
    <x v="20"/>
    <x v="7"/>
    <n v="346.7"/>
    <x v="0"/>
  </r>
  <r>
    <x v="20"/>
    <x v="8"/>
    <n v="337.5"/>
    <x v="0"/>
  </r>
  <r>
    <x v="20"/>
    <x v="9"/>
    <n v="901.2"/>
    <x v="0"/>
  </r>
  <r>
    <x v="20"/>
    <x v="10"/>
    <n v="20.9"/>
    <x v="0"/>
  </r>
  <r>
    <x v="20"/>
    <x v="11"/>
    <n v="68.900000000000006"/>
    <x v="0"/>
  </r>
  <r>
    <x v="21"/>
    <x v="0"/>
    <n v="16.2"/>
    <x v="0"/>
  </r>
  <r>
    <x v="21"/>
    <x v="1"/>
    <n v="42.7"/>
    <x v="0"/>
  </r>
  <r>
    <x v="21"/>
    <x v="2"/>
    <n v="43.8"/>
    <x v="0"/>
  </r>
  <r>
    <x v="21"/>
    <x v="3"/>
    <n v="75.099999999999994"/>
    <x v="0"/>
  </r>
  <r>
    <x v="21"/>
    <x v="4"/>
    <n v="69.099999999999994"/>
    <x v="0"/>
  </r>
  <r>
    <x v="21"/>
    <x v="5"/>
    <n v="254.4"/>
    <x v="0"/>
  </r>
  <r>
    <x v="21"/>
    <x v="6"/>
    <n v="55.1"/>
    <x v="0"/>
  </r>
  <r>
    <x v="21"/>
    <x v="7"/>
    <n v="108.4"/>
    <x v="0"/>
  </r>
  <r>
    <x v="21"/>
    <x v="8"/>
    <n v="54.1"/>
    <x v="0"/>
  </r>
  <r>
    <x v="21"/>
    <x v="9"/>
    <n v="154.30000000000001"/>
    <x v="0"/>
  </r>
  <r>
    <x v="21"/>
    <x v="10"/>
    <n v="59.8"/>
    <x v="0"/>
  </r>
  <r>
    <x v="21"/>
    <x v="11"/>
    <n v="29.7"/>
    <x v="0"/>
  </r>
  <r>
    <x v="22"/>
    <x v="0"/>
    <n v="6.3"/>
    <x v="0"/>
  </r>
  <r>
    <x v="22"/>
    <x v="1"/>
    <n v="16.8"/>
    <x v="0"/>
  </r>
  <r>
    <x v="22"/>
    <x v="2"/>
    <n v="33"/>
    <x v="0"/>
  </r>
  <r>
    <x v="22"/>
    <x v="3"/>
    <n v="47"/>
    <x v="0"/>
  </r>
  <r>
    <x v="22"/>
    <x v="4"/>
    <n v="69.7"/>
    <x v="0"/>
  </r>
  <r>
    <x v="22"/>
    <x v="5"/>
    <n v="124"/>
    <x v="0"/>
  </r>
  <r>
    <x v="22"/>
    <x v="6"/>
    <n v="235.8"/>
    <x v="0"/>
  </r>
  <r>
    <x v="22"/>
    <x v="7"/>
    <n v="147.19999999999999"/>
    <x v="0"/>
  </r>
  <r>
    <x v="22"/>
    <x v="8"/>
    <n v="267"/>
    <x v="0"/>
  </r>
  <r>
    <x v="22"/>
    <x v="9"/>
    <n v="58.8"/>
    <x v="0"/>
  </r>
  <r>
    <x v="22"/>
    <x v="10"/>
    <n v="22.6"/>
    <x v="0"/>
  </r>
  <r>
    <x v="22"/>
    <x v="11"/>
    <n v="0"/>
    <x v="0"/>
  </r>
  <r>
    <x v="23"/>
    <x v="0"/>
    <n v="15.7"/>
    <x v="0"/>
  </r>
  <r>
    <x v="23"/>
    <x v="1"/>
    <n v="13.5"/>
    <x v="0"/>
  </r>
  <r>
    <x v="23"/>
    <x v="2"/>
    <n v="68.099999999999994"/>
    <x v="0"/>
  </r>
  <r>
    <x v="23"/>
    <x v="3"/>
    <n v="62.1"/>
    <x v="0"/>
  </r>
  <r>
    <x v="23"/>
    <x v="4"/>
    <n v="156.9"/>
    <x v="0"/>
  </r>
  <r>
    <x v="23"/>
    <x v="5"/>
    <n v="89.9"/>
    <x v="0"/>
  </r>
  <r>
    <x v="23"/>
    <x v="6"/>
    <n v="275"/>
    <x v="0"/>
  </r>
  <r>
    <x v="23"/>
    <x v="7"/>
    <n v="364.2"/>
    <x v="0"/>
  </r>
  <r>
    <x v="23"/>
    <x v="8"/>
    <n v="98.9"/>
    <x v="0"/>
  </r>
  <r>
    <x v="23"/>
    <x v="9"/>
    <n v="106.1"/>
    <x v="0"/>
  </r>
  <r>
    <x v="23"/>
    <x v="10"/>
    <n v="103.3"/>
    <x v="0"/>
  </r>
  <r>
    <x v="23"/>
    <x v="11"/>
    <n v="17.2"/>
    <x v="0"/>
  </r>
  <r>
    <x v="24"/>
    <x v="0"/>
    <n v="13.6"/>
    <x v="0"/>
  </r>
  <r>
    <x v="24"/>
    <x v="1"/>
    <n v="12.7"/>
    <x v="0"/>
  </r>
  <r>
    <x v="24"/>
    <x v="2"/>
    <n v="15.7"/>
    <x v="0"/>
  </r>
  <r>
    <x v="24"/>
    <x v="3"/>
    <n v="14.4"/>
    <x v="0"/>
  </r>
  <r>
    <x v="24"/>
    <x v="4"/>
    <n v="94.5"/>
    <x v="0"/>
  </r>
  <r>
    <x v="24"/>
    <x v="5"/>
    <n v="133.5"/>
    <x v="0"/>
  </r>
  <r>
    <x v="24"/>
    <x v="6"/>
    <n v="281.5"/>
    <x v="0"/>
  </r>
  <r>
    <x v="24"/>
    <x v="7"/>
    <n v="203.4"/>
    <x v="0"/>
  </r>
  <r>
    <x v="24"/>
    <x v="8"/>
    <n v="75.400000000000006"/>
    <x v="0"/>
  </r>
  <r>
    <x v="24"/>
    <x v="9"/>
    <n v="49.4"/>
    <x v="0"/>
  </r>
  <r>
    <x v="24"/>
    <x v="10"/>
    <n v="82.7"/>
    <x v="0"/>
  </r>
  <r>
    <x v="24"/>
    <x v="11"/>
    <n v="5.4"/>
    <x v="0"/>
  </r>
  <r>
    <x v="25"/>
    <x v="0"/>
    <n v="0.2"/>
    <x v="0"/>
  </r>
  <r>
    <x v="25"/>
    <x v="1"/>
    <n v="7.5"/>
    <x v="0"/>
  </r>
  <r>
    <x v="25"/>
    <x v="2"/>
    <n v="3.8"/>
    <x v="0"/>
  </r>
  <r>
    <x v="25"/>
    <x v="3"/>
    <n v="3.8"/>
    <x v="0"/>
  </r>
  <r>
    <x v="25"/>
    <x v="4"/>
    <n v="64.099999999999994"/>
    <x v="0"/>
  </r>
  <r>
    <x v="25"/>
    <x v="5"/>
    <n v="63"/>
    <x v="0"/>
  </r>
  <r>
    <x v="25"/>
    <x v="6"/>
    <n v="162.30000000000001"/>
    <x v="0"/>
  </r>
  <r>
    <x v="25"/>
    <x v="7"/>
    <n v="161.9"/>
    <x v="0"/>
  </r>
  <r>
    <x v="25"/>
    <x v="8"/>
    <n v="49.4"/>
    <x v="0"/>
  </r>
  <r>
    <x v="25"/>
    <x v="9"/>
    <n v="10.9"/>
    <x v="0"/>
  </r>
  <r>
    <x v="25"/>
    <x v="10"/>
    <n v="6.9"/>
    <x v="0"/>
  </r>
  <r>
    <x v="25"/>
    <x v="11"/>
    <n v="0"/>
    <x v="0"/>
  </r>
  <r>
    <x v="26"/>
    <x v="0"/>
    <n v="19.100000000000001"/>
    <x v="0"/>
  </r>
  <r>
    <x v="26"/>
    <x v="1"/>
    <n v="7.5"/>
    <x v="0"/>
  </r>
  <r>
    <x v="26"/>
    <x v="2"/>
    <n v="21.7"/>
    <x v="0"/>
  </r>
  <r>
    <x v="26"/>
    <x v="3"/>
    <n v="55.6"/>
    <x v="0"/>
  </r>
  <r>
    <x v="26"/>
    <x v="4"/>
    <n v="22"/>
    <x v="0"/>
  </r>
  <r>
    <x v="26"/>
    <x v="5"/>
    <n v="59.8"/>
    <x v="0"/>
  </r>
  <r>
    <x v="26"/>
    <x v="6"/>
    <n v="83.7"/>
    <x v="0"/>
  </r>
  <r>
    <x v="26"/>
    <x v="7"/>
    <n v="87.3"/>
    <x v="0"/>
  </r>
  <r>
    <x v="26"/>
    <x v="8"/>
    <n v="83.1"/>
    <x v="0"/>
  </r>
  <r>
    <x v="26"/>
    <x v="9"/>
    <n v="73.099999999999994"/>
    <x v="0"/>
  </r>
  <r>
    <x v="26"/>
    <x v="10"/>
    <n v="12.3"/>
    <x v="0"/>
  </r>
  <r>
    <x v="26"/>
    <x v="11"/>
    <n v="0"/>
    <x v="0"/>
  </r>
  <r>
    <x v="27"/>
    <x v="0"/>
    <n v="9"/>
    <x v="0"/>
  </r>
  <r>
    <x v="27"/>
    <x v="1"/>
    <n v="2.8"/>
    <x v="0"/>
  </r>
  <r>
    <x v="27"/>
    <x v="2"/>
    <n v="4.5999999999999996"/>
    <x v="0"/>
  </r>
  <r>
    <x v="27"/>
    <x v="3"/>
    <n v="22"/>
    <x v="0"/>
  </r>
  <r>
    <x v="27"/>
    <x v="4"/>
    <n v="28.1"/>
    <x v="0"/>
  </r>
  <r>
    <x v="27"/>
    <x v="5"/>
    <n v="30.4"/>
    <x v="0"/>
  </r>
  <r>
    <x v="27"/>
    <x v="6"/>
    <n v="49.9"/>
    <x v="0"/>
  </r>
  <r>
    <x v="27"/>
    <x v="7"/>
    <n v="72.099999999999994"/>
    <x v="0"/>
  </r>
  <r>
    <x v="27"/>
    <x v="8"/>
    <n v="61.5"/>
    <x v="0"/>
  </r>
  <r>
    <x v="27"/>
    <x v="9"/>
    <n v="23.5"/>
    <x v="0"/>
  </r>
  <r>
    <x v="27"/>
    <x v="10"/>
    <n v="1.4"/>
    <x v="0"/>
  </r>
  <r>
    <x v="27"/>
    <x v="11"/>
    <n v="0.1"/>
    <x v="0"/>
  </r>
  <r>
    <x v="28"/>
    <x v="0"/>
    <n v="2.6"/>
    <x v="0"/>
  </r>
  <r>
    <x v="28"/>
    <x v="1"/>
    <n v="2.7"/>
    <x v="0"/>
  </r>
  <r>
    <x v="28"/>
    <x v="2"/>
    <n v="7.7"/>
    <x v="0"/>
  </r>
  <r>
    <x v="28"/>
    <x v="3"/>
    <n v="32.200000000000003"/>
    <x v="0"/>
  </r>
  <r>
    <x v="28"/>
    <x v="4"/>
    <n v="48.4"/>
    <x v="0"/>
  </r>
  <r>
    <x v="28"/>
    <x v="5"/>
    <n v="60.9"/>
    <x v="0"/>
  </r>
  <r>
    <x v="28"/>
    <x v="6"/>
    <n v="41.6"/>
    <x v="0"/>
  </r>
  <r>
    <x v="28"/>
    <x v="7"/>
    <n v="99.7"/>
    <x v="0"/>
  </r>
  <r>
    <x v="28"/>
    <x v="8"/>
    <n v="62.9"/>
    <x v="0"/>
  </r>
  <r>
    <x v="28"/>
    <x v="9"/>
    <n v="19.7"/>
    <x v="0"/>
  </r>
  <r>
    <x v="28"/>
    <x v="10"/>
    <n v="0.2"/>
    <x v="0"/>
  </r>
  <r>
    <x v="28"/>
    <x v="11"/>
    <n v="0"/>
    <x v="0"/>
  </r>
  <r>
    <x v="29"/>
    <x v="0"/>
    <n v="8.1"/>
    <x v="0"/>
  </r>
  <r>
    <x v="29"/>
    <x v="1"/>
    <n v="1.1000000000000001"/>
    <x v="0"/>
  </r>
  <r>
    <x v="29"/>
    <x v="2"/>
    <n v="0"/>
    <x v="0"/>
  </r>
  <r>
    <x v="29"/>
    <x v="3"/>
    <n v="16.3"/>
    <x v="0"/>
  </r>
  <r>
    <x v="29"/>
    <x v="4"/>
    <n v="0.2"/>
    <x v="0"/>
  </r>
  <r>
    <x v="29"/>
    <x v="5"/>
    <n v="2.2999999999999998"/>
    <x v="0"/>
  </r>
  <r>
    <x v="29"/>
    <x v="6"/>
    <n v="79.400000000000006"/>
    <x v="0"/>
  </r>
  <r>
    <x v="29"/>
    <x v="7"/>
    <n v="35.799999999999997"/>
    <x v="0"/>
  </r>
  <r>
    <x v="29"/>
    <x v="8"/>
    <n v="44.1"/>
    <x v="0"/>
  </r>
  <r>
    <x v="29"/>
    <x v="9"/>
    <n v="7.3"/>
    <x v="0"/>
  </r>
  <r>
    <x v="29"/>
    <x v="10"/>
    <n v="0"/>
    <x v="0"/>
  </r>
  <r>
    <x v="29"/>
    <x v="11"/>
    <n v="0"/>
    <x v="0"/>
  </r>
  <r>
    <x v="30"/>
    <x v="0"/>
    <n v="3"/>
    <x v="0"/>
  </r>
  <r>
    <x v="30"/>
    <x v="1"/>
    <n v="11.6"/>
    <x v="0"/>
  </r>
  <r>
    <x v="30"/>
    <x v="2"/>
    <n v="17.8"/>
    <x v="0"/>
  </r>
  <r>
    <x v="30"/>
    <x v="3"/>
    <n v="21.7"/>
    <x v="0"/>
  </r>
  <r>
    <x v="30"/>
    <x v="4"/>
    <n v="15.8"/>
    <x v="0"/>
  </r>
  <r>
    <x v="30"/>
    <x v="5"/>
    <n v="8.9"/>
    <x v="0"/>
  </r>
  <r>
    <x v="30"/>
    <x v="6"/>
    <n v="20.9"/>
    <x v="0"/>
  </r>
  <r>
    <x v="30"/>
    <x v="7"/>
    <n v="17.100000000000001"/>
    <x v="0"/>
  </r>
  <r>
    <x v="30"/>
    <x v="8"/>
    <n v="16.8"/>
    <x v="0"/>
  </r>
  <r>
    <x v="30"/>
    <x v="9"/>
    <n v="12.8"/>
    <x v="0"/>
  </r>
  <r>
    <x v="30"/>
    <x v="10"/>
    <n v="12.8"/>
    <x v="0"/>
  </r>
  <r>
    <x v="30"/>
    <x v="11"/>
    <n v="12.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3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0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32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30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3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29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4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28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5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27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6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数据透视表26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7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数据透视表25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8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数据透视表24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9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数据透视表23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0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数据透视表22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1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数据透视表2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2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数据透视表20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3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数据透视表19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4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数据透视表18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5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数据透视表17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6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数据透视表16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7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数据透视表15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8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数据透视表14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9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数据透视表13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0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数据透视表12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1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数据透视表1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2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数据透视表10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3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数据透视表9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4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数据透视表8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5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7.xml><?xml version="1.0" encoding="utf-8"?>
<pivotTableDefinition xmlns="http://schemas.openxmlformats.org/spreadsheetml/2006/main" name="数据透视表7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6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8.xml><?xml version="1.0" encoding="utf-8"?>
<pivotTableDefinition xmlns="http://schemas.openxmlformats.org/spreadsheetml/2006/main" name="数据透视表6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7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9.xml><?xml version="1.0" encoding="utf-8"?>
<pivotTableDefinition xmlns="http://schemas.openxmlformats.org/spreadsheetml/2006/main" name="数据透视表5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8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0.xml><?xml version="1.0" encoding="utf-8"?>
<pivotTableDefinition xmlns="http://schemas.openxmlformats.org/spreadsheetml/2006/main" name="数据透视表4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9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1.xml><?xml version="1.0" encoding="utf-8"?>
<pivotTableDefinition xmlns="http://schemas.openxmlformats.org/spreadsheetml/2006/main" name="数据透视表3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30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2.xml><?xml version="1.0" encoding="utf-8"?>
<pivotTableDefinition xmlns="http://schemas.openxmlformats.org/spreadsheetml/2006/main" name="数据透视表2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16" firstHeaderRow="0" firstDataRow="1" firstDataCol="1" rowPageCount="1" colPageCount="1"/>
  <pivotFields count="4">
    <pivotField axis="axisPage" showAll="0">
      <items count="32">
        <item x="0"/>
        <item x="22"/>
        <item x="12"/>
        <item x="18"/>
        <item x="23"/>
        <item x="7"/>
        <item x="20"/>
        <item x="10"/>
        <item x="11"/>
        <item x="4"/>
        <item x="14"/>
        <item x="24"/>
        <item x="25"/>
        <item x="27"/>
        <item x="13"/>
        <item x="9"/>
        <item x="19"/>
        <item x="8"/>
        <item x="5"/>
        <item x="2"/>
        <item x="3"/>
        <item x="1"/>
        <item x="30"/>
        <item x="16"/>
        <item x="26"/>
        <item x="28"/>
        <item x="29"/>
        <item x="6"/>
        <item x="17"/>
        <item x="15"/>
        <item x="21"/>
        <item t="default"/>
      </items>
    </pivotField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求和项:值" fld="2" baseField="0" baseItem="0"/>
    <dataField name="全年占比" fld="2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降水量统计" displayName="降水量统计" ref="A1:P32" totalsRowShown="0" headerRowDxfId="16" dataDxfId="15">
  <autoFilter ref="A1:P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城市（毫米）"/>
    <tableColumn id="2" name="1月" dataDxfId="14"/>
    <tableColumn id="3" name="2月" dataDxfId="13"/>
    <tableColumn id="4" name="3月" dataDxfId="12"/>
    <tableColumn id="5" name="4月" dataDxfId="11"/>
    <tableColumn id="6" name="5月" dataDxfId="10"/>
    <tableColumn id="7" name="6月" dataDxfId="9"/>
    <tableColumn id="8" name="7月" dataDxfId="8"/>
    <tableColumn id="9" name="8月" dataDxfId="7"/>
    <tableColumn id="10" name="9月" dataDxfId="6"/>
    <tableColumn id="11" name="10月" dataDxfId="5"/>
    <tableColumn id="12" name="11月" dataDxfId="4"/>
    <tableColumn id="13" name="12月" dataDxfId="3"/>
    <tableColumn id="14" name="合计降水量" dataDxfId="2">
      <calculatedColumnFormula>SUM(B2:M2)</calculatedColumnFormula>
    </tableColumn>
    <tableColumn id="15" name="排名" dataDxfId="1">
      <calculatedColumnFormula>RANK(N2,$N$2:$N$32,0)</calculatedColumnFormula>
    </tableColumn>
    <tableColumn id="16" name="季节分布" dataDxfId="0"/>
  </tableColumns>
  <tableStyleInfo name="TableStyleLight16" showFirstColumn="0" showLastColumn="0" showRowStripes="0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"/>
  <sheetViews>
    <sheetView showGridLines="0" tabSelected="1" workbookViewId="0">
      <selection activeCell="J6" sqref="J6"/>
    </sheetView>
  </sheetViews>
  <sheetFormatPr defaultColWidth="9" defaultRowHeight="13.5" x14ac:dyDescent="0.15"/>
  <cols>
    <col min="1" max="1" width="11" style="1" customWidth="1"/>
    <col min="2" max="2" width="6.5" style="1" customWidth="1"/>
    <col min="3" max="3" width="5.5" style="1" customWidth="1"/>
    <col min="4" max="12" width="6.5" style="1" customWidth="1"/>
    <col min="13" max="13" width="5.5" style="1" customWidth="1"/>
    <col min="14" max="14" width="12.125" style="1" customWidth="1"/>
    <col min="15" max="15" width="3.5" style="1" customWidth="1"/>
    <col min="16" max="16" width="10.25" style="1" customWidth="1"/>
    <col min="17" max="17" width="9" style="1"/>
    <col min="18" max="18" width="7.125" style="1" bestFit="1" customWidth="1"/>
    <col min="19" max="19" width="6.5" style="1" bestFit="1" customWidth="1"/>
    <col min="20" max="16384" width="9" style="1"/>
  </cols>
  <sheetData>
    <row r="1" spans="1:19" x14ac:dyDescent="0.15">
      <c r="A1" t="s">
        <v>3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13</v>
      </c>
      <c r="I1" t="s">
        <v>15</v>
      </c>
      <c r="J1" t="s">
        <v>7</v>
      </c>
      <c r="K1" t="s">
        <v>0</v>
      </c>
      <c r="L1" t="s">
        <v>1</v>
      </c>
      <c r="M1" t="s">
        <v>2</v>
      </c>
      <c r="N1" s="1" t="s">
        <v>6</v>
      </c>
      <c r="O1" s="1" t="s">
        <v>4</v>
      </c>
      <c r="P1" s="1" t="s">
        <v>5</v>
      </c>
    </row>
    <row r="2" spans="1:19" x14ac:dyDescent="0.15">
      <c r="A2" t="s">
        <v>16</v>
      </c>
      <c r="B2" s="2">
        <v>0.2</v>
      </c>
      <c r="C2" s="2">
        <v>0</v>
      </c>
      <c r="D2" s="2">
        <v>11.6</v>
      </c>
      <c r="E2" s="2">
        <v>63.6</v>
      </c>
      <c r="F2" s="2">
        <v>64.099999999999994</v>
      </c>
      <c r="G2" s="2">
        <v>125.3</v>
      </c>
      <c r="H2" s="2">
        <v>79.3</v>
      </c>
      <c r="I2" s="2">
        <v>132.1</v>
      </c>
      <c r="J2" s="2">
        <v>118.9</v>
      </c>
      <c r="K2" s="2">
        <v>31.1</v>
      </c>
      <c r="L2" s="2">
        <v>0</v>
      </c>
      <c r="M2" s="2">
        <v>0.1</v>
      </c>
      <c r="N2" s="3">
        <f t="shared" ref="N2:N32" si="0">SUM(B2:M2)</f>
        <v>626.30000000000007</v>
      </c>
      <c r="O2" s="1">
        <f t="shared" ref="O2:O32" si="1">RANK(N2,$N$2:$N$32,0)</f>
        <v>21</v>
      </c>
      <c r="S2" s="1" t="s">
        <v>47</v>
      </c>
    </row>
    <row r="3" spans="1:19" x14ac:dyDescent="0.15">
      <c r="A3" t="s">
        <v>17</v>
      </c>
      <c r="B3" s="2">
        <v>0.1</v>
      </c>
      <c r="C3" s="2">
        <v>0.9</v>
      </c>
      <c r="D3" s="2">
        <v>13.7</v>
      </c>
      <c r="E3" s="2">
        <v>48.8</v>
      </c>
      <c r="F3" s="2">
        <v>21.2</v>
      </c>
      <c r="G3" s="2">
        <v>131.9</v>
      </c>
      <c r="H3" s="2">
        <v>143.4</v>
      </c>
      <c r="I3" s="2">
        <v>71.3</v>
      </c>
      <c r="J3" s="2">
        <v>68.2</v>
      </c>
      <c r="K3" s="2">
        <v>48.5</v>
      </c>
      <c r="L3" s="2">
        <v>0</v>
      </c>
      <c r="M3" s="2">
        <v>4.0999999999999996</v>
      </c>
      <c r="N3" s="3">
        <f t="shared" si="0"/>
        <v>552.1</v>
      </c>
      <c r="O3" s="1">
        <f t="shared" si="1"/>
        <v>23</v>
      </c>
      <c r="R3" s="1" t="s">
        <v>34</v>
      </c>
      <c r="S3" s="1">
        <f>INDEX(B2:M32,MATCH(R3,A2:A32,0),MATCH(S2,B1:M1,0))</f>
        <v>170.3</v>
      </c>
    </row>
    <row r="4" spans="1:19" x14ac:dyDescent="0.15">
      <c r="A4" t="s">
        <v>18</v>
      </c>
      <c r="B4" s="2">
        <v>8</v>
      </c>
      <c r="C4" s="2">
        <v>0</v>
      </c>
      <c r="D4" s="2">
        <v>22.1</v>
      </c>
      <c r="E4" s="2">
        <v>47.9</v>
      </c>
      <c r="F4" s="2">
        <v>31.5</v>
      </c>
      <c r="G4" s="2">
        <v>97.1</v>
      </c>
      <c r="H4" s="2">
        <v>129.19999999999999</v>
      </c>
      <c r="I4" s="2">
        <v>238.6</v>
      </c>
      <c r="J4" s="2">
        <v>116.4</v>
      </c>
      <c r="K4" s="2">
        <v>16.600000000000001</v>
      </c>
      <c r="L4" s="2">
        <v>0.2</v>
      </c>
      <c r="M4" s="2">
        <v>0.1</v>
      </c>
      <c r="N4" s="3">
        <f t="shared" si="0"/>
        <v>707.7</v>
      </c>
      <c r="O4" s="1">
        <f t="shared" si="1"/>
        <v>18</v>
      </c>
    </row>
    <row r="5" spans="1:19" x14ac:dyDescent="0.15">
      <c r="A5" t="s">
        <v>19</v>
      </c>
      <c r="B5" s="2">
        <v>3.7</v>
      </c>
      <c r="C5" s="2">
        <v>2.7</v>
      </c>
      <c r="D5" s="2">
        <v>20.9</v>
      </c>
      <c r="E5" s="2">
        <v>63.4</v>
      </c>
      <c r="F5" s="2">
        <v>17.600000000000001</v>
      </c>
      <c r="G5" s="2">
        <v>103.8</v>
      </c>
      <c r="H5" s="2">
        <v>23.9</v>
      </c>
      <c r="I5" s="2">
        <v>45.2</v>
      </c>
      <c r="J5" s="2">
        <v>56.7</v>
      </c>
      <c r="K5" s="2">
        <v>17.399999999999999</v>
      </c>
      <c r="L5" s="2">
        <v>0</v>
      </c>
      <c r="M5" s="2">
        <v>0</v>
      </c>
      <c r="N5" s="3">
        <f t="shared" si="0"/>
        <v>355.29999999999995</v>
      </c>
      <c r="O5" s="1">
        <f t="shared" si="1"/>
        <v>28</v>
      </c>
    </row>
    <row r="6" spans="1:19" x14ac:dyDescent="0.15">
      <c r="A6" t="s">
        <v>20</v>
      </c>
      <c r="B6" s="2">
        <v>6.5</v>
      </c>
      <c r="C6" s="2">
        <v>2.9</v>
      </c>
      <c r="D6" s="2">
        <v>20.3</v>
      </c>
      <c r="E6" s="2">
        <v>11.5</v>
      </c>
      <c r="F6" s="2">
        <v>7.9</v>
      </c>
      <c r="G6" s="2">
        <v>137.4</v>
      </c>
      <c r="H6" s="2">
        <v>165.5</v>
      </c>
      <c r="I6" s="2">
        <v>132.69999999999999</v>
      </c>
      <c r="J6" s="2">
        <v>54.9</v>
      </c>
      <c r="K6" s="2">
        <v>24.7</v>
      </c>
      <c r="L6" s="2">
        <v>6.7</v>
      </c>
      <c r="M6" s="2">
        <v>0</v>
      </c>
      <c r="N6" s="3">
        <f t="shared" si="0"/>
        <v>571.00000000000011</v>
      </c>
      <c r="O6" s="1">
        <f t="shared" si="1"/>
        <v>22</v>
      </c>
    </row>
    <row r="7" spans="1:19" x14ac:dyDescent="0.15">
      <c r="A7" t="s">
        <v>21</v>
      </c>
      <c r="B7" s="2">
        <v>0</v>
      </c>
      <c r="C7" s="2">
        <v>1</v>
      </c>
      <c r="D7" s="2">
        <v>37.200000000000003</v>
      </c>
      <c r="E7" s="2">
        <v>71</v>
      </c>
      <c r="F7" s="2">
        <v>79.099999999999994</v>
      </c>
      <c r="G7" s="2">
        <v>88.1</v>
      </c>
      <c r="H7" s="2">
        <v>221.1</v>
      </c>
      <c r="I7" s="2">
        <v>109.3</v>
      </c>
      <c r="J7" s="2">
        <v>70</v>
      </c>
      <c r="K7" s="2">
        <v>17.899999999999999</v>
      </c>
      <c r="L7" s="2">
        <v>8.3000000000000007</v>
      </c>
      <c r="M7" s="2">
        <v>18.7</v>
      </c>
      <c r="N7" s="3">
        <f t="shared" si="0"/>
        <v>721.69999999999993</v>
      </c>
      <c r="O7" s="1">
        <f t="shared" si="1"/>
        <v>16</v>
      </c>
    </row>
    <row r="8" spans="1:19" x14ac:dyDescent="0.15">
      <c r="A8" t="s">
        <v>22</v>
      </c>
      <c r="B8" s="2">
        <v>0.2</v>
      </c>
      <c r="C8" s="2">
        <v>0.5</v>
      </c>
      <c r="D8" s="2">
        <v>32.5</v>
      </c>
      <c r="E8" s="2">
        <v>22.3</v>
      </c>
      <c r="F8" s="2">
        <v>62.1</v>
      </c>
      <c r="G8" s="2">
        <v>152.5</v>
      </c>
      <c r="H8" s="2">
        <v>199.8</v>
      </c>
      <c r="I8" s="2">
        <v>150.5</v>
      </c>
      <c r="J8" s="2">
        <v>63</v>
      </c>
      <c r="K8" s="2">
        <v>17</v>
      </c>
      <c r="L8" s="2">
        <v>14.1</v>
      </c>
      <c r="M8" s="2">
        <v>2.2999999999999998</v>
      </c>
      <c r="N8" s="3">
        <f t="shared" si="0"/>
        <v>716.80000000000007</v>
      </c>
      <c r="O8" s="1">
        <f t="shared" si="1"/>
        <v>17</v>
      </c>
    </row>
    <row r="9" spans="1:19" x14ac:dyDescent="0.15">
      <c r="A9" t="s">
        <v>23</v>
      </c>
      <c r="B9" s="2">
        <v>0</v>
      </c>
      <c r="C9" s="2">
        <v>0</v>
      </c>
      <c r="D9" s="2">
        <v>21.8</v>
      </c>
      <c r="E9" s="2">
        <v>31.3</v>
      </c>
      <c r="F9" s="2">
        <v>71.3</v>
      </c>
      <c r="G9" s="2">
        <v>57.4</v>
      </c>
      <c r="H9" s="2">
        <v>94.8</v>
      </c>
      <c r="I9" s="2">
        <v>46.1</v>
      </c>
      <c r="J9" s="2">
        <v>80.400000000000006</v>
      </c>
      <c r="K9" s="2">
        <v>18</v>
      </c>
      <c r="L9" s="2">
        <v>9.3000000000000007</v>
      </c>
      <c r="M9" s="2">
        <v>8.6</v>
      </c>
      <c r="N9" s="3">
        <f t="shared" si="0"/>
        <v>439.00000000000006</v>
      </c>
      <c r="O9" s="1">
        <f t="shared" si="1"/>
        <v>26</v>
      </c>
    </row>
    <row r="10" spans="1:19" x14ac:dyDescent="0.15">
      <c r="A10" t="s">
        <v>24</v>
      </c>
      <c r="B10" s="2">
        <v>90.9</v>
      </c>
      <c r="C10" s="2">
        <v>32.299999999999997</v>
      </c>
      <c r="D10" s="2">
        <v>30.1</v>
      </c>
      <c r="E10" s="2">
        <v>55.5</v>
      </c>
      <c r="F10" s="2">
        <v>84.5</v>
      </c>
      <c r="G10" s="2">
        <v>300</v>
      </c>
      <c r="H10" s="2">
        <v>105.8</v>
      </c>
      <c r="I10" s="2">
        <v>113.5</v>
      </c>
      <c r="J10" s="2">
        <v>109.3</v>
      </c>
      <c r="K10" s="2">
        <v>56.7</v>
      </c>
      <c r="L10" s="2">
        <v>81.599999999999994</v>
      </c>
      <c r="M10" s="2">
        <v>26.3</v>
      </c>
      <c r="N10" s="3">
        <f t="shared" si="0"/>
        <v>1086.4999999999998</v>
      </c>
      <c r="O10" s="1">
        <f t="shared" si="1"/>
        <v>10</v>
      </c>
    </row>
    <row r="11" spans="1:19" x14ac:dyDescent="0.15">
      <c r="A11" t="s">
        <v>25</v>
      </c>
      <c r="B11" s="2">
        <v>110.1</v>
      </c>
      <c r="C11" s="2">
        <v>18.899999999999999</v>
      </c>
      <c r="D11" s="2">
        <v>32.200000000000003</v>
      </c>
      <c r="E11" s="2">
        <v>90</v>
      </c>
      <c r="F11" s="2">
        <v>81.400000000000006</v>
      </c>
      <c r="G11" s="2">
        <v>131.69999999999999</v>
      </c>
      <c r="H11" s="2">
        <v>193.3</v>
      </c>
      <c r="I11" s="2">
        <v>191</v>
      </c>
      <c r="J11" s="2">
        <v>42.4</v>
      </c>
      <c r="K11" s="2">
        <v>38.4</v>
      </c>
      <c r="L11" s="2">
        <v>27.5</v>
      </c>
      <c r="M11" s="2">
        <v>18.100000000000001</v>
      </c>
      <c r="N11" s="3">
        <f t="shared" si="0"/>
        <v>975</v>
      </c>
      <c r="O11" s="1">
        <f t="shared" si="1"/>
        <v>13</v>
      </c>
    </row>
    <row r="12" spans="1:19" x14ac:dyDescent="0.15">
      <c r="A12" t="s">
        <v>26</v>
      </c>
      <c r="B12" s="2">
        <v>91.7</v>
      </c>
      <c r="C12" s="2">
        <v>61.4</v>
      </c>
      <c r="D12" s="2">
        <v>37.700000000000003</v>
      </c>
      <c r="E12" s="2">
        <v>101.9</v>
      </c>
      <c r="F12" s="2">
        <v>117.7</v>
      </c>
      <c r="G12" s="2">
        <v>361</v>
      </c>
      <c r="H12" s="2">
        <v>114.4</v>
      </c>
      <c r="I12" s="2">
        <v>137.5</v>
      </c>
      <c r="J12" s="2">
        <v>44.2</v>
      </c>
      <c r="K12" s="2">
        <v>67.400000000000006</v>
      </c>
      <c r="L12" s="2">
        <v>118.5</v>
      </c>
      <c r="M12" s="2">
        <v>20.5</v>
      </c>
      <c r="N12" s="3">
        <f t="shared" si="0"/>
        <v>1273.9000000000001</v>
      </c>
      <c r="O12" s="1">
        <f t="shared" si="1"/>
        <v>8</v>
      </c>
    </row>
    <row r="13" spans="1:19" x14ac:dyDescent="0.15">
      <c r="A13" t="s">
        <v>27</v>
      </c>
      <c r="B13" s="2">
        <v>89.8</v>
      </c>
      <c r="C13" s="2">
        <v>12.6</v>
      </c>
      <c r="D13" s="2">
        <v>37.299999999999997</v>
      </c>
      <c r="E13" s="2">
        <v>59.4</v>
      </c>
      <c r="F13" s="2">
        <v>72.5</v>
      </c>
      <c r="G13" s="2">
        <v>203.8</v>
      </c>
      <c r="H13" s="2">
        <v>162.30000000000001</v>
      </c>
      <c r="I13" s="2">
        <v>177.7</v>
      </c>
      <c r="J13" s="2">
        <v>5.6</v>
      </c>
      <c r="K13" s="2">
        <v>50.4</v>
      </c>
      <c r="L13" s="2">
        <v>28.3</v>
      </c>
      <c r="M13" s="2">
        <v>10.5</v>
      </c>
      <c r="N13" s="3">
        <f t="shared" si="0"/>
        <v>910.2</v>
      </c>
      <c r="O13" s="1">
        <f t="shared" si="1"/>
        <v>15</v>
      </c>
    </row>
    <row r="14" spans="1:19" x14ac:dyDescent="0.15">
      <c r="A14" t="s">
        <v>28</v>
      </c>
      <c r="B14" s="2">
        <v>70.3</v>
      </c>
      <c r="C14" s="2">
        <v>46.9</v>
      </c>
      <c r="D14" s="2">
        <v>68.7</v>
      </c>
      <c r="E14" s="2">
        <v>148.30000000000001</v>
      </c>
      <c r="F14" s="2">
        <v>266.39999999999998</v>
      </c>
      <c r="G14" s="2">
        <v>247.6</v>
      </c>
      <c r="H14" s="2">
        <v>325.60000000000002</v>
      </c>
      <c r="I14" s="2">
        <v>104.4</v>
      </c>
      <c r="J14" s="2">
        <v>40.799999999999997</v>
      </c>
      <c r="K14" s="2">
        <v>118.5</v>
      </c>
      <c r="L14" s="2">
        <v>35.1</v>
      </c>
      <c r="M14" s="2">
        <v>12.2</v>
      </c>
      <c r="N14" s="3">
        <f t="shared" si="0"/>
        <v>1484.8</v>
      </c>
      <c r="O14" s="1">
        <f t="shared" si="1"/>
        <v>4</v>
      </c>
    </row>
    <row r="15" spans="1:19" x14ac:dyDescent="0.15">
      <c r="A15" t="s">
        <v>29</v>
      </c>
      <c r="B15" s="2">
        <v>75.8</v>
      </c>
      <c r="C15" s="2">
        <v>48.2</v>
      </c>
      <c r="D15" s="2">
        <v>145.30000000000001</v>
      </c>
      <c r="E15" s="2">
        <v>157.4</v>
      </c>
      <c r="F15" s="2">
        <v>104.1</v>
      </c>
      <c r="G15" s="2">
        <v>427.6</v>
      </c>
      <c r="H15" s="2">
        <v>133.69999999999999</v>
      </c>
      <c r="I15" s="2">
        <v>68</v>
      </c>
      <c r="J15" s="2">
        <v>31</v>
      </c>
      <c r="K15" s="2">
        <v>16.600000000000001</v>
      </c>
      <c r="L15" s="2">
        <v>138.69999999999999</v>
      </c>
      <c r="M15" s="2">
        <v>9.6999999999999993</v>
      </c>
      <c r="N15" s="3">
        <f t="shared" si="0"/>
        <v>1356.1000000000001</v>
      </c>
      <c r="O15" s="1">
        <f t="shared" si="1"/>
        <v>7</v>
      </c>
    </row>
    <row r="16" spans="1:19" x14ac:dyDescent="0.15">
      <c r="A16" t="s">
        <v>30</v>
      </c>
      <c r="B16" s="2">
        <v>6.8</v>
      </c>
      <c r="C16" s="2">
        <v>5.9</v>
      </c>
      <c r="D16" s="2">
        <v>13.1</v>
      </c>
      <c r="E16" s="2">
        <v>53.5</v>
      </c>
      <c r="F16" s="2">
        <v>61.6</v>
      </c>
      <c r="G16" s="2">
        <v>27.2</v>
      </c>
      <c r="H16" s="2">
        <v>254</v>
      </c>
      <c r="I16" s="2">
        <v>186.7</v>
      </c>
      <c r="J16" s="2">
        <v>73.900000000000006</v>
      </c>
      <c r="K16" s="2">
        <v>18.600000000000001</v>
      </c>
      <c r="L16" s="2">
        <v>3.4</v>
      </c>
      <c r="M16" s="2">
        <v>0.4</v>
      </c>
      <c r="N16" s="3">
        <f t="shared" si="0"/>
        <v>705.09999999999991</v>
      </c>
      <c r="O16" s="1">
        <f t="shared" si="1"/>
        <v>19</v>
      </c>
    </row>
    <row r="17" spans="1:15" x14ac:dyDescent="0.15">
      <c r="A17" t="s">
        <v>31</v>
      </c>
      <c r="B17" s="2">
        <v>17</v>
      </c>
      <c r="C17" s="2">
        <v>2.5</v>
      </c>
      <c r="D17" s="2">
        <v>2</v>
      </c>
      <c r="E17" s="2">
        <v>90.8</v>
      </c>
      <c r="F17" s="2">
        <v>59.4</v>
      </c>
      <c r="G17" s="2">
        <v>24.6</v>
      </c>
      <c r="H17" s="2">
        <v>309.7</v>
      </c>
      <c r="I17" s="2">
        <v>58.5</v>
      </c>
      <c r="J17" s="2">
        <v>64.400000000000006</v>
      </c>
      <c r="K17" s="2">
        <v>13.3</v>
      </c>
      <c r="L17" s="2">
        <v>12.9</v>
      </c>
      <c r="M17" s="2">
        <v>3.1</v>
      </c>
      <c r="N17" s="3">
        <f t="shared" si="0"/>
        <v>658.19999999999993</v>
      </c>
      <c r="O17" s="1">
        <f t="shared" si="1"/>
        <v>20</v>
      </c>
    </row>
    <row r="18" spans="1:15" x14ac:dyDescent="0.15">
      <c r="A18" t="s">
        <v>32</v>
      </c>
      <c r="B18" s="2">
        <v>72.400000000000006</v>
      </c>
      <c r="C18" s="2">
        <v>20.7</v>
      </c>
      <c r="D18" s="2">
        <v>79</v>
      </c>
      <c r="E18" s="2">
        <v>54.3</v>
      </c>
      <c r="F18" s="2">
        <v>344.2</v>
      </c>
      <c r="G18" s="2">
        <v>129.4</v>
      </c>
      <c r="H18" s="2">
        <v>148.1</v>
      </c>
      <c r="I18" s="2">
        <v>240.7</v>
      </c>
      <c r="J18" s="2">
        <v>40.799999999999997</v>
      </c>
      <c r="K18" s="2">
        <v>92.5</v>
      </c>
      <c r="L18" s="2">
        <v>39.1</v>
      </c>
      <c r="M18" s="2">
        <v>5.6</v>
      </c>
      <c r="N18" s="3">
        <f t="shared" si="0"/>
        <v>1266.7999999999997</v>
      </c>
      <c r="O18" s="1">
        <f t="shared" si="1"/>
        <v>9</v>
      </c>
    </row>
    <row r="19" spans="1:15" x14ac:dyDescent="0.15">
      <c r="A19" t="s">
        <v>33</v>
      </c>
      <c r="B19" s="2">
        <v>96.4</v>
      </c>
      <c r="C19" s="2">
        <v>53.8</v>
      </c>
      <c r="D19" s="2">
        <v>159.9</v>
      </c>
      <c r="E19" s="2">
        <v>101.6</v>
      </c>
      <c r="F19" s="2">
        <v>110</v>
      </c>
      <c r="G19" s="2">
        <v>116.4</v>
      </c>
      <c r="H19" s="2">
        <v>215</v>
      </c>
      <c r="I19" s="2">
        <v>143.9</v>
      </c>
      <c r="J19" s="2">
        <v>146.69999999999999</v>
      </c>
      <c r="K19" s="2">
        <v>55.8</v>
      </c>
      <c r="L19" s="2">
        <v>243.9</v>
      </c>
      <c r="M19" s="2">
        <v>9.5</v>
      </c>
      <c r="N19" s="3">
        <f t="shared" si="0"/>
        <v>1452.9</v>
      </c>
      <c r="O19" s="1">
        <f t="shared" si="1"/>
        <v>5</v>
      </c>
    </row>
    <row r="20" spans="1:15" x14ac:dyDescent="0.15">
      <c r="A20" t="s">
        <v>34</v>
      </c>
      <c r="B20" s="2">
        <v>98</v>
      </c>
      <c r="C20" s="2">
        <v>49.9</v>
      </c>
      <c r="D20" s="2">
        <v>70.900000000000006</v>
      </c>
      <c r="E20" s="2">
        <v>111.7</v>
      </c>
      <c r="F20" s="2">
        <v>285.2</v>
      </c>
      <c r="G20" s="2">
        <v>834.6</v>
      </c>
      <c r="H20" s="2">
        <v>170.3</v>
      </c>
      <c r="I20" s="2">
        <v>188.4</v>
      </c>
      <c r="J20" s="2">
        <v>262.60000000000002</v>
      </c>
      <c r="K20" s="2">
        <v>136.4</v>
      </c>
      <c r="L20" s="2">
        <v>61.9</v>
      </c>
      <c r="M20" s="2">
        <v>14.1</v>
      </c>
      <c r="N20" s="3">
        <f t="shared" si="0"/>
        <v>2284.0000000000005</v>
      </c>
      <c r="O20" s="1">
        <f t="shared" si="1"/>
        <v>2</v>
      </c>
    </row>
    <row r="21" spans="1:15" x14ac:dyDescent="0.15">
      <c r="A21" t="s">
        <v>35</v>
      </c>
      <c r="B21" s="2">
        <v>76.099999999999994</v>
      </c>
      <c r="C21" s="2">
        <v>70</v>
      </c>
      <c r="D21" s="2">
        <v>18.7</v>
      </c>
      <c r="E21" s="2">
        <v>45.2</v>
      </c>
      <c r="F21" s="2">
        <v>121.8</v>
      </c>
      <c r="G21" s="2">
        <v>300.60000000000002</v>
      </c>
      <c r="H21" s="2">
        <v>260.10000000000002</v>
      </c>
      <c r="I21" s="2">
        <v>317.39999999999998</v>
      </c>
      <c r="J21" s="2">
        <v>187.6</v>
      </c>
      <c r="K21" s="2">
        <v>47.6</v>
      </c>
      <c r="L21" s="2">
        <v>156</v>
      </c>
      <c r="M21" s="2">
        <v>23.9</v>
      </c>
      <c r="N21" s="3">
        <f t="shared" si="0"/>
        <v>1625</v>
      </c>
      <c r="O21" s="1">
        <f t="shared" si="1"/>
        <v>3</v>
      </c>
    </row>
    <row r="22" spans="1:15" x14ac:dyDescent="0.15">
      <c r="A22" t="s">
        <v>36</v>
      </c>
      <c r="B22" s="2">
        <v>35.5</v>
      </c>
      <c r="C22" s="2">
        <v>27.7</v>
      </c>
      <c r="D22" s="2">
        <v>13.6</v>
      </c>
      <c r="E22" s="2">
        <v>53.9</v>
      </c>
      <c r="F22" s="2">
        <v>193.3</v>
      </c>
      <c r="G22" s="2">
        <v>227.3</v>
      </c>
      <c r="H22" s="2">
        <v>164.7</v>
      </c>
      <c r="I22" s="2">
        <v>346.7</v>
      </c>
      <c r="J22" s="2">
        <v>337.5</v>
      </c>
      <c r="K22" s="2">
        <v>901.2</v>
      </c>
      <c r="L22" s="2">
        <v>20.9</v>
      </c>
      <c r="M22" s="2">
        <v>68.900000000000006</v>
      </c>
      <c r="N22" s="3">
        <f t="shared" si="0"/>
        <v>2391.2000000000003</v>
      </c>
      <c r="O22" s="1">
        <f t="shared" si="1"/>
        <v>1</v>
      </c>
    </row>
    <row r="23" spans="1:15" x14ac:dyDescent="0.15">
      <c r="A23" t="s">
        <v>37</v>
      </c>
      <c r="B23" s="2">
        <v>16.2</v>
      </c>
      <c r="C23" s="2">
        <v>42.7</v>
      </c>
      <c r="D23" s="2">
        <v>43.8</v>
      </c>
      <c r="E23" s="2">
        <v>75.099999999999994</v>
      </c>
      <c r="F23" s="2">
        <v>69.099999999999994</v>
      </c>
      <c r="G23" s="2">
        <v>254.4</v>
      </c>
      <c r="H23" s="2">
        <v>55.1</v>
      </c>
      <c r="I23" s="2">
        <v>108.4</v>
      </c>
      <c r="J23" s="2">
        <v>54.1</v>
      </c>
      <c r="K23" s="2">
        <v>154.30000000000001</v>
      </c>
      <c r="L23" s="2">
        <v>59.8</v>
      </c>
      <c r="M23" s="2">
        <v>29.7</v>
      </c>
      <c r="N23" s="3">
        <f t="shared" si="0"/>
        <v>962.7</v>
      </c>
      <c r="O23" s="1">
        <f t="shared" si="1"/>
        <v>14</v>
      </c>
    </row>
    <row r="24" spans="1:15" x14ac:dyDescent="0.15">
      <c r="A24" t="s">
        <v>38</v>
      </c>
      <c r="B24" s="2">
        <v>6.3</v>
      </c>
      <c r="C24" s="2">
        <v>16.8</v>
      </c>
      <c r="D24" s="2">
        <v>33</v>
      </c>
      <c r="E24" s="2">
        <v>47</v>
      </c>
      <c r="F24" s="2">
        <v>69.7</v>
      </c>
      <c r="G24" s="2">
        <v>124</v>
      </c>
      <c r="H24" s="2">
        <v>235.8</v>
      </c>
      <c r="I24" s="2">
        <v>147.19999999999999</v>
      </c>
      <c r="J24" s="2">
        <v>267</v>
      </c>
      <c r="K24" s="2">
        <v>58.8</v>
      </c>
      <c r="L24" s="2">
        <v>22.6</v>
      </c>
      <c r="M24" s="2">
        <v>0</v>
      </c>
      <c r="N24" s="3">
        <f t="shared" si="0"/>
        <v>1028.1999999999998</v>
      </c>
      <c r="O24" s="1">
        <f t="shared" si="1"/>
        <v>11</v>
      </c>
    </row>
    <row r="25" spans="1:15" x14ac:dyDescent="0.15">
      <c r="A25" t="s">
        <v>39</v>
      </c>
      <c r="B25" s="2">
        <v>15.7</v>
      </c>
      <c r="C25" s="2">
        <v>13.5</v>
      </c>
      <c r="D25" s="2">
        <v>68.099999999999994</v>
      </c>
      <c r="E25" s="2">
        <v>62.1</v>
      </c>
      <c r="F25" s="2">
        <v>156.9</v>
      </c>
      <c r="G25" s="2">
        <v>89.9</v>
      </c>
      <c r="H25" s="2">
        <v>275</v>
      </c>
      <c r="I25" s="2">
        <v>364.2</v>
      </c>
      <c r="J25" s="2">
        <v>98.9</v>
      </c>
      <c r="K25" s="2">
        <v>106.1</v>
      </c>
      <c r="L25" s="2">
        <v>103.3</v>
      </c>
      <c r="M25" s="2">
        <v>17.2</v>
      </c>
      <c r="N25" s="3">
        <f t="shared" si="0"/>
        <v>1370.9</v>
      </c>
      <c r="O25" s="1">
        <f t="shared" si="1"/>
        <v>6</v>
      </c>
    </row>
    <row r="26" spans="1:15" x14ac:dyDescent="0.15">
      <c r="A26" t="s">
        <v>40</v>
      </c>
      <c r="B26" s="2">
        <v>13.6</v>
      </c>
      <c r="C26" s="2">
        <v>12.7</v>
      </c>
      <c r="D26" s="2">
        <v>15.7</v>
      </c>
      <c r="E26" s="2">
        <v>14.4</v>
      </c>
      <c r="F26" s="2">
        <v>94.5</v>
      </c>
      <c r="G26" s="2">
        <v>133.5</v>
      </c>
      <c r="H26" s="2">
        <v>281.5</v>
      </c>
      <c r="I26" s="2">
        <v>203.4</v>
      </c>
      <c r="J26" s="2">
        <v>75.400000000000006</v>
      </c>
      <c r="K26" s="2">
        <v>49.4</v>
      </c>
      <c r="L26" s="2">
        <v>82.7</v>
      </c>
      <c r="M26" s="2">
        <v>5.4</v>
      </c>
      <c r="N26" s="3">
        <f t="shared" si="0"/>
        <v>982.19999999999993</v>
      </c>
      <c r="O26" s="1">
        <f t="shared" si="1"/>
        <v>12</v>
      </c>
    </row>
    <row r="27" spans="1:15" x14ac:dyDescent="0.15">
      <c r="A27" t="s">
        <v>41</v>
      </c>
      <c r="B27" s="2">
        <v>0.2</v>
      </c>
      <c r="C27" s="2">
        <v>7.5</v>
      </c>
      <c r="D27" s="2">
        <v>3.8</v>
      </c>
      <c r="E27" s="2">
        <v>3.8</v>
      </c>
      <c r="F27" s="2">
        <v>64.099999999999994</v>
      </c>
      <c r="G27" s="2">
        <v>63</v>
      </c>
      <c r="H27" s="2">
        <v>162.30000000000001</v>
      </c>
      <c r="I27" s="2">
        <v>161.9</v>
      </c>
      <c r="J27" s="2">
        <v>49.4</v>
      </c>
      <c r="K27" s="2">
        <v>10.9</v>
      </c>
      <c r="L27" s="2">
        <v>6.9</v>
      </c>
      <c r="M27" s="2">
        <v>0</v>
      </c>
      <c r="N27" s="3">
        <f t="shared" si="0"/>
        <v>533.79999999999995</v>
      </c>
      <c r="O27" s="1">
        <f t="shared" si="1"/>
        <v>24</v>
      </c>
    </row>
    <row r="28" spans="1:15" x14ac:dyDescent="0.15">
      <c r="A28" t="s">
        <v>42</v>
      </c>
      <c r="B28" s="2">
        <v>19.100000000000001</v>
      </c>
      <c r="C28" s="2">
        <v>7.5</v>
      </c>
      <c r="D28" s="2">
        <v>21.7</v>
      </c>
      <c r="E28" s="2">
        <v>55.6</v>
      </c>
      <c r="F28" s="2">
        <v>22</v>
      </c>
      <c r="G28" s="2">
        <v>59.8</v>
      </c>
      <c r="H28" s="2">
        <v>83.7</v>
      </c>
      <c r="I28" s="2">
        <v>87.3</v>
      </c>
      <c r="J28" s="2">
        <v>83.1</v>
      </c>
      <c r="K28" s="2">
        <v>73.099999999999994</v>
      </c>
      <c r="L28" s="2">
        <v>12.3</v>
      </c>
      <c r="M28" s="2">
        <v>0</v>
      </c>
      <c r="N28" s="3">
        <f t="shared" si="0"/>
        <v>525.19999999999993</v>
      </c>
      <c r="O28" s="1">
        <f t="shared" si="1"/>
        <v>25</v>
      </c>
    </row>
    <row r="29" spans="1:15" x14ac:dyDescent="0.15">
      <c r="A29" t="s">
        <v>43</v>
      </c>
      <c r="B29" s="2">
        <v>9</v>
      </c>
      <c r="C29" s="2">
        <v>2.8</v>
      </c>
      <c r="D29" s="2">
        <v>4.5999999999999996</v>
      </c>
      <c r="E29" s="2">
        <v>22</v>
      </c>
      <c r="F29" s="2">
        <v>28.1</v>
      </c>
      <c r="G29" s="2">
        <v>30.4</v>
      </c>
      <c r="H29" s="2">
        <v>49.9</v>
      </c>
      <c r="I29" s="2">
        <v>72.099999999999994</v>
      </c>
      <c r="J29" s="2">
        <v>61.5</v>
      </c>
      <c r="K29" s="2">
        <v>23.5</v>
      </c>
      <c r="L29" s="2">
        <v>1.4</v>
      </c>
      <c r="M29" s="2">
        <v>0.1</v>
      </c>
      <c r="N29" s="3">
        <f t="shared" si="0"/>
        <v>305.39999999999998</v>
      </c>
      <c r="O29" s="1">
        <f t="shared" si="1"/>
        <v>29</v>
      </c>
    </row>
    <row r="30" spans="1:15" x14ac:dyDescent="0.15">
      <c r="A30" t="s">
        <v>44</v>
      </c>
      <c r="B30" s="2">
        <v>2.6</v>
      </c>
      <c r="C30" s="2">
        <v>2.7</v>
      </c>
      <c r="D30" s="2">
        <v>7.7</v>
      </c>
      <c r="E30" s="2">
        <v>32.200000000000003</v>
      </c>
      <c r="F30" s="2">
        <v>48.4</v>
      </c>
      <c r="G30" s="2">
        <v>60.9</v>
      </c>
      <c r="H30" s="2">
        <v>41.6</v>
      </c>
      <c r="I30" s="2">
        <v>99.7</v>
      </c>
      <c r="J30" s="2">
        <v>62.9</v>
      </c>
      <c r="K30" s="2">
        <v>19.7</v>
      </c>
      <c r="L30" s="2">
        <v>0.2</v>
      </c>
      <c r="M30" s="2">
        <v>0</v>
      </c>
      <c r="N30" s="3">
        <f t="shared" si="0"/>
        <v>378.59999999999997</v>
      </c>
      <c r="O30" s="1">
        <f t="shared" si="1"/>
        <v>27</v>
      </c>
    </row>
    <row r="31" spans="1:15" x14ac:dyDescent="0.15">
      <c r="A31" t="s">
        <v>45</v>
      </c>
      <c r="B31" s="2">
        <v>8.1</v>
      </c>
      <c r="C31" s="2">
        <v>1.1000000000000001</v>
      </c>
      <c r="D31" s="2">
        <v>0</v>
      </c>
      <c r="E31" s="2">
        <v>16.3</v>
      </c>
      <c r="F31" s="2">
        <v>0.2</v>
      </c>
      <c r="G31" s="2">
        <v>2.2999999999999998</v>
      </c>
      <c r="H31" s="2">
        <v>79.400000000000006</v>
      </c>
      <c r="I31" s="2">
        <v>35.799999999999997</v>
      </c>
      <c r="J31" s="2">
        <v>44.1</v>
      </c>
      <c r="K31" s="2">
        <v>7.3</v>
      </c>
      <c r="L31" s="2">
        <v>0</v>
      </c>
      <c r="M31" s="2">
        <v>0</v>
      </c>
      <c r="N31" s="3">
        <f t="shared" si="0"/>
        <v>194.6</v>
      </c>
      <c r="O31" s="1">
        <f t="shared" si="1"/>
        <v>30</v>
      </c>
    </row>
    <row r="32" spans="1:15" x14ac:dyDescent="0.15">
      <c r="A32" t="s">
        <v>46</v>
      </c>
      <c r="B32" s="2">
        <v>3</v>
      </c>
      <c r="C32" s="2">
        <v>11.6</v>
      </c>
      <c r="D32" s="2">
        <v>17.8</v>
      </c>
      <c r="E32" s="2">
        <v>21.7</v>
      </c>
      <c r="F32" s="2">
        <v>15.8</v>
      </c>
      <c r="G32" s="2">
        <v>8.9</v>
      </c>
      <c r="H32" s="2">
        <v>20.9</v>
      </c>
      <c r="I32" s="2">
        <v>17.100000000000001</v>
      </c>
      <c r="J32" s="2">
        <v>16.8</v>
      </c>
      <c r="K32" s="2">
        <v>12.8</v>
      </c>
      <c r="L32" s="2">
        <v>12.8</v>
      </c>
      <c r="M32" s="2">
        <v>12.6</v>
      </c>
      <c r="N32" s="3">
        <f t="shared" si="0"/>
        <v>171.8</v>
      </c>
      <c r="O32" s="1">
        <f t="shared" si="1"/>
        <v>31</v>
      </c>
    </row>
  </sheetData>
  <phoneticPr fontId="1" type="noConversion"/>
  <conditionalFormatting sqref="B2:M32">
    <cfRule type="cellIs" dxfId="17" priority="2" operator="lessThan">
      <formula>15</formula>
    </cfRule>
  </conditionalFormatting>
  <conditionalFormatting sqref="N2:N32">
    <cfRule type="dataBar" priority="1">
      <dataBar showValue="0">
        <cfvo type="min"/>
        <cfvo type="max"/>
        <color rgb="FF00B050"/>
      </dataBar>
      <extLst>
        <ext xmlns:x14="http://schemas.microsoft.com/office/spreadsheetml/2009/9/main" uri="{B025F937-C7B1-47D3-B67F-A62EFF666E3E}">
          <x14:id>{DDD620D0-1079-462E-BD53-89032A7527C4}</x14:id>
        </ext>
      </extLst>
    </cfRule>
  </conditionalFormatting>
  <dataValidations count="2">
    <dataValidation type="list" allowBlank="1" showInputMessage="1" showErrorMessage="1" sqref="R3">
      <formula1>$A$2:$A$32</formula1>
    </dataValidation>
    <dataValidation type="list" allowBlank="1" showInputMessage="1" showErrorMessage="1" sqref="S2">
      <formula1>$B$1:$M$1</formula1>
    </dataValidation>
  </dataValidations>
  <pageMargins left="0.7" right="0.7" top="0.75" bottom="0.75" header="0.3" footer="0.3"/>
  <pageSetup paperSize="9" scale="98" orientation="landscape" horizontalDpi="1200" verticalDpi="12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D620D0-1079-462E-BD53-89032A7527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N2:N32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D00000"/>
          <x14:sparklines>
            <x14:sparkline>
              <xm:f>主要城市降水量!B2:M2</xm:f>
              <xm:sqref>P2</xm:sqref>
            </x14:sparkline>
            <x14:sparkline>
              <xm:f>主要城市降水量!B3:M3</xm:f>
              <xm:sqref>P3</xm:sqref>
            </x14:sparkline>
            <x14:sparkline>
              <xm:f>主要城市降水量!B4:M4</xm:f>
              <xm:sqref>P4</xm:sqref>
            </x14:sparkline>
            <x14:sparkline>
              <xm:f>主要城市降水量!B5:M5</xm:f>
              <xm:sqref>P5</xm:sqref>
            </x14:sparkline>
            <x14:sparkline>
              <xm:f>主要城市降水量!B6:M6</xm:f>
              <xm:sqref>P6</xm:sqref>
            </x14:sparkline>
            <x14:sparkline>
              <xm:f>主要城市降水量!B7:M7</xm:f>
              <xm:sqref>P7</xm:sqref>
            </x14:sparkline>
            <x14:sparkline>
              <xm:f>主要城市降水量!B8:M8</xm:f>
              <xm:sqref>P8</xm:sqref>
            </x14:sparkline>
            <x14:sparkline>
              <xm:f>主要城市降水量!B9:M9</xm:f>
              <xm:sqref>P9</xm:sqref>
            </x14:sparkline>
            <x14:sparkline>
              <xm:f>主要城市降水量!B10:M10</xm:f>
              <xm:sqref>P10</xm:sqref>
            </x14:sparkline>
            <x14:sparkline>
              <xm:f>主要城市降水量!B11:M11</xm:f>
              <xm:sqref>P11</xm:sqref>
            </x14:sparkline>
            <x14:sparkline>
              <xm:f>主要城市降水量!B12:M12</xm:f>
              <xm:sqref>P12</xm:sqref>
            </x14:sparkline>
            <x14:sparkline>
              <xm:f>主要城市降水量!B13:M13</xm:f>
              <xm:sqref>P13</xm:sqref>
            </x14:sparkline>
            <x14:sparkline>
              <xm:f>主要城市降水量!B14:M14</xm:f>
              <xm:sqref>P14</xm:sqref>
            </x14:sparkline>
            <x14:sparkline>
              <xm:f>主要城市降水量!B15:M15</xm:f>
              <xm:sqref>P15</xm:sqref>
            </x14:sparkline>
            <x14:sparkline>
              <xm:f>主要城市降水量!B16:M16</xm:f>
              <xm:sqref>P16</xm:sqref>
            </x14:sparkline>
            <x14:sparkline>
              <xm:f>主要城市降水量!B17:M17</xm:f>
              <xm:sqref>P17</xm:sqref>
            </x14:sparkline>
            <x14:sparkline>
              <xm:f>主要城市降水量!B18:M18</xm:f>
              <xm:sqref>P18</xm:sqref>
            </x14:sparkline>
            <x14:sparkline>
              <xm:f>主要城市降水量!B19:M19</xm:f>
              <xm:sqref>P19</xm:sqref>
            </x14:sparkline>
            <x14:sparkline>
              <xm:f>主要城市降水量!B20:M20</xm:f>
              <xm:sqref>P20</xm:sqref>
            </x14:sparkline>
            <x14:sparkline>
              <xm:f>主要城市降水量!B21:M21</xm:f>
              <xm:sqref>P21</xm:sqref>
            </x14:sparkline>
            <x14:sparkline>
              <xm:f>主要城市降水量!B22:M22</xm:f>
              <xm:sqref>P22</xm:sqref>
            </x14:sparkline>
            <x14:sparkline>
              <xm:f>主要城市降水量!B23:M23</xm:f>
              <xm:sqref>P23</xm:sqref>
            </x14:sparkline>
            <x14:sparkline>
              <xm:f>主要城市降水量!B24:M24</xm:f>
              <xm:sqref>P24</xm:sqref>
            </x14:sparkline>
            <x14:sparkline>
              <xm:f>主要城市降水量!B25:M25</xm:f>
              <xm:sqref>P25</xm:sqref>
            </x14:sparkline>
            <x14:sparkline>
              <xm:f>主要城市降水量!B26:M26</xm:f>
              <xm:sqref>P26</xm:sqref>
            </x14:sparkline>
            <x14:sparkline>
              <xm:f>主要城市降水量!B27:M27</xm:f>
              <xm:sqref>P27</xm:sqref>
            </x14:sparkline>
            <x14:sparkline>
              <xm:f>主要城市降水量!B28:M28</xm:f>
              <xm:sqref>P28</xm:sqref>
            </x14:sparkline>
            <x14:sparkline>
              <xm:f>主要城市降水量!B29:M29</xm:f>
              <xm:sqref>P29</xm:sqref>
            </x14:sparkline>
            <x14:sparkline>
              <xm:f>主要城市降水量!B30:M30</xm:f>
              <xm:sqref>P30</xm:sqref>
            </x14:sparkline>
            <x14:sparkline>
              <xm:f>主要城市降水量!B31:M31</xm:f>
              <xm:sqref>P31</xm:sqref>
            </x14:sparkline>
            <x14:sparkline>
              <xm:f>主要城市降水量!B32:M32</xm:f>
              <xm:sqref>P32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16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0.2</v>
      </c>
      <c r="C4" s="7">
        <v>3.1933578157432541E-4</v>
      </c>
    </row>
    <row r="5" spans="1:3" x14ac:dyDescent="0.15">
      <c r="A5" s="5" t="s">
        <v>53</v>
      </c>
      <c r="B5" s="6">
        <v>0</v>
      </c>
      <c r="C5" s="7">
        <v>0</v>
      </c>
    </row>
    <row r="6" spans="1:3" x14ac:dyDescent="0.15">
      <c r="A6" s="5" t="s">
        <v>54</v>
      </c>
      <c r="B6" s="6">
        <v>11.6</v>
      </c>
      <c r="C6" s="7">
        <v>1.852147533131087E-2</v>
      </c>
    </row>
    <row r="7" spans="1:3" x14ac:dyDescent="0.15">
      <c r="A7" s="5" t="s">
        <v>55</v>
      </c>
      <c r="B7" s="6">
        <v>63.6</v>
      </c>
      <c r="C7" s="7">
        <v>0.10154877854063547</v>
      </c>
    </row>
    <row r="8" spans="1:3" x14ac:dyDescent="0.15">
      <c r="A8" s="5" t="s">
        <v>56</v>
      </c>
      <c r="B8" s="6">
        <v>64.099999999999994</v>
      </c>
      <c r="C8" s="7">
        <v>0.10234711799457127</v>
      </c>
    </row>
    <row r="9" spans="1:3" x14ac:dyDescent="0.15">
      <c r="A9" s="5" t="s">
        <v>57</v>
      </c>
      <c r="B9" s="6">
        <v>125.3</v>
      </c>
      <c r="C9" s="7">
        <v>0.20006386715631483</v>
      </c>
    </row>
    <row r="10" spans="1:3" x14ac:dyDescent="0.15">
      <c r="A10" s="5" t="s">
        <v>47</v>
      </c>
      <c r="B10" s="6">
        <v>79.3</v>
      </c>
      <c r="C10" s="7">
        <v>0.12661663739421999</v>
      </c>
    </row>
    <row r="11" spans="1:3" x14ac:dyDescent="0.15">
      <c r="A11" s="5" t="s">
        <v>58</v>
      </c>
      <c r="B11" s="6">
        <v>132.1</v>
      </c>
      <c r="C11" s="7">
        <v>0.2109212837298419</v>
      </c>
    </row>
    <row r="12" spans="1:3" x14ac:dyDescent="0.15">
      <c r="A12" s="5" t="s">
        <v>7</v>
      </c>
      <c r="B12" s="6">
        <v>118.9</v>
      </c>
      <c r="C12" s="7">
        <v>0.18984512214593643</v>
      </c>
    </row>
    <row r="13" spans="1:3" x14ac:dyDescent="0.15">
      <c r="A13" s="5" t="s">
        <v>49</v>
      </c>
      <c r="B13" s="6">
        <v>31.1</v>
      </c>
      <c r="C13" s="7">
        <v>4.9656714034807599E-2</v>
      </c>
    </row>
    <row r="14" spans="1:3" x14ac:dyDescent="0.15">
      <c r="A14" s="5" t="s">
        <v>50</v>
      </c>
      <c r="B14" s="6">
        <v>0</v>
      </c>
      <c r="C14" s="7">
        <v>0</v>
      </c>
    </row>
    <row r="15" spans="1:3" x14ac:dyDescent="0.15">
      <c r="A15" s="5" t="s">
        <v>51</v>
      </c>
      <c r="B15" s="6">
        <v>0.1</v>
      </c>
      <c r="C15" s="7">
        <v>1.596678907871627E-4</v>
      </c>
    </row>
    <row r="16" spans="1:3" x14ac:dyDescent="0.15">
      <c r="A16" s="5" t="s">
        <v>59</v>
      </c>
      <c r="B16" s="6">
        <v>626.30000000000007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38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6.3</v>
      </c>
      <c r="C4" s="7">
        <v>6.1272126045516448E-3</v>
      </c>
    </row>
    <row r="5" spans="1:3" x14ac:dyDescent="0.15">
      <c r="A5" s="5" t="s">
        <v>53</v>
      </c>
      <c r="B5" s="6">
        <v>16.8</v>
      </c>
      <c r="C5" s="7">
        <v>1.6339233612137721E-2</v>
      </c>
    </row>
    <row r="6" spans="1:3" x14ac:dyDescent="0.15">
      <c r="A6" s="5" t="s">
        <v>54</v>
      </c>
      <c r="B6" s="6">
        <v>33</v>
      </c>
      <c r="C6" s="7">
        <v>3.2094923166699089E-2</v>
      </c>
    </row>
    <row r="7" spans="1:3" x14ac:dyDescent="0.15">
      <c r="A7" s="5" t="s">
        <v>55</v>
      </c>
      <c r="B7" s="6">
        <v>47</v>
      </c>
      <c r="C7" s="7">
        <v>4.5710951176813855E-2</v>
      </c>
    </row>
    <row r="8" spans="1:3" x14ac:dyDescent="0.15">
      <c r="A8" s="5" t="s">
        <v>56</v>
      </c>
      <c r="B8" s="6">
        <v>69.7</v>
      </c>
      <c r="C8" s="7">
        <v>6.7788368021785658E-2</v>
      </c>
    </row>
    <row r="9" spans="1:3" x14ac:dyDescent="0.15">
      <c r="A9" s="5" t="s">
        <v>57</v>
      </c>
      <c r="B9" s="6">
        <v>124</v>
      </c>
      <c r="C9" s="7">
        <v>0.12059910523244508</v>
      </c>
    </row>
    <row r="10" spans="1:3" x14ac:dyDescent="0.15">
      <c r="A10" s="5" t="s">
        <v>47</v>
      </c>
      <c r="B10" s="6">
        <v>235.8</v>
      </c>
      <c r="C10" s="7">
        <v>0.22933281462750443</v>
      </c>
    </row>
    <row r="11" spans="1:3" x14ac:dyDescent="0.15">
      <c r="A11" s="5" t="s">
        <v>58</v>
      </c>
      <c r="B11" s="6">
        <v>147.19999999999999</v>
      </c>
      <c r="C11" s="7">
        <v>0.14316280879206381</v>
      </c>
    </row>
    <row r="12" spans="1:3" x14ac:dyDescent="0.15">
      <c r="A12" s="5" t="s">
        <v>7</v>
      </c>
      <c r="B12" s="6">
        <v>267</v>
      </c>
      <c r="C12" s="7">
        <v>0.25967710562147445</v>
      </c>
    </row>
    <row r="13" spans="1:3" x14ac:dyDescent="0.15">
      <c r="A13" s="5" t="s">
        <v>49</v>
      </c>
      <c r="B13" s="6">
        <v>58.8</v>
      </c>
      <c r="C13" s="7">
        <v>5.7187317642482013E-2</v>
      </c>
    </row>
    <row r="14" spans="1:3" x14ac:dyDescent="0.15">
      <c r="A14" s="5" t="s">
        <v>50</v>
      </c>
      <c r="B14" s="6">
        <v>22.6</v>
      </c>
      <c r="C14" s="7">
        <v>2.198015950204241E-2</v>
      </c>
    </row>
    <row r="15" spans="1:3" x14ac:dyDescent="0.15">
      <c r="A15" s="5" t="s">
        <v>51</v>
      </c>
      <c r="B15" s="6">
        <v>0</v>
      </c>
      <c r="C15" s="7">
        <v>0</v>
      </c>
    </row>
    <row r="16" spans="1:3" x14ac:dyDescent="0.15">
      <c r="A16" s="5" t="s">
        <v>59</v>
      </c>
      <c r="B16" s="6">
        <v>1028.1999999999998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28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70.3</v>
      </c>
      <c r="C4" s="7">
        <v>4.7346443965517238E-2</v>
      </c>
    </row>
    <row r="5" spans="1:3" x14ac:dyDescent="0.15">
      <c r="A5" s="5" t="s">
        <v>53</v>
      </c>
      <c r="B5" s="6">
        <v>46.9</v>
      </c>
      <c r="C5" s="7">
        <v>3.1586745689655173E-2</v>
      </c>
    </row>
    <row r="6" spans="1:3" x14ac:dyDescent="0.15">
      <c r="A6" s="5" t="s">
        <v>54</v>
      </c>
      <c r="B6" s="6">
        <v>68.7</v>
      </c>
      <c r="C6" s="7">
        <v>4.6268857758620691E-2</v>
      </c>
    </row>
    <row r="7" spans="1:3" x14ac:dyDescent="0.15">
      <c r="A7" s="5" t="s">
        <v>55</v>
      </c>
      <c r="B7" s="6">
        <v>148.30000000000001</v>
      </c>
      <c r="C7" s="7">
        <v>9.9878771551724144E-2</v>
      </c>
    </row>
    <row r="8" spans="1:3" x14ac:dyDescent="0.15">
      <c r="A8" s="5" t="s">
        <v>56</v>
      </c>
      <c r="B8" s="6">
        <v>266.39999999999998</v>
      </c>
      <c r="C8" s="7">
        <v>0.17941810344827586</v>
      </c>
    </row>
    <row r="9" spans="1:3" x14ac:dyDescent="0.15">
      <c r="A9" s="5" t="s">
        <v>57</v>
      </c>
      <c r="B9" s="6">
        <v>247.6</v>
      </c>
      <c r="C9" s="7">
        <v>0.16675646551724138</v>
      </c>
    </row>
    <row r="10" spans="1:3" x14ac:dyDescent="0.15">
      <c r="A10" s="5" t="s">
        <v>47</v>
      </c>
      <c r="B10" s="6">
        <v>325.60000000000002</v>
      </c>
      <c r="C10" s="7">
        <v>0.21928879310344829</v>
      </c>
    </row>
    <row r="11" spans="1:3" x14ac:dyDescent="0.15">
      <c r="A11" s="5" t="s">
        <v>58</v>
      </c>
      <c r="B11" s="6">
        <v>104.4</v>
      </c>
      <c r="C11" s="7">
        <v>7.03125E-2</v>
      </c>
    </row>
    <row r="12" spans="1:3" x14ac:dyDescent="0.15">
      <c r="A12" s="5" t="s">
        <v>7</v>
      </c>
      <c r="B12" s="6">
        <v>40.799999999999997</v>
      </c>
      <c r="C12" s="7">
        <v>2.7478448275862068E-2</v>
      </c>
    </row>
    <row r="13" spans="1:3" x14ac:dyDescent="0.15">
      <c r="A13" s="5" t="s">
        <v>49</v>
      </c>
      <c r="B13" s="6">
        <v>118.5</v>
      </c>
      <c r="C13" s="7">
        <v>7.980872844827587E-2</v>
      </c>
    </row>
    <row r="14" spans="1:3" x14ac:dyDescent="0.15">
      <c r="A14" s="5" t="s">
        <v>50</v>
      </c>
      <c r="B14" s="6">
        <v>35.1</v>
      </c>
      <c r="C14" s="7">
        <v>2.3639547413793104E-2</v>
      </c>
    </row>
    <row r="15" spans="1:3" x14ac:dyDescent="0.15">
      <c r="A15" s="5" t="s">
        <v>51</v>
      </c>
      <c r="B15" s="6">
        <v>12.2</v>
      </c>
      <c r="C15" s="7">
        <v>8.2165948275862068E-3</v>
      </c>
    </row>
    <row r="16" spans="1:3" x14ac:dyDescent="0.15">
      <c r="A16" s="5" t="s">
        <v>59</v>
      </c>
      <c r="B16" s="6">
        <v>1484.8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34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98</v>
      </c>
      <c r="C4" s="7">
        <v>4.2907180385288957E-2</v>
      </c>
    </row>
    <row r="5" spans="1:3" x14ac:dyDescent="0.15">
      <c r="A5" s="5" t="s">
        <v>53</v>
      </c>
      <c r="B5" s="6">
        <v>49.9</v>
      </c>
      <c r="C5" s="7">
        <v>2.184763572679509E-2</v>
      </c>
    </row>
    <row r="6" spans="1:3" x14ac:dyDescent="0.15">
      <c r="A6" s="5" t="s">
        <v>54</v>
      </c>
      <c r="B6" s="6">
        <v>70.900000000000006</v>
      </c>
      <c r="C6" s="7">
        <v>3.1042031523642728E-2</v>
      </c>
    </row>
    <row r="7" spans="1:3" x14ac:dyDescent="0.15">
      <c r="A7" s="5" t="s">
        <v>55</v>
      </c>
      <c r="B7" s="6">
        <v>111.7</v>
      </c>
      <c r="C7" s="7">
        <v>4.8905429071803848E-2</v>
      </c>
    </row>
    <row r="8" spans="1:3" x14ac:dyDescent="0.15">
      <c r="A8" s="5" t="s">
        <v>56</v>
      </c>
      <c r="B8" s="6">
        <v>285.2</v>
      </c>
      <c r="C8" s="7">
        <v>0.12486865148861644</v>
      </c>
    </row>
    <row r="9" spans="1:3" x14ac:dyDescent="0.15">
      <c r="A9" s="5" t="s">
        <v>57</v>
      </c>
      <c r="B9" s="6">
        <v>834.6</v>
      </c>
      <c r="C9" s="7">
        <v>0.36541155866900171</v>
      </c>
    </row>
    <row r="10" spans="1:3" x14ac:dyDescent="0.15">
      <c r="A10" s="5" t="s">
        <v>47</v>
      </c>
      <c r="B10" s="6">
        <v>170.3</v>
      </c>
      <c r="C10" s="7">
        <v>7.456217162872153E-2</v>
      </c>
    </row>
    <row r="11" spans="1:3" x14ac:dyDescent="0.15">
      <c r="A11" s="5" t="s">
        <v>58</v>
      </c>
      <c r="B11" s="6">
        <v>188.4</v>
      </c>
      <c r="C11" s="7">
        <v>8.2486865148861638E-2</v>
      </c>
    </row>
    <row r="12" spans="1:3" x14ac:dyDescent="0.15">
      <c r="A12" s="5" t="s">
        <v>7</v>
      </c>
      <c r="B12" s="6">
        <v>262.60000000000002</v>
      </c>
      <c r="C12" s="7">
        <v>0.11497373029772327</v>
      </c>
    </row>
    <row r="13" spans="1:3" x14ac:dyDescent="0.15">
      <c r="A13" s="5" t="s">
        <v>49</v>
      </c>
      <c r="B13" s="6">
        <v>136.4</v>
      </c>
      <c r="C13" s="7">
        <v>5.9719789842381778E-2</v>
      </c>
    </row>
    <row r="14" spans="1:3" x14ac:dyDescent="0.15">
      <c r="A14" s="5" t="s">
        <v>50</v>
      </c>
      <c r="B14" s="6">
        <v>61.9</v>
      </c>
      <c r="C14" s="7">
        <v>2.7101576182136596E-2</v>
      </c>
    </row>
    <row r="15" spans="1:3" x14ac:dyDescent="0.15">
      <c r="A15" s="5" t="s">
        <v>51</v>
      </c>
      <c r="B15" s="6">
        <v>14.1</v>
      </c>
      <c r="C15" s="7">
        <v>6.1733800350262684E-3</v>
      </c>
    </row>
    <row r="16" spans="1:3" x14ac:dyDescent="0.15">
      <c r="A16" s="5" t="s">
        <v>59</v>
      </c>
      <c r="B16" s="6">
        <v>2284.0000000000005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39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15.7</v>
      </c>
      <c r="C4" s="7">
        <v>1.1452330585746589E-2</v>
      </c>
    </row>
    <row r="5" spans="1:3" x14ac:dyDescent="0.15">
      <c r="A5" s="5" t="s">
        <v>53</v>
      </c>
      <c r="B5" s="6">
        <v>13.5</v>
      </c>
      <c r="C5" s="7">
        <v>9.8475454081260478E-3</v>
      </c>
    </row>
    <row r="6" spans="1:3" x14ac:dyDescent="0.15">
      <c r="A6" s="5" t="s">
        <v>54</v>
      </c>
      <c r="B6" s="6">
        <v>68.099999999999994</v>
      </c>
      <c r="C6" s="7">
        <v>4.9675395725435841E-2</v>
      </c>
    </row>
    <row r="7" spans="1:3" x14ac:dyDescent="0.15">
      <c r="A7" s="5" t="s">
        <v>55</v>
      </c>
      <c r="B7" s="6">
        <v>62.1</v>
      </c>
      <c r="C7" s="7">
        <v>4.5298708877379822E-2</v>
      </c>
    </row>
    <row r="8" spans="1:3" x14ac:dyDescent="0.15">
      <c r="A8" s="5" t="s">
        <v>56</v>
      </c>
      <c r="B8" s="6">
        <v>156.9</v>
      </c>
      <c r="C8" s="7">
        <v>0.11445036107666497</v>
      </c>
    </row>
    <row r="9" spans="1:3" x14ac:dyDescent="0.15">
      <c r="A9" s="5" t="s">
        <v>57</v>
      </c>
      <c r="B9" s="6">
        <v>89.9</v>
      </c>
      <c r="C9" s="7">
        <v>6.5577357940039396E-2</v>
      </c>
    </row>
    <row r="10" spans="1:3" x14ac:dyDescent="0.15">
      <c r="A10" s="5" t="s">
        <v>47</v>
      </c>
      <c r="B10" s="6">
        <v>275</v>
      </c>
      <c r="C10" s="7">
        <v>0.20059814720256763</v>
      </c>
    </row>
    <row r="11" spans="1:3" x14ac:dyDescent="0.15">
      <c r="A11" s="5" t="s">
        <v>58</v>
      </c>
      <c r="B11" s="6">
        <v>364.2</v>
      </c>
      <c r="C11" s="7">
        <v>0.26566489167700047</v>
      </c>
    </row>
    <row r="12" spans="1:3" x14ac:dyDescent="0.15">
      <c r="A12" s="5" t="s">
        <v>7</v>
      </c>
      <c r="B12" s="6">
        <v>98.9</v>
      </c>
      <c r="C12" s="7">
        <v>7.2142388212123418E-2</v>
      </c>
    </row>
    <row r="13" spans="1:3" x14ac:dyDescent="0.15">
      <c r="A13" s="5" t="s">
        <v>49</v>
      </c>
      <c r="B13" s="6">
        <v>106.1</v>
      </c>
      <c r="C13" s="7">
        <v>7.7394412429790643E-2</v>
      </c>
    </row>
    <row r="14" spans="1:3" x14ac:dyDescent="0.15">
      <c r="A14" s="5" t="s">
        <v>50</v>
      </c>
      <c r="B14" s="6">
        <v>103.3</v>
      </c>
      <c r="C14" s="7">
        <v>7.5351958567364499E-2</v>
      </c>
    </row>
    <row r="15" spans="1:3" x14ac:dyDescent="0.15">
      <c r="A15" s="5" t="s">
        <v>51</v>
      </c>
      <c r="B15" s="6">
        <v>17.2</v>
      </c>
      <c r="C15" s="7">
        <v>1.2546502297760593E-2</v>
      </c>
    </row>
    <row r="16" spans="1:3" x14ac:dyDescent="0.15">
      <c r="A16" s="5" t="s">
        <v>59</v>
      </c>
      <c r="B16" s="6">
        <v>1370.9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1" bestFit="1" customWidth="1"/>
    <col min="3" max="3" width="9.75" bestFit="1" customWidth="1"/>
  </cols>
  <sheetData>
    <row r="1" spans="1:3" x14ac:dyDescent="0.15">
      <c r="A1" s="4" t="s">
        <v>61</v>
      </c>
      <c r="B1" t="s">
        <v>23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0</v>
      </c>
      <c r="C4" s="7">
        <v>0</v>
      </c>
    </row>
    <row r="5" spans="1:3" x14ac:dyDescent="0.15">
      <c r="A5" s="5" t="s">
        <v>53</v>
      </c>
      <c r="B5" s="6">
        <v>0</v>
      </c>
      <c r="C5" s="7">
        <v>0</v>
      </c>
    </row>
    <row r="6" spans="1:3" x14ac:dyDescent="0.15">
      <c r="A6" s="5" t="s">
        <v>54</v>
      </c>
      <c r="B6" s="6">
        <v>21.8</v>
      </c>
      <c r="C6" s="7">
        <v>4.9658314350797261E-2</v>
      </c>
    </row>
    <row r="7" spans="1:3" x14ac:dyDescent="0.15">
      <c r="A7" s="5" t="s">
        <v>55</v>
      </c>
      <c r="B7" s="6">
        <v>31.3</v>
      </c>
      <c r="C7" s="7">
        <v>7.1298405466970374E-2</v>
      </c>
    </row>
    <row r="8" spans="1:3" x14ac:dyDescent="0.15">
      <c r="A8" s="5" t="s">
        <v>56</v>
      </c>
      <c r="B8" s="6">
        <v>71.3</v>
      </c>
      <c r="C8" s="7">
        <v>0.16241457858769928</v>
      </c>
    </row>
    <row r="9" spans="1:3" x14ac:dyDescent="0.15">
      <c r="A9" s="5" t="s">
        <v>57</v>
      </c>
      <c r="B9" s="6">
        <v>57.4</v>
      </c>
      <c r="C9" s="7">
        <v>0.13075170842824599</v>
      </c>
    </row>
    <row r="10" spans="1:3" x14ac:dyDescent="0.15">
      <c r="A10" s="5" t="s">
        <v>47</v>
      </c>
      <c r="B10" s="6">
        <v>94.8</v>
      </c>
      <c r="C10" s="7">
        <v>0.21594533029612753</v>
      </c>
    </row>
    <row r="11" spans="1:3" x14ac:dyDescent="0.15">
      <c r="A11" s="5" t="s">
        <v>58</v>
      </c>
      <c r="B11" s="6">
        <v>46.1</v>
      </c>
      <c r="C11" s="7">
        <v>0.10501138952164008</v>
      </c>
    </row>
    <row r="12" spans="1:3" x14ac:dyDescent="0.15">
      <c r="A12" s="5" t="s">
        <v>7</v>
      </c>
      <c r="B12" s="6">
        <v>80.400000000000006</v>
      </c>
      <c r="C12" s="7">
        <v>0.18314350797266513</v>
      </c>
    </row>
    <row r="13" spans="1:3" x14ac:dyDescent="0.15">
      <c r="A13" s="5" t="s">
        <v>49</v>
      </c>
      <c r="B13" s="6">
        <v>18</v>
      </c>
      <c r="C13" s="7">
        <v>4.1002277904328012E-2</v>
      </c>
    </row>
    <row r="14" spans="1:3" x14ac:dyDescent="0.15">
      <c r="A14" s="5" t="s">
        <v>50</v>
      </c>
      <c r="B14" s="6">
        <v>9.3000000000000007</v>
      </c>
      <c r="C14" s="7">
        <v>2.1184510250569475E-2</v>
      </c>
    </row>
    <row r="15" spans="1:3" x14ac:dyDescent="0.15">
      <c r="A15" s="5" t="s">
        <v>51</v>
      </c>
      <c r="B15" s="6">
        <v>8.6</v>
      </c>
      <c r="C15" s="7">
        <v>1.9589977220956716E-2</v>
      </c>
    </row>
    <row r="16" spans="1:3" x14ac:dyDescent="0.15">
      <c r="A16" s="5" t="s">
        <v>59</v>
      </c>
      <c r="B16" s="6">
        <v>439.00000000000006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36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35.5</v>
      </c>
      <c r="C4" s="7">
        <v>1.4846102375376379E-2</v>
      </c>
    </row>
    <row r="5" spans="1:3" x14ac:dyDescent="0.15">
      <c r="A5" s="5" t="s">
        <v>53</v>
      </c>
      <c r="B5" s="6">
        <v>27.7</v>
      </c>
      <c r="C5" s="7">
        <v>1.1584141853462696E-2</v>
      </c>
    </row>
    <row r="6" spans="1:3" x14ac:dyDescent="0.15">
      <c r="A6" s="5" t="s">
        <v>54</v>
      </c>
      <c r="B6" s="6">
        <v>13.6</v>
      </c>
      <c r="C6" s="7">
        <v>5.687520910003345E-3</v>
      </c>
    </row>
    <row r="7" spans="1:3" x14ac:dyDescent="0.15">
      <c r="A7" s="5" t="s">
        <v>55</v>
      </c>
      <c r="B7" s="6">
        <v>53.9</v>
      </c>
      <c r="C7" s="7">
        <v>2.2540983606557374E-2</v>
      </c>
    </row>
    <row r="8" spans="1:3" x14ac:dyDescent="0.15">
      <c r="A8" s="5" t="s">
        <v>56</v>
      </c>
      <c r="B8" s="6">
        <v>193.3</v>
      </c>
      <c r="C8" s="7">
        <v>8.0838072934091662E-2</v>
      </c>
    </row>
    <row r="9" spans="1:3" x14ac:dyDescent="0.15">
      <c r="A9" s="5" t="s">
        <v>57</v>
      </c>
      <c r="B9" s="6">
        <v>227.3</v>
      </c>
      <c r="C9" s="7">
        <v>9.5056875209100028E-2</v>
      </c>
    </row>
    <row r="10" spans="1:3" x14ac:dyDescent="0.15">
      <c r="A10" s="5" t="s">
        <v>47</v>
      </c>
      <c r="B10" s="6">
        <v>164.7</v>
      </c>
      <c r="C10" s="7">
        <v>6.8877551020408156E-2</v>
      </c>
    </row>
    <row r="11" spans="1:3" x14ac:dyDescent="0.15">
      <c r="A11" s="5" t="s">
        <v>58</v>
      </c>
      <c r="B11" s="6">
        <v>346.7</v>
      </c>
      <c r="C11" s="7">
        <v>0.14498996319839408</v>
      </c>
    </row>
    <row r="12" spans="1:3" x14ac:dyDescent="0.15">
      <c r="A12" s="5" t="s">
        <v>7</v>
      </c>
      <c r="B12" s="6">
        <v>337.5</v>
      </c>
      <c r="C12" s="7">
        <v>0.1411425225828036</v>
      </c>
    </row>
    <row r="13" spans="1:3" x14ac:dyDescent="0.15">
      <c r="A13" s="5" t="s">
        <v>49</v>
      </c>
      <c r="B13" s="6">
        <v>901.2</v>
      </c>
      <c r="C13" s="7">
        <v>0.37688190030110402</v>
      </c>
    </row>
    <row r="14" spans="1:3" x14ac:dyDescent="0.15">
      <c r="A14" s="5" t="s">
        <v>50</v>
      </c>
      <c r="B14" s="6">
        <v>20.9</v>
      </c>
      <c r="C14" s="7">
        <v>8.7403813984610213E-3</v>
      </c>
    </row>
    <row r="15" spans="1:3" x14ac:dyDescent="0.15">
      <c r="A15" s="5" t="s">
        <v>51</v>
      </c>
      <c r="B15" s="6">
        <v>68.900000000000006</v>
      </c>
      <c r="C15" s="7">
        <v>2.8813984610237538E-2</v>
      </c>
    </row>
    <row r="16" spans="1:3" x14ac:dyDescent="0.15">
      <c r="A16" s="5" t="s">
        <v>59</v>
      </c>
      <c r="B16" s="6">
        <v>2391.2000000000003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26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91.7</v>
      </c>
      <c r="C4" s="7">
        <v>7.198367218776984E-2</v>
      </c>
    </row>
    <row r="5" spans="1:3" x14ac:dyDescent="0.15">
      <c r="A5" s="5" t="s">
        <v>53</v>
      </c>
      <c r="B5" s="6">
        <v>61.4</v>
      </c>
      <c r="C5" s="7">
        <v>4.8198445717874239E-2</v>
      </c>
    </row>
    <row r="6" spans="1:3" x14ac:dyDescent="0.15">
      <c r="A6" s="5" t="s">
        <v>54</v>
      </c>
      <c r="B6" s="6">
        <v>37.700000000000003</v>
      </c>
      <c r="C6" s="7">
        <v>2.9594159667163826E-2</v>
      </c>
    </row>
    <row r="7" spans="1:3" x14ac:dyDescent="0.15">
      <c r="A7" s="5" t="s">
        <v>55</v>
      </c>
      <c r="B7" s="6">
        <v>101.9</v>
      </c>
      <c r="C7" s="7">
        <v>7.9990580108328754E-2</v>
      </c>
    </row>
    <row r="8" spans="1:3" x14ac:dyDescent="0.15">
      <c r="A8" s="5" t="s">
        <v>56</v>
      </c>
      <c r="B8" s="6">
        <v>117.7</v>
      </c>
      <c r="C8" s="7">
        <v>9.2393437475469034E-2</v>
      </c>
    </row>
    <row r="9" spans="1:3" x14ac:dyDescent="0.15">
      <c r="A9" s="5" t="s">
        <v>57</v>
      </c>
      <c r="B9" s="6">
        <v>361</v>
      </c>
      <c r="C9" s="7">
        <v>0.28338174110997721</v>
      </c>
    </row>
    <row r="10" spans="1:3" x14ac:dyDescent="0.15">
      <c r="A10" s="5" t="s">
        <v>47</v>
      </c>
      <c r="B10" s="6">
        <v>114.4</v>
      </c>
      <c r="C10" s="7">
        <v>8.9802967265876443E-2</v>
      </c>
    </row>
    <row r="11" spans="1:3" x14ac:dyDescent="0.15">
      <c r="A11" s="5" t="s">
        <v>58</v>
      </c>
      <c r="B11" s="6">
        <v>137.5</v>
      </c>
      <c r="C11" s="7">
        <v>0.10793625873302456</v>
      </c>
    </row>
    <row r="12" spans="1:3" x14ac:dyDescent="0.15">
      <c r="A12" s="5" t="s">
        <v>7</v>
      </c>
      <c r="B12" s="6">
        <v>44.2</v>
      </c>
      <c r="C12" s="7">
        <v>3.4696600989088625E-2</v>
      </c>
    </row>
    <row r="13" spans="1:3" x14ac:dyDescent="0.15">
      <c r="A13" s="5" t="s">
        <v>49</v>
      </c>
      <c r="B13" s="6">
        <v>67.400000000000006</v>
      </c>
      <c r="C13" s="7">
        <v>5.2908391553497136E-2</v>
      </c>
    </row>
    <row r="14" spans="1:3" x14ac:dyDescent="0.15">
      <c r="A14" s="5" t="s">
        <v>50</v>
      </c>
      <c r="B14" s="6">
        <v>118.5</v>
      </c>
      <c r="C14" s="7">
        <v>9.3021430253552084E-2</v>
      </c>
    </row>
    <row r="15" spans="1:3" x14ac:dyDescent="0.15">
      <c r="A15" s="5" t="s">
        <v>51</v>
      </c>
      <c r="B15" s="6">
        <v>20.5</v>
      </c>
      <c r="C15" s="7">
        <v>1.6092314938378208E-2</v>
      </c>
    </row>
    <row r="16" spans="1:3" x14ac:dyDescent="0.15">
      <c r="A16" s="5" t="s">
        <v>59</v>
      </c>
      <c r="B16" s="6">
        <v>1273.9000000000001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27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89.8</v>
      </c>
      <c r="C4" s="7">
        <v>9.8659635245001084E-2</v>
      </c>
    </row>
    <row r="5" spans="1:3" x14ac:dyDescent="0.15">
      <c r="A5" s="5" t="s">
        <v>53</v>
      </c>
      <c r="B5" s="6">
        <v>12.6</v>
      </c>
      <c r="C5" s="7">
        <v>1.3843111404087012E-2</v>
      </c>
    </row>
    <row r="6" spans="1:3" x14ac:dyDescent="0.15">
      <c r="A6" s="5" t="s">
        <v>54</v>
      </c>
      <c r="B6" s="6">
        <v>37.299999999999997</v>
      </c>
      <c r="C6" s="7">
        <v>4.0980004394638538E-2</v>
      </c>
    </row>
    <row r="7" spans="1:3" x14ac:dyDescent="0.15">
      <c r="A7" s="5" t="s">
        <v>55</v>
      </c>
      <c r="B7" s="6">
        <v>59.4</v>
      </c>
      <c r="C7" s="7">
        <v>6.5260382333553066E-2</v>
      </c>
    </row>
    <row r="8" spans="1:3" x14ac:dyDescent="0.15">
      <c r="A8" s="5" t="s">
        <v>56</v>
      </c>
      <c r="B8" s="6">
        <v>72.5</v>
      </c>
      <c r="C8" s="7">
        <v>7.965282355526257E-2</v>
      </c>
    </row>
    <row r="9" spans="1:3" x14ac:dyDescent="0.15">
      <c r="A9" s="5" t="s">
        <v>57</v>
      </c>
      <c r="B9" s="6">
        <v>203.8</v>
      </c>
      <c r="C9" s="7">
        <v>0.22390683366293124</v>
      </c>
    </row>
    <row r="10" spans="1:3" x14ac:dyDescent="0.15">
      <c r="A10" s="5" t="s">
        <v>47</v>
      </c>
      <c r="B10" s="6">
        <v>162.30000000000001</v>
      </c>
      <c r="C10" s="7">
        <v>0.1783124588002637</v>
      </c>
    </row>
    <row r="11" spans="1:3" x14ac:dyDescent="0.15">
      <c r="A11" s="5" t="s">
        <v>58</v>
      </c>
      <c r="B11" s="6">
        <v>177.7</v>
      </c>
      <c r="C11" s="7">
        <v>0.19523181718303667</v>
      </c>
    </row>
    <row r="12" spans="1:3" x14ac:dyDescent="0.15">
      <c r="A12" s="5" t="s">
        <v>7</v>
      </c>
      <c r="B12" s="6">
        <v>5.6</v>
      </c>
      <c r="C12" s="7">
        <v>6.1524939573720057E-3</v>
      </c>
    </row>
    <row r="13" spans="1:3" x14ac:dyDescent="0.15">
      <c r="A13" s="5" t="s">
        <v>49</v>
      </c>
      <c r="B13" s="6">
        <v>50.4</v>
      </c>
      <c r="C13" s="7">
        <v>5.5372445616348048E-2</v>
      </c>
    </row>
    <row r="14" spans="1:3" x14ac:dyDescent="0.15">
      <c r="A14" s="5" t="s">
        <v>50</v>
      </c>
      <c r="B14" s="6">
        <v>28.3</v>
      </c>
      <c r="C14" s="7">
        <v>3.109206767743353E-2</v>
      </c>
    </row>
    <row r="15" spans="1:3" x14ac:dyDescent="0.15">
      <c r="A15" s="5" t="s">
        <v>51</v>
      </c>
      <c r="B15" s="6">
        <v>10.5</v>
      </c>
      <c r="C15" s="7">
        <v>1.1535926170072512E-2</v>
      </c>
    </row>
    <row r="16" spans="1:3" x14ac:dyDescent="0.15">
      <c r="A16" s="5" t="s">
        <v>59</v>
      </c>
      <c r="B16" s="6">
        <v>910.2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3" bestFit="1" customWidth="1"/>
    <col min="3" max="3" width="9.75" bestFit="1" customWidth="1"/>
  </cols>
  <sheetData>
    <row r="1" spans="1:3" x14ac:dyDescent="0.15">
      <c r="A1" s="4" t="s">
        <v>61</v>
      </c>
      <c r="B1" t="s">
        <v>20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6.5</v>
      </c>
      <c r="C4" s="7">
        <v>1.1383537653239928E-2</v>
      </c>
    </row>
    <row r="5" spans="1:3" x14ac:dyDescent="0.15">
      <c r="A5" s="5" t="s">
        <v>53</v>
      </c>
      <c r="B5" s="6">
        <v>2.9</v>
      </c>
      <c r="C5" s="7">
        <v>5.0788091068301212E-3</v>
      </c>
    </row>
    <row r="6" spans="1:3" x14ac:dyDescent="0.15">
      <c r="A6" s="5" t="s">
        <v>54</v>
      </c>
      <c r="B6" s="6">
        <v>20.3</v>
      </c>
      <c r="C6" s="7">
        <v>3.5551663747810852E-2</v>
      </c>
    </row>
    <row r="7" spans="1:3" x14ac:dyDescent="0.15">
      <c r="A7" s="5" t="s">
        <v>55</v>
      </c>
      <c r="B7" s="6">
        <v>11.5</v>
      </c>
      <c r="C7" s="7">
        <v>2.0140105078809104E-2</v>
      </c>
    </row>
    <row r="8" spans="1:3" x14ac:dyDescent="0.15">
      <c r="A8" s="5" t="s">
        <v>56</v>
      </c>
      <c r="B8" s="6">
        <v>7.9</v>
      </c>
      <c r="C8" s="7">
        <v>1.3835376532399298E-2</v>
      </c>
    </row>
    <row r="9" spans="1:3" x14ac:dyDescent="0.15">
      <c r="A9" s="5" t="s">
        <v>57</v>
      </c>
      <c r="B9" s="6">
        <v>137.4</v>
      </c>
      <c r="C9" s="7">
        <v>0.24063047285464095</v>
      </c>
    </row>
    <row r="10" spans="1:3" x14ac:dyDescent="0.15">
      <c r="A10" s="5" t="s">
        <v>47</v>
      </c>
      <c r="B10" s="6">
        <v>165.5</v>
      </c>
      <c r="C10" s="7">
        <v>0.2898423817863397</v>
      </c>
    </row>
    <row r="11" spans="1:3" x14ac:dyDescent="0.15">
      <c r="A11" s="5" t="s">
        <v>58</v>
      </c>
      <c r="B11" s="6">
        <v>132.69999999999999</v>
      </c>
      <c r="C11" s="7">
        <v>0.23239929947460589</v>
      </c>
    </row>
    <row r="12" spans="1:3" x14ac:dyDescent="0.15">
      <c r="A12" s="5" t="s">
        <v>7</v>
      </c>
      <c r="B12" s="6">
        <v>54.9</v>
      </c>
      <c r="C12" s="7">
        <v>9.6147110332749544E-2</v>
      </c>
    </row>
    <row r="13" spans="1:3" x14ac:dyDescent="0.15">
      <c r="A13" s="5" t="s">
        <v>49</v>
      </c>
      <c r="B13" s="6">
        <v>24.7</v>
      </c>
      <c r="C13" s="7">
        <v>4.3257443082311726E-2</v>
      </c>
    </row>
    <row r="14" spans="1:3" x14ac:dyDescent="0.15">
      <c r="A14" s="5" t="s">
        <v>50</v>
      </c>
      <c r="B14" s="6">
        <v>6.7</v>
      </c>
      <c r="C14" s="7">
        <v>1.1733800350262695E-2</v>
      </c>
    </row>
    <row r="15" spans="1:3" x14ac:dyDescent="0.15">
      <c r="A15" s="5" t="s">
        <v>51</v>
      </c>
      <c r="B15" s="6">
        <v>0</v>
      </c>
      <c r="C15" s="7">
        <v>0</v>
      </c>
    </row>
    <row r="16" spans="1:3" x14ac:dyDescent="0.15">
      <c r="A16" s="5" t="s">
        <v>59</v>
      </c>
      <c r="B16" s="6">
        <v>571.00000000000011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30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6.8</v>
      </c>
      <c r="C4" s="7">
        <v>9.644022124521345E-3</v>
      </c>
    </row>
    <row r="5" spans="1:3" x14ac:dyDescent="0.15">
      <c r="A5" s="5" t="s">
        <v>53</v>
      </c>
      <c r="B5" s="6">
        <v>5.9</v>
      </c>
      <c r="C5" s="7">
        <v>8.3676074315699924E-3</v>
      </c>
    </row>
    <row r="6" spans="1:3" x14ac:dyDescent="0.15">
      <c r="A6" s="5" t="s">
        <v>54</v>
      </c>
      <c r="B6" s="6">
        <v>13.1</v>
      </c>
      <c r="C6" s="7">
        <v>1.8578924975180829E-2</v>
      </c>
    </row>
    <row r="7" spans="1:3" x14ac:dyDescent="0.15">
      <c r="A7" s="5" t="s">
        <v>55</v>
      </c>
      <c r="B7" s="6">
        <v>53.5</v>
      </c>
      <c r="C7" s="7">
        <v>7.5875762303219407E-2</v>
      </c>
    </row>
    <row r="8" spans="1:3" x14ac:dyDescent="0.15">
      <c r="A8" s="5" t="s">
        <v>56</v>
      </c>
      <c r="B8" s="6">
        <v>61.6</v>
      </c>
      <c r="C8" s="7">
        <v>8.7363494539781608E-2</v>
      </c>
    </row>
    <row r="9" spans="1:3" x14ac:dyDescent="0.15">
      <c r="A9" s="5" t="s">
        <v>57</v>
      </c>
      <c r="B9" s="6">
        <v>27.2</v>
      </c>
      <c r="C9" s="7">
        <v>3.857608849808538E-2</v>
      </c>
    </row>
    <row r="10" spans="1:3" x14ac:dyDescent="0.15">
      <c r="A10" s="5" t="s">
        <v>47</v>
      </c>
      <c r="B10" s="6">
        <v>254</v>
      </c>
      <c r="C10" s="7">
        <v>0.36023259112182676</v>
      </c>
    </row>
    <row r="11" spans="1:3" x14ac:dyDescent="0.15">
      <c r="A11" s="5" t="s">
        <v>58</v>
      </c>
      <c r="B11" s="6">
        <v>186.7</v>
      </c>
      <c r="C11" s="7">
        <v>0.26478513686001987</v>
      </c>
    </row>
    <row r="12" spans="1:3" x14ac:dyDescent="0.15">
      <c r="A12" s="5" t="s">
        <v>7</v>
      </c>
      <c r="B12" s="6">
        <v>73.900000000000006</v>
      </c>
      <c r="C12" s="7">
        <v>0.10480782867678345</v>
      </c>
    </row>
    <row r="13" spans="1:3" x14ac:dyDescent="0.15">
      <c r="A13" s="5" t="s">
        <v>49</v>
      </c>
      <c r="B13" s="6">
        <v>18.600000000000001</v>
      </c>
      <c r="C13" s="7">
        <v>2.6379236987661332E-2</v>
      </c>
    </row>
    <row r="14" spans="1:3" x14ac:dyDescent="0.15">
      <c r="A14" s="5" t="s">
        <v>50</v>
      </c>
      <c r="B14" s="6">
        <v>3.4</v>
      </c>
      <c r="C14" s="7">
        <v>4.8220110622606725E-3</v>
      </c>
    </row>
    <row r="15" spans="1:3" x14ac:dyDescent="0.15">
      <c r="A15" s="5" t="s">
        <v>51</v>
      </c>
      <c r="B15" s="6">
        <v>0.4</v>
      </c>
      <c r="C15" s="7">
        <v>5.6729541908949097E-4</v>
      </c>
    </row>
    <row r="16" spans="1:3" x14ac:dyDescent="0.15">
      <c r="A16" s="5" t="s">
        <v>59</v>
      </c>
      <c r="B16" s="6">
        <v>705.09999999999991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40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13.6</v>
      </c>
      <c r="C4" s="7">
        <v>1.3846467114640604E-2</v>
      </c>
    </row>
    <row r="5" spans="1:3" x14ac:dyDescent="0.15">
      <c r="A5" s="5" t="s">
        <v>53</v>
      </c>
      <c r="B5" s="6">
        <v>12.7</v>
      </c>
      <c r="C5" s="7">
        <v>1.2930156790877622E-2</v>
      </c>
    </row>
    <row r="6" spans="1:3" x14ac:dyDescent="0.15">
      <c r="A6" s="5" t="s">
        <v>54</v>
      </c>
      <c r="B6" s="6">
        <v>15.7</v>
      </c>
      <c r="C6" s="7">
        <v>1.5984524536754224E-2</v>
      </c>
    </row>
    <row r="7" spans="1:3" x14ac:dyDescent="0.15">
      <c r="A7" s="5" t="s">
        <v>55</v>
      </c>
      <c r="B7" s="6">
        <v>14.4</v>
      </c>
      <c r="C7" s="7">
        <v>1.4660965180207699E-2</v>
      </c>
    </row>
    <row r="8" spans="1:3" x14ac:dyDescent="0.15">
      <c r="A8" s="5" t="s">
        <v>56</v>
      </c>
      <c r="B8" s="6">
        <v>94.5</v>
      </c>
      <c r="C8" s="7">
        <v>9.6212583995113024E-2</v>
      </c>
    </row>
    <row r="9" spans="1:3" x14ac:dyDescent="0.15">
      <c r="A9" s="5" t="s">
        <v>57</v>
      </c>
      <c r="B9" s="6">
        <v>133.5</v>
      </c>
      <c r="C9" s="7">
        <v>0.13591936469150886</v>
      </c>
    </row>
    <row r="10" spans="1:3" x14ac:dyDescent="0.15">
      <c r="A10" s="5" t="s">
        <v>47</v>
      </c>
      <c r="B10" s="6">
        <v>281.5</v>
      </c>
      <c r="C10" s="7">
        <v>0.28660150682142133</v>
      </c>
    </row>
    <row r="11" spans="1:3" x14ac:dyDescent="0.15">
      <c r="A11" s="5" t="s">
        <v>58</v>
      </c>
      <c r="B11" s="6">
        <v>203.4</v>
      </c>
      <c r="C11" s="7">
        <v>0.20708613317043373</v>
      </c>
    </row>
    <row r="12" spans="1:3" x14ac:dyDescent="0.15">
      <c r="A12" s="5" t="s">
        <v>7</v>
      </c>
      <c r="B12" s="6">
        <v>75.400000000000006</v>
      </c>
      <c r="C12" s="7">
        <v>7.6766442679698649E-2</v>
      </c>
    </row>
    <row r="13" spans="1:3" x14ac:dyDescent="0.15">
      <c r="A13" s="5" t="s">
        <v>49</v>
      </c>
      <c r="B13" s="6">
        <v>49.4</v>
      </c>
      <c r="C13" s="7">
        <v>5.0295255548768077E-2</v>
      </c>
    </row>
    <row r="14" spans="1:3" x14ac:dyDescent="0.15">
      <c r="A14" s="5" t="s">
        <v>50</v>
      </c>
      <c r="B14" s="6">
        <v>82.7</v>
      </c>
      <c r="C14" s="7">
        <v>8.4198737527998377E-2</v>
      </c>
    </row>
    <row r="15" spans="1:3" x14ac:dyDescent="0.15">
      <c r="A15" s="5" t="s">
        <v>51</v>
      </c>
      <c r="B15" s="6">
        <v>5.4</v>
      </c>
      <c r="C15" s="7">
        <v>5.497861942577887E-3</v>
      </c>
    </row>
    <row r="16" spans="1:3" x14ac:dyDescent="0.15">
      <c r="A16" s="5" t="s">
        <v>59</v>
      </c>
      <c r="B16" s="6">
        <v>982.19999999999993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41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0.2</v>
      </c>
      <c r="C4" s="7">
        <v>3.7467216185837397E-4</v>
      </c>
    </row>
    <row r="5" spans="1:3" x14ac:dyDescent="0.15">
      <c r="A5" s="5" t="s">
        <v>53</v>
      </c>
      <c r="B5" s="6">
        <v>7.5</v>
      </c>
      <c r="C5" s="7">
        <v>1.4050206069689023E-2</v>
      </c>
    </row>
    <row r="6" spans="1:3" x14ac:dyDescent="0.15">
      <c r="A6" s="5" t="s">
        <v>54</v>
      </c>
      <c r="B6" s="6">
        <v>3.8</v>
      </c>
      <c r="C6" s="7">
        <v>7.1187710753091047E-3</v>
      </c>
    </row>
    <row r="7" spans="1:3" x14ac:dyDescent="0.15">
      <c r="A7" s="5" t="s">
        <v>55</v>
      </c>
      <c r="B7" s="6">
        <v>3.8</v>
      </c>
      <c r="C7" s="7">
        <v>7.1187710753091047E-3</v>
      </c>
    </row>
    <row r="8" spans="1:3" x14ac:dyDescent="0.15">
      <c r="A8" s="5" t="s">
        <v>56</v>
      </c>
      <c r="B8" s="6">
        <v>64.099999999999994</v>
      </c>
      <c r="C8" s="7">
        <v>0.12008242787560884</v>
      </c>
    </row>
    <row r="9" spans="1:3" x14ac:dyDescent="0.15">
      <c r="A9" s="5" t="s">
        <v>57</v>
      </c>
      <c r="B9" s="6">
        <v>63</v>
      </c>
      <c r="C9" s="7">
        <v>0.11802173098538779</v>
      </c>
    </row>
    <row r="10" spans="1:3" x14ac:dyDescent="0.15">
      <c r="A10" s="5" t="s">
        <v>47</v>
      </c>
      <c r="B10" s="6">
        <v>162.30000000000001</v>
      </c>
      <c r="C10" s="7">
        <v>0.30404645934807051</v>
      </c>
    </row>
    <row r="11" spans="1:3" x14ac:dyDescent="0.15">
      <c r="A11" s="5" t="s">
        <v>58</v>
      </c>
      <c r="B11" s="6">
        <v>161.9</v>
      </c>
      <c r="C11" s="7">
        <v>0.30329711502435375</v>
      </c>
    </row>
    <row r="12" spans="1:3" x14ac:dyDescent="0.15">
      <c r="A12" s="5" t="s">
        <v>7</v>
      </c>
      <c r="B12" s="6">
        <v>49.4</v>
      </c>
      <c r="C12" s="7">
        <v>9.2544023979018369E-2</v>
      </c>
    </row>
    <row r="13" spans="1:3" x14ac:dyDescent="0.15">
      <c r="A13" s="5" t="s">
        <v>49</v>
      </c>
      <c r="B13" s="6">
        <v>10.9</v>
      </c>
      <c r="C13" s="7">
        <v>2.041963282128138E-2</v>
      </c>
    </row>
    <row r="14" spans="1:3" x14ac:dyDescent="0.15">
      <c r="A14" s="5" t="s">
        <v>50</v>
      </c>
      <c r="B14" s="6">
        <v>6.9</v>
      </c>
      <c r="C14" s="7">
        <v>1.2926189584113902E-2</v>
      </c>
    </row>
    <row r="15" spans="1:3" x14ac:dyDescent="0.15">
      <c r="A15" s="5" t="s">
        <v>51</v>
      </c>
      <c r="B15" s="6">
        <v>0</v>
      </c>
      <c r="C15" s="7">
        <v>0</v>
      </c>
    </row>
    <row r="16" spans="1:3" x14ac:dyDescent="0.15">
      <c r="A16" s="5" t="s">
        <v>59</v>
      </c>
      <c r="B16" s="6">
        <v>533.79999999999995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43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9</v>
      </c>
      <c r="C4" s="7">
        <v>2.9469548133595286E-2</v>
      </c>
    </row>
    <row r="5" spans="1:3" x14ac:dyDescent="0.15">
      <c r="A5" s="5" t="s">
        <v>53</v>
      </c>
      <c r="B5" s="6">
        <v>2.8</v>
      </c>
      <c r="C5" s="7">
        <v>9.1683038637852005E-3</v>
      </c>
    </row>
    <row r="6" spans="1:3" x14ac:dyDescent="0.15">
      <c r="A6" s="5" t="s">
        <v>54</v>
      </c>
      <c r="B6" s="6">
        <v>4.5999999999999996</v>
      </c>
      <c r="C6" s="7">
        <v>1.5062213490504257E-2</v>
      </c>
    </row>
    <row r="7" spans="1:3" x14ac:dyDescent="0.15">
      <c r="A7" s="5" t="s">
        <v>55</v>
      </c>
      <c r="B7" s="6">
        <v>22</v>
      </c>
      <c r="C7" s="7">
        <v>7.2036673215455149E-2</v>
      </c>
    </row>
    <row r="8" spans="1:3" x14ac:dyDescent="0.15">
      <c r="A8" s="5" t="s">
        <v>56</v>
      </c>
      <c r="B8" s="6">
        <v>28.1</v>
      </c>
      <c r="C8" s="7">
        <v>9.2010478061558626E-2</v>
      </c>
    </row>
    <row r="9" spans="1:3" x14ac:dyDescent="0.15">
      <c r="A9" s="5" t="s">
        <v>57</v>
      </c>
      <c r="B9" s="6">
        <v>30.4</v>
      </c>
      <c r="C9" s="7">
        <v>9.9541584806810746E-2</v>
      </c>
    </row>
    <row r="10" spans="1:3" x14ac:dyDescent="0.15">
      <c r="A10" s="5" t="s">
        <v>47</v>
      </c>
      <c r="B10" s="6">
        <v>49.9</v>
      </c>
      <c r="C10" s="7">
        <v>0.16339227242960053</v>
      </c>
    </row>
    <row r="11" spans="1:3" x14ac:dyDescent="0.15">
      <c r="A11" s="5" t="s">
        <v>58</v>
      </c>
      <c r="B11" s="6">
        <v>72.099999999999994</v>
      </c>
      <c r="C11" s="7">
        <v>0.2360838244924689</v>
      </c>
    </row>
    <row r="12" spans="1:3" x14ac:dyDescent="0.15">
      <c r="A12" s="5" t="s">
        <v>7</v>
      </c>
      <c r="B12" s="6">
        <v>61.5</v>
      </c>
      <c r="C12" s="7">
        <v>0.20137524557956779</v>
      </c>
    </row>
    <row r="13" spans="1:3" x14ac:dyDescent="0.15">
      <c r="A13" s="5" t="s">
        <v>49</v>
      </c>
      <c r="B13" s="6">
        <v>23.5</v>
      </c>
      <c r="C13" s="7">
        <v>7.6948264571054359E-2</v>
      </c>
    </row>
    <row r="14" spans="1:3" x14ac:dyDescent="0.15">
      <c r="A14" s="5" t="s">
        <v>50</v>
      </c>
      <c r="B14" s="6">
        <v>1.4</v>
      </c>
      <c r="C14" s="7">
        <v>4.5841519318926003E-3</v>
      </c>
    </row>
    <row r="15" spans="1:3" x14ac:dyDescent="0.15">
      <c r="A15" s="5" t="s">
        <v>51</v>
      </c>
      <c r="B15" s="6">
        <v>0.1</v>
      </c>
      <c r="C15" s="7">
        <v>3.2743942370661434E-4</v>
      </c>
    </row>
    <row r="16" spans="1:3" x14ac:dyDescent="0.15">
      <c r="A16" s="5" t="s">
        <v>59</v>
      </c>
      <c r="B16" s="6">
        <v>305.39999999999998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29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75.8</v>
      </c>
      <c r="C4" s="7">
        <v>5.5895582921613444E-2</v>
      </c>
    </row>
    <row r="5" spans="1:3" x14ac:dyDescent="0.15">
      <c r="A5" s="5" t="s">
        <v>53</v>
      </c>
      <c r="B5" s="6">
        <v>48.2</v>
      </c>
      <c r="C5" s="7">
        <v>3.5543101541184279E-2</v>
      </c>
    </row>
    <row r="6" spans="1:3" x14ac:dyDescent="0.15">
      <c r="A6" s="5" t="s">
        <v>54</v>
      </c>
      <c r="B6" s="6">
        <v>145.30000000000001</v>
      </c>
      <c r="C6" s="7">
        <v>0.10714549074552024</v>
      </c>
    </row>
    <row r="7" spans="1:3" x14ac:dyDescent="0.15">
      <c r="A7" s="5" t="s">
        <v>55</v>
      </c>
      <c r="B7" s="6">
        <v>157.4</v>
      </c>
      <c r="C7" s="7">
        <v>0.11606813656809969</v>
      </c>
    </row>
    <row r="8" spans="1:3" x14ac:dyDescent="0.15">
      <c r="A8" s="5" t="s">
        <v>56</v>
      </c>
      <c r="B8" s="6">
        <v>104.1</v>
      </c>
      <c r="C8" s="7">
        <v>7.6764250424010014E-2</v>
      </c>
    </row>
    <row r="9" spans="1:3" x14ac:dyDescent="0.15">
      <c r="A9" s="5" t="s">
        <v>57</v>
      </c>
      <c r="B9" s="6">
        <v>427.6</v>
      </c>
      <c r="C9" s="7">
        <v>0.31531597964751862</v>
      </c>
    </row>
    <row r="10" spans="1:3" x14ac:dyDescent="0.15">
      <c r="A10" s="5" t="s">
        <v>47</v>
      </c>
      <c r="B10" s="6">
        <v>133.69999999999999</v>
      </c>
      <c r="C10" s="7">
        <v>9.8591549295774628E-2</v>
      </c>
    </row>
    <row r="11" spans="1:3" x14ac:dyDescent="0.15">
      <c r="A11" s="5" t="s">
        <v>58</v>
      </c>
      <c r="B11" s="6">
        <v>68</v>
      </c>
      <c r="C11" s="7">
        <v>5.0143794705405198E-2</v>
      </c>
    </row>
    <row r="12" spans="1:3" x14ac:dyDescent="0.15">
      <c r="A12" s="5" t="s">
        <v>7</v>
      </c>
      <c r="B12" s="6">
        <v>31</v>
      </c>
      <c r="C12" s="7">
        <v>2.2859671115699431E-2</v>
      </c>
    </row>
    <row r="13" spans="1:3" x14ac:dyDescent="0.15">
      <c r="A13" s="5" t="s">
        <v>49</v>
      </c>
      <c r="B13" s="6">
        <v>16.600000000000001</v>
      </c>
      <c r="C13" s="7">
        <v>1.2240985178084212E-2</v>
      </c>
    </row>
    <row r="14" spans="1:3" x14ac:dyDescent="0.15">
      <c r="A14" s="5" t="s">
        <v>50</v>
      </c>
      <c r="B14" s="6">
        <v>138.69999999999999</v>
      </c>
      <c r="C14" s="7">
        <v>0.10227859302411325</v>
      </c>
    </row>
    <row r="15" spans="1:3" x14ac:dyDescent="0.15">
      <c r="A15" s="5" t="s">
        <v>51</v>
      </c>
      <c r="B15" s="6">
        <v>9.6999999999999993</v>
      </c>
      <c r="C15" s="7">
        <v>7.1528648329769176E-3</v>
      </c>
    </row>
    <row r="16" spans="1:3" x14ac:dyDescent="0.15">
      <c r="A16" s="5" t="s">
        <v>59</v>
      </c>
      <c r="B16" s="6">
        <v>1356.1000000000001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25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110.1</v>
      </c>
      <c r="C4" s="7">
        <v>0.11292307692307692</v>
      </c>
    </row>
    <row r="5" spans="1:3" x14ac:dyDescent="0.15">
      <c r="A5" s="5" t="s">
        <v>53</v>
      </c>
      <c r="B5" s="6">
        <v>18.899999999999999</v>
      </c>
      <c r="C5" s="7">
        <v>1.9384615384615382E-2</v>
      </c>
    </row>
    <row r="6" spans="1:3" x14ac:dyDescent="0.15">
      <c r="A6" s="5" t="s">
        <v>54</v>
      </c>
      <c r="B6" s="6">
        <v>32.200000000000003</v>
      </c>
      <c r="C6" s="7">
        <v>3.3025641025641025E-2</v>
      </c>
    </row>
    <row r="7" spans="1:3" x14ac:dyDescent="0.15">
      <c r="A7" s="5" t="s">
        <v>55</v>
      </c>
      <c r="B7" s="6">
        <v>90</v>
      </c>
      <c r="C7" s="7">
        <v>9.2307692307692313E-2</v>
      </c>
    </row>
    <row r="8" spans="1:3" x14ac:dyDescent="0.15">
      <c r="A8" s="5" t="s">
        <v>56</v>
      </c>
      <c r="B8" s="6">
        <v>81.400000000000006</v>
      </c>
      <c r="C8" s="7">
        <v>8.34871794871795E-2</v>
      </c>
    </row>
    <row r="9" spans="1:3" x14ac:dyDescent="0.15">
      <c r="A9" s="5" t="s">
        <v>57</v>
      </c>
      <c r="B9" s="6">
        <v>131.69999999999999</v>
      </c>
      <c r="C9" s="7">
        <v>0.13507692307692307</v>
      </c>
    </row>
    <row r="10" spans="1:3" x14ac:dyDescent="0.15">
      <c r="A10" s="5" t="s">
        <v>47</v>
      </c>
      <c r="B10" s="6">
        <v>193.3</v>
      </c>
      <c r="C10" s="7">
        <v>0.19825641025641028</v>
      </c>
    </row>
    <row r="11" spans="1:3" x14ac:dyDescent="0.15">
      <c r="A11" s="5" t="s">
        <v>58</v>
      </c>
      <c r="B11" s="6">
        <v>191</v>
      </c>
      <c r="C11" s="7">
        <v>0.19589743589743588</v>
      </c>
    </row>
    <row r="12" spans="1:3" x14ac:dyDescent="0.15">
      <c r="A12" s="5" t="s">
        <v>7</v>
      </c>
      <c r="B12" s="6">
        <v>42.4</v>
      </c>
      <c r="C12" s="7">
        <v>4.3487179487179485E-2</v>
      </c>
    </row>
    <row r="13" spans="1:3" x14ac:dyDescent="0.15">
      <c r="A13" s="5" t="s">
        <v>49</v>
      </c>
      <c r="B13" s="6">
        <v>38.4</v>
      </c>
      <c r="C13" s="7">
        <v>3.9384615384615386E-2</v>
      </c>
    </row>
    <row r="14" spans="1:3" x14ac:dyDescent="0.15">
      <c r="A14" s="5" t="s">
        <v>50</v>
      </c>
      <c r="B14" s="6">
        <v>27.5</v>
      </c>
      <c r="C14" s="7">
        <v>2.8205128205128206E-2</v>
      </c>
    </row>
    <row r="15" spans="1:3" x14ac:dyDescent="0.15">
      <c r="A15" s="5" t="s">
        <v>51</v>
      </c>
      <c r="B15" s="6">
        <v>18.100000000000001</v>
      </c>
      <c r="C15" s="7">
        <v>1.8564102564102566E-2</v>
      </c>
    </row>
    <row r="16" spans="1:3" x14ac:dyDescent="0.15">
      <c r="A16" s="5" t="s">
        <v>59</v>
      </c>
      <c r="B16" s="6">
        <v>975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35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76.099999999999994</v>
      </c>
      <c r="C4" s="7">
        <v>4.6830769230769224E-2</v>
      </c>
    </row>
    <row r="5" spans="1:3" x14ac:dyDescent="0.15">
      <c r="A5" s="5" t="s">
        <v>53</v>
      </c>
      <c r="B5" s="6">
        <v>70</v>
      </c>
      <c r="C5" s="7">
        <v>4.3076923076923075E-2</v>
      </c>
    </row>
    <row r="6" spans="1:3" x14ac:dyDescent="0.15">
      <c r="A6" s="5" t="s">
        <v>54</v>
      </c>
      <c r="B6" s="6">
        <v>18.7</v>
      </c>
      <c r="C6" s="7">
        <v>1.1507692307692307E-2</v>
      </c>
    </row>
    <row r="7" spans="1:3" x14ac:dyDescent="0.15">
      <c r="A7" s="5" t="s">
        <v>55</v>
      </c>
      <c r="B7" s="6">
        <v>45.2</v>
      </c>
      <c r="C7" s="7">
        <v>2.7815384615384617E-2</v>
      </c>
    </row>
    <row r="8" spans="1:3" x14ac:dyDescent="0.15">
      <c r="A8" s="5" t="s">
        <v>56</v>
      </c>
      <c r="B8" s="6">
        <v>121.8</v>
      </c>
      <c r="C8" s="7">
        <v>7.4953846153846149E-2</v>
      </c>
    </row>
    <row r="9" spans="1:3" x14ac:dyDescent="0.15">
      <c r="A9" s="5" t="s">
        <v>57</v>
      </c>
      <c r="B9" s="6">
        <v>300.60000000000002</v>
      </c>
      <c r="C9" s="7">
        <v>0.18498461538461539</v>
      </c>
    </row>
    <row r="10" spans="1:3" x14ac:dyDescent="0.15">
      <c r="A10" s="5" t="s">
        <v>47</v>
      </c>
      <c r="B10" s="6">
        <v>260.10000000000002</v>
      </c>
      <c r="C10" s="7">
        <v>0.16006153846153848</v>
      </c>
    </row>
    <row r="11" spans="1:3" x14ac:dyDescent="0.15">
      <c r="A11" s="5" t="s">
        <v>58</v>
      </c>
      <c r="B11" s="6">
        <v>317.39999999999998</v>
      </c>
      <c r="C11" s="7">
        <v>0.1953230769230769</v>
      </c>
    </row>
    <row r="12" spans="1:3" x14ac:dyDescent="0.15">
      <c r="A12" s="5" t="s">
        <v>7</v>
      </c>
      <c r="B12" s="6">
        <v>187.6</v>
      </c>
      <c r="C12" s="7">
        <v>0.11544615384615384</v>
      </c>
    </row>
    <row r="13" spans="1:3" x14ac:dyDescent="0.15">
      <c r="A13" s="5" t="s">
        <v>49</v>
      </c>
      <c r="B13" s="6">
        <v>47.6</v>
      </c>
      <c r="C13" s="7">
        <v>2.9292307692307694E-2</v>
      </c>
    </row>
    <row r="14" spans="1:3" x14ac:dyDescent="0.15">
      <c r="A14" s="5" t="s">
        <v>50</v>
      </c>
      <c r="B14" s="6">
        <v>156</v>
      </c>
      <c r="C14" s="7">
        <v>9.6000000000000002E-2</v>
      </c>
    </row>
    <row r="15" spans="1:3" x14ac:dyDescent="0.15">
      <c r="A15" s="5" t="s">
        <v>51</v>
      </c>
      <c r="B15" s="6">
        <v>23.9</v>
      </c>
      <c r="C15" s="7">
        <v>1.4707692307692307E-2</v>
      </c>
    </row>
    <row r="16" spans="1:3" x14ac:dyDescent="0.15">
      <c r="A16" s="5" t="s">
        <v>59</v>
      </c>
      <c r="B16" s="6">
        <v>1625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24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90.9</v>
      </c>
      <c r="C4" s="7">
        <v>8.3663138518177652E-2</v>
      </c>
    </row>
    <row r="5" spans="1:3" x14ac:dyDescent="0.15">
      <c r="A5" s="5" t="s">
        <v>53</v>
      </c>
      <c r="B5" s="6">
        <v>32.299999999999997</v>
      </c>
      <c r="C5" s="7">
        <v>2.9728485964104927E-2</v>
      </c>
    </row>
    <row r="6" spans="1:3" x14ac:dyDescent="0.15">
      <c r="A6" s="5" t="s">
        <v>54</v>
      </c>
      <c r="B6" s="6">
        <v>30.1</v>
      </c>
      <c r="C6" s="7">
        <v>2.7703635526921313E-2</v>
      </c>
    </row>
    <row r="7" spans="1:3" x14ac:dyDescent="0.15">
      <c r="A7" s="5" t="s">
        <v>55</v>
      </c>
      <c r="B7" s="6">
        <v>55.5</v>
      </c>
      <c r="C7" s="7">
        <v>5.1081454210768533E-2</v>
      </c>
    </row>
    <row r="8" spans="1:3" x14ac:dyDescent="0.15">
      <c r="A8" s="5" t="s">
        <v>56</v>
      </c>
      <c r="B8" s="6">
        <v>84.5</v>
      </c>
      <c r="C8" s="7">
        <v>7.7772664519098034E-2</v>
      </c>
    </row>
    <row r="9" spans="1:3" x14ac:dyDescent="0.15">
      <c r="A9" s="5" t="s">
        <v>57</v>
      </c>
      <c r="B9" s="6">
        <v>300</v>
      </c>
      <c r="C9" s="7">
        <v>0.27611596870685695</v>
      </c>
    </row>
    <row r="10" spans="1:3" x14ac:dyDescent="0.15">
      <c r="A10" s="5" t="s">
        <v>47</v>
      </c>
      <c r="B10" s="6">
        <v>105.8</v>
      </c>
      <c r="C10" s="7">
        <v>9.7376898297284881E-2</v>
      </c>
    </row>
    <row r="11" spans="1:3" x14ac:dyDescent="0.15">
      <c r="A11" s="5" t="s">
        <v>58</v>
      </c>
      <c r="B11" s="6">
        <v>113.5</v>
      </c>
      <c r="C11" s="7">
        <v>0.10446387482742754</v>
      </c>
    </row>
    <row r="12" spans="1:3" x14ac:dyDescent="0.15">
      <c r="A12" s="5" t="s">
        <v>7</v>
      </c>
      <c r="B12" s="6">
        <v>109.3</v>
      </c>
      <c r="C12" s="7">
        <v>0.10059825126553154</v>
      </c>
    </row>
    <row r="13" spans="1:3" x14ac:dyDescent="0.15">
      <c r="A13" s="5" t="s">
        <v>49</v>
      </c>
      <c r="B13" s="6">
        <v>56.7</v>
      </c>
      <c r="C13" s="7">
        <v>5.2185918085595966E-2</v>
      </c>
    </row>
    <row r="14" spans="1:3" x14ac:dyDescent="0.15">
      <c r="A14" s="5" t="s">
        <v>50</v>
      </c>
      <c r="B14" s="6">
        <v>81.599999999999994</v>
      </c>
      <c r="C14" s="7">
        <v>7.5103543488265076E-2</v>
      </c>
    </row>
    <row r="15" spans="1:3" x14ac:dyDescent="0.15">
      <c r="A15" s="5" t="s">
        <v>51</v>
      </c>
      <c r="B15" s="6">
        <v>26.3</v>
      </c>
      <c r="C15" s="7">
        <v>2.4206166589967791E-2</v>
      </c>
    </row>
    <row r="16" spans="1:3" x14ac:dyDescent="0.15">
      <c r="A16" s="5" t="s">
        <v>59</v>
      </c>
      <c r="B16" s="6">
        <v>1086.4999999999998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21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0</v>
      </c>
      <c r="C4" s="7">
        <v>0</v>
      </c>
    </row>
    <row r="5" spans="1:3" x14ac:dyDescent="0.15">
      <c r="A5" s="5" t="s">
        <v>53</v>
      </c>
      <c r="B5" s="6">
        <v>1</v>
      </c>
      <c r="C5" s="7">
        <v>1.3856172925038107E-3</v>
      </c>
    </row>
    <row r="6" spans="1:3" x14ac:dyDescent="0.15">
      <c r="A6" s="5" t="s">
        <v>54</v>
      </c>
      <c r="B6" s="6">
        <v>37.200000000000003</v>
      </c>
      <c r="C6" s="7">
        <v>5.1544963281141755E-2</v>
      </c>
    </row>
    <row r="7" spans="1:3" x14ac:dyDescent="0.15">
      <c r="A7" s="5" t="s">
        <v>55</v>
      </c>
      <c r="B7" s="6">
        <v>71</v>
      </c>
      <c r="C7" s="7">
        <v>9.8378827767770557E-2</v>
      </c>
    </row>
    <row r="8" spans="1:3" x14ac:dyDescent="0.15">
      <c r="A8" s="5" t="s">
        <v>56</v>
      </c>
      <c r="B8" s="6">
        <v>79.099999999999994</v>
      </c>
      <c r="C8" s="7">
        <v>0.10960232783705141</v>
      </c>
    </row>
    <row r="9" spans="1:3" x14ac:dyDescent="0.15">
      <c r="A9" s="5" t="s">
        <v>57</v>
      </c>
      <c r="B9" s="6">
        <v>88.1</v>
      </c>
      <c r="C9" s="7">
        <v>0.12207288346958571</v>
      </c>
    </row>
    <row r="10" spans="1:3" x14ac:dyDescent="0.15">
      <c r="A10" s="5" t="s">
        <v>47</v>
      </c>
      <c r="B10" s="6">
        <v>221.1</v>
      </c>
      <c r="C10" s="7">
        <v>0.30635998337259251</v>
      </c>
    </row>
    <row r="11" spans="1:3" x14ac:dyDescent="0.15">
      <c r="A11" s="5" t="s">
        <v>58</v>
      </c>
      <c r="B11" s="6">
        <v>109.3</v>
      </c>
      <c r="C11" s="7">
        <v>0.15144797007066649</v>
      </c>
    </row>
    <row r="12" spans="1:3" x14ac:dyDescent="0.15">
      <c r="A12" s="5" t="s">
        <v>7</v>
      </c>
      <c r="B12" s="6">
        <v>70</v>
      </c>
      <c r="C12" s="7">
        <v>9.6993210475266739E-2</v>
      </c>
    </row>
    <row r="13" spans="1:3" x14ac:dyDescent="0.15">
      <c r="A13" s="5" t="s">
        <v>49</v>
      </c>
      <c r="B13" s="6">
        <v>17.899999999999999</v>
      </c>
      <c r="C13" s="7">
        <v>2.4802549535818206E-2</v>
      </c>
    </row>
    <row r="14" spans="1:3" x14ac:dyDescent="0.15">
      <c r="A14" s="5" t="s">
        <v>50</v>
      </c>
      <c r="B14" s="6">
        <v>8.3000000000000007</v>
      </c>
      <c r="C14" s="7">
        <v>1.1500623527781629E-2</v>
      </c>
    </row>
    <row r="15" spans="1:3" x14ac:dyDescent="0.15">
      <c r="A15" s="5" t="s">
        <v>51</v>
      </c>
      <c r="B15" s="6">
        <v>18.7</v>
      </c>
      <c r="C15" s="7">
        <v>2.5911043369821255E-2</v>
      </c>
    </row>
    <row r="16" spans="1:3" x14ac:dyDescent="0.15">
      <c r="A16" s="5" t="s">
        <v>59</v>
      </c>
      <c r="B16" s="6">
        <v>721.69999999999993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1" bestFit="1" customWidth="1"/>
    <col min="3" max="3" width="9.75" bestFit="1" customWidth="1"/>
  </cols>
  <sheetData>
    <row r="1" spans="1:3" x14ac:dyDescent="0.15">
      <c r="A1" s="4" t="s">
        <v>61</v>
      </c>
      <c r="B1" t="s">
        <v>18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8</v>
      </c>
      <c r="C4" s="7">
        <v>1.1304224954076585E-2</v>
      </c>
    </row>
    <row r="5" spans="1:3" x14ac:dyDescent="0.15">
      <c r="A5" s="5" t="s">
        <v>53</v>
      </c>
      <c r="B5" s="6">
        <v>0</v>
      </c>
      <c r="C5" s="7">
        <v>0</v>
      </c>
    </row>
    <row r="6" spans="1:3" x14ac:dyDescent="0.15">
      <c r="A6" s="5" t="s">
        <v>54</v>
      </c>
      <c r="B6" s="6">
        <v>22.1</v>
      </c>
      <c r="C6" s="7">
        <v>3.1227921435636571E-2</v>
      </c>
    </row>
    <row r="7" spans="1:3" x14ac:dyDescent="0.15">
      <c r="A7" s="5" t="s">
        <v>55</v>
      </c>
      <c r="B7" s="6">
        <v>47.9</v>
      </c>
      <c r="C7" s="7">
        <v>6.7684046912533546E-2</v>
      </c>
    </row>
    <row r="8" spans="1:3" x14ac:dyDescent="0.15">
      <c r="A8" s="5" t="s">
        <v>56</v>
      </c>
      <c r="B8" s="6">
        <v>31.5</v>
      </c>
      <c r="C8" s="7">
        <v>4.4510385756676554E-2</v>
      </c>
    </row>
    <row r="9" spans="1:3" x14ac:dyDescent="0.15">
      <c r="A9" s="5" t="s">
        <v>57</v>
      </c>
      <c r="B9" s="6">
        <v>97.1</v>
      </c>
      <c r="C9" s="7">
        <v>0.13720503038010454</v>
      </c>
    </row>
    <row r="10" spans="1:3" x14ac:dyDescent="0.15">
      <c r="A10" s="5" t="s">
        <v>47</v>
      </c>
      <c r="B10" s="6">
        <v>129.19999999999999</v>
      </c>
      <c r="C10" s="7">
        <v>0.18256323300833685</v>
      </c>
    </row>
    <row r="11" spans="1:3" x14ac:dyDescent="0.15">
      <c r="A11" s="5" t="s">
        <v>58</v>
      </c>
      <c r="B11" s="6">
        <v>238.6</v>
      </c>
      <c r="C11" s="7">
        <v>0.33714850925533413</v>
      </c>
    </row>
    <row r="12" spans="1:3" x14ac:dyDescent="0.15">
      <c r="A12" s="5" t="s">
        <v>7</v>
      </c>
      <c r="B12" s="6">
        <v>116.4</v>
      </c>
      <c r="C12" s="7">
        <v>0.16447647308181432</v>
      </c>
    </row>
    <row r="13" spans="1:3" x14ac:dyDescent="0.15">
      <c r="A13" s="5" t="s">
        <v>49</v>
      </c>
      <c r="B13" s="6">
        <v>16.600000000000001</v>
      </c>
      <c r="C13" s="7">
        <v>2.3456266779708915E-2</v>
      </c>
    </row>
    <row r="14" spans="1:3" x14ac:dyDescent="0.15">
      <c r="A14" s="5" t="s">
        <v>50</v>
      </c>
      <c r="B14" s="6">
        <v>0.2</v>
      </c>
      <c r="C14" s="7">
        <v>2.8260562385191464E-4</v>
      </c>
    </row>
    <row r="15" spans="1:3" x14ac:dyDescent="0.15">
      <c r="A15" s="5" t="s">
        <v>51</v>
      </c>
      <c r="B15" s="6">
        <v>0.1</v>
      </c>
      <c r="C15" s="7">
        <v>1.4130281192595732E-4</v>
      </c>
    </row>
    <row r="16" spans="1:3" x14ac:dyDescent="0.15">
      <c r="A16" s="5" t="s">
        <v>59</v>
      </c>
      <c r="B16" s="6">
        <v>707.7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19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3.7</v>
      </c>
      <c r="C4" s="7">
        <v>1.0413734871939207E-2</v>
      </c>
    </row>
    <row r="5" spans="1:3" x14ac:dyDescent="0.15">
      <c r="A5" s="5" t="s">
        <v>53</v>
      </c>
      <c r="B5" s="6">
        <v>2.7</v>
      </c>
      <c r="C5" s="7">
        <v>7.5992119335772604E-3</v>
      </c>
    </row>
    <row r="6" spans="1:3" x14ac:dyDescent="0.15">
      <c r="A6" s="5" t="s">
        <v>54</v>
      </c>
      <c r="B6" s="6">
        <v>20.9</v>
      </c>
      <c r="C6" s="7">
        <v>5.8823529411764712E-2</v>
      </c>
    </row>
    <row r="7" spans="1:3" x14ac:dyDescent="0.15">
      <c r="A7" s="5" t="s">
        <v>55</v>
      </c>
      <c r="B7" s="6">
        <v>63.4</v>
      </c>
      <c r="C7" s="7">
        <v>0.17844075429214751</v>
      </c>
    </row>
    <row r="8" spans="1:3" x14ac:dyDescent="0.15">
      <c r="A8" s="5" t="s">
        <v>56</v>
      </c>
      <c r="B8" s="6">
        <v>17.600000000000001</v>
      </c>
      <c r="C8" s="7">
        <v>4.9535603715170289E-2</v>
      </c>
    </row>
    <row r="9" spans="1:3" x14ac:dyDescent="0.15">
      <c r="A9" s="5" t="s">
        <v>57</v>
      </c>
      <c r="B9" s="6">
        <v>103.8</v>
      </c>
      <c r="C9" s="7">
        <v>0.29214748100197019</v>
      </c>
    </row>
    <row r="10" spans="1:3" x14ac:dyDescent="0.15">
      <c r="A10" s="5" t="s">
        <v>47</v>
      </c>
      <c r="B10" s="6">
        <v>23.9</v>
      </c>
      <c r="C10" s="7">
        <v>6.726709822685055E-2</v>
      </c>
    </row>
    <row r="11" spans="1:3" x14ac:dyDescent="0.15">
      <c r="A11" s="5" t="s">
        <v>58</v>
      </c>
      <c r="B11" s="6">
        <v>45.2</v>
      </c>
      <c r="C11" s="7">
        <v>0.12721643681396005</v>
      </c>
    </row>
    <row r="12" spans="1:3" x14ac:dyDescent="0.15">
      <c r="A12" s="5" t="s">
        <v>7</v>
      </c>
      <c r="B12" s="6">
        <v>56.7</v>
      </c>
      <c r="C12" s="7">
        <v>0.15958345060512247</v>
      </c>
    </row>
    <row r="13" spans="1:3" x14ac:dyDescent="0.15">
      <c r="A13" s="5" t="s">
        <v>49</v>
      </c>
      <c r="B13" s="6">
        <v>17.399999999999999</v>
      </c>
      <c r="C13" s="7">
        <v>4.8972699127497889E-2</v>
      </c>
    </row>
    <row r="14" spans="1:3" x14ac:dyDescent="0.15">
      <c r="A14" s="5" t="s">
        <v>50</v>
      </c>
      <c r="B14" s="6">
        <v>0</v>
      </c>
      <c r="C14" s="7">
        <v>0</v>
      </c>
    </row>
    <row r="15" spans="1:3" x14ac:dyDescent="0.15">
      <c r="A15" s="5" t="s">
        <v>51</v>
      </c>
      <c r="B15" s="6">
        <v>0</v>
      </c>
      <c r="C15" s="7">
        <v>0</v>
      </c>
    </row>
    <row r="16" spans="1:3" x14ac:dyDescent="0.15">
      <c r="A16" s="5" t="s">
        <v>59</v>
      </c>
      <c r="B16" s="6">
        <v>355.29999999999995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17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0.1</v>
      </c>
      <c r="C4" s="7">
        <v>1.8112660749864155E-4</v>
      </c>
    </row>
    <row r="5" spans="1:3" x14ac:dyDescent="0.15">
      <c r="A5" s="5" t="s">
        <v>53</v>
      </c>
      <c r="B5" s="6">
        <v>0.9</v>
      </c>
      <c r="C5" s="7">
        <v>1.6301394674877738E-3</v>
      </c>
    </row>
    <row r="6" spans="1:3" x14ac:dyDescent="0.15">
      <c r="A6" s="5" t="s">
        <v>54</v>
      </c>
      <c r="B6" s="6">
        <v>13.7</v>
      </c>
      <c r="C6" s="7">
        <v>2.4814345227313891E-2</v>
      </c>
    </row>
    <row r="7" spans="1:3" x14ac:dyDescent="0.15">
      <c r="A7" s="5" t="s">
        <v>55</v>
      </c>
      <c r="B7" s="6">
        <v>48.8</v>
      </c>
      <c r="C7" s="7">
        <v>8.8389784459337067E-2</v>
      </c>
    </row>
    <row r="8" spans="1:3" x14ac:dyDescent="0.15">
      <c r="A8" s="5" t="s">
        <v>56</v>
      </c>
      <c r="B8" s="6">
        <v>21.2</v>
      </c>
      <c r="C8" s="7">
        <v>3.8398840789712008E-2</v>
      </c>
    </row>
    <row r="9" spans="1:3" x14ac:dyDescent="0.15">
      <c r="A9" s="5" t="s">
        <v>57</v>
      </c>
      <c r="B9" s="6">
        <v>131.9</v>
      </c>
      <c r="C9" s="7">
        <v>0.23890599529070822</v>
      </c>
    </row>
    <row r="10" spans="1:3" x14ac:dyDescent="0.15">
      <c r="A10" s="5" t="s">
        <v>47</v>
      </c>
      <c r="B10" s="6">
        <v>143.4</v>
      </c>
      <c r="C10" s="7">
        <v>0.25973555515305197</v>
      </c>
    </row>
    <row r="11" spans="1:3" x14ac:dyDescent="0.15">
      <c r="A11" s="5" t="s">
        <v>58</v>
      </c>
      <c r="B11" s="6">
        <v>71.3</v>
      </c>
      <c r="C11" s="7">
        <v>0.1291432711465314</v>
      </c>
    </row>
    <row r="12" spans="1:3" x14ac:dyDescent="0.15">
      <c r="A12" s="5" t="s">
        <v>7</v>
      </c>
      <c r="B12" s="6">
        <v>68.2</v>
      </c>
      <c r="C12" s="7">
        <v>0.12352834631407354</v>
      </c>
    </row>
    <row r="13" spans="1:3" x14ac:dyDescent="0.15">
      <c r="A13" s="5" t="s">
        <v>49</v>
      </c>
      <c r="B13" s="6">
        <v>48.5</v>
      </c>
      <c r="C13" s="7">
        <v>8.7846404636841152E-2</v>
      </c>
    </row>
    <row r="14" spans="1:3" x14ac:dyDescent="0.15">
      <c r="A14" s="5" t="s">
        <v>50</v>
      </c>
      <c r="B14" s="6">
        <v>0</v>
      </c>
      <c r="C14" s="7">
        <v>0</v>
      </c>
    </row>
    <row r="15" spans="1:3" x14ac:dyDescent="0.15">
      <c r="A15" s="5" t="s">
        <v>51</v>
      </c>
      <c r="B15" s="6">
        <v>4.0999999999999996</v>
      </c>
      <c r="C15" s="7">
        <v>7.4261909074443029E-3</v>
      </c>
    </row>
    <row r="16" spans="1:3" x14ac:dyDescent="0.15">
      <c r="A16" s="5" t="s">
        <v>59</v>
      </c>
      <c r="B16" s="6">
        <v>552.1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3" bestFit="1" customWidth="1"/>
    <col min="3" max="3" width="9.75" bestFit="1" customWidth="1"/>
  </cols>
  <sheetData>
    <row r="1" spans="1:3" x14ac:dyDescent="0.15">
      <c r="A1" s="4" t="s">
        <v>61</v>
      </c>
      <c r="B1" t="s">
        <v>46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3</v>
      </c>
      <c r="C4" s="7">
        <v>1.7462165308498253E-2</v>
      </c>
    </row>
    <row r="5" spans="1:3" x14ac:dyDescent="0.15">
      <c r="A5" s="5" t="s">
        <v>53</v>
      </c>
      <c r="B5" s="6">
        <v>11.6</v>
      </c>
      <c r="C5" s="7">
        <v>6.7520372526193237E-2</v>
      </c>
    </row>
    <row r="6" spans="1:3" x14ac:dyDescent="0.15">
      <c r="A6" s="5" t="s">
        <v>54</v>
      </c>
      <c r="B6" s="6">
        <v>17.8</v>
      </c>
      <c r="C6" s="7">
        <v>0.10360884749708964</v>
      </c>
    </row>
    <row r="7" spans="1:3" x14ac:dyDescent="0.15">
      <c r="A7" s="5" t="s">
        <v>55</v>
      </c>
      <c r="B7" s="6">
        <v>21.7</v>
      </c>
      <c r="C7" s="7">
        <v>0.12630966239813735</v>
      </c>
    </row>
    <row r="8" spans="1:3" x14ac:dyDescent="0.15">
      <c r="A8" s="5" t="s">
        <v>56</v>
      </c>
      <c r="B8" s="6">
        <v>15.8</v>
      </c>
      <c r="C8" s="7">
        <v>9.1967403958090804E-2</v>
      </c>
    </row>
    <row r="9" spans="1:3" x14ac:dyDescent="0.15">
      <c r="A9" s="5" t="s">
        <v>57</v>
      </c>
      <c r="B9" s="6">
        <v>8.9</v>
      </c>
      <c r="C9" s="7">
        <v>5.1804423748544819E-2</v>
      </c>
    </row>
    <row r="10" spans="1:3" x14ac:dyDescent="0.15">
      <c r="A10" s="5" t="s">
        <v>47</v>
      </c>
      <c r="B10" s="6">
        <v>20.9</v>
      </c>
      <c r="C10" s="7">
        <v>0.12165308498253782</v>
      </c>
    </row>
    <row r="11" spans="1:3" x14ac:dyDescent="0.15">
      <c r="A11" s="5" t="s">
        <v>58</v>
      </c>
      <c r="B11" s="6">
        <v>17.100000000000001</v>
      </c>
      <c r="C11" s="7">
        <v>9.9534342258440045E-2</v>
      </c>
    </row>
    <row r="12" spans="1:3" x14ac:dyDescent="0.15">
      <c r="A12" s="5" t="s">
        <v>7</v>
      </c>
      <c r="B12" s="6">
        <v>16.8</v>
      </c>
      <c r="C12" s="7">
        <v>9.7788125727590214E-2</v>
      </c>
    </row>
    <row r="13" spans="1:3" x14ac:dyDescent="0.15">
      <c r="A13" s="5" t="s">
        <v>49</v>
      </c>
      <c r="B13" s="6">
        <v>12.8</v>
      </c>
      <c r="C13" s="7">
        <v>7.4505238649592548E-2</v>
      </c>
    </row>
    <row r="14" spans="1:3" x14ac:dyDescent="0.15">
      <c r="A14" s="5" t="s">
        <v>50</v>
      </c>
      <c r="B14" s="6">
        <v>12.8</v>
      </c>
      <c r="C14" s="7">
        <v>7.4505238649592548E-2</v>
      </c>
    </row>
    <row r="15" spans="1:3" x14ac:dyDescent="0.15">
      <c r="A15" s="5" t="s">
        <v>51</v>
      </c>
      <c r="B15" s="6">
        <v>12.6</v>
      </c>
      <c r="C15" s="7">
        <v>7.334109429569266E-2</v>
      </c>
    </row>
    <row r="16" spans="1:3" x14ac:dyDescent="0.15">
      <c r="A16" s="5" t="s">
        <v>59</v>
      </c>
      <c r="B16" s="6">
        <v>171.8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32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72.400000000000006</v>
      </c>
      <c r="C4" s="7">
        <v>5.7151878749605318E-2</v>
      </c>
    </row>
    <row r="5" spans="1:3" x14ac:dyDescent="0.15">
      <c r="A5" s="5" t="s">
        <v>53</v>
      </c>
      <c r="B5" s="6">
        <v>20.7</v>
      </c>
      <c r="C5" s="7">
        <v>1.634038522260815E-2</v>
      </c>
    </row>
    <row r="6" spans="1:3" x14ac:dyDescent="0.15">
      <c r="A6" s="5" t="s">
        <v>54</v>
      </c>
      <c r="B6" s="6">
        <v>79</v>
      </c>
      <c r="C6" s="7">
        <v>6.2361856646668788E-2</v>
      </c>
    </row>
    <row r="7" spans="1:3" x14ac:dyDescent="0.15">
      <c r="A7" s="5" t="s">
        <v>55</v>
      </c>
      <c r="B7" s="6">
        <v>54.3</v>
      </c>
      <c r="C7" s="7">
        <v>4.2863909062203984E-2</v>
      </c>
    </row>
    <row r="8" spans="1:3" x14ac:dyDescent="0.15">
      <c r="A8" s="5" t="s">
        <v>56</v>
      </c>
      <c r="B8" s="6">
        <v>344.2</v>
      </c>
      <c r="C8" s="7">
        <v>0.27170824123776449</v>
      </c>
    </row>
    <row r="9" spans="1:3" x14ac:dyDescent="0.15">
      <c r="A9" s="5" t="s">
        <v>57</v>
      </c>
      <c r="B9" s="6">
        <v>129.4</v>
      </c>
      <c r="C9" s="7">
        <v>0.10214714240606254</v>
      </c>
    </row>
    <row r="10" spans="1:3" x14ac:dyDescent="0.15">
      <c r="A10" s="5" t="s">
        <v>47</v>
      </c>
      <c r="B10" s="6">
        <v>148.1</v>
      </c>
      <c r="C10" s="7">
        <v>0.11690874644774236</v>
      </c>
    </row>
    <row r="11" spans="1:3" x14ac:dyDescent="0.15">
      <c r="A11" s="5" t="s">
        <v>58</v>
      </c>
      <c r="B11" s="6">
        <v>240.7</v>
      </c>
      <c r="C11" s="7">
        <v>0.19000631512472374</v>
      </c>
    </row>
    <row r="12" spans="1:3" x14ac:dyDescent="0.15">
      <c r="A12" s="5" t="s">
        <v>7</v>
      </c>
      <c r="B12" s="6">
        <v>40.799999999999997</v>
      </c>
      <c r="C12" s="7">
        <v>3.2207136090937803E-2</v>
      </c>
    </row>
    <row r="13" spans="1:3" x14ac:dyDescent="0.15">
      <c r="A13" s="5" t="s">
        <v>49</v>
      </c>
      <c r="B13" s="6">
        <v>92.5</v>
      </c>
      <c r="C13" s="7">
        <v>7.3018629617934969E-2</v>
      </c>
    </row>
    <row r="14" spans="1:3" x14ac:dyDescent="0.15">
      <c r="A14" s="5" t="s">
        <v>50</v>
      </c>
      <c r="B14" s="6">
        <v>39.1</v>
      </c>
      <c r="C14" s="7">
        <v>3.0865172087148729E-2</v>
      </c>
    </row>
    <row r="15" spans="1:3" x14ac:dyDescent="0.15">
      <c r="A15" s="5" t="s">
        <v>51</v>
      </c>
      <c r="B15" s="6">
        <v>5.6</v>
      </c>
      <c r="C15" s="7">
        <v>4.420587306599306E-3</v>
      </c>
    </row>
    <row r="16" spans="1:3" x14ac:dyDescent="0.15">
      <c r="A16" s="5" t="s">
        <v>59</v>
      </c>
      <c r="B16" s="6">
        <v>1266.7999999999997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42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19.100000000000001</v>
      </c>
      <c r="C4" s="7">
        <v>3.6367098248286371E-2</v>
      </c>
    </row>
    <row r="5" spans="1:3" x14ac:dyDescent="0.15">
      <c r="A5" s="5" t="s">
        <v>53</v>
      </c>
      <c r="B5" s="6">
        <v>7.5</v>
      </c>
      <c r="C5" s="7">
        <v>1.4280274181264282E-2</v>
      </c>
    </row>
    <row r="6" spans="1:3" x14ac:dyDescent="0.15">
      <c r="A6" s="5" t="s">
        <v>54</v>
      </c>
      <c r="B6" s="6">
        <v>21.7</v>
      </c>
      <c r="C6" s="7">
        <v>4.1317593297791319E-2</v>
      </c>
    </row>
    <row r="7" spans="1:3" x14ac:dyDescent="0.15">
      <c r="A7" s="5" t="s">
        <v>55</v>
      </c>
      <c r="B7" s="6">
        <v>55.6</v>
      </c>
      <c r="C7" s="7">
        <v>0.10586443259710589</v>
      </c>
    </row>
    <row r="8" spans="1:3" x14ac:dyDescent="0.15">
      <c r="A8" s="5" t="s">
        <v>56</v>
      </c>
      <c r="B8" s="6">
        <v>22</v>
      </c>
      <c r="C8" s="7">
        <v>4.1888804265041893E-2</v>
      </c>
    </row>
    <row r="9" spans="1:3" x14ac:dyDescent="0.15">
      <c r="A9" s="5" t="s">
        <v>57</v>
      </c>
      <c r="B9" s="6">
        <v>59.8</v>
      </c>
      <c r="C9" s="7">
        <v>0.11386138613861387</v>
      </c>
    </row>
    <row r="10" spans="1:3" x14ac:dyDescent="0.15">
      <c r="A10" s="5" t="s">
        <v>47</v>
      </c>
      <c r="B10" s="6">
        <v>83.7</v>
      </c>
      <c r="C10" s="7">
        <v>0.15936785986290938</v>
      </c>
    </row>
    <row r="11" spans="1:3" x14ac:dyDescent="0.15">
      <c r="A11" s="5" t="s">
        <v>58</v>
      </c>
      <c r="B11" s="6">
        <v>87.3</v>
      </c>
      <c r="C11" s="7">
        <v>0.16622239146991624</v>
      </c>
    </row>
    <row r="12" spans="1:3" x14ac:dyDescent="0.15">
      <c r="A12" s="5" t="s">
        <v>7</v>
      </c>
      <c r="B12" s="6">
        <v>83.1</v>
      </c>
      <c r="C12" s="7">
        <v>0.15822543792840824</v>
      </c>
    </row>
    <row r="13" spans="1:3" x14ac:dyDescent="0.15">
      <c r="A13" s="5" t="s">
        <v>49</v>
      </c>
      <c r="B13" s="6">
        <v>73.099999999999994</v>
      </c>
      <c r="C13" s="7">
        <v>0.1391850723533892</v>
      </c>
    </row>
    <row r="14" spans="1:3" x14ac:dyDescent="0.15">
      <c r="A14" s="5" t="s">
        <v>50</v>
      </c>
      <c r="B14" s="6">
        <v>12.3</v>
      </c>
      <c r="C14" s="7">
        <v>2.3419649657273424E-2</v>
      </c>
    </row>
    <row r="15" spans="1:3" x14ac:dyDescent="0.15">
      <c r="A15" s="5" t="s">
        <v>51</v>
      </c>
      <c r="B15" s="6">
        <v>0</v>
      </c>
      <c r="C15" s="7">
        <v>0</v>
      </c>
    </row>
    <row r="16" spans="1:3" x14ac:dyDescent="0.15">
      <c r="A16" s="5" t="s">
        <v>59</v>
      </c>
      <c r="B16" s="6">
        <v>525.19999999999993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44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2.6</v>
      </c>
      <c r="C4" s="7">
        <v>6.8674062334918131E-3</v>
      </c>
    </row>
    <row r="5" spans="1:3" x14ac:dyDescent="0.15">
      <c r="A5" s="5" t="s">
        <v>53</v>
      </c>
      <c r="B5" s="6">
        <v>2.7</v>
      </c>
      <c r="C5" s="7">
        <v>7.1315372424722674E-3</v>
      </c>
    </row>
    <row r="6" spans="1:3" x14ac:dyDescent="0.15">
      <c r="A6" s="5" t="s">
        <v>54</v>
      </c>
      <c r="B6" s="6">
        <v>7.7</v>
      </c>
      <c r="C6" s="7">
        <v>2.0338087691494984E-2</v>
      </c>
    </row>
    <row r="7" spans="1:3" x14ac:dyDescent="0.15">
      <c r="A7" s="5" t="s">
        <v>55</v>
      </c>
      <c r="B7" s="6">
        <v>32.200000000000003</v>
      </c>
      <c r="C7" s="7">
        <v>8.5050184891706307E-2</v>
      </c>
    </row>
    <row r="8" spans="1:3" x14ac:dyDescent="0.15">
      <c r="A8" s="5" t="s">
        <v>56</v>
      </c>
      <c r="B8" s="6">
        <v>48.4</v>
      </c>
      <c r="C8" s="7">
        <v>0.1278394083465399</v>
      </c>
    </row>
    <row r="9" spans="1:3" x14ac:dyDescent="0.15">
      <c r="A9" s="5" t="s">
        <v>57</v>
      </c>
      <c r="B9" s="6">
        <v>60.9</v>
      </c>
      <c r="C9" s="7">
        <v>0.16085578446909668</v>
      </c>
    </row>
    <row r="10" spans="1:3" x14ac:dyDescent="0.15">
      <c r="A10" s="5" t="s">
        <v>47</v>
      </c>
      <c r="B10" s="6">
        <v>41.6</v>
      </c>
      <c r="C10" s="7">
        <v>0.10987849973586901</v>
      </c>
    </row>
    <row r="11" spans="1:3" x14ac:dyDescent="0.15">
      <c r="A11" s="5" t="s">
        <v>58</v>
      </c>
      <c r="B11" s="6">
        <v>99.7</v>
      </c>
      <c r="C11" s="7">
        <v>0.26333861595351299</v>
      </c>
    </row>
    <row r="12" spans="1:3" x14ac:dyDescent="0.15">
      <c r="A12" s="5" t="s">
        <v>7</v>
      </c>
      <c r="B12" s="6">
        <v>62.9</v>
      </c>
      <c r="C12" s="7">
        <v>0.16613840464870577</v>
      </c>
    </row>
    <row r="13" spans="1:3" x14ac:dyDescent="0.15">
      <c r="A13" s="5" t="s">
        <v>49</v>
      </c>
      <c r="B13" s="6">
        <v>19.7</v>
      </c>
      <c r="C13" s="7">
        <v>5.2033808769149502E-2</v>
      </c>
    </row>
    <row r="14" spans="1:3" x14ac:dyDescent="0.15">
      <c r="A14" s="5" t="s">
        <v>50</v>
      </c>
      <c r="B14" s="6">
        <v>0.2</v>
      </c>
      <c r="C14" s="7">
        <v>5.2826201796090874E-4</v>
      </c>
    </row>
    <row r="15" spans="1:3" x14ac:dyDescent="0.15">
      <c r="A15" s="5" t="s">
        <v>51</v>
      </c>
      <c r="B15" s="6">
        <v>0</v>
      </c>
      <c r="C15" s="7">
        <v>0</v>
      </c>
    </row>
    <row r="16" spans="1:3" x14ac:dyDescent="0.15">
      <c r="A16" s="5" t="s">
        <v>59</v>
      </c>
      <c r="B16" s="6">
        <v>378.59999999999997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45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8.1</v>
      </c>
      <c r="C4" s="7">
        <v>4.1623843782117163E-2</v>
      </c>
    </row>
    <row r="5" spans="1:3" x14ac:dyDescent="0.15">
      <c r="A5" s="5" t="s">
        <v>53</v>
      </c>
      <c r="B5" s="6">
        <v>1.1000000000000001</v>
      </c>
      <c r="C5" s="7">
        <v>5.6526207605344303E-3</v>
      </c>
    </row>
    <row r="6" spans="1:3" x14ac:dyDescent="0.15">
      <c r="A6" s="5" t="s">
        <v>54</v>
      </c>
      <c r="B6" s="6">
        <v>0</v>
      </c>
      <c r="C6" s="7">
        <v>0</v>
      </c>
    </row>
    <row r="7" spans="1:3" x14ac:dyDescent="0.15">
      <c r="A7" s="5" t="s">
        <v>55</v>
      </c>
      <c r="B7" s="6">
        <v>16.3</v>
      </c>
      <c r="C7" s="7">
        <v>8.3761562178828367E-2</v>
      </c>
    </row>
    <row r="8" spans="1:3" x14ac:dyDescent="0.15">
      <c r="A8" s="5" t="s">
        <v>56</v>
      </c>
      <c r="B8" s="6">
        <v>0.2</v>
      </c>
      <c r="C8" s="7">
        <v>1.0277492291880781E-3</v>
      </c>
    </row>
    <row r="9" spans="1:3" x14ac:dyDescent="0.15">
      <c r="A9" s="5" t="s">
        <v>57</v>
      </c>
      <c r="B9" s="6">
        <v>2.2999999999999998</v>
      </c>
      <c r="C9" s="7">
        <v>1.1819116135662897E-2</v>
      </c>
    </row>
    <row r="10" spans="1:3" x14ac:dyDescent="0.15">
      <c r="A10" s="5" t="s">
        <v>47</v>
      </c>
      <c r="B10" s="6">
        <v>79.400000000000006</v>
      </c>
      <c r="C10" s="7">
        <v>0.40801644398766707</v>
      </c>
    </row>
    <row r="11" spans="1:3" x14ac:dyDescent="0.15">
      <c r="A11" s="5" t="s">
        <v>58</v>
      </c>
      <c r="B11" s="6">
        <v>35.799999999999997</v>
      </c>
      <c r="C11" s="7">
        <v>0.18396711202466598</v>
      </c>
    </row>
    <row r="12" spans="1:3" x14ac:dyDescent="0.15">
      <c r="A12" s="5" t="s">
        <v>7</v>
      </c>
      <c r="B12" s="6">
        <v>44.1</v>
      </c>
      <c r="C12" s="7">
        <v>0.22661870503597123</v>
      </c>
    </row>
    <row r="13" spans="1:3" x14ac:dyDescent="0.15">
      <c r="A13" s="5" t="s">
        <v>49</v>
      </c>
      <c r="B13" s="6">
        <v>7.3</v>
      </c>
      <c r="C13" s="7">
        <v>3.7512846865364852E-2</v>
      </c>
    </row>
    <row r="14" spans="1:3" x14ac:dyDescent="0.15">
      <c r="A14" s="5" t="s">
        <v>50</v>
      </c>
      <c r="B14" s="6">
        <v>0</v>
      </c>
      <c r="C14" s="7">
        <v>0</v>
      </c>
    </row>
    <row r="15" spans="1:3" x14ac:dyDescent="0.15">
      <c r="A15" s="5" t="s">
        <v>51</v>
      </c>
      <c r="B15" s="6">
        <v>0</v>
      </c>
      <c r="C15" s="7">
        <v>0</v>
      </c>
    </row>
    <row r="16" spans="1:3" x14ac:dyDescent="0.15">
      <c r="A16" s="5" t="s">
        <v>59</v>
      </c>
      <c r="B16" s="6">
        <v>194.6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22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0.2</v>
      </c>
      <c r="C4" s="7">
        <v>2.7901785714285713E-4</v>
      </c>
    </row>
    <row r="5" spans="1:3" x14ac:dyDescent="0.15">
      <c r="A5" s="5" t="s">
        <v>53</v>
      </c>
      <c r="B5" s="6">
        <v>0.5</v>
      </c>
      <c r="C5" s="7">
        <v>6.9754464285714276E-4</v>
      </c>
    </row>
    <row r="6" spans="1:3" x14ac:dyDescent="0.15">
      <c r="A6" s="5" t="s">
        <v>54</v>
      </c>
      <c r="B6" s="6">
        <v>32.5</v>
      </c>
      <c r="C6" s="7">
        <v>4.5340401785714281E-2</v>
      </c>
    </row>
    <row r="7" spans="1:3" x14ac:dyDescent="0.15">
      <c r="A7" s="5" t="s">
        <v>55</v>
      </c>
      <c r="B7" s="6">
        <v>22.3</v>
      </c>
      <c r="C7" s="7">
        <v>3.1110491071428568E-2</v>
      </c>
    </row>
    <row r="8" spans="1:3" x14ac:dyDescent="0.15">
      <c r="A8" s="5" t="s">
        <v>56</v>
      </c>
      <c r="B8" s="6">
        <v>62.1</v>
      </c>
      <c r="C8" s="7">
        <v>8.6635044642857137E-2</v>
      </c>
    </row>
    <row r="9" spans="1:3" x14ac:dyDescent="0.15">
      <c r="A9" s="5" t="s">
        <v>57</v>
      </c>
      <c r="B9" s="6">
        <v>152.5</v>
      </c>
      <c r="C9" s="7">
        <v>0.21275111607142855</v>
      </c>
    </row>
    <row r="10" spans="1:3" x14ac:dyDescent="0.15">
      <c r="A10" s="5" t="s">
        <v>47</v>
      </c>
      <c r="B10" s="6">
        <v>199.8</v>
      </c>
      <c r="C10" s="7">
        <v>0.2787388392857143</v>
      </c>
    </row>
    <row r="11" spans="1:3" x14ac:dyDescent="0.15">
      <c r="A11" s="5" t="s">
        <v>58</v>
      </c>
      <c r="B11" s="6">
        <v>150.5</v>
      </c>
      <c r="C11" s="7">
        <v>0.20996093749999997</v>
      </c>
    </row>
    <row r="12" spans="1:3" x14ac:dyDescent="0.15">
      <c r="A12" s="5" t="s">
        <v>7</v>
      </c>
      <c r="B12" s="6">
        <v>63</v>
      </c>
      <c r="C12" s="7">
        <v>8.7890624999999986E-2</v>
      </c>
    </row>
    <row r="13" spans="1:3" x14ac:dyDescent="0.15">
      <c r="A13" s="5" t="s">
        <v>49</v>
      </c>
      <c r="B13" s="6">
        <v>17</v>
      </c>
      <c r="C13" s="7">
        <v>2.3716517857142856E-2</v>
      </c>
    </row>
    <row r="14" spans="1:3" x14ac:dyDescent="0.15">
      <c r="A14" s="5" t="s">
        <v>50</v>
      </c>
      <c r="B14" s="6">
        <v>14.1</v>
      </c>
      <c r="C14" s="7">
        <v>1.9670758928571425E-2</v>
      </c>
    </row>
    <row r="15" spans="1:3" x14ac:dyDescent="0.15">
      <c r="A15" s="5" t="s">
        <v>51</v>
      </c>
      <c r="B15" s="6">
        <v>2.2999999999999998</v>
      </c>
      <c r="C15" s="7">
        <v>3.2087053571428566E-3</v>
      </c>
    </row>
    <row r="16" spans="1:3" x14ac:dyDescent="0.15">
      <c r="A16" s="5" t="s">
        <v>59</v>
      </c>
      <c r="B16" s="6">
        <v>716.80000000000007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33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96.4</v>
      </c>
      <c r="C4" s="7">
        <v>6.6350058503682294E-2</v>
      </c>
    </row>
    <row r="5" spans="1:3" x14ac:dyDescent="0.15">
      <c r="A5" s="5" t="s">
        <v>53</v>
      </c>
      <c r="B5" s="6">
        <v>53.8</v>
      </c>
      <c r="C5" s="7">
        <v>3.7029389496868327E-2</v>
      </c>
    </row>
    <row r="6" spans="1:3" x14ac:dyDescent="0.15">
      <c r="A6" s="5" t="s">
        <v>54</v>
      </c>
      <c r="B6" s="6">
        <v>159.9</v>
      </c>
      <c r="C6" s="7">
        <v>0.11005575056782986</v>
      </c>
    </row>
    <row r="7" spans="1:3" x14ac:dyDescent="0.15">
      <c r="A7" s="5" t="s">
        <v>55</v>
      </c>
      <c r="B7" s="6">
        <v>101.6</v>
      </c>
      <c r="C7" s="7">
        <v>6.9929107302636101E-2</v>
      </c>
    </row>
    <row r="8" spans="1:3" x14ac:dyDescent="0.15">
      <c r="A8" s="5" t="s">
        <v>56</v>
      </c>
      <c r="B8" s="6">
        <v>110</v>
      </c>
      <c r="C8" s="7">
        <v>7.5710647670176878E-2</v>
      </c>
    </row>
    <row r="9" spans="1:3" x14ac:dyDescent="0.15">
      <c r="A9" s="5" t="s">
        <v>57</v>
      </c>
      <c r="B9" s="6">
        <v>116.4</v>
      </c>
      <c r="C9" s="7">
        <v>8.0115630807350818E-2</v>
      </c>
    </row>
    <row r="10" spans="1:3" x14ac:dyDescent="0.15">
      <c r="A10" s="5" t="s">
        <v>47</v>
      </c>
      <c r="B10" s="6">
        <v>215</v>
      </c>
      <c r="C10" s="7">
        <v>0.14797990226443664</v>
      </c>
    </row>
    <row r="11" spans="1:3" x14ac:dyDescent="0.15">
      <c r="A11" s="5" t="s">
        <v>58</v>
      </c>
      <c r="B11" s="6">
        <v>143.9</v>
      </c>
      <c r="C11" s="7">
        <v>9.9043292724895038E-2</v>
      </c>
    </row>
    <row r="12" spans="1:3" x14ac:dyDescent="0.15">
      <c r="A12" s="5" t="s">
        <v>7</v>
      </c>
      <c r="B12" s="6">
        <v>146.69999999999999</v>
      </c>
      <c r="C12" s="7">
        <v>0.10097047284740862</v>
      </c>
    </row>
    <row r="13" spans="1:3" x14ac:dyDescent="0.15">
      <c r="A13" s="5" t="s">
        <v>49</v>
      </c>
      <c r="B13" s="6">
        <v>55.8</v>
      </c>
      <c r="C13" s="7">
        <v>3.8405946727235178E-2</v>
      </c>
    </row>
    <row r="14" spans="1:3" x14ac:dyDescent="0.15">
      <c r="A14" s="5" t="s">
        <v>50</v>
      </c>
      <c r="B14" s="6">
        <v>243.9</v>
      </c>
      <c r="C14" s="7">
        <v>0.16787115424323765</v>
      </c>
    </row>
    <row r="15" spans="1:3" x14ac:dyDescent="0.15">
      <c r="A15" s="5" t="s">
        <v>51</v>
      </c>
      <c r="B15" s="6">
        <v>9.5</v>
      </c>
      <c r="C15" s="7">
        <v>6.5386468442425487E-3</v>
      </c>
    </row>
    <row r="16" spans="1:3" x14ac:dyDescent="0.15">
      <c r="A16" s="5" t="s">
        <v>59</v>
      </c>
      <c r="B16" s="6">
        <v>1452.9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31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17</v>
      </c>
      <c r="C4" s="7">
        <v>2.5828015800668493E-2</v>
      </c>
    </row>
    <row r="5" spans="1:3" x14ac:dyDescent="0.15">
      <c r="A5" s="5" t="s">
        <v>53</v>
      </c>
      <c r="B5" s="6">
        <v>2.5</v>
      </c>
      <c r="C5" s="7">
        <v>3.7982376177453665E-3</v>
      </c>
    </row>
    <row r="6" spans="1:3" x14ac:dyDescent="0.15">
      <c r="A6" s="5" t="s">
        <v>54</v>
      </c>
      <c r="B6" s="6">
        <v>2</v>
      </c>
      <c r="C6" s="7">
        <v>3.0385900941962934E-3</v>
      </c>
    </row>
    <row r="7" spans="1:3" x14ac:dyDescent="0.15">
      <c r="A7" s="5" t="s">
        <v>55</v>
      </c>
      <c r="B7" s="6">
        <v>90.8</v>
      </c>
      <c r="C7" s="7">
        <v>0.1379519902765117</v>
      </c>
    </row>
    <row r="8" spans="1:3" x14ac:dyDescent="0.15">
      <c r="A8" s="5" t="s">
        <v>56</v>
      </c>
      <c r="B8" s="6">
        <v>59.4</v>
      </c>
      <c r="C8" s="7">
        <v>9.0246125797629903E-2</v>
      </c>
    </row>
    <row r="9" spans="1:3" x14ac:dyDescent="0.15">
      <c r="A9" s="5" t="s">
        <v>57</v>
      </c>
      <c r="B9" s="6">
        <v>24.6</v>
      </c>
      <c r="C9" s="7">
        <v>3.7374658158614411E-2</v>
      </c>
    </row>
    <row r="10" spans="1:3" x14ac:dyDescent="0.15">
      <c r="A10" s="5" t="s">
        <v>47</v>
      </c>
      <c r="B10" s="6">
        <v>309.7</v>
      </c>
      <c r="C10" s="7">
        <v>0.47052567608629597</v>
      </c>
    </row>
    <row r="11" spans="1:3" x14ac:dyDescent="0.15">
      <c r="A11" s="5" t="s">
        <v>58</v>
      </c>
      <c r="B11" s="6">
        <v>58.5</v>
      </c>
      <c r="C11" s="7">
        <v>8.8878760255241579E-2</v>
      </c>
    </row>
    <row r="12" spans="1:3" x14ac:dyDescent="0.15">
      <c r="A12" s="5" t="s">
        <v>7</v>
      </c>
      <c r="B12" s="6">
        <v>64.400000000000006</v>
      </c>
      <c r="C12" s="7">
        <v>9.7842601033120646E-2</v>
      </c>
    </row>
    <row r="13" spans="1:3" x14ac:dyDescent="0.15">
      <c r="A13" s="5" t="s">
        <v>49</v>
      </c>
      <c r="B13" s="6">
        <v>13.3</v>
      </c>
      <c r="C13" s="7">
        <v>2.0206624126405351E-2</v>
      </c>
    </row>
    <row r="14" spans="1:3" x14ac:dyDescent="0.15">
      <c r="A14" s="5" t="s">
        <v>50</v>
      </c>
      <c r="B14" s="6">
        <v>12.9</v>
      </c>
      <c r="C14" s="7">
        <v>1.9598906107566091E-2</v>
      </c>
    </row>
    <row r="15" spans="1:3" x14ac:dyDescent="0.15">
      <c r="A15" s="5" t="s">
        <v>51</v>
      </c>
      <c r="B15" s="6">
        <v>3.1</v>
      </c>
      <c r="C15" s="7">
        <v>4.709814646004255E-3</v>
      </c>
    </row>
    <row r="16" spans="1:3" x14ac:dyDescent="0.15">
      <c r="A16" s="5" t="s">
        <v>59</v>
      </c>
      <c r="B16" s="6">
        <v>658.19999999999993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3.5" x14ac:dyDescent="0.15"/>
  <cols>
    <col min="1" max="1" width="9.75" bestFit="1" customWidth="1"/>
    <col min="2" max="2" width="10.875" bestFit="1" customWidth="1"/>
    <col min="3" max="3" width="9.75" bestFit="1" customWidth="1"/>
  </cols>
  <sheetData>
    <row r="1" spans="1:3" x14ac:dyDescent="0.15">
      <c r="A1" s="4" t="s">
        <v>61</v>
      </c>
      <c r="B1" t="s">
        <v>37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16.2</v>
      </c>
      <c r="C4" s="7">
        <v>1.6827672172016202E-2</v>
      </c>
    </row>
    <row r="5" spans="1:3" x14ac:dyDescent="0.15">
      <c r="A5" s="5" t="s">
        <v>53</v>
      </c>
      <c r="B5" s="6">
        <v>42.7</v>
      </c>
      <c r="C5" s="7">
        <v>4.4354419860808146E-2</v>
      </c>
    </row>
    <row r="6" spans="1:3" x14ac:dyDescent="0.15">
      <c r="A6" s="5" t="s">
        <v>54</v>
      </c>
      <c r="B6" s="6">
        <v>43.8</v>
      </c>
      <c r="C6" s="7">
        <v>4.5497039576191958E-2</v>
      </c>
    </row>
    <row r="7" spans="1:3" x14ac:dyDescent="0.15">
      <c r="A7" s="5" t="s">
        <v>55</v>
      </c>
      <c r="B7" s="6">
        <v>75.099999999999994</v>
      </c>
      <c r="C7" s="7">
        <v>7.8009764204840543E-2</v>
      </c>
    </row>
    <row r="8" spans="1:3" x14ac:dyDescent="0.15">
      <c r="A8" s="5" t="s">
        <v>56</v>
      </c>
      <c r="B8" s="6">
        <v>69.099999999999994</v>
      </c>
      <c r="C8" s="7">
        <v>7.1777293030019729E-2</v>
      </c>
    </row>
    <row r="9" spans="1:3" x14ac:dyDescent="0.15">
      <c r="A9" s="5" t="s">
        <v>57</v>
      </c>
      <c r="B9" s="6">
        <v>254.4</v>
      </c>
      <c r="C9" s="7">
        <v>0.26425677781240259</v>
      </c>
    </row>
    <row r="10" spans="1:3" x14ac:dyDescent="0.15">
      <c r="A10" s="5" t="s">
        <v>47</v>
      </c>
      <c r="B10" s="6">
        <v>55.1</v>
      </c>
      <c r="C10" s="7">
        <v>5.7234860288771165E-2</v>
      </c>
    </row>
    <row r="11" spans="1:3" x14ac:dyDescent="0.15">
      <c r="A11" s="5" t="s">
        <v>58</v>
      </c>
      <c r="B11" s="6">
        <v>108.4</v>
      </c>
      <c r="C11" s="7">
        <v>0.11259997922509608</v>
      </c>
    </row>
    <row r="12" spans="1:3" x14ac:dyDescent="0.15">
      <c r="A12" s="5" t="s">
        <v>7</v>
      </c>
      <c r="B12" s="6">
        <v>54.1</v>
      </c>
      <c r="C12" s="7">
        <v>5.6196115092967694E-2</v>
      </c>
    </row>
    <row r="13" spans="1:3" x14ac:dyDescent="0.15">
      <c r="A13" s="5" t="s">
        <v>49</v>
      </c>
      <c r="B13" s="6">
        <v>154.30000000000001</v>
      </c>
      <c r="C13" s="7">
        <v>0.16027838371247533</v>
      </c>
    </row>
    <row r="14" spans="1:3" x14ac:dyDescent="0.15">
      <c r="A14" s="5" t="s">
        <v>50</v>
      </c>
      <c r="B14" s="6">
        <v>59.8</v>
      </c>
      <c r="C14" s="7">
        <v>6.2116962709047464E-2</v>
      </c>
    </row>
    <row r="15" spans="1:3" x14ac:dyDescent="0.15">
      <c r="A15" s="5" t="s">
        <v>51</v>
      </c>
      <c r="B15" s="6">
        <v>29.7</v>
      </c>
      <c r="C15" s="7">
        <v>3.085073231536304E-2</v>
      </c>
    </row>
    <row r="16" spans="1:3" x14ac:dyDescent="0.15">
      <c r="A16" s="5" t="s">
        <v>59</v>
      </c>
      <c r="B16" s="6">
        <v>962.7</v>
      </c>
      <c r="C16" s="7">
        <v>1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8" sqref="B8"/>
    </sheetView>
  </sheetViews>
  <sheetFormatPr defaultRowHeight="13.5" x14ac:dyDescent="0.15"/>
  <cols>
    <col min="1" max="1" width="9.75" customWidth="1"/>
    <col min="2" max="2" width="10.875" bestFit="1" customWidth="1"/>
    <col min="3" max="3" width="9.75" customWidth="1"/>
    <col min="4" max="4" width="7.375" bestFit="1" customWidth="1"/>
    <col min="5" max="5" width="8.5" bestFit="1" customWidth="1"/>
    <col min="6" max="6" width="7.375" bestFit="1" customWidth="1"/>
    <col min="7" max="13" width="8.5" bestFit="1" customWidth="1"/>
    <col min="14" max="14" width="7.375" customWidth="1"/>
  </cols>
  <sheetData>
    <row r="1" spans="1:3" x14ac:dyDescent="0.15">
      <c r="A1" s="4" t="s">
        <v>61</v>
      </c>
      <c r="B1" t="s">
        <v>60</v>
      </c>
    </row>
    <row r="3" spans="1:3" x14ac:dyDescent="0.15">
      <c r="A3" s="4" t="s">
        <v>48</v>
      </c>
      <c r="B3" t="s">
        <v>62</v>
      </c>
      <c r="C3" t="s">
        <v>63</v>
      </c>
    </row>
    <row r="4" spans="1:3" x14ac:dyDescent="0.15">
      <c r="A4" s="5" t="s">
        <v>52</v>
      </c>
      <c r="B4" s="6">
        <v>1043.2999999999997</v>
      </c>
      <c r="C4" s="7">
        <v>3.6462447139412144E-2</v>
      </c>
    </row>
    <row r="5" spans="1:3" x14ac:dyDescent="0.15">
      <c r="A5" s="5" t="s">
        <v>53</v>
      </c>
      <c r="B5" s="6">
        <v>577.70000000000005</v>
      </c>
      <c r="C5" s="7">
        <v>2.0190123370495926E-2</v>
      </c>
    </row>
    <row r="6" spans="1:3" x14ac:dyDescent="0.15">
      <c r="A6" s="5" t="s">
        <v>54</v>
      </c>
      <c r="B6" s="6">
        <v>1104.8</v>
      </c>
      <c r="C6" s="7">
        <v>3.8611819802187808E-2</v>
      </c>
    </row>
    <row r="7" spans="1:3" x14ac:dyDescent="0.15">
      <c r="A7" s="5" t="s">
        <v>55</v>
      </c>
      <c r="B7" s="6">
        <v>1833.5</v>
      </c>
      <c r="C7" s="7">
        <v>6.4079264669905281E-2</v>
      </c>
    </row>
    <row r="8" spans="1:3" x14ac:dyDescent="0.15">
      <c r="A8" s="5" t="s">
        <v>56</v>
      </c>
      <c r="B8" s="6">
        <v>2825.7000000000003</v>
      </c>
      <c r="C8" s="7">
        <v>9.8755810296019292E-2</v>
      </c>
    </row>
    <row r="9" spans="1:3" x14ac:dyDescent="0.15">
      <c r="A9" s="5" t="s">
        <v>57</v>
      </c>
      <c r="B9" s="6">
        <v>5052.3999999999978</v>
      </c>
      <c r="C9" s="7">
        <v>0.17657708034809341</v>
      </c>
    </row>
    <row r="10" spans="1:3" x14ac:dyDescent="0.15">
      <c r="A10" s="5" t="s">
        <v>47</v>
      </c>
      <c r="B10" s="6">
        <v>4899.1999999999989</v>
      </c>
      <c r="C10" s="7">
        <v>0.17122287072309783</v>
      </c>
    </row>
    <row r="11" spans="1:3" x14ac:dyDescent="0.15">
      <c r="A11" s="5" t="s">
        <v>58</v>
      </c>
      <c r="B11" s="6">
        <v>4497.3000000000011</v>
      </c>
      <c r="C11" s="7">
        <v>0.15717680774473144</v>
      </c>
    </row>
    <row r="12" spans="1:3" x14ac:dyDescent="0.15">
      <c r="A12" s="5" t="s">
        <v>7</v>
      </c>
      <c r="B12" s="6">
        <v>2828.5</v>
      </c>
      <c r="C12" s="7">
        <v>9.8853667913186297E-2</v>
      </c>
    </row>
    <row r="13" spans="1:3" x14ac:dyDescent="0.15">
      <c r="A13" s="5" t="s">
        <v>49</v>
      </c>
      <c r="B13" s="6">
        <v>2320.5</v>
      </c>
      <c r="C13" s="7">
        <v>8.1099500227169455E-2</v>
      </c>
    </row>
    <row r="14" spans="1:3" x14ac:dyDescent="0.15">
      <c r="A14" s="5" t="s">
        <v>50</v>
      </c>
      <c r="B14" s="6">
        <v>1308.3999999999999</v>
      </c>
      <c r="C14" s="7">
        <v>4.572746653618983E-2</v>
      </c>
    </row>
    <row r="15" spans="1:3" x14ac:dyDescent="0.15">
      <c r="A15" s="5" t="s">
        <v>51</v>
      </c>
      <c r="B15" s="6">
        <v>321.70000000000005</v>
      </c>
      <c r="C15" s="7">
        <v>1.1243141229511061E-2</v>
      </c>
    </row>
    <row r="16" spans="1:3" x14ac:dyDescent="0.15">
      <c r="A16" s="5" t="s">
        <v>59</v>
      </c>
      <c r="B16" s="6">
        <v>28613.000000000004</v>
      </c>
      <c r="C16" s="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主要城市降水量</vt:lpstr>
      <vt:lpstr>北京市</vt:lpstr>
      <vt:lpstr>成都市</vt:lpstr>
      <vt:lpstr>福州市</vt:lpstr>
      <vt:lpstr>广州市</vt:lpstr>
      <vt:lpstr>贵阳市</vt:lpstr>
      <vt:lpstr>哈尔滨市</vt:lpstr>
      <vt:lpstr>海口市</vt:lpstr>
      <vt:lpstr>杭州市</vt:lpstr>
      <vt:lpstr>合肥市</vt:lpstr>
      <vt:lpstr>呼和浩特市</vt:lpstr>
      <vt:lpstr>济南市</vt:lpstr>
      <vt:lpstr>昆明市</vt:lpstr>
      <vt:lpstr>拉萨市</vt:lpstr>
      <vt:lpstr>兰州市</vt:lpstr>
      <vt:lpstr>南昌市</vt:lpstr>
      <vt:lpstr>南京市</vt:lpstr>
      <vt:lpstr>南宁市</vt:lpstr>
      <vt:lpstr>上海市</vt:lpstr>
      <vt:lpstr>沈阳市</vt:lpstr>
      <vt:lpstr>石家庄市</vt:lpstr>
      <vt:lpstr>太原市</vt:lpstr>
      <vt:lpstr>天津市</vt:lpstr>
      <vt:lpstr>乌鲁木齐市</vt:lpstr>
      <vt:lpstr>武汉市</vt:lpstr>
      <vt:lpstr>西安市</vt:lpstr>
      <vt:lpstr>西宁市</vt:lpstr>
      <vt:lpstr>银川市</vt:lpstr>
      <vt:lpstr>长春市</vt:lpstr>
      <vt:lpstr>长沙市</vt:lpstr>
      <vt:lpstr>郑州市</vt:lpstr>
      <vt:lpstr>重庆市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赫亮</dc:creator>
  <cp:lastModifiedBy>Microsoft</cp:lastModifiedBy>
  <dcterms:created xsi:type="dcterms:W3CDTF">2016-05-08T07:52:20Z</dcterms:created>
  <dcterms:modified xsi:type="dcterms:W3CDTF">2021-04-10T07:31:33Z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索引">
    <vt:lpwstr>水资源</vt:lpwstr>
  </property>
</Properties>
</file>