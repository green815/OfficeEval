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120" yWindow="105" windowWidth="19395" windowHeight="7125"/>
  </bookViews>
  <sheets>
    <sheet name="透视分析" sheetId="4" r:id="rId1"/>
    <sheet name="年度销售汇总" sheetId="1" r:id="rId2"/>
    <sheet name="品名" sheetId="2" r:id="rId3"/>
    <sheet name="Sheet2" sheetId="3" r:id="rId4"/>
  </sheets>
  <externalReferences>
    <externalReference r:id="rId5"/>
  </externalReferences>
  <definedNames>
    <definedName name="_xlnm._FilterDatabase" localSheetId="1" hidden="1">年度销售汇总!$E$3:$E$374</definedName>
    <definedName name="品名表" localSheetId="2">品名!$A$1:$B$151</definedName>
  </definedNames>
  <calcPr calcId="144525"/>
  <pivotCaches>
    <pivotCache cacheId="0" r:id="rId6"/>
  </pivotCaches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J5" i="1"/>
  <c r="K5" i="1" s="1"/>
  <c r="J6" i="1"/>
  <c r="K6" i="1"/>
  <c r="J7" i="1"/>
  <c r="K7" i="1" s="1"/>
  <c r="J8" i="1"/>
  <c r="K8" i="1" s="1"/>
  <c r="J9" i="1"/>
  <c r="K9" i="1" s="1"/>
  <c r="J10" i="1"/>
  <c r="K10" i="1"/>
  <c r="J11" i="1"/>
  <c r="K11" i="1"/>
  <c r="J12" i="1"/>
  <c r="K12" i="1" s="1"/>
  <c r="J13" i="1"/>
  <c r="K13" i="1" s="1"/>
  <c r="J14" i="1"/>
  <c r="K14" i="1"/>
  <c r="J15" i="1"/>
  <c r="K15" i="1"/>
  <c r="J16" i="1"/>
  <c r="K16" i="1" s="1"/>
  <c r="J17" i="1"/>
  <c r="K17" i="1" s="1"/>
  <c r="J18" i="1"/>
  <c r="K18" i="1"/>
  <c r="J19" i="1"/>
  <c r="K19" i="1"/>
  <c r="J20" i="1"/>
  <c r="K20" i="1"/>
  <c r="J21" i="1"/>
  <c r="K21" i="1" s="1"/>
  <c r="J22" i="1"/>
  <c r="K22" i="1"/>
  <c r="J23" i="1"/>
  <c r="K23" i="1"/>
  <c r="J24" i="1"/>
  <c r="K24" i="1"/>
  <c r="J25" i="1"/>
  <c r="K25" i="1" s="1"/>
  <c r="J26" i="1"/>
  <c r="K26" i="1"/>
  <c r="J27" i="1"/>
  <c r="K27" i="1"/>
  <c r="J28" i="1"/>
  <c r="K28" i="1"/>
  <c r="J29" i="1"/>
  <c r="K29" i="1" s="1"/>
  <c r="J30" i="1"/>
  <c r="K30" i="1"/>
  <c r="J31" i="1"/>
  <c r="K31" i="1"/>
  <c r="J32" i="1"/>
  <c r="K32" i="1"/>
  <c r="J33" i="1"/>
  <c r="K33" i="1" s="1"/>
  <c r="J34" i="1"/>
  <c r="K34" i="1"/>
  <c r="J35" i="1"/>
  <c r="K35" i="1" s="1"/>
  <c r="J36" i="1"/>
  <c r="K36" i="1"/>
  <c r="J37" i="1"/>
  <c r="K37" i="1" s="1"/>
  <c r="J38" i="1"/>
  <c r="K38" i="1"/>
  <c r="J39" i="1"/>
  <c r="K39" i="1" s="1"/>
  <c r="J40" i="1"/>
  <c r="K40" i="1"/>
  <c r="J41" i="1"/>
  <c r="K41" i="1" s="1"/>
  <c r="J42" i="1"/>
  <c r="K42" i="1"/>
  <c r="J43" i="1"/>
  <c r="K43" i="1"/>
  <c r="J44" i="1"/>
  <c r="K44" i="1"/>
  <c r="J45" i="1"/>
  <c r="K45" i="1" s="1"/>
  <c r="J46" i="1"/>
  <c r="K46" i="1"/>
  <c r="J47" i="1"/>
  <c r="K47" i="1" s="1"/>
  <c r="J48" i="1"/>
  <c r="K48" i="1"/>
  <c r="J49" i="1"/>
  <c r="K49" i="1" s="1"/>
  <c r="J50" i="1"/>
  <c r="K50" i="1"/>
  <c r="J51" i="1"/>
  <c r="K51" i="1" s="1"/>
  <c r="J52" i="1"/>
  <c r="K52" i="1"/>
  <c r="J53" i="1"/>
  <c r="K53" i="1" s="1"/>
  <c r="J54" i="1"/>
  <c r="K54" i="1"/>
  <c r="J55" i="1"/>
  <c r="K55" i="1"/>
  <c r="J56" i="1"/>
  <c r="K56" i="1"/>
  <c r="J57" i="1"/>
  <c r="K57" i="1" s="1"/>
  <c r="J58" i="1"/>
  <c r="K58" i="1"/>
  <c r="J59" i="1"/>
  <c r="K59" i="1" s="1"/>
  <c r="J60" i="1"/>
  <c r="K60" i="1"/>
  <c r="J61" i="1"/>
  <c r="K61" i="1" s="1"/>
  <c r="J62" i="1"/>
  <c r="K62" i="1"/>
  <c r="J63" i="1"/>
  <c r="K63" i="1" s="1"/>
  <c r="J64" i="1"/>
  <c r="K64" i="1"/>
  <c r="J65" i="1"/>
  <c r="K65" i="1" s="1"/>
  <c r="J66" i="1"/>
  <c r="K66" i="1"/>
  <c r="J67" i="1"/>
  <c r="K67" i="1"/>
  <c r="J68" i="1"/>
  <c r="K68" i="1"/>
  <c r="J69" i="1"/>
  <c r="K69" i="1" s="1"/>
  <c r="J70" i="1"/>
  <c r="K70" i="1"/>
  <c r="J71" i="1"/>
  <c r="K71" i="1" s="1"/>
  <c r="J72" i="1"/>
  <c r="K72" i="1"/>
  <c r="J73" i="1"/>
  <c r="K73" i="1" s="1"/>
  <c r="J74" i="1"/>
  <c r="K74" i="1"/>
  <c r="J75" i="1"/>
  <c r="K75" i="1"/>
  <c r="J76" i="1"/>
  <c r="K76" i="1"/>
  <c r="J77" i="1"/>
  <c r="K77" i="1" s="1"/>
  <c r="J78" i="1"/>
  <c r="K78" i="1" s="1"/>
  <c r="J79" i="1"/>
  <c r="K79" i="1"/>
  <c r="J80" i="1"/>
  <c r="K80" i="1"/>
  <c r="J81" i="1"/>
  <c r="K81" i="1" s="1"/>
  <c r="J82" i="1"/>
  <c r="K82" i="1" s="1"/>
  <c r="J83" i="1"/>
  <c r="K83" i="1"/>
  <c r="J84" i="1"/>
  <c r="K84" i="1"/>
  <c r="J85" i="1"/>
  <c r="K85" i="1" s="1"/>
  <c r="J86" i="1"/>
  <c r="K86" i="1" s="1"/>
  <c r="J87" i="1"/>
  <c r="K87" i="1" s="1"/>
  <c r="J88" i="1"/>
  <c r="K88" i="1"/>
  <c r="J89" i="1"/>
  <c r="K89" i="1" s="1"/>
  <c r="J90" i="1"/>
  <c r="K90" i="1" s="1"/>
  <c r="J91" i="1"/>
  <c r="K91" i="1" s="1"/>
  <c r="J92" i="1"/>
  <c r="K92" i="1"/>
  <c r="J93" i="1"/>
  <c r="K93" i="1" s="1"/>
  <c r="J94" i="1"/>
  <c r="K94" i="1" s="1"/>
  <c r="J95" i="1"/>
  <c r="K95" i="1" s="1"/>
  <c r="J96" i="1"/>
  <c r="K96" i="1"/>
  <c r="J97" i="1"/>
  <c r="K97" i="1" s="1"/>
  <c r="J98" i="1"/>
  <c r="K98" i="1" s="1"/>
  <c r="J99" i="1"/>
  <c r="K99" i="1"/>
  <c r="J100" i="1"/>
  <c r="K100" i="1"/>
  <c r="J101" i="1"/>
  <c r="K101" i="1" s="1"/>
  <c r="J102" i="1"/>
  <c r="K102" i="1" s="1"/>
  <c r="J103" i="1"/>
  <c r="K103" i="1"/>
  <c r="J104" i="1"/>
  <c r="K104" i="1"/>
  <c r="J105" i="1"/>
  <c r="K105" i="1" s="1"/>
  <c r="J106" i="1"/>
  <c r="K106" i="1" s="1"/>
  <c r="J107" i="1"/>
  <c r="K107" i="1"/>
  <c r="J108" i="1"/>
  <c r="K108" i="1"/>
  <c r="J109" i="1"/>
  <c r="K109" i="1" s="1"/>
  <c r="J110" i="1"/>
  <c r="K110" i="1" s="1"/>
  <c r="J111" i="1"/>
  <c r="K111" i="1"/>
  <c r="J112" i="1"/>
  <c r="K112" i="1"/>
  <c r="J113" i="1"/>
  <c r="K113" i="1" s="1"/>
  <c r="J114" i="1"/>
  <c r="K114" i="1" s="1"/>
  <c r="J115" i="1"/>
  <c r="K115" i="1" s="1"/>
  <c r="J116" i="1"/>
  <c r="K116" i="1"/>
  <c r="J117" i="1"/>
  <c r="K117" i="1" s="1"/>
  <c r="J118" i="1"/>
  <c r="K118" i="1" s="1"/>
  <c r="J119" i="1"/>
  <c r="K119" i="1" s="1"/>
  <c r="J120" i="1"/>
  <c r="K120" i="1"/>
  <c r="J121" i="1"/>
  <c r="K121" i="1" s="1"/>
  <c r="J122" i="1"/>
  <c r="K122" i="1" s="1"/>
  <c r="J123" i="1"/>
  <c r="K123" i="1"/>
  <c r="J124" i="1"/>
  <c r="K124" i="1"/>
  <c r="J125" i="1"/>
  <c r="K125" i="1" s="1"/>
  <c r="J126" i="1"/>
  <c r="K126" i="1" s="1"/>
  <c r="J127" i="1"/>
  <c r="K127" i="1"/>
  <c r="J128" i="1"/>
  <c r="K128" i="1"/>
  <c r="J129" i="1"/>
  <c r="K129" i="1" s="1"/>
  <c r="J130" i="1"/>
  <c r="K130" i="1" s="1"/>
  <c r="J131" i="1"/>
  <c r="K131" i="1" s="1"/>
  <c r="J132" i="1"/>
  <c r="K132" i="1"/>
  <c r="J133" i="1"/>
  <c r="K133" i="1" s="1"/>
  <c r="J134" i="1"/>
  <c r="K134" i="1" s="1"/>
  <c r="J135" i="1"/>
  <c r="K135" i="1" s="1"/>
  <c r="J136" i="1"/>
  <c r="K136" i="1"/>
  <c r="J137" i="1"/>
  <c r="K137" i="1" s="1"/>
  <c r="J138" i="1"/>
  <c r="K138" i="1" s="1"/>
  <c r="J139" i="1"/>
  <c r="K139" i="1" s="1"/>
  <c r="J140" i="1"/>
  <c r="K140" i="1"/>
  <c r="J141" i="1"/>
  <c r="K141" i="1" s="1"/>
  <c r="J142" i="1"/>
  <c r="K142" i="1" s="1"/>
  <c r="J143" i="1"/>
  <c r="K143" i="1"/>
  <c r="J144" i="1"/>
  <c r="K144" i="1"/>
  <c r="J145" i="1"/>
  <c r="K145" i="1" s="1"/>
  <c r="J146" i="1"/>
  <c r="K146" i="1" s="1"/>
  <c r="J147" i="1"/>
  <c r="K147" i="1"/>
  <c r="J148" i="1"/>
  <c r="K148" i="1"/>
  <c r="J149" i="1"/>
  <c r="K149" i="1" s="1"/>
  <c r="J150" i="1"/>
  <c r="K150" i="1" s="1"/>
  <c r="J151" i="1"/>
  <c r="K151" i="1"/>
  <c r="J152" i="1"/>
  <c r="K152" i="1"/>
  <c r="J153" i="1"/>
  <c r="K153" i="1" s="1"/>
  <c r="J154" i="1"/>
  <c r="K154" i="1" s="1"/>
  <c r="J155" i="1"/>
  <c r="K155" i="1"/>
  <c r="J156" i="1"/>
  <c r="K156" i="1"/>
  <c r="J157" i="1"/>
  <c r="K157" i="1" s="1"/>
  <c r="J158" i="1"/>
  <c r="K158" i="1" s="1"/>
  <c r="J159" i="1"/>
  <c r="K159" i="1"/>
  <c r="J160" i="1"/>
  <c r="K160" i="1"/>
  <c r="J161" i="1"/>
  <c r="K161" i="1" s="1"/>
  <c r="J162" i="1"/>
  <c r="K162" i="1" s="1"/>
  <c r="J163" i="1"/>
  <c r="K163" i="1"/>
  <c r="J164" i="1"/>
  <c r="K164" i="1"/>
  <c r="J165" i="1"/>
  <c r="K165" i="1" s="1"/>
  <c r="J166" i="1"/>
  <c r="K166" i="1" s="1"/>
  <c r="J167" i="1"/>
  <c r="K167" i="1"/>
  <c r="J168" i="1"/>
  <c r="K168" i="1"/>
  <c r="J169" i="1"/>
  <c r="K169" i="1" s="1"/>
  <c r="J170" i="1"/>
  <c r="K170" i="1" s="1"/>
  <c r="J171" i="1"/>
  <c r="K171" i="1"/>
  <c r="J172" i="1"/>
  <c r="K172" i="1"/>
  <c r="J173" i="1"/>
  <c r="K173" i="1" s="1"/>
  <c r="J174" i="1"/>
  <c r="K174" i="1" s="1"/>
  <c r="J175" i="1"/>
  <c r="K175" i="1"/>
  <c r="J176" i="1"/>
  <c r="K176" i="1"/>
  <c r="J177" i="1"/>
  <c r="K177" i="1" s="1"/>
  <c r="J178" i="1"/>
  <c r="K178" i="1" s="1"/>
  <c r="J179" i="1"/>
  <c r="K179" i="1"/>
  <c r="J180" i="1"/>
  <c r="K180" i="1"/>
  <c r="J181" i="1"/>
  <c r="K181" i="1" s="1"/>
  <c r="J182" i="1"/>
  <c r="K182" i="1" s="1"/>
  <c r="J183" i="1"/>
  <c r="K183" i="1"/>
  <c r="J184" i="1"/>
  <c r="K184" i="1"/>
  <c r="J185" i="1"/>
  <c r="K185" i="1" s="1"/>
  <c r="J186" i="1"/>
  <c r="K186" i="1" s="1"/>
  <c r="J187" i="1"/>
  <c r="K187" i="1"/>
  <c r="J188" i="1"/>
  <c r="K188" i="1"/>
  <c r="J189" i="1"/>
  <c r="K189" i="1" s="1"/>
  <c r="J190" i="1"/>
  <c r="K190" i="1" s="1"/>
  <c r="J191" i="1"/>
  <c r="K191" i="1"/>
  <c r="J192" i="1"/>
  <c r="K192" i="1"/>
  <c r="J193" i="1"/>
  <c r="K193" i="1" s="1"/>
  <c r="J194" i="1"/>
  <c r="K194" i="1" s="1"/>
  <c r="J195" i="1"/>
  <c r="K195" i="1" s="1"/>
  <c r="J196" i="1"/>
  <c r="K196" i="1"/>
  <c r="J197" i="1"/>
  <c r="K197" i="1" s="1"/>
  <c r="J198" i="1"/>
  <c r="K198" i="1" s="1"/>
  <c r="J199" i="1"/>
  <c r="K199" i="1" s="1"/>
  <c r="J200" i="1"/>
  <c r="K200" i="1"/>
  <c r="J201" i="1"/>
  <c r="K201" i="1" s="1"/>
  <c r="J202" i="1"/>
  <c r="K202" i="1" s="1"/>
  <c r="J203" i="1"/>
  <c r="K203" i="1"/>
  <c r="J204" i="1"/>
  <c r="K204" i="1"/>
  <c r="J205" i="1"/>
  <c r="K205" i="1" s="1"/>
  <c r="J206" i="1"/>
  <c r="K206" i="1" s="1"/>
  <c r="J207" i="1"/>
  <c r="K207" i="1"/>
  <c r="J208" i="1"/>
  <c r="K208" i="1"/>
  <c r="J209" i="1"/>
  <c r="K209" i="1" s="1"/>
  <c r="J210" i="1"/>
  <c r="K210" i="1" s="1"/>
  <c r="J211" i="1"/>
  <c r="K211" i="1"/>
  <c r="J212" i="1"/>
  <c r="K212" i="1"/>
  <c r="J213" i="1"/>
  <c r="K213" i="1" s="1"/>
  <c r="J214" i="1"/>
  <c r="K214" i="1" s="1"/>
  <c r="J215" i="1"/>
  <c r="K215" i="1"/>
  <c r="J216" i="1"/>
  <c r="K216" i="1"/>
  <c r="J217" i="1"/>
  <c r="K217" i="1" s="1"/>
  <c r="J218" i="1"/>
  <c r="K218" i="1" s="1"/>
  <c r="J219" i="1"/>
  <c r="K219" i="1"/>
  <c r="J220" i="1"/>
  <c r="K220" i="1"/>
  <c r="J221" i="1"/>
  <c r="K221" i="1" s="1"/>
  <c r="J222" i="1"/>
  <c r="K222" i="1" s="1"/>
  <c r="J223" i="1"/>
  <c r="K223" i="1"/>
  <c r="J224" i="1"/>
  <c r="K224" i="1"/>
  <c r="J225" i="1"/>
  <c r="K225" i="1" s="1"/>
  <c r="J226" i="1"/>
  <c r="K226" i="1" s="1"/>
  <c r="J227" i="1"/>
  <c r="K227" i="1"/>
  <c r="J228" i="1"/>
  <c r="K228" i="1"/>
  <c r="J229" i="1"/>
  <c r="K229" i="1" s="1"/>
  <c r="J230" i="1"/>
  <c r="K230" i="1" s="1"/>
  <c r="J231" i="1"/>
  <c r="K231" i="1"/>
  <c r="J232" i="1"/>
  <c r="K232" i="1"/>
  <c r="J233" i="1"/>
  <c r="K233" i="1" s="1"/>
  <c r="J234" i="1"/>
  <c r="K234" i="1" s="1"/>
  <c r="J235" i="1"/>
  <c r="K235" i="1"/>
  <c r="J236" i="1"/>
  <c r="K236" i="1"/>
  <c r="J237" i="1"/>
  <c r="K237" i="1" s="1"/>
  <c r="J238" i="1"/>
  <c r="K238" i="1" s="1"/>
  <c r="J239" i="1"/>
  <c r="K239" i="1"/>
  <c r="J240" i="1"/>
  <c r="K240" i="1"/>
  <c r="J241" i="1"/>
  <c r="K241" i="1" s="1"/>
  <c r="J242" i="1"/>
  <c r="K242" i="1" s="1"/>
  <c r="J243" i="1"/>
  <c r="K243" i="1"/>
  <c r="J244" i="1"/>
  <c r="K244" i="1"/>
  <c r="J245" i="1"/>
  <c r="K245" i="1" s="1"/>
  <c r="J246" i="1"/>
  <c r="K246" i="1" s="1"/>
  <c r="J247" i="1"/>
  <c r="K247" i="1"/>
  <c r="J248" i="1"/>
  <c r="K248" i="1"/>
  <c r="J249" i="1"/>
  <c r="K249" i="1" s="1"/>
  <c r="J250" i="1"/>
  <c r="K250" i="1" s="1"/>
  <c r="J251" i="1"/>
  <c r="K251" i="1"/>
  <c r="J252" i="1"/>
  <c r="K252" i="1"/>
  <c r="J253" i="1"/>
  <c r="K253" i="1" s="1"/>
  <c r="J254" i="1"/>
  <c r="K254" i="1" s="1"/>
  <c r="J255" i="1"/>
  <c r="K255" i="1"/>
  <c r="J256" i="1"/>
  <c r="K256" i="1"/>
  <c r="J257" i="1"/>
  <c r="K257" i="1" s="1"/>
  <c r="J258" i="1"/>
  <c r="K258" i="1" s="1"/>
  <c r="J259" i="1"/>
  <c r="K259" i="1"/>
  <c r="J260" i="1"/>
  <c r="K260" i="1"/>
  <c r="J261" i="1"/>
  <c r="K261" i="1" s="1"/>
  <c r="J262" i="1"/>
  <c r="K262" i="1" s="1"/>
  <c r="J263" i="1"/>
  <c r="K263" i="1"/>
  <c r="J264" i="1"/>
  <c r="K264" i="1"/>
  <c r="J265" i="1"/>
  <c r="K265" i="1" s="1"/>
  <c r="J266" i="1"/>
  <c r="K266" i="1" s="1"/>
  <c r="J267" i="1"/>
  <c r="K267" i="1"/>
  <c r="J268" i="1"/>
  <c r="K268" i="1"/>
  <c r="J269" i="1"/>
  <c r="K269" i="1" s="1"/>
  <c r="J270" i="1"/>
  <c r="K270" i="1" s="1"/>
  <c r="J271" i="1"/>
  <c r="K271" i="1"/>
  <c r="J272" i="1"/>
  <c r="K272" i="1"/>
  <c r="J273" i="1"/>
  <c r="K273" i="1" s="1"/>
  <c r="J274" i="1"/>
  <c r="K274" i="1" s="1"/>
  <c r="J275" i="1"/>
  <c r="K275" i="1"/>
  <c r="J276" i="1"/>
  <c r="K276" i="1"/>
  <c r="J277" i="1"/>
  <c r="K277" i="1" s="1"/>
  <c r="J278" i="1"/>
  <c r="K278" i="1" s="1"/>
  <c r="J279" i="1"/>
  <c r="K279" i="1"/>
  <c r="J280" i="1"/>
  <c r="K280" i="1"/>
  <c r="J281" i="1"/>
  <c r="K281" i="1" s="1"/>
  <c r="J282" i="1"/>
  <c r="K282" i="1" s="1"/>
  <c r="J283" i="1"/>
  <c r="K283" i="1"/>
  <c r="J284" i="1"/>
  <c r="K284" i="1"/>
  <c r="J285" i="1"/>
  <c r="K285" i="1" s="1"/>
  <c r="J286" i="1"/>
  <c r="K286" i="1" s="1"/>
  <c r="J287" i="1"/>
  <c r="K287" i="1"/>
  <c r="J288" i="1"/>
  <c r="K288" i="1"/>
  <c r="J289" i="1"/>
  <c r="K289" i="1" s="1"/>
  <c r="J290" i="1"/>
  <c r="K290" i="1" s="1"/>
  <c r="J291" i="1"/>
  <c r="K291" i="1"/>
  <c r="J292" i="1"/>
  <c r="K292" i="1"/>
  <c r="J293" i="1"/>
  <c r="K293" i="1" s="1"/>
  <c r="J294" i="1"/>
  <c r="K294" i="1" s="1"/>
  <c r="J295" i="1"/>
  <c r="K295" i="1"/>
  <c r="J296" i="1"/>
  <c r="K296" i="1"/>
  <c r="J297" i="1"/>
  <c r="K297" i="1" s="1"/>
  <c r="J298" i="1"/>
  <c r="K298" i="1" s="1"/>
  <c r="J299" i="1"/>
  <c r="K299" i="1"/>
  <c r="J300" i="1"/>
  <c r="K300" i="1"/>
  <c r="J301" i="1"/>
  <c r="K301" i="1" s="1"/>
  <c r="J302" i="1"/>
  <c r="K302" i="1" s="1"/>
  <c r="J303" i="1"/>
  <c r="K303" i="1"/>
  <c r="J304" i="1"/>
  <c r="K304" i="1"/>
  <c r="J305" i="1"/>
  <c r="K305" i="1" s="1"/>
  <c r="J306" i="1"/>
  <c r="K306" i="1" s="1"/>
  <c r="J307" i="1"/>
  <c r="K307" i="1"/>
  <c r="J308" i="1"/>
  <c r="K308" i="1"/>
  <c r="J309" i="1"/>
  <c r="K309" i="1" s="1"/>
  <c r="J310" i="1"/>
  <c r="K310" i="1" s="1"/>
  <c r="J311" i="1"/>
  <c r="K311" i="1"/>
  <c r="J312" i="1"/>
  <c r="K312" i="1"/>
  <c r="J313" i="1"/>
  <c r="K313" i="1" s="1"/>
  <c r="J314" i="1"/>
  <c r="K314" i="1" s="1"/>
  <c r="J315" i="1"/>
  <c r="K315" i="1"/>
  <c r="J316" i="1"/>
  <c r="K316" i="1"/>
  <c r="J317" i="1"/>
  <c r="K317" i="1" s="1"/>
  <c r="J318" i="1"/>
  <c r="K318" i="1"/>
  <c r="J319" i="1"/>
  <c r="K319" i="1" s="1"/>
  <c r="J320" i="1"/>
  <c r="K320" i="1"/>
  <c r="J321" i="1"/>
  <c r="K321" i="1" s="1"/>
  <c r="J322" i="1"/>
  <c r="K322" i="1" s="1"/>
  <c r="J323" i="1"/>
  <c r="K323" i="1" s="1"/>
  <c r="J324" i="1"/>
  <c r="K324" i="1"/>
  <c r="J325" i="1"/>
  <c r="K325" i="1" s="1"/>
  <c r="J326" i="1"/>
  <c r="K326" i="1" s="1"/>
  <c r="J327" i="1"/>
  <c r="K327" i="1" s="1"/>
  <c r="J328" i="1"/>
  <c r="K328" i="1"/>
  <c r="J329" i="1"/>
  <c r="K329" i="1" s="1"/>
  <c r="J330" i="1"/>
  <c r="K330" i="1"/>
  <c r="J331" i="1"/>
  <c r="K331" i="1"/>
  <c r="J332" i="1"/>
  <c r="K332" i="1"/>
  <c r="J333" i="1"/>
  <c r="K333" i="1" s="1"/>
  <c r="J334" i="1"/>
  <c r="K334" i="1"/>
  <c r="J335" i="1"/>
  <c r="K335" i="1" s="1"/>
  <c r="J336" i="1"/>
  <c r="K336" i="1"/>
  <c r="J337" i="1"/>
  <c r="K337" i="1" s="1"/>
  <c r="J338" i="1"/>
  <c r="K338" i="1" s="1"/>
  <c r="J339" i="1"/>
  <c r="K339" i="1"/>
  <c r="J340" i="1"/>
  <c r="K340" i="1"/>
  <c r="J341" i="1"/>
  <c r="K341" i="1" s="1"/>
  <c r="J342" i="1"/>
  <c r="K342" i="1"/>
  <c r="J343" i="1"/>
  <c r="K343" i="1" s="1"/>
  <c r="J344" i="1"/>
  <c r="K344" i="1" s="1"/>
  <c r="J345" i="1"/>
  <c r="K345" i="1" s="1"/>
  <c r="J346" i="1"/>
  <c r="K346" i="1"/>
  <c r="J347" i="1"/>
  <c r="K347" i="1" s="1"/>
  <c r="J348" i="1"/>
  <c r="K348" i="1"/>
  <c r="J349" i="1"/>
  <c r="K349" i="1" s="1"/>
  <c r="J350" i="1"/>
  <c r="K350" i="1"/>
  <c r="J351" i="1"/>
  <c r="K351" i="1" s="1"/>
  <c r="J352" i="1"/>
  <c r="K352" i="1"/>
  <c r="J353" i="1"/>
  <c r="K353" i="1" s="1"/>
  <c r="J354" i="1"/>
  <c r="K354" i="1"/>
  <c r="J355" i="1"/>
  <c r="K355" i="1" s="1"/>
  <c r="J356" i="1"/>
  <c r="K356" i="1"/>
  <c r="J357" i="1"/>
  <c r="K357" i="1" s="1"/>
  <c r="J358" i="1"/>
  <c r="K358" i="1"/>
  <c r="J359" i="1"/>
  <c r="K359" i="1" s="1"/>
  <c r="J360" i="1"/>
  <c r="K360" i="1"/>
  <c r="J361" i="1"/>
  <c r="K361" i="1" s="1"/>
  <c r="J362" i="1"/>
  <c r="K362" i="1"/>
  <c r="J363" i="1"/>
  <c r="K363" i="1" s="1"/>
  <c r="J364" i="1"/>
  <c r="K364" i="1"/>
  <c r="J365" i="1"/>
  <c r="K365" i="1" s="1"/>
  <c r="J366" i="1"/>
  <c r="K366" i="1"/>
  <c r="J367" i="1"/>
  <c r="K367" i="1" s="1"/>
  <c r="J368" i="1"/>
  <c r="K368" i="1"/>
  <c r="J369" i="1"/>
  <c r="K369" i="1" s="1"/>
  <c r="J370" i="1"/>
  <c r="K370" i="1"/>
  <c r="J371" i="1"/>
  <c r="K371" i="1" s="1"/>
  <c r="J372" i="1"/>
  <c r="K372" i="1"/>
  <c r="J373" i="1"/>
  <c r="K373" i="1" s="1"/>
  <c r="J374" i="1"/>
  <c r="K374" i="1"/>
  <c r="J4" i="1"/>
  <c r="K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D4" i="1"/>
  <c r="C4" i="1"/>
</calcChain>
</file>

<file path=xl/connections.xml><?xml version="1.0" encoding="utf-8"?>
<connections xmlns="http://schemas.openxmlformats.org/spreadsheetml/2006/main">
  <connection id="1" name="品名表" type="6" refreshedVersion="4" deleted="1" background="1" saveData="1">
    <textPr sourceFile="C:\OfficeEval\redacted\\品名表.txt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<sst xmlns="http://schemas.openxmlformats.org/spreadsheetml/2006/main" count="1635" uniqueCount="410">
  <si>
    <t>进货成本</t>
    <phoneticPr fontId="1" type="noConversion"/>
  </si>
  <si>
    <t>销售额</t>
    <phoneticPr fontId="1" type="noConversion"/>
  </si>
  <si>
    <t>销量</t>
    <phoneticPr fontId="1" type="noConversion"/>
  </si>
  <si>
    <t>销售日期</t>
    <phoneticPr fontId="1" type="noConversion"/>
  </si>
  <si>
    <t>商品代码</t>
    <phoneticPr fontId="1" type="noConversion"/>
  </si>
  <si>
    <t>TV001</t>
    <phoneticPr fontId="1" type="noConversion"/>
  </si>
  <si>
    <t>TV002</t>
  </si>
  <si>
    <t>TV003</t>
  </si>
  <si>
    <t>TV004</t>
  </si>
  <si>
    <t>TV005</t>
  </si>
  <si>
    <t>TV006</t>
  </si>
  <si>
    <t>TV007</t>
  </si>
  <si>
    <t>TV008</t>
  </si>
  <si>
    <t>TV009</t>
  </si>
  <si>
    <t>TV010</t>
  </si>
  <si>
    <t>TV011</t>
  </si>
  <si>
    <t>TV012</t>
  </si>
  <si>
    <t>TV013</t>
  </si>
  <si>
    <t>TV014</t>
  </si>
  <si>
    <t>TV015</t>
  </si>
  <si>
    <t>TV016</t>
  </si>
  <si>
    <t>TV017</t>
  </si>
  <si>
    <t>TV018</t>
  </si>
  <si>
    <t>TV019</t>
  </si>
  <si>
    <t>TV020</t>
  </si>
  <si>
    <t>AC001</t>
    <phoneticPr fontId="1" type="noConversion"/>
  </si>
  <si>
    <t>AC002</t>
  </si>
  <si>
    <t>AC003</t>
  </si>
  <si>
    <t>AC004</t>
  </si>
  <si>
    <t>AC005</t>
  </si>
  <si>
    <t>AC006</t>
  </si>
  <si>
    <t>AC007</t>
  </si>
  <si>
    <t>AC008</t>
  </si>
  <si>
    <t>AC009</t>
  </si>
  <si>
    <t>AC010</t>
  </si>
  <si>
    <t>AC011</t>
  </si>
  <si>
    <t>AC012</t>
  </si>
  <si>
    <t>AC013</t>
  </si>
  <si>
    <t>AC014</t>
  </si>
  <si>
    <t>AC015</t>
  </si>
  <si>
    <t>AC016</t>
  </si>
  <si>
    <t>AC017</t>
  </si>
  <si>
    <t>AC018</t>
  </si>
  <si>
    <t>AC019</t>
  </si>
  <si>
    <t>AC020</t>
  </si>
  <si>
    <t>WH001</t>
    <phoneticPr fontId="1" type="noConversion"/>
  </si>
  <si>
    <t>WH002</t>
  </si>
  <si>
    <t>WH003</t>
  </si>
  <si>
    <t>WH004</t>
  </si>
  <si>
    <t>WH005</t>
  </si>
  <si>
    <t>WH006</t>
  </si>
  <si>
    <t>WH007</t>
  </si>
  <si>
    <t>WH008</t>
  </si>
  <si>
    <t>WH009</t>
  </si>
  <si>
    <t>WH010</t>
  </si>
  <si>
    <t>WH011</t>
  </si>
  <si>
    <t>WH012</t>
  </si>
  <si>
    <t>WH013</t>
  </si>
  <si>
    <t>WH014</t>
  </si>
  <si>
    <t>WH015</t>
  </si>
  <si>
    <t>WH016</t>
  </si>
  <si>
    <t>WH017</t>
  </si>
  <si>
    <t>WH018</t>
  </si>
  <si>
    <t>WH019</t>
  </si>
  <si>
    <t>WH020</t>
  </si>
  <si>
    <t>RF001</t>
    <phoneticPr fontId="1" type="noConversion"/>
  </si>
  <si>
    <t>RF002</t>
  </si>
  <si>
    <t>RF003</t>
  </si>
  <si>
    <t>RF004</t>
  </si>
  <si>
    <t>RF005</t>
  </si>
  <si>
    <t>RF006</t>
  </si>
  <si>
    <t>RF007</t>
  </si>
  <si>
    <t>RF008</t>
  </si>
  <si>
    <t>RF009</t>
  </si>
  <si>
    <t>RF010</t>
  </si>
  <si>
    <t>RF011</t>
  </si>
  <si>
    <t>RF012</t>
  </si>
  <si>
    <t>RF013</t>
  </si>
  <si>
    <t>RF014</t>
  </si>
  <si>
    <t>RF015</t>
  </si>
  <si>
    <t>RF016</t>
  </si>
  <si>
    <t>RF017</t>
  </si>
  <si>
    <t>RF018</t>
  </si>
  <si>
    <t>RF019</t>
  </si>
  <si>
    <t>RF020</t>
  </si>
  <si>
    <t>WM001</t>
    <phoneticPr fontId="1" type="noConversion"/>
  </si>
  <si>
    <t>WM002</t>
  </si>
  <si>
    <t>WM003</t>
  </si>
  <si>
    <t>WM004</t>
  </si>
  <si>
    <t>WM005</t>
  </si>
  <si>
    <t>WM006</t>
  </si>
  <si>
    <t>WM007</t>
  </si>
  <si>
    <t>WM008</t>
  </si>
  <si>
    <t>WM009</t>
  </si>
  <si>
    <t>WM010</t>
  </si>
  <si>
    <t>WM011</t>
  </si>
  <si>
    <t>WM012</t>
  </si>
  <si>
    <t>WM013</t>
  </si>
  <si>
    <t>WM014</t>
  </si>
  <si>
    <t>WM015</t>
  </si>
  <si>
    <t>WM016</t>
  </si>
  <si>
    <t>WM017</t>
  </si>
  <si>
    <t>WM018</t>
  </si>
  <si>
    <t>WM019</t>
  </si>
  <si>
    <t>NC001</t>
    <phoneticPr fontId="1" type="noConversion"/>
  </si>
  <si>
    <t>NC002</t>
  </si>
  <si>
    <t>NC003</t>
  </si>
  <si>
    <t>NC004</t>
  </si>
  <si>
    <t>NC005</t>
  </si>
  <si>
    <t>NC006</t>
  </si>
  <si>
    <t>NC007</t>
  </si>
  <si>
    <t>NC008</t>
  </si>
  <si>
    <t>NC009</t>
  </si>
  <si>
    <t>NC010</t>
  </si>
  <si>
    <t>NC011</t>
  </si>
  <si>
    <t>NC012</t>
  </si>
  <si>
    <t>NC013</t>
  </si>
  <si>
    <t>NC014</t>
  </si>
  <si>
    <t>NC015</t>
  </si>
  <si>
    <t>NC016</t>
  </si>
  <si>
    <t>NC017</t>
  </si>
  <si>
    <t>NC018</t>
  </si>
  <si>
    <t>NC019</t>
  </si>
  <si>
    <t>NC020</t>
  </si>
  <si>
    <t>PC001</t>
    <phoneticPr fontId="1" type="noConversion"/>
  </si>
  <si>
    <t>PC002</t>
  </si>
  <si>
    <t>PC003</t>
  </si>
  <si>
    <t>PC004</t>
  </si>
  <si>
    <t>PC005</t>
  </si>
  <si>
    <t>PC006</t>
  </si>
  <si>
    <t>PC007</t>
  </si>
  <si>
    <t>PC008</t>
  </si>
  <si>
    <t>PC009</t>
  </si>
  <si>
    <t>PC010</t>
  </si>
  <si>
    <t>PC011</t>
  </si>
  <si>
    <t>PC012</t>
  </si>
  <si>
    <t>PC013</t>
  </si>
  <si>
    <t>PC014</t>
  </si>
  <si>
    <t>TC001</t>
    <phoneticPr fontId="1" type="noConversion"/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</si>
  <si>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</si>
  <si>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</si>
  <si>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</si>
  <si>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</si>
  <si>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</si>
  <si>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</si>
  <si>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</si>
  <si>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</si>
  <si>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</si>
  <si>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</si>
  <si>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</si>
  <si>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</si>
  <si>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TC015</t>
  </si>
  <si>
    <t>TC016</t>
  </si>
  <si>
    <t>TC017</t>
  </si>
  <si>
    <t>TC018</t>
  </si>
  <si>
    <t>销售渠道</t>
    <phoneticPr fontId="1" type="noConversion"/>
  </si>
  <si>
    <t>北京总公司</t>
  </si>
  <si>
    <t>上海分公司</t>
  </si>
  <si>
    <t>广州分公司</t>
  </si>
  <si>
    <t>重庆分公司</t>
  </si>
  <si>
    <t>郑州分公司</t>
  </si>
  <si>
    <t>长沙分公司</t>
  </si>
  <si>
    <t>南宁分公司</t>
  </si>
  <si>
    <t>销售单价</t>
    <phoneticPr fontId="1" type="noConversion"/>
  </si>
  <si>
    <t>序号</t>
    <phoneticPr fontId="1" type="noConversion"/>
  </si>
  <si>
    <t>分部</t>
    <phoneticPr fontId="1" type="noConversion"/>
  </si>
  <si>
    <t>商品类别</t>
    <phoneticPr fontId="1" type="noConversion"/>
  </si>
  <si>
    <t>品牌</t>
    <phoneticPr fontId="1" type="noConversion"/>
  </si>
  <si>
    <t>商品名称</t>
    <phoneticPr fontId="1" type="noConversion"/>
  </si>
  <si>
    <t>银鱼商贸公司2017年销售统计表</t>
    <phoneticPr fontId="1" type="noConversion"/>
  </si>
  <si>
    <t>实体店</t>
  </si>
  <si>
    <t>网店</t>
  </si>
  <si>
    <t>商品代码</t>
  </si>
  <si>
    <t>商品名称</t>
  </si>
  <si>
    <t>WH001</t>
  </si>
  <si>
    <t>PC001</t>
  </si>
  <si>
    <t>TC001</t>
  </si>
  <si>
    <t>NC001</t>
  </si>
  <si>
    <t>WM001</t>
  </si>
  <si>
    <t>AC001</t>
  </si>
  <si>
    <t>RF001</t>
  </si>
  <si>
    <t>TV001</t>
  </si>
  <si>
    <t>AO史密斯</t>
  </si>
  <si>
    <t>A.O.Smith ET300J-60 电热水器</t>
  </si>
  <si>
    <t>A.O.Smith ET500J-60 电热水器</t>
  </si>
  <si>
    <t>Apple</t>
  </si>
  <si>
    <t>iMac MK442CH/A 21.5英寸一体机</t>
  </si>
  <si>
    <t xml:space="preserve">iMac MK452CH/A 21.5英寸一体机 </t>
  </si>
  <si>
    <t>iPad Air 2 MGKM2CH/A 9.7英寸平板电脑</t>
  </si>
  <si>
    <t>iPad Air 2 MH182CH/A 9.7英寸平板电脑</t>
  </si>
  <si>
    <t>iPad Air WLAN 16GB 银色</t>
  </si>
  <si>
    <t>iPad Air WLAN 32GB 银色</t>
  </si>
  <si>
    <t>iPad mini 2 ME277CH/A 7.9英寸平板电脑</t>
  </si>
  <si>
    <t>iPad mini 4 MK9J2CH/A 7.9英寸平板电脑 金色</t>
  </si>
  <si>
    <t>MacBook Air MJVE2CH/A 13.3英寸笔记本电脑</t>
  </si>
  <si>
    <t>MacBook Air MJVM2CH/A 11.6英寸笔记本电脑</t>
  </si>
  <si>
    <t>MacBook MJY32CH/A 12英寸笔记本电脑</t>
  </si>
  <si>
    <t>MacBook Pro MF839CH/A 13.3英寸笔记本电脑</t>
  </si>
  <si>
    <t>MacBook Pro MF840CH/A 13.3英寸笔记本电脑</t>
  </si>
  <si>
    <t>MacBook Pro MGXC2CH/A 15.4英寸笔记本电脑</t>
  </si>
  <si>
    <t>MacBook Pro MJLQ2CH/A 15.4英寸笔记本电脑</t>
  </si>
  <si>
    <t>MacBookMK4M2CH/A 12英寸笔记本电脑</t>
  </si>
  <si>
    <t xml:space="preserve">ME086CH/A iMac 21.5英寸一体机 银色 </t>
  </si>
  <si>
    <t xml:space="preserve">ME087CH/A iMac 21.5英寸一体机 银色 </t>
  </si>
  <si>
    <t>LG</t>
  </si>
  <si>
    <t>42LS3100-CE 全高清LED液晶电视</t>
  </si>
  <si>
    <t>WD-N12430D 6公斤滚筒洗衣机</t>
  </si>
  <si>
    <t>TCL</t>
  </si>
  <si>
    <t>L48F3310-3D平板电视</t>
  </si>
  <si>
    <t>BCD-176K50两门冰箱</t>
  </si>
  <si>
    <t>KFRd-25GW/DE22空调</t>
  </si>
  <si>
    <t>KFRd-25GW/FC23</t>
  </si>
  <si>
    <t>KFRd-35GW/DE22空调</t>
  </si>
  <si>
    <t>KFRd-52LW/DR22空调</t>
  </si>
  <si>
    <t>KFRd-72LW/FC13空调</t>
  </si>
  <si>
    <t>L32E11液晶电视</t>
  </si>
  <si>
    <t>艾美特</t>
  </si>
  <si>
    <t>Airmate HGY905P双层干衣机</t>
  </si>
  <si>
    <t>安仕</t>
  </si>
  <si>
    <t>ASG-131S双层干衣机</t>
  </si>
  <si>
    <t>奥克斯</t>
  </si>
  <si>
    <t>KF-26GW/SQB+2空调</t>
  </si>
  <si>
    <t>KFR-26GW/BPSSD-2空调</t>
  </si>
  <si>
    <t>KFR-32GW/SQB+2空调</t>
  </si>
  <si>
    <t>KFR-35GW/BPSSD-2正1.5匹空调</t>
  </si>
  <si>
    <t>KFR-51LW/M-1空调</t>
  </si>
  <si>
    <t>奥马</t>
  </si>
  <si>
    <t>BCD-118A5双门冰箱</t>
  </si>
  <si>
    <t>BCD-176A7冰箱</t>
  </si>
  <si>
    <t>奔腾</t>
  </si>
  <si>
    <t>POVOS 家用双层干衣机烘干机</t>
  </si>
  <si>
    <t>创维</t>
  </si>
  <si>
    <t>32E5CHR 32英寸LED液晶电视</t>
  </si>
  <si>
    <t>戴尔</t>
  </si>
  <si>
    <t>Dell  XPS13R-9343-5608S 13.3英寸超极本</t>
  </si>
  <si>
    <t>Dell Ins15CR-4528B 15.6英寸笔记本电脑</t>
  </si>
  <si>
    <t>Dell Vostro 3900-R6298 台式电脑 黑色</t>
  </si>
  <si>
    <t>Dell Vostro 3900-R7938 台式主机</t>
  </si>
  <si>
    <t>Dell Vostro 5480R-3528SS 14英寸笔记本电脑 银色</t>
  </si>
  <si>
    <t>Dell XPS 8900-R17N8 台式主机</t>
  </si>
  <si>
    <t>Dell XPS 8900-R19N8 台式主机</t>
  </si>
  <si>
    <t>Dell XPS13-9350-R1708S 13.3英寸超极本</t>
  </si>
  <si>
    <t>Dell XPS13R-9343-2508S 13.3英寸超极本</t>
  </si>
  <si>
    <t>德尔玛</t>
  </si>
  <si>
    <t>Deerma 双层干衣机</t>
  </si>
  <si>
    <t>格兰仕</t>
  </si>
  <si>
    <t>Galanz KFR-23GW/dLP45-150(2)空调</t>
  </si>
  <si>
    <t>Galanz KFR-32GW/dLP57-130(2)空调</t>
  </si>
  <si>
    <t>Galanz KFR-35GW/DLC45-130(2)空调</t>
  </si>
  <si>
    <t>Galanz XQG60-A708 6公斤云滚筒洗衣机</t>
  </si>
  <si>
    <t>Galanz ZSDF-G40K031 40L 电热水器</t>
  </si>
  <si>
    <t>格力</t>
  </si>
  <si>
    <t>GREE GSP20 烘干机滚筒干衣机</t>
  </si>
  <si>
    <t>海尔</t>
  </si>
  <si>
    <t>Haier A1 10升天然气热水器</t>
  </si>
  <si>
    <t>Haier bcd-186kb 双门冰箱</t>
  </si>
  <si>
    <t>Haier BCD-190TMPK 冰箱</t>
  </si>
  <si>
    <t>Haier BCD-206STPA 206升冰箱</t>
  </si>
  <si>
    <t>Haier BCD-216SCM 冰箱</t>
  </si>
  <si>
    <t>Haier BCD-231WDBB 冰箱</t>
  </si>
  <si>
    <t>Haier BCD-568WDPF冰箱</t>
  </si>
  <si>
    <t>Haier EC5002-D多功率遥控电热水器</t>
  </si>
  <si>
    <t>Haier EC5002-Q6 50升电热水器</t>
  </si>
  <si>
    <t>Haier EC6002-D 60升遥控电热水器</t>
  </si>
  <si>
    <t>Haier ES6.6U(W)上出水小厨宝</t>
  </si>
  <si>
    <t>Haier JSQ24-A2(12T)燃气热水器</t>
  </si>
  <si>
    <t>Haier XQB50-M1258 5.0公斤 全自动波轮洗衣机</t>
  </si>
  <si>
    <t>Haier XQB50-M918洗衣机</t>
  </si>
  <si>
    <t>Haier XQB60-M918 洗衣机</t>
  </si>
  <si>
    <t>海信</t>
  </si>
  <si>
    <t>Hisense BCD-137C/E冰箱</t>
  </si>
  <si>
    <t>Hisense KFR-26GW/ER01N2空调</t>
  </si>
  <si>
    <t>Hisense KFR-35GW/ER01N2空调</t>
  </si>
  <si>
    <t>Hisense LED32K200 32英寸LED高清电视</t>
  </si>
  <si>
    <t>Hisense LED40K170JD平板电视</t>
  </si>
  <si>
    <t>Hisense LED42K326X3D 42英寸智能网络3D电视</t>
  </si>
  <si>
    <t>Hisense LED50K320DX3D 50英寸3D液晶电视</t>
  </si>
  <si>
    <t>HisenseLED39K200J 39英寸全高清LED液晶电视</t>
  </si>
  <si>
    <t>宏通</t>
  </si>
  <si>
    <t>HT HT820 四核7英寸WIFI版平板电脑</t>
  </si>
  <si>
    <t>华光</t>
  </si>
  <si>
    <t>HG GY01 双层干衣机</t>
  </si>
  <si>
    <t>华硕</t>
  </si>
  <si>
    <t>ASUS ME581C 8英寸平板</t>
  </si>
  <si>
    <t>ASUS Nexus 7 from Google Tablet</t>
  </si>
  <si>
    <t>ASUS R557LP4030-554KSF52X10 轻薄笔记本</t>
  </si>
  <si>
    <t>ASUS T100HA-C4-GR 10.1英寸笔记本电脑</t>
  </si>
  <si>
    <t>ASUS Zenbook UX305LA 13.3英寸超薄笔记本电脑</t>
  </si>
  <si>
    <t>ASUS ZenPad8 Z380KL 8英寸平板电脑 金色</t>
  </si>
  <si>
    <t>华为</t>
  </si>
  <si>
    <t>Huawei M2-803L 4G 64GB 八核平板电脑手机 香槟金</t>
  </si>
  <si>
    <t>惠普</t>
  </si>
  <si>
    <t>HP Pavilion 251-011cn 台式主机</t>
  </si>
  <si>
    <t>凯蒂猫</t>
  </si>
  <si>
    <t>Hello Kitty Q7 7英寸学生用平板电脑 白色</t>
  </si>
  <si>
    <t>康佳</t>
  </si>
  <si>
    <t>KONKA BCD-108S-GY 冰箱</t>
  </si>
  <si>
    <t>KONKA BCD-138UTS-GY冰箱</t>
  </si>
  <si>
    <t>KONKA LED32E220CE平板电视</t>
  </si>
  <si>
    <t>KONKA LED32E320N 液晶电视</t>
  </si>
  <si>
    <t>KONKA LED37F3300E平板电视</t>
  </si>
  <si>
    <t>KONKA LED42E320N平板电视</t>
  </si>
  <si>
    <t>KONKA LED42E330CE 高清节能LED液晶电视</t>
  </si>
  <si>
    <t>KONKA XQB50-5001全自动洗衣机</t>
  </si>
  <si>
    <t>酷开</t>
  </si>
  <si>
    <t>coocaa K50J 50英寸智能平板液晶电视</t>
  </si>
  <si>
    <t>联想</t>
  </si>
  <si>
    <t>lenovo C360 G1820一体机 白色</t>
  </si>
  <si>
    <t>lenovo C4030一体机 白色</t>
  </si>
  <si>
    <t>lenovo C5030 23英寸一体机 白色</t>
  </si>
  <si>
    <t>Lenovo IdeaCentre C560 一体机</t>
  </si>
  <si>
    <t>lenovo M2620N 处理器j1820台式主机</t>
  </si>
  <si>
    <t>ThinkPad 8（20BNA00RCD）8.3英寸触控平板电脑</t>
  </si>
  <si>
    <t>ThinkPad E450C 20EH-A009CD 14英寸笔记本电脑</t>
  </si>
  <si>
    <t>ThinkPad E450C-20EHA00ACD 14英寸笔记本电脑</t>
  </si>
  <si>
    <t>ThinkPad E450C-20EHA01-7CD 14英寸笔记本电脑</t>
  </si>
  <si>
    <t>ThinkPad X250-20CLA26-1CD 12.5英寸笔记本电脑</t>
  </si>
  <si>
    <t>林内</t>
  </si>
  <si>
    <t>Rinnai RUS-11E22CWNF 11L燃气热水器</t>
  </si>
  <si>
    <t>Rinnai RUS-13E22CWNF燃气热水器</t>
  </si>
  <si>
    <t>美的</t>
  </si>
  <si>
    <t>Midea BCD-206TM(E)冰箱</t>
  </si>
  <si>
    <t>Midea F05-15A(S)小厨宝</t>
  </si>
  <si>
    <t>Midea F50-15A1 50升 电热水器</t>
  </si>
  <si>
    <t>Midea F60-15WB5(Y)电热水器</t>
  </si>
  <si>
    <t>Midea JSQ22-12HWB 12升 燃气热水器</t>
  </si>
  <si>
    <t>美菱</t>
  </si>
  <si>
    <t>MeLing BCD-181MLC双门冰箱</t>
  </si>
  <si>
    <t>MeLing BCD-206L3CT冰箱</t>
  </si>
  <si>
    <t>能率</t>
  </si>
  <si>
    <t>NORITZ GQ-1150FE 11升燃气热水器</t>
  </si>
  <si>
    <t>NORITZ GQ-1350FE 13升 燃气热水器</t>
  </si>
  <si>
    <t>容声</t>
  </si>
  <si>
    <t>Ronshen BCD-201E/A冰箱</t>
  </si>
  <si>
    <t>Ronshen BCD-202M/TX6-GF61-C冰箱</t>
  </si>
  <si>
    <t>三星</t>
  </si>
  <si>
    <t>SAMSUNG Galaxy TAB3 P5200 10.1英寸智能平板电脑</t>
  </si>
  <si>
    <t>三洋</t>
  </si>
  <si>
    <t>XQG60-F1029 6公斤 滚筒全自动洗衣机</t>
  </si>
  <si>
    <t>松井</t>
  </si>
  <si>
    <t>SJ-G13S双层可移动干衣机</t>
  </si>
  <si>
    <t>松下</t>
  </si>
  <si>
    <t>Panasonic XQB60-Q662U 6公斤 立体搓全自动波轮洗衣机</t>
  </si>
  <si>
    <t>索尼</t>
  </si>
  <si>
    <t>SONY KDL 55英寸高清3D液晶电视</t>
  </si>
  <si>
    <t>SONY KLV-40R476A平板电视</t>
  </si>
  <si>
    <t>天骏小天使</t>
  </si>
  <si>
    <t>TIJUMP 家用干衣机</t>
  </si>
  <si>
    <t>万家乐</t>
  </si>
  <si>
    <t>JSQ20-10201 10升 燃气热水器</t>
  </si>
  <si>
    <t>JSQ24-12201 12升 燃气热水器</t>
  </si>
  <si>
    <t>微软</t>
  </si>
  <si>
    <t>Microsoft Surface Pro 4 12.3英寸平板电脑</t>
  </si>
  <si>
    <t>西格玛</t>
  </si>
  <si>
    <t>sigma 家用除菌全自动滚筒干衣机</t>
  </si>
  <si>
    <t>西门子</t>
  </si>
  <si>
    <t>SIEMENS KG23F1861W冰箱</t>
  </si>
  <si>
    <t>SIEMENS KG23N1116W冰箱</t>
  </si>
  <si>
    <t>SIEMENS KK20V40TI冰箱</t>
  </si>
  <si>
    <t>夏普</t>
  </si>
  <si>
    <t>Sharp LCD-40DS30A平板电视</t>
  </si>
  <si>
    <t>Sharp LCD-52DS50A智能LED液晶电视</t>
  </si>
  <si>
    <t>小鸭</t>
  </si>
  <si>
    <t>XDWJ-40SA1 40升 电热水器</t>
  </si>
  <si>
    <t>XPB28-1808S双缸洗衣机</t>
  </si>
  <si>
    <t>XPB36-1803 3.6公斤 单缸半自动洗衣机</t>
  </si>
  <si>
    <t>亚马逊</t>
  </si>
  <si>
    <t>Fire HDX 8.9平板电脑</t>
  </si>
  <si>
    <t>Fire 平板电脑</t>
  </si>
  <si>
    <t>月兔</t>
  </si>
  <si>
    <t>KFR-25GW/d03-A2c-70Y5R空调</t>
  </si>
  <si>
    <t>长虹</t>
  </si>
  <si>
    <t>ChangHong KFR-23GW/DHT1(W1-G)+T空调</t>
  </si>
  <si>
    <t>ChangHong LED32B1300平板电视</t>
  </si>
  <si>
    <t>志高</t>
  </si>
  <si>
    <t>CHIGO KFR-25GW/B104+N2空调</t>
  </si>
  <si>
    <t>CHIGO KFR-25GW/D104+N3空调</t>
  </si>
  <si>
    <t>CHIGO KFR-35GW/C104+N3空调</t>
  </si>
  <si>
    <t>TV</t>
    <phoneticPr fontId="1" type="noConversion"/>
  </si>
  <si>
    <t>AC</t>
    <phoneticPr fontId="1" type="noConversion"/>
  </si>
  <si>
    <t>RF</t>
    <phoneticPr fontId="1" type="noConversion"/>
  </si>
  <si>
    <t>WH</t>
    <phoneticPr fontId="1" type="noConversion"/>
  </si>
  <si>
    <t>WM</t>
    <phoneticPr fontId="1" type="noConversion"/>
  </si>
  <si>
    <t>NC</t>
    <phoneticPr fontId="1" type="noConversion"/>
  </si>
  <si>
    <t>PC</t>
    <phoneticPr fontId="1" type="noConversion"/>
  </si>
  <si>
    <t>TC</t>
    <phoneticPr fontId="1" type="noConversion"/>
  </si>
  <si>
    <t>电视</t>
    <phoneticPr fontId="1" type="noConversion"/>
  </si>
  <si>
    <t>空调</t>
    <phoneticPr fontId="1" type="noConversion"/>
  </si>
  <si>
    <t>冰箱</t>
    <phoneticPr fontId="1" type="noConversion"/>
  </si>
  <si>
    <t>热水器</t>
    <phoneticPr fontId="1" type="noConversion"/>
  </si>
  <si>
    <t>洗衣机</t>
    <phoneticPr fontId="1" type="noConversion"/>
  </si>
  <si>
    <t>计算机</t>
    <phoneticPr fontId="1" type="noConversion"/>
  </si>
  <si>
    <t>商品类别</t>
  </si>
  <si>
    <t>(全部)</t>
  </si>
  <si>
    <t>总计</t>
  </si>
  <si>
    <t>1月</t>
  </si>
  <si>
    <t>2月</t>
  </si>
  <si>
    <t>3月</t>
  </si>
  <si>
    <t>实体店 汇总</t>
  </si>
  <si>
    <t>网店 汇总</t>
  </si>
  <si>
    <t>销售日期</t>
  </si>
  <si>
    <t>销售渠道</t>
  </si>
  <si>
    <t>分部</t>
  </si>
  <si>
    <t>销售额
（千元）汇总</t>
  </si>
  <si>
    <t>销售额
（千元）</t>
  </si>
  <si>
    <t>进货成本
（千元）</t>
  </si>
  <si>
    <t>毛利
（千元）</t>
  </si>
  <si>
    <t>销售情况</t>
  </si>
  <si>
    <t>进货成本
（千元）汇总</t>
  </si>
  <si>
    <t>毛利
（千元）汇总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</si>
</sst>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_ "/>
    <numFmt numFmtId="177" formatCode="yyyy&quot;年&quot;m&quot;月&quot;d&quot;日&quot;_ ;@"/>
    <numFmt numFmtId="178" formatCode="0000"/>
    <numFmt numFmtId="179" formatCode="#,##0.00_ "/>
    <numFmt numFmtId="180" formatCode="0.00,"/>
  </numFmts>
  <fonts count="5" x14ac:knownFonts="1">
    <font>
      <sz val="9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b/>
      <sz val="15"/>
      <color theme="3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7" fontId="0" fillId="0" borderId="0" xfId="0" applyNumberFormat="1" applyFont="1" applyFill="1" applyBorder="1">
      <alignment vertical="center"/>
    </xf>
    <xf numFmtId="176" fontId="0" fillId="0" borderId="0" xfId="0" applyNumberFormat="1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1" xfId="1" applyAlignment="1">
      <alignment horizontal="centerContinuous" vertical="center"/>
    </xf>
    <xf numFmtId="178" fontId="0" fillId="0" borderId="0" xfId="0" applyNumberFormat="1" applyFont="1" applyFill="1" applyBorder="1" applyAlignment="1">
      <alignment horizontal="center" vertical="center"/>
    </xf>
    <xf numFmtId="179" fontId="0" fillId="0" borderId="0" xfId="0" applyNumberFormat="1" applyFont="1" applyFill="1" applyBorder="1">
      <alignment vertical="center"/>
    </xf>
    <xf numFmtId="0" fontId="0" fillId="0" borderId="0" xfId="0" pivotButton="1">
      <alignment vertical="center"/>
    </xf>
    <xf numFmtId="180" fontId="0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pivotButton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77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77" fontId="0" fillId="0" borderId="6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2">
    <cellStyle name="标题 1" xfId="1" builtinId="16"/>
    <cellStyle name="常规" xfId="0" builtinId="0"/>
  </cellStyles>
  <dxfs count="88"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9" formatCode="#,##0.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9" formatCode="#,##0.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9" formatCode="#,##0.0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6" formatCode="0_ 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7" formatCode="yyyy&quot;年&quot;m&quot;月&quot;d&quot;日&quot;_ ;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numFmt numFmtId="178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宋体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宋体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/>
        <right/>
        <top/>
        <bottom/>
        <vertical/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215;&#26684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单价"/>
      <sheetName val="进价"/>
    </sheetNames>
    <sheetDataSet>
      <sheetData sheetId="0">
        <row r="1">
          <cell r="A1" t="str">
            <v>商品代码</v>
          </cell>
          <cell r="B1" t="str">
            <v>销售单价</v>
          </cell>
        </row>
        <row r="2">
          <cell r="A2" t="str">
            <v>NC005</v>
          </cell>
          <cell r="B2">
            <v>15688</v>
          </cell>
        </row>
        <row r="3">
          <cell r="A3" t="str">
            <v>NC006</v>
          </cell>
          <cell r="B3">
            <v>13388</v>
          </cell>
        </row>
        <row r="4">
          <cell r="A4" t="str">
            <v>PC004</v>
          </cell>
          <cell r="B4">
            <v>10888</v>
          </cell>
        </row>
        <row r="5">
          <cell r="A5" t="str">
            <v>PC003</v>
          </cell>
          <cell r="B5">
            <v>10488</v>
          </cell>
        </row>
        <row r="6">
          <cell r="A6" t="str">
            <v>NC004</v>
          </cell>
          <cell r="B6">
            <v>10188</v>
          </cell>
        </row>
        <row r="7">
          <cell r="A7" t="str">
            <v>PC001</v>
          </cell>
          <cell r="B7">
            <v>9588</v>
          </cell>
        </row>
        <row r="8">
          <cell r="A8" t="str">
            <v>PC002</v>
          </cell>
          <cell r="B8">
            <v>9188</v>
          </cell>
        </row>
        <row r="9">
          <cell r="A9" t="str">
            <v>NC014</v>
          </cell>
          <cell r="B9">
            <v>8899</v>
          </cell>
        </row>
        <row r="10">
          <cell r="A10" t="str">
            <v>NC003</v>
          </cell>
          <cell r="B10">
            <v>8888</v>
          </cell>
        </row>
        <row r="11">
          <cell r="A11" t="str">
            <v>NC007</v>
          </cell>
          <cell r="B11">
            <v>8888</v>
          </cell>
        </row>
        <row r="12">
          <cell r="A12" t="str">
            <v>NC008</v>
          </cell>
          <cell r="B12">
            <v>8888</v>
          </cell>
        </row>
        <row r="13">
          <cell r="A13" t="str">
            <v>PC008</v>
          </cell>
          <cell r="B13">
            <v>8699</v>
          </cell>
        </row>
        <row r="14">
          <cell r="A14" t="str">
            <v>NC016</v>
          </cell>
          <cell r="B14">
            <v>8099</v>
          </cell>
        </row>
        <row r="15">
          <cell r="A15" t="str">
            <v>NC015</v>
          </cell>
          <cell r="B15">
            <v>7799</v>
          </cell>
        </row>
        <row r="16">
          <cell r="A16" t="str">
            <v>PC007</v>
          </cell>
          <cell r="B16">
            <v>7699</v>
          </cell>
        </row>
        <row r="17">
          <cell r="A17" t="str">
            <v>TC011</v>
          </cell>
          <cell r="B17">
            <v>7388</v>
          </cell>
        </row>
        <row r="18">
          <cell r="A18" t="str">
            <v>TV020</v>
          </cell>
          <cell r="B18">
            <v>7299</v>
          </cell>
        </row>
        <row r="19">
          <cell r="A19" t="str">
            <v>NC001</v>
          </cell>
          <cell r="B19">
            <v>6462.8</v>
          </cell>
        </row>
        <row r="20">
          <cell r="A20" t="str">
            <v>NC002</v>
          </cell>
          <cell r="B20">
            <v>5988</v>
          </cell>
        </row>
        <row r="21">
          <cell r="A21" t="str">
            <v>PC006</v>
          </cell>
          <cell r="B21">
            <v>5799</v>
          </cell>
        </row>
        <row r="22">
          <cell r="A22" t="str">
            <v>TV001</v>
          </cell>
          <cell r="B22">
            <v>5499</v>
          </cell>
        </row>
        <row r="23">
          <cell r="A23" t="str">
            <v>NC020</v>
          </cell>
          <cell r="B23">
            <v>4999</v>
          </cell>
        </row>
        <row r="24">
          <cell r="A24" t="str">
            <v>TV006</v>
          </cell>
          <cell r="B24">
            <v>4999</v>
          </cell>
        </row>
        <row r="25">
          <cell r="A25" t="str">
            <v>NC011</v>
          </cell>
          <cell r="B25">
            <v>4875.66</v>
          </cell>
        </row>
        <row r="26">
          <cell r="A26" t="str">
            <v>AC002</v>
          </cell>
          <cell r="B26">
            <v>4399</v>
          </cell>
        </row>
        <row r="27">
          <cell r="A27" t="str">
            <v>PC014</v>
          </cell>
          <cell r="B27">
            <v>4285</v>
          </cell>
        </row>
        <row r="28">
          <cell r="A28" t="str">
            <v>NC013</v>
          </cell>
          <cell r="B28">
            <v>4199</v>
          </cell>
        </row>
        <row r="29">
          <cell r="A29" t="str">
            <v>TC001</v>
          </cell>
          <cell r="B29">
            <v>4038</v>
          </cell>
        </row>
        <row r="30">
          <cell r="A30" t="str">
            <v>TC002</v>
          </cell>
          <cell r="B30">
            <v>4038</v>
          </cell>
        </row>
        <row r="31">
          <cell r="A31" t="str">
            <v>TV012</v>
          </cell>
          <cell r="B31">
            <v>3999</v>
          </cell>
        </row>
        <row r="32">
          <cell r="A32" t="str">
            <v>TV016</v>
          </cell>
          <cell r="B32">
            <v>3999</v>
          </cell>
        </row>
        <row r="33">
          <cell r="A33" t="str">
            <v>TV014</v>
          </cell>
          <cell r="B33">
            <v>3899</v>
          </cell>
        </row>
        <row r="34">
          <cell r="A34" t="str">
            <v>RF009</v>
          </cell>
          <cell r="B34">
            <v>3899</v>
          </cell>
        </row>
        <row r="35">
          <cell r="A35" t="str">
            <v>AC009</v>
          </cell>
          <cell r="B35">
            <v>3799</v>
          </cell>
        </row>
        <row r="36">
          <cell r="A36" t="str">
            <v>PC009</v>
          </cell>
          <cell r="B36">
            <v>3750</v>
          </cell>
        </row>
        <row r="37">
          <cell r="A37" t="str">
            <v>AC001</v>
          </cell>
          <cell r="B37">
            <v>3629</v>
          </cell>
        </row>
        <row r="38">
          <cell r="A38" t="str">
            <v>TV005</v>
          </cell>
          <cell r="B38">
            <v>3599</v>
          </cell>
        </row>
        <row r="39">
          <cell r="A39" t="str">
            <v>WH011</v>
          </cell>
          <cell r="B39">
            <v>3580</v>
          </cell>
        </row>
        <row r="40">
          <cell r="A40" t="str">
            <v>TC006</v>
          </cell>
          <cell r="B40">
            <v>3558</v>
          </cell>
        </row>
        <row r="41">
          <cell r="A41" t="str">
            <v>PC011</v>
          </cell>
          <cell r="B41">
            <v>3530</v>
          </cell>
        </row>
        <row r="42">
          <cell r="A42" t="str">
            <v>NC019</v>
          </cell>
          <cell r="B42">
            <v>3499</v>
          </cell>
        </row>
        <row r="43">
          <cell r="A43" t="str">
            <v>TC014</v>
          </cell>
          <cell r="B43">
            <v>3499</v>
          </cell>
        </row>
        <row r="44">
          <cell r="A44" t="str">
            <v>TV015</v>
          </cell>
          <cell r="B44">
            <v>3499</v>
          </cell>
        </row>
        <row r="45">
          <cell r="A45" t="str">
            <v>TC018</v>
          </cell>
          <cell r="B45">
            <v>3399</v>
          </cell>
        </row>
        <row r="46">
          <cell r="A46" t="str">
            <v>RF019</v>
          </cell>
          <cell r="B46">
            <v>3399</v>
          </cell>
        </row>
        <row r="47">
          <cell r="A47" t="str">
            <v>WH010</v>
          </cell>
          <cell r="B47">
            <v>3380</v>
          </cell>
        </row>
        <row r="48">
          <cell r="A48" t="str">
            <v>RF008</v>
          </cell>
          <cell r="B48">
            <v>3199</v>
          </cell>
        </row>
        <row r="49">
          <cell r="A49" t="str">
            <v>NC017</v>
          </cell>
          <cell r="B49">
            <v>3198</v>
          </cell>
        </row>
        <row r="50">
          <cell r="A50" t="str">
            <v>NC012</v>
          </cell>
          <cell r="B50">
            <v>3149</v>
          </cell>
        </row>
        <row r="51">
          <cell r="A51" t="str">
            <v>TC004</v>
          </cell>
          <cell r="B51">
            <v>3108</v>
          </cell>
        </row>
        <row r="52">
          <cell r="A52" t="str">
            <v>TV009</v>
          </cell>
          <cell r="B52">
            <v>3049</v>
          </cell>
        </row>
        <row r="53">
          <cell r="A53" t="str">
            <v>NC018</v>
          </cell>
          <cell r="B53">
            <v>2999</v>
          </cell>
        </row>
        <row r="54">
          <cell r="A54" t="str">
            <v>TV018</v>
          </cell>
          <cell r="B54">
            <v>2998</v>
          </cell>
        </row>
        <row r="55">
          <cell r="A55" t="str">
            <v>WH002</v>
          </cell>
          <cell r="B55">
            <v>2868</v>
          </cell>
        </row>
        <row r="56">
          <cell r="A56" t="str">
            <v>PC005</v>
          </cell>
          <cell r="B56">
            <v>2799</v>
          </cell>
        </row>
        <row r="57">
          <cell r="A57" t="str">
            <v>RF020</v>
          </cell>
          <cell r="B57">
            <v>2799</v>
          </cell>
        </row>
        <row r="58">
          <cell r="A58" t="str">
            <v>TC003</v>
          </cell>
          <cell r="B58">
            <v>2738</v>
          </cell>
        </row>
        <row r="59">
          <cell r="A59" t="str">
            <v>NC009</v>
          </cell>
          <cell r="B59">
            <v>2699</v>
          </cell>
        </row>
        <row r="60">
          <cell r="A60" t="str">
            <v>TV002</v>
          </cell>
          <cell r="B60">
            <v>2699</v>
          </cell>
        </row>
        <row r="61">
          <cell r="A61" t="str">
            <v>PC010</v>
          </cell>
          <cell r="B61">
            <v>2665</v>
          </cell>
        </row>
        <row r="62">
          <cell r="A62" t="str">
            <v>AC006</v>
          </cell>
          <cell r="B62">
            <v>2639</v>
          </cell>
        </row>
        <row r="63">
          <cell r="A63" t="str">
            <v>TC013</v>
          </cell>
          <cell r="B63">
            <v>2599</v>
          </cell>
        </row>
        <row r="64">
          <cell r="A64" t="str">
            <v>WM001</v>
          </cell>
          <cell r="B64">
            <v>2599</v>
          </cell>
        </row>
        <row r="65">
          <cell r="A65" t="str">
            <v>WH017</v>
          </cell>
          <cell r="B65">
            <v>2598</v>
          </cell>
        </row>
        <row r="66">
          <cell r="A66" t="str">
            <v>TV010</v>
          </cell>
          <cell r="B66">
            <v>2569</v>
          </cell>
        </row>
        <row r="67">
          <cell r="A67" t="str">
            <v>TV011</v>
          </cell>
          <cell r="B67">
            <v>2499</v>
          </cell>
        </row>
        <row r="68">
          <cell r="A68" t="str">
            <v>AC018</v>
          </cell>
          <cell r="B68">
            <v>2399</v>
          </cell>
        </row>
        <row r="69">
          <cell r="A69" t="str">
            <v>RF001</v>
          </cell>
          <cell r="B69">
            <v>2399</v>
          </cell>
        </row>
        <row r="70">
          <cell r="A70" t="str">
            <v>AC008</v>
          </cell>
          <cell r="B70">
            <v>2393</v>
          </cell>
        </row>
        <row r="71">
          <cell r="A71" t="str">
            <v>AC014</v>
          </cell>
          <cell r="B71">
            <v>2379</v>
          </cell>
        </row>
        <row r="72">
          <cell r="A72" t="str">
            <v>TC005</v>
          </cell>
          <cell r="B72">
            <v>2338</v>
          </cell>
        </row>
        <row r="73">
          <cell r="A73" t="str">
            <v>WH016</v>
          </cell>
          <cell r="B73">
            <v>2298</v>
          </cell>
        </row>
        <row r="74">
          <cell r="A74" t="str">
            <v>AC007</v>
          </cell>
          <cell r="B74">
            <v>2279</v>
          </cell>
        </row>
        <row r="75">
          <cell r="A75" t="str">
            <v>TC010</v>
          </cell>
          <cell r="B75">
            <v>2278</v>
          </cell>
        </row>
        <row r="76">
          <cell r="A76" t="str">
            <v>WH001</v>
          </cell>
          <cell r="B76">
            <v>2268</v>
          </cell>
        </row>
        <row r="77">
          <cell r="A77" t="str">
            <v>AC005</v>
          </cell>
          <cell r="B77">
            <v>2179</v>
          </cell>
        </row>
        <row r="78">
          <cell r="A78" t="str">
            <v>AC015</v>
          </cell>
          <cell r="B78">
            <v>2179</v>
          </cell>
        </row>
        <row r="79">
          <cell r="A79" t="str">
            <v>AC019</v>
          </cell>
          <cell r="B79">
            <v>2179</v>
          </cell>
        </row>
        <row r="80">
          <cell r="A80" t="str">
            <v>TV017</v>
          </cell>
          <cell r="B80">
            <v>2098</v>
          </cell>
        </row>
        <row r="81">
          <cell r="A81" t="str">
            <v>PC012</v>
          </cell>
          <cell r="B81">
            <v>2080</v>
          </cell>
        </row>
        <row r="82">
          <cell r="A82" t="str">
            <v>AC013</v>
          </cell>
          <cell r="B82">
            <v>1999</v>
          </cell>
        </row>
        <row r="83">
          <cell r="A83" t="str">
            <v>RF018</v>
          </cell>
          <cell r="B83">
            <v>1999</v>
          </cell>
        </row>
        <row r="84">
          <cell r="A84" t="str">
            <v>WH009</v>
          </cell>
          <cell r="B84">
            <v>1998</v>
          </cell>
        </row>
        <row r="85">
          <cell r="A85" t="str">
            <v>PC013</v>
          </cell>
          <cell r="B85">
            <v>1995</v>
          </cell>
        </row>
        <row r="86">
          <cell r="A86" t="str">
            <v>AC020</v>
          </cell>
          <cell r="B86">
            <v>1979</v>
          </cell>
        </row>
        <row r="87">
          <cell r="A87" t="str">
            <v>NC010</v>
          </cell>
          <cell r="B87">
            <v>1946.31</v>
          </cell>
        </row>
        <row r="88">
          <cell r="A88" t="str">
            <v>AC017</v>
          </cell>
          <cell r="B88">
            <v>1930</v>
          </cell>
        </row>
        <row r="89">
          <cell r="A89" t="str">
            <v>TV013</v>
          </cell>
          <cell r="B89">
            <v>1899</v>
          </cell>
        </row>
        <row r="90">
          <cell r="A90" t="str">
            <v>AC012</v>
          </cell>
          <cell r="B90">
            <v>1899</v>
          </cell>
        </row>
        <row r="91">
          <cell r="A91" t="str">
            <v>AC003</v>
          </cell>
          <cell r="B91">
            <v>1879</v>
          </cell>
        </row>
        <row r="92">
          <cell r="A92" t="str">
            <v>AC010</v>
          </cell>
          <cell r="B92">
            <v>1869</v>
          </cell>
        </row>
        <row r="93">
          <cell r="A93" t="str">
            <v>TC012</v>
          </cell>
          <cell r="B93">
            <v>1810</v>
          </cell>
        </row>
        <row r="94">
          <cell r="A94" t="str">
            <v>TV004</v>
          </cell>
          <cell r="B94">
            <v>1798</v>
          </cell>
        </row>
        <row r="95">
          <cell r="A95" t="str">
            <v>AC004</v>
          </cell>
          <cell r="B95">
            <v>1769</v>
          </cell>
        </row>
        <row r="96">
          <cell r="A96" t="str">
            <v>WM013</v>
          </cell>
          <cell r="B96">
            <v>1718</v>
          </cell>
        </row>
        <row r="97">
          <cell r="A97" t="str">
            <v>TV003</v>
          </cell>
          <cell r="B97">
            <v>1699</v>
          </cell>
        </row>
        <row r="98">
          <cell r="A98" t="str">
            <v>TV007</v>
          </cell>
          <cell r="B98">
            <v>1699</v>
          </cell>
        </row>
        <row r="99">
          <cell r="A99" t="str">
            <v>RF013</v>
          </cell>
          <cell r="B99">
            <v>1699</v>
          </cell>
        </row>
        <row r="100">
          <cell r="A100" t="str">
            <v>TV019</v>
          </cell>
          <cell r="B100">
            <v>1649</v>
          </cell>
        </row>
        <row r="101">
          <cell r="A101" t="str">
            <v>RF007</v>
          </cell>
          <cell r="B101">
            <v>1649</v>
          </cell>
        </row>
        <row r="102">
          <cell r="A102" t="str">
            <v>AC011</v>
          </cell>
          <cell r="B102">
            <v>1599</v>
          </cell>
        </row>
        <row r="103">
          <cell r="A103" t="str">
            <v>TV008</v>
          </cell>
          <cell r="B103">
            <v>1598</v>
          </cell>
        </row>
        <row r="104">
          <cell r="A104" t="str">
            <v>TC016</v>
          </cell>
          <cell r="B104">
            <v>1499</v>
          </cell>
        </row>
        <row r="105">
          <cell r="A105" t="str">
            <v>AC016</v>
          </cell>
          <cell r="B105">
            <v>1499</v>
          </cell>
        </row>
        <row r="106">
          <cell r="A106" t="str">
            <v>RF016</v>
          </cell>
          <cell r="B106">
            <v>1499</v>
          </cell>
        </row>
        <row r="107">
          <cell r="A107" t="str">
            <v>WH015</v>
          </cell>
          <cell r="B107">
            <v>1499</v>
          </cell>
        </row>
        <row r="108">
          <cell r="A108" t="str">
            <v>RF015</v>
          </cell>
          <cell r="B108">
            <v>1490</v>
          </cell>
        </row>
        <row r="109">
          <cell r="A109" t="str">
            <v>WM017</v>
          </cell>
          <cell r="B109">
            <v>1489</v>
          </cell>
        </row>
        <row r="110">
          <cell r="A110" t="str">
            <v>WM015</v>
          </cell>
          <cell r="B110">
            <v>1419</v>
          </cell>
        </row>
        <row r="111">
          <cell r="A111" t="str">
            <v>RF002</v>
          </cell>
          <cell r="B111">
            <v>1399</v>
          </cell>
        </row>
        <row r="112">
          <cell r="A112" t="str">
            <v>RF017</v>
          </cell>
          <cell r="B112">
            <v>1399</v>
          </cell>
        </row>
        <row r="113">
          <cell r="A113" t="str">
            <v>RF006</v>
          </cell>
          <cell r="B113">
            <v>1299</v>
          </cell>
        </row>
        <row r="114">
          <cell r="A114" t="str">
            <v>RF014</v>
          </cell>
          <cell r="B114">
            <v>1299</v>
          </cell>
        </row>
        <row r="115">
          <cell r="A115" t="str">
            <v>WH019</v>
          </cell>
          <cell r="B115">
            <v>1299</v>
          </cell>
        </row>
        <row r="116">
          <cell r="A116" t="str">
            <v>WH004</v>
          </cell>
          <cell r="B116">
            <v>1298</v>
          </cell>
        </row>
        <row r="117">
          <cell r="A117" t="str">
            <v>WH007</v>
          </cell>
          <cell r="B117">
            <v>1298</v>
          </cell>
        </row>
        <row r="118">
          <cell r="A118" t="str">
            <v>WH014</v>
          </cell>
          <cell r="B118">
            <v>1298</v>
          </cell>
        </row>
        <row r="119">
          <cell r="A119" t="str">
            <v>TC015</v>
          </cell>
          <cell r="B119">
            <v>1229</v>
          </cell>
        </row>
        <row r="120">
          <cell r="A120" t="str">
            <v>RF003</v>
          </cell>
          <cell r="B120">
            <v>1199</v>
          </cell>
        </row>
        <row r="121">
          <cell r="A121" t="str">
            <v>WH006</v>
          </cell>
          <cell r="B121">
            <v>1198</v>
          </cell>
        </row>
        <row r="122">
          <cell r="A122" t="str">
            <v>WM010</v>
          </cell>
          <cell r="B122">
            <v>1188</v>
          </cell>
        </row>
        <row r="123">
          <cell r="A123" t="str">
            <v>WH018</v>
          </cell>
          <cell r="B123">
            <v>1099</v>
          </cell>
        </row>
        <row r="124">
          <cell r="A124" t="str">
            <v>RF005</v>
          </cell>
          <cell r="B124">
            <v>1098</v>
          </cell>
        </row>
        <row r="125">
          <cell r="A125" t="str">
            <v>WH005</v>
          </cell>
          <cell r="B125">
            <v>1098</v>
          </cell>
        </row>
        <row r="126">
          <cell r="A126" t="str">
            <v>RF010</v>
          </cell>
          <cell r="B126">
            <v>999</v>
          </cell>
        </row>
        <row r="127">
          <cell r="A127" t="str">
            <v>WM006</v>
          </cell>
          <cell r="B127">
            <v>999</v>
          </cell>
        </row>
        <row r="128">
          <cell r="A128" t="str">
            <v>WM008</v>
          </cell>
          <cell r="B128">
            <v>999</v>
          </cell>
        </row>
        <row r="129">
          <cell r="A129" t="str">
            <v>WM009</v>
          </cell>
          <cell r="B129">
            <v>978</v>
          </cell>
        </row>
        <row r="130">
          <cell r="A130" t="str">
            <v>RF012</v>
          </cell>
          <cell r="B130">
            <v>918</v>
          </cell>
        </row>
        <row r="131">
          <cell r="A131" t="str">
            <v>RF004</v>
          </cell>
          <cell r="B131">
            <v>888</v>
          </cell>
        </row>
        <row r="132">
          <cell r="A132" t="str">
            <v>TC007</v>
          </cell>
          <cell r="B132">
            <v>839.71</v>
          </cell>
        </row>
        <row r="133">
          <cell r="A133" t="str">
            <v>RF011</v>
          </cell>
          <cell r="B133">
            <v>838</v>
          </cell>
        </row>
        <row r="134">
          <cell r="A134" t="str">
            <v>WM007</v>
          </cell>
          <cell r="B134">
            <v>799</v>
          </cell>
        </row>
        <row r="135">
          <cell r="A135" t="str">
            <v>WM012</v>
          </cell>
          <cell r="B135">
            <v>788</v>
          </cell>
        </row>
        <row r="136">
          <cell r="A136" t="str">
            <v>WH012</v>
          </cell>
          <cell r="B136">
            <v>769</v>
          </cell>
        </row>
        <row r="137">
          <cell r="A137" t="str">
            <v>TC017</v>
          </cell>
          <cell r="B137">
            <v>499</v>
          </cell>
        </row>
        <row r="138">
          <cell r="A138" t="str">
            <v>WH003</v>
          </cell>
          <cell r="B138">
            <v>498</v>
          </cell>
        </row>
        <row r="139">
          <cell r="A139" t="str">
            <v>WH008</v>
          </cell>
          <cell r="B139">
            <v>498</v>
          </cell>
        </row>
        <row r="140">
          <cell r="A140" t="str">
            <v>WH013</v>
          </cell>
          <cell r="B140">
            <v>399</v>
          </cell>
        </row>
        <row r="141">
          <cell r="A141" t="str">
            <v>WH020</v>
          </cell>
          <cell r="B141">
            <v>399</v>
          </cell>
        </row>
        <row r="142">
          <cell r="A142" t="str">
            <v>WM018</v>
          </cell>
          <cell r="B142">
            <v>338</v>
          </cell>
        </row>
        <row r="143">
          <cell r="A143" t="str">
            <v>TC008</v>
          </cell>
          <cell r="B143">
            <v>296</v>
          </cell>
        </row>
        <row r="144">
          <cell r="A144" t="str">
            <v>TC009</v>
          </cell>
          <cell r="B144">
            <v>289</v>
          </cell>
        </row>
        <row r="145">
          <cell r="A145" t="str">
            <v>WM019</v>
          </cell>
          <cell r="B145">
            <v>279</v>
          </cell>
        </row>
        <row r="146">
          <cell r="A146" t="str">
            <v>WM002</v>
          </cell>
          <cell r="B146">
            <v>239</v>
          </cell>
        </row>
        <row r="147">
          <cell r="A147" t="str">
            <v>WM004</v>
          </cell>
          <cell r="B147">
            <v>219</v>
          </cell>
        </row>
        <row r="148">
          <cell r="A148" t="str">
            <v>WM016</v>
          </cell>
          <cell r="B148">
            <v>199</v>
          </cell>
        </row>
        <row r="149">
          <cell r="A149" t="str">
            <v>WM003</v>
          </cell>
          <cell r="B149">
            <v>198</v>
          </cell>
        </row>
        <row r="150">
          <cell r="A150" t="str">
            <v>WM014</v>
          </cell>
          <cell r="B150">
            <v>198</v>
          </cell>
        </row>
        <row r="151">
          <cell r="A151" t="str">
            <v>WM005</v>
          </cell>
          <cell r="B151">
            <v>99</v>
          </cell>
        </row>
        <row r="152">
          <cell r="A152" t="str">
            <v>WM011</v>
          </cell>
          <cell r="B152">
            <v>99</v>
          </cell>
        </row>
      </sheetData>
      <sheetData sheetId="1">
        <row r="1">
          <cell r="A1" t="str">
            <v>商品代码</v>
          </cell>
          <cell r="B1" t="str">
            <v>进价</v>
          </cell>
        </row>
        <row r="2">
          <cell r="A2" t="str">
            <v>AC001</v>
          </cell>
          <cell r="B2">
            <v>3266.1</v>
          </cell>
        </row>
        <row r="3">
          <cell r="A3" t="str">
            <v>AC002</v>
          </cell>
          <cell r="B3">
            <v>3695.16</v>
          </cell>
        </row>
        <row r="4">
          <cell r="A4" t="str">
            <v>AC003</v>
          </cell>
          <cell r="B4">
            <v>1503.2</v>
          </cell>
        </row>
        <row r="5">
          <cell r="A5" t="str">
            <v>AC004</v>
          </cell>
          <cell r="B5">
            <v>1521.34</v>
          </cell>
        </row>
        <row r="6">
          <cell r="A6" t="str">
            <v>AC005</v>
          </cell>
          <cell r="B6">
            <v>1852.15</v>
          </cell>
        </row>
        <row r="7">
          <cell r="A7" t="str">
            <v>AC006</v>
          </cell>
          <cell r="B7">
            <v>2348.71</v>
          </cell>
        </row>
        <row r="8">
          <cell r="A8" t="str">
            <v>AC007</v>
          </cell>
          <cell r="B8">
            <v>2005.52</v>
          </cell>
        </row>
        <row r="9">
          <cell r="A9" t="str">
            <v>AC008</v>
          </cell>
          <cell r="B9">
            <v>2081.91</v>
          </cell>
        </row>
        <row r="10">
          <cell r="A10" t="str">
            <v>AC009</v>
          </cell>
          <cell r="B10">
            <v>3381.11</v>
          </cell>
        </row>
        <row r="11">
          <cell r="A11" t="str">
            <v>AC010</v>
          </cell>
          <cell r="B11">
            <v>1532.58</v>
          </cell>
        </row>
        <row r="12">
          <cell r="A12" t="str">
            <v>AC011</v>
          </cell>
          <cell r="B12">
            <v>1343.16</v>
          </cell>
        </row>
        <row r="13">
          <cell r="A13" t="str">
            <v>AC012</v>
          </cell>
          <cell r="B13">
            <v>1633.14</v>
          </cell>
        </row>
        <row r="14">
          <cell r="A14" t="str">
            <v>AC013</v>
          </cell>
          <cell r="B14">
            <v>1679.16</v>
          </cell>
        </row>
        <row r="15">
          <cell r="A15" t="str">
            <v>AC014</v>
          </cell>
          <cell r="B15">
            <v>2022.15</v>
          </cell>
        </row>
        <row r="16">
          <cell r="A16" t="str">
            <v>AC015</v>
          </cell>
          <cell r="B16">
            <v>1939.31</v>
          </cell>
        </row>
        <row r="17">
          <cell r="A17" t="str">
            <v>AC016</v>
          </cell>
          <cell r="B17">
            <v>1214.19</v>
          </cell>
        </row>
        <row r="18">
          <cell r="A18" t="str">
            <v>AC017</v>
          </cell>
          <cell r="B18">
            <v>1659.8</v>
          </cell>
        </row>
        <row r="19">
          <cell r="A19" t="str">
            <v>AC018</v>
          </cell>
          <cell r="B19">
            <v>2135.11</v>
          </cell>
        </row>
        <row r="20">
          <cell r="A20" t="str">
            <v>AC019</v>
          </cell>
          <cell r="B20">
            <v>1830.36</v>
          </cell>
        </row>
        <row r="21">
          <cell r="A21" t="str">
            <v>AC020</v>
          </cell>
          <cell r="B21">
            <v>1682.15</v>
          </cell>
        </row>
        <row r="22">
          <cell r="A22" t="str">
            <v>NC001</v>
          </cell>
          <cell r="B22">
            <v>5170.24</v>
          </cell>
        </row>
        <row r="23">
          <cell r="A23" t="str">
            <v>NC002</v>
          </cell>
          <cell r="B23">
            <v>5329.32</v>
          </cell>
        </row>
        <row r="24">
          <cell r="A24" t="str">
            <v>NC003</v>
          </cell>
          <cell r="B24">
            <v>7465.92</v>
          </cell>
        </row>
        <row r="25">
          <cell r="A25" t="str">
            <v>NC004</v>
          </cell>
          <cell r="B25">
            <v>8965.44</v>
          </cell>
        </row>
        <row r="26">
          <cell r="A26" t="str">
            <v>NC005</v>
          </cell>
          <cell r="B26">
            <v>13177.92</v>
          </cell>
        </row>
        <row r="27">
          <cell r="A27" t="str">
            <v>NC006</v>
          </cell>
          <cell r="B27">
            <v>11379.8</v>
          </cell>
        </row>
        <row r="28">
          <cell r="A28" t="str">
            <v>NC007</v>
          </cell>
          <cell r="B28">
            <v>7643.68</v>
          </cell>
        </row>
        <row r="29">
          <cell r="A29" t="str">
            <v>NC008</v>
          </cell>
          <cell r="B29">
            <v>7999.2</v>
          </cell>
        </row>
        <row r="30">
          <cell r="A30" t="str">
            <v>NC009</v>
          </cell>
          <cell r="B30">
            <v>2159.1999999999998</v>
          </cell>
        </row>
        <row r="31">
          <cell r="A31" t="str">
            <v>NC010</v>
          </cell>
          <cell r="B31">
            <v>1595.97</v>
          </cell>
        </row>
        <row r="32">
          <cell r="A32" t="str">
            <v>NC011</v>
          </cell>
          <cell r="B32">
            <v>4339.34</v>
          </cell>
        </row>
        <row r="33">
          <cell r="A33" t="str">
            <v>NC012</v>
          </cell>
          <cell r="B33">
            <v>2834.1</v>
          </cell>
        </row>
        <row r="34">
          <cell r="A34" t="str">
            <v>NC013</v>
          </cell>
          <cell r="B34">
            <v>3527.16</v>
          </cell>
        </row>
        <row r="35">
          <cell r="A35" t="str">
            <v>NC014</v>
          </cell>
          <cell r="B35">
            <v>7831.12</v>
          </cell>
        </row>
        <row r="36">
          <cell r="A36" t="str">
            <v>NC015</v>
          </cell>
          <cell r="B36">
            <v>6629.15</v>
          </cell>
        </row>
        <row r="37">
          <cell r="A37" t="str">
            <v>NC016</v>
          </cell>
          <cell r="B37">
            <v>7046.13</v>
          </cell>
        </row>
        <row r="38">
          <cell r="A38" t="str">
            <v>NC017</v>
          </cell>
          <cell r="B38">
            <v>2782.26</v>
          </cell>
        </row>
        <row r="39">
          <cell r="A39" t="str">
            <v>NC018</v>
          </cell>
          <cell r="B39">
            <v>2669.11</v>
          </cell>
        </row>
        <row r="40">
          <cell r="A40" t="str">
            <v>NC019</v>
          </cell>
          <cell r="B40">
            <v>2904.17</v>
          </cell>
        </row>
        <row r="41">
          <cell r="A41" t="str">
            <v>NC020</v>
          </cell>
          <cell r="B41">
            <v>4299.1400000000003</v>
          </cell>
        </row>
        <row r="42">
          <cell r="A42" t="str">
            <v>PC001</v>
          </cell>
          <cell r="B42">
            <v>8149.8</v>
          </cell>
        </row>
        <row r="43">
          <cell r="A43" t="str">
            <v>PC002</v>
          </cell>
          <cell r="B43">
            <v>7717.92</v>
          </cell>
        </row>
        <row r="44">
          <cell r="A44" t="str">
            <v>PC003</v>
          </cell>
          <cell r="B44">
            <v>8914.7999999999993</v>
          </cell>
        </row>
        <row r="45">
          <cell r="A45" t="str">
            <v>PC004</v>
          </cell>
          <cell r="B45">
            <v>9472.56</v>
          </cell>
        </row>
        <row r="46">
          <cell r="A46" t="str">
            <v>PC005</v>
          </cell>
          <cell r="B46">
            <v>2463.12</v>
          </cell>
        </row>
        <row r="47">
          <cell r="A47" t="str">
            <v>PC006</v>
          </cell>
          <cell r="B47">
            <v>4871.16</v>
          </cell>
        </row>
        <row r="48">
          <cell r="A48" t="str">
            <v>PC007</v>
          </cell>
          <cell r="B48">
            <v>6390.17</v>
          </cell>
        </row>
        <row r="49">
          <cell r="A49" t="str">
            <v>PC008</v>
          </cell>
          <cell r="B49">
            <v>7568.13</v>
          </cell>
        </row>
        <row r="50">
          <cell r="A50" t="str">
            <v>PC009</v>
          </cell>
          <cell r="B50">
            <v>3037.5</v>
          </cell>
        </row>
        <row r="51">
          <cell r="A51" t="str">
            <v>PC010</v>
          </cell>
          <cell r="B51">
            <v>2371.85</v>
          </cell>
        </row>
        <row r="52">
          <cell r="A52" t="str">
            <v>PC011</v>
          </cell>
          <cell r="B52">
            <v>2824</v>
          </cell>
        </row>
        <row r="53">
          <cell r="A53" t="str">
            <v>PC012</v>
          </cell>
          <cell r="B53">
            <v>1705.6</v>
          </cell>
        </row>
        <row r="54">
          <cell r="A54" t="str">
            <v>PC013</v>
          </cell>
          <cell r="B54">
            <v>1635.9</v>
          </cell>
        </row>
        <row r="55">
          <cell r="A55" t="str">
            <v>PC014</v>
          </cell>
          <cell r="B55">
            <v>3556.55</v>
          </cell>
        </row>
        <row r="56">
          <cell r="A56" t="str">
            <v>RF001</v>
          </cell>
          <cell r="B56">
            <v>1943.19</v>
          </cell>
        </row>
        <row r="57">
          <cell r="A57" t="str">
            <v>RF002</v>
          </cell>
          <cell r="B57">
            <v>1245.1099999999999</v>
          </cell>
        </row>
        <row r="58">
          <cell r="A58" t="str">
            <v>RF003</v>
          </cell>
          <cell r="B58">
            <v>1043.1300000000001</v>
          </cell>
        </row>
        <row r="59">
          <cell r="A59" t="str">
            <v>RF004</v>
          </cell>
          <cell r="B59">
            <v>737.04</v>
          </cell>
        </row>
        <row r="60">
          <cell r="A60" t="str">
            <v>RF005</v>
          </cell>
          <cell r="B60">
            <v>988.2</v>
          </cell>
        </row>
        <row r="61">
          <cell r="A61" t="str">
            <v>RF006</v>
          </cell>
          <cell r="B61">
            <v>1039.2</v>
          </cell>
        </row>
        <row r="62">
          <cell r="A62" t="str">
            <v>RF007</v>
          </cell>
          <cell r="B62">
            <v>1401.65</v>
          </cell>
        </row>
        <row r="63">
          <cell r="A63" t="str">
            <v>RF008</v>
          </cell>
          <cell r="B63">
            <v>2847.11</v>
          </cell>
        </row>
        <row r="64">
          <cell r="A64" t="str">
            <v>RF009</v>
          </cell>
          <cell r="B64">
            <v>3353.14</v>
          </cell>
        </row>
        <row r="65">
          <cell r="A65" t="str">
            <v>RF010</v>
          </cell>
          <cell r="B65">
            <v>839.16</v>
          </cell>
        </row>
        <row r="66">
          <cell r="A66" t="str">
            <v>RF011</v>
          </cell>
          <cell r="B66">
            <v>720.68</v>
          </cell>
        </row>
        <row r="67">
          <cell r="A67" t="str">
            <v>RF012</v>
          </cell>
          <cell r="B67">
            <v>798.66</v>
          </cell>
        </row>
        <row r="68">
          <cell r="A68" t="str">
            <v>RF013</v>
          </cell>
          <cell r="B68">
            <v>1427.16</v>
          </cell>
        </row>
        <row r="69">
          <cell r="A69" t="str">
            <v>RF014</v>
          </cell>
          <cell r="B69">
            <v>1052.19</v>
          </cell>
        </row>
        <row r="70">
          <cell r="A70" t="str">
            <v>RF015</v>
          </cell>
          <cell r="B70">
            <v>1192</v>
          </cell>
        </row>
        <row r="71">
          <cell r="A71" t="str">
            <v>RF016</v>
          </cell>
          <cell r="B71">
            <v>1334.11</v>
          </cell>
        </row>
        <row r="72">
          <cell r="A72" t="str">
            <v>RF017</v>
          </cell>
          <cell r="B72">
            <v>1133.19</v>
          </cell>
        </row>
        <row r="73">
          <cell r="A73" t="str">
            <v>RF018</v>
          </cell>
          <cell r="B73">
            <v>1619.19</v>
          </cell>
        </row>
        <row r="74">
          <cell r="A74" t="str">
            <v>RF019</v>
          </cell>
          <cell r="B74">
            <v>2855.16</v>
          </cell>
        </row>
        <row r="75">
          <cell r="A75" t="str">
            <v>RF020</v>
          </cell>
          <cell r="B75">
            <v>2351.16</v>
          </cell>
        </row>
        <row r="76">
          <cell r="A76" t="str">
            <v>TC001</v>
          </cell>
          <cell r="B76">
            <v>3553.44</v>
          </cell>
        </row>
        <row r="77">
          <cell r="A77" t="str">
            <v>TC002</v>
          </cell>
          <cell r="B77">
            <v>3472.68</v>
          </cell>
        </row>
        <row r="78">
          <cell r="A78" t="str">
            <v>TC003</v>
          </cell>
          <cell r="B78">
            <v>2436.8200000000002</v>
          </cell>
        </row>
        <row r="79">
          <cell r="A79" t="str">
            <v>TC004</v>
          </cell>
          <cell r="B79">
            <v>2641.8</v>
          </cell>
        </row>
        <row r="80">
          <cell r="A80" t="str">
            <v>TC005</v>
          </cell>
          <cell r="B80">
            <v>1917.16</v>
          </cell>
        </row>
        <row r="81">
          <cell r="A81" t="str">
            <v>TC006</v>
          </cell>
          <cell r="B81">
            <v>2881.98</v>
          </cell>
        </row>
        <row r="82">
          <cell r="A82" t="str">
            <v>TC007</v>
          </cell>
          <cell r="B82">
            <v>671.77</v>
          </cell>
        </row>
        <row r="83">
          <cell r="A83" t="str">
            <v>TC008</v>
          </cell>
          <cell r="B83">
            <v>266.39999999999998</v>
          </cell>
        </row>
        <row r="84">
          <cell r="A84" t="str">
            <v>TC009</v>
          </cell>
          <cell r="B84">
            <v>245.65</v>
          </cell>
        </row>
        <row r="85">
          <cell r="A85" t="str">
            <v>TC010</v>
          </cell>
          <cell r="B85">
            <v>2027.42</v>
          </cell>
        </row>
        <row r="86">
          <cell r="A86" t="str">
            <v>TC011</v>
          </cell>
          <cell r="B86">
            <v>6649.2</v>
          </cell>
        </row>
        <row r="87">
          <cell r="A87" t="str">
            <v>TC012</v>
          </cell>
          <cell r="B87">
            <v>1574.7</v>
          </cell>
        </row>
        <row r="88">
          <cell r="A88" t="str">
            <v>TC013</v>
          </cell>
          <cell r="B88">
            <v>2209.15</v>
          </cell>
        </row>
        <row r="89">
          <cell r="A89" t="str">
            <v>TC015</v>
          </cell>
          <cell r="B89">
            <v>1007.78</v>
          </cell>
        </row>
        <row r="90">
          <cell r="A90" t="str">
            <v>TC016</v>
          </cell>
          <cell r="B90">
            <v>1244.17</v>
          </cell>
        </row>
        <row r="91">
          <cell r="A91" t="str">
            <v>TC017</v>
          </cell>
          <cell r="B91">
            <v>399.2</v>
          </cell>
        </row>
        <row r="92">
          <cell r="A92" t="str">
            <v>TC018</v>
          </cell>
          <cell r="B92">
            <v>2991.12</v>
          </cell>
        </row>
        <row r="93">
          <cell r="A93" t="str">
            <v>TV001</v>
          </cell>
          <cell r="B93">
            <v>4509.18</v>
          </cell>
        </row>
        <row r="94">
          <cell r="A94" t="str">
            <v>TV002</v>
          </cell>
          <cell r="B94">
            <v>2186.19</v>
          </cell>
        </row>
        <row r="95">
          <cell r="A95" t="str">
            <v>TV003</v>
          </cell>
          <cell r="B95">
            <v>1393.18</v>
          </cell>
        </row>
        <row r="96">
          <cell r="A96" t="str">
            <v>TV004</v>
          </cell>
          <cell r="B96">
            <v>1510.32</v>
          </cell>
        </row>
        <row r="97">
          <cell r="A97" t="str">
            <v>TV005</v>
          </cell>
          <cell r="B97">
            <v>3239.1</v>
          </cell>
        </row>
        <row r="98">
          <cell r="A98" t="str">
            <v>TV006</v>
          </cell>
          <cell r="B98">
            <v>4199.16</v>
          </cell>
        </row>
        <row r="99">
          <cell r="A99" t="str">
            <v>TV007</v>
          </cell>
          <cell r="B99">
            <v>1444.15</v>
          </cell>
        </row>
        <row r="100">
          <cell r="A100" t="str">
            <v>TV008</v>
          </cell>
          <cell r="B100">
            <v>1310.3599999999999</v>
          </cell>
        </row>
        <row r="101">
          <cell r="A101" t="str">
            <v>TV009</v>
          </cell>
          <cell r="B101">
            <v>2469.69</v>
          </cell>
        </row>
        <row r="102">
          <cell r="A102" t="str">
            <v>TV010</v>
          </cell>
          <cell r="B102">
            <v>2106.58</v>
          </cell>
        </row>
        <row r="103">
          <cell r="A103" t="str">
            <v>TV011</v>
          </cell>
          <cell r="B103">
            <v>2149.14</v>
          </cell>
        </row>
        <row r="104">
          <cell r="A104" t="str">
            <v>TV012</v>
          </cell>
          <cell r="B104">
            <v>3399.15</v>
          </cell>
        </row>
        <row r="105">
          <cell r="A105" t="str">
            <v>TV013</v>
          </cell>
          <cell r="B105">
            <v>1671.12</v>
          </cell>
        </row>
        <row r="106">
          <cell r="A106" t="str">
            <v>TV014</v>
          </cell>
          <cell r="B106">
            <v>3431.12</v>
          </cell>
        </row>
        <row r="107">
          <cell r="A107" t="str">
            <v>TV015</v>
          </cell>
          <cell r="B107">
            <v>2904.17</v>
          </cell>
        </row>
        <row r="108">
          <cell r="A108" t="str">
            <v>TV016</v>
          </cell>
          <cell r="B108">
            <v>3479.13</v>
          </cell>
        </row>
        <row r="109">
          <cell r="A109" t="str">
            <v>TV017</v>
          </cell>
          <cell r="B109">
            <v>1783.3</v>
          </cell>
        </row>
        <row r="110">
          <cell r="A110" t="str">
            <v>TV018</v>
          </cell>
          <cell r="B110">
            <v>2638.24</v>
          </cell>
        </row>
        <row r="111">
          <cell r="A111" t="str">
            <v>TV019</v>
          </cell>
          <cell r="B111">
            <v>1434.63</v>
          </cell>
        </row>
        <row r="112">
          <cell r="A112" t="str">
            <v>TV020</v>
          </cell>
          <cell r="B112">
            <v>5912.19</v>
          </cell>
        </row>
        <row r="113">
          <cell r="A113" t="str">
            <v>WH001</v>
          </cell>
          <cell r="B113">
            <v>1859.76</v>
          </cell>
        </row>
        <row r="114">
          <cell r="A114" t="str">
            <v>WH002</v>
          </cell>
          <cell r="B114">
            <v>2294.4</v>
          </cell>
        </row>
        <row r="115">
          <cell r="A115" t="str">
            <v>WH003</v>
          </cell>
          <cell r="B115">
            <v>443.22</v>
          </cell>
        </row>
        <row r="116">
          <cell r="A116" t="str">
            <v>WH004</v>
          </cell>
          <cell r="B116">
            <v>1038.4000000000001</v>
          </cell>
        </row>
        <row r="117">
          <cell r="A117" t="str">
            <v>WH005</v>
          </cell>
          <cell r="B117">
            <v>944.28</v>
          </cell>
        </row>
        <row r="118">
          <cell r="A118" t="str">
            <v>WH006</v>
          </cell>
          <cell r="B118">
            <v>994.34</v>
          </cell>
        </row>
        <row r="119">
          <cell r="A119" t="str">
            <v>WH007</v>
          </cell>
          <cell r="B119">
            <v>1142.24</v>
          </cell>
        </row>
        <row r="120">
          <cell r="A120" t="str">
            <v>WH008</v>
          </cell>
          <cell r="B120">
            <v>403.38</v>
          </cell>
        </row>
        <row r="121">
          <cell r="A121" t="str">
            <v>WH009</v>
          </cell>
          <cell r="B121">
            <v>1598.4</v>
          </cell>
        </row>
        <row r="122">
          <cell r="A122" t="str">
            <v>WH010</v>
          </cell>
          <cell r="B122">
            <v>3008.2</v>
          </cell>
        </row>
        <row r="123">
          <cell r="A123" t="str">
            <v>WH011</v>
          </cell>
          <cell r="B123">
            <v>2864</v>
          </cell>
        </row>
        <row r="124">
          <cell r="A124" t="str">
            <v>WH012</v>
          </cell>
          <cell r="B124">
            <v>676.72</v>
          </cell>
        </row>
        <row r="125">
          <cell r="A125" t="str">
            <v>WH013</v>
          </cell>
          <cell r="B125">
            <v>331.17</v>
          </cell>
        </row>
        <row r="126">
          <cell r="A126" t="str">
            <v>WH014</v>
          </cell>
          <cell r="B126">
            <v>1103.3</v>
          </cell>
        </row>
        <row r="127">
          <cell r="A127" t="str">
            <v>WH015</v>
          </cell>
          <cell r="B127">
            <v>1214.19</v>
          </cell>
        </row>
        <row r="128">
          <cell r="A128" t="str">
            <v>WH016</v>
          </cell>
          <cell r="B128">
            <v>1861.38</v>
          </cell>
        </row>
        <row r="129">
          <cell r="A129" t="str">
            <v>WH017</v>
          </cell>
          <cell r="B129">
            <v>2182.3200000000002</v>
          </cell>
        </row>
        <row r="130">
          <cell r="A130" t="str">
            <v>WH018</v>
          </cell>
          <cell r="B130">
            <v>890.19</v>
          </cell>
        </row>
        <row r="131">
          <cell r="A131" t="str">
            <v>WH019</v>
          </cell>
          <cell r="B131">
            <v>1169.0999999999999</v>
          </cell>
        </row>
        <row r="132">
          <cell r="A132" t="str">
            <v>WH020</v>
          </cell>
          <cell r="B132">
            <v>327.18</v>
          </cell>
        </row>
        <row r="133">
          <cell r="A133" t="str">
            <v>WM001</v>
          </cell>
          <cell r="B133">
            <v>2261.13</v>
          </cell>
        </row>
        <row r="134">
          <cell r="A134" t="str">
            <v>WM002</v>
          </cell>
          <cell r="B134">
            <v>207.93</v>
          </cell>
        </row>
        <row r="135">
          <cell r="A135" t="str">
            <v>WM003</v>
          </cell>
          <cell r="B135">
            <v>166.32</v>
          </cell>
        </row>
        <row r="136">
          <cell r="A136" t="str">
            <v>WM004</v>
          </cell>
          <cell r="B136">
            <v>179.58</v>
          </cell>
        </row>
        <row r="137">
          <cell r="A137" t="str">
            <v>WM005</v>
          </cell>
          <cell r="B137">
            <v>83.16</v>
          </cell>
        </row>
        <row r="138">
          <cell r="A138" t="str">
            <v>WM006</v>
          </cell>
          <cell r="B138">
            <v>819.18</v>
          </cell>
        </row>
        <row r="139">
          <cell r="A139" t="str">
            <v>WM007</v>
          </cell>
          <cell r="B139">
            <v>703.12</v>
          </cell>
        </row>
        <row r="140">
          <cell r="A140" t="str">
            <v>WM008</v>
          </cell>
          <cell r="B140">
            <v>829.17</v>
          </cell>
        </row>
        <row r="141">
          <cell r="A141" t="str">
            <v>WM009</v>
          </cell>
          <cell r="B141">
            <v>801.96</v>
          </cell>
        </row>
        <row r="142">
          <cell r="A142" t="str">
            <v>WM010</v>
          </cell>
          <cell r="B142">
            <v>962.28</v>
          </cell>
        </row>
        <row r="143">
          <cell r="A143" t="str">
            <v>WM011</v>
          </cell>
          <cell r="B143">
            <v>85.14</v>
          </cell>
        </row>
        <row r="144">
          <cell r="A144" t="str">
            <v>WM012</v>
          </cell>
          <cell r="B144">
            <v>693.44</v>
          </cell>
        </row>
        <row r="145">
          <cell r="A145" t="str">
            <v>WM013</v>
          </cell>
          <cell r="B145">
            <v>1529.02</v>
          </cell>
        </row>
        <row r="146">
          <cell r="A146" t="str">
            <v>WM014</v>
          </cell>
          <cell r="B146">
            <v>158.4</v>
          </cell>
        </row>
        <row r="147">
          <cell r="A147" t="str">
            <v>WM015</v>
          </cell>
          <cell r="B147">
            <v>1191.96</v>
          </cell>
        </row>
        <row r="148">
          <cell r="A148" t="str">
            <v>WM016</v>
          </cell>
          <cell r="B148">
            <v>175.12</v>
          </cell>
        </row>
        <row r="149">
          <cell r="A149" t="str">
            <v>WM017</v>
          </cell>
          <cell r="B149">
            <v>1295.43</v>
          </cell>
        </row>
        <row r="150">
          <cell r="A150" t="str">
            <v>WM018</v>
          </cell>
          <cell r="B150">
            <v>287.3</v>
          </cell>
        </row>
        <row r="151">
          <cell r="A151" t="str">
            <v>WM019</v>
          </cell>
          <cell r="B151">
            <v>234.36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uyou" refreshedDate="43569.748854861115" createdVersion="4" refreshedVersion="4" minRefreshableVersion="3" recordCount="371">
  <cacheSource type="worksheet">
    <worksheetSource name="表1"/>
  </cacheSource>
  <cacheFields count="13">
    <cacheField name="序号" numFmtId="178">
      <sharedItems containsSemiMixedTypes="0" containsString="0" containsNumber="1" containsInteger="1" minValue="1" maxValue="371"/>
    </cacheField>
    <cacheField name="商品代码" numFmtId="0">
      <sharedItems/>
    </cacheField>
    <cacheField name="品牌" numFmtId="0">
      <sharedItems/>
    </cacheField>
    <cacheField name="商品名称" numFmtId="0">
      <sharedItems/>
    </cacheField>
    <cacheField name="商品类别" numFmtId="0">
      <sharedItems count="6">
        <s v="计算机"/>
        <s v="电视"/>
        <s v="空调"/>
        <s v="冰箱"/>
        <s v="热水器"/>
        <s v="洗衣机"/>
      </sharedItems>
    </cacheField>
    <cacheField name="销售日期" numFmtId="177">
      <sharedItems containsSemiMixedTypes="0" containsNonDate="0" containsDate="1" containsString="0" minDate="2017-01-03T00:00:00" maxDate="2017-07-01T00:00:00" count="170">
        <d v="2017-06-02T00:00:00"/>
        <d v="2017-01-10T00:00:00"/>
        <d v="2017-01-15T00:00:00"/>
        <d v="2017-06-23T00:00:00"/>
        <d v="2017-01-30T00:00:00"/>
        <d v="2017-02-06T00:00:00"/>
        <d v="2017-02-14T00:00:00"/>
        <d v="2017-02-20T00:00:00"/>
        <d v="2017-03-01T00:00:00"/>
        <d v="2017-03-09T00:00:00"/>
        <d v="2017-03-16T00:00:00"/>
        <d v="2017-03-22T00:00:00"/>
        <d v="2017-03-29T00:00:00"/>
        <d v="2017-04-06T00:00:00"/>
        <d v="2017-04-13T00:00:00"/>
        <d v="2017-04-25T00:00:00"/>
        <d v="2017-05-02T00:00:00"/>
        <d v="2017-05-08T00:00:00"/>
        <d v="2017-05-15T00:00:00"/>
        <d v="2017-05-23T00:00:00"/>
        <d v="2017-05-29T00:00:00"/>
        <d v="2017-06-05T00:00:00"/>
        <d v="2017-06-14T00:00:00"/>
        <d v="2017-06-19T00:00:00"/>
        <d v="2017-06-25T00:00:00"/>
        <d v="2017-01-03T00:00:00"/>
        <d v="2017-01-12T00:00:00"/>
        <d v="2017-06-16T00:00:00"/>
        <d v="2017-01-20T00:00:00"/>
        <d v="2017-01-25T00:00:00"/>
        <d v="2017-01-27T00:00:00"/>
        <d v="2017-01-31T00:00:00"/>
        <d v="2017-02-03T00:00:00"/>
        <d v="2017-02-08T00:00:00"/>
        <d v="2017-02-16T00:00:00"/>
        <d v="2017-02-24T00:00:00"/>
        <d v="2017-03-03T00:00:00"/>
        <d v="2017-03-08T00:00:00"/>
        <d v="2017-03-15T00:00:00"/>
        <d v="2017-03-24T00:00:00"/>
        <d v="2017-04-10T00:00:00"/>
        <d v="2017-04-17T00:00:00"/>
        <d v="2017-04-24T00:00:00"/>
        <d v="2017-05-01T00:00:00"/>
        <d v="2017-05-03T00:00:00"/>
        <d v="2017-05-04T00:00:00"/>
        <d v="2017-05-05T00:00:00"/>
        <d v="2017-06-06T00:00:00"/>
        <d v="2017-06-13T00:00:00"/>
        <d v="2017-06-21T00:00:00"/>
        <d v="2017-06-28T00:00:00"/>
        <d v="2017-06-04T00:00:00"/>
        <d v="2017-01-11T00:00:00"/>
        <d v="2017-01-16T00:00:00"/>
        <d v="2017-01-24T00:00:00"/>
        <d v="2017-02-15T00:00:00"/>
        <d v="2017-02-22T00:00:00"/>
        <d v="2017-03-02T00:00:00"/>
        <d v="2017-03-12T00:00:00"/>
        <d v="2017-03-19T00:00:00"/>
        <d v="2017-03-23T00:00:00"/>
        <d v="2017-03-31T00:00:00"/>
        <d v="2017-04-09T00:00:00"/>
        <d v="2017-04-19T00:00:00"/>
        <d v="2017-04-26T00:00:00"/>
        <d v="2017-05-09T00:00:00"/>
        <d v="2017-05-16T00:00:00"/>
        <d v="2017-05-25T00:00:00"/>
        <d v="2017-05-31T00:00:00"/>
        <d v="2017-06-07T00:00:00"/>
        <d v="2017-06-15T00:00:00"/>
        <d v="2017-06-20T00:00:00"/>
        <d v="2017-06-27T00:00:00"/>
        <d v="2017-06-12T00:00:00"/>
        <d v="2017-05-18T00:00:00"/>
        <d v="2017-02-02T00:00:00"/>
        <d v="2017-02-07T00:00:00"/>
        <d v="2017-02-10T00:00:00"/>
        <d v="2017-02-17T00:00:00"/>
        <d v="2017-02-28T00:00:00"/>
        <d v="2017-03-04T00:00:00"/>
        <d v="2017-03-11T00:00:00"/>
        <d v="2017-03-18T00:00:00"/>
        <d v="2017-03-25T00:00:00"/>
        <d v="2017-04-03T00:00:00"/>
        <d v="2017-04-11T00:00:00"/>
        <d v="2017-04-18T00:00:00"/>
        <d v="2017-06-03T00:00:00"/>
        <d v="2017-06-24T00:00:00"/>
        <d v="2017-06-29T00:00:00"/>
        <d v="2017-01-09T00:00:00"/>
        <d v="2017-01-22T00:00:00"/>
        <d v="2017-01-29T00:00:00"/>
        <d v="2017-02-05T00:00:00"/>
        <d v="2017-02-13T00:00:00"/>
        <d v="2017-03-28T00:00:00"/>
        <d v="2017-04-05T00:00:00"/>
        <d v="2017-05-07T00:00:00"/>
        <d v="2017-05-14T00:00:00"/>
        <d v="2017-01-14T00:00:00"/>
        <d v="2017-01-18T00:00:00"/>
        <d v="2017-05-24T00:00:00"/>
        <d v="2017-01-26T00:00:00"/>
        <d v="2017-02-23T00:00:00"/>
        <d v="2017-03-07T00:00:00"/>
        <d v="2017-03-14T00:00:00"/>
        <d v="2017-03-21T00:00:00"/>
        <d v="2017-04-16T00:00:00"/>
        <d v="2017-04-23T00:00:00"/>
        <d v="2017-04-29T00:00:00"/>
        <d v="2017-05-30T00:00:00"/>
        <d v="2017-01-04T00:00:00"/>
        <d v="2017-03-10T00:00:00"/>
        <d v="2017-03-30T00:00:00"/>
        <d v="2017-04-07T00:00:00"/>
        <d v="2017-06-26T00:00:00"/>
        <d v="2017-05-11T00:00:00"/>
        <d v="2017-01-13T00:00:00"/>
        <d v="2017-06-17T00:00:00"/>
        <d v="2017-01-21T00:00:00"/>
        <d v="2017-01-28T00:00:00"/>
        <d v="2017-02-01T00:00:00"/>
        <d v="2017-02-04T00:00:00"/>
        <d v="2017-02-09T00:00:00"/>
        <d v="2017-03-17T00:00:00"/>
        <d v="2017-04-02T00:00:00"/>
        <d v="2017-05-13T00:00:00"/>
        <d v="2017-06-01T00:00:00"/>
        <d v="2017-06-09T00:00:00"/>
        <d v="2017-01-19T00:00:00"/>
        <d v="2017-02-12T00:00:00"/>
        <d v="2017-02-19T00:00:00"/>
        <d v="2017-02-27T00:00:00"/>
        <d v="2017-04-04T00:00:00"/>
        <d v="2017-04-12T00:00:00"/>
        <d v="2017-05-12T00:00:00"/>
        <d v="2017-05-22T00:00:00"/>
        <d v="2017-05-28T00:00:00"/>
        <d v="2017-06-11T00:00:00"/>
        <d v="2017-06-18T00:00:00"/>
        <d v="2017-06-22T00:00:00"/>
        <d v="2017-01-17T00:00:00"/>
        <d v="2017-02-21T00:00:00"/>
        <d v="2017-03-06T00:00:00"/>
        <d v="2017-03-20T00:00:00"/>
        <d v="2017-03-27T00:00:00"/>
        <d v="2017-04-08T00:00:00"/>
        <d v="2017-04-15T00:00:00"/>
        <d v="2017-04-22T00:00:00"/>
        <d v="2017-04-30T00:00:00"/>
        <d v="2017-05-21T00:00:00"/>
        <d v="2017-01-06T00:00:00"/>
        <d v="2017-04-21T00:00:00"/>
        <d v="2017-05-26T00:00:00"/>
        <d v="2017-03-13T00:00:00"/>
        <d v="2017-04-20T00:00:00"/>
        <d v="2017-04-27T00:00:00"/>
        <d v="2017-05-20T00:00:00"/>
        <d v="2017-01-05T00:00:00"/>
        <d v="2017-04-28T00:00:00"/>
        <d v="2017-05-10T00:00:00"/>
        <d v="2017-05-17T00:00:00"/>
        <d v="2017-06-08T00:00:00"/>
        <d v="2017-02-18T00:00:00"/>
        <d v="2017-03-05T00:00:00"/>
        <d v="2017-03-26T00:00:00"/>
        <d v="2017-05-06T00:00:00"/>
        <d v="2017-05-27T00:00:00"/>
        <d v="2017-06-10T00:00:00"/>
        <d v="2017-06-30T00:00:00"/>
      </sharedItems>
      <fieldGroup base="5">
        <rangePr groupBy="months" startDate="2017-01-03T00:00:00" endDate="2017-07-01T00:00:00"/>
        <groupItems count="14">
          <s v="&lt;2017/1/3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7/7/1"/>
        </groupItems>
      </fieldGroup>
    </cacheField>
    <cacheField name="分部" numFmtId="0">
      <sharedItems count="7">
        <s v="北京总公司"/>
        <s v="广州分公司"/>
        <s v="南宁分公司"/>
        <s v="上海分公司"/>
        <s v="长沙分公司"/>
        <s v="郑州分公司"/>
        <s v="重庆分公司"/>
      </sharedItems>
    </cacheField>
    <cacheField name="销售渠道" numFmtId="0">
      <sharedItems count="2">
        <s v="网店"/>
        <s v="实体店"/>
      </sharedItems>
    </cacheField>
    <cacheField name="销量" numFmtId="176">
      <sharedItems containsSemiMixedTypes="0" containsString="0" containsNumber="1" containsInteger="1" minValue="2" maxValue="61"/>
    </cacheField>
    <cacheField name="销售单价" numFmtId="179">
      <sharedItems containsSemiMixedTypes="0" containsString="0" containsNumber="1" minValue="99" maxValue="15688"/>
    </cacheField>
    <cacheField name="销售额" numFmtId="179">
      <sharedItems containsSemiMixedTypes="0" containsString="0" containsNumber="1" minValue="1089" maxValue="768712"/>
    </cacheField>
    <cacheField name="进货成本" numFmtId="179">
      <sharedItems containsSemiMixedTypes="0" containsString="0" containsNumber="1" minValue="936.54" maxValue="645718.07999999996"/>
    </cacheField>
    <cacheField name="毛利" numFmtId="0" formula="销售额-进货成本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1">
  <r>
    <n v="1"/>
    <s v="NC001"/>
    <s v="Apple"/>
    <s v="MacBook Air MJVE2CH/A 13.3英寸笔记本电脑"/>
    <x v="0"/>
    <x v="0"/>
    <x v="0"/>
    <x v="0"/>
    <n v="12"/>
    <n v="6462.8"/>
    <n v="77553.600000000006"/>
    <n v="62042.879999999997"/>
  </r>
  <r>
    <n v="2"/>
    <s v="NC013"/>
    <s v="戴尔"/>
    <s v="Dell Vostro 5480R-3528SS 14英寸笔记本电脑 银色"/>
    <x v="0"/>
    <x v="1"/>
    <x v="0"/>
    <x v="1"/>
    <n v="20"/>
    <n v="4199"/>
    <n v="83980"/>
    <n v="70543.199999999997"/>
  </r>
  <r>
    <n v="3"/>
    <s v="PC004"/>
    <s v="Apple"/>
    <s v="iMac MK452CH/A 21.5英寸一体机 "/>
    <x v="0"/>
    <x v="2"/>
    <x v="0"/>
    <x v="1"/>
    <n v="43"/>
    <n v="10888"/>
    <n v="468184"/>
    <n v="407320.07999999996"/>
  </r>
  <r>
    <n v="4"/>
    <s v="TC001"/>
    <s v="Apple"/>
    <s v="iPad Air 2 MGKM2CH/A 9.7英寸平板电脑"/>
    <x v="0"/>
    <x v="3"/>
    <x v="0"/>
    <x v="0"/>
    <n v="35"/>
    <n v="4038"/>
    <n v="141330"/>
    <n v="124370.40000000001"/>
  </r>
  <r>
    <n v="5"/>
    <s v="TC013"/>
    <s v="联想"/>
    <s v="ThinkPad 8（20BNA00RCD）8.3英寸触控平板电脑"/>
    <x v="0"/>
    <x v="4"/>
    <x v="0"/>
    <x v="1"/>
    <n v="29"/>
    <n v="2599"/>
    <n v="75371"/>
    <n v="64065.350000000006"/>
  </r>
  <r>
    <n v="6"/>
    <s v="TV005"/>
    <s v="海信"/>
    <s v="Hisense LED42K326X3D 42英寸智能网络3D电视"/>
    <x v="1"/>
    <x v="5"/>
    <x v="0"/>
    <x v="1"/>
    <n v="11"/>
    <n v="3599"/>
    <n v="39589"/>
    <n v="35630.1"/>
  </r>
  <r>
    <n v="7"/>
    <s v="TV016"/>
    <s v="TCL"/>
    <s v="L48F3310-3D平板电视"/>
    <x v="1"/>
    <x v="6"/>
    <x v="0"/>
    <x v="1"/>
    <n v="25"/>
    <n v="3999"/>
    <n v="99975"/>
    <n v="86978.25"/>
  </r>
  <r>
    <n v="8"/>
    <s v="AC005"/>
    <s v="TCL"/>
    <s v="KFRd-35GW/DE22空调"/>
    <x v="2"/>
    <x v="7"/>
    <x v="0"/>
    <x v="1"/>
    <n v="36"/>
    <n v="2179"/>
    <n v="78444"/>
    <n v="66677.400000000009"/>
  </r>
  <r>
    <n v="9"/>
    <s v="AC015"/>
    <s v="海信"/>
    <s v="Hisense KFR-26GW/ER01N2空调"/>
    <x v="2"/>
    <x v="8"/>
    <x v="0"/>
    <x v="1"/>
    <n v="48"/>
    <n v="2179"/>
    <n v="104592"/>
    <n v="93086.88"/>
  </r>
  <r>
    <n v="10"/>
    <s v="RF007"/>
    <s v="海尔"/>
    <s v="Haier BCD-206STPA 206升冰箱"/>
    <x v="3"/>
    <x v="9"/>
    <x v="0"/>
    <x v="1"/>
    <n v="23"/>
    <n v="1649"/>
    <n v="37927"/>
    <n v="32237.95"/>
  </r>
  <r>
    <n v="11"/>
    <s v="RF016"/>
    <s v="容声"/>
    <s v="Ronshen BCD-202M/TX6-GF61-C冰箱"/>
    <x v="3"/>
    <x v="10"/>
    <x v="0"/>
    <x v="1"/>
    <n v="49"/>
    <n v="1499"/>
    <n v="73451"/>
    <n v="65371.389999999992"/>
  </r>
  <r>
    <n v="12"/>
    <s v="WH005"/>
    <s v="海尔"/>
    <s v="Haier EC5002-Q6 50升电热水器"/>
    <x v="4"/>
    <x v="11"/>
    <x v="0"/>
    <x v="0"/>
    <n v="4"/>
    <n v="1098"/>
    <n v="4392"/>
    <n v="3777.12"/>
  </r>
  <r>
    <n v="13"/>
    <s v="WH014"/>
    <s v="美的"/>
    <s v="Midea F60-15WB5(Y)电热水器"/>
    <x v="4"/>
    <x v="12"/>
    <x v="0"/>
    <x v="0"/>
    <n v="19"/>
    <n v="1298"/>
    <n v="24662"/>
    <n v="20962.7"/>
  </r>
  <r>
    <n v="14"/>
    <s v="WM003"/>
    <s v="安仕"/>
    <s v="ASG-131S双层干衣机"/>
    <x v="5"/>
    <x v="13"/>
    <x v="0"/>
    <x v="0"/>
    <n v="48"/>
    <n v="198"/>
    <n v="9504"/>
    <n v="7983.36"/>
  </r>
  <r>
    <n v="15"/>
    <s v="WM011"/>
    <s v="华光"/>
    <s v="HG GY01 双层干衣机"/>
    <x v="5"/>
    <x v="14"/>
    <x v="0"/>
    <x v="0"/>
    <n v="39"/>
    <n v="99"/>
    <n v="3861"/>
    <n v="3320.46"/>
  </r>
  <r>
    <n v="16"/>
    <s v="WM018"/>
    <s v="小鸭"/>
    <s v="XPB28-1808S双缸洗衣机"/>
    <x v="5"/>
    <x v="15"/>
    <x v="0"/>
    <x v="0"/>
    <n v="48"/>
    <n v="338"/>
    <n v="16224"/>
    <n v="13790.400000000001"/>
  </r>
  <r>
    <n v="17"/>
    <s v="NC007"/>
    <s v="Apple"/>
    <s v="MacBook MJY32CH/A 12英寸笔记本电脑"/>
    <x v="0"/>
    <x v="16"/>
    <x v="0"/>
    <x v="0"/>
    <n v="43"/>
    <n v="8888"/>
    <n v="382184"/>
    <n v="328678.24"/>
  </r>
  <r>
    <n v="18"/>
    <s v="NC015"/>
    <s v="戴尔"/>
    <s v="Dell XPS13R-9343-2508S 13.3英寸超极本"/>
    <x v="0"/>
    <x v="17"/>
    <x v="0"/>
    <x v="0"/>
    <n v="13"/>
    <n v="7799"/>
    <n v="101387"/>
    <n v="86178.95"/>
  </r>
  <r>
    <n v="19"/>
    <s v="PC005"/>
    <s v="戴尔"/>
    <s v="Dell Vostro 3900-R6298 台式电脑 黑色"/>
    <x v="0"/>
    <x v="18"/>
    <x v="0"/>
    <x v="0"/>
    <n v="26"/>
    <n v="2799"/>
    <n v="72774"/>
    <n v="64041.119999999995"/>
  </r>
  <r>
    <n v="20"/>
    <s v="PC013"/>
    <s v="惠普"/>
    <s v="HP Pavilion 251-011cn 台式主机"/>
    <x v="0"/>
    <x v="19"/>
    <x v="0"/>
    <x v="0"/>
    <n v="22"/>
    <n v="1995"/>
    <n v="43890"/>
    <n v="35989.800000000003"/>
  </r>
  <r>
    <n v="21"/>
    <s v="TC007"/>
    <s v="华硕"/>
    <s v="ASUS Nexus 7 from Google Tablet"/>
    <x v="0"/>
    <x v="20"/>
    <x v="0"/>
    <x v="0"/>
    <n v="38"/>
    <n v="839.71"/>
    <n v="31908.980000000003"/>
    <n v="25527.26"/>
  </r>
  <r>
    <n v="22"/>
    <s v="TC015"/>
    <s v="华硕"/>
    <s v="ASUS ME581C 8英寸平板"/>
    <x v="0"/>
    <x v="21"/>
    <x v="0"/>
    <x v="1"/>
    <n v="16"/>
    <n v="1229"/>
    <n v="19664"/>
    <n v="16124.48"/>
  </r>
  <r>
    <n v="23"/>
    <s v="TV004"/>
    <s v="康佳"/>
    <s v="KONKA LED32E320N 液晶电视"/>
    <x v="1"/>
    <x v="22"/>
    <x v="0"/>
    <x v="1"/>
    <n v="15"/>
    <n v="1798"/>
    <n v="26970"/>
    <n v="22654.799999999999"/>
  </r>
  <r>
    <n v="24"/>
    <s v="TV013"/>
    <s v="康佳"/>
    <s v="KONKA LED32E220CE平板电视"/>
    <x v="1"/>
    <x v="23"/>
    <x v="0"/>
    <x v="1"/>
    <n v="37"/>
    <n v="1899"/>
    <n v="70263"/>
    <n v="61831.439999999995"/>
  </r>
  <r>
    <n v="25"/>
    <s v="AC001"/>
    <s v="TCL"/>
    <s v="KFRd-52LW/DR22空调"/>
    <x v="2"/>
    <x v="24"/>
    <x v="0"/>
    <x v="0"/>
    <n v="42"/>
    <n v="3629"/>
    <n v="152418"/>
    <n v="137176.19999999998"/>
  </r>
  <r>
    <n v="26"/>
    <s v="AC009"/>
    <s v="奥克斯"/>
    <s v="KFR-51LW/M-1空调"/>
    <x v="2"/>
    <x v="25"/>
    <x v="0"/>
    <x v="1"/>
    <n v="29"/>
    <n v="3799"/>
    <n v="110171"/>
    <n v="98052.19"/>
  </r>
  <r>
    <n v="27"/>
    <s v="AC017"/>
    <s v="长虹"/>
    <s v="ChangHong KFR-23GW/DHT1(W1-G)+T空调"/>
    <x v="2"/>
    <x v="1"/>
    <x v="0"/>
    <x v="1"/>
    <n v="23"/>
    <n v="1930"/>
    <n v="44390"/>
    <n v="38175.4"/>
  </r>
  <r>
    <n v="28"/>
    <s v="WH008"/>
    <s v="海尔"/>
    <s v="Haier ES6.6U(W)上出水小厨宝"/>
    <x v="4"/>
    <x v="26"/>
    <x v="0"/>
    <x v="1"/>
    <n v="26"/>
    <n v="498"/>
    <n v="12948"/>
    <n v="10487.88"/>
  </r>
  <r>
    <n v="29"/>
    <s v="RF005"/>
    <s v="奥马"/>
    <s v="BCD-176A7冰箱"/>
    <x v="3"/>
    <x v="27"/>
    <x v="0"/>
    <x v="0"/>
    <n v="13"/>
    <n v="1098"/>
    <n v="14274"/>
    <n v="12846.6"/>
  </r>
  <r>
    <n v="30"/>
    <s v="WH016"/>
    <s v="能率"/>
    <s v="NORITZ GQ-1150FE 11升燃气热水器"/>
    <x v="4"/>
    <x v="28"/>
    <x v="0"/>
    <x v="1"/>
    <n v="40"/>
    <n v="2298"/>
    <n v="91920"/>
    <n v="74455.200000000012"/>
  </r>
  <r>
    <n v="31"/>
    <s v="RF013"/>
    <s v="美的"/>
    <s v="Midea BCD-206TM(E)冰箱"/>
    <x v="3"/>
    <x v="29"/>
    <x v="0"/>
    <x v="1"/>
    <n v="7"/>
    <n v="1699"/>
    <n v="11893"/>
    <n v="9990.1200000000008"/>
  </r>
  <r>
    <n v="32"/>
    <s v="WM007"/>
    <s v="格力"/>
    <s v="GREE GSP20 烘干机滚筒干衣机"/>
    <x v="5"/>
    <x v="30"/>
    <x v="0"/>
    <x v="0"/>
    <n v="61"/>
    <n v="799"/>
    <n v="48739"/>
    <n v="42890.32"/>
  </r>
  <r>
    <n v="33"/>
    <s v="WH001"/>
    <s v="AO史密斯"/>
    <s v="A.O.Smith ET300J-60 电热水器"/>
    <x v="4"/>
    <x v="31"/>
    <x v="0"/>
    <x v="1"/>
    <n v="25"/>
    <n v="2268"/>
    <n v="56700"/>
    <n v="46494"/>
  </r>
  <r>
    <n v="34"/>
    <s v="WM017"/>
    <s v="西格玛"/>
    <s v="sigma 家用除菌全自动滚筒干衣机"/>
    <x v="5"/>
    <x v="32"/>
    <x v="0"/>
    <x v="0"/>
    <n v="35"/>
    <n v="1489"/>
    <n v="52115"/>
    <n v="45340.05"/>
  </r>
  <r>
    <n v="35"/>
    <s v="WH008"/>
    <s v="海尔"/>
    <s v="Haier ES6.6U(W)上出水小厨宝"/>
    <x v="4"/>
    <x v="33"/>
    <x v="0"/>
    <x v="1"/>
    <n v="7"/>
    <n v="498"/>
    <n v="3486"/>
    <n v="2823.66"/>
  </r>
  <r>
    <n v="36"/>
    <s v="WH015"/>
    <s v="美的"/>
    <s v="Midea JSQ22-12HWB 12升 燃气热水器"/>
    <x v="4"/>
    <x v="34"/>
    <x v="0"/>
    <x v="1"/>
    <n v="15"/>
    <n v="1499"/>
    <n v="22485"/>
    <n v="18212.850000000002"/>
  </r>
  <r>
    <n v="37"/>
    <s v="WM002"/>
    <s v="艾美特"/>
    <s v="Airmate HGY905P双层干衣机"/>
    <x v="5"/>
    <x v="35"/>
    <x v="0"/>
    <x v="0"/>
    <n v="36"/>
    <n v="239"/>
    <n v="8604"/>
    <n v="7485.4800000000005"/>
  </r>
  <r>
    <n v="38"/>
    <s v="WM009"/>
    <s v="海尔"/>
    <s v="Haier XQB50-M918洗衣机"/>
    <x v="5"/>
    <x v="36"/>
    <x v="0"/>
    <x v="0"/>
    <n v="36"/>
    <n v="978"/>
    <n v="35208"/>
    <n v="28870.560000000001"/>
  </r>
  <r>
    <n v="39"/>
    <s v="WM016"/>
    <s v="天骏小天使"/>
    <s v="TIJUMP 家用干衣机"/>
    <x v="5"/>
    <x v="37"/>
    <x v="0"/>
    <x v="0"/>
    <n v="48"/>
    <n v="199"/>
    <n v="9552"/>
    <n v="8405.76"/>
  </r>
  <r>
    <n v="40"/>
    <s v="NC004"/>
    <s v="Apple"/>
    <s v="MacBook Pro MF840CH/A 13.3英寸笔记本电脑"/>
    <x v="0"/>
    <x v="38"/>
    <x v="0"/>
    <x v="0"/>
    <n v="21"/>
    <n v="10188"/>
    <n v="213948"/>
    <n v="188274.24000000002"/>
  </r>
  <r>
    <n v="41"/>
    <s v="NC011"/>
    <s v="华硕"/>
    <s v="ASUS Zenbook UX305LA 13.3英寸超薄笔记本电脑"/>
    <x v="0"/>
    <x v="39"/>
    <x v="0"/>
    <x v="1"/>
    <n v="47"/>
    <n v="4875.66"/>
    <n v="229156.02"/>
    <n v="203948.98"/>
  </r>
  <r>
    <n v="42"/>
    <s v="NC018"/>
    <s v="联想"/>
    <s v="ThinkPad E450C-20EHA00ACD 14英寸笔记本电脑"/>
    <x v="0"/>
    <x v="12"/>
    <x v="0"/>
    <x v="0"/>
    <n v="4"/>
    <n v="2999"/>
    <n v="11996"/>
    <n v="10676.44"/>
  </r>
  <r>
    <n v="43"/>
    <s v="PC005"/>
    <s v="戴尔"/>
    <s v="Dell Vostro 3900-R6298 台式电脑 黑色"/>
    <x v="0"/>
    <x v="40"/>
    <x v="0"/>
    <x v="1"/>
    <n v="28"/>
    <n v="2799"/>
    <n v="78372"/>
    <n v="68967.360000000001"/>
  </r>
  <r>
    <n v="44"/>
    <s v="PC012"/>
    <s v="联想"/>
    <s v="lenovo M2620N 处理器j1820台式主机"/>
    <x v="0"/>
    <x v="41"/>
    <x v="0"/>
    <x v="0"/>
    <n v="10"/>
    <n v="2080"/>
    <n v="20800"/>
    <n v="17056"/>
  </r>
  <r>
    <n v="45"/>
    <s v="TC005"/>
    <s v="Apple"/>
    <s v="iPad mini 2 ME277CH/A 7.9英寸平板电脑"/>
    <x v="0"/>
    <x v="42"/>
    <x v="0"/>
    <x v="0"/>
    <n v="42"/>
    <n v="2338"/>
    <n v="98196"/>
    <n v="80520.72"/>
  </r>
  <r>
    <n v="46"/>
    <s v="TC012"/>
    <s v="三星"/>
    <s v="SAMSUNG Galaxy TAB3 P5200 10.1英寸智能平板电脑"/>
    <x v="0"/>
    <x v="43"/>
    <x v="0"/>
    <x v="0"/>
    <n v="13"/>
    <n v="1810"/>
    <n v="23530"/>
    <n v="20471.100000000002"/>
  </r>
  <r>
    <n v="47"/>
    <s v="TV001"/>
    <s v="索尼"/>
    <s v="SONY KDL 55英寸高清3D液晶电视"/>
    <x v="1"/>
    <x v="16"/>
    <x v="0"/>
    <x v="1"/>
    <n v="49"/>
    <n v="5499"/>
    <n v="269451"/>
    <n v="220949.82"/>
  </r>
  <r>
    <n v="48"/>
    <s v="TV008"/>
    <s v="TCL"/>
    <s v="L32E11液晶电视"/>
    <x v="1"/>
    <x v="44"/>
    <x v="0"/>
    <x v="1"/>
    <n v="2"/>
    <n v="1598"/>
    <n v="3196"/>
    <n v="2620.7199999999998"/>
  </r>
  <r>
    <n v="49"/>
    <s v="TV015"/>
    <s v="夏普"/>
    <s v="Sharp LCD-40DS30A平板电视"/>
    <x v="1"/>
    <x v="45"/>
    <x v="0"/>
    <x v="1"/>
    <n v="25"/>
    <n v="3499"/>
    <n v="87475"/>
    <n v="72604.25"/>
  </r>
  <r>
    <n v="50"/>
    <s v="AC002"/>
    <s v="TCL"/>
    <s v="KFRd-72LW/FC13空调"/>
    <x v="2"/>
    <x v="46"/>
    <x v="0"/>
    <x v="1"/>
    <n v="9"/>
    <n v="4399"/>
    <n v="39591"/>
    <n v="33256.44"/>
  </r>
  <r>
    <n v="51"/>
    <s v="AC010"/>
    <s v="奥克斯"/>
    <s v="KF-26GW/SQB+2空调"/>
    <x v="2"/>
    <x v="47"/>
    <x v="0"/>
    <x v="1"/>
    <n v="32"/>
    <n v="1869"/>
    <n v="59808"/>
    <n v="49042.559999999998"/>
  </r>
  <r>
    <n v="52"/>
    <s v="AC017"/>
    <s v="长虹"/>
    <s v="ChangHong KFR-23GW/DHT1(W1-G)+T空调"/>
    <x v="2"/>
    <x v="48"/>
    <x v="0"/>
    <x v="1"/>
    <n v="25"/>
    <n v="1930"/>
    <n v="48250"/>
    <n v="41495"/>
  </r>
  <r>
    <n v="53"/>
    <s v="RF008"/>
    <s v="海尔"/>
    <s v="Haier BCD-231WDBB 冰箱"/>
    <x v="3"/>
    <x v="49"/>
    <x v="0"/>
    <x v="0"/>
    <n v="35"/>
    <n v="3199"/>
    <n v="111965"/>
    <n v="99648.85"/>
  </r>
  <r>
    <n v="54"/>
    <s v="RF018"/>
    <s v="西门子"/>
    <s v="SIEMENS KK20V40TI冰箱"/>
    <x v="3"/>
    <x v="50"/>
    <x v="0"/>
    <x v="1"/>
    <n v="20"/>
    <n v="1999"/>
    <n v="39980"/>
    <n v="32383.800000000003"/>
  </r>
  <r>
    <n v="55"/>
    <s v="NC006"/>
    <s v="Apple"/>
    <s v="MacBook Pro MJLQ2CH/A 15.4英寸笔记本电脑"/>
    <x v="0"/>
    <x v="51"/>
    <x v="1"/>
    <x v="0"/>
    <n v="41"/>
    <n v="13388"/>
    <n v="548908"/>
    <n v="466571.8"/>
  </r>
  <r>
    <n v="56"/>
    <s v="NC016"/>
    <s v="戴尔"/>
    <s v="Dell  XPS13R-9343-5608S 13.3英寸超极本"/>
    <x v="0"/>
    <x v="52"/>
    <x v="1"/>
    <x v="1"/>
    <n v="32"/>
    <n v="8099"/>
    <n v="259168"/>
    <n v="225476.16"/>
  </r>
  <r>
    <n v="57"/>
    <s v="PC007"/>
    <s v="戴尔"/>
    <s v="Dell XPS 8900-R17N8 台式主机"/>
    <x v="0"/>
    <x v="53"/>
    <x v="1"/>
    <x v="1"/>
    <n v="30"/>
    <n v="7699"/>
    <n v="230970"/>
    <n v="191705.1"/>
  </r>
  <r>
    <n v="58"/>
    <s v="TC004"/>
    <s v="Apple"/>
    <s v="iPad Air WLAN 32GB 银色"/>
    <x v="0"/>
    <x v="54"/>
    <x v="1"/>
    <x v="1"/>
    <n v="38"/>
    <n v="3108"/>
    <n v="118104"/>
    <n v="100388.40000000001"/>
  </r>
  <r>
    <n v="59"/>
    <s v="TC015"/>
    <s v="华硕"/>
    <s v="ASUS ME581C 8英寸平板"/>
    <x v="0"/>
    <x v="31"/>
    <x v="1"/>
    <x v="1"/>
    <n v="15"/>
    <n v="1229"/>
    <n v="18435"/>
    <n v="15116.699999999999"/>
  </r>
  <r>
    <n v="60"/>
    <s v="TV007"/>
    <s v="创维"/>
    <s v="32E5CHR 32英寸LED液晶电视"/>
    <x v="1"/>
    <x v="33"/>
    <x v="1"/>
    <x v="1"/>
    <n v="48"/>
    <n v="1699"/>
    <n v="81552"/>
    <n v="69319.200000000012"/>
  </r>
  <r>
    <n v="61"/>
    <s v="TV018"/>
    <s v="康佳"/>
    <s v="KONKA LED42E320N平板电视"/>
    <x v="1"/>
    <x v="55"/>
    <x v="1"/>
    <x v="1"/>
    <n v="17"/>
    <n v="2998"/>
    <n v="50966"/>
    <n v="44850.079999999994"/>
  </r>
  <r>
    <n v="62"/>
    <s v="AC009"/>
    <s v="奥克斯"/>
    <s v="KFR-51LW/M-1空调"/>
    <x v="2"/>
    <x v="56"/>
    <x v="1"/>
    <x v="1"/>
    <n v="22"/>
    <n v="3799"/>
    <n v="83578"/>
    <n v="74384.42"/>
  </r>
  <r>
    <n v="63"/>
    <s v="AC019"/>
    <s v="志高"/>
    <s v="CHIGO KFR-25GW/B104+N2空调"/>
    <x v="2"/>
    <x v="57"/>
    <x v="1"/>
    <x v="1"/>
    <n v="12"/>
    <n v="2179"/>
    <n v="26148"/>
    <n v="21964.32"/>
  </r>
  <r>
    <n v="64"/>
    <s v="RF009"/>
    <s v="海尔"/>
    <s v="Haier BCD-568WDPF冰箱"/>
    <x v="3"/>
    <x v="58"/>
    <x v="1"/>
    <x v="1"/>
    <n v="7"/>
    <n v="3899"/>
    <n v="27293"/>
    <n v="23471.98"/>
  </r>
  <r>
    <n v="65"/>
    <s v="RF020"/>
    <s v="西门子"/>
    <s v="SIEMENS KG23N1116W冰箱"/>
    <x v="3"/>
    <x v="59"/>
    <x v="1"/>
    <x v="1"/>
    <n v="11"/>
    <n v="2799"/>
    <n v="30789"/>
    <n v="25862.76"/>
  </r>
  <r>
    <n v="66"/>
    <s v="WH009"/>
    <s v="海尔"/>
    <s v="Haier JSQ24-A2(12T)燃气热水器"/>
    <x v="4"/>
    <x v="60"/>
    <x v="1"/>
    <x v="0"/>
    <n v="50"/>
    <n v="1998"/>
    <n v="99900"/>
    <n v="79920"/>
  </r>
  <r>
    <n v="67"/>
    <s v="WH017"/>
    <s v="能率"/>
    <s v="NORITZ GQ-1350FE 13升 燃气热水器"/>
    <x v="4"/>
    <x v="61"/>
    <x v="1"/>
    <x v="1"/>
    <n v="40"/>
    <n v="2598"/>
    <n v="103920"/>
    <n v="87292.800000000003"/>
  </r>
  <r>
    <n v="68"/>
    <s v="WM005"/>
    <s v="德尔玛"/>
    <s v="Deerma 双层干衣机"/>
    <x v="5"/>
    <x v="62"/>
    <x v="1"/>
    <x v="0"/>
    <n v="35"/>
    <n v="99"/>
    <n v="3465"/>
    <n v="2910.6"/>
  </r>
  <r>
    <n v="69"/>
    <s v="WM013"/>
    <s v="三洋"/>
    <s v="XQG60-F1029 6公斤 滚筒全自动洗衣机"/>
    <x v="5"/>
    <x v="63"/>
    <x v="1"/>
    <x v="1"/>
    <n v="24"/>
    <n v="1718"/>
    <n v="41232"/>
    <n v="36696.479999999996"/>
  </r>
  <r>
    <n v="70"/>
    <s v="NC002"/>
    <s v="Apple"/>
    <s v="MacBook Air MJVM2CH/A 11.6英寸笔记本电脑"/>
    <x v="0"/>
    <x v="64"/>
    <x v="1"/>
    <x v="0"/>
    <n v="7"/>
    <n v="5988"/>
    <n v="41916"/>
    <n v="37305.24"/>
  </r>
  <r>
    <n v="71"/>
    <s v="NC009"/>
    <s v="华硕"/>
    <s v="ASUS R557LP4030-554KSF52X10 轻薄笔记本"/>
    <x v="0"/>
    <x v="16"/>
    <x v="1"/>
    <x v="0"/>
    <n v="24"/>
    <n v="2699"/>
    <n v="64776"/>
    <n v="51820.799999999996"/>
  </r>
  <r>
    <n v="72"/>
    <s v="NC019"/>
    <s v="联想"/>
    <s v="ThinkPad E450C-20EHA01-7CD 14英寸笔记本电脑"/>
    <x v="0"/>
    <x v="65"/>
    <x v="1"/>
    <x v="0"/>
    <n v="25"/>
    <n v="3499"/>
    <n v="87475"/>
    <n v="72604.25"/>
  </r>
  <r>
    <n v="73"/>
    <s v="PC007"/>
    <s v="戴尔"/>
    <s v="Dell XPS 8900-R17N8 台式主机"/>
    <x v="0"/>
    <x v="66"/>
    <x v="1"/>
    <x v="0"/>
    <n v="19"/>
    <n v="7699"/>
    <n v="146281"/>
    <n v="121413.23"/>
  </r>
  <r>
    <n v="74"/>
    <s v="TC001"/>
    <s v="Apple"/>
    <s v="iPad Air 2 MGKM2CH/A 9.7英寸平板电脑"/>
    <x v="0"/>
    <x v="67"/>
    <x v="1"/>
    <x v="0"/>
    <n v="4"/>
    <n v="4038"/>
    <n v="16152"/>
    <n v="14213.76"/>
  </r>
  <r>
    <n v="75"/>
    <s v="TC009"/>
    <s v="宏通"/>
    <s v="HT HT820 四核7英寸WIFI版平板电脑"/>
    <x v="0"/>
    <x v="68"/>
    <x v="1"/>
    <x v="0"/>
    <n v="31"/>
    <n v="289"/>
    <n v="8959"/>
    <n v="7615.1500000000005"/>
  </r>
  <r>
    <n v="76"/>
    <s v="TC017"/>
    <s v="亚马逊"/>
    <s v="Fire 平板电脑"/>
    <x v="0"/>
    <x v="69"/>
    <x v="1"/>
    <x v="1"/>
    <n v="6"/>
    <n v="499"/>
    <n v="2994"/>
    <n v="2395.1999999999998"/>
  </r>
  <r>
    <n v="77"/>
    <s v="TV006"/>
    <s v="海信"/>
    <s v="Hisense LED50K320DX3D 50英寸3D液晶电视"/>
    <x v="1"/>
    <x v="70"/>
    <x v="1"/>
    <x v="1"/>
    <n v="5"/>
    <n v="4999"/>
    <n v="24995"/>
    <n v="20995.8"/>
  </r>
  <r>
    <n v="78"/>
    <s v="TV015"/>
    <s v="夏普"/>
    <s v="Sharp LCD-40DS30A平板电视"/>
    <x v="1"/>
    <x v="71"/>
    <x v="1"/>
    <x v="1"/>
    <n v="2"/>
    <n v="3499"/>
    <n v="6998"/>
    <n v="5808.34"/>
  </r>
  <r>
    <n v="79"/>
    <s v="AC003"/>
    <s v="TCL"/>
    <s v="KFRd-25GW/DE22空调"/>
    <x v="2"/>
    <x v="72"/>
    <x v="1"/>
    <x v="1"/>
    <n v="21"/>
    <n v="1879"/>
    <n v="39459"/>
    <n v="31567.200000000001"/>
  </r>
  <r>
    <n v="80"/>
    <s v="AC011"/>
    <s v="格兰仕"/>
    <s v="Galanz KFR-23GW/dLP45-150(2)空调"/>
    <x v="2"/>
    <x v="51"/>
    <x v="1"/>
    <x v="1"/>
    <n v="23"/>
    <n v="1599"/>
    <n v="36777"/>
    <n v="30892.68"/>
  </r>
  <r>
    <n v="81"/>
    <s v="AC019"/>
    <s v="志高"/>
    <s v="CHIGO KFR-25GW/B104+N2空调"/>
    <x v="2"/>
    <x v="73"/>
    <x v="1"/>
    <x v="1"/>
    <n v="5"/>
    <n v="2179"/>
    <n v="10895"/>
    <n v="9151.7999999999993"/>
  </r>
  <r>
    <n v="82"/>
    <s v="WH010"/>
    <s v="林内"/>
    <s v="Rinnai RUS-11E22CWNF 11L燃气热水器"/>
    <x v="4"/>
    <x v="48"/>
    <x v="1"/>
    <x v="0"/>
    <n v="49"/>
    <n v="3380"/>
    <n v="165620"/>
    <n v="147401.79999999999"/>
  </r>
  <r>
    <n v="83"/>
    <s v="RF007"/>
    <s v="海尔"/>
    <s v="Haier BCD-206STPA 206升冰箱"/>
    <x v="3"/>
    <x v="74"/>
    <x v="1"/>
    <x v="1"/>
    <n v="24"/>
    <n v="1649"/>
    <n v="39576"/>
    <n v="33639.600000000006"/>
  </r>
  <r>
    <n v="84"/>
    <s v="WH019"/>
    <s v="万家乐"/>
    <s v="JSQ24-12201 12升 燃气热水器"/>
    <x v="4"/>
    <x v="19"/>
    <x v="1"/>
    <x v="1"/>
    <n v="15"/>
    <n v="1299"/>
    <n v="19485"/>
    <n v="17536.5"/>
  </r>
  <r>
    <n v="85"/>
    <s v="RF015"/>
    <s v="美菱"/>
    <s v="MeLing BCD-206L3CT冰箱"/>
    <x v="3"/>
    <x v="64"/>
    <x v="1"/>
    <x v="1"/>
    <n v="30"/>
    <n v="1490"/>
    <n v="44700"/>
    <n v="35760"/>
  </r>
  <r>
    <n v="86"/>
    <s v="WM009"/>
    <s v="海尔"/>
    <s v="Haier XQB50-M918洗衣机"/>
    <x v="5"/>
    <x v="4"/>
    <x v="1"/>
    <x v="0"/>
    <n v="30"/>
    <n v="978"/>
    <n v="29340"/>
    <n v="24058.800000000003"/>
  </r>
  <r>
    <n v="87"/>
    <s v="WH003"/>
    <s v="格兰仕"/>
    <s v="Galanz ZSDF-G40K031 40L 电热水器"/>
    <x v="4"/>
    <x v="75"/>
    <x v="1"/>
    <x v="1"/>
    <n v="36"/>
    <n v="498"/>
    <n v="17928"/>
    <n v="15955.920000000002"/>
  </r>
  <r>
    <n v="88"/>
    <s v="WM019"/>
    <s v="小鸭"/>
    <s v="XPB36-1803 3.6公斤 单缸半自动洗衣机"/>
    <x v="5"/>
    <x v="76"/>
    <x v="1"/>
    <x v="0"/>
    <n v="25"/>
    <n v="279"/>
    <n v="6975"/>
    <n v="5859"/>
  </r>
  <r>
    <n v="89"/>
    <s v="WH010"/>
    <s v="林内"/>
    <s v="Rinnai RUS-11E22CWNF 11L燃气热水器"/>
    <x v="4"/>
    <x v="77"/>
    <x v="1"/>
    <x v="1"/>
    <n v="30"/>
    <n v="3380"/>
    <n v="101400"/>
    <n v="90246"/>
  </r>
  <r>
    <n v="90"/>
    <s v="WH017"/>
    <s v="能率"/>
    <s v="NORITZ GQ-1350FE 13升 燃气热水器"/>
    <x v="4"/>
    <x v="78"/>
    <x v="1"/>
    <x v="0"/>
    <n v="26"/>
    <n v="2598"/>
    <n v="67548"/>
    <n v="56740.320000000007"/>
  </r>
  <r>
    <n v="91"/>
    <s v="WM004"/>
    <s v="奔腾"/>
    <s v="POVOS 家用双层干衣机烘干机"/>
    <x v="5"/>
    <x v="79"/>
    <x v="1"/>
    <x v="0"/>
    <n v="45"/>
    <n v="219"/>
    <n v="9855"/>
    <n v="8081.1"/>
  </r>
  <r>
    <n v="92"/>
    <s v="WM011"/>
    <s v="华光"/>
    <s v="HG GY01 双层干衣机"/>
    <x v="5"/>
    <x v="80"/>
    <x v="1"/>
    <x v="0"/>
    <n v="11"/>
    <n v="99"/>
    <n v="1089"/>
    <n v="936.54"/>
  </r>
  <r>
    <n v="93"/>
    <s v="WM018"/>
    <s v="小鸭"/>
    <s v="XPB28-1808S双缸洗衣机"/>
    <x v="5"/>
    <x v="81"/>
    <x v="1"/>
    <x v="0"/>
    <n v="42"/>
    <n v="338"/>
    <n v="14196"/>
    <n v="12066.6"/>
  </r>
  <r>
    <n v="94"/>
    <s v="NC006"/>
    <s v="Apple"/>
    <s v="MacBook Pro MJLQ2CH/A 15.4英寸笔记本电脑"/>
    <x v="0"/>
    <x v="82"/>
    <x v="1"/>
    <x v="0"/>
    <n v="4"/>
    <n v="13388"/>
    <n v="53552"/>
    <n v="45519.199999999997"/>
  </r>
  <r>
    <n v="95"/>
    <s v="NC013"/>
    <s v="戴尔"/>
    <s v="Dell Vostro 5480R-3528SS 14英寸笔记本电脑 银色"/>
    <x v="0"/>
    <x v="83"/>
    <x v="1"/>
    <x v="0"/>
    <n v="2"/>
    <n v="4199"/>
    <n v="8398"/>
    <n v="7054.32"/>
  </r>
  <r>
    <n v="96"/>
    <s v="NC020"/>
    <s v="联想"/>
    <s v="ThinkPad X250-20CLA26-1CD 12.5英寸笔记本电脑"/>
    <x v="0"/>
    <x v="84"/>
    <x v="1"/>
    <x v="0"/>
    <n v="25"/>
    <n v="4999"/>
    <n v="124975"/>
    <n v="107478.50000000001"/>
  </r>
  <r>
    <n v="97"/>
    <s v="PC007"/>
    <s v="戴尔"/>
    <s v="Dell XPS 8900-R17N8 台式主机"/>
    <x v="0"/>
    <x v="85"/>
    <x v="1"/>
    <x v="0"/>
    <n v="15"/>
    <n v="7699"/>
    <n v="115485"/>
    <n v="95852.55"/>
  </r>
  <r>
    <n v="98"/>
    <s v="PC014"/>
    <s v="联想"/>
    <s v="lenovo C5030 23英寸一体机 白色"/>
    <x v="0"/>
    <x v="86"/>
    <x v="1"/>
    <x v="1"/>
    <n v="36"/>
    <n v="4285"/>
    <n v="154260"/>
    <n v="128035.8"/>
  </r>
  <r>
    <n v="99"/>
    <s v="TC007"/>
    <s v="华硕"/>
    <s v="ASUS Nexus 7 from Google Tablet"/>
    <x v="0"/>
    <x v="15"/>
    <x v="1"/>
    <x v="0"/>
    <n v="46"/>
    <n v="839.71"/>
    <n v="38626.660000000003"/>
    <n v="30901.42"/>
  </r>
  <r>
    <n v="100"/>
    <s v="TV003"/>
    <s v="海信"/>
    <s v="Hisense LED32K200 32英寸LED高清电视"/>
    <x v="1"/>
    <x v="45"/>
    <x v="1"/>
    <x v="1"/>
    <n v="12"/>
    <n v="1699"/>
    <n v="20388"/>
    <n v="16718.16"/>
  </r>
  <r>
    <n v="101"/>
    <s v="TV010"/>
    <s v="海信"/>
    <s v="Hisense LED40K170JD平板电视"/>
    <x v="1"/>
    <x v="16"/>
    <x v="1"/>
    <x v="1"/>
    <n v="21"/>
    <n v="2569"/>
    <n v="53949"/>
    <n v="44238.18"/>
  </r>
  <r>
    <n v="102"/>
    <s v="TV017"/>
    <s v="康佳"/>
    <s v="KONKA LED37F3300E平板电视"/>
    <x v="1"/>
    <x v="44"/>
    <x v="1"/>
    <x v="1"/>
    <n v="20"/>
    <n v="2098"/>
    <n v="41960"/>
    <n v="35666"/>
  </r>
  <r>
    <n v="103"/>
    <s v="AC005"/>
    <s v="TCL"/>
    <s v="KFRd-35GW/DE22空调"/>
    <x v="2"/>
    <x v="87"/>
    <x v="1"/>
    <x v="1"/>
    <n v="9"/>
    <n v="2179"/>
    <n v="19611"/>
    <n v="16669.350000000002"/>
  </r>
  <r>
    <n v="104"/>
    <s v="AC012"/>
    <s v="格兰仕"/>
    <s v="Galanz KFR-32GW/dLP57-130(2)空调"/>
    <x v="2"/>
    <x v="69"/>
    <x v="1"/>
    <x v="0"/>
    <n v="42"/>
    <n v="1899"/>
    <n v="79758"/>
    <n v="68591.88"/>
  </r>
  <r>
    <n v="105"/>
    <s v="RF001"/>
    <s v="海尔"/>
    <s v="Haier BCD-216SCM 冰箱"/>
    <x v="3"/>
    <x v="22"/>
    <x v="1"/>
    <x v="0"/>
    <n v="40"/>
    <n v="2399"/>
    <n v="95960"/>
    <n v="77727.600000000006"/>
  </r>
  <r>
    <n v="106"/>
    <s v="RF011"/>
    <s v="康佳"/>
    <s v="KONKA BCD-108S-GY 冰箱"/>
    <x v="3"/>
    <x v="88"/>
    <x v="1"/>
    <x v="1"/>
    <n v="41"/>
    <n v="838"/>
    <n v="34358"/>
    <n v="29547.879999999997"/>
  </r>
  <r>
    <n v="107"/>
    <s v="WH001"/>
    <s v="AO史密斯"/>
    <s v="A.O.Smith ET300J-60 电热水器"/>
    <x v="4"/>
    <x v="89"/>
    <x v="1"/>
    <x v="1"/>
    <n v="25"/>
    <n v="2268"/>
    <n v="56700"/>
    <n v="46494"/>
  </r>
  <r>
    <n v="108"/>
    <s v="NC012"/>
    <s v="戴尔"/>
    <s v="Dell Ins15CR-4528B 15.6英寸笔记本电脑"/>
    <x v="0"/>
    <x v="90"/>
    <x v="2"/>
    <x v="1"/>
    <n v="49"/>
    <n v="3149"/>
    <n v="154301"/>
    <n v="138870.9"/>
  </r>
  <r>
    <n v="109"/>
    <s v="PC002"/>
    <s v="Apple"/>
    <s v="ME086CH/A iMac 21.5英寸一体机 银色 "/>
    <x v="0"/>
    <x v="48"/>
    <x v="2"/>
    <x v="0"/>
    <n v="19"/>
    <n v="9188"/>
    <n v="174572"/>
    <n v="146640.48000000001"/>
  </r>
  <r>
    <n v="110"/>
    <s v="PC014"/>
    <s v="联想"/>
    <s v="lenovo C5030 23英寸一体机 白色"/>
    <x v="0"/>
    <x v="91"/>
    <x v="2"/>
    <x v="1"/>
    <n v="33"/>
    <n v="4285"/>
    <n v="141405"/>
    <n v="117366.15000000001"/>
  </r>
  <r>
    <n v="111"/>
    <s v="TC011"/>
    <s v="微软"/>
    <s v="Microsoft Surface Pro 4 12.3英寸平板电脑"/>
    <x v="0"/>
    <x v="92"/>
    <x v="2"/>
    <x v="1"/>
    <n v="38"/>
    <n v="7388"/>
    <n v="280744"/>
    <n v="252669.6"/>
  </r>
  <r>
    <n v="112"/>
    <s v="TV004"/>
    <s v="康佳"/>
    <s v="KONKA LED32E320N 液晶电视"/>
    <x v="1"/>
    <x v="93"/>
    <x v="2"/>
    <x v="1"/>
    <n v="15"/>
    <n v="1798"/>
    <n v="26970"/>
    <n v="22654.799999999999"/>
  </r>
  <r>
    <n v="113"/>
    <s v="TV014"/>
    <s v="索尼"/>
    <s v="SONY KLV-40R476A平板电视"/>
    <x v="1"/>
    <x v="94"/>
    <x v="2"/>
    <x v="1"/>
    <n v="30"/>
    <n v="3899"/>
    <n v="116970"/>
    <n v="102933.59999999999"/>
  </r>
  <r>
    <n v="114"/>
    <s v="AC004"/>
    <s v="TCL"/>
    <s v="KFRd-25GW/FC23"/>
    <x v="2"/>
    <x v="7"/>
    <x v="2"/>
    <x v="1"/>
    <n v="8"/>
    <n v="1769"/>
    <n v="14152"/>
    <n v="12170.72"/>
  </r>
  <r>
    <n v="115"/>
    <s v="AC014"/>
    <s v="海信"/>
    <s v="Hisense KFR-35GW/ER01N2空调"/>
    <x v="2"/>
    <x v="8"/>
    <x v="2"/>
    <x v="1"/>
    <n v="31"/>
    <n v="2379"/>
    <n v="73749"/>
    <n v="62686.65"/>
  </r>
  <r>
    <n v="116"/>
    <s v="RF006"/>
    <s v="海尔"/>
    <s v="Haier BCD-190TMPK 冰箱"/>
    <x v="3"/>
    <x v="37"/>
    <x v="2"/>
    <x v="1"/>
    <n v="14"/>
    <n v="1299"/>
    <n v="18186"/>
    <n v="14548.800000000001"/>
  </r>
  <r>
    <n v="117"/>
    <s v="RF015"/>
    <s v="美菱"/>
    <s v="MeLing BCD-206L3CT冰箱"/>
    <x v="3"/>
    <x v="38"/>
    <x v="2"/>
    <x v="1"/>
    <n v="9"/>
    <n v="1490"/>
    <n v="13410"/>
    <n v="10728"/>
  </r>
  <r>
    <n v="118"/>
    <s v="WH004"/>
    <s v="海尔"/>
    <s v="Haier A1 10升天然气热水器"/>
    <x v="4"/>
    <x v="11"/>
    <x v="2"/>
    <x v="0"/>
    <n v="20"/>
    <n v="1298"/>
    <n v="25960"/>
    <n v="20768"/>
  </r>
  <r>
    <n v="119"/>
    <s v="WH013"/>
    <s v="美的"/>
    <s v="Midea F05-15A(S)小厨宝"/>
    <x v="4"/>
    <x v="95"/>
    <x v="2"/>
    <x v="0"/>
    <n v="26"/>
    <n v="399"/>
    <n v="10374"/>
    <n v="8610.42"/>
  </r>
  <r>
    <n v="120"/>
    <s v="WM001"/>
    <s v="LG"/>
    <s v="WD-N12430D 6公斤滚筒洗衣机"/>
    <x v="5"/>
    <x v="96"/>
    <x v="2"/>
    <x v="0"/>
    <n v="39"/>
    <n v="2599"/>
    <n v="101361"/>
    <n v="88184.07"/>
  </r>
  <r>
    <n v="121"/>
    <s v="WM010"/>
    <s v="海尔"/>
    <s v="Haier XQB60-M918 洗衣机"/>
    <x v="5"/>
    <x v="14"/>
    <x v="2"/>
    <x v="0"/>
    <n v="43"/>
    <n v="1188"/>
    <n v="51084"/>
    <n v="41378.04"/>
  </r>
  <r>
    <n v="122"/>
    <s v="WM017"/>
    <s v="西格玛"/>
    <s v="sigma 家用除菌全自动滚筒干衣机"/>
    <x v="5"/>
    <x v="15"/>
    <x v="2"/>
    <x v="0"/>
    <n v="31"/>
    <n v="1489"/>
    <n v="46159"/>
    <n v="40158.33"/>
  </r>
  <r>
    <n v="123"/>
    <s v="NC006"/>
    <s v="Apple"/>
    <s v="MacBook Pro MJLQ2CH/A 15.4英寸笔记本电脑"/>
    <x v="0"/>
    <x v="43"/>
    <x v="2"/>
    <x v="0"/>
    <n v="45"/>
    <n v="13388"/>
    <n v="602460"/>
    <n v="512090.99999999994"/>
  </r>
  <r>
    <n v="124"/>
    <s v="NC014"/>
    <s v="戴尔"/>
    <s v="Dell XPS13-9350-R1708S 13.3英寸超极本"/>
    <x v="0"/>
    <x v="97"/>
    <x v="2"/>
    <x v="0"/>
    <n v="8"/>
    <n v="8899"/>
    <n v="71192"/>
    <n v="62648.959999999999"/>
  </r>
  <r>
    <n v="125"/>
    <s v="PC004"/>
    <s v="Apple"/>
    <s v="iMac MK452CH/A 21.5英寸一体机 "/>
    <x v="0"/>
    <x v="98"/>
    <x v="2"/>
    <x v="0"/>
    <n v="22"/>
    <n v="10888"/>
    <n v="239536"/>
    <n v="208396.31999999998"/>
  </r>
  <r>
    <n v="126"/>
    <s v="PC011"/>
    <s v="联想"/>
    <s v="lenovo C4030一体机 白色"/>
    <x v="0"/>
    <x v="19"/>
    <x v="2"/>
    <x v="0"/>
    <n v="6"/>
    <n v="3530"/>
    <n v="21180"/>
    <n v="16944"/>
  </r>
  <r>
    <n v="127"/>
    <s v="TC006"/>
    <s v="Apple"/>
    <s v="iPad mini 4 MK9J2CH/A 7.9英寸平板电脑 金色"/>
    <x v="0"/>
    <x v="20"/>
    <x v="2"/>
    <x v="0"/>
    <n v="17"/>
    <n v="3558"/>
    <n v="60486"/>
    <n v="48993.66"/>
  </r>
  <r>
    <n v="128"/>
    <s v="TV003"/>
    <s v="海信"/>
    <s v="Hisense LED32K200 32英寸LED高清电视"/>
    <x v="1"/>
    <x v="48"/>
    <x v="2"/>
    <x v="0"/>
    <n v="14"/>
    <n v="1699"/>
    <n v="23786"/>
    <n v="19504.52"/>
  </r>
  <r>
    <n v="129"/>
    <s v="TV011"/>
    <s v="海信"/>
    <s v="HisenseLED39K200J 39英寸全高清LED液晶电视"/>
    <x v="1"/>
    <x v="23"/>
    <x v="2"/>
    <x v="1"/>
    <n v="19"/>
    <n v="2499"/>
    <n v="47481"/>
    <n v="40833.659999999996"/>
  </r>
  <r>
    <n v="130"/>
    <s v="TV019"/>
    <s v="长虹"/>
    <s v="ChangHong LED32B1300平板电视"/>
    <x v="1"/>
    <x v="3"/>
    <x v="2"/>
    <x v="0"/>
    <n v="15"/>
    <n v="1649"/>
    <n v="24735"/>
    <n v="21519.45"/>
  </r>
  <r>
    <n v="131"/>
    <s v="AC007"/>
    <s v="奥克斯"/>
    <s v="KFR-32GW/SQB+2空调"/>
    <x v="2"/>
    <x v="89"/>
    <x v="2"/>
    <x v="1"/>
    <n v="6"/>
    <n v="2279"/>
    <n v="13674"/>
    <n v="12033.119999999999"/>
  </r>
  <r>
    <n v="132"/>
    <s v="AC016"/>
    <s v="月兔"/>
    <s v="KFR-25GW/d03-A2c-70Y5R空调"/>
    <x v="2"/>
    <x v="69"/>
    <x v="2"/>
    <x v="1"/>
    <n v="7"/>
    <n v="1499"/>
    <n v="10493"/>
    <n v="8499.33"/>
  </r>
  <r>
    <n v="133"/>
    <s v="WH007"/>
    <s v="海尔"/>
    <s v="Haier EC6002-D 60升遥控电热水器"/>
    <x v="4"/>
    <x v="26"/>
    <x v="2"/>
    <x v="1"/>
    <n v="11"/>
    <n v="1298"/>
    <n v="14278"/>
    <n v="12564.64"/>
  </r>
  <r>
    <n v="134"/>
    <s v="RF004"/>
    <s v="奥马"/>
    <s v="BCD-118A5双门冰箱"/>
    <x v="3"/>
    <x v="99"/>
    <x v="2"/>
    <x v="1"/>
    <n v="22"/>
    <n v="888"/>
    <n v="19536"/>
    <n v="16214.88"/>
  </r>
  <r>
    <n v="135"/>
    <s v="WH015"/>
    <s v="美的"/>
    <s v="Midea JSQ22-12HWB 12升 燃气热水器"/>
    <x v="4"/>
    <x v="100"/>
    <x v="2"/>
    <x v="1"/>
    <n v="31"/>
    <n v="1499"/>
    <n v="46469"/>
    <n v="37639.89"/>
  </r>
  <r>
    <n v="136"/>
    <s v="RF012"/>
    <s v="康佳"/>
    <s v="KONKA BCD-138UTS-GY冰箱"/>
    <x v="3"/>
    <x v="101"/>
    <x v="2"/>
    <x v="1"/>
    <n v="39"/>
    <n v="918"/>
    <n v="35802"/>
    <n v="31147.739999999998"/>
  </r>
  <r>
    <n v="137"/>
    <s v="WM005"/>
    <s v="德尔玛"/>
    <s v="Deerma 双层干衣机"/>
    <x v="5"/>
    <x v="102"/>
    <x v="2"/>
    <x v="0"/>
    <n v="13"/>
    <n v="99"/>
    <n v="1287"/>
    <n v="1081.08"/>
  </r>
  <r>
    <n v="138"/>
    <s v="RF020"/>
    <s v="西门子"/>
    <s v="SIEMENS KG23N1116W冰箱"/>
    <x v="3"/>
    <x v="31"/>
    <x v="2"/>
    <x v="1"/>
    <n v="33"/>
    <n v="2799"/>
    <n v="92367"/>
    <n v="77588.28"/>
  </r>
  <r>
    <n v="139"/>
    <s v="WM016"/>
    <s v="天骏小天使"/>
    <s v="TIJUMP 家用干衣机"/>
    <x v="5"/>
    <x v="75"/>
    <x v="2"/>
    <x v="0"/>
    <n v="14"/>
    <n v="199"/>
    <n v="2786"/>
    <n v="2451.6800000000003"/>
  </r>
  <r>
    <n v="140"/>
    <s v="WH007"/>
    <s v="海尔"/>
    <s v="Haier EC6002-D 60升遥控电热水器"/>
    <x v="4"/>
    <x v="76"/>
    <x v="2"/>
    <x v="1"/>
    <n v="27"/>
    <n v="1298"/>
    <n v="35046"/>
    <n v="30840.48"/>
  </r>
  <r>
    <n v="141"/>
    <s v="WH014"/>
    <s v="美的"/>
    <s v="Midea F60-15WB5(Y)电热水器"/>
    <x v="4"/>
    <x v="55"/>
    <x v="2"/>
    <x v="1"/>
    <n v="35"/>
    <n v="1298"/>
    <n v="45430"/>
    <n v="38615.5"/>
  </r>
  <r>
    <n v="142"/>
    <s v="WM001"/>
    <s v="LG"/>
    <s v="WD-N12430D 6公斤滚筒洗衣机"/>
    <x v="5"/>
    <x v="103"/>
    <x v="2"/>
    <x v="0"/>
    <n v="48"/>
    <n v="2599"/>
    <n v="124752"/>
    <n v="108534.24"/>
  </r>
  <r>
    <n v="143"/>
    <s v="WM008"/>
    <s v="海尔"/>
    <s v="Haier XQB50-M1258 5.0公斤 全自动波轮洗衣机"/>
    <x v="5"/>
    <x v="61"/>
    <x v="2"/>
    <x v="0"/>
    <n v="26"/>
    <n v="999"/>
    <n v="25974"/>
    <n v="21558.42"/>
  </r>
  <r>
    <n v="144"/>
    <s v="WM015"/>
    <s v="松下"/>
    <s v="Panasonic XQB60-Q662U 6公斤 立体搓全自动波轮洗衣机"/>
    <x v="5"/>
    <x v="104"/>
    <x v="2"/>
    <x v="1"/>
    <n v="43"/>
    <n v="1419"/>
    <n v="61017"/>
    <n v="51254.28"/>
  </r>
  <r>
    <n v="145"/>
    <s v="NC003"/>
    <s v="Apple"/>
    <s v="MacBook Pro MF839CH/A 13.3英寸笔记本电脑"/>
    <x v="0"/>
    <x v="105"/>
    <x v="2"/>
    <x v="0"/>
    <n v="25"/>
    <n v="8888"/>
    <n v="222200"/>
    <n v="186648"/>
  </r>
  <r>
    <n v="146"/>
    <s v="NC010"/>
    <s v="华硕"/>
    <s v="ASUS T100HA-C4-GR 10.1英寸笔记本电脑"/>
    <x v="0"/>
    <x v="106"/>
    <x v="2"/>
    <x v="0"/>
    <n v="37"/>
    <n v="1946.31"/>
    <n v="72013.47"/>
    <n v="59050.89"/>
  </r>
  <r>
    <n v="147"/>
    <s v="NC017"/>
    <s v="联想"/>
    <s v="ThinkPad E450C 20EH-A009CD 14英寸笔记本电脑"/>
    <x v="0"/>
    <x v="95"/>
    <x v="2"/>
    <x v="1"/>
    <n v="10"/>
    <n v="3198"/>
    <n v="31980"/>
    <n v="27822.600000000002"/>
  </r>
  <r>
    <n v="148"/>
    <s v="PC004"/>
    <s v="Apple"/>
    <s v="iMac MK452CH/A 21.5英寸一体机 "/>
    <x v="0"/>
    <x v="62"/>
    <x v="2"/>
    <x v="1"/>
    <n v="28"/>
    <n v="10888"/>
    <n v="304864"/>
    <n v="265231.68"/>
  </r>
  <r>
    <n v="149"/>
    <s v="PC011"/>
    <s v="联想"/>
    <s v="lenovo C4030一体机 白色"/>
    <x v="0"/>
    <x v="107"/>
    <x v="2"/>
    <x v="0"/>
    <n v="30"/>
    <n v="3530"/>
    <n v="105900"/>
    <n v="84720"/>
  </r>
  <r>
    <n v="150"/>
    <s v="TC004"/>
    <s v="Apple"/>
    <s v="iPad Air WLAN 32GB 银色"/>
    <x v="0"/>
    <x v="108"/>
    <x v="2"/>
    <x v="0"/>
    <n v="24"/>
    <n v="3108"/>
    <n v="74592"/>
    <n v="63403.200000000004"/>
  </r>
  <r>
    <n v="151"/>
    <s v="TC011"/>
    <s v="微软"/>
    <s v="Microsoft Surface Pro 4 12.3英寸平板电脑"/>
    <x v="0"/>
    <x v="109"/>
    <x v="2"/>
    <x v="0"/>
    <n v="42"/>
    <n v="7388"/>
    <n v="310296"/>
    <n v="279266.39999999997"/>
  </r>
  <r>
    <n v="152"/>
    <s v="TC018"/>
    <s v="亚马逊"/>
    <s v="Fire HDX 8.9平板电脑"/>
    <x v="0"/>
    <x v="17"/>
    <x v="2"/>
    <x v="1"/>
    <n v="29"/>
    <n v="3399"/>
    <n v="98571"/>
    <n v="86742.48"/>
  </r>
  <r>
    <n v="153"/>
    <s v="TV007"/>
    <s v="创维"/>
    <s v="32E5CHR 32英寸LED液晶电视"/>
    <x v="1"/>
    <x v="98"/>
    <x v="2"/>
    <x v="1"/>
    <n v="27"/>
    <n v="1699"/>
    <n v="45873"/>
    <n v="38992.050000000003"/>
  </r>
  <r>
    <n v="154"/>
    <s v="TV014"/>
    <s v="索尼"/>
    <s v="SONY KLV-40R476A平板电视"/>
    <x v="1"/>
    <x v="19"/>
    <x v="2"/>
    <x v="1"/>
    <n v="5"/>
    <n v="3899"/>
    <n v="19495"/>
    <n v="17155.599999999999"/>
  </r>
  <r>
    <n v="155"/>
    <s v="AC001"/>
    <s v="TCL"/>
    <s v="KFRd-52LW/DR22空调"/>
    <x v="2"/>
    <x v="110"/>
    <x v="2"/>
    <x v="1"/>
    <n v="29"/>
    <n v="3629"/>
    <n v="105241"/>
    <n v="94716.9"/>
  </r>
  <r>
    <n v="156"/>
    <s v="AC009"/>
    <s v="奥克斯"/>
    <s v="KFR-51LW/M-1空调"/>
    <x v="2"/>
    <x v="21"/>
    <x v="2"/>
    <x v="1"/>
    <n v="12"/>
    <n v="3799"/>
    <n v="45588"/>
    <n v="40573.32"/>
  </r>
  <r>
    <n v="157"/>
    <s v="AC016"/>
    <s v="月兔"/>
    <s v="KFR-25GW/d03-A2c-70Y5R空调"/>
    <x v="2"/>
    <x v="73"/>
    <x v="2"/>
    <x v="1"/>
    <n v="33"/>
    <n v="1499"/>
    <n v="49467"/>
    <n v="40068.270000000004"/>
  </r>
  <r>
    <n v="158"/>
    <s v="RF007"/>
    <s v="海尔"/>
    <s v="Haier BCD-206STPA 206升冰箱"/>
    <x v="3"/>
    <x v="71"/>
    <x v="2"/>
    <x v="0"/>
    <n v="40"/>
    <n v="1649"/>
    <n v="65960"/>
    <n v="56066"/>
  </r>
  <r>
    <n v="159"/>
    <s v="RF017"/>
    <s v="容声"/>
    <s v="Ronshen BCD-201E/A冰箱"/>
    <x v="3"/>
    <x v="72"/>
    <x v="2"/>
    <x v="1"/>
    <n v="11"/>
    <n v="1399"/>
    <n v="15389"/>
    <n v="12465.09"/>
  </r>
  <r>
    <n v="160"/>
    <s v="NC003"/>
    <s v="Apple"/>
    <s v="MacBook Pro MF839CH/A 13.3英寸笔记本电脑"/>
    <x v="0"/>
    <x v="111"/>
    <x v="3"/>
    <x v="0"/>
    <n v="20"/>
    <n v="8888"/>
    <n v="177760"/>
    <n v="149318.39999999999"/>
  </r>
  <r>
    <n v="161"/>
    <s v="NC014"/>
    <s v="戴尔"/>
    <s v="Dell XPS13-9350-R1708S 13.3英寸超极本"/>
    <x v="0"/>
    <x v="1"/>
    <x v="3"/>
    <x v="1"/>
    <n v="12"/>
    <n v="8899"/>
    <n v="106788"/>
    <n v="93973.440000000002"/>
  </r>
  <r>
    <n v="162"/>
    <s v="PC005"/>
    <s v="戴尔"/>
    <s v="Dell Vostro 3900-R6298 台式电脑 黑色"/>
    <x v="0"/>
    <x v="53"/>
    <x v="3"/>
    <x v="1"/>
    <n v="39"/>
    <n v="2799"/>
    <n v="109161"/>
    <n v="96061.68"/>
  </r>
  <r>
    <n v="163"/>
    <s v="TC003"/>
    <s v="Apple"/>
    <s v="iPad Air WLAN 16GB 银色"/>
    <x v="0"/>
    <x v="88"/>
    <x v="3"/>
    <x v="0"/>
    <n v="22"/>
    <n v="2738"/>
    <n v="60236"/>
    <n v="53610.04"/>
  </r>
  <r>
    <n v="164"/>
    <s v="TV006"/>
    <s v="海信"/>
    <s v="Hisense LED50K320DX3D 50英寸3D液晶电视"/>
    <x v="1"/>
    <x v="76"/>
    <x v="3"/>
    <x v="1"/>
    <n v="30"/>
    <n v="4999"/>
    <n v="149970"/>
    <n v="125974.79999999999"/>
  </r>
  <r>
    <n v="165"/>
    <s v="TV017"/>
    <s v="康佳"/>
    <s v="KONKA LED37F3300E平板电视"/>
    <x v="1"/>
    <x v="6"/>
    <x v="3"/>
    <x v="1"/>
    <n v="13"/>
    <n v="2098"/>
    <n v="27274"/>
    <n v="23182.899999999998"/>
  </r>
  <r>
    <n v="166"/>
    <s v="AC006"/>
    <s v="奥克斯"/>
    <s v="KFR-26GW/BPSSD-2空调"/>
    <x v="2"/>
    <x v="56"/>
    <x v="3"/>
    <x v="1"/>
    <n v="37"/>
    <n v="2639"/>
    <n v="97643"/>
    <n v="86902.27"/>
  </r>
  <r>
    <n v="167"/>
    <s v="AC018"/>
    <s v="志高"/>
    <s v="CHIGO KFR-35GW/C104+N3空调"/>
    <x v="2"/>
    <x v="57"/>
    <x v="3"/>
    <x v="1"/>
    <n v="15"/>
    <n v="2399"/>
    <n v="35985"/>
    <n v="32026.65"/>
  </r>
  <r>
    <n v="168"/>
    <s v="RF008"/>
    <s v="海尔"/>
    <s v="Haier BCD-231WDBB 冰箱"/>
    <x v="3"/>
    <x v="112"/>
    <x v="3"/>
    <x v="1"/>
    <n v="2"/>
    <n v="3199"/>
    <n v="6398"/>
    <n v="5694.22"/>
  </r>
  <r>
    <n v="169"/>
    <s v="RF017"/>
    <s v="容声"/>
    <s v="Ronshen BCD-201E/A冰箱"/>
    <x v="3"/>
    <x v="10"/>
    <x v="3"/>
    <x v="1"/>
    <n v="29"/>
    <n v="1399"/>
    <n v="40571"/>
    <n v="32862.51"/>
  </r>
  <r>
    <n v="170"/>
    <s v="WH008"/>
    <s v="海尔"/>
    <s v="Haier ES6.6U(W)上出水小厨宝"/>
    <x v="4"/>
    <x v="60"/>
    <x v="3"/>
    <x v="0"/>
    <n v="4"/>
    <n v="498"/>
    <n v="1992"/>
    <n v="1613.52"/>
  </r>
  <r>
    <n v="171"/>
    <s v="WH015"/>
    <s v="美的"/>
    <s v="Midea JSQ22-12HWB 12升 燃气热水器"/>
    <x v="4"/>
    <x v="113"/>
    <x v="3"/>
    <x v="0"/>
    <n v="23"/>
    <n v="1499"/>
    <n v="34477"/>
    <n v="27926.370000000003"/>
  </r>
  <r>
    <n v="172"/>
    <s v="WM004"/>
    <s v="奔腾"/>
    <s v="POVOS 家用双层干衣机烘干机"/>
    <x v="5"/>
    <x v="114"/>
    <x v="3"/>
    <x v="0"/>
    <n v="42"/>
    <n v="219"/>
    <n v="9198"/>
    <n v="7542.3600000000006"/>
  </r>
  <r>
    <n v="173"/>
    <s v="WM012"/>
    <s v="康佳"/>
    <s v="KONKA XQB50-5001全自动洗衣机"/>
    <x v="5"/>
    <x v="41"/>
    <x v="3"/>
    <x v="0"/>
    <n v="7"/>
    <n v="788"/>
    <n v="5516"/>
    <n v="4854.08"/>
  </r>
  <r>
    <n v="174"/>
    <s v="NC001"/>
    <s v="Apple"/>
    <s v="MacBook Air MJVE2CH/A 13.3英寸笔记本电脑"/>
    <x v="0"/>
    <x v="64"/>
    <x v="3"/>
    <x v="1"/>
    <n v="43"/>
    <n v="6462.8"/>
    <n v="277900.40000000002"/>
    <n v="222320.31999999998"/>
  </r>
  <r>
    <n v="175"/>
    <s v="NC008"/>
    <s v="Apple"/>
    <s v="MacBookMK4M2CH/A 12英寸笔记本电脑"/>
    <x v="0"/>
    <x v="16"/>
    <x v="3"/>
    <x v="0"/>
    <n v="18"/>
    <n v="8888"/>
    <n v="159984"/>
    <n v="143985.60000000001"/>
  </r>
  <r>
    <n v="176"/>
    <s v="NC016"/>
    <s v="戴尔"/>
    <s v="Dell  XPS13R-9343-5608S 13.3英寸超极本"/>
    <x v="0"/>
    <x v="17"/>
    <x v="3"/>
    <x v="0"/>
    <n v="25"/>
    <n v="8099"/>
    <n v="202475"/>
    <n v="176153.25"/>
  </r>
  <r>
    <n v="177"/>
    <s v="PC006"/>
    <s v="戴尔"/>
    <s v="Dell Vostro 3900-R7938 台式主机"/>
    <x v="0"/>
    <x v="66"/>
    <x v="3"/>
    <x v="0"/>
    <n v="16"/>
    <n v="5799"/>
    <n v="92784"/>
    <n v="77938.559999999998"/>
  </r>
  <r>
    <n v="178"/>
    <s v="PC014"/>
    <s v="联想"/>
    <s v="lenovo C5030 23英寸一体机 白色"/>
    <x v="0"/>
    <x v="101"/>
    <x v="3"/>
    <x v="0"/>
    <n v="34"/>
    <n v="4285"/>
    <n v="145690"/>
    <n v="120922.70000000001"/>
  </r>
  <r>
    <n v="179"/>
    <s v="TC008"/>
    <s v="凯蒂猫"/>
    <s v="Hello Kitty Q7 7英寸学生用平板电脑 白色"/>
    <x v="0"/>
    <x v="110"/>
    <x v="3"/>
    <x v="0"/>
    <n v="41"/>
    <n v="296"/>
    <n v="12136"/>
    <n v="10922.4"/>
  </r>
  <r>
    <n v="180"/>
    <s v="TC016"/>
    <s v="华硕"/>
    <s v="ASUS ZenPad8 Z380KL 8英寸平板电脑 金色"/>
    <x v="0"/>
    <x v="69"/>
    <x v="3"/>
    <x v="1"/>
    <n v="36"/>
    <n v="1499"/>
    <n v="53964"/>
    <n v="44790.12"/>
  </r>
  <r>
    <n v="181"/>
    <s v="TV005"/>
    <s v="海信"/>
    <s v="Hisense LED42K326X3D 42英寸智能网络3D电视"/>
    <x v="1"/>
    <x v="22"/>
    <x v="3"/>
    <x v="1"/>
    <n v="18"/>
    <n v="3599"/>
    <n v="64782"/>
    <n v="58303.799999999996"/>
  </r>
  <r>
    <n v="182"/>
    <s v="TV014"/>
    <s v="索尼"/>
    <s v="SONY KLV-40R476A平板电视"/>
    <x v="1"/>
    <x v="71"/>
    <x v="3"/>
    <x v="1"/>
    <n v="50"/>
    <n v="3899"/>
    <n v="194950"/>
    <n v="171556"/>
  </r>
  <r>
    <n v="183"/>
    <s v="AC002"/>
    <s v="TCL"/>
    <s v="KFRd-72LW/FC13空调"/>
    <x v="2"/>
    <x v="115"/>
    <x v="3"/>
    <x v="0"/>
    <n v="42"/>
    <n v="4399"/>
    <n v="184758"/>
    <n v="155196.72"/>
  </r>
  <r>
    <n v="184"/>
    <s v="AC010"/>
    <s v="奥克斯"/>
    <s v="KF-26GW/SQB+2空调"/>
    <x v="2"/>
    <x v="87"/>
    <x v="3"/>
    <x v="1"/>
    <n v="36"/>
    <n v="1869"/>
    <n v="67284"/>
    <n v="55172.88"/>
  </r>
  <r>
    <n v="185"/>
    <s v="AC018"/>
    <s v="志高"/>
    <s v="CHIGO KFR-35GW/C104+N3空调"/>
    <x v="2"/>
    <x v="116"/>
    <x v="3"/>
    <x v="1"/>
    <n v="12"/>
    <n v="2399"/>
    <n v="28788"/>
    <n v="25621.32"/>
  </r>
  <r>
    <n v="186"/>
    <s v="WH009"/>
    <s v="海尔"/>
    <s v="Haier JSQ24-A2(12T)燃气热水器"/>
    <x v="4"/>
    <x v="117"/>
    <x v="3"/>
    <x v="1"/>
    <n v="40"/>
    <n v="1998"/>
    <n v="79920"/>
    <n v="63936"/>
  </r>
  <r>
    <n v="187"/>
    <s v="RF006"/>
    <s v="海尔"/>
    <s v="Haier BCD-190TMPK 冰箱"/>
    <x v="3"/>
    <x v="118"/>
    <x v="3"/>
    <x v="1"/>
    <n v="5"/>
    <n v="1299"/>
    <n v="6495"/>
    <n v="5196"/>
  </r>
  <r>
    <n v="188"/>
    <s v="WH018"/>
    <s v="万家乐"/>
    <s v="JSQ20-10201 10升 燃气热水器"/>
    <x v="4"/>
    <x v="119"/>
    <x v="3"/>
    <x v="1"/>
    <n v="47"/>
    <n v="1099"/>
    <n v="51653"/>
    <n v="41838.93"/>
  </r>
  <r>
    <n v="189"/>
    <s v="RF014"/>
    <s v="美菱"/>
    <s v="MeLing BCD-181MLC双门冰箱"/>
    <x v="3"/>
    <x v="29"/>
    <x v="3"/>
    <x v="1"/>
    <n v="12"/>
    <n v="1299"/>
    <n v="15588"/>
    <n v="12626.28"/>
  </r>
  <r>
    <n v="190"/>
    <s v="WM008"/>
    <s v="海尔"/>
    <s v="Haier XQB50-M1258 5.0公斤 全自动波轮洗衣机"/>
    <x v="5"/>
    <x v="120"/>
    <x v="3"/>
    <x v="0"/>
    <n v="48"/>
    <n v="999"/>
    <n v="47952"/>
    <n v="39800.159999999996"/>
  </r>
  <r>
    <n v="191"/>
    <s v="WH002"/>
    <s v="AO史密斯"/>
    <s v="A.O.Smith ET500J-60 电热水器"/>
    <x v="4"/>
    <x v="121"/>
    <x v="3"/>
    <x v="1"/>
    <n v="36"/>
    <n v="2868"/>
    <n v="103248"/>
    <n v="82598.400000000009"/>
  </r>
  <r>
    <n v="192"/>
    <s v="WM018"/>
    <s v="小鸭"/>
    <s v="XPB28-1808S双缸洗衣机"/>
    <x v="5"/>
    <x v="122"/>
    <x v="3"/>
    <x v="0"/>
    <n v="32"/>
    <n v="338"/>
    <n v="10816"/>
    <n v="9193.6"/>
  </r>
  <r>
    <n v="193"/>
    <s v="WH009"/>
    <s v="海尔"/>
    <s v="Haier JSQ24-A2(12T)燃气热水器"/>
    <x v="4"/>
    <x v="123"/>
    <x v="3"/>
    <x v="1"/>
    <n v="50"/>
    <n v="1998"/>
    <n v="99900"/>
    <n v="79920"/>
  </r>
  <r>
    <n v="194"/>
    <s v="WH016"/>
    <s v="能率"/>
    <s v="NORITZ GQ-1150FE 11升燃气热水器"/>
    <x v="4"/>
    <x v="34"/>
    <x v="3"/>
    <x v="0"/>
    <n v="40"/>
    <n v="2298"/>
    <n v="91920"/>
    <n v="74455.200000000012"/>
  </r>
  <r>
    <n v="195"/>
    <s v="WM003"/>
    <s v="安仕"/>
    <s v="ASG-131S双层干衣机"/>
    <x v="5"/>
    <x v="79"/>
    <x v="3"/>
    <x v="0"/>
    <n v="46"/>
    <n v="198"/>
    <n v="9108"/>
    <n v="7650.7199999999993"/>
  </r>
  <r>
    <n v="196"/>
    <s v="WM010"/>
    <s v="海尔"/>
    <s v="Haier XQB60-M918 洗衣机"/>
    <x v="5"/>
    <x v="80"/>
    <x v="3"/>
    <x v="0"/>
    <n v="42"/>
    <n v="1188"/>
    <n v="49896"/>
    <n v="40415.760000000002"/>
  </r>
  <r>
    <n v="197"/>
    <s v="WM017"/>
    <s v="西格玛"/>
    <s v="sigma 家用除菌全自动滚筒干衣机"/>
    <x v="5"/>
    <x v="81"/>
    <x v="3"/>
    <x v="0"/>
    <n v="25"/>
    <n v="1489"/>
    <n v="37225"/>
    <n v="32385.75"/>
  </r>
  <r>
    <n v="198"/>
    <s v="NC005"/>
    <s v="Apple"/>
    <s v="MacBook Pro MGXC2CH/A 15.4英寸笔记本电脑"/>
    <x v="0"/>
    <x v="124"/>
    <x v="3"/>
    <x v="1"/>
    <n v="49"/>
    <n v="15688"/>
    <n v="768712"/>
    <n v="645718.07999999996"/>
  </r>
  <r>
    <n v="199"/>
    <s v="NC012"/>
    <s v="戴尔"/>
    <s v="Dell Ins15CR-4528B 15.6英寸笔记本电脑"/>
    <x v="0"/>
    <x v="83"/>
    <x v="3"/>
    <x v="0"/>
    <n v="17"/>
    <n v="3149"/>
    <n v="53533"/>
    <n v="48179.7"/>
  </r>
  <r>
    <n v="200"/>
    <s v="NC019"/>
    <s v="联想"/>
    <s v="ThinkPad E450C-20EHA01-7CD 14英寸笔记本电脑"/>
    <x v="0"/>
    <x v="125"/>
    <x v="3"/>
    <x v="0"/>
    <n v="42"/>
    <n v="3499"/>
    <n v="146958"/>
    <n v="121975.14"/>
  </r>
  <r>
    <n v="201"/>
    <s v="PC006"/>
    <s v="戴尔"/>
    <s v="Dell Vostro 3900-R7938 台式主机"/>
    <x v="0"/>
    <x v="85"/>
    <x v="3"/>
    <x v="0"/>
    <n v="42"/>
    <n v="5799"/>
    <n v="243558"/>
    <n v="204588.72"/>
  </r>
  <r>
    <n v="202"/>
    <s v="PC013"/>
    <s v="惠普"/>
    <s v="HP Pavilion 251-011cn 台式主机"/>
    <x v="0"/>
    <x v="86"/>
    <x v="3"/>
    <x v="0"/>
    <n v="35"/>
    <n v="1995"/>
    <n v="69825"/>
    <n v="57256.5"/>
  </r>
  <r>
    <n v="203"/>
    <s v="TC006"/>
    <s v="Apple"/>
    <s v="iPad mini 4 MK9J2CH/A 7.9英寸平板电脑 金色"/>
    <x v="0"/>
    <x v="42"/>
    <x v="3"/>
    <x v="0"/>
    <n v="40"/>
    <n v="3558"/>
    <n v="142320"/>
    <n v="115279.2"/>
  </r>
  <r>
    <n v="204"/>
    <s v="TC013"/>
    <s v="联想"/>
    <s v="ThinkPad 8（20BNA00RCD）8.3英寸触控平板电脑"/>
    <x v="0"/>
    <x v="16"/>
    <x v="3"/>
    <x v="0"/>
    <n v="49"/>
    <n v="2599"/>
    <n v="127351"/>
    <n v="108248.35"/>
  </r>
  <r>
    <n v="205"/>
    <s v="TV002"/>
    <s v="酷开"/>
    <s v="coocaa K50J 50英寸智能平板液晶电视"/>
    <x v="1"/>
    <x v="43"/>
    <x v="3"/>
    <x v="1"/>
    <n v="6"/>
    <n v="2699"/>
    <n v="16194"/>
    <n v="13117.14"/>
  </r>
  <r>
    <n v="206"/>
    <s v="TV009"/>
    <s v="LG"/>
    <s v="42LS3100-CE 全高清LED液晶电视"/>
    <x v="1"/>
    <x v="66"/>
    <x v="3"/>
    <x v="1"/>
    <n v="35"/>
    <n v="3049"/>
    <n v="106715"/>
    <n v="86439.150000000009"/>
  </r>
  <r>
    <n v="207"/>
    <s v="TV016"/>
    <s v="TCL"/>
    <s v="L48F3310-3D平板电视"/>
    <x v="1"/>
    <x v="126"/>
    <x v="3"/>
    <x v="1"/>
    <n v="41"/>
    <n v="3999"/>
    <n v="163959"/>
    <n v="142644.33000000002"/>
  </r>
  <r>
    <n v="208"/>
    <s v="AC003"/>
    <s v="TCL"/>
    <s v="KFRd-25GW/DE22空调"/>
    <x v="2"/>
    <x v="127"/>
    <x v="3"/>
    <x v="1"/>
    <n v="38"/>
    <n v="1879"/>
    <n v="71402"/>
    <n v="57121.599999999999"/>
  </r>
  <r>
    <n v="209"/>
    <s v="AC011"/>
    <s v="格兰仕"/>
    <s v="Galanz KFR-23GW/dLP45-150(2)空调"/>
    <x v="2"/>
    <x v="47"/>
    <x v="3"/>
    <x v="0"/>
    <n v="49"/>
    <n v="1599"/>
    <n v="78351"/>
    <n v="65814.840000000011"/>
  </r>
  <r>
    <n v="210"/>
    <s v="AC020"/>
    <s v="志高"/>
    <s v="CHIGO KFR-25GW/D104+N3空调"/>
    <x v="2"/>
    <x v="22"/>
    <x v="3"/>
    <x v="1"/>
    <n v="5"/>
    <n v="1979"/>
    <n v="9895"/>
    <n v="8410.75"/>
  </r>
  <r>
    <n v="211"/>
    <s v="RF010"/>
    <s v="海信"/>
    <s v="Hisense BCD-137C/E冰箱"/>
    <x v="3"/>
    <x v="49"/>
    <x v="3"/>
    <x v="1"/>
    <n v="16"/>
    <n v="999"/>
    <n v="15984"/>
    <n v="13426.56"/>
  </r>
  <r>
    <n v="212"/>
    <s v="RF020"/>
    <s v="西门子"/>
    <s v="SIEMENS KG23N1116W冰箱"/>
    <x v="3"/>
    <x v="50"/>
    <x v="3"/>
    <x v="0"/>
    <n v="25"/>
    <n v="2799"/>
    <n v="69975"/>
    <n v="58779"/>
  </r>
  <r>
    <n v="213"/>
    <s v="NC011"/>
    <s v="华硕"/>
    <s v="ASUS Zenbook UX305LA 13.3英寸超薄笔记本电脑"/>
    <x v="0"/>
    <x v="128"/>
    <x v="4"/>
    <x v="0"/>
    <n v="22"/>
    <n v="4875.66"/>
    <n v="107264.51999999999"/>
    <n v="95465.48000000001"/>
  </r>
  <r>
    <n v="214"/>
    <s v="PC001"/>
    <s v="Apple"/>
    <s v="iMac MK442CH/A 21.5英寸一体机"/>
    <x v="0"/>
    <x v="26"/>
    <x v="4"/>
    <x v="1"/>
    <n v="31"/>
    <n v="9588"/>
    <n v="297228"/>
    <n v="252643.80000000002"/>
  </r>
  <r>
    <n v="215"/>
    <s v="PC012"/>
    <s v="联想"/>
    <s v="lenovo M2620N 处理器j1820台式主机"/>
    <x v="0"/>
    <x v="129"/>
    <x v="4"/>
    <x v="1"/>
    <n v="44"/>
    <n v="2080"/>
    <n v="91520"/>
    <n v="75046.399999999994"/>
  </r>
  <r>
    <n v="216"/>
    <s v="TC010"/>
    <s v="华为"/>
    <s v="Huawei M2-803L 4G 64GB 八核平板电脑手机 香槟金"/>
    <x v="0"/>
    <x v="102"/>
    <x v="4"/>
    <x v="1"/>
    <n v="19"/>
    <n v="2278"/>
    <n v="43282"/>
    <n v="38520.980000000003"/>
  </r>
  <r>
    <n v="217"/>
    <s v="TV003"/>
    <s v="海信"/>
    <s v="Hisense LED32K200 32英寸LED高清电视"/>
    <x v="1"/>
    <x v="75"/>
    <x v="4"/>
    <x v="1"/>
    <n v="18"/>
    <n v="1699"/>
    <n v="30582"/>
    <n v="25077.24"/>
  </r>
  <r>
    <n v="218"/>
    <s v="TV012"/>
    <s v="康佳"/>
    <s v="KONKA LED42E330CE 高清节能LED液晶电视"/>
    <x v="1"/>
    <x v="130"/>
    <x v="4"/>
    <x v="1"/>
    <n v="3"/>
    <n v="3999"/>
    <n v="11997"/>
    <n v="10197.450000000001"/>
  </r>
  <r>
    <n v="219"/>
    <s v="AC003"/>
    <s v="TCL"/>
    <s v="KFRd-25GW/DE22空调"/>
    <x v="2"/>
    <x v="131"/>
    <x v="4"/>
    <x v="1"/>
    <n v="3"/>
    <n v="1879"/>
    <n v="5637"/>
    <n v="4509.6000000000004"/>
  </r>
  <r>
    <n v="220"/>
    <s v="AC013"/>
    <s v="格兰仕"/>
    <s v="Galanz KFR-35GW/DLC45-130(2)空调"/>
    <x v="2"/>
    <x v="132"/>
    <x v="4"/>
    <x v="1"/>
    <n v="21"/>
    <n v="1999"/>
    <n v="41979"/>
    <n v="35262.36"/>
  </r>
  <r>
    <n v="221"/>
    <s v="RF005"/>
    <s v="奥马"/>
    <s v="BCD-176A7冰箱"/>
    <x v="3"/>
    <x v="104"/>
    <x v="4"/>
    <x v="1"/>
    <n v="29"/>
    <n v="1098"/>
    <n v="31842"/>
    <n v="28657.800000000003"/>
  </r>
  <r>
    <n v="222"/>
    <s v="RF014"/>
    <s v="美菱"/>
    <s v="MeLing BCD-181MLC双门冰箱"/>
    <x v="3"/>
    <x v="38"/>
    <x v="4"/>
    <x v="1"/>
    <n v="47"/>
    <n v="1299"/>
    <n v="61053"/>
    <n v="49452.93"/>
  </r>
  <r>
    <n v="223"/>
    <s v="WH003"/>
    <s v="格兰仕"/>
    <s v="Galanz ZSDF-G40K031 40L 电热水器"/>
    <x v="4"/>
    <x v="106"/>
    <x v="4"/>
    <x v="0"/>
    <n v="37"/>
    <n v="498"/>
    <n v="18426"/>
    <n v="16399.14"/>
  </r>
  <r>
    <n v="224"/>
    <s v="WH012"/>
    <s v="美的"/>
    <s v="Midea F50-15A1 50升 电热水器"/>
    <x v="4"/>
    <x v="95"/>
    <x v="4"/>
    <x v="0"/>
    <n v="2"/>
    <n v="769"/>
    <n v="1538"/>
    <n v="1353.44"/>
  </r>
  <r>
    <n v="225"/>
    <s v="WH020"/>
    <s v="小鸭"/>
    <s v="XDWJ-40SA1 40升 电热水器"/>
    <x v="4"/>
    <x v="133"/>
    <x v="4"/>
    <x v="0"/>
    <n v="43"/>
    <n v="399"/>
    <n v="17157"/>
    <n v="14068.74"/>
  </r>
  <r>
    <n v="226"/>
    <s v="WM009"/>
    <s v="海尔"/>
    <s v="Haier XQB50-M918洗衣机"/>
    <x v="5"/>
    <x v="134"/>
    <x v="4"/>
    <x v="0"/>
    <n v="19"/>
    <n v="978"/>
    <n v="18582"/>
    <n v="15237.240000000002"/>
  </r>
  <r>
    <n v="227"/>
    <s v="WM016"/>
    <s v="天骏小天使"/>
    <s v="TIJUMP 家用干衣机"/>
    <x v="5"/>
    <x v="42"/>
    <x v="4"/>
    <x v="0"/>
    <n v="43"/>
    <n v="199"/>
    <n v="8557"/>
    <n v="7530.16"/>
  </r>
  <r>
    <n v="228"/>
    <s v="NC005"/>
    <s v="Apple"/>
    <s v="MacBook Pro MGXC2CH/A 15.4英寸笔记本电脑"/>
    <x v="0"/>
    <x v="43"/>
    <x v="4"/>
    <x v="0"/>
    <n v="3"/>
    <n v="15688"/>
    <n v="47064"/>
    <n v="39533.760000000002"/>
  </r>
  <r>
    <n v="229"/>
    <s v="NC013"/>
    <s v="戴尔"/>
    <s v="Dell Vostro 5480R-3528SS 14英寸笔记本电脑 银色"/>
    <x v="0"/>
    <x v="45"/>
    <x v="4"/>
    <x v="0"/>
    <n v="13"/>
    <n v="4199"/>
    <n v="54587"/>
    <n v="45853.08"/>
  </r>
  <r>
    <n v="230"/>
    <s v="PC003"/>
    <s v="Apple"/>
    <s v="ME087CH/A iMac 21.5英寸一体机 银色 "/>
    <x v="0"/>
    <x v="135"/>
    <x v="4"/>
    <x v="0"/>
    <n v="12"/>
    <n v="10488"/>
    <n v="125856"/>
    <n v="106977.59999999999"/>
  </r>
  <r>
    <n v="231"/>
    <s v="PC010"/>
    <s v="联想"/>
    <s v="lenovo C360 G1820一体机 白色"/>
    <x v="0"/>
    <x v="136"/>
    <x v="4"/>
    <x v="0"/>
    <n v="36"/>
    <n v="2665"/>
    <n v="95940"/>
    <n v="85386.599999999991"/>
  </r>
  <r>
    <n v="232"/>
    <s v="TC004"/>
    <s v="Apple"/>
    <s v="iPad Air WLAN 32GB 银色"/>
    <x v="0"/>
    <x v="137"/>
    <x v="4"/>
    <x v="0"/>
    <n v="49"/>
    <n v="3108"/>
    <n v="152292"/>
    <n v="129448.20000000001"/>
  </r>
  <r>
    <n v="233"/>
    <s v="TC012"/>
    <s v="三星"/>
    <s v="SAMSUNG Galaxy TAB3 P5200 10.1英寸智能平板电脑"/>
    <x v="0"/>
    <x v="0"/>
    <x v="4"/>
    <x v="0"/>
    <n v="44"/>
    <n v="1810"/>
    <n v="79640"/>
    <n v="69286.8"/>
  </r>
  <r>
    <n v="234"/>
    <s v="TV002"/>
    <s v="酷开"/>
    <s v="coocaa K50J 50英寸智能平板液晶电视"/>
    <x v="1"/>
    <x v="138"/>
    <x v="4"/>
    <x v="1"/>
    <n v="15"/>
    <n v="2699"/>
    <n v="40485"/>
    <n v="32792.85"/>
  </r>
  <r>
    <n v="235"/>
    <s v="TV010"/>
    <s v="海信"/>
    <s v="Hisense LED40K170JD平板电视"/>
    <x v="1"/>
    <x v="139"/>
    <x v="4"/>
    <x v="0"/>
    <n v="50"/>
    <n v="2569"/>
    <n v="128450"/>
    <n v="105329"/>
  </r>
  <r>
    <n v="236"/>
    <s v="TV018"/>
    <s v="康佳"/>
    <s v="KONKA LED42E320N平板电视"/>
    <x v="1"/>
    <x v="140"/>
    <x v="4"/>
    <x v="1"/>
    <n v="13"/>
    <n v="2998"/>
    <n v="38974"/>
    <n v="34297.119999999995"/>
  </r>
  <r>
    <n v="237"/>
    <s v="AC006"/>
    <s v="奥克斯"/>
    <s v="KFR-26GW/BPSSD-2空调"/>
    <x v="2"/>
    <x v="50"/>
    <x v="4"/>
    <x v="1"/>
    <n v="15"/>
    <n v="2639"/>
    <n v="39585"/>
    <n v="35230.65"/>
  </r>
  <r>
    <n v="238"/>
    <s v="AC015"/>
    <s v="海信"/>
    <s v="Hisense KFR-26GW/ER01N2空调"/>
    <x v="2"/>
    <x v="13"/>
    <x v="4"/>
    <x v="1"/>
    <n v="26"/>
    <n v="2179"/>
    <n v="56654"/>
    <n v="50422.06"/>
  </r>
  <r>
    <n v="239"/>
    <s v="WH005"/>
    <s v="海尔"/>
    <s v="Haier EC5002-Q6 50升电热水器"/>
    <x v="4"/>
    <x v="52"/>
    <x v="4"/>
    <x v="1"/>
    <n v="44"/>
    <n v="1098"/>
    <n v="48312"/>
    <n v="41548.32"/>
  </r>
  <r>
    <n v="240"/>
    <s v="RF003"/>
    <s v="TCL"/>
    <s v="BCD-176K50两门冰箱"/>
    <x v="3"/>
    <x v="126"/>
    <x v="4"/>
    <x v="1"/>
    <n v="43"/>
    <n v="1199"/>
    <n v="51557"/>
    <n v="44854.590000000004"/>
  </r>
  <r>
    <n v="241"/>
    <s v="WH014"/>
    <s v="美的"/>
    <s v="Midea F60-15WB5(Y)电热水器"/>
    <x v="4"/>
    <x v="141"/>
    <x v="4"/>
    <x v="1"/>
    <n v="27"/>
    <n v="1298"/>
    <n v="35046"/>
    <n v="29789.1"/>
  </r>
  <r>
    <n v="242"/>
    <s v="RF011"/>
    <s v="康佳"/>
    <s v="KONKA BCD-108S-GY 冰箱"/>
    <x v="3"/>
    <x v="3"/>
    <x v="4"/>
    <x v="1"/>
    <n v="15"/>
    <n v="838"/>
    <n v="12570"/>
    <n v="10810.199999999999"/>
  </r>
  <r>
    <n v="243"/>
    <s v="WM004"/>
    <s v="奔腾"/>
    <s v="POVOS 家用双层干衣机烘干机"/>
    <x v="5"/>
    <x v="29"/>
    <x v="4"/>
    <x v="0"/>
    <n v="47"/>
    <n v="219"/>
    <n v="10293"/>
    <n v="8440.26"/>
  </r>
  <r>
    <n v="244"/>
    <s v="RF019"/>
    <s v="西门子"/>
    <s v="SIEMENS KG23F1861W冰箱"/>
    <x v="3"/>
    <x v="4"/>
    <x v="4"/>
    <x v="1"/>
    <n v="31"/>
    <n v="3399"/>
    <n v="105369"/>
    <n v="88509.959999999992"/>
  </r>
  <r>
    <n v="245"/>
    <s v="WM014"/>
    <s v="松井"/>
    <s v="SJ-G13S双层可移动干衣机"/>
    <x v="5"/>
    <x v="121"/>
    <x v="4"/>
    <x v="0"/>
    <n v="49"/>
    <n v="198"/>
    <n v="9702"/>
    <n v="7761.6"/>
  </r>
  <r>
    <n v="246"/>
    <s v="WH006"/>
    <s v="海尔"/>
    <s v="Haier EC5002-D多功率遥控电热水器"/>
    <x v="4"/>
    <x v="76"/>
    <x v="4"/>
    <x v="1"/>
    <n v="48"/>
    <n v="1198"/>
    <n v="57504"/>
    <n v="47728.32"/>
  </r>
  <r>
    <n v="247"/>
    <s v="WH013"/>
    <s v="美的"/>
    <s v="Midea F05-15A(S)小厨宝"/>
    <x v="4"/>
    <x v="55"/>
    <x v="4"/>
    <x v="1"/>
    <n v="45"/>
    <n v="399"/>
    <n v="17955"/>
    <n v="14902.650000000001"/>
  </r>
  <r>
    <n v="248"/>
    <s v="WH020"/>
    <s v="小鸭"/>
    <s v="XDWJ-40SA1 40升 电热水器"/>
    <x v="4"/>
    <x v="142"/>
    <x v="4"/>
    <x v="0"/>
    <n v="50"/>
    <n v="399"/>
    <n v="19950"/>
    <n v="16359"/>
  </r>
  <r>
    <n v="249"/>
    <s v="WM007"/>
    <s v="格力"/>
    <s v="GREE GSP20 烘干机滚筒干衣机"/>
    <x v="5"/>
    <x v="113"/>
    <x v="4"/>
    <x v="0"/>
    <n v="24"/>
    <n v="799"/>
    <n v="19176"/>
    <n v="16874.88"/>
  </r>
  <r>
    <n v="250"/>
    <s v="WM014"/>
    <s v="松井"/>
    <s v="SJ-G13S双层可移动干衣机"/>
    <x v="5"/>
    <x v="143"/>
    <x v="4"/>
    <x v="0"/>
    <n v="46"/>
    <n v="198"/>
    <n v="9108"/>
    <n v="7286.4000000000005"/>
  </r>
  <r>
    <n v="251"/>
    <s v="NC002"/>
    <s v="Apple"/>
    <s v="MacBook Air MJVM2CH/A 11.6英寸笔记本电脑"/>
    <x v="0"/>
    <x v="105"/>
    <x v="4"/>
    <x v="0"/>
    <n v="26"/>
    <n v="5988"/>
    <n v="155688"/>
    <n v="138562.32"/>
  </r>
  <r>
    <n v="252"/>
    <s v="NC009"/>
    <s v="华硕"/>
    <s v="ASUS R557LP4030-554KSF52X10 轻薄笔记本"/>
    <x v="0"/>
    <x v="144"/>
    <x v="4"/>
    <x v="1"/>
    <n v="31"/>
    <n v="2699"/>
    <n v="83669"/>
    <n v="66935.199999999997"/>
  </r>
  <r>
    <n v="253"/>
    <s v="NC016"/>
    <s v="戴尔"/>
    <s v="Dell  XPS13R-9343-5608S 13.3英寸超极本"/>
    <x v="0"/>
    <x v="145"/>
    <x v="4"/>
    <x v="0"/>
    <n v="43"/>
    <n v="8099"/>
    <n v="348257"/>
    <n v="302983.59000000003"/>
  </r>
  <r>
    <n v="254"/>
    <s v="PC003"/>
    <s v="Apple"/>
    <s v="ME087CH/A iMac 21.5英寸一体机 银色 "/>
    <x v="0"/>
    <x v="146"/>
    <x v="4"/>
    <x v="0"/>
    <n v="23"/>
    <n v="10488"/>
    <n v="241224"/>
    <n v="205040.4"/>
  </r>
  <r>
    <n v="255"/>
    <s v="PC010"/>
    <s v="联想"/>
    <s v="lenovo C360 G1820一体机 白色"/>
    <x v="0"/>
    <x v="147"/>
    <x v="4"/>
    <x v="1"/>
    <n v="32"/>
    <n v="2665"/>
    <n v="85280"/>
    <n v="75899.199999999997"/>
  </r>
  <r>
    <n v="256"/>
    <s v="TC003"/>
    <s v="Apple"/>
    <s v="iPad Air WLAN 16GB 银色"/>
    <x v="0"/>
    <x v="148"/>
    <x v="4"/>
    <x v="0"/>
    <n v="12"/>
    <n v="2738"/>
    <n v="32856"/>
    <n v="29241.840000000004"/>
  </r>
  <r>
    <n v="257"/>
    <s v="TC010"/>
    <s v="华为"/>
    <s v="Huawei M2-803L 4G 64GB 八核平板电脑手机 香槟金"/>
    <x v="0"/>
    <x v="149"/>
    <x v="4"/>
    <x v="0"/>
    <n v="36"/>
    <n v="2278"/>
    <n v="82008"/>
    <n v="72987.12"/>
  </r>
  <r>
    <n v="258"/>
    <s v="TC017"/>
    <s v="亚马逊"/>
    <s v="Fire 平板电脑"/>
    <x v="0"/>
    <x v="97"/>
    <x v="4"/>
    <x v="1"/>
    <n v="45"/>
    <n v="499"/>
    <n v="22455"/>
    <n v="17964"/>
  </r>
  <r>
    <n v="259"/>
    <s v="TV006"/>
    <s v="海信"/>
    <s v="Hisense LED50K320DX3D 50英寸3D液晶电视"/>
    <x v="1"/>
    <x v="116"/>
    <x v="4"/>
    <x v="1"/>
    <n v="12"/>
    <n v="4999"/>
    <n v="59988"/>
    <n v="50389.919999999998"/>
  </r>
  <r>
    <n v="260"/>
    <s v="TV013"/>
    <s v="康佳"/>
    <s v="KONKA LED32E220CE平板电视"/>
    <x v="1"/>
    <x v="150"/>
    <x v="4"/>
    <x v="1"/>
    <n v="16"/>
    <n v="1899"/>
    <n v="30384"/>
    <n v="26737.919999999998"/>
  </r>
  <r>
    <n v="261"/>
    <s v="TV020"/>
    <s v="夏普"/>
    <s v="Sharp LCD-52DS50A智能LED液晶电视"/>
    <x v="1"/>
    <x v="20"/>
    <x v="4"/>
    <x v="1"/>
    <n v="18"/>
    <n v="7299"/>
    <n v="131382"/>
    <n v="106419.42"/>
  </r>
  <r>
    <n v="262"/>
    <s v="AC008"/>
    <s v="奥克斯"/>
    <s v="KFR-35GW/BPSSD-2正1.5匹空调"/>
    <x v="2"/>
    <x v="139"/>
    <x v="4"/>
    <x v="1"/>
    <n v="27"/>
    <n v="2393"/>
    <n v="64611"/>
    <n v="56211.569999999992"/>
  </r>
  <r>
    <n v="263"/>
    <s v="AC015"/>
    <s v="海信"/>
    <s v="Hisense KFR-26GW/ER01N2空调"/>
    <x v="2"/>
    <x v="73"/>
    <x v="4"/>
    <x v="0"/>
    <n v="50"/>
    <n v="2179"/>
    <n v="108950"/>
    <n v="96965.5"/>
  </r>
  <r>
    <n v="264"/>
    <s v="RF006"/>
    <s v="海尔"/>
    <s v="Haier BCD-190TMPK 冰箱"/>
    <x v="3"/>
    <x v="23"/>
    <x v="4"/>
    <x v="1"/>
    <n v="32"/>
    <n v="1299"/>
    <n v="41568"/>
    <n v="33254.400000000001"/>
  </r>
  <r>
    <n v="265"/>
    <s v="RF016"/>
    <s v="容声"/>
    <s v="Ronshen BCD-202M/TX6-GF61-C冰箱"/>
    <x v="3"/>
    <x v="3"/>
    <x v="4"/>
    <x v="1"/>
    <n v="45"/>
    <n v="1499"/>
    <n v="67455"/>
    <n v="60034.95"/>
  </r>
  <r>
    <n v="266"/>
    <s v="NC008"/>
    <s v="Apple"/>
    <s v="MacBookMK4M2CH/A 12英寸笔记本电脑"/>
    <x v="0"/>
    <x v="151"/>
    <x v="5"/>
    <x v="1"/>
    <n v="32"/>
    <n v="8888"/>
    <n v="284416"/>
    <n v="255974.39999999999"/>
  </r>
  <r>
    <n v="267"/>
    <s v="NC019"/>
    <s v="联想"/>
    <s v="ThinkPad E450C-20EHA01-7CD 14英寸笔记本电脑"/>
    <x v="0"/>
    <x v="26"/>
    <x v="5"/>
    <x v="1"/>
    <n v="22"/>
    <n v="3499"/>
    <n v="76978"/>
    <n v="63891.740000000005"/>
  </r>
  <r>
    <n v="268"/>
    <s v="PC010"/>
    <s v="联想"/>
    <s v="lenovo C360 G1820一体机 白色"/>
    <x v="0"/>
    <x v="100"/>
    <x v="5"/>
    <x v="1"/>
    <n v="40"/>
    <n v="2665"/>
    <n v="106600"/>
    <n v="94874"/>
  </r>
  <r>
    <n v="269"/>
    <s v="TC009"/>
    <s v="宏通"/>
    <s v="HT HT820 四核7英寸WIFI版平板电脑"/>
    <x v="0"/>
    <x v="102"/>
    <x v="5"/>
    <x v="1"/>
    <n v="32"/>
    <n v="289"/>
    <n v="9248"/>
    <n v="7860.8"/>
  </r>
  <r>
    <n v="270"/>
    <s v="TV002"/>
    <s v="酷开"/>
    <s v="coocaa K50J 50英寸智能平板液晶电视"/>
    <x v="1"/>
    <x v="121"/>
    <x v="5"/>
    <x v="1"/>
    <n v="34"/>
    <n v="2699"/>
    <n v="91766"/>
    <n v="74330.460000000006"/>
  </r>
  <r>
    <n v="271"/>
    <s v="TV011"/>
    <s v="海信"/>
    <s v="HisenseLED39K200J 39英寸全高清LED液晶电视"/>
    <x v="1"/>
    <x v="77"/>
    <x v="5"/>
    <x v="1"/>
    <n v="22"/>
    <n v="2499"/>
    <n v="54978"/>
    <n v="47281.079999999994"/>
  </r>
  <r>
    <n v="272"/>
    <s v="AC001"/>
    <s v="TCL"/>
    <s v="KFRd-52LW/DR22空调"/>
    <x v="2"/>
    <x v="34"/>
    <x v="5"/>
    <x v="1"/>
    <n v="10"/>
    <n v="3629"/>
    <n v="36290"/>
    <n v="32661"/>
  </r>
  <r>
    <n v="273"/>
    <s v="AC012"/>
    <s v="格兰仕"/>
    <s v="Galanz KFR-32GW/dLP57-130(2)空调"/>
    <x v="2"/>
    <x v="132"/>
    <x v="5"/>
    <x v="1"/>
    <n v="30"/>
    <n v="1899"/>
    <n v="56970"/>
    <n v="48994.200000000004"/>
  </r>
  <r>
    <n v="274"/>
    <s v="RF002"/>
    <s v="海尔"/>
    <s v="Haier bcd-186kb 双门冰箱"/>
    <x v="3"/>
    <x v="143"/>
    <x v="5"/>
    <x v="1"/>
    <n v="41"/>
    <n v="1399"/>
    <n v="57359"/>
    <n v="51049.509999999995"/>
  </r>
  <r>
    <n v="275"/>
    <s v="RF013"/>
    <s v="美的"/>
    <s v="Midea BCD-206TM(E)冰箱"/>
    <x v="3"/>
    <x v="105"/>
    <x v="5"/>
    <x v="1"/>
    <n v="23"/>
    <n v="1699"/>
    <n v="39077"/>
    <n v="32824.68"/>
  </r>
  <r>
    <n v="276"/>
    <s v="WH002"/>
    <s v="AO史密斯"/>
    <s v="A.O.Smith ET500J-60 电热水器"/>
    <x v="4"/>
    <x v="106"/>
    <x v="5"/>
    <x v="0"/>
    <n v="38"/>
    <n v="2868"/>
    <n v="108984"/>
    <n v="87187.199999999997"/>
  </r>
  <r>
    <n v="277"/>
    <s v="WH011"/>
    <s v="林内"/>
    <s v="Rinnai RUS-13E22CWNF燃气热水器"/>
    <x v="4"/>
    <x v="145"/>
    <x v="5"/>
    <x v="0"/>
    <n v="18"/>
    <n v="3580"/>
    <n v="64440"/>
    <n v="51552"/>
  </r>
  <r>
    <n v="278"/>
    <s v="WH019"/>
    <s v="万家乐"/>
    <s v="JSQ24-12201 12升 燃气热水器"/>
    <x v="4"/>
    <x v="84"/>
    <x v="5"/>
    <x v="0"/>
    <n v="48"/>
    <n v="1299"/>
    <n v="62352"/>
    <n v="56116.799999999996"/>
  </r>
  <r>
    <n v="279"/>
    <s v="WM008"/>
    <s v="海尔"/>
    <s v="Haier XQB50-M1258 5.0公斤 全自动波轮洗衣机"/>
    <x v="5"/>
    <x v="85"/>
    <x v="5"/>
    <x v="0"/>
    <n v="28"/>
    <n v="999"/>
    <n v="27972"/>
    <n v="23216.76"/>
  </r>
  <r>
    <n v="280"/>
    <s v="WM015"/>
    <s v="松下"/>
    <s v="Panasonic XQB60-Q662U 6公斤 立体搓全自动波轮洗衣机"/>
    <x v="5"/>
    <x v="152"/>
    <x v="5"/>
    <x v="0"/>
    <n v="50"/>
    <n v="1419"/>
    <n v="70950"/>
    <n v="59598"/>
  </r>
  <r>
    <n v="281"/>
    <s v="NC004"/>
    <s v="Apple"/>
    <s v="MacBook Pro MF840CH/A 13.3英寸笔记本电脑"/>
    <x v="0"/>
    <x v="149"/>
    <x v="5"/>
    <x v="0"/>
    <n v="42"/>
    <n v="10188"/>
    <n v="427896"/>
    <n v="376548.48000000004"/>
  </r>
  <r>
    <n v="282"/>
    <s v="NC012"/>
    <s v="戴尔"/>
    <s v="Dell Ins15CR-4528B 15.6英寸笔记本电脑"/>
    <x v="0"/>
    <x v="44"/>
    <x v="5"/>
    <x v="0"/>
    <n v="18"/>
    <n v="3149"/>
    <n v="56682"/>
    <n v="51013.799999999996"/>
  </r>
  <r>
    <n v="283"/>
    <s v="PC002"/>
    <s v="Apple"/>
    <s v="ME086CH/A iMac 21.5英寸一体机 银色 "/>
    <x v="0"/>
    <x v="116"/>
    <x v="5"/>
    <x v="0"/>
    <n v="34"/>
    <n v="9188"/>
    <n v="312392"/>
    <n v="262409.28000000003"/>
  </r>
  <r>
    <n v="284"/>
    <s v="PC009"/>
    <s v="联想"/>
    <s v="Lenovo IdeaCentre C560 一体机"/>
    <x v="0"/>
    <x v="74"/>
    <x v="5"/>
    <x v="0"/>
    <n v="6"/>
    <n v="3750"/>
    <n v="22500"/>
    <n v="18225"/>
  </r>
  <r>
    <n v="285"/>
    <s v="TC003"/>
    <s v="Apple"/>
    <s v="iPad Air WLAN 16GB 银色"/>
    <x v="0"/>
    <x v="153"/>
    <x v="5"/>
    <x v="0"/>
    <n v="33"/>
    <n v="2738"/>
    <n v="90354"/>
    <n v="80415.060000000012"/>
  </r>
  <r>
    <n v="286"/>
    <s v="TC011"/>
    <s v="微软"/>
    <s v="Microsoft Surface Pro 4 12.3英寸平板电脑"/>
    <x v="0"/>
    <x v="127"/>
    <x v="5"/>
    <x v="0"/>
    <n v="23"/>
    <n v="7388"/>
    <n v="169924"/>
    <n v="152931.6"/>
  </r>
  <r>
    <n v="287"/>
    <s v="TV001"/>
    <s v="索尼"/>
    <s v="SONY KDL 55英寸高清3D液晶电视"/>
    <x v="1"/>
    <x v="128"/>
    <x v="5"/>
    <x v="1"/>
    <n v="25"/>
    <n v="5499"/>
    <n v="137475"/>
    <n v="112729.5"/>
  </r>
  <r>
    <n v="288"/>
    <s v="TV009"/>
    <s v="LG"/>
    <s v="42LS3100-CE 全高清LED液晶电视"/>
    <x v="1"/>
    <x v="27"/>
    <x v="5"/>
    <x v="1"/>
    <n v="49"/>
    <n v="3049"/>
    <n v="149401"/>
    <n v="121014.81"/>
  </r>
  <r>
    <n v="289"/>
    <s v="TV017"/>
    <s v="康佳"/>
    <s v="KONKA LED37F3300E平板电视"/>
    <x v="1"/>
    <x v="140"/>
    <x v="5"/>
    <x v="1"/>
    <n v="43"/>
    <n v="2098"/>
    <n v="90214"/>
    <n v="76681.899999999994"/>
  </r>
  <r>
    <n v="290"/>
    <s v="AC005"/>
    <s v="TCL"/>
    <s v="KFRd-35GW/DE22空调"/>
    <x v="2"/>
    <x v="50"/>
    <x v="5"/>
    <x v="1"/>
    <n v="10"/>
    <n v="2179"/>
    <n v="21790"/>
    <n v="18521.5"/>
  </r>
  <r>
    <n v="291"/>
    <s v="AC014"/>
    <s v="海信"/>
    <s v="Hisense KFR-35GW/ER01N2空调"/>
    <x v="2"/>
    <x v="21"/>
    <x v="5"/>
    <x v="0"/>
    <n v="44"/>
    <n v="2379"/>
    <n v="104676"/>
    <n v="88974.6"/>
  </r>
  <r>
    <n v="292"/>
    <s v="WH004"/>
    <s v="海尔"/>
    <s v="Haier A1 10升天然气热水器"/>
    <x v="4"/>
    <x v="1"/>
    <x v="5"/>
    <x v="1"/>
    <n v="22"/>
    <n v="1298"/>
    <n v="28556"/>
    <n v="22844.800000000003"/>
  </r>
  <r>
    <n v="293"/>
    <s v="RF001"/>
    <s v="海尔"/>
    <s v="Haier BCD-216SCM 冰箱"/>
    <x v="3"/>
    <x v="117"/>
    <x v="5"/>
    <x v="1"/>
    <n v="48"/>
    <n v="2399"/>
    <n v="115152"/>
    <n v="93273.12"/>
  </r>
  <r>
    <n v="294"/>
    <s v="WH012"/>
    <s v="美的"/>
    <s v="Midea F50-15A1 50升 电热水器"/>
    <x v="4"/>
    <x v="53"/>
    <x v="5"/>
    <x v="1"/>
    <n v="46"/>
    <n v="769"/>
    <n v="35374"/>
    <n v="31129.120000000003"/>
  </r>
  <r>
    <n v="295"/>
    <s v="RF009"/>
    <s v="海尔"/>
    <s v="Haier BCD-568WDPF冰箱"/>
    <x v="3"/>
    <x v="119"/>
    <x v="5"/>
    <x v="1"/>
    <n v="19"/>
    <n v="3899"/>
    <n v="74081"/>
    <n v="63709.659999999996"/>
  </r>
  <r>
    <n v="296"/>
    <s v="WM003"/>
    <s v="安仕"/>
    <s v="ASG-131S双层干衣机"/>
    <x v="5"/>
    <x v="24"/>
    <x v="5"/>
    <x v="0"/>
    <n v="44"/>
    <n v="198"/>
    <n v="8712"/>
    <n v="7318.08"/>
  </r>
  <r>
    <n v="297"/>
    <s v="RF018"/>
    <s v="西门子"/>
    <s v="SIEMENS KK20V40TI冰箱"/>
    <x v="3"/>
    <x v="120"/>
    <x v="5"/>
    <x v="1"/>
    <n v="32"/>
    <n v="1999"/>
    <n v="63968"/>
    <n v="51814.080000000002"/>
  </r>
  <r>
    <n v="298"/>
    <s v="WM012"/>
    <s v="康佳"/>
    <s v="KONKA XQB50-5001全自动洗衣机"/>
    <x v="5"/>
    <x v="31"/>
    <x v="5"/>
    <x v="0"/>
    <n v="10"/>
    <n v="788"/>
    <n v="7880"/>
    <n v="6934.4000000000005"/>
  </r>
  <r>
    <n v="299"/>
    <s v="WH005"/>
    <s v="海尔"/>
    <s v="Haier EC5002-Q6 50升电热水器"/>
    <x v="4"/>
    <x v="122"/>
    <x v="5"/>
    <x v="1"/>
    <n v="20"/>
    <n v="1098"/>
    <n v="21960"/>
    <n v="18885.599999999999"/>
  </r>
  <r>
    <n v="300"/>
    <s v="WH012"/>
    <s v="美的"/>
    <s v="Midea F50-15A1 50升 电热水器"/>
    <x v="4"/>
    <x v="6"/>
    <x v="5"/>
    <x v="1"/>
    <n v="40"/>
    <n v="769"/>
    <n v="30760"/>
    <n v="27068.800000000003"/>
  </r>
  <r>
    <n v="301"/>
    <s v="WH019"/>
    <s v="万家乐"/>
    <s v="JSQ24-12201 12升 燃气热水器"/>
    <x v="4"/>
    <x v="142"/>
    <x v="5"/>
    <x v="0"/>
    <n v="28"/>
    <n v="1299"/>
    <n v="36372"/>
    <n v="32734.799999999996"/>
  </r>
  <r>
    <n v="302"/>
    <s v="WM006"/>
    <s v="格兰仕"/>
    <s v="Galanz XQG60-A708 6公斤云滚筒洗衣机"/>
    <x v="5"/>
    <x v="113"/>
    <x v="5"/>
    <x v="0"/>
    <n v="27"/>
    <n v="999"/>
    <n v="26973"/>
    <n v="22117.859999999997"/>
  </r>
  <r>
    <n v="303"/>
    <s v="WM013"/>
    <s v="三洋"/>
    <s v="XQG60-F1029 6公斤 滚筒全自动洗衣机"/>
    <x v="5"/>
    <x v="143"/>
    <x v="5"/>
    <x v="0"/>
    <n v="11"/>
    <n v="1718"/>
    <n v="18898"/>
    <n v="16819.22"/>
  </r>
  <r>
    <n v="304"/>
    <s v="NC001"/>
    <s v="Apple"/>
    <s v="MacBook Air MJVE2CH/A 13.3英寸笔记本电脑"/>
    <x v="0"/>
    <x v="154"/>
    <x v="5"/>
    <x v="1"/>
    <n v="41"/>
    <n v="6462.8"/>
    <n v="264974.8"/>
    <n v="211979.84"/>
  </r>
  <r>
    <n v="305"/>
    <s v="NC008"/>
    <s v="Apple"/>
    <s v="MacBookMK4M2CH/A 12英寸笔记本电脑"/>
    <x v="0"/>
    <x v="59"/>
    <x v="5"/>
    <x v="0"/>
    <n v="40"/>
    <n v="8888"/>
    <n v="355520"/>
    <n v="319968"/>
  </r>
  <r>
    <n v="306"/>
    <s v="NC015"/>
    <s v="戴尔"/>
    <s v="Dell XPS13R-9343-2508S 13.3英寸超极本"/>
    <x v="0"/>
    <x v="145"/>
    <x v="5"/>
    <x v="0"/>
    <n v="50"/>
    <n v="7799"/>
    <n v="389950"/>
    <n v="331457.5"/>
  </r>
  <r>
    <n v="307"/>
    <s v="PC002"/>
    <s v="Apple"/>
    <s v="ME086CH/A iMac 21.5英寸一体机 银色 "/>
    <x v="0"/>
    <x v="13"/>
    <x v="5"/>
    <x v="1"/>
    <n v="35"/>
    <n v="9188"/>
    <n v="321580"/>
    <n v="270127.2"/>
  </r>
  <r>
    <n v="308"/>
    <s v="PC009"/>
    <s v="联想"/>
    <s v="Lenovo IdeaCentre C560 一体机"/>
    <x v="0"/>
    <x v="14"/>
    <x v="5"/>
    <x v="0"/>
    <n v="26"/>
    <n v="3750"/>
    <n v="97500"/>
    <n v="78975"/>
  </r>
  <r>
    <n v="309"/>
    <s v="TC002"/>
    <s v="Apple"/>
    <s v="iPad Air 2 MH182CH/A 9.7英寸平板电脑"/>
    <x v="0"/>
    <x v="155"/>
    <x v="5"/>
    <x v="0"/>
    <n v="23"/>
    <n v="4038"/>
    <n v="92874"/>
    <n v="79871.64"/>
  </r>
  <r>
    <n v="310"/>
    <s v="TC009"/>
    <s v="宏通"/>
    <s v="HT HT820 四核7英寸WIFI版平板电脑"/>
    <x v="0"/>
    <x v="156"/>
    <x v="5"/>
    <x v="0"/>
    <n v="35"/>
    <n v="289"/>
    <n v="10115"/>
    <n v="8597.75"/>
  </r>
  <r>
    <n v="311"/>
    <s v="TC016"/>
    <s v="华硕"/>
    <s v="ASUS ZenPad8 Z380KL 8英寸平板电脑 金色"/>
    <x v="0"/>
    <x v="97"/>
    <x v="5"/>
    <x v="1"/>
    <n v="15"/>
    <n v="1499"/>
    <n v="22485"/>
    <n v="18662.550000000003"/>
  </r>
  <r>
    <n v="312"/>
    <s v="TV005"/>
    <s v="海信"/>
    <s v="Hisense LED42K326X3D 42英寸智能网络3D电视"/>
    <x v="1"/>
    <x v="135"/>
    <x v="5"/>
    <x v="1"/>
    <n v="36"/>
    <n v="3599"/>
    <n v="129564"/>
    <n v="116607.59999999999"/>
  </r>
  <r>
    <n v="313"/>
    <s v="TV012"/>
    <s v="康佳"/>
    <s v="KONKA LED42E330CE 高清节能LED液晶电视"/>
    <x v="1"/>
    <x v="157"/>
    <x v="5"/>
    <x v="1"/>
    <n v="7"/>
    <n v="3999"/>
    <n v="27993"/>
    <n v="23794.05"/>
  </r>
  <r>
    <n v="314"/>
    <s v="TV019"/>
    <s v="长虹"/>
    <s v="ChangHong LED32B1300平板电视"/>
    <x v="1"/>
    <x v="137"/>
    <x v="5"/>
    <x v="1"/>
    <n v="7"/>
    <n v="1649"/>
    <n v="11543"/>
    <n v="10042.41"/>
  </r>
  <r>
    <n v="315"/>
    <s v="AC007"/>
    <s v="奥克斯"/>
    <s v="KFR-32GW/SQB+2空调"/>
    <x v="2"/>
    <x v="21"/>
    <x v="5"/>
    <x v="1"/>
    <n v="6"/>
    <n v="2279"/>
    <n v="13674"/>
    <n v="12033.119999999999"/>
  </r>
  <r>
    <n v="316"/>
    <s v="AC014"/>
    <s v="海信"/>
    <s v="Hisense KFR-35GW/ER01N2空调"/>
    <x v="2"/>
    <x v="138"/>
    <x v="5"/>
    <x v="0"/>
    <n v="44"/>
    <n v="2379"/>
    <n v="104676"/>
    <n v="88974.6"/>
  </r>
  <r>
    <n v="317"/>
    <s v="RF005"/>
    <s v="奥马"/>
    <s v="BCD-176A7冰箱"/>
    <x v="3"/>
    <x v="139"/>
    <x v="5"/>
    <x v="1"/>
    <n v="48"/>
    <n v="1098"/>
    <n v="52704"/>
    <n v="47433.600000000006"/>
  </r>
  <r>
    <n v="318"/>
    <s v="RF014"/>
    <s v="美菱"/>
    <s v="MeLing BCD-181MLC双门冰箱"/>
    <x v="3"/>
    <x v="115"/>
    <x v="5"/>
    <x v="1"/>
    <n v="23"/>
    <n v="1299"/>
    <n v="29877"/>
    <n v="24200.370000000003"/>
  </r>
  <r>
    <n v="319"/>
    <s v="NC007"/>
    <s v="Apple"/>
    <s v="MacBook MJY32CH/A 12英寸笔记本电脑"/>
    <x v="0"/>
    <x v="158"/>
    <x v="6"/>
    <x v="1"/>
    <n v="21"/>
    <n v="8888"/>
    <n v="186648"/>
    <n v="160517.28"/>
  </r>
  <r>
    <n v="320"/>
    <s v="NC017"/>
    <s v="联想"/>
    <s v="ThinkPad E450C 20EH-A009CD 14英寸笔记本电脑"/>
    <x v="0"/>
    <x v="138"/>
    <x v="6"/>
    <x v="0"/>
    <n v="43"/>
    <n v="3198"/>
    <n v="137514"/>
    <n v="119637.18000000001"/>
  </r>
  <r>
    <n v="321"/>
    <s v="PC008"/>
    <s v="戴尔"/>
    <s v="Dell XPS 8900-R19N8 台式主机"/>
    <x v="0"/>
    <x v="141"/>
    <x v="6"/>
    <x v="1"/>
    <n v="43"/>
    <n v="8699"/>
    <n v="374057"/>
    <n v="325429.59000000003"/>
  </r>
  <r>
    <n v="322"/>
    <s v="TC007"/>
    <s v="华硕"/>
    <s v="ASUS Nexus 7 from Google Tablet"/>
    <x v="0"/>
    <x v="29"/>
    <x v="6"/>
    <x v="1"/>
    <n v="20"/>
    <n v="839.71"/>
    <n v="16794.2"/>
    <n v="13435.4"/>
  </r>
  <r>
    <n v="323"/>
    <s v="TC018"/>
    <s v="亚马逊"/>
    <s v="Fire HDX 8.9平板电脑"/>
    <x v="0"/>
    <x v="121"/>
    <x v="6"/>
    <x v="1"/>
    <n v="27"/>
    <n v="3399"/>
    <n v="91773"/>
    <n v="80760.239999999991"/>
  </r>
  <r>
    <n v="324"/>
    <s v="TV010"/>
    <s v="海信"/>
    <s v="Hisense LED40K170JD平板电视"/>
    <x v="1"/>
    <x v="123"/>
    <x v="6"/>
    <x v="1"/>
    <n v="3"/>
    <n v="2569"/>
    <n v="7707"/>
    <n v="6319.74"/>
  </r>
  <r>
    <n v="325"/>
    <s v="TV019"/>
    <s v="长虹"/>
    <s v="ChangHong LED32B1300平板电视"/>
    <x v="1"/>
    <x v="55"/>
    <x v="6"/>
    <x v="1"/>
    <n v="47"/>
    <n v="1649"/>
    <n v="77503"/>
    <n v="67427.61"/>
  </r>
  <r>
    <n v="326"/>
    <s v="AC011"/>
    <s v="格兰仕"/>
    <s v="Galanz KFR-23GW/dLP45-150(2)空调"/>
    <x v="2"/>
    <x v="103"/>
    <x v="6"/>
    <x v="1"/>
    <n v="7"/>
    <n v="1599"/>
    <n v="11193"/>
    <n v="9402.1200000000008"/>
  </r>
  <r>
    <n v="327"/>
    <s v="RF001"/>
    <s v="海尔"/>
    <s v="Haier BCD-216SCM 冰箱"/>
    <x v="3"/>
    <x v="57"/>
    <x v="6"/>
    <x v="1"/>
    <n v="23"/>
    <n v="2399"/>
    <n v="55177"/>
    <n v="44693.37"/>
  </r>
  <r>
    <n v="328"/>
    <s v="RF010"/>
    <s v="海信"/>
    <s v="Hisense BCD-137C/E冰箱"/>
    <x v="3"/>
    <x v="154"/>
    <x v="6"/>
    <x v="1"/>
    <n v="8"/>
    <n v="999"/>
    <n v="7992"/>
    <n v="6713.28"/>
  </r>
  <r>
    <n v="329"/>
    <s v="WH001"/>
    <s v="AO史密斯"/>
    <s v="A.O.Smith ET300J-60 电热水器"/>
    <x v="4"/>
    <x v="144"/>
    <x v="6"/>
    <x v="1"/>
    <n v="40"/>
    <n v="2268"/>
    <n v="90720"/>
    <n v="74390.399999999994"/>
  </r>
  <r>
    <n v="330"/>
    <s v="WH010"/>
    <s v="林内"/>
    <s v="Rinnai RUS-11E22CWNF 11L燃气热水器"/>
    <x v="4"/>
    <x v="145"/>
    <x v="6"/>
    <x v="0"/>
    <n v="9"/>
    <n v="3380"/>
    <n v="30420"/>
    <n v="27073.8"/>
  </r>
  <r>
    <n v="331"/>
    <s v="WH018"/>
    <s v="万家乐"/>
    <s v="JSQ20-10201 10升 燃气热水器"/>
    <x v="4"/>
    <x v="84"/>
    <x v="6"/>
    <x v="0"/>
    <n v="40"/>
    <n v="1099"/>
    <n v="43960"/>
    <n v="35607.600000000006"/>
  </r>
  <r>
    <n v="332"/>
    <s v="WM006"/>
    <s v="格兰仕"/>
    <s v="Galanz XQG60-A708 6公斤云滚筒洗衣机"/>
    <x v="5"/>
    <x v="40"/>
    <x v="6"/>
    <x v="0"/>
    <n v="49"/>
    <n v="999"/>
    <n v="48951"/>
    <n v="40139.82"/>
  </r>
  <r>
    <n v="333"/>
    <s v="WM014"/>
    <s v="松井"/>
    <s v="SJ-G13S双层可移动干衣机"/>
    <x v="5"/>
    <x v="155"/>
    <x v="6"/>
    <x v="0"/>
    <n v="9"/>
    <n v="198"/>
    <n v="1782"/>
    <n v="1425.6000000000001"/>
  </r>
  <r>
    <n v="334"/>
    <s v="NC003"/>
    <s v="Apple"/>
    <s v="MacBook Pro MF839CH/A 13.3英寸笔记本电脑"/>
    <x v="0"/>
    <x v="159"/>
    <x v="6"/>
    <x v="0"/>
    <n v="4"/>
    <n v="8888"/>
    <n v="35552"/>
    <n v="29863.68"/>
  </r>
  <r>
    <n v="335"/>
    <s v="NC011"/>
    <s v="华硕"/>
    <s v="ASUS Zenbook UX305LA 13.3英寸超薄笔记本电脑"/>
    <x v="0"/>
    <x v="44"/>
    <x v="6"/>
    <x v="0"/>
    <n v="40"/>
    <n v="4875.66"/>
    <n v="195026.4"/>
    <n v="173573.6"/>
  </r>
  <r>
    <n v="336"/>
    <s v="NC020"/>
    <s v="联想"/>
    <s v="ThinkPad X250-20CLA26-1CD 12.5英寸笔记本电脑"/>
    <x v="0"/>
    <x v="160"/>
    <x v="6"/>
    <x v="0"/>
    <n v="37"/>
    <n v="4999"/>
    <n v="184963"/>
    <n v="159068.18000000002"/>
  </r>
  <r>
    <n v="337"/>
    <s v="PC008"/>
    <s v="戴尔"/>
    <s v="Dell XPS 8900-R19N8 台式主机"/>
    <x v="0"/>
    <x v="161"/>
    <x v="6"/>
    <x v="0"/>
    <n v="41"/>
    <n v="8699"/>
    <n v="356659"/>
    <n v="310293.33"/>
  </r>
  <r>
    <n v="338"/>
    <s v="TC002"/>
    <s v="Apple"/>
    <s v="iPad Air 2 MH182CH/A 9.7英寸平板电脑"/>
    <x v="0"/>
    <x v="67"/>
    <x v="6"/>
    <x v="0"/>
    <n v="43"/>
    <n v="4038"/>
    <n v="173634"/>
    <n v="149325.24"/>
  </r>
  <r>
    <n v="339"/>
    <s v="TC010"/>
    <s v="华为"/>
    <s v="Huawei M2-803L 4G 64GB 八核平板电脑手机 香槟金"/>
    <x v="0"/>
    <x v="68"/>
    <x v="6"/>
    <x v="0"/>
    <n v="2"/>
    <n v="2278"/>
    <n v="4556"/>
    <n v="4054.84"/>
  </r>
  <r>
    <n v="340"/>
    <s v="TC018"/>
    <s v="亚马逊"/>
    <s v="Fire HDX 8.9平板电脑"/>
    <x v="0"/>
    <x v="162"/>
    <x v="6"/>
    <x v="1"/>
    <n v="5"/>
    <n v="3399"/>
    <n v="16995"/>
    <n v="14955.599999999999"/>
  </r>
  <r>
    <n v="341"/>
    <s v="TV007"/>
    <s v="创维"/>
    <s v="32E5CHR 32英寸LED液晶电视"/>
    <x v="1"/>
    <x v="70"/>
    <x v="6"/>
    <x v="1"/>
    <n v="41"/>
    <n v="1699"/>
    <n v="69659"/>
    <n v="59210.15"/>
  </r>
  <r>
    <n v="342"/>
    <s v="TV016"/>
    <s v="TCL"/>
    <s v="L48F3310-3D平板电视"/>
    <x v="1"/>
    <x v="49"/>
    <x v="6"/>
    <x v="0"/>
    <n v="39"/>
    <n v="3999"/>
    <n v="155961"/>
    <n v="135686.07"/>
  </r>
  <r>
    <n v="343"/>
    <s v="AC004"/>
    <s v="TCL"/>
    <s v="KFRd-25GW/FC23"/>
    <x v="2"/>
    <x v="72"/>
    <x v="6"/>
    <x v="1"/>
    <n v="41"/>
    <n v="1769"/>
    <n v="72529"/>
    <n v="62374.939999999995"/>
  </r>
  <r>
    <n v="344"/>
    <s v="AC012"/>
    <s v="格兰仕"/>
    <s v="Galanz KFR-32GW/dLP57-130(2)空调"/>
    <x v="2"/>
    <x v="158"/>
    <x v="6"/>
    <x v="1"/>
    <n v="5"/>
    <n v="1899"/>
    <n v="9495"/>
    <n v="8165.7000000000007"/>
  </r>
  <r>
    <n v="345"/>
    <s v="AC020"/>
    <s v="志高"/>
    <s v="CHIGO KFR-25GW/D104+N3空调"/>
    <x v="2"/>
    <x v="135"/>
    <x v="6"/>
    <x v="1"/>
    <n v="16"/>
    <n v="1979"/>
    <n v="31664"/>
    <n v="26914.400000000001"/>
  </r>
  <r>
    <n v="346"/>
    <s v="WH011"/>
    <s v="林内"/>
    <s v="Rinnai RUS-13E22CWNF燃气热水器"/>
    <x v="4"/>
    <x v="99"/>
    <x v="6"/>
    <x v="1"/>
    <n v="47"/>
    <n v="3580"/>
    <n v="168260"/>
    <n v="134608"/>
  </r>
  <r>
    <n v="347"/>
    <s v="RF008"/>
    <s v="海尔"/>
    <s v="Haier BCD-231WDBB 冰箱"/>
    <x v="3"/>
    <x v="28"/>
    <x v="6"/>
    <x v="1"/>
    <n v="5"/>
    <n v="3199"/>
    <n v="15995"/>
    <n v="14235.550000000001"/>
  </r>
  <r>
    <n v="348"/>
    <s v="WM001"/>
    <s v="LG"/>
    <s v="WD-N12430D 6公斤滚筒洗衣机"/>
    <x v="5"/>
    <x v="54"/>
    <x v="6"/>
    <x v="1"/>
    <n v="37"/>
    <n v="2599"/>
    <n v="96163"/>
    <n v="83661.81"/>
  </r>
  <r>
    <n v="349"/>
    <s v="RF016"/>
    <s v="容声"/>
    <s v="Ronshen BCD-202M/TX6-GF61-C冰箱"/>
    <x v="3"/>
    <x v="72"/>
    <x v="6"/>
    <x v="1"/>
    <n v="33"/>
    <n v="1499"/>
    <n v="49467"/>
    <n v="44025.63"/>
  </r>
  <r>
    <n v="350"/>
    <s v="WM010"/>
    <s v="海尔"/>
    <s v="Haier XQB60-M918 洗衣机"/>
    <x v="5"/>
    <x v="31"/>
    <x v="6"/>
    <x v="0"/>
    <n v="36"/>
    <n v="1188"/>
    <n v="42768"/>
    <n v="34642.080000000002"/>
  </r>
  <r>
    <n v="351"/>
    <s v="WH004"/>
    <s v="海尔"/>
    <s v="Haier A1 10升天然气热水器"/>
    <x v="4"/>
    <x v="32"/>
    <x v="6"/>
    <x v="1"/>
    <n v="20"/>
    <n v="1298"/>
    <n v="25960"/>
    <n v="20768"/>
  </r>
  <r>
    <n v="352"/>
    <s v="WH011"/>
    <s v="林内"/>
    <s v="Rinnai RUS-13E22CWNF燃气热水器"/>
    <x v="4"/>
    <x v="6"/>
    <x v="6"/>
    <x v="1"/>
    <n v="29"/>
    <n v="3580"/>
    <n v="103820"/>
    <n v="83056"/>
  </r>
  <r>
    <n v="353"/>
    <s v="WH018"/>
    <s v="万家乐"/>
    <s v="JSQ20-10201 10升 燃气热水器"/>
    <x v="4"/>
    <x v="163"/>
    <x v="6"/>
    <x v="0"/>
    <n v="17"/>
    <n v="1099"/>
    <n v="18683"/>
    <n v="15133.230000000001"/>
  </r>
  <r>
    <n v="354"/>
    <s v="WM005"/>
    <s v="德尔玛"/>
    <s v="Deerma 双层干衣机"/>
    <x v="5"/>
    <x v="109"/>
    <x v="6"/>
    <x v="0"/>
    <n v="18"/>
    <n v="99"/>
    <n v="1782"/>
    <n v="1496.8799999999999"/>
  </r>
  <r>
    <n v="355"/>
    <s v="WM012"/>
    <s v="康佳"/>
    <s v="KONKA XQB50-5001全自动洗衣机"/>
    <x v="5"/>
    <x v="164"/>
    <x v="6"/>
    <x v="0"/>
    <n v="45"/>
    <n v="788"/>
    <n v="35460"/>
    <n v="31204.800000000003"/>
  </r>
  <r>
    <n v="356"/>
    <s v="WM019"/>
    <s v="小鸭"/>
    <s v="XPB36-1803 3.6公斤 单缸半自动洗衣机"/>
    <x v="5"/>
    <x v="58"/>
    <x v="6"/>
    <x v="0"/>
    <n v="49"/>
    <n v="279"/>
    <n v="13671"/>
    <n v="11483.640000000001"/>
  </r>
  <r>
    <n v="357"/>
    <s v="NC007"/>
    <s v="Apple"/>
    <s v="MacBook MJY32CH/A 12英寸笔记本电脑"/>
    <x v="0"/>
    <x v="59"/>
    <x v="6"/>
    <x v="1"/>
    <n v="11"/>
    <n v="8888"/>
    <n v="97768"/>
    <n v="84080.48000000001"/>
  </r>
  <r>
    <n v="358"/>
    <s v="NC014"/>
    <s v="戴尔"/>
    <s v="Dell XPS13-9350-R1708S 13.3英寸超极本"/>
    <x v="0"/>
    <x v="165"/>
    <x v="6"/>
    <x v="0"/>
    <n v="31"/>
    <n v="8899"/>
    <n v="275869"/>
    <n v="242764.72"/>
  </r>
  <r>
    <n v="359"/>
    <s v="PC001"/>
    <s v="Apple"/>
    <s v="iMac MK442CH/A 21.5英寸一体机"/>
    <x v="0"/>
    <x v="96"/>
    <x v="6"/>
    <x v="0"/>
    <n v="35"/>
    <n v="9588"/>
    <n v="335580"/>
    <n v="285243"/>
  </r>
  <r>
    <n v="360"/>
    <s v="PC008"/>
    <s v="戴尔"/>
    <s v="Dell XPS 8900-R19N8 台式主机"/>
    <x v="0"/>
    <x v="134"/>
    <x v="6"/>
    <x v="1"/>
    <n v="26"/>
    <n v="8699"/>
    <n v="226174"/>
    <n v="196771.38"/>
  </r>
  <r>
    <n v="361"/>
    <s v="TC001"/>
    <s v="Apple"/>
    <s v="iPad Air 2 MGKM2CH/A 9.7英寸平板电脑"/>
    <x v="0"/>
    <x v="63"/>
    <x v="6"/>
    <x v="0"/>
    <n v="25"/>
    <n v="4038"/>
    <n v="100950"/>
    <n v="88836"/>
  </r>
  <r>
    <n v="362"/>
    <s v="TC008"/>
    <s v="凯蒂猫"/>
    <s v="Hello Kitty Q7 7英寸学生用平板电脑 白色"/>
    <x v="0"/>
    <x v="64"/>
    <x v="6"/>
    <x v="0"/>
    <n v="46"/>
    <n v="296"/>
    <n v="13616"/>
    <n v="12254.4"/>
  </r>
  <r>
    <n v="363"/>
    <s v="TC015"/>
    <s v="华硕"/>
    <s v="ASUS ME581C 8英寸平板"/>
    <x v="0"/>
    <x v="166"/>
    <x v="6"/>
    <x v="1"/>
    <n v="24"/>
    <n v="1229"/>
    <n v="29496"/>
    <n v="24186.720000000001"/>
  </r>
  <r>
    <n v="364"/>
    <s v="TV004"/>
    <s v="康佳"/>
    <s v="KONKA LED32E320N 液晶电视"/>
    <x v="1"/>
    <x v="18"/>
    <x v="6"/>
    <x v="1"/>
    <n v="28"/>
    <n v="1798"/>
    <n v="50344"/>
    <n v="42288.959999999999"/>
  </r>
  <r>
    <n v="365"/>
    <s v="TV011"/>
    <s v="海信"/>
    <s v="HisenseLED39K200J 39英寸全高清LED液晶电视"/>
    <x v="1"/>
    <x v="136"/>
    <x v="6"/>
    <x v="1"/>
    <n v="34"/>
    <n v="2499"/>
    <n v="84966"/>
    <n v="73070.759999999995"/>
  </r>
  <r>
    <n v="366"/>
    <s v="TV018"/>
    <s v="康佳"/>
    <s v="KONKA LED42E320N平板电视"/>
    <x v="1"/>
    <x v="167"/>
    <x v="6"/>
    <x v="1"/>
    <n v="48"/>
    <n v="2998"/>
    <n v="143904"/>
    <n v="126635.51999999999"/>
  </r>
  <r>
    <n v="367"/>
    <s v="AC006"/>
    <s v="奥克斯"/>
    <s v="KFR-26GW/BPSSD-2空调"/>
    <x v="2"/>
    <x v="51"/>
    <x v="6"/>
    <x v="0"/>
    <n v="37"/>
    <n v="2639"/>
    <n v="97643"/>
    <n v="86902.27"/>
  </r>
  <r>
    <n v="368"/>
    <s v="AC013"/>
    <s v="格兰仕"/>
    <s v="Galanz KFR-35GW/DLC45-130(2)空调"/>
    <x v="2"/>
    <x v="168"/>
    <x v="6"/>
    <x v="1"/>
    <n v="41"/>
    <n v="1999"/>
    <n v="81959"/>
    <n v="68845.56"/>
  </r>
  <r>
    <n v="369"/>
    <s v="RF002"/>
    <s v="海尔"/>
    <s v="Haier bcd-186kb 双门冰箱"/>
    <x v="3"/>
    <x v="70"/>
    <x v="6"/>
    <x v="1"/>
    <n v="24"/>
    <n v="1399"/>
    <n v="33576"/>
    <n v="29882.639999999999"/>
  </r>
  <r>
    <n v="370"/>
    <s v="RF013"/>
    <s v="美的"/>
    <s v="Midea BCD-206TM(E)冰箱"/>
    <x v="3"/>
    <x v="24"/>
    <x v="6"/>
    <x v="1"/>
    <n v="16"/>
    <n v="1699"/>
    <n v="27184"/>
    <n v="22834.560000000001"/>
  </r>
  <r>
    <n v="371"/>
    <s v="WH003"/>
    <s v="格兰仕"/>
    <s v="Galanz ZSDF-G40K031 40L 电热水器"/>
    <x v="4"/>
    <x v="169"/>
    <x v="6"/>
    <x v="1"/>
    <n v="42"/>
    <n v="498"/>
    <n v="20916"/>
    <n v="18615.24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销售情况" updatedVersion="4" minRefreshableVersion="3" useAutoFormatting="1" itemPrintTitles="1" mergeItem="1" createdVersion="4" indent="0" compact="0" compactData="0" multipleFieldFilters="0">
  <location ref="A3:N22" firstHeaderRow="1" firstDataRow="3" firstDataCol="2" rowPageCount="1" colPageCount="1"/>
  <pivotFields count="13">
    <pivotField compact="0" numFmtId="178" outline="0" showAll="0"/>
    <pivotField compact="0" outline="0" showAll="0"/>
    <pivotField compact="0" outline="0" showAll="0"/>
    <pivotField compact="0" outline="0" showAll="0"/>
    <pivotField axis="axisPage" compact="0" outline="0" showAll="0">
      <items count="7">
        <item x="3"/>
        <item x="1"/>
        <item x="0"/>
        <item x="2"/>
        <item x="4"/>
        <item x="5"/>
        <item t="default"/>
      </items>
    </pivotField>
    <pivotField axis="axisCol" compact="0" numFmtId="177" outline="0" showAll="0">
      <items count="15">
        <item h="1"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Row" compact="0" outline="0" showAll="0">
      <items count="8">
        <item x="0"/>
        <item x="4"/>
        <item x="6"/>
        <item x="1"/>
        <item x="2"/>
        <item x="3"/>
        <item x="5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numFmtId="176" outline="0" showAll="0"/>
    <pivotField compact="0" numFmtId="179" outline="0" showAll="0"/>
    <pivotField dataField="1" compact="0" numFmtId="179" outline="0" showAll="0"/>
    <pivotField dataField="1" compact="0" numFmtId="179" outline="0" showAll="0"/>
    <pivotField dataField="1" compact="0" outline="0" dragToRow="0" dragToCol="0" dragToPage="0" showAll="0" defaultSubtotal="0"/>
  </pivotFields>
  <rowFields count="2">
    <field x="7"/>
    <field x="6"/>
  </rowFields>
  <rowItems count="17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 t="grand">
      <x/>
    </i>
  </rowItems>
  <colFields count="2">
    <field x="5"/>
    <field x="-2"/>
  </colFields>
  <colItems count="12"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4" hier="-1"/>
  </pageFields>
  <dataFields count="3">
    <dataField name="销售额_x000a_（千元）" fld="10" baseField="6" baseItem="0" numFmtId="180"/>
    <dataField name="进货成本_x000a_（千元）" fld="11" baseField="6" baseItem="0" numFmtId="180"/>
    <dataField name="毛利_x000a_（千元）" fld="12" baseField="6" baseItem="0" numFmtId="180"/>
  </dataFields>
  <formats count="73">
    <format dxfId="87">
      <pivotArea type="origin" dataOnly="0" labelOnly="1" outline="0" fieldPosition="0"/>
    </format>
    <format dxfId="86">
      <pivotArea field="7" type="button" dataOnly="0" labelOnly="1" outline="0" axis="axisRow" fieldPosition="0"/>
    </format>
    <format dxfId="85">
      <pivotArea field="6" type="button" dataOnly="0" labelOnly="1" outline="0" axis="axisRow" fieldPosition="1"/>
    </format>
    <format dxfId="84">
      <pivotArea field="5" type="button" dataOnly="0" labelOnly="1" outline="0" axis="axisCol" fieldPosition="0"/>
    </format>
    <format dxfId="83">
      <pivotArea field="-2" type="button" dataOnly="0" labelOnly="1" outline="0" axis="axisCol" fieldPosition="1"/>
    </format>
    <format dxfId="82">
      <pivotArea type="topRight" dataOnly="0" labelOnly="1" outline="0" fieldPosition="0"/>
    </format>
    <format dxfId="81">
      <pivotArea dataOnly="0" labelOnly="1" outline="0" fieldPosition="0">
        <references count="1">
          <reference field="5" count="0"/>
        </references>
      </pivotArea>
    </format>
    <format dxfId="80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9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8">
      <pivotArea field="5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7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5" count="1" selected="0">
            <x v="1"/>
          </reference>
        </references>
      </pivotArea>
    </format>
    <format dxfId="7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5" count="1" selected="0">
            <x v="2"/>
          </reference>
        </references>
      </pivotArea>
    </format>
    <format dxfId="7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5" count="1" selected="0">
            <x v="3"/>
          </reference>
        </references>
      </pivotArea>
    </format>
    <format dxfId="74">
      <pivotArea type="origin" dataOnly="0" labelOnly="1" outline="0" fieldPosition="0"/>
    </format>
    <format dxfId="73">
      <pivotArea field="7" type="button" dataOnly="0" labelOnly="1" outline="0" axis="axisRow" fieldPosition="0"/>
    </format>
    <format dxfId="72">
      <pivotArea field="6" type="button" dataOnly="0" labelOnly="1" outline="0" axis="axisRow" fieldPosition="1"/>
    </format>
    <format dxfId="71">
      <pivotArea field="5" type="button" dataOnly="0" labelOnly="1" outline="0" axis="axisCol" fieldPosition="0"/>
    </format>
    <format dxfId="70">
      <pivotArea field="-2" type="button" dataOnly="0" labelOnly="1" outline="0" axis="axisCol" fieldPosition="1"/>
    </format>
    <format dxfId="69">
      <pivotArea type="topRight" dataOnly="0" labelOnly="1" outline="0" fieldPosition="0"/>
    </format>
    <format dxfId="68">
      <pivotArea dataOnly="0" labelOnly="1" outline="0" fieldPosition="0">
        <references count="1">
          <reference field="5" count="0"/>
        </references>
      </pivotArea>
    </format>
    <format dxfId="67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6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5">
      <pivotArea field="5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6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5" count="1" selected="0">
            <x v="1"/>
          </reference>
        </references>
      </pivotArea>
    </format>
    <format dxfId="6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5" count="1" selected="0">
            <x v="2"/>
          </reference>
        </references>
      </pivotArea>
    </format>
    <format dxfId="6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5" count="1" selected="0">
            <x v="3"/>
          </reference>
        </references>
      </pivotArea>
    </format>
    <format dxfId="61">
      <pivotArea type="origin" dataOnly="0" labelOnly="1" outline="0" fieldPosition="0"/>
    </format>
    <format dxfId="60">
      <pivotArea field="7" type="button" dataOnly="0" labelOnly="1" outline="0" axis="axisRow" fieldPosition="0"/>
    </format>
    <format dxfId="59">
      <pivotArea field="6" type="button" dataOnly="0" labelOnly="1" outline="0" axis="axisRow" fieldPosition="1"/>
    </format>
    <format dxfId="58">
      <pivotArea field="5" type="button" dataOnly="0" labelOnly="1" outline="0" axis="axisCol" fieldPosition="0"/>
    </format>
    <format dxfId="57">
      <pivotArea field="-2" type="button" dataOnly="0" labelOnly="1" outline="0" axis="axisCol" fieldPosition="1"/>
    </format>
    <format dxfId="56">
      <pivotArea dataOnly="0" labelOnly="1" outline="0" fieldPosition="0">
        <references count="1">
          <reference field="5" count="0"/>
        </references>
      </pivotArea>
    </format>
    <format dxfId="5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5" count="1" selected="0">
            <x v="1"/>
          </reference>
        </references>
      </pivotArea>
    </format>
    <format dxfId="5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5" count="1" selected="0">
            <x v="2"/>
          </reference>
        </references>
      </pivotArea>
    </format>
    <format dxfId="5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5" count="1" selected="0">
            <x v="3"/>
          </reference>
        </references>
      </pivotArea>
    </format>
    <format dxfId="52">
      <pivotArea type="origin" dataOnly="0" labelOnly="1" outline="0" fieldPosition="0"/>
    </format>
    <format dxfId="51">
      <pivotArea field="7" type="button" dataOnly="0" labelOnly="1" outline="0" axis="axisRow" fieldPosition="0"/>
    </format>
    <format dxfId="50">
      <pivotArea field="6" type="button" dataOnly="0" labelOnly="1" outline="0" axis="axisRow" fieldPosition="1"/>
    </format>
    <format dxfId="49">
      <pivotArea field="5" type="button" dataOnly="0" labelOnly="1" outline="0" axis="axisCol" fieldPosition="0"/>
    </format>
    <format dxfId="48">
      <pivotArea field="-2" type="button" dataOnly="0" labelOnly="1" outline="0" axis="axisCol" fieldPosition="1"/>
    </format>
    <format dxfId="47">
      <pivotArea dataOnly="0" labelOnly="1" outline="0" fieldPosition="0">
        <references count="1">
          <reference field="5" count="0"/>
        </references>
      </pivotArea>
    </format>
    <format dxfId="4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5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5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5" count="1" selected="0">
            <x v="3"/>
          </reference>
        </references>
      </pivotArea>
    </format>
    <format dxfId="43">
      <pivotArea outline="0" collapsedLevelsAreSubtotals="1" fieldPosition="0"/>
    </format>
    <format dxfId="42">
      <pivotArea dataOnly="0" labelOnly="1" outline="0" fieldPosition="0">
        <references count="1">
          <reference field="7" count="0"/>
        </references>
      </pivotArea>
    </format>
    <format dxfId="41">
      <pivotArea dataOnly="0" labelOnly="1" outline="0" fieldPosition="0">
        <references count="1">
          <reference field="7" count="0" defaultSubtotal="1"/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2">
          <reference field="6" count="0"/>
          <reference field="7" count="1" selected="0">
            <x v="0"/>
          </reference>
        </references>
      </pivotArea>
    </format>
    <format dxfId="38">
      <pivotArea dataOnly="0" labelOnly="1" outline="0" fieldPosition="0">
        <references count="2">
          <reference field="6" count="0"/>
          <reference field="7" count="1" selected="0">
            <x v="1"/>
          </reference>
        </references>
      </pivotArea>
    </format>
    <format dxfId="37">
      <pivotArea outline="0" collapsedLevelsAreSubtotals="1" fieldPosition="0"/>
    </format>
    <format dxfId="36">
      <pivotArea dataOnly="0" labelOnly="1" outline="0" fieldPosition="0">
        <references count="1">
          <reference field="7" count="0"/>
        </references>
      </pivotArea>
    </format>
    <format dxfId="35">
      <pivotArea dataOnly="0" labelOnly="1" outline="0" fieldPosition="0">
        <references count="1">
          <reference field="7" count="0" defaultSubtotal="1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2">
          <reference field="6" count="0"/>
          <reference field="7" count="1" selected="0">
            <x v="0"/>
          </reference>
        </references>
      </pivotArea>
    </format>
    <format dxfId="32">
      <pivotArea dataOnly="0" labelOnly="1" outline="0" fieldPosition="0">
        <references count="2">
          <reference field="6" count="0"/>
          <reference field="7" count="1" selected="0">
            <x v="1"/>
          </reference>
        </references>
      </pivotArea>
    </format>
    <format dxfId="31">
      <pivotArea type="topRight" dataOnly="0" labelOnly="1" outline="0" fieldPosition="0"/>
    </format>
    <format dxfId="30">
      <pivotArea type="topRight" dataOnly="0" labelOnly="1" outline="0" fieldPosition="0"/>
    </format>
    <format dxfId="29">
      <pivotArea type="topRight" dataOnly="0" labelOnly="1" outline="0" fieldPosition="0"/>
    </format>
    <format dxfId="28">
      <pivotArea type="topRight" dataOnly="0" labelOnly="1" outline="0" offset="J1" fieldPosition="0"/>
    </format>
    <format dxfId="27">
      <pivotArea field="-2" type="button" dataOnly="0" labelOnly="1" outline="0" axis="axisCol" fieldPosition="1"/>
    </format>
    <format dxfId="26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5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4">
      <pivotArea field="5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3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2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">
      <pivotArea field="5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20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9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8">
      <pivotArea field="5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7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">
      <pivotArea field="5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品名表" connectionId="1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id="1" name="表1" displayName="表1" ref="A3:L374" totalsRowShown="0" headerRowDxfId="14" dataDxfId="13">
  <autoFilter ref="A3:L374"/>
  <tableColumns count="12">
    <tableColumn id="1" name="序号" dataDxfId="12"/>
    <tableColumn id="2" name="商品代码" dataDxfId="11"/>
    <tableColumn id="3" name="品牌" dataDxfId="10">
      <calculatedColumnFormula>VLOOKUP(B4,品名!$A$1:$C$151,2,0)</calculatedColumnFormula>
    </tableColumn>
    <tableColumn id="4" name="商品名称" dataDxfId="9">
      <calculatedColumnFormula>VLOOKUP(B4,品名!$A$1:$C$151,3,0)</calculatedColumnFormula>
    </tableColumn>
    <tableColumn id="5" name="商品类别" dataDxfId="8">
      <calculatedColumnFormula>VLOOKUP(LEFT(B4,2),Sheet2!$A$1:$B$8,2,0)</calculatedColumnFormula>
    </tableColumn>
    <tableColumn id="6" name="销售日期" dataDxfId="7"/>
    <tableColumn id="7" name="分部" dataDxfId="6"/>
    <tableColumn id="8" name="销售渠道" dataDxfId="5"/>
    <tableColumn id="9" name="销量" dataDxfId="4"/>
    <tableColumn id="10" name="销售单价" dataDxfId="3">
      <calculatedColumnFormula>VLOOKUP(B4,[1]单价!$A$1:$B$152,2,0)</calculatedColumnFormula>
    </tableColumn>
    <tableColumn id="11" name="销售额" dataDxfId="2">
      <calculatedColumnFormula>I4*J4</calculatedColumnFormula>
    </tableColumn>
    <tableColumn id="12" name="进货成本" dataDxfId="1">
      <calculatedColumnFormula>VLOOKUP(B4,[1]进价!$A$1:$B$151,2,0)*表1[[#This Row],[销量]]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C9" sqref="C9"/>
    </sheetView>
  </sheetViews>
  <sheetFormatPr defaultRowHeight="11.25" x14ac:dyDescent="0.15"/>
  <cols>
    <col min="1" max="1" width="18.83203125" bestFit="1" customWidth="1"/>
    <col min="2" max="2" width="12.1640625" customWidth="1"/>
    <col min="3" max="11" width="16" customWidth="1"/>
    <col min="12" max="14" width="15.6640625" customWidth="1"/>
    <col min="15" max="17" width="19.5" customWidth="1"/>
    <col min="18" max="18" width="19.5" bestFit="1" customWidth="1"/>
    <col min="19" max="20" width="19.5" customWidth="1"/>
    <col min="21" max="21" width="23.1640625" customWidth="1"/>
    <col min="22" max="22" width="24.5" customWidth="1"/>
    <col min="23" max="23" width="19.5" bestFit="1" customWidth="1"/>
    <col min="24" max="24" width="18.83203125" bestFit="1" customWidth="1"/>
    <col min="25" max="25" width="19.5" bestFit="1" customWidth="1"/>
    <col min="26" max="26" width="18.83203125" bestFit="1" customWidth="1"/>
    <col min="27" max="27" width="19.5" bestFit="1" customWidth="1"/>
    <col min="28" max="28" width="18.83203125" bestFit="1" customWidth="1"/>
    <col min="29" max="29" width="19.5" bestFit="1" customWidth="1"/>
    <col min="30" max="30" width="18.83203125" bestFit="1" customWidth="1"/>
    <col min="31" max="31" width="19.5" bestFit="1" customWidth="1"/>
    <col min="32" max="32" width="18.83203125" bestFit="1" customWidth="1"/>
    <col min="33" max="33" width="19.5" bestFit="1" customWidth="1"/>
    <col min="34" max="34" width="18.83203125" bestFit="1" customWidth="1"/>
    <col min="35" max="35" width="19.5" bestFit="1" customWidth="1"/>
    <col min="36" max="36" width="18.83203125" bestFit="1" customWidth="1"/>
    <col min="37" max="37" width="19.5" bestFit="1" customWidth="1"/>
    <col min="38" max="38" width="18.83203125" bestFit="1" customWidth="1"/>
    <col min="39" max="39" width="19.5" bestFit="1" customWidth="1"/>
    <col min="40" max="40" width="18.83203125" bestFit="1" customWidth="1"/>
    <col min="41" max="41" width="19.5" bestFit="1" customWidth="1"/>
    <col min="42" max="42" width="18.83203125" bestFit="1" customWidth="1"/>
    <col min="43" max="43" width="19.5" bestFit="1" customWidth="1"/>
    <col min="44" max="44" width="18.83203125" bestFit="1" customWidth="1"/>
    <col min="45" max="45" width="19.5" bestFit="1" customWidth="1"/>
    <col min="46" max="46" width="18.83203125" bestFit="1" customWidth="1"/>
    <col min="47" max="47" width="19.5" bestFit="1" customWidth="1"/>
    <col min="48" max="48" width="18.83203125" bestFit="1" customWidth="1"/>
    <col min="49" max="49" width="19.5" bestFit="1" customWidth="1"/>
    <col min="50" max="50" width="18.83203125" bestFit="1" customWidth="1"/>
    <col min="51" max="51" width="19.5" bestFit="1" customWidth="1"/>
    <col min="52" max="52" width="18.83203125" bestFit="1" customWidth="1"/>
    <col min="53" max="53" width="19.5" bestFit="1" customWidth="1"/>
    <col min="54" max="54" width="17.5" bestFit="1" customWidth="1"/>
    <col min="55" max="55" width="19.5" bestFit="1" customWidth="1"/>
    <col min="56" max="56" width="17.5" bestFit="1" customWidth="1"/>
    <col min="57" max="57" width="19.5" bestFit="1" customWidth="1"/>
    <col min="58" max="58" width="17.5" bestFit="1" customWidth="1"/>
    <col min="59" max="59" width="19.5" bestFit="1" customWidth="1"/>
    <col min="60" max="60" width="17.5" bestFit="1" customWidth="1"/>
    <col min="61" max="61" width="19.5" bestFit="1" customWidth="1"/>
    <col min="62" max="62" width="17.5" bestFit="1" customWidth="1"/>
    <col min="63" max="63" width="19.5" bestFit="1" customWidth="1"/>
    <col min="64" max="64" width="17.5" bestFit="1" customWidth="1"/>
    <col min="65" max="65" width="19.5" bestFit="1" customWidth="1"/>
    <col min="66" max="66" width="17.5" bestFit="1" customWidth="1"/>
    <col min="67" max="67" width="19.5" bestFit="1" customWidth="1"/>
    <col min="68" max="68" width="17.5" bestFit="1" customWidth="1"/>
    <col min="69" max="69" width="19.5" bestFit="1" customWidth="1"/>
    <col min="70" max="70" width="17.5" bestFit="1" customWidth="1"/>
    <col min="71" max="71" width="19.5" bestFit="1" customWidth="1"/>
    <col min="72" max="72" width="18.83203125" bestFit="1" customWidth="1"/>
    <col min="73" max="73" width="19.5" bestFit="1" customWidth="1"/>
    <col min="74" max="74" width="18.83203125" bestFit="1" customWidth="1"/>
    <col min="75" max="75" width="19.5" bestFit="1" customWidth="1"/>
    <col min="76" max="76" width="18.83203125" bestFit="1" customWidth="1"/>
    <col min="77" max="77" width="19.5" bestFit="1" customWidth="1"/>
    <col min="78" max="78" width="18.83203125" bestFit="1" customWidth="1"/>
    <col min="79" max="79" width="19.5" bestFit="1" customWidth="1"/>
    <col min="80" max="80" width="18.83203125" bestFit="1" customWidth="1"/>
    <col min="81" max="81" width="19.5" bestFit="1" customWidth="1"/>
    <col min="82" max="82" width="18.83203125" bestFit="1" customWidth="1"/>
    <col min="83" max="83" width="19.5" bestFit="1" customWidth="1"/>
    <col min="84" max="84" width="18.83203125" bestFit="1" customWidth="1"/>
    <col min="85" max="85" width="19.5" bestFit="1" customWidth="1"/>
    <col min="86" max="86" width="18.83203125" bestFit="1" customWidth="1"/>
    <col min="87" max="87" width="19.5" bestFit="1" customWidth="1"/>
    <col min="88" max="88" width="18.83203125" bestFit="1" customWidth="1"/>
    <col min="89" max="89" width="19.5" bestFit="1" customWidth="1"/>
    <col min="90" max="90" width="18.83203125" bestFit="1" customWidth="1"/>
    <col min="91" max="91" width="19.5" bestFit="1" customWidth="1"/>
    <col min="92" max="92" width="18.83203125" bestFit="1" customWidth="1"/>
    <col min="93" max="93" width="19.5" bestFit="1" customWidth="1"/>
    <col min="94" max="94" width="18.83203125" bestFit="1" customWidth="1"/>
    <col min="95" max="95" width="19.5" bestFit="1" customWidth="1"/>
    <col min="96" max="96" width="18.83203125" bestFit="1" customWidth="1"/>
    <col min="97" max="97" width="19.5" bestFit="1" customWidth="1"/>
    <col min="98" max="98" width="18.83203125" bestFit="1" customWidth="1"/>
    <col min="99" max="99" width="19.5" bestFit="1" customWidth="1"/>
    <col min="100" max="100" width="18.83203125" bestFit="1" customWidth="1"/>
    <col min="101" max="101" width="19.5" bestFit="1" customWidth="1"/>
    <col min="102" max="102" width="18.83203125" bestFit="1" customWidth="1"/>
    <col min="103" max="103" width="19.5" bestFit="1" customWidth="1"/>
    <col min="104" max="104" width="17.5" bestFit="1" customWidth="1"/>
    <col min="105" max="105" width="19.5" bestFit="1" customWidth="1"/>
    <col min="106" max="106" width="17.5" bestFit="1" customWidth="1"/>
    <col min="107" max="107" width="19.5" bestFit="1" customWidth="1"/>
    <col min="108" max="108" width="17.5" bestFit="1" customWidth="1"/>
    <col min="109" max="109" width="19.5" bestFit="1" customWidth="1"/>
    <col min="110" max="110" width="17.5" bestFit="1" customWidth="1"/>
    <col min="111" max="111" width="19.5" bestFit="1" customWidth="1"/>
    <col min="112" max="112" width="17.5" bestFit="1" customWidth="1"/>
    <col min="113" max="113" width="19.5" bestFit="1" customWidth="1"/>
    <col min="114" max="114" width="17.5" bestFit="1" customWidth="1"/>
    <col min="115" max="115" width="19.5" bestFit="1" customWidth="1"/>
    <col min="116" max="116" width="17.5" bestFit="1" customWidth="1"/>
    <col min="117" max="117" width="19.5" bestFit="1" customWidth="1"/>
    <col min="118" max="118" width="17.5" bestFit="1" customWidth="1"/>
    <col min="119" max="119" width="19.5" bestFit="1" customWidth="1"/>
    <col min="120" max="120" width="17.5" bestFit="1" customWidth="1"/>
    <col min="121" max="121" width="19.5" bestFit="1" customWidth="1"/>
    <col min="122" max="122" width="18.83203125" bestFit="1" customWidth="1"/>
    <col min="123" max="123" width="19.5" bestFit="1" customWidth="1"/>
    <col min="124" max="124" width="18.83203125" bestFit="1" customWidth="1"/>
    <col min="125" max="125" width="19.5" bestFit="1" customWidth="1"/>
    <col min="126" max="126" width="18.83203125" bestFit="1" customWidth="1"/>
    <col min="127" max="127" width="19.5" bestFit="1" customWidth="1"/>
    <col min="128" max="128" width="18.83203125" bestFit="1" customWidth="1"/>
    <col min="129" max="129" width="19.5" bestFit="1" customWidth="1"/>
    <col min="130" max="130" width="18.83203125" bestFit="1" customWidth="1"/>
    <col min="131" max="131" width="19.5" bestFit="1" customWidth="1"/>
    <col min="132" max="132" width="18.83203125" bestFit="1" customWidth="1"/>
    <col min="133" max="133" width="19.5" bestFit="1" customWidth="1"/>
    <col min="134" max="134" width="18.83203125" bestFit="1" customWidth="1"/>
    <col min="135" max="135" width="19.5" bestFit="1" customWidth="1"/>
    <col min="136" max="136" width="18.83203125" bestFit="1" customWidth="1"/>
    <col min="137" max="137" width="19.5" bestFit="1" customWidth="1"/>
    <col min="138" max="138" width="18.83203125" bestFit="1" customWidth="1"/>
    <col min="139" max="139" width="19.5" bestFit="1" customWidth="1"/>
    <col min="140" max="140" width="18.83203125" bestFit="1" customWidth="1"/>
    <col min="141" max="141" width="19.5" bestFit="1" customWidth="1"/>
    <col min="142" max="142" width="18.83203125" bestFit="1" customWidth="1"/>
    <col min="143" max="143" width="19.5" bestFit="1" customWidth="1"/>
    <col min="144" max="144" width="18.83203125" bestFit="1" customWidth="1"/>
    <col min="145" max="145" width="19.5" bestFit="1" customWidth="1"/>
    <col min="146" max="146" width="18.83203125" bestFit="1" customWidth="1"/>
    <col min="147" max="147" width="19.5" bestFit="1" customWidth="1"/>
    <col min="148" max="148" width="18.83203125" bestFit="1" customWidth="1"/>
    <col min="149" max="149" width="19.5" bestFit="1" customWidth="1"/>
    <col min="150" max="150" width="18.83203125" bestFit="1" customWidth="1"/>
    <col min="151" max="151" width="19.5" bestFit="1" customWidth="1"/>
    <col min="152" max="152" width="18.83203125" bestFit="1" customWidth="1"/>
    <col min="153" max="153" width="19.5" bestFit="1" customWidth="1"/>
    <col min="154" max="154" width="18.83203125" bestFit="1" customWidth="1"/>
    <col min="155" max="155" width="19.5" bestFit="1" customWidth="1"/>
    <col min="156" max="156" width="18.83203125" bestFit="1" customWidth="1"/>
    <col min="157" max="157" width="19.5" bestFit="1" customWidth="1"/>
    <col min="158" max="158" width="18.83203125" bestFit="1" customWidth="1"/>
    <col min="159" max="159" width="19.5" bestFit="1" customWidth="1"/>
    <col min="160" max="160" width="18.83203125" bestFit="1" customWidth="1"/>
    <col min="161" max="161" width="19.5" bestFit="1" customWidth="1"/>
    <col min="162" max="162" width="18.83203125" bestFit="1" customWidth="1"/>
    <col min="163" max="163" width="19.5" bestFit="1" customWidth="1"/>
    <col min="164" max="164" width="18.83203125" bestFit="1" customWidth="1"/>
    <col min="165" max="165" width="19.5" bestFit="1" customWidth="1"/>
    <col min="166" max="166" width="17.5" bestFit="1" customWidth="1"/>
    <col min="167" max="167" width="19.5" bestFit="1" customWidth="1"/>
    <col min="168" max="168" width="17.5" bestFit="1" customWidth="1"/>
    <col min="169" max="169" width="19.5" bestFit="1" customWidth="1"/>
    <col min="170" max="170" width="17.5" bestFit="1" customWidth="1"/>
    <col min="171" max="171" width="19.5" bestFit="1" customWidth="1"/>
    <col min="172" max="172" width="17.5" bestFit="1" customWidth="1"/>
    <col min="173" max="173" width="19.5" bestFit="1" customWidth="1"/>
    <col min="174" max="174" width="17.5" bestFit="1" customWidth="1"/>
    <col min="175" max="175" width="19.5" bestFit="1" customWidth="1"/>
    <col min="176" max="176" width="17.5" bestFit="1" customWidth="1"/>
    <col min="177" max="177" width="19.5" bestFit="1" customWidth="1"/>
    <col min="178" max="178" width="17.5" bestFit="1" customWidth="1"/>
    <col min="179" max="179" width="19.5" bestFit="1" customWidth="1"/>
    <col min="180" max="180" width="17.5" bestFit="1" customWidth="1"/>
    <col min="181" max="181" width="19.5" bestFit="1" customWidth="1"/>
    <col min="182" max="182" width="18.83203125" bestFit="1" customWidth="1"/>
    <col min="183" max="183" width="19.5" bestFit="1" customWidth="1"/>
    <col min="184" max="184" width="18.83203125" bestFit="1" customWidth="1"/>
    <col min="185" max="185" width="19.5" bestFit="1" customWidth="1"/>
    <col min="186" max="186" width="18.83203125" bestFit="1" customWidth="1"/>
    <col min="187" max="187" width="19.5" bestFit="1" customWidth="1"/>
    <col min="188" max="188" width="18.83203125" bestFit="1" customWidth="1"/>
    <col min="189" max="189" width="19.5" bestFit="1" customWidth="1"/>
    <col min="190" max="190" width="18.83203125" bestFit="1" customWidth="1"/>
    <col min="191" max="191" width="19.5" bestFit="1" customWidth="1"/>
    <col min="192" max="192" width="18.83203125" bestFit="1" customWidth="1"/>
    <col min="193" max="193" width="19.5" bestFit="1" customWidth="1"/>
    <col min="194" max="194" width="18.83203125" bestFit="1" customWidth="1"/>
    <col min="195" max="195" width="19.5" bestFit="1" customWidth="1"/>
    <col min="196" max="196" width="18.83203125" bestFit="1" customWidth="1"/>
    <col min="197" max="197" width="19.5" bestFit="1" customWidth="1"/>
    <col min="198" max="198" width="18.83203125" bestFit="1" customWidth="1"/>
    <col min="199" max="199" width="19.5" bestFit="1" customWidth="1"/>
    <col min="200" max="200" width="18.83203125" bestFit="1" customWidth="1"/>
    <col min="201" max="201" width="19.5" bestFit="1" customWidth="1"/>
    <col min="202" max="202" width="18.83203125" bestFit="1" customWidth="1"/>
    <col min="203" max="203" width="19.5" bestFit="1" customWidth="1"/>
    <col min="204" max="204" width="18.83203125" bestFit="1" customWidth="1"/>
    <col min="205" max="205" width="19.5" bestFit="1" customWidth="1"/>
    <col min="206" max="206" width="18.83203125" bestFit="1" customWidth="1"/>
    <col min="207" max="207" width="19.5" bestFit="1" customWidth="1"/>
    <col min="208" max="208" width="18.83203125" bestFit="1" customWidth="1"/>
    <col min="209" max="209" width="19.5" bestFit="1" customWidth="1"/>
    <col min="210" max="210" width="18.83203125" bestFit="1" customWidth="1"/>
    <col min="211" max="211" width="19.5" bestFit="1" customWidth="1"/>
    <col min="212" max="212" width="18.83203125" bestFit="1" customWidth="1"/>
    <col min="213" max="213" width="19.5" bestFit="1" customWidth="1"/>
    <col min="214" max="214" width="18.83203125" bestFit="1" customWidth="1"/>
    <col min="215" max="215" width="19.5" bestFit="1" customWidth="1"/>
    <col min="216" max="216" width="18.83203125" bestFit="1" customWidth="1"/>
    <col min="217" max="217" width="19.5" bestFit="1" customWidth="1"/>
    <col min="218" max="218" width="18.83203125" bestFit="1" customWidth="1"/>
    <col min="219" max="219" width="19.5" bestFit="1" customWidth="1"/>
    <col min="220" max="220" width="18.83203125" bestFit="1" customWidth="1"/>
    <col min="221" max="221" width="19.5" bestFit="1" customWidth="1"/>
    <col min="222" max="222" width="17.5" bestFit="1" customWidth="1"/>
    <col min="223" max="223" width="19.5" bestFit="1" customWidth="1"/>
    <col min="224" max="224" width="17.5" bestFit="1" customWidth="1"/>
    <col min="225" max="225" width="19.5" bestFit="1" customWidth="1"/>
    <col min="226" max="226" width="17.5" bestFit="1" customWidth="1"/>
    <col min="227" max="227" width="19.5" bestFit="1" customWidth="1"/>
    <col min="228" max="228" width="17.5" bestFit="1" customWidth="1"/>
    <col min="229" max="229" width="19.5" bestFit="1" customWidth="1"/>
    <col min="230" max="230" width="17.5" bestFit="1" customWidth="1"/>
    <col min="231" max="231" width="19.5" bestFit="1" customWidth="1"/>
    <col min="232" max="232" width="17.5" bestFit="1" customWidth="1"/>
    <col min="233" max="233" width="19.5" bestFit="1" customWidth="1"/>
    <col min="234" max="234" width="17.5" bestFit="1" customWidth="1"/>
    <col min="235" max="235" width="19.5" bestFit="1" customWidth="1"/>
    <col min="236" max="236" width="17.5" bestFit="1" customWidth="1"/>
    <col min="237" max="237" width="19.5" bestFit="1" customWidth="1"/>
    <col min="238" max="238" width="17.5" bestFit="1" customWidth="1"/>
    <col min="239" max="239" width="19.5" bestFit="1" customWidth="1"/>
    <col min="240" max="240" width="18.83203125" bestFit="1" customWidth="1"/>
    <col min="241" max="241" width="19.5" bestFit="1" customWidth="1"/>
    <col min="242" max="242" width="18.83203125" bestFit="1" customWidth="1"/>
    <col min="243" max="243" width="19.5" bestFit="1" customWidth="1"/>
    <col min="244" max="244" width="18.83203125" bestFit="1" customWidth="1"/>
    <col min="245" max="245" width="19.5" bestFit="1" customWidth="1"/>
    <col min="246" max="246" width="18.83203125" bestFit="1" customWidth="1"/>
    <col min="247" max="247" width="19.5" bestFit="1" customWidth="1"/>
    <col min="248" max="248" width="18.83203125" bestFit="1" customWidth="1"/>
    <col min="249" max="249" width="19.5" bestFit="1" customWidth="1"/>
    <col min="250" max="250" width="18.83203125" bestFit="1" customWidth="1"/>
    <col min="251" max="251" width="19.5" bestFit="1" customWidth="1"/>
    <col min="252" max="252" width="18.83203125" bestFit="1" customWidth="1"/>
    <col min="253" max="253" width="19.5" bestFit="1" customWidth="1"/>
    <col min="254" max="254" width="18.83203125" bestFit="1" customWidth="1"/>
    <col min="255" max="255" width="19.5" bestFit="1" customWidth="1"/>
    <col min="256" max="256" width="18.83203125" bestFit="1" customWidth="1"/>
    <col min="257" max="257" width="19.5" bestFit="1" customWidth="1"/>
    <col min="258" max="258" width="18.83203125" bestFit="1" customWidth="1"/>
    <col min="259" max="259" width="19.5" bestFit="1" customWidth="1"/>
    <col min="260" max="260" width="18.83203125" bestFit="1" customWidth="1"/>
    <col min="261" max="261" width="19.5" bestFit="1" customWidth="1"/>
    <col min="262" max="262" width="18.83203125" bestFit="1" customWidth="1"/>
    <col min="263" max="263" width="19.5" bestFit="1" customWidth="1"/>
    <col min="264" max="264" width="18.83203125" bestFit="1" customWidth="1"/>
    <col min="265" max="265" width="19.5" bestFit="1" customWidth="1"/>
    <col min="266" max="266" width="18.83203125" bestFit="1" customWidth="1"/>
    <col min="267" max="267" width="19.5" bestFit="1" customWidth="1"/>
    <col min="268" max="268" width="18.83203125" bestFit="1" customWidth="1"/>
    <col min="269" max="269" width="19.5" bestFit="1" customWidth="1"/>
    <col min="270" max="270" width="18.83203125" bestFit="1" customWidth="1"/>
    <col min="271" max="271" width="19.5" bestFit="1" customWidth="1"/>
    <col min="272" max="272" width="18.83203125" bestFit="1" customWidth="1"/>
    <col min="273" max="273" width="19.5" bestFit="1" customWidth="1"/>
    <col min="274" max="274" width="18.83203125" bestFit="1" customWidth="1"/>
    <col min="275" max="275" width="19.5" bestFit="1" customWidth="1"/>
    <col min="276" max="276" width="18.83203125" bestFit="1" customWidth="1"/>
    <col min="277" max="277" width="19.5" bestFit="1" customWidth="1"/>
    <col min="278" max="278" width="18.83203125" bestFit="1" customWidth="1"/>
    <col min="279" max="279" width="19.5" bestFit="1" customWidth="1"/>
    <col min="280" max="280" width="18.83203125" bestFit="1" customWidth="1"/>
    <col min="281" max="281" width="19.5" bestFit="1" customWidth="1"/>
    <col min="282" max="282" width="17.5" bestFit="1" customWidth="1"/>
    <col min="283" max="283" width="19.5" bestFit="1" customWidth="1"/>
    <col min="284" max="284" width="17.5" bestFit="1" customWidth="1"/>
    <col min="285" max="285" width="19.5" bestFit="1" customWidth="1"/>
    <col min="286" max="286" width="17.5" bestFit="1" customWidth="1"/>
    <col min="287" max="287" width="19.5" bestFit="1" customWidth="1"/>
    <col min="288" max="288" width="17.5" bestFit="1" customWidth="1"/>
    <col min="289" max="289" width="19.5" bestFit="1" customWidth="1"/>
    <col min="290" max="290" width="17.5" bestFit="1" customWidth="1"/>
    <col min="291" max="291" width="19.5" bestFit="1" customWidth="1"/>
    <col min="292" max="292" width="17.5" bestFit="1" customWidth="1"/>
    <col min="293" max="293" width="19.5" bestFit="1" customWidth="1"/>
    <col min="294" max="294" width="17.5" bestFit="1" customWidth="1"/>
    <col min="295" max="295" width="19.5" bestFit="1" customWidth="1"/>
    <col min="296" max="296" width="17.5" bestFit="1" customWidth="1"/>
    <col min="297" max="297" width="19.5" bestFit="1" customWidth="1"/>
    <col min="298" max="298" width="17.5" bestFit="1" customWidth="1"/>
    <col min="299" max="299" width="19.5" bestFit="1" customWidth="1"/>
    <col min="300" max="300" width="18.83203125" bestFit="1" customWidth="1"/>
    <col min="301" max="301" width="19.5" bestFit="1" customWidth="1"/>
    <col min="302" max="302" width="18.83203125" bestFit="1" customWidth="1"/>
    <col min="303" max="303" width="19.5" bestFit="1" customWidth="1"/>
    <col min="304" max="304" width="18.83203125" bestFit="1" customWidth="1"/>
    <col min="305" max="305" width="19.5" bestFit="1" customWidth="1"/>
    <col min="306" max="306" width="18.83203125" bestFit="1" customWidth="1"/>
    <col min="307" max="307" width="19.5" bestFit="1" customWidth="1"/>
    <col min="308" max="308" width="18.83203125" bestFit="1" customWidth="1"/>
    <col min="309" max="309" width="19.5" bestFit="1" customWidth="1"/>
    <col min="310" max="310" width="18.83203125" bestFit="1" customWidth="1"/>
    <col min="311" max="311" width="19.5" bestFit="1" customWidth="1"/>
    <col min="312" max="312" width="18.83203125" bestFit="1" customWidth="1"/>
    <col min="313" max="313" width="19.5" bestFit="1" customWidth="1"/>
    <col min="314" max="314" width="18.83203125" bestFit="1" customWidth="1"/>
    <col min="315" max="315" width="19.5" bestFit="1" customWidth="1"/>
    <col min="316" max="316" width="18.83203125" bestFit="1" customWidth="1"/>
    <col min="317" max="317" width="19.5" bestFit="1" customWidth="1"/>
    <col min="318" max="318" width="18.83203125" bestFit="1" customWidth="1"/>
    <col min="319" max="319" width="19.5" bestFit="1" customWidth="1"/>
    <col min="320" max="320" width="18.83203125" bestFit="1" customWidth="1"/>
    <col min="321" max="321" width="19.5" bestFit="1" customWidth="1"/>
    <col min="322" max="322" width="18.83203125" bestFit="1" customWidth="1"/>
    <col min="323" max="323" width="19.5" bestFit="1" customWidth="1"/>
    <col min="324" max="324" width="18.83203125" bestFit="1" customWidth="1"/>
    <col min="325" max="325" width="19.5" bestFit="1" customWidth="1"/>
    <col min="326" max="326" width="18.83203125" bestFit="1" customWidth="1"/>
    <col min="327" max="327" width="19.5" bestFit="1" customWidth="1"/>
    <col min="328" max="328" width="18.83203125" bestFit="1" customWidth="1"/>
    <col min="329" max="329" width="19.5" bestFit="1" customWidth="1"/>
    <col min="330" max="330" width="18.83203125" bestFit="1" customWidth="1"/>
    <col min="331" max="331" width="19.5" bestFit="1" customWidth="1"/>
    <col min="332" max="332" width="18.83203125" bestFit="1" customWidth="1"/>
    <col min="333" max="333" width="19.5" bestFit="1" customWidth="1"/>
    <col min="334" max="334" width="18.83203125" bestFit="1" customWidth="1"/>
    <col min="335" max="335" width="19.5" bestFit="1" customWidth="1"/>
    <col min="336" max="336" width="18.83203125" bestFit="1" customWidth="1"/>
    <col min="337" max="337" width="19.5" bestFit="1" customWidth="1"/>
    <col min="338" max="338" width="18.83203125" bestFit="1" customWidth="1"/>
    <col min="339" max="339" width="19.5" bestFit="1" customWidth="1"/>
    <col min="340" max="340" width="18.83203125" bestFit="1" customWidth="1"/>
    <col min="341" max="341" width="19.5" bestFit="1" customWidth="1"/>
    <col min="342" max="342" width="22" bestFit="1" customWidth="1"/>
    <col min="343" max="343" width="24.5" bestFit="1" customWidth="1"/>
  </cols>
  <sheetData>
    <row r="1" spans="1:14" x14ac:dyDescent="0.15">
      <c r="A1" s="14" t="s">
        <v>392</v>
      </c>
      <c r="B1" t="s">
        <v>393</v>
      </c>
    </row>
    <row r="3" spans="1:14" s="16" customFormat="1" x14ac:dyDescent="0.15">
      <c r="A3" s="17"/>
      <c r="B3" s="17"/>
      <c r="C3" s="18" t="s">
        <v>400</v>
      </c>
      <c r="D3" s="18" t="s">
        <v>407</v>
      </c>
      <c r="E3" s="20"/>
      <c r="F3" s="20"/>
      <c r="G3" s="20"/>
      <c r="H3" s="20"/>
      <c r="I3" s="20"/>
      <c r="J3" s="20"/>
      <c r="K3" s="20"/>
      <c r="L3" s="20"/>
      <c r="M3" s="20"/>
      <c r="N3" s="21"/>
    </row>
    <row r="4" spans="1:14" s="16" customFormat="1" ht="23.25" customHeight="1" x14ac:dyDescent="0.15">
      <c r="A4" s="17"/>
      <c r="B4" s="17"/>
      <c r="C4" s="24" t="s">
        <v>395</v>
      </c>
      <c r="D4" s="25"/>
      <c r="E4" s="25"/>
      <c r="F4" s="24" t="s">
        <v>396</v>
      </c>
      <c r="G4" s="25"/>
      <c r="H4" s="25"/>
      <c r="I4" s="24" t="s">
        <v>397</v>
      </c>
      <c r="J4" s="25"/>
      <c r="K4" s="25"/>
      <c r="L4" s="26" t="s">
        <v>403</v>
      </c>
      <c r="M4" s="26" t="s">
        <v>408</v>
      </c>
      <c r="N4" s="26" t="s">
        <v>409</v>
      </c>
    </row>
    <row r="5" spans="1:14" s="16" customFormat="1" ht="30.75" customHeight="1" x14ac:dyDescent="0.15">
      <c r="A5" s="18" t="s">
        <v>401</v>
      </c>
      <c r="B5" s="18" t="s">
        <v>402</v>
      </c>
      <c r="C5" s="17" t="s">
        <v>404</v>
      </c>
      <c r="D5" s="17" t="s">
        <v>405</v>
      </c>
      <c r="E5" s="17" t="s">
        <v>406</v>
      </c>
      <c r="F5" s="17" t="s">
        <v>404</v>
      </c>
      <c r="G5" s="17" t="s">
        <v>405</v>
      </c>
      <c r="H5" s="17" t="s">
        <v>406</v>
      </c>
      <c r="I5" s="17" t="s">
        <v>404</v>
      </c>
      <c r="J5" s="17" t="s">
        <v>405</v>
      </c>
      <c r="K5" s="17" t="s">
        <v>406</v>
      </c>
      <c r="L5" s="27"/>
      <c r="M5" s="27"/>
      <c r="N5" s="27"/>
    </row>
    <row r="6" spans="1:14" x14ac:dyDescent="0.15">
      <c r="A6" s="22" t="s">
        <v>170</v>
      </c>
      <c r="B6" s="19" t="s">
        <v>156</v>
      </c>
      <c r="C6" s="15">
        <v>955557</v>
      </c>
      <c r="D6" s="15">
        <v>819583.42</v>
      </c>
      <c r="E6" s="15">
        <v>135973.57999999996</v>
      </c>
      <c r="F6" s="15">
        <v>243979</v>
      </c>
      <c r="G6" s="15">
        <v>210322.26</v>
      </c>
      <c r="H6" s="15">
        <v>33656.739999999991</v>
      </c>
      <c r="I6" s="15">
        <v>445126.02</v>
      </c>
      <c r="J6" s="15">
        <v>394645.2</v>
      </c>
      <c r="K6" s="15">
        <v>50480.820000000007</v>
      </c>
      <c r="L6" s="15">
        <v>1644662.02</v>
      </c>
      <c r="M6" s="15">
        <v>1424550.8800000001</v>
      </c>
      <c r="N6" s="15">
        <v>220111.14000000013</v>
      </c>
    </row>
    <row r="7" spans="1:14" x14ac:dyDescent="0.15">
      <c r="A7" s="23"/>
      <c r="B7" s="19" t="s">
        <v>161</v>
      </c>
      <c r="C7" s="15">
        <v>620757</v>
      </c>
      <c r="D7" s="15">
        <v>526058.56000000006</v>
      </c>
      <c r="E7" s="15">
        <v>94698.439999999944</v>
      </c>
      <c r="F7" s="15">
        <v>165654</v>
      </c>
      <c r="G7" s="15">
        <v>137677.62</v>
      </c>
      <c r="H7" s="15">
        <v>27976.380000000005</v>
      </c>
      <c r="I7" s="15">
        <v>176564</v>
      </c>
      <c r="J7" s="15">
        <v>145045.93</v>
      </c>
      <c r="K7" s="15">
        <v>31518.070000000007</v>
      </c>
      <c r="L7" s="15">
        <v>962975</v>
      </c>
      <c r="M7" s="15">
        <v>808782.1100000001</v>
      </c>
      <c r="N7" s="15">
        <v>154192.89000000001</v>
      </c>
    </row>
    <row r="8" spans="1:14" x14ac:dyDescent="0.15">
      <c r="A8" s="23"/>
      <c r="B8" s="19" t="s">
        <v>159</v>
      </c>
      <c r="C8" s="15">
        <v>867412.2</v>
      </c>
      <c r="D8" s="15">
        <v>740053.33000000007</v>
      </c>
      <c r="E8" s="15">
        <v>127358.86999999988</v>
      </c>
      <c r="F8" s="15">
        <v>317956</v>
      </c>
      <c r="G8" s="15">
        <v>267733.70999999996</v>
      </c>
      <c r="H8" s="15">
        <v>50222.290000000037</v>
      </c>
      <c r="I8" s="15">
        <v>251657</v>
      </c>
      <c r="J8" s="15">
        <v>209877.53</v>
      </c>
      <c r="K8" s="15">
        <v>41779.47</v>
      </c>
      <c r="L8" s="15">
        <v>1437025.2</v>
      </c>
      <c r="M8" s="15">
        <v>1217664.57</v>
      </c>
      <c r="N8" s="15">
        <v>219360.62999999989</v>
      </c>
    </row>
    <row r="9" spans="1:14" x14ac:dyDescent="0.15">
      <c r="A9" s="23"/>
      <c r="B9" s="19" t="s">
        <v>158</v>
      </c>
      <c r="C9" s="15">
        <v>626677</v>
      </c>
      <c r="D9" s="15">
        <v>532686.36</v>
      </c>
      <c r="E9" s="15">
        <v>93990.640000000014</v>
      </c>
      <c r="F9" s="15">
        <v>335424</v>
      </c>
      <c r="G9" s="15">
        <v>294755.62</v>
      </c>
      <c r="H9" s="15">
        <v>40668.380000000005</v>
      </c>
      <c r="I9" s="15">
        <v>188150</v>
      </c>
      <c r="J9" s="15">
        <v>158591.85999999999</v>
      </c>
      <c r="K9" s="15">
        <v>29558.140000000014</v>
      </c>
      <c r="L9" s="15">
        <v>1150251</v>
      </c>
      <c r="M9" s="15">
        <v>986033.84</v>
      </c>
      <c r="N9" s="15">
        <v>164217.15999999992</v>
      </c>
    </row>
    <row r="10" spans="1:14" x14ac:dyDescent="0.15">
      <c r="A10" s="23"/>
      <c r="B10" s="19" t="s">
        <v>162</v>
      </c>
      <c r="C10" s="15">
        <v>749100</v>
      </c>
      <c r="D10" s="15">
        <v>652914.34000000008</v>
      </c>
      <c r="E10" s="15">
        <v>96185.659999999916</v>
      </c>
      <c r="F10" s="15">
        <v>238568</v>
      </c>
      <c r="G10" s="15">
        <v>207215.1</v>
      </c>
      <c r="H10" s="15">
        <v>31352.899999999994</v>
      </c>
      <c r="I10" s="15">
        <v>198342</v>
      </c>
      <c r="J10" s="15">
        <v>167040.32999999999</v>
      </c>
      <c r="K10" s="15">
        <v>31301.670000000013</v>
      </c>
      <c r="L10" s="15">
        <v>1186010</v>
      </c>
      <c r="M10" s="15">
        <v>1027169.77</v>
      </c>
      <c r="N10" s="15">
        <v>158840.22999999986</v>
      </c>
    </row>
    <row r="11" spans="1:14" x14ac:dyDescent="0.15">
      <c r="A11" s="23"/>
      <c r="B11" s="19" t="s">
        <v>157</v>
      </c>
      <c r="C11" s="15">
        <v>363110</v>
      </c>
      <c r="D11" s="15">
        <v>308436.32999999996</v>
      </c>
      <c r="E11" s="15">
        <v>54673.670000000042</v>
      </c>
      <c r="F11" s="15">
        <v>478035</v>
      </c>
      <c r="G11" s="15">
        <v>398578.37000000005</v>
      </c>
      <c r="H11" s="15">
        <v>79456.629999999946</v>
      </c>
      <c r="I11" s="15">
        <v>851666</v>
      </c>
      <c r="J11" s="15">
        <v>716301.46</v>
      </c>
      <c r="K11" s="15">
        <v>135364.54000000004</v>
      </c>
      <c r="L11" s="15">
        <v>1692811</v>
      </c>
      <c r="M11" s="15">
        <v>1423316.16</v>
      </c>
      <c r="N11" s="15">
        <v>269494.84000000008</v>
      </c>
    </row>
    <row r="12" spans="1:14" x14ac:dyDescent="0.15">
      <c r="A12" s="23"/>
      <c r="B12" s="19" t="s">
        <v>160</v>
      </c>
      <c r="C12" s="15">
        <v>794373</v>
      </c>
      <c r="D12" s="15">
        <v>685371.72</v>
      </c>
      <c r="E12" s="15">
        <v>109001.28000000003</v>
      </c>
      <c r="F12" s="15">
        <v>292724</v>
      </c>
      <c r="G12" s="15">
        <v>249221.14</v>
      </c>
      <c r="H12" s="15">
        <v>43502.859999999986</v>
      </c>
      <c r="I12" s="15">
        <v>361410.8</v>
      </c>
      <c r="J12" s="15">
        <v>295854.02999999997</v>
      </c>
      <c r="K12" s="15">
        <v>65556.770000000019</v>
      </c>
      <c r="L12" s="15">
        <v>1448507.8</v>
      </c>
      <c r="M12" s="15">
        <v>1230446.8899999999</v>
      </c>
      <c r="N12" s="15">
        <v>218060.91000000015</v>
      </c>
    </row>
    <row r="13" spans="1:14" x14ac:dyDescent="0.15">
      <c r="A13" s="22" t="s">
        <v>398</v>
      </c>
      <c r="B13" s="23"/>
      <c r="C13" s="15">
        <v>4976986.2</v>
      </c>
      <c r="D13" s="15">
        <v>4265104.0599999996</v>
      </c>
      <c r="E13" s="15">
        <v>711882.13999999966</v>
      </c>
      <c r="F13" s="15">
        <v>2072340</v>
      </c>
      <c r="G13" s="15">
        <v>1765503.8200000003</v>
      </c>
      <c r="H13" s="15">
        <v>306836.17999999993</v>
      </c>
      <c r="I13" s="15">
        <v>2472915.8199999998</v>
      </c>
      <c r="J13" s="15">
        <v>2087356.34</v>
      </c>
      <c r="K13" s="15">
        <v>385559.47999999975</v>
      </c>
      <c r="L13" s="15">
        <v>9522242.0199999996</v>
      </c>
      <c r="M13" s="15">
        <v>8117964.2199999997</v>
      </c>
      <c r="N13" s="15">
        <v>1404277.7999999998</v>
      </c>
    </row>
    <row r="14" spans="1:14" x14ac:dyDescent="0.15">
      <c r="A14" s="22" t="s">
        <v>171</v>
      </c>
      <c r="B14" s="19" t="s">
        <v>156</v>
      </c>
      <c r="C14" s="15">
        <v>48739</v>
      </c>
      <c r="D14" s="15">
        <v>42890.32</v>
      </c>
      <c r="E14" s="15">
        <v>5848.68</v>
      </c>
      <c r="F14" s="15">
        <v>60719</v>
      </c>
      <c r="G14" s="15">
        <v>52825.530000000006</v>
      </c>
      <c r="H14" s="15">
        <v>7893.4699999999939</v>
      </c>
      <c r="I14" s="15">
        <v>299758</v>
      </c>
      <c r="J14" s="15">
        <v>260966.82000000004</v>
      </c>
      <c r="K14" s="15">
        <v>38791.179999999964</v>
      </c>
      <c r="L14" s="15">
        <v>409216</v>
      </c>
      <c r="M14" s="15">
        <v>356682.67000000004</v>
      </c>
      <c r="N14" s="15">
        <v>52533.330000000016</v>
      </c>
    </row>
    <row r="15" spans="1:14" x14ac:dyDescent="0.15">
      <c r="A15" s="23"/>
      <c r="B15" s="19" t="s">
        <v>161</v>
      </c>
      <c r="C15" s="15">
        <v>10293</v>
      </c>
      <c r="D15" s="15">
        <v>8440.26</v>
      </c>
      <c r="E15" s="15">
        <v>1852.7399999999998</v>
      </c>
      <c r="F15" s="15">
        <v>29652</v>
      </c>
      <c r="G15" s="15">
        <v>24120.6</v>
      </c>
      <c r="H15" s="15">
        <v>5531.4000000000015</v>
      </c>
      <c r="I15" s="15">
        <v>552193</v>
      </c>
      <c r="J15" s="15">
        <v>483459.77000000008</v>
      </c>
      <c r="K15" s="15">
        <v>68733.229999999923</v>
      </c>
      <c r="L15" s="15">
        <v>592138</v>
      </c>
      <c r="M15" s="15">
        <v>516020.63000000006</v>
      </c>
      <c r="N15" s="15">
        <v>76117.369999999937</v>
      </c>
    </row>
    <row r="16" spans="1:14" x14ac:dyDescent="0.15">
      <c r="A16" s="23"/>
      <c r="B16" s="19" t="s">
        <v>159</v>
      </c>
      <c r="C16" s="15">
        <v>42768</v>
      </c>
      <c r="D16" s="15">
        <v>34642.080000000002</v>
      </c>
      <c r="E16" s="15">
        <v>8125.9199999999983</v>
      </c>
      <c r="F16" s="15">
        <v>18683</v>
      </c>
      <c r="G16" s="15">
        <v>15133.230000000001</v>
      </c>
      <c r="H16" s="15">
        <v>3549.7699999999986</v>
      </c>
      <c r="I16" s="15">
        <v>355420</v>
      </c>
      <c r="J16" s="15">
        <v>312526.96000000002</v>
      </c>
      <c r="K16" s="15">
        <v>42893.039999999979</v>
      </c>
      <c r="L16" s="15">
        <v>416871</v>
      </c>
      <c r="M16" s="15">
        <v>362302.27</v>
      </c>
      <c r="N16" s="15">
        <v>54568.729999999981</v>
      </c>
    </row>
    <row r="17" spans="1:14" x14ac:dyDescent="0.15">
      <c r="A17" s="23"/>
      <c r="B17" s="19" t="s">
        <v>158</v>
      </c>
      <c r="C17" s="15">
        <v>29340</v>
      </c>
      <c r="D17" s="15">
        <v>24058.800000000003</v>
      </c>
      <c r="E17" s="15">
        <v>5281.1999999999971</v>
      </c>
      <c r="F17" s="15">
        <v>84378</v>
      </c>
      <c r="G17" s="15">
        <v>70680.420000000013</v>
      </c>
      <c r="H17" s="15">
        <v>13697.579999999987</v>
      </c>
      <c r="I17" s="15">
        <v>177135</v>
      </c>
      <c r="J17" s="15">
        <v>145496.66</v>
      </c>
      <c r="K17" s="15">
        <v>31638.339999999997</v>
      </c>
      <c r="L17" s="15">
        <v>290853</v>
      </c>
      <c r="M17" s="15">
        <v>240235.88</v>
      </c>
      <c r="N17" s="15">
        <v>50617.119999999937</v>
      </c>
    </row>
    <row r="18" spans="1:14" x14ac:dyDescent="0.15">
      <c r="A18" s="23"/>
      <c r="B18" s="19" t="s">
        <v>162</v>
      </c>
      <c r="C18" s="15">
        <v>1287</v>
      </c>
      <c r="D18" s="15">
        <v>1081.08</v>
      </c>
      <c r="E18" s="15">
        <v>205.92000000000007</v>
      </c>
      <c r="F18" s="15">
        <v>127538</v>
      </c>
      <c r="G18" s="15">
        <v>110985.92000000001</v>
      </c>
      <c r="H18" s="15">
        <v>16552.079999999987</v>
      </c>
      <c r="I18" s="15">
        <v>356521.47</v>
      </c>
      <c r="J18" s="15">
        <v>296635.73</v>
      </c>
      <c r="K18" s="15">
        <v>59885.739999999991</v>
      </c>
      <c r="L18" s="15">
        <v>485346.47</v>
      </c>
      <c r="M18" s="15">
        <v>408702.73</v>
      </c>
      <c r="N18" s="15">
        <v>76643.739999999932</v>
      </c>
    </row>
    <row r="19" spans="1:14" x14ac:dyDescent="0.15">
      <c r="A19" s="23"/>
      <c r="B19" s="19" t="s">
        <v>157</v>
      </c>
      <c r="C19" s="15">
        <v>225712</v>
      </c>
      <c r="D19" s="15">
        <v>189118.56</v>
      </c>
      <c r="E19" s="15">
        <v>36593.440000000002</v>
      </c>
      <c r="F19" s="15">
        <v>111844</v>
      </c>
      <c r="G19" s="15">
        <v>91299.520000000019</v>
      </c>
      <c r="H19" s="15">
        <v>20544.479999999981</v>
      </c>
      <c r="I19" s="15">
        <v>177123</v>
      </c>
      <c r="J19" s="15">
        <v>150521.1</v>
      </c>
      <c r="K19" s="15">
        <v>26601.899999999994</v>
      </c>
      <c r="L19" s="15">
        <v>514679</v>
      </c>
      <c r="M19" s="15">
        <v>430939.18000000005</v>
      </c>
      <c r="N19" s="15">
        <v>83739.820000000007</v>
      </c>
    </row>
    <row r="20" spans="1:14" x14ac:dyDescent="0.15">
      <c r="A20" s="23"/>
      <c r="B20" s="19" t="s">
        <v>160</v>
      </c>
      <c r="C20" s="15">
        <v>7880</v>
      </c>
      <c r="D20" s="15">
        <v>6934.4000000000005</v>
      </c>
      <c r="E20" s="15">
        <v>945.59999999999945</v>
      </c>
      <c r="F20" s="15">
        <v>36372</v>
      </c>
      <c r="G20" s="15">
        <v>32734.799999999996</v>
      </c>
      <c r="H20" s="15">
        <v>3637.2000000000044</v>
      </c>
      <c r="I20" s="15">
        <v>964765</v>
      </c>
      <c r="J20" s="15">
        <v>829101.77999999991</v>
      </c>
      <c r="K20" s="15">
        <v>135663.22000000009</v>
      </c>
      <c r="L20" s="15">
        <v>1009017</v>
      </c>
      <c r="M20" s="15">
        <v>868770.97999999986</v>
      </c>
      <c r="N20" s="15">
        <v>140246.02000000014</v>
      </c>
    </row>
    <row r="21" spans="1:14" x14ac:dyDescent="0.15">
      <c r="A21" s="22" t="s">
        <v>399</v>
      </c>
      <c r="B21" s="23"/>
      <c r="C21" s="15">
        <v>366019</v>
      </c>
      <c r="D21" s="15">
        <v>307165.5</v>
      </c>
      <c r="E21" s="15">
        <v>58853.5</v>
      </c>
      <c r="F21" s="15">
        <v>469186</v>
      </c>
      <c r="G21" s="15">
        <v>397780.02000000008</v>
      </c>
      <c r="H21" s="15">
        <v>71405.98000000004</v>
      </c>
      <c r="I21" s="15">
        <v>2882915.4699999997</v>
      </c>
      <c r="J21" s="15">
        <v>2478708.8199999998</v>
      </c>
      <c r="K21" s="15">
        <v>404206.64999999944</v>
      </c>
      <c r="L21" s="15">
        <v>3718120.4699999997</v>
      </c>
      <c r="M21" s="15">
        <v>3183654.3400000003</v>
      </c>
      <c r="N21" s="15">
        <v>534466.12999999942</v>
      </c>
    </row>
    <row r="22" spans="1:14" x14ac:dyDescent="0.15">
      <c r="A22" s="22" t="s">
        <v>394</v>
      </c>
      <c r="B22" s="23"/>
      <c r="C22" s="15">
        <v>5343005.2</v>
      </c>
      <c r="D22" s="15">
        <v>4572269.5599999996</v>
      </c>
      <c r="E22" s="15">
        <v>770735.63999999873</v>
      </c>
      <c r="F22" s="15">
        <v>2541526</v>
      </c>
      <c r="G22" s="15">
        <v>2163283.84</v>
      </c>
      <c r="H22" s="15">
        <v>378242.15999999968</v>
      </c>
      <c r="I22" s="15">
        <v>5355831.29</v>
      </c>
      <c r="J22" s="15">
        <v>4566065.16</v>
      </c>
      <c r="K22" s="15">
        <v>789766.12999999989</v>
      </c>
      <c r="L22" s="15">
        <v>13240362.49</v>
      </c>
      <c r="M22" s="15">
        <v>11301618.560000002</v>
      </c>
      <c r="N22" s="15">
        <v>1938743.9299999978</v>
      </c>
    </row>
  </sheetData>
  <mergeCells count="11">
    <mergeCell ref="N4:N5"/>
    <mergeCell ref="M4:M5"/>
    <mergeCell ref="A6:A12"/>
    <mergeCell ref="A13:B13"/>
    <mergeCell ref="A14:A20"/>
    <mergeCell ref="A21:B21"/>
    <mergeCell ref="A22:B22"/>
    <mergeCell ref="C4:E4"/>
    <mergeCell ref="F4:H4"/>
    <mergeCell ref="I4:K4"/>
    <mergeCell ref="L4:L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2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L5" sqref="L5"/>
    </sheetView>
  </sheetViews>
  <sheetFormatPr defaultRowHeight="11.25" x14ac:dyDescent="0.15"/>
  <cols>
    <col min="1" max="1" width="11.6640625" style="1" customWidth="1"/>
    <col min="2" max="2" width="16" style="1" customWidth="1"/>
    <col min="3" max="3" width="12.1640625" style="1" customWidth="1"/>
    <col min="4" max="4" width="58" customWidth="1"/>
    <col min="5" max="5" width="16" style="1" customWidth="1"/>
    <col min="6" max="6" width="16.83203125" customWidth="1"/>
    <col min="7" max="7" width="12.1640625" style="1" customWidth="1"/>
    <col min="8" max="8" width="16" style="1" customWidth="1"/>
    <col min="9" max="9" width="11.6640625" customWidth="1"/>
    <col min="10" max="10" width="16" customWidth="1"/>
    <col min="11" max="11" width="13.83203125" customWidth="1"/>
    <col min="12" max="12" width="16" customWidth="1"/>
  </cols>
  <sheetData>
    <row r="1" spans="1:13" ht="20.25" thickBot="1" x14ac:dyDescent="0.2">
      <c r="A1" s="11" t="s">
        <v>169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ht="4.5" customHeight="1" thickTop="1" x14ac:dyDescent="0.15">
      <c r="A2" s="6"/>
      <c r="B2" s="6"/>
      <c r="C2" s="6"/>
      <c r="D2" s="7"/>
      <c r="E2" s="6"/>
      <c r="F2" s="7"/>
      <c r="G2" s="6"/>
      <c r="H2" s="6"/>
      <c r="I2" s="7"/>
      <c r="J2" s="7"/>
      <c r="K2" s="7"/>
      <c r="L2" s="7"/>
    </row>
    <row r="3" spans="1:13" s="2" customFormat="1" ht="30" customHeight="1" x14ac:dyDescent="0.15">
      <c r="A3" s="8" t="s">
        <v>164</v>
      </c>
      <c r="B3" s="8" t="s">
        <v>4</v>
      </c>
      <c r="C3" s="8" t="s">
        <v>167</v>
      </c>
      <c r="D3" s="8" t="s">
        <v>168</v>
      </c>
      <c r="E3" s="8" t="s">
        <v>166</v>
      </c>
      <c r="F3" s="8" t="s">
        <v>3</v>
      </c>
      <c r="G3" s="8" t="s">
        <v>165</v>
      </c>
      <c r="H3" s="8" t="s">
        <v>155</v>
      </c>
      <c r="I3" s="8" t="s">
        <v>2</v>
      </c>
      <c r="J3" s="8" t="s">
        <v>163</v>
      </c>
      <c r="K3" s="8" t="s">
        <v>1</v>
      </c>
      <c r="L3" s="8" t="s">
        <v>0</v>
      </c>
    </row>
    <row r="4" spans="1:13" ht="15" customHeight="1" x14ac:dyDescent="0.15">
      <c r="A4" s="12">
        <v>1</v>
      </c>
      <c r="B4" s="3" t="s">
        <v>104</v>
      </c>
      <c r="C4" s="3" t="str">
        <f>VLOOKUP(B4,品名!$A$1:$C$151,2,0)</f>
        <v>Apple</v>
      </c>
      <c r="D4" s="3" t="str">
        <f>VLOOKUP(B4,品名!$A$1:$C$151,3,0)</f>
        <v>MacBook Air MJVE2CH/A 13.3英寸笔记本电脑</v>
      </c>
      <c r="E4" s="3" t="str">
        <f>VLOOKUP(LEFT(B4,2),Sheet2!$A$1:$B$8,2,0)</f>
        <v>计算机</v>
      </c>
      <c r="F4" s="4">
        <v>42888</v>
      </c>
      <c r="G4" s="3" t="s">
        <v>156</v>
      </c>
      <c r="H4" s="3" t="s">
        <v>171</v>
      </c>
      <c r="I4" s="5">
        <v>12</v>
      </c>
      <c r="J4" s="13">
        <f>VLOOKUP(B4,[1]单价!$A$1:$B$152,2,0)</f>
        <v>6462.8</v>
      </c>
      <c r="K4" s="13">
        <f>I4*J4</f>
        <v>77553.600000000006</v>
      </c>
      <c r="L4" s="13">
        <f>VLOOKUP(B4,[1]进价!$A$1:$B$151,2,0)*表1[[#This Row],[销量]]</f>
        <v>62042.879999999997</v>
      </c>
      <c r="M4" s="9"/>
    </row>
    <row r="5" spans="1:13" ht="15" customHeight="1" x14ac:dyDescent="0.15">
      <c r="A5" s="12">
        <v>2</v>
      </c>
      <c r="B5" s="3" t="s">
        <v>116</v>
      </c>
      <c r="C5" s="3" t="str">
        <f>VLOOKUP(B5,品名!$A$1:$C$151,2,0)</f>
        <v>戴尔</v>
      </c>
      <c r="D5" s="3" t="str">
        <f>VLOOKUP(B5,品名!$A$1:$C$151,3,0)</f>
        <v>Dell Vostro 5480R-3528SS 14英寸笔记本电脑 银色</v>
      </c>
      <c r="E5" s="3" t="str">
        <f>VLOOKUP(LEFT(B5,2),Sheet2!$A$1:$B$8,2,0)</f>
        <v>计算机</v>
      </c>
      <c r="F5" s="4">
        <v>42745</v>
      </c>
      <c r="G5" s="3" t="s">
        <v>156</v>
      </c>
      <c r="H5" s="3" t="s">
        <v>170</v>
      </c>
      <c r="I5" s="5">
        <v>20</v>
      </c>
      <c r="J5" s="13">
        <f>VLOOKUP(B5,[1]单价!$A$1:$B$152,2,0)</f>
        <v>4199</v>
      </c>
      <c r="K5" s="13">
        <f t="shared" ref="K5:K68" si="0">I5*J5</f>
        <v>83980</v>
      </c>
      <c r="L5" s="13">
        <f>VLOOKUP(B5,[1]进价!$A$1:$B$151,2,0)*表1[[#This Row],[销量]]</f>
        <v>70543.199999999997</v>
      </c>
      <c r="M5" s="9"/>
    </row>
    <row r="6" spans="1:13" ht="15" customHeight="1" x14ac:dyDescent="0.15">
      <c r="A6" s="12">
        <v>3</v>
      </c>
      <c r="B6" s="3" t="s">
        <v>127</v>
      </c>
      <c r="C6" s="3" t="str">
        <f>VLOOKUP(B6,品名!$A$1:$C$151,2,0)</f>
        <v>Apple</v>
      </c>
      <c r="D6" s="3" t="str">
        <f>VLOOKUP(B6,品名!$A$1:$C$151,3,0)</f>
        <v xml:space="preserve">iMac MK452CH/A 21.5英寸一体机 </v>
      </c>
      <c r="E6" s="3" t="str">
        <f>VLOOKUP(LEFT(B6,2),Sheet2!$A$1:$B$8,2,0)</f>
        <v>计算机</v>
      </c>
      <c r="F6" s="4">
        <v>42750</v>
      </c>
      <c r="G6" s="3" t="s">
        <v>156</v>
      </c>
      <c r="H6" s="3" t="s">
        <v>170</v>
      </c>
      <c r="I6" s="5">
        <v>43</v>
      </c>
      <c r="J6" s="13">
        <f>VLOOKUP(B6,[1]单价!$A$1:$B$152,2,0)</f>
        <v>10888</v>
      </c>
      <c r="K6" s="13">
        <f t="shared" si="0"/>
        <v>468184</v>
      </c>
      <c r="L6" s="13">
        <f>VLOOKUP(B6,[1]进价!$A$1:$B$151,2,0)*表1[[#This Row],[销量]]</f>
        <v>407320.07999999996</v>
      </c>
      <c r="M6" s="9"/>
    </row>
    <row r="7" spans="1:13" ht="15" customHeight="1" x14ac:dyDescent="0.15">
      <c r="A7" s="12">
        <v>4</v>
      </c>
      <c r="B7" s="3" t="s">
        <v>138</v>
      </c>
      <c r="C7" s="3" t="str">
        <f>VLOOKUP(B7,品名!$A$1:$C$151,2,0)</f>
        <v>Apple</v>
      </c>
      <c r="D7" s="3" t="str">
        <f>VLOOKUP(B7,品名!$A$1:$C$151,3,0)</f>
        <v>iPad Air 2 MGKM2CH/A 9.7英寸平板电脑</v>
      </c>
      <c r="E7" s="3" t="str">
        <f>VLOOKUP(LEFT(B7,2),Sheet2!$A$1:$B$8,2,0)</f>
        <v>计算机</v>
      </c>
      <c r="F7" s="4">
        <v>42909</v>
      </c>
      <c r="G7" s="3" t="s">
        <v>156</v>
      </c>
      <c r="H7" s="3" t="s">
        <v>171</v>
      </c>
      <c r="I7" s="5">
        <v>35</v>
      </c>
      <c r="J7" s="13">
        <f>VLOOKUP(B7,[1]单价!$A$1:$B$152,2,0)</f>
        <v>4038</v>
      </c>
      <c r="K7" s="13">
        <f t="shared" si="0"/>
        <v>141330</v>
      </c>
      <c r="L7" s="13">
        <f>VLOOKUP(B7,[1]进价!$A$1:$B$151,2,0)*表1[[#This Row],[销量]]</f>
        <v>124370.40000000001</v>
      </c>
      <c r="M7" s="9"/>
    </row>
    <row r="8" spans="1:13" ht="15" customHeight="1" x14ac:dyDescent="0.15">
      <c r="A8" s="12">
        <v>5</v>
      </c>
      <c r="B8" s="3" t="s">
        <v>150</v>
      </c>
      <c r="C8" s="3" t="str">
        <f>VLOOKUP(B8,品名!$A$1:$C$151,2,0)</f>
        <v>联想</v>
      </c>
      <c r="D8" s="3" t="str">
        <f>VLOOKUP(B8,品名!$A$1:$C$151,3,0)</f>
        <v>ThinkPad 8（20BNA00RCD）8.3英寸触控平板电脑</v>
      </c>
      <c r="E8" s="3" t="str">
        <f>VLOOKUP(LEFT(B8,2),Sheet2!$A$1:$B$8,2,0)</f>
        <v>计算机</v>
      </c>
      <c r="F8" s="4">
        <v>42765</v>
      </c>
      <c r="G8" s="3" t="s">
        <v>156</v>
      </c>
      <c r="H8" s="3" t="s">
        <v>170</v>
      </c>
      <c r="I8" s="5">
        <v>29</v>
      </c>
      <c r="J8" s="13">
        <f>VLOOKUP(B8,[1]单价!$A$1:$B$152,2,0)</f>
        <v>2599</v>
      </c>
      <c r="K8" s="13">
        <f t="shared" si="0"/>
        <v>75371</v>
      </c>
      <c r="L8" s="13">
        <f>VLOOKUP(B8,[1]进价!$A$1:$B$151,2,0)*表1[[#This Row],[销量]]</f>
        <v>64065.350000000006</v>
      </c>
      <c r="M8" s="9"/>
    </row>
    <row r="9" spans="1:13" ht="15" customHeight="1" x14ac:dyDescent="0.15">
      <c r="A9" s="12">
        <v>6</v>
      </c>
      <c r="B9" s="3" t="s">
        <v>9</v>
      </c>
      <c r="C9" s="3" t="str">
        <f>VLOOKUP(B9,品名!$A$1:$C$151,2,0)</f>
        <v>海信</v>
      </c>
      <c r="D9" s="3" t="str">
        <f>VLOOKUP(B9,品名!$A$1:$C$151,3,0)</f>
        <v>Hisense LED42K326X3D 42英寸智能网络3D电视</v>
      </c>
      <c r="E9" s="3" t="str">
        <f>VLOOKUP(LEFT(B9,2),Sheet2!$A$1:$B$8,2,0)</f>
        <v>电视</v>
      </c>
      <c r="F9" s="4">
        <v>42772</v>
      </c>
      <c r="G9" s="3" t="s">
        <v>156</v>
      </c>
      <c r="H9" s="3" t="s">
        <v>170</v>
      </c>
      <c r="I9" s="5">
        <v>11</v>
      </c>
      <c r="J9" s="13">
        <f>VLOOKUP(B9,[1]单价!$A$1:$B$152,2,0)</f>
        <v>3599</v>
      </c>
      <c r="K9" s="13">
        <f t="shared" si="0"/>
        <v>39589</v>
      </c>
      <c r="L9" s="13">
        <f>VLOOKUP(B9,[1]进价!$A$1:$B$151,2,0)*表1[[#This Row],[销量]]</f>
        <v>35630.1</v>
      </c>
      <c r="M9" s="9"/>
    </row>
    <row r="10" spans="1:13" ht="15" customHeight="1" x14ac:dyDescent="0.15">
      <c r="A10" s="12">
        <v>7</v>
      </c>
      <c r="B10" s="3" t="s">
        <v>20</v>
      </c>
      <c r="C10" s="3" t="str">
        <f>VLOOKUP(B10,品名!$A$1:$C$151,2,0)</f>
        <v>TCL</v>
      </c>
      <c r="D10" s="3" t="str">
        <f>VLOOKUP(B10,品名!$A$1:$C$151,3,0)</f>
        <v>L48F3310-3D平板电视</v>
      </c>
      <c r="E10" s="3" t="str">
        <f>VLOOKUP(LEFT(B10,2),Sheet2!$A$1:$B$8,2,0)</f>
        <v>电视</v>
      </c>
      <c r="F10" s="4">
        <v>42780</v>
      </c>
      <c r="G10" s="3" t="s">
        <v>156</v>
      </c>
      <c r="H10" s="3" t="s">
        <v>170</v>
      </c>
      <c r="I10" s="5">
        <v>25</v>
      </c>
      <c r="J10" s="13">
        <f>VLOOKUP(B10,[1]单价!$A$1:$B$152,2,0)</f>
        <v>3999</v>
      </c>
      <c r="K10" s="13">
        <f t="shared" si="0"/>
        <v>99975</v>
      </c>
      <c r="L10" s="13">
        <f>VLOOKUP(B10,[1]进价!$A$1:$B$151,2,0)*表1[[#This Row],[销量]]</f>
        <v>86978.25</v>
      </c>
      <c r="M10" s="9"/>
    </row>
    <row r="11" spans="1:13" ht="15" customHeight="1" x14ac:dyDescent="0.15">
      <c r="A11" s="12">
        <v>8</v>
      </c>
      <c r="B11" s="3" t="s">
        <v>29</v>
      </c>
      <c r="C11" s="3" t="str">
        <f>VLOOKUP(B11,品名!$A$1:$C$151,2,0)</f>
        <v>TCL</v>
      </c>
      <c r="D11" s="3" t="str">
        <f>VLOOKUP(B11,品名!$A$1:$C$151,3,0)</f>
        <v>KFRd-35GW/DE22空调</v>
      </c>
      <c r="E11" s="3" t="str">
        <f>VLOOKUP(LEFT(B11,2),Sheet2!$A$1:$B$8,2,0)</f>
        <v>空调</v>
      </c>
      <c r="F11" s="4">
        <v>42786</v>
      </c>
      <c r="G11" s="3" t="s">
        <v>156</v>
      </c>
      <c r="H11" s="3" t="s">
        <v>170</v>
      </c>
      <c r="I11" s="5">
        <v>36</v>
      </c>
      <c r="J11" s="13">
        <f>VLOOKUP(B11,[1]单价!$A$1:$B$152,2,0)</f>
        <v>2179</v>
      </c>
      <c r="K11" s="13">
        <f t="shared" si="0"/>
        <v>78444</v>
      </c>
      <c r="L11" s="13">
        <f>VLOOKUP(B11,[1]进价!$A$1:$B$151,2,0)*表1[[#This Row],[销量]]</f>
        <v>66677.400000000009</v>
      </c>
      <c r="M11" s="9"/>
    </row>
    <row r="12" spans="1:13" ht="15" customHeight="1" x14ac:dyDescent="0.15">
      <c r="A12" s="12">
        <v>9</v>
      </c>
      <c r="B12" s="3" t="s">
        <v>39</v>
      </c>
      <c r="C12" s="3" t="str">
        <f>VLOOKUP(B12,品名!$A$1:$C$151,2,0)</f>
        <v>海信</v>
      </c>
      <c r="D12" s="3" t="str">
        <f>VLOOKUP(B12,品名!$A$1:$C$151,3,0)</f>
        <v>Hisense KFR-26GW/ER01N2空调</v>
      </c>
      <c r="E12" s="3" t="str">
        <f>VLOOKUP(LEFT(B12,2),Sheet2!$A$1:$B$8,2,0)</f>
        <v>空调</v>
      </c>
      <c r="F12" s="4">
        <v>42795</v>
      </c>
      <c r="G12" s="3" t="s">
        <v>156</v>
      </c>
      <c r="H12" s="3" t="s">
        <v>170</v>
      </c>
      <c r="I12" s="5">
        <v>48</v>
      </c>
      <c r="J12" s="13">
        <f>VLOOKUP(B12,[1]单价!$A$1:$B$152,2,0)</f>
        <v>2179</v>
      </c>
      <c r="K12" s="13">
        <f t="shared" si="0"/>
        <v>104592</v>
      </c>
      <c r="L12" s="13">
        <f>VLOOKUP(B12,[1]进价!$A$1:$B$151,2,0)*表1[[#This Row],[销量]]</f>
        <v>93086.88</v>
      </c>
      <c r="M12" s="9"/>
    </row>
    <row r="13" spans="1:13" ht="15" customHeight="1" x14ac:dyDescent="0.15">
      <c r="A13" s="12">
        <v>10</v>
      </c>
      <c r="B13" s="3" t="s">
        <v>71</v>
      </c>
      <c r="C13" s="3" t="str">
        <f>VLOOKUP(B13,品名!$A$1:$C$151,2,0)</f>
        <v>海尔</v>
      </c>
      <c r="D13" s="3" t="str">
        <f>VLOOKUP(B13,品名!$A$1:$C$151,3,0)</f>
        <v>Haier BCD-206STPA 206升冰箱</v>
      </c>
      <c r="E13" s="3" t="str">
        <f>VLOOKUP(LEFT(B13,2),Sheet2!$A$1:$B$8,2,0)</f>
        <v>冰箱</v>
      </c>
      <c r="F13" s="4">
        <v>42803</v>
      </c>
      <c r="G13" s="3" t="s">
        <v>156</v>
      </c>
      <c r="H13" s="3" t="s">
        <v>170</v>
      </c>
      <c r="I13" s="5">
        <v>23</v>
      </c>
      <c r="J13" s="13">
        <f>VLOOKUP(B13,[1]单价!$A$1:$B$152,2,0)</f>
        <v>1649</v>
      </c>
      <c r="K13" s="13">
        <f t="shared" si="0"/>
        <v>37927</v>
      </c>
      <c r="L13" s="13">
        <f>VLOOKUP(B13,[1]进价!$A$1:$B$151,2,0)*表1[[#This Row],[销量]]</f>
        <v>32237.95</v>
      </c>
      <c r="M13" s="10"/>
    </row>
    <row r="14" spans="1:13" ht="15" customHeight="1" x14ac:dyDescent="0.15">
      <c r="A14" s="12">
        <v>11</v>
      </c>
      <c r="B14" s="3" t="s">
        <v>80</v>
      </c>
      <c r="C14" s="3" t="str">
        <f>VLOOKUP(B14,品名!$A$1:$C$151,2,0)</f>
        <v>容声</v>
      </c>
      <c r="D14" s="3" t="str">
        <f>VLOOKUP(B14,品名!$A$1:$C$151,3,0)</f>
        <v>Ronshen BCD-202M/TX6-GF61-C冰箱</v>
      </c>
      <c r="E14" s="3" t="str">
        <f>VLOOKUP(LEFT(B14,2),Sheet2!$A$1:$B$8,2,0)</f>
        <v>冰箱</v>
      </c>
      <c r="F14" s="4">
        <v>42810</v>
      </c>
      <c r="G14" s="3" t="s">
        <v>156</v>
      </c>
      <c r="H14" s="3" t="s">
        <v>170</v>
      </c>
      <c r="I14" s="5">
        <v>49</v>
      </c>
      <c r="J14" s="13">
        <f>VLOOKUP(B14,[1]单价!$A$1:$B$152,2,0)</f>
        <v>1499</v>
      </c>
      <c r="K14" s="13">
        <f t="shared" si="0"/>
        <v>73451</v>
      </c>
      <c r="L14" s="13">
        <f>VLOOKUP(B14,[1]进价!$A$1:$B$151,2,0)*表1[[#This Row],[销量]]</f>
        <v>65371.389999999992</v>
      </c>
    </row>
    <row r="15" spans="1:13" ht="15" customHeight="1" x14ac:dyDescent="0.15">
      <c r="A15" s="12">
        <v>12</v>
      </c>
      <c r="B15" s="3" t="s">
        <v>49</v>
      </c>
      <c r="C15" s="3" t="str">
        <f>VLOOKUP(B15,品名!$A$1:$C$151,2,0)</f>
        <v>海尔</v>
      </c>
      <c r="D15" s="3" t="str">
        <f>VLOOKUP(B15,品名!$A$1:$C$151,3,0)</f>
        <v>Haier EC5002-Q6 50升电热水器</v>
      </c>
      <c r="E15" s="3" t="str">
        <f>VLOOKUP(LEFT(B15,2),Sheet2!$A$1:$B$8,2,0)</f>
        <v>热水器</v>
      </c>
      <c r="F15" s="4">
        <v>42816</v>
      </c>
      <c r="G15" s="3" t="s">
        <v>156</v>
      </c>
      <c r="H15" s="3" t="s">
        <v>171</v>
      </c>
      <c r="I15" s="5">
        <v>4</v>
      </c>
      <c r="J15" s="13">
        <f>VLOOKUP(B15,[1]单价!$A$1:$B$152,2,0)</f>
        <v>1098</v>
      </c>
      <c r="K15" s="13">
        <f t="shared" si="0"/>
        <v>4392</v>
      </c>
      <c r="L15" s="13">
        <f>VLOOKUP(B15,[1]进价!$A$1:$B$151,2,0)*表1[[#This Row],[销量]]</f>
        <v>3777.12</v>
      </c>
    </row>
    <row r="16" spans="1:13" ht="15" customHeight="1" x14ac:dyDescent="0.15">
      <c r="A16" s="12">
        <v>13</v>
      </c>
      <c r="B16" s="3" t="s">
        <v>58</v>
      </c>
      <c r="C16" s="3" t="str">
        <f>VLOOKUP(B16,品名!$A$1:$C$151,2,0)</f>
        <v>美的</v>
      </c>
      <c r="D16" s="3" t="str">
        <f>VLOOKUP(B16,品名!$A$1:$C$151,3,0)</f>
        <v>Midea F60-15WB5(Y)电热水器</v>
      </c>
      <c r="E16" s="3" t="str">
        <f>VLOOKUP(LEFT(B16,2),Sheet2!$A$1:$B$8,2,0)</f>
        <v>热水器</v>
      </c>
      <c r="F16" s="4">
        <v>42823</v>
      </c>
      <c r="G16" s="3" t="s">
        <v>156</v>
      </c>
      <c r="H16" s="3" t="s">
        <v>171</v>
      </c>
      <c r="I16" s="5">
        <v>19</v>
      </c>
      <c r="J16" s="13">
        <f>VLOOKUP(B16,[1]单价!$A$1:$B$152,2,0)</f>
        <v>1298</v>
      </c>
      <c r="K16" s="13">
        <f t="shared" si="0"/>
        <v>24662</v>
      </c>
      <c r="L16" s="13">
        <f>VLOOKUP(B16,[1]进价!$A$1:$B$151,2,0)*表1[[#This Row],[销量]]</f>
        <v>20962.7</v>
      </c>
    </row>
    <row r="17" spans="1:12" ht="15" customHeight="1" x14ac:dyDescent="0.15">
      <c r="A17" s="12">
        <v>14</v>
      </c>
      <c r="B17" s="3" t="s">
        <v>87</v>
      </c>
      <c r="C17" s="3" t="str">
        <f>VLOOKUP(B17,品名!$A$1:$C$151,2,0)</f>
        <v>安仕</v>
      </c>
      <c r="D17" s="3" t="str">
        <f>VLOOKUP(B17,品名!$A$1:$C$151,3,0)</f>
        <v>ASG-131S双层干衣机</v>
      </c>
      <c r="E17" s="3" t="str">
        <f>VLOOKUP(LEFT(B17,2),Sheet2!$A$1:$B$8,2,0)</f>
        <v>洗衣机</v>
      </c>
      <c r="F17" s="4">
        <v>42831</v>
      </c>
      <c r="G17" s="3" t="s">
        <v>156</v>
      </c>
      <c r="H17" s="3" t="s">
        <v>171</v>
      </c>
      <c r="I17" s="5">
        <v>48</v>
      </c>
      <c r="J17" s="13">
        <f>VLOOKUP(B17,[1]单价!$A$1:$B$152,2,0)</f>
        <v>198</v>
      </c>
      <c r="K17" s="13">
        <f t="shared" si="0"/>
        <v>9504</v>
      </c>
      <c r="L17" s="13">
        <f>VLOOKUP(B17,[1]进价!$A$1:$B$151,2,0)*表1[[#This Row],[销量]]</f>
        <v>7983.36</v>
      </c>
    </row>
    <row r="18" spans="1:12" ht="15" customHeight="1" x14ac:dyDescent="0.15">
      <c r="A18" s="12">
        <v>15</v>
      </c>
      <c r="B18" s="3" t="s">
        <v>95</v>
      </c>
      <c r="C18" s="3" t="str">
        <f>VLOOKUP(B18,品名!$A$1:$C$151,2,0)</f>
        <v>华光</v>
      </c>
      <c r="D18" s="3" t="str">
        <f>VLOOKUP(B18,品名!$A$1:$C$151,3,0)</f>
        <v>HG GY01 双层干衣机</v>
      </c>
      <c r="E18" s="3" t="str">
        <f>VLOOKUP(LEFT(B18,2),Sheet2!$A$1:$B$8,2,0)</f>
        <v>洗衣机</v>
      </c>
      <c r="F18" s="4">
        <v>42838</v>
      </c>
      <c r="G18" s="3" t="s">
        <v>156</v>
      </c>
      <c r="H18" s="3" t="s">
        <v>171</v>
      </c>
      <c r="I18" s="5">
        <v>39</v>
      </c>
      <c r="J18" s="13">
        <f>VLOOKUP(B18,[1]单价!$A$1:$B$152,2,0)</f>
        <v>99</v>
      </c>
      <c r="K18" s="13">
        <f t="shared" si="0"/>
        <v>3861</v>
      </c>
      <c r="L18" s="13">
        <f>VLOOKUP(B18,[1]进价!$A$1:$B$151,2,0)*表1[[#This Row],[销量]]</f>
        <v>3320.46</v>
      </c>
    </row>
    <row r="19" spans="1:12" ht="15" customHeight="1" x14ac:dyDescent="0.15">
      <c r="A19" s="12">
        <v>16</v>
      </c>
      <c r="B19" s="3" t="s">
        <v>102</v>
      </c>
      <c r="C19" s="3" t="str">
        <f>VLOOKUP(B19,品名!$A$1:$C$151,2,0)</f>
        <v>小鸭</v>
      </c>
      <c r="D19" s="3" t="str">
        <f>VLOOKUP(B19,品名!$A$1:$C$151,3,0)</f>
        <v>XPB28-1808S双缸洗衣机</v>
      </c>
      <c r="E19" s="3" t="str">
        <f>VLOOKUP(LEFT(B19,2),Sheet2!$A$1:$B$8,2,0)</f>
        <v>洗衣机</v>
      </c>
      <c r="F19" s="4">
        <v>42850</v>
      </c>
      <c r="G19" s="3" t="s">
        <v>156</v>
      </c>
      <c r="H19" s="3" t="s">
        <v>171</v>
      </c>
      <c r="I19" s="5">
        <v>48</v>
      </c>
      <c r="J19" s="13">
        <f>VLOOKUP(B19,[1]单价!$A$1:$B$152,2,0)</f>
        <v>338</v>
      </c>
      <c r="K19" s="13">
        <f t="shared" si="0"/>
        <v>16224</v>
      </c>
      <c r="L19" s="13">
        <f>VLOOKUP(B19,[1]进价!$A$1:$B$151,2,0)*表1[[#This Row],[销量]]</f>
        <v>13790.400000000001</v>
      </c>
    </row>
    <row r="20" spans="1:12" ht="15" customHeight="1" x14ac:dyDescent="0.15">
      <c r="A20" s="12">
        <v>17</v>
      </c>
      <c r="B20" s="3" t="s">
        <v>110</v>
      </c>
      <c r="C20" s="3" t="str">
        <f>VLOOKUP(B20,品名!$A$1:$C$151,2,0)</f>
        <v>Apple</v>
      </c>
      <c r="D20" s="3" t="str">
        <f>VLOOKUP(B20,品名!$A$1:$C$151,3,0)</f>
        <v>MacBook MJY32CH/A 12英寸笔记本电脑</v>
      </c>
      <c r="E20" s="3" t="str">
        <f>VLOOKUP(LEFT(B20,2),Sheet2!$A$1:$B$8,2,0)</f>
        <v>计算机</v>
      </c>
      <c r="F20" s="4">
        <v>42857</v>
      </c>
      <c r="G20" s="3" t="s">
        <v>156</v>
      </c>
      <c r="H20" s="3" t="s">
        <v>171</v>
      </c>
      <c r="I20" s="5">
        <v>43</v>
      </c>
      <c r="J20" s="13">
        <f>VLOOKUP(B20,[1]单价!$A$1:$B$152,2,0)</f>
        <v>8888</v>
      </c>
      <c r="K20" s="13">
        <f t="shared" si="0"/>
        <v>382184</v>
      </c>
      <c r="L20" s="13">
        <f>VLOOKUP(B20,[1]进价!$A$1:$B$151,2,0)*表1[[#This Row],[销量]]</f>
        <v>328678.24</v>
      </c>
    </row>
    <row r="21" spans="1:12" ht="15" customHeight="1" x14ac:dyDescent="0.15">
      <c r="A21" s="12">
        <v>18</v>
      </c>
      <c r="B21" s="3" t="s">
        <v>118</v>
      </c>
      <c r="C21" s="3" t="str">
        <f>VLOOKUP(B21,品名!$A$1:$C$151,2,0)</f>
        <v>戴尔</v>
      </c>
      <c r="D21" s="3" t="str">
        <f>VLOOKUP(B21,品名!$A$1:$C$151,3,0)</f>
        <v>Dell XPS13R-9343-2508S 13.3英寸超极本</v>
      </c>
      <c r="E21" s="3" t="str">
        <f>VLOOKUP(LEFT(B21,2),Sheet2!$A$1:$B$8,2,0)</f>
        <v>计算机</v>
      </c>
      <c r="F21" s="4">
        <v>42863</v>
      </c>
      <c r="G21" s="3" t="s">
        <v>156</v>
      </c>
      <c r="H21" s="3" t="s">
        <v>171</v>
      </c>
      <c r="I21" s="5">
        <v>13</v>
      </c>
      <c r="J21" s="13">
        <f>VLOOKUP(B21,[1]单价!$A$1:$B$152,2,0)</f>
        <v>7799</v>
      </c>
      <c r="K21" s="13">
        <f t="shared" si="0"/>
        <v>101387</v>
      </c>
      <c r="L21" s="13">
        <f>VLOOKUP(B21,[1]进价!$A$1:$B$151,2,0)*表1[[#This Row],[销量]]</f>
        <v>86178.95</v>
      </c>
    </row>
    <row r="22" spans="1:12" ht="15" customHeight="1" x14ac:dyDescent="0.15">
      <c r="A22" s="12">
        <v>19</v>
      </c>
      <c r="B22" s="3" t="s">
        <v>128</v>
      </c>
      <c r="C22" s="3" t="str">
        <f>VLOOKUP(B22,品名!$A$1:$C$151,2,0)</f>
        <v>戴尔</v>
      </c>
      <c r="D22" s="3" t="str">
        <f>VLOOKUP(B22,品名!$A$1:$C$151,3,0)</f>
        <v>Dell Vostro 3900-R6298 台式电脑 黑色</v>
      </c>
      <c r="E22" s="3" t="str">
        <f>VLOOKUP(LEFT(B22,2),Sheet2!$A$1:$B$8,2,0)</f>
        <v>计算机</v>
      </c>
      <c r="F22" s="4">
        <v>42870</v>
      </c>
      <c r="G22" s="3" t="s">
        <v>156</v>
      </c>
      <c r="H22" s="3" t="s">
        <v>171</v>
      </c>
      <c r="I22" s="5">
        <v>26</v>
      </c>
      <c r="J22" s="13">
        <f>VLOOKUP(B22,[1]单价!$A$1:$B$152,2,0)</f>
        <v>2799</v>
      </c>
      <c r="K22" s="13">
        <f t="shared" si="0"/>
        <v>72774</v>
      </c>
      <c r="L22" s="13">
        <f>VLOOKUP(B22,[1]进价!$A$1:$B$151,2,0)*表1[[#This Row],[销量]]</f>
        <v>64041.119999999995</v>
      </c>
    </row>
    <row r="23" spans="1:12" ht="15" customHeight="1" x14ac:dyDescent="0.15">
      <c r="A23" s="12">
        <v>20</v>
      </c>
      <c r="B23" s="3" t="s">
        <v>136</v>
      </c>
      <c r="C23" s="3" t="str">
        <f>VLOOKUP(B23,品名!$A$1:$C$151,2,0)</f>
        <v>惠普</v>
      </c>
      <c r="D23" s="3" t="str">
        <f>VLOOKUP(B23,品名!$A$1:$C$151,3,0)</f>
        <v>HP Pavilion 251-011cn 台式主机</v>
      </c>
      <c r="E23" s="3" t="str">
        <f>VLOOKUP(LEFT(B23,2),Sheet2!$A$1:$B$8,2,0)</f>
        <v>计算机</v>
      </c>
      <c r="F23" s="4">
        <v>42878</v>
      </c>
      <c r="G23" s="3" t="s">
        <v>156</v>
      </c>
      <c r="H23" s="3" t="s">
        <v>171</v>
      </c>
      <c r="I23" s="5">
        <v>22</v>
      </c>
      <c r="J23" s="13">
        <f>VLOOKUP(B23,[1]单价!$A$1:$B$152,2,0)</f>
        <v>1995</v>
      </c>
      <c r="K23" s="13">
        <f t="shared" si="0"/>
        <v>43890</v>
      </c>
      <c r="L23" s="13">
        <f>VLOOKUP(B23,[1]进价!$A$1:$B$151,2,0)*表1[[#This Row],[销量]]</f>
        <v>35989.800000000003</v>
      </c>
    </row>
    <row r="24" spans="1:12" ht="15" customHeight="1" x14ac:dyDescent="0.15">
      <c r="A24" s="12">
        <v>21</v>
      </c>
      <c r="B24" s="3" t="s">
        <v>144</v>
      </c>
      <c r="C24" s="3" t="str">
        <f>VLOOKUP(B24,品名!$A$1:$C$151,2,0)</f>
        <v>华硕</v>
      </c>
      <c r="D24" s="3" t="str">
        <f>VLOOKUP(B24,品名!$A$1:$C$151,3,0)</f>
        <v>ASUS Nexus 7 from Google Tablet</v>
      </c>
      <c r="E24" s="3" t="str">
        <f>VLOOKUP(LEFT(B24,2),Sheet2!$A$1:$B$8,2,0)</f>
        <v>计算机</v>
      </c>
      <c r="F24" s="4">
        <v>42884</v>
      </c>
      <c r="G24" s="3" t="s">
        <v>156</v>
      </c>
      <c r="H24" s="3" t="s">
        <v>171</v>
      </c>
      <c r="I24" s="5">
        <v>38</v>
      </c>
      <c r="J24" s="13">
        <f>VLOOKUP(B24,[1]单价!$A$1:$B$152,2,0)</f>
        <v>839.71</v>
      </c>
      <c r="K24" s="13">
        <f t="shared" si="0"/>
        <v>31908.980000000003</v>
      </c>
      <c r="L24" s="13">
        <f>VLOOKUP(B24,[1]进价!$A$1:$B$151,2,0)*表1[[#This Row],[销量]]</f>
        <v>25527.26</v>
      </c>
    </row>
    <row r="25" spans="1:12" ht="15" customHeight="1" x14ac:dyDescent="0.15">
      <c r="A25" s="12">
        <v>22</v>
      </c>
      <c r="B25" s="3" t="s">
        <v>151</v>
      </c>
      <c r="C25" s="3" t="str">
        <f>VLOOKUP(B25,品名!$A$1:$C$151,2,0)</f>
        <v>华硕</v>
      </c>
      <c r="D25" s="3" t="str">
        <f>VLOOKUP(B25,品名!$A$1:$C$151,3,0)</f>
        <v>ASUS ME581C 8英寸平板</v>
      </c>
      <c r="E25" s="3" t="str">
        <f>VLOOKUP(LEFT(B25,2),Sheet2!$A$1:$B$8,2,0)</f>
        <v>计算机</v>
      </c>
      <c r="F25" s="4">
        <v>42891</v>
      </c>
      <c r="G25" s="3" t="s">
        <v>156</v>
      </c>
      <c r="H25" s="3" t="s">
        <v>170</v>
      </c>
      <c r="I25" s="5">
        <v>16</v>
      </c>
      <c r="J25" s="13">
        <f>VLOOKUP(B25,[1]单价!$A$1:$B$152,2,0)</f>
        <v>1229</v>
      </c>
      <c r="K25" s="13">
        <f t="shared" si="0"/>
        <v>19664</v>
      </c>
      <c r="L25" s="13">
        <f>VLOOKUP(B25,[1]进价!$A$1:$B$151,2,0)*表1[[#This Row],[销量]]</f>
        <v>16124.48</v>
      </c>
    </row>
    <row r="26" spans="1:12" ht="15" customHeight="1" x14ac:dyDescent="0.15">
      <c r="A26" s="12">
        <v>23</v>
      </c>
      <c r="B26" s="3" t="s">
        <v>8</v>
      </c>
      <c r="C26" s="3" t="str">
        <f>VLOOKUP(B26,品名!$A$1:$C$151,2,0)</f>
        <v>康佳</v>
      </c>
      <c r="D26" s="3" t="str">
        <f>VLOOKUP(B26,品名!$A$1:$C$151,3,0)</f>
        <v>KONKA LED32E320N 液晶电视</v>
      </c>
      <c r="E26" s="3" t="str">
        <f>VLOOKUP(LEFT(B26,2),Sheet2!$A$1:$B$8,2,0)</f>
        <v>电视</v>
      </c>
      <c r="F26" s="4">
        <v>42900</v>
      </c>
      <c r="G26" s="3" t="s">
        <v>156</v>
      </c>
      <c r="H26" s="3" t="s">
        <v>170</v>
      </c>
      <c r="I26" s="5">
        <v>15</v>
      </c>
      <c r="J26" s="13">
        <f>VLOOKUP(B26,[1]单价!$A$1:$B$152,2,0)</f>
        <v>1798</v>
      </c>
      <c r="K26" s="13">
        <f t="shared" si="0"/>
        <v>26970</v>
      </c>
      <c r="L26" s="13">
        <f>VLOOKUP(B26,[1]进价!$A$1:$B$151,2,0)*表1[[#This Row],[销量]]</f>
        <v>22654.799999999999</v>
      </c>
    </row>
    <row r="27" spans="1:12" ht="15" customHeight="1" x14ac:dyDescent="0.15">
      <c r="A27" s="12">
        <v>24</v>
      </c>
      <c r="B27" s="3" t="s">
        <v>17</v>
      </c>
      <c r="C27" s="3" t="str">
        <f>VLOOKUP(B27,品名!$A$1:$C$151,2,0)</f>
        <v>康佳</v>
      </c>
      <c r="D27" s="3" t="str">
        <f>VLOOKUP(B27,品名!$A$1:$C$151,3,0)</f>
        <v>KONKA LED32E220CE平板电视</v>
      </c>
      <c r="E27" s="3" t="str">
        <f>VLOOKUP(LEFT(B27,2),Sheet2!$A$1:$B$8,2,0)</f>
        <v>电视</v>
      </c>
      <c r="F27" s="4">
        <v>42905</v>
      </c>
      <c r="G27" s="3" t="s">
        <v>156</v>
      </c>
      <c r="H27" s="3" t="s">
        <v>170</v>
      </c>
      <c r="I27" s="5">
        <v>37</v>
      </c>
      <c r="J27" s="13">
        <f>VLOOKUP(B27,[1]单价!$A$1:$B$152,2,0)</f>
        <v>1899</v>
      </c>
      <c r="K27" s="13">
        <f t="shared" si="0"/>
        <v>70263</v>
      </c>
      <c r="L27" s="13">
        <f>VLOOKUP(B27,[1]进价!$A$1:$B$151,2,0)*表1[[#This Row],[销量]]</f>
        <v>61831.439999999995</v>
      </c>
    </row>
    <row r="28" spans="1:12" ht="15" customHeight="1" x14ac:dyDescent="0.15">
      <c r="A28" s="12">
        <v>25</v>
      </c>
      <c r="B28" s="3" t="s">
        <v>25</v>
      </c>
      <c r="C28" s="3" t="str">
        <f>VLOOKUP(B28,品名!$A$1:$C$151,2,0)</f>
        <v>TCL</v>
      </c>
      <c r="D28" s="3" t="str">
        <f>VLOOKUP(B28,品名!$A$1:$C$151,3,0)</f>
        <v>KFRd-52LW/DR22空调</v>
      </c>
      <c r="E28" s="3" t="str">
        <f>VLOOKUP(LEFT(B28,2),Sheet2!$A$1:$B$8,2,0)</f>
        <v>空调</v>
      </c>
      <c r="F28" s="4">
        <v>42911</v>
      </c>
      <c r="G28" s="3" t="s">
        <v>156</v>
      </c>
      <c r="H28" s="3" t="s">
        <v>171</v>
      </c>
      <c r="I28" s="5">
        <v>42</v>
      </c>
      <c r="J28" s="13">
        <f>VLOOKUP(B28,[1]单价!$A$1:$B$152,2,0)</f>
        <v>3629</v>
      </c>
      <c r="K28" s="13">
        <f t="shared" si="0"/>
        <v>152418</v>
      </c>
      <c r="L28" s="13">
        <f>VLOOKUP(B28,[1]进价!$A$1:$B$151,2,0)*表1[[#This Row],[销量]]</f>
        <v>137176.19999999998</v>
      </c>
    </row>
    <row r="29" spans="1:12" ht="15" customHeight="1" x14ac:dyDescent="0.15">
      <c r="A29" s="12">
        <v>26</v>
      </c>
      <c r="B29" s="3" t="s">
        <v>33</v>
      </c>
      <c r="C29" s="3" t="str">
        <f>VLOOKUP(B29,品名!$A$1:$C$151,2,0)</f>
        <v>奥克斯</v>
      </c>
      <c r="D29" s="3" t="str">
        <f>VLOOKUP(B29,品名!$A$1:$C$151,3,0)</f>
        <v>KFR-51LW/M-1空调</v>
      </c>
      <c r="E29" s="3" t="str">
        <f>VLOOKUP(LEFT(B29,2),Sheet2!$A$1:$B$8,2,0)</f>
        <v>空调</v>
      </c>
      <c r="F29" s="4">
        <v>42738</v>
      </c>
      <c r="G29" s="3" t="s">
        <v>156</v>
      </c>
      <c r="H29" s="3" t="s">
        <v>170</v>
      </c>
      <c r="I29" s="5">
        <v>29</v>
      </c>
      <c r="J29" s="13">
        <f>VLOOKUP(B29,[1]单价!$A$1:$B$152,2,0)</f>
        <v>3799</v>
      </c>
      <c r="K29" s="13">
        <f t="shared" si="0"/>
        <v>110171</v>
      </c>
      <c r="L29" s="13">
        <f>VLOOKUP(B29,[1]进价!$A$1:$B$151,2,0)*表1[[#This Row],[销量]]</f>
        <v>98052.19</v>
      </c>
    </row>
    <row r="30" spans="1:12" ht="15" customHeight="1" x14ac:dyDescent="0.15">
      <c r="A30" s="12">
        <v>27</v>
      </c>
      <c r="B30" s="3" t="s">
        <v>41</v>
      </c>
      <c r="C30" s="3" t="str">
        <f>VLOOKUP(B30,品名!$A$1:$C$151,2,0)</f>
        <v>长虹</v>
      </c>
      <c r="D30" s="3" t="str">
        <f>VLOOKUP(B30,品名!$A$1:$C$151,3,0)</f>
        <v>ChangHong KFR-23GW/DHT1(W1-G)+T空调</v>
      </c>
      <c r="E30" s="3" t="str">
        <f>VLOOKUP(LEFT(B30,2),Sheet2!$A$1:$B$8,2,0)</f>
        <v>空调</v>
      </c>
      <c r="F30" s="4">
        <v>42745</v>
      </c>
      <c r="G30" s="3" t="s">
        <v>156</v>
      </c>
      <c r="H30" s="3" t="s">
        <v>170</v>
      </c>
      <c r="I30" s="5">
        <v>23</v>
      </c>
      <c r="J30" s="13">
        <f>VLOOKUP(B30,[1]单价!$A$1:$B$152,2,0)</f>
        <v>1930</v>
      </c>
      <c r="K30" s="13">
        <f t="shared" si="0"/>
        <v>44390</v>
      </c>
      <c r="L30" s="13">
        <f>VLOOKUP(B30,[1]进价!$A$1:$B$151,2,0)*表1[[#This Row],[销量]]</f>
        <v>38175.4</v>
      </c>
    </row>
    <row r="31" spans="1:12" ht="15" customHeight="1" x14ac:dyDescent="0.15">
      <c r="A31" s="12">
        <v>28</v>
      </c>
      <c r="B31" s="3" t="s">
        <v>52</v>
      </c>
      <c r="C31" s="3" t="str">
        <f>VLOOKUP(B31,品名!$A$1:$C$151,2,0)</f>
        <v>海尔</v>
      </c>
      <c r="D31" s="3" t="str">
        <f>VLOOKUP(B31,品名!$A$1:$C$151,3,0)</f>
        <v>Haier ES6.6U(W)上出水小厨宝</v>
      </c>
      <c r="E31" s="3" t="str">
        <f>VLOOKUP(LEFT(B31,2),Sheet2!$A$1:$B$8,2,0)</f>
        <v>热水器</v>
      </c>
      <c r="F31" s="4">
        <v>42747</v>
      </c>
      <c r="G31" s="3" t="s">
        <v>156</v>
      </c>
      <c r="H31" s="3" t="s">
        <v>170</v>
      </c>
      <c r="I31" s="5">
        <v>26</v>
      </c>
      <c r="J31" s="13">
        <f>VLOOKUP(B31,[1]单价!$A$1:$B$152,2,0)</f>
        <v>498</v>
      </c>
      <c r="K31" s="13">
        <f t="shared" si="0"/>
        <v>12948</v>
      </c>
      <c r="L31" s="13">
        <f>VLOOKUP(B31,[1]进价!$A$1:$B$151,2,0)*表1[[#This Row],[销量]]</f>
        <v>10487.88</v>
      </c>
    </row>
    <row r="32" spans="1:12" ht="15" customHeight="1" x14ac:dyDescent="0.15">
      <c r="A32" s="12">
        <v>29</v>
      </c>
      <c r="B32" s="3" t="s">
        <v>69</v>
      </c>
      <c r="C32" s="3" t="str">
        <f>VLOOKUP(B32,品名!$A$1:$C$151,2,0)</f>
        <v>奥马</v>
      </c>
      <c r="D32" s="3" t="str">
        <f>VLOOKUP(B32,品名!$A$1:$C$151,3,0)</f>
        <v>BCD-176A7冰箱</v>
      </c>
      <c r="E32" s="3" t="str">
        <f>VLOOKUP(LEFT(B32,2),Sheet2!$A$1:$B$8,2,0)</f>
        <v>冰箱</v>
      </c>
      <c r="F32" s="4">
        <v>42902</v>
      </c>
      <c r="G32" s="3" t="s">
        <v>156</v>
      </c>
      <c r="H32" s="3" t="s">
        <v>171</v>
      </c>
      <c r="I32" s="5">
        <v>13</v>
      </c>
      <c r="J32" s="13">
        <f>VLOOKUP(B32,[1]单价!$A$1:$B$152,2,0)</f>
        <v>1098</v>
      </c>
      <c r="K32" s="13">
        <f t="shared" si="0"/>
        <v>14274</v>
      </c>
      <c r="L32" s="13">
        <f>VLOOKUP(B32,[1]进价!$A$1:$B$151,2,0)*表1[[#This Row],[销量]]</f>
        <v>12846.6</v>
      </c>
    </row>
    <row r="33" spans="1:12" ht="15" customHeight="1" x14ac:dyDescent="0.15">
      <c r="A33" s="12">
        <v>30</v>
      </c>
      <c r="B33" s="3" t="s">
        <v>60</v>
      </c>
      <c r="C33" s="3" t="str">
        <f>VLOOKUP(B33,品名!$A$1:$C$151,2,0)</f>
        <v>能率</v>
      </c>
      <c r="D33" s="3" t="str">
        <f>VLOOKUP(B33,品名!$A$1:$C$151,3,0)</f>
        <v>NORITZ GQ-1150FE 11升燃气热水器</v>
      </c>
      <c r="E33" s="3" t="str">
        <f>VLOOKUP(LEFT(B33,2),Sheet2!$A$1:$B$8,2,0)</f>
        <v>热水器</v>
      </c>
      <c r="F33" s="4">
        <v>42755</v>
      </c>
      <c r="G33" s="3" t="s">
        <v>156</v>
      </c>
      <c r="H33" s="3" t="s">
        <v>170</v>
      </c>
      <c r="I33" s="5">
        <v>40</v>
      </c>
      <c r="J33" s="13">
        <f>VLOOKUP(B33,[1]单价!$A$1:$B$152,2,0)</f>
        <v>2298</v>
      </c>
      <c r="K33" s="13">
        <f t="shared" si="0"/>
        <v>91920</v>
      </c>
      <c r="L33" s="13">
        <f>VLOOKUP(B33,[1]进价!$A$1:$B$151,2,0)*表1[[#This Row],[销量]]</f>
        <v>74455.200000000012</v>
      </c>
    </row>
    <row r="34" spans="1:12" ht="15" customHeight="1" x14ac:dyDescent="0.15">
      <c r="A34" s="12">
        <v>31</v>
      </c>
      <c r="B34" s="3" t="s">
        <v>77</v>
      </c>
      <c r="C34" s="3" t="str">
        <f>VLOOKUP(B34,品名!$A$1:$C$151,2,0)</f>
        <v>美的</v>
      </c>
      <c r="D34" s="3" t="str">
        <f>VLOOKUP(B34,品名!$A$1:$C$151,3,0)</f>
        <v>Midea BCD-206TM(E)冰箱</v>
      </c>
      <c r="E34" s="3" t="str">
        <f>VLOOKUP(LEFT(B34,2),Sheet2!$A$1:$B$8,2,0)</f>
        <v>冰箱</v>
      </c>
      <c r="F34" s="4">
        <v>42760</v>
      </c>
      <c r="G34" s="3" t="s">
        <v>156</v>
      </c>
      <c r="H34" s="3" t="s">
        <v>170</v>
      </c>
      <c r="I34" s="5">
        <v>7</v>
      </c>
      <c r="J34" s="13">
        <f>VLOOKUP(B34,[1]单价!$A$1:$B$152,2,0)</f>
        <v>1699</v>
      </c>
      <c r="K34" s="13">
        <f t="shared" si="0"/>
        <v>11893</v>
      </c>
      <c r="L34" s="13">
        <f>VLOOKUP(B34,[1]进价!$A$1:$B$151,2,0)*表1[[#This Row],[销量]]</f>
        <v>9990.1200000000008</v>
      </c>
    </row>
    <row r="35" spans="1:12" ht="15" customHeight="1" x14ac:dyDescent="0.15">
      <c r="A35" s="12">
        <v>32</v>
      </c>
      <c r="B35" s="3" t="s">
        <v>91</v>
      </c>
      <c r="C35" s="3" t="str">
        <f>VLOOKUP(B35,品名!$A$1:$C$151,2,0)</f>
        <v>格力</v>
      </c>
      <c r="D35" s="3" t="str">
        <f>VLOOKUP(B35,品名!$A$1:$C$151,3,0)</f>
        <v>GREE GSP20 烘干机滚筒干衣机</v>
      </c>
      <c r="E35" s="3" t="str">
        <f>VLOOKUP(LEFT(B35,2),Sheet2!$A$1:$B$8,2,0)</f>
        <v>洗衣机</v>
      </c>
      <c r="F35" s="4">
        <v>42762</v>
      </c>
      <c r="G35" s="3" t="s">
        <v>156</v>
      </c>
      <c r="H35" s="3" t="s">
        <v>171</v>
      </c>
      <c r="I35" s="5">
        <v>61</v>
      </c>
      <c r="J35" s="13">
        <f>VLOOKUP(B35,[1]单价!$A$1:$B$152,2,0)</f>
        <v>799</v>
      </c>
      <c r="K35" s="13">
        <f t="shared" si="0"/>
        <v>48739</v>
      </c>
      <c r="L35" s="13">
        <f>VLOOKUP(B35,[1]进价!$A$1:$B$151,2,0)*表1[[#This Row],[销量]]</f>
        <v>42890.32</v>
      </c>
    </row>
    <row r="36" spans="1:12" ht="15" customHeight="1" x14ac:dyDescent="0.15">
      <c r="A36" s="12">
        <v>33</v>
      </c>
      <c r="B36" s="3" t="s">
        <v>45</v>
      </c>
      <c r="C36" s="3" t="str">
        <f>VLOOKUP(B36,品名!$A$1:$C$151,2,0)</f>
        <v>AO史密斯</v>
      </c>
      <c r="D36" s="3" t="str">
        <f>VLOOKUP(B36,品名!$A$1:$C$151,3,0)</f>
        <v>A.O.Smith ET300J-60 电热水器</v>
      </c>
      <c r="E36" s="3" t="str">
        <f>VLOOKUP(LEFT(B36,2),Sheet2!$A$1:$B$8,2,0)</f>
        <v>热水器</v>
      </c>
      <c r="F36" s="4">
        <v>42766</v>
      </c>
      <c r="G36" s="3" t="s">
        <v>156</v>
      </c>
      <c r="H36" s="3" t="s">
        <v>170</v>
      </c>
      <c r="I36" s="5">
        <v>25</v>
      </c>
      <c r="J36" s="13">
        <f>VLOOKUP(B36,[1]单价!$A$1:$B$152,2,0)</f>
        <v>2268</v>
      </c>
      <c r="K36" s="13">
        <f t="shared" si="0"/>
        <v>56700</v>
      </c>
      <c r="L36" s="13">
        <f>VLOOKUP(B36,[1]进价!$A$1:$B$151,2,0)*表1[[#This Row],[销量]]</f>
        <v>46494</v>
      </c>
    </row>
    <row r="37" spans="1:12" ht="15" customHeight="1" x14ac:dyDescent="0.15">
      <c r="A37" s="12">
        <v>34</v>
      </c>
      <c r="B37" s="3" t="s">
        <v>101</v>
      </c>
      <c r="C37" s="3" t="str">
        <f>VLOOKUP(B37,品名!$A$1:$C$151,2,0)</f>
        <v>西格玛</v>
      </c>
      <c r="D37" s="3" t="str">
        <f>VLOOKUP(B37,品名!$A$1:$C$151,3,0)</f>
        <v>sigma 家用除菌全自动滚筒干衣机</v>
      </c>
      <c r="E37" s="3" t="str">
        <f>VLOOKUP(LEFT(B37,2),Sheet2!$A$1:$B$8,2,0)</f>
        <v>洗衣机</v>
      </c>
      <c r="F37" s="4">
        <v>42769</v>
      </c>
      <c r="G37" s="3" t="s">
        <v>156</v>
      </c>
      <c r="H37" s="3" t="s">
        <v>171</v>
      </c>
      <c r="I37" s="5">
        <v>35</v>
      </c>
      <c r="J37" s="13">
        <f>VLOOKUP(B37,[1]单价!$A$1:$B$152,2,0)</f>
        <v>1489</v>
      </c>
      <c r="K37" s="13">
        <f t="shared" si="0"/>
        <v>52115</v>
      </c>
      <c r="L37" s="13">
        <f>VLOOKUP(B37,[1]进价!$A$1:$B$151,2,0)*表1[[#This Row],[销量]]</f>
        <v>45340.05</v>
      </c>
    </row>
    <row r="38" spans="1:12" ht="15" customHeight="1" x14ac:dyDescent="0.15">
      <c r="A38" s="12">
        <v>35</v>
      </c>
      <c r="B38" s="3" t="s">
        <v>52</v>
      </c>
      <c r="C38" s="3" t="str">
        <f>VLOOKUP(B38,品名!$A$1:$C$151,2,0)</f>
        <v>海尔</v>
      </c>
      <c r="D38" s="3" t="str">
        <f>VLOOKUP(B38,品名!$A$1:$C$151,3,0)</f>
        <v>Haier ES6.6U(W)上出水小厨宝</v>
      </c>
      <c r="E38" s="3" t="str">
        <f>VLOOKUP(LEFT(B38,2),Sheet2!$A$1:$B$8,2,0)</f>
        <v>热水器</v>
      </c>
      <c r="F38" s="4">
        <v>42774</v>
      </c>
      <c r="G38" s="3" t="s">
        <v>156</v>
      </c>
      <c r="H38" s="3" t="s">
        <v>170</v>
      </c>
      <c r="I38" s="5">
        <v>7</v>
      </c>
      <c r="J38" s="13">
        <f>VLOOKUP(B38,[1]单价!$A$1:$B$152,2,0)</f>
        <v>498</v>
      </c>
      <c r="K38" s="13">
        <f t="shared" si="0"/>
        <v>3486</v>
      </c>
      <c r="L38" s="13">
        <f>VLOOKUP(B38,[1]进价!$A$1:$B$151,2,0)*表1[[#This Row],[销量]]</f>
        <v>2823.66</v>
      </c>
    </row>
    <row r="39" spans="1:12" ht="15" customHeight="1" x14ac:dyDescent="0.15">
      <c r="A39" s="12">
        <v>36</v>
      </c>
      <c r="B39" s="3" t="s">
        <v>59</v>
      </c>
      <c r="C39" s="3" t="str">
        <f>VLOOKUP(B39,品名!$A$1:$C$151,2,0)</f>
        <v>美的</v>
      </c>
      <c r="D39" s="3" t="str">
        <f>VLOOKUP(B39,品名!$A$1:$C$151,3,0)</f>
        <v>Midea JSQ22-12HWB 12升 燃气热水器</v>
      </c>
      <c r="E39" s="3" t="str">
        <f>VLOOKUP(LEFT(B39,2),Sheet2!$A$1:$B$8,2,0)</f>
        <v>热水器</v>
      </c>
      <c r="F39" s="4">
        <v>42782</v>
      </c>
      <c r="G39" s="3" t="s">
        <v>156</v>
      </c>
      <c r="H39" s="3" t="s">
        <v>170</v>
      </c>
      <c r="I39" s="5">
        <v>15</v>
      </c>
      <c r="J39" s="13">
        <f>VLOOKUP(B39,[1]单价!$A$1:$B$152,2,0)</f>
        <v>1499</v>
      </c>
      <c r="K39" s="13">
        <f t="shared" si="0"/>
        <v>22485</v>
      </c>
      <c r="L39" s="13">
        <f>VLOOKUP(B39,[1]进价!$A$1:$B$151,2,0)*表1[[#This Row],[销量]]</f>
        <v>18212.850000000002</v>
      </c>
    </row>
    <row r="40" spans="1:12" ht="15" customHeight="1" x14ac:dyDescent="0.15">
      <c r="A40" s="12">
        <v>37</v>
      </c>
      <c r="B40" s="3" t="s">
        <v>86</v>
      </c>
      <c r="C40" s="3" t="str">
        <f>VLOOKUP(B40,品名!$A$1:$C$151,2,0)</f>
        <v>艾美特</v>
      </c>
      <c r="D40" s="3" t="str">
        <f>VLOOKUP(B40,品名!$A$1:$C$151,3,0)</f>
        <v>Airmate HGY905P双层干衣机</v>
      </c>
      <c r="E40" s="3" t="str">
        <f>VLOOKUP(LEFT(B40,2),Sheet2!$A$1:$B$8,2,0)</f>
        <v>洗衣机</v>
      </c>
      <c r="F40" s="4">
        <v>42790</v>
      </c>
      <c r="G40" s="3" t="s">
        <v>156</v>
      </c>
      <c r="H40" s="3" t="s">
        <v>171</v>
      </c>
      <c r="I40" s="5">
        <v>36</v>
      </c>
      <c r="J40" s="13">
        <f>VLOOKUP(B40,[1]单价!$A$1:$B$152,2,0)</f>
        <v>239</v>
      </c>
      <c r="K40" s="13">
        <f t="shared" si="0"/>
        <v>8604</v>
      </c>
      <c r="L40" s="13">
        <f>VLOOKUP(B40,[1]进价!$A$1:$B$151,2,0)*表1[[#This Row],[销量]]</f>
        <v>7485.4800000000005</v>
      </c>
    </row>
    <row r="41" spans="1:12" ht="15" customHeight="1" x14ac:dyDescent="0.15">
      <c r="A41" s="12">
        <v>38</v>
      </c>
      <c r="B41" s="3" t="s">
        <v>93</v>
      </c>
      <c r="C41" s="3" t="str">
        <f>VLOOKUP(B41,品名!$A$1:$C$151,2,0)</f>
        <v>海尔</v>
      </c>
      <c r="D41" s="3" t="str">
        <f>VLOOKUP(B41,品名!$A$1:$C$151,3,0)</f>
        <v>Haier XQB50-M918洗衣机</v>
      </c>
      <c r="E41" s="3" t="str">
        <f>VLOOKUP(LEFT(B41,2),Sheet2!$A$1:$B$8,2,0)</f>
        <v>洗衣机</v>
      </c>
      <c r="F41" s="4">
        <v>42797</v>
      </c>
      <c r="G41" s="3" t="s">
        <v>156</v>
      </c>
      <c r="H41" s="3" t="s">
        <v>171</v>
      </c>
      <c r="I41" s="5">
        <v>36</v>
      </c>
      <c r="J41" s="13">
        <f>VLOOKUP(B41,[1]单价!$A$1:$B$152,2,0)</f>
        <v>978</v>
      </c>
      <c r="K41" s="13">
        <f t="shared" si="0"/>
        <v>35208</v>
      </c>
      <c r="L41" s="13">
        <f>VLOOKUP(B41,[1]进价!$A$1:$B$151,2,0)*表1[[#This Row],[销量]]</f>
        <v>28870.560000000001</v>
      </c>
    </row>
    <row r="42" spans="1:12" ht="15" customHeight="1" x14ac:dyDescent="0.15">
      <c r="A42" s="12">
        <v>39</v>
      </c>
      <c r="B42" s="3" t="s">
        <v>100</v>
      </c>
      <c r="C42" s="3" t="str">
        <f>VLOOKUP(B42,品名!$A$1:$C$151,2,0)</f>
        <v>天骏小天使</v>
      </c>
      <c r="D42" s="3" t="str">
        <f>VLOOKUP(B42,品名!$A$1:$C$151,3,0)</f>
        <v>TIJUMP 家用干衣机</v>
      </c>
      <c r="E42" s="3" t="str">
        <f>VLOOKUP(LEFT(B42,2),Sheet2!$A$1:$B$8,2,0)</f>
        <v>洗衣机</v>
      </c>
      <c r="F42" s="4">
        <v>42802</v>
      </c>
      <c r="G42" s="3" t="s">
        <v>156</v>
      </c>
      <c r="H42" s="3" t="s">
        <v>171</v>
      </c>
      <c r="I42" s="5">
        <v>48</v>
      </c>
      <c r="J42" s="13">
        <f>VLOOKUP(B42,[1]单价!$A$1:$B$152,2,0)</f>
        <v>199</v>
      </c>
      <c r="K42" s="13">
        <f t="shared" si="0"/>
        <v>9552</v>
      </c>
      <c r="L42" s="13">
        <f>VLOOKUP(B42,[1]进价!$A$1:$B$151,2,0)*表1[[#This Row],[销量]]</f>
        <v>8405.76</v>
      </c>
    </row>
    <row r="43" spans="1:12" ht="15" customHeight="1" x14ac:dyDescent="0.15">
      <c r="A43" s="12">
        <v>40</v>
      </c>
      <c r="B43" s="3" t="s">
        <v>107</v>
      </c>
      <c r="C43" s="3" t="str">
        <f>VLOOKUP(B43,品名!$A$1:$C$151,2,0)</f>
        <v>Apple</v>
      </c>
      <c r="D43" s="3" t="str">
        <f>VLOOKUP(B43,品名!$A$1:$C$151,3,0)</f>
        <v>MacBook Pro MF840CH/A 13.3英寸笔记本电脑</v>
      </c>
      <c r="E43" s="3" t="str">
        <f>VLOOKUP(LEFT(B43,2),Sheet2!$A$1:$B$8,2,0)</f>
        <v>计算机</v>
      </c>
      <c r="F43" s="4">
        <v>42809</v>
      </c>
      <c r="G43" s="3" t="s">
        <v>156</v>
      </c>
      <c r="H43" s="3" t="s">
        <v>171</v>
      </c>
      <c r="I43" s="5">
        <v>21</v>
      </c>
      <c r="J43" s="13">
        <f>VLOOKUP(B43,[1]单价!$A$1:$B$152,2,0)</f>
        <v>10188</v>
      </c>
      <c r="K43" s="13">
        <f t="shared" si="0"/>
        <v>213948</v>
      </c>
      <c r="L43" s="13">
        <f>VLOOKUP(B43,[1]进价!$A$1:$B$151,2,0)*表1[[#This Row],[销量]]</f>
        <v>188274.24000000002</v>
      </c>
    </row>
    <row r="44" spans="1:12" ht="15" customHeight="1" x14ac:dyDescent="0.15">
      <c r="A44" s="12">
        <v>41</v>
      </c>
      <c r="B44" s="3" t="s">
        <v>114</v>
      </c>
      <c r="C44" s="3" t="str">
        <f>VLOOKUP(B44,品名!$A$1:$C$151,2,0)</f>
        <v>华硕</v>
      </c>
      <c r="D44" s="3" t="str">
        <f>VLOOKUP(B44,品名!$A$1:$C$151,3,0)</f>
        <v>ASUS Zenbook UX305LA 13.3英寸超薄笔记本电脑</v>
      </c>
      <c r="E44" s="3" t="str">
        <f>VLOOKUP(LEFT(B44,2),Sheet2!$A$1:$B$8,2,0)</f>
        <v>计算机</v>
      </c>
      <c r="F44" s="4">
        <v>42818</v>
      </c>
      <c r="G44" s="3" t="s">
        <v>156</v>
      </c>
      <c r="H44" s="3" t="s">
        <v>170</v>
      </c>
      <c r="I44" s="5">
        <v>47</v>
      </c>
      <c r="J44" s="13">
        <f>VLOOKUP(B44,[1]单价!$A$1:$B$152,2,0)</f>
        <v>4875.66</v>
      </c>
      <c r="K44" s="13">
        <f t="shared" si="0"/>
        <v>229156.02</v>
      </c>
      <c r="L44" s="13">
        <f>VLOOKUP(B44,[1]进价!$A$1:$B$151,2,0)*表1[[#This Row],[销量]]</f>
        <v>203948.98</v>
      </c>
    </row>
    <row r="45" spans="1:12" ht="15" customHeight="1" x14ac:dyDescent="0.15">
      <c r="A45" s="12">
        <v>42</v>
      </c>
      <c r="B45" s="3" t="s">
        <v>121</v>
      </c>
      <c r="C45" s="3" t="str">
        <f>VLOOKUP(B45,品名!$A$1:$C$151,2,0)</f>
        <v>联想</v>
      </c>
      <c r="D45" s="3" t="str">
        <f>VLOOKUP(B45,品名!$A$1:$C$151,3,0)</f>
        <v>ThinkPad E450C-20EHA00ACD 14英寸笔记本电脑</v>
      </c>
      <c r="E45" s="3" t="str">
        <f>VLOOKUP(LEFT(B45,2),Sheet2!$A$1:$B$8,2,0)</f>
        <v>计算机</v>
      </c>
      <c r="F45" s="4">
        <v>42823</v>
      </c>
      <c r="G45" s="3" t="s">
        <v>156</v>
      </c>
      <c r="H45" s="3" t="s">
        <v>171</v>
      </c>
      <c r="I45" s="5">
        <v>4</v>
      </c>
      <c r="J45" s="13">
        <f>VLOOKUP(B45,[1]单价!$A$1:$B$152,2,0)</f>
        <v>2999</v>
      </c>
      <c r="K45" s="13">
        <f t="shared" si="0"/>
        <v>11996</v>
      </c>
      <c r="L45" s="13">
        <f>VLOOKUP(B45,[1]进价!$A$1:$B$151,2,0)*表1[[#This Row],[销量]]</f>
        <v>10676.44</v>
      </c>
    </row>
    <row r="46" spans="1:12" ht="15" customHeight="1" x14ac:dyDescent="0.15">
      <c r="A46" s="12">
        <v>43</v>
      </c>
      <c r="B46" s="3" t="s">
        <v>128</v>
      </c>
      <c r="C46" s="3" t="str">
        <f>VLOOKUP(B46,品名!$A$1:$C$151,2,0)</f>
        <v>戴尔</v>
      </c>
      <c r="D46" s="3" t="str">
        <f>VLOOKUP(B46,品名!$A$1:$C$151,3,0)</f>
        <v>Dell Vostro 3900-R6298 台式电脑 黑色</v>
      </c>
      <c r="E46" s="3" t="str">
        <f>VLOOKUP(LEFT(B46,2),Sheet2!$A$1:$B$8,2,0)</f>
        <v>计算机</v>
      </c>
      <c r="F46" s="4">
        <v>42835</v>
      </c>
      <c r="G46" s="3" t="s">
        <v>156</v>
      </c>
      <c r="H46" s="3" t="s">
        <v>170</v>
      </c>
      <c r="I46" s="5">
        <v>28</v>
      </c>
      <c r="J46" s="13">
        <f>VLOOKUP(B46,[1]单价!$A$1:$B$152,2,0)</f>
        <v>2799</v>
      </c>
      <c r="K46" s="13">
        <f t="shared" si="0"/>
        <v>78372</v>
      </c>
      <c r="L46" s="13">
        <f>VLOOKUP(B46,[1]进价!$A$1:$B$151,2,0)*表1[[#This Row],[销量]]</f>
        <v>68967.360000000001</v>
      </c>
    </row>
    <row r="47" spans="1:12" ht="15" customHeight="1" x14ac:dyDescent="0.15">
      <c r="A47" s="12">
        <v>44</v>
      </c>
      <c r="B47" s="3" t="s">
        <v>135</v>
      </c>
      <c r="C47" s="3" t="str">
        <f>VLOOKUP(B47,品名!$A$1:$C$151,2,0)</f>
        <v>联想</v>
      </c>
      <c r="D47" s="3" t="str">
        <f>VLOOKUP(B47,品名!$A$1:$C$151,3,0)</f>
        <v>lenovo M2620N 处理器j1820台式主机</v>
      </c>
      <c r="E47" s="3" t="str">
        <f>VLOOKUP(LEFT(B47,2),Sheet2!$A$1:$B$8,2,0)</f>
        <v>计算机</v>
      </c>
      <c r="F47" s="4">
        <v>42842</v>
      </c>
      <c r="G47" s="3" t="s">
        <v>156</v>
      </c>
      <c r="H47" s="3" t="s">
        <v>171</v>
      </c>
      <c r="I47" s="5">
        <v>10</v>
      </c>
      <c r="J47" s="13">
        <f>VLOOKUP(B47,[1]单价!$A$1:$B$152,2,0)</f>
        <v>2080</v>
      </c>
      <c r="K47" s="13">
        <f t="shared" si="0"/>
        <v>20800</v>
      </c>
      <c r="L47" s="13">
        <f>VLOOKUP(B47,[1]进价!$A$1:$B$151,2,0)*表1[[#This Row],[销量]]</f>
        <v>17056</v>
      </c>
    </row>
    <row r="48" spans="1:12" ht="15" customHeight="1" x14ac:dyDescent="0.15">
      <c r="A48" s="12">
        <v>45</v>
      </c>
      <c r="B48" s="3" t="s">
        <v>142</v>
      </c>
      <c r="C48" s="3" t="str">
        <f>VLOOKUP(B48,品名!$A$1:$C$151,2,0)</f>
        <v>Apple</v>
      </c>
      <c r="D48" s="3" t="str">
        <f>VLOOKUP(B48,品名!$A$1:$C$151,3,0)</f>
        <v>iPad mini 2 ME277CH/A 7.9英寸平板电脑</v>
      </c>
      <c r="E48" s="3" t="str">
        <f>VLOOKUP(LEFT(B48,2),Sheet2!$A$1:$B$8,2,0)</f>
        <v>计算机</v>
      </c>
      <c r="F48" s="4">
        <v>42849</v>
      </c>
      <c r="G48" s="3" t="s">
        <v>156</v>
      </c>
      <c r="H48" s="3" t="s">
        <v>171</v>
      </c>
      <c r="I48" s="5">
        <v>42</v>
      </c>
      <c r="J48" s="13">
        <f>VLOOKUP(B48,[1]单价!$A$1:$B$152,2,0)</f>
        <v>2338</v>
      </c>
      <c r="K48" s="13">
        <f t="shared" si="0"/>
        <v>98196</v>
      </c>
      <c r="L48" s="13">
        <f>VLOOKUP(B48,[1]进价!$A$1:$B$151,2,0)*表1[[#This Row],[销量]]</f>
        <v>80520.72</v>
      </c>
    </row>
    <row r="49" spans="1:12" ht="15" customHeight="1" x14ac:dyDescent="0.15">
      <c r="A49" s="12">
        <v>46</v>
      </c>
      <c r="B49" s="3" t="s">
        <v>149</v>
      </c>
      <c r="C49" s="3" t="str">
        <f>VLOOKUP(B49,品名!$A$1:$C$151,2,0)</f>
        <v>三星</v>
      </c>
      <c r="D49" s="3" t="str">
        <f>VLOOKUP(B49,品名!$A$1:$C$151,3,0)</f>
        <v>SAMSUNG Galaxy TAB3 P5200 10.1英寸智能平板电脑</v>
      </c>
      <c r="E49" s="3" t="str">
        <f>VLOOKUP(LEFT(B49,2),Sheet2!$A$1:$B$8,2,0)</f>
        <v>计算机</v>
      </c>
      <c r="F49" s="4">
        <v>42856</v>
      </c>
      <c r="G49" s="3" t="s">
        <v>156</v>
      </c>
      <c r="H49" s="3" t="s">
        <v>171</v>
      </c>
      <c r="I49" s="5">
        <v>13</v>
      </c>
      <c r="J49" s="13">
        <f>VLOOKUP(B49,[1]单价!$A$1:$B$152,2,0)</f>
        <v>1810</v>
      </c>
      <c r="K49" s="13">
        <f t="shared" si="0"/>
        <v>23530</v>
      </c>
      <c r="L49" s="13">
        <f>VLOOKUP(B49,[1]进价!$A$1:$B$151,2,0)*表1[[#This Row],[销量]]</f>
        <v>20471.100000000002</v>
      </c>
    </row>
    <row r="50" spans="1:12" ht="15" customHeight="1" x14ac:dyDescent="0.15">
      <c r="A50" s="12">
        <v>47</v>
      </c>
      <c r="B50" s="3" t="s">
        <v>5</v>
      </c>
      <c r="C50" s="3" t="str">
        <f>VLOOKUP(B50,品名!$A$1:$C$151,2,0)</f>
        <v>索尼</v>
      </c>
      <c r="D50" s="3" t="str">
        <f>VLOOKUP(B50,品名!$A$1:$C$151,3,0)</f>
        <v>SONY KDL 55英寸高清3D液晶电视</v>
      </c>
      <c r="E50" s="3" t="str">
        <f>VLOOKUP(LEFT(B50,2),Sheet2!$A$1:$B$8,2,0)</f>
        <v>电视</v>
      </c>
      <c r="F50" s="4">
        <v>42857</v>
      </c>
      <c r="G50" s="3" t="s">
        <v>156</v>
      </c>
      <c r="H50" s="3" t="s">
        <v>170</v>
      </c>
      <c r="I50" s="5">
        <v>49</v>
      </c>
      <c r="J50" s="13">
        <f>VLOOKUP(B50,[1]单价!$A$1:$B$152,2,0)</f>
        <v>5499</v>
      </c>
      <c r="K50" s="13">
        <f t="shared" si="0"/>
        <v>269451</v>
      </c>
      <c r="L50" s="13">
        <f>VLOOKUP(B50,[1]进价!$A$1:$B$151,2,0)*表1[[#This Row],[销量]]</f>
        <v>220949.82</v>
      </c>
    </row>
    <row r="51" spans="1:12" ht="15" customHeight="1" x14ac:dyDescent="0.15">
      <c r="A51" s="12">
        <v>48</v>
      </c>
      <c r="B51" s="3" t="s">
        <v>12</v>
      </c>
      <c r="C51" s="3" t="str">
        <f>VLOOKUP(B51,品名!$A$1:$C$151,2,0)</f>
        <v>TCL</v>
      </c>
      <c r="D51" s="3" t="str">
        <f>VLOOKUP(B51,品名!$A$1:$C$151,3,0)</f>
        <v>L32E11液晶电视</v>
      </c>
      <c r="E51" s="3" t="str">
        <f>VLOOKUP(LEFT(B51,2),Sheet2!$A$1:$B$8,2,0)</f>
        <v>电视</v>
      </c>
      <c r="F51" s="4">
        <v>42858</v>
      </c>
      <c r="G51" s="3" t="s">
        <v>156</v>
      </c>
      <c r="H51" s="3" t="s">
        <v>170</v>
      </c>
      <c r="I51" s="5">
        <v>2</v>
      </c>
      <c r="J51" s="13">
        <f>VLOOKUP(B51,[1]单价!$A$1:$B$152,2,0)</f>
        <v>1598</v>
      </c>
      <c r="K51" s="13">
        <f t="shared" si="0"/>
        <v>3196</v>
      </c>
      <c r="L51" s="13">
        <f>VLOOKUP(B51,[1]进价!$A$1:$B$151,2,0)*表1[[#This Row],[销量]]</f>
        <v>2620.7199999999998</v>
      </c>
    </row>
    <row r="52" spans="1:12" ht="15" customHeight="1" x14ac:dyDescent="0.15">
      <c r="A52" s="12">
        <v>49</v>
      </c>
      <c r="B52" s="3" t="s">
        <v>19</v>
      </c>
      <c r="C52" s="3" t="str">
        <f>VLOOKUP(B52,品名!$A$1:$C$151,2,0)</f>
        <v>夏普</v>
      </c>
      <c r="D52" s="3" t="str">
        <f>VLOOKUP(B52,品名!$A$1:$C$151,3,0)</f>
        <v>Sharp LCD-40DS30A平板电视</v>
      </c>
      <c r="E52" s="3" t="str">
        <f>VLOOKUP(LEFT(B52,2),Sheet2!$A$1:$B$8,2,0)</f>
        <v>电视</v>
      </c>
      <c r="F52" s="4">
        <v>42859</v>
      </c>
      <c r="G52" s="3" t="s">
        <v>156</v>
      </c>
      <c r="H52" s="3" t="s">
        <v>170</v>
      </c>
      <c r="I52" s="5">
        <v>25</v>
      </c>
      <c r="J52" s="13">
        <f>VLOOKUP(B52,[1]单价!$A$1:$B$152,2,0)</f>
        <v>3499</v>
      </c>
      <c r="K52" s="13">
        <f t="shared" si="0"/>
        <v>87475</v>
      </c>
      <c r="L52" s="13">
        <f>VLOOKUP(B52,[1]进价!$A$1:$B$151,2,0)*表1[[#This Row],[销量]]</f>
        <v>72604.25</v>
      </c>
    </row>
    <row r="53" spans="1:12" ht="15" customHeight="1" x14ac:dyDescent="0.15">
      <c r="A53" s="12">
        <v>50</v>
      </c>
      <c r="B53" s="3" t="s">
        <v>26</v>
      </c>
      <c r="C53" s="3" t="str">
        <f>VLOOKUP(B53,品名!$A$1:$C$151,2,0)</f>
        <v>TCL</v>
      </c>
      <c r="D53" s="3" t="str">
        <f>VLOOKUP(B53,品名!$A$1:$C$151,3,0)</f>
        <v>KFRd-72LW/FC13空调</v>
      </c>
      <c r="E53" s="3" t="str">
        <f>VLOOKUP(LEFT(B53,2),Sheet2!$A$1:$B$8,2,0)</f>
        <v>空调</v>
      </c>
      <c r="F53" s="4">
        <v>42860</v>
      </c>
      <c r="G53" s="3" t="s">
        <v>156</v>
      </c>
      <c r="H53" s="3" t="s">
        <v>170</v>
      </c>
      <c r="I53" s="5">
        <v>9</v>
      </c>
      <c r="J53" s="13">
        <f>VLOOKUP(B53,[1]单价!$A$1:$B$152,2,0)</f>
        <v>4399</v>
      </c>
      <c r="K53" s="13">
        <f t="shared" si="0"/>
        <v>39591</v>
      </c>
      <c r="L53" s="13">
        <f>VLOOKUP(B53,[1]进价!$A$1:$B$151,2,0)*表1[[#This Row],[销量]]</f>
        <v>33256.44</v>
      </c>
    </row>
    <row r="54" spans="1:12" ht="15" customHeight="1" x14ac:dyDescent="0.15">
      <c r="A54" s="12">
        <v>51</v>
      </c>
      <c r="B54" s="3" t="s">
        <v>34</v>
      </c>
      <c r="C54" s="3" t="str">
        <f>VLOOKUP(B54,品名!$A$1:$C$151,2,0)</f>
        <v>奥克斯</v>
      </c>
      <c r="D54" s="3" t="str">
        <f>VLOOKUP(B54,品名!$A$1:$C$151,3,0)</f>
        <v>KF-26GW/SQB+2空调</v>
      </c>
      <c r="E54" s="3" t="str">
        <f>VLOOKUP(LEFT(B54,2),Sheet2!$A$1:$B$8,2,0)</f>
        <v>空调</v>
      </c>
      <c r="F54" s="4">
        <v>42892</v>
      </c>
      <c r="G54" s="3" t="s">
        <v>156</v>
      </c>
      <c r="H54" s="3" t="s">
        <v>170</v>
      </c>
      <c r="I54" s="5">
        <v>32</v>
      </c>
      <c r="J54" s="13">
        <f>VLOOKUP(B54,[1]单价!$A$1:$B$152,2,0)</f>
        <v>1869</v>
      </c>
      <c r="K54" s="13">
        <f t="shared" si="0"/>
        <v>59808</v>
      </c>
      <c r="L54" s="13">
        <f>VLOOKUP(B54,[1]进价!$A$1:$B$151,2,0)*表1[[#This Row],[销量]]</f>
        <v>49042.559999999998</v>
      </c>
    </row>
    <row r="55" spans="1:12" ht="15" customHeight="1" x14ac:dyDescent="0.15">
      <c r="A55" s="12">
        <v>52</v>
      </c>
      <c r="B55" s="3" t="s">
        <v>41</v>
      </c>
      <c r="C55" s="3" t="str">
        <f>VLOOKUP(B55,品名!$A$1:$C$151,2,0)</f>
        <v>长虹</v>
      </c>
      <c r="D55" s="3" t="str">
        <f>VLOOKUP(B55,品名!$A$1:$C$151,3,0)</f>
        <v>ChangHong KFR-23GW/DHT1(W1-G)+T空调</v>
      </c>
      <c r="E55" s="3" t="str">
        <f>VLOOKUP(LEFT(B55,2),Sheet2!$A$1:$B$8,2,0)</f>
        <v>空调</v>
      </c>
      <c r="F55" s="4">
        <v>42899</v>
      </c>
      <c r="G55" s="3" t="s">
        <v>156</v>
      </c>
      <c r="H55" s="3" t="s">
        <v>170</v>
      </c>
      <c r="I55" s="5">
        <v>25</v>
      </c>
      <c r="J55" s="13">
        <f>VLOOKUP(B55,[1]单价!$A$1:$B$152,2,0)</f>
        <v>1930</v>
      </c>
      <c r="K55" s="13">
        <f t="shared" si="0"/>
        <v>48250</v>
      </c>
      <c r="L55" s="13">
        <f>VLOOKUP(B55,[1]进价!$A$1:$B$151,2,0)*表1[[#This Row],[销量]]</f>
        <v>41495</v>
      </c>
    </row>
    <row r="56" spans="1:12" ht="15" customHeight="1" x14ac:dyDescent="0.15">
      <c r="A56" s="12">
        <v>53</v>
      </c>
      <c r="B56" s="3" t="s">
        <v>72</v>
      </c>
      <c r="C56" s="3" t="str">
        <f>VLOOKUP(B56,品名!$A$1:$C$151,2,0)</f>
        <v>海尔</v>
      </c>
      <c r="D56" s="3" t="str">
        <f>VLOOKUP(B56,品名!$A$1:$C$151,3,0)</f>
        <v>Haier BCD-231WDBB 冰箱</v>
      </c>
      <c r="E56" s="3" t="str">
        <f>VLOOKUP(LEFT(B56,2),Sheet2!$A$1:$B$8,2,0)</f>
        <v>冰箱</v>
      </c>
      <c r="F56" s="4">
        <v>42907</v>
      </c>
      <c r="G56" s="3" t="s">
        <v>156</v>
      </c>
      <c r="H56" s="3" t="s">
        <v>171</v>
      </c>
      <c r="I56" s="5">
        <v>35</v>
      </c>
      <c r="J56" s="13">
        <f>VLOOKUP(B56,[1]单价!$A$1:$B$152,2,0)</f>
        <v>3199</v>
      </c>
      <c r="K56" s="13">
        <f t="shared" si="0"/>
        <v>111965</v>
      </c>
      <c r="L56" s="13">
        <f>VLOOKUP(B56,[1]进价!$A$1:$B$151,2,0)*表1[[#This Row],[销量]]</f>
        <v>99648.85</v>
      </c>
    </row>
    <row r="57" spans="1:12" ht="15" customHeight="1" x14ac:dyDescent="0.15">
      <c r="A57" s="12">
        <v>54</v>
      </c>
      <c r="B57" s="3" t="s">
        <v>82</v>
      </c>
      <c r="C57" s="3" t="str">
        <f>VLOOKUP(B57,品名!$A$1:$C$151,2,0)</f>
        <v>西门子</v>
      </c>
      <c r="D57" s="3" t="str">
        <f>VLOOKUP(B57,品名!$A$1:$C$151,3,0)</f>
        <v>SIEMENS KK20V40TI冰箱</v>
      </c>
      <c r="E57" s="3" t="str">
        <f>VLOOKUP(LEFT(B57,2),Sheet2!$A$1:$B$8,2,0)</f>
        <v>冰箱</v>
      </c>
      <c r="F57" s="4">
        <v>42914</v>
      </c>
      <c r="G57" s="3" t="s">
        <v>156</v>
      </c>
      <c r="H57" s="3" t="s">
        <v>170</v>
      </c>
      <c r="I57" s="5">
        <v>20</v>
      </c>
      <c r="J57" s="13">
        <f>VLOOKUP(B57,[1]单价!$A$1:$B$152,2,0)</f>
        <v>1999</v>
      </c>
      <c r="K57" s="13">
        <f t="shared" si="0"/>
        <v>39980</v>
      </c>
      <c r="L57" s="13">
        <f>VLOOKUP(B57,[1]进价!$A$1:$B$151,2,0)*表1[[#This Row],[销量]]</f>
        <v>32383.800000000003</v>
      </c>
    </row>
    <row r="58" spans="1:12" ht="15" customHeight="1" x14ac:dyDescent="0.15">
      <c r="A58" s="12">
        <v>55</v>
      </c>
      <c r="B58" s="3" t="s">
        <v>109</v>
      </c>
      <c r="C58" s="3" t="str">
        <f>VLOOKUP(B58,品名!$A$1:$C$151,2,0)</f>
        <v>Apple</v>
      </c>
      <c r="D58" s="3" t="str">
        <f>VLOOKUP(B58,品名!$A$1:$C$151,3,0)</f>
        <v>MacBook Pro MJLQ2CH/A 15.4英寸笔记本电脑</v>
      </c>
      <c r="E58" s="3" t="str">
        <f>VLOOKUP(LEFT(B58,2),Sheet2!$A$1:$B$8,2,0)</f>
        <v>计算机</v>
      </c>
      <c r="F58" s="4">
        <v>42890</v>
      </c>
      <c r="G58" s="3" t="s">
        <v>158</v>
      </c>
      <c r="H58" s="3" t="s">
        <v>171</v>
      </c>
      <c r="I58" s="5">
        <v>41</v>
      </c>
      <c r="J58" s="13">
        <f>VLOOKUP(B58,[1]单价!$A$1:$B$152,2,0)</f>
        <v>13388</v>
      </c>
      <c r="K58" s="13">
        <f t="shared" si="0"/>
        <v>548908</v>
      </c>
      <c r="L58" s="13">
        <f>VLOOKUP(B58,[1]进价!$A$1:$B$151,2,0)*表1[[#This Row],[销量]]</f>
        <v>466571.8</v>
      </c>
    </row>
    <row r="59" spans="1:12" ht="15" customHeight="1" x14ac:dyDescent="0.15">
      <c r="A59" s="12">
        <v>56</v>
      </c>
      <c r="B59" s="3" t="s">
        <v>119</v>
      </c>
      <c r="C59" s="3" t="str">
        <f>VLOOKUP(B59,品名!$A$1:$C$151,2,0)</f>
        <v>戴尔</v>
      </c>
      <c r="D59" s="3" t="str">
        <f>VLOOKUP(B59,品名!$A$1:$C$151,3,0)</f>
        <v>Dell  XPS13R-9343-5608S 13.3英寸超极本</v>
      </c>
      <c r="E59" s="3" t="str">
        <f>VLOOKUP(LEFT(B59,2),Sheet2!$A$1:$B$8,2,0)</f>
        <v>计算机</v>
      </c>
      <c r="F59" s="4">
        <v>42746</v>
      </c>
      <c r="G59" s="3" t="s">
        <v>158</v>
      </c>
      <c r="H59" s="3" t="s">
        <v>170</v>
      </c>
      <c r="I59" s="5">
        <v>32</v>
      </c>
      <c r="J59" s="13">
        <f>VLOOKUP(B59,[1]单价!$A$1:$B$152,2,0)</f>
        <v>8099</v>
      </c>
      <c r="K59" s="13">
        <f t="shared" si="0"/>
        <v>259168</v>
      </c>
      <c r="L59" s="13">
        <f>VLOOKUP(B59,[1]进价!$A$1:$B$151,2,0)*表1[[#This Row],[销量]]</f>
        <v>225476.16</v>
      </c>
    </row>
    <row r="60" spans="1:12" ht="15" customHeight="1" x14ac:dyDescent="0.15">
      <c r="A60" s="12">
        <v>57</v>
      </c>
      <c r="B60" s="3" t="s">
        <v>130</v>
      </c>
      <c r="C60" s="3" t="str">
        <f>VLOOKUP(B60,品名!$A$1:$C$151,2,0)</f>
        <v>戴尔</v>
      </c>
      <c r="D60" s="3" t="str">
        <f>VLOOKUP(B60,品名!$A$1:$C$151,3,0)</f>
        <v>Dell XPS 8900-R17N8 台式主机</v>
      </c>
      <c r="E60" s="3" t="str">
        <f>VLOOKUP(LEFT(B60,2),Sheet2!$A$1:$B$8,2,0)</f>
        <v>计算机</v>
      </c>
      <c r="F60" s="4">
        <v>42751</v>
      </c>
      <c r="G60" s="3" t="s">
        <v>158</v>
      </c>
      <c r="H60" s="3" t="s">
        <v>170</v>
      </c>
      <c r="I60" s="5">
        <v>30</v>
      </c>
      <c r="J60" s="13">
        <f>VLOOKUP(B60,[1]单价!$A$1:$B$152,2,0)</f>
        <v>7699</v>
      </c>
      <c r="K60" s="13">
        <f t="shared" si="0"/>
        <v>230970</v>
      </c>
      <c r="L60" s="13">
        <f>VLOOKUP(B60,[1]进价!$A$1:$B$151,2,0)*表1[[#This Row],[销量]]</f>
        <v>191705.1</v>
      </c>
    </row>
    <row r="61" spans="1:12" ht="15" customHeight="1" x14ac:dyDescent="0.15">
      <c r="A61" s="12">
        <v>58</v>
      </c>
      <c r="B61" s="3" t="s">
        <v>141</v>
      </c>
      <c r="C61" s="3" t="str">
        <f>VLOOKUP(B61,品名!$A$1:$C$151,2,0)</f>
        <v>Apple</v>
      </c>
      <c r="D61" s="3" t="str">
        <f>VLOOKUP(B61,品名!$A$1:$C$151,3,0)</f>
        <v>iPad Air WLAN 32GB 银色</v>
      </c>
      <c r="E61" s="3" t="str">
        <f>VLOOKUP(LEFT(B61,2),Sheet2!$A$1:$B$8,2,0)</f>
        <v>计算机</v>
      </c>
      <c r="F61" s="4">
        <v>42759</v>
      </c>
      <c r="G61" s="3" t="s">
        <v>158</v>
      </c>
      <c r="H61" s="3" t="s">
        <v>170</v>
      </c>
      <c r="I61" s="5">
        <v>38</v>
      </c>
      <c r="J61" s="13">
        <f>VLOOKUP(B61,[1]单价!$A$1:$B$152,2,0)</f>
        <v>3108</v>
      </c>
      <c r="K61" s="13">
        <f t="shared" si="0"/>
        <v>118104</v>
      </c>
      <c r="L61" s="13">
        <f>VLOOKUP(B61,[1]进价!$A$1:$B$151,2,0)*表1[[#This Row],[销量]]</f>
        <v>100388.40000000001</v>
      </c>
    </row>
    <row r="62" spans="1:12" ht="15" customHeight="1" x14ac:dyDescent="0.15">
      <c r="A62" s="12">
        <v>59</v>
      </c>
      <c r="B62" s="3" t="s">
        <v>151</v>
      </c>
      <c r="C62" s="3" t="str">
        <f>VLOOKUP(B62,品名!$A$1:$C$151,2,0)</f>
        <v>华硕</v>
      </c>
      <c r="D62" s="3" t="str">
        <f>VLOOKUP(B62,品名!$A$1:$C$151,3,0)</f>
        <v>ASUS ME581C 8英寸平板</v>
      </c>
      <c r="E62" s="3" t="str">
        <f>VLOOKUP(LEFT(B62,2),Sheet2!$A$1:$B$8,2,0)</f>
        <v>计算机</v>
      </c>
      <c r="F62" s="4">
        <v>42766</v>
      </c>
      <c r="G62" s="3" t="s">
        <v>158</v>
      </c>
      <c r="H62" s="3" t="s">
        <v>170</v>
      </c>
      <c r="I62" s="5">
        <v>15</v>
      </c>
      <c r="J62" s="13">
        <f>VLOOKUP(B62,[1]单价!$A$1:$B$152,2,0)</f>
        <v>1229</v>
      </c>
      <c r="K62" s="13">
        <f t="shared" si="0"/>
        <v>18435</v>
      </c>
      <c r="L62" s="13">
        <f>VLOOKUP(B62,[1]进价!$A$1:$B$151,2,0)*表1[[#This Row],[销量]]</f>
        <v>15116.699999999999</v>
      </c>
    </row>
    <row r="63" spans="1:12" ht="15" customHeight="1" x14ac:dyDescent="0.15">
      <c r="A63" s="12">
        <v>60</v>
      </c>
      <c r="B63" s="3" t="s">
        <v>11</v>
      </c>
      <c r="C63" s="3" t="str">
        <f>VLOOKUP(B63,品名!$A$1:$C$151,2,0)</f>
        <v>创维</v>
      </c>
      <c r="D63" s="3" t="str">
        <f>VLOOKUP(B63,品名!$A$1:$C$151,3,0)</f>
        <v>32E5CHR 32英寸LED液晶电视</v>
      </c>
      <c r="E63" s="3" t="str">
        <f>VLOOKUP(LEFT(B63,2),Sheet2!$A$1:$B$8,2,0)</f>
        <v>电视</v>
      </c>
      <c r="F63" s="4">
        <v>42774</v>
      </c>
      <c r="G63" s="3" t="s">
        <v>158</v>
      </c>
      <c r="H63" s="3" t="s">
        <v>170</v>
      </c>
      <c r="I63" s="5">
        <v>48</v>
      </c>
      <c r="J63" s="13">
        <f>VLOOKUP(B63,[1]单价!$A$1:$B$152,2,0)</f>
        <v>1699</v>
      </c>
      <c r="K63" s="13">
        <f t="shared" si="0"/>
        <v>81552</v>
      </c>
      <c r="L63" s="13">
        <f>VLOOKUP(B63,[1]进价!$A$1:$B$151,2,0)*表1[[#This Row],[销量]]</f>
        <v>69319.200000000012</v>
      </c>
    </row>
    <row r="64" spans="1:12" ht="15" customHeight="1" x14ac:dyDescent="0.15">
      <c r="A64" s="12">
        <v>61</v>
      </c>
      <c r="B64" s="3" t="s">
        <v>22</v>
      </c>
      <c r="C64" s="3" t="str">
        <f>VLOOKUP(B64,品名!$A$1:$C$151,2,0)</f>
        <v>康佳</v>
      </c>
      <c r="D64" s="3" t="str">
        <f>VLOOKUP(B64,品名!$A$1:$C$151,3,0)</f>
        <v>KONKA LED42E320N平板电视</v>
      </c>
      <c r="E64" s="3" t="str">
        <f>VLOOKUP(LEFT(B64,2),Sheet2!$A$1:$B$8,2,0)</f>
        <v>电视</v>
      </c>
      <c r="F64" s="4">
        <v>42781</v>
      </c>
      <c r="G64" s="3" t="s">
        <v>158</v>
      </c>
      <c r="H64" s="3" t="s">
        <v>170</v>
      </c>
      <c r="I64" s="5">
        <v>17</v>
      </c>
      <c r="J64" s="13">
        <f>VLOOKUP(B64,[1]单价!$A$1:$B$152,2,0)</f>
        <v>2998</v>
      </c>
      <c r="K64" s="13">
        <f t="shared" si="0"/>
        <v>50966</v>
      </c>
      <c r="L64" s="13">
        <f>VLOOKUP(B64,[1]进价!$A$1:$B$151,2,0)*表1[[#This Row],[销量]]</f>
        <v>44850.079999999994</v>
      </c>
    </row>
    <row r="65" spans="1:12" ht="15" customHeight="1" x14ac:dyDescent="0.15">
      <c r="A65" s="12">
        <v>62</v>
      </c>
      <c r="B65" s="3" t="s">
        <v>33</v>
      </c>
      <c r="C65" s="3" t="str">
        <f>VLOOKUP(B65,品名!$A$1:$C$151,2,0)</f>
        <v>奥克斯</v>
      </c>
      <c r="D65" s="3" t="str">
        <f>VLOOKUP(B65,品名!$A$1:$C$151,3,0)</f>
        <v>KFR-51LW/M-1空调</v>
      </c>
      <c r="E65" s="3" t="str">
        <f>VLOOKUP(LEFT(B65,2),Sheet2!$A$1:$B$8,2,0)</f>
        <v>空调</v>
      </c>
      <c r="F65" s="4">
        <v>42788</v>
      </c>
      <c r="G65" s="3" t="s">
        <v>158</v>
      </c>
      <c r="H65" s="3" t="s">
        <v>170</v>
      </c>
      <c r="I65" s="5">
        <v>22</v>
      </c>
      <c r="J65" s="13">
        <f>VLOOKUP(B65,[1]单价!$A$1:$B$152,2,0)</f>
        <v>3799</v>
      </c>
      <c r="K65" s="13">
        <f t="shared" si="0"/>
        <v>83578</v>
      </c>
      <c r="L65" s="13">
        <f>VLOOKUP(B65,[1]进价!$A$1:$B$151,2,0)*表1[[#This Row],[销量]]</f>
        <v>74384.42</v>
      </c>
    </row>
    <row r="66" spans="1:12" ht="15" customHeight="1" x14ac:dyDescent="0.15">
      <c r="A66" s="12">
        <v>63</v>
      </c>
      <c r="B66" s="3" t="s">
        <v>43</v>
      </c>
      <c r="C66" s="3" t="str">
        <f>VLOOKUP(B66,品名!$A$1:$C$151,2,0)</f>
        <v>志高</v>
      </c>
      <c r="D66" s="3" t="str">
        <f>VLOOKUP(B66,品名!$A$1:$C$151,3,0)</f>
        <v>CHIGO KFR-25GW/B104+N2空调</v>
      </c>
      <c r="E66" s="3" t="str">
        <f>VLOOKUP(LEFT(B66,2),Sheet2!$A$1:$B$8,2,0)</f>
        <v>空调</v>
      </c>
      <c r="F66" s="4">
        <v>42796</v>
      </c>
      <c r="G66" s="3" t="s">
        <v>158</v>
      </c>
      <c r="H66" s="3" t="s">
        <v>170</v>
      </c>
      <c r="I66" s="5">
        <v>12</v>
      </c>
      <c r="J66" s="13">
        <f>VLOOKUP(B66,[1]单价!$A$1:$B$152,2,0)</f>
        <v>2179</v>
      </c>
      <c r="K66" s="13">
        <f t="shared" si="0"/>
        <v>26148</v>
      </c>
      <c r="L66" s="13">
        <f>VLOOKUP(B66,[1]进价!$A$1:$B$151,2,0)*表1[[#This Row],[销量]]</f>
        <v>21964.32</v>
      </c>
    </row>
    <row r="67" spans="1:12" ht="15" customHeight="1" x14ac:dyDescent="0.15">
      <c r="A67" s="12">
        <v>64</v>
      </c>
      <c r="B67" s="3" t="s">
        <v>73</v>
      </c>
      <c r="C67" s="3" t="str">
        <f>VLOOKUP(B67,品名!$A$1:$C$151,2,0)</f>
        <v>海尔</v>
      </c>
      <c r="D67" s="3" t="str">
        <f>VLOOKUP(B67,品名!$A$1:$C$151,3,0)</f>
        <v>Haier BCD-568WDPF冰箱</v>
      </c>
      <c r="E67" s="3" t="str">
        <f>VLOOKUP(LEFT(B67,2),Sheet2!$A$1:$B$8,2,0)</f>
        <v>冰箱</v>
      </c>
      <c r="F67" s="4">
        <v>42806</v>
      </c>
      <c r="G67" s="3" t="s">
        <v>158</v>
      </c>
      <c r="H67" s="3" t="s">
        <v>170</v>
      </c>
      <c r="I67" s="5">
        <v>7</v>
      </c>
      <c r="J67" s="13">
        <f>VLOOKUP(B67,[1]单价!$A$1:$B$152,2,0)</f>
        <v>3899</v>
      </c>
      <c r="K67" s="13">
        <f t="shared" si="0"/>
        <v>27293</v>
      </c>
      <c r="L67" s="13">
        <f>VLOOKUP(B67,[1]进价!$A$1:$B$151,2,0)*表1[[#This Row],[销量]]</f>
        <v>23471.98</v>
      </c>
    </row>
    <row r="68" spans="1:12" ht="15" customHeight="1" x14ac:dyDescent="0.15">
      <c r="A68" s="12">
        <v>65</v>
      </c>
      <c r="B68" s="3" t="s">
        <v>84</v>
      </c>
      <c r="C68" s="3" t="str">
        <f>VLOOKUP(B68,品名!$A$1:$C$151,2,0)</f>
        <v>西门子</v>
      </c>
      <c r="D68" s="3" t="str">
        <f>VLOOKUP(B68,品名!$A$1:$C$151,3,0)</f>
        <v>SIEMENS KG23N1116W冰箱</v>
      </c>
      <c r="E68" s="3" t="str">
        <f>VLOOKUP(LEFT(B68,2),Sheet2!$A$1:$B$8,2,0)</f>
        <v>冰箱</v>
      </c>
      <c r="F68" s="4">
        <v>42813</v>
      </c>
      <c r="G68" s="3" t="s">
        <v>158</v>
      </c>
      <c r="H68" s="3" t="s">
        <v>170</v>
      </c>
      <c r="I68" s="5">
        <v>11</v>
      </c>
      <c r="J68" s="13">
        <f>VLOOKUP(B68,[1]单价!$A$1:$B$152,2,0)</f>
        <v>2799</v>
      </c>
      <c r="K68" s="13">
        <f t="shared" si="0"/>
        <v>30789</v>
      </c>
      <c r="L68" s="13">
        <f>VLOOKUP(B68,[1]进价!$A$1:$B$151,2,0)*表1[[#This Row],[销量]]</f>
        <v>25862.76</v>
      </c>
    </row>
    <row r="69" spans="1:12" ht="15" customHeight="1" x14ac:dyDescent="0.15">
      <c r="A69" s="12">
        <v>66</v>
      </c>
      <c r="B69" s="3" t="s">
        <v>53</v>
      </c>
      <c r="C69" s="3" t="str">
        <f>VLOOKUP(B69,品名!$A$1:$C$151,2,0)</f>
        <v>海尔</v>
      </c>
      <c r="D69" s="3" t="str">
        <f>VLOOKUP(B69,品名!$A$1:$C$151,3,0)</f>
        <v>Haier JSQ24-A2(12T)燃气热水器</v>
      </c>
      <c r="E69" s="3" t="str">
        <f>VLOOKUP(LEFT(B69,2),Sheet2!$A$1:$B$8,2,0)</f>
        <v>热水器</v>
      </c>
      <c r="F69" s="4">
        <v>42817</v>
      </c>
      <c r="G69" s="3" t="s">
        <v>158</v>
      </c>
      <c r="H69" s="3" t="s">
        <v>171</v>
      </c>
      <c r="I69" s="5">
        <v>50</v>
      </c>
      <c r="J69" s="13">
        <f>VLOOKUP(B69,[1]单价!$A$1:$B$152,2,0)</f>
        <v>1998</v>
      </c>
      <c r="K69" s="13">
        <f t="shared" ref="K69:K132" si="1">I69*J69</f>
        <v>99900</v>
      </c>
      <c r="L69" s="13">
        <f>VLOOKUP(B69,[1]进价!$A$1:$B$151,2,0)*表1[[#This Row],[销量]]</f>
        <v>79920</v>
      </c>
    </row>
    <row r="70" spans="1:12" ht="15" customHeight="1" x14ac:dyDescent="0.15">
      <c r="A70" s="12">
        <v>67</v>
      </c>
      <c r="B70" s="3" t="s">
        <v>61</v>
      </c>
      <c r="C70" s="3" t="str">
        <f>VLOOKUP(B70,品名!$A$1:$C$151,2,0)</f>
        <v>能率</v>
      </c>
      <c r="D70" s="3" t="str">
        <f>VLOOKUP(B70,品名!$A$1:$C$151,3,0)</f>
        <v>NORITZ GQ-1350FE 13升 燃气热水器</v>
      </c>
      <c r="E70" s="3" t="str">
        <f>VLOOKUP(LEFT(B70,2),Sheet2!$A$1:$B$8,2,0)</f>
        <v>热水器</v>
      </c>
      <c r="F70" s="4">
        <v>42825</v>
      </c>
      <c r="G70" s="3" t="s">
        <v>158</v>
      </c>
      <c r="H70" s="3" t="s">
        <v>170</v>
      </c>
      <c r="I70" s="5">
        <v>40</v>
      </c>
      <c r="J70" s="13">
        <f>VLOOKUP(B70,[1]单价!$A$1:$B$152,2,0)</f>
        <v>2598</v>
      </c>
      <c r="K70" s="13">
        <f t="shared" si="1"/>
        <v>103920</v>
      </c>
      <c r="L70" s="13">
        <f>VLOOKUP(B70,[1]进价!$A$1:$B$151,2,0)*表1[[#This Row],[销量]]</f>
        <v>87292.800000000003</v>
      </c>
    </row>
    <row r="71" spans="1:12" ht="15" customHeight="1" x14ac:dyDescent="0.15">
      <c r="A71" s="12">
        <v>68</v>
      </c>
      <c r="B71" s="3" t="s">
        <v>89</v>
      </c>
      <c r="C71" s="3" t="str">
        <f>VLOOKUP(B71,品名!$A$1:$C$151,2,0)</f>
        <v>德尔玛</v>
      </c>
      <c r="D71" s="3" t="str">
        <f>VLOOKUP(B71,品名!$A$1:$C$151,3,0)</f>
        <v>Deerma 双层干衣机</v>
      </c>
      <c r="E71" s="3" t="str">
        <f>VLOOKUP(LEFT(B71,2),Sheet2!$A$1:$B$8,2,0)</f>
        <v>洗衣机</v>
      </c>
      <c r="F71" s="4">
        <v>42834</v>
      </c>
      <c r="G71" s="3" t="s">
        <v>158</v>
      </c>
      <c r="H71" s="3" t="s">
        <v>171</v>
      </c>
      <c r="I71" s="5">
        <v>35</v>
      </c>
      <c r="J71" s="13">
        <f>VLOOKUP(B71,[1]单价!$A$1:$B$152,2,0)</f>
        <v>99</v>
      </c>
      <c r="K71" s="13">
        <f t="shared" si="1"/>
        <v>3465</v>
      </c>
      <c r="L71" s="13">
        <f>VLOOKUP(B71,[1]进价!$A$1:$B$151,2,0)*表1[[#This Row],[销量]]</f>
        <v>2910.6</v>
      </c>
    </row>
    <row r="72" spans="1:12" ht="15" customHeight="1" x14ac:dyDescent="0.15">
      <c r="A72" s="12">
        <v>69</v>
      </c>
      <c r="B72" s="3" t="s">
        <v>97</v>
      </c>
      <c r="C72" s="3" t="str">
        <f>VLOOKUP(B72,品名!$A$1:$C$151,2,0)</f>
        <v>三洋</v>
      </c>
      <c r="D72" s="3" t="str">
        <f>VLOOKUP(B72,品名!$A$1:$C$151,3,0)</f>
        <v>XQG60-F1029 6公斤 滚筒全自动洗衣机</v>
      </c>
      <c r="E72" s="3" t="str">
        <f>VLOOKUP(LEFT(B72,2),Sheet2!$A$1:$B$8,2,0)</f>
        <v>洗衣机</v>
      </c>
      <c r="F72" s="4">
        <v>42844</v>
      </c>
      <c r="G72" s="3" t="s">
        <v>158</v>
      </c>
      <c r="H72" s="3" t="s">
        <v>170</v>
      </c>
      <c r="I72" s="5">
        <v>24</v>
      </c>
      <c r="J72" s="13">
        <f>VLOOKUP(B72,[1]单价!$A$1:$B$152,2,0)</f>
        <v>1718</v>
      </c>
      <c r="K72" s="13">
        <f t="shared" si="1"/>
        <v>41232</v>
      </c>
      <c r="L72" s="13">
        <f>VLOOKUP(B72,[1]进价!$A$1:$B$151,2,0)*表1[[#This Row],[销量]]</f>
        <v>36696.479999999996</v>
      </c>
    </row>
    <row r="73" spans="1:12" ht="15" customHeight="1" x14ac:dyDescent="0.15">
      <c r="A73" s="12">
        <v>70</v>
      </c>
      <c r="B73" s="3" t="s">
        <v>105</v>
      </c>
      <c r="C73" s="3" t="str">
        <f>VLOOKUP(B73,品名!$A$1:$C$151,2,0)</f>
        <v>Apple</v>
      </c>
      <c r="D73" s="3" t="str">
        <f>VLOOKUP(B73,品名!$A$1:$C$151,3,0)</f>
        <v>MacBook Air MJVM2CH/A 11.6英寸笔记本电脑</v>
      </c>
      <c r="E73" s="3" t="str">
        <f>VLOOKUP(LEFT(B73,2),Sheet2!$A$1:$B$8,2,0)</f>
        <v>计算机</v>
      </c>
      <c r="F73" s="4">
        <v>42851</v>
      </c>
      <c r="G73" s="3" t="s">
        <v>158</v>
      </c>
      <c r="H73" s="3" t="s">
        <v>171</v>
      </c>
      <c r="I73" s="5">
        <v>7</v>
      </c>
      <c r="J73" s="13">
        <f>VLOOKUP(B73,[1]单价!$A$1:$B$152,2,0)</f>
        <v>5988</v>
      </c>
      <c r="K73" s="13">
        <f t="shared" si="1"/>
        <v>41916</v>
      </c>
      <c r="L73" s="13">
        <f>VLOOKUP(B73,[1]进价!$A$1:$B$151,2,0)*表1[[#This Row],[销量]]</f>
        <v>37305.24</v>
      </c>
    </row>
    <row r="74" spans="1:12" ht="15" customHeight="1" x14ac:dyDescent="0.15">
      <c r="A74" s="12">
        <v>71</v>
      </c>
      <c r="B74" s="3" t="s">
        <v>112</v>
      </c>
      <c r="C74" s="3" t="str">
        <f>VLOOKUP(B74,品名!$A$1:$C$151,2,0)</f>
        <v>华硕</v>
      </c>
      <c r="D74" s="3" t="str">
        <f>VLOOKUP(B74,品名!$A$1:$C$151,3,0)</f>
        <v>ASUS R557LP4030-554KSF52X10 轻薄笔记本</v>
      </c>
      <c r="E74" s="3" t="str">
        <f>VLOOKUP(LEFT(B74,2),Sheet2!$A$1:$B$8,2,0)</f>
        <v>计算机</v>
      </c>
      <c r="F74" s="4">
        <v>42857</v>
      </c>
      <c r="G74" s="3" t="s">
        <v>158</v>
      </c>
      <c r="H74" s="3" t="s">
        <v>171</v>
      </c>
      <c r="I74" s="5">
        <v>24</v>
      </c>
      <c r="J74" s="13">
        <f>VLOOKUP(B74,[1]单价!$A$1:$B$152,2,0)</f>
        <v>2699</v>
      </c>
      <c r="K74" s="13">
        <f t="shared" si="1"/>
        <v>64776</v>
      </c>
      <c r="L74" s="13">
        <f>VLOOKUP(B74,[1]进价!$A$1:$B$151,2,0)*表1[[#This Row],[销量]]</f>
        <v>51820.799999999996</v>
      </c>
    </row>
    <row r="75" spans="1:12" ht="15" customHeight="1" x14ac:dyDescent="0.15">
      <c r="A75" s="12">
        <v>72</v>
      </c>
      <c r="B75" s="3" t="s">
        <v>122</v>
      </c>
      <c r="C75" s="3" t="str">
        <f>VLOOKUP(B75,品名!$A$1:$C$151,2,0)</f>
        <v>联想</v>
      </c>
      <c r="D75" s="3" t="str">
        <f>VLOOKUP(B75,品名!$A$1:$C$151,3,0)</f>
        <v>ThinkPad E450C-20EHA01-7CD 14英寸笔记本电脑</v>
      </c>
      <c r="E75" s="3" t="str">
        <f>VLOOKUP(LEFT(B75,2),Sheet2!$A$1:$B$8,2,0)</f>
        <v>计算机</v>
      </c>
      <c r="F75" s="4">
        <v>42864</v>
      </c>
      <c r="G75" s="3" t="s">
        <v>158</v>
      </c>
      <c r="H75" s="3" t="s">
        <v>171</v>
      </c>
      <c r="I75" s="5">
        <v>25</v>
      </c>
      <c r="J75" s="13">
        <f>VLOOKUP(B75,[1]单价!$A$1:$B$152,2,0)</f>
        <v>3499</v>
      </c>
      <c r="K75" s="13">
        <f t="shared" si="1"/>
        <v>87475</v>
      </c>
      <c r="L75" s="13">
        <f>VLOOKUP(B75,[1]进价!$A$1:$B$151,2,0)*表1[[#This Row],[销量]]</f>
        <v>72604.25</v>
      </c>
    </row>
    <row r="76" spans="1:12" ht="15" customHeight="1" x14ac:dyDescent="0.15">
      <c r="A76" s="12">
        <v>73</v>
      </c>
      <c r="B76" s="3" t="s">
        <v>130</v>
      </c>
      <c r="C76" s="3" t="str">
        <f>VLOOKUP(B76,品名!$A$1:$C$151,2,0)</f>
        <v>戴尔</v>
      </c>
      <c r="D76" s="3" t="str">
        <f>VLOOKUP(B76,品名!$A$1:$C$151,3,0)</f>
        <v>Dell XPS 8900-R17N8 台式主机</v>
      </c>
      <c r="E76" s="3" t="str">
        <f>VLOOKUP(LEFT(B76,2),Sheet2!$A$1:$B$8,2,0)</f>
        <v>计算机</v>
      </c>
      <c r="F76" s="4">
        <v>42871</v>
      </c>
      <c r="G76" s="3" t="s">
        <v>158</v>
      </c>
      <c r="H76" s="3" t="s">
        <v>171</v>
      </c>
      <c r="I76" s="5">
        <v>19</v>
      </c>
      <c r="J76" s="13">
        <f>VLOOKUP(B76,[1]单价!$A$1:$B$152,2,0)</f>
        <v>7699</v>
      </c>
      <c r="K76" s="13">
        <f t="shared" si="1"/>
        <v>146281</v>
      </c>
      <c r="L76" s="13">
        <f>VLOOKUP(B76,[1]进价!$A$1:$B$151,2,0)*表1[[#This Row],[销量]]</f>
        <v>121413.23</v>
      </c>
    </row>
    <row r="77" spans="1:12" ht="15" customHeight="1" x14ac:dyDescent="0.15">
      <c r="A77" s="12">
        <v>74</v>
      </c>
      <c r="B77" s="3" t="s">
        <v>138</v>
      </c>
      <c r="C77" s="3" t="str">
        <f>VLOOKUP(B77,品名!$A$1:$C$151,2,0)</f>
        <v>Apple</v>
      </c>
      <c r="D77" s="3" t="str">
        <f>VLOOKUP(B77,品名!$A$1:$C$151,3,0)</f>
        <v>iPad Air 2 MGKM2CH/A 9.7英寸平板电脑</v>
      </c>
      <c r="E77" s="3" t="str">
        <f>VLOOKUP(LEFT(B77,2),Sheet2!$A$1:$B$8,2,0)</f>
        <v>计算机</v>
      </c>
      <c r="F77" s="4">
        <v>42880</v>
      </c>
      <c r="G77" s="3" t="s">
        <v>158</v>
      </c>
      <c r="H77" s="3" t="s">
        <v>171</v>
      </c>
      <c r="I77" s="5">
        <v>4</v>
      </c>
      <c r="J77" s="13">
        <f>VLOOKUP(B77,[1]单价!$A$1:$B$152,2,0)</f>
        <v>4038</v>
      </c>
      <c r="K77" s="13">
        <f t="shared" si="1"/>
        <v>16152</v>
      </c>
      <c r="L77" s="13">
        <f>VLOOKUP(B77,[1]进价!$A$1:$B$151,2,0)*表1[[#This Row],[销量]]</f>
        <v>14213.76</v>
      </c>
    </row>
    <row r="78" spans="1:12" ht="15" customHeight="1" x14ac:dyDescent="0.15">
      <c r="A78" s="12">
        <v>75</v>
      </c>
      <c r="B78" s="3" t="s">
        <v>146</v>
      </c>
      <c r="C78" s="3" t="str">
        <f>VLOOKUP(B78,品名!$A$1:$C$151,2,0)</f>
        <v>宏通</v>
      </c>
      <c r="D78" s="3" t="str">
        <f>VLOOKUP(B78,品名!$A$1:$C$151,3,0)</f>
        <v>HT HT820 四核7英寸WIFI版平板电脑</v>
      </c>
      <c r="E78" s="3" t="str">
        <f>VLOOKUP(LEFT(B78,2),Sheet2!$A$1:$B$8,2,0)</f>
        <v>计算机</v>
      </c>
      <c r="F78" s="4">
        <v>42886</v>
      </c>
      <c r="G78" s="3" t="s">
        <v>158</v>
      </c>
      <c r="H78" s="3" t="s">
        <v>171</v>
      </c>
      <c r="I78" s="5">
        <v>31</v>
      </c>
      <c r="J78" s="13">
        <f>VLOOKUP(B78,[1]单价!$A$1:$B$152,2,0)</f>
        <v>289</v>
      </c>
      <c r="K78" s="13">
        <f t="shared" si="1"/>
        <v>8959</v>
      </c>
      <c r="L78" s="13">
        <f>VLOOKUP(B78,[1]进价!$A$1:$B$151,2,0)*表1[[#This Row],[销量]]</f>
        <v>7615.1500000000005</v>
      </c>
    </row>
    <row r="79" spans="1:12" ht="15" customHeight="1" x14ac:dyDescent="0.15">
      <c r="A79" s="12">
        <v>76</v>
      </c>
      <c r="B79" s="3" t="s">
        <v>153</v>
      </c>
      <c r="C79" s="3" t="str">
        <f>VLOOKUP(B79,品名!$A$1:$C$151,2,0)</f>
        <v>亚马逊</v>
      </c>
      <c r="D79" s="3" t="str">
        <f>VLOOKUP(B79,品名!$A$1:$C$151,3,0)</f>
        <v>Fire 平板电脑</v>
      </c>
      <c r="E79" s="3" t="str">
        <f>VLOOKUP(LEFT(B79,2),Sheet2!$A$1:$B$8,2,0)</f>
        <v>计算机</v>
      </c>
      <c r="F79" s="4">
        <v>42893</v>
      </c>
      <c r="G79" s="3" t="s">
        <v>158</v>
      </c>
      <c r="H79" s="3" t="s">
        <v>170</v>
      </c>
      <c r="I79" s="5">
        <v>6</v>
      </c>
      <c r="J79" s="13">
        <f>VLOOKUP(B79,[1]单价!$A$1:$B$152,2,0)</f>
        <v>499</v>
      </c>
      <c r="K79" s="13">
        <f t="shared" si="1"/>
        <v>2994</v>
      </c>
      <c r="L79" s="13">
        <f>VLOOKUP(B79,[1]进价!$A$1:$B$151,2,0)*表1[[#This Row],[销量]]</f>
        <v>2395.1999999999998</v>
      </c>
    </row>
    <row r="80" spans="1:12" ht="15" customHeight="1" x14ac:dyDescent="0.15">
      <c r="A80" s="12">
        <v>77</v>
      </c>
      <c r="B80" s="3" t="s">
        <v>10</v>
      </c>
      <c r="C80" s="3" t="str">
        <f>VLOOKUP(B80,品名!$A$1:$C$151,2,0)</f>
        <v>海信</v>
      </c>
      <c r="D80" s="3" t="str">
        <f>VLOOKUP(B80,品名!$A$1:$C$151,3,0)</f>
        <v>Hisense LED50K320DX3D 50英寸3D液晶电视</v>
      </c>
      <c r="E80" s="3" t="str">
        <f>VLOOKUP(LEFT(B80,2),Sheet2!$A$1:$B$8,2,0)</f>
        <v>电视</v>
      </c>
      <c r="F80" s="4">
        <v>42901</v>
      </c>
      <c r="G80" s="3" t="s">
        <v>158</v>
      </c>
      <c r="H80" s="3" t="s">
        <v>170</v>
      </c>
      <c r="I80" s="5">
        <v>5</v>
      </c>
      <c r="J80" s="13">
        <f>VLOOKUP(B80,[1]单价!$A$1:$B$152,2,0)</f>
        <v>4999</v>
      </c>
      <c r="K80" s="13">
        <f t="shared" si="1"/>
        <v>24995</v>
      </c>
      <c r="L80" s="13">
        <f>VLOOKUP(B80,[1]进价!$A$1:$B$151,2,0)*表1[[#This Row],[销量]]</f>
        <v>20995.8</v>
      </c>
    </row>
    <row r="81" spans="1:12" ht="15" customHeight="1" x14ac:dyDescent="0.15">
      <c r="A81" s="12">
        <v>78</v>
      </c>
      <c r="B81" s="3" t="s">
        <v>19</v>
      </c>
      <c r="C81" s="3" t="str">
        <f>VLOOKUP(B81,品名!$A$1:$C$151,2,0)</f>
        <v>夏普</v>
      </c>
      <c r="D81" s="3" t="str">
        <f>VLOOKUP(B81,品名!$A$1:$C$151,3,0)</f>
        <v>Sharp LCD-40DS30A平板电视</v>
      </c>
      <c r="E81" s="3" t="str">
        <f>VLOOKUP(LEFT(B81,2),Sheet2!$A$1:$B$8,2,0)</f>
        <v>电视</v>
      </c>
      <c r="F81" s="4">
        <v>42906</v>
      </c>
      <c r="G81" s="3" t="s">
        <v>158</v>
      </c>
      <c r="H81" s="3" t="s">
        <v>170</v>
      </c>
      <c r="I81" s="5">
        <v>2</v>
      </c>
      <c r="J81" s="13">
        <f>VLOOKUP(B81,[1]单价!$A$1:$B$152,2,0)</f>
        <v>3499</v>
      </c>
      <c r="K81" s="13">
        <f t="shared" si="1"/>
        <v>6998</v>
      </c>
      <c r="L81" s="13">
        <f>VLOOKUP(B81,[1]进价!$A$1:$B$151,2,0)*表1[[#This Row],[销量]]</f>
        <v>5808.34</v>
      </c>
    </row>
    <row r="82" spans="1:12" ht="15" customHeight="1" x14ac:dyDescent="0.15">
      <c r="A82" s="12">
        <v>79</v>
      </c>
      <c r="B82" s="3" t="s">
        <v>27</v>
      </c>
      <c r="C82" s="3" t="str">
        <f>VLOOKUP(B82,品名!$A$1:$C$151,2,0)</f>
        <v>TCL</v>
      </c>
      <c r="D82" s="3" t="str">
        <f>VLOOKUP(B82,品名!$A$1:$C$151,3,0)</f>
        <v>KFRd-25GW/DE22空调</v>
      </c>
      <c r="E82" s="3" t="str">
        <f>VLOOKUP(LEFT(B82,2),Sheet2!$A$1:$B$8,2,0)</f>
        <v>空调</v>
      </c>
      <c r="F82" s="4">
        <v>42913</v>
      </c>
      <c r="G82" s="3" t="s">
        <v>158</v>
      </c>
      <c r="H82" s="3" t="s">
        <v>170</v>
      </c>
      <c r="I82" s="5">
        <v>21</v>
      </c>
      <c r="J82" s="13">
        <f>VLOOKUP(B82,[1]单价!$A$1:$B$152,2,0)</f>
        <v>1879</v>
      </c>
      <c r="K82" s="13">
        <f t="shared" si="1"/>
        <v>39459</v>
      </c>
      <c r="L82" s="13">
        <f>VLOOKUP(B82,[1]进价!$A$1:$B$151,2,0)*表1[[#This Row],[销量]]</f>
        <v>31567.200000000001</v>
      </c>
    </row>
    <row r="83" spans="1:12" ht="15" customHeight="1" x14ac:dyDescent="0.15">
      <c r="A83" s="12">
        <v>80</v>
      </c>
      <c r="B83" s="3" t="s">
        <v>35</v>
      </c>
      <c r="C83" s="3" t="str">
        <f>VLOOKUP(B83,品名!$A$1:$C$151,2,0)</f>
        <v>格兰仕</v>
      </c>
      <c r="D83" s="3" t="str">
        <f>VLOOKUP(B83,品名!$A$1:$C$151,3,0)</f>
        <v>Galanz KFR-23GW/dLP45-150(2)空调</v>
      </c>
      <c r="E83" s="3" t="str">
        <f>VLOOKUP(LEFT(B83,2),Sheet2!$A$1:$B$8,2,0)</f>
        <v>空调</v>
      </c>
      <c r="F83" s="4">
        <v>42890</v>
      </c>
      <c r="G83" s="3" t="s">
        <v>158</v>
      </c>
      <c r="H83" s="3" t="s">
        <v>170</v>
      </c>
      <c r="I83" s="5">
        <v>23</v>
      </c>
      <c r="J83" s="13">
        <f>VLOOKUP(B83,[1]单价!$A$1:$B$152,2,0)</f>
        <v>1599</v>
      </c>
      <c r="K83" s="13">
        <f t="shared" si="1"/>
        <v>36777</v>
      </c>
      <c r="L83" s="13">
        <f>VLOOKUP(B83,[1]进价!$A$1:$B$151,2,0)*表1[[#This Row],[销量]]</f>
        <v>30892.68</v>
      </c>
    </row>
    <row r="84" spans="1:12" ht="15" customHeight="1" x14ac:dyDescent="0.15">
      <c r="A84" s="12">
        <v>81</v>
      </c>
      <c r="B84" s="3" t="s">
        <v>43</v>
      </c>
      <c r="C84" s="3" t="str">
        <f>VLOOKUP(B84,品名!$A$1:$C$151,2,0)</f>
        <v>志高</v>
      </c>
      <c r="D84" s="3" t="str">
        <f>VLOOKUP(B84,品名!$A$1:$C$151,3,0)</f>
        <v>CHIGO KFR-25GW/B104+N2空调</v>
      </c>
      <c r="E84" s="3" t="str">
        <f>VLOOKUP(LEFT(B84,2),Sheet2!$A$1:$B$8,2,0)</f>
        <v>空调</v>
      </c>
      <c r="F84" s="4">
        <v>42898</v>
      </c>
      <c r="G84" s="3" t="s">
        <v>158</v>
      </c>
      <c r="H84" s="3" t="s">
        <v>170</v>
      </c>
      <c r="I84" s="5">
        <v>5</v>
      </c>
      <c r="J84" s="13">
        <f>VLOOKUP(B84,[1]单价!$A$1:$B$152,2,0)</f>
        <v>2179</v>
      </c>
      <c r="K84" s="13">
        <f t="shared" si="1"/>
        <v>10895</v>
      </c>
      <c r="L84" s="13">
        <f>VLOOKUP(B84,[1]进价!$A$1:$B$151,2,0)*表1[[#This Row],[销量]]</f>
        <v>9151.7999999999993</v>
      </c>
    </row>
    <row r="85" spans="1:12" ht="15" customHeight="1" x14ac:dyDescent="0.15">
      <c r="A85" s="12">
        <v>82</v>
      </c>
      <c r="B85" s="3" t="s">
        <v>54</v>
      </c>
      <c r="C85" s="3" t="str">
        <f>VLOOKUP(B85,品名!$A$1:$C$151,2,0)</f>
        <v>林内</v>
      </c>
      <c r="D85" s="3" t="str">
        <f>VLOOKUP(B85,品名!$A$1:$C$151,3,0)</f>
        <v>Rinnai RUS-11E22CWNF 11L燃气热水器</v>
      </c>
      <c r="E85" s="3" t="str">
        <f>VLOOKUP(LEFT(B85,2),Sheet2!$A$1:$B$8,2,0)</f>
        <v>热水器</v>
      </c>
      <c r="F85" s="4">
        <v>42899</v>
      </c>
      <c r="G85" s="3" t="s">
        <v>158</v>
      </c>
      <c r="H85" s="3" t="s">
        <v>171</v>
      </c>
      <c r="I85" s="5">
        <v>49</v>
      </c>
      <c r="J85" s="13">
        <f>VLOOKUP(B85,[1]单价!$A$1:$B$152,2,0)</f>
        <v>3380</v>
      </c>
      <c r="K85" s="13">
        <f t="shared" si="1"/>
        <v>165620</v>
      </c>
      <c r="L85" s="13">
        <f>VLOOKUP(B85,[1]进价!$A$1:$B$151,2,0)*表1[[#This Row],[销量]]</f>
        <v>147401.79999999999</v>
      </c>
    </row>
    <row r="86" spans="1:12" ht="15" customHeight="1" x14ac:dyDescent="0.15">
      <c r="A86" s="12">
        <v>83</v>
      </c>
      <c r="B86" s="3" t="s">
        <v>71</v>
      </c>
      <c r="C86" s="3" t="str">
        <f>VLOOKUP(B86,品名!$A$1:$C$151,2,0)</f>
        <v>海尔</v>
      </c>
      <c r="D86" s="3" t="str">
        <f>VLOOKUP(B86,品名!$A$1:$C$151,3,0)</f>
        <v>Haier BCD-206STPA 206升冰箱</v>
      </c>
      <c r="E86" s="3" t="str">
        <f>VLOOKUP(LEFT(B86,2),Sheet2!$A$1:$B$8,2,0)</f>
        <v>冰箱</v>
      </c>
      <c r="F86" s="4">
        <v>42873</v>
      </c>
      <c r="G86" s="3" t="s">
        <v>158</v>
      </c>
      <c r="H86" s="3" t="s">
        <v>170</v>
      </c>
      <c r="I86" s="5">
        <v>24</v>
      </c>
      <c r="J86" s="13">
        <f>VLOOKUP(B86,[1]单价!$A$1:$B$152,2,0)</f>
        <v>1649</v>
      </c>
      <c r="K86" s="13">
        <f t="shared" si="1"/>
        <v>39576</v>
      </c>
      <c r="L86" s="13">
        <f>VLOOKUP(B86,[1]进价!$A$1:$B$151,2,0)*表1[[#This Row],[销量]]</f>
        <v>33639.600000000006</v>
      </c>
    </row>
    <row r="87" spans="1:12" ht="15" customHeight="1" x14ac:dyDescent="0.15">
      <c r="A87" s="12">
        <v>84</v>
      </c>
      <c r="B87" s="3" t="s">
        <v>63</v>
      </c>
      <c r="C87" s="3" t="str">
        <f>VLOOKUP(B87,品名!$A$1:$C$151,2,0)</f>
        <v>万家乐</v>
      </c>
      <c r="D87" s="3" t="str">
        <f>VLOOKUP(B87,品名!$A$1:$C$151,3,0)</f>
        <v>JSQ24-12201 12升 燃气热水器</v>
      </c>
      <c r="E87" s="3" t="str">
        <f>VLOOKUP(LEFT(B87,2),Sheet2!$A$1:$B$8,2,0)</f>
        <v>热水器</v>
      </c>
      <c r="F87" s="4">
        <v>42878</v>
      </c>
      <c r="G87" s="3" t="s">
        <v>158</v>
      </c>
      <c r="H87" s="3" t="s">
        <v>170</v>
      </c>
      <c r="I87" s="5">
        <v>15</v>
      </c>
      <c r="J87" s="13">
        <f>VLOOKUP(B87,[1]单价!$A$1:$B$152,2,0)</f>
        <v>1299</v>
      </c>
      <c r="K87" s="13">
        <f t="shared" si="1"/>
        <v>19485</v>
      </c>
      <c r="L87" s="13">
        <f>VLOOKUP(B87,[1]进价!$A$1:$B$151,2,0)*表1[[#This Row],[销量]]</f>
        <v>17536.5</v>
      </c>
    </row>
    <row r="88" spans="1:12" ht="15" customHeight="1" x14ac:dyDescent="0.15">
      <c r="A88" s="12">
        <v>85</v>
      </c>
      <c r="B88" s="3" t="s">
        <v>79</v>
      </c>
      <c r="C88" s="3" t="str">
        <f>VLOOKUP(B88,品名!$A$1:$C$151,2,0)</f>
        <v>美菱</v>
      </c>
      <c r="D88" s="3" t="str">
        <f>VLOOKUP(B88,品名!$A$1:$C$151,3,0)</f>
        <v>MeLing BCD-206L3CT冰箱</v>
      </c>
      <c r="E88" s="3" t="str">
        <f>VLOOKUP(LEFT(B88,2),Sheet2!$A$1:$B$8,2,0)</f>
        <v>冰箱</v>
      </c>
      <c r="F88" s="4">
        <v>42851</v>
      </c>
      <c r="G88" s="3" t="s">
        <v>158</v>
      </c>
      <c r="H88" s="3" t="s">
        <v>170</v>
      </c>
      <c r="I88" s="5">
        <v>30</v>
      </c>
      <c r="J88" s="13">
        <f>VLOOKUP(B88,[1]单价!$A$1:$B$152,2,0)</f>
        <v>1490</v>
      </c>
      <c r="K88" s="13">
        <f t="shared" si="1"/>
        <v>44700</v>
      </c>
      <c r="L88" s="13">
        <f>VLOOKUP(B88,[1]进价!$A$1:$B$151,2,0)*表1[[#This Row],[销量]]</f>
        <v>35760</v>
      </c>
    </row>
    <row r="89" spans="1:12" ht="15" customHeight="1" x14ac:dyDescent="0.15">
      <c r="A89" s="12">
        <v>86</v>
      </c>
      <c r="B89" s="3" t="s">
        <v>93</v>
      </c>
      <c r="C89" s="3" t="str">
        <f>VLOOKUP(B89,品名!$A$1:$C$151,2,0)</f>
        <v>海尔</v>
      </c>
      <c r="D89" s="3" t="str">
        <f>VLOOKUP(B89,品名!$A$1:$C$151,3,0)</f>
        <v>Haier XQB50-M918洗衣机</v>
      </c>
      <c r="E89" s="3" t="str">
        <f>VLOOKUP(LEFT(B89,2),Sheet2!$A$1:$B$8,2,0)</f>
        <v>洗衣机</v>
      </c>
      <c r="F89" s="4">
        <v>42765</v>
      </c>
      <c r="G89" s="3" t="s">
        <v>158</v>
      </c>
      <c r="H89" s="3" t="s">
        <v>171</v>
      </c>
      <c r="I89" s="5">
        <v>30</v>
      </c>
      <c r="J89" s="13">
        <f>VLOOKUP(B89,[1]单价!$A$1:$B$152,2,0)</f>
        <v>978</v>
      </c>
      <c r="K89" s="13">
        <f t="shared" si="1"/>
        <v>29340</v>
      </c>
      <c r="L89" s="13">
        <f>VLOOKUP(B89,[1]进价!$A$1:$B$151,2,0)*表1[[#This Row],[销量]]</f>
        <v>24058.800000000003</v>
      </c>
    </row>
    <row r="90" spans="1:12" ht="15" customHeight="1" x14ac:dyDescent="0.15">
      <c r="A90" s="12">
        <v>87</v>
      </c>
      <c r="B90" s="3" t="s">
        <v>47</v>
      </c>
      <c r="C90" s="3" t="str">
        <f>VLOOKUP(B90,品名!$A$1:$C$151,2,0)</f>
        <v>格兰仕</v>
      </c>
      <c r="D90" s="3" t="str">
        <f>VLOOKUP(B90,品名!$A$1:$C$151,3,0)</f>
        <v>Galanz ZSDF-G40K031 40L 电热水器</v>
      </c>
      <c r="E90" s="3" t="str">
        <f>VLOOKUP(LEFT(B90,2),Sheet2!$A$1:$B$8,2,0)</f>
        <v>热水器</v>
      </c>
      <c r="F90" s="4">
        <v>42768</v>
      </c>
      <c r="G90" s="3" t="s">
        <v>158</v>
      </c>
      <c r="H90" s="3" t="s">
        <v>170</v>
      </c>
      <c r="I90" s="5">
        <v>36</v>
      </c>
      <c r="J90" s="13">
        <f>VLOOKUP(B90,[1]单价!$A$1:$B$152,2,0)</f>
        <v>498</v>
      </c>
      <c r="K90" s="13">
        <f t="shared" si="1"/>
        <v>17928</v>
      </c>
      <c r="L90" s="13">
        <f>VLOOKUP(B90,[1]进价!$A$1:$B$151,2,0)*表1[[#This Row],[销量]]</f>
        <v>15955.920000000002</v>
      </c>
    </row>
    <row r="91" spans="1:12" ht="15" customHeight="1" x14ac:dyDescent="0.15">
      <c r="A91" s="12">
        <v>88</v>
      </c>
      <c r="B91" s="3" t="s">
        <v>103</v>
      </c>
      <c r="C91" s="3" t="str">
        <f>VLOOKUP(B91,品名!$A$1:$C$151,2,0)</f>
        <v>小鸭</v>
      </c>
      <c r="D91" s="3" t="str">
        <f>VLOOKUP(B91,品名!$A$1:$C$151,3,0)</f>
        <v>XPB36-1803 3.6公斤 单缸半自动洗衣机</v>
      </c>
      <c r="E91" s="3" t="str">
        <f>VLOOKUP(LEFT(B91,2),Sheet2!$A$1:$B$8,2,0)</f>
        <v>洗衣机</v>
      </c>
      <c r="F91" s="4">
        <v>42773</v>
      </c>
      <c r="G91" s="3" t="s">
        <v>158</v>
      </c>
      <c r="H91" s="3" t="s">
        <v>171</v>
      </c>
      <c r="I91" s="5">
        <v>25</v>
      </c>
      <c r="J91" s="13">
        <f>VLOOKUP(B91,[1]单价!$A$1:$B$152,2,0)</f>
        <v>279</v>
      </c>
      <c r="K91" s="13">
        <f t="shared" si="1"/>
        <v>6975</v>
      </c>
      <c r="L91" s="13">
        <f>VLOOKUP(B91,[1]进价!$A$1:$B$151,2,0)*表1[[#This Row],[销量]]</f>
        <v>5859</v>
      </c>
    </row>
    <row r="92" spans="1:12" ht="15" customHeight="1" x14ac:dyDescent="0.15">
      <c r="A92" s="12">
        <v>89</v>
      </c>
      <c r="B92" s="3" t="s">
        <v>54</v>
      </c>
      <c r="C92" s="3" t="str">
        <f>VLOOKUP(B92,品名!$A$1:$C$151,2,0)</f>
        <v>林内</v>
      </c>
      <c r="D92" s="3" t="str">
        <f>VLOOKUP(B92,品名!$A$1:$C$151,3,0)</f>
        <v>Rinnai RUS-11E22CWNF 11L燃气热水器</v>
      </c>
      <c r="E92" s="3" t="str">
        <f>VLOOKUP(LEFT(B92,2),Sheet2!$A$1:$B$8,2,0)</f>
        <v>热水器</v>
      </c>
      <c r="F92" s="4">
        <v>42776</v>
      </c>
      <c r="G92" s="3" t="s">
        <v>158</v>
      </c>
      <c r="H92" s="3" t="s">
        <v>170</v>
      </c>
      <c r="I92" s="5">
        <v>30</v>
      </c>
      <c r="J92" s="13">
        <f>VLOOKUP(B92,[1]单价!$A$1:$B$152,2,0)</f>
        <v>3380</v>
      </c>
      <c r="K92" s="13">
        <f t="shared" si="1"/>
        <v>101400</v>
      </c>
      <c r="L92" s="13">
        <f>VLOOKUP(B92,[1]进价!$A$1:$B$151,2,0)*表1[[#This Row],[销量]]</f>
        <v>90246</v>
      </c>
    </row>
    <row r="93" spans="1:12" ht="15" customHeight="1" x14ac:dyDescent="0.15">
      <c r="A93" s="12">
        <v>90</v>
      </c>
      <c r="B93" s="3" t="s">
        <v>61</v>
      </c>
      <c r="C93" s="3" t="str">
        <f>VLOOKUP(B93,品名!$A$1:$C$151,2,0)</f>
        <v>能率</v>
      </c>
      <c r="D93" s="3" t="str">
        <f>VLOOKUP(B93,品名!$A$1:$C$151,3,0)</f>
        <v>NORITZ GQ-1350FE 13升 燃气热水器</v>
      </c>
      <c r="E93" s="3" t="str">
        <f>VLOOKUP(LEFT(B93,2),Sheet2!$A$1:$B$8,2,0)</f>
        <v>热水器</v>
      </c>
      <c r="F93" s="4">
        <v>42783</v>
      </c>
      <c r="G93" s="3" t="s">
        <v>158</v>
      </c>
      <c r="H93" s="3" t="s">
        <v>171</v>
      </c>
      <c r="I93" s="5">
        <v>26</v>
      </c>
      <c r="J93" s="13">
        <f>VLOOKUP(B93,[1]单价!$A$1:$B$152,2,0)</f>
        <v>2598</v>
      </c>
      <c r="K93" s="13">
        <f t="shared" si="1"/>
        <v>67548</v>
      </c>
      <c r="L93" s="13">
        <f>VLOOKUP(B93,[1]进价!$A$1:$B$151,2,0)*表1[[#This Row],[销量]]</f>
        <v>56740.320000000007</v>
      </c>
    </row>
    <row r="94" spans="1:12" ht="15" customHeight="1" x14ac:dyDescent="0.15">
      <c r="A94" s="12">
        <v>91</v>
      </c>
      <c r="B94" s="3" t="s">
        <v>88</v>
      </c>
      <c r="C94" s="3" t="str">
        <f>VLOOKUP(B94,品名!$A$1:$C$151,2,0)</f>
        <v>奔腾</v>
      </c>
      <c r="D94" s="3" t="str">
        <f>VLOOKUP(B94,品名!$A$1:$C$151,3,0)</f>
        <v>POVOS 家用双层干衣机烘干机</v>
      </c>
      <c r="E94" s="3" t="str">
        <f>VLOOKUP(LEFT(B94,2),Sheet2!$A$1:$B$8,2,0)</f>
        <v>洗衣机</v>
      </c>
      <c r="F94" s="4">
        <v>42794</v>
      </c>
      <c r="G94" s="3" t="s">
        <v>158</v>
      </c>
      <c r="H94" s="3" t="s">
        <v>171</v>
      </c>
      <c r="I94" s="5">
        <v>45</v>
      </c>
      <c r="J94" s="13">
        <f>VLOOKUP(B94,[1]单价!$A$1:$B$152,2,0)</f>
        <v>219</v>
      </c>
      <c r="K94" s="13">
        <f t="shared" si="1"/>
        <v>9855</v>
      </c>
      <c r="L94" s="13">
        <f>VLOOKUP(B94,[1]进价!$A$1:$B$151,2,0)*表1[[#This Row],[销量]]</f>
        <v>8081.1</v>
      </c>
    </row>
    <row r="95" spans="1:12" ht="15" customHeight="1" x14ac:dyDescent="0.15">
      <c r="A95" s="12">
        <v>92</v>
      </c>
      <c r="B95" s="3" t="s">
        <v>95</v>
      </c>
      <c r="C95" s="3" t="str">
        <f>VLOOKUP(B95,品名!$A$1:$C$151,2,0)</f>
        <v>华光</v>
      </c>
      <c r="D95" s="3" t="str">
        <f>VLOOKUP(B95,品名!$A$1:$C$151,3,0)</f>
        <v>HG GY01 双层干衣机</v>
      </c>
      <c r="E95" s="3" t="str">
        <f>VLOOKUP(LEFT(B95,2),Sheet2!$A$1:$B$8,2,0)</f>
        <v>洗衣机</v>
      </c>
      <c r="F95" s="4">
        <v>42798</v>
      </c>
      <c r="G95" s="3" t="s">
        <v>158</v>
      </c>
      <c r="H95" s="3" t="s">
        <v>171</v>
      </c>
      <c r="I95" s="5">
        <v>11</v>
      </c>
      <c r="J95" s="13">
        <f>VLOOKUP(B95,[1]单价!$A$1:$B$152,2,0)</f>
        <v>99</v>
      </c>
      <c r="K95" s="13">
        <f t="shared" si="1"/>
        <v>1089</v>
      </c>
      <c r="L95" s="13">
        <f>VLOOKUP(B95,[1]进价!$A$1:$B$151,2,0)*表1[[#This Row],[销量]]</f>
        <v>936.54</v>
      </c>
    </row>
    <row r="96" spans="1:12" ht="15" customHeight="1" x14ac:dyDescent="0.15">
      <c r="A96" s="12">
        <v>93</v>
      </c>
      <c r="B96" s="3" t="s">
        <v>102</v>
      </c>
      <c r="C96" s="3" t="str">
        <f>VLOOKUP(B96,品名!$A$1:$C$151,2,0)</f>
        <v>小鸭</v>
      </c>
      <c r="D96" s="3" t="str">
        <f>VLOOKUP(B96,品名!$A$1:$C$151,3,0)</f>
        <v>XPB28-1808S双缸洗衣机</v>
      </c>
      <c r="E96" s="3" t="str">
        <f>VLOOKUP(LEFT(B96,2),Sheet2!$A$1:$B$8,2,0)</f>
        <v>洗衣机</v>
      </c>
      <c r="F96" s="4">
        <v>42805</v>
      </c>
      <c r="G96" s="3" t="s">
        <v>158</v>
      </c>
      <c r="H96" s="3" t="s">
        <v>171</v>
      </c>
      <c r="I96" s="5">
        <v>42</v>
      </c>
      <c r="J96" s="13">
        <f>VLOOKUP(B96,[1]单价!$A$1:$B$152,2,0)</f>
        <v>338</v>
      </c>
      <c r="K96" s="13">
        <f t="shared" si="1"/>
        <v>14196</v>
      </c>
      <c r="L96" s="13">
        <f>VLOOKUP(B96,[1]进价!$A$1:$B$151,2,0)*表1[[#This Row],[销量]]</f>
        <v>12066.6</v>
      </c>
    </row>
    <row r="97" spans="1:12" ht="15" customHeight="1" x14ac:dyDescent="0.15">
      <c r="A97" s="12">
        <v>94</v>
      </c>
      <c r="B97" s="3" t="s">
        <v>109</v>
      </c>
      <c r="C97" s="3" t="str">
        <f>VLOOKUP(B97,品名!$A$1:$C$151,2,0)</f>
        <v>Apple</v>
      </c>
      <c r="D97" s="3" t="str">
        <f>VLOOKUP(B97,品名!$A$1:$C$151,3,0)</f>
        <v>MacBook Pro MJLQ2CH/A 15.4英寸笔记本电脑</v>
      </c>
      <c r="E97" s="3" t="str">
        <f>VLOOKUP(LEFT(B97,2),Sheet2!$A$1:$B$8,2,0)</f>
        <v>计算机</v>
      </c>
      <c r="F97" s="4">
        <v>42812</v>
      </c>
      <c r="G97" s="3" t="s">
        <v>158</v>
      </c>
      <c r="H97" s="3" t="s">
        <v>171</v>
      </c>
      <c r="I97" s="5">
        <v>4</v>
      </c>
      <c r="J97" s="13">
        <f>VLOOKUP(B97,[1]单价!$A$1:$B$152,2,0)</f>
        <v>13388</v>
      </c>
      <c r="K97" s="13">
        <f t="shared" si="1"/>
        <v>53552</v>
      </c>
      <c r="L97" s="13">
        <f>VLOOKUP(B97,[1]进价!$A$1:$B$151,2,0)*表1[[#This Row],[销量]]</f>
        <v>45519.199999999997</v>
      </c>
    </row>
    <row r="98" spans="1:12" ht="15" customHeight="1" x14ac:dyDescent="0.15">
      <c r="A98" s="12">
        <v>95</v>
      </c>
      <c r="B98" s="3" t="s">
        <v>116</v>
      </c>
      <c r="C98" s="3" t="str">
        <f>VLOOKUP(B98,品名!$A$1:$C$151,2,0)</f>
        <v>戴尔</v>
      </c>
      <c r="D98" s="3" t="str">
        <f>VLOOKUP(B98,品名!$A$1:$C$151,3,0)</f>
        <v>Dell Vostro 5480R-3528SS 14英寸笔记本电脑 银色</v>
      </c>
      <c r="E98" s="3" t="str">
        <f>VLOOKUP(LEFT(B98,2),Sheet2!$A$1:$B$8,2,0)</f>
        <v>计算机</v>
      </c>
      <c r="F98" s="4">
        <v>42819</v>
      </c>
      <c r="G98" s="3" t="s">
        <v>158</v>
      </c>
      <c r="H98" s="3" t="s">
        <v>171</v>
      </c>
      <c r="I98" s="5">
        <v>2</v>
      </c>
      <c r="J98" s="13">
        <f>VLOOKUP(B98,[1]单价!$A$1:$B$152,2,0)</f>
        <v>4199</v>
      </c>
      <c r="K98" s="13">
        <f t="shared" si="1"/>
        <v>8398</v>
      </c>
      <c r="L98" s="13">
        <f>VLOOKUP(B98,[1]进价!$A$1:$B$151,2,0)*表1[[#This Row],[销量]]</f>
        <v>7054.32</v>
      </c>
    </row>
    <row r="99" spans="1:12" ht="15" customHeight="1" x14ac:dyDescent="0.15">
      <c r="A99" s="12">
        <v>96</v>
      </c>
      <c r="B99" s="3" t="s">
        <v>123</v>
      </c>
      <c r="C99" s="3" t="str">
        <f>VLOOKUP(B99,品名!$A$1:$C$151,2,0)</f>
        <v>联想</v>
      </c>
      <c r="D99" s="3" t="str">
        <f>VLOOKUP(B99,品名!$A$1:$C$151,3,0)</f>
        <v>ThinkPad X250-20CLA26-1CD 12.5英寸笔记本电脑</v>
      </c>
      <c r="E99" s="3" t="str">
        <f>VLOOKUP(LEFT(B99,2),Sheet2!$A$1:$B$8,2,0)</f>
        <v>计算机</v>
      </c>
      <c r="F99" s="4">
        <v>42828</v>
      </c>
      <c r="G99" s="3" t="s">
        <v>158</v>
      </c>
      <c r="H99" s="3" t="s">
        <v>171</v>
      </c>
      <c r="I99" s="5">
        <v>25</v>
      </c>
      <c r="J99" s="13">
        <f>VLOOKUP(B99,[1]单价!$A$1:$B$152,2,0)</f>
        <v>4999</v>
      </c>
      <c r="K99" s="13">
        <f t="shared" si="1"/>
        <v>124975</v>
      </c>
      <c r="L99" s="13">
        <f>VLOOKUP(B99,[1]进价!$A$1:$B$151,2,0)*表1[[#This Row],[销量]]</f>
        <v>107478.50000000001</v>
      </c>
    </row>
    <row r="100" spans="1:12" ht="15" customHeight="1" x14ac:dyDescent="0.15">
      <c r="A100" s="12">
        <v>97</v>
      </c>
      <c r="B100" s="3" t="s">
        <v>130</v>
      </c>
      <c r="C100" s="3" t="str">
        <f>VLOOKUP(B100,品名!$A$1:$C$151,2,0)</f>
        <v>戴尔</v>
      </c>
      <c r="D100" s="3" t="str">
        <f>VLOOKUP(B100,品名!$A$1:$C$151,3,0)</f>
        <v>Dell XPS 8900-R17N8 台式主机</v>
      </c>
      <c r="E100" s="3" t="str">
        <f>VLOOKUP(LEFT(B100,2),Sheet2!$A$1:$B$8,2,0)</f>
        <v>计算机</v>
      </c>
      <c r="F100" s="4">
        <v>42836</v>
      </c>
      <c r="G100" s="3" t="s">
        <v>158</v>
      </c>
      <c r="H100" s="3" t="s">
        <v>171</v>
      </c>
      <c r="I100" s="5">
        <v>15</v>
      </c>
      <c r="J100" s="13">
        <f>VLOOKUP(B100,[1]单价!$A$1:$B$152,2,0)</f>
        <v>7699</v>
      </c>
      <c r="K100" s="13">
        <f t="shared" si="1"/>
        <v>115485</v>
      </c>
      <c r="L100" s="13">
        <f>VLOOKUP(B100,[1]进价!$A$1:$B$151,2,0)*表1[[#This Row],[销量]]</f>
        <v>95852.55</v>
      </c>
    </row>
    <row r="101" spans="1:12" ht="15" customHeight="1" x14ac:dyDescent="0.15">
      <c r="A101" s="12">
        <v>98</v>
      </c>
      <c r="B101" s="3" t="s">
        <v>137</v>
      </c>
      <c r="C101" s="3" t="str">
        <f>VLOOKUP(B101,品名!$A$1:$C$151,2,0)</f>
        <v>联想</v>
      </c>
      <c r="D101" s="3" t="str">
        <f>VLOOKUP(B101,品名!$A$1:$C$151,3,0)</f>
        <v>lenovo C5030 23英寸一体机 白色</v>
      </c>
      <c r="E101" s="3" t="str">
        <f>VLOOKUP(LEFT(B101,2),Sheet2!$A$1:$B$8,2,0)</f>
        <v>计算机</v>
      </c>
      <c r="F101" s="4">
        <v>42843</v>
      </c>
      <c r="G101" s="3" t="s">
        <v>158</v>
      </c>
      <c r="H101" s="3" t="s">
        <v>170</v>
      </c>
      <c r="I101" s="5">
        <v>36</v>
      </c>
      <c r="J101" s="13">
        <f>VLOOKUP(B101,[1]单价!$A$1:$B$152,2,0)</f>
        <v>4285</v>
      </c>
      <c r="K101" s="13">
        <f t="shared" si="1"/>
        <v>154260</v>
      </c>
      <c r="L101" s="13">
        <f>VLOOKUP(B101,[1]进价!$A$1:$B$151,2,0)*表1[[#This Row],[销量]]</f>
        <v>128035.8</v>
      </c>
    </row>
    <row r="102" spans="1:12" ht="15" customHeight="1" x14ac:dyDescent="0.15">
      <c r="A102" s="12">
        <v>99</v>
      </c>
      <c r="B102" s="3" t="s">
        <v>144</v>
      </c>
      <c r="C102" s="3" t="str">
        <f>VLOOKUP(B102,品名!$A$1:$C$151,2,0)</f>
        <v>华硕</v>
      </c>
      <c r="D102" s="3" t="str">
        <f>VLOOKUP(B102,品名!$A$1:$C$151,3,0)</f>
        <v>ASUS Nexus 7 from Google Tablet</v>
      </c>
      <c r="E102" s="3" t="str">
        <f>VLOOKUP(LEFT(B102,2),Sheet2!$A$1:$B$8,2,0)</f>
        <v>计算机</v>
      </c>
      <c r="F102" s="4">
        <v>42850</v>
      </c>
      <c r="G102" s="3" t="s">
        <v>158</v>
      </c>
      <c r="H102" s="3" t="s">
        <v>171</v>
      </c>
      <c r="I102" s="5">
        <v>46</v>
      </c>
      <c r="J102" s="13">
        <f>VLOOKUP(B102,[1]单价!$A$1:$B$152,2,0)</f>
        <v>839.71</v>
      </c>
      <c r="K102" s="13">
        <f t="shared" si="1"/>
        <v>38626.660000000003</v>
      </c>
      <c r="L102" s="13">
        <f>VLOOKUP(B102,[1]进价!$A$1:$B$151,2,0)*表1[[#This Row],[销量]]</f>
        <v>30901.42</v>
      </c>
    </row>
    <row r="103" spans="1:12" ht="15" customHeight="1" x14ac:dyDescent="0.15">
      <c r="A103" s="12">
        <v>100</v>
      </c>
      <c r="B103" s="3" t="s">
        <v>7</v>
      </c>
      <c r="C103" s="3" t="str">
        <f>VLOOKUP(B103,品名!$A$1:$C$151,2,0)</f>
        <v>海信</v>
      </c>
      <c r="D103" s="3" t="str">
        <f>VLOOKUP(B103,品名!$A$1:$C$151,3,0)</f>
        <v>Hisense LED32K200 32英寸LED高清电视</v>
      </c>
      <c r="E103" s="3" t="str">
        <f>VLOOKUP(LEFT(B103,2),Sheet2!$A$1:$B$8,2,0)</f>
        <v>电视</v>
      </c>
      <c r="F103" s="4">
        <v>42859</v>
      </c>
      <c r="G103" s="3" t="s">
        <v>158</v>
      </c>
      <c r="H103" s="3" t="s">
        <v>170</v>
      </c>
      <c r="I103" s="5">
        <v>12</v>
      </c>
      <c r="J103" s="13">
        <f>VLOOKUP(B103,[1]单价!$A$1:$B$152,2,0)</f>
        <v>1699</v>
      </c>
      <c r="K103" s="13">
        <f t="shared" si="1"/>
        <v>20388</v>
      </c>
      <c r="L103" s="13">
        <f>VLOOKUP(B103,[1]进价!$A$1:$B$151,2,0)*表1[[#This Row],[销量]]</f>
        <v>16718.16</v>
      </c>
    </row>
    <row r="104" spans="1:12" ht="15" customHeight="1" x14ac:dyDescent="0.15">
      <c r="A104" s="12">
        <v>101</v>
      </c>
      <c r="B104" s="3" t="s">
        <v>14</v>
      </c>
      <c r="C104" s="3" t="str">
        <f>VLOOKUP(B104,品名!$A$1:$C$151,2,0)</f>
        <v>海信</v>
      </c>
      <c r="D104" s="3" t="str">
        <f>VLOOKUP(B104,品名!$A$1:$C$151,3,0)</f>
        <v>Hisense LED40K170JD平板电视</v>
      </c>
      <c r="E104" s="3" t="str">
        <f>VLOOKUP(LEFT(B104,2),Sheet2!$A$1:$B$8,2,0)</f>
        <v>电视</v>
      </c>
      <c r="F104" s="4">
        <v>42857</v>
      </c>
      <c r="G104" s="3" t="s">
        <v>158</v>
      </c>
      <c r="H104" s="3" t="s">
        <v>170</v>
      </c>
      <c r="I104" s="5">
        <v>21</v>
      </c>
      <c r="J104" s="13">
        <f>VLOOKUP(B104,[1]单价!$A$1:$B$152,2,0)</f>
        <v>2569</v>
      </c>
      <c r="K104" s="13">
        <f t="shared" si="1"/>
        <v>53949</v>
      </c>
      <c r="L104" s="13">
        <f>VLOOKUP(B104,[1]进价!$A$1:$B$151,2,0)*表1[[#This Row],[销量]]</f>
        <v>44238.18</v>
      </c>
    </row>
    <row r="105" spans="1:12" ht="15" customHeight="1" x14ac:dyDescent="0.15">
      <c r="A105" s="12">
        <v>102</v>
      </c>
      <c r="B105" s="3" t="s">
        <v>21</v>
      </c>
      <c r="C105" s="3" t="str">
        <f>VLOOKUP(B105,品名!$A$1:$C$151,2,0)</f>
        <v>康佳</v>
      </c>
      <c r="D105" s="3" t="str">
        <f>VLOOKUP(B105,品名!$A$1:$C$151,3,0)</f>
        <v>KONKA LED37F3300E平板电视</v>
      </c>
      <c r="E105" s="3" t="str">
        <f>VLOOKUP(LEFT(B105,2),Sheet2!$A$1:$B$8,2,0)</f>
        <v>电视</v>
      </c>
      <c r="F105" s="4">
        <v>42858</v>
      </c>
      <c r="G105" s="3" t="s">
        <v>158</v>
      </c>
      <c r="H105" s="3" t="s">
        <v>170</v>
      </c>
      <c r="I105" s="5">
        <v>20</v>
      </c>
      <c r="J105" s="13">
        <f>VLOOKUP(B105,[1]单价!$A$1:$B$152,2,0)</f>
        <v>2098</v>
      </c>
      <c r="K105" s="13">
        <f t="shared" si="1"/>
        <v>41960</v>
      </c>
      <c r="L105" s="13">
        <f>VLOOKUP(B105,[1]进价!$A$1:$B$151,2,0)*表1[[#This Row],[销量]]</f>
        <v>35666</v>
      </c>
    </row>
    <row r="106" spans="1:12" ht="15" customHeight="1" x14ac:dyDescent="0.15">
      <c r="A106" s="12">
        <v>103</v>
      </c>
      <c r="B106" s="3" t="s">
        <v>29</v>
      </c>
      <c r="C106" s="3" t="str">
        <f>VLOOKUP(B106,品名!$A$1:$C$151,2,0)</f>
        <v>TCL</v>
      </c>
      <c r="D106" s="3" t="str">
        <f>VLOOKUP(B106,品名!$A$1:$C$151,3,0)</f>
        <v>KFRd-35GW/DE22空调</v>
      </c>
      <c r="E106" s="3" t="str">
        <f>VLOOKUP(LEFT(B106,2),Sheet2!$A$1:$B$8,2,0)</f>
        <v>空调</v>
      </c>
      <c r="F106" s="4">
        <v>42889</v>
      </c>
      <c r="G106" s="3" t="s">
        <v>158</v>
      </c>
      <c r="H106" s="3" t="s">
        <v>170</v>
      </c>
      <c r="I106" s="5">
        <v>9</v>
      </c>
      <c r="J106" s="13">
        <f>VLOOKUP(B106,[1]单价!$A$1:$B$152,2,0)</f>
        <v>2179</v>
      </c>
      <c r="K106" s="13">
        <f t="shared" si="1"/>
        <v>19611</v>
      </c>
      <c r="L106" s="13">
        <f>VLOOKUP(B106,[1]进价!$A$1:$B$151,2,0)*表1[[#This Row],[销量]]</f>
        <v>16669.350000000002</v>
      </c>
    </row>
    <row r="107" spans="1:12" ht="15" customHeight="1" x14ac:dyDescent="0.15">
      <c r="A107" s="12">
        <v>104</v>
      </c>
      <c r="B107" s="3" t="s">
        <v>36</v>
      </c>
      <c r="C107" s="3" t="str">
        <f>VLOOKUP(B107,品名!$A$1:$C$151,2,0)</f>
        <v>格兰仕</v>
      </c>
      <c r="D107" s="3" t="str">
        <f>VLOOKUP(B107,品名!$A$1:$C$151,3,0)</f>
        <v>Galanz KFR-32GW/dLP57-130(2)空调</v>
      </c>
      <c r="E107" s="3" t="str">
        <f>VLOOKUP(LEFT(B107,2),Sheet2!$A$1:$B$8,2,0)</f>
        <v>空调</v>
      </c>
      <c r="F107" s="4">
        <v>42893</v>
      </c>
      <c r="G107" s="3" t="s">
        <v>158</v>
      </c>
      <c r="H107" s="3" t="s">
        <v>171</v>
      </c>
      <c r="I107" s="5">
        <v>42</v>
      </c>
      <c r="J107" s="13">
        <f>VLOOKUP(B107,[1]单价!$A$1:$B$152,2,0)</f>
        <v>1899</v>
      </c>
      <c r="K107" s="13">
        <f t="shared" si="1"/>
        <v>79758</v>
      </c>
      <c r="L107" s="13">
        <f>VLOOKUP(B107,[1]进价!$A$1:$B$151,2,0)*表1[[#This Row],[销量]]</f>
        <v>68591.88</v>
      </c>
    </row>
    <row r="108" spans="1:12" ht="15" customHeight="1" x14ac:dyDescent="0.15">
      <c r="A108" s="12">
        <v>105</v>
      </c>
      <c r="B108" s="3" t="s">
        <v>65</v>
      </c>
      <c r="C108" s="3" t="str">
        <f>VLOOKUP(B108,品名!$A$1:$C$151,2,0)</f>
        <v>海尔</v>
      </c>
      <c r="D108" s="3" t="str">
        <f>VLOOKUP(B108,品名!$A$1:$C$151,3,0)</f>
        <v>Haier BCD-216SCM 冰箱</v>
      </c>
      <c r="E108" s="3" t="str">
        <f>VLOOKUP(LEFT(B108,2),Sheet2!$A$1:$B$8,2,0)</f>
        <v>冰箱</v>
      </c>
      <c r="F108" s="4">
        <v>42900</v>
      </c>
      <c r="G108" s="3" t="s">
        <v>158</v>
      </c>
      <c r="H108" s="3" t="s">
        <v>171</v>
      </c>
      <c r="I108" s="5">
        <v>40</v>
      </c>
      <c r="J108" s="13">
        <f>VLOOKUP(B108,[1]单价!$A$1:$B$152,2,0)</f>
        <v>2399</v>
      </c>
      <c r="K108" s="13">
        <f t="shared" si="1"/>
        <v>95960</v>
      </c>
      <c r="L108" s="13">
        <f>VLOOKUP(B108,[1]进价!$A$1:$B$151,2,0)*表1[[#This Row],[销量]]</f>
        <v>77727.600000000006</v>
      </c>
    </row>
    <row r="109" spans="1:12" ht="15" customHeight="1" x14ac:dyDescent="0.15">
      <c r="A109" s="12">
        <v>106</v>
      </c>
      <c r="B109" s="3" t="s">
        <v>75</v>
      </c>
      <c r="C109" s="3" t="str">
        <f>VLOOKUP(B109,品名!$A$1:$C$151,2,0)</f>
        <v>康佳</v>
      </c>
      <c r="D109" s="3" t="str">
        <f>VLOOKUP(B109,品名!$A$1:$C$151,3,0)</f>
        <v>KONKA BCD-108S-GY 冰箱</v>
      </c>
      <c r="E109" s="3" t="str">
        <f>VLOOKUP(LEFT(B109,2),Sheet2!$A$1:$B$8,2,0)</f>
        <v>冰箱</v>
      </c>
      <c r="F109" s="4">
        <v>42910</v>
      </c>
      <c r="G109" s="3" t="s">
        <v>158</v>
      </c>
      <c r="H109" s="3" t="s">
        <v>170</v>
      </c>
      <c r="I109" s="5">
        <v>41</v>
      </c>
      <c r="J109" s="13">
        <f>VLOOKUP(B109,[1]单价!$A$1:$B$152,2,0)</f>
        <v>838</v>
      </c>
      <c r="K109" s="13">
        <f t="shared" si="1"/>
        <v>34358</v>
      </c>
      <c r="L109" s="13">
        <f>VLOOKUP(B109,[1]进价!$A$1:$B$151,2,0)*表1[[#This Row],[销量]]</f>
        <v>29547.879999999997</v>
      </c>
    </row>
    <row r="110" spans="1:12" ht="15" customHeight="1" x14ac:dyDescent="0.15">
      <c r="A110" s="12">
        <v>107</v>
      </c>
      <c r="B110" s="3" t="s">
        <v>45</v>
      </c>
      <c r="C110" s="3" t="str">
        <f>VLOOKUP(B110,品名!$A$1:$C$151,2,0)</f>
        <v>AO史密斯</v>
      </c>
      <c r="D110" s="3" t="str">
        <f>VLOOKUP(B110,品名!$A$1:$C$151,3,0)</f>
        <v>A.O.Smith ET300J-60 电热水器</v>
      </c>
      <c r="E110" s="3" t="str">
        <f>VLOOKUP(LEFT(B110,2),Sheet2!$A$1:$B$8,2,0)</f>
        <v>热水器</v>
      </c>
      <c r="F110" s="4">
        <v>42915</v>
      </c>
      <c r="G110" s="3" t="s">
        <v>158</v>
      </c>
      <c r="H110" s="3" t="s">
        <v>170</v>
      </c>
      <c r="I110" s="5">
        <v>25</v>
      </c>
      <c r="J110" s="13">
        <f>VLOOKUP(B110,[1]单价!$A$1:$B$152,2,0)</f>
        <v>2268</v>
      </c>
      <c r="K110" s="13">
        <f t="shared" si="1"/>
        <v>56700</v>
      </c>
      <c r="L110" s="13">
        <f>VLOOKUP(B110,[1]进价!$A$1:$B$151,2,0)*表1[[#This Row],[销量]]</f>
        <v>46494</v>
      </c>
    </row>
    <row r="111" spans="1:12" ht="15" customHeight="1" x14ac:dyDescent="0.15">
      <c r="A111" s="12">
        <v>108</v>
      </c>
      <c r="B111" s="3" t="s">
        <v>115</v>
      </c>
      <c r="C111" s="3" t="str">
        <f>VLOOKUP(B111,品名!$A$1:$C$151,2,0)</f>
        <v>戴尔</v>
      </c>
      <c r="D111" s="3" t="str">
        <f>VLOOKUP(B111,品名!$A$1:$C$151,3,0)</f>
        <v>Dell Ins15CR-4528B 15.6英寸笔记本电脑</v>
      </c>
      <c r="E111" s="3" t="str">
        <f>VLOOKUP(LEFT(B111,2),Sheet2!$A$1:$B$8,2,0)</f>
        <v>计算机</v>
      </c>
      <c r="F111" s="4">
        <v>42744</v>
      </c>
      <c r="G111" s="3" t="s">
        <v>162</v>
      </c>
      <c r="H111" s="3" t="s">
        <v>170</v>
      </c>
      <c r="I111" s="5">
        <v>49</v>
      </c>
      <c r="J111" s="13">
        <f>VLOOKUP(B111,[1]单价!$A$1:$B$152,2,0)</f>
        <v>3149</v>
      </c>
      <c r="K111" s="13">
        <f t="shared" si="1"/>
        <v>154301</v>
      </c>
      <c r="L111" s="13">
        <f>VLOOKUP(B111,[1]进价!$A$1:$B$151,2,0)*表1[[#This Row],[销量]]</f>
        <v>138870.9</v>
      </c>
    </row>
    <row r="112" spans="1:12" ht="15" customHeight="1" x14ac:dyDescent="0.15">
      <c r="A112" s="12">
        <v>109</v>
      </c>
      <c r="B112" s="3" t="s">
        <v>125</v>
      </c>
      <c r="C112" s="3" t="str">
        <f>VLOOKUP(B112,品名!$A$1:$C$151,2,0)</f>
        <v>Apple</v>
      </c>
      <c r="D112" s="3" t="str">
        <f>VLOOKUP(B112,品名!$A$1:$C$151,3,0)</f>
        <v xml:space="preserve">ME086CH/A iMac 21.5英寸一体机 银色 </v>
      </c>
      <c r="E112" s="3" t="str">
        <f>VLOOKUP(LEFT(B112,2),Sheet2!$A$1:$B$8,2,0)</f>
        <v>计算机</v>
      </c>
      <c r="F112" s="4">
        <v>42899</v>
      </c>
      <c r="G112" s="3" t="s">
        <v>162</v>
      </c>
      <c r="H112" s="3" t="s">
        <v>171</v>
      </c>
      <c r="I112" s="5">
        <v>19</v>
      </c>
      <c r="J112" s="13">
        <f>VLOOKUP(B112,[1]单价!$A$1:$B$152,2,0)</f>
        <v>9188</v>
      </c>
      <c r="K112" s="13">
        <f t="shared" si="1"/>
        <v>174572</v>
      </c>
      <c r="L112" s="13">
        <f>VLOOKUP(B112,[1]进价!$A$1:$B$151,2,0)*表1[[#This Row],[销量]]</f>
        <v>146640.48000000001</v>
      </c>
    </row>
    <row r="113" spans="1:12" ht="15" customHeight="1" x14ac:dyDescent="0.15">
      <c r="A113" s="12">
        <v>110</v>
      </c>
      <c r="B113" s="3" t="s">
        <v>137</v>
      </c>
      <c r="C113" s="3" t="str">
        <f>VLOOKUP(B113,品名!$A$1:$C$151,2,0)</f>
        <v>联想</v>
      </c>
      <c r="D113" s="3" t="str">
        <f>VLOOKUP(B113,品名!$A$1:$C$151,3,0)</f>
        <v>lenovo C5030 23英寸一体机 白色</v>
      </c>
      <c r="E113" s="3" t="str">
        <f>VLOOKUP(LEFT(B113,2),Sheet2!$A$1:$B$8,2,0)</f>
        <v>计算机</v>
      </c>
      <c r="F113" s="4">
        <v>42757</v>
      </c>
      <c r="G113" s="3" t="s">
        <v>162</v>
      </c>
      <c r="H113" s="3" t="s">
        <v>170</v>
      </c>
      <c r="I113" s="5">
        <v>33</v>
      </c>
      <c r="J113" s="13">
        <f>VLOOKUP(B113,[1]单价!$A$1:$B$152,2,0)</f>
        <v>4285</v>
      </c>
      <c r="K113" s="13">
        <f t="shared" si="1"/>
        <v>141405</v>
      </c>
      <c r="L113" s="13">
        <f>VLOOKUP(B113,[1]进价!$A$1:$B$151,2,0)*表1[[#This Row],[销量]]</f>
        <v>117366.15000000001</v>
      </c>
    </row>
    <row r="114" spans="1:12" ht="15" customHeight="1" x14ac:dyDescent="0.15">
      <c r="A114" s="12">
        <v>111</v>
      </c>
      <c r="B114" s="3" t="s">
        <v>148</v>
      </c>
      <c r="C114" s="3" t="str">
        <f>VLOOKUP(B114,品名!$A$1:$C$151,2,0)</f>
        <v>微软</v>
      </c>
      <c r="D114" s="3" t="str">
        <f>VLOOKUP(B114,品名!$A$1:$C$151,3,0)</f>
        <v>Microsoft Surface Pro 4 12.3英寸平板电脑</v>
      </c>
      <c r="E114" s="3" t="str">
        <f>VLOOKUP(LEFT(B114,2),Sheet2!$A$1:$B$8,2,0)</f>
        <v>计算机</v>
      </c>
      <c r="F114" s="4">
        <v>42764</v>
      </c>
      <c r="G114" s="3" t="s">
        <v>162</v>
      </c>
      <c r="H114" s="3" t="s">
        <v>170</v>
      </c>
      <c r="I114" s="5">
        <v>38</v>
      </c>
      <c r="J114" s="13">
        <f>VLOOKUP(B114,[1]单价!$A$1:$B$152,2,0)</f>
        <v>7388</v>
      </c>
      <c r="K114" s="13">
        <f t="shared" si="1"/>
        <v>280744</v>
      </c>
      <c r="L114" s="13">
        <f>VLOOKUP(B114,[1]进价!$A$1:$B$151,2,0)*表1[[#This Row],[销量]]</f>
        <v>252669.6</v>
      </c>
    </row>
    <row r="115" spans="1:12" ht="15" customHeight="1" x14ac:dyDescent="0.15">
      <c r="A115" s="12">
        <v>112</v>
      </c>
      <c r="B115" s="3" t="s">
        <v>8</v>
      </c>
      <c r="C115" s="3" t="str">
        <f>VLOOKUP(B115,品名!$A$1:$C$151,2,0)</f>
        <v>康佳</v>
      </c>
      <c r="D115" s="3" t="str">
        <f>VLOOKUP(B115,品名!$A$1:$C$151,3,0)</f>
        <v>KONKA LED32E320N 液晶电视</v>
      </c>
      <c r="E115" s="3" t="str">
        <f>VLOOKUP(LEFT(B115,2),Sheet2!$A$1:$B$8,2,0)</f>
        <v>电视</v>
      </c>
      <c r="F115" s="4">
        <v>42771</v>
      </c>
      <c r="G115" s="3" t="s">
        <v>162</v>
      </c>
      <c r="H115" s="3" t="s">
        <v>170</v>
      </c>
      <c r="I115" s="5">
        <v>15</v>
      </c>
      <c r="J115" s="13">
        <f>VLOOKUP(B115,[1]单价!$A$1:$B$152,2,0)</f>
        <v>1798</v>
      </c>
      <c r="K115" s="13">
        <f t="shared" si="1"/>
        <v>26970</v>
      </c>
      <c r="L115" s="13">
        <f>VLOOKUP(B115,[1]进价!$A$1:$B$151,2,0)*表1[[#This Row],[销量]]</f>
        <v>22654.799999999999</v>
      </c>
    </row>
    <row r="116" spans="1:12" ht="15" customHeight="1" x14ac:dyDescent="0.15">
      <c r="A116" s="12">
        <v>113</v>
      </c>
      <c r="B116" s="3" t="s">
        <v>18</v>
      </c>
      <c r="C116" s="3" t="str">
        <f>VLOOKUP(B116,品名!$A$1:$C$151,2,0)</f>
        <v>索尼</v>
      </c>
      <c r="D116" s="3" t="str">
        <f>VLOOKUP(B116,品名!$A$1:$C$151,3,0)</f>
        <v>SONY KLV-40R476A平板电视</v>
      </c>
      <c r="E116" s="3" t="str">
        <f>VLOOKUP(LEFT(B116,2),Sheet2!$A$1:$B$8,2,0)</f>
        <v>电视</v>
      </c>
      <c r="F116" s="4">
        <v>42779</v>
      </c>
      <c r="G116" s="3" t="s">
        <v>162</v>
      </c>
      <c r="H116" s="3" t="s">
        <v>170</v>
      </c>
      <c r="I116" s="5">
        <v>30</v>
      </c>
      <c r="J116" s="13">
        <f>VLOOKUP(B116,[1]单价!$A$1:$B$152,2,0)</f>
        <v>3899</v>
      </c>
      <c r="K116" s="13">
        <f t="shared" si="1"/>
        <v>116970</v>
      </c>
      <c r="L116" s="13">
        <f>VLOOKUP(B116,[1]进价!$A$1:$B$151,2,0)*表1[[#This Row],[销量]]</f>
        <v>102933.59999999999</v>
      </c>
    </row>
    <row r="117" spans="1:12" ht="15" customHeight="1" x14ac:dyDescent="0.15">
      <c r="A117" s="12">
        <v>114</v>
      </c>
      <c r="B117" s="3" t="s">
        <v>28</v>
      </c>
      <c r="C117" s="3" t="str">
        <f>VLOOKUP(B117,品名!$A$1:$C$151,2,0)</f>
        <v>TCL</v>
      </c>
      <c r="D117" s="3" t="str">
        <f>VLOOKUP(B117,品名!$A$1:$C$151,3,0)</f>
        <v>KFRd-25GW/FC23</v>
      </c>
      <c r="E117" s="3" t="str">
        <f>VLOOKUP(LEFT(B117,2),Sheet2!$A$1:$B$8,2,0)</f>
        <v>空调</v>
      </c>
      <c r="F117" s="4">
        <v>42786</v>
      </c>
      <c r="G117" s="3" t="s">
        <v>162</v>
      </c>
      <c r="H117" s="3" t="s">
        <v>170</v>
      </c>
      <c r="I117" s="5">
        <v>8</v>
      </c>
      <c r="J117" s="13">
        <f>VLOOKUP(B117,[1]单价!$A$1:$B$152,2,0)</f>
        <v>1769</v>
      </c>
      <c r="K117" s="13">
        <f t="shared" si="1"/>
        <v>14152</v>
      </c>
      <c r="L117" s="13">
        <f>VLOOKUP(B117,[1]进价!$A$1:$B$151,2,0)*表1[[#This Row],[销量]]</f>
        <v>12170.72</v>
      </c>
    </row>
    <row r="118" spans="1:12" ht="15" customHeight="1" x14ac:dyDescent="0.15">
      <c r="A118" s="12">
        <v>115</v>
      </c>
      <c r="B118" s="3" t="s">
        <v>38</v>
      </c>
      <c r="C118" s="3" t="str">
        <f>VLOOKUP(B118,品名!$A$1:$C$151,2,0)</f>
        <v>海信</v>
      </c>
      <c r="D118" s="3" t="str">
        <f>VLOOKUP(B118,品名!$A$1:$C$151,3,0)</f>
        <v>Hisense KFR-35GW/ER01N2空调</v>
      </c>
      <c r="E118" s="3" t="str">
        <f>VLOOKUP(LEFT(B118,2),Sheet2!$A$1:$B$8,2,0)</f>
        <v>空调</v>
      </c>
      <c r="F118" s="4">
        <v>42795</v>
      </c>
      <c r="G118" s="3" t="s">
        <v>162</v>
      </c>
      <c r="H118" s="3" t="s">
        <v>170</v>
      </c>
      <c r="I118" s="5">
        <v>31</v>
      </c>
      <c r="J118" s="13">
        <f>VLOOKUP(B118,[1]单价!$A$1:$B$152,2,0)</f>
        <v>2379</v>
      </c>
      <c r="K118" s="13">
        <f t="shared" si="1"/>
        <v>73749</v>
      </c>
      <c r="L118" s="13">
        <f>VLOOKUP(B118,[1]进价!$A$1:$B$151,2,0)*表1[[#This Row],[销量]]</f>
        <v>62686.65</v>
      </c>
    </row>
    <row r="119" spans="1:12" ht="15" customHeight="1" x14ac:dyDescent="0.15">
      <c r="A119" s="12">
        <v>116</v>
      </c>
      <c r="B119" s="3" t="s">
        <v>70</v>
      </c>
      <c r="C119" s="3" t="str">
        <f>VLOOKUP(B119,品名!$A$1:$C$151,2,0)</f>
        <v>海尔</v>
      </c>
      <c r="D119" s="3" t="str">
        <f>VLOOKUP(B119,品名!$A$1:$C$151,3,0)</f>
        <v>Haier BCD-190TMPK 冰箱</v>
      </c>
      <c r="E119" s="3" t="str">
        <f>VLOOKUP(LEFT(B119,2),Sheet2!$A$1:$B$8,2,0)</f>
        <v>冰箱</v>
      </c>
      <c r="F119" s="4">
        <v>42802</v>
      </c>
      <c r="G119" s="3" t="s">
        <v>162</v>
      </c>
      <c r="H119" s="3" t="s">
        <v>170</v>
      </c>
      <c r="I119" s="5">
        <v>14</v>
      </c>
      <c r="J119" s="13">
        <f>VLOOKUP(B119,[1]单价!$A$1:$B$152,2,0)</f>
        <v>1299</v>
      </c>
      <c r="K119" s="13">
        <f t="shared" si="1"/>
        <v>18186</v>
      </c>
      <c r="L119" s="13">
        <f>VLOOKUP(B119,[1]进价!$A$1:$B$151,2,0)*表1[[#This Row],[销量]]</f>
        <v>14548.800000000001</v>
      </c>
    </row>
    <row r="120" spans="1:12" ht="15" customHeight="1" x14ac:dyDescent="0.15">
      <c r="A120" s="12">
        <v>117</v>
      </c>
      <c r="B120" s="3" t="s">
        <v>79</v>
      </c>
      <c r="C120" s="3" t="str">
        <f>VLOOKUP(B120,品名!$A$1:$C$151,2,0)</f>
        <v>美菱</v>
      </c>
      <c r="D120" s="3" t="str">
        <f>VLOOKUP(B120,品名!$A$1:$C$151,3,0)</f>
        <v>MeLing BCD-206L3CT冰箱</v>
      </c>
      <c r="E120" s="3" t="str">
        <f>VLOOKUP(LEFT(B120,2),Sheet2!$A$1:$B$8,2,0)</f>
        <v>冰箱</v>
      </c>
      <c r="F120" s="4">
        <v>42809</v>
      </c>
      <c r="G120" s="3" t="s">
        <v>162</v>
      </c>
      <c r="H120" s="3" t="s">
        <v>170</v>
      </c>
      <c r="I120" s="5">
        <v>9</v>
      </c>
      <c r="J120" s="13">
        <f>VLOOKUP(B120,[1]单价!$A$1:$B$152,2,0)</f>
        <v>1490</v>
      </c>
      <c r="K120" s="13">
        <f t="shared" si="1"/>
        <v>13410</v>
      </c>
      <c r="L120" s="13">
        <f>VLOOKUP(B120,[1]进价!$A$1:$B$151,2,0)*表1[[#This Row],[销量]]</f>
        <v>10728</v>
      </c>
    </row>
    <row r="121" spans="1:12" ht="15" customHeight="1" x14ac:dyDescent="0.15">
      <c r="A121" s="12">
        <v>118</v>
      </c>
      <c r="B121" s="3" t="s">
        <v>48</v>
      </c>
      <c r="C121" s="3" t="str">
        <f>VLOOKUP(B121,品名!$A$1:$C$151,2,0)</f>
        <v>海尔</v>
      </c>
      <c r="D121" s="3" t="str">
        <f>VLOOKUP(B121,品名!$A$1:$C$151,3,0)</f>
        <v>Haier A1 10升天然气热水器</v>
      </c>
      <c r="E121" s="3" t="str">
        <f>VLOOKUP(LEFT(B121,2),Sheet2!$A$1:$B$8,2,0)</f>
        <v>热水器</v>
      </c>
      <c r="F121" s="4">
        <v>42816</v>
      </c>
      <c r="G121" s="3" t="s">
        <v>162</v>
      </c>
      <c r="H121" s="3" t="s">
        <v>171</v>
      </c>
      <c r="I121" s="5">
        <v>20</v>
      </c>
      <c r="J121" s="13">
        <f>VLOOKUP(B121,[1]单价!$A$1:$B$152,2,0)</f>
        <v>1298</v>
      </c>
      <c r="K121" s="13">
        <f t="shared" si="1"/>
        <v>25960</v>
      </c>
      <c r="L121" s="13">
        <f>VLOOKUP(B121,[1]进价!$A$1:$B$151,2,0)*表1[[#This Row],[销量]]</f>
        <v>20768</v>
      </c>
    </row>
    <row r="122" spans="1:12" ht="15" customHeight="1" x14ac:dyDescent="0.15">
      <c r="A122" s="12">
        <v>119</v>
      </c>
      <c r="B122" s="3" t="s">
        <v>57</v>
      </c>
      <c r="C122" s="3" t="str">
        <f>VLOOKUP(B122,品名!$A$1:$C$151,2,0)</f>
        <v>美的</v>
      </c>
      <c r="D122" s="3" t="str">
        <f>VLOOKUP(B122,品名!$A$1:$C$151,3,0)</f>
        <v>Midea F05-15A(S)小厨宝</v>
      </c>
      <c r="E122" s="3" t="str">
        <f>VLOOKUP(LEFT(B122,2),Sheet2!$A$1:$B$8,2,0)</f>
        <v>热水器</v>
      </c>
      <c r="F122" s="4">
        <v>42822</v>
      </c>
      <c r="G122" s="3" t="s">
        <v>162</v>
      </c>
      <c r="H122" s="3" t="s">
        <v>171</v>
      </c>
      <c r="I122" s="5">
        <v>26</v>
      </c>
      <c r="J122" s="13">
        <f>VLOOKUP(B122,[1]单价!$A$1:$B$152,2,0)</f>
        <v>399</v>
      </c>
      <c r="K122" s="13">
        <f t="shared" si="1"/>
        <v>10374</v>
      </c>
      <c r="L122" s="13">
        <f>VLOOKUP(B122,[1]进价!$A$1:$B$151,2,0)*表1[[#This Row],[销量]]</f>
        <v>8610.42</v>
      </c>
    </row>
    <row r="123" spans="1:12" ht="15" customHeight="1" x14ac:dyDescent="0.15">
      <c r="A123" s="12">
        <v>120</v>
      </c>
      <c r="B123" s="3" t="s">
        <v>85</v>
      </c>
      <c r="C123" s="3" t="str">
        <f>VLOOKUP(B123,品名!$A$1:$C$151,2,0)</f>
        <v>LG</v>
      </c>
      <c r="D123" s="3" t="str">
        <f>VLOOKUP(B123,品名!$A$1:$C$151,3,0)</f>
        <v>WD-N12430D 6公斤滚筒洗衣机</v>
      </c>
      <c r="E123" s="3" t="str">
        <f>VLOOKUP(LEFT(B123,2),Sheet2!$A$1:$B$8,2,0)</f>
        <v>洗衣机</v>
      </c>
      <c r="F123" s="4">
        <v>42830</v>
      </c>
      <c r="G123" s="3" t="s">
        <v>162</v>
      </c>
      <c r="H123" s="3" t="s">
        <v>171</v>
      </c>
      <c r="I123" s="5">
        <v>39</v>
      </c>
      <c r="J123" s="13">
        <f>VLOOKUP(B123,[1]单价!$A$1:$B$152,2,0)</f>
        <v>2599</v>
      </c>
      <c r="K123" s="13">
        <f t="shared" si="1"/>
        <v>101361</v>
      </c>
      <c r="L123" s="13">
        <f>VLOOKUP(B123,[1]进价!$A$1:$B$151,2,0)*表1[[#This Row],[销量]]</f>
        <v>88184.07</v>
      </c>
    </row>
    <row r="124" spans="1:12" ht="15" customHeight="1" x14ac:dyDescent="0.15">
      <c r="A124" s="12">
        <v>121</v>
      </c>
      <c r="B124" s="3" t="s">
        <v>94</v>
      </c>
      <c r="C124" s="3" t="str">
        <f>VLOOKUP(B124,品名!$A$1:$C$151,2,0)</f>
        <v>海尔</v>
      </c>
      <c r="D124" s="3" t="str">
        <f>VLOOKUP(B124,品名!$A$1:$C$151,3,0)</f>
        <v>Haier XQB60-M918 洗衣机</v>
      </c>
      <c r="E124" s="3" t="str">
        <f>VLOOKUP(LEFT(B124,2),Sheet2!$A$1:$B$8,2,0)</f>
        <v>洗衣机</v>
      </c>
      <c r="F124" s="4">
        <v>42838</v>
      </c>
      <c r="G124" s="3" t="s">
        <v>162</v>
      </c>
      <c r="H124" s="3" t="s">
        <v>171</v>
      </c>
      <c r="I124" s="5">
        <v>43</v>
      </c>
      <c r="J124" s="13">
        <f>VLOOKUP(B124,[1]单价!$A$1:$B$152,2,0)</f>
        <v>1188</v>
      </c>
      <c r="K124" s="13">
        <f t="shared" si="1"/>
        <v>51084</v>
      </c>
      <c r="L124" s="13">
        <f>VLOOKUP(B124,[1]进价!$A$1:$B$151,2,0)*表1[[#This Row],[销量]]</f>
        <v>41378.04</v>
      </c>
    </row>
    <row r="125" spans="1:12" ht="15" customHeight="1" x14ac:dyDescent="0.15">
      <c r="A125" s="12">
        <v>122</v>
      </c>
      <c r="B125" s="3" t="s">
        <v>101</v>
      </c>
      <c r="C125" s="3" t="str">
        <f>VLOOKUP(B125,品名!$A$1:$C$151,2,0)</f>
        <v>西格玛</v>
      </c>
      <c r="D125" s="3" t="str">
        <f>VLOOKUP(B125,品名!$A$1:$C$151,3,0)</f>
        <v>sigma 家用除菌全自动滚筒干衣机</v>
      </c>
      <c r="E125" s="3" t="str">
        <f>VLOOKUP(LEFT(B125,2),Sheet2!$A$1:$B$8,2,0)</f>
        <v>洗衣机</v>
      </c>
      <c r="F125" s="4">
        <v>42850</v>
      </c>
      <c r="G125" s="3" t="s">
        <v>162</v>
      </c>
      <c r="H125" s="3" t="s">
        <v>171</v>
      </c>
      <c r="I125" s="5">
        <v>31</v>
      </c>
      <c r="J125" s="13">
        <f>VLOOKUP(B125,[1]单价!$A$1:$B$152,2,0)</f>
        <v>1489</v>
      </c>
      <c r="K125" s="13">
        <f t="shared" si="1"/>
        <v>46159</v>
      </c>
      <c r="L125" s="13">
        <f>VLOOKUP(B125,[1]进价!$A$1:$B$151,2,0)*表1[[#This Row],[销量]]</f>
        <v>40158.33</v>
      </c>
    </row>
    <row r="126" spans="1:12" ht="15" customHeight="1" x14ac:dyDescent="0.15">
      <c r="A126" s="12">
        <v>123</v>
      </c>
      <c r="B126" s="3" t="s">
        <v>109</v>
      </c>
      <c r="C126" s="3" t="str">
        <f>VLOOKUP(B126,品名!$A$1:$C$151,2,0)</f>
        <v>Apple</v>
      </c>
      <c r="D126" s="3" t="str">
        <f>VLOOKUP(B126,品名!$A$1:$C$151,3,0)</f>
        <v>MacBook Pro MJLQ2CH/A 15.4英寸笔记本电脑</v>
      </c>
      <c r="E126" s="3" t="str">
        <f>VLOOKUP(LEFT(B126,2),Sheet2!$A$1:$B$8,2,0)</f>
        <v>计算机</v>
      </c>
      <c r="F126" s="4">
        <v>42856</v>
      </c>
      <c r="G126" s="3" t="s">
        <v>162</v>
      </c>
      <c r="H126" s="3" t="s">
        <v>171</v>
      </c>
      <c r="I126" s="5">
        <v>45</v>
      </c>
      <c r="J126" s="13">
        <f>VLOOKUP(B126,[1]单价!$A$1:$B$152,2,0)</f>
        <v>13388</v>
      </c>
      <c r="K126" s="13">
        <f t="shared" si="1"/>
        <v>602460</v>
      </c>
      <c r="L126" s="13">
        <f>VLOOKUP(B126,[1]进价!$A$1:$B$151,2,0)*表1[[#This Row],[销量]]</f>
        <v>512090.99999999994</v>
      </c>
    </row>
    <row r="127" spans="1:12" ht="15" customHeight="1" x14ac:dyDescent="0.15">
      <c r="A127" s="12">
        <v>124</v>
      </c>
      <c r="B127" s="3" t="s">
        <v>117</v>
      </c>
      <c r="C127" s="3" t="str">
        <f>VLOOKUP(B127,品名!$A$1:$C$151,2,0)</f>
        <v>戴尔</v>
      </c>
      <c r="D127" s="3" t="str">
        <f>VLOOKUP(B127,品名!$A$1:$C$151,3,0)</f>
        <v>Dell XPS13-9350-R1708S 13.3英寸超极本</v>
      </c>
      <c r="E127" s="3" t="str">
        <f>VLOOKUP(LEFT(B127,2),Sheet2!$A$1:$B$8,2,0)</f>
        <v>计算机</v>
      </c>
      <c r="F127" s="4">
        <v>42862</v>
      </c>
      <c r="G127" s="3" t="s">
        <v>162</v>
      </c>
      <c r="H127" s="3" t="s">
        <v>171</v>
      </c>
      <c r="I127" s="5">
        <v>8</v>
      </c>
      <c r="J127" s="13">
        <f>VLOOKUP(B127,[1]单价!$A$1:$B$152,2,0)</f>
        <v>8899</v>
      </c>
      <c r="K127" s="13">
        <f t="shared" si="1"/>
        <v>71192</v>
      </c>
      <c r="L127" s="13">
        <f>VLOOKUP(B127,[1]进价!$A$1:$B$151,2,0)*表1[[#This Row],[销量]]</f>
        <v>62648.959999999999</v>
      </c>
    </row>
    <row r="128" spans="1:12" ht="15" customHeight="1" x14ac:dyDescent="0.15">
      <c r="A128" s="12">
        <v>125</v>
      </c>
      <c r="B128" s="3" t="s">
        <v>127</v>
      </c>
      <c r="C128" s="3" t="str">
        <f>VLOOKUP(B128,品名!$A$1:$C$151,2,0)</f>
        <v>Apple</v>
      </c>
      <c r="D128" s="3" t="str">
        <f>VLOOKUP(B128,品名!$A$1:$C$151,3,0)</f>
        <v xml:space="preserve">iMac MK452CH/A 21.5英寸一体机 </v>
      </c>
      <c r="E128" s="3" t="str">
        <f>VLOOKUP(LEFT(B128,2),Sheet2!$A$1:$B$8,2,0)</f>
        <v>计算机</v>
      </c>
      <c r="F128" s="4">
        <v>42869</v>
      </c>
      <c r="G128" s="3" t="s">
        <v>162</v>
      </c>
      <c r="H128" s="3" t="s">
        <v>171</v>
      </c>
      <c r="I128" s="5">
        <v>22</v>
      </c>
      <c r="J128" s="13">
        <f>VLOOKUP(B128,[1]单价!$A$1:$B$152,2,0)</f>
        <v>10888</v>
      </c>
      <c r="K128" s="13">
        <f t="shared" si="1"/>
        <v>239536</v>
      </c>
      <c r="L128" s="13">
        <f>VLOOKUP(B128,[1]进价!$A$1:$B$151,2,0)*表1[[#This Row],[销量]]</f>
        <v>208396.31999999998</v>
      </c>
    </row>
    <row r="129" spans="1:12" ht="15" customHeight="1" x14ac:dyDescent="0.15">
      <c r="A129" s="12">
        <v>126</v>
      </c>
      <c r="B129" s="3" t="s">
        <v>134</v>
      </c>
      <c r="C129" s="3" t="str">
        <f>VLOOKUP(B129,品名!$A$1:$C$151,2,0)</f>
        <v>联想</v>
      </c>
      <c r="D129" s="3" t="str">
        <f>VLOOKUP(B129,品名!$A$1:$C$151,3,0)</f>
        <v>lenovo C4030一体机 白色</v>
      </c>
      <c r="E129" s="3" t="str">
        <f>VLOOKUP(LEFT(B129,2),Sheet2!$A$1:$B$8,2,0)</f>
        <v>计算机</v>
      </c>
      <c r="F129" s="4">
        <v>42878</v>
      </c>
      <c r="G129" s="3" t="s">
        <v>162</v>
      </c>
      <c r="H129" s="3" t="s">
        <v>171</v>
      </c>
      <c r="I129" s="5">
        <v>6</v>
      </c>
      <c r="J129" s="13">
        <f>VLOOKUP(B129,[1]单价!$A$1:$B$152,2,0)</f>
        <v>3530</v>
      </c>
      <c r="K129" s="13">
        <f t="shared" si="1"/>
        <v>21180</v>
      </c>
      <c r="L129" s="13">
        <f>VLOOKUP(B129,[1]进价!$A$1:$B$151,2,0)*表1[[#This Row],[销量]]</f>
        <v>16944</v>
      </c>
    </row>
    <row r="130" spans="1:12" ht="15" customHeight="1" x14ac:dyDescent="0.15">
      <c r="A130" s="12">
        <v>127</v>
      </c>
      <c r="B130" s="3" t="s">
        <v>143</v>
      </c>
      <c r="C130" s="3" t="str">
        <f>VLOOKUP(B130,品名!$A$1:$C$151,2,0)</f>
        <v>Apple</v>
      </c>
      <c r="D130" s="3" t="str">
        <f>VLOOKUP(B130,品名!$A$1:$C$151,3,0)</f>
        <v>iPad mini 4 MK9J2CH/A 7.9英寸平板电脑 金色</v>
      </c>
      <c r="E130" s="3" t="str">
        <f>VLOOKUP(LEFT(B130,2),Sheet2!$A$1:$B$8,2,0)</f>
        <v>计算机</v>
      </c>
      <c r="F130" s="4">
        <v>42884</v>
      </c>
      <c r="G130" s="3" t="s">
        <v>162</v>
      </c>
      <c r="H130" s="3" t="s">
        <v>171</v>
      </c>
      <c r="I130" s="5">
        <v>17</v>
      </c>
      <c r="J130" s="13">
        <f>VLOOKUP(B130,[1]单价!$A$1:$B$152,2,0)</f>
        <v>3558</v>
      </c>
      <c r="K130" s="13">
        <f t="shared" si="1"/>
        <v>60486</v>
      </c>
      <c r="L130" s="13">
        <f>VLOOKUP(B130,[1]进价!$A$1:$B$151,2,0)*表1[[#This Row],[销量]]</f>
        <v>48993.66</v>
      </c>
    </row>
    <row r="131" spans="1:12" ht="15" customHeight="1" x14ac:dyDescent="0.15">
      <c r="A131" s="12">
        <v>128</v>
      </c>
      <c r="B131" s="3" t="s">
        <v>7</v>
      </c>
      <c r="C131" s="3" t="str">
        <f>VLOOKUP(B131,品名!$A$1:$C$151,2,0)</f>
        <v>海信</v>
      </c>
      <c r="D131" s="3" t="str">
        <f>VLOOKUP(B131,品名!$A$1:$C$151,3,0)</f>
        <v>Hisense LED32K200 32英寸LED高清电视</v>
      </c>
      <c r="E131" s="3" t="str">
        <f>VLOOKUP(LEFT(B131,2),Sheet2!$A$1:$B$8,2,0)</f>
        <v>电视</v>
      </c>
      <c r="F131" s="4">
        <v>42899</v>
      </c>
      <c r="G131" s="3" t="s">
        <v>162</v>
      </c>
      <c r="H131" s="3" t="s">
        <v>171</v>
      </c>
      <c r="I131" s="5">
        <v>14</v>
      </c>
      <c r="J131" s="13">
        <f>VLOOKUP(B131,[1]单价!$A$1:$B$152,2,0)</f>
        <v>1699</v>
      </c>
      <c r="K131" s="13">
        <f t="shared" si="1"/>
        <v>23786</v>
      </c>
      <c r="L131" s="13">
        <f>VLOOKUP(B131,[1]进价!$A$1:$B$151,2,0)*表1[[#This Row],[销量]]</f>
        <v>19504.52</v>
      </c>
    </row>
    <row r="132" spans="1:12" ht="15" customHeight="1" x14ac:dyDescent="0.15">
      <c r="A132" s="12">
        <v>129</v>
      </c>
      <c r="B132" s="3" t="s">
        <v>15</v>
      </c>
      <c r="C132" s="3" t="str">
        <f>VLOOKUP(B132,品名!$A$1:$C$151,2,0)</f>
        <v>海信</v>
      </c>
      <c r="D132" s="3" t="str">
        <f>VLOOKUP(B132,品名!$A$1:$C$151,3,0)</f>
        <v>HisenseLED39K200J 39英寸全高清LED液晶电视</v>
      </c>
      <c r="E132" s="3" t="str">
        <f>VLOOKUP(LEFT(B132,2),Sheet2!$A$1:$B$8,2,0)</f>
        <v>电视</v>
      </c>
      <c r="F132" s="4">
        <v>42905</v>
      </c>
      <c r="G132" s="3" t="s">
        <v>162</v>
      </c>
      <c r="H132" s="3" t="s">
        <v>170</v>
      </c>
      <c r="I132" s="5">
        <v>19</v>
      </c>
      <c r="J132" s="13">
        <f>VLOOKUP(B132,[1]单价!$A$1:$B$152,2,0)</f>
        <v>2499</v>
      </c>
      <c r="K132" s="13">
        <f t="shared" si="1"/>
        <v>47481</v>
      </c>
      <c r="L132" s="13">
        <f>VLOOKUP(B132,[1]进价!$A$1:$B$151,2,0)*表1[[#This Row],[销量]]</f>
        <v>40833.659999999996</v>
      </c>
    </row>
    <row r="133" spans="1:12" ht="15" customHeight="1" x14ac:dyDescent="0.15">
      <c r="A133" s="12">
        <v>130</v>
      </c>
      <c r="B133" s="3" t="s">
        <v>23</v>
      </c>
      <c r="C133" s="3" t="str">
        <f>VLOOKUP(B133,品名!$A$1:$C$151,2,0)</f>
        <v>长虹</v>
      </c>
      <c r="D133" s="3" t="str">
        <f>VLOOKUP(B133,品名!$A$1:$C$151,3,0)</f>
        <v>ChangHong LED32B1300平板电视</v>
      </c>
      <c r="E133" s="3" t="str">
        <f>VLOOKUP(LEFT(B133,2),Sheet2!$A$1:$B$8,2,0)</f>
        <v>电视</v>
      </c>
      <c r="F133" s="4">
        <v>42909</v>
      </c>
      <c r="G133" s="3" t="s">
        <v>162</v>
      </c>
      <c r="H133" s="3" t="s">
        <v>171</v>
      </c>
      <c r="I133" s="5">
        <v>15</v>
      </c>
      <c r="J133" s="13">
        <f>VLOOKUP(B133,[1]单价!$A$1:$B$152,2,0)</f>
        <v>1649</v>
      </c>
      <c r="K133" s="13">
        <f t="shared" ref="K133:K196" si="2">I133*J133</f>
        <v>24735</v>
      </c>
      <c r="L133" s="13">
        <f>VLOOKUP(B133,[1]进价!$A$1:$B$151,2,0)*表1[[#This Row],[销量]]</f>
        <v>21519.45</v>
      </c>
    </row>
    <row r="134" spans="1:12" ht="15" customHeight="1" x14ac:dyDescent="0.15">
      <c r="A134" s="12">
        <v>131</v>
      </c>
      <c r="B134" s="3" t="s">
        <v>31</v>
      </c>
      <c r="C134" s="3" t="str">
        <f>VLOOKUP(B134,品名!$A$1:$C$151,2,0)</f>
        <v>奥克斯</v>
      </c>
      <c r="D134" s="3" t="str">
        <f>VLOOKUP(B134,品名!$A$1:$C$151,3,0)</f>
        <v>KFR-32GW/SQB+2空调</v>
      </c>
      <c r="E134" s="3" t="str">
        <f>VLOOKUP(LEFT(B134,2),Sheet2!$A$1:$B$8,2,0)</f>
        <v>空调</v>
      </c>
      <c r="F134" s="4">
        <v>42915</v>
      </c>
      <c r="G134" s="3" t="s">
        <v>162</v>
      </c>
      <c r="H134" s="3" t="s">
        <v>170</v>
      </c>
      <c r="I134" s="5">
        <v>6</v>
      </c>
      <c r="J134" s="13">
        <f>VLOOKUP(B134,[1]单价!$A$1:$B$152,2,0)</f>
        <v>2279</v>
      </c>
      <c r="K134" s="13">
        <f t="shared" si="2"/>
        <v>13674</v>
      </c>
      <c r="L134" s="13">
        <f>VLOOKUP(B134,[1]进价!$A$1:$B$151,2,0)*表1[[#This Row],[销量]]</f>
        <v>12033.119999999999</v>
      </c>
    </row>
    <row r="135" spans="1:12" ht="15" customHeight="1" x14ac:dyDescent="0.15">
      <c r="A135" s="12">
        <v>132</v>
      </c>
      <c r="B135" s="3" t="s">
        <v>40</v>
      </c>
      <c r="C135" s="3" t="str">
        <f>VLOOKUP(B135,品名!$A$1:$C$151,2,0)</f>
        <v>月兔</v>
      </c>
      <c r="D135" s="3" t="str">
        <f>VLOOKUP(B135,品名!$A$1:$C$151,3,0)</f>
        <v>KFR-25GW/d03-A2c-70Y5R空调</v>
      </c>
      <c r="E135" s="3" t="str">
        <f>VLOOKUP(LEFT(B135,2),Sheet2!$A$1:$B$8,2,0)</f>
        <v>空调</v>
      </c>
      <c r="F135" s="4">
        <v>42893</v>
      </c>
      <c r="G135" s="3" t="s">
        <v>162</v>
      </c>
      <c r="H135" s="3" t="s">
        <v>170</v>
      </c>
      <c r="I135" s="5">
        <v>7</v>
      </c>
      <c r="J135" s="13">
        <f>VLOOKUP(B135,[1]单价!$A$1:$B$152,2,0)</f>
        <v>1499</v>
      </c>
      <c r="K135" s="13">
        <f t="shared" si="2"/>
        <v>10493</v>
      </c>
      <c r="L135" s="13">
        <f>VLOOKUP(B135,[1]进价!$A$1:$B$151,2,0)*表1[[#This Row],[销量]]</f>
        <v>8499.33</v>
      </c>
    </row>
    <row r="136" spans="1:12" ht="15" customHeight="1" x14ac:dyDescent="0.15">
      <c r="A136" s="12">
        <v>133</v>
      </c>
      <c r="B136" s="3" t="s">
        <v>51</v>
      </c>
      <c r="C136" s="3" t="str">
        <f>VLOOKUP(B136,品名!$A$1:$C$151,2,0)</f>
        <v>海尔</v>
      </c>
      <c r="D136" s="3" t="str">
        <f>VLOOKUP(B136,品名!$A$1:$C$151,3,0)</f>
        <v>Haier EC6002-D 60升遥控电热水器</v>
      </c>
      <c r="E136" s="3" t="str">
        <f>VLOOKUP(LEFT(B136,2),Sheet2!$A$1:$B$8,2,0)</f>
        <v>热水器</v>
      </c>
      <c r="F136" s="4">
        <v>42747</v>
      </c>
      <c r="G136" s="3" t="s">
        <v>162</v>
      </c>
      <c r="H136" s="3" t="s">
        <v>170</v>
      </c>
      <c r="I136" s="5">
        <v>11</v>
      </c>
      <c r="J136" s="13">
        <f>VLOOKUP(B136,[1]单价!$A$1:$B$152,2,0)</f>
        <v>1298</v>
      </c>
      <c r="K136" s="13">
        <f t="shared" si="2"/>
        <v>14278</v>
      </c>
      <c r="L136" s="13">
        <f>VLOOKUP(B136,[1]进价!$A$1:$B$151,2,0)*表1[[#This Row],[销量]]</f>
        <v>12564.64</v>
      </c>
    </row>
    <row r="137" spans="1:12" ht="15" customHeight="1" x14ac:dyDescent="0.15">
      <c r="A137" s="12">
        <v>134</v>
      </c>
      <c r="B137" s="3" t="s">
        <v>68</v>
      </c>
      <c r="C137" s="3" t="str">
        <f>VLOOKUP(B137,品名!$A$1:$C$151,2,0)</f>
        <v>奥马</v>
      </c>
      <c r="D137" s="3" t="str">
        <f>VLOOKUP(B137,品名!$A$1:$C$151,3,0)</f>
        <v>BCD-118A5双门冰箱</v>
      </c>
      <c r="E137" s="3" t="str">
        <f>VLOOKUP(LEFT(B137,2),Sheet2!$A$1:$B$8,2,0)</f>
        <v>冰箱</v>
      </c>
      <c r="F137" s="4">
        <v>42749</v>
      </c>
      <c r="G137" s="3" t="s">
        <v>162</v>
      </c>
      <c r="H137" s="3" t="s">
        <v>170</v>
      </c>
      <c r="I137" s="5">
        <v>22</v>
      </c>
      <c r="J137" s="13">
        <f>VLOOKUP(B137,[1]单价!$A$1:$B$152,2,0)</f>
        <v>888</v>
      </c>
      <c r="K137" s="13">
        <f t="shared" si="2"/>
        <v>19536</v>
      </c>
      <c r="L137" s="13">
        <f>VLOOKUP(B137,[1]进价!$A$1:$B$151,2,0)*表1[[#This Row],[销量]]</f>
        <v>16214.88</v>
      </c>
    </row>
    <row r="138" spans="1:12" ht="15" customHeight="1" x14ac:dyDescent="0.15">
      <c r="A138" s="12">
        <v>135</v>
      </c>
      <c r="B138" s="3" t="s">
        <v>59</v>
      </c>
      <c r="C138" s="3" t="str">
        <f>VLOOKUP(B138,品名!$A$1:$C$151,2,0)</f>
        <v>美的</v>
      </c>
      <c r="D138" s="3" t="str">
        <f>VLOOKUP(B138,品名!$A$1:$C$151,3,0)</f>
        <v>Midea JSQ22-12HWB 12升 燃气热水器</v>
      </c>
      <c r="E138" s="3" t="str">
        <f>VLOOKUP(LEFT(B138,2),Sheet2!$A$1:$B$8,2,0)</f>
        <v>热水器</v>
      </c>
      <c r="F138" s="4">
        <v>42753</v>
      </c>
      <c r="G138" s="3" t="s">
        <v>162</v>
      </c>
      <c r="H138" s="3" t="s">
        <v>170</v>
      </c>
      <c r="I138" s="5">
        <v>31</v>
      </c>
      <c r="J138" s="13">
        <f>VLOOKUP(B138,[1]单价!$A$1:$B$152,2,0)</f>
        <v>1499</v>
      </c>
      <c r="K138" s="13">
        <f t="shared" si="2"/>
        <v>46469</v>
      </c>
      <c r="L138" s="13">
        <f>VLOOKUP(B138,[1]进价!$A$1:$B$151,2,0)*表1[[#This Row],[销量]]</f>
        <v>37639.89</v>
      </c>
    </row>
    <row r="139" spans="1:12" ht="15" customHeight="1" x14ac:dyDescent="0.15">
      <c r="A139" s="12">
        <v>136</v>
      </c>
      <c r="B139" s="3" t="s">
        <v>76</v>
      </c>
      <c r="C139" s="3" t="str">
        <f>VLOOKUP(B139,品名!$A$1:$C$151,2,0)</f>
        <v>康佳</v>
      </c>
      <c r="D139" s="3" t="str">
        <f>VLOOKUP(B139,品名!$A$1:$C$151,3,0)</f>
        <v>KONKA BCD-138UTS-GY冰箱</v>
      </c>
      <c r="E139" s="3" t="str">
        <f>VLOOKUP(LEFT(B139,2),Sheet2!$A$1:$B$8,2,0)</f>
        <v>冰箱</v>
      </c>
      <c r="F139" s="4">
        <v>42879</v>
      </c>
      <c r="G139" s="3" t="s">
        <v>162</v>
      </c>
      <c r="H139" s="3" t="s">
        <v>170</v>
      </c>
      <c r="I139" s="5">
        <v>39</v>
      </c>
      <c r="J139" s="13">
        <f>VLOOKUP(B139,[1]单价!$A$1:$B$152,2,0)</f>
        <v>918</v>
      </c>
      <c r="K139" s="13">
        <f t="shared" si="2"/>
        <v>35802</v>
      </c>
      <c r="L139" s="13">
        <f>VLOOKUP(B139,[1]进价!$A$1:$B$151,2,0)*表1[[#This Row],[销量]]</f>
        <v>31147.739999999998</v>
      </c>
    </row>
    <row r="140" spans="1:12" ht="15" customHeight="1" x14ac:dyDescent="0.15">
      <c r="A140" s="12">
        <v>137</v>
      </c>
      <c r="B140" s="3" t="s">
        <v>89</v>
      </c>
      <c r="C140" s="3" t="str">
        <f>VLOOKUP(B140,品名!$A$1:$C$151,2,0)</f>
        <v>德尔玛</v>
      </c>
      <c r="D140" s="3" t="str">
        <f>VLOOKUP(B140,品名!$A$1:$C$151,3,0)</f>
        <v>Deerma 双层干衣机</v>
      </c>
      <c r="E140" s="3" t="str">
        <f>VLOOKUP(LEFT(B140,2),Sheet2!$A$1:$B$8,2,0)</f>
        <v>洗衣机</v>
      </c>
      <c r="F140" s="4">
        <v>42761</v>
      </c>
      <c r="G140" s="3" t="s">
        <v>162</v>
      </c>
      <c r="H140" s="3" t="s">
        <v>171</v>
      </c>
      <c r="I140" s="5">
        <v>13</v>
      </c>
      <c r="J140" s="13">
        <f>VLOOKUP(B140,[1]单价!$A$1:$B$152,2,0)</f>
        <v>99</v>
      </c>
      <c r="K140" s="13">
        <f t="shared" si="2"/>
        <v>1287</v>
      </c>
      <c r="L140" s="13">
        <f>VLOOKUP(B140,[1]进价!$A$1:$B$151,2,0)*表1[[#This Row],[销量]]</f>
        <v>1081.08</v>
      </c>
    </row>
    <row r="141" spans="1:12" ht="15" customHeight="1" x14ac:dyDescent="0.15">
      <c r="A141" s="12">
        <v>138</v>
      </c>
      <c r="B141" s="3" t="s">
        <v>84</v>
      </c>
      <c r="C141" s="3" t="str">
        <f>VLOOKUP(B141,品名!$A$1:$C$151,2,0)</f>
        <v>西门子</v>
      </c>
      <c r="D141" s="3" t="str">
        <f>VLOOKUP(B141,品名!$A$1:$C$151,3,0)</f>
        <v>SIEMENS KG23N1116W冰箱</v>
      </c>
      <c r="E141" s="3" t="str">
        <f>VLOOKUP(LEFT(B141,2),Sheet2!$A$1:$B$8,2,0)</f>
        <v>冰箱</v>
      </c>
      <c r="F141" s="4">
        <v>42766</v>
      </c>
      <c r="G141" s="3" t="s">
        <v>162</v>
      </c>
      <c r="H141" s="3" t="s">
        <v>170</v>
      </c>
      <c r="I141" s="5">
        <v>33</v>
      </c>
      <c r="J141" s="13">
        <f>VLOOKUP(B141,[1]单价!$A$1:$B$152,2,0)</f>
        <v>2799</v>
      </c>
      <c r="K141" s="13">
        <f t="shared" si="2"/>
        <v>92367</v>
      </c>
      <c r="L141" s="13">
        <f>VLOOKUP(B141,[1]进价!$A$1:$B$151,2,0)*表1[[#This Row],[销量]]</f>
        <v>77588.28</v>
      </c>
    </row>
    <row r="142" spans="1:12" ht="15" customHeight="1" x14ac:dyDescent="0.15">
      <c r="A142" s="12">
        <v>139</v>
      </c>
      <c r="B142" s="3" t="s">
        <v>100</v>
      </c>
      <c r="C142" s="3" t="str">
        <f>VLOOKUP(B142,品名!$A$1:$C$151,2,0)</f>
        <v>天骏小天使</v>
      </c>
      <c r="D142" s="3" t="str">
        <f>VLOOKUP(B142,品名!$A$1:$C$151,3,0)</f>
        <v>TIJUMP 家用干衣机</v>
      </c>
      <c r="E142" s="3" t="str">
        <f>VLOOKUP(LEFT(B142,2),Sheet2!$A$1:$B$8,2,0)</f>
        <v>洗衣机</v>
      </c>
      <c r="F142" s="4">
        <v>42768</v>
      </c>
      <c r="G142" s="3" t="s">
        <v>162</v>
      </c>
      <c r="H142" s="3" t="s">
        <v>171</v>
      </c>
      <c r="I142" s="5">
        <v>14</v>
      </c>
      <c r="J142" s="13">
        <f>VLOOKUP(B142,[1]单价!$A$1:$B$152,2,0)</f>
        <v>199</v>
      </c>
      <c r="K142" s="13">
        <f t="shared" si="2"/>
        <v>2786</v>
      </c>
      <c r="L142" s="13">
        <f>VLOOKUP(B142,[1]进价!$A$1:$B$151,2,0)*表1[[#This Row],[销量]]</f>
        <v>2451.6800000000003</v>
      </c>
    </row>
    <row r="143" spans="1:12" ht="15" customHeight="1" x14ac:dyDescent="0.15">
      <c r="A143" s="12">
        <v>140</v>
      </c>
      <c r="B143" s="3" t="s">
        <v>51</v>
      </c>
      <c r="C143" s="3" t="str">
        <f>VLOOKUP(B143,品名!$A$1:$C$151,2,0)</f>
        <v>海尔</v>
      </c>
      <c r="D143" s="3" t="str">
        <f>VLOOKUP(B143,品名!$A$1:$C$151,3,0)</f>
        <v>Haier EC6002-D 60升遥控电热水器</v>
      </c>
      <c r="E143" s="3" t="str">
        <f>VLOOKUP(LEFT(B143,2),Sheet2!$A$1:$B$8,2,0)</f>
        <v>热水器</v>
      </c>
      <c r="F143" s="4">
        <v>42773</v>
      </c>
      <c r="G143" s="3" t="s">
        <v>162</v>
      </c>
      <c r="H143" s="3" t="s">
        <v>170</v>
      </c>
      <c r="I143" s="5">
        <v>27</v>
      </c>
      <c r="J143" s="13">
        <f>VLOOKUP(B143,[1]单价!$A$1:$B$152,2,0)</f>
        <v>1298</v>
      </c>
      <c r="K143" s="13">
        <f t="shared" si="2"/>
        <v>35046</v>
      </c>
      <c r="L143" s="13">
        <f>VLOOKUP(B143,[1]进价!$A$1:$B$151,2,0)*表1[[#This Row],[销量]]</f>
        <v>30840.48</v>
      </c>
    </row>
    <row r="144" spans="1:12" ht="15" customHeight="1" x14ac:dyDescent="0.15">
      <c r="A144" s="12">
        <v>141</v>
      </c>
      <c r="B144" s="3" t="s">
        <v>58</v>
      </c>
      <c r="C144" s="3" t="str">
        <f>VLOOKUP(B144,品名!$A$1:$C$151,2,0)</f>
        <v>美的</v>
      </c>
      <c r="D144" s="3" t="str">
        <f>VLOOKUP(B144,品名!$A$1:$C$151,3,0)</f>
        <v>Midea F60-15WB5(Y)电热水器</v>
      </c>
      <c r="E144" s="3" t="str">
        <f>VLOOKUP(LEFT(B144,2),Sheet2!$A$1:$B$8,2,0)</f>
        <v>热水器</v>
      </c>
      <c r="F144" s="4">
        <v>42781</v>
      </c>
      <c r="G144" s="3" t="s">
        <v>162</v>
      </c>
      <c r="H144" s="3" t="s">
        <v>170</v>
      </c>
      <c r="I144" s="5">
        <v>35</v>
      </c>
      <c r="J144" s="13">
        <f>VLOOKUP(B144,[1]单价!$A$1:$B$152,2,0)</f>
        <v>1298</v>
      </c>
      <c r="K144" s="13">
        <f t="shared" si="2"/>
        <v>45430</v>
      </c>
      <c r="L144" s="13">
        <f>VLOOKUP(B144,[1]进价!$A$1:$B$151,2,0)*表1[[#This Row],[销量]]</f>
        <v>38615.5</v>
      </c>
    </row>
    <row r="145" spans="1:12" ht="15" customHeight="1" x14ac:dyDescent="0.15">
      <c r="A145" s="12">
        <v>142</v>
      </c>
      <c r="B145" s="3" t="s">
        <v>85</v>
      </c>
      <c r="C145" s="3" t="str">
        <f>VLOOKUP(B145,品名!$A$1:$C$151,2,0)</f>
        <v>LG</v>
      </c>
      <c r="D145" s="3" t="str">
        <f>VLOOKUP(B145,品名!$A$1:$C$151,3,0)</f>
        <v>WD-N12430D 6公斤滚筒洗衣机</v>
      </c>
      <c r="E145" s="3" t="str">
        <f>VLOOKUP(LEFT(B145,2),Sheet2!$A$1:$B$8,2,0)</f>
        <v>洗衣机</v>
      </c>
      <c r="F145" s="4">
        <v>42789</v>
      </c>
      <c r="G145" s="3" t="s">
        <v>162</v>
      </c>
      <c r="H145" s="3" t="s">
        <v>171</v>
      </c>
      <c r="I145" s="5">
        <v>48</v>
      </c>
      <c r="J145" s="13">
        <f>VLOOKUP(B145,[1]单价!$A$1:$B$152,2,0)</f>
        <v>2599</v>
      </c>
      <c r="K145" s="13">
        <f t="shared" si="2"/>
        <v>124752</v>
      </c>
      <c r="L145" s="13">
        <f>VLOOKUP(B145,[1]进价!$A$1:$B$151,2,0)*表1[[#This Row],[销量]]</f>
        <v>108534.24</v>
      </c>
    </row>
    <row r="146" spans="1:12" ht="15" customHeight="1" x14ac:dyDescent="0.15">
      <c r="A146" s="12">
        <v>143</v>
      </c>
      <c r="B146" s="3" t="s">
        <v>92</v>
      </c>
      <c r="C146" s="3" t="str">
        <f>VLOOKUP(B146,品名!$A$1:$C$151,2,0)</f>
        <v>海尔</v>
      </c>
      <c r="D146" s="3" t="str">
        <f>VLOOKUP(B146,品名!$A$1:$C$151,3,0)</f>
        <v>Haier XQB50-M1258 5.0公斤 全自动波轮洗衣机</v>
      </c>
      <c r="E146" s="3" t="str">
        <f>VLOOKUP(LEFT(B146,2),Sheet2!$A$1:$B$8,2,0)</f>
        <v>洗衣机</v>
      </c>
      <c r="F146" s="4">
        <v>42825</v>
      </c>
      <c r="G146" s="3" t="s">
        <v>162</v>
      </c>
      <c r="H146" s="3" t="s">
        <v>171</v>
      </c>
      <c r="I146" s="5">
        <v>26</v>
      </c>
      <c r="J146" s="13">
        <f>VLOOKUP(B146,[1]单价!$A$1:$B$152,2,0)</f>
        <v>999</v>
      </c>
      <c r="K146" s="13">
        <f t="shared" si="2"/>
        <v>25974</v>
      </c>
      <c r="L146" s="13">
        <f>VLOOKUP(B146,[1]进价!$A$1:$B$151,2,0)*表1[[#This Row],[销量]]</f>
        <v>21558.42</v>
      </c>
    </row>
    <row r="147" spans="1:12" ht="15" customHeight="1" x14ac:dyDescent="0.15">
      <c r="A147" s="12">
        <v>144</v>
      </c>
      <c r="B147" s="3" t="s">
        <v>99</v>
      </c>
      <c r="C147" s="3" t="str">
        <f>VLOOKUP(B147,品名!$A$1:$C$151,2,0)</f>
        <v>松下</v>
      </c>
      <c r="D147" s="3" t="str">
        <f>VLOOKUP(B147,品名!$A$1:$C$151,3,0)</f>
        <v>Panasonic XQB60-Q662U 6公斤 立体搓全自动波轮洗衣机</v>
      </c>
      <c r="E147" s="3" t="str">
        <f>VLOOKUP(LEFT(B147,2),Sheet2!$A$1:$B$8,2,0)</f>
        <v>洗衣机</v>
      </c>
      <c r="F147" s="4">
        <v>42801</v>
      </c>
      <c r="G147" s="3" t="s">
        <v>162</v>
      </c>
      <c r="H147" s="3" t="s">
        <v>170</v>
      </c>
      <c r="I147" s="5">
        <v>43</v>
      </c>
      <c r="J147" s="13">
        <f>VLOOKUP(B147,[1]单价!$A$1:$B$152,2,0)</f>
        <v>1419</v>
      </c>
      <c r="K147" s="13">
        <f t="shared" si="2"/>
        <v>61017</v>
      </c>
      <c r="L147" s="13">
        <f>VLOOKUP(B147,[1]进价!$A$1:$B$151,2,0)*表1[[#This Row],[销量]]</f>
        <v>51254.28</v>
      </c>
    </row>
    <row r="148" spans="1:12" ht="15" customHeight="1" x14ac:dyDescent="0.15">
      <c r="A148" s="12">
        <v>145</v>
      </c>
      <c r="B148" s="3" t="s">
        <v>106</v>
      </c>
      <c r="C148" s="3" t="str">
        <f>VLOOKUP(B148,品名!$A$1:$C$151,2,0)</f>
        <v>Apple</v>
      </c>
      <c r="D148" s="3" t="str">
        <f>VLOOKUP(B148,品名!$A$1:$C$151,3,0)</f>
        <v>MacBook Pro MF839CH/A 13.3英寸笔记本电脑</v>
      </c>
      <c r="E148" s="3" t="str">
        <f>VLOOKUP(LEFT(B148,2),Sheet2!$A$1:$B$8,2,0)</f>
        <v>计算机</v>
      </c>
      <c r="F148" s="4">
        <v>42808</v>
      </c>
      <c r="G148" s="3" t="s">
        <v>162</v>
      </c>
      <c r="H148" s="3" t="s">
        <v>171</v>
      </c>
      <c r="I148" s="5">
        <v>25</v>
      </c>
      <c r="J148" s="13">
        <f>VLOOKUP(B148,[1]单价!$A$1:$B$152,2,0)</f>
        <v>8888</v>
      </c>
      <c r="K148" s="13">
        <f t="shared" si="2"/>
        <v>222200</v>
      </c>
      <c r="L148" s="13">
        <f>VLOOKUP(B148,[1]进价!$A$1:$B$151,2,0)*表1[[#This Row],[销量]]</f>
        <v>186648</v>
      </c>
    </row>
    <row r="149" spans="1:12" ht="15" customHeight="1" x14ac:dyDescent="0.15">
      <c r="A149" s="12">
        <v>146</v>
      </c>
      <c r="B149" s="3" t="s">
        <v>113</v>
      </c>
      <c r="C149" s="3" t="str">
        <f>VLOOKUP(B149,品名!$A$1:$C$151,2,0)</f>
        <v>华硕</v>
      </c>
      <c r="D149" s="3" t="str">
        <f>VLOOKUP(B149,品名!$A$1:$C$151,3,0)</f>
        <v>ASUS T100HA-C4-GR 10.1英寸笔记本电脑</v>
      </c>
      <c r="E149" s="3" t="str">
        <f>VLOOKUP(LEFT(B149,2),Sheet2!$A$1:$B$8,2,0)</f>
        <v>计算机</v>
      </c>
      <c r="F149" s="4">
        <v>42815</v>
      </c>
      <c r="G149" s="3" t="s">
        <v>162</v>
      </c>
      <c r="H149" s="3" t="s">
        <v>171</v>
      </c>
      <c r="I149" s="5">
        <v>37</v>
      </c>
      <c r="J149" s="13">
        <f>VLOOKUP(B149,[1]单价!$A$1:$B$152,2,0)</f>
        <v>1946.31</v>
      </c>
      <c r="K149" s="13">
        <f t="shared" si="2"/>
        <v>72013.47</v>
      </c>
      <c r="L149" s="13">
        <f>VLOOKUP(B149,[1]进价!$A$1:$B$151,2,0)*表1[[#This Row],[销量]]</f>
        <v>59050.89</v>
      </c>
    </row>
    <row r="150" spans="1:12" ht="15" customHeight="1" x14ac:dyDescent="0.15">
      <c r="A150" s="12">
        <v>147</v>
      </c>
      <c r="B150" s="3" t="s">
        <v>120</v>
      </c>
      <c r="C150" s="3" t="str">
        <f>VLOOKUP(B150,品名!$A$1:$C$151,2,0)</f>
        <v>联想</v>
      </c>
      <c r="D150" s="3" t="str">
        <f>VLOOKUP(B150,品名!$A$1:$C$151,3,0)</f>
        <v>ThinkPad E450C 20EH-A009CD 14英寸笔记本电脑</v>
      </c>
      <c r="E150" s="3" t="str">
        <f>VLOOKUP(LEFT(B150,2),Sheet2!$A$1:$B$8,2,0)</f>
        <v>计算机</v>
      </c>
      <c r="F150" s="4">
        <v>42822</v>
      </c>
      <c r="G150" s="3" t="s">
        <v>162</v>
      </c>
      <c r="H150" s="3" t="s">
        <v>170</v>
      </c>
      <c r="I150" s="5">
        <v>10</v>
      </c>
      <c r="J150" s="13">
        <f>VLOOKUP(B150,[1]单价!$A$1:$B$152,2,0)</f>
        <v>3198</v>
      </c>
      <c r="K150" s="13">
        <f t="shared" si="2"/>
        <v>31980</v>
      </c>
      <c r="L150" s="13">
        <f>VLOOKUP(B150,[1]进价!$A$1:$B$151,2,0)*表1[[#This Row],[销量]]</f>
        <v>27822.600000000002</v>
      </c>
    </row>
    <row r="151" spans="1:12" ht="15" customHeight="1" x14ac:dyDescent="0.15">
      <c r="A151" s="12">
        <v>148</v>
      </c>
      <c r="B151" s="3" t="s">
        <v>127</v>
      </c>
      <c r="C151" s="3" t="str">
        <f>VLOOKUP(B151,品名!$A$1:$C$151,2,0)</f>
        <v>Apple</v>
      </c>
      <c r="D151" s="3" t="str">
        <f>VLOOKUP(B151,品名!$A$1:$C$151,3,0)</f>
        <v xml:space="preserve">iMac MK452CH/A 21.5英寸一体机 </v>
      </c>
      <c r="E151" s="3" t="str">
        <f>VLOOKUP(LEFT(B151,2),Sheet2!$A$1:$B$8,2,0)</f>
        <v>计算机</v>
      </c>
      <c r="F151" s="4">
        <v>42834</v>
      </c>
      <c r="G151" s="3" t="s">
        <v>162</v>
      </c>
      <c r="H151" s="3" t="s">
        <v>170</v>
      </c>
      <c r="I151" s="5">
        <v>28</v>
      </c>
      <c r="J151" s="13">
        <f>VLOOKUP(B151,[1]单价!$A$1:$B$152,2,0)</f>
        <v>10888</v>
      </c>
      <c r="K151" s="13">
        <f t="shared" si="2"/>
        <v>304864</v>
      </c>
      <c r="L151" s="13">
        <f>VLOOKUP(B151,[1]进价!$A$1:$B$151,2,0)*表1[[#This Row],[销量]]</f>
        <v>265231.68</v>
      </c>
    </row>
    <row r="152" spans="1:12" ht="15" customHeight="1" x14ac:dyDescent="0.15">
      <c r="A152" s="12">
        <v>149</v>
      </c>
      <c r="B152" s="3" t="s">
        <v>134</v>
      </c>
      <c r="C152" s="3" t="str">
        <f>VLOOKUP(B152,品名!$A$1:$C$151,2,0)</f>
        <v>联想</v>
      </c>
      <c r="D152" s="3" t="str">
        <f>VLOOKUP(B152,品名!$A$1:$C$151,3,0)</f>
        <v>lenovo C4030一体机 白色</v>
      </c>
      <c r="E152" s="3" t="str">
        <f>VLOOKUP(LEFT(B152,2),Sheet2!$A$1:$B$8,2,0)</f>
        <v>计算机</v>
      </c>
      <c r="F152" s="4">
        <v>42841</v>
      </c>
      <c r="G152" s="3" t="s">
        <v>162</v>
      </c>
      <c r="H152" s="3" t="s">
        <v>171</v>
      </c>
      <c r="I152" s="5">
        <v>30</v>
      </c>
      <c r="J152" s="13">
        <f>VLOOKUP(B152,[1]单价!$A$1:$B$152,2,0)</f>
        <v>3530</v>
      </c>
      <c r="K152" s="13">
        <f t="shared" si="2"/>
        <v>105900</v>
      </c>
      <c r="L152" s="13">
        <f>VLOOKUP(B152,[1]进价!$A$1:$B$151,2,0)*表1[[#This Row],[销量]]</f>
        <v>84720</v>
      </c>
    </row>
    <row r="153" spans="1:12" ht="15" customHeight="1" x14ac:dyDescent="0.15">
      <c r="A153" s="12">
        <v>150</v>
      </c>
      <c r="B153" s="3" t="s">
        <v>141</v>
      </c>
      <c r="C153" s="3" t="str">
        <f>VLOOKUP(B153,品名!$A$1:$C$151,2,0)</f>
        <v>Apple</v>
      </c>
      <c r="D153" s="3" t="str">
        <f>VLOOKUP(B153,品名!$A$1:$C$151,3,0)</f>
        <v>iPad Air WLAN 32GB 银色</v>
      </c>
      <c r="E153" s="3" t="str">
        <f>VLOOKUP(LEFT(B153,2),Sheet2!$A$1:$B$8,2,0)</f>
        <v>计算机</v>
      </c>
      <c r="F153" s="4">
        <v>42848</v>
      </c>
      <c r="G153" s="3" t="s">
        <v>162</v>
      </c>
      <c r="H153" s="3" t="s">
        <v>171</v>
      </c>
      <c r="I153" s="5">
        <v>24</v>
      </c>
      <c r="J153" s="13">
        <f>VLOOKUP(B153,[1]单价!$A$1:$B$152,2,0)</f>
        <v>3108</v>
      </c>
      <c r="K153" s="13">
        <f t="shared" si="2"/>
        <v>74592</v>
      </c>
      <c r="L153" s="13">
        <f>VLOOKUP(B153,[1]进价!$A$1:$B$151,2,0)*表1[[#This Row],[销量]]</f>
        <v>63403.200000000004</v>
      </c>
    </row>
    <row r="154" spans="1:12" ht="15" customHeight="1" x14ac:dyDescent="0.15">
      <c r="A154" s="12">
        <v>151</v>
      </c>
      <c r="B154" s="3" t="s">
        <v>148</v>
      </c>
      <c r="C154" s="3" t="str">
        <f>VLOOKUP(B154,品名!$A$1:$C$151,2,0)</f>
        <v>微软</v>
      </c>
      <c r="D154" s="3" t="str">
        <f>VLOOKUP(B154,品名!$A$1:$C$151,3,0)</f>
        <v>Microsoft Surface Pro 4 12.3英寸平板电脑</v>
      </c>
      <c r="E154" s="3" t="str">
        <f>VLOOKUP(LEFT(B154,2),Sheet2!$A$1:$B$8,2,0)</f>
        <v>计算机</v>
      </c>
      <c r="F154" s="4">
        <v>42854</v>
      </c>
      <c r="G154" s="3" t="s">
        <v>162</v>
      </c>
      <c r="H154" s="3" t="s">
        <v>171</v>
      </c>
      <c r="I154" s="5">
        <v>42</v>
      </c>
      <c r="J154" s="13">
        <f>VLOOKUP(B154,[1]单价!$A$1:$B$152,2,0)</f>
        <v>7388</v>
      </c>
      <c r="K154" s="13">
        <f t="shared" si="2"/>
        <v>310296</v>
      </c>
      <c r="L154" s="13">
        <f>VLOOKUP(B154,[1]进价!$A$1:$B$151,2,0)*表1[[#This Row],[销量]]</f>
        <v>279266.39999999997</v>
      </c>
    </row>
    <row r="155" spans="1:12" ht="15" customHeight="1" x14ac:dyDescent="0.15">
      <c r="A155" s="12">
        <v>152</v>
      </c>
      <c r="B155" s="3" t="s">
        <v>154</v>
      </c>
      <c r="C155" s="3" t="str">
        <f>VLOOKUP(B155,品名!$A$1:$C$151,2,0)</f>
        <v>亚马逊</v>
      </c>
      <c r="D155" s="3" t="str">
        <f>VLOOKUP(B155,品名!$A$1:$C$151,3,0)</f>
        <v>Fire HDX 8.9平板电脑</v>
      </c>
      <c r="E155" s="3" t="str">
        <f>VLOOKUP(LEFT(B155,2),Sheet2!$A$1:$B$8,2,0)</f>
        <v>计算机</v>
      </c>
      <c r="F155" s="4">
        <v>42863</v>
      </c>
      <c r="G155" s="3" t="s">
        <v>162</v>
      </c>
      <c r="H155" s="3" t="s">
        <v>170</v>
      </c>
      <c r="I155" s="5">
        <v>29</v>
      </c>
      <c r="J155" s="13">
        <f>VLOOKUP(B155,[1]单价!$A$1:$B$152,2,0)</f>
        <v>3399</v>
      </c>
      <c r="K155" s="13">
        <f t="shared" si="2"/>
        <v>98571</v>
      </c>
      <c r="L155" s="13">
        <f>VLOOKUP(B155,[1]进价!$A$1:$B$151,2,0)*表1[[#This Row],[销量]]</f>
        <v>86742.48</v>
      </c>
    </row>
    <row r="156" spans="1:12" ht="15" customHeight="1" x14ac:dyDescent="0.15">
      <c r="A156" s="12">
        <v>153</v>
      </c>
      <c r="B156" s="3" t="s">
        <v>11</v>
      </c>
      <c r="C156" s="3" t="str">
        <f>VLOOKUP(B156,品名!$A$1:$C$151,2,0)</f>
        <v>创维</v>
      </c>
      <c r="D156" s="3" t="str">
        <f>VLOOKUP(B156,品名!$A$1:$C$151,3,0)</f>
        <v>32E5CHR 32英寸LED液晶电视</v>
      </c>
      <c r="E156" s="3" t="str">
        <f>VLOOKUP(LEFT(B156,2),Sheet2!$A$1:$B$8,2,0)</f>
        <v>电视</v>
      </c>
      <c r="F156" s="4">
        <v>42869</v>
      </c>
      <c r="G156" s="3" t="s">
        <v>162</v>
      </c>
      <c r="H156" s="3" t="s">
        <v>170</v>
      </c>
      <c r="I156" s="5">
        <v>27</v>
      </c>
      <c r="J156" s="13">
        <f>VLOOKUP(B156,[1]单价!$A$1:$B$152,2,0)</f>
        <v>1699</v>
      </c>
      <c r="K156" s="13">
        <f t="shared" si="2"/>
        <v>45873</v>
      </c>
      <c r="L156" s="13">
        <f>VLOOKUP(B156,[1]进价!$A$1:$B$151,2,0)*表1[[#This Row],[销量]]</f>
        <v>38992.050000000003</v>
      </c>
    </row>
    <row r="157" spans="1:12" ht="15" customHeight="1" x14ac:dyDescent="0.15">
      <c r="A157" s="12">
        <v>154</v>
      </c>
      <c r="B157" s="3" t="s">
        <v>18</v>
      </c>
      <c r="C157" s="3" t="str">
        <f>VLOOKUP(B157,品名!$A$1:$C$151,2,0)</f>
        <v>索尼</v>
      </c>
      <c r="D157" s="3" t="str">
        <f>VLOOKUP(B157,品名!$A$1:$C$151,3,0)</f>
        <v>SONY KLV-40R476A平板电视</v>
      </c>
      <c r="E157" s="3" t="str">
        <f>VLOOKUP(LEFT(B157,2),Sheet2!$A$1:$B$8,2,0)</f>
        <v>电视</v>
      </c>
      <c r="F157" s="4">
        <v>42878</v>
      </c>
      <c r="G157" s="3" t="s">
        <v>162</v>
      </c>
      <c r="H157" s="3" t="s">
        <v>170</v>
      </c>
      <c r="I157" s="5">
        <v>5</v>
      </c>
      <c r="J157" s="13">
        <f>VLOOKUP(B157,[1]单价!$A$1:$B$152,2,0)</f>
        <v>3899</v>
      </c>
      <c r="K157" s="13">
        <f t="shared" si="2"/>
        <v>19495</v>
      </c>
      <c r="L157" s="13">
        <f>VLOOKUP(B157,[1]进价!$A$1:$B$151,2,0)*表1[[#This Row],[销量]]</f>
        <v>17155.599999999999</v>
      </c>
    </row>
    <row r="158" spans="1:12" ht="15" customHeight="1" x14ac:dyDescent="0.15">
      <c r="A158" s="12">
        <v>155</v>
      </c>
      <c r="B158" s="3" t="s">
        <v>25</v>
      </c>
      <c r="C158" s="3" t="str">
        <f>VLOOKUP(B158,品名!$A$1:$C$151,2,0)</f>
        <v>TCL</v>
      </c>
      <c r="D158" s="3" t="str">
        <f>VLOOKUP(B158,品名!$A$1:$C$151,3,0)</f>
        <v>KFRd-52LW/DR22空调</v>
      </c>
      <c r="E158" s="3" t="str">
        <f>VLOOKUP(LEFT(B158,2),Sheet2!$A$1:$B$8,2,0)</f>
        <v>空调</v>
      </c>
      <c r="F158" s="4">
        <v>42885</v>
      </c>
      <c r="G158" s="3" t="s">
        <v>162</v>
      </c>
      <c r="H158" s="3" t="s">
        <v>170</v>
      </c>
      <c r="I158" s="5">
        <v>29</v>
      </c>
      <c r="J158" s="13">
        <f>VLOOKUP(B158,[1]单价!$A$1:$B$152,2,0)</f>
        <v>3629</v>
      </c>
      <c r="K158" s="13">
        <f t="shared" si="2"/>
        <v>105241</v>
      </c>
      <c r="L158" s="13">
        <f>VLOOKUP(B158,[1]进价!$A$1:$B$151,2,0)*表1[[#This Row],[销量]]</f>
        <v>94716.9</v>
      </c>
    </row>
    <row r="159" spans="1:12" ht="15" customHeight="1" x14ac:dyDescent="0.15">
      <c r="A159" s="12">
        <v>156</v>
      </c>
      <c r="B159" s="3" t="s">
        <v>33</v>
      </c>
      <c r="C159" s="3" t="str">
        <f>VLOOKUP(B159,品名!$A$1:$C$151,2,0)</f>
        <v>奥克斯</v>
      </c>
      <c r="D159" s="3" t="str">
        <f>VLOOKUP(B159,品名!$A$1:$C$151,3,0)</f>
        <v>KFR-51LW/M-1空调</v>
      </c>
      <c r="E159" s="3" t="str">
        <f>VLOOKUP(LEFT(B159,2),Sheet2!$A$1:$B$8,2,0)</f>
        <v>空调</v>
      </c>
      <c r="F159" s="4">
        <v>42891</v>
      </c>
      <c r="G159" s="3" t="s">
        <v>162</v>
      </c>
      <c r="H159" s="3" t="s">
        <v>170</v>
      </c>
      <c r="I159" s="5">
        <v>12</v>
      </c>
      <c r="J159" s="13">
        <f>VLOOKUP(B159,[1]单价!$A$1:$B$152,2,0)</f>
        <v>3799</v>
      </c>
      <c r="K159" s="13">
        <f t="shared" si="2"/>
        <v>45588</v>
      </c>
      <c r="L159" s="13">
        <f>VLOOKUP(B159,[1]进价!$A$1:$B$151,2,0)*表1[[#This Row],[销量]]</f>
        <v>40573.32</v>
      </c>
    </row>
    <row r="160" spans="1:12" ht="15" customHeight="1" x14ac:dyDescent="0.15">
      <c r="A160" s="12">
        <v>157</v>
      </c>
      <c r="B160" s="3" t="s">
        <v>40</v>
      </c>
      <c r="C160" s="3" t="str">
        <f>VLOOKUP(B160,品名!$A$1:$C$151,2,0)</f>
        <v>月兔</v>
      </c>
      <c r="D160" s="3" t="str">
        <f>VLOOKUP(B160,品名!$A$1:$C$151,3,0)</f>
        <v>KFR-25GW/d03-A2c-70Y5R空调</v>
      </c>
      <c r="E160" s="3" t="str">
        <f>VLOOKUP(LEFT(B160,2),Sheet2!$A$1:$B$8,2,0)</f>
        <v>空调</v>
      </c>
      <c r="F160" s="4">
        <v>42898</v>
      </c>
      <c r="G160" s="3" t="s">
        <v>162</v>
      </c>
      <c r="H160" s="3" t="s">
        <v>170</v>
      </c>
      <c r="I160" s="5">
        <v>33</v>
      </c>
      <c r="J160" s="13">
        <f>VLOOKUP(B160,[1]单价!$A$1:$B$152,2,0)</f>
        <v>1499</v>
      </c>
      <c r="K160" s="13">
        <f t="shared" si="2"/>
        <v>49467</v>
      </c>
      <c r="L160" s="13">
        <f>VLOOKUP(B160,[1]进价!$A$1:$B$151,2,0)*表1[[#This Row],[销量]]</f>
        <v>40068.270000000004</v>
      </c>
    </row>
    <row r="161" spans="1:12" ht="15" customHeight="1" x14ac:dyDescent="0.15">
      <c r="A161" s="12">
        <v>158</v>
      </c>
      <c r="B161" s="3" t="s">
        <v>71</v>
      </c>
      <c r="C161" s="3" t="str">
        <f>VLOOKUP(B161,品名!$A$1:$C$151,2,0)</f>
        <v>海尔</v>
      </c>
      <c r="D161" s="3" t="str">
        <f>VLOOKUP(B161,品名!$A$1:$C$151,3,0)</f>
        <v>Haier BCD-206STPA 206升冰箱</v>
      </c>
      <c r="E161" s="3" t="str">
        <f>VLOOKUP(LEFT(B161,2),Sheet2!$A$1:$B$8,2,0)</f>
        <v>冰箱</v>
      </c>
      <c r="F161" s="4">
        <v>42906</v>
      </c>
      <c r="G161" s="3" t="s">
        <v>162</v>
      </c>
      <c r="H161" s="3" t="s">
        <v>171</v>
      </c>
      <c r="I161" s="5">
        <v>40</v>
      </c>
      <c r="J161" s="13">
        <f>VLOOKUP(B161,[1]单价!$A$1:$B$152,2,0)</f>
        <v>1649</v>
      </c>
      <c r="K161" s="13">
        <f t="shared" si="2"/>
        <v>65960</v>
      </c>
      <c r="L161" s="13">
        <f>VLOOKUP(B161,[1]进价!$A$1:$B$151,2,0)*表1[[#This Row],[销量]]</f>
        <v>56066</v>
      </c>
    </row>
    <row r="162" spans="1:12" ht="15" customHeight="1" x14ac:dyDescent="0.15">
      <c r="A162" s="12">
        <v>159</v>
      </c>
      <c r="B162" s="3" t="s">
        <v>81</v>
      </c>
      <c r="C162" s="3" t="str">
        <f>VLOOKUP(B162,品名!$A$1:$C$151,2,0)</f>
        <v>容声</v>
      </c>
      <c r="D162" s="3" t="str">
        <f>VLOOKUP(B162,品名!$A$1:$C$151,3,0)</f>
        <v>Ronshen BCD-201E/A冰箱</v>
      </c>
      <c r="E162" s="3" t="str">
        <f>VLOOKUP(LEFT(B162,2),Sheet2!$A$1:$B$8,2,0)</f>
        <v>冰箱</v>
      </c>
      <c r="F162" s="4">
        <v>42913</v>
      </c>
      <c r="G162" s="3" t="s">
        <v>162</v>
      </c>
      <c r="H162" s="3" t="s">
        <v>170</v>
      </c>
      <c r="I162" s="5">
        <v>11</v>
      </c>
      <c r="J162" s="13">
        <f>VLOOKUP(B162,[1]单价!$A$1:$B$152,2,0)</f>
        <v>1399</v>
      </c>
      <c r="K162" s="13">
        <f t="shared" si="2"/>
        <v>15389</v>
      </c>
      <c r="L162" s="13">
        <f>VLOOKUP(B162,[1]进价!$A$1:$B$151,2,0)*表1[[#This Row],[销量]]</f>
        <v>12465.09</v>
      </c>
    </row>
    <row r="163" spans="1:12" ht="15" customHeight="1" x14ac:dyDescent="0.15">
      <c r="A163" s="12">
        <v>160</v>
      </c>
      <c r="B163" s="3" t="s">
        <v>106</v>
      </c>
      <c r="C163" s="3" t="str">
        <f>VLOOKUP(B163,品名!$A$1:$C$151,2,0)</f>
        <v>Apple</v>
      </c>
      <c r="D163" s="3" t="str">
        <f>VLOOKUP(B163,品名!$A$1:$C$151,3,0)</f>
        <v>MacBook Pro MF839CH/A 13.3英寸笔记本电脑</v>
      </c>
      <c r="E163" s="3" t="str">
        <f>VLOOKUP(LEFT(B163,2),Sheet2!$A$1:$B$8,2,0)</f>
        <v>计算机</v>
      </c>
      <c r="F163" s="4">
        <v>42739</v>
      </c>
      <c r="G163" s="3" t="s">
        <v>157</v>
      </c>
      <c r="H163" s="3" t="s">
        <v>171</v>
      </c>
      <c r="I163" s="5">
        <v>20</v>
      </c>
      <c r="J163" s="13">
        <f>VLOOKUP(B163,[1]单价!$A$1:$B$152,2,0)</f>
        <v>8888</v>
      </c>
      <c r="K163" s="13">
        <f t="shared" si="2"/>
        <v>177760</v>
      </c>
      <c r="L163" s="13">
        <f>VLOOKUP(B163,[1]进价!$A$1:$B$151,2,0)*表1[[#This Row],[销量]]</f>
        <v>149318.39999999999</v>
      </c>
    </row>
    <row r="164" spans="1:12" ht="15" customHeight="1" x14ac:dyDescent="0.15">
      <c r="A164" s="12">
        <v>161</v>
      </c>
      <c r="B164" s="3" t="s">
        <v>117</v>
      </c>
      <c r="C164" s="3" t="str">
        <f>VLOOKUP(B164,品名!$A$1:$C$151,2,0)</f>
        <v>戴尔</v>
      </c>
      <c r="D164" s="3" t="str">
        <f>VLOOKUP(B164,品名!$A$1:$C$151,3,0)</f>
        <v>Dell XPS13-9350-R1708S 13.3英寸超极本</v>
      </c>
      <c r="E164" s="3" t="str">
        <f>VLOOKUP(LEFT(B164,2),Sheet2!$A$1:$B$8,2,0)</f>
        <v>计算机</v>
      </c>
      <c r="F164" s="4">
        <v>42745</v>
      </c>
      <c r="G164" s="3" t="s">
        <v>157</v>
      </c>
      <c r="H164" s="3" t="s">
        <v>170</v>
      </c>
      <c r="I164" s="5">
        <v>12</v>
      </c>
      <c r="J164" s="13">
        <f>VLOOKUP(B164,[1]单价!$A$1:$B$152,2,0)</f>
        <v>8899</v>
      </c>
      <c r="K164" s="13">
        <f t="shared" si="2"/>
        <v>106788</v>
      </c>
      <c r="L164" s="13">
        <f>VLOOKUP(B164,[1]进价!$A$1:$B$151,2,0)*表1[[#This Row],[销量]]</f>
        <v>93973.440000000002</v>
      </c>
    </row>
    <row r="165" spans="1:12" ht="15" customHeight="1" x14ac:dyDescent="0.15">
      <c r="A165" s="12">
        <v>162</v>
      </c>
      <c r="B165" s="3" t="s">
        <v>128</v>
      </c>
      <c r="C165" s="3" t="str">
        <f>VLOOKUP(B165,品名!$A$1:$C$151,2,0)</f>
        <v>戴尔</v>
      </c>
      <c r="D165" s="3" t="str">
        <f>VLOOKUP(B165,品名!$A$1:$C$151,3,0)</f>
        <v>Dell Vostro 3900-R6298 台式电脑 黑色</v>
      </c>
      <c r="E165" s="3" t="str">
        <f>VLOOKUP(LEFT(B165,2),Sheet2!$A$1:$B$8,2,0)</f>
        <v>计算机</v>
      </c>
      <c r="F165" s="4">
        <v>42751</v>
      </c>
      <c r="G165" s="3" t="s">
        <v>157</v>
      </c>
      <c r="H165" s="3" t="s">
        <v>170</v>
      </c>
      <c r="I165" s="5">
        <v>39</v>
      </c>
      <c r="J165" s="13">
        <f>VLOOKUP(B165,[1]单价!$A$1:$B$152,2,0)</f>
        <v>2799</v>
      </c>
      <c r="K165" s="13">
        <f t="shared" si="2"/>
        <v>109161</v>
      </c>
      <c r="L165" s="13">
        <f>VLOOKUP(B165,[1]进价!$A$1:$B$151,2,0)*表1[[#This Row],[销量]]</f>
        <v>96061.68</v>
      </c>
    </row>
    <row r="166" spans="1:12" ht="15" customHeight="1" x14ac:dyDescent="0.15">
      <c r="A166" s="12">
        <v>163</v>
      </c>
      <c r="B166" s="3" t="s">
        <v>140</v>
      </c>
      <c r="C166" s="3" t="str">
        <f>VLOOKUP(B166,品名!$A$1:$C$151,2,0)</f>
        <v>Apple</v>
      </c>
      <c r="D166" s="3" t="str">
        <f>VLOOKUP(B166,品名!$A$1:$C$151,3,0)</f>
        <v>iPad Air WLAN 16GB 银色</v>
      </c>
      <c r="E166" s="3" t="str">
        <f>VLOOKUP(LEFT(B166,2),Sheet2!$A$1:$B$8,2,0)</f>
        <v>计算机</v>
      </c>
      <c r="F166" s="4">
        <v>42910</v>
      </c>
      <c r="G166" s="3" t="s">
        <v>157</v>
      </c>
      <c r="H166" s="3" t="s">
        <v>171</v>
      </c>
      <c r="I166" s="5">
        <v>22</v>
      </c>
      <c r="J166" s="13">
        <f>VLOOKUP(B166,[1]单价!$A$1:$B$152,2,0)</f>
        <v>2738</v>
      </c>
      <c r="K166" s="13">
        <f t="shared" si="2"/>
        <v>60236</v>
      </c>
      <c r="L166" s="13">
        <f>VLOOKUP(B166,[1]进价!$A$1:$B$151,2,0)*表1[[#This Row],[销量]]</f>
        <v>53610.04</v>
      </c>
    </row>
    <row r="167" spans="1:12" ht="15" customHeight="1" x14ac:dyDescent="0.15">
      <c r="A167" s="12">
        <v>164</v>
      </c>
      <c r="B167" s="3" t="s">
        <v>10</v>
      </c>
      <c r="C167" s="3" t="str">
        <f>VLOOKUP(B167,品名!$A$1:$C$151,2,0)</f>
        <v>海信</v>
      </c>
      <c r="D167" s="3" t="str">
        <f>VLOOKUP(B167,品名!$A$1:$C$151,3,0)</f>
        <v>Hisense LED50K320DX3D 50英寸3D液晶电视</v>
      </c>
      <c r="E167" s="3" t="str">
        <f>VLOOKUP(LEFT(B167,2),Sheet2!$A$1:$B$8,2,0)</f>
        <v>电视</v>
      </c>
      <c r="F167" s="4">
        <v>42773</v>
      </c>
      <c r="G167" s="3" t="s">
        <v>157</v>
      </c>
      <c r="H167" s="3" t="s">
        <v>170</v>
      </c>
      <c r="I167" s="5">
        <v>30</v>
      </c>
      <c r="J167" s="13">
        <f>VLOOKUP(B167,[1]单价!$A$1:$B$152,2,0)</f>
        <v>4999</v>
      </c>
      <c r="K167" s="13">
        <f t="shared" si="2"/>
        <v>149970</v>
      </c>
      <c r="L167" s="13">
        <f>VLOOKUP(B167,[1]进价!$A$1:$B$151,2,0)*表1[[#This Row],[销量]]</f>
        <v>125974.79999999999</v>
      </c>
    </row>
    <row r="168" spans="1:12" ht="15" customHeight="1" x14ac:dyDescent="0.15">
      <c r="A168" s="12">
        <v>165</v>
      </c>
      <c r="B168" s="3" t="s">
        <v>21</v>
      </c>
      <c r="C168" s="3" t="str">
        <f>VLOOKUP(B168,品名!$A$1:$C$151,2,0)</f>
        <v>康佳</v>
      </c>
      <c r="D168" s="3" t="str">
        <f>VLOOKUP(B168,品名!$A$1:$C$151,3,0)</f>
        <v>KONKA LED37F3300E平板电视</v>
      </c>
      <c r="E168" s="3" t="str">
        <f>VLOOKUP(LEFT(B168,2),Sheet2!$A$1:$B$8,2,0)</f>
        <v>电视</v>
      </c>
      <c r="F168" s="4">
        <v>42780</v>
      </c>
      <c r="G168" s="3" t="s">
        <v>157</v>
      </c>
      <c r="H168" s="3" t="s">
        <v>170</v>
      </c>
      <c r="I168" s="5">
        <v>13</v>
      </c>
      <c r="J168" s="13">
        <f>VLOOKUP(B168,[1]单价!$A$1:$B$152,2,0)</f>
        <v>2098</v>
      </c>
      <c r="K168" s="13">
        <f t="shared" si="2"/>
        <v>27274</v>
      </c>
      <c r="L168" s="13">
        <f>VLOOKUP(B168,[1]进价!$A$1:$B$151,2,0)*表1[[#This Row],[销量]]</f>
        <v>23182.899999999998</v>
      </c>
    </row>
    <row r="169" spans="1:12" ht="15" customHeight="1" x14ac:dyDescent="0.15">
      <c r="A169" s="12">
        <v>166</v>
      </c>
      <c r="B169" s="3" t="s">
        <v>30</v>
      </c>
      <c r="C169" s="3" t="str">
        <f>VLOOKUP(B169,品名!$A$1:$C$151,2,0)</f>
        <v>奥克斯</v>
      </c>
      <c r="D169" s="3" t="str">
        <f>VLOOKUP(B169,品名!$A$1:$C$151,3,0)</f>
        <v>KFR-26GW/BPSSD-2空调</v>
      </c>
      <c r="E169" s="3" t="str">
        <f>VLOOKUP(LEFT(B169,2),Sheet2!$A$1:$B$8,2,0)</f>
        <v>空调</v>
      </c>
      <c r="F169" s="4">
        <v>42788</v>
      </c>
      <c r="G169" s="3" t="s">
        <v>157</v>
      </c>
      <c r="H169" s="3" t="s">
        <v>170</v>
      </c>
      <c r="I169" s="5">
        <v>37</v>
      </c>
      <c r="J169" s="13">
        <f>VLOOKUP(B169,[1]单价!$A$1:$B$152,2,0)</f>
        <v>2639</v>
      </c>
      <c r="K169" s="13">
        <f t="shared" si="2"/>
        <v>97643</v>
      </c>
      <c r="L169" s="13">
        <f>VLOOKUP(B169,[1]进价!$A$1:$B$151,2,0)*表1[[#This Row],[销量]]</f>
        <v>86902.27</v>
      </c>
    </row>
    <row r="170" spans="1:12" ht="15" customHeight="1" x14ac:dyDescent="0.15">
      <c r="A170" s="12">
        <v>167</v>
      </c>
      <c r="B170" s="3" t="s">
        <v>42</v>
      </c>
      <c r="C170" s="3" t="str">
        <f>VLOOKUP(B170,品名!$A$1:$C$151,2,0)</f>
        <v>志高</v>
      </c>
      <c r="D170" s="3" t="str">
        <f>VLOOKUP(B170,品名!$A$1:$C$151,3,0)</f>
        <v>CHIGO KFR-35GW/C104+N3空调</v>
      </c>
      <c r="E170" s="3" t="str">
        <f>VLOOKUP(LEFT(B170,2),Sheet2!$A$1:$B$8,2,0)</f>
        <v>空调</v>
      </c>
      <c r="F170" s="4">
        <v>42796</v>
      </c>
      <c r="G170" s="3" t="s">
        <v>157</v>
      </c>
      <c r="H170" s="3" t="s">
        <v>170</v>
      </c>
      <c r="I170" s="5">
        <v>15</v>
      </c>
      <c r="J170" s="13">
        <f>VLOOKUP(B170,[1]单价!$A$1:$B$152,2,0)</f>
        <v>2399</v>
      </c>
      <c r="K170" s="13">
        <f t="shared" si="2"/>
        <v>35985</v>
      </c>
      <c r="L170" s="13">
        <f>VLOOKUP(B170,[1]进价!$A$1:$B$151,2,0)*表1[[#This Row],[销量]]</f>
        <v>32026.65</v>
      </c>
    </row>
    <row r="171" spans="1:12" ht="15" customHeight="1" x14ac:dyDescent="0.15">
      <c r="A171" s="12">
        <v>168</v>
      </c>
      <c r="B171" s="3" t="s">
        <v>72</v>
      </c>
      <c r="C171" s="3" t="str">
        <f>VLOOKUP(B171,品名!$A$1:$C$151,2,0)</f>
        <v>海尔</v>
      </c>
      <c r="D171" s="3" t="str">
        <f>VLOOKUP(B171,品名!$A$1:$C$151,3,0)</f>
        <v>Haier BCD-231WDBB 冰箱</v>
      </c>
      <c r="E171" s="3" t="str">
        <f>VLOOKUP(LEFT(B171,2),Sheet2!$A$1:$B$8,2,0)</f>
        <v>冰箱</v>
      </c>
      <c r="F171" s="4">
        <v>42804</v>
      </c>
      <c r="G171" s="3" t="s">
        <v>157</v>
      </c>
      <c r="H171" s="3" t="s">
        <v>170</v>
      </c>
      <c r="I171" s="5">
        <v>2</v>
      </c>
      <c r="J171" s="13">
        <f>VLOOKUP(B171,[1]单价!$A$1:$B$152,2,0)</f>
        <v>3199</v>
      </c>
      <c r="K171" s="13">
        <f t="shared" si="2"/>
        <v>6398</v>
      </c>
      <c r="L171" s="13">
        <f>VLOOKUP(B171,[1]进价!$A$1:$B$151,2,0)*表1[[#This Row],[销量]]</f>
        <v>5694.22</v>
      </c>
    </row>
    <row r="172" spans="1:12" ht="15" customHeight="1" x14ac:dyDescent="0.15">
      <c r="A172" s="12">
        <v>169</v>
      </c>
      <c r="B172" s="3" t="s">
        <v>81</v>
      </c>
      <c r="C172" s="3" t="str">
        <f>VLOOKUP(B172,品名!$A$1:$C$151,2,0)</f>
        <v>容声</v>
      </c>
      <c r="D172" s="3" t="str">
        <f>VLOOKUP(B172,品名!$A$1:$C$151,3,0)</f>
        <v>Ronshen BCD-201E/A冰箱</v>
      </c>
      <c r="E172" s="3" t="str">
        <f>VLOOKUP(LEFT(B172,2),Sheet2!$A$1:$B$8,2,0)</f>
        <v>冰箱</v>
      </c>
      <c r="F172" s="4">
        <v>42810</v>
      </c>
      <c r="G172" s="3" t="s">
        <v>157</v>
      </c>
      <c r="H172" s="3" t="s">
        <v>170</v>
      </c>
      <c r="I172" s="5">
        <v>29</v>
      </c>
      <c r="J172" s="13">
        <f>VLOOKUP(B172,[1]单价!$A$1:$B$152,2,0)</f>
        <v>1399</v>
      </c>
      <c r="K172" s="13">
        <f t="shared" si="2"/>
        <v>40571</v>
      </c>
      <c r="L172" s="13">
        <f>VLOOKUP(B172,[1]进价!$A$1:$B$151,2,0)*表1[[#This Row],[销量]]</f>
        <v>32862.51</v>
      </c>
    </row>
    <row r="173" spans="1:12" ht="15" customHeight="1" x14ac:dyDescent="0.15">
      <c r="A173" s="12">
        <v>170</v>
      </c>
      <c r="B173" s="3" t="s">
        <v>52</v>
      </c>
      <c r="C173" s="3" t="str">
        <f>VLOOKUP(B173,品名!$A$1:$C$151,2,0)</f>
        <v>海尔</v>
      </c>
      <c r="D173" s="3" t="str">
        <f>VLOOKUP(B173,品名!$A$1:$C$151,3,0)</f>
        <v>Haier ES6.6U(W)上出水小厨宝</v>
      </c>
      <c r="E173" s="3" t="str">
        <f>VLOOKUP(LEFT(B173,2),Sheet2!$A$1:$B$8,2,0)</f>
        <v>热水器</v>
      </c>
      <c r="F173" s="4">
        <v>42817</v>
      </c>
      <c r="G173" s="3" t="s">
        <v>157</v>
      </c>
      <c r="H173" s="3" t="s">
        <v>171</v>
      </c>
      <c r="I173" s="5">
        <v>4</v>
      </c>
      <c r="J173" s="13">
        <f>VLOOKUP(B173,[1]单价!$A$1:$B$152,2,0)</f>
        <v>498</v>
      </c>
      <c r="K173" s="13">
        <f t="shared" si="2"/>
        <v>1992</v>
      </c>
      <c r="L173" s="13">
        <f>VLOOKUP(B173,[1]进价!$A$1:$B$151,2,0)*表1[[#This Row],[销量]]</f>
        <v>1613.52</v>
      </c>
    </row>
    <row r="174" spans="1:12" ht="15" customHeight="1" x14ac:dyDescent="0.15">
      <c r="A174" s="12">
        <v>171</v>
      </c>
      <c r="B174" s="3" t="s">
        <v>59</v>
      </c>
      <c r="C174" s="3" t="str">
        <f>VLOOKUP(B174,品名!$A$1:$C$151,2,0)</f>
        <v>美的</v>
      </c>
      <c r="D174" s="3" t="str">
        <f>VLOOKUP(B174,品名!$A$1:$C$151,3,0)</f>
        <v>Midea JSQ22-12HWB 12升 燃气热水器</v>
      </c>
      <c r="E174" s="3" t="str">
        <f>VLOOKUP(LEFT(B174,2),Sheet2!$A$1:$B$8,2,0)</f>
        <v>热水器</v>
      </c>
      <c r="F174" s="4">
        <v>42824</v>
      </c>
      <c r="G174" s="3" t="s">
        <v>157</v>
      </c>
      <c r="H174" s="3" t="s">
        <v>171</v>
      </c>
      <c r="I174" s="5">
        <v>23</v>
      </c>
      <c r="J174" s="13">
        <f>VLOOKUP(B174,[1]单价!$A$1:$B$152,2,0)</f>
        <v>1499</v>
      </c>
      <c r="K174" s="13">
        <f t="shared" si="2"/>
        <v>34477</v>
      </c>
      <c r="L174" s="13">
        <f>VLOOKUP(B174,[1]进价!$A$1:$B$151,2,0)*表1[[#This Row],[销量]]</f>
        <v>27926.370000000003</v>
      </c>
    </row>
    <row r="175" spans="1:12" ht="15" customHeight="1" x14ac:dyDescent="0.15">
      <c r="A175" s="12">
        <v>172</v>
      </c>
      <c r="B175" s="3" t="s">
        <v>88</v>
      </c>
      <c r="C175" s="3" t="str">
        <f>VLOOKUP(B175,品名!$A$1:$C$151,2,0)</f>
        <v>奔腾</v>
      </c>
      <c r="D175" s="3" t="str">
        <f>VLOOKUP(B175,品名!$A$1:$C$151,3,0)</f>
        <v>POVOS 家用双层干衣机烘干机</v>
      </c>
      <c r="E175" s="3" t="str">
        <f>VLOOKUP(LEFT(B175,2),Sheet2!$A$1:$B$8,2,0)</f>
        <v>洗衣机</v>
      </c>
      <c r="F175" s="4">
        <v>42832</v>
      </c>
      <c r="G175" s="3" t="s">
        <v>157</v>
      </c>
      <c r="H175" s="3" t="s">
        <v>171</v>
      </c>
      <c r="I175" s="5">
        <v>42</v>
      </c>
      <c r="J175" s="13">
        <f>VLOOKUP(B175,[1]单价!$A$1:$B$152,2,0)</f>
        <v>219</v>
      </c>
      <c r="K175" s="13">
        <f t="shared" si="2"/>
        <v>9198</v>
      </c>
      <c r="L175" s="13">
        <f>VLOOKUP(B175,[1]进价!$A$1:$B$151,2,0)*表1[[#This Row],[销量]]</f>
        <v>7542.3600000000006</v>
      </c>
    </row>
    <row r="176" spans="1:12" ht="15" customHeight="1" x14ac:dyDescent="0.15">
      <c r="A176" s="12">
        <v>173</v>
      </c>
      <c r="B176" s="3" t="s">
        <v>96</v>
      </c>
      <c r="C176" s="3" t="str">
        <f>VLOOKUP(B176,品名!$A$1:$C$151,2,0)</f>
        <v>康佳</v>
      </c>
      <c r="D176" s="3" t="str">
        <f>VLOOKUP(B176,品名!$A$1:$C$151,3,0)</f>
        <v>KONKA XQB50-5001全自动洗衣机</v>
      </c>
      <c r="E176" s="3" t="str">
        <f>VLOOKUP(LEFT(B176,2),Sheet2!$A$1:$B$8,2,0)</f>
        <v>洗衣机</v>
      </c>
      <c r="F176" s="4">
        <v>42842</v>
      </c>
      <c r="G176" s="3" t="s">
        <v>157</v>
      </c>
      <c r="H176" s="3" t="s">
        <v>171</v>
      </c>
      <c r="I176" s="5">
        <v>7</v>
      </c>
      <c r="J176" s="13">
        <f>VLOOKUP(B176,[1]单价!$A$1:$B$152,2,0)</f>
        <v>788</v>
      </c>
      <c r="K176" s="13">
        <f t="shared" si="2"/>
        <v>5516</v>
      </c>
      <c r="L176" s="13">
        <f>VLOOKUP(B176,[1]进价!$A$1:$B$151,2,0)*表1[[#This Row],[销量]]</f>
        <v>4854.08</v>
      </c>
    </row>
    <row r="177" spans="1:12" ht="15" customHeight="1" x14ac:dyDescent="0.15">
      <c r="A177" s="12">
        <v>174</v>
      </c>
      <c r="B177" s="3" t="s">
        <v>104</v>
      </c>
      <c r="C177" s="3" t="str">
        <f>VLOOKUP(B177,品名!$A$1:$C$151,2,0)</f>
        <v>Apple</v>
      </c>
      <c r="D177" s="3" t="str">
        <f>VLOOKUP(B177,品名!$A$1:$C$151,3,0)</f>
        <v>MacBook Air MJVE2CH/A 13.3英寸笔记本电脑</v>
      </c>
      <c r="E177" s="3" t="str">
        <f>VLOOKUP(LEFT(B177,2),Sheet2!$A$1:$B$8,2,0)</f>
        <v>计算机</v>
      </c>
      <c r="F177" s="4">
        <v>42851</v>
      </c>
      <c r="G177" s="3" t="s">
        <v>157</v>
      </c>
      <c r="H177" s="3" t="s">
        <v>170</v>
      </c>
      <c r="I177" s="5">
        <v>43</v>
      </c>
      <c r="J177" s="13">
        <f>VLOOKUP(B177,[1]单价!$A$1:$B$152,2,0)</f>
        <v>6462.8</v>
      </c>
      <c r="K177" s="13">
        <f t="shared" si="2"/>
        <v>277900.40000000002</v>
      </c>
      <c r="L177" s="13">
        <f>VLOOKUP(B177,[1]进价!$A$1:$B$151,2,0)*表1[[#This Row],[销量]]</f>
        <v>222320.31999999998</v>
      </c>
    </row>
    <row r="178" spans="1:12" ht="15" customHeight="1" x14ac:dyDescent="0.15">
      <c r="A178" s="12">
        <v>175</v>
      </c>
      <c r="B178" s="3" t="s">
        <v>111</v>
      </c>
      <c r="C178" s="3" t="str">
        <f>VLOOKUP(B178,品名!$A$1:$C$151,2,0)</f>
        <v>Apple</v>
      </c>
      <c r="D178" s="3" t="str">
        <f>VLOOKUP(B178,品名!$A$1:$C$151,3,0)</f>
        <v>MacBookMK4M2CH/A 12英寸笔记本电脑</v>
      </c>
      <c r="E178" s="3" t="str">
        <f>VLOOKUP(LEFT(B178,2),Sheet2!$A$1:$B$8,2,0)</f>
        <v>计算机</v>
      </c>
      <c r="F178" s="4">
        <v>42857</v>
      </c>
      <c r="G178" s="3" t="s">
        <v>157</v>
      </c>
      <c r="H178" s="3" t="s">
        <v>171</v>
      </c>
      <c r="I178" s="5">
        <v>18</v>
      </c>
      <c r="J178" s="13">
        <f>VLOOKUP(B178,[1]单价!$A$1:$B$152,2,0)</f>
        <v>8888</v>
      </c>
      <c r="K178" s="13">
        <f t="shared" si="2"/>
        <v>159984</v>
      </c>
      <c r="L178" s="13">
        <f>VLOOKUP(B178,[1]进价!$A$1:$B$151,2,0)*表1[[#This Row],[销量]]</f>
        <v>143985.60000000001</v>
      </c>
    </row>
    <row r="179" spans="1:12" ht="15" customHeight="1" x14ac:dyDescent="0.15">
      <c r="A179" s="12">
        <v>176</v>
      </c>
      <c r="B179" s="3" t="s">
        <v>119</v>
      </c>
      <c r="C179" s="3" t="str">
        <f>VLOOKUP(B179,品名!$A$1:$C$151,2,0)</f>
        <v>戴尔</v>
      </c>
      <c r="D179" s="3" t="str">
        <f>VLOOKUP(B179,品名!$A$1:$C$151,3,0)</f>
        <v>Dell  XPS13R-9343-5608S 13.3英寸超极本</v>
      </c>
      <c r="E179" s="3" t="str">
        <f>VLOOKUP(LEFT(B179,2),Sheet2!$A$1:$B$8,2,0)</f>
        <v>计算机</v>
      </c>
      <c r="F179" s="4">
        <v>42863</v>
      </c>
      <c r="G179" s="3" t="s">
        <v>157</v>
      </c>
      <c r="H179" s="3" t="s">
        <v>171</v>
      </c>
      <c r="I179" s="5">
        <v>25</v>
      </c>
      <c r="J179" s="13">
        <f>VLOOKUP(B179,[1]单价!$A$1:$B$152,2,0)</f>
        <v>8099</v>
      </c>
      <c r="K179" s="13">
        <f t="shared" si="2"/>
        <v>202475</v>
      </c>
      <c r="L179" s="13">
        <f>VLOOKUP(B179,[1]进价!$A$1:$B$151,2,0)*表1[[#This Row],[销量]]</f>
        <v>176153.25</v>
      </c>
    </row>
    <row r="180" spans="1:12" ht="15" customHeight="1" x14ac:dyDescent="0.15">
      <c r="A180" s="12">
        <v>177</v>
      </c>
      <c r="B180" s="3" t="s">
        <v>129</v>
      </c>
      <c r="C180" s="3" t="str">
        <f>VLOOKUP(B180,品名!$A$1:$C$151,2,0)</f>
        <v>戴尔</v>
      </c>
      <c r="D180" s="3" t="str">
        <f>VLOOKUP(B180,品名!$A$1:$C$151,3,0)</f>
        <v>Dell Vostro 3900-R7938 台式主机</v>
      </c>
      <c r="E180" s="3" t="str">
        <f>VLOOKUP(LEFT(B180,2),Sheet2!$A$1:$B$8,2,0)</f>
        <v>计算机</v>
      </c>
      <c r="F180" s="4">
        <v>42871</v>
      </c>
      <c r="G180" s="3" t="s">
        <v>157</v>
      </c>
      <c r="H180" s="3" t="s">
        <v>171</v>
      </c>
      <c r="I180" s="5">
        <v>16</v>
      </c>
      <c r="J180" s="13">
        <f>VLOOKUP(B180,[1]单价!$A$1:$B$152,2,0)</f>
        <v>5799</v>
      </c>
      <c r="K180" s="13">
        <f t="shared" si="2"/>
        <v>92784</v>
      </c>
      <c r="L180" s="13">
        <f>VLOOKUP(B180,[1]进价!$A$1:$B$151,2,0)*表1[[#This Row],[销量]]</f>
        <v>77938.559999999998</v>
      </c>
    </row>
    <row r="181" spans="1:12" ht="15" customHeight="1" x14ac:dyDescent="0.15">
      <c r="A181" s="12">
        <v>178</v>
      </c>
      <c r="B181" s="3" t="s">
        <v>137</v>
      </c>
      <c r="C181" s="3" t="str">
        <f>VLOOKUP(B181,品名!$A$1:$C$151,2,0)</f>
        <v>联想</v>
      </c>
      <c r="D181" s="3" t="str">
        <f>VLOOKUP(B181,品名!$A$1:$C$151,3,0)</f>
        <v>lenovo C5030 23英寸一体机 白色</v>
      </c>
      <c r="E181" s="3" t="str">
        <f>VLOOKUP(LEFT(B181,2),Sheet2!$A$1:$B$8,2,0)</f>
        <v>计算机</v>
      </c>
      <c r="F181" s="4">
        <v>42879</v>
      </c>
      <c r="G181" s="3" t="s">
        <v>157</v>
      </c>
      <c r="H181" s="3" t="s">
        <v>171</v>
      </c>
      <c r="I181" s="5">
        <v>34</v>
      </c>
      <c r="J181" s="13">
        <f>VLOOKUP(B181,[1]单价!$A$1:$B$152,2,0)</f>
        <v>4285</v>
      </c>
      <c r="K181" s="13">
        <f t="shared" si="2"/>
        <v>145690</v>
      </c>
      <c r="L181" s="13">
        <f>VLOOKUP(B181,[1]进价!$A$1:$B$151,2,0)*表1[[#This Row],[销量]]</f>
        <v>120922.70000000001</v>
      </c>
    </row>
    <row r="182" spans="1:12" ht="15" customHeight="1" x14ac:dyDescent="0.15">
      <c r="A182" s="12">
        <v>179</v>
      </c>
      <c r="B182" s="3" t="s">
        <v>145</v>
      </c>
      <c r="C182" s="3" t="str">
        <f>VLOOKUP(B182,品名!$A$1:$C$151,2,0)</f>
        <v>凯蒂猫</v>
      </c>
      <c r="D182" s="3" t="str">
        <f>VLOOKUP(B182,品名!$A$1:$C$151,3,0)</f>
        <v>Hello Kitty Q7 7英寸学生用平板电脑 白色</v>
      </c>
      <c r="E182" s="3" t="str">
        <f>VLOOKUP(LEFT(B182,2),Sheet2!$A$1:$B$8,2,0)</f>
        <v>计算机</v>
      </c>
      <c r="F182" s="4">
        <v>42885</v>
      </c>
      <c r="G182" s="3" t="s">
        <v>157</v>
      </c>
      <c r="H182" s="3" t="s">
        <v>171</v>
      </c>
      <c r="I182" s="5">
        <v>41</v>
      </c>
      <c r="J182" s="13">
        <f>VLOOKUP(B182,[1]单价!$A$1:$B$152,2,0)</f>
        <v>296</v>
      </c>
      <c r="K182" s="13">
        <f t="shared" si="2"/>
        <v>12136</v>
      </c>
      <c r="L182" s="13">
        <f>VLOOKUP(B182,[1]进价!$A$1:$B$151,2,0)*表1[[#This Row],[销量]]</f>
        <v>10922.4</v>
      </c>
    </row>
    <row r="183" spans="1:12" ht="15" customHeight="1" x14ac:dyDescent="0.15">
      <c r="A183" s="12">
        <v>180</v>
      </c>
      <c r="B183" s="3" t="s">
        <v>152</v>
      </c>
      <c r="C183" s="3" t="str">
        <f>VLOOKUP(B183,品名!$A$1:$C$151,2,0)</f>
        <v>华硕</v>
      </c>
      <c r="D183" s="3" t="str">
        <f>VLOOKUP(B183,品名!$A$1:$C$151,3,0)</f>
        <v>ASUS ZenPad8 Z380KL 8英寸平板电脑 金色</v>
      </c>
      <c r="E183" s="3" t="str">
        <f>VLOOKUP(LEFT(B183,2),Sheet2!$A$1:$B$8,2,0)</f>
        <v>计算机</v>
      </c>
      <c r="F183" s="4">
        <v>42893</v>
      </c>
      <c r="G183" s="3" t="s">
        <v>157</v>
      </c>
      <c r="H183" s="3" t="s">
        <v>170</v>
      </c>
      <c r="I183" s="5">
        <v>36</v>
      </c>
      <c r="J183" s="13">
        <f>VLOOKUP(B183,[1]单价!$A$1:$B$152,2,0)</f>
        <v>1499</v>
      </c>
      <c r="K183" s="13">
        <f t="shared" si="2"/>
        <v>53964</v>
      </c>
      <c r="L183" s="13">
        <f>VLOOKUP(B183,[1]进价!$A$1:$B$151,2,0)*表1[[#This Row],[销量]]</f>
        <v>44790.12</v>
      </c>
    </row>
    <row r="184" spans="1:12" ht="15" customHeight="1" x14ac:dyDescent="0.15">
      <c r="A184" s="12">
        <v>181</v>
      </c>
      <c r="B184" s="3" t="s">
        <v>9</v>
      </c>
      <c r="C184" s="3" t="str">
        <f>VLOOKUP(B184,品名!$A$1:$C$151,2,0)</f>
        <v>海信</v>
      </c>
      <c r="D184" s="3" t="str">
        <f>VLOOKUP(B184,品名!$A$1:$C$151,3,0)</f>
        <v>Hisense LED42K326X3D 42英寸智能网络3D电视</v>
      </c>
      <c r="E184" s="3" t="str">
        <f>VLOOKUP(LEFT(B184,2),Sheet2!$A$1:$B$8,2,0)</f>
        <v>电视</v>
      </c>
      <c r="F184" s="4">
        <v>42900</v>
      </c>
      <c r="G184" s="3" t="s">
        <v>157</v>
      </c>
      <c r="H184" s="3" t="s">
        <v>170</v>
      </c>
      <c r="I184" s="5">
        <v>18</v>
      </c>
      <c r="J184" s="13">
        <f>VLOOKUP(B184,[1]单价!$A$1:$B$152,2,0)</f>
        <v>3599</v>
      </c>
      <c r="K184" s="13">
        <f t="shared" si="2"/>
        <v>64782</v>
      </c>
      <c r="L184" s="13">
        <f>VLOOKUP(B184,[1]进价!$A$1:$B$151,2,0)*表1[[#This Row],[销量]]</f>
        <v>58303.799999999996</v>
      </c>
    </row>
    <row r="185" spans="1:12" ht="15" customHeight="1" x14ac:dyDescent="0.15">
      <c r="A185" s="12">
        <v>182</v>
      </c>
      <c r="B185" s="3" t="s">
        <v>18</v>
      </c>
      <c r="C185" s="3" t="str">
        <f>VLOOKUP(B185,品名!$A$1:$C$151,2,0)</f>
        <v>索尼</v>
      </c>
      <c r="D185" s="3" t="str">
        <f>VLOOKUP(B185,品名!$A$1:$C$151,3,0)</f>
        <v>SONY KLV-40R476A平板电视</v>
      </c>
      <c r="E185" s="3" t="str">
        <f>VLOOKUP(LEFT(B185,2),Sheet2!$A$1:$B$8,2,0)</f>
        <v>电视</v>
      </c>
      <c r="F185" s="4">
        <v>42906</v>
      </c>
      <c r="G185" s="3" t="s">
        <v>157</v>
      </c>
      <c r="H185" s="3" t="s">
        <v>170</v>
      </c>
      <c r="I185" s="5">
        <v>50</v>
      </c>
      <c r="J185" s="13">
        <f>VLOOKUP(B185,[1]单价!$A$1:$B$152,2,0)</f>
        <v>3899</v>
      </c>
      <c r="K185" s="13">
        <f t="shared" si="2"/>
        <v>194950</v>
      </c>
      <c r="L185" s="13">
        <f>VLOOKUP(B185,[1]进价!$A$1:$B$151,2,0)*表1[[#This Row],[销量]]</f>
        <v>171556</v>
      </c>
    </row>
    <row r="186" spans="1:12" ht="15" customHeight="1" x14ac:dyDescent="0.15">
      <c r="A186" s="12">
        <v>183</v>
      </c>
      <c r="B186" s="3" t="s">
        <v>26</v>
      </c>
      <c r="C186" s="3" t="str">
        <f>VLOOKUP(B186,品名!$A$1:$C$151,2,0)</f>
        <v>TCL</v>
      </c>
      <c r="D186" s="3" t="str">
        <f>VLOOKUP(B186,品名!$A$1:$C$151,3,0)</f>
        <v>KFRd-72LW/FC13空调</v>
      </c>
      <c r="E186" s="3" t="str">
        <f>VLOOKUP(LEFT(B186,2),Sheet2!$A$1:$B$8,2,0)</f>
        <v>空调</v>
      </c>
      <c r="F186" s="4">
        <v>42912</v>
      </c>
      <c r="G186" s="3" t="s">
        <v>157</v>
      </c>
      <c r="H186" s="3" t="s">
        <v>171</v>
      </c>
      <c r="I186" s="5">
        <v>42</v>
      </c>
      <c r="J186" s="13">
        <f>VLOOKUP(B186,[1]单价!$A$1:$B$152,2,0)</f>
        <v>4399</v>
      </c>
      <c r="K186" s="13">
        <f t="shared" si="2"/>
        <v>184758</v>
      </c>
      <c r="L186" s="13">
        <f>VLOOKUP(B186,[1]进价!$A$1:$B$151,2,0)*表1[[#This Row],[销量]]</f>
        <v>155196.72</v>
      </c>
    </row>
    <row r="187" spans="1:12" ht="15" customHeight="1" x14ac:dyDescent="0.15">
      <c r="A187" s="12">
        <v>184</v>
      </c>
      <c r="B187" s="3" t="s">
        <v>34</v>
      </c>
      <c r="C187" s="3" t="str">
        <f>VLOOKUP(B187,品名!$A$1:$C$151,2,0)</f>
        <v>奥克斯</v>
      </c>
      <c r="D187" s="3" t="str">
        <f>VLOOKUP(B187,品名!$A$1:$C$151,3,0)</f>
        <v>KF-26GW/SQB+2空调</v>
      </c>
      <c r="E187" s="3" t="str">
        <f>VLOOKUP(LEFT(B187,2),Sheet2!$A$1:$B$8,2,0)</f>
        <v>空调</v>
      </c>
      <c r="F187" s="4">
        <v>42889</v>
      </c>
      <c r="G187" s="3" t="s">
        <v>157</v>
      </c>
      <c r="H187" s="3" t="s">
        <v>170</v>
      </c>
      <c r="I187" s="5">
        <v>36</v>
      </c>
      <c r="J187" s="13">
        <f>VLOOKUP(B187,[1]单价!$A$1:$B$152,2,0)</f>
        <v>1869</v>
      </c>
      <c r="K187" s="13">
        <f t="shared" si="2"/>
        <v>67284</v>
      </c>
      <c r="L187" s="13">
        <f>VLOOKUP(B187,[1]进价!$A$1:$B$151,2,0)*表1[[#This Row],[销量]]</f>
        <v>55172.88</v>
      </c>
    </row>
    <row r="188" spans="1:12" ht="15" customHeight="1" x14ac:dyDescent="0.15">
      <c r="A188" s="12">
        <v>185</v>
      </c>
      <c r="B188" s="3" t="s">
        <v>42</v>
      </c>
      <c r="C188" s="3" t="str">
        <f>VLOOKUP(B188,品名!$A$1:$C$151,2,0)</f>
        <v>志高</v>
      </c>
      <c r="D188" s="3" t="str">
        <f>VLOOKUP(B188,品名!$A$1:$C$151,3,0)</f>
        <v>CHIGO KFR-35GW/C104+N3空调</v>
      </c>
      <c r="E188" s="3" t="str">
        <f>VLOOKUP(LEFT(B188,2),Sheet2!$A$1:$B$8,2,0)</f>
        <v>空调</v>
      </c>
      <c r="F188" s="4">
        <v>42866</v>
      </c>
      <c r="G188" s="3" t="s">
        <v>157</v>
      </c>
      <c r="H188" s="3" t="s">
        <v>170</v>
      </c>
      <c r="I188" s="5">
        <v>12</v>
      </c>
      <c r="J188" s="13">
        <f>VLOOKUP(B188,[1]单价!$A$1:$B$152,2,0)</f>
        <v>2399</v>
      </c>
      <c r="K188" s="13">
        <f t="shared" si="2"/>
        <v>28788</v>
      </c>
      <c r="L188" s="13">
        <f>VLOOKUP(B188,[1]进价!$A$1:$B$151,2,0)*表1[[#This Row],[销量]]</f>
        <v>25621.32</v>
      </c>
    </row>
    <row r="189" spans="1:12" ht="15" customHeight="1" x14ac:dyDescent="0.15">
      <c r="A189" s="12">
        <v>186</v>
      </c>
      <c r="B189" s="3" t="s">
        <v>53</v>
      </c>
      <c r="C189" s="3" t="str">
        <f>VLOOKUP(B189,品名!$A$1:$C$151,2,0)</f>
        <v>海尔</v>
      </c>
      <c r="D189" s="3" t="str">
        <f>VLOOKUP(B189,品名!$A$1:$C$151,3,0)</f>
        <v>Haier JSQ24-A2(12T)燃气热水器</v>
      </c>
      <c r="E189" s="3" t="str">
        <f>VLOOKUP(LEFT(B189,2),Sheet2!$A$1:$B$8,2,0)</f>
        <v>热水器</v>
      </c>
      <c r="F189" s="4">
        <v>42748</v>
      </c>
      <c r="G189" s="3" t="s">
        <v>157</v>
      </c>
      <c r="H189" s="3" t="s">
        <v>170</v>
      </c>
      <c r="I189" s="5">
        <v>40</v>
      </c>
      <c r="J189" s="13">
        <f>VLOOKUP(B189,[1]单价!$A$1:$B$152,2,0)</f>
        <v>1998</v>
      </c>
      <c r="K189" s="13">
        <f t="shared" si="2"/>
        <v>79920</v>
      </c>
      <c r="L189" s="13">
        <f>VLOOKUP(B189,[1]进价!$A$1:$B$151,2,0)*表1[[#This Row],[销量]]</f>
        <v>63936</v>
      </c>
    </row>
    <row r="190" spans="1:12" ht="15" customHeight="1" x14ac:dyDescent="0.15">
      <c r="A190" s="12">
        <v>187</v>
      </c>
      <c r="B190" s="3" t="s">
        <v>70</v>
      </c>
      <c r="C190" s="3" t="str">
        <f>VLOOKUP(B190,品名!$A$1:$C$151,2,0)</f>
        <v>海尔</v>
      </c>
      <c r="D190" s="3" t="str">
        <f>VLOOKUP(B190,品名!$A$1:$C$151,3,0)</f>
        <v>Haier BCD-190TMPK 冰箱</v>
      </c>
      <c r="E190" s="3" t="str">
        <f>VLOOKUP(LEFT(B190,2),Sheet2!$A$1:$B$8,2,0)</f>
        <v>冰箱</v>
      </c>
      <c r="F190" s="4">
        <v>42903</v>
      </c>
      <c r="G190" s="3" t="s">
        <v>157</v>
      </c>
      <c r="H190" s="3" t="s">
        <v>170</v>
      </c>
      <c r="I190" s="5">
        <v>5</v>
      </c>
      <c r="J190" s="13">
        <f>VLOOKUP(B190,[1]单价!$A$1:$B$152,2,0)</f>
        <v>1299</v>
      </c>
      <c r="K190" s="13">
        <f t="shared" si="2"/>
        <v>6495</v>
      </c>
      <c r="L190" s="13">
        <f>VLOOKUP(B190,[1]进价!$A$1:$B$151,2,0)*表1[[#This Row],[销量]]</f>
        <v>5196</v>
      </c>
    </row>
    <row r="191" spans="1:12" ht="15" customHeight="1" x14ac:dyDescent="0.15">
      <c r="A191" s="12">
        <v>188</v>
      </c>
      <c r="B191" s="3" t="s">
        <v>62</v>
      </c>
      <c r="C191" s="3" t="str">
        <f>VLOOKUP(B191,品名!$A$1:$C$151,2,0)</f>
        <v>万家乐</v>
      </c>
      <c r="D191" s="3" t="str">
        <f>VLOOKUP(B191,品名!$A$1:$C$151,3,0)</f>
        <v>JSQ20-10201 10升 燃气热水器</v>
      </c>
      <c r="E191" s="3" t="str">
        <f>VLOOKUP(LEFT(B191,2),Sheet2!$A$1:$B$8,2,0)</f>
        <v>热水器</v>
      </c>
      <c r="F191" s="4">
        <v>42756</v>
      </c>
      <c r="G191" s="3" t="s">
        <v>157</v>
      </c>
      <c r="H191" s="3" t="s">
        <v>170</v>
      </c>
      <c r="I191" s="5">
        <v>47</v>
      </c>
      <c r="J191" s="13">
        <f>VLOOKUP(B191,[1]单价!$A$1:$B$152,2,0)</f>
        <v>1099</v>
      </c>
      <c r="K191" s="13">
        <f t="shared" si="2"/>
        <v>51653</v>
      </c>
      <c r="L191" s="13">
        <f>VLOOKUP(B191,[1]进价!$A$1:$B$151,2,0)*表1[[#This Row],[销量]]</f>
        <v>41838.93</v>
      </c>
    </row>
    <row r="192" spans="1:12" ht="15" customHeight="1" x14ac:dyDescent="0.15">
      <c r="A192" s="12">
        <v>189</v>
      </c>
      <c r="B192" s="3" t="s">
        <v>78</v>
      </c>
      <c r="C192" s="3" t="str">
        <f>VLOOKUP(B192,品名!$A$1:$C$151,2,0)</f>
        <v>美菱</v>
      </c>
      <c r="D192" s="3" t="str">
        <f>VLOOKUP(B192,品名!$A$1:$C$151,3,0)</f>
        <v>MeLing BCD-181MLC双门冰箱</v>
      </c>
      <c r="E192" s="3" t="str">
        <f>VLOOKUP(LEFT(B192,2),Sheet2!$A$1:$B$8,2,0)</f>
        <v>冰箱</v>
      </c>
      <c r="F192" s="4">
        <v>42760</v>
      </c>
      <c r="G192" s="3" t="s">
        <v>157</v>
      </c>
      <c r="H192" s="3" t="s">
        <v>170</v>
      </c>
      <c r="I192" s="5">
        <v>12</v>
      </c>
      <c r="J192" s="13">
        <f>VLOOKUP(B192,[1]单价!$A$1:$B$152,2,0)</f>
        <v>1299</v>
      </c>
      <c r="K192" s="13">
        <f t="shared" si="2"/>
        <v>15588</v>
      </c>
      <c r="L192" s="13">
        <f>VLOOKUP(B192,[1]进价!$A$1:$B$151,2,0)*表1[[#This Row],[销量]]</f>
        <v>12626.28</v>
      </c>
    </row>
    <row r="193" spans="1:12" ht="15" customHeight="1" x14ac:dyDescent="0.15">
      <c r="A193" s="12">
        <v>190</v>
      </c>
      <c r="B193" s="3" t="s">
        <v>92</v>
      </c>
      <c r="C193" s="3" t="str">
        <f>VLOOKUP(B193,品名!$A$1:$C$151,2,0)</f>
        <v>海尔</v>
      </c>
      <c r="D193" s="3" t="str">
        <f>VLOOKUP(B193,品名!$A$1:$C$151,3,0)</f>
        <v>Haier XQB50-M1258 5.0公斤 全自动波轮洗衣机</v>
      </c>
      <c r="E193" s="3" t="str">
        <f>VLOOKUP(LEFT(B193,2),Sheet2!$A$1:$B$8,2,0)</f>
        <v>洗衣机</v>
      </c>
      <c r="F193" s="4">
        <v>42763</v>
      </c>
      <c r="G193" s="3" t="s">
        <v>157</v>
      </c>
      <c r="H193" s="3" t="s">
        <v>171</v>
      </c>
      <c r="I193" s="5">
        <v>48</v>
      </c>
      <c r="J193" s="13">
        <f>VLOOKUP(B193,[1]单价!$A$1:$B$152,2,0)</f>
        <v>999</v>
      </c>
      <c r="K193" s="13">
        <f t="shared" si="2"/>
        <v>47952</v>
      </c>
      <c r="L193" s="13">
        <f>VLOOKUP(B193,[1]进价!$A$1:$B$151,2,0)*表1[[#This Row],[销量]]</f>
        <v>39800.159999999996</v>
      </c>
    </row>
    <row r="194" spans="1:12" ht="15" customHeight="1" x14ac:dyDescent="0.15">
      <c r="A194" s="12">
        <v>191</v>
      </c>
      <c r="B194" s="3" t="s">
        <v>46</v>
      </c>
      <c r="C194" s="3" t="str">
        <f>VLOOKUP(B194,品名!$A$1:$C$151,2,0)</f>
        <v>AO史密斯</v>
      </c>
      <c r="D194" s="3" t="str">
        <f>VLOOKUP(B194,品名!$A$1:$C$151,3,0)</f>
        <v>A.O.Smith ET500J-60 电热水器</v>
      </c>
      <c r="E194" s="3" t="str">
        <f>VLOOKUP(LEFT(B194,2),Sheet2!$A$1:$B$8,2,0)</f>
        <v>热水器</v>
      </c>
      <c r="F194" s="4">
        <v>42767</v>
      </c>
      <c r="G194" s="3" t="s">
        <v>157</v>
      </c>
      <c r="H194" s="3" t="s">
        <v>170</v>
      </c>
      <c r="I194" s="5">
        <v>36</v>
      </c>
      <c r="J194" s="13">
        <f>VLOOKUP(B194,[1]单价!$A$1:$B$152,2,0)</f>
        <v>2868</v>
      </c>
      <c r="K194" s="13">
        <f t="shared" si="2"/>
        <v>103248</v>
      </c>
      <c r="L194" s="13">
        <f>VLOOKUP(B194,[1]进价!$A$1:$B$151,2,0)*表1[[#This Row],[销量]]</f>
        <v>82598.400000000009</v>
      </c>
    </row>
    <row r="195" spans="1:12" ht="15" customHeight="1" x14ac:dyDescent="0.15">
      <c r="A195" s="12">
        <v>192</v>
      </c>
      <c r="B195" s="3" t="s">
        <v>102</v>
      </c>
      <c r="C195" s="3" t="str">
        <f>VLOOKUP(B195,品名!$A$1:$C$151,2,0)</f>
        <v>小鸭</v>
      </c>
      <c r="D195" s="3" t="str">
        <f>VLOOKUP(B195,品名!$A$1:$C$151,3,0)</f>
        <v>XPB28-1808S双缸洗衣机</v>
      </c>
      <c r="E195" s="3" t="str">
        <f>VLOOKUP(LEFT(B195,2),Sheet2!$A$1:$B$8,2,0)</f>
        <v>洗衣机</v>
      </c>
      <c r="F195" s="4">
        <v>42770</v>
      </c>
      <c r="G195" s="3" t="s">
        <v>157</v>
      </c>
      <c r="H195" s="3" t="s">
        <v>171</v>
      </c>
      <c r="I195" s="5">
        <v>32</v>
      </c>
      <c r="J195" s="13">
        <f>VLOOKUP(B195,[1]单价!$A$1:$B$152,2,0)</f>
        <v>338</v>
      </c>
      <c r="K195" s="13">
        <f t="shared" si="2"/>
        <v>10816</v>
      </c>
      <c r="L195" s="13">
        <f>VLOOKUP(B195,[1]进价!$A$1:$B$151,2,0)*表1[[#This Row],[销量]]</f>
        <v>9193.6</v>
      </c>
    </row>
    <row r="196" spans="1:12" ht="15" customHeight="1" x14ac:dyDescent="0.15">
      <c r="A196" s="12">
        <v>193</v>
      </c>
      <c r="B196" s="3" t="s">
        <v>53</v>
      </c>
      <c r="C196" s="3" t="str">
        <f>VLOOKUP(B196,品名!$A$1:$C$151,2,0)</f>
        <v>海尔</v>
      </c>
      <c r="D196" s="3" t="str">
        <f>VLOOKUP(B196,品名!$A$1:$C$151,3,0)</f>
        <v>Haier JSQ24-A2(12T)燃气热水器</v>
      </c>
      <c r="E196" s="3" t="str">
        <f>VLOOKUP(LEFT(B196,2),Sheet2!$A$1:$B$8,2,0)</f>
        <v>热水器</v>
      </c>
      <c r="F196" s="4">
        <v>42775</v>
      </c>
      <c r="G196" s="3" t="s">
        <v>157</v>
      </c>
      <c r="H196" s="3" t="s">
        <v>170</v>
      </c>
      <c r="I196" s="5">
        <v>50</v>
      </c>
      <c r="J196" s="13">
        <f>VLOOKUP(B196,[1]单价!$A$1:$B$152,2,0)</f>
        <v>1998</v>
      </c>
      <c r="K196" s="13">
        <f t="shared" si="2"/>
        <v>99900</v>
      </c>
      <c r="L196" s="13">
        <f>VLOOKUP(B196,[1]进价!$A$1:$B$151,2,0)*表1[[#This Row],[销量]]</f>
        <v>79920</v>
      </c>
    </row>
    <row r="197" spans="1:12" ht="15" customHeight="1" x14ac:dyDescent="0.15">
      <c r="A197" s="12">
        <v>194</v>
      </c>
      <c r="B197" s="3" t="s">
        <v>60</v>
      </c>
      <c r="C197" s="3" t="str">
        <f>VLOOKUP(B197,品名!$A$1:$C$151,2,0)</f>
        <v>能率</v>
      </c>
      <c r="D197" s="3" t="str">
        <f>VLOOKUP(B197,品名!$A$1:$C$151,3,0)</f>
        <v>NORITZ GQ-1150FE 11升燃气热水器</v>
      </c>
      <c r="E197" s="3" t="str">
        <f>VLOOKUP(LEFT(B197,2),Sheet2!$A$1:$B$8,2,0)</f>
        <v>热水器</v>
      </c>
      <c r="F197" s="4">
        <v>42782</v>
      </c>
      <c r="G197" s="3" t="s">
        <v>157</v>
      </c>
      <c r="H197" s="3" t="s">
        <v>171</v>
      </c>
      <c r="I197" s="5">
        <v>40</v>
      </c>
      <c r="J197" s="13">
        <f>VLOOKUP(B197,[1]单价!$A$1:$B$152,2,0)</f>
        <v>2298</v>
      </c>
      <c r="K197" s="13">
        <f t="shared" ref="K197:K260" si="3">I197*J197</f>
        <v>91920</v>
      </c>
      <c r="L197" s="13">
        <f>VLOOKUP(B197,[1]进价!$A$1:$B$151,2,0)*表1[[#This Row],[销量]]</f>
        <v>74455.200000000012</v>
      </c>
    </row>
    <row r="198" spans="1:12" ht="15" customHeight="1" x14ac:dyDescent="0.15">
      <c r="A198" s="12">
        <v>195</v>
      </c>
      <c r="B198" s="3" t="s">
        <v>87</v>
      </c>
      <c r="C198" s="3" t="str">
        <f>VLOOKUP(B198,品名!$A$1:$C$151,2,0)</f>
        <v>安仕</v>
      </c>
      <c r="D198" s="3" t="str">
        <f>VLOOKUP(B198,品名!$A$1:$C$151,3,0)</f>
        <v>ASG-131S双层干衣机</v>
      </c>
      <c r="E198" s="3" t="str">
        <f>VLOOKUP(LEFT(B198,2),Sheet2!$A$1:$B$8,2,0)</f>
        <v>洗衣机</v>
      </c>
      <c r="F198" s="4">
        <v>42794</v>
      </c>
      <c r="G198" s="3" t="s">
        <v>157</v>
      </c>
      <c r="H198" s="3" t="s">
        <v>171</v>
      </c>
      <c r="I198" s="5">
        <v>46</v>
      </c>
      <c r="J198" s="13">
        <f>VLOOKUP(B198,[1]单价!$A$1:$B$152,2,0)</f>
        <v>198</v>
      </c>
      <c r="K198" s="13">
        <f t="shared" si="3"/>
        <v>9108</v>
      </c>
      <c r="L198" s="13">
        <f>VLOOKUP(B198,[1]进价!$A$1:$B$151,2,0)*表1[[#This Row],[销量]]</f>
        <v>7650.7199999999993</v>
      </c>
    </row>
    <row r="199" spans="1:12" ht="15" customHeight="1" x14ac:dyDescent="0.15">
      <c r="A199" s="12">
        <v>196</v>
      </c>
      <c r="B199" s="3" t="s">
        <v>94</v>
      </c>
      <c r="C199" s="3" t="str">
        <f>VLOOKUP(B199,品名!$A$1:$C$151,2,0)</f>
        <v>海尔</v>
      </c>
      <c r="D199" s="3" t="str">
        <f>VLOOKUP(B199,品名!$A$1:$C$151,3,0)</f>
        <v>Haier XQB60-M918 洗衣机</v>
      </c>
      <c r="E199" s="3" t="str">
        <f>VLOOKUP(LEFT(B199,2),Sheet2!$A$1:$B$8,2,0)</f>
        <v>洗衣机</v>
      </c>
      <c r="F199" s="4">
        <v>42798</v>
      </c>
      <c r="G199" s="3" t="s">
        <v>157</v>
      </c>
      <c r="H199" s="3" t="s">
        <v>171</v>
      </c>
      <c r="I199" s="5">
        <v>42</v>
      </c>
      <c r="J199" s="13">
        <f>VLOOKUP(B199,[1]单价!$A$1:$B$152,2,0)</f>
        <v>1188</v>
      </c>
      <c r="K199" s="13">
        <f t="shared" si="3"/>
        <v>49896</v>
      </c>
      <c r="L199" s="13">
        <f>VLOOKUP(B199,[1]进价!$A$1:$B$151,2,0)*表1[[#This Row],[销量]]</f>
        <v>40415.760000000002</v>
      </c>
    </row>
    <row r="200" spans="1:12" ht="15" customHeight="1" x14ac:dyDescent="0.15">
      <c r="A200" s="12">
        <v>197</v>
      </c>
      <c r="B200" s="3" t="s">
        <v>101</v>
      </c>
      <c r="C200" s="3" t="str">
        <f>VLOOKUP(B200,品名!$A$1:$C$151,2,0)</f>
        <v>西格玛</v>
      </c>
      <c r="D200" s="3" t="str">
        <f>VLOOKUP(B200,品名!$A$1:$C$151,3,0)</f>
        <v>sigma 家用除菌全自动滚筒干衣机</v>
      </c>
      <c r="E200" s="3" t="str">
        <f>VLOOKUP(LEFT(B200,2),Sheet2!$A$1:$B$8,2,0)</f>
        <v>洗衣机</v>
      </c>
      <c r="F200" s="4">
        <v>42805</v>
      </c>
      <c r="G200" s="3" t="s">
        <v>157</v>
      </c>
      <c r="H200" s="3" t="s">
        <v>171</v>
      </c>
      <c r="I200" s="5">
        <v>25</v>
      </c>
      <c r="J200" s="13">
        <f>VLOOKUP(B200,[1]单价!$A$1:$B$152,2,0)</f>
        <v>1489</v>
      </c>
      <c r="K200" s="13">
        <f t="shared" si="3"/>
        <v>37225</v>
      </c>
      <c r="L200" s="13">
        <f>VLOOKUP(B200,[1]进价!$A$1:$B$151,2,0)*表1[[#This Row],[销量]]</f>
        <v>32385.75</v>
      </c>
    </row>
    <row r="201" spans="1:12" ht="15" customHeight="1" x14ac:dyDescent="0.15">
      <c r="A201" s="12">
        <v>198</v>
      </c>
      <c r="B201" s="3" t="s">
        <v>108</v>
      </c>
      <c r="C201" s="3" t="str">
        <f>VLOOKUP(B201,品名!$A$1:$C$151,2,0)</f>
        <v>Apple</v>
      </c>
      <c r="D201" s="3" t="str">
        <f>VLOOKUP(B201,品名!$A$1:$C$151,3,0)</f>
        <v>MacBook Pro MGXC2CH/A 15.4英寸笔记本电脑</v>
      </c>
      <c r="E201" s="3" t="str">
        <f>VLOOKUP(LEFT(B201,2),Sheet2!$A$1:$B$8,2,0)</f>
        <v>计算机</v>
      </c>
      <c r="F201" s="4">
        <v>42811</v>
      </c>
      <c r="G201" s="3" t="s">
        <v>157</v>
      </c>
      <c r="H201" s="3" t="s">
        <v>170</v>
      </c>
      <c r="I201" s="5">
        <v>49</v>
      </c>
      <c r="J201" s="13">
        <f>VLOOKUP(B201,[1]单价!$A$1:$B$152,2,0)</f>
        <v>15688</v>
      </c>
      <c r="K201" s="13">
        <f t="shared" si="3"/>
        <v>768712</v>
      </c>
      <c r="L201" s="13">
        <f>VLOOKUP(B201,[1]进价!$A$1:$B$151,2,0)*表1[[#This Row],[销量]]</f>
        <v>645718.07999999996</v>
      </c>
    </row>
    <row r="202" spans="1:12" ht="15" customHeight="1" x14ac:dyDescent="0.15">
      <c r="A202" s="12">
        <v>199</v>
      </c>
      <c r="B202" s="3" t="s">
        <v>115</v>
      </c>
      <c r="C202" s="3" t="str">
        <f>VLOOKUP(B202,品名!$A$1:$C$151,2,0)</f>
        <v>戴尔</v>
      </c>
      <c r="D202" s="3" t="str">
        <f>VLOOKUP(B202,品名!$A$1:$C$151,3,0)</f>
        <v>Dell Ins15CR-4528B 15.6英寸笔记本电脑</v>
      </c>
      <c r="E202" s="3" t="str">
        <f>VLOOKUP(LEFT(B202,2),Sheet2!$A$1:$B$8,2,0)</f>
        <v>计算机</v>
      </c>
      <c r="F202" s="4">
        <v>42819</v>
      </c>
      <c r="G202" s="3" t="s">
        <v>157</v>
      </c>
      <c r="H202" s="3" t="s">
        <v>171</v>
      </c>
      <c r="I202" s="5">
        <v>17</v>
      </c>
      <c r="J202" s="13">
        <f>VLOOKUP(B202,[1]单价!$A$1:$B$152,2,0)</f>
        <v>3149</v>
      </c>
      <c r="K202" s="13">
        <f t="shared" si="3"/>
        <v>53533</v>
      </c>
      <c r="L202" s="13">
        <f>VLOOKUP(B202,[1]进价!$A$1:$B$151,2,0)*表1[[#This Row],[销量]]</f>
        <v>48179.7</v>
      </c>
    </row>
    <row r="203" spans="1:12" ht="15" customHeight="1" x14ac:dyDescent="0.15">
      <c r="A203" s="12">
        <v>200</v>
      </c>
      <c r="B203" s="3" t="s">
        <v>122</v>
      </c>
      <c r="C203" s="3" t="str">
        <f>VLOOKUP(B203,品名!$A$1:$C$151,2,0)</f>
        <v>联想</v>
      </c>
      <c r="D203" s="3" t="str">
        <f>VLOOKUP(B203,品名!$A$1:$C$151,3,0)</f>
        <v>ThinkPad E450C-20EHA01-7CD 14英寸笔记本电脑</v>
      </c>
      <c r="E203" s="3" t="str">
        <f>VLOOKUP(LEFT(B203,2),Sheet2!$A$1:$B$8,2,0)</f>
        <v>计算机</v>
      </c>
      <c r="F203" s="4">
        <v>42827</v>
      </c>
      <c r="G203" s="3" t="s">
        <v>157</v>
      </c>
      <c r="H203" s="3" t="s">
        <v>171</v>
      </c>
      <c r="I203" s="5">
        <v>42</v>
      </c>
      <c r="J203" s="13">
        <f>VLOOKUP(B203,[1]单价!$A$1:$B$152,2,0)</f>
        <v>3499</v>
      </c>
      <c r="K203" s="13">
        <f t="shared" si="3"/>
        <v>146958</v>
      </c>
      <c r="L203" s="13">
        <f>VLOOKUP(B203,[1]进价!$A$1:$B$151,2,0)*表1[[#This Row],[销量]]</f>
        <v>121975.14</v>
      </c>
    </row>
    <row r="204" spans="1:12" ht="15" customHeight="1" x14ac:dyDescent="0.15">
      <c r="A204" s="12">
        <v>201</v>
      </c>
      <c r="B204" s="3" t="s">
        <v>129</v>
      </c>
      <c r="C204" s="3" t="str">
        <f>VLOOKUP(B204,品名!$A$1:$C$151,2,0)</f>
        <v>戴尔</v>
      </c>
      <c r="D204" s="3" t="str">
        <f>VLOOKUP(B204,品名!$A$1:$C$151,3,0)</f>
        <v>Dell Vostro 3900-R7938 台式主机</v>
      </c>
      <c r="E204" s="3" t="str">
        <f>VLOOKUP(LEFT(B204,2),Sheet2!$A$1:$B$8,2,0)</f>
        <v>计算机</v>
      </c>
      <c r="F204" s="4">
        <v>42836</v>
      </c>
      <c r="G204" s="3" t="s">
        <v>157</v>
      </c>
      <c r="H204" s="3" t="s">
        <v>171</v>
      </c>
      <c r="I204" s="5">
        <v>42</v>
      </c>
      <c r="J204" s="13">
        <f>VLOOKUP(B204,[1]单价!$A$1:$B$152,2,0)</f>
        <v>5799</v>
      </c>
      <c r="K204" s="13">
        <f t="shared" si="3"/>
        <v>243558</v>
      </c>
      <c r="L204" s="13">
        <f>VLOOKUP(B204,[1]进价!$A$1:$B$151,2,0)*表1[[#This Row],[销量]]</f>
        <v>204588.72</v>
      </c>
    </row>
    <row r="205" spans="1:12" ht="15" customHeight="1" x14ac:dyDescent="0.15">
      <c r="A205" s="12">
        <v>202</v>
      </c>
      <c r="B205" s="3" t="s">
        <v>136</v>
      </c>
      <c r="C205" s="3" t="str">
        <f>VLOOKUP(B205,品名!$A$1:$C$151,2,0)</f>
        <v>惠普</v>
      </c>
      <c r="D205" s="3" t="str">
        <f>VLOOKUP(B205,品名!$A$1:$C$151,3,0)</f>
        <v>HP Pavilion 251-011cn 台式主机</v>
      </c>
      <c r="E205" s="3" t="str">
        <f>VLOOKUP(LEFT(B205,2),Sheet2!$A$1:$B$8,2,0)</f>
        <v>计算机</v>
      </c>
      <c r="F205" s="4">
        <v>42843</v>
      </c>
      <c r="G205" s="3" t="s">
        <v>157</v>
      </c>
      <c r="H205" s="3" t="s">
        <v>171</v>
      </c>
      <c r="I205" s="5">
        <v>35</v>
      </c>
      <c r="J205" s="13">
        <f>VLOOKUP(B205,[1]单价!$A$1:$B$152,2,0)</f>
        <v>1995</v>
      </c>
      <c r="K205" s="13">
        <f t="shared" si="3"/>
        <v>69825</v>
      </c>
      <c r="L205" s="13">
        <f>VLOOKUP(B205,[1]进价!$A$1:$B$151,2,0)*表1[[#This Row],[销量]]</f>
        <v>57256.5</v>
      </c>
    </row>
    <row r="206" spans="1:12" ht="15" customHeight="1" x14ac:dyDescent="0.15">
      <c r="A206" s="12">
        <v>203</v>
      </c>
      <c r="B206" s="3" t="s">
        <v>143</v>
      </c>
      <c r="C206" s="3" t="str">
        <f>VLOOKUP(B206,品名!$A$1:$C$151,2,0)</f>
        <v>Apple</v>
      </c>
      <c r="D206" s="3" t="str">
        <f>VLOOKUP(B206,品名!$A$1:$C$151,3,0)</f>
        <v>iPad mini 4 MK9J2CH/A 7.9英寸平板电脑 金色</v>
      </c>
      <c r="E206" s="3" t="str">
        <f>VLOOKUP(LEFT(B206,2),Sheet2!$A$1:$B$8,2,0)</f>
        <v>计算机</v>
      </c>
      <c r="F206" s="4">
        <v>42849</v>
      </c>
      <c r="G206" s="3" t="s">
        <v>157</v>
      </c>
      <c r="H206" s="3" t="s">
        <v>171</v>
      </c>
      <c r="I206" s="5">
        <v>40</v>
      </c>
      <c r="J206" s="13">
        <f>VLOOKUP(B206,[1]单价!$A$1:$B$152,2,0)</f>
        <v>3558</v>
      </c>
      <c r="K206" s="13">
        <f t="shared" si="3"/>
        <v>142320</v>
      </c>
      <c r="L206" s="13">
        <f>VLOOKUP(B206,[1]进价!$A$1:$B$151,2,0)*表1[[#This Row],[销量]]</f>
        <v>115279.2</v>
      </c>
    </row>
    <row r="207" spans="1:12" ht="15" customHeight="1" x14ac:dyDescent="0.15">
      <c r="A207" s="12">
        <v>204</v>
      </c>
      <c r="B207" s="3" t="s">
        <v>150</v>
      </c>
      <c r="C207" s="3" t="str">
        <f>VLOOKUP(B207,品名!$A$1:$C$151,2,0)</f>
        <v>联想</v>
      </c>
      <c r="D207" s="3" t="str">
        <f>VLOOKUP(B207,品名!$A$1:$C$151,3,0)</f>
        <v>ThinkPad 8（20BNA00RCD）8.3英寸触控平板电脑</v>
      </c>
      <c r="E207" s="3" t="str">
        <f>VLOOKUP(LEFT(B207,2),Sheet2!$A$1:$B$8,2,0)</f>
        <v>计算机</v>
      </c>
      <c r="F207" s="4">
        <v>42857</v>
      </c>
      <c r="G207" s="3" t="s">
        <v>157</v>
      </c>
      <c r="H207" s="3" t="s">
        <v>171</v>
      </c>
      <c r="I207" s="5">
        <v>49</v>
      </c>
      <c r="J207" s="13">
        <f>VLOOKUP(B207,[1]单价!$A$1:$B$152,2,0)</f>
        <v>2599</v>
      </c>
      <c r="K207" s="13">
        <f t="shared" si="3"/>
        <v>127351</v>
      </c>
      <c r="L207" s="13">
        <f>VLOOKUP(B207,[1]进价!$A$1:$B$151,2,0)*表1[[#This Row],[销量]]</f>
        <v>108248.35</v>
      </c>
    </row>
    <row r="208" spans="1:12" ht="15" customHeight="1" x14ac:dyDescent="0.15">
      <c r="A208" s="12">
        <v>205</v>
      </c>
      <c r="B208" s="3" t="s">
        <v>6</v>
      </c>
      <c r="C208" s="3" t="str">
        <f>VLOOKUP(B208,品名!$A$1:$C$151,2,0)</f>
        <v>酷开</v>
      </c>
      <c r="D208" s="3" t="str">
        <f>VLOOKUP(B208,品名!$A$1:$C$151,3,0)</f>
        <v>coocaa K50J 50英寸智能平板液晶电视</v>
      </c>
      <c r="E208" s="3" t="str">
        <f>VLOOKUP(LEFT(B208,2),Sheet2!$A$1:$B$8,2,0)</f>
        <v>电视</v>
      </c>
      <c r="F208" s="4">
        <v>42856</v>
      </c>
      <c r="G208" s="3" t="s">
        <v>157</v>
      </c>
      <c r="H208" s="3" t="s">
        <v>170</v>
      </c>
      <c r="I208" s="5">
        <v>6</v>
      </c>
      <c r="J208" s="13">
        <f>VLOOKUP(B208,[1]单价!$A$1:$B$152,2,0)</f>
        <v>2699</v>
      </c>
      <c r="K208" s="13">
        <f t="shared" si="3"/>
        <v>16194</v>
      </c>
      <c r="L208" s="13">
        <f>VLOOKUP(B208,[1]进价!$A$1:$B$151,2,0)*表1[[#This Row],[销量]]</f>
        <v>13117.14</v>
      </c>
    </row>
    <row r="209" spans="1:12" ht="15" customHeight="1" x14ac:dyDescent="0.15">
      <c r="A209" s="12">
        <v>206</v>
      </c>
      <c r="B209" s="3" t="s">
        <v>13</v>
      </c>
      <c r="C209" s="3" t="str">
        <f>VLOOKUP(B209,品名!$A$1:$C$151,2,0)</f>
        <v>LG</v>
      </c>
      <c r="D209" s="3" t="str">
        <f>VLOOKUP(B209,品名!$A$1:$C$151,3,0)</f>
        <v>42LS3100-CE 全高清LED液晶电视</v>
      </c>
      <c r="E209" s="3" t="str">
        <f>VLOOKUP(LEFT(B209,2),Sheet2!$A$1:$B$8,2,0)</f>
        <v>电视</v>
      </c>
      <c r="F209" s="4">
        <v>42871</v>
      </c>
      <c r="G209" s="3" t="s">
        <v>157</v>
      </c>
      <c r="H209" s="3" t="s">
        <v>170</v>
      </c>
      <c r="I209" s="5">
        <v>35</v>
      </c>
      <c r="J209" s="13">
        <f>VLOOKUP(B209,[1]单价!$A$1:$B$152,2,0)</f>
        <v>3049</v>
      </c>
      <c r="K209" s="13">
        <f t="shared" si="3"/>
        <v>106715</v>
      </c>
      <c r="L209" s="13">
        <f>VLOOKUP(B209,[1]进价!$A$1:$B$151,2,0)*表1[[#This Row],[销量]]</f>
        <v>86439.150000000009</v>
      </c>
    </row>
    <row r="210" spans="1:12" ht="15" customHeight="1" x14ac:dyDescent="0.15">
      <c r="A210" s="12">
        <v>207</v>
      </c>
      <c r="B210" s="3" t="s">
        <v>20</v>
      </c>
      <c r="C210" s="3" t="str">
        <f>VLOOKUP(B210,品名!$A$1:$C$151,2,0)</f>
        <v>TCL</v>
      </c>
      <c r="D210" s="3" t="str">
        <f>VLOOKUP(B210,品名!$A$1:$C$151,3,0)</f>
        <v>L48F3310-3D平板电视</v>
      </c>
      <c r="E210" s="3" t="str">
        <f>VLOOKUP(LEFT(B210,2),Sheet2!$A$1:$B$8,2,0)</f>
        <v>电视</v>
      </c>
      <c r="F210" s="4">
        <v>42868</v>
      </c>
      <c r="G210" s="3" t="s">
        <v>157</v>
      </c>
      <c r="H210" s="3" t="s">
        <v>170</v>
      </c>
      <c r="I210" s="5">
        <v>41</v>
      </c>
      <c r="J210" s="13">
        <f>VLOOKUP(B210,[1]单价!$A$1:$B$152,2,0)</f>
        <v>3999</v>
      </c>
      <c r="K210" s="13">
        <f t="shared" si="3"/>
        <v>163959</v>
      </c>
      <c r="L210" s="13">
        <f>VLOOKUP(B210,[1]进价!$A$1:$B$151,2,0)*表1[[#This Row],[销量]]</f>
        <v>142644.33000000002</v>
      </c>
    </row>
    <row r="211" spans="1:12" ht="15" customHeight="1" x14ac:dyDescent="0.15">
      <c r="A211" s="12">
        <v>208</v>
      </c>
      <c r="B211" s="3" t="s">
        <v>27</v>
      </c>
      <c r="C211" s="3" t="str">
        <f>VLOOKUP(B211,品名!$A$1:$C$151,2,0)</f>
        <v>TCL</v>
      </c>
      <c r="D211" s="3" t="str">
        <f>VLOOKUP(B211,品名!$A$1:$C$151,3,0)</f>
        <v>KFRd-25GW/DE22空调</v>
      </c>
      <c r="E211" s="3" t="str">
        <f>VLOOKUP(LEFT(B211,2),Sheet2!$A$1:$B$8,2,0)</f>
        <v>空调</v>
      </c>
      <c r="F211" s="4">
        <v>42887</v>
      </c>
      <c r="G211" s="3" t="s">
        <v>157</v>
      </c>
      <c r="H211" s="3" t="s">
        <v>170</v>
      </c>
      <c r="I211" s="5">
        <v>38</v>
      </c>
      <c r="J211" s="13">
        <f>VLOOKUP(B211,[1]单价!$A$1:$B$152,2,0)</f>
        <v>1879</v>
      </c>
      <c r="K211" s="13">
        <f t="shared" si="3"/>
        <v>71402</v>
      </c>
      <c r="L211" s="13">
        <f>VLOOKUP(B211,[1]进价!$A$1:$B$151,2,0)*表1[[#This Row],[销量]]</f>
        <v>57121.599999999999</v>
      </c>
    </row>
    <row r="212" spans="1:12" ht="15" customHeight="1" x14ac:dyDescent="0.15">
      <c r="A212" s="12">
        <v>209</v>
      </c>
      <c r="B212" s="3" t="s">
        <v>35</v>
      </c>
      <c r="C212" s="3" t="str">
        <f>VLOOKUP(B212,品名!$A$1:$C$151,2,0)</f>
        <v>格兰仕</v>
      </c>
      <c r="D212" s="3" t="str">
        <f>VLOOKUP(B212,品名!$A$1:$C$151,3,0)</f>
        <v>Galanz KFR-23GW/dLP45-150(2)空调</v>
      </c>
      <c r="E212" s="3" t="str">
        <f>VLOOKUP(LEFT(B212,2),Sheet2!$A$1:$B$8,2,0)</f>
        <v>空调</v>
      </c>
      <c r="F212" s="4">
        <v>42892</v>
      </c>
      <c r="G212" s="3" t="s">
        <v>157</v>
      </c>
      <c r="H212" s="3" t="s">
        <v>171</v>
      </c>
      <c r="I212" s="5">
        <v>49</v>
      </c>
      <c r="J212" s="13">
        <f>VLOOKUP(B212,[1]单价!$A$1:$B$152,2,0)</f>
        <v>1599</v>
      </c>
      <c r="K212" s="13">
        <f t="shared" si="3"/>
        <v>78351</v>
      </c>
      <c r="L212" s="13">
        <f>VLOOKUP(B212,[1]进价!$A$1:$B$151,2,0)*表1[[#This Row],[销量]]</f>
        <v>65814.840000000011</v>
      </c>
    </row>
    <row r="213" spans="1:12" ht="15" customHeight="1" x14ac:dyDescent="0.15">
      <c r="A213" s="12">
        <v>210</v>
      </c>
      <c r="B213" s="3" t="s">
        <v>44</v>
      </c>
      <c r="C213" s="3" t="str">
        <f>VLOOKUP(B213,品名!$A$1:$C$151,2,0)</f>
        <v>志高</v>
      </c>
      <c r="D213" s="3" t="str">
        <f>VLOOKUP(B213,品名!$A$1:$C$151,3,0)</f>
        <v>CHIGO KFR-25GW/D104+N3空调</v>
      </c>
      <c r="E213" s="3" t="str">
        <f>VLOOKUP(LEFT(B213,2),Sheet2!$A$1:$B$8,2,0)</f>
        <v>空调</v>
      </c>
      <c r="F213" s="4">
        <v>42900</v>
      </c>
      <c r="G213" s="3" t="s">
        <v>157</v>
      </c>
      <c r="H213" s="3" t="s">
        <v>170</v>
      </c>
      <c r="I213" s="5">
        <v>5</v>
      </c>
      <c r="J213" s="13">
        <f>VLOOKUP(B213,[1]单价!$A$1:$B$152,2,0)</f>
        <v>1979</v>
      </c>
      <c r="K213" s="13">
        <f t="shared" si="3"/>
        <v>9895</v>
      </c>
      <c r="L213" s="13">
        <f>VLOOKUP(B213,[1]进价!$A$1:$B$151,2,0)*表1[[#This Row],[销量]]</f>
        <v>8410.75</v>
      </c>
    </row>
    <row r="214" spans="1:12" ht="15" customHeight="1" x14ac:dyDescent="0.15">
      <c r="A214" s="12">
        <v>211</v>
      </c>
      <c r="B214" s="3" t="s">
        <v>74</v>
      </c>
      <c r="C214" s="3" t="str">
        <f>VLOOKUP(B214,品名!$A$1:$C$151,2,0)</f>
        <v>海信</v>
      </c>
      <c r="D214" s="3" t="str">
        <f>VLOOKUP(B214,品名!$A$1:$C$151,3,0)</f>
        <v>Hisense BCD-137C/E冰箱</v>
      </c>
      <c r="E214" s="3" t="str">
        <f>VLOOKUP(LEFT(B214,2),Sheet2!$A$1:$B$8,2,0)</f>
        <v>冰箱</v>
      </c>
      <c r="F214" s="4">
        <v>42907</v>
      </c>
      <c r="G214" s="3" t="s">
        <v>157</v>
      </c>
      <c r="H214" s="3" t="s">
        <v>170</v>
      </c>
      <c r="I214" s="5">
        <v>16</v>
      </c>
      <c r="J214" s="13">
        <f>VLOOKUP(B214,[1]单价!$A$1:$B$152,2,0)</f>
        <v>999</v>
      </c>
      <c r="K214" s="13">
        <f t="shared" si="3"/>
        <v>15984</v>
      </c>
      <c r="L214" s="13">
        <f>VLOOKUP(B214,[1]进价!$A$1:$B$151,2,0)*表1[[#This Row],[销量]]</f>
        <v>13426.56</v>
      </c>
    </row>
    <row r="215" spans="1:12" ht="15" customHeight="1" x14ac:dyDescent="0.15">
      <c r="A215" s="12">
        <v>212</v>
      </c>
      <c r="B215" s="3" t="s">
        <v>84</v>
      </c>
      <c r="C215" s="3" t="str">
        <f>VLOOKUP(B215,品名!$A$1:$C$151,2,0)</f>
        <v>西门子</v>
      </c>
      <c r="D215" s="3" t="str">
        <f>VLOOKUP(B215,品名!$A$1:$C$151,3,0)</f>
        <v>SIEMENS KG23N1116W冰箱</v>
      </c>
      <c r="E215" s="3" t="str">
        <f>VLOOKUP(LEFT(B215,2),Sheet2!$A$1:$B$8,2,0)</f>
        <v>冰箱</v>
      </c>
      <c r="F215" s="4">
        <v>42914</v>
      </c>
      <c r="G215" s="3" t="s">
        <v>157</v>
      </c>
      <c r="H215" s="3" t="s">
        <v>171</v>
      </c>
      <c r="I215" s="5">
        <v>25</v>
      </c>
      <c r="J215" s="13">
        <f>VLOOKUP(B215,[1]单价!$A$1:$B$152,2,0)</f>
        <v>2799</v>
      </c>
      <c r="K215" s="13">
        <f t="shared" si="3"/>
        <v>69975</v>
      </c>
      <c r="L215" s="13">
        <f>VLOOKUP(B215,[1]进价!$A$1:$B$151,2,0)*表1[[#This Row],[销量]]</f>
        <v>58779</v>
      </c>
    </row>
    <row r="216" spans="1:12" ht="15" customHeight="1" x14ac:dyDescent="0.15">
      <c r="A216" s="12">
        <v>213</v>
      </c>
      <c r="B216" s="3" t="s">
        <v>114</v>
      </c>
      <c r="C216" s="3" t="str">
        <f>VLOOKUP(B216,品名!$A$1:$C$151,2,0)</f>
        <v>华硕</v>
      </c>
      <c r="D216" s="3" t="str">
        <f>VLOOKUP(B216,品名!$A$1:$C$151,3,0)</f>
        <v>ASUS Zenbook UX305LA 13.3英寸超薄笔记本电脑</v>
      </c>
      <c r="E216" s="3" t="str">
        <f>VLOOKUP(LEFT(B216,2),Sheet2!$A$1:$B$8,2,0)</f>
        <v>计算机</v>
      </c>
      <c r="F216" s="4">
        <v>42895</v>
      </c>
      <c r="G216" s="3" t="s">
        <v>161</v>
      </c>
      <c r="H216" s="3" t="s">
        <v>171</v>
      </c>
      <c r="I216" s="5">
        <v>22</v>
      </c>
      <c r="J216" s="13">
        <f>VLOOKUP(B216,[1]单价!$A$1:$B$152,2,0)</f>
        <v>4875.66</v>
      </c>
      <c r="K216" s="13">
        <f t="shared" si="3"/>
        <v>107264.51999999999</v>
      </c>
      <c r="L216" s="13">
        <f>VLOOKUP(B216,[1]进价!$A$1:$B$151,2,0)*表1[[#This Row],[销量]]</f>
        <v>95465.48000000001</v>
      </c>
    </row>
    <row r="217" spans="1:12" ht="15" customHeight="1" x14ac:dyDescent="0.15">
      <c r="A217" s="12">
        <v>214</v>
      </c>
      <c r="B217" s="3" t="s">
        <v>124</v>
      </c>
      <c r="C217" s="3" t="str">
        <f>VLOOKUP(B217,品名!$A$1:$C$151,2,0)</f>
        <v>Apple</v>
      </c>
      <c r="D217" s="3" t="str">
        <f>VLOOKUP(B217,品名!$A$1:$C$151,3,0)</f>
        <v>iMac MK442CH/A 21.5英寸一体机</v>
      </c>
      <c r="E217" s="3" t="str">
        <f>VLOOKUP(LEFT(B217,2),Sheet2!$A$1:$B$8,2,0)</f>
        <v>计算机</v>
      </c>
      <c r="F217" s="4">
        <v>42747</v>
      </c>
      <c r="G217" s="3" t="s">
        <v>161</v>
      </c>
      <c r="H217" s="3" t="s">
        <v>170</v>
      </c>
      <c r="I217" s="5">
        <v>31</v>
      </c>
      <c r="J217" s="13">
        <f>VLOOKUP(B217,[1]单价!$A$1:$B$152,2,0)</f>
        <v>9588</v>
      </c>
      <c r="K217" s="13">
        <f t="shared" si="3"/>
        <v>297228</v>
      </c>
      <c r="L217" s="13">
        <f>VLOOKUP(B217,[1]进价!$A$1:$B$151,2,0)*表1[[#This Row],[销量]]</f>
        <v>252643.80000000002</v>
      </c>
    </row>
    <row r="218" spans="1:12" ht="15" customHeight="1" x14ac:dyDescent="0.15">
      <c r="A218" s="12">
        <v>215</v>
      </c>
      <c r="B218" s="3" t="s">
        <v>135</v>
      </c>
      <c r="C218" s="3" t="str">
        <f>VLOOKUP(B218,品名!$A$1:$C$151,2,0)</f>
        <v>联想</v>
      </c>
      <c r="D218" s="3" t="str">
        <f>VLOOKUP(B218,品名!$A$1:$C$151,3,0)</f>
        <v>lenovo M2620N 处理器j1820台式主机</v>
      </c>
      <c r="E218" s="3" t="str">
        <f>VLOOKUP(LEFT(B218,2),Sheet2!$A$1:$B$8,2,0)</f>
        <v>计算机</v>
      </c>
      <c r="F218" s="4">
        <v>42754</v>
      </c>
      <c r="G218" s="3" t="s">
        <v>161</v>
      </c>
      <c r="H218" s="3" t="s">
        <v>170</v>
      </c>
      <c r="I218" s="5">
        <v>44</v>
      </c>
      <c r="J218" s="13">
        <f>VLOOKUP(B218,[1]单价!$A$1:$B$152,2,0)</f>
        <v>2080</v>
      </c>
      <c r="K218" s="13">
        <f t="shared" si="3"/>
        <v>91520</v>
      </c>
      <c r="L218" s="13">
        <f>VLOOKUP(B218,[1]进价!$A$1:$B$151,2,0)*表1[[#This Row],[销量]]</f>
        <v>75046.399999999994</v>
      </c>
    </row>
    <row r="219" spans="1:12" ht="15" customHeight="1" x14ac:dyDescent="0.15">
      <c r="A219" s="12">
        <v>216</v>
      </c>
      <c r="B219" s="3" t="s">
        <v>147</v>
      </c>
      <c r="C219" s="3" t="str">
        <f>VLOOKUP(B219,品名!$A$1:$C$151,2,0)</f>
        <v>华为</v>
      </c>
      <c r="D219" s="3" t="str">
        <f>VLOOKUP(B219,品名!$A$1:$C$151,3,0)</f>
        <v>Huawei M2-803L 4G 64GB 八核平板电脑手机 香槟金</v>
      </c>
      <c r="E219" s="3" t="str">
        <f>VLOOKUP(LEFT(B219,2),Sheet2!$A$1:$B$8,2,0)</f>
        <v>计算机</v>
      </c>
      <c r="F219" s="4">
        <v>42761</v>
      </c>
      <c r="G219" s="3" t="s">
        <v>161</v>
      </c>
      <c r="H219" s="3" t="s">
        <v>170</v>
      </c>
      <c r="I219" s="5">
        <v>19</v>
      </c>
      <c r="J219" s="13">
        <f>VLOOKUP(B219,[1]单价!$A$1:$B$152,2,0)</f>
        <v>2278</v>
      </c>
      <c r="K219" s="13">
        <f t="shared" si="3"/>
        <v>43282</v>
      </c>
      <c r="L219" s="13">
        <f>VLOOKUP(B219,[1]进价!$A$1:$B$151,2,0)*表1[[#This Row],[销量]]</f>
        <v>38520.980000000003</v>
      </c>
    </row>
    <row r="220" spans="1:12" ht="15" customHeight="1" x14ac:dyDescent="0.15">
      <c r="A220" s="12">
        <v>217</v>
      </c>
      <c r="B220" s="3" t="s">
        <v>7</v>
      </c>
      <c r="C220" s="3" t="str">
        <f>VLOOKUP(B220,品名!$A$1:$C$151,2,0)</f>
        <v>海信</v>
      </c>
      <c r="D220" s="3" t="str">
        <f>VLOOKUP(B220,品名!$A$1:$C$151,3,0)</f>
        <v>Hisense LED32K200 32英寸LED高清电视</v>
      </c>
      <c r="E220" s="3" t="str">
        <f>VLOOKUP(LEFT(B220,2),Sheet2!$A$1:$B$8,2,0)</f>
        <v>电视</v>
      </c>
      <c r="F220" s="4">
        <v>42768</v>
      </c>
      <c r="G220" s="3" t="s">
        <v>161</v>
      </c>
      <c r="H220" s="3" t="s">
        <v>170</v>
      </c>
      <c r="I220" s="5">
        <v>18</v>
      </c>
      <c r="J220" s="13">
        <f>VLOOKUP(B220,[1]单价!$A$1:$B$152,2,0)</f>
        <v>1699</v>
      </c>
      <c r="K220" s="13">
        <f t="shared" si="3"/>
        <v>30582</v>
      </c>
      <c r="L220" s="13">
        <f>VLOOKUP(B220,[1]进价!$A$1:$B$151,2,0)*表1[[#This Row],[销量]]</f>
        <v>25077.24</v>
      </c>
    </row>
    <row r="221" spans="1:12" ht="15" customHeight="1" x14ac:dyDescent="0.15">
      <c r="A221" s="12">
        <v>218</v>
      </c>
      <c r="B221" s="3" t="s">
        <v>16</v>
      </c>
      <c r="C221" s="3" t="str">
        <f>VLOOKUP(B221,品名!$A$1:$C$151,2,0)</f>
        <v>康佳</v>
      </c>
      <c r="D221" s="3" t="str">
        <f>VLOOKUP(B221,品名!$A$1:$C$151,3,0)</f>
        <v>KONKA LED42E330CE 高清节能LED液晶电视</v>
      </c>
      <c r="E221" s="3" t="str">
        <f>VLOOKUP(LEFT(B221,2),Sheet2!$A$1:$B$8,2,0)</f>
        <v>电视</v>
      </c>
      <c r="F221" s="4">
        <v>42778</v>
      </c>
      <c r="G221" s="3" t="s">
        <v>161</v>
      </c>
      <c r="H221" s="3" t="s">
        <v>170</v>
      </c>
      <c r="I221" s="5">
        <v>3</v>
      </c>
      <c r="J221" s="13">
        <f>VLOOKUP(B221,[1]单价!$A$1:$B$152,2,0)</f>
        <v>3999</v>
      </c>
      <c r="K221" s="13">
        <f t="shared" si="3"/>
        <v>11997</v>
      </c>
      <c r="L221" s="13">
        <f>VLOOKUP(B221,[1]进价!$A$1:$B$151,2,0)*表1[[#This Row],[销量]]</f>
        <v>10197.450000000001</v>
      </c>
    </row>
    <row r="222" spans="1:12" ht="15" customHeight="1" x14ac:dyDescent="0.15">
      <c r="A222" s="12">
        <v>219</v>
      </c>
      <c r="B222" s="3" t="s">
        <v>27</v>
      </c>
      <c r="C222" s="3" t="str">
        <f>VLOOKUP(B222,品名!$A$1:$C$151,2,0)</f>
        <v>TCL</v>
      </c>
      <c r="D222" s="3" t="str">
        <f>VLOOKUP(B222,品名!$A$1:$C$151,3,0)</f>
        <v>KFRd-25GW/DE22空调</v>
      </c>
      <c r="E222" s="3" t="str">
        <f>VLOOKUP(LEFT(B222,2),Sheet2!$A$1:$B$8,2,0)</f>
        <v>空调</v>
      </c>
      <c r="F222" s="4">
        <v>42785</v>
      </c>
      <c r="G222" s="3" t="s">
        <v>161</v>
      </c>
      <c r="H222" s="3" t="s">
        <v>170</v>
      </c>
      <c r="I222" s="5">
        <v>3</v>
      </c>
      <c r="J222" s="13">
        <f>VLOOKUP(B222,[1]单价!$A$1:$B$152,2,0)</f>
        <v>1879</v>
      </c>
      <c r="K222" s="13">
        <f t="shared" si="3"/>
        <v>5637</v>
      </c>
      <c r="L222" s="13">
        <f>VLOOKUP(B222,[1]进价!$A$1:$B$151,2,0)*表1[[#This Row],[销量]]</f>
        <v>4509.6000000000004</v>
      </c>
    </row>
    <row r="223" spans="1:12" ht="15" customHeight="1" x14ac:dyDescent="0.15">
      <c r="A223" s="12">
        <v>220</v>
      </c>
      <c r="B223" s="3" t="s">
        <v>37</v>
      </c>
      <c r="C223" s="3" t="str">
        <f>VLOOKUP(B223,品名!$A$1:$C$151,2,0)</f>
        <v>格兰仕</v>
      </c>
      <c r="D223" s="3" t="str">
        <f>VLOOKUP(B223,品名!$A$1:$C$151,3,0)</f>
        <v>Galanz KFR-35GW/DLC45-130(2)空调</v>
      </c>
      <c r="E223" s="3" t="str">
        <f>VLOOKUP(LEFT(B223,2),Sheet2!$A$1:$B$8,2,0)</f>
        <v>空调</v>
      </c>
      <c r="F223" s="4">
        <v>42793</v>
      </c>
      <c r="G223" s="3" t="s">
        <v>161</v>
      </c>
      <c r="H223" s="3" t="s">
        <v>170</v>
      </c>
      <c r="I223" s="5">
        <v>21</v>
      </c>
      <c r="J223" s="13">
        <f>VLOOKUP(B223,[1]单价!$A$1:$B$152,2,0)</f>
        <v>1999</v>
      </c>
      <c r="K223" s="13">
        <f t="shared" si="3"/>
        <v>41979</v>
      </c>
      <c r="L223" s="13">
        <f>VLOOKUP(B223,[1]进价!$A$1:$B$151,2,0)*表1[[#This Row],[销量]]</f>
        <v>35262.36</v>
      </c>
    </row>
    <row r="224" spans="1:12" ht="15" customHeight="1" x14ac:dyDescent="0.15">
      <c r="A224" s="12">
        <v>221</v>
      </c>
      <c r="B224" s="3" t="s">
        <v>69</v>
      </c>
      <c r="C224" s="3" t="str">
        <f>VLOOKUP(B224,品名!$A$1:$C$151,2,0)</f>
        <v>奥马</v>
      </c>
      <c r="D224" s="3" t="str">
        <f>VLOOKUP(B224,品名!$A$1:$C$151,3,0)</f>
        <v>BCD-176A7冰箱</v>
      </c>
      <c r="E224" s="3" t="str">
        <f>VLOOKUP(LEFT(B224,2),Sheet2!$A$1:$B$8,2,0)</f>
        <v>冰箱</v>
      </c>
      <c r="F224" s="4">
        <v>42801</v>
      </c>
      <c r="G224" s="3" t="s">
        <v>161</v>
      </c>
      <c r="H224" s="3" t="s">
        <v>170</v>
      </c>
      <c r="I224" s="5">
        <v>29</v>
      </c>
      <c r="J224" s="13">
        <f>VLOOKUP(B224,[1]单价!$A$1:$B$152,2,0)</f>
        <v>1098</v>
      </c>
      <c r="K224" s="13">
        <f t="shared" si="3"/>
        <v>31842</v>
      </c>
      <c r="L224" s="13">
        <f>VLOOKUP(B224,[1]进价!$A$1:$B$151,2,0)*表1[[#This Row],[销量]]</f>
        <v>28657.800000000003</v>
      </c>
    </row>
    <row r="225" spans="1:12" ht="15" customHeight="1" x14ac:dyDescent="0.15">
      <c r="A225" s="12">
        <v>222</v>
      </c>
      <c r="B225" s="3" t="s">
        <v>78</v>
      </c>
      <c r="C225" s="3" t="str">
        <f>VLOOKUP(B225,品名!$A$1:$C$151,2,0)</f>
        <v>美菱</v>
      </c>
      <c r="D225" s="3" t="str">
        <f>VLOOKUP(B225,品名!$A$1:$C$151,3,0)</f>
        <v>MeLing BCD-181MLC双门冰箱</v>
      </c>
      <c r="E225" s="3" t="str">
        <f>VLOOKUP(LEFT(B225,2),Sheet2!$A$1:$B$8,2,0)</f>
        <v>冰箱</v>
      </c>
      <c r="F225" s="4">
        <v>42809</v>
      </c>
      <c r="G225" s="3" t="s">
        <v>161</v>
      </c>
      <c r="H225" s="3" t="s">
        <v>170</v>
      </c>
      <c r="I225" s="5">
        <v>47</v>
      </c>
      <c r="J225" s="13">
        <f>VLOOKUP(B225,[1]单价!$A$1:$B$152,2,0)</f>
        <v>1299</v>
      </c>
      <c r="K225" s="13">
        <f t="shared" si="3"/>
        <v>61053</v>
      </c>
      <c r="L225" s="13">
        <f>VLOOKUP(B225,[1]进价!$A$1:$B$151,2,0)*表1[[#This Row],[销量]]</f>
        <v>49452.93</v>
      </c>
    </row>
    <row r="226" spans="1:12" ht="15" customHeight="1" x14ac:dyDescent="0.15">
      <c r="A226" s="12">
        <v>223</v>
      </c>
      <c r="B226" s="3" t="s">
        <v>47</v>
      </c>
      <c r="C226" s="3" t="str">
        <f>VLOOKUP(B226,品名!$A$1:$C$151,2,0)</f>
        <v>格兰仕</v>
      </c>
      <c r="D226" s="3" t="str">
        <f>VLOOKUP(B226,品名!$A$1:$C$151,3,0)</f>
        <v>Galanz ZSDF-G40K031 40L 电热水器</v>
      </c>
      <c r="E226" s="3" t="str">
        <f>VLOOKUP(LEFT(B226,2),Sheet2!$A$1:$B$8,2,0)</f>
        <v>热水器</v>
      </c>
      <c r="F226" s="4">
        <v>42815</v>
      </c>
      <c r="G226" s="3" t="s">
        <v>161</v>
      </c>
      <c r="H226" s="3" t="s">
        <v>171</v>
      </c>
      <c r="I226" s="5">
        <v>37</v>
      </c>
      <c r="J226" s="13">
        <f>VLOOKUP(B226,[1]单价!$A$1:$B$152,2,0)</f>
        <v>498</v>
      </c>
      <c r="K226" s="13">
        <f t="shared" si="3"/>
        <v>18426</v>
      </c>
      <c r="L226" s="13">
        <f>VLOOKUP(B226,[1]进价!$A$1:$B$151,2,0)*表1[[#This Row],[销量]]</f>
        <v>16399.14</v>
      </c>
    </row>
    <row r="227" spans="1:12" ht="15" customHeight="1" x14ac:dyDescent="0.15">
      <c r="A227" s="12">
        <v>224</v>
      </c>
      <c r="B227" s="3" t="s">
        <v>56</v>
      </c>
      <c r="C227" s="3" t="str">
        <f>VLOOKUP(B227,品名!$A$1:$C$151,2,0)</f>
        <v>美的</v>
      </c>
      <c r="D227" s="3" t="str">
        <f>VLOOKUP(B227,品名!$A$1:$C$151,3,0)</f>
        <v>Midea F50-15A1 50升 电热水器</v>
      </c>
      <c r="E227" s="3" t="str">
        <f>VLOOKUP(LEFT(B227,2),Sheet2!$A$1:$B$8,2,0)</f>
        <v>热水器</v>
      </c>
      <c r="F227" s="4">
        <v>42822</v>
      </c>
      <c r="G227" s="3" t="s">
        <v>161</v>
      </c>
      <c r="H227" s="3" t="s">
        <v>171</v>
      </c>
      <c r="I227" s="5">
        <v>2</v>
      </c>
      <c r="J227" s="13">
        <f>VLOOKUP(B227,[1]单价!$A$1:$B$152,2,0)</f>
        <v>769</v>
      </c>
      <c r="K227" s="13">
        <f t="shared" si="3"/>
        <v>1538</v>
      </c>
      <c r="L227" s="13">
        <f>VLOOKUP(B227,[1]进价!$A$1:$B$151,2,0)*表1[[#This Row],[销量]]</f>
        <v>1353.44</v>
      </c>
    </row>
    <row r="228" spans="1:12" ht="15" customHeight="1" x14ac:dyDescent="0.15">
      <c r="A228" s="12">
        <v>225</v>
      </c>
      <c r="B228" s="3" t="s">
        <v>64</v>
      </c>
      <c r="C228" s="3" t="str">
        <f>VLOOKUP(B228,品名!$A$1:$C$151,2,0)</f>
        <v>小鸭</v>
      </c>
      <c r="D228" s="3" t="str">
        <f>VLOOKUP(B228,品名!$A$1:$C$151,3,0)</f>
        <v>XDWJ-40SA1 40升 电热水器</v>
      </c>
      <c r="E228" s="3" t="str">
        <f>VLOOKUP(LEFT(B228,2),Sheet2!$A$1:$B$8,2,0)</f>
        <v>热水器</v>
      </c>
      <c r="F228" s="4">
        <v>42829</v>
      </c>
      <c r="G228" s="3" t="s">
        <v>161</v>
      </c>
      <c r="H228" s="3" t="s">
        <v>171</v>
      </c>
      <c r="I228" s="5">
        <v>43</v>
      </c>
      <c r="J228" s="13">
        <f>VLOOKUP(B228,[1]单价!$A$1:$B$152,2,0)</f>
        <v>399</v>
      </c>
      <c r="K228" s="13">
        <f t="shared" si="3"/>
        <v>17157</v>
      </c>
      <c r="L228" s="13">
        <f>VLOOKUP(B228,[1]进价!$A$1:$B$151,2,0)*表1[[#This Row],[销量]]</f>
        <v>14068.74</v>
      </c>
    </row>
    <row r="229" spans="1:12" ht="15" customHeight="1" x14ac:dyDescent="0.15">
      <c r="A229" s="12">
        <v>226</v>
      </c>
      <c r="B229" s="3" t="s">
        <v>93</v>
      </c>
      <c r="C229" s="3" t="str">
        <f>VLOOKUP(B229,品名!$A$1:$C$151,2,0)</f>
        <v>海尔</v>
      </c>
      <c r="D229" s="3" t="str">
        <f>VLOOKUP(B229,品名!$A$1:$C$151,3,0)</f>
        <v>Haier XQB50-M918洗衣机</v>
      </c>
      <c r="E229" s="3" t="str">
        <f>VLOOKUP(LEFT(B229,2),Sheet2!$A$1:$B$8,2,0)</f>
        <v>洗衣机</v>
      </c>
      <c r="F229" s="4">
        <v>42837</v>
      </c>
      <c r="G229" s="3" t="s">
        <v>161</v>
      </c>
      <c r="H229" s="3" t="s">
        <v>171</v>
      </c>
      <c r="I229" s="5">
        <v>19</v>
      </c>
      <c r="J229" s="13">
        <f>VLOOKUP(B229,[1]单价!$A$1:$B$152,2,0)</f>
        <v>978</v>
      </c>
      <c r="K229" s="13">
        <f t="shared" si="3"/>
        <v>18582</v>
      </c>
      <c r="L229" s="13">
        <f>VLOOKUP(B229,[1]进价!$A$1:$B$151,2,0)*表1[[#This Row],[销量]]</f>
        <v>15237.240000000002</v>
      </c>
    </row>
    <row r="230" spans="1:12" ht="15" customHeight="1" x14ac:dyDescent="0.15">
      <c r="A230" s="12">
        <v>227</v>
      </c>
      <c r="B230" s="3" t="s">
        <v>100</v>
      </c>
      <c r="C230" s="3" t="str">
        <f>VLOOKUP(B230,品名!$A$1:$C$151,2,0)</f>
        <v>天骏小天使</v>
      </c>
      <c r="D230" s="3" t="str">
        <f>VLOOKUP(B230,品名!$A$1:$C$151,3,0)</f>
        <v>TIJUMP 家用干衣机</v>
      </c>
      <c r="E230" s="3" t="str">
        <f>VLOOKUP(LEFT(B230,2),Sheet2!$A$1:$B$8,2,0)</f>
        <v>洗衣机</v>
      </c>
      <c r="F230" s="4">
        <v>42849</v>
      </c>
      <c r="G230" s="3" t="s">
        <v>161</v>
      </c>
      <c r="H230" s="3" t="s">
        <v>171</v>
      </c>
      <c r="I230" s="5">
        <v>43</v>
      </c>
      <c r="J230" s="13">
        <f>VLOOKUP(B230,[1]单价!$A$1:$B$152,2,0)</f>
        <v>199</v>
      </c>
      <c r="K230" s="13">
        <f t="shared" si="3"/>
        <v>8557</v>
      </c>
      <c r="L230" s="13">
        <f>VLOOKUP(B230,[1]进价!$A$1:$B$151,2,0)*表1[[#This Row],[销量]]</f>
        <v>7530.16</v>
      </c>
    </row>
    <row r="231" spans="1:12" ht="15" customHeight="1" x14ac:dyDescent="0.15">
      <c r="A231" s="12">
        <v>228</v>
      </c>
      <c r="B231" s="3" t="s">
        <v>108</v>
      </c>
      <c r="C231" s="3" t="str">
        <f>VLOOKUP(B231,品名!$A$1:$C$151,2,0)</f>
        <v>Apple</v>
      </c>
      <c r="D231" s="3" t="str">
        <f>VLOOKUP(B231,品名!$A$1:$C$151,3,0)</f>
        <v>MacBook Pro MGXC2CH/A 15.4英寸笔记本电脑</v>
      </c>
      <c r="E231" s="3" t="str">
        <f>VLOOKUP(LEFT(B231,2),Sheet2!$A$1:$B$8,2,0)</f>
        <v>计算机</v>
      </c>
      <c r="F231" s="4">
        <v>42856</v>
      </c>
      <c r="G231" s="3" t="s">
        <v>161</v>
      </c>
      <c r="H231" s="3" t="s">
        <v>171</v>
      </c>
      <c r="I231" s="5">
        <v>3</v>
      </c>
      <c r="J231" s="13">
        <f>VLOOKUP(B231,[1]单价!$A$1:$B$152,2,0)</f>
        <v>15688</v>
      </c>
      <c r="K231" s="13">
        <f t="shared" si="3"/>
        <v>47064</v>
      </c>
      <c r="L231" s="13">
        <f>VLOOKUP(B231,[1]进价!$A$1:$B$151,2,0)*表1[[#This Row],[销量]]</f>
        <v>39533.760000000002</v>
      </c>
    </row>
    <row r="232" spans="1:12" ht="15" customHeight="1" x14ac:dyDescent="0.15">
      <c r="A232" s="12">
        <v>229</v>
      </c>
      <c r="B232" s="3" t="s">
        <v>116</v>
      </c>
      <c r="C232" s="3" t="str">
        <f>VLOOKUP(B232,品名!$A$1:$C$151,2,0)</f>
        <v>戴尔</v>
      </c>
      <c r="D232" s="3" t="str">
        <f>VLOOKUP(B232,品名!$A$1:$C$151,3,0)</f>
        <v>Dell Vostro 5480R-3528SS 14英寸笔记本电脑 银色</v>
      </c>
      <c r="E232" s="3" t="str">
        <f>VLOOKUP(LEFT(B232,2),Sheet2!$A$1:$B$8,2,0)</f>
        <v>计算机</v>
      </c>
      <c r="F232" s="4">
        <v>42859</v>
      </c>
      <c r="G232" s="3" t="s">
        <v>161</v>
      </c>
      <c r="H232" s="3" t="s">
        <v>171</v>
      </c>
      <c r="I232" s="5">
        <v>13</v>
      </c>
      <c r="J232" s="13">
        <f>VLOOKUP(B232,[1]单价!$A$1:$B$152,2,0)</f>
        <v>4199</v>
      </c>
      <c r="K232" s="13">
        <f t="shared" si="3"/>
        <v>54587</v>
      </c>
      <c r="L232" s="13">
        <f>VLOOKUP(B232,[1]进价!$A$1:$B$151,2,0)*表1[[#This Row],[销量]]</f>
        <v>45853.08</v>
      </c>
    </row>
    <row r="233" spans="1:12" ht="15" customHeight="1" x14ac:dyDescent="0.15">
      <c r="A233" s="12">
        <v>230</v>
      </c>
      <c r="B233" s="3" t="s">
        <v>126</v>
      </c>
      <c r="C233" s="3" t="str">
        <f>VLOOKUP(B233,品名!$A$1:$C$151,2,0)</f>
        <v>Apple</v>
      </c>
      <c r="D233" s="3" t="str">
        <f>VLOOKUP(B233,品名!$A$1:$C$151,3,0)</f>
        <v xml:space="preserve">ME087CH/A iMac 21.5英寸一体机 银色 </v>
      </c>
      <c r="E233" s="3" t="str">
        <f>VLOOKUP(LEFT(B233,2),Sheet2!$A$1:$B$8,2,0)</f>
        <v>计算机</v>
      </c>
      <c r="F233" s="4">
        <v>42867</v>
      </c>
      <c r="G233" s="3" t="s">
        <v>161</v>
      </c>
      <c r="H233" s="3" t="s">
        <v>171</v>
      </c>
      <c r="I233" s="5">
        <v>12</v>
      </c>
      <c r="J233" s="13">
        <f>VLOOKUP(B233,[1]单价!$A$1:$B$152,2,0)</f>
        <v>10488</v>
      </c>
      <c r="K233" s="13">
        <f t="shared" si="3"/>
        <v>125856</v>
      </c>
      <c r="L233" s="13">
        <f>VLOOKUP(B233,[1]进价!$A$1:$B$151,2,0)*表1[[#This Row],[销量]]</f>
        <v>106977.59999999999</v>
      </c>
    </row>
    <row r="234" spans="1:12" ht="15" customHeight="1" x14ac:dyDescent="0.15">
      <c r="A234" s="12">
        <v>231</v>
      </c>
      <c r="B234" s="3" t="s">
        <v>133</v>
      </c>
      <c r="C234" s="3" t="str">
        <f>VLOOKUP(B234,品名!$A$1:$C$151,2,0)</f>
        <v>联想</v>
      </c>
      <c r="D234" s="3" t="str">
        <f>VLOOKUP(B234,品名!$A$1:$C$151,3,0)</f>
        <v>lenovo C360 G1820一体机 白色</v>
      </c>
      <c r="E234" s="3" t="str">
        <f>VLOOKUP(LEFT(B234,2),Sheet2!$A$1:$B$8,2,0)</f>
        <v>计算机</v>
      </c>
      <c r="F234" s="4">
        <v>42877</v>
      </c>
      <c r="G234" s="3" t="s">
        <v>161</v>
      </c>
      <c r="H234" s="3" t="s">
        <v>171</v>
      </c>
      <c r="I234" s="5">
        <v>36</v>
      </c>
      <c r="J234" s="13">
        <f>VLOOKUP(B234,[1]单价!$A$1:$B$152,2,0)</f>
        <v>2665</v>
      </c>
      <c r="K234" s="13">
        <f t="shared" si="3"/>
        <v>95940</v>
      </c>
      <c r="L234" s="13">
        <f>VLOOKUP(B234,[1]进价!$A$1:$B$151,2,0)*表1[[#This Row],[销量]]</f>
        <v>85386.599999999991</v>
      </c>
    </row>
    <row r="235" spans="1:12" ht="15" customHeight="1" x14ac:dyDescent="0.15">
      <c r="A235" s="12">
        <v>232</v>
      </c>
      <c r="B235" s="3" t="s">
        <v>141</v>
      </c>
      <c r="C235" s="3" t="str">
        <f>VLOOKUP(B235,品名!$A$1:$C$151,2,0)</f>
        <v>Apple</v>
      </c>
      <c r="D235" s="3" t="str">
        <f>VLOOKUP(B235,品名!$A$1:$C$151,3,0)</f>
        <v>iPad Air WLAN 32GB 银色</v>
      </c>
      <c r="E235" s="3" t="str">
        <f>VLOOKUP(LEFT(B235,2),Sheet2!$A$1:$B$8,2,0)</f>
        <v>计算机</v>
      </c>
      <c r="F235" s="4">
        <v>42883</v>
      </c>
      <c r="G235" s="3" t="s">
        <v>161</v>
      </c>
      <c r="H235" s="3" t="s">
        <v>171</v>
      </c>
      <c r="I235" s="5">
        <v>49</v>
      </c>
      <c r="J235" s="13">
        <f>VLOOKUP(B235,[1]单价!$A$1:$B$152,2,0)</f>
        <v>3108</v>
      </c>
      <c r="K235" s="13">
        <f t="shared" si="3"/>
        <v>152292</v>
      </c>
      <c r="L235" s="13">
        <f>VLOOKUP(B235,[1]进价!$A$1:$B$151,2,0)*表1[[#This Row],[销量]]</f>
        <v>129448.20000000001</v>
      </c>
    </row>
    <row r="236" spans="1:12" ht="15" customHeight="1" x14ac:dyDescent="0.15">
      <c r="A236" s="12">
        <v>233</v>
      </c>
      <c r="B236" s="3" t="s">
        <v>149</v>
      </c>
      <c r="C236" s="3" t="str">
        <f>VLOOKUP(B236,品名!$A$1:$C$151,2,0)</f>
        <v>三星</v>
      </c>
      <c r="D236" s="3" t="str">
        <f>VLOOKUP(B236,品名!$A$1:$C$151,3,0)</f>
        <v>SAMSUNG Galaxy TAB3 P5200 10.1英寸智能平板电脑</v>
      </c>
      <c r="E236" s="3" t="str">
        <f>VLOOKUP(LEFT(B236,2),Sheet2!$A$1:$B$8,2,0)</f>
        <v>计算机</v>
      </c>
      <c r="F236" s="4">
        <v>42888</v>
      </c>
      <c r="G236" s="3" t="s">
        <v>161</v>
      </c>
      <c r="H236" s="3" t="s">
        <v>171</v>
      </c>
      <c r="I236" s="5">
        <v>44</v>
      </c>
      <c r="J236" s="13">
        <f>VLOOKUP(B236,[1]单价!$A$1:$B$152,2,0)</f>
        <v>1810</v>
      </c>
      <c r="K236" s="13">
        <f t="shared" si="3"/>
        <v>79640</v>
      </c>
      <c r="L236" s="13">
        <f>VLOOKUP(B236,[1]进价!$A$1:$B$151,2,0)*表1[[#This Row],[销量]]</f>
        <v>69286.8</v>
      </c>
    </row>
    <row r="237" spans="1:12" ht="15" customHeight="1" x14ac:dyDescent="0.15">
      <c r="A237" s="12">
        <v>234</v>
      </c>
      <c r="B237" s="3" t="s">
        <v>6</v>
      </c>
      <c r="C237" s="3" t="str">
        <f>VLOOKUP(B237,品名!$A$1:$C$151,2,0)</f>
        <v>酷开</v>
      </c>
      <c r="D237" s="3" t="str">
        <f>VLOOKUP(B237,品名!$A$1:$C$151,3,0)</f>
        <v>coocaa K50J 50英寸智能平板液晶电视</v>
      </c>
      <c r="E237" s="3" t="str">
        <f>VLOOKUP(LEFT(B237,2),Sheet2!$A$1:$B$8,2,0)</f>
        <v>电视</v>
      </c>
      <c r="F237" s="4">
        <v>42897</v>
      </c>
      <c r="G237" s="3" t="s">
        <v>161</v>
      </c>
      <c r="H237" s="3" t="s">
        <v>170</v>
      </c>
      <c r="I237" s="5">
        <v>15</v>
      </c>
      <c r="J237" s="13">
        <f>VLOOKUP(B237,[1]单价!$A$1:$B$152,2,0)</f>
        <v>2699</v>
      </c>
      <c r="K237" s="13">
        <f t="shared" si="3"/>
        <v>40485</v>
      </c>
      <c r="L237" s="13">
        <f>VLOOKUP(B237,[1]进价!$A$1:$B$151,2,0)*表1[[#This Row],[销量]]</f>
        <v>32792.85</v>
      </c>
    </row>
    <row r="238" spans="1:12" ht="15" customHeight="1" x14ac:dyDescent="0.15">
      <c r="A238" s="12">
        <v>235</v>
      </c>
      <c r="B238" s="3" t="s">
        <v>14</v>
      </c>
      <c r="C238" s="3" t="str">
        <f>VLOOKUP(B238,品名!$A$1:$C$151,2,0)</f>
        <v>海信</v>
      </c>
      <c r="D238" s="3" t="str">
        <f>VLOOKUP(B238,品名!$A$1:$C$151,3,0)</f>
        <v>Hisense LED40K170JD平板电视</v>
      </c>
      <c r="E238" s="3" t="str">
        <f>VLOOKUP(LEFT(B238,2),Sheet2!$A$1:$B$8,2,0)</f>
        <v>电视</v>
      </c>
      <c r="F238" s="4">
        <v>42904</v>
      </c>
      <c r="G238" s="3" t="s">
        <v>161</v>
      </c>
      <c r="H238" s="3" t="s">
        <v>171</v>
      </c>
      <c r="I238" s="5">
        <v>50</v>
      </c>
      <c r="J238" s="13">
        <f>VLOOKUP(B238,[1]单价!$A$1:$B$152,2,0)</f>
        <v>2569</v>
      </c>
      <c r="K238" s="13">
        <f t="shared" si="3"/>
        <v>128450</v>
      </c>
      <c r="L238" s="13">
        <f>VLOOKUP(B238,[1]进价!$A$1:$B$151,2,0)*表1[[#This Row],[销量]]</f>
        <v>105329</v>
      </c>
    </row>
    <row r="239" spans="1:12" ht="15" customHeight="1" x14ac:dyDescent="0.15">
      <c r="A239" s="12">
        <v>236</v>
      </c>
      <c r="B239" s="3" t="s">
        <v>22</v>
      </c>
      <c r="C239" s="3" t="str">
        <f>VLOOKUP(B239,品名!$A$1:$C$151,2,0)</f>
        <v>康佳</v>
      </c>
      <c r="D239" s="3" t="str">
        <f>VLOOKUP(B239,品名!$A$1:$C$151,3,0)</f>
        <v>KONKA LED42E320N平板电视</v>
      </c>
      <c r="E239" s="3" t="str">
        <f>VLOOKUP(LEFT(B239,2),Sheet2!$A$1:$B$8,2,0)</f>
        <v>电视</v>
      </c>
      <c r="F239" s="4">
        <v>42908</v>
      </c>
      <c r="G239" s="3" t="s">
        <v>161</v>
      </c>
      <c r="H239" s="3" t="s">
        <v>170</v>
      </c>
      <c r="I239" s="5">
        <v>13</v>
      </c>
      <c r="J239" s="13">
        <f>VLOOKUP(B239,[1]单价!$A$1:$B$152,2,0)</f>
        <v>2998</v>
      </c>
      <c r="K239" s="13">
        <f t="shared" si="3"/>
        <v>38974</v>
      </c>
      <c r="L239" s="13">
        <f>VLOOKUP(B239,[1]进价!$A$1:$B$151,2,0)*表1[[#This Row],[销量]]</f>
        <v>34297.119999999995</v>
      </c>
    </row>
    <row r="240" spans="1:12" ht="15" customHeight="1" x14ac:dyDescent="0.15">
      <c r="A240" s="12">
        <v>237</v>
      </c>
      <c r="B240" s="3" t="s">
        <v>30</v>
      </c>
      <c r="C240" s="3" t="str">
        <f>VLOOKUP(B240,品名!$A$1:$C$151,2,0)</f>
        <v>奥克斯</v>
      </c>
      <c r="D240" s="3" t="str">
        <f>VLOOKUP(B240,品名!$A$1:$C$151,3,0)</f>
        <v>KFR-26GW/BPSSD-2空调</v>
      </c>
      <c r="E240" s="3" t="str">
        <f>VLOOKUP(LEFT(B240,2),Sheet2!$A$1:$B$8,2,0)</f>
        <v>空调</v>
      </c>
      <c r="F240" s="4">
        <v>42914</v>
      </c>
      <c r="G240" s="3" t="s">
        <v>161</v>
      </c>
      <c r="H240" s="3" t="s">
        <v>170</v>
      </c>
      <c r="I240" s="5">
        <v>15</v>
      </c>
      <c r="J240" s="13">
        <f>VLOOKUP(B240,[1]单价!$A$1:$B$152,2,0)</f>
        <v>2639</v>
      </c>
      <c r="K240" s="13">
        <f t="shared" si="3"/>
        <v>39585</v>
      </c>
      <c r="L240" s="13">
        <f>VLOOKUP(B240,[1]进价!$A$1:$B$151,2,0)*表1[[#This Row],[销量]]</f>
        <v>35230.65</v>
      </c>
    </row>
    <row r="241" spans="1:12" ht="15" customHeight="1" x14ac:dyDescent="0.15">
      <c r="A241" s="12">
        <v>238</v>
      </c>
      <c r="B241" s="3" t="s">
        <v>39</v>
      </c>
      <c r="C241" s="3" t="str">
        <f>VLOOKUP(B241,品名!$A$1:$C$151,2,0)</f>
        <v>海信</v>
      </c>
      <c r="D241" s="3" t="str">
        <f>VLOOKUP(B241,品名!$A$1:$C$151,3,0)</f>
        <v>Hisense KFR-26GW/ER01N2空调</v>
      </c>
      <c r="E241" s="3" t="str">
        <f>VLOOKUP(LEFT(B241,2),Sheet2!$A$1:$B$8,2,0)</f>
        <v>空调</v>
      </c>
      <c r="F241" s="4">
        <v>42831</v>
      </c>
      <c r="G241" s="3" t="s">
        <v>161</v>
      </c>
      <c r="H241" s="3" t="s">
        <v>170</v>
      </c>
      <c r="I241" s="5">
        <v>26</v>
      </c>
      <c r="J241" s="13">
        <f>VLOOKUP(B241,[1]单价!$A$1:$B$152,2,0)</f>
        <v>2179</v>
      </c>
      <c r="K241" s="13">
        <f t="shared" si="3"/>
        <v>56654</v>
      </c>
      <c r="L241" s="13">
        <f>VLOOKUP(B241,[1]进价!$A$1:$B$151,2,0)*表1[[#This Row],[销量]]</f>
        <v>50422.06</v>
      </c>
    </row>
    <row r="242" spans="1:12" ht="15" customHeight="1" x14ac:dyDescent="0.15">
      <c r="A242" s="12">
        <v>239</v>
      </c>
      <c r="B242" s="3" t="s">
        <v>49</v>
      </c>
      <c r="C242" s="3" t="str">
        <f>VLOOKUP(B242,品名!$A$1:$C$151,2,0)</f>
        <v>海尔</v>
      </c>
      <c r="D242" s="3" t="str">
        <f>VLOOKUP(B242,品名!$A$1:$C$151,3,0)</f>
        <v>Haier EC5002-Q6 50升电热水器</v>
      </c>
      <c r="E242" s="3" t="str">
        <f>VLOOKUP(LEFT(B242,2),Sheet2!$A$1:$B$8,2,0)</f>
        <v>热水器</v>
      </c>
      <c r="F242" s="4">
        <v>42746</v>
      </c>
      <c r="G242" s="3" t="s">
        <v>161</v>
      </c>
      <c r="H242" s="3" t="s">
        <v>170</v>
      </c>
      <c r="I242" s="5">
        <v>44</v>
      </c>
      <c r="J242" s="13">
        <f>VLOOKUP(B242,[1]单价!$A$1:$B$152,2,0)</f>
        <v>1098</v>
      </c>
      <c r="K242" s="13">
        <f t="shared" si="3"/>
        <v>48312</v>
      </c>
      <c r="L242" s="13">
        <f>VLOOKUP(B242,[1]进价!$A$1:$B$151,2,0)*表1[[#This Row],[销量]]</f>
        <v>41548.32</v>
      </c>
    </row>
    <row r="243" spans="1:12" ht="15" customHeight="1" x14ac:dyDescent="0.15">
      <c r="A243" s="12">
        <v>240</v>
      </c>
      <c r="B243" s="3" t="s">
        <v>67</v>
      </c>
      <c r="C243" s="3" t="str">
        <f>VLOOKUP(B243,品名!$A$1:$C$151,2,0)</f>
        <v>TCL</v>
      </c>
      <c r="D243" s="3" t="str">
        <f>VLOOKUP(B243,品名!$A$1:$C$151,3,0)</f>
        <v>BCD-176K50两门冰箱</v>
      </c>
      <c r="E243" s="3" t="str">
        <f>VLOOKUP(LEFT(B243,2),Sheet2!$A$1:$B$8,2,0)</f>
        <v>冰箱</v>
      </c>
      <c r="F243" s="4">
        <v>42868</v>
      </c>
      <c r="G243" s="3" t="s">
        <v>161</v>
      </c>
      <c r="H243" s="3" t="s">
        <v>170</v>
      </c>
      <c r="I243" s="5">
        <v>43</v>
      </c>
      <c r="J243" s="13">
        <f>VLOOKUP(B243,[1]单价!$A$1:$B$152,2,0)</f>
        <v>1199</v>
      </c>
      <c r="K243" s="13">
        <f t="shared" si="3"/>
        <v>51557</v>
      </c>
      <c r="L243" s="13">
        <f>VLOOKUP(B243,[1]进价!$A$1:$B$151,2,0)*表1[[#This Row],[销量]]</f>
        <v>44854.590000000004</v>
      </c>
    </row>
    <row r="244" spans="1:12" ht="15" customHeight="1" x14ac:dyDescent="0.15">
      <c r="A244" s="12">
        <v>241</v>
      </c>
      <c r="B244" s="3" t="s">
        <v>58</v>
      </c>
      <c r="C244" s="3" t="str">
        <f>VLOOKUP(B244,品名!$A$1:$C$151,2,0)</f>
        <v>美的</v>
      </c>
      <c r="D244" s="3" t="str">
        <f>VLOOKUP(B244,品名!$A$1:$C$151,3,0)</f>
        <v>Midea F60-15WB5(Y)电热水器</v>
      </c>
      <c r="E244" s="3" t="str">
        <f>VLOOKUP(LEFT(B244,2),Sheet2!$A$1:$B$8,2,0)</f>
        <v>热水器</v>
      </c>
      <c r="F244" s="4">
        <v>42752</v>
      </c>
      <c r="G244" s="3" t="s">
        <v>161</v>
      </c>
      <c r="H244" s="3" t="s">
        <v>170</v>
      </c>
      <c r="I244" s="5">
        <v>27</v>
      </c>
      <c r="J244" s="13">
        <f>VLOOKUP(B244,[1]单价!$A$1:$B$152,2,0)</f>
        <v>1298</v>
      </c>
      <c r="K244" s="13">
        <f t="shared" si="3"/>
        <v>35046</v>
      </c>
      <c r="L244" s="13">
        <f>VLOOKUP(B244,[1]进价!$A$1:$B$151,2,0)*表1[[#This Row],[销量]]</f>
        <v>29789.1</v>
      </c>
    </row>
    <row r="245" spans="1:12" ht="15" customHeight="1" x14ac:dyDescent="0.15">
      <c r="A245" s="12">
        <v>242</v>
      </c>
      <c r="B245" s="3" t="s">
        <v>75</v>
      </c>
      <c r="C245" s="3" t="str">
        <f>VLOOKUP(B245,品名!$A$1:$C$151,2,0)</f>
        <v>康佳</v>
      </c>
      <c r="D245" s="3" t="str">
        <f>VLOOKUP(B245,品名!$A$1:$C$151,3,0)</f>
        <v>KONKA BCD-108S-GY 冰箱</v>
      </c>
      <c r="E245" s="3" t="str">
        <f>VLOOKUP(LEFT(B245,2),Sheet2!$A$1:$B$8,2,0)</f>
        <v>冰箱</v>
      </c>
      <c r="F245" s="4">
        <v>42909</v>
      </c>
      <c r="G245" s="3" t="s">
        <v>161</v>
      </c>
      <c r="H245" s="3" t="s">
        <v>170</v>
      </c>
      <c r="I245" s="5">
        <v>15</v>
      </c>
      <c r="J245" s="13">
        <f>VLOOKUP(B245,[1]单价!$A$1:$B$152,2,0)</f>
        <v>838</v>
      </c>
      <c r="K245" s="13">
        <f t="shared" si="3"/>
        <v>12570</v>
      </c>
      <c r="L245" s="13">
        <f>VLOOKUP(B245,[1]进价!$A$1:$B$151,2,0)*表1[[#This Row],[销量]]</f>
        <v>10810.199999999999</v>
      </c>
    </row>
    <row r="246" spans="1:12" ht="15" customHeight="1" x14ac:dyDescent="0.15">
      <c r="A246" s="12">
        <v>243</v>
      </c>
      <c r="B246" s="3" t="s">
        <v>88</v>
      </c>
      <c r="C246" s="3" t="str">
        <f>VLOOKUP(B246,品名!$A$1:$C$151,2,0)</f>
        <v>奔腾</v>
      </c>
      <c r="D246" s="3" t="str">
        <f>VLOOKUP(B246,品名!$A$1:$C$151,3,0)</f>
        <v>POVOS 家用双层干衣机烘干机</v>
      </c>
      <c r="E246" s="3" t="str">
        <f>VLOOKUP(LEFT(B246,2),Sheet2!$A$1:$B$8,2,0)</f>
        <v>洗衣机</v>
      </c>
      <c r="F246" s="4">
        <v>42760</v>
      </c>
      <c r="G246" s="3" t="s">
        <v>161</v>
      </c>
      <c r="H246" s="3" t="s">
        <v>171</v>
      </c>
      <c r="I246" s="5">
        <v>47</v>
      </c>
      <c r="J246" s="13">
        <f>VLOOKUP(B246,[1]单价!$A$1:$B$152,2,0)</f>
        <v>219</v>
      </c>
      <c r="K246" s="13">
        <f t="shared" si="3"/>
        <v>10293</v>
      </c>
      <c r="L246" s="13">
        <f>VLOOKUP(B246,[1]进价!$A$1:$B$151,2,0)*表1[[#This Row],[销量]]</f>
        <v>8440.26</v>
      </c>
    </row>
    <row r="247" spans="1:12" ht="15" customHeight="1" x14ac:dyDescent="0.15">
      <c r="A247" s="12">
        <v>244</v>
      </c>
      <c r="B247" s="3" t="s">
        <v>83</v>
      </c>
      <c r="C247" s="3" t="str">
        <f>VLOOKUP(B247,品名!$A$1:$C$151,2,0)</f>
        <v>西门子</v>
      </c>
      <c r="D247" s="3" t="str">
        <f>VLOOKUP(B247,品名!$A$1:$C$151,3,0)</f>
        <v>SIEMENS KG23F1861W冰箱</v>
      </c>
      <c r="E247" s="3" t="str">
        <f>VLOOKUP(LEFT(B247,2),Sheet2!$A$1:$B$8,2,0)</f>
        <v>冰箱</v>
      </c>
      <c r="F247" s="4">
        <v>42765</v>
      </c>
      <c r="G247" s="3" t="s">
        <v>161</v>
      </c>
      <c r="H247" s="3" t="s">
        <v>170</v>
      </c>
      <c r="I247" s="5">
        <v>31</v>
      </c>
      <c r="J247" s="13">
        <f>VLOOKUP(B247,[1]单价!$A$1:$B$152,2,0)</f>
        <v>3399</v>
      </c>
      <c r="K247" s="13">
        <f t="shared" si="3"/>
        <v>105369</v>
      </c>
      <c r="L247" s="13">
        <f>VLOOKUP(B247,[1]进价!$A$1:$B$151,2,0)*表1[[#This Row],[销量]]</f>
        <v>88509.959999999992</v>
      </c>
    </row>
    <row r="248" spans="1:12" ht="15" customHeight="1" x14ac:dyDescent="0.15">
      <c r="A248" s="12">
        <v>245</v>
      </c>
      <c r="B248" s="3" t="s">
        <v>98</v>
      </c>
      <c r="C248" s="3" t="str">
        <f>VLOOKUP(B248,品名!$A$1:$C$151,2,0)</f>
        <v>松井</v>
      </c>
      <c r="D248" s="3" t="str">
        <f>VLOOKUP(B248,品名!$A$1:$C$151,3,0)</f>
        <v>SJ-G13S双层可移动干衣机</v>
      </c>
      <c r="E248" s="3" t="str">
        <f>VLOOKUP(LEFT(B248,2),Sheet2!$A$1:$B$8,2,0)</f>
        <v>洗衣机</v>
      </c>
      <c r="F248" s="4">
        <v>42767</v>
      </c>
      <c r="G248" s="3" t="s">
        <v>161</v>
      </c>
      <c r="H248" s="3" t="s">
        <v>171</v>
      </c>
      <c r="I248" s="5">
        <v>49</v>
      </c>
      <c r="J248" s="13">
        <f>VLOOKUP(B248,[1]单价!$A$1:$B$152,2,0)</f>
        <v>198</v>
      </c>
      <c r="K248" s="13">
        <f t="shared" si="3"/>
        <v>9702</v>
      </c>
      <c r="L248" s="13">
        <f>VLOOKUP(B248,[1]进价!$A$1:$B$151,2,0)*表1[[#This Row],[销量]]</f>
        <v>7761.6</v>
      </c>
    </row>
    <row r="249" spans="1:12" ht="15" customHeight="1" x14ac:dyDescent="0.15">
      <c r="A249" s="12">
        <v>246</v>
      </c>
      <c r="B249" s="3" t="s">
        <v>50</v>
      </c>
      <c r="C249" s="3" t="str">
        <f>VLOOKUP(B249,品名!$A$1:$C$151,2,0)</f>
        <v>海尔</v>
      </c>
      <c r="D249" s="3" t="str">
        <f>VLOOKUP(B249,品名!$A$1:$C$151,3,0)</f>
        <v>Haier EC5002-D多功率遥控电热水器</v>
      </c>
      <c r="E249" s="3" t="str">
        <f>VLOOKUP(LEFT(B249,2),Sheet2!$A$1:$B$8,2,0)</f>
        <v>热水器</v>
      </c>
      <c r="F249" s="4">
        <v>42773</v>
      </c>
      <c r="G249" s="3" t="s">
        <v>161</v>
      </c>
      <c r="H249" s="3" t="s">
        <v>170</v>
      </c>
      <c r="I249" s="5">
        <v>48</v>
      </c>
      <c r="J249" s="13">
        <f>VLOOKUP(B249,[1]单价!$A$1:$B$152,2,0)</f>
        <v>1198</v>
      </c>
      <c r="K249" s="13">
        <f t="shared" si="3"/>
        <v>57504</v>
      </c>
      <c r="L249" s="13">
        <f>VLOOKUP(B249,[1]进价!$A$1:$B$151,2,0)*表1[[#This Row],[销量]]</f>
        <v>47728.32</v>
      </c>
    </row>
    <row r="250" spans="1:12" ht="15" customHeight="1" x14ac:dyDescent="0.15">
      <c r="A250" s="12">
        <v>247</v>
      </c>
      <c r="B250" s="3" t="s">
        <v>57</v>
      </c>
      <c r="C250" s="3" t="str">
        <f>VLOOKUP(B250,品名!$A$1:$C$151,2,0)</f>
        <v>美的</v>
      </c>
      <c r="D250" s="3" t="str">
        <f>VLOOKUP(B250,品名!$A$1:$C$151,3,0)</f>
        <v>Midea F05-15A(S)小厨宝</v>
      </c>
      <c r="E250" s="3" t="str">
        <f>VLOOKUP(LEFT(B250,2),Sheet2!$A$1:$B$8,2,0)</f>
        <v>热水器</v>
      </c>
      <c r="F250" s="4">
        <v>42781</v>
      </c>
      <c r="G250" s="3" t="s">
        <v>161</v>
      </c>
      <c r="H250" s="3" t="s">
        <v>170</v>
      </c>
      <c r="I250" s="5">
        <v>45</v>
      </c>
      <c r="J250" s="13">
        <f>VLOOKUP(B250,[1]单价!$A$1:$B$152,2,0)</f>
        <v>399</v>
      </c>
      <c r="K250" s="13">
        <f t="shared" si="3"/>
        <v>17955</v>
      </c>
      <c r="L250" s="13">
        <f>VLOOKUP(B250,[1]进价!$A$1:$B$151,2,0)*表1[[#This Row],[销量]]</f>
        <v>14902.650000000001</v>
      </c>
    </row>
    <row r="251" spans="1:12" ht="15" customHeight="1" x14ac:dyDescent="0.15">
      <c r="A251" s="12">
        <v>248</v>
      </c>
      <c r="B251" s="3" t="s">
        <v>64</v>
      </c>
      <c r="C251" s="3" t="str">
        <f>VLOOKUP(B251,品名!$A$1:$C$151,2,0)</f>
        <v>小鸭</v>
      </c>
      <c r="D251" s="3" t="str">
        <f>VLOOKUP(B251,品名!$A$1:$C$151,3,0)</f>
        <v>XDWJ-40SA1 40升 电热水器</v>
      </c>
      <c r="E251" s="3" t="str">
        <f>VLOOKUP(LEFT(B251,2),Sheet2!$A$1:$B$8,2,0)</f>
        <v>热水器</v>
      </c>
      <c r="F251" s="4">
        <v>42787</v>
      </c>
      <c r="G251" s="3" t="s">
        <v>161</v>
      </c>
      <c r="H251" s="3" t="s">
        <v>171</v>
      </c>
      <c r="I251" s="5">
        <v>50</v>
      </c>
      <c r="J251" s="13">
        <f>VLOOKUP(B251,[1]单价!$A$1:$B$152,2,0)</f>
        <v>399</v>
      </c>
      <c r="K251" s="13">
        <f t="shared" si="3"/>
        <v>19950</v>
      </c>
      <c r="L251" s="13">
        <f>VLOOKUP(B251,[1]进价!$A$1:$B$151,2,0)*表1[[#This Row],[销量]]</f>
        <v>16359</v>
      </c>
    </row>
    <row r="252" spans="1:12" ht="15" customHeight="1" x14ac:dyDescent="0.15">
      <c r="A252" s="12">
        <v>249</v>
      </c>
      <c r="B252" s="3" t="s">
        <v>91</v>
      </c>
      <c r="C252" s="3" t="str">
        <f>VLOOKUP(B252,品名!$A$1:$C$151,2,0)</f>
        <v>格力</v>
      </c>
      <c r="D252" s="3" t="str">
        <f>VLOOKUP(B252,品名!$A$1:$C$151,3,0)</f>
        <v>GREE GSP20 烘干机滚筒干衣机</v>
      </c>
      <c r="E252" s="3" t="str">
        <f>VLOOKUP(LEFT(B252,2),Sheet2!$A$1:$B$8,2,0)</f>
        <v>洗衣机</v>
      </c>
      <c r="F252" s="4">
        <v>42824</v>
      </c>
      <c r="G252" s="3" t="s">
        <v>161</v>
      </c>
      <c r="H252" s="3" t="s">
        <v>171</v>
      </c>
      <c r="I252" s="5">
        <v>24</v>
      </c>
      <c r="J252" s="13">
        <f>VLOOKUP(B252,[1]单价!$A$1:$B$152,2,0)</f>
        <v>799</v>
      </c>
      <c r="K252" s="13">
        <f t="shared" si="3"/>
        <v>19176</v>
      </c>
      <c r="L252" s="13">
        <f>VLOOKUP(B252,[1]进价!$A$1:$B$151,2,0)*表1[[#This Row],[销量]]</f>
        <v>16874.88</v>
      </c>
    </row>
    <row r="253" spans="1:12" ht="15" customHeight="1" x14ac:dyDescent="0.15">
      <c r="A253" s="12">
        <v>250</v>
      </c>
      <c r="B253" s="3" t="s">
        <v>98</v>
      </c>
      <c r="C253" s="3" t="str">
        <f>VLOOKUP(B253,品名!$A$1:$C$151,2,0)</f>
        <v>松井</v>
      </c>
      <c r="D253" s="3" t="str">
        <f>VLOOKUP(B253,品名!$A$1:$C$151,3,0)</f>
        <v>SJ-G13S双层可移动干衣机</v>
      </c>
      <c r="E253" s="3" t="str">
        <f>VLOOKUP(LEFT(B253,2),Sheet2!$A$1:$B$8,2,0)</f>
        <v>洗衣机</v>
      </c>
      <c r="F253" s="4">
        <v>42800</v>
      </c>
      <c r="G253" s="3" t="s">
        <v>161</v>
      </c>
      <c r="H253" s="3" t="s">
        <v>171</v>
      </c>
      <c r="I253" s="5">
        <v>46</v>
      </c>
      <c r="J253" s="13">
        <f>VLOOKUP(B253,[1]单价!$A$1:$B$152,2,0)</f>
        <v>198</v>
      </c>
      <c r="K253" s="13">
        <f t="shared" si="3"/>
        <v>9108</v>
      </c>
      <c r="L253" s="13">
        <f>VLOOKUP(B253,[1]进价!$A$1:$B$151,2,0)*表1[[#This Row],[销量]]</f>
        <v>7286.4000000000005</v>
      </c>
    </row>
    <row r="254" spans="1:12" ht="15" customHeight="1" x14ac:dyDescent="0.15">
      <c r="A254" s="12">
        <v>251</v>
      </c>
      <c r="B254" s="3" t="s">
        <v>105</v>
      </c>
      <c r="C254" s="3" t="str">
        <f>VLOOKUP(B254,品名!$A$1:$C$151,2,0)</f>
        <v>Apple</v>
      </c>
      <c r="D254" s="3" t="str">
        <f>VLOOKUP(B254,品名!$A$1:$C$151,3,0)</f>
        <v>MacBook Air MJVM2CH/A 11.6英寸笔记本电脑</v>
      </c>
      <c r="E254" s="3" t="str">
        <f>VLOOKUP(LEFT(B254,2),Sheet2!$A$1:$B$8,2,0)</f>
        <v>计算机</v>
      </c>
      <c r="F254" s="4">
        <v>42808</v>
      </c>
      <c r="G254" s="3" t="s">
        <v>161</v>
      </c>
      <c r="H254" s="3" t="s">
        <v>171</v>
      </c>
      <c r="I254" s="5">
        <v>26</v>
      </c>
      <c r="J254" s="13">
        <f>VLOOKUP(B254,[1]单价!$A$1:$B$152,2,0)</f>
        <v>5988</v>
      </c>
      <c r="K254" s="13">
        <f t="shared" si="3"/>
        <v>155688</v>
      </c>
      <c r="L254" s="13">
        <f>VLOOKUP(B254,[1]进价!$A$1:$B$151,2,0)*表1[[#This Row],[销量]]</f>
        <v>138562.32</v>
      </c>
    </row>
    <row r="255" spans="1:12" ht="15" customHeight="1" x14ac:dyDescent="0.15">
      <c r="A255" s="12">
        <v>252</v>
      </c>
      <c r="B255" s="3" t="s">
        <v>112</v>
      </c>
      <c r="C255" s="3" t="str">
        <f>VLOOKUP(B255,品名!$A$1:$C$151,2,0)</f>
        <v>华硕</v>
      </c>
      <c r="D255" s="3" t="str">
        <f>VLOOKUP(B255,品名!$A$1:$C$151,3,0)</f>
        <v>ASUS R557LP4030-554KSF52X10 轻薄笔记本</v>
      </c>
      <c r="E255" s="3" t="str">
        <f>VLOOKUP(LEFT(B255,2),Sheet2!$A$1:$B$8,2,0)</f>
        <v>计算机</v>
      </c>
      <c r="F255" s="4">
        <v>42814</v>
      </c>
      <c r="G255" s="3" t="s">
        <v>161</v>
      </c>
      <c r="H255" s="3" t="s">
        <v>170</v>
      </c>
      <c r="I255" s="5">
        <v>31</v>
      </c>
      <c r="J255" s="13">
        <f>VLOOKUP(B255,[1]单价!$A$1:$B$152,2,0)</f>
        <v>2699</v>
      </c>
      <c r="K255" s="13">
        <f t="shared" si="3"/>
        <v>83669</v>
      </c>
      <c r="L255" s="13">
        <f>VLOOKUP(B255,[1]进价!$A$1:$B$151,2,0)*表1[[#This Row],[销量]]</f>
        <v>66935.199999999997</v>
      </c>
    </row>
    <row r="256" spans="1:12" ht="15" customHeight="1" x14ac:dyDescent="0.15">
      <c r="A256" s="12">
        <v>253</v>
      </c>
      <c r="B256" s="3" t="s">
        <v>119</v>
      </c>
      <c r="C256" s="3" t="str">
        <f>VLOOKUP(B256,品名!$A$1:$C$151,2,0)</f>
        <v>戴尔</v>
      </c>
      <c r="D256" s="3" t="str">
        <f>VLOOKUP(B256,品名!$A$1:$C$151,3,0)</f>
        <v>Dell  XPS13R-9343-5608S 13.3英寸超极本</v>
      </c>
      <c r="E256" s="3" t="str">
        <f>VLOOKUP(LEFT(B256,2),Sheet2!$A$1:$B$8,2,0)</f>
        <v>计算机</v>
      </c>
      <c r="F256" s="4">
        <v>42821</v>
      </c>
      <c r="G256" s="3" t="s">
        <v>161</v>
      </c>
      <c r="H256" s="3" t="s">
        <v>171</v>
      </c>
      <c r="I256" s="5">
        <v>43</v>
      </c>
      <c r="J256" s="13">
        <f>VLOOKUP(B256,[1]单价!$A$1:$B$152,2,0)</f>
        <v>8099</v>
      </c>
      <c r="K256" s="13">
        <f t="shared" si="3"/>
        <v>348257</v>
      </c>
      <c r="L256" s="13">
        <f>VLOOKUP(B256,[1]进价!$A$1:$B$151,2,0)*表1[[#This Row],[销量]]</f>
        <v>302983.59000000003</v>
      </c>
    </row>
    <row r="257" spans="1:12" ht="15" customHeight="1" x14ac:dyDescent="0.15">
      <c r="A257" s="12">
        <v>254</v>
      </c>
      <c r="B257" s="3" t="s">
        <v>126</v>
      </c>
      <c r="C257" s="3" t="str">
        <f>VLOOKUP(B257,品名!$A$1:$C$151,2,0)</f>
        <v>Apple</v>
      </c>
      <c r="D257" s="3" t="str">
        <f>VLOOKUP(B257,品名!$A$1:$C$151,3,0)</f>
        <v xml:space="preserve">ME087CH/A iMac 21.5英寸一体机 银色 </v>
      </c>
      <c r="E257" s="3" t="str">
        <f>VLOOKUP(LEFT(B257,2),Sheet2!$A$1:$B$8,2,0)</f>
        <v>计算机</v>
      </c>
      <c r="F257" s="4">
        <v>42833</v>
      </c>
      <c r="G257" s="3" t="s">
        <v>161</v>
      </c>
      <c r="H257" s="3" t="s">
        <v>171</v>
      </c>
      <c r="I257" s="5">
        <v>23</v>
      </c>
      <c r="J257" s="13">
        <f>VLOOKUP(B257,[1]单价!$A$1:$B$152,2,0)</f>
        <v>10488</v>
      </c>
      <c r="K257" s="13">
        <f t="shared" si="3"/>
        <v>241224</v>
      </c>
      <c r="L257" s="13">
        <f>VLOOKUP(B257,[1]进价!$A$1:$B$151,2,0)*表1[[#This Row],[销量]]</f>
        <v>205040.4</v>
      </c>
    </row>
    <row r="258" spans="1:12" ht="15" customHeight="1" x14ac:dyDescent="0.15">
      <c r="A258" s="12">
        <v>255</v>
      </c>
      <c r="B258" s="3" t="s">
        <v>133</v>
      </c>
      <c r="C258" s="3" t="str">
        <f>VLOOKUP(B258,品名!$A$1:$C$151,2,0)</f>
        <v>联想</v>
      </c>
      <c r="D258" s="3" t="str">
        <f>VLOOKUP(B258,品名!$A$1:$C$151,3,0)</f>
        <v>lenovo C360 G1820一体机 白色</v>
      </c>
      <c r="E258" s="3" t="str">
        <f>VLOOKUP(LEFT(B258,2),Sheet2!$A$1:$B$8,2,0)</f>
        <v>计算机</v>
      </c>
      <c r="F258" s="4">
        <v>42840</v>
      </c>
      <c r="G258" s="3" t="s">
        <v>161</v>
      </c>
      <c r="H258" s="3" t="s">
        <v>170</v>
      </c>
      <c r="I258" s="5">
        <v>32</v>
      </c>
      <c r="J258" s="13">
        <f>VLOOKUP(B258,[1]单价!$A$1:$B$152,2,0)</f>
        <v>2665</v>
      </c>
      <c r="K258" s="13">
        <f t="shared" si="3"/>
        <v>85280</v>
      </c>
      <c r="L258" s="13">
        <f>VLOOKUP(B258,[1]进价!$A$1:$B$151,2,0)*表1[[#This Row],[销量]]</f>
        <v>75899.199999999997</v>
      </c>
    </row>
    <row r="259" spans="1:12" ht="15" customHeight="1" x14ac:dyDescent="0.15">
      <c r="A259" s="12">
        <v>256</v>
      </c>
      <c r="B259" s="3" t="s">
        <v>140</v>
      </c>
      <c r="C259" s="3" t="str">
        <f>VLOOKUP(B259,品名!$A$1:$C$151,2,0)</f>
        <v>Apple</v>
      </c>
      <c r="D259" s="3" t="str">
        <f>VLOOKUP(B259,品名!$A$1:$C$151,3,0)</f>
        <v>iPad Air WLAN 16GB 银色</v>
      </c>
      <c r="E259" s="3" t="str">
        <f>VLOOKUP(LEFT(B259,2),Sheet2!$A$1:$B$8,2,0)</f>
        <v>计算机</v>
      </c>
      <c r="F259" s="4">
        <v>42847</v>
      </c>
      <c r="G259" s="3" t="s">
        <v>161</v>
      </c>
      <c r="H259" s="3" t="s">
        <v>171</v>
      </c>
      <c r="I259" s="5">
        <v>12</v>
      </c>
      <c r="J259" s="13">
        <f>VLOOKUP(B259,[1]单价!$A$1:$B$152,2,0)</f>
        <v>2738</v>
      </c>
      <c r="K259" s="13">
        <f t="shared" si="3"/>
        <v>32856</v>
      </c>
      <c r="L259" s="13">
        <f>VLOOKUP(B259,[1]进价!$A$1:$B$151,2,0)*表1[[#This Row],[销量]]</f>
        <v>29241.840000000004</v>
      </c>
    </row>
    <row r="260" spans="1:12" ht="15" customHeight="1" x14ac:dyDescent="0.15">
      <c r="A260" s="12">
        <v>257</v>
      </c>
      <c r="B260" s="3" t="s">
        <v>147</v>
      </c>
      <c r="C260" s="3" t="str">
        <f>VLOOKUP(B260,品名!$A$1:$C$151,2,0)</f>
        <v>华为</v>
      </c>
      <c r="D260" s="3" t="str">
        <f>VLOOKUP(B260,品名!$A$1:$C$151,3,0)</f>
        <v>Huawei M2-803L 4G 64GB 八核平板电脑手机 香槟金</v>
      </c>
      <c r="E260" s="3" t="str">
        <f>VLOOKUP(LEFT(B260,2),Sheet2!$A$1:$B$8,2,0)</f>
        <v>计算机</v>
      </c>
      <c r="F260" s="4">
        <v>42855</v>
      </c>
      <c r="G260" s="3" t="s">
        <v>161</v>
      </c>
      <c r="H260" s="3" t="s">
        <v>171</v>
      </c>
      <c r="I260" s="5">
        <v>36</v>
      </c>
      <c r="J260" s="13">
        <f>VLOOKUP(B260,[1]单价!$A$1:$B$152,2,0)</f>
        <v>2278</v>
      </c>
      <c r="K260" s="13">
        <f t="shared" si="3"/>
        <v>82008</v>
      </c>
      <c r="L260" s="13">
        <f>VLOOKUP(B260,[1]进价!$A$1:$B$151,2,0)*表1[[#This Row],[销量]]</f>
        <v>72987.12</v>
      </c>
    </row>
    <row r="261" spans="1:12" ht="15" customHeight="1" x14ac:dyDescent="0.15">
      <c r="A261" s="12">
        <v>258</v>
      </c>
      <c r="B261" s="3" t="s">
        <v>153</v>
      </c>
      <c r="C261" s="3" t="str">
        <f>VLOOKUP(B261,品名!$A$1:$C$151,2,0)</f>
        <v>亚马逊</v>
      </c>
      <c r="D261" s="3" t="str">
        <f>VLOOKUP(B261,品名!$A$1:$C$151,3,0)</f>
        <v>Fire 平板电脑</v>
      </c>
      <c r="E261" s="3" t="str">
        <f>VLOOKUP(LEFT(B261,2),Sheet2!$A$1:$B$8,2,0)</f>
        <v>计算机</v>
      </c>
      <c r="F261" s="4">
        <v>42862</v>
      </c>
      <c r="G261" s="3" t="s">
        <v>161</v>
      </c>
      <c r="H261" s="3" t="s">
        <v>170</v>
      </c>
      <c r="I261" s="5">
        <v>45</v>
      </c>
      <c r="J261" s="13">
        <f>VLOOKUP(B261,[1]单价!$A$1:$B$152,2,0)</f>
        <v>499</v>
      </c>
      <c r="K261" s="13">
        <f t="shared" ref="K261:K324" si="4">I261*J261</f>
        <v>22455</v>
      </c>
      <c r="L261" s="13">
        <f>VLOOKUP(B261,[1]进价!$A$1:$B$151,2,0)*表1[[#This Row],[销量]]</f>
        <v>17964</v>
      </c>
    </row>
    <row r="262" spans="1:12" ht="15" customHeight="1" x14ac:dyDescent="0.15">
      <c r="A262" s="12">
        <v>259</v>
      </c>
      <c r="B262" s="3" t="s">
        <v>10</v>
      </c>
      <c r="C262" s="3" t="str">
        <f>VLOOKUP(B262,品名!$A$1:$C$151,2,0)</f>
        <v>海信</v>
      </c>
      <c r="D262" s="3" t="str">
        <f>VLOOKUP(B262,品名!$A$1:$C$151,3,0)</f>
        <v>Hisense LED50K320DX3D 50英寸3D液晶电视</v>
      </c>
      <c r="E262" s="3" t="str">
        <f>VLOOKUP(LEFT(B262,2),Sheet2!$A$1:$B$8,2,0)</f>
        <v>电视</v>
      </c>
      <c r="F262" s="4">
        <v>42866</v>
      </c>
      <c r="G262" s="3" t="s">
        <v>161</v>
      </c>
      <c r="H262" s="3" t="s">
        <v>170</v>
      </c>
      <c r="I262" s="5">
        <v>12</v>
      </c>
      <c r="J262" s="13">
        <f>VLOOKUP(B262,[1]单价!$A$1:$B$152,2,0)</f>
        <v>4999</v>
      </c>
      <c r="K262" s="13">
        <f t="shared" si="4"/>
        <v>59988</v>
      </c>
      <c r="L262" s="13">
        <f>VLOOKUP(B262,[1]进价!$A$1:$B$151,2,0)*表1[[#This Row],[销量]]</f>
        <v>50389.919999999998</v>
      </c>
    </row>
    <row r="263" spans="1:12" ht="15" customHeight="1" x14ac:dyDescent="0.15">
      <c r="A263" s="12">
        <v>260</v>
      </c>
      <c r="B263" s="3" t="s">
        <v>17</v>
      </c>
      <c r="C263" s="3" t="str">
        <f>VLOOKUP(B263,品名!$A$1:$C$151,2,0)</f>
        <v>康佳</v>
      </c>
      <c r="D263" s="3" t="str">
        <f>VLOOKUP(B263,品名!$A$1:$C$151,3,0)</f>
        <v>KONKA LED32E220CE平板电视</v>
      </c>
      <c r="E263" s="3" t="str">
        <f>VLOOKUP(LEFT(B263,2),Sheet2!$A$1:$B$8,2,0)</f>
        <v>电视</v>
      </c>
      <c r="F263" s="4">
        <v>42876</v>
      </c>
      <c r="G263" s="3" t="s">
        <v>161</v>
      </c>
      <c r="H263" s="3" t="s">
        <v>170</v>
      </c>
      <c r="I263" s="5">
        <v>16</v>
      </c>
      <c r="J263" s="13">
        <f>VLOOKUP(B263,[1]单价!$A$1:$B$152,2,0)</f>
        <v>1899</v>
      </c>
      <c r="K263" s="13">
        <f t="shared" si="4"/>
        <v>30384</v>
      </c>
      <c r="L263" s="13">
        <f>VLOOKUP(B263,[1]进价!$A$1:$B$151,2,0)*表1[[#This Row],[销量]]</f>
        <v>26737.919999999998</v>
      </c>
    </row>
    <row r="264" spans="1:12" ht="15" customHeight="1" x14ac:dyDescent="0.15">
      <c r="A264" s="12">
        <v>261</v>
      </c>
      <c r="B264" s="3" t="s">
        <v>24</v>
      </c>
      <c r="C264" s="3" t="str">
        <f>VLOOKUP(B264,品名!$A$1:$C$151,2,0)</f>
        <v>夏普</v>
      </c>
      <c r="D264" s="3" t="str">
        <f>VLOOKUP(B264,品名!$A$1:$C$151,3,0)</f>
        <v>Sharp LCD-52DS50A智能LED液晶电视</v>
      </c>
      <c r="E264" s="3" t="str">
        <f>VLOOKUP(LEFT(B264,2),Sheet2!$A$1:$B$8,2,0)</f>
        <v>电视</v>
      </c>
      <c r="F264" s="4">
        <v>42884</v>
      </c>
      <c r="G264" s="3" t="s">
        <v>161</v>
      </c>
      <c r="H264" s="3" t="s">
        <v>170</v>
      </c>
      <c r="I264" s="5">
        <v>18</v>
      </c>
      <c r="J264" s="13">
        <f>VLOOKUP(B264,[1]单价!$A$1:$B$152,2,0)</f>
        <v>7299</v>
      </c>
      <c r="K264" s="13">
        <f t="shared" si="4"/>
        <v>131382</v>
      </c>
      <c r="L264" s="13">
        <f>VLOOKUP(B264,[1]进价!$A$1:$B$151,2,0)*表1[[#This Row],[销量]]</f>
        <v>106419.42</v>
      </c>
    </row>
    <row r="265" spans="1:12" ht="15" customHeight="1" x14ac:dyDescent="0.15">
      <c r="A265" s="12">
        <v>262</v>
      </c>
      <c r="B265" s="3" t="s">
        <v>32</v>
      </c>
      <c r="C265" s="3" t="str">
        <f>VLOOKUP(B265,品名!$A$1:$C$151,2,0)</f>
        <v>奥克斯</v>
      </c>
      <c r="D265" s="3" t="str">
        <f>VLOOKUP(B265,品名!$A$1:$C$151,3,0)</f>
        <v>KFR-35GW/BPSSD-2正1.5匹空调</v>
      </c>
      <c r="E265" s="3" t="str">
        <f>VLOOKUP(LEFT(B265,2),Sheet2!$A$1:$B$8,2,0)</f>
        <v>空调</v>
      </c>
      <c r="F265" s="4">
        <v>42904</v>
      </c>
      <c r="G265" s="3" t="s">
        <v>161</v>
      </c>
      <c r="H265" s="3" t="s">
        <v>170</v>
      </c>
      <c r="I265" s="5">
        <v>27</v>
      </c>
      <c r="J265" s="13">
        <f>VLOOKUP(B265,[1]单价!$A$1:$B$152,2,0)</f>
        <v>2393</v>
      </c>
      <c r="K265" s="13">
        <f t="shared" si="4"/>
        <v>64611</v>
      </c>
      <c r="L265" s="13">
        <f>VLOOKUP(B265,[1]进价!$A$1:$B$151,2,0)*表1[[#This Row],[销量]]</f>
        <v>56211.569999999992</v>
      </c>
    </row>
    <row r="266" spans="1:12" ht="15" customHeight="1" x14ac:dyDescent="0.15">
      <c r="A266" s="12">
        <v>263</v>
      </c>
      <c r="B266" s="3" t="s">
        <v>39</v>
      </c>
      <c r="C266" s="3" t="str">
        <f>VLOOKUP(B266,品名!$A$1:$C$151,2,0)</f>
        <v>海信</v>
      </c>
      <c r="D266" s="3" t="str">
        <f>VLOOKUP(B266,品名!$A$1:$C$151,3,0)</f>
        <v>Hisense KFR-26GW/ER01N2空调</v>
      </c>
      <c r="E266" s="3" t="str">
        <f>VLOOKUP(LEFT(B266,2),Sheet2!$A$1:$B$8,2,0)</f>
        <v>空调</v>
      </c>
      <c r="F266" s="4">
        <v>42898</v>
      </c>
      <c r="G266" s="3" t="s">
        <v>161</v>
      </c>
      <c r="H266" s="3" t="s">
        <v>171</v>
      </c>
      <c r="I266" s="5">
        <v>50</v>
      </c>
      <c r="J266" s="13">
        <f>VLOOKUP(B266,[1]单价!$A$1:$B$152,2,0)</f>
        <v>2179</v>
      </c>
      <c r="K266" s="13">
        <f t="shared" si="4"/>
        <v>108950</v>
      </c>
      <c r="L266" s="13">
        <f>VLOOKUP(B266,[1]进价!$A$1:$B$151,2,0)*表1[[#This Row],[销量]]</f>
        <v>96965.5</v>
      </c>
    </row>
    <row r="267" spans="1:12" ht="15" customHeight="1" x14ac:dyDescent="0.15">
      <c r="A267" s="12">
        <v>264</v>
      </c>
      <c r="B267" s="3" t="s">
        <v>70</v>
      </c>
      <c r="C267" s="3" t="str">
        <f>VLOOKUP(B267,品名!$A$1:$C$151,2,0)</f>
        <v>海尔</v>
      </c>
      <c r="D267" s="3" t="str">
        <f>VLOOKUP(B267,品名!$A$1:$C$151,3,0)</f>
        <v>Haier BCD-190TMPK 冰箱</v>
      </c>
      <c r="E267" s="3" t="str">
        <f>VLOOKUP(LEFT(B267,2),Sheet2!$A$1:$B$8,2,0)</f>
        <v>冰箱</v>
      </c>
      <c r="F267" s="4">
        <v>42905</v>
      </c>
      <c r="G267" s="3" t="s">
        <v>161</v>
      </c>
      <c r="H267" s="3" t="s">
        <v>170</v>
      </c>
      <c r="I267" s="5">
        <v>32</v>
      </c>
      <c r="J267" s="13">
        <f>VLOOKUP(B267,[1]单价!$A$1:$B$152,2,0)</f>
        <v>1299</v>
      </c>
      <c r="K267" s="13">
        <f t="shared" si="4"/>
        <v>41568</v>
      </c>
      <c r="L267" s="13">
        <f>VLOOKUP(B267,[1]进价!$A$1:$B$151,2,0)*表1[[#This Row],[销量]]</f>
        <v>33254.400000000001</v>
      </c>
    </row>
    <row r="268" spans="1:12" ht="15" customHeight="1" x14ac:dyDescent="0.15">
      <c r="A268" s="12">
        <v>265</v>
      </c>
      <c r="B268" s="3" t="s">
        <v>80</v>
      </c>
      <c r="C268" s="3" t="str">
        <f>VLOOKUP(B268,品名!$A$1:$C$151,2,0)</f>
        <v>容声</v>
      </c>
      <c r="D268" s="3" t="str">
        <f>VLOOKUP(B268,品名!$A$1:$C$151,3,0)</f>
        <v>Ronshen BCD-202M/TX6-GF61-C冰箱</v>
      </c>
      <c r="E268" s="3" t="str">
        <f>VLOOKUP(LEFT(B268,2),Sheet2!$A$1:$B$8,2,0)</f>
        <v>冰箱</v>
      </c>
      <c r="F268" s="4">
        <v>42909</v>
      </c>
      <c r="G268" s="3" t="s">
        <v>161</v>
      </c>
      <c r="H268" s="3" t="s">
        <v>170</v>
      </c>
      <c r="I268" s="5">
        <v>45</v>
      </c>
      <c r="J268" s="13">
        <f>VLOOKUP(B268,[1]单价!$A$1:$B$152,2,0)</f>
        <v>1499</v>
      </c>
      <c r="K268" s="13">
        <f t="shared" si="4"/>
        <v>67455</v>
      </c>
      <c r="L268" s="13">
        <f>VLOOKUP(B268,[1]进价!$A$1:$B$151,2,0)*表1[[#This Row],[销量]]</f>
        <v>60034.95</v>
      </c>
    </row>
    <row r="269" spans="1:12" ht="15" customHeight="1" x14ac:dyDescent="0.15">
      <c r="A269" s="12">
        <v>266</v>
      </c>
      <c r="B269" s="3" t="s">
        <v>111</v>
      </c>
      <c r="C269" s="3" t="str">
        <f>VLOOKUP(B269,品名!$A$1:$C$151,2,0)</f>
        <v>Apple</v>
      </c>
      <c r="D269" s="3" t="str">
        <f>VLOOKUP(B269,品名!$A$1:$C$151,3,0)</f>
        <v>MacBookMK4M2CH/A 12英寸笔记本电脑</v>
      </c>
      <c r="E269" s="3" t="str">
        <f>VLOOKUP(LEFT(B269,2),Sheet2!$A$1:$B$8,2,0)</f>
        <v>计算机</v>
      </c>
      <c r="F269" s="4">
        <v>42741</v>
      </c>
      <c r="G269" s="3" t="s">
        <v>160</v>
      </c>
      <c r="H269" s="3" t="s">
        <v>170</v>
      </c>
      <c r="I269" s="5">
        <v>32</v>
      </c>
      <c r="J269" s="13">
        <f>VLOOKUP(B269,[1]单价!$A$1:$B$152,2,0)</f>
        <v>8888</v>
      </c>
      <c r="K269" s="13">
        <f t="shared" si="4"/>
        <v>284416</v>
      </c>
      <c r="L269" s="13">
        <f>VLOOKUP(B269,[1]进价!$A$1:$B$151,2,0)*表1[[#This Row],[销量]]</f>
        <v>255974.39999999999</v>
      </c>
    </row>
    <row r="270" spans="1:12" ht="15" customHeight="1" x14ac:dyDescent="0.15">
      <c r="A270" s="12">
        <v>267</v>
      </c>
      <c r="B270" s="3" t="s">
        <v>122</v>
      </c>
      <c r="C270" s="3" t="str">
        <f>VLOOKUP(B270,品名!$A$1:$C$151,2,0)</f>
        <v>联想</v>
      </c>
      <c r="D270" s="3" t="str">
        <f>VLOOKUP(B270,品名!$A$1:$C$151,3,0)</f>
        <v>ThinkPad E450C-20EHA01-7CD 14英寸笔记本电脑</v>
      </c>
      <c r="E270" s="3" t="str">
        <f>VLOOKUP(LEFT(B270,2),Sheet2!$A$1:$B$8,2,0)</f>
        <v>计算机</v>
      </c>
      <c r="F270" s="4">
        <v>42747</v>
      </c>
      <c r="G270" s="3" t="s">
        <v>160</v>
      </c>
      <c r="H270" s="3" t="s">
        <v>170</v>
      </c>
      <c r="I270" s="5">
        <v>22</v>
      </c>
      <c r="J270" s="13">
        <f>VLOOKUP(B270,[1]单价!$A$1:$B$152,2,0)</f>
        <v>3499</v>
      </c>
      <c r="K270" s="13">
        <f t="shared" si="4"/>
        <v>76978</v>
      </c>
      <c r="L270" s="13">
        <f>VLOOKUP(B270,[1]进价!$A$1:$B$151,2,0)*表1[[#This Row],[销量]]</f>
        <v>63891.740000000005</v>
      </c>
    </row>
    <row r="271" spans="1:12" ht="15" customHeight="1" x14ac:dyDescent="0.15">
      <c r="A271" s="12">
        <v>268</v>
      </c>
      <c r="B271" s="3" t="s">
        <v>133</v>
      </c>
      <c r="C271" s="3" t="str">
        <f>VLOOKUP(B271,品名!$A$1:$C$151,2,0)</f>
        <v>联想</v>
      </c>
      <c r="D271" s="3" t="str">
        <f>VLOOKUP(B271,品名!$A$1:$C$151,3,0)</f>
        <v>lenovo C360 G1820一体机 白色</v>
      </c>
      <c r="E271" s="3" t="str">
        <f>VLOOKUP(LEFT(B271,2),Sheet2!$A$1:$B$8,2,0)</f>
        <v>计算机</v>
      </c>
      <c r="F271" s="4">
        <v>42753</v>
      </c>
      <c r="G271" s="3" t="s">
        <v>160</v>
      </c>
      <c r="H271" s="3" t="s">
        <v>170</v>
      </c>
      <c r="I271" s="5">
        <v>40</v>
      </c>
      <c r="J271" s="13">
        <f>VLOOKUP(B271,[1]单价!$A$1:$B$152,2,0)</f>
        <v>2665</v>
      </c>
      <c r="K271" s="13">
        <f t="shared" si="4"/>
        <v>106600</v>
      </c>
      <c r="L271" s="13">
        <f>VLOOKUP(B271,[1]进价!$A$1:$B$151,2,0)*表1[[#This Row],[销量]]</f>
        <v>94874</v>
      </c>
    </row>
    <row r="272" spans="1:12" ht="15" customHeight="1" x14ac:dyDescent="0.15">
      <c r="A272" s="12">
        <v>269</v>
      </c>
      <c r="B272" s="3" t="s">
        <v>146</v>
      </c>
      <c r="C272" s="3" t="str">
        <f>VLOOKUP(B272,品名!$A$1:$C$151,2,0)</f>
        <v>宏通</v>
      </c>
      <c r="D272" s="3" t="str">
        <f>VLOOKUP(B272,品名!$A$1:$C$151,3,0)</f>
        <v>HT HT820 四核7英寸WIFI版平板电脑</v>
      </c>
      <c r="E272" s="3" t="str">
        <f>VLOOKUP(LEFT(B272,2),Sheet2!$A$1:$B$8,2,0)</f>
        <v>计算机</v>
      </c>
      <c r="F272" s="4">
        <v>42761</v>
      </c>
      <c r="G272" s="3" t="s">
        <v>160</v>
      </c>
      <c r="H272" s="3" t="s">
        <v>170</v>
      </c>
      <c r="I272" s="5">
        <v>32</v>
      </c>
      <c r="J272" s="13">
        <f>VLOOKUP(B272,[1]单价!$A$1:$B$152,2,0)</f>
        <v>289</v>
      </c>
      <c r="K272" s="13">
        <f t="shared" si="4"/>
        <v>9248</v>
      </c>
      <c r="L272" s="13">
        <f>VLOOKUP(B272,[1]进价!$A$1:$B$151,2,0)*表1[[#This Row],[销量]]</f>
        <v>7860.8</v>
      </c>
    </row>
    <row r="273" spans="1:12" ht="15" customHeight="1" x14ac:dyDescent="0.15">
      <c r="A273" s="12">
        <v>270</v>
      </c>
      <c r="B273" s="3" t="s">
        <v>6</v>
      </c>
      <c r="C273" s="3" t="str">
        <f>VLOOKUP(B273,品名!$A$1:$C$151,2,0)</f>
        <v>酷开</v>
      </c>
      <c r="D273" s="3" t="str">
        <f>VLOOKUP(B273,品名!$A$1:$C$151,3,0)</f>
        <v>coocaa K50J 50英寸智能平板液晶电视</v>
      </c>
      <c r="E273" s="3" t="str">
        <f>VLOOKUP(LEFT(B273,2),Sheet2!$A$1:$B$8,2,0)</f>
        <v>电视</v>
      </c>
      <c r="F273" s="4">
        <v>42767</v>
      </c>
      <c r="G273" s="3" t="s">
        <v>160</v>
      </c>
      <c r="H273" s="3" t="s">
        <v>170</v>
      </c>
      <c r="I273" s="5">
        <v>34</v>
      </c>
      <c r="J273" s="13">
        <f>VLOOKUP(B273,[1]单价!$A$1:$B$152,2,0)</f>
        <v>2699</v>
      </c>
      <c r="K273" s="13">
        <f t="shared" si="4"/>
        <v>91766</v>
      </c>
      <c r="L273" s="13">
        <f>VLOOKUP(B273,[1]进价!$A$1:$B$151,2,0)*表1[[#This Row],[销量]]</f>
        <v>74330.460000000006</v>
      </c>
    </row>
    <row r="274" spans="1:12" ht="15" customHeight="1" x14ac:dyDescent="0.15">
      <c r="A274" s="12">
        <v>271</v>
      </c>
      <c r="B274" s="3" t="s">
        <v>15</v>
      </c>
      <c r="C274" s="3" t="str">
        <f>VLOOKUP(B274,品名!$A$1:$C$151,2,0)</f>
        <v>海信</v>
      </c>
      <c r="D274" s="3" t="str">
        <f>VLOOKUP(B274,品名!$A$1:$C$151,3,0)</f>
        <v>HisenseLED39K200J 39英寸全高清LED液晶电视</v>
      </c>
      <c r="E274" s="3" t="str">
        <f>VLOOKUP(LEFT(B274,2),Sheet2!$A$1:$B$8,2,0)</f>
        <v>电视</v>
      </c>
      <c r="F274" s="4">
        <v>42776</v>
      </c>
      <c r="G274" s="3" t="s">
        <v>160</v>
      </c>
      <c r="H274" s="3" t="s">
        <v>170</v>
      </c>
      <c r="I274" s="5">
        <v>22</v>
      </c>
      <c r="J274" s="13">
        <f>VLOOKUP(B274,[1]单价!$A$1:$B$152,2,0)</f>
        <v>2499</v>
      </c>
      <c r="K274" s="13">
        <f t="shared" si="4"/>
        <v>54978</v>
      </c>
      <c r="L274" s="13">
        <f>VLOOKUP(B274,[1]进价!$A$1:$B$151,2,0)*表1[[#This Row],[销量]]</f>
        <v>47281.079999999994</v>
      </c>
    </row>
    <row r="275" spans="1:12" ht="15" customHeight="1" x14ac:dyDescent="0.15">
      <c r="A275" s="12">
        <v>272</v>
      </c>
      <c r="B275" s="3" t="s">
        <v>25</v>
      </c>
      <c r="C275" s="3" t="str">
        <f>VLOOKUP(B275,品名!$A$1:$C$151,2,0)</f>
        <v>TCL</v>
      </c>
      <c r="D275" s="3" t="str">
        <f>VLOOKUP(B275,品名!$A$1:$C$151,3,0)</f>
        <v>KFRd-52LW/DR22空调</v>
      </c>
      <c r="E275" s="3" t="str">
        <f>VLOOKUP(LEFT(B275,2),Sheet2!$A$1:$B$8,2,0)</f>
        <v>空调</v>
      </c>
      <c r="F275" s="4">
        <v>42782</v>
      </c>
      <c r="G275" s="3" t="s">
        <v>160</v>
      </c>
      <c r="H275" s="3" t="s">
        <v>170</v>
      </c>
      <c r="I275" s="5">
        <v>10</v>
      </c>
      <c r="J275" s="13">
        <f>VLOOKUP(B275,[1]单价!$A$1:$B$152,2,0)</f>
        <v>3629</v>
      </c>
      <c r="K275" s="13">
        <f t="shared" si="4"/>
        <v>36290</v>
      </c>
      <c r="L275" s="13">
        <f>VLOOKUP(B275,[1]进价!$A$1:$B$151,2,0)*表1[[#This Row],[销量]]</f>
        <v>32661</v>
      </c>
    </row>
    <row r="276" spans="1:12" ht="15" customHeight="1" x14ac:dyDescent="0.15">
      <c r="A276" s="12">
        <v>273</v>
      </c>
      <c r="B276" s="3" t="s">
        <v>36</v>
      </c>
      <c r="C276" s="3" t="str">
        <f>VLOOKUP(B276,品名!$A$1:$C$151,2,0)</f>
        <v>格兰仕</v>
      </c>
      <c r="D276" s="3" t="str">
        <f>VLOOKUP(B276,品名!$A$1:$C$151,3,0)</f>
        <v>Galanz KFR-32GW/dLP57-130(2)空调</v>
      </c>
      <c r="E276" s="3" t="str">
        <f>VLOOKUP(LEFT(B276,2),Sheet2!$A$1:$B$8,2,0)</f>
        <v>空调</v>
      </c>
      <c r="F276" s="4">
        <v>42793</v>
      </c>
      <c r="G276" s="3" t="s">
        <v>160</v>
      </c>
      <c r="H276" s="3" t="s">
        <v>170</v>
      </c>
      <c r="I276" s="5">
        <v>30</v>
      </c>
      <c r="J276" s="13">
        <f>VLOOKUP(B276,[1]单价!$A$1:$B$152,2,0)</f>
        <v>1899</v>
      </c>
      <c r="K276" s="13">
        <f t="shared" si="4"/>
        <v>56970</v>
      </c>
      <c r="L276" s="13">
        <f>VLOOKUP(B276,[1]进价!$A$1:$B$151,2,0)*表1[[#This Row],[销量]]</f>
        <v>48994.200000000004</v>
      </c>
    </row>
    <row r="277" spans="1:12" ht="15" customHeight="1" x14ac:dyDescent="0.15">
      <c r="A277" s="12">
        <v>274</v>
      </c>
      <c r="B277" s="3" t="s">
        <v>66</v>
      </c>
      <c r="C277" s="3" t="str">
        <f>VLOOKUP(B277,品名!$A$1:$C$151,2,0)</f>
        <v>海尔</v>
      </c>
      <c r="D277" s="3" t="str">
        <f>VLOOKUP(B277,品名!$A$1:$C$151,3,0)</f>
        <v>Haier bcd-186kb 双门冰箱</v>
      </c>
      <c r="E277" s="3" t="str">
        <f>VLOOKUP(LEFT(B277,2),Sheet2!$A$1:$B$8,2,0)</f>
        <v>冰箱</v>
      </c>
      <c r="F277" s="4">
        <v>42800</v>
      </c>
      <c r="G277" s="3" t="s">
        <v>160</v>
      </c>
      <c r="H277" s="3" t="s">
        <v>170</v>
      </c>
      <c r="I277" s="5">
        <v>41</v>
      </c>
      <c r="J277" s="13">
        <f>VLOOKUP(B277,[1]单价!$A$1:$B$152,2,0)</f>
        <v>1399</v>
      </c>
      <c r="K277" s="13">
        <f t="shared" si="4"/>
        <v>57359</v>
      </c>
      <c r="L277" s="13">
        <f>VLOOKUP(B277,[1]进价!$A$1:$B$151,2,0)*表1[[#This Row],[销量]]</f>
        <v>51049.509999999995</v>
      </c>
    </row>
    <row r="278" spans="1:12" ht="15" customHeight="1" x14ac:dyDescent="0.15">
      <c r="A278" s="12">
        <v>275</v>
      </c>
      <c r="B278" s="3" t="s">
        <v>77</v>
      </c>
      <c r="C278" s="3" t="str">
        <f>VLOOKUP(B278,品名!$A$1:$C$151,2,0)</f>
        <v>美的</v>
      </c>
      <c r="D278" s="3" t="str">
        <f>VLOOKUP(B278,品名!$A$1:$C$151,3,0)</f>
        <v>Midea BCD-206TM(E)冰箱</v>
      </c>
      <c r="E278" s="3" t="str">
        <f>VLOOKUP(LEFT(B278,2),Sheet2!$A$1:$B$8,2,0)</f>
        <v>冰箱</v>
      </c>
      <c r="F278" s="4">
        <v>42808</v>
      </c>
      <c r="G278" s="3" t="s">
        <v>160</v>
      </c>
      <c r="H278" s="3" t="s">
        <v>170</v>
      </c>
      <c r="I278" s="5">
        <v>23</v>
      </c>
      <c r="J278" s="13">
        <f>VLOOKUP(B278,[1]单价!$A$1:$B$152,2,0)</f>
        <v>1699</v>
      </c>
      <c r="K278" s="13">
        <f t="shared" si="4"/>
        <v>39077</v>
      </c>
      <c r="L278" s="13">
        <f>VLOOKUP(B278,[1]进价!$A$1:$B$151,2,0)*表1[[#This Row],[销量]]</f>
        <v>32824.68</v>
      </c>
    </row>
    <row r="279" spans="1:12" ht="15" customHeight="1" x14ac:dyDescent="0.15">
      <c r="A279" s="12">
        <v>276</v>
      </c>
      <c r="B279" s="3" t="s">
        <v>46</v>
      </c>
      <c r="C279" s="3" t="str">
        <f>VLOOKUP(B279,品名!$A$1:$C$151,2,0)</f>
        <v>AO史密斯</v>
      </c>
      <c r="D279" s="3" t="str">
        <f>VLOOKUP(B279,品名!$A$1:$C$151,3,0)</f>
        <v>A.O.Smith ET500J-60 电热水器</v>
      </c>
      <c r="E279" s="3" t="str">
        <f>VLOOKUP(LEFT(B279,2),Sheet2!$A$1:$B$8,2,0)</f>
        <v>热水器</v>
      </c>
      <c r="F279" s="4">
        <v>42815</v>
      </c>
      <c r="G279" s="3" t="s">
        <v>160</v>
      </c>
      <c r="H279" s="3" t="s">
        <v>171</v>
      </c>
      <c r="I279" s="5">
        <v>38</v>
      </c>
      <c r="J279" s="13">
        <f>VLOOKUP(B279,[1]单价!$A$1:$B$152,2,0)</f>
        <v>2868</v>
      </c>
      <c r="K279" s="13">
        <f t="shared" si="4"/>
        <v>108984</v>
      </c>
      <c r="L279" s="13">
        <f>VLOOKUP(B279,[1]进价!$A$1:$B$151,2,0)*表1[[#This Row],[销量]]</f>
        <v>87187.199999999997</v>
      </c>
    </row>
    <row r="280" spans="1:12" ht="15" customHeight="1" x14ac:dyDescent="0.15">
      <c r="A280" s="12">
        <v>277</v>
      </c>
      <c r="B280" s="3" t="s">
        <v>55</v>
      </c>
      <c r="C280" s="3" t="str">
        <f>VLOOKUP(B280,品名!$A$1:$C$151,2,0)</f>
        <v>林内</v>
      </c>
      <c r="D280" s="3" t="str">
        <f>VLOOKUP(B280,品名!$A$1:$C$151,3,0)</f>
        <v>Rinnai RUS-13E22CWNF燃气热水器</v>
      </c>
      <c r="E280" s="3" t="str">
        <f>VLOOKUP(LEFT(B280,2),Sheet2!$A$1:$B$8,2,0)</f>
        <v>热水器</v>
      </c>
      <c r="F280" s="4">
        <v>42821</v>
      </c>
      <c r="G280" s="3" t="s">
        <v>160</v>
      </c>
      <c r="H280" s="3" t="s">
        <v>171</v>
      </c>
      <c r="I280" s="5">
        <v>18</v>
      </c>
      <c r="J280" s="13">
        <f>VLOOKUP(B280,[1]单价!$A$1:$B$152,2,0)</f>
        <v>3580</v>
      </c>
      <c r="K280" s="13">
        <f t="shared" si="4"/>
        <v>64440</v>
      </c>
      <c r="L280" s="13">
        <f>VLOOKUP(B280,[1]进价!$A$1:$B$151,2,0)*表1[[#This Row],[销量]]</f>
        <v>51552</v>
      </c>
    </row>
    <row r="281" spans="1:12" ht="15" customHeight="1" x14ac:dyDescent="0.15">
      <c r="A281" s="12">
        <v>278</v>
      </c>
      <c r="B281" s="3" t="s">
        <v>63</v>
      </c>
      <c r="C281" s="3" t="str">
        <f>VLOOKUP(B281,品名!$A$1:$C$151,2,0)</f>
        <v>万家乐</v>
      </c>
      <c r="D281" s="3" t="str">
        <f>VLOOKUP(B281,品名!$A$1:$C$151,3,0)</f>
        <v>JSQ24-12201 12升 燃气热水器</v>
      </c>
      <c r="E281" s="3" t="str">
        <f>VLOOKUP(LEFT(B281,2),Sheet2!$A$1:$B$8,2,0)</f>
        <v>热水器</v>
      </c>
      <c r="F281" s="4">
        <v>42828</v>
      </c>
      <c r="G281" s="3" t="s">
        <v>160</v>
      </c>
      <c r="H281" s="3" t="s">
        <v>171</v>
      </c>
      <c r="I281" s="5">
        <v>48</v>
      </c>
      <c r="J281" s="13">
        <f>VLOOKUP(B281,[1]单价!$A$1:$B$152,2,0)</f>
        <v>1299</v>
      </c>
      <c r="K281" s="13">
        <f t="shared" si="4"/>
        <v>62352</v>
      </c>
      <c r="L281" s="13">
        <f>VLOOKUP(B281,[1]进价!$A$1:$B$151,2,0)*表1[[#This Row],[销量]]</f>
        <v>56116.799999999996</v>
      </c>
    </row>
    <row r="282" spans="1:12" ht="15" customHeight="1" x14ac:dyDescent="0.15">
      <c r="A282" s="12">
        <v>279</v>
      </c>
      <c r="B282" s="3" t="s">
        <v>92</v>
      </c>
      <c r="C282" s="3" t="str">
        <f>VLOOKUP(B282,品名!$A$1:$C$151,2,0)</f>
        <v>海尔</v>
      </c>
      <c r="D282" s="3" t="str">
        <f>VLOOKUP(B282,品名!$A$1:$C$151,3,0)</f>
        <v>Haier XQB50-M1258 5.0公斤 全自动波轮洗衣机</v>
      </c>
      <c r="E282" s="3" t="str">
        <f>VLOOKUP(LEFT(B282,2),Sheet2!$A$1:$B$8,2,0)</f>
        <v>洗衣机</v>
      </c>
      <c r="F282" s="4">
        <v>42836</v>
      </c>
      <c r="G282" s="3" t="s">
        <v>160</v>
      </c>
      <c r="H282" s="3" t="s">
        <v>171</v>
      </c>
      <c r="I282" s="5">
        <v>28</v>
      </c>
      <c r="J282" s="13">
        <f>VLOOKUP(B282,[1]单价!$A$1:$B$152,2,0)</f>
        <v>999</v>
      </c>
      <c r="K282" s="13">
        <f t="shared" si="4"/>
        <v>27972</v>
      </c>
      <c r="L282" s="13">
        <f>VLOOKUP(B282,[1]进价!$A$1:$B$151,2,0)*表1[[#This Row],[销量]]</f>
        <v>23216.76</v>
      </c>
    </row>
    <row r="283" spans="1:12" ht="15" customHeight="1" x14ac:dyDescent="0.15">
      <c r="A283" s="12">
        <v>280</v>
      </c>
      <c r="B283" s="3" t="s">
        <v>99</v>
      </c>
      <c r="C283" s="3" t="str">
        <f>VLOOKUP(B283,品名!$A$1:$C$151,2,0)</f>
        <v>松下</v>
      </c>
      <c r="D283" s="3" t="str">
        <f>VLOOKUP(B283,品名!$A$1:$C$151,3,0)</f>
        <v>Panasonic XQB60-Q662U 6公斤 立体搓全自动波轮洗衣机</v>
      </c>
      <c r="E283" s="3" t="str">
        <f>VLOOKUP(LEFT(B283,2),Sheet2!$A$1:$B$8,2,0)</f>
        <v>洗衣机</v>
      </c>
      <c r="F283" s="4">
        <v>42846</v>
      </c>
      <c r="G283" s="3" t="s">
        <v>160</v>
      </c>
      <c r="H283" s="3" t="s">
        <v>171</v>
      </c>
      <c r="I283" s="5">
        <v>50</v>
      </c>
      <c r="J283" s="13">
        <f>VLOOKUP(B283,[1]单价!$A$1:$B$152,2,0)</f>
        <v>1419</v>
      </c>
      <c r="K283" s="13">
        <f t="shared" si="4"/>
        <v>70950</v>
      </c>
      <c r="L283" s="13">
        <f>VLOOKUP(B283,[1]进价!$A$1:$B$151,2,0)*表1[[#This Row],[销量]]</f>
        <v>59598</v>
      </c>
    </row>
    <row r="284" spans="1:12" ht="15" customHeight="1" x14ac:dyDescent="0.15">
      <c r="A284" s="12">
        <v>281</v>
      </c>
      <c r="B284" s="3" t="s">
        <v>107</v>
      </c>
      <c r="C284" s="3" t="str">
        <f>VLOOKUP(B284,品名!$A$1:$C$151,2,0)</f>
        <v>Apple</v>
      </c>
      <c r="D284" s="3" t="str">
        <f>VLOOKUP(B284,品名!$A$1:$C$151,3,0)</f>
        <v>MacBook Pro MF840CH/A 13.3英寸笔记本电脑</v>
      </c>
      <c r="E284" s="3" t="str">
        <f>VLOOKUP(LEFT(B284,2),Sheet2!$A$1:$B$8,2,0)</f>
        <v>计算机</v>
      </c>
      <c r="F284" s="4">
        <v>42855</v>
      </c>
      <c r="G284" s="3" t="s">
        <v>160</v>
      </c>
      <c r="H284" s="3" t="s">
        <v>171</v>
      </c>
      <c r="I284" s="5">
        <v>42</v>
      </c>
      <c r="J284" s="13">
        <f>VLOOKUP(B284,[1]单价!$A$1:$B$152,2,0)</f>
        <v>10188</v>
      </c>
      <c r="K284" s="13">
        <f t="shared" si="4"/>
        <v>427896</v>
      </c>
      <c r="L284" s="13">
        <f>VLOOKUP(B284,[1]进价!$A$1:$B$151,2,0)*表1[[#This Row],[销量]]</f>
        <v>376548.48000000004</v>
      </c>
    </row>
    <row r="285" spans="1:12" ht="15" customHeight="1" x14ac:dyDescent="0.15">
      <c r="A285" s="12">
        <v>282</v>
      </c>
      <c r="B285" s="3" t="s">
        <v>115</v>
      </c>
      <c r="C285" s="3" t="str">
        <f>VLOOKUP(B285,品名!$A$1:$C$151,2,0)</f>
        <v>戴尔</v>
      </c>
      <c r="D285" s="3" t="str">
        <f>VLOOKUP(B285,品名!$A$1:$C$151,3,0)</f>
        <v>Dell Ins15CR-4528B 15.6英寸笔记本电脑</v>
      </c>
      <c r="E285" s="3" t="str">
        <f>VLOOKUP(LEFT(B285,2),Sheet2!$A$1:$B$8,2,0)</f>
        <v>计算机</v>
      </c>
      <c r="F285" s="4">
        <v>42858</v>
      </c>
      <c r="G285" s="3" t="s">
        <v>160</v>
      </c>
      <c r="H285" s="3" t="s">
        <v>171</v>
      </c>
      <c r="I285" s="5">
        <v>18</v>
      </c>
      <c r="J285" s="13">
        <f>VLOOKUP(B285,[1]单价!$A$1:$B$152,2,0)</f>
        <v>3149</v>
      </c>
      <c r="K285" s="13">
        <f t="shared" si="4"/>
        <v>56682</v>
      </c>
      <c r="L285" s="13">
        <f>VLOOKUP(B285,[1]进价!$A$1:$B$151,2,0)*表1[[#This Row],[销量]]</f>
        <v>51013.799999999996</v>
      </c>
    </row>
    <row r="286" spans="1:12" ht="15" customHeight="1" x14ac:dyDescent="0.15">
      <c r="A286" s="12">
        <v>283</v>
      </c>
      <c r="B286" s="3" t="s">
        <v>125</v>
      </c>
      <c r="C286" s="3" t="str">
        <f>VLOOKUP(B286,品名!$A$1:$C$151,2,0)</f>
        <v>Apple</v>
      </c>
      <c r="D286" s="3" t="str">
        <f>VLOOKUP(B286,品名!$A$1:$C$151,3,0)</f>
        <v xml:space="preserve">ME086CH/A iMac 21.5英寸一体机 银色 </v>
      </c>
      <c r="E286" s="3" t="str">
        <f>VLOOKUP(LEFT(B286,2),Sheet2!$A$1:$B$8,2,0)</f>
        <v>计算机</v>
      </c>
      <c r="F286" s="4">
        <v>42866</v>
      </c>
      <c r="G286" s="3" t="s">
        <v>160</v>
      </c>
      <c r="H286" s="3" t="s">
        <v>171</v>
      </c>
      <c r="I286" s="5">
        <v>34</v>
      </c>
      <c r="J286" s="13">
        <f>VLOOKUP(B286,[1]单价!$A$1:$B$152,2,0)</f>
        <v>9188</v>
      </c>
      <c r="K286" s="13">
        <f t="shared" si="4"/>
        <v>312392</v>
      </c>
      <c r="L286" s="13">
        <f>VLOOKUP(B286,[1]进价!$A$1:$B$151,2,0)*表1[[#This Row],[销量]]</f>
        <v>262409.28000000003</v>
      </c>
    </row>
    <row r="287" spans="1:12" ht="15" customHeight="1" x14ac:dyDescent="0.15">
      <c r="A287" s="12">
        <v>284</v>
      </c>
      <c r="B287" s="3" t="s">
        <v>132</v>
      </c>
      <c r="C287" s="3" t="str">
        <f>VLOOKUP(B287,品名!$A$1:$C$151,2,0)</f>
        <v>联想</v>
      </c>
      <c r="D287" s="3" t="str">
        <f>VLOOKUP(B287,品名!$A$1:$C$151,3,0)</f>
        <v>Lenovo IdeaCentre C560 一体机</v>
      </c>
      <c r="E287" s="3" t="str">
        <f>VLOOKUP(LEFT(B287,2),Sheet2!$A$1:$B$8,2,0)</f>
        <v>计算机</v>
      </c>
      <c r="F287" s="4">
        <v>42873</v>
      </c>
      <c r="G287" s="3" t="s">
        <v>160</v>
      </c>
      <c r="H287" s="3" t="s">
        <v>171</v>
      </c>
      <c r="I287" s="5">
        <v>6</v>
      </c>
      <c r="J287" s="13">
        <f>VLOOKUP(B287,[1]单价!$A$1:$B$152,2,0)</f>
        <v>3750</v>
      </c>
      <c r="K287" s="13">
        <f t="shared" si="4"/>
        <v>22500</v>
      </c>
      <c r="L287" s="13">
        <f>VLOOKUP(B287,[1]进价!$A$1:$B$151,2,0)*表1[[#This Row],[销量]]</f>
        <v>18225</v>
      </c>
    </row>
    <row r="288" spans="1:12" ht="15" customHeight="1" x14ac:dyDescent="0.15">
      <c r="A288" s="12">
        <v>285</v>
      </c>
      <c r="B288" s="3" t="s">
        <v>140</v>
      </c>
      <c r="C288" s="3" t="str">
        <f>VLOOKUP(B288,品名!$A$1:$C$151,2,0)</f>
        <v>Apple</v>
      </c>
      <c r="D288" s="3" t="str">
        <f>VLOOKUP(B288,品名!$A$1:$C$151,3,0)</f>
        <v>iPad Air WLAN 16GB 银色</v>
      </c>
      <c r="E288" s="3" t="str">
        <f>VLOOKUP(LEFT(B288,2),Sheet2!$A$1:$B$8,2,0)</f>
        <v>计算机</v>
      </c>
      <c r="F288" s="4">
        <v>42881</v>
      </c>
      <c r="G288" s="3" t="s">
        <v>160</v>
      </c>
      <c r="H288" s="3" t="s">
        <v>171</v>
      </c>
      <c r="I288" s="5">
        <v>33</v>
      </c>
      <c r="J288" s="13">
        <f>VLOOKUP(B288,[1]单价!$A$1:$B$152,2,0)</f>
        <v>2738</v>
      </c>
      <c r="K288" s="13">
        <f t="shared" si="4"/>
        <v>90354</v>
      </c>
      <c r="L288" s="13">
        <f>VLOOKUP(B288,[1]进价!$A$1:$B$151,2,0)*表1[[#This Row],[销量]]</f>
        <v>80415.060000000012</v>
      </c>
    </row>
    <row r="289" spans="1:12" ht="15" customHeight="1" x14ac:dyDescent="0.15">
      <c r="A289" s="12">
        <v>286</v>
      </c>
      <c r="B289" s="3" t="s">
        <v>148</v>
      </c>
      <c r="C289" s="3" t="str">
        <f>VLOOKUP(B289,品名!$A$1:$C$151,2,0)</f>
        <v>微软</v>
      </c>
      <c r="D289" s="3" t="str">
        <f>VLOOKUP(B289,品名!$A$1:$C$151,3,0)</f>
        <v>Microsoft Surface Pro 4 12.3英寸平板电脑</v>
      </c>
      <c r="E289" s="3" t="str">
        <f>VLOOKUP(LEFT(B289,2),Sheet2!$A$1:$B$8,2,0)</f>
        <v>计算机</v>
      </c>
      <c r="F289" s="4">
        <v>42887</v>
      </c>
      <c r="G289" s="3" t="s">
        <v>160</v>
      </c>
      <c r="H289" s="3" t="s">
        <v>171</v>
      </c>
      <c r="I289" s="5">
        <v>23</v>
      </c>
      <c r="J289" s="13">
        <f>VLOOKUP(B289,[1]单价!$A$1:$B$152,2,0)</f>
        <v>7388</v>
      </c>
      <c r="K289" s="13">
        <f t="shared" si="4"/>
        <v>169924</v>
      </c>
      <c r="L289" s="13">
        <f>VLOOKUP(B289,[1]进价!$A$1:$B$151,2,0)*表1[[#This Row],[销量]]</f>
        <v>152931.6</v>
      </c>
    </row>
    <row r="290" spans="1:12" ht="15" customHeight="1" x14ac:dyDescent="0.15">
      <c r="A290" s="12">
        <v>287</v>
      </c>
      <c r="B290" s="3" t="s">
        <v>5</v>
      </c>
      <c r="C290" s="3" t="str">
        <f>VLOOKUP(B290,品名!$A$1:$C$151,2,0)</f>
        <v>索尼</v>
      </c>
      <c r="D290" s="3" t="str">
        <f>VLOOKUP(B290,品名!$A$1:$C$151,3,0)</f>
        <v>SONY KDL 55英寸高清3D液晶电视</v>
      </c>
      <c r="E290" s="3" t="str">
        <f>VLOOKUP(LEFT(B290,2),Sheet2!$A$1:$B$8,2,0)</f>
        <v>电视</v>
      </c>
      <c r="F290" s="4">
        <v>42895</v>
      </c>
      <c r="G290" s="3" t="s">
        <v>160</v>
      </c>
      <c r="H290" s="3" t="s">
        <v>170</v>
      </c>
      <c r="I290" s="5">
        <v>25</v>
      </c>
      <c r="J290" s="13">
        <f>VLOOKUP(B290,[1]单价!$A$1:$B$152,2,0)</f>
        <v>5499</v>
      </c>
      <c r="K290" s="13">
        <f t="shared" si="4"/>
        <v>137475</v>
      </c>
      <c r="L290" s="13">
        <f>VLOOKUP(B290,[1]进价!$A$1:$B$151,2,0)*表1[[#This Row],[销量]]</f>
        <v>112729.5</v>
      </c>
    </row>
    <row r="291" spans="1:12" ht="15" customHeight="1" x14ac:dyDescent="0.15">
      <c r="A291" s="12">
        <v>288</v>
      </c>
      <c r="B291" s="3" t="s">
        <v>13</v>
      </c>
      <c r="C291" s="3" t="str">
        <f>VLOOKUP(B291,品名!$A$1:$C$151,2,0)</f>
        <v>LG</v>
      </c>
      <c r="D291" s="3" t="str">
        <f>VLOOKUP(B291,品名!$A$1:$C$151,3,0)</f>
        <v>42LS3100-CE 全高清LED液晶电视</v>
      </c>
      <c r="E291" s="3" t="str">
        <f>VLOOKUP(LEFT(B291,2),Sheet2!$A$1:$B$8,2,0)</f>
        <v>电视</v>
      </c>
      <c r="F291" s="4">
        <v>42902</v>
      </c>
      <c r="G291" s="3" t="s">
        <v>160</v>
      </c>
      <c r="H291" s="3" t="s">
        <v>170</v>
      </c>
      <c r="I291" s="5">
        <v>49</v>
      </c>
      <c r="J291" s="13">
        <f>VLOOKUP(B291,[1]单价!$A$1:$B$152,2,0)</f>
        <v>3049</v>
      </c>
      <c r="K291" s="13">
        <f t="shared" si="4"/>
        <v>149401</v>
      </c>
      <c r="L291" s="13">
        <f>VLOOKUP(B291,[1]进价!$A$1:$B$151,2,0)*表1[[#This Row],[销量]]</f>
        <v>121014.81</v>
      </c>
    </row>
    <row r="292" spans="1:12" ht="15" customHeight="1" x14ac:dyDescent="0.15">
      <c r="A292" s="12">
        <v>289</v>
      </c>
      <c r="B292" s="3" t="s">
        <v>21</v>
      </c>
      <c r="C292" s="3" t="str">
        <f>VLOOKUP(B292,品名!$A$1:$C$151,2,0)</f>
        <v>康佳</v>
      </c>
      <c r="D292" s="3" t="str">
        <f>VLOOKUP(B292,品名!$A$1:$C$151,3,0)</f>
        <v>KONKA LED37F3300E平板电视</v>
      </c>
      <c r="E292" s="3" t="str">
        <f>VLOOKUP(LEFT(B292,2),Sheet2!$A$1:$B$8,2,0)</f>
        <v>电视</v>
      </c>
      <c r="F292" s="4">
        <v>42908</v>
      </c>
      <c r="G292" s="3" t="s">
        <v>160</v>
      </c>
      <c r="H292" s="3" t="s">
        <v>170</v>
      </c>
      <c r="I292" s="5">
        <v>43</v>
      </c>
      <c r="J292" s="13">
        <f>VLOOKUP(B292,[1]单价!$A$1:$B$152,2,0)</f>
        <v>2098</v>
      </c>
      <c r="K292" s="13">
        <f t="shared" si="4"/>
        <v>90214</v>
      </c>
      <c r="L292" s="13">
        <f>VLOOKUP(B292,[1]进价!$A$1:$B$151,2,0)*表1[[#This Row],[销量]]</f>
        <v>76681.899999999994</v>
      </c>
    </row>
    <row r="293" spans="1:12" ht="15" customHeight="1" x14ac:dyDescent="0.15">
      <c r="A293" s="12">
        <v>290</v>
      </c>
      <c r="B293" s="3" t="s">
        <v>29</v>
      </c>
      <c r="C293" s="3" t="str">
        <f>VLOOKUP(B293,品名!$A$1:$C$151,2,0)</f>
        <v>TCL</v>
      </c>
      <c r="D293" s="3" t="str">
        <f>VLOOKUP(B293,品名!$A$1:$C$151,3,0)</f>
        <v>KFRd-35GW/DE22空调</v>
      </c>
      <c r="E293" s="3" t="str">
        <f>VLOOKUP(LEFT(B293,2),Sheet2!$A$1:$B$8,2,0)</f>
        <v>空调</v>
      </c>
      <c r="F293" s="4">
        <v>42914</v>
      </c>
      <c r="G293" s="3" t="s">
        <v>160</v>
      </c>
      <c r="H293" s="3" t="s">
        <v>170</v>
      </c>
      <c r="I293" s="5">
        <v>10</v>
      </c>
      <c r="J293" s="13">
        <f>VLOOKUP(B293,[1]单价!$A$1:$B$152,2,0)</f>
        <v>2179</v>
      </c>
      <c r="K293" s="13">
        <f t="shared" si="4"/>
        <v>21790</v>
      </c>
      <c r="L293" s="13">
        <f>VLOOKUP(B293,[1]进价!$A$1:$B$151,2,0)*表1[[#This Row],[销量]]</f>
        <v>18521.5</v>
      </c>
    </row>
    <row r="294" spans="1:12" ht="15" customHeight="1" x14ac:dyDescent="0.15">
      <c r="A294" s="12">
        <v>291</v>
      </c>
      <c r="B294" s="3" t="s">
        <v>38</v>
      </c>
      <c r="C294" s="3" t="str">
        <f>VLOOKUP(B294,品名!$A$1:$C$151,2,0)</f>
        <v>海信</v>
      </c>
      <c r="D294" s="3" t="str">
        <f>VLOOKUP(B294,品名!$A$1:$C$151,3,0)</f>
        <v>Hisense KFR-35GW/ER01N2空调</v>
      </c>
      <c r="E294" s="3" t="str">
        <f>VLOOKUP(LEFT(B294,2),Sheet2!$A$1:$B$8,2,0)</f>
        <v>空调</v>
      </c>
      <c r="F294" s="4">
        <v>42891</v>
      </c>
      <c r="G294" s="3" t="s">
        <v>160</v>
      </c>
      <c r="H294" s="3" t="s">
        <v>171</v>
      </c>
      <c r="I294" s="5">
        <v>44</v>
      </c>
      <c r="J294" s="13">
        <f>VLOOKUP(B294,[1]单价!$A$1:$B$152,2,0)</f>
        <v>2379</v>
      </c>
      <c r="K294" s="13">
        <f t="shared" si="4"/>
        <v>104676</v>
      </c>
      <c r="L294" s="13">
        <f>VLOOKUP(B294,[1]进价!$A$1:$B$151,2,0)*表1[[#This Row],[销量]]</f>
        <v>88974.6</v>
      </c>
    </row>
    <row r="295" spans="1:12" ht="15" customHeight="1" x14ac:dyDescent="0.15">
      <c r="A295" s="12">
        <v>292</v>
      </c>
      <c r="B295" s="3" t="s">
        <v>48</v>
      </c>
      <c r="C295" s="3" t="str">
        <f>VLOOKUP(B295,品名!$A$1:$C$151,2,0)</f>
        <v>海尔</v>
      </c>
      <c r="D295" s="3" t="str">
        <f>VLOOKUP(B295,品名!$A$1:$C$151,3,0)</f>
        <v>Haier A1 10升天然气热水器</v>
      </c>
      <c r="E295" s="3" t="str">
        <f>VLOOKUP(LEFT(B295,2),Sheet2!$A$1:$B$8,2,0)</f>
        <v>热水器</v>
      </c>
      <c r="F295" s="4">
        <v>42745</v>
      </c>
      <c r="G295" s="3" t="s">
        <v>160</v>
      </c>
      <c r="H295" s="3" t="s">
        <v>170</v>
      </c>
      <c r="I295" s="5">
        <v>22</v>
      </c>
      <c r="J295" s="13">
        <f>VLOOKUP(B295,[1]单价!$A$1:$B$152,2,0)</f>
        <v>1298</v>
      </c>
      <c r="K295" s="13">
        <f t="shared" si="4"/>
        <v>28556</v>
      </c>
      <c r="L295" s="13">
        <f>VLOOKUP(B295,[1]进价!$A$1:$B$151,2,0)*表1[[#This Row],[销量]]</f>
        <v>22844.800000000003</v>
      </c>
    </row>
    <row r="296" spans="1:12" ht="15" customHeight="1" x14ac:dyDescent="0.15">
      <c r="A296" s="12">
        <v>293</v>
      </c>
      <c r="B296" s="3" t="s">
        <v>65</v>
      </c>
      <c r="C296" s="3" t="str">
        <f>VLOOKUP(B296,品名!$A$1:$C$151,2,0)</f>
        <v>海尔</v>
      </c>
      <c r="D296" s="3" t="str">
        <f>VLOOKUP(B296,品名!$A$1:$C$151,3,0)</f>
        <v>Haier BCD-216SCM 冰箱</v>
      </c>
      <c r="E296" s="3" t="str">
        <f>VLOOKUP(LEFT(B296,2),Sheet2!$A$1:$B$8,2,0)</f>
        <v>冰箱</v>
      </c>
      <c r="F296" s="4">
        <v>42748</v>
      </c>
      <c r="G296" s="3" t="s">
        <v>160</v>
      </c>
      <c r="H296" s="3" t="s">
        <v>170</v>
      </c>
      <c r="I296" s="5">
        <v>48</v>
      </c>
      <c r="J296" s="13">
        <f>VLOOKUP(B296,[1]单价!$A$1:$B$152,2,0)</f>
        <v>2399</v>
      </c>
      <c r="K296" s="13">
        <f t="shared" si="4"/>
        <v>115152</v>
      </c>
      <c r="L296" s="13">
        <f>VLOOKUP(B296,[1]进价!$A$1:$B$151,2,0)*表1[[#This Row],[销量]]</f>
        <v>93273.12</v>
      </c>
    </row>
    <row r="297" spans="1:12" ht="15" customHeight="1" x14ac:dyDescent="0.15">
      <c r="A297" s="12">
        <v>294</v>
      </c>
      <c r="B297" s="3" t="s">
        <v>56</v>
      </c>
      <c r="C297" s="3" t="str">
        <f>VLOOKUP(B297,品名!$A$1:$C$151,2,0)</f>
        <v>美的</v>
      </c>
      <c r="D297" s="3" t="str">
        <f>VLOOKUP(B297,品名!$A$1:$C$151,3,0)</f>
        <v>Midea F50-15A1 50升 电热水器</v>
      </c>
      <c r="E297" s="3" t="str">
        <f>VLOOKUP(LEFT(B297,2),Sheet2!$A$1:$B$8,2,0)</f>
        <v>热水器</v>
      </c>
      <c r="F297" s="4">
        <v>42751</v>
      </c>
      <c r="G297" s="3" t="s">
        <v>160</v>
      </c>
      <c r="H297" s="3" t="s">
        <v>170</v>
      </c>
      <c r="I297" s="5">
        <v>46</v>
      </c>
      <c r="J297" s="13">
        <f>VLOOKUP(B297,[1]单价!$A$1:$B$152,2,0)</f>
        <v>769</v>
      </c>
      <c r="K297" s="13">
        <f t="shared" si="4"/>
        <v>35374</v>
      </c>
      <c r="L297" s="13">
        <f>VLOOKUP(B297,[1]进价!$A$1:$B$151,2,0)*表1[[#This Row],[销量]]</f>
        <v>31129.120000000003</v>
      </c>
    </row>
    <row r="298" spans="1:12" ht="15" customHeight="1" x14ac:dyDescent="0.15">
      <c r="A298" s="12">
        <v>295</v>
      </c>
      <c r="B298" s="3" t="s">
        <v>73</v>
      </c>
      <c r="C298" s="3" t="str">
        <f>VLOOKUP(B298,品名!$A$1:$C$151,2,0)</f>
        <v>海尔</v>
      </c>
      <c r="D298" s="3" t="str">
        <f>VLOOKUP(B298,品名!$A$1:$C$151,3,0)</f>
        <v>Haier BCD-568WDPF冰箱</v>
      </c>
      <c r="E298" s="3" t="str">
        <f>VLOOKUP(LEFT(B298,2),Sheet2!$A$1:$B$8,2,0)</f>
        <v>冰箱</v>
      </c>
      <c r="F298" s="4">
        <v>42756</v>
      </c>
      <c r="G298" s="3" t="s">
        <v>160</v>
      </c>
      <c r="H298" s="3" t="s">
        <v>170</v>
      </c>
      <c r="I298" s="5">
        <v>19</v>
      </c>
      <c r="J298" s="13">
        <f>VLOOKUP(B298,[1]单价!$A$1:$B$152,2,0)</f>
        <v>3899</v>
      </c>
      <c r="K298" s="13">
        <f t="shared" si="4"/>
        <v>74081</v>
      </c>
      <c r="L298" s="13">
        <f>VLOOKUP(B298,[1]进价!$A$1:$B$151,2,0)*表1[[#This Row],[销量]]</f>
        <v>63709.659999999996</v>
      </c>
    </row>
    <row r="299" spans="1:12" ht="15" customHeight="1" x14ac:dyDescent="0.15">
      <c r="A299" s="12">
        <v>296</v>
      </c>
      <c r="B299" s="3" t="s">
        <v>87</v>
      </c>
      <c r="C299" s="3" t="str">
        <f>VLOOKUP(B299,品名!$A$1:$C$151,2,0)</f>
        <v>安仕</v>
      </c>
      <c r="D299" s="3" t="str">
        <f>VLOOKUP(B299,品名!$A$1:$C$151,3,0)</f>
        <v>ASG-131S双层干衣机</v>
      </c>
      <c r="E299" s="3" t="str">
        <f>VLOOKUP(LEFT(B299,2),Sheet2!$A$1:$B$8,2,0)</f>
        <v>洗衣机</v>
      </c>
      <c r="F299" s="4">
        <v>42911</v>
      </c>
      <c r="G299" s="3" t="s">
        <v>160</v>
      </c>
      <c r="H299" s="3" t="s">
        <v>171</v>
      </c>
      <c r="I299" s="5">
        <v>44</v>
      </c>
      <c r="J299" s="13">
        <f>VLOOKUP(B299,[1]单价!$A$1:$B$152,2,0)</f>
        <v>198</v>
      </c>
      <c r="K299" s="13">
        <f t="shared" si="4"/>
        <v>8712</v>
      </c>
      <c r="L299" s="13">
        <f>VLOOKUP(B299,[1]进价!$A$1:$B$151,2,0)*表1[[#This Row],[销量]]</f>
        <v>7318.08</v>
      </c>
    </row>
    <row r="300" spans="1:12" ht="15" customHeight="1" x14ac:dyDescent="0.15">
      <c r="A300" s="12">
        <v>297</v>
      </c>
      <c r="B300" s="3" t="s">
        <v>82</v>
      </c>
      <c r="C300" s="3" t="str">
        <f>VLOOKUP(B300,品名!$A$1:$C$151,2,0)</f>
        <v>西门子</v>
      </c>
      <c r="D300" s="3" t="str">
        <f>VLOOKUP(B300,品名!$A$1:$C$151,3,0)</f>
        <v>SIEMENS KK20V40TI冰箱</v>
      </c>
      <c r="E300" s="3" t="str">
        <f>VLOOKUP(LEFT(B300,2),Sheet2!$A$1:$B$8,2,0)</f>
        <v>冰箱</v>
      </c>
      <c r="F300" s="4">
        <v>42763</v>
      </c>
      <c r="G300" s="3" t="s">
        <v>160</v>
      </c>
      <c r="H300" s="3" t="s">
        <v>170</v>
      </c>
      <c r="I300" s="5">
        <v>32</v>
      </c>
      <c r="J300" s="13">
        <f>VLOOKUP(B300,[1]单价!$A$1:$B$152,2,0)</f>
        <v>1999</v>
      </c>
      <c r="K300" s="13">
        <f t="shared" si="4"/>
        <v>63968</v>
      </c>
      <c r="L300" s="13">
        <f>VLOOKUP(B300,[1]进价!$A$1:$B$151,2,0)*表1[[#This Row],[销量]]</f>
        <v>51814.080000000002</v>
      </c>
    </row>
    <row r="301" spans="1:12" ht="15" customHeight="1" x14ac:dyDescent="0.15">
      <c r="A301" s="12">
        <v>298</v>
      </c>
      <c r="B301" s="3" t="s">
        <v>96</v>
      </c>
      <c r="C301" s="3" t="str">
        <f>VLOOKUP(B301,品名!$A$1:$C$151,2,0)</f>
        <v>康佳</v>
      </c>
      <c r="D301" s="3" t="str">
        <f>VLOOKUP(B301,品名!$A$1:$C$151,3,0)</f>
        <v>KONKA XQB50-5001全自动洗衣机</v>
      </c>
      <c r="E301" s="3" t="str">
        <f>VLOOKUP(LEFT(B301,2),Sheet2!$A$1:$B$8,2,0)</f>
        <v>洗衣机</v>
      </c>
      <c r="F301" s="4">
        <v>42766</v>
      </c>
      <c r="G301" s="3" t="s">
        <v>160</v>
      </c>
      <c r="H301" s="3" t="s">
        <v>171</v>
      </c>
      <c r="I301" s="5">
        <v>10</v>
      </c>
      <c r="J301" s="13">
        <f>VLOOKUP(B301,[1]单价!$A$1:$B$152,2,0)</f>
        <v>788</v>
      </c>
      <c r="K301" s="13">
        <f t="shared" si="4"/>
        <v>7880</v>
      </c>
      <c r="L301" s="13">
        <f>VLOOKUP(B301,[1]进价!$A$1:$B$151,2,0)*表1[[#This Row],[销量]]</f>
        <v>6934.4000000000005</v>
      </c>
    </row>
    <row r="302" spans="1:12" ht="15" customHeight="1" x14ac:dyDescent="0.15">
      <c r="A302" s="12">
        <v>299</v>
      </c>
      <c r="B302" s="3" t="s">
        <v>49</v>
      </c>
      <c r="C302" s="3" t="str">
        <f>VLOOKUP(B302,品名!$A$1:$C$151,2,0)</f>
        <v>海尔</v>
      </c>
      <c r="D302" s="3" t="str">
        <f>VLOOKUP(B302,品名!$A$1:$C$151,3,0)</f>
        <v>Haier EC5002-Q6 50升电热水器</v>
      </c>
      <c r="E302" s="3" t="str">
        <f>VLOOKUP(LEFT(B302,2),Sheet2!$A$1:$B$8,2,0)</f>
        <v>热水器</v>
      </c>
      <c r="F302" s="4">
        <v>42770</v>
      </c>
      <c r="G302" s="3" t="s">
        <v>160</v>
      </c>
      <c r="H302" s="3" t="s">
        <v>170</v>
      </c>
      <c r="I302" s="5">
        <v>20</v>
      </c>
      <c r="J302" s="13">
        <f>VLOOKUP(B302,[1]单价!$A$1:$B$152,2,0)</f>
        <v>1098</v>
      </c>
      <c r="K302" s="13">
        <f t="shared" si="4"/>
        <v>21960</v>
      </c>
      <c r="L302" s="13">
        <f>VLOOKUP(B302,[1]进价!$A$1:$B$151,2,0)*表1[[#This Row],[销量]]</f>
        <v>18885.599999999999</v>
      </c>
    </row>
    <row r="303" spans="1:12" ht="15" customHeight="1" x14ac:dyDescent="0.15">
      <c r="A303" s="12">
        <v>300</v>
      </c>
      <c r="B303" s="3" t="s">
        <v>56</v>
      </c>
      <c r="C303" s="3" t="str">
        <f>VLOOKUP(B303,品名!$A$1:$C$151,2,0)</f>
        <v>美的</v>
      </c>
      <c r="D303" s="3" t="str">
        <f>VLOOKUP(B303,品名!$A$1:$C$151,3,0)</f>
        <v>Midea F50-15A1 50升 电热水器</v>
      </c>
      <c r="E303" s="3" t="str">
        <f>VLOOKUP(LEFT(B303,2),Sheet2!$A$1:$B$8,2,0)</f>
        <v>热水器</v>
      </c>
      <c r="F303" s="4">
        <v>42780</v>
      </c>
      <c r="G303" s="3" t="s">
        <v>160</v>
      </c>
      <c r="H303" s="3" t="s">
        <v>170</v>
      </c>
      <c r="I303" s="5">
        <v>40</v>
      </c>
      <c r="J303" s="13">
        <f>VLOOKUP(B303,[1]单价!$A$1:$B$152,2,0)</f>
        <v>769</v>
      </c>
      <c r="K303" s="13">
        <f t="shared" si="4"/>
        <v>30760</v>
      </c>
      <c r="L303" s="13">
        <f>VLOOKUP(B303,[1]进价!$A$1:$B$151,2,0)*表1[[#This Row],[销量]]</f>
        <v>27068.800000000003</v>
      </c>
    </row>
    <row r="304" spans="1:12" ht="15" customHeight="1" x14ac:dyDescent="0.15">
      <c r="A304" s="12">
        <v>301</v>
      </c>
      <c r="B304" s="3" t="s">
        <v>63</v>
      </c>
      <c r="C304" s="3" t="str">
        <f>VLOOKUP(B304,品名!$A$1:$C$151,2,0)</f>
        <v>万家乐</v>
      </c>
      <c r="D304" s="3" t="str">
        <f>VLOOKUP(B304,品名!$A$1:$C$151,3,0)</f>
        <v>JSQ24-12201 12升 燃气热水器</v>
      </c>
      <c r="E304" s="3" t="str">
        <f>VLOOKUP(LEFT(B304,2),Sheet2!$A$1:$B$8,2,0)</f>
        <v>热水器</v>
      </c>
      <c r="F304" s="4">
        <v>42787</v>
      </c>
      <c r="G304" s="3" t="s">
        <v>160</v>
      </c>
      <c r="H304" s="3" t="s">
        <v>171</v>
      </c>
      <c r="I304" s="5">
        <v>28</v>
      </c>
      <c r="J304" s="13">
        <f>VLOOKUP(B304,[1]单价!$A$1:$B$152,2,0)</f>
        <v>1299</v>
      </c>
      <c r="K304" s="13">
        <f t="shared" si="4"/>
        <v>36372</v>
      </c>
      <c r="L304" s="13">
        <f>VLOOKUP(B304,[1]进价!$A$1:$B$151,2,0)*表1[[#This Row],[销量]]</f>
        <v>32734.799999999996</v>
      </c>
    </row>
    <row r="305" spans="1:12" ht="15" customHeight="1" x14ac:dyDescent="0.15">
      <c r="A305" s="12">
        <v>302</v>
      </c>
      <c r="B305" s="3" t="s">
        <v>90</v>
      </c>
      <c r="C305" s="3" t="str">
        <f>VLOOKUP(B305,品名!$A$1:$C$151,2,0)</f>
        <v>格兰仕</v>
      </c>
      <c r="D305" s="3" t="str">
        <f>VLOOKUP(B305,品名!$A$1:$C$151,3,0)</f>
        <v>Galanz XQG60-A708 6公斤云滚筒洗衣机</v>
      </c>
      <c r="E305" s="3" t="str">
        <f>VLOOKUP(LEFT(B305,2),Sheet2!$A$1:$B$8,2,0)</f>
        <v>洗衣机</v>
      </c>
      <c r="F305" s="4">
        <v>42824</v>
      </c>
      <c r="G305" s="3" t="s">
        <v>160</v>
      </c>
      <c r="H305" s="3" t="s">
        <v>171</v>
      </c>
      <c r="I305" s="5">
        <v>27</v>
      </c>
      <c r="J305" s="13">
        <f>VLOOKUP(B305,[1]单价!$A$1:$B$152,2,0)</f>
        <v>999</v>
      </c>
      <c r="K305" s="13">
        <f t="shared" si="4"/>
        <v>26973</v>
      </c>
      <c r="L305" s="13">
        <f>VLOOKUP(B305,[1]进价!$A$1:$B$151,2,0)*表1[[#This Row],[销量]]</f>
        <v>22117.859999999997</v>
      </c>
    </row>
    <row r="306" spans="1:12" ht="15" customHeight="1" x14ac:dyDescent="0.15">
      <c r="A306" s="12">
        <v>303</v>
      </c>
      <c r="B306" s="3" t="s">
        <v>97</v>
      </c>
      <c r="C306" s="3" t="str">
        <f>VLOOKUP(B306,品名!$A$1:$C$151,2,0)</f>
        <v>三洋</v>
      </c>
      <c r="D306" s="3" t="str">
        <f>VLOOKUP(B306,品名!$A$1:$C$151,3,0)</f>
        <v>XQG60-F1029 6公斤 滚筒全自动洗衣机</v>
      </c>
      <c r="E306" s="3" t="str">
        <f>VLOOKUP(LEFT(B306,2),Sheet2!$A$1:$B$8,2,0)</f>
        <v>洗衣机</v>
      </c>
      <c r="F306" s="4">
        <v>42800</v>
      </c>
      <c r="G306" s="3" t="s">
        <v>160</v>
      </c>
      <c r="H306" s="3" t="s">
        <v>171</v>
      </c>
      <c r="I306" s="5">
        <v>11</v>
      </c>
      <c r="J306" s="13">
        <f>VLOOKUP(B306,[1]单价!$A$1:$B$152,2,0)</f>
        <v>1718</v>
      </c>
      <c r="K306" s="13">
        <f t="shared" si="4"/>
        <v>18898</v>
      </c>
      <c r="L306" s="13">
        <f>VLOOKUP(B306,[1]进价!$A$1:$B$151,2,0)*表1[[#This Row],[销量]]</f>
        <v>16819.22</v>
      </c>
    </row>
    <row r="307" spans="1:12" ht="15" customHeight="1" x14ac:dyDescent="0.15">
      <c r="A307" s="12">
        <v>304</v>
      </c>
      <c r="B307" s="3" t="s">
        <v>104</v>
      </c>
      <c r="C307" s="3" t="str">
        <f>VLOOKUP(B307,品名!$A$1:$C$151,2,0)</f>
        <v>Apple</v>
      </c>
      <c r="D307" s="3" t="str">
        <f>VLOOKUP(B307,品名!$A$1:$C$151,3,0)</f>
        <v>MacBook Air MJVE2CH/A 13.3英寸笔记本电脑</v>
      </c>
      <c r="E307" s="3" t="str">
        <f>VLOOKUP(LEFT(B307,2),Sheet2!$A$1:$B$8,2,0)</f>
        <v>计算机</v>
      </c>
      <c r="F307" s="4">
        <v>42807</v>
      </c>
      <c r="G307" s="3" t="s">
        <v>160</v>
      </c>
      <c r="H307" s="3" t="s">
        <v>170</v>
      </c>
      <c r="I307" s="5">
        <v>41</v>
      </c>
      <c r="J307" s="13">
        <f>VLOOKUP(B307,[1]单价!$A$1:$B$152,2,0)</f>
        <v>6462.8</v>
      </c>
      <c r="K307" s="13">
        <f t="shared" si="4"/>
        <v>264974.8</v>
      </c>
      <c r="L307" s="13">
        <f>VLOOKUP(B307,[1]进价!$A$1:$B$151,2,0)*表1[[#This Row],[销量]]</f>
        <v>211979.84</v>
      </c>
    </row>
    <row r="308" spans="1:12" ht="15" customHeight="1" x14ac:dyDescent="0.15">
      <c r="A308" s="12">
        <v>305</v>
      </c>
      <c r="B308" s="3" t="s">
        <v>111</v>
      </c>
      <c r="C308" s="3" t="str">
        <f>VLOOKUP(B308,品名!$A$1:$C$151,2,0)</f>
        <v>Apple</v>
      </c>
      <c r="D308" s="3" t="str">
        <f>VLOOKUP(B308,品名!$A$1:$C$151,3,0)</f>
        <v>MacBookMK4M2CH/A 12英寸笔记本电脑</v>
      </c>
      <c r="E308" s="3" t="str">
        <f>VLOOKUP(LEFT(B308,2),Sheet2!$A$1:$B$8,2,0)</f>
        <v>计算机</v>
      </c>
      <c r="F308" s="4">
        <v>42813</v>
      </c>
      <c r="G308" s="3" t="s">
        <v>160</v>
      </c>
      <c r="H308" s="3" t="s">
        <v>171</v>
      </c>
      <c r="I308" s="5">
        <v>40</v>
      </c>
      <c r="J308" s="13">
        <f>VLOOKUP(B308,[1]单价!$A$1:$B$152,2,0)</f>
        <v>8888</v>
      </c>
      <c r="K308" s="13">
        <f t="shared" si="4"/>
        <v>355520</v>
      </c>
      <c r="L308" s="13">
        <f>VLOOKUP(B308,[1]进价!$A$1:$B$151,2,0)*表1[[#This Row],[销量]]</f>
        <v>319968</v>
      </c>
    </row>
    <row r="309" spans="1:12" ht="15" customHeight="1" x14ac:dyDescent="0.15">
      <c r="A309" s="12">
        <v>306</v>
      </c>
      <c r="B309" s="3" t="s">
        <v>118</v>
      </c>
      <c r="C309" s="3" t="str">
        <f>VLOOKUP(B309,品名!$A$1:$C$151,2,0)</f>
        <v>戴尔</v>
      </c>
      <c r="D309" s="3" t="str">
        <f>VLOOKUP(B309,品名!$A$1:$C$151,3,0)</f>
        <v>Dell XPS13R-9343-2508S 13.3英寸超极本</v>
      </c>
      <c r="E309" s="3" t="str">
        <f>VLOOKUP(LEFT(B309,2),Sheet2!$A$1:$B$8,2,0)</f>
        <v>计算机</v>
      </c>
      <c r="F309" s="4">
        <v>42821</v>
      </c>
      <c r="G309" s="3" t="s">
        <v>160</v>
      </c>
      <c r="H309" s="3" t="s">
        <v>171</v>
      </c>
      <c r="I309" s="5">
        <v>50</v>
      </c>
      <c r="J309" s="13">
        <f>VLOOKUP(B309,[1]单价!$A$1:$B$152,2,0)</f>
        <v>7799</v>
      </c>
      <c r="K309" s="13">
        <f t="shared" si="4"/>
        <v>389950</v>
      </c>
      <c r="L309" s="13">
        <f>VLOOKUP(B309,[1]进价!$A$1:$B$151,2,0)*表1[[#This Row],[销量]]</f>
        <v>331457.5</v>
      </c>
    </row>
    <row r="310" spans="1:12" ht="15" customHeight="1" x14ac:dyDescent="0.15">
      <c r="A310" s="12">
        <v>307</v>
      </c>
      <c r="B310" s="3" t="s">
        <v>125</v>
      </c>
      <c r="C310" s="3" t="str">
        <f>VLOOKUP(B310,品名!$A$1:$C$151,2,0)</f>
        <v>Apple</v>
      </c>
      <c r="D310" s="3" t="str">
        <f>VLOOKUP(B310,品名!$A$1:$C$151,3,0)</f>
        <v xml:space="preserve">ME086CH/A iMac 21.5英寸一体机 银色 </v>
      </c>
      <c r="E310" s="3" t="str">
        <f>VLOOKUP(LEFT(B310,2),Sheet2!$A$1:$B$8,2,0)</f>
        <v>计算机</v>
      </c>
      <c r="F310" s="4">
        <v>42831</v>
      </c>
      <c r="G310" s="3" t="s">
        <v>160</v>
      </c>
      <c r="H310" s="3" t="s">
        <v>170</v>
      </c>
      <c r="I310" s="5">
        <v>35</v>
      </c>
      <c r="J310" s="13">
        <f>VLOOKUP(B310,[1]单价!$A$1:$B$152,2,0)</f>
        <v>9188</v>
      </c>
      <c r="K310" s="13">
        <f t="shared" si="4"/>
        <v>321580</v>
      </c>
      <c r="L310" s="13">
        <f>VLOOKUP(B310,[1]进价!$A$1:$B$151,2,0)*表1[[#This Row],[销量]]</f>
        <v>270127.2</v>
      </c>
    </row>
    <row r="311" spans="1:12" ht="15" customHeight="1" x14ac:dyDescent="0.15">
      <c r="A311" s="12">
        <v>308</v>
      </c>
      <c r="B311" s="3" t="s">
        <v>132</v>
      </c>
      <c r="C311" s="3" t="str">
        <f>VLOOKUP(B311,品名!$A$1:$C$151,2,0)</f>
        <v>联想</v>
      </c>
      <c r="D311" s="3" t="str">
        <f>VLOOKUP(B311,品名!$A$1:$C$151,3,0)</f>
        <v>Lenovo IdeaCentre C560 一体机</v>
      </c>
      <c r="E311" s="3" t="str">
        <f>VLOOKUP(LEFT(B311,2),Sheet2!$A$1:$B$8,2,0)</f>
        <v>计算机</v>
      </c>
      <c r="F311" s="4">
        <v>42838</v>
      </c>
      <c r="G311" s="3" t="s">
        <v>160</v>
      </c>
      <c r="H311" s="3" t="s">
        <v>171</v>
      </c>
      <c r="I311" s="5">
        <v>26</v>
      </c>
      <c r="J311" s="13">
        <f>VLOOKUP(B311,[1]单价!$A$1:$B$152,2,0)</f>
        <v>3750</v>
      </c>
      <c r="K311" s="13">
        <f t="shared" si="4"/>
        <v>97500</v>
      </c>
      <c r="L311" s="13">
        <f>VLOOKUP(B311,[1]进价!$A$1:$B$151,2,0)*表1[[#This Row],[销量]]</f>
        <v>78975</v>
      </c>
    </row>
    <row r="312" spans="1:12" ht="15" customHeight="1" x14ac:dyDescent="0.15">
      <c r="A312" s="12">
        <v>309</v>
      </c>
      <c r="B312" s="3" t="s">
        <v>139</v>
      </c>
      <c r="C312" s="3" t="str">
        <f>VLOOKUP(B312,品名!$A$1:$C$151,2,0)</f>
        <v>Apple</v>
      </c>
      <c r="D312" s="3" t="str">
        <f>VLOOKUP(B312,品名!$A$1:$C$151,3,0)</f>
        <v>iPad Air 2 MH182CH/A 9.7英寸平板电脑</v>
      </c>
      <c r="E312" s="3" t="str">
        <f>VLOOKUP(LEFT(B312,2),Sheet2!$A$1:$B$8,2,0)</f>
        <v>计算机</v>
      </c>
      <c r="F312" s="4">
        <v>42845</v>
      </c>
      <c r="G312" s="3" t="s">
        <v>160</v>
      </c>
      <c r="H312" s="3" t="s">
        <v>171</v>
      </c>
      <c r="I312" s="5">
        <v>23</v>
      </c>
      <c r="J312" s="13">
        <f>VLOOKUP(B312,[1]单价!$A$1:$B$152,2,0)</f>
        <v>4038</v>
      </c>
      <c r="K312" s="13">
        <f t="shared" si="4"/>
        <v>92874</v>
      </c>
      <c r="L312" s="13">
        <f>VLOOKUP(B312,[1]进价!$A$1:$B$151,2,0)*表1[[#This Row],[销量]]</f>
        <v>79871.64</v>
      </c>
    </row>
    <row r="313" spans="1:12" ht="15" customHeight="1" x14ac:dyDescent="0.15">
      <c r="A313" s="12">
        <v>310</v>
      </c>
      <c r="B313" s="3" t="s">
        <v>146</v>
      </c>
      <c r="C313" s="3" t="str">
        <f>VLOOKUP(B313,品名!$A$1:$C$151,2,0)</f>
        <v>宏通</v>
      </c>
      <c r="D313" s="3" t="str">
        <f>VLOOKUP(B313,品名!$A$1:$C$151,3,0)</f>
        <v>HT HT820 四核7英寸WIFI版平板电脑</v>
      </c>
      <c r="E313" s="3" t="str">
        <f>VLOOKUP(LEFT(B313,2),Sheet2!$A$1:$B$8,2,0)</f>
        <v>计算机</v>
      </c>
      <c r="F313" s="4">
        <v>42852</v>
      </c>
      <c r="G313" s="3" t="s">
        <v>160</v>
      </c>
      <c r="H313" s="3" t="s">
        <v>171</v>
      </c>
      <c r="I313" s="5">
        <v>35</v>
      </c>
      <c r="J313" s="13">
        <f>VLOOKUP(B313,[1]单价!$A$1:$B$152,2,0)</f>
        <v>289</v>
      </c>
      <c r="K313" s="13">
        <f t="shared" si="4"/>
        <v>10115</v>
      </c>
      <c r="L313" s="13">
        <f>VLOOKUP(B313,[1]进价!$A$1:$B$151,2,0)*表1[[#This Row],[销量]]</f>
        <v>8597.75</v>
      </c>
    </row>
    <row r="314" spans="1:12" ht="15" customHeight="1" x14ac:dyDescent="0.15">
      <c r="A314" s="12">
        <v>311</v>
      </c>
      <c r="B314" s="3" t="s">
        <v>152</v>
      </c>
      <c r="C314" s="3" t="str">
        <f>VLOOKUP(B314,品名!$A$1:$C$151,2,0)</f>
        <v>华硕</v>
      </c>
      <c r="D314" s="3" t="str">
        <f>VLOOKUP(B314,品名!$A$1:$C$151,3,0)</f>
        <v>ASUS ZenPad8 Z380KL 8英寸平板电脑 金色</v>
      </c>
      <c r="E314" s="3" t="str">
        <f>VLOOKUP(LEFT(B314,2),Sheet2!$A$1:$B$8,2,0)</f>
        <v>计算机</v>
      </c>
      <c r="F314" s="4">
        <v>42862</v>
      </c>
      <c r="G314" s="3" t="s">
        <v>160</v>
      </c>
      <c r="H314" s="3" t="s">
        <v>170</v>
      </c>
      <c r="I314" s="5">
        <v>15</v>
      </c>
      <c r="J314" s="13">
        <f>VLOOKUP(B314,[1]单价!$A$1:$B$152,2,0)</f>
        <v>1499</v>
      </c>
      <c r="K314" s="13">
        <f t="shared" si="4"/>
        <v>22485</v>
      </c>
      <c r="L314" s="13">
        <f>VLOOKUP(B314,[1]进价!$A$1:$B$151,2,0)*表1[[#This Row],[销量]]</f>
        <v>18662.550000000003</v>
      </c>
    </row>
    <row r="315" spans="1:12" ht="15" customHeight="1" x14ac:dyDescent="0.15">
      <c r="A315" s="12">
        <v>312</v>
      </c>
      <c r="B315" s="3" t="s">
        <v>9</v>
      </c>
      <c r="C315" s="3" t="str">
        <f>VLOOKUP(B315,品名!$A$1:$C$151,2,0)</f>
        <v>海信</v>
      </c>
      <c r="D315" s="3" t="str">
        <f>VLOOKUP(B315,品名!$A$1:$C$151,3,0)</f>
        <v>Hisense LED42K326X3D 42英寸智能网络3D电视</v>
      </c>
      <c r="E315" s="3" t="str">
        <f>VLOOKUP(LEFT(B315,2),Sheet2!$A$1:$B$8,2,0)</f>
        <v>电视</v>
      </c>
      <c r="F315" s="4">
        <v>42867</v>
      </c>
      <c r="G315" s="3" t="s">
        <v>160</v>
      </c>
      <c r="H315" s="3" t="s">
        <v>170</v>
      </c>
      <c r="I315" s="5">
        <v>36</v>
      </c>
      <c r="J315" s="13">
        <f>VLOOKUP(B315,[1]单价!$A$1:$B$152,2,0)</f>
        <v>3599</v>
      </c>
      <c r="K315" s="13">
        <f t="shared" si="4"/>
        <v>129564</v>
      </c>
      <c r="L315" s="13">
        <f>VLOOKUP(B315,[1]进价!$A$1:$B$151,2,0)*表1[[#This Row],[销量]]</f>
        <v>116607.59999999999</v>
      </c>
    </row>
    <row r="316" spans="1:12" ht="15" customHeight="1" x14ac:dyDescent="0.15">
      <c r="A316" s="12">
        <v>313</v>
      </c>
      <c r="B316" s="3" t="s">
        <v>16</v>
      </c>
      <c r="C316" s="3" t="str">
        <f>VLOOKUP(B316,品名!$A$1:$C$151,2,0)</f>
        <v>康佳</v>
      </c>
      <c r="D316" s="3" t="str">
        <f>VLOOKUP(B316,品名!$A$1:$C$151,3,0)</f>
        <v>KONKA LED42E330CE 高清节能LED液晶电视</v>
      </c>
      <c r="E316" s="3" t="str">
        <f>VLOOKUP(LEFT(B316,2),Sheet2!$A$1:$B$8,2,0)</f>
        <v>电视</v>
      </c>
      <c r="F316" s="4">
        <v>42875</v>
      </c>
      <c r="G316" s="3" t="s">
        <v>160</v>
      </c>
      <c r="H316" s="3" t="s">
        <v>170</v>
      </c>
      <c r="I316" s="5">
        <v>7</v>
      </c>
      <c r="J316" s="13">
        <f>VLOOKUP(B316,[1]单价!$A$1:$B$152,2,0)</f>
        <v>3999</v>
      </c>
      <c r="K316" s="13">
        <f t="shared" si="4"/>
        <v>27993</v>
      </c>
      <c r="L316" s="13">
        <f>VLOOKUP(B316,[1]进价!$A$1:$B$151,2,0)*表1[[#This Row],[销量]]</f>
        <v>23794.05</v>
      </c>
    </row>
    <row r="317" spans="1:12" ht="15" customHeight="1" x14ac:dyDescent="0.15">
      <c r="A317" s="12">
        <v>314</v>
      </c>
      <c r="B317" s="3" t="s">
        <v>23</v>
      </c>
      <c r="C317" s="3" t="str">
        <f>VLOOKUP(B317,品名!$A$1:$C$151,2,0)</f>
        <v>长虹</v>
      </c>
      <c r="D317" s="3" t="str">
        <f>VLOOKUP(B317,品名!$A$1:$C$151,3,0)</f>
        <v>ChangHong LED32B1300平板电视</v>
      </c>
      <c r="E317" s="3" t="str">
        <f>VLOOKUP(LEFT(B317,2),Sheet2!$A$1:$B$8,2,0)</f>
        <v>电视</v>
      </c>
      <c r="F317" s="4">
        <v>42883</v>
      </c>
      <c r="G317" s="3" t="s">
        <v>160</v>
      </c>
      <c r="H317" s="3" t="s">
        <v>170</v>
      </c>
      <c r="I317" s="5">
        <v>7</v>
      </c>
      <c r="J317" s="13">
        <f>VLOOKUP(B317,[1]单价!$A$1:$B$152,2,0)</f>
        <v>1649</v>
      </c>
      <c r="K317" s="13">
        <f t="shared" si="4"/>
        <v>11543</v>
      </c>
      <c r="L317" s="13">
        <f>VLOOKUP(B317,[1]进价!$A$1:$B$151,2,0)*表1[[#This Row],[销量]]</f>
        <v>10042.41</v>
      </c>
    </row>
    <row r="318" spans="1:12" ht="15" customHeight="1" x14ac:dyDescent="0.15">
      <c r="A318" s="12">
        <v>315</v>
      </c>
      <c r="B318" s="3" t="s">
        <v>31</v>
      </c>
      <c r="C318" s="3" t="str">
        <f>VLOOKUP(B318,品名!$A$1:$C$151,2,0)</f>
        <v>奥克斯</v>
      </c>
      <c r="D318" s="3" t="str">
        <f>VLOOKUP(B318,品名!$A$1:$C$151,3,0)</f>
        <v>KFR-32GW/SQB+2空调</v>
      </c>
      <c r="E318" s="3" t="str">
        <f>VLOOKUP(LEFT(B318,2),Sheet2!$A$1:$B$8,2,0)</f>
        <v>空调</v>
      </c>
      <c r="F318" s="4">
        <v>42891</v>
      </c>
      <c r="G318" s="3" t="s">
        <v>160</v>
      </c>
      <c r="H318" s="3" t="s">
        <v>170</v>
      </c>
      <c r="I318" s="5">
        <v>6</v>
      </c>
      <c r="J318" s="13">
        <f>VLOOKUP(B318,[1]单价!$A$1:$B$152,2,0)</f>
        <v>2279</v>
      </c>
      <c r="K318" s="13">
        <f t="shared" si="4"/>
        <v>13674</v>
      </c>
      <c r="L318" s="13">
        <f>VLOOKUP(B318,[1]进价!$A$1:$B$151,2,0)*表1[[#This Row],[销量]]</f>
        <v>12033.119999999999</v>
      </c>
    </row>
    <row r="319" spans="1:12" ht="15" customHeight="1" x14ac:dyDescent="0.15">
      <c r="A319" s="12">
        <v>316</v>
      </c>
      <c r="B319" s="3" t="s">
        <v>38</v>
      </c>
      <c r="C319" s="3" t="str">
        <f>VLOOKUP(B319,品名!$A$1:$C$151,2,0)</f>
        <v>海信</v>
      </c>
      <c r="D319" s="3" t="str">
        <f>VLOOKUP(B319,品名!$A$1:$C$151,3,0)</f>
        <v>Hisense KFR-35GW/ER01N2空调</v>
      </c>
      <c r="E319" s="3" t="str">
        <f>VLOOKUP(LEFT(B319,2),Sheet2!$A$1:$B$8,2,0)</f>
        <v>空调</v>
      </c>
      <c r="F319" s="4">
        <v>42897</v>
      </c>
      <c r="G319" s="3" t="s">
        <v>160</v>
      </c>
      <c r="H319" s="3" t="s">
        <v>171</v>
      </c>
      <c r="I319" s="5">
        <v>44</v>
      </c>
      <c r="J319" s="13">
        <f>VLOOKUP(B319,[1]单价!$A$1:$B$152,2,0)</f>
        <v>2379</v>
      </c>
      <c r="K319" s="13">
        <f t="shared" si="4"/>
        <v>104676</v>
      </c>
      <c r="L319" s="13">
        <f>VLOOKUP(B319,[1]进价!$A$1:$B$151,2,0)*表1[[#This Row],[销量]]</f>
        <v>88974.6</v>
      </c>
    </row>
    <row r="320" spans="1:12" ht="15" customHeight="1" x14ac:dyDescent="0.15">
      <c r="A320" s="12">
        <v>317</v>
      </c>
      <c r="B320" s="3" t="s">
        <v>69</v>
      </c>
      <c r="C320" s="3" t="str">
        <f>VLOOKUP(B320,品名!$A$1:$C$151,2,0)</f>
        <v>奥马</v>
      </c>
      <c r="D320" s="3" t="str">
        <f>VLOOKUP(B320,品名!$A$1:$C$151,3,0)</f>
        <v>BCD-176A7冰箱</v>
      </c>
      <c r="E320" s="3" t="str">
        <f>VLOOKUP(LEFT(B320,2),Sheet2!$A$1:$B$8,2,0)</f>
        <v>冰箱</v>
      </c>
      <c r="F320" s="4">
        <v>42904</v>
      </c>
      <c r="G320" s="3" t="s">
        <v>160</v>
      </c>
      <c r="H320" s="3" t="s">
        <v>170</v>
      </c>
      <c r="I320" s="5">
        <v>48</v>
      </c>
      <c r="J320" s="13">
        <f>VLOOKUP(B320,[1]单价!$A$1:$B$152,2,0)</f>
        <v>1098</v>
      </c>
      <c r="K320" s="13">
        <f t="shared" si="4"/>
        <v>52704</v>
      </c>
      <c r="L320" s="13">
        <f>VLOOKUP(B320,[1]进价!$A$1:$B$151,2,0)*表1[[#This Row],[销量]]</f>
        <v>47433.600000000006</v>
      </c>
    </row>
    <row r="321" spans="1:12" ht="15" customHeight="1" x14ac:dyDescent="0.15">
      <c r="A321" s="12">
        <v>318</v>
      </c>
      <c r="B321" s="3" t="s">
        <v>78</v>
      </c>
      <c r="C321" s="3" t="str">
        <f>VLOOKUP(B321,品名!$A$1:$C$151,2,0)</f>
        <v>美菱</v>
      </c>
      <c r="D321" s="3" t="str">
        <f>VLOOKUP(B321,品名!$A$1:$C$151,3,0)</f>
        <v>MeLing BCD-181MLC双门冰箱</v>
      </c>
      <c r="E321" s="3" t="str">
        <f>VLOOKUP(LEFT(B321,2),Sheet2!$A$1:$B$8,2,0)</f>
        <v>冰箱</v>
      </c>
      <c r="F321" s="4">
        <v>42912</v>
      </c>
      <c r="G321" s="3" t="s">
        <v>160</v>
      </c>
      <c r="H321" s="3" t="s">
        <v>170</v>
      </c>
      <c r="I321" s="5">
        <v>23</v>
      </c>
      <c r="J321" s="13">
        <f>VLOOKUP(B321,[1]单价!$A$1:$B$152,2,0)</f>
        <v>1299</v>
      </c>
      <c r="K321" s="13">
        <f t="shared" si="4"/>
        <v>29877</v>
      </c>
      <c r="L321" s="13">
        <f>VLOOKUP(B321,[1]进价!$A$1:$B$151,2,0)*表1[[#This Row],[销量]]</f>
        <v>24200.370000000003</v>
      </c>
    </row>
    <row r="322" spans="1:12" ht="15" customHeight="1" x14ac:dyDescent="0.15">
      <c r="A322" s="12">
        <v>319</v>
      </c>
      <c r="B322" s="3" t="s">
        <v>110</v>
      </c>
      <c r="C322" s="3" t="str">
        <f>VLOOKUP(B322,品名!$A$1:$C$151,2,0)</f>
        <v>Apple</v>
      </c>
      <c r="D322" s="3" t="str">
        <f>VLOOKUP(B322,品名!$A$1:$C$151,3,0)</f>
        <v>MacBook MJY32CH/A 12英寸笔记本电脑</v>
      </c>
      <c r="E322" s="3" t="str">
        <f>VLOOKUP(LEFT(B322,2),Sheet2!$A$1:$B$8,2,0)</f>
        <v>计算机</v>
      </c>
      <c r="F322" s="4">
        <v>42740</v>
      </c>
      <c r="G322" s="3" t="s">
        <v>159</v>
      </c>
      <c r="H322" s="3" t="s">
        <v>170</v>
      </c>
      <c r="I322" s="5">
        <v>21</v>
      </c>
      <c r="J322" s="13">
        <f>VLOOKUP(B322,[1]单价!$A$1:$B$152,2,0)</f>
        <v>8888</v>
      </c>
      <c r="K322" s="13">
        <f t="shared" si="4"/>
        <v>186648</v>
      </c>
      <c r="L322" s="13">
        <f>VLOOKUP(B322,[1]进价!$A$1:$B$151,2,0)*表1[[#This Row],[销量]]</f>
        <v>160517.28</v>
      </c>
    </row>
    <row r="323" spans="1:12" ht="15" customHeight="1" x14ac:dyDescent="0.15">
      <c r="A323" s="12">
        <v>320</v>
      </c>
      <c r="B323" s="3" t="s">
        <v>120</v>
      </c>
      <c r="C323" s="3" t="str">
        <f>VLOOKUP(B323,品名!$A$1:$C$151,2,0)</f>
        <v>联想</v>
      </c>
      <c r="D323" s="3" t="str">
        <f>VLOOKUP(B323,品名!$A$1:$C$151,3,0)</f>
        <v>ThinkPad E450C 20EH-A009CD 14英寸笔记本电脑</v>
      </c>
      <c r="E323" s="3" t="str">
        <f>VLOOKUP(LEFT(B323,2),Sheet2!$A$1:$B$8,2,0)</f>
        <v>计算机</v>
      </c>
      <c r="F323" s="4">
        <v>42897</v>
      </c>
      <c r="G323" s="3" t="s">
        <v>159</v>
      </c>
      <c r="H323" s="3" t="s">
        <v>171</v>
      </c>
      <c r="I323" s="5">
        <v>43</v>
      </c>
      <c r="J323" s="13">
        <f>VLOOKUP(B323,[1]单价!$A$1:$B$152,2,0)</f>
        <v>3198</v>
      </c>
      <c r="K323" s="13">
        <f t="shared" si="4"/>
        <v>137514</v>
      </c>
      <c r="L323" s="13">
        <f>VLOOKUP(B323,[1]进价!$A$1:$B$151,2,0)*表1[[#This Row],[销量]]</f>
        <v>119637.18000000001</v>
      </c>
    </row>
    <row r="324" spans="1:12" ht="15" customHeight="1" x14ac:dyDescent="0.15">
      <c r="A324" s="12">
        <v>321</v>
      </c>
      <c r="B324" s="3" t="s">
        <v>131</v>
      </c>
      <c r="C324" s="3" t="str">
        <f>VLOOKUP(B324,品名!$A$1:$C$151,2,0)</f>
        <v>戴尔</v>
      </c>
      <c r="D324" s="3" t="str">
        <f>VLOOKUP(B324,品名!$A$1:$C$151,3,0)</f>
        <v>Dell XPS 8900-R19N8 台式主机</v>
      </c>
      <c r="E324" s="3" t="str">
        <f>VLOOKUP(LEFT(B324,2),Sheet2!$A$1:$B$8,2,0)</f>
        <v>计算机</v>
      </c>
      <c r="F324" s="4">
        <v>42752</v>
      </c>
      <c r="G324" s="3" t="s">
        <v>159</v>
      </c>
      <c r="H324" s="3" t="s">
        <v>170</v>
      </c>
      <c r="I324" s="5">
        <v>43</v>
      </c>
      <c r="J324" s="13">
        <f>VLOOKUP(B324,[1]单价!$A$1:$B$152,2,0)</f>
        <v>8699</v>
      </c>
      <c r="K324" s="13">
        <f t="shared" si="4"/>
        <v>374057</v>
      </c>
      <c r="L324" s="13">
        <f>VLOOKUP(B324,[1]进价!$A$1:$B$151,2,0)*表1[[#This Row],[销量]]</f>
        <v>325429.59000000003</v>
      </c>
    </row>
    <row r="325" spans="1:12" ht="15" customHeight="1" x14ac:dyDescent="0.15">
      <c r="A325" s="12">
        <v>322</v>
      </c>
      <c r="B325" s="3" t="s">
        <v>144</v>
      </c>
      <c r="C325" s="3" t="str">
        <f>VLOOKUP(B325,品名!$A$1:$C$151,2,0)</f>
        <v>华硕</v>
      </c>
      <c r="D325" s="3" t="str">
        <f>VLOOKUP(B325,品名!$A$1:$C$151,3,0)</f>
        <v>ASUS Nexus 7 from Google Tablet</v>
      </c>
      <c r="E325" s="3" t="str">
        <f>VLOOKUP(LEFT(B325,2),Sheet2!$A$1:$B$8,2,0)</f>
        <v>计算机</v>
      </c>
      <c r="F325" s="4">
        <v>42760</v>
      </c>
      <c r="G325" s="3" t="s">
        <v>159</v>
      </c>
      <c r="H325" s="3" t="s">
        <v>170</v>
      </c>
      <c r="I325" s="5">
        <v>20</v>
      </c>
      <c r="J325" s="13">
        <f>VLOOKUP(B325,[1]单价!$A$1:$B$152,2,0)</f>
        <v>839.71</v>
      </c>
      <c r="K325" s="13">
        <f t="shared" ref="K325:K374" si="5">I325*J325</f>
        <v>16794.2</v>
      </c>
      <c r="L325" s="13">
        <f>VLOOKUP(B325,[1]进价!$A$1:$B$151,2,0)*表1[[#This Row],[销量]]</f>
        <v>13435.4</v>
      </c>
    </row>
    <row r="326" spans="1:12" ht="15" customHeight="1" x14ac:dyDescent="0.15">
      <c r="A326" s="12">
        <v>323</v>
      </c>
      <c r="B326" s="3" t="s">
        <v>154</v>
      </c>
      <c r="C326" s="3" t="str">
        <f>VLOOKUP(B326,品名!$A$1:$C$151,2,0)</f>
        <v>亚马逊</v>
      </c>
      <c r="D326" s="3" t="str">
        <f>VLOOKUP(B326,品名!$A$1:$C$151,3,0)</f>
        <v>Fire HDX 8.9平板电脑</v>
      </c>
      <c r="E326" s="3" t="str">
        <f>VLOOKUP(LEFT(B326,2),Sheet2!$A$1:$B$8,2,0)</f>
        <v>计算机</v>
      </c>
      <c r="F326" s="4">
        <v>42767</v>
      </c>
      <c r="G326" s="3" t="s">
        <v>159</v>
      </c>
      <c r="H326" s="3" t="s">
        <v>170</v>
      </c>
      <c r="I326" s="5">
        <v>27</v>
      </c>
      <c r="J326" s="13">
        <f>VLOOKUP(B326,[1]单价!$A$1:$B$152,2,0)</f>
        <v>3399</v>
      </c>
      <c r="K326" s="13">
        <f t="shared" si="5"/>
        <v>91773</v>
      </c>
      <c r="L326" s="13">
        <f>VLOOKUP(B326,[1]进价!$A$1:$B$151,2,0)*表1[[#This Row],[销量]]</f>
        <v>80760.239999999991</v>
      </c>
    </row>
    <row r="327" spans="1:12" ht="15" customHeight="1" x14ac:dyDescent="0.15">
      <c r="A327" s="12">
        <v>324</v>
      </c>
      <c r="B327" s="3" t="s">
        <v>14</v>
      </c>
      <c r="C327" s="3" t="str">
        <f>VLOOKUP(B327,品名!$A$1:$C$151,2,0)</f>
        <v>海信</v>
      </c>
      <c r="D327" s="3" t="str">
        <f>VLOOKUP(B327,品名!$A$1:$C$151,3,0)</f>
        <v>Hisense LED40K170JD平板电视</v>
      </c>
      <c r="E327" s="3" t="str">
        <f>VLOOKUP(LEFT(B327,2),Sheet2!$A$1:$B$8,2,0)</f>
        <v>电视</v>
      </c>
      <c r="F327" s="4">
        <v>42775</v>
      </c>
      <c r="G327" s="3" t="s">
        <v>159</v>
      </c>
      <c r="H327" s="3" t="s">
        <v>170</v>
      </c>
      <c r="I327" s="5">
        <v>3</v>
      </c>
      <c r="J327" s="13">
        <f>VLOOKUP(B327,[1]单价!$A$1:$B$152,2,0)</f>
        <v>2569</v>
      </c>
      <c r="K327" s="13">
        <f t="shared" si="5"/>
        <v>7707</v>
      </c>
      <c r="L327" s="13">
        <f>VLOOKUP(B327,[1]进价!$A$1:$B$151,2,0)*表1[[#This Row],[销量]]</f>
        <v>6319.74</v>
      </c>
    </row>
    <row r="328" spans="1:12" ht="15" customHeight="1" x14ac:dyDescent="0.15">
      <c r="A328" s="12">
        <v>325</v>
      </c>
      <c r="B328" s="3" t="s">
        <v>23</v>
      </c>
      <c r="C328" s="3" t="str">
        <f>VLOOKUP(B328,品名!$A$1:$C$151,2,0)</f>
        <v>长虹</v>
      </c>
      <c r="D328" s="3" t="str">
        <f>VLOOKUP(B328,品名!$A$1:$C$151,3,0)</f>
        <v>ChangHong LED32B1300平板电视</v>
      </c>
      <c r="E328" s="3" t="str">
        <f>VLOOKUP(LEFT(B328,2),Sheet2!$A$1:$B$8,2,0)</f>
        <v>电视</v>
      </c>
      <c r="F328" s="4">
        <v>42781</v>
      </c>
      <c r="G328" s="3" t="s">
        <v>159</v>
      </c>
      <c r="H328" s="3" t="s">
        <v>170</v>
      </c>
      <c r="I328" s="5">
        <v>47</v>
      </c>
      <c r="J328" s="13">
        <f>VLOOKUP(B328,[1]单价!$A$1:$B$152,2,0)</f>
        <v>1649</v>
      </c>
      <c r="K328" s="13">
        <f t="shared" si="5"/>
        <v>77503</v>
      </c>
      <c r="L328" s="13">
        <f>VLOOKUP(B328,[1]进价!$A$1:$B$151,2,0)*表1[[#This Row],[销量]]</f>
        <v>67427.61</v>
      </c>
    </row>
    <row r="329" spans="1:12" ht="15" customHeight="1" x14ac:dyDescent="0.15">
      <c r="A329" s="12">
        <v>326</v>
      </c>
      <c r="B329" s="3" t="s">
        <v>35</v>
      </c>
      <c r="C329" s="3" t="str">
        <f>VLOOKUP(B329,品名!$A$1:$C$151,2,0)</f>
        <v>格兰仕</v>
      </c>
      <c r="D329" s="3" t="str">
        <f>VLOOKUP(B329,品名!$A$1:$C$151,3,0)</f>
        <v>Galanz KFR-23GW/dLP45-150(2)空调</v>
      </c>
      <c r="E329" s="3" t="str">
        <f>VLOOKUP(LEFT(B329,2),Sheet2!$A$1:$B$8,2,0)</f>
        <v>空调</v>
      </c>
      <c r="F329" s="4">
        <v>42789</v>
      </c>
      <c r="G329" s="3" t="s">
        <v>159</v>
      </c>
      <c r="H329" s="3" t="s">
        <v>170</v>
      </c>
      <c r="I329" s="5">
        <v>7</v>
      </c>
      <c r="J329" s="13">
        <f>VLOOKUP(B329,[1]单价!$A$1:$B$152,2,0)</f>
        <v>1599</v>
      </c>
      <c r="K329" s="13">
        <f t="shared" si="5"/>
        <v>11193</v>
      </c>
      <c r="L329" s="13">
        <f>VLOOKUP(B329,[1]进价!$A$1:$B$151,2,0)*表1[[#This Row],[销量]]</f>
        <v>9402.1200000000008</v>
      </c>
    </row>
    <row r="330" spans="1:12" ht="15" customHeight="1" x14ac:dyDescent="0.15">
      <c r="A330" s="12">
        <v>327</v>
      </c>
      <c r="B330" s="3" t="s">
        <v>65</v>
      </c>
      <c r="C330" s="3" t="str">
        <f>VLOOKUP(B330,品名!$A$1:$C$151,2,0)</f>
        <v>海尔</v>
      </c>
      <c r="D330" s="3" t="str">
        <f>VLOOKUP(B330,品名!$A$1:$C$151,3,0)</f>
        <v>Haier BCD-216SCM 冰箱</v>
      </c>
      <c r="E330" s="3" t="str">
        <f>VLOOKUP(LEFT(B330,2),Sheet2!$A$1:$B$8,2,0)</f>
        <v>冰箱</v>
      </c>
      <c r="F330" s="4">
        <v>42796</v>
      </c>
      <c r="G330" s="3" t="s">
        <v>159</v>
      </c>
      <c r="H330" s="3" t="s">
        <v>170</v>
      </c>
      <c r="I330" s="5">
        <v>23</v>
      </c>
      <c r="J330" s="13">
        <f>VLOOKUP(B330,[1]单价!$A$1:$B$152,2,0)</f>
        <v>2399</v>
      </c>
      <c r="K330" s="13">
        <f t="shared" si="5"/>
        <v>55177</v>
      </c>
      <c r="L330" s="13">
        <f>VLOOKUP(B330,[1]进价!$A$1:$B$151,2,0)*表1[[#This Row],[销量]]</f>
        <v>44693.37</v>
      </c>
    </row>
    <row r="331" spans="1:12" ht="15" customHeight="1" x14ac:dyDescent="0.15">
      <c r="A331" s="12">
        <v>328</v>
      </c>
      <c r="B331" s="3" t="s">
        <v>74</v>
      </c>
      <c r="C331" s="3" t="str">
        <f>VLOOKUP(B331,品名!$A$1:$C$151,2,0)</f>
        <v>海信</v>
      </c>
      <c r="D331" s="3" t="str">
        <f>VLOOKUP(B331,品名!$A$1:$C$151,3,0)</f>
        <v>Hisense BCD-137C/E冰箱</v>
      </c>
      <c r="E331" s="3" t="str">
        <f>VLOOKUP(LEFT(B331,2),Sheet2!$A$1:$B$8,2,0)</f>
        <v>冰箱</v>
      </c>
      <c r="F331" s="4">
        <v>42807</v>
      </c>
      <c r="G331" s="3" t="s">
        <v>159</v>
      </c>
      <c r="H331" s="3" t="s">
        <v>170</v>
      </c>
      <c r="I331" s="5">
        <v>8</v>
      </c>
      <c r="J331" s="13">
        <f>VLOOKUP(B331,[1]单价!$A$1:$B$152,2,0)</f>
        <v>999</v>
      </c>
      <c r="K331" s="13">
        <f t="shared" si="5"/>
        <v>7992</v>
      </c>
      <c r="L331" s="13">
        <f>VLOOKUP(B331,[1]进价!$A$1:$B$151,2,0)*表1[[#This Row],[销量]]</f>
        <v>6713.28</v>
      </c>
    </row>
    <row r="332" spans="1:12" ht="15" customHeight="1" x14ac:dyDescent="0.15">
      <c r="A332" s="12">
        <v>329</v>
      </c>
      <c r="B332" s="3" t="s">
        <v>45</v>
      </c>
      <c r="C332" s="3" t="str">
        <f>VLOOKUP(B332,品名!$A$1:$C$151,2,0)</f>
        <v>AO史密斯</v>
      </c>
      <c r="D332" s="3" t="str">
        <f>VLOOKUP(B332,品名!$A$1:$C$151,3,0)</f>
        <v>A.O.Smith ET300J-60 电热水器</v>
      </c>
      <c r="E332" s="3" t="str">
        <f>VLOOKUP(LEFT(B332,2),Sheet2!$A$1:$B$8,2,0)</f>
        <v>热水器</v>
      </c>
      <c r="F332" s="4">
        <v>42814</v>
      </c>
      <c r="G332" s="3" t="s">
        <v>159</v>
      </c>
      <c r="H332" s="3" t="s">
        <v>170</v>
      </c>
      <c r="I332" s="5">
        <v>40</v>
      </c>
      <c r="J332" s="13">
        <f>VLOOKUP(B332,[1]单价!$A$1:$B$152,2,0)</f>
        <v>2268</v>
      </c>
      <c r="K332" s="13">
        <f t="shared" si="5"/>
        <v>90720</v>
      </c>
      <c r="L332" s="13">
        <f>VLOOKUP(B332,[1]进价!$A$1:$B$151,2,0)*表1[[#This Row],[销量]]</f>
        <v>74390.399999999994</v>
      </c>
    </row>
    <row r="333" spans="1:12" ht="15" customHeight="1" x14ac:dyDescent="0.15">
      <c r="A333" s="12">
        <v>330</v>
      </c>
      <c r="B333" s="3" t="s">
        <v>54</v>
      </c>
      <c r="C333" s="3" t="str">
        <f>VLOOKUP(B333,品名!$A$1:$C$151,2,0)</f>
        <v>林内</v>
      </c>
      <c r="D333" s="3" t="str">
        <f>VLOOKUP(B333,品名!$A$1:$C$151,3,0)</f>
        <v>Rinnai RUS-11E22CWNF 11L燃气热水器</v>
      </c>
      <c r="E333" s="3" t="str">
        <f>VLOOKUP(LEFT(B333,2),Sheet2!$A$1:$B$8,2,0)</f>
        <v>热水器</v>
      </c>
      <c r="F333" s="4">
        <v>42821</v>
      </c>
      <c r="G333" s="3" t="s">
        <v>159</v>
      </c>
      <c r="H333" s="3" t="s">
        <v>171</v>
      </c>
      <c r="I333" s="5">
        <v>9</v>
      </c>
      <c r="J333" s="13">
        <f>VLOOKUP(B333,[1]单价!$A$1:$B$152,2,0)</f>
        <v>3380</v>
      </c>
      <c r="K333" s="13">
        <f t="shared" si="5"/>
        <v>30420</v>
      </c>
      <c r="L333" s="13">
        <f>VLOOKUP(B333,[1]进价!$A$1:$B$151,2,0)*表1[[#This Row],[销量]]</f>
        <v>27073.8</v>
      </c>
    </row>
    <row r="334" spans="1:12" ht="15" customHeight="1" x14ac:dyDescent="0.15">
      <c r="A334" s="12">
        <v>331</v>
      </c>
      <c r="B334" s="3" t="s">
        <v>62</v>
      </c>
      <c r="C334" s="3" t="str">
        <f>VLOOKUP(B334,品名!$A$1:$C$151,2,0)</f>
        <v>万家乐</v>
      </c>
      <c r="D334" s="3" t="str">
        <f>VLOOKUP(B334,品名!$A$1:$C$151,3,0)</f>
        <v>JSQ20-10201 10升 燃气热水器</v>
      </c>
      <c r="E334" s="3" t="str">
        <f>VLOOKUP(LEFT(B334,2),Sheet2!$A$1:$B$8,2,0)</f>
        <v>热水器</v>
      </c>
      <c r="F334" s="4">
        <v>42828</v>
      </c>
      <c r="G334" s="3" t="s">
        <v>159</v>
      </c>
      <c r="H334" s="3" t="s">
        <v>171</v>
      </c>
      <c r="I334" s="5">
        <v>40</v>
      </c>
      <c r="J334" s="13">
        <f>VLOOKUP(B334,[1]单价!$A$1:$B$152,2,0)</f>
        <v>1099</v>
      </c>
      <c r="K334" s="13">
        <f t="shared" si="5"/>
        <v>43960</v>
      </c>
      <c r="L334" s="13">
        <f>VLOOKUP(B334,[1]进价!$A$1:$B$151,2,0)*表1[[#This Row],[销量]]</f>
        <v>35607.600000000006</v>
      </c>
    </row>
    <row r="335" spans="1:12" ht="15" customHeight="1" x14ac:dyDescent="0.15">
      <c r="A335" s="12">
        <v>332</v>
      </c>
      <c r="B335" s="3" t="s">
        <v>90</v>
      </c>
      <c r="C335" s="3" t="str">
        <f>VLOOKUP(B335,品名!$A$1:$C$151,2,0)</f>
        <v>格兰仕</v>
      </c>
      <c r="D335" s="3" t="str">
        <f>VLOOKUP(B335,品名!$A$1:$C$151,3,0)</f>
        <v>Galanz XQG60-A708 6公斤云滚筒洗衣机</v>
      </c>
      <c r="E335" s="3" t="str">
        <f>VLOOKUP(LEFT(B335,2),Sheet2!$A$1:$B$8,2,0)</f>
        <v>洗衣机</v>
      </c>
      <c r="F335" s="4">
        <v>42835</v>
      </c>
      <c r="G335" s="3" t="s">
        <v>159</v>
      </c>
      <c r="H335" s="3" t="s">
        <v>171</v>
      </c>
      <c r="I335" s="5">
        <v>49</v>
      </c>
      <c r="J335" s="13">
        <f>VLOOKUP(B335,[1]单价!$A$1:$B$152,2,0)</f>
        <v>999</v>
      </c>
      <c r="K335" s="13">
        <f t="shared" si="5"/>
        <v>48951</v>
      </c>
      <c r="L335" s="13">
        <f>VLOOKUP(B335,[1]进价!$A$1:$B$151,2,0)*表1[[#This Row],[销量]]</f>
        <v>40139.82</v>
      </c>
    </row>
    <row r="336" spans="1:12" ht="15" customHeight="1" x14ac:dyDescent="0.15">
      <c r="A336" s="12">
        <v>333</v>
      </c>
      <c r="B336" s="3" t="s">
        <v>98</v>
      </c>
      <c r="C336" s="3" t="str">
        <f>VLOOKUP(B336,品名!$A$1:$C$151,2,0)</f>
        <v>松井</v>
      </c>
      <c r="D336" s="3" t="str">
        <f>VLOOKUP(B336,品名!$A$1:$C$151,3,0)</f>
        <v>SJ-G13S双层可移动干衣机</v>
      </c>
      <c r="E336" s="3" t="str">
        <f>VLOOKUP(LEFT(B336,2),Sheet2!$A$1:$B$8,2,0)</f>
        <v>洗衣机</v>
      </c>
      <c r="F336" s="4">
        <v>42845</v>
      </c>
      <c r="G336" s="3" t="s">
        <v>159</v>
      </c>
      <c r="H336" s="3" t="s">
        <v>171</v>
      </c>
      <c r="I336" s="5">
        <v>9</v>
      </c>
      <c r="J336" s="13">
        <f>VLOOKUP(B336,[1]单价!$A$1:$B$152,2,0)</f>
        <v>198</v>
      </c>
      <c r="K336" s="13">
        <f t="shared" si="5"/>
        <v>1782</v>
      </c>
      <c r="L336" s="13">
        <f>VLOOKUP(B336,[1]进价!$A$1:$B$151,2,0)*表1[[#This Row],[销量]]</f>
        <v>1425.6000000000001</v>
      </c>
    </row>
    <row r="337" spans="1:12" ht="15" customHeight="1" x14ac:dyDescent="0.15">
      <c r="A337" s="12">
        <v>334</v>
      </c>
      <c r="B337" s="3" t="s">
        <v>106</v>
      </c>
      <c r="C337" s="3" t="str">
        <f>VLOOKUP(B337,品名!$A$1:$C$151,2,0)</f>
        <v>Apple</v>
      </c>
      <c r="D337" s="3" t="str">
        <f>VLOOKUP(B337,品名!$A$1:$C$151,3,0)</f>
        <v>MacBook Pro MF839CH/A 13.3英寸笔记本电脑</v>
      </c>
      <c r="E337" s="3" t="str">
        <f>VLOOKUP(LEFT(B337,2),Sheet2!$A$1:$B$8,2,0)</f>
        <v>计算机</v>
      </c>
      <c r="F337" s="4">
        <v>42853</v>
      </c>
      <c r="G337" s="3" t="s">
        <v>159</v>
      </c>
      <c r="H337" s="3" t="s">
        <v>171</v>
      </c>
      <c r="I337" s="5">
        <v>4</v>
      </c>
      <c r="J337" s="13">
        <f>VLOOKUP(B337,[1]单价!$A$1:$B$152,2,0)</f>
        <v>8888</v>
      </c>
      <c r="K337" s="13">
        <f t="shared" si="5"/>
        <v>35552</v>
      </c>
      <c r="L337" s="13">
        <f>VLOOKUP(B337,[1]进价!$A$1:$B$151,2,0)*表1[[#This Row],[销量]]</f>
        <v>29863.68</v>
      </c>
    </row>
    <row r="338" spans="1:12" ht="15" customHeight="1" x14ac:dyDescent="0.15">
      <c r="A338" s="12">
        <v>335</v>
      </c>
      <c r="B338" s="3" t="s">
        <v>114</v>
      </c>
      <c r="C338" s="3" t="str">
        <f>VLOOKUP(B338,品名!$A$1:$C$151,2,0)</f>
        <v>华硕</v>
      </c>
      <c r="D338" s="3" t="str">
        <f>VLOOKUP(B338,品名!$A$1:$C$151,3,0)</f>
        <v>ASUS Zenbook UX305LA 13.3英寸超薄笔记本电脑</v>
      </c>
      <c r="E338" s="3" t="str">
        <f>VLOOKUP(LEFT(B338,2),Sheet2!$A$1:$B$8,2,0)</f>
        <v>计算机</v>
      </c>
      <c r="F338" s="4">
        <v>42858</v>
      </c>
      <c r="G338" s="3" t="s">
        <v>159</v>
      </c>
      <c r="H338" s="3" t="s">
        <v>171</v>
      </c>
      <c r="I338" s="5">
        <v>40</v>
      </c>
      <c r="J338" s="13">
        <f>VLOOKUP(B338,[1]单价!$A$1:$B$152,2,0)</f>
        <v>4875.66</v>
      </c>
      <c r="K338" s="13">
        <f t="shared" si="5"/>
        <v>195026.4</v>
      </c>
      <c r="L338" s="13">
        <f>VLOOKUP(B338,[1]进价!$A$1:$B$151,2,0)*表1[[#This Row],[销量]]</f>
        <v>173573.6</v>
      </c>
    </row>
    <row r="339" spans="1:12" ht="15" customHeight="1" x14ac:dyDescent="0.15">
      <c r="A339" s="12">
        <v>336</v>
      </c>
      <c r="B339" s="3" t="s">
        <v>123</v>
      </c>
      <c r="C339" s="3" t="str">
        <f>VLOOKUP(B339,品名!$A$1:$C$151,2,0)</f>
        <v>联想</v>
      </c>
      <c r="D339" s="3" t="str">
        <f>VLOOKUP(B339,品名!$A$1:$C$151,3,0)</f>
        <v>ThinkPad X250-20CLA26-1CD 12.5英寸笔记本电脑</v>
      </c>
      <c r="E339" s="3" t="str">
        <f>VLOOKUP(LEFT(B339,2),Sheet2!$A$1:$B$8,2,0)</f>
        <v>计算机</v>
      </c>
      <c r="F339" s="4">
        <v>42865</v>
      </c>
      <c r="G339" s="3" t="s">
        <v>159</v>
      </c>
      <c r="H339" s="3" t="s">
        <v>171</v>
      </c>
      <c r="I339" s="5">
        <v>37</v>
      </c>
      <c r="J339" s="13">
        <f>VLOOKUP(B339,[1]单价!$A$1:$B$152,2,0)</f>
        <v>4999</v>
      </c>
      <c r="K339" s="13">
        <f t="shared" si="5"/>
        <v>184963</v>
      </c>
      <c r="L339" s="13">
        <f>VLOOKUP(B339,[1]进价!$A$1:$B$151,2,0)*表1[[#This Row],[销量]]</f>
        <v>159068.18000000002</v>
      </c>
    </row>
    <row r="340" spans="1:12" ht="15" customHeight="1" x14ac:dyDescent="0.15">
      <c r="A340" s="12">
        <v>337</v>
      </c>
      <c r="B340" s="3" t="s">
        <v>131</v>
      </c>
      <c r="C340" s="3" t="str">
        <f>VLOOKUP(B340,品名!$A$1:$C$151,2,0)</f>
        <v>戴尔</v>
      </c>
      <c r="D340" s="3" t="str">
        <f>VLOOKUP(B340,品名!$A$1:$C$151,3,0)</f>
        <v>Dell XPS 8900-R19N8 台式主机</v>
      </c>
      <c r="E340" s="3" t="str">
        <f>VLOOKUP(LEFT(B340,2),Sheet2!$A$1:$B$8,2,0)</f>
        <v>计算机</v>
      </c>
      <c r="F340" s="4">
        <v>42872</v>
      </c>
      <c r="G340" s="3" t="s">
        <v>159</v>
      </c>
      <c r="H340" s="3" t="s">
        <v>171</v>
      </c>
      <c r="I340" s="5">
        <v>41</v>
      </c>
      <c r="J340" s="13">
        <f>VLOOKUP(B340,[1]单价!$A$1:$B$152,2,0)</f>
        <v>8699</v>
      </c>
      <c r="K340" s="13">
        <f t="shared" si="5"/>
        <v>356659</v>
      </c>
      <c r="L340" s="13">
        <f>VLOOKUP(B340,[1]进价!$A$1:$B$151,2,0)*表1[[#This Row],[销量]]</f>
        <v>310293.33</v>
      </c>
    </row>
    <row r="341" spans="1:12" ht="15" customHeight="1" x14ac:dyDescent="0.15">
      <c r="A341" s="12">
        <v>338</v>
      </c>
      <c r="B341" s="3" t="s">
        <v>139</v>
      </c>
      <c r="C341" s="3" t="str">
        <f>VLOOKUP(B341,品名!$A$1:$C$151,2,0)</f>
        <v>Apple</v>
      </c>
      <c r="D341" s="3" t="str">
        <f>VLOOKUP(B341,品名!$A$1:$C$151,3,0)</f>
        <v>iPad Air 2 MH182CH/A 9.7英寸平板电脑</v>
      </c>
      <c r="E341" s="3" t="str">
        <f>VLOOKUP(LEFT(B341,2),Sheet2!$A$1:$B$8,2,0)</f>
        <v>计算机</v>
      </c>
      <c r="F341" s="4">
        <v>42880</v>
      </c>
      <c r="G341" s="3" t="s">
        <v>159</v>
      </c>
      <c r="H341" s="3" t="s">
        <v>171</v>
      </c>
      <c r="I341" s="5">
        <v>43</v>
      </c>
      <c r="J341" s="13">
        <f>VLOOKUP(B341,[1]单价!$A$1:$B$152,2,0)</f>
        <v>4038</v>
      </c>
      <c r="K341" s="13">
        <f t="shared" si="5"/>
        <v>173634</v>
      </c>
      <c r="L341" s="13">
        <f>VLOOKUP(B341,[1]进价!$A$1:$B$151,2,0)*表1[[#This Row],[销量]]</f>
        <v>149325.24</v>
      </c>
    </row>
    <row r="342" spans="1:12" ht="15" customHeight="1" x14ac:dyDescent="0.15">
      <c r="A342" s="12">
        <v>339</v>
      </c>
      <c r="B342" s="3" t="s">
        <v>147</v>
      </c>
      <c r="C342" s="3" t="str">
        <f>VLOOKUP(B342,品名!$A$1:$C$151,2,0)</f>
        <v>华为</v>
      </c>
      <c r="D342" s="3" t="str">
        <f>VLOOKUP(B342,品名!$A$1:$C$151,3,0)</f>
        <v>Huawei M2-803L 4G 64GB 八核平板电脑手机 香槟金</v>
      </c>
      <c r="E342" s="3" t="str">
        <f>VLOOKUP(LEFT(B342,2),Sheet2!$A$1:$B$8,2,0)</f>
        <v>计算机</v>
      </c>
      <c r="F342" s="4">
        <v>42886</v>
      </c>
      <c r="G342" s="3" t="s">
        <v>159</v>
      </c>
      <c r="H342" s="3" t="s">
        <v>171</v>
      </c>
      <c r="I342" s="5">
        <v>2</v>
      </c>
      <c r="J342" s="13">
        <f>VLOOKUP(B342,[1]单价!$A$1:$B$152,2,0)</f>
        <v>2278</v>
      </c>
      <c r="K342" s="13">
        <f t="shared" si="5"/>
        <v>4556</v>
      </c>
      <c r="L342" s="13">
        <f>VLOOKUP(B342,[1]进价!$A$1:$B$151,2,0)*表1[[#This Row],[销量]]</f>
        <v>4054.84</v>
      </c>
    </row>
    <row r="343" spans="1:12" ht="15" customHeight="1" x14ac:dyDescent="0.15">
      <c r="A343" s="12">
        <v>340</v>
      </c>
      <c r="B343" s="3" t="s">
        <v>154</v>
      </c>
      <c r="C343" s="3" t="str">
        <f>VLOOKUP(B343,品名!$A$1:$C$151,2,0)</f>
        <v>亚马逊</v>
      </c>
      <c r="D343" s="3" t="str">
        <f>VLOOKUP(B343,品名!$A$1:$C$151,3,0)</f>
        <v>Fire HDX 8.9平板电脑</v>
      </c>
      <c r="E343" s="3" t="str">
        <f>VLOOKUP(LEFT(B343,2),Sheet2!$A$1:$B$8,2,0)</f>
        <v>计算机</v>
      </c>
      <c r="F343" s="4">
        <v>42894</v>
      </c>
      <c r="G343" s="3" t="s">
        <v>159</v>
      </c>
      <c r="H343" s="3" t="s">
        <v>170</v>
      </c>
      <c r="I343" s="5">
        <v>5</v>
      </c>
      <c r="J343" s="13">
        <f>VLOOKUP(B343,[1]单价!$A$1:$B$152,2,0)</f>
        <v>3399</v>
      </c>
      <c r="K343" s="13">
        <f t="shared" si="5"/>
        <v>16995</v>
      </c>
      <c r="L343" s="13">
        <f>VLOOKUP(B343,[1]进价!$A$1:$B$151,2,0)*表1[[#This Row],[销量]]</f>
        <v>14955.599999999999</v>
      </c>
    </row>
    <row r="344" spans="1:12" ht="15" customHeight="1" x14ac:dyDescent="0.15">
      <c r="A344" s="12">
        <v>341</v>
      </c>
      <c r="B344" s="3" t="s">
        <v>11</v>
      </c>
      <c r="C344" s="3" t="str">
        <f>VLOOKUP(B344,品名!$A$1:$C$151,2,0)</f>
        <v>创维</v>
      </c>
      <c r="D344" s="3" t="str">
        <f>VLOOKUP(B344,品名!$A$1:$C$151,3,0)</f>
        <v>32E5CHR 32英寸LED液晶电视</v>
      </c>
      <c r="E344" s="3" t="str">
        <f>VLOOKUP(LEFT(B344,2),Sheet2!$A$1:$B$8,2,0)</f>
        <v>电视</v>
      </c>
      <c r="F344" s="4">
        <v>42901</v>
      </c>
      <c r="G344" s="3" t="s">
        <v>159</v>
      </c>
      <c r="H344" s="3" t="s">
        <v>170</v>
      </c>
      <c r="I344" s="5">
        <v>41</v>
      </c>
      <c r="J344" s="13">
        <f>VLOOKUP(B344,[1]单价!$A$1:$B$152,2,0)</f>
        <v>1699</v>
      </c>
      <c r="K344" s="13">
        <f t="shared" si="5"/>
        <v>69659</v>
      </c>
      <c r="L344" s="13">
        <f>VLOOKUP(B344,[1]进价!$A$1:$B$151,2,0)*表1[[#This Row],[销量]]</f>
        <v>59210.15</v>
      </c>
    </row>
    <row r="345" spans="1:12" ht="15" customHeight="1" x14ac:dyDescent="0.15">
      <c r="A345" s="12">
        <v>342</v>
      </c>
      <c r="B345" s="3" t="s">
        <v>20</v>
      </c>
      <c r="C345" s="3" t="str">
        <f>VLOOKUP(B345,品名!$A$1:$C$151,2,0)</f>
        <v>TCL</v>
      </c>
      <c r="D345" s="3" t="str">
        <f>VLOOKUP(B345,品名!$A$1:$C$151,3,0)</f>
        <v>L48F3310-3D平板电视</v>
      </c>
      <c r="E345" s="3" t="str">
        <f>VLOOKUP(LEFT(B345,2),Sheet2!$A$1:$B$8,2,0)</f>
        <v>电视</v>
      </c>
      <c r="F345" s="4">
        <v>42907</v>
      </c>
      <c r="G345" s="3" t="s">
        <v>159</v>
      </c>
      <c r="H345" s="3" t="s">
        <v>171</v>
      </c>
      <c r="I345" s="5">
        <v>39</v>
      </c>
      <c r="J345" s="13">
        <f>VLOOKUP(B345,[1]单价!$A$1:$B$152,2,0)</f>
        <v>3999</v>
      </c>
      <c r="K345" s="13">
        <f t="shared" si="5"/>
        <v>155961</v>
      </c>
      <c r="L345" s="13">
        <f>VLOOKUP(B345,[1]进价!$A$1:$B$151,2,0)*表1[[#This Row],[销量]]</f>
        <v>135686.07</v>
      </c>
    </row>
    <row r="346" spans="1:12" ht="15" customHeight="1" x14ac:dyDescent="0.15">
      <c r="A346" s="12">
        <v>343</v>
      </c>
      <c r="B346" s="3" t="s">
        <v>28</v>
      </c>
      <c r="C346" s="3" t="str">
        <f>VLOOKUP(B346,品名!$A$1:$C$151,2,0)</f>
        <v>TCL</v>
      </c>
      <c r="D346" s="3" t="str">
        <f>VLOOKUP(B346,品名!$A$1:$C$151,3,0)</f>
        <v>KFRd-25GW/FC23</v>
      </c>
      <c r="E346" s="3" t="str">
        <f>VLOOKUP(LEFT(B346,2),Sheet2!$A$1:$B$8,2,0)</f>
        <v>空调</v>
      </c>
      <c r="F346" s="4">
        <v>42913</v>
      </c>
      <c r="G346" s="3" t="s">
        <v>159</v>
      </c>
      <c r="H346" s="3" t="s">
        <v>170</v>
      </c>
      <c r="I346" s="5">
        <v>41</v>
      </c>
      <c r="J346" s="13">
        <f>VLOOKUP(B346,[1]单价!$A$1:$B$152,2,0)</f>
        <v>1769</v>
      </c>
      <c r="K346" s="13">
        <f t="shared" si="5"/>
        <v>72529</v>
      </c>
      <c r="L346" s="13">
        <f>VLOOKUP(B346,[1]进价!$A$1:$B$151,2,0)*表1[[#This Row],[销量]]</f>
        <v>62374.939999999995</v>
      </c>
    </row>
    <row r="347" spans="1:12" ht="15" customHeight="1" x14ac:dyDescent="0.15">
      <c r="A347" s="12">
        <v>344</v>
      </c>
      <c r="B347" s="3" t="s">
        <v>36</v>
      </c>
      <c r="C347" s="3" t="str">
        <f>VLOOKUP(B347,品名!$A$1:$C$151,2,0)</f>
        <v>格兰仕</v>
      </c>
      <c r="D347" s="3" t="str">
        <f>VLOOKUP(B347,品名!$A$1:$C$151,3,0)</f>
        <v>Galanz KFR-32GW/dLP57-130(2)空调</v>
      </c>
      <c r="E347" s="3" t="str">
        <f>VLOOKUP(LEFT(B347,2),Sheet2!$A$1:$B$8,2,0)</f>
        <v>空调</v>
      </c>
      <c r="F347" s="4">
        <v>42740</v>
      </c>
      <c r="G347" s="3" t="s">
        <v>159</v>
      </c>
      <c r="H347" s="3" t="s">
        <v>170</v>
      </c>
      <c r="I347" s="5">
        <v>5</v>
      </c>
      <c r="J347" s="13">
        <f>VLOOKUP(B347,[1]单价!$A$1:$B$152,2,0)</f>
        <v>1899</v>
      </c>
      <c r="K347" s="13">
        <f t="shared" si="5"/>
        <v>9495</v>
      </c>
      <c r="L347" s="13">
        <f>VLOOKUP(B347,[1]进价!$A$1:$B$151,2,0)*表1[[#This Row],[销量]]</f>
        <v>8165.7000000000007</v>
      </c>
    </row>
    <row r="348" spans="1:12" ht="15" customHeight="1" x14ac:dyDescent="0.15">
      <c r="A348" s="12">
        <v>345</v>
      </c>
      <c r="B348" s="3" t="s">
        <v>44</v>
      </c>
      <c r="C348" s="3" t="str">
        <f>VLOOKUP(B348,品名!$A$1:$C$151,2,0)</f>
        <v>志高</v>
      </c>
      <c r="D348" s="3" t="str">
        <f>VLOOKUP(B348,品名!$A$1:$C$151,3,0)</f>
        <v>CHIGO KFR-25GW/D104+N3空调</v>
      </c>
      <c r="E348" s="3" t="str">
        <f>VLOOKUP(LEFT(B348,2),Sheet2!$A$1:$B$8,2,0)</f>
        <v>空调</v>
      </c>
      <c r="F348" s="4">
        <v>42867</v>
      </c>
      <c r="G348" s="3" t="s">
        <v>159</v>
      </c>
      <c r="H348" s="3" t="s">
        <v>170</v>
      </c>
      <c r="I348" s="5">
        <v>16</v>
      </c>
      <c r="J348" s="13">
        <f>VLOOKUP(B348,[1]单价!$A$1:$B$152,2,0)</f>
        <v>1979</v>
      </c>
      <c r="K348" s="13">
        <f t="shared" si="5"/>
        <v>31664</v>
      </c>
      <c r="L348" s="13">
        <f>VLOOKUP(B348,[1]进价!$A$1:$B$151,2,0)*表1[[#This Row],[销量]]</f>
        <v>26914.400000000001</v>
      </c>
    </row>
    <row r="349" spans="1:12" ht="15" customHeight="1" x14ac:dyDescent="0.15">
      <c r="A349" s="12">
        <v>346</v>
      </c>
      <c r="B349" s="3" t="s">
        <v>55</v>
      </c>
      <c r="C349" s="3" t="str">
        <f>VLOOKUP(B349,品名!$A$1:$C$151,2,0)</f>
        <v>林内</v>
      </c>
      <c r="D349" s="3" t="str">
        <f>VLOOKUP(B349,品名!$A$1:$C$151,3,0)</f>
        <v>Rinnai RUS-13E22CWNF燃气热水器</v>
      </c>
      <c r="E349" s="3" t="str">
        <f>VLOOKUP(LEFT(B349,2),Sheet2!$A$1:$B$8,2,0)</f>
        <v>热水器</v>
      </c>
      <c r="F349" s="4">
        <v>42749</v>
      </c>
      <c r="G349" s="3" t="s">
        <v>159</v>
      </c>
      <c r="H349" s="3" t="s">
        <v>170</v>
      </c>
      <c r="I349" s="5">
        <v>47</v>
      </c>
      <c r="J349" s="13">
        <f>VLOOKUP(B349,[1]单价!$A$1:$B$152,2,0)</f>
        <v>3580</v>
      </c>
      <c r="K349" s="13">
        <f t="shared" si="5"/>
        <v>168260</v>
      </c>
      <c r="L349" s="13">
        <f>VLOOKUP(B349,[1]进价!$A$1:$B$151,2,0)*表1[[#This Row],[销量]]</f>
        <v>134608</v>
      </c>
    </row>
    <row r="350" spans="1:12" ht="15" customHeight="1" x14ac:dyDescent="0.15">
      <c r="A350" s="12">
        <v>347</v>
      </c>
      <c r="B350" s="3" t="s">
        <v>72</v>
      </c>
      <c r="C350" s="3" t="str">
        <f>VLOOKUP(B350,品名!$A$1:$C$151,2,0)</f>
        <v>海尔</v>
      </c>
      <c r="D350" s="3" t="str">
        <f>VLOOKUP(B350,品名!$A$1:$C$151,3,0)</f>
        <v>Haier BCD-231WDBB 冰箱</v>
      </c>
      <c r="E350" s="3" t="str">
        <f>VLOOKUP(LEFT(B350,2),Sheet2!$A$1:$B$8,2,0)</f>
        <v>冰箱</v>
      </c>
      <c r="F350" s="4">
        <v>42755</v>
      </c>
      <c r="G350" s="3" t="s">
        <v>159</v>
      </c>
      <c r="H350" s="3" t="s">
        <v>170</v>
      </c>
      <c r="I350" s="5">
        <v>5</v>
      </c>
      <c r="J350" s="13">
        <f>VLOOKUP(B350,[1]单价!$A$1:$B$152,2,0)</f>
        <v>3199</v>
      </c>
      <c r="K350" s="13">
        <f t="shared" si="5"/>
        <v>15995</v>
      </c>
      <c r="L350" s="13">
        <f>VLOOKUP(B350,[1]进价!$A$1:$B$151,2,0)*表1[[#This Row],[销量]]</f>
        <v>14235.550000000001</v>
      </c>
    </row>
    <row r="351" spans="1:12" ht="15" customHeight="1" x14ac:dyDescent="0.15">
      <c r="A351" s="12">
        <v>348</v>
      </c>
      <c r="B351" s="3" t="s">
        <v>85</v>
      </c>
      <c r="C351" s="3" t="str">
        <f>VLOOKUP(B351,品名!$A$1:$C$151,2,0)</f>
        <v>LG</v>
      </c>
      <c r="D351" s="3" t="str">
        <f>VLOOKUP(B351,品名!$A$1:$C$151,3,0)</f>
        <v>WD-N12430D 6公斤滚筒洗衣机</v>
      </c>
      <c r="E351" s="3" t="str">
        <f>VLOOKUP(LEFT(B351,2),Sheet2!$A$1:$B$8,2,0)</f>
        <v>洗衣机</v>
      </c>
      <c r="F351" s="4">
        <v>42759</v>
      </c>
      <c r="G351" s="3" t="s">
        <v>159</v>
      </c>
      <c r="H351" s="3" t="s">
        <v>170</v>
      </c>
      <c r="I351" s="5">
        <v>37</v>
      </c>
      <c r="J351" s="13">
        <f>VLOOKUP(B351,[1]单价!$A$1:$B$152,2,0)</f>
        <v>2599</v>
      </c>
      <c r="K351" s="13">
        <f t="shared" si="5"/>
        <v>96163</v>
      </c>
      <c r="L351" s="13">
        <f>VLOOKUP(B351,[1]进价!$A$1:$B$151,2,0)*表1[[#This Row],[销量]]</f>
        <v>83661.81</v>
      </c>
    </row>
    <row r="352" spans="1:12" ht="15" customHeight="1" x14ac:dyDescent="0.15">
      <c r="A352" s="12">
        <v>349</v>
      </c>
      <c r="B352" s="3" t="s">
        <v>80</v>
      </c>
      <c r="C352" s="3" t="str">
        <f>VLOOKUP(B352,品名!$A$1:$C$151,2,0)</f>
        <v>容声</v>
      </c>
      <c r="D352" s="3" t="str">
        <f>VLOOKUP(B352,品名!$A$1:$C$151,3,0)</f>
        <v>Ronshen BCD-202M/TX6-GF61-C冰箱</v>
      </c>
      <c r="E352" s="3" t="str">
        <f>VLOOKUP(LEFT(B352,2),Sheet2!$A$1:$B$8,2,0)</f>
        <v>冰箱</v>
      </c>
      <c r="F352" s="4">
        <v>42913</v>
      </c>
      <c r="G352" s="3" t="s">
        <v>159</v>
      </c>
      <c r="H352" s="3" t="s">
        <v>170</v>
      </c>
      <c r="I352" s="5">
        <v>33</v>
      </c>
      <c r="J352" s="13">
        <f>VLOOKUP(B352,[1]单价!$A$1:$B$152,2,0)</f>
        <v>1499</v>
      </c>
      <c r="K352" s="13">
        <f t="shared" si="5"/>
        <v>49467</v>
      </c>
      <c r="L352" s="13">
        <f>VLOOKUP(B352,[1]进价!$A$1:$B$151,2,0)*表1[[#This Row],[销量]]</f>
        <v>44025.63</v>
      </c>
    </row>
    <row r="353" spans="1:12" ht="15" customHeight="1" x14ac:dyDescent="0.15">
      <c r="A353" s="12">
        <v>350</v>
      </c>
      <c r="B353" s="3" t="s">
        <v>94</v>
      </c>
      <c r="C353" s="3" t="str">
        <f>VLOOKUP(B353,品名!$A$1:$C$151,2,0)</f>
        <v>海尔</v>
      </c>
      <c r="D353" s="3" t="str">
        <f>VLOOKUP(B353,品名!$A$1:$C$151,3,0)</f>
        <v>Haier XQB60-M918 洗衣机</v>
      </c>
      <c r="E353" s="3" t="str">
        <f>VLOOKUP(LEFT(B353,2),Sheet2!$A$1:$B$8,2,0)</f>
        <v>洗衣机</v>
      </c>
      <c r="F353" s="4">
        <v>42766</v>
      </c>
      <c r="G353" s="3" t="s">
        <v>159</v>
      </c>
      <c r="H353" s="3" t="s">
        <v>171</v>
      </c>
      <c r="I353" s="5">
        <v>36</v>
      </c>
      <c r="J353" s="13">
        <f>VLOOKUP(B353,[1]单价!$A$1:$B$152,2,0)</f>
        <v>1188</v>
      </c>
      <c r="K353" s="13">
        <f t="shared" si="5"/>
        <v>42768</v>
      </c>
      <c r="L353" s="13">
        <f>VLOOKUP(B353,[1]进价!$A$1:$B$151,2,0)*表1[[#This Row],[销量]]</f>
        <v>34642.080000000002</v>
      </c>
    </row>
    <row r="354" spans="1:12" ht="15" customHeight="1" x14ac:dyDescent="0.15">
      <c r="A354" s="12">
        <v>351</v>
      </c>
      <c r="B354" s="3" t="s">
        <v>48</v>
      </c>
      <c r="C354" s="3" t="str">
        <f>VLOOKUP(B354,品名!$A$1:$C$151,2,0)</f>
        <v>海尔</v>
      </c>
      <c r="D354" s="3" t="str">
        <f>VLOOKUP(B354,品名!$A$1:$C$151,3,0)</f>
        <v>Haier A1 10升天然气热水器</v>
      </c>
      <c r="E354" s="3" t="str">
        <f>VLOOKUP(LEFT(B354,2),Sheet2!$A$1:$B$8,2,0)</f>
        <v>热水器</v>
      </c>
      <c r="F354" s="4">
        <v>42769</v>
      </c>
      <c r="G354" s="3" t="s">
        <v>159</v>
      </c>
      <c r="H354" s="3" t="s">
        <v>170</v>
      </c>
      <c r="I354" s="5">
        <v>20</v>
      </c>
      <c r="J354" s="13">
        <f>VLOOKUP(B354,[1]单价!$A$1:$B$152,2,0)</f>
        <v>1298</v>
      </c>
      <c r="K354" s="13">
        <f t="shared" si="5"/>
        <v>25960</v>
      </c>
      <c r="L354" s="13">
        <f>VLOOKUP(B354,[1]进价!$A$1:$B$151,2,0)*表1[[#This Row],[销量]]</f>
        <v>20768</v>
      </c>
    </row>
    <row r="355" spans="1:12" ht="15" customHeight="1" x14ac:dyDescent="0.15">
      <c r="A355" s="12">
        <v>352</v>
      </c>
      <c r="B355" s="3" t="s">
        <v>55</v>
      </c>
      <c r="C355" s="3" t="str">
        <f>VLOOKUP(B355,品名!$A$1:$C$151,2,0)</f>
        <v>林内</v>
      </c>
      <c r="D355" s="3" t="str">
        <f>VLOOKUP(B355,品名!$A$1:$C$151,3,0)</f>
        <v>Rinnai RUS-13E22CWNF燃气热水器</v>
      </c>
      <c r="E355" s="3" t="str">
        <f>VLOOKUP(LEFT(B355,2),Sheet2!$A$1:$B$8,2,0)</f>
        <v>热水器</v>
      </c>
      <c r="F355" s="4">
        <v>42780</v>
      </c>
      <c r="G355" s="3" t="s">
        <v>159</v>
      </c>
      <c r="H355" s="3" t="s">
        <v>170</v>
      </c>
      <c r="I355" s="5">
        <v>29</v>
      </c>
      <c r="J355" s="13">
        <f>VLOOKUP(B355,[1]单价!$A$1:$B$152,2,0)</f>
        <v>3580</v>
      </c>
      <c r="K355" s="13">
        <f t="shared" si="5"/>
        <v>103820</v>
      </c>
      <c r="L355" s="13">
        <f>VLOOKUP(B355,[1]进价!$A$1:$B$151,2,0)*表1[[#This Row],[销量]]</f>
        <v>83056</v>
      </c>
    </row>
    <row r="356" spans="1:12" ht="15" customHeight="1" x14ac:dyDescent="0.15">
      <c r="A356" s="12">
        <v>353</v>
      </c>
      <c r="B356" s="3" t="s">
        <v>62</v>
      </c>
      <c r="C356" s="3" t="str">
        <f>VLOOKUP(B356,品名!$A$1:$C$151,2,0)</f>
        <v>万家乐</v>
      </c>
      <c r="D356" s="3" t="str">
        <f>VLOOKUP(B356,品名!$A$1:$C$151,3,0)</f>
        <v>JSQ20-10201 10升 燃气热水器</v>
      </c>
      <c r="E356" s="3" t="str">
        <f>VLOOKUP(LEFT(B356,2),Sheet2!$A$1:$B$8,2,0)</f>
        <v>热水器</v>
      </c>
      <c r="F356" s="4">
        <v>42784</v>
      </c>
      <c r="G356" s="3" t="s">
        <v>159</v>
      </c>
      <c r="H356" s="3" t="s">
        <v>171</v>
      </c>
      <c r="I356" s="5">
        <v>17</v>
      </c>
      <c r="J356" s="13">
        <f>VLOOKUP(B356,[1]单价!$A$1:$B$152,2,0)</f>
        <v>1099</v>
      </c>
      <c r="K356" s="13">
        <f t="shared" si="5"/>
        <v>18683</v>
      </c>
      <c r="L356" s="13">
        <f>VLOOKUP(B356,[1]进价!$A$1:$B$151,2,0)*表1[[#This Row],[销量]]</f>
        <v>15133.230000000001</v>
      </c>
    </row>
    <row r="357" spans="1:12" ht="15" customHeight="1" x14ac:dyDescent="0.15">
      <c r="A357" s="12">
        <v>354</v>
      </c>
      <c r="B357" s="3" t="s">
        <v>89</v>
      </c>
      <c r="C357" s="3" t="str">
        <f>VLOOKUP(B357,品名!$A$1:$C$151,2,0)</f>
        <v>德尔玛</v>
      </c>
      <c r="D357" s="3" t="str">
        <f>VLOOKUP(B357,品名!$A$1:$C$151,3,0)</f>
        <v>Deerma 双层干衣机</v>
      </c>
      <c r="E357" s="3" t="str">
        <f>VLOOKUP(LEFT(B357,2),Sheet2!$A$1:$B$8,2,0)</f>
        <v>洗衣机</v>
      </c>
      <c r="F357" s="4">
        <v>42854</v>
      </c>
      <c r="G357" s="3" t="s">
        <v>159</v>
      </c>
      <c r="H357" s="3" t="s">
        <v>171</v>
      </c>
      <c r="I357" s="5">
        <v>18</v>
      </c>
      <c r="J357" s="13">
        <f>VLOOKUP(B357,[1]单价!$A$1:$B$152,2,0)</f>
        <v>99</v>
      </c>
      <c r="K357" s="13">
        <f t="shared" si="5"/>
        <v>1782</v>
      </c>
      <c r="L357" s="13">
        <f>VLOOKUP(B357,[1]进价!$A$1:$B$151,2,0)*表1[[#This Row],[销量]]</f>
        <v>1496.8799999999999</v>
      </c>
    </row>
    <row r="358" spans="1:12" ht="15" customHeight="1" x14ac:dyDescent="0.15">
      <c r="A358" s="12">
        <v>355</v>
      </c>
      <c r="B358" s="3" t="s">
        <v>96</v>
      </c>
      <c r="C358" s="3" t="str">
        <f>VLOOKUP(B358,品名!$A$1:$C$151,2,0)</f>
        <v>康佳</v>
      </c>
      <c r="D358" s="3" t="str">
        <f>VLOOKUP(B358,品名!$A$1:$C$151,3,0)</f>
        <v>KONKA XQB50-5001全自动洗衣机</v>
      </c>
      <c r="E358" s="3" t="str">
        <f>VLOOKUP(LEFT(B358,2),Sheet2!$A$1:$B$8,2,0)</f>
        <v>洗衣机</v>
      </c>
      <c r="F358" s="4">
        <v>42799</v>
      </c>
      <c r="G358" s="3" t="s">
        <v>159</v>
      </c>
      <c r="H358" s="3" t="s">
        <v>171</v>
      </c>
      <c r="I358" s="5">
        <v>45</v>
      </c>
      <c r="J358" s="13">
        <f>VLOOKUP(B358,[1]单价!$A$1:$B$152,2,0)</f>
        <v>788</v>
      </c>
      <c r="K358" s="13">
        <f t="shared" si="5"/>
        <v>35460</v>
      </c>
      <c r="L358" s="13">
        <f>VLOOKUP(B358,[1]进价!$A$1:$B$151,2,0)*表1[[#This Row],[销量]]</f>
        <v>31204.800000000003</v>
      </c>
    </row>
    <row r="359" spans="1:12" ht="15" customHeight="1" x14ac:dyDescent="0.15">
      <c r="A359" s="12">
        <v>356</v>
      </c>
      <c r="B359" s="3" t="s">
        <v>103</v>
      </c>
      <c r="C359" s="3" t="str">
        <f>VLOOKUP(B359,品名!$A$1:$C$151,2,0)</f>
        <v>小鸭</v>
      </c>
      <c r="D359" s="3" t="str">
        <f>VLOOKUP(B359,品名!$A$1:$C$151,3,0)</f>
        <v>XPB36-1803 3.6公斤 单缸半自动洗衣机</v>
      </c>
      <c r="E359" s="3" t="str">
        <f>VLOOKUP(LEFT(B359,2),Sheet2!$A$1:$B$8,2,0)</f>
        <v>洗衣机</v>
      </c>
      <c r="F359" s="4">
        <v>42806</v>
      </c>
      <c r="G359" s="3" t="s">
        <v>159</v>
      </c>
      <c r="H359" s="3" t="s">
        <v>171</v>
      </c>
      <c r="I359" s="5">
        <v>49</v>
      </c>
      <c r="J359" s="13">
        <f>VLOOKUP(B359,[1]单价!$A$1:$B$152,2,0)</f>
        <v>279</v>
      </c>
      <c r="K359" s="13">
        <f t="shared" si="5"/>
        <v>13671</v>
      </c>
      <c r="L359" s="13">
        <f>VLOOKUP(B359,[1]进价!$A$1:$B$151,2,0)*表1[[#This Row],[销量]]</f>
        <v>11483.640000000001</v>
      </c>
    </row>
    <row r="360" spans="1:12" ht="15" customHeight="1" x14ac:dyDescent="0.15">
      <c r="A360" s="12">
        <v>357</v>
      </c>
      <c r="B360" s="3" t="s">
        <v>110</v>
      </c>
      <c r="C360" s="3" t="str">
        <f>VLOOKUP(B360,品名!$A$1:$C$151,2,0)</f>
        <v>Apple</v>
      </c>
      <c r="D360" s="3" t="str">
        <f>VLOOKUP(B360,品名!$A$1:$C$151,3,0)</f>
        <v>MacBook MJY32CH/A 12英寸笔记本电脑</v>
      </c>
      <c r="E360" s="3" t="str">
        <f>VLOOKUP(LEFT(B360,2),Sheet2!$A$1:$B$8,2,0)</f>
        <v>计算机</v>
      </c>
      <c r="F360" s="4">
        <v>42813</v>
      </c>
      <c r="G360" s="3" t="s">
        <v>159</v>
      </c>
      <c r="H360" s="3" t="s">
        <v>170</v>
      </c>
      <c r="I360" s="5">
        <v>11</v>
      </c>
      <c r="J360" s="13">
        <f>VLOOKUP(B360,[1]单价!$A$1:$B$152,2,0)</f>
        <v>8888</v>
      </c>
      <c r="K360" s="13">
        <f t="shared" si="5"/>
        <v>97768</v>
      </c>
      <c r="L360" s="13">
        <f>VLOOKUP(B360,[1]进价!$A$1:$B$151,2,0)*表1[[#This Row],[销量]]</f>
        <v>84080.48000000001</v>
      </c>
    </row>
    <row r="361" spans="1:12" ht="15" customHeight="1" x14ac:dyDescent="0.15">
      <c r="A361" s="12">
        <v>358</v>
      </c>
      <c r="B361" s="3" t="s">
        <v>117</v>
      </c>
      <c r="C361" s="3" t="str">
        <f>VLOOKUP(B361,品名!$A$1:$C$151,2,0)</f>
        <v>戴尔</v>
      </c>
      <c r="D361" s="3" t="str">
        <f>VLOOKUP(B361,品名!$A$1:$C$151,3,0)</f>
        <v>Dell XPS13-9350-R1708S 13.3英寸超极本</v>
      </c>
      <c r="E361" s="3" t="str">
        <f>VLOOKUP(LEFT(B361,2),Sheet2!$A$1:$B$8,2,0)</f>
        <v>计算机</v>
      </c>
      <c r="F361" s="4">
        <v>42820</v>
      </c>
      <c r="G361" s="3" t="s">
        <v>159</v>
      </c>
      <c r="H361" s="3" t="s">
        <v>171</v>
      </c>
      <c r="I361" s="5">
        <v>31</v>
      </c>
      <c r="J361" s="13">
        <f>VLOOKUP(B361,[1]单价!$A$1:$B$152,2,0)</f>
        <v>8899</v>
      </c>
      <c r="K361" s="13">
        <f t="shared" si="5"/>
        <v>275869</v>
      </c>
      <c r="L361" s="13">
        <f>VLOOKUP(B361,[1]进价!$A$1:$B$151,2,0)*表1[[#This Row],[销量]]</f>
        <v>242764.72</v>
      </c>
    </row>
    <row r="362" spans="1:12" ht="15" customHeight="1" x14ac:dyDescent="0.15">
      <c r="A362" s="12">
        <v>359</v>
      </c>
      <c r="B362" s="3" t="s">
        <v>124</v>
      </c>
      <c r="C362" s="3" t="str">
        <f>VLOOKUP(B362,品名!$A$1:$C$151,2,0)</f>
        <v>Apple</v>
      </c>
      <c r="D362" s="3" t="str">
        <f>VLOOKUP(B362,品名!$A$1:$C$151,3,0)</f>
        <v>iMac MK442CH/A 21.5英寸一体机</v>
      </c>
      <c r="E362" s="3" t="str">
        <f>VLOOKUP(LEFT(B362,2),Sheet2!$A$1:$B$8,2,0)</f>
        <v>计算机</v>
      </c>
      <c r="F362" s="4">
        <v>42830</v>
      </c>
      <c r="G362" s="3" t="s">
        <v>159</v>
      </c>
      <c r="H362" s="3" t="s">
        <v>171</v>
      </c>
      <c r="I362" s="5">
        <v>35</v>
      </c>
      <c r="J362" s="13">
        <f>VLOOKUP(B362,[1]单价!$A$1:$B$152,2,0)</f>
        <v>9588</v>
      </c>
      <c r="K362" s="13">
        <f t="shared" si="5"/>
        <v>335580</v>
      </c>
      <c r="L362" s="13">
        <f>VLOOKUP(B362,[1]进价!$A$1:$B$151,2,0)*表1[[#This Row],[销量]]</f>
        <v>285243</v>
      </c>
    </row>
    <row r="363" spans="1:12" ht="15" customHeight="1" x14ac:dyDescent="0.15">
      <c r="A363" s="12">
        <v>360</v>
      </c>
      <c r="B363" s="3" t="s">
        <v>131</v>
      </c>
      <c r="C363" s="3" t="str">
        <f>VLOOKUP(B363,品名!$A$1:$C$151,2,0)</f>
        <v>戴尔</v>
      </c>
      <c r="D363" s="3" t="str">
        <f>VLOOKUP(B363,品名!$A$1:$C$151,3,0)</f>
        <v>Dell XPS 8900-R19N8 台式主机</v>
      </c>
      <c r="E363" s="3" t="str">
        <f>VLOOKUP(LEFT(B363,2),Sheet2!$A$1:$B$8,2,0)</f>
        <v>计算机</v>
      </c>
      <c r="F363" s="4">
        <v>42837</v>
      </c>
      <c r="G363" s="3" t="s">
        <v>159</v>
      </c>
      <c r="H363" s="3" t="s">
        <v>170</v>
      </c>
      <c r="I363" s="5">
        <v>26</v>
      </c>
      <c r="J363" s="13">
        <f>VLOOKUP(B363,[1]单价!$A$1:$B$152,2,0)</f>
        <v>8699</v>
      </c>
      <c r="K363" s="13">
        <f t="shared" si="5"/>
        <v>226174</v>
      </c>
      <c r="L363" s="13">
        <f>VLOOKUP(B363,[1]进价!$A$1:$B$151,2,0)*表1[[#This Row],[销量]]</f>
        <v>196771.38</v>
      </c>
    </row>
    <row r="364" spans="1:12" ht="15" customHeight="1" x14ac:dyDescent="0.15">
      <c r="A364" s="12">
        <v>361</v>
      </c>
      <c r="B364" s="3" t="s">
        <v>138</v>
      </c>
      <c r="C364" s="3" t="str">
        <f>VLOOKUP(B364,品名!$A$1:$C$151,2,0)</f>
        <v>Apple</v>
      </c>
      <c r="D364" s="3" t="str">
        <f>VLOOKUP(B364,品名!$A$1:$C$151,3,0)</f>
        <v>iPad Air 2 MGKM2CH/A 9.7英寸平板电脑</v>
      </c>
      <c r="E364" s="3" t="str">
        <f>VLOOKUP(LEFT(B364,2),Sheet2!$A$1:$B$8,2,0)</f>
        <v>计算机</v>
      </c>
      <c r="F364" s="4">
        <v>42844</v>
      </c>
      <c r="G364" s="3" t="s">
        <v>159</v>
      </c>
      <c r="H364" s="3" t="s">
        <v>171</v>
      </c>
      <c r="I364" s="5">
        <v>25</v>
      </c>
      <c r="J364" s="13">
        <f>VLOOKUP(B364,[1]单价!$A$1:$B$152,2,0)</f>
        <v>4038</v>
      </c>
      <c r="K364" s="13">
        <f t="shared" si="5"/>
        <v>100950</v>
      </c>
      <c r="L364" s="13">
        <f>VLOOKUP(B364,[1]进价!$A$1:$B$151,2,0)*表1[[#This Row],[销量]]</f>
        <v>88836</v>
      </c>
    </row>
    <row r="365" spans="1:12" ht="15" customHeight="1" x14ac:dyDescent="0.15">
      <c r="A365" s="12">
        <v>362</v>
      </c>
      <c r="B365" s="3" t="s">
        <v>145</v>
      </c>
      <c r="C365" s="3" t="str">
        <f>VLOOKUP(B365,品名!$A$1:$C$151,2,0)</f>
        <v>凯蒂猫</v>
      </c>
      <c r="D365" s="3" t="str">
        <f>VLOOKUP(B365,品名!$A$1:$C$151,3,0)</f>
        <v>Hello Kitty Q7 7英寸学生用平板电脑 白色</v>
      </c>
      <c r="E365" s="3" t="str">
        <f>VLOOKUP(LEFT(B365,2),Sheet2!$A$1:$B$8,2,0)</f>
        <v>计算机</v>
      </c>
      <c r="F365" s="4">
        <v>42851</v>
      </c>
      <c r="G365" s="3" t="s">
        <v>159</v>
      </c>
      <c r="H365" s="3" t="s">
        <v>171</v>
      </c>
      <c r="I365" s="5">
        <v>46</v>
      </c>
      <c r="J365" s="13">
        <f>VLOOKUP(B365,[1]单价!$A$1:$B$152,2,0)</f>
        <v>296</v>
      </c>
      <c r="K365" s="13">
        <f t="shared" si="5"/>
        <v>13616</v>
      </c>
      <c r="L365" s="13">
        <f>VLOOKUP(B365,[1]进价!$A$1:$B$151,2,0)*表1[[#This Row],[销量]]</f>
        <v>12254.4</v>
      </c>
    </row>
    <row r="366" spans="1:12" ht="15" customHeight="1" x14ac:dyDescent="0.15">
      <c r="A366" s="12">
        <v>363</v>
      </c>
      <c r="B366" s="3" t="s">
        <v>151</v>
      </c>
      <c r="C366" s="3" t="str">
        <f>VLOOKUP(B366,品名!$A$1:$C$151,2,0)</f>
        <v>华硕</v>
      </c>
      <c r="D366" s="3" t="str">
        <f>VLOOKUP(B366,品名!$A$1:$C$151,3,0)</f>
        <v>ASUS ME581C 8英寸平板</v>
      </c>
      <c r="E366" s="3" t="str">
        <f>VLOOKUP(LEFT(B366,2),Sheet2!$A$1:$B$8,2,0)</f>
        <v>计算机</v>
      </c>
      <c r="F366" s="4">
        <v>42861</v>
      </c>
      <c r="G366" s="3" t="s">
        <v>159</v>
      </c>
      <c r="H366" s="3" t="s">
        <v>170</v>
      </c>
      <c r="I366" s="5">
        <v>24</v>
      </c>
      <c r="J366" s="13">
        <f>VLOOKUP(B366,[1]单价!$A$1:$B$152,2,0)</f>
        <v>1229</v>
      </c>
      <c r="K366" s="13">
        <f t="shared" si="5"/>
        <v>29496</v>
      </c>
      <c r="L366" s="13">
        <f>VLOOKUP(B366,[1]进价!$A$1:$B$151,2,0)*表1[[#This Row],[销量]]</f>
        <v>24186.720000000001</v>
      </c>
    </row>
    <row r="367" spans="1:12" ht="15" customHeight="1" x14ac:dyDescent="0.15">
      <c r="A367" s="12">
        <v>364</v>
      </c>
      <c r="B367" s="3" t="s">
        <v>8</v>
      </c>
      <c r="C367" s="3" t="str">
        <f>VLOOKUP(B367,品名!$A$1:$C$151,2,0)</f>
        <v>康佳</v>
      </c>
      <c r="D367" s="3" t="str">
        <f>VLOOKUP(B367,品名!$A$1:$C$151,3,0)</f>
        <v>KONKA LED32E320N 液晶电视</v>
      </c>
      <c r="E367" s="3" t="str">
        <f>VLOOKUP(LEFT(B367,2),Sheet2!$A$1:$B$8,2,0)</f>
        <v>电视</v>
      </c>
      <c r="F367" s="4">
        <v>42870</v>
      </c>
      <c r="G367" s="3" t="s">
        <v>159</v>
      </c>
      <c r="H367" s="3" t="s">
        <v>170</v>
      </c>
      <c r="I367" s="5">
        <v>28</v>
      </c>
      <c r="J367" s="13">
        <f>VLOOKUP(B367,[1]单价!$A$1:$B$152,2,0)</f>
        <v>1798</v>
      </c>
      <c r="K367" s="13">
        <f t="shared" si="5"/>
        <v>50344</v>
      </c>
      <c r="L367" s="13">
        <f>VLOOKUP(B367,[1]进价!$A$1:$B$151,2,0)*表1[[#This Row],[销量]]</f>
        <v>42288.959999999999</v>
      </c>
    </row>
    <row r="368" spans="1:12" ht="15" customHeight="1" x14ac:dyDescent="0.15">
      <c r="A368" s="12">
        <v>365</v>
      </c>
      <c r="B368" s="3" t="s">
        <v>15</v>
      </c>
      <c r="C368" s="3" t="str">
        <f>VLOOKUP(B368,品名!$A$1:$C$151,2,0)</f>
        <v>海信</v>
      </c>
      <c r="D368" s="3" t="str">
        <f>VLOOKUP(B368,品名!$A$1:$C$151,3,0)</f>
        <v>HisenseLED39K200J 39英寸全高清LED液晶电视</v>
      </c>
      <c r="E368" s="3" t="str">
        <f>VLOOKUP(LEFT(B368,2),Sheet2!$A$1:$B$8,2,0)</f>
        <v>电视</v>
      </c>
      <c r="F368" s="4">
        <v>42877</v>
      </c>
      <c r="G368" s="3" t="s">
        <v>159</v>
      </c>
      <c r="H368" s="3" t="s">
        <v>170</v>
      </c>
      <c r="I368" s="5">
        <v>34</v>
      </c>
      <c r="J368" s="13">
        <f>VLOOKUP(B368,[1]单价!$A$1:$B$152,2,0)</f>
        <v>2499</v>
      </c>
      <c r="K368" s="13">
        <f t="shared" si="5"/>
        <v>84966</v>
      </c>
      <c r="L368" s="13">
        <f>VLOOKUP(B368,[1]进价!$A$1:$B$151,2,0)*表1[[#This Row],[销量]]</f>
        <v>73070.759999999995</v>
      </c>
    </row>
    <row r="369" spans="1:12" ht="15" customHeight="1" x14ac:dyDescent="0.15">
      <c r="A369" s="12">
        <v>366</v>
      </c>
      <c r="B369" s="3" t="s">
        <v>22</v>
      </c>
      <c r="C369" s="3" t="str">
        <f>VLOOKUP(B369,品名!$A$1:$C$151,2,0)</f>
        <v>康佳</v>
      </c>
      <c r="D369" s="3" t="str">
        <f>VLOOKUP(B369,品名!$A$1:$C$151,3,0)</f>
        <v>KONKA LED42E320N平板电视</v>
      </c>
      <c r="E369" s="3" t="str">
        <f>VLOOKUP(LEFT(B369,2),Sheet2!$A$1:$B$8,2,0)</f>
        <v>电视</v>
      </c>
      <c r="F369" s="4">
        <v>42882</v>
      </c>
      <c r="G369" s="3" t="s">
        <v>159</v>
      </c>
      <c r="H369" s="3" t="s">
        <v>170</v>
      </c>
      <c r="I369" s="5">
        <v>48</v>
      </c>
      <c r="J369" s="13">
        <f>VLOOKUP(B369,[1]单价!$A$1:$B$152,2,0)</f>
        <v>2998</v>
      </c>
      <c r="K369" s="13">
        <f t="shared" si="5"/>
        <v>143904</v>
      </c>
      <c r="L369" s="13">
        <f>VLOOKUP(B369,[1]进价!$A$1:$B$151,2,0)*表1[[#This Row],[销量]]</f>
        <v>126635.51999999999</v>
      </c>
    </row>
    <row r="370" spans="1:12" ht="15" customHeight="1" x14ac:dyDescent="0.15">
      <c r="A370" s="12">
        <v>367</v>
      </c>
      <c r="B370" s="3" t="s">
        <v>30</v>
      </c>
      <c r="C370" s="3" t="str">
        <f>VLOOKUP(B370,品名!$A$1:$C$151,2,0)</f>
        <v>奥克斯</v>
      </c>
      <c r="D370" s="3" t="str">
        <f>VLOOKUP(B370,品名!$A$1:$C$151,3,0)</f>
        <v>KFR-26GW/BPSSD-2空调</v>
      </c>
      <c r="E370" s="3" t="str">
        <f>VLOOKUP(LEFT(B370,2),Sheet2!$A$1:$B$8,2,0)</f>
        <v>空调</v>
      </c>
      <c r="F370" s="4">
        <v>42890</v>
      </c>
      <c r="G370" s="3" t="s">
        <v>159</v>
      </c>
      <c r="H370" s="3" t="s">
        <v>171</v>
      </c>
      <c r="I370" s="5">
        <v>37</v>
      </c>
      <c r="J370" s="13">
        <f>VLOOKUP(B370,[1]单价!$A$1:$B$152,2,0)</f>
        <v>2639</v>
      </c>
      <c r="K370" s="13">
        <f t="shared" si="5"/>
        <v>97643</v>
      </c>
      <c r="L370" s="13">
        <f>VLOOKUP(B370,[1]进价!$A$1:$B$151,2,0)*表1[[#This Row],[销量]]</f>
        <v>86902.27</v>
      </c>
    </row>
    <row r="371" spans="1:12" ht="15" customHeight="1" x14ac:dyDescent="0.15">
      <c r="A371" s="12">
        <v>368</v>
      </c>
      <c r="B371" s="3" t="s">
        <v>37</v>
      </c>
      <c r="C371" s="3" t="str">
        <f>VLOOKUP(B371,品名!$A$1:$C$151,2,0)</f>
        <v>格兰仕</v>
      </c>
      <c r="D371" s="3" t="str">
        <f>VLOOKUP(B371,品名!$A$1:$C$151,3,0)</f>
        <v>Galanz KFR-35GW/DLC45-130(2)空调</v>
      </c>
      <c r="E371" s="3" t="str">
        <f>VLOOKUP(LEFT(B371,2),Sheet2!$A$1:$B$8,2,0)</f>
        <v>空调</v>
      </c>
      <c r="F371" s="4">
        <v>42896</v>
      </c>
      <c r="G371" s="3" t="s">
        <v>159</v>
      </c>
      <c r="H371" s="3" t="s">
        <v>170</v>
      </c>
      <c r="I371" s="5">
        <v>41</v>
      </c>
      <c r="J371" s="13">
        <f>VLOOKUP(B371,[1]单价!$A$1:$B$152,2,0)</f>
        <v>1999</v>
      </c>
      <c r="K371" s="13">
        <f t="shared" si="5"/>
        <v>81959</v>
      </c>
      <c r="L371" s="13">
        <f>VLOOKUP(B371,[1]进价!$A$1:$B$151,2,0)*表1[[#This Row],[销量]]</f>
        <v>68845.56</v>
      </c>
    </row>
    <row r="372" spans="1:12" ht="15" customHeight="1" x14ac:dyDescent="0.15">
      <c r="A372" s="12">
        <v>369</v>
      </c>
      <c r="B372" s="3" t="s">
        <v>66</v>
      </c>
      <c r="C372" s="3" t="str">
        <f>VLOOKUP(B372,品名!$A$1:$C$151,2,0)</f>
        <v>海尔</v>
      </c>
      <c r="D372" s="3" t="str">
        <f>VLOOKUP(B372,品名!$A$1:$C$151,3,0)</f>
        <v>Haier bcd-186kb 双门冰箱</v>
      </c>
      <c r="E372" s="3" t="str">
        <f>VLOOKUP(LEFT(B372,2),Sheet2!$A$1:$B$8,2,0)</f>
        <v>冰箱</v>
      </c>
      <c r="F372" s="4">
        <v>42901</v>
      </c>
      <c r="G372" s="3" t="s">
        <v>159</v>
      </c>
      <c r="H372" s="3" t="s">
        <v>170</v>
      </c>
      <c r="I372" s="5">
        <v>24</v>
      </c>
      <c r="J372" s="13">
        <f>VLOOKUP(B372,[1]单价!$A$1:$B$152,2,0)</f>
        <v>1399</v>
      </c>
      <c r="K372" s="13">
        <f t="shared" si="5"/>
        <v>33576</v>
      </c>
      <c r="L372" s="13">
        <f>VLOOKUP(B372,[1]进价!$A$1:$B$151,2,0)*表1[[#This Row],[销量]]</f>
        <v>29882.639999999999</v>
      </c>
    </row>
    <row r="373" spans="1:12" ht="15" customHeight="1" x14ac:dyDescent="0.15">
      <c r="A373" s="12">
        <v>370</v>
      </c>
      <c r="B373" s="3" t="s">
        <v>77</v>
      </c>
      <c r="C373" s="3" t="str">
        <f>VLOOKUP(B373,品名!$A$1:$C$151,2,0)</f>
        <v>美的</v>
      </c>
      <c r="D373" s="3" t="str">
        <f>VLOOKUP(B373,品名!$A$1:$C$151,3,0)</f>
        <v>Midea BCD-206TM(E)冰箱</v>
      </c>
      <c r="E373" s="3" t="str">
        <f>VLOOKUP(LEFT(B373,2),Sheet2!$A$1:$B$8,2,0)</f>
        <v>冰箱</v>
      </c>
      <c r="F373" s="4">
        <v>42911</v>
      </c>
      <c r="G373" s="3" t="s">
        <v>159</v>
      </c>
      <c r="H373" s="3" t="s">
        <v>170</v>
      </c>
      <c r="I373" s="5">
        <v>16</v>
      </c>
      <c r="J373" s="13">
        <f>VLOOKUP(B373,[1]单价!$A$1:$B$152,2,0)</f>
        <v>1699</v>
      </c>
      <c r="K373" s="13">
        <f t="shared" si="5"/>
        <v>27184</v>
      </c>
      <c r="L373" s="13">
        <f>VLOOKUP(B373,[1]进价!$A$1:$B$151,2,0)*表1[[#This Row],[销量]]</f>
        <v>22834.560000000001</v>
      </c>
    </row>
    <row r="374" spans="1:12" ht="15" customHeight="1" x14ac:dyDescent="0.15">
      <c r="A374" s="12">
        <v>371</v>
      </c>
      <c r="B374" s="3" t="s">
        <v>47</v>
      </c>
      <c r="C374" s="3" t="str">
        <f>VLOOKUP(B374,品名!$A$1:$C$151,2,0)</f>
        <v>格兰仕</v>
      </c>
      <c r="D374" s="3" t="str">
        <f>VLOOKUP(B374,品名!$A$1:$C$151,3,0)</f>
        <v>Galanz ZSDF-G40K031 40L 电热水器</v>
      </c>
      <c r="E374" s="3" t="str">
        <f>VLOOKUP(LEFT(B374,2),Sheet2!$A$1:$B$8,2,0)</f>
        <v>热水器</v>
      </c>
      <c r="F374" s="4">
        <v>42916</v>
      </c>
      <c r="G374" s="3" t="s">
        <v>159</v>
      </c>
      <c r="H374" s="3" t="s">
        <v>170</v>
      </c>
      <c r="I374" s="5">
        <v>42</v>
      </c>
      <c r="J374" s="13">
        <f>VLOOKUP(B374,[1]单价!$A$1:$B$152,2,0)</f>
        <v>498</v>
      </c>
      <c r="K374" s="13">
        <f t="shared" si="5"/>
        <v>20916</v>
      </c>
      <c r="L374" s="13">
        <f>VLOOKUP(B374,[1]进价!$A$1:$B$151,2,0)*表1[[#This Row],[销量]]</f>
        <v>18615.240000000002</v>
      </c>
    </row>
    <row r="376" spans="1:12" ht="16.5" x14ac:dyDescent="0.15">
      <c r="F376" s="2"/>
    </row>
    <row r="377" spans="1:12" x14ac:dyDescent="0.15">
      <c r="F377" s="1"/>
    </row>
    <row r="378" spans="1:12" x14ac:dyDescent="0.15">
      <c r="F378" s="1"/>
    </row>
    <row r="379" spans="1:12" x14ac:dyDescent="0.15">
      <c r="F379" s="1"/>
    </row>
    <row r="380" spans="1:12" x14ac:dyDescent="0.15">
      <c r="F380" s="1"/>
    </row>
    <row r="381" spans="1:12" x14ac:dyDescent="0.15">
      <c r="F381" s="1"/>
    </row>
    <row r="382" spans="1:12" x14ac:dyDescent="0.15">
      <c r="F382" s="1"/>
    </row>
  </sheetData>
  <sortState ref="A4:P374">
    <sortCondition ref="G4:G374"/>
    <sortCondition ref="F4:F374"/>
  </sortState>
  <dataConsolidate/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topLeftCell="A28" workbookViewId="0">
      <selection activeCell="C13" sqref="C13"/>
    </sheetView>
  </sheetViews>
  <sheetFormatPr defaultRowHeight="11.25" x14ac:dyDescent="0.15"/>
  <cols>
    <col min="1" max="1" width="10" bestFit="1" customWidth="1"/>
    <col min="2" max="2" width="12.1640625" customWidth="1"/>
    <col min="3" max="3" width="57.5" customWidth="1"/>
  </cols>
  <sheetData>
    <row r="1" spans="1:3" x14ac:dyDescent="0.15">
      <c r="A1" t="s">
        <v>172</v>
      </c>
      <c r="B1" t="s">
        <v>167</v>
      </c>
      <c r="C1" t="s">
        <v>173</v>
      </c>
    </row>
    <row r="2" spans="1:3" x14ac:dyDescent="0.15">
      <c r="A2" t="s">
        <v>179</v>
      </c>
      <c r="B2" t="s">
        <v>207</v>
      </c>
      <c r="C2" t="s">
        <v>213</v>
      </c>
    </row>
    <row r="3" spans="1:3" x14ac:dyDescent="0.15">
      <c r="A3" t="s">
        <v>26</v>
      </c>
      <c r="B3" t="s">
        <v>207</v>
      </c>
      <c r="C3" t="s">
        <v>214</v>
      </c>
    </row>
    <row r="4" spans="1:3" x14ac:dyDescent="0.15">
      <c r="A4" t="s">
        <v>27</v>
      </c>
      <c r="B4" t="s">
        <v>207</v>
      </c>
      <c r="C4" t="s">
        <v>210</v>
      </c>
    </row>
    <row r="5" spans="1:3" x14ac:dyDescent="0.15">
      <c r="A5" t="s">
        <v>28</v>
      </c>
      <c r="B5" t="s">
        <v>207</v>
      </c>
      <c r="C5" t="s">
        <v>211</v>
      </c>
    </row>
    <row r="6" spans="1:3" x14ac:dyDescent="0.15">
      <c r="A6" t="s">
        <v>29</v>
      </c>
      <c r="B6" t="s">
        <v>207</v>
      </c>
      <c r="C6" t="s">
        <v>212</v>
      </c>
    </row>
    <row r="7" spans="1:3" x14ac:dyDescent="0.15">
      <c r="A7" t="s">
        <v>30</v>
      </c>
      <c r="B7" t="s">
        <v>220</v>
      </c>
      <c r="C7" t="s">
        <v>222</v>
      </c>
    </row>
    <row r="8" spans="1:3" x14ac:dyDescent="0.15">
      <c r="A8" t="s">
        <v>31</v>
      </c>
      <c r="B8" t="s">
        <v>220</v>
      </c>
      <c r="C8" t="s">
        <v>223</v>
      </c>
    </row>
    <row r="9" spans="1:3" x14ac:dyDescent="0.15">
      <c r="A9" t="s">
        <v>32</v>
      </c>
      <c r="B9" t="s">
        <v>220</v>
      </c>
      <c r="C9" t="s">
        <v>224</v>
      </c>
    </row>
    <row r="10" spans="1:3" x14ac:dyDescent="0.15">
      <c r="A10" t="s">
        <v>33</v>
      </c>
      <c r="B10" t="s">
        <v>220</v>
      </c>
      <c r="C10" t="s">
        <v>225</v>
      </c>
    </row>
    <row r="11" spans="1:3" x14ac:dyDescent="0.15">
      <c r="A11" t="s">
        <v>34</v>
      </c>
      <c r="B11" t="s">
        <v>220</v>
      </c>
      <c r="C11" t="s">
        <v>221</v>
      </c>
    </row>
    <row r="12" spans="1:3" x14ac:dyDescent="0.15">
      <c r="A12" t="s">
        <v>35</v>
      </c>
      <c r="B12" t="s">
        <v>245</v>
      </c>
      <c r="C12" t="s">
        <v>246</v>
      </c>
    </row>
    <row r="13" spans="1:3" x14ac:dyDescent="0.15">
      <c r="A13" t="s">
        <v>36</v>
      </c>
      <c r="B13" t="s">
        <v>245</v>
      </c>
      <c r="C13" t="s">
        <v>247</v>
      </c>
    </row>
    <row r="14" spans="1:3" x14ac:dyDescent="0.15">
      <c r="A14" t="s">
        <v>37</v>
      </c>
      <c r="B14" t="s">
        <v>245</v>
      </c>
      <c r="C14" t="s">
        <v>248</v>
      </c>
    </row>
    <row r="15" spans="1:3" x14ac:dyDescent="0.15">
      <c r="A15" t="s">
        <v>38</v>
      </c>
      <c r="B15" t="s">
        <v>269</v>
      </c>
      <c r="C15" t="s">
        <v>272</v>
      </c>
    </row>
    <row r="16" spans="1:3" x14ac:dyDescent="0.15">
      <c r="A16" t="s">
        <v>39</v>
      </c>
      <c r="B16" t="s">
        <v>269</v>
      </c>
      <c r="C16" t="s">
        <v>271</v>
      </c>
    </row>
    <row r="17" spans="1:3" x14ac:dyDescent="0.15">
      <c r="A17" t="s">
        <v>40</v>
      </c>
      <c r="B17" t="s">
        <v>369</v>
      </c>
      <c r="C17" t="s">
        <v>370</v>
      </c>
    </row>
    <row r="18" spans="1:3" x14ac:dyDescent="0.15">
      <c r="A18" t="s">
        <v>41</v>
      </c>
      <c r="B18" t="s">
        <v>371</v>
      </c>
      <c r="C18" t="s">
        <v>372</v>
      </c>
    </row>
    <row r="19" spans="1:3" x14ac:dyDescent="0.15">
      <c r="A19" t="s">
        <v>42</v>
      </c>
      <c r="B19" t="s">
        <v>374</v>
      </c>
      <c r="C19" t="s">
        <v>377</v>
      </c>
    </row>
    <row r="20" spans="1:3" x14ac:dyDescent="0.15">
      <c r="A20" t="s">
        <v>43</v>
      </c>
      <c r="B20" t="s">
        <v>374</v>
      </c>
      <c r="C20" t="s">
        <v>375</v>
      </c>
    </row>
    <row r="21" spans="1:3" x14ac:dyDescent="0.15">
      <c r="A21" t="s">
        <v>44</v>
      </c>
      <c r="B21" t="s">
        <v>374</v>
      </c>
      <c r="C21" t="s">
        <v>376</v>
      </c>
    </row>
    <row r="22" spans="1:3" x14ac:dyDescent="0.15">
      <c r="A22" t="s">
        <v>177</v>
      </c>
      <c r="B22" t="s">
        <v>185</v>
      </c>
      <c r="C22" t="s">
        <v>194</v>
      </c>
    </row>
    <row r="23" spans="1:3" x14ac:dyDescent="0.15">
      <c r="A23" t="s">
        <v>105</v>
      </c>
      <c r="B23" t="s">
        <v>185</v>
      </c>
      <c r="C23" t="s">
        <v>195</v>
      </c>
    </row>
    <row r="24" spans="1:3" x14ac:dyDescent="0.15">
      <c r="A24" t="s">
        <v>106</v>
      </c>
      <c r="B24" t="s">
        <v>185</v>
      </c>
      <c r="C24" t="s">
        <v>197</v>
      </c>
    </row>
    <row r="25" spans="1:3" x14ac:dyDescent="0.15">
      <c r="A25" t="s">
        <v>107</v>
      </c>
      <c r="B25" t="s">
        <v>185</v>
      </c>
      <c r="C25" t="s">
        <v>198</v>
      </c>
    </row>
    <row r="26" spans="1:3" x14ac:dyDescent="0.15">
      <c r="A26" t="s">
        <v>108</v>
      </c>
      <c r="B26" t="s">
        <v>185</v>
      </c>
      <c r="C26" t="s">
        <v>199</v>
      </c>
    </row>
    <row r="27" spans="1:3" x14ac:dyDescent="0.15">
      <c r="A27" t="s">
        <v>109</v>
      </c>
      <c r="B27" t="s">
        <v>185</v>
      </c>
      <c r="C27" t="s">
        <v>200</v>
      </c>
    </row>
    <row r="28" spans="1:3" x14ac:dyDescent="0.15">
      <c r="A28" t="s">
        <v>110</v>
      </c>
      <c r="B28" t="s">
        <v>185</v>
      </c>
      <c r="C28" t="s">
        <v>196</v>
      </c>
    </row>
    <row r="29" spans="1:3" x14ac:dyDescent="0.15">
      <c r="A29" t="s">
        <v>111</v>
      </c>
      <c r="B29" t="s">
        <v>185</v>
      </c>
      <c r="C29" t="s">
        <v>201</v>
      </c>
    </row>
    <row r="30" spans="1:3" x14ac:dyDescent="0.15">
      <c r="A30" t="s">
        <v>112</v>
      </c>
      <c r="B30" t="s">
        <v>282</v>
      </c>
      <c r="C30" t="s">
        <v>285</v>
      </c>
    </row>
    <row r="31" spans="1:3" x14ac:dyDescent="0.15">
      <c r="A31" t="s">
        <v>113</v>
      </c>
      <c r="B31" t="s">
        <v>282</v>
      </c>
      <c r="C31" t="s">
        <v>286</v>
      </c>
    </row>
    <row r="32" spans="1:3" x14ac:dyDescent="0.15">
      <c r="A32" t="s">
        <v>114</v>
      </c>
      <c r="B32" t="s">
        <v>282</v>
      </c>
      <c r="C32" t="s">
        <v>287</v>
      </c>
    </row>
    <row r="33" spans="1:3" x14ac:dyDescent="0.15">
      <c r="A33" t="s">
        <v>115</v>
      </c>
      <c r="B33" t="s">
        <v>233</v>
      </c>
      <c r="C33" t="s">
        <v>235</v>
      </c>
    </row>
    <row r="34" spans="1:3" x14ac:dyDescent="0.15">
      <c r="A34" t="s">
        <v>116</v>
      </c>
      <c r="B34" t="s">
        <v>233</v>
      </c>
      <c r="C34" t="s">
        <v>238</v>
      </c>
    </row>
    <row r="35" spans="1:3" x14ac:dyDescent="0.15">
      <c r="A35" t="s">
        <v>117</v>
      </c>
      <c r="B35" t="s">
        <v>233</v>
      </c>
      <c r="C35" t="s">
        <v>241</v>
      </c>
    </row>
    <row r="36" spans="1:3" x14ac:dyDescent="0.15">
      <c r="A36" t="s">
        <v>118</v>
      </c>
      <c r="B36" t="s">
        <v>233</v>
      </c>
      <c r="C36" t="s">
        <v>242</v>
      </c>
    </row>
    <row r="37" spans="1:3" x14ac:dyDescent="0.15">
      <c r="A37" t="s">
        <v>119</v>
      </c>
      <c r="B37" t="s">
        <v>233</v>
      </c>
      <c r="C37" t="s">
        <v>234</v>
      </c>
    </row>
    <row r="38" spans="1:3" x14ac:dyDescent="0.15">
      <c r="A38" t="s">
        <v>120</v>
      </c>
      <c r="B38" t="s">
        <v>306</v>
      </c>
      <c r="C38" t="s">
        <v>313</v>
      </c>
    </row>
    <row r="39" spans="1:3" x14ac:dyDescent="0.15">
      <c r="A39" t="s">
        <v>121</v>
      </c>
      <c r="B39" t="s">
        <v>306</v>
      </c>
      <c r="C39" t="s">
        <v>314</v>
      </c>
    </row>
    <row r="40" spans="1:3" x14ac:dyDescent="0.15">
      <c r="A40" t="s">
        <v>122</v>
      </c>
      <c r="B40" t="s">
        <v>306</v>
      </c>
      <c r="C40" t="s">
        <v>315</v>
      </c>
    </row>
    <row r="41" spans="1:3" x14ac:dyDescent="0.15">
      <c r="A41" t="s">
        <v>123</v>
      </c>
      <c r="B41" t="s">
        <v>306</v>
      </c>
      <c r="C41" t="s">
        <v>316</v>
      </c>
    </row>
    <row r="42" spans="1:3" x14ac:dyDescent="0.15">
      <c r="A42" t="s">
        <v>175</v>
      </c>
      <c r="B42" t="s">
        <v>185</v>
      </c>
      <c r="C42" t="s">
        <v>186</v>
      </c>
    </row>
    <row r="43" spans="1:3" x14ac:dyDescent="0.15">
      <c r="A43" t="s">
        <v>125</v>
      </c>
      <c r="B43" t="s">
        <v>185</v>
      </c>
      <c r="C43" t="s">
        <v>202</v>
      </c>
    </row>
    <row r="44" spans="1:3" x14ac:dyDescent="0.15">
      <c r="A44" t="s">
        <v>126</v>
      </c>
      <c r="B44" t="s">
        <v>185</v>
      </c>
      <c r="C44" t="s">
        <v>203</v>
      </c>
    </row>
    <row r="45" spans="1:3" x14ac:dyDescent="0.15">
      <c r="A45" t="s">
        <v>127</v>
      </c>
      <c r="B45" t="s">
        <v>185</v>
      </c>
      <c r="C45" t="s">
        <v>187</v>
      </c>
    </row>
    <row r="46" spans="1:3" x14ac:dyDescent="0.15">
      <c r="A46" t="s">
        <v>128</v>
      </c>
      <c r="B46" t="s">
        <v>233</v>
      </c>
      <c r="C46" t="s">
        <v>236</v>
      </c>
    </row>
    <row r="47" spans="1:3" x14ac:dyDescent="0.15">
      <c r="A47" t="s">
        <v>129</v>
      </c>
      <c r="B47" t="s">
        <v>233</v>
      </c>
      <c r="C47" t="s">
        <v>237</v>
      </c>
    </row>
    <row r="48" spans="1:3" x14ac:dyDescent="0.15">
      <c r="A48" t="s">
        <v>130</v>
      </c>
      <c r="B48" t="s">
        <v>233</v>
      </c>
      <c r="C48" t="s">
        <v>239</v>
      </c>
    </row>
    <row r="49" spans="1:3" x14ac:dyDescent="0.15">
      <c r="A49" t="s">
        <v>131</v>
      </c>
      <c r="B49" t="s">
        <v>233</v>
      </c>
      <c r="C49" t="s">
        <v>240</v>
      </c>
    </row>
    <row r="50" spans="1:3" x14ac:dyDescent="0.15">
      <c r="A50" t="s">
        <v>132</v>
      </c>
      <c r="B50" t="s">
        <v>306</v>
      </c>
      <c r="C50" t="s">
        <v>310</v>
      </c>
    </row>
    <row r="51" spans="1:3" x14ac:dyDescent="0.15">
      <c r="A51" t="s">
        <v>133</v>
      </c>
      <c r="B51" t="s">
        <v>306</v>
      </c>
      <c r="C51" t="s">
        <v>307</v>
      </c>
    </row>
    <row r="52" spans="1:3" x14ac:dyDescent="0.15">
      <c r="A52" t="s">
        <v>134</v>
      </c>
      <c r="B52" t="s">
        <v>306</v>
      </c>
      <c r="C52" t="s">
        <v>308</v>
      </c>
    </row>
    <row r="53" spans="1:3" x14ac:dyDescent="0.15">
      <c r="A53" t="s">
        <v>135</v>
      </c>
      <c r="B53" t="s">
        <v>306</v>
      </c>
      <c r="C53" t="s">
        <v>311</v>
      </c>
    </row>
    <row r="54" spans="1:3" x14ac:dyDescent="0.15">
      <c r="A54" t="s">
        <v>136</v>
      </c>
      <c r="B54" t="s">
        <v>291</v>
      </c>
      <c r="C54" t="s">
        <v>292</v>
      </c>
    </row>
    <row r="55" spans="1:3" x14ac:dyDescent="0.15">
      <c r="A55" t="s">
        <v>137</v>
      </c>
      <c r="B55" t="s">
        <v>306</v>
      </c>
      <c r="C55" t="s">
        <v>309</v>
      </c>
    </row>
    <row r="56" spans="1:3" x14ac:dyDescent="0.15">
      <c r="A56" t="s">
        <v>180</v>
      </c>
      <c r="B56" t="s">
        <v>253</v>
      </c>
      <c r="C56" t="s">
        <v>258</v>
      </c>
    </row>
    <row r="57" spans="1:3" x14ac:dyDescent="0.15">
      <c r="A57" t="s">
        <v>66</v>
      </c>
      <c r="B57" t="s">
        <v>253</v>
      </c>
      <c r="C57" t="s">
        <v>255</v>
      </c>
    </row>
    <row r="58" spans="1:3" x14ac:dyDescent="0.15">
      <c r="A58" t="s">
        <v>67</v>
      </c>
      <c r="B58" t="s">
        <v>207</v>
      </c>
      <c r="C58" t="s">
        <v>209</v>
      </c>
    </row>
    <row r="59" spans="1:3" x14ac:dyDescent="0.15">
      <c r="A59" t="s">
        <v>68</v>
      </c>
      <c r="B59" t="s">
        <v>226</v>
      </c>
      <c r="C59" t="s">
        <v>227</v>
      </c>
    </row>
    <row r="60" spans="1:3" x14ac:dyDescent="0.15">
      <c r="A60" t="s">
        <v>69</v>
      </c>
      <c r="B60" t="s">
        <v>226</v>
      </c>
      <c r="C60" t="s">
        <v>228</v>
      </c>
    </row>
    <row r="61" spans="1:3" x14ac:dyDescent="0.15">
      <c r="A61" t="s">
        <v>70</v>
      </c>
      <c r="B61" t="s">
        <v>253</v>
      </c>
      <c r="C61" t="s">
        <v>256</v>
      </c>
    </row>
    <row r="62" spans="1:3" x14ac:dyDescent="0.15">
      <c r="A62" t="s">
        <v>71</v>
      </c>
      <c r="B62" t="s">
        <v>253</v>
      </c>
      <c r="C62" t="s">
        <v>257</v>
      </c>
    </row>
    <row r="63" spans="1:3" x14ac:dyDescent="0.15">
      <c r="A63" t="s">
        <v>72</v>
      </c>
      <c r="B63" t="s">
        <v>253</v>
      </c>
      <c r="C63" t="s">
        <v>259</v>
      </c>
    </row>
    <row r="64" spans="1:3" x14ac:dyDescent="0.15">
      <c r="A64" t="s">
        <v>73</v>
      </c>
      <c r="B64" t="s">
        <v>253</v>
      </c>
      <c r="C64" t="s">
        <v>260</v>
      </c>
    </row>
    <row r="65" spans="1:3" x14ac:dyDescent="0.15">
      <c r="A65" t="s">
        <v>74</v>
      </c>
      <c r="B65" t="s">
        <v>269</v>
      </c>
      <c r="C65" t="s">
        <v>270</v>
      </c>
    </row>
    <row r="66" spans="1:3" x14ac:dyDescent="0.15">
      <c r="A66" t="s">
        <v>75</v>
      </c>
      <c r="B66" t="s">
        <v>295</v>
      </c>
      <c r="C66" t="s">
        <v>296</v>
      </c>
    </row>
    <row r="67" spans="1:3" x14ac:dyDescent="0.15">
      <c r="A67" t="s">
        <v>76</v>
      </c>
      <c r="B67" t="s">
        <v>295</v>
      </c>
      <c r="C67" t="s">
        <v>297</v>
      </c>
    </row>
    <row r="68" spans="1:3" x14ac:dyDescent="0.15">
      <c r="A68" t="s">
        <v>77</v>
      </c>
      <c r="B68" t="s">
        <v>320</v>
      </c>
      <c r="C68" t="s">
        <v>321</v>
      </c>
    </row>
    <row r="69" spans="1:3" x14ac:dyDescent="0.15">
      <c r="A69" t="s">
        <v>78</v>
      </c>
      <c r="B69" t="s">
        <v>326</v>
      </c>
      <c r="C69" t="s">
        <v>327</v>
      </c>
    </row>
    <row r="70" spans="1:3" x14ac:dyDescent="0.15">
      <c r="A70" t="s">
        <v>79</v>
      </c>
      <c r="B70" t="s">
        <v>326</v>
      </c>
      <c r="C70" t="s">
        <v>328</v>
      </c>
    </row>
    <row r="71" spans="1:3" x14ac:dyDescent="0.15">
      <c r="A71" t="s">
        <v>80</v>
      </c>
      <c r="B71" t="s">
        <v>332</v>
      </c>
      <c r="C71" t="s">
        <v>334</v>
      </c>
    </row>
    <row r="72" spans="1:3" x14ac:dyDescent="0.15">
      <c r="A72" t="s">
        <v>81</v>
      </c>
      <c r="B72" t="s">
        <v>332</v>
      </c>
      <c r="C72" t="s">
        <v>333</v>
      </c>
    </row>
    <row r="73" spans="1:3" x14ac:dyDescent="0.15">
      <c r="A73" t="s">
        <v>82</v>
      </c>
      <c r="B73" t="s">
        <v>355</v>
      </c>
      <c r="C73" t="s">
        <v>358</v>
      </c>
    </row>
    <row r="74" spans="1:3" x14ac:dyDescent="0.15">
      <c r="A74" t="s">
        <v>83</v>
      </c>
      <c r="B74" t="s">
        <v>355</v>
      </c>
      <c r="C74" t="s">
        <v>356</v>
      </c>
    </row>
    <row r="75" spans="1:3" x14ac:dyDescent="0.15">
      <c r="A75" t="s">
        <v>84</v>
      </c>
      <c r="B75" t="s">
        <v>355</v>
      </c>
      <c r="C75" t="s">
        <v>357</v>
      </c>
    </row>
    <row r="76" spans="1:3" x14ac:dyDescent="0.15">
      <c r="A76" t="s">
        <v>176</v>
      </c>
      <c r="B76" t="s">
        <v>185</v>
      </c>
      <c r="C76" t="s">
        <v>188</v>
      </c>
    </row>
    <row r="77" spans="1:3" x14ac:dyDescent="0.15">
      <c r="A77" t="s">
        <v>139</v>
      </c>
      <c r="B77" t="s">
        <v>185</v>
      </c>
      <c r="C77" t="s">
        <v>189</v>
      </c>
    </row>
    <row r="78" spans="1:3" x14ac:dyDescent="0.15">
      <c r="A78" t="s">
        <v>140</v>
      </c>
      <c r="B78" t="s">
        <v>185</v>
      </c>
      <c r="C78" t="s">
        <v>190</v>
      </c>
    </row>
    <row r="79" spans="1:3" x14ac:dyDescent="0.15">
      <c r="A79" t="s">
        <v>141</v>
      </c>
      <c r="B79" t="s">
        <v>185</v>
      </c>
      <c r="C79" t="s">
        <v>191</v>
      </c>
    </row>
    <row r="80" spans="1:3" x14ac:dyDescent="0.15">
      <c r="A80" t="s">
        <v>142</v>
      </c>
      <c r="B80" t="s">
        <v>185</v>
      </c>
      <c r="C80" t="s">
        <v>192</v>
      </c>
    </row>
    <row r="81" spans="1:3" x14ac:dyDescent="0.15">
      <c r="A81" t="s">
        <v>143</v>
      </c>
      <c r="B81" t="s">
        <v>185</v>
      </c>
      <c r="C81" t="s">
        <v>193</v>
      </c>
    </row>
    <row r="82" spans="1:3" x14ac:dyDescent="0.15">
      <c r="A82" t="s">
        <v>144</v>
      </c>
      <c r="B82" t="s">
        <v>282</v>
      </c>
      <c r="C82" t="s">
        <v>284</v>
      </c>
    </row>
    <row r="83" spans="1:3" x14ac:dyDescent="0.15">
      <c r="A83" t="s">
        <v>145</v>
      </c>
      <c r="B83" t="s">
        <v>293</v>
      </c>
      <c r="C83" t="s">
        <v>294</v>
      </c>
    </row>
    <row r="84" spans="1:3" x14ac:dyDescent="0.15">
      <c r="A84" t="s">
        <v>146</v>
      </c>
      <c r="B84" t="s">
        <v>278</v>
      </c>
      <c r="C84" t="s">
        <v>279</v>
      </c>
    </row>
    <row r="85" spans="1:3" x14ac:dyDescent="0.15">
      <c r="A85" t="s">
        <v>147</v>
      </c>
      <c r="B85" t="s">
        <v>289</v>
      </c>
      <c r="C85" t="s">
        <v>290</v>
      </c>
    </row>
    <row r="86" spans="1:3" x14ac:dyDescent="0.15">
      <c r="A86" t="s">
        <v>148</v>
      </c>
      <c r="B86" t="s">
        <v>351</v>
      </c>
      <c r="C86" t="s">
        <v>352</v>
      </c>
    </row>
    <row r="87" spans="1:3" x14ac:dyDescent="0.15">
      <c r="A87" t="s">
        <v>149</v>
      </c>
      <c r="B87" t="s">
        <v>335</v>
      </c>
      <c r="C87" t="s">
        <v>336</v>
      </c>
    </row>
    <row r="88" spans="1:3" x14ac:dyDescent="0.15">
      <c r="A88" t="s">
        <v>150</v>
      </c>
      <c r="B88" t="s">
        <v>306</v>
      </c>
      <c r="C88" t="s">
        <v>312</v>
      </c>
    </row>
    <row r="89" spans="1:3" x14ac:dyDescent="0.15">
      <c r="A89" t="s">
        <v>151</v>
      </c>
      <c r="B89" t="s">
        <v>282</v>
      </c>
      <c r="C89" t="s">
        <v>283</v>
      </c>
    </row>
    <row r="90" spans="1:3" x14ac:dyDescent="0.15">
      <c r="A90" t="s">
        <v>152</v>
      </c>
      <c r="B90" t="s">
        <v>282</v>
      </c>
      <c r="C90" t="s">
        <v>288</v>
      </c>
    </row>
    <row r="91" spans="1:3" x14ac:dyDescent="0.15">
      <c r="A91" t="s">
        <v>153</v>
      </c>
      <c r="B91" t="s">
        <v>366</v>
      </c>
      <c r="C91" t="s">
        <v>368</v>
      </c>
    </row>
    <row r="92" spans="1:3" x14ac:dyDescent="0.15">
      <c r="A92" t="s">
        <v>154</v>
      </c>
      <c r="B92" t="s">
        <v>366</v>
      </c>
      <c r="C92" t="s">
        <v>367</v>
      </c>
    </row>
    <row r="93" spans="1:3" x14ac:dyDescent="0.15">
      <c r="A93" t="s">
        <v>181</v>
      </c>
      <c r="B93" t="s">
        <v>343</v>
      </c>
      <c r="C93" t="s">
        <v>344</v>
      </c>
    </row>
    <row r="94" spans="1:3" x14ac:dyDescent="0.15">
      <c r="A94" t="s">
        <v>6</v>
      </c>
      <c r="B94" t="s">
        <v>304</v>
      </c>
      <c r="C94" t="s">
        <v>305</v>
      </c>
    </row>
    <row r="95" spans="1:3" x14ac:dyDescent="0.15">
      <c r="A95" t="s">
        <v>7</v>
      </c>
      <c r="B95" t="s">
        <v>269</v>
      </c>
      <c r="C95" t="s">
        <v>273</v>
      </c>
    </row>
    <row r="96" spans="1:3" x14ac:dyDescent="0.15">
      <c r="A96" t="s">
        <v>8</v>
      </c>
      <c r="B96" t="s">
        <v>295</v>
      </c>
      <c r="C96" t="s">
        <v>299</v>
      </c>
    </row>
    <row r="97" spans="1:3" x14ac:dyDescent="0.15">
      <c r="A97" t="s">
        <v>9</v>
      </c>
      <c r="B97" t="s">
        <v>269</v>
      </c>
      <c r="C97" t="s">
        <v>275</v>
      </c>
    </row>
    <row r="98" spans="1:3" x14ac:dyDescent="0.15">
      <c r="A98" t="s">
        <v>10</v>
      </c>
      <c r="B98" t="s">
        <v>269</v>
      </c>
      <c r="C98" t="s">
        <v>276</v>
      </c>
    </row>
    <row r="99" spans="1:3" x14ac:dyDescent="0.15">
      <c r="A99" t="s">
        <v>11</v>
      </c>
      <c r="B99" t="s">
        <v>231</v>
      </c>
      <c r="C99" t="s">
        <v>232</v>
      </c>
    </row>
    <row r="100" spans="1:3" x14ac:dyDescent="0.15">
      <c r="A100" t="s">
        <v>12</v>
      </c>
      <c r="B100" t="s">
        <v>207</v>
      </c>
      <c r="C100" t="s">
        <v>215</v>
      </c>
    </row>
    <row r="101" spans="1:3" x14ac:dyDescent="0.15">
      <c r="A101" t="s">
        <v>13</v>
      </c>
      <c r="B101" t="s">
        <v>204</v>
      </c>
      <c r="C101" t="s">
        <v>205</v>
      </c>
    </row>
    <row r="102" spans="1:3" x14ac:dyDescent="0.15">
      <c r="A102" t="s">
        <v>14</v>
      </c>
      <c r="B102" t="s">
        <v>269</v>
      </c>
      <c r="C102" t="s">
        <v>274</v>
      </c>
    </row>
    <row r="103" spans="1:3" x14ac:dyDescent="0.15">
      <c r="A103" t="s">
        <v>15</v>
      </c>
      <c r="B103" t="s">
        <v>269</v>
      </c>
      <c r="C103" t="s">
        <v>277</v>
      </c>
    </row>
    <row r="104" spans="1:3" x14ac:dyDescent="0.15">
      <c r="A104" t="s">
        <v>16</v>
      </c>
      <c r="B104" t="s">
        <v>295</v>
      </c>
      <c r="C104" t="s">
        <v>302</v>
      </c>
    </row>
    <row r="105" spans="1:3" x14ac:dyDescent="0.15">
      <c r="A105" t="s">
        <v>17</v>
      </c>
      <c r="B105" t="s">
        <v>295</v>
      </c>
      <c r="C105" t="s">
        <v>298</v>
      </c>
    </row>
    <row r="106" spans="1:3" x14ac:dyDescent="0.15">
      <c r="A106" t="s">
        <v>18</v>
      </c>
      <c r="B106" t="s">
        <v>343</v>
      </c>
      <c r="C106" t="s">
        <v>345</v>
      </c>
    </row>
    <row r="107" spans="1:3" x14ac:dyDescent="0.15">
      <c r="A107" t="s">
        <v>19</v>
      </c>
      <c r="B107" t="s">
        <v>359</v>
      </c>
      <c r="C107" t="s">
        <v>360</v>
      </c>
    </row>
    <row r="108" spans="1:3" x14ac:dyDescent="0.15">
      <c r="A108" t="s">
        <v>20</v>
      </c>
      <c r="B108" t="s">
        <v>207</v>
      </c>
      <c r="C108" t="s">
        <v>208</v>
      </c>
    </row>
    <row r="109" spans="1:3" x14ac:dyDescent="0.15">
      <c r="A109" t="s">
        <v>21</v>
      </c>
      <c r="B109" t="s">
        <v>295</v>
      </c>
      <c r="C109" t="s">
        <v>300</v>
      </c>
    </row>
    <row r="110" spans="1:3" x14ac:dyDescent="0.15">
      <c r="A110" t="s">
        <v>22</v>
      </c>
      <c r="B110" t="s">
        <v>295</v>
      </c>
      <c r="C110" t="s">
        <v>301</v>
      </c>
    </row>
    <row r="111" spans="1:3" x14ac:dyDescent="0.15">
      <c r="A111" t="s">
        <v>23</v>
      </c>
      <c r="B111" t="s">
        <v>371</v>
      </c>
      <c r="C111" t="s">
        <v>373</v>
      </c>
    </row>
    <row r="112" spans="1:3" x14ac:dyDescent="0.15">
      <c r="A112" t="s">
        <v>24</v>
      </c>
      <c r="B112" t="s">
        <v>359</v>
      </c>
      <c r="C112" t="s">
        <v>361</v>
      </c>
    </row>
    <row r="113" spans="1:3" x14ac:dyDescent="0.15">
      <c r="A113" t="s">
        <v>174</v>
      </c>
      <c r="B113" t="s">
        <v>182</v>
      </c>
      <c r="C113" t="s">
        <v>183</v>
      </c>
    </row>
    <row r="114" spans="1:3" x14ac:dyDescent="0.15">
      <c r="A114" t="s">
        <v>46</v>
      </c>
      <c r="B114" t="s">
        <v>182</v>
      </c>
      <c r="C114" t="s">
        <v>184</v>
      </c>
    </row>
    <row r="115" spans="1:3" x14ac:dyDescent="0.15">
      <c r="A115" t="s">
        <v>47</v>
      </c>
      <c r="B115" t="s">
        <v>245</v>
      </c>
      <c r="C115" t="s">
        <v>250</v>
      </c>
    </row>
    <row r="116" spans="1:3" x14ac:dyDescent="0.15">
      <c r="A116" t="s">
        <v>48</v>
      </c>
      <c r="B116" t="s">
        <v>253</v>
      </c>
      <c r="C116" t="s">
        <v>254</v>
      </c>
    </row>
    <row r="117" spans="1:3" x14ac:dyDescent="0.15">
      <c r="A117" t="s">
        <v>49</v>
      </c>
      <c r="B117" t="s">
        <v>253</v>
      </c>
      <c r="C117" t="s">
        <v>262</v>
      </c>
    </row>
    <row r="118" spans="1:3" x14ac:dyDescent="0.15">
      <c r="A118" t="s">
        <v>50</v>
      </c>
      <c r="B118" t="s">
        <v>253</v>
      </c>
      <c r="C118" t="s">
        <v>261</v>
      </c>
    </row>
    <row r="119" spans="1:3" x14ac:dyDescent="0.15">
      <c r="A119" t="s">
        <v>51</v>
      </c>
      <c r="B119" t="s">
        <v>253</v>
      </c>
      <c r="C119" t="s">
        <v>263</v>
      </c>
    </row>
    <row r="120" spans="1:3" x14ac:dyDescent="0.15">
      <c r="A120" t="s">
        <v>52</v>
      </c>
      <c r="B120" t="s">
        <v>253</v>
      </c>
      <c r="C120" t="s">
        <v>264</v>
      </c>
    </row>
    <row r="121" spans="1:3" x14ac:dyDescent="0.15">
      <c r="A121" t="s">
        <v>53</v>
      </c>
      <c r="B121" t="s">
        <v>253</v>
      </c>
      <c r="C121" t="s">
        <v>265</v>
      </c>
    </row>
    <row r="122" spans="1:3" x14ac:dyDescent="0.15">
      <c r="A122" t="s">
        <v>54</v>
      </c>
      <c r="B122" t="s">
        <v>317</v>
      </c>
      <c r="C122" t="s">
        <v>318</v>
      </c>
    </row>
    <row r="123" spans="1:3" x14ac:dyDescent="0.15">
      <c r="A123" t="s">
        <v>55</v>
      </c>
      <c r="B123" t="s">
        <v>317</v>
      </c>
      <c r="C123" t="s">
        <v>319</v>
      </c>
    </row>
    <row r="124" spans="1:3" x14ac:dyDescent="0.15">
      <c r="A124" t="s">
        <v>56</v>
      </c>
      <c r="B124" t="s">
        <v>320</v>
      </c>
      <c r="C124" t="s">
        <v>323</v>
      </c>
    </row>
    <row r="125" spans="1:3" x14ac:dyDescent="0.15">
      <c r="A125" t="s">
        <v>57</v>
      </c>
      <c r="B125" t="s">
        <v>320</v>
      </c>
      <c r="C125" t="s">
        <v>322</v>
      </c>
    </row>
    <row r="126" spans="1:3" x14ac:dyDescent="0.15">
      <c r="A126" t="s">
        <v>58</v>
      </c>
      <c r="B126" t="s">
        <v>320</v>
      </c>
      <c r="C126" t="s">
        <v>324</v>
      </c>
    </row>
    <row r="127" spans="1:3" x14ac:dyDescent="0.15">
      <c r="A127" t="s">
        <v>59</v>
      </c>
      <c r="B127" t="s">
        <v>320</v>
      </c>
      <c r="C127" t="s">
        <v>325</v>
      </c>
    </row>
    <row r="128" spans="1:3" x14ac:dyDescent="0.15">
      <c r="A128" t="s">
        <v>60</v>
      </c>
      <c r="B128" t="s">
        <v>329</v>
      </c>
      <c r="C128" t="s">
        <v>330</v>
      </c>
    </row>
    <row r="129" spans="1:3" x14ac:dyDescent="0.15">
      <c r="A129" t="s">
        <v>61</v>
      </c>
      <c r="B129" t="s">
        <v>329</v>
      </c>
      <c r="C129" t="s">
        <v>331</v>
      </c>
    </row>
    <row r="130" spans="1:3" x14ac:dyDescent="0.15">
      <c r="A130" t="s">
        <v>62</v>
      </c>
      <c r="B130" t="s">
        <v>348</v>
      </c>
      <c r="C130" t="s">
        <v>349</v>
      </c>
    </row>
    <row r="131" spans="1:3" x14ac:dyDescent="0.15">
      <c r="A131" t="s">
        <v>63</v>
      </c>
      <c r="B131" t="s">
        <v>348</v>
      </c>
      <c r="C131" t="s">
        <v>350</v>
      </c>
    </row>
    <row r="132" spans="1:3" x14ac:dyDescent="0.15">
      <c r="A132" t="s">
        <v>64</v>
      </c>
      <c r="B132" t="s">
        <v>362</v>
      </c>
      <c r="C132" t="s">
        <v>363</v>
      </c>
    </row>
    <row r="133" spans="1:3" x14ac:dyDescent="0.15">
      <c r="A133" t="s">
        <v>178</v>
      </c>
      <c r="B133" t="s">
        <v>204</v>
      </c>
      <c r="C133" t="s">
        <v>206</v>
      </c>
    </row>
    <row r="134" spans="1:3" x14ac:dyDescent="0.15">
      <c r="A134" t="s">
        <v>86</v>
      </c>
      <c r="B134" t="s">
        <v>216</v>
      </c>
      <c r="C134" t="s">
        <v>217</v>
      </c>
    </row>
    <row r="135" spans="1:3" x14ac:dyDescent="0.15">
      <c r="A135" t="s">
        <v>87</v>
      </c>
      <c r="B135" t="s">
        <v>218</v>
      </c>
      <c r="C135" t="s">
        <v>219</v>
      </c>
    </row>
    <row r="136" spans="1:3" x14ac:dyDescent="0.15">
      <c r="A136" t="s">
        <v>88</v>
      </c>
      <c r="B136" t="s">
        <v>229</v>
      </c>
      <c r="C136" t="s">
        <v>230</v>
      </c>
    </row>
    <row r="137" spans="1:3" x14ac:dyDescent="0.15">
      <c r="A137" t="s">
        <v>89</v>
      </c>
      <c r="B137" t="s">
        <v>243</v>
      </c>
      <c r="C137" t="s">
        <v>244</v>
      </c>
    </row>
    <row r="138" spans="1:3" x14ac:dyDescent="0.15">
      <c r="A138" t="s">
        <v>90</v>
      </c>
      <c r="B138" t="s">
        <v>245</v>
      </c>
      <c r="C138" t="s">
        <v>249</v>
      </c>
    </row>
    <row r="139" spans="1:3" x14ac:dyDescent="0.15">
      <c r="A139" t="s">
        <v>91</v>
      </c>
      <c r="B139" t="s">
        <v>251</v>
      </c>
      <c r="C139" t="s">
        <v>252</v>
      </c>
    </row>
    <row r="140" spans="1:3" x14ac:dyDescent="0.15">
      <c r="A140" t="s">
        <v>92</v>
      </c>
      <c r="B140" t="s">
        <v>253</v>
      </c>
      <c r="C140" t="s">
        <v>266</v>
      </c>
    </row>
    <row r="141" spans="1:3" x14ac:dyDescent="0.15">
      <c r="A141" t="s">
        <v>93</v>
      </c>
      <c r="B141" t="s">
        <v>253</v>
      </c>
      <c r="C141" t="s">
        <v>267</v>
      </c>
    </row>
    <row r="142" spans="1:3" x14ac:dyDescent="0.15">
      <c r="A142" t="s">
        <v>94</v>
      </c>
      <c r="B142" t="s">
        <v>253</v>
      </c>
      <c r="C142" t="s">
        <v>268</v>
      </c>
    </row>
    <row r="143" spans="1:3" x14ac:dyDescent="0.15">
      <c r="A143" t="s">
        <v>95</v>
      </c>
      <c r="B143" t="s">
        <v>280</v>
      </c>
      <c r="C143" t="s">
        <v>281</v>
      </c>
    </row>
    <row r="144" spans="1:3" x14ac:dyDescent="0.15">
      <c r="A144" t="s">
        <v>96</v>
      </c>
      <c r="B144" t="s">
        <v>295</v>
      </c>
      <c r="C144" t="s">
        <v>303</v>
      </c>
    </row>
    <row r="145" spans="1:3" x14ac:dyDescent="0.15">
      <c r="A145" t="s">
        <v>97</v>
      </c>
      <c r="B145" t="s">
        <v>337</v>
      </c>
      <c r="C145" t="s">
        <v>338</v>
      </c>
    </row>
    <row r="146" spans="1:3" x14ac:dyDescent="0.15">
      <c r="A146" t="s">
        <v>98</v>
      </c>
      <c r="B146" t="s">
        <v>339</v>
      </c>
      <c r="C146" t="s">
        <v>340</v>
      </c>
    </row>
    <row r="147" spans="1:3" x14ac:dyDescent="0.15">
      <c r="A147" t="s">
        <v>99</v>
      </c>
      <c r="B147" t="s">
        <v>341</v>
      </c>
      <c r="C147" t="s">
        <v>342</v>
      </c>
    </row>
    <row r="148" spans="1:3" x14ac:dyDescent="0.15">
      <c r="A148" t="s">
        <v>100</v>
      </c>
      <c r="B148" t="s">
        <v>346</v>
      </c>
      <c r="C148" t="s">
        <v>347</v>
      </c>
    </row>
    <row r="149" spans="1:3" x14ac:dyDescent="0.15">
      <c r="A149" t="s">
        <v>101</v>
      </c>
      <c r="B149" t="s">
        <v>353</v>
      </c>
      <c r="C149" t="s">
        <v>354</v>
      </c>
    </row>
    <row r="150" spans="1:3" x14ac:dyDescent="0.15">
      <c r="A150" t="s">
        <v>102</v>
      </c>
      <c r="B150" t="s">
        <v>362</v>
      </c>
      <c r="C150" t="s">
        <v>364</v>
      </c>
    </row>
    <row r="151" spans="1:3" x14ac:dyDescent="0.15">
      <c r="A151" t="s">
        <v>103</v>
      </c>
      <c r="B151" t="s">
        <v>362</v>
      </c>
      <c r="C151" t="s">
        <v>365</v>
      </c>
    </row>
  </sheetData>
  <sortState ref="A2:C151">
    <sortCondition ref="A2:A151"/>
  </sortState>
  <phoneticPr fontId="1" type="noConversion"/>
  <conditionalFormatting sqref="C2:C151">
    <cfRule type="expression" dxfId="0" priority="1">
      <formula>COUNTIF($C$2:$C2,C2)&gt;1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8" sqref="E8"/>
    </sheetView>
  </sheetViews>
  <sheetFormatPr defaultRowHeight="11.25" x14ac:dyDescent="0.15"/>
  <sheetData>
    <row r="1" spans="1:2" x14ac:dyDescent="0.15">
      <c r="A1" t="s">
        <v>378</v>
      </c>
      <c r="B1" t="s">
        <v>386</v>
      </c>
    </row>
    <row r="2" spans="1:2" x14ac:dyDescent="0.15">
      <c r="A2" t="s">
        <v>379</v>
      </c>
      <c r="B2" t="s">
        <v>387</v>
      </c>
    </row>
    <row r="3" spans="1:2" x14ac:dyDescent="0.15">
      <c r="A3" t="s">
        <v>380</v>
      </c>
      <c r="B3" t="s">
        <v>388</v>
      </c>
    </row>
    <row r="4" spans="1:2" x14ac:dyDescent="0.15">
      <c r="A4" t="s">
        <v>381</v>
      </c>
      <c r="B4" t="s">
        <v>389</v>
      </c>
    </row>
    <row r="5" spans="1:2" x14ac:dyDescent="0.15">
      <c r="A5" t="s">
        <v>382</v>
      </c>
      <c r="B5" t="s">
        <v>390</v>
      </c>
    </row>
    <row r="6" spans="1:2" x14ac:dyDescent="0.15">
      <c r="A6" t="s">
        <v>383</v>
      </c>
      <c r="B6" t="s">
        <v>391</v>
      </c>
    </row>
    <row r="7" spans="1:2" x14ac:dyDescent="0.15">
      <c r="A7" t="s">
        <v>384</v>
      </c>
      <c r="B7" t="s">
        <v>391</v>
      </c>
    </row>
    <row r="8" spans="1:2" x14ac:dyDescent="0.15">
      <c r="A8" t="s">
        <v>385</v>
      </c>
      <c r="B8" t="s">
        <v>391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透视分析</vt:lpstr>
      <vt:lpstr>年度销售汇总</vt:lpstr>
      <vt:lpstr>品名</vt:lpstr>
      <vt:lpstr>Sheet2</vt:lpstr>
      <vt:lpstr>品名!品名表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wuyou</dc:creator>
  <cp:lastModifiedBy>wuyou</cp:lastModifiedBy>
  <cp:lastPrinted>2015-12-19T05:30:01Z</cp:lastPrinted>
  <dcterms:created xsi:type="dcterms:W3CDTF">2015-12-17T02:54:00Z</dcterms:created>
  <dcterms:modified xsi:type="dcterms:W3CDTF">2019-04-14T10:13:18Z</dcterms:modified>
</cp:coreProperties>
</file>