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-105" yWindow="-105" windowWidth="19425" windowHeight="10425" activeTab="2"/>
  </bookViews>
  <sheets>
    <sheet name="销售记录" sheetId="10" r:id="rId1"/>
    <sheet name="销售量汇总" sheetId="11" r:id="rId2"/>
    <sheet name="大额订单" sheetId="12" r:id="rId3"/>
    <sheet name="价格表" sheetId="2" r:id="rId4"/>
    <sheet name="折扣表" sheetId="3" r:id="rId5"/>
  </sheets>
  <definedNames>
    <definedName name="_xlnm._FilterDatabase" localSheetId="2" hidden="1">大额订单!#REF!</definedName>
    <definedName name="_xlnm.Criteria" localSheetId="2">大额订单!$A$1:$B$4</definedName>
    <definedName name="数据源" localSheetId="0">销售记录!$B$3:$D$891</definedName>
    <definedName name="_xlnm.Extract" localSheetId="2">大额订单!$A$6:$F$6</definedName>
  </definedName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F891" i="10" l="1"/>
  <c r="E891" i="10"/>
  <c r="F890" i="10"/>
  <c r="E890" i="10"/>
  <c r="F889" i="10"/>
  <c r="E889" i="10"/>
  <c r="F888" i="10"/>
  <c r="E888" i="10"/>
  <c r="F887" i="10"/>
  <c r="E887" i="10"/>
  <c r="F886" i="10"/>
  <c r="E886" i="10"/>
  <c r="F885" i="10"/>
  <c r="E885" i="10"/>
  <c r="F884" i="10"/>
  <c r="E884" i="10"/>
  <c r="F883" i="10"/>
  <c r="E883" i="10"/>
  <c r="F882" i="10"/>
  <c r="E882" i="10"/>
  <c r="F881" i="10"/>
  <c r="E881" i="10"/>
  <c r="F880" i="10"/>
  <c r="E880" i="10"/>
  <c r="F879" i="10"/>
  <c r="E879" i="10"/>
  <c r="F878" i="10"/>
  <c r="E878" i="10"/>
  <c r="F877" i="10"/>
  <c r="E877" i="10"/>
  <c r="F876" i="10"/>
  <c r="E876" i="10"/>
  <c r="F875" i="10"/>
  <c r="E875" i="10"/>
  <c r="F874" i="10"/>
  <c r="E874" i="10"/>
  <c r="F873" i="10"/>
  <c r="E873" i="10"/>
  <c r="F872" i="10"/>
  <c r="E872" i="10"/>
  <c r="F871" i="10"/>
  <c r="E871" i="10"/>
  <c r="F870" i="10"/>
  <c r="E870" i="10"/>
  <c r="F869" i="10"/>
  <c r="E869" i="10"/>
  <c r="F868" i="10"/>
  <c r="E868" i="10"/>
  <c r="F867" i="10"/>
  <c r="E867" i="10"/>
  <c r="F866" i="10"/>
  <c r="E866" i="10"/>
  <c r="F865" i="10"/>
  <c r="E865" i="10"/>
  <c r="F864" i="10"/>
  <c r="E864" i="10"/>
  <c r="F863" i="10"/>
  <c r="E863" i="10"/>
  <c r="F862" i="10"/>
  <c r="E862" i="10"/>
  <c r="F861" i="10"/>
  <c r="E861" i="10"/>
  <c r="F860" i="10"/>
  <c r="E860" i="10"/>
  <c r="F859" i="10"/>
  <c r="E859" i="10"/>
  <c r="F858" i="10"/>
  <c r="E858" i="10"/>
  <c r="F857" i="10"/>
  <c r="E857" i="10"/>
  <c r="F856" i="10"/>
  <c r="E856" i="10"/>
  <c r="F855" i="10"/>
  <c r="E855" i="10"/>
  <c r="F854" i="10"/>
  <c r="E854" i="10"/>
  <c r="F853" i="10"/>
  <c r="E853" i="10"/>
  <c r="F852" i="10"/>
  <c r="E852" i="10"/>
  <c r="F851" i="10"/>
  <c r="E851" i="10"/>
  <c r="F850" i="10"/>
  <c r="E850" i="10"/>
  <c r="F849" i="10"/>
  <c r="E849" i="10"/>
  <c r="F848" i="10"/>
  <c r="E848" i="10"/>
  <c r="F847" i="10"/>
  <c r="E847" i="10"/>
  <c r="F846" i="10"/>
  <c r="E846" i="10"/>
  <c r="F845" i="10"/>
  <c r="E845" i="10"/>
  <c r="F844" i="10"/>
  <c r="E844" i="10"/>
  <c r="F843" i="10"/>
  <c r="E843" i="10"/>
  <c r="F842" i="10"/>
  <c r="E842" i="10"/>
  <c r="F841" i="10"/>
  <c r="E841" i="10"/>
  <c r="F840" i="10"/>
  <c r="E840" i="10"/>
  <c r="F839" i="10"/>
  <c r="E839" i="10"/>
  <c r="F838" i="10"/>
  <c r="E838" i="10"/>
  <c r="F837" i="10"/>
  <c r="E837" i="10"/>
  <c r="F836" i="10"/>
  <c r="E836" i="10"/>
  <c r="F835" i="10"/>
  <c r="E835" i="10"/>
  <c r="F834" i="10"/>
  <c r="E834" i="10"/>
  <c r="F833" i="10"/>
  <c r="E833" i="10"/>
  <c r="F832" i="10"/>
  <c r="E832" i="10"/>
  <c r="F831" i="10"/>
  <c r="E831" i="10"/>
  <c r="F830" i="10"/>
  <c r="E830" i="10"/>
  <c r="F829" i="10"/>
  <c r="E829" i="10"/>
  <c r="F828" i="10"/>
  <c r="E828" i="10"/>
  <c r="F827" i="10"/>
  <c r="E827" i="10"/>
  <c r="F826" i="10"/>
  <c r="E826" i="10"/>
  <c r="F825" i="10"/>
  <c r="E825" i="10"/>
  <c r="F824" i="10"/>
  <c r="E824" i="10"/>
  <c r="F823" i="10"/>
  <c r="E823" i="10"/>
  <c r="F822" i="10"/>
  <c r="E822" i="10"/>
  <c r="F821" i="10"/>
  <c r="E821" i="10"/>
  <c r="F820" i="10"/>
  <c r="E820" i="10"/>
  <c r="F819" i="10"/>
  <c r="E819" i="10"/>
  <c r="F818" i="10"/>
  <c r="E818" i="10"/>
  <c r="F817" i="10"/>
  <c r="E817" i="10"/>
  <c r="F816" i="10"/>
  <c r="E816" i="10"/>
  <c r="F815" i="10"/>
  <c r="E815" i="10"/>
  <c r="F814" i="10"/>
  <c r="E814" i="10"/>
  <c r="F813" i="10"/>
  <c r="E813" i="10"/>
  <c r="F812" i="10"/>
  <c r="E812" i="10"/>
  <c r="F811" i="10"/>
  <c r="E811" i="10"/>
  <c r="F810" i="10"/>
  <c r="E810" i="10"/>
  <c r="F809" i="10"/>
  <c r="E809" i="10"/>
  <c r="F808" i="10"/>
  <c r="E808" i="10"/>
  <c r="F807" i="10"/>
  <c r="E807" i="10"/>
  <c r="F806" i="10"/>
  <c r="E806" i="10"/>
  <c r="F805" i="10"/>
  <c r="E805" i="10"/>
  <c r="F804" i="10"/>
  <c r="E804" i="10"/>
  <c r="F803" i="10"/>
  <c r="E803" i="10"/>
  <c r="F802" i="10"/>
  <c r="E802" i="10"/>
  <c r="F801" i="10"/>
  <c r="E801" i="10"/>
  <c r="F800" i="10"/>
  <c r="E800" i="10"/>
  <c r="F799" i="10"/>
  <c r="E799" i="10"/>
  <c r="F798" i="10"/>
  <c r="E798" i="10"/>
  <c r="F797" i="10"/>
  <c r="E797" i="10"/>
  <c r="F796" i="10"/>
  <c r="E796" i="10"/>
  <c r="F795" i="10"/>
  <c r="E795" i="10"/>
  <c r="F794" i="10"/>
  <c r="E794" i="10"/>
  <c r="F793" i="10"/>
  <c r="E793" i="10"/>
  <c r="F792" i="10"/>
  <c r="E792" i="10"/>
  <c r="F791" i="10"/>
  <c r="E791" i="10"/>
  <c r="F790" i="10"/>
  <c r="E790" i="10"/>
  <c r="F789" i="10"/>
  <c r="E789" i="10"/>
  <c r="F788" i="10"/>
  <c r="E788" i="10"/>
  <c r="F787" i="10"/>
  <c r="E787" i="10"/>
  <c r="F786" i="10"/>
  <c r="E786" i="10"/>
  <c r="F785" i="10"/>
  <c r="E785" i="10"/>
  <c r="F784" i="10"/>
  <c r="E784" i="10"/>
  <c r="F783" i="10"/>
  <c r="E783" i="10"/>
  <c r="F782" i="10"/>
  <c r="E782" i="10"/>
  <c r="F781" i="10"/>
  <c r="E781" i="10"/>
  <c r="F780" i="10"/>
  <c r="E780" i="10"/>
  <c r="F779" i="10"/>
  <c r="E779" i="10"/>
  <c r="F778" i="10"/>
  <c r="E778" i="10"/>
  <c r="F777" i="10"/>
  <c r="E777" i="10"/>
  <c r="F776" i="10"/>
  <c r="E776" i="10"/>
  <c r="F775" i="10"/>
  <c r="E775" i="10"/>
  <c r="F774" i="10"/>
  <c r="E774" i="10"/>
  <c r="F773" i="10"/>
  <c r="E773" i="10"/>
  <c r="F772" i="10"/>
  <c r="E772" i="10"/>
  <c r="F771" i="10"/>
  <c r="E771" i="10"/>
  <c r="F770" i="10"/>
  <c r="E770" i="10"/>
  <c r="F769" i="10"/>
  <c r="E769" i="10"/>
  <c r="F768" i="10"/>
  <c r="E768" i="10"/>
  <c r="F767" i="10"/>
  <c r="E767" i="10"/>
  <c r="F766" i="10"/>
  <c r="E766" i="10"/>
  <c r="F765" i="10"/>
  <c r="E765" i="10"/>
  <c r="F764" i="10"/>
  <c r="E764" i="10"/>
  <c r="F763" i="10"/>
  <c r="E763" i="10"/>
  <c r="F762" i="10"/>
  <c r="E762" i="10"/>
  <c r="F761" i="10"/>
  <c r="E761" i="10"/>
  <c r="F760" i="10"/>
  <c r="E760" i="10"/>
  <c r="F759" i="10"/>
  <c r="E759" i="10"/>
  <c r="F758" i="10"/>
  <c r="E758" i="10"/>
  <c r="F757" i="10"/>
  <c r="E757" i="10"/>
  <c r="F756" i="10"/>
  <c r="E756" i="10"/>
  <c r="F755" i="10"/>
  <c r="E755" i="10"/>
  <c r="F754" i="10"/>
  <c r="E754" i="10"/>
  <c r="F753" i="10"/>
  <c r="E753" i="10"/>
  <c r="F752" i="10"/>
  <c r="E752" i="10"/>
  <c r="F751" i="10"/>
  <c r="E751" i="10"/>
  <c r="F750" i="10"/>
  <c r="E750" i="10"/>
  <c r="F749" i="10"/>
  <c r="E749" i="10"/>
  <c r="F748" i="10"/>
  <c r="E748" i="10"/>
  <c r="F747" i="10"/>
  <c r="E747" i="10"/>
  <c r="F746" i="10"/>
  <c r="E746" i="10"/>
  <c r="F745" i="10"/>
  <c r="E745" i="10"/>
  <c r="F744" i="10"/>
  <c r="E744" i="10"/>
  <c r="F743" i="10"/>
  <c r="E743" i="10"/>
  <c r="F742" i="10"/>
  <c r="E742" i="10"/>
  <c r="F741" i="10"/>
  <c r="E741" i="10"/>
  <c r="F740" i="10"/>
  <c r="E740" i="10"/>
  <c r="F739" i="10"/>
  <c r="E739" i="10"/>
  <c r="F738" i="10"/>
  <c r="E738" i="10"/>
  <c r="F737" i="10"/>
  <c r="E737" i="10"/>
  <c r="F736" i="10"/>
  <c r="E736" i="10"/>
  <c r="F735" i="10"/>
  <c r="E735" i="10"/>
  <c r="F734" i="10"/>
  <c r="E734" i="10"/>
  <c r="F733" i="10"/>
  <c r="E733" i="10"/>
  <c r="F732" i="10"/>
  <c r="E732" i="10"/>
  <c r="F731" i="10"/>
  <c r="E731" i="10"/>
  <c r="F730" i="10"/>
  <c r="E730" i="10"/>
  <c r="F729" i="10"/>
  <c r="E729" i="10"/>
  <c r="F728" i="10"/>
  <c r="E728" i="10"/>
  <c r="F727" i="10"/>
  <c r="E727" i="10"/>
  <c r="F726" i="10"/>
  <c r="E726" i="10"/>
  <c r="F725" i="10"/>
  <c r="E725" i="10"/>
  <c r="F724" i="10"/>
  <c r="E724" i="10"/>
  <c r="F723" i="10"/>
  <c r="E723" i="10"/>
  <c r="F722" i="10"/>
  <c r="E722" i="10"/>
  <c r="F721" i="10"/>
  <c r="E721" i="10"/>
  <c r="F720" i="10"/>
  <c r="E720" i="10"/>
  <c r="F719" i="10"/>
  <c r="E719" i="10"/>
  <c r="F718" i="10"/>
  <c r="E718" i="10"/>
  <c r="F717" i="10"/>
  <c r="E717" i="10"/>
  <c r="F716" i="10"/>
  <c r="E716" i="10"/>
  <c r="F715" i="10"/>
  <c r="E715" i="10"/>
  <c r="F714" i="10"/>
  <c r="E714" i="10"/>
  <c r="F713" i="10"/>
  <c r="E713" i="10"/>
  <c r="F712" i="10"/>
  <c r="E712" i="10"/>
  <c r="F711" i="10"/>
  <c r="E711" i="10"/>
  <c r="F710" i="10"/>
  <c r="E710" i="10"/>
  <c r="F709" i="10"/>
  <c r="E709" i="10"/>
  <c r="F708" i="10"/>
  <c r="E708" i="10"/>
  <c r="F707" i="10"/>
  <c r="E707" i="10"/>
  <c r="F706" i="10"/>
  <c r="E706" i="10"/>
  <c r="F705" i="10"/>
  <c r="E705" i="10"/>
  <c r="F704" i="10"/>
  <c r="E704" i="10"/>
  <c r="F703" i="10"/>
  <c r="E703" i="10"/>
  <c r="F702" i="10"/>
  <c r="E702" i="10"/>
  <c r="F701" i="10"/>
  <c r="E701" i="10"/>
  <c r="F700" i="10"/>
  <c r="E700" i="10"/>
  <c r="F699" i="10"/>
  <c r="E699" i="10"/>
  <c r="F698" i="10"/>
  <c r="E698" i="10"/>
  <c r="F697" i="10"/>
  <c r="E697" i="10"/>
  <c r="F696" i="10"/>
  <c r="E696" i="10"/>
  <c r="F695" i="10"/>
  <c r="E695" i="10"/>
  <c r="F694" i="10"/>
  <c r="E694" i="10"/>
  <c r="F693" i="10"/>
  <c r="E693" i="10"/>
  <c r="F692" i="10"/>
  <c r="E692" i="10"/>
  <c r="F691" i="10"/>
  <c r="E691" i="10"/>
  <c r="F690" i="10"/>
  <c r="E690" i="10"/>
  <c r="F689" i="10"/>
  <c r="E689" i="10"/>
  <c r="F688" i="10"/>
  <c r="E688" i="10"/>
  <c r="F687" i="10"/>
  <c r="E687" i="10"/>
  <c r="F686" i="10"/>
  <c r="E686" i="10"/>
  <c r="F685" i="10"/>
  <c r="E685" i="10"/>
  <c r="F684" i="10"/>
  <c r="E684" i="10"/>
  <c r="F683" i="10"/>
  <c r="E683" i="10"/>
  <c r="F682" i="10"/>
  <c r="E682" i="10"/>
  <c r="F681" i="10"/>
  <c r="E681" i="10"/>
  <c r="F680" i="10"/>
  <c r="E680" i="10"/>
  <c r="F679" i="10"/>
  <c r="E679" i="10"/>
  <c r="F678" i="10"/>
  <c r="E678" i="10"/>
  <c r="F677" i="10"/>
  <c r="E677" i="10"/>
  <c r="F676" i="10"/>
  <c r="E676" i="10"/>
  <c r="F675" i="10"/>
  <c r="E675" i="10"/>
  <c r="F674" i="10"/>
  <c r="E674" i="10"/>
  <c r="F673" i="10"/>
  <c r="E673" i="10"/>
  <c r="F672" i="10"/>
  <c r="E672" i="10"/>
  <c r="F671" i="10"/>
  <c r="E671" i="10"/>
  <c r="F670" i="10"/>
  <c r="E670" i="10"/>
  <c r="F669" i="10"/>
  <c r="E669" i="10"/>
  <c r="F668" i="10"/>
  <c r="E668" i="10"/>
  <c r="F667" i="10"/>
  <c r="E667" i="10"/>
  <c r="F666" i="10"/>
  <c r="E666" i="10"/>
  <c r="F665" i="10"/>
  <c r="E665" i="10"/>
  <c r="F664" i="10"/>
  <c r="E664" i="10"/>
  <c r="F663" i="10"/>
  <c r="E663" i="10"/>
  <c r="F662" i="10"/>
  <c r="E662" i="10"/>
  <c r="F661" i="10"/>
  <c r="E661" i="10"/>
  <c r="F660" i="10"/>
  <c r="E660" i="10"/>
  <c r="F659" i="10"/>
  <c r="E659" i="10"/>
  <c r="F658" i="10"/>
  <c r="E658" i="10"/>
  <c r="F657" i="10"/>
  <c r="E657" i="10"/>
  <c r="F656" i="10"/>
  <c r="E656" i="10"/>
  <c r="F655" i="10"/>
  <c r="E655" i="10"/>
  <c r="F654" i="10"/>
  <c r="E654" i="10"/>
  <c r="F653" i="10"/>
  <c r="E653" i="10"/>
  <c r="F652" i="10"/>
  <c r="E652" i="10"/>
  <c r="F651" i="10"/>
  <c r="E651" i="10"/>
  <c r="F650" i="10"/>
  <c r="E650" i="10"/>
  <c r="F649" i="10"/>
  <c r="E649" i="10"/>
  <c r="F648" i="10"/>
  <c r="E648" i="10"/>
  <c r="F647" i="10"/>
  <c r="E647" i="10"/>
  <c r="F646" i="10"/>
  <c r="E646" i="10"/>
  <c r="F645" i="10"/>
  <c r="E645" i="10"/>
  <c r="F644" i="10"/>
  <c r="E644" i="10"/>
  <c r="F643" i="10"/>
  <c r="E643" i="10"/>
  <c r="F642" i="10"/>
  <c r="E642" i="10"/>
  <c r="F641" i="10"/>
  <c r="E641" i="10"/>
  <c r="F640" i="10"/>
  <c r="E640" i="10"/>
  <c r="F639" i="10"/>
  <c r="E639" i="10"/>
  <c r="F638" i="10"/>
  <c r="E638" i="10"/>
  <c r="F637" i="10"/>
  <c r="E637" i="10"/>
  <c r="F636" i="10"/>
  <c r="E636" i="10"/>
  <c r="F635" i="10"/>
  <c r="E635" i="10"/>
  <c r="F634" i="10"/>
  <c r="E634" i="10"/>
  <c r="F633" i="10"/>
  <c r="E633" i="10"/>
  <c r="F632" i="10"/>
  <c r="E632" i="10"/>
  <c r="F631" i="10"/>
  <c r="E631" i="10"/>
  <c r="F630" i="10"/>
  <c r="E630" i="10"/>
  <c r="F629" i="10"/>
  <c r="E629" i="10"/>
  <c r="F628" i="10"/>
  <c r="E628" i="10"/>
  <c r="F627" i="10"/>
  <c r="E627" i="10"/>
  <c r="F626" i="10"/>
  <c r="E626" i="10"/>
  <c r="F625" i="10"/>
  <c r="E625" i="10"/>
  <c r="F624" i="10"/>
  <c r="E624" i="10"/>
  <c r="F623" i="10"/>
  <c r="E623" i="10"/>
  <c r="F622" i="10"/>
  <c r="E622" i="10"/>
  <c r="F621" i="10"/>
  <c r="E621" i="10"/>
  <c r="F620" i="10"/>
  <c r="E620" i="10"/>
  <c r="F619" i="10"/>
  <c r="E619" i="10"/>
  <c r="F618" i="10"/>
  <c r="E618" i="10"/>
  <c r="F617" i="10"/>
  <c r="E617" i="10"/>
  <c r="F616" i="10"/>
  <c r="E616" i="10"/>
  <c r="F615" i="10"/>
  <c r="E615" i="10"/>
  <c r="F614" i="10"/>
  <c r="E614" i="10"/>
  <c r="F613" i="10"/>
  <c r="E613" i="10"/>
  <c r="F612" i="10"/>
  <c r="E612" i="10"/>
  <c r="F611" i="10"/>
  <c r="E611" i="10"/>
  <c r="F610" i="10"/>
  <c r="E610" i="10"/>
  <c r="F609" i="10"/>
  <c r="E609" i="10"/>
  <c r="F608" i="10"/>
  <c r="E608" i="10"/>
  <c r="F607" i="10"/>
  <c r="E607" i="10"/>
  <c r="F606" i="10"/>
  <c r="E606" i="10"/>
  <c r="F605" i="10"/>
  <c r="E605" i="10"/>
  <c r="F604" i="10"/>
  <c r="E604" i="10"/>
  <c r="F603" i="10"/>
  <c r="E603" i="10"/>
  <c r="F602" i="10"/>
  <c r="E602" i="10"/>
  <c r="F601" i="10"/>
  <c r="E601" i="10"/>
  <c r="F600" i="10"/>
  <c r="E600" i="10"/>
  <c r="F599" i="10"/>
  <c r="E599" i="10"/>
  <c r="F598" i="10"/>
  <c r="E598" i="10"/>
  <c r="F597" i="10"/>
  <c r="E597" i="10"/>
  <c r="F596" i="10"/>
  <c r="E596" i="10"/>
  <c r="F595" i="10"/>
  <c r="E595" i="10"/>
  <c r="F594" i="10"/>
  <c r="E594" i="10"/>
  <c r="F593" i="10"/>
  <c r="E593" i="10"/>
  <c r="F592" i="10"/>
  <c r="E592" i="10"/>
  <c r="F591" i="10"/>
  <c r="E591" i="10"/>
  <c r="F590" i="10"/>
  <c r="E590" i="10"/>
  <c r="F589" i="10"/>
  <c r="E589" i="10"/>
  <c r="F588" i="10"/>
  <c r="E588" i="10"/>
  <c r="F587" i="10"/>
  <c r="E587" i="10"/>
  <c r="F586" i="10"/>
  <c r="E586" i="10"/>
  <c r="F585" i="10"/>
  <c r="E585" i="10"/>
  <c r="F584" i="10"/>
  <c r="E584" i="10"/>
  <c r="F583" i="10"/>
  <c r="E583" i="10"/>
  <c r="F582" i="10"/>
  <c r="E582" i="10"/>
  <c r="F581" i="10"/>
  <c r="E581" i="10"/>
  <c r="F580" i="10"/>
  <c r="E580" i="10"/>
  <c r="F579" i="10"/>
  <c r="E579" i="10"/>
  <c r="F578" i="10"/>
  <c r="E578" i="10"/>
  <c r="F577" i="10"/>
  <c r="E577" i="10"/>
  <c r="F576" i="10"/>
  <c r="E576" i="10"/>
  <c r="F575" i="10"/>
  <c r="E575" i="10"/>
  <c r="F574" i="10"/>
  <c r="E574" i="10"/>
  <c r="F573" i="10"/>
  <c r="E573" i="10"/>
  <c r="F572" i="10"/>
  <c r="E572" i="10"/>
  <c r="F571" i="10"/>
  <c r="E571" i="10"/>
  <c r="F570" i="10"/>
  <c r="E570" i="10"/>
  <c r="F569" i="10"/>
  <c r="E569" i="10"/>
  <c r="F568" i="10"/>
  <c r="E568" i="10"/>
  <c r="F567" i="10"/>
  <c r="E567" i="10"/>
  <c r="F566" i="10"/>
  <c r="E566" i="10"/>
  <c r="F565" i="10"/>
  <c r="E565" i="10"/>
  <c r="F564" i="10"/>
  <c r="E564" i="10"/>
  <c r="F563" i="10"/>
  <c r="E563" i="10"/>
  <c r="F562" i="10"/>
  <c r="E562" i="10"/>
  <c r="F561" i="10"/>
  <c r="E561" i="10"/>
  <c r="F560" i="10"/>
  <c r="E560" i="10"/>
  <c r="F559" i="10"/>
  <c r="E559" i="10"/>
  <c r="F558" i="10"/>
  <c r="E558" i="10"/>
  <c r="F557" i="10"/>
  <c r="E557" i="10"/>
  <c r="F556" i="10"/>
  <c r="E556" i="10"/>
  <c r="F555" i="10"/>
  <c r="E555" i="10"/>
  <c r="F554" i="10"/>
  <c r="E554" i="10"/>
  <c r="F553" i="10"/>
  <c r="E553" i="10"/>
  <c r="F552" i="10"/>
  <c r="E552" i="10"/>
  <c r="F551" i="10"/>
  <c r="E551" i="10"/>
  <c r="F550" i="10"/>
  <c r="E550" i="10"/>
  <c r="F549" i="10"/>
  <c r="E549" i="10"/>
  <c r="F548" i="10"/>
  <c r="E548" i="10"/>
  <c r="F547" i="10"/>
  <c r="E547" i="10"/>
  <c r="F546" i="10"/>
  <c r="E546" i="10"/>
  <c r="F545" i="10"/>
  <c r="E545" i="10"/>
  <c r="F544" i="10"/>
  <c r="E544" i="10"/>
  <c r="F543" i="10"/>
  <c r="E543" i="10"/>
  <c r="F542" i="10"/>
  <c r="E542" i="10"/>
  <c r="F541" i="10"/>
  <c r="E541" i="10"/>
  <c r="F540" i="10"/>
  <c r="E540" i="10"/>
  <c r="F539" i="10"/>
  <c r="E539" i="10"/>
  <c r="F538" i="10"/>
  <c r="E538" i="10"/>
  <c r="F537" i="10"/>
  <c r="E537" i="10"/>
  <c r="F536" i="10"/>
  <c r="E536" i="10"/>
  <c r="F535" i="10"/>
  <c r="E535" i="10"/>
  <c r="F534" i="10"/>
  <c r="E534" i="10"/>
  <c r="F533" i="10"/>
  <c r="E533" i="10"/>
  <c r="F532" i="10"/>
  <c r="E532" i="10"/>
  <c r="F531" i="10"/>
  <c r="E531" i="10"/>
  <c r="F530" i="10"/>
  <c r="E530" i="10"/>
  <c r="F529" i="10"/>
  <c r="E529" i="10"/>
  <c r="F528" i="10"/>
  <c r="E528" i="10"/>
  <c r="F527" i="10"/>
  <c r="E527" i="10"/>
  <c r="F526" i="10"/>
  <c r="E526" i="10"/>
  <c r="F525" i="10"/>
  <c r="E525" i="10"/>
  <c r="F524" i="10"/>
  <c r="E524" i="10"/>
  <c r="F523" i="10"/>
  <c r="E523" i="10"/>
  <c r="F522" i="10"/>
  <c r="E522" i="10"/>
  <c r="F521" i="10"/>
  <c r="E521" i="10"/>
  <c r="F520" i="10"/>
  <c r="E520" i="10"/>
  <c r="F519" i="10"/>
  <c r="E519" i="10"/>
  <c r="F518" i="10"/>
  <c r="E518" i="10"/>
  <c r="F517" i="10"/>
  <c r="E517" i="10"/>
  <c r="F516" i="10"/>
  <c r="E516" i="10"/>
  <c r="F515" i="10"/>
  <c r="E515" i="10"/>
  <c r="F514" i="10"/>
  <c r="E514" i="10"/>
  <c r="F513" i="10"/>
  <c r="E513" i="10"/>
  <c r="F512" i="10"/>
  <c r="E512" i="10"/>
  <c r="F511" i="10"/>
  <c r="E511" i="10"/>
  <c r="F510" i="10"/>
  <c r="E510" i="10"/>
  <c r="F509" i="10"/>
  <c r="E509" i="10"/>
  <c r="F508" i="10"/>
  <c r="E508" i="10"/>
  <c r="F507" i="10"/>
  <c r="E507" i="10"/>
  <c r="F506" i="10"/>
  <c r="E506" i="10"/>
  <c r="F505" i="10"/>
  <c r="E505" i="10"/>
  <c r="F504" i="10"/>
  <c r="E504" i="10"/>
  <c r="F503" i="10"/>
  <c r="E503" i="10"/>
  <c r="F502" i="10"/>
  <c r="E502" i="10"/>
  <c r="F501" i="10"/>
  <c r="E501" i="10"/>
  <c r="F500" i="10"/>
  <c r="E500" i="10"/>
  <c r="F499" i="10"/>
  <c r="E499" i="10"/>
  <c r="F498" i="10"/>
  <c r="E498" i="10"/>
  <c r="F497" i="10"/>
  <c r="E497" i="10"/>
  <c r="F496" i="10"/>
  <c r="E496" i="10"/>
  <c r="F495" i="10"/>
  <c r="E495" i="10"/>
  <c r="F494" i="10"/>
  <c r="E494" i="10"/>
  <c r="F493" i="10"/>
  <c r="E493" i="10"/>
  <c r="F492" i="10"/>
  <c r="E492" i="10"/>
  <c r="F491" i="10"/>
  <c r="E491" i="10"/>
  <c r="F490" i="10"/>
  <c r="E490" i="10"/>
  <c r="F489" i="10"/>
  <c r="E489" i="10"/>
  <c r="F488" i="10"/>
  <c r="E488" i="10"/>
  <c r="F487" i="10"/>
  <c r="E487" i="10"/>
  <c r="F486" i="10"/>
  <c r="E486" i="10"/>
  <c r="F485" i="10"/>
  <c r="E485" i="10"/>
  <c r="F484" i="10"/>
  <c r="E484" i="10"/>
  <c r="F483" i="10"/>
  <c r="E483" i="10"/>
  <c r="F482" i="10"/>
  <c r="E482" i="10"/>
  <c r="F481" i="10"/>
  <c r="E481" i="10"/>
  <c r="F480" i="10"/>
  <c r="E480" i="10"/>
  <c r="F479" i="10"/>
  <c r="E479" i="10"/>
  <c r="F478" i="10"/>
  <c r="E478" i="10"/>
  <c r="F477" i="10"/>
  <c r="E477" i="10"/>
  <c r="F476" i="10"/>
  <c r="E476" i="10"/>
  <c r="F475" i="10"/>
  <c r="E475" i="10"/>
  <c r="F474" i="10"/>
  <c r="E474" i="10"/>
  <c r="F473" i="10"/>
  <c r="E473" i="10"/>
  <c r="F472" i="10"/>
  <c r="E472" i="10"/>
  <c r="F471" i="10"/>
  <c r="E471" i="10"/>
  <c r="F470" i="10"/>
  <c r="E470" i="10"/>
  <c r="F469" i="10"/>
  <c r="E469" i="10"/>
  <c r="F468" i="10"/>
  <c r="E468" i="10"/>
  <c r="F467" i="10"/>
  <c r="E467" i="10"/>
  <c r="F466" i="10"/>
  <c r="E466" i="10"/>
  <c r="F465" i="10"/>
  <c r="E465" i="10"/>
  <c r="F464" i="10"/>
  <c r="E464" i="10"/>
  <c r="F463" i="10"/>
  <c r="E463" i="10"/>
  <c r="F462" i="10"/>
  <c r="E462" i="10"/>
  <c r="F461" i="10"/>
  <c r="E461" i="10"/>
  <c r="F460" i="10"/>
  <c r="E460" i="10"/>
  <c r="F459" i="10"/>
  <c r="E459" i="10"/>
  <c r="F458" i="10"/>
  <c r="E458" i="10"/>
  <c r="F457" i="10"/>
  <c r="E457" i="10"/>
  <c r="F456" i="10"/>
  <c r="E456" i="10"/>
  <c r="F455" i="10"/>
  <c r="E455" i="10"/>
  <c r="F454" i="10"/>
  <c r="E454" i="10"/>
  <c r="F453" i="10"/>
  <c r="E453" i="10"/>
  <c r="F452" i="10"/>
  <c r="E452" i="10"/>
  <c r="F451" i="10"/>
  <c r="E451" i="10"/>
  <c r="F450" i="10"/>
  <c r="E450" i="10"/>
  <c r="F449" i="10"/>
  <c r="E449" i="10"/>
  <c r="F448" i="10"/>
  <c r="E448" i="10"/>
  <c r="F447" i="10"/>
  <c r="E447" i="10"/>
  <c r="F446" i="10"/>
  <c r="E446" i="10"/>
  <c r="F445" i="10"/>
  <c r="E445" i="10"/>
  <c r="F444" i="10"/>
  <c r="E444" i="10"/>
  <c r="F443" i="10"/>
  <c r="E443" i="10"/>
  <c r="F442" i="10"/>
  <c r="E442" i="10"/>
  <c r="F441" i="10"/>
  <c r="E441" i="10"/>
  <c r="F440" i="10"/>
  <c r="E440" i="10"/>
  <c r="F439" i="10"/>
  <c r="E439" i="10"/>
  <c r="F438" i="10"/>
  <c r="E438" i="10"/>
  <c r="F437" i="10"/>
  <c r="E437" i="10"/>
  <c r="F436" i="10"/>
  <c r="E436" i="10"/>
  <c r="F435" i="10"/>
  <c r="E435" i="10"/>
  <c r="F434" i="10"/>
  <c r="E434" i="10"/>
  <c r="F433" i="10"/>
  <c r="E433" i="10"/>
  <c r="F432" i="10"/>
  <c r="E432" i="10"/>
  <c r="F431" i="10"/>
  <c r="E431" i="10"/>
  <c r="F430" i="10"/>
  <c r="E430" i="10"/>
  <c r="F429" i="10"/>
  <c r="E429" i="10"/>
  <c r="F428" i="10"/>
  <c r="E428" i="10"/>
  <c r="F427" i="10"/>
  <c r="E427" i="10"/>
  <c r="F426" i="10"/>
  <c r="E426" i="10"/>
  <c r="F425" i="10"/>
  <c r="E425" i="10"/>
  <c r="F424" i="10"/>
  <c r="E424" i="10"/>
  <c r="F423" i="10"/>
  <c r="E423" i="10"/>
  <c r="F422" i="10"/>
  <c r="E422" i="10"/>
  <c r="F421" i="10"/>
  <c r="E421" i="10"/>
  <c r="F420" i="10"/>
  <c r="E420" i="10"/>
  <c r="F419" i="10"/>
  <c r="E419" i="10"/>
  <c r="F418" i="10"/>
  <c r="E418" i="10"/>
  <c r="F417" i="10"/>
  <c r="E417" i="10"/>
  <c r="F416" i="10"/>
  <c r="E416" i="10"/>
  <c r="F415" i="10"/>
  <c r="E415" i="10"/>
  <c r="F414" i="10"/>
  <c r="E414" i="10"/>
  <c r="F413" i="10"/>
  <c r="E413" i="10"/>
  <c r="F412" i="10"/>
  <c r="E412" i="10"/>
  <c r="F411" i="10"/>
  <c r="E411" i="10"/>
  <c r="F410" i="10"/>
  <c r="E410" i="10"/>
  <c r="F409" i="10"/>
  <c r="E409" i="10"/>
  <c r="F408" i="10"/>
  <c r="E408" i="10"/>
  <c r="F407" i="10"/>
  <c r="E407" i="10"/>
  <c r="F406" i="10"/>
  <c r="E406" i="10"/>
  <c r="F405" i="10"/>
  <c r="E405" i="10"/>
  <c r="F404" i="10"/>
  <c r="E404" i="10"/>
  <c r="F403" i="10"/>
  <c r="E403" i="10"/>
  <c r="F402" i="10"/>
  <c r="E402" i="10"/>
  <c r="F401" i="10"/>
  <c r="E401" i="10"/>
  <c r="F400" i="10"/>
  <c r="E400" i="10"/>
  <c r="F399" i="10"/>
  <c r="E399" i="10"/>
  <c r="F398" i="10"/>
  <c r="E398" i="10"/>
  <c r="F397" i="10"/>
  <c r="E397" i="10"/>
  <c r="F396" i="10"/>
  <c r="E396" i="10"/>
  <c r="F395" i="10"/>
  <c r="E395" i="10"/>
  <c r="F394" i="10"/>
  <c r="E394" i="10"/>
  <c r="F393" i="10"/>
  <c r="E393" i="10"/>
  <c r="F392" i="10"/>
  <c r="E392" i="10"/>
  <c r="F391" i="10"/>
  <c r="E391" i="10"/>
  <c r="F390" i="10"/>
  <c r="E390" i="10"/>
  <c r="F389" i="10"/>
  <c r="E389" i="10"/>
  <c r="F388" i="10"/>
  <c r="E388" i="10"/>
  <c r="F387" i="10"/>
  <c r="E387" i="10"/>
  <c r="F386" i="10"/>
  <c r="E386" i="10"/>
  <c r="F385" i="10"/>
  <c r="E385" i="10"/>
  <c r="F384" i="10"/>
  <c r="E384" i="10"/>
  <c r="F383" i="10"/>
  <c r="E383" i="10"/>
  <c r="F382" i="10"/>
  <c r="E382" i="10"/>
  <c r="F381" i="10"/>
  <c r="E381" i="10"/>
  <c r="F380" i="10"/>
  <c r="E380" i="10"/>
  <c r="F379" i="10"/>
  <c r="E379" i="10"/>
  <c r="F378" i="10"/>
  <c r="E378" i="10"/>
  <c r="F377" i="10"/>
  <c r="E377" i="10"/>
  <c r="F376" i="10"/>
  <c r="E376" i="10"/>
  <c r="F375" i="10"/>
  <c r="E375" i="10"/>
  <c r="F374" i="10"/>
  <c r="E374" i="10"/>
  <c r="F373" i="10"/>
  <c r="E373" i="10"/>
  <c r="F372" i="10"/>
  <c r="E372" i="10"/>
  <c r="F371" i="10"/>
  <c r="E371" i="10"/>
  <c r="F370" i="10"/>
  <c r="E370" i="10"/>
  <c r="F369" i="10"/>
  <c r="E369" i="10"/>
  <c r="F368" i="10"/>
  <c r="E368" i="10"/>
  <c r="F367" i="10"/>
  <c r="E367" i="10"/>
  <c r="F366" i="10"/>
  <c r="E366" i="10"/>
  <c r="F365" i="10"/>
  <c r="E365" i="10"/>
  <c r="F364" i="10"/>
  <c r="E364" i="10"/>
  <c r="F363" i="10"/>
  <c r="E363" i="10"/>
  <c r="F362" i="10"/>
  <c r="E362" i="10"/>
  <c r="F361" i="10"/>
  <c r="E361" i="10"/>
  <c r="F360" i="10"/>
  <c r="E360" i="10"/>
  <c r="F359" i="10"/>
  <c r="E359" i="10"/>
  <c r="F358" i="10"/>
  <c r="E358" i="10"/>
  <c r="F357" i="10"/>
  <c r="E357" i="10"/>
  <c r="F356" i="10"/>
  <c r="E356" i="10"/>
  <c r="F355" i="10"/>
  <c r="E355" i="10"/>
  <c r="F354" i="10"/>
  <c r="E354" i="10"/>
  <c r="F353" i="10"/>
  <c r="E353" i="10"/>
  <c r="F352" i="10"/>
  <c r="E352" i="10"/>
  <c r="F351" i="10"/>
  <c r="E351" i="10"/>
  <c r="F350" i="10"/>
  <c r="E350" i="10"/>
  <c r="F349" i="10"/>
  <c r="E349" i="10"/>
  <c r="F348" i="10"/>
  <c r="E348" i="10"/>
  <c r="F347" i="10"/>
  <c r="E347" i="10"/>
  <c r="F346" i="10"/>
  <c r="E346" i="10"/>
  <c r="F345" i="10"/>
  <c r="E345" i="10"/>
  <c r="F344" i="10"/>
  <c r="E344" i="10"/>
  <c r="F343" i="10"/>
  <c r="E343" i="10"/>
  <c r="F342" i="10"/>
  <c r="E342" i="10"/>
  <c r="F341" i="10"/>
  <c r="E341" i="10"/>
  <c r="F340" i="10"/>
  <c r="E340" i="10"/>
  <c r="F339" i="10"/>
  <c r="E339" i="10"/>
  <c r="F338" i="10"/>
  <c r="E338" i="10"/>
  <c r="F337" i="10"/>
  <c r="E337" i="10"/>
  <c r="F336" i="10"/>
  <c r="E336" i="10"/>
  <c r="F335" i="10"/>
  <c r="E335" i="10"/>
  <c r="F334" i="10"/>
  <c r="E334" i="10"/>
  <c r="F333" i="10"/>
  <c r="E333" i="10"/>
  <c r="F332" i="10"/>
  <c r="E332" i="10"/>
  <c r="F331" i="10"/>
  <c r="E331" i="10"/>
  <c r="F330" i="10"/>
  <c r="E330" i="10"/>
  <c r="F329" i="10"/>
  <c r="E329" i="10"/>
  <c r="F328" i="10"/>
  <c r="E328" i="10"/>
  <c r="F327" i="10"/>
  <c r="E327" i="10"/>
  <c r="F326" i="10"/>
  <c r="E326" i="10"/>
  <c r="F325" i="10"/>
  <c r="E325" i="10"/>
  <c r="F324" i="10"/>
  <c r="E324" i="10"/>
  <c r="F323" i="10"/>
  <c r="E323" i="10"/>
  <c r="F322" i="10"/>
  <c r="E322" i="10"/>
  <c r="F321" i="10"/>
  <c r="E321" i="10"/>
  <c r="F320" i="10"/>
  <c r="E320" i="10"/>
  <c r="F319" i="10"/>
  <c r="E319" i="10"/>
  <c r="F318" i="10"/>
  <c r="E318" i="10"/>
  <c r="F317" i="10"/>
  <c r="E317" i="10"/>
  <c r="F316" i="10"/>
  <c r="E316" i="10"/>
  <c r="F315" i="10"/>
  <c r="E315" i="10"/>
  <c r="F314" i="10"/>
  <c r="E314" i="10"/>
  <c r="F313" i="10"/>
  <c r="E313" i="10"/>
  <c r="F312" i="10"/>
  <c r="E312" i="10"/>
  <c r="F311" i="10"/>
  <c r="E311" i="10"/>
  <c r="F310" i="10"/>
  <c r="E310" i="10"/>
  <c r="F309" i="10"/>
  <c r="E309" i="10"/>
  <c r="F308" i="10"/>
  <c r="E308" i="10"/>
  <c r="F307" i="10"/>
  <c r="E307" i="10"/>
  <c r="F306" i="10"/>
  <c r="E306" i="10"/>
  <c r="F305" i="10"/>
  <c r="E305" i="10"/>
  <c r="F304" i="10"/>
  <c r="E304" i="10"/>
  <c r="F303" i="10"/>
  <c r="E303" i="10"/>
  <c r="F302" i="10"/>
  <c r="E302" i="10"/>
  <c r="F301" i="10"/>
  <c r="E301" i="10"/>
  <c r="F300" i="10"/>
  <c r="E300" i="10"/>
  <c r="F299" i="10"/>
  <c r="E299" i="10"/>
  <c r="F298" i="10"/>
  <c r="E298" i="10"/>
  <c r="F297" i="10"/>
  <c r="E297" i="10"/>
  <c r="F296" i="10"/>
  <c r="E296" i="10"/>
  <c r="F295" i="10"/>
  <c r="E295" i="10"/>
  <c r="F294" i="10"/>
  <c r="E294" i="10"/>
  <c r="F293" i="10"/>
  <c r="E293" i="10"/>
  <c r="F292" i="10"/>
  <c r="E292" i="10"/>
  <c r="F291" i="10"/>
  <c r="E291" i="10"/>
  <c r="F290" i="10"/>
  <c r="E290" i="10"/>
  <c r="F289" i="10"/>
  <c r="E289" i="10"/>
  <c r="F288" i="10"/>
  <c r="E288" i="10"/>
  <c r="F287" i="10"/>
  <c r="E287" i="10"/>
  <c r="F286" i="10"/>
  <c r="E286" i="10"/>
  <c r="F285" i="10"/>
  <c r="E285" i="10"/>
  <c r="F284" i="10"/>
  <c r="E284" i="10"/>
  <c r="F283" i="10"/>
  <c r="E283" i="10"/>
  <c r="F282" i="10"/>
  <c r="E282" i="10"/>
  <c r="F281" i="10"/>
  <c r="E281" i="10"/>
  <c r="F280" i="10"/>
  <c r="E280" i="10"/>
  <c r="F279" i="10"/>
  <c r="E279" i="10"/>
  <c r="F278" i="10"/>
  <c r="E278" i="10"/>
  <c r="F277" i="10"/>
  <c r="E277" i="10"/>
  <c r="F276" i="10"/>
  <c r="E276" i="10"/>
  <c r="F275" i="10"/>
  <c r="E275" i="10"/>
  <c r="F274" i="10"/>
  <c r="E274" i="10"/>
  <c r="F273" i="10"/>
  <c r="E273" i="10"/>
  <c r="F272" i="10"/>
  <c r="E272" i="10"/>
  <c r="F271" i="10"/>
  <c r="E271" i="10"/>
  <c r="F270" i="10"/>
  <c r="E270" i="10"/>
  <c r="F269" i="10"/>
  <c r="E269" i="10"/>
  <c r="F268" i="10"/>
  <c r="E268" i="10"/>
  <c r="F267" i="10"/>
  <c r="E267" i="10"/>
  <c r="F266" i="10"/>
  <c r="E266" i="10"/>
  <c r="F265" i="10"/>
  <c r="E265" i="10"/>
  <c r="F264" i="10"/>
  <c r="E264" i="10"/>
  <c r="F263" i="10"/>
  <c r="E263" i="10"/>
  <c r="F262" i="10"/>
  <c r="E262" i="10"/>
  <c r="F261" i="10"/>
  <c r="E261" i="10"/>
  <c r="F260" i="10"/>
  <c r="E260" i="10"/>
  <c r="F259" i="10"/>
  <c r="E259" i="10"/>
  <c r="F258" i="10"/>
  <c r="E258" i="10"/>
  <c r="F257" i="10"/>
  <c r="E257" i="10"/>
  <c r="F256" i="10"/>
  <c r="E256" i="10"/>
  <c r="F255" i="10"/>
  <c r="E255" i="10"/>
  <c r="F254" i="10"/>
  <c r="E254" i="10"/>
  <c r="F253" i="10"/>
  <c r="E253" i="10"/>
  <c r="F252" i="10"/>
  <c r="E252" i="10"/>
  <c r="F251" i="10"/>
  <c r="E251" i="10"/>
  <c r="F250" i="10"/>
  <c r="E250" i="10"/>
  <c r="F249" i="10"/>
  <c r="E249" i="10"/>
  <c r="F248" i="10"/>
  <c r="E248" i="10"/>
  <c r="F247" i="10"/>
  <c r="E247" i="10"/>
  <c r="F246" i="10"/>
  <c r="E246" i="10"/>
  <c r="F245" i="10"/>
  <c r="E245" i="10"/>
  <c r="F244" i="10"/>
  <c r="E244" i="10"/>
  <c r="F243" i="10"/>
  <c r="E243" i="10"/>
  <c r="F242" i="10"/>
  <c r="E242" i="10"/>
  <c r="F241" i="10"/>
  <c r="E241" i="10"/>
  <c r="F240" i="10"/>
  <c r="E240" i="10"/>
  <c r="F239" i="10"/>
  <c r="E239" i="10"/>
  <c r="F238" i="10"/>
  <c r="E238" i="10"/>
  <c r="F237" i="10"/>
  <c r="E237" i="10"/>
  <c r="F236" i="10"/>
  <c r="E236" i="10"/>
  <c r="F235" i="10"/>
  <c r="E235" i="10"/>
  <c r="F234" i="10"/>
  <c r="E234" i="10"/>
  <c r="F233" i="10"/>
  <c r="E233" i="10"/>
  <c r="F232" i="10"/>
  <c r="E232" i="10"/>
  <c r="F231" i="10"/>
  <c r="E231" i="10"/>
  <c r="F230" i="10"/>
  <c r="E230" i="10"/>
  <c r="F229" i="10"/>
  <c r="E229" i="10"/>
  <c r="F228" i="10"/>
  <c r="E228" i="10"/>
  <c r="F227" i="10"/>
  <c r="E227" i="10"/>
  <c r="F226" i="10"/>
  <c r="E226" i="10"/>
  <c r="F225" i="10"/>
  <c r="E225" i="10"/>
  <c r="F224" i="10"/>
  <c r="E224" i="10"/>
  <c r="F223" i="10"/>
  <c r="E223" i="10"/>
  <c r="F222" i="10"/>
  <c r="E222" i="10"/>
  <c r="F221" i="10"/>
  <c r="E221" i="10"/>
  <c r="F220" i="10"/>
  <c r="E220" i="10"/>
  <c r="F219" i="10"/>
  <c r="E219" i="10"/>
  <c r="F218" i="10"/>
  <c r="E218" i="10"/>
  <c r="F217" i="10"/>
  <c r="E217" i="10"/>
  <c r="F216" i="10"/>
  <c r="E216" i="10"/>
  <c r="F215" i="10"/>
  <c r="E215" i="10"/>
  <c r="F214" i="10"/>
  <c r="E214" i="10"/>
  <c r="F213" i="10"/>
  <c r="E213" i="10"/>
  <c r="F212" i="10"/>
  <c r="E212" i="10"/>
  <c r="F211" i="10"/>
  <c r="E211" i="10"/>
  <c r="F210" i="10"/>
  <c r="E210" i="10"/>
  <c r="F209" i="10"/>
  <c r="E209" i="10"/>
  <c r="F208" i="10"/>
  <c r="E208" i="10"/>
  <c r="F207" i="10"/>
  <c r="E207" i="10"/>
  <c r="F206" i="10"/>
  <c r="E206" i="10"/>
  <c r="F205" i="10"/>
  <c r="E205" i="10"/>
  <c r="F204" i="10"/>
  <c r="E204" i="10"/>
  <c r="F203" i="10"/>
  <c r="E203" i="10"/>
  <c r="F202" i="10"/>
  <c r="E202" i="10"/>
  <c r="F201" i="10"/>
  <c r="E201" i="10"/>
  <c r="F200" i="10"/>
  <c r="E200" i="10"/>
  <c r="F199" i="10"/>
  <c r="E199" i="10"/>
  <c r="F198" i="10"/>
  <c r="E198" i="10"/>
  <c r="F197" i="10"/>
  <c r="E197" i="10"/>
  <c r="F196" i="10"/>
  <c r="E196" i="10"/>
  <c r="F195" i="10"/>
  <c r="E195" i="10"/>
  <c r="F194" i="10"/>
  <c r="E194" i="10"/>
  <c r="F193" i="10"/>
  <c r="E193" i="10"/>
  <c r="F192" i="10"/>
  <c r="E192" i="10"/>
  <c r="F191" i="10"/>
  <c r="E191" i="10"/>
  <c r="F190" i="10"/>
  <c r="E190" i="10"/>
  <c r="F189" i="10"/>
  <c r="E189" i="10"/>
  <c r="F188" i="10"/>
  <c r="E188" i="10"/>
  <c r="F187" i="10"/>
  <c r="E187" i="10"/>
  <c r="F186" i="10"/>
  <c r="E186" i="10"/>
  <c r="F185" i="10"/>
  <c r="E185" i="10"/>
  <c r="F184" i="10"/>
  <c r="E184" i="10"/>
  <c r="F183" i="10"/>
  <c r="E183" i="10"/>
  <c r="F182" i="10"/>
  <c r="E182" i="10"/>
  <c r="F181" i="10"/>
  <c r="E181" i="10"/>
  <c r="F180" i="10"/>
  <c r="E180" i="10"/>
  <c r="F179" i="10"/>
  <c r="E179" i="10"/>
  <c r="F178" i="10"/>
  <c r="E178" i="10"/>
  <c r="F177" i="10"/>
  <c r="E177" i="10"/>
  <c r="F176" i="10"/>
  <c r="E176" i="10"/>
  <c r="F175" i="10"/>
  <c r="E175" i="10"/>
  <c r="F174" i="10"/>
  <c r="E174" i="10"/>
  <c r="F173" i="10"/>
  <c r="E173" i="10"/>
  <c r="F172" i="10"/>
  <c r="E172" i="10"/>
  <c r="F171" i="10"/>
  <c r="E171" i="10"/>
  <c r="F170" i="10"/>
  <c r="E170" i="10"/>
  <c r="F169" i="10"/>
  <c r="E169" i="10"/>
  <c r="F168" i="10"/>
  <c r="E168" i="10"/>
  <c r="F167" i="10"/>
  <c r="E167" i="10"/>
  <c r="F166" i="10"/>
  <c r="E166" i="10"/>
  <c r="F165" i="10"/>
  <c r="E165" i="10"/>
  <c r="F164" i="10"/>
  <c r="E164" i="10"/>
  <c r="F163" i="10"/>
  <c r="E163" i="10"/>
  <c r="F162" i="10"/>
  <c r="E162" i="10"/>
  <c r="F161" i="10"/>
  <c r="E161" i="10"/>
  <c r="F160" i="10"/>
  <c r="E160" i="10"/>
  <c r="F159" i="10"/>
  <c r="E159" i="10"/>
  <c r="F158" i="10"/>
  <c r="E158" i="10"/>
  <c r="F157" i="10"/>
  <c r="E157" i="10"/>
  <c r="F156" i="10"/>
  <c r="E156" i="10"/>
  <c r="F155" i="10"/>
  <c r="E155" i="10"/>
  <c r="F154" i="10"/>
  <c r="E154" i="10"/>
  <c r="F153" i="10"/>
  <c r="E153" i="10"/>
  <c r="F152" i="10"/>
  <c r="E152" i="10"/>
  <c r="F151" i="10"/>
  <c r="E151" i="10"/>
  <c r="F150" i="10"/>
  <c r="E150" i="10"/>
  <c r="F149" i="10"/>
  <c r="E149" i="10"/>
  <c r="F148" i="10"/>
  <c r="E148" i="10"/>
  <c r="F147" i="10"/>
  <c r="E147" i="10"/>
  <c r="F146" i="10"/>
  <c r="E146" i="10"/>
  <c r="F145" i="10"/>
  <c r="E145" i="10"/>
  <c r="F144" i="10"/>
  <c r="E144" i="10"/>
  <c r="F143" i="10"/>
  <c r="E143" i="10"/>
  <c r="F142" i="10"/>
  <c r="E142" i="10"/>
  <c r="F141" i="10"/>
  <c r="E141" i="10"/>
  <c r="F140" i="10"/>
  <c r="E140" i="10"/>
  <c r="F139" i="10"/>
  <c r="E139" i="10"/>
  <c r="F138" i="10"/>
  <c r="E138" i="10"/>
  <c r="F137" i="10"/>
  <c r="E137" i="10"/>
  <c r="F136" i="10"/>
  <c r="E136" i="10"/>
  <c r="F135" i="10"/>
  <c r="E135" i="10"/>
  <c r="F134" i="10"/>
  <c r="E134" i="10"/>
  <c r="F133" i="10"/>
  <c r="E133" i="10"/>
  <c r="F132" i="10"/>
  <c r="E132" i="10"/>
  <c r="F131" i="10"/>
  <c r="E131" i="10"/>
  <c r="F130" i="10"/>
  <c r="E130" i="10"/>
  <c r="F129" i="10"/>
  <c r="E129" i="10"/>
  <c r="F128" i="10"/>
  <c r="E128" i="10"/>
  <c r="F127" i="10"/>
  <c r="E127" i="10"/>
  <c r="F126" i="10"/>
  <c r="E126" i="10"/>
  <c r="F125" i="10"/>
  <c r="E125" i="10"/>
  <c r="F124" i="10"/>
  <c r="E124" i="10"/>
  <c r="F123" i="10"/>
  <c r="E123" i="10"/>
  <c r="F122" i="10"/>
  <c r="E122" i="10"/>
  <c r="F121" i="10"/>
  <c r="E121" i="10"/>
  <c r="F120" i="10"/>
  <c r="E120" i="10"/>
  <c r="F119" i="10"/>
  <c r="E119" i="10"/>
  <c r="F118" i="10"/>
  <c r="E118" i="10"/>
  <c r="F117" i="10"/>
  <c r="E117" i="10"/>
  <c r="F116" i="10"/>
  <c r="E116" i="10"/>
  <c r="F115" i="10"/>
  <c r="E115" i="10"/>
  <c r="F114" i="10"/>
  <c r="E114" i="10"/>
  <c r="F113" i="10"/>
  <c r="E113" i="10"/>
  <c r="F112" i="10"/>
  <c r="E112" i="10"/>
  <c r="F111" i="10"/>
  <c r="E111" i="10"/>
  <c r="F110" i="10"/>
  <c r="E110" i="10"/>
  <c r="F109" i="10"/>
  <c r="E109" i="10"/>
  <c r="F108" i="10"/>
  <c r="E108" i="10"/>
  <c r="F107" i="10"/>
  <c r="E107" i="10"/>
  <c r="F106" i="10"/>
  <c r="E106" i="10"/>
  <c r="F105" i="10"/>
  <c r="E105" i="10"/>
  <c r="F104" i="10"/>
  <c r="E104" i="10"/>
  <c r="F103" i="10"/>
  <c r="E103" i="10"/>
  <c r="F102" i="10"/>
  <c r="E102" i="10"/>
  <c r="F101" i="10"/>
  <c r="E101" i="10"/>
  <c r="F100" i="10"/>
  <c r="E100" i="10"/>
  <c r="F99" i="10"/>
  <c r="E99" i="10"/>
  <c r="F98" i="10"/>
  <c r="E98" i="10"/>
  <c r="F97" i="10"/>
  <c r="E97" i="10"/>
  <c r="F96" i="10"/>
  <c r="E96" i="10"/>
  <c r="F95" i="10"/>
  <c r="E95" i="10"/>
  <c r="F94" i="10"/>
  <c r="E94" i="10"/>
  <c r="F93" i="10"/>
  <c r="E93" i="10"/>
  <c r="F92" i="10"/>
  <c r="E92" i="10"/>
  <c r="F91" i="10"/>
  <c r="E91" i="10"/>
  <c r="F90" i="10"/>
  <c r="E90" i="10"/>
  <c r="F89" i="10"/>
  <c r="E89" i="10"/>
  <c r="F88" i="10"/>
  <c r="E88" i="10"/>
  <c r="F87" i="10"/>
  <c r="E87" i="10"/>
  <c r="F86" i="10"/>
  <c r="E86" i="10"/>
  <c r="F85" i="10"/>
  <c r="E85" i="10"/>
  <c r="F84" i="10"/>
  <c r="E84" i="10"/>
  <c r="F83" i="10"/>
  <c r="E83" i="10"/>
  <c r="F82" i="10"/>
  <c r="E82" i="10"/>
  <c r="F81" i="10"/>
  <c r="E81" i="10"/>
  <c r="F80" i="10"/>
  <c r="E80" i="10"/>
  <c r="F79" i="10"/>
  <c r="E79" i="10"/>
  <c r="F78" i="10"/>
  <c r="E78" i="10"/>
  <c r="F77" i="10"/>
  <c r="E77" i="10"/>
  <c r="F76" i="10"/>
  <c r="E76" i="10"/>
  <c r="F75" i="10"/>
  <c r="E75" i="10"/>
  <c r="F74" i="10"/>
  <c r="E74" i="10"/>
  <c r="F73" i="10"/>
  <c r="E73" i="10"/>
  <c r="F72" i="10"/>
  <c r="E72" i="10"/>
  <c r="F71" i="10"/>
  <c r="E71" i="10"/>
  <c r="F70" i="10"/>
  <c r="E70" i="10"/>
  <c r="F69" i="10"/>
  <c r="E69" i="10"/>
  <c r="F68" i="10"/>
  <c r="E68" i="10"/>
  <c r="F67" i="10"/>
  <c r="E67" i="10"/>
  <c r="F66" i="10"/>
  <c r="E66" i="10"/>
  <c r="F65" i="10"/>
  <c r="E65" i="10"/>
  <c r="F64" i="10"/>
  <c r="E64" i="10"/>
  <c r="F63" i="10"/>
  <c r="E63" i="10"/>
  <c r="F62" i="10"/>
  <c r="E62" i="10"/>
  <c r="F61" i="10"/>
  <c r="E61" i="10"/>
  <c r="F60" i="10"/>
  <c r="E60" i="10"/>
  <c r="F59" i="10"/>
  <c r="E59" i="10"/>
  <c r="F58" i="10"/>
  <c r="E58" i="10"/>
  <c r="F57" i="10"/>
  <c r="E57" i="10"/>
  <c r="F56" i="10"/>
  <c r="E56" i="10"/>
  <c r="F55" i="10"/>
  <c r="E55" i="10"/>
  <c r="F54" i="10"/>
  <c r="E54" i="10"/>
  <c r="F53" i="10"/>
  <c r="E53" i="10"/>
  <c r="F52" i="10"/>
  <c r="E52" i="10"/>
  <c r="F51" i="10"/>
  <c r="E51" i="10"/>
  <c r="F50" i="10"/>
  <c r="E50" i="10"/>
  <c r="F49" i="10"/>
  <c r="E49" i="10"/>
  <c r="F48" i="10"/>
  <c r="E48" i="10"/>
  <c r="F47" i="10"/>
  <c r="E47" i="10"/>
  <c r="F46" i="10"/>
  <c r="E46" i="10"/>
  <c r="F45" i="10"/>
  <c r="E45" i="10"/>
  <c r="F44" i="10"/>
  <c r="E44" i="10"/>
  <c r="F43" i="10"/>
  <c r="E43" i="10"/>
  <c r="F42" i="10"/>
  <c r="E42" i="10"/>
  <c r="F41" i="10"/>
  <c r="E41" i="10"/>
  <c r="F40" i="10"/>
  <c r="E40" i="10"/>
  <c r="F39" i="10"/>
  <c r="E39" i="10"/>
  <c r="F38" i="10"/>
  <c r="E38" i="10"/>
  <c r="F37" i="10"/>
  <c r="E37" i="10"/>
  <c r="F36" i="10"/>
  <c r="E36" i="10"/>
  <c r="F35" i="10"/>
  <c r="E35" i="10"/>
  <c r="F34" i="10"/>
  <c r="E34" i="10"/>
  <c r="F33" i="10"/>
  <c r="E33" i="10"/>
  <c r="F32" i="10"/>
  <c r="E32" i="10"/>
  <c r="F31" i="10"/>
  <c r="E31" i="10"/>
  <c r="F30" i="10"/>
  <c r="E30" i="10"/>
  <c r="F29" i="10"/>
  <c r="E29" i="10"/>
  <c r="F28" i="10"/>
  <c r="E28" i="10"/>
  <c r="F27" i="10"/>
  <c r="E27" i="10"/>
  <c r="F26" i="10"/>
  <c r="E26" i="10"/>
  <c r="F25" i="10"/>
  <c r="E25" i="10"/>
  <c r="F24" i="10"/>
  <c r="E24" i="10"/>
  <c r="F23" i="10"/>
  <c r="E23" i="10"/>
  <c r="F22" i="10"/>
  <c r="E22" i="10"/>
  <c r="F21" i="10"/>
  <c r="E21" i="10"/>
  <c r="F20" i="10"/>
  <c r="E20" i="10"/>
  <c r="F19" i="10"/>
  <c r="E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F6" i="10"/>
  <c r="E6" i="10"/>
  <c r="F5" i="10"/>
  <c r="E5" i="10"/>
  <c r="F4" i="10"/>
  <c r="E4" i="10"/>
</calcChain>
</file>

<file path=xl/connections.xml><?xml version="1.0" encoding="utf-8"?>
<connections xmlns="http://schemas.openxmlformats.org/spreadsheetml/2006/main">
  <connection id="1" name="数据源" type="6" refreshedVersion="6" background="1" saveData="1">
    <textPr codePage="936" sourceFile="C:\高校题库制作系统-副本\startfile\ExtractFile\数据源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<sst xmlns="http://schemas.openxmlformats.org/spreadsheetml/2006/main" count="2052" uniqueCount="936">
  <si>
    <t>产品种类</t>
    <phoneticPr fontId="2" type="noConversion"/>
  </si>
  <si>
    <t>价格（元）</t>
    <phoneticPr fontId="2" type="noConversion"/>
  </si>
  <si>
    <t>1-999</t>
    <phoneticPr fontId="1" type="noConversion"/>
  </si>
  <si>
    <t>数量等级</t>
    <phoneticPr fontId="1" type="noConversion"/>
  </si>
  <si>
    <t>1000-1499</t>
    <phoneticPr fontId="1" type="noConversion"/>
  </si>
  <si>
    <t>1500-1999</t>
    <phoneticPr fontId="1" type="noConversion"/>
  </si>
  <si>
    <t>2000及以上</t>
    <phoneticPr fontId="1" type="noConversion"/>
  </si>
  <si>
    <t>产品A</t>
    <phoneticPr fontId="2" type="noConversion"/>
  </si>
  <si>
    <t>产品B</t>
    <phoneticPr fontId="2" type="noConversion"/>
  </si>
  <si>
    <t>产品C</t>
    <phoneticPr fontId="2" type="noConversion"/>
  </si>
  <si>
    <t>产品A</t>
    <phoneticPr fontId="4" type="noConversion"/>
  </si>
  <si>
    <t>产品B</t>
    <phoneticPr fontId="4" type="noConversion"/>
  </si>
  <si>
    <t>产品C</t>
    <phoneticPr fontId="4" type="noConversion"/>
  </si>
  <si>
    <t>日期</t>
  </si>
  <si>
    <t>类型</t>
  </si>
  <si>
    <t>数量</t>
  </si>
  <si>
    <t>产品A</t>
  </si>
  <si>
    <t>产品B</t>
  </si>
  <si>
    <t>产品C</t>
  </si>
  <si>
    <t>序号</t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</si>
  <si>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</si>
  <si>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</si>
  <si>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</si>
  <si>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</si>
  <si>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</si>
  <si>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</si>
  <si>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</si>
  <si>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</si>
  <si>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</si>
  <si>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</si>
  <si>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</si>
  <si>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</si>
  <si>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</si>
  <si>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</si>
  <si>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</si>
  <si>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</si>
  <si>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</si>
  <si>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</si>
  <si>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</si>
  <si>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</si>
  <si>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</si>
  <si>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</si>
  <si>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</si>
  <si>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</si>
  <si>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</si>
  <si>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</si>
  <si>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</si>
  <si>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</si>
  <si>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</si>
  <si>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</si>
  <si>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</si>
  <si>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</si>
  <si>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</si>
  <si>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</si>
  <si>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</si>
  <si>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</si>
  <si>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</si>
  <si>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</si>
  <si>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</si>
  <si>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</si>
  <si>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</si>
  <si>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</si>
  <si>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</si>
  <si>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</si>
  <si>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</si>
  <si>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</si>
  <si>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</si>
  <si>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</si>
  <si>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</si>
  <si>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</si>
  <si>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</si>
  <si>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</si>
  <si>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</si>
  <si>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</si>
  <si>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</si>
  <si>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</si>
  <si>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</si>
  <si>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</si>
  <si>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</si>
  <si>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</si>
  <si>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</si>
  <si>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</si>
  <si>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</si>
  <si>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</si>
  <si>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</si>
  <si>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</si>
  <si>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</si>
  <si>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</si>
  <si>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</si>
  <si>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</si>
  <si>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</si>
  <si>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</si>
  <si>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</si>
  <si>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</si>
  <si>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</si>
  <si>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</si>
  <si>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</si>
  <si>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</si>
  <si>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</si>
  <si>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</si>
  <si>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</si>
  <si>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</si>
  <si>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</si>
  <si>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</si>
  <si>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</si>
  <si>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</si>
  <si>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</si>
  <si>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</si>
  <si>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</si>
  <si>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</si>
  <si>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</si>
  <si>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</si>
  <si>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</si>
  <si>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</si>
  <si>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</si>
  <si>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</si>
  <si>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</si>
  <si>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</si>
  <si>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</si>
  <si>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</si>
  <si>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</si>
  <si>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</si>
  <si>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</si>
  <si>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</si>
  <si>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</si>
  <si>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</si>
  <si>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</si>
  <si>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</si>
  <si>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</si>
  <si>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</si>
  <si>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</si>
  <si>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</si>
  <si>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</si>
  <si>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</si>
  <si>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</si>
  <si>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</si>
  <si>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</si>
  <si>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</si>
  <si>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</si>
  <si>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</si>
  <si>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</si>
  <si>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</si>
  <si>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</si>
  <si>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</si>
  <si>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</si>
  <si>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</si>
  <si>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</si>
  <si>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</si>
  <si>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</si>
  <si>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</si>
  <si>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</si>
  <si>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</si>
  <si>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</si>
  <si>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</si>
  <si>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</si>
  <si>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</si>
  <si>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</si>
  <si>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</si>
  <si>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</si>
  <si>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</si>
  <si>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</si>
  <si>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</si>
  <si>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</si>
  <si>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</si>
  <si>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</si>
  <si>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</si>
  <si>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</si>
  <si>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</si>
  <si>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</si>
  <si>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</si>
  <si>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</si>
  <si>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</si>
  <si>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</si>
  <si>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</si>
  <si>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</si>
  <si>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</si>
  <si>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</si>
  <si>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</si>
  <si>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</si>
  <si>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</si>
  <si>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</si>
  <si>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</si>
  <si>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</si>
  <si>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</si>
  <si>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</si>
  <si>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</si>
  <si>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</si>
  <si>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</si>
  <si>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</si>
  <si>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</si>
  <si>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</si>
  <si>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</si>
  <si>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</si>
  <si>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</si>
  <si>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</si>
  <si>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</si>
  <si>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</si>
  <si>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</si>
  <si>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</si>
  <si>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</si>
  <si>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</si>
  <si>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</si>
  <si>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</si>
  <si>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</si>
  <si>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</si>
  <si>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</si>
  <si>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</si>
  <si>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</si>
  <si>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</si>
  <si>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</si>
  <si>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</si>
  <si>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</si>
  <si>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</si>
  <si>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</si>
  <si>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</si>
  <si>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</si>
  <si>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</si>
  <si>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</si>
  <si>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</si>
  <si>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</si>
  <si>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</si>
  <si>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</si>
  <si>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</si>
  <si>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</si>
  <si>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</si>
  <si>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</si>
  <si>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</si>
  <si>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</si>
  <si>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</si>
  <si>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</si>
  <si>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</si>
  <si>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</si>
  <si>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</si>
  <si>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</si>
  <si>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</si>
  <si>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</si>
  <si>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</si>
  <si>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</si>
  <si>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</si>
  <si>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</si>
  <si>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</si>
  <si>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</si>
  <si>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</si>
  <si>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</si>
  <si>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</si>
  <si>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</si>
  <si>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</si>
  <si>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</si>
  <si>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</si>
  <si>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</si>
  <si>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</si>
  <si>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</si>
  <si>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</si>
  <si>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</si>
  <si>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</si>
  <si>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</si>
  <si>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</si>
  <si>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</si>
  <si>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</si>
  <si>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</si>
  <si>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</si>
  <si>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</si>
  <si>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</si>
  <si>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</si>
  <si>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</si>
  <si>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</si>
  <si>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</si>
  <si>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</si>
  <si>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</si>
  <si>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</si>
  <si>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</si>
  <si>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</si>
  <si>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</si>
  <si>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</si>
  <si>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</si>
  <si>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</si>
  <si>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</si>
  <si>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</si>
  <si>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</si>
  <si>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</si>
  <si>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</si>
  <si>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</si>
  <si>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</si>
  <si>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</si>
  <si>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</si>
  <si>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</si>
  <si>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</si>
  <si>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</si>
  <si>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</si>
  <si>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</si>
  <si>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</si>
  <si>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</si>
  <si>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</si>
  <si>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</si>
  <si>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</si>
  <si>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</si>
  <si>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</si>
  <si>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</si>
  <si>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</si>
  <si>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</si>
  <si>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</si>
  <si>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</si>
  <si>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</si>
  <si>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</si>
  <si>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</si>
  <si>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</si>
  <si>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</si>
  <si>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</si>
  <si>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</si>
  <si>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</si>
  <si>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</si>
  <si>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</si>
  <si>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</si>
  <si>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</si>
  <si>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</si>
  <si>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</si>
  <si>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</si>
  <si>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</si>
  <si>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</si>
  <si>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</si>
  <si>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</si>
  <si>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</si>
  <si>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</si>
  <si>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</si>
  <si>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</si>
  <si>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</si>
  <si>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</si>
  <si>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</si>
  <si>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</si>
  <si>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</si>
  <si>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</si>
  <si>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</si>
  <si>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</si>
  <si>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</si>
  <si>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</si>
  <si>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</si>
  <si>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</si>
  <si>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</si>
  <si>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</si>
  <si>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</si>
  <si>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</si>
  <si>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</si>
  <si>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</si>
  <si>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</si>
  <si>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</si>
  <si>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</si>
  <si>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</si>
  <si>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</si>
  <si>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</si>
  <si>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</si>
  <si>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</si>
  <si>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</si>
  <si>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</si>
  <si>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</si>
  <si>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</si>
  <si>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</si>
  <si>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</si>
  <si>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</si>
  <si>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</si>
  <si>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</si>
  <si>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</si>
  <si>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</si>
  <si>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</si>
  <si>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</si>
  <si>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</si>
  <si>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</si>
  <si>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</si>
  <si>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</si>
  <si>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</si>
  <si>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</si>
  <si>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</si>
  <si>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</si>
  <si>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</si>
  <si>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</si>
  <si>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</si>
  <si>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</si>
  <si>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</si>
  <si>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</si>
  <si>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</si>
  <si>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</si>
  <si>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</si>
  <si>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</si>
  <si>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</si>
  <si>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</si>
  <si>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</si>
  <si>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</si>
  <si>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</si>
  <si>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</si>
  <si>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</si>
  <si>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</si>
  <si>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</si>
  <si>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</si>
  <si>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</si>
  <si>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</si>
  <si>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</si>
  <si>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</si>
  <si>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</si>
  <si>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</si>
  <si>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</si>
  <si>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</si>
  <si>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</si>
  <si>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</si>
  <si>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</si>
  <si>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</si>
  <si>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</si>
  <si>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</si>
  <si>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</si>
  <si>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</si>
  <si>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</si>
  <si>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</si>
  <si>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</si>
  <si>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</si>
  <si>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</si>
  <si>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</si>
  <si>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</si>
  <si>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</si>
  <si>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</si>
  <si>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</si>
  <si>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</si>
  <si>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</si>
  <si>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</si>
  <si>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</si>
  <si>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</si>
  <si>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</si>
  <si>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</si>
  <si>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</si>
  <si>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</si>
  <si>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</si>
  <si>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</si>
  <si>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</si>
  <si>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</si>
  <si>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</si>
  <si>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</si>
  <si>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</si>
  <si>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</si>
  <si>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</si>
  <si>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</si>
  <si>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</si>
  <si>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</si>
  <si>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</si>
  <si>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</si>
  <si>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</si>
  <si>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</si>
  <si>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</si>
  <si>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</si>
  <si>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</si>
  <si>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</si>
  <si>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</si>
  <si>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</si>
  <si>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</si>
  <si>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</si>
  <si>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</si>
  <si>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</si>
  <si>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</si>
  <si>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</si>
  <si>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</si>
  <si>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</si>
  <si>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</si>
  <si>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</si>
  <si>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</si>
  <si>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</si>
  <si>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</si>
  <si>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</si>
  <si>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</si>
  <si>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</si>
  <si>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</si>
  <si>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</si>
  <si>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</si>
  <si>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</si>
  <si>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</si>
  <si>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</si>
  <si>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</si>
  <si>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</si>
  <si>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</si>
  <si>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</si>
  <si>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</si>
  <si>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</si>
  <si>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</si>
  <si>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</si>
  <si>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</si>
  <si>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</si>
  <si>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</si>
  <si>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</si>
  <si>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</si>
  <si>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</si>
  <si>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</si>
  <si>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</si>
  <si>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</si>
  <si>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</si>
  <si>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</si>
  <si>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</si>
  <si>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</si>
  <si>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</si>
  <si>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</si>
  <si>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</si>
  <si>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</si>
  <si>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</si>
  <si>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</si>
  <si>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</si>
  <si>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</si>
  <si>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</si>
  <si>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</si>
  <si>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</si>
  <si>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</si>
  <si>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</si>
  <si>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</si>
  <si>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</si>
  <si>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</si>
  <si>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</si>
  <si>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</si>
  <si>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</si>
  <si>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</si>
  <si>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</si>
  <si>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</si>
  <si>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</si>
  <si>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</si>
  <si>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</si>
  <si>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</si>
  <si>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</si>
  <si>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</si>
  <si>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</si>
  <si>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</si>
  <si>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</si>
  <si>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</si>
  <si>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</si>
  <si>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</si>
  <si>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</si>
  <si>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</si>
  <si>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</si>
  <si>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</si>
  <si>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</si>
  <si>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</si>
  <si>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</si>
  <si>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</si>
  <si>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</si>
  <si>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</si>
  <si>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</si>
  <si>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</si>
  <si>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</si>
  <si>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</si>
  <si>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</si>
  <si>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</si>
  <si>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</si>
  <si>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</si>
  <si>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</si>
  <si>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</si>
  <si>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</si>
  <si>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</si>
  <si>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</si>
  <si>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</si>
  <si>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</si>
  <si>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</si>
  <si>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</si>
  <si>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</si>
  <si>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</si>
  <si>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</si>
  <si>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</si>
  <si>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</si>
  <si>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</si>
  <si>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</si>
  <si>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</si>
  <si>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</si>
  <si>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</si>
  <si>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</si>
  <si>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</si>
  <si>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</si>
  <si>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</si>
  <si>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</si>
  <si>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</si>
  <si>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</si>
  <si>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</si>
  <si>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</si>
  <si>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</si>
  <si>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</si>
  <si>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</si>
  <si>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</si>
  <si>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</si>
  <si>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</si>
  <si>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</si>
  <si>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</si>
  <si>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</si>
  <si>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</si>
  <si>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</si>
  <si>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</si>
  <si>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</si>
  <si>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</si>
  <si>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</si>
  <si>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</si>
  <si>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</si>
  <si>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</si>
  <si>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</si>
  <si>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</si>
  <si>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</si>
  <si>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</si>
  <si>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</si>
  <si>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</si>
  <si>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</si>
  <si>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</si>
  <si>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</si>
  <si>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</si>
  <si>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</si>
  <si>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</si>
  <si>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</si>
  <si>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</si>
  <si>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</si>
  <si>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</si>
  <si>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</si>
  <si>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</si>
  <si>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</si>
  <si>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</si>
  <si>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</si>
  <si>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</si>
  <si>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</si>
  <si>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</si>
  <si>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</si>
  <si>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</si>
  <si>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</si>
  <si>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</si>
  <si>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</si>
  <si>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</si>
  <si>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</si>
  <si>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</si>
  <si>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</si>
  <si>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</si>
  <si>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</si>
  <si>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</si>
  <si>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</si>
  <si>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</si>
  <si>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</si>
  <si>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</si>
  <si>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</si>
  <si>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</si>
  <si>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</si>
  <si>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</si>
  <si>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</si>
  <si>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</si>
  <si>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</si>
  <si>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</si>
  <si>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</si>
  <si>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</si>
  <si>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</si>
  <si>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</si>
  <si>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</si>
  <si>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</si>
  <si>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</si>
  <si>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</si>
  <si>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</si>
  <si>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</si>
  <si>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</si>
  <si>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</si>
  <si>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</si>
  <si>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</si>
  <si>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</si>
  <si>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</si>
  <si>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</si>
  <si>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</si>
  <si>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</si>
  <si>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</si>
  <si>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</si>
  <si>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</si>
  <si>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</si>
  <si>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</si>
  <si>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</si>
  <si>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</si>
  <si>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</si>
  <si>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</si>
  <si>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</si>
  <si>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</si>
  <si>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</si>
  <si>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</si>
  <si>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</si>
  <si>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</si>
  <si>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</si>
  <si>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</si>
  <si>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</si>
  <si>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</si>
  <si>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</si>
  <si>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</si>
  <si>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</si>
  <si>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</si>
  <si>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</si>
  <si>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</si>
  <si>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</si>
  <si>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</si>
  <si>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</si>
  <si>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</si>
  <si>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</si>
  <si>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</si>
  <si>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</si>
  <si>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</si>
  <si>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</si>
  <si>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</si>
  <si>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</si>
  <si>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</si>
  <si>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</si>
  <si>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</si>
  <si>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</si>
  <si>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</si>
  <si>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</si>
  <si>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</si>
  <si>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</si>
  <si>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</si>
  <si>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</si>
  <si>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</si>
  <si>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</si>
  <si>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</si>
  <si>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</si>
  <si>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</si>
  <si>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</si>
  <si>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</si>
  <si>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</si>
  <si>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</si>
  <si>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</si>
  <si>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</si>
  <si>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</si>
  <si>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</si>
  <si>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</si>
  <si>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</si>
  <si>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</si>
  <si>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</si>
  <si>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</si>
  <si>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</si>
  <si>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</si>
  <si>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</si>
  <si>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</si>
  <si>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</si>
  <si>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</si>
  <si>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</si>
  <si>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</si>
  <si>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</si>
  <si>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</si>
  <si>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</si>
  <si>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</si>
  <si>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</si>
  <si>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</si>
  <si>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</si>
  <si>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</si>
  <si>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</si>
  <si>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</si>
  <si>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</si>
  <si>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</si>
  <si>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</si>
  <si>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</si>
  <si>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</si>
  <si>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</si>
  <si>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</si>
  <si>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</si>
  <si>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</si>
  <si>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</si>
  <si>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</si>
  <si>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</si>
  <si>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</si>
  <si>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</si>
  <si>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</si>
  <si>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</si>
  <si>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</si>
  <si>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</si>
  <si>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</si>
  <si>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</si>
  <si>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</si>
  <si>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</si>
  <si>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</si>
  <si>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</si>
  <si>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</si>
  <si>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</si>
  <si>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</si>
  <si>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</si>
  <si>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</si>
  <si>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</si>
  <si>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</si>
  <si>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</si>
  <si>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</si>
  <si>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</si>
  <si>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</si>
  <si>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</si>
  <si>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</si>
  <si>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</si>
  <si>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</si>
  <si>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</si>
  <si>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</si>
  <si>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</si>
  <si>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</si>
  <si>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</si>
  <si>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</si>
  <si>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</si>
  <si>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</si>
  <si>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</si>
  <si>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</si>
  <si>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</si>
  <si>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</si>
  <si>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</si>
  <si>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</si>
  <si>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</si>
  <si>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</si>
  <si>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</si>
  <si>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</si>
  <si>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</si>
  <si>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</si>
  <si>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</si>
  <si>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</si>
  <si>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</si>
  <si>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</si>
  <si>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</si>
  <si>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</si>
  <si>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</si>
  <si>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</si>
  <si>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</si>
  <si>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</si>
  <si>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</si>
  <si>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</si>
  <si>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</si>
  <si>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</si>
  <si>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</si>
  <si>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</si>
  <si>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</si>
  <si>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</si>
  <si>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</si>
  <si>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</si>
  <si>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</si>
  <si>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</si>
  <si>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</si>
  <si>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</si>
  <si>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</si>
  <si>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</si>
  <si>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</si>
  <si>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</si>
  <si>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</si>
  <si>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</si>
  <si>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</si>
  <si>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</si>
  <si>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</si>
  <si>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</si>
  <si>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</si>
  <si>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</si>
  <si>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</si>
  <si>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</si>
  <si>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</si>
  <si>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</si>
  <si>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</si>
  <si>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</si>
  <si>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</si>
  <si>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</si>
  <si>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</si>
  <si>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</si>
  <si>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</si>
  <si>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</si>
  <si>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</si>
  <si>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</si>
  <si>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</si>
  <si>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</si>
  <si>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</si>
  <si>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</si>
  <si>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</si>
  <si>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</si>
  <si>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</si>
  <si>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</si>
  <si>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</si>
  <si>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</si>
  <si>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</si>
  <si>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</si>
  <si>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</si>
  <si>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</si>
  <si>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</si>
  <si>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</si>
  <si>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</si>
  <si>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</si>
  <si>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</si>
  <si>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</si>
  <si>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</si>
  <si>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</si>
  <si>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</si>
  <si>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</si>
  <si>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</si>
  <si>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</si>
  <si>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</si>
  <si>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</si>
  <si>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</si>
  <si>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</si>
  <si>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</si>
  <si>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</si>
  <si>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</si>
  <si>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</si>
  <si>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</si>
  <si>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</si>
  <si>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</si>
  <si>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</si>
  <si>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</si>
  <si>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</si>
  <si>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</si>
  <si>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</si>
  <si>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</si>
  <si>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</si>
  <si>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</si>
  <si>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</si>
  <si>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</si>
  <si>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</si>
  <si>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</si>
  <si>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</si>
  <si>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</si>
  <si>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</si>
  <si>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</si>
  <si>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</si>
  <si>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</si>
  <si>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</si>
  <si>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</si>
  <si>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</si>
  <si>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</si>
  <si>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</si>
  <si>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价格</t>
  </si>
  <si>
    <t>金额</t>
  </si>
  <si>
    <t>2012年销售数据</t>
    <phoneticPr fontId="1" type="noConversion"/>
  </si>
  <si>
    <t>行标签</t>
  </si>
  <si>
    <t>总计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</si>
  <si>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</si>
  <si>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</si>
  <si>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</si>
  <si>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</si>
  <si>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</si>
  <si>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</si>
  <si>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</si>
  <si>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</si>
  <si>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</si>
  <si>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</si>
  <si>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</si>
  <si>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</si>
  <si>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列标签</t>
  </si>
  <si>
    <t>求和项:数量</t>
  </si>
  <si>
    <t>第一季</t>
  </si>
  <si>
    <t>第二季</t>
  </si>
  <si>
    <t>第三季</t>
  </si>
  <si>
    <t>第四季</t>
  </si>
  <si>
    <t>类型</t>
    <phoneticPr fontId="1" type="noConversion"/>
  </si>
  <si>
    <t>数量</t>
    <phoneticPr fontId="1" type="noConversion"/>
  </si>
  <si>
    <t>&gt;1550</t>
  </si>
  <si>
    <t>&gt;1900</t>
  </si>
  <si>
    <t>&gt;1500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</si>
</sst>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¥&quot;#,##0;&quot;¥&quot;\-#,##0"/>
    <numFmt numFmtId="176" formatCode="m/d;@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8"/>
      <color theme="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Font="0" applyBorder="0" applyAlignment="0" applyProtection="0"/>
    <xf numFmtId="0" fontId="3" fillId="3" borderId="0" applyNumberFormat="0" applyFont="0" applyBorder="0" applyAlignment="0" applyProtection="0"/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3" applyFont="1" applyBorder="1" applyAlignment="1">
      <alignment horizontal="center"/>
    </xf>
    <xf numFmtId="49" fontId="0" fillId="0" borderId="0" xfId="0" applyNumberFormat="1"/>
    <xf numFmtId="176" fontId="0" fillId="0" borderId="0" xfId="0" applyNumberFormat="1"/>
    <xf numFmtId="49" fontId="6" fillId="0" borderId="0" xfId="4" applyNumberFormat="1" applyAlignment="1">
      <alignment horizontal="centerContinuous"/>
    </xf>
    <xf numFmtId="176" fontId="6" fillId="0" borderId="0" xfId="4" applyNumberFormat="1" applyAlignment="1">
      <alignment horizontal="centerContinuous"/>
    </xf>
    <xf numFmtId="0" fontId="6" fillId="0" borderId="0" xfId="4" applyAlignment="1">
      <alignment horizontal="centerContinuous"/>
    </xf>
    <xf numFmtId="49" fontId="0" fillId="0" borderId="2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5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5" fontId="0" fillId="0" borderId="3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 applyAlignment="1">
      <alignment horizontal="left" indent="1"/>
    </xf>
    <xf numFmtId="0" fontId="0" fillId="0" borderId="0" xfId="0" applyNumberFormat="1"/>
  </cellXfs>
  <cellStyles count="5">
    <cellStyle name="GreyOrWhite" xfId="1"/>
    <cellStyle name="Yellow" xfId="2"/>
    <cellStyle name="百分比" xfId="3" builtinId="5"/>
    <cellStyle name="标题" xfId="4" builtinId="15" customBuiltin="1"/>
    <cellStyle name="常规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[Excel.xlsx]销售量汇总!数据透视表1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销售量汇总!$B$3:$B$4</c:f>
              <c:strCache>
                <c:ptCount val="1"/>
                <c:pt idx="0">
                  <c:v>产品A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销售量汇总!$A$5:$A$21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销售量汇总!$B$5:$B$21</c:f>
              <c:numCache>
                <c:formatCode>General</c:formatCode>
                <c:ptCount val="12"/>
                <c:pt idx="0">
                  <c:v>37534</c:v>
                </c:pt>
                <c:pt idx="1">
                  <c:v>26346</c:v>
                </c:pt>
                <c:pt idx="2">
                  <c:v>32440</c:v>
                </c:pt>
                <c:pt idx="3">
                  <c:v>27704</c:v>
                </c:pt>
                <c:pt idx="4">
                  <c:v>37605</c:v>
                </c:pt>
                <c:pt idx="5">
                  <c:v>36244</c:v>
                </c:pt>
                <c:pt idx="6">
                  <c:v>35314</c:v>
                </c:pt>
                <c:pt idx="7">
                  <c:v>35816</c:v>
                </c:pt>
                <c:pt idx="8">
                  <c:v>38447</c:v>
                </c:pt>
                <c:pt idx="9">
                  <c:v>37113</c:v>
                </c:pt>
                <c:pt idx="10">
                  <c:v>33806</c:v>
                </c:pt>
                <c:pt idx="11">
                  <c:v>36291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E-437C-9C87-CD1FE6E980C9}"/>
            </c:ext>
          </c:extLst>
        </c:ser>
        <c:ser>
          <c:idx val="1"/>
          <c:order val="1"/>
          <c:tx>
            <c:strRef>
              <c:f>销售量汇总!$C$3:$C$4</c:f>
              <c:strCache>
                <c:ptCount val="1"/>
                <c:pt idx="0">
                  <c:v>产品B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556498773019574"/>
                  <c:y val="-5.45115453419315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cat>
            <c:multiLvlStrRef>
              <c:f>销售量汇总!$A$5:$A$21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销售量汇总!$C$5:$C$21</c:f>
              <c:numCache>
                <c:formatCode>General</c:formatCode>
                <c:ptCount val="12"/>
                <c:pt idx="0">
                  <c:v>22443</c:v>
                </c:pt>
                <c:pt idx="1">
                  <c:v>23722</c:v>
                </c:pt>
                <c:pt idx="2">
                  <c:v>26487</c:v>
                </c:pt>
                <c:pt idx="3">
                  <c:v>27784</c:v>
                </c:pt>
                <c:pt idx="4">
                  <c:v>36472</c:v>
                </c:pt>
                <c:pt idx="5">
                  <c:v>34750</c:v>
                </c:pt>
                <c:pt idx="6">
                  <c:v>37394</c:v>
                </c:pt>
                <c:pt idx="7">
                  <c:v>41031</c:v>
                </c:pt>
                <c:pt idx="8">
                  <c:v>45703</c:v>
                </c:pt>
                <c:pt idx="9">
                  <c:v>43144</c:v>
                </c:pt>
                <c:pt idx="10">
                  <c:v>49168</c:v>
                </c:pt>
                <c:pt idx="11">
                  <c:v>48128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E-437C-9C87-CD1FE6E980C9}"/>
            </c:ext>
          </c:extLst>
        </c:ser>
        <c:ser>
          <c:idx val="2"/>
          <c:order val="2"/>
          <c:tx>
            <c:strRef>
              <c:f>销售量汇总!$D$3:$D$4</c:f>
              <c:strCache>
                <c:ptCount val="1"/>
                <c:pt idx="0">
                  <c:v>产品C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销售量汇总!$A$5:$A$21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销售量汇总!$D$5:$D$21</c:f>
              <c:numCache>
                <c:formatCode>General</c:formatCode>
                <c:ptCount val="12"/>
                <c:pt idx="0">
                  <c:v>40354</c:v>
                </c:pt>
                <c:pt idx="1">
                  <c:v>31486</c:v>
                </c:pt>
                <c:pt idx="2">
                  <c:v>34701</c:v>
                </c:pt>
                <c:pt idx="3">
                  <c:v>33901</c:v>
                </c:pt>
                <c:pt idx="4">
                  <c:v>32487</c:v>
                </c:pt>
                <c:pt idx="5">
                  <c:v>32376</c:v>
                </c:pt>
                <c:pt idx="6">
                  <c:v>29863</c:v>
                </c:pt>
                <c:pt idx="7">
                  <c:v>26327</c:v>
                </c:pt>
                <c:pt idx="8">
                  <c:v>25471</c:v>
                </c:pt>
                <c:pt idx="9">
                  <c:v>28639</c:v>
                </c:pt>
                <c:pt idx="10">
                  <c:v>26424</c:v>
                </c:pt>
                <c:pt idx="11">
                  <c:v>29012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E-437C-9C87-CD1FE6E98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177768"/>
        <c:axId val="494178752"/>
      </c:lineChart>
      <c:catAx>
        <c:axId val="49417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178752"/>
        <c:crosses val="autoZero"/>
        <c:auto val="1"/>
        <c:lblAlgn val="ctr"/>
        <c:lblOffset val="100"/>
        <c:noMultiLvlLbl val="0"/>
      </c:catAx>
      <c:valAx>
        <c:axId val="49417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17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</xdr:colOff>
      <xdr:row>2</xdr:row>
      <xdr:rowOff>4761</xdr:rowOff>
    </xdr:from>
    <xdr:to>
      <xdr:col>16</xdr:col>
      <xdr:colOff>76200</xdr:colOff>
      <xdr:row>21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(version%202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478.459503356484" createdVersion="6" refreshedVersion="6" minRefreshableVersion="3" recordCount="888">
  <cacheSource type="worksheet">
    <worksheetSource ref="A3:F891" sheet="销售记录" r:id="rId2"/>
  </cacheSource>
  <cacheFields count="7">
    <cacheField name="序号" numFmtId="49">
      <sharedItems/>
    </cacheField>
    <cacheField name="日期" numFmtId="176">
      <sharedItems containsSemiMixedTypes="0" containsNonDate="0" containsDate="1" containsString="0" minDate="2012-01-01T00:00:00" maxDate="2013-01-01T00:00:00" count="364"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6T00:00:00"/>
        <d v="2012-03-17T00:00:00"/>
        <d v="2012-03-18T00:00:00"/>
        <d v="2012-03-19T00:00:00"/>
        <d v="2012-03-20T00:00:00"/>
        <d v="2012-03-21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</sharedItems>
      <fieldGroup par="6" base="1">
        <rangePr groupBy="months" startDate="2012-01-01T00:00:00" endDate="2013-01-01T00:00:00"/>
        <groupItems count="14">
          <s v="&lt;2012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3/1/1"/>
        </groupItems>
      </fieldGroup>
    </cacheField>
    <cacheField name="类型" numFmtId="0">
      <sharedItems count="3">
        <s v="产品A"/>
        <s v="产品B"/>
        <s v="产品C"/>
      </sharedItems>
    </cacheField>
    <cacheField name="数量" numFmtId="0">
      <sharedItems containsSemiMixedTypes="0" containsString="0" containsNumber="1" containsInteger="1" minValue="812" maxValue="2100"/>
    </cacheField>
    <cacheField name="价格" numFmtId="0">
      <sharedItems containsSemiMixedTypes="0" containsString="0" containsNumber="1" containsInteger="1" minValue="2100" maxValue="3200"/>
    </cacheField>
    <cacheField name="金额" numFmtId="5">
      <sharedItems containsSemiMixedTypes="0" containsString="0" containsNumber="1" containsInteger="1" minValue="1999200" maxValue="5644800"/>
    </cacheField>
    <cacheField name="季度" numFmtId="0" databaseField="0">
      <fieldGroup base="1">
        <rangePr groupBy="quarters" startDate="2012-01-01T00:00:00" endDate="2013-01-01T00:00:00"/>
        <groupItems count="6">
          <s v="&lt;2012/1/1"/>
          <s v="第一季"/>
          <s v="第二季"/>
          <s v="第三季"/>
          <s v="第四季"/>
          <s v="&gt;2013/1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8">
  <r>
    <s v="001"/>
    <x v="0"/>
    <x v="0"/>
    <n v="1481"/>
    <n v="3200"/>
    <n v="4691808"/>
  </r>
  <r>
    <s v="002"/>
    <x v="0"/>
    <x v="1"/>
    <n v="882"/>
    <n v="2800"/>
    <n v="2469600"/>
  </r>
  <r>
    <s v="003"/>
    <x v="0"/>
    <x v="2"/>
    <n v="1575"/>
    <n v="2100"/>
    <n v="3175200"/>
  </r>
  <r>
    <s v="004"/>
    <x v="1"/>
    <x v="1"/>
    <n v="900"/>
    <n v="2800"/>
    <n v="2520000"/>
  </r>
  <r>
    <s v="005"/>
    <x v="1"/>
    <x v="2"/>
    <n v="1532"/>
    <n v="2100"/>
    <n v="3088512"/>
  </r>
  <r>
    <s v="006"/>
    <x v="2"/>
    <x v="0"/>
    <n v="1561"/>
    <n v="3200"/>
    <n v="4895296"/>
  </r>
  <r>
    <s v="007"/>
    <x v="2"/>
    <x v="2"/>
    <n v="1551"/>
    <n v="2100"/>
    <n v="3126816"/>
  </r>
  <r>
    <s v="008"/>
    <x v="3"/>
    <x v="0"/>
    <n v="1282"/>
    <n v="3200"/>
    <n v="4061376"/>
  </r>
  <r>
    <s v="009"/>
    <x v="3"/>
    <x v="1"/>
    <n v="812"/>
    <n v="2800"/>
    <n v="2273600"/>
  </r>
  <r>
    <s v="010"/>
    <x v="3"/>
    <x v="2"/>
    <n v="1518"/>
    <n v="2100"/>
    <n v="3060288"/>
  </r>
  <r>
    <s v="011"/>
    <x v="4"/>
    <x v="1"/>
    <n v="880"/>
    <n v="2800"/>
    <n v="2464000"/>
  </r>
  <r>
    <s v="012"/>
    <x v="5"/>
    <x v="0"/>
    <n v="1516"/>
    <n v="3200"/>
    <n v="4754176"/>
  </r>
  <r>
    <s v="013"/>
    <x v="5"/>
    <x v="2"/>
    <n v="1564"/>
    <n v="2100"/>
    <n v="3153024"/>
  </r>
  <r>
    <s v="014"/>
    <x v="6"/>
    <x v="0"/>
    <n v="1530"/>
    <n v="3200"/>
    <n v="4798080"/>
  </r>
  <r>
    <s v="015"/>
    <x v="6"/>
    <x v="1"/>
    <n v="840"/>
    <n v="2800"/>
    <n v="2352000"/>
  </r>
  <r>
    <s v="016"/>
    <x v="6"/>
    <x v="2"/>
    <n v="1515"/>
    <n v="2100"/>
    <n v="3054240"/>
  </r>
  <r>
    <s v="017"/>
    <x v="7"/>
    <x v="0"/>
    <n v="1248"/>
    <n v="3200"/>
    <n v="3953664"/>
  </r>
  <r>
    <s v="018"/>
    <x v="7"/>
    <x v="1"/>
    <n v="993"/>
    <n v="2800"/>
    <n v="2780400"/>
  </r>
  <r>
    <s v="019"/>
    <x v="7"/>
    <x v="2"/>
    <n v="1530"/>
    <n v="2100"/>
    <n v="3084480"/>
  </r>
  <r>
    <s v="020"/>
    <x v="8"/>
    <x v="0"/>
    <n v="1538"/>
    <n v="3200"/>
    <n v="4823168"/>
  </r>
  <r>
    <s v="021"/>
    <x v="8"/>
    <x v="2"/>
    <n v="1589"/>
    <n v="2100"/>
    <n v="3203424"/>
  </r>
  <r>
    <s v="022"/>
    <x v="9"/>
    <x v="0"/>
    <n v="1498"/>
    <n v="3200"/>
    <n v="4745664"/>
  </r>
  <r>
    <s v="023"/>
    <x v="9"/>
    <x v="1"/>
    <n v="817"/>
    <n v="2800"/>
    <n v="2287600"/>
  </r>
  <r>
    <s v="024"/>
    <x v="9"/>
    <x v="2"/>
    <n v="1595"/>
    <n v="2100"/>
    <n v="3215520"/>
  </r>
  <r>
    <s v="025"/>
    <x v="10"/>
    <x v="0"/>
    <n v="1579"/>
    <n v="3200"/>
    <n v="4951744"/>
  </r>
  <r>
    <s v="026"/>
    <x v="10"/>
    <x v="1"/>
    <n v="822"/>
    <n v="2800"/>
    <n v="2301600"/>
  </r>
  <r>
    <s v="027"/>
    <x v="10"/>
    <x v="2"/>
    <n v="1531"/>
    <n v="2100"/>
    <n v="3086496"/>
  </r>
  <r>
    <s v="028"/>
    <x v="11"/>
    <x v="1"/>
    <n v="840"/>
    <n v="2800"/>
    <n v="2352000"/>
  </r>
  <r>
    <s v="029"/>
    <x v="11"/>
    <x v="2"/>
    <n v="1513"/>
    <n v="2100"/>
    <n v="3050208"/>
  </r>
  <r>
    <s v="030"/>
    <x v="12"/>
    <x v="0"/>
    <n v="1565"/>
    <n v="3200"/>
    <n v="4907840"/>
  </r>
  <r>
    <s v="031"/>
    <x v="12"/>
    <x v="1"/>
    <n v="840"/>
    <n v="2800"/>
    <n v="2352000"/>
  </r>
  <r>
    <s v="032"/>
    <x v="12"/>
    <x v="2"/>
    <n v="1501"/>
    <n v="2100"/>
    <n v="3026016"/>
  </r>
  <r>
    <s v="033"/>
    <x v="13"/>
    <x v="0"/>
    <n v="1463"/>
    <n v="3200"/>
    <n v="4634784"/>
  </r>
  <r>
    <s v="034"/>
    <x v="13"/>
    <x v="1"/>
    <n v="934"/>
    <n v="2800"/>
    <n v="2615200"/>
  </r>
  <r>
    <s v="035"/>
    <x v="13"/>
    <x v="2"/>
    <n v="1539"/>
    <n v="2100"/>
    <n v="3102624"/>
  </r>
  <r>
    <s v="036"/>
    <x v="14"/>
    <x v="0"/>
    <n v="1429"/>
    <n v="3200"/>
    <n v="4527072"/>
  </r>
  <r>
    <s v="037"/>
    <x v="14"/>
    <x v="1"/>
    <n v="819"/>
    <n v="2800"/>
    <n v="2293200"/>
  </r>
  <r>
    <s v="038"/>
    <x v="15"/>
    <x v="0"/>
    <n v="1231"/>
    <n v="3200"/>
    <n v="3899808"/>
  </r>
  <r>
    <s v="039"/>
    <x v="16"/>
    <x v="0"/>
    <n v="1354"/>
    <n v="3200"/>
    <n v="4289472"/>
  </r>
  <r>
    <s v="040"/>
    <x v="16"/>
    <x v="1"/>
    <n v="911"/>
    <n v="2800"/>
    <n v="2550800"/>
  </r>
  <r>
    <s v="041"/>
    <x v="16"/>
    <x v="2"/>
    <n v="1537"/>
    <n v="2100"/>
    <n v="3098592"/>
  </r>
  <r>
    <s v="042"/>
    <x v="17"/>
    <x v="0"/>
    <n v="1264"/>
    <n v="3200"/>
    <n v="4004352"/>
  </r>
  <r>
    <s v="043"/>
    <x v="17"/>
    <x v="1"/>
    <n v="946"/>
    <n v="2800"/>
    <n v="2648800"/>
  </r>
  <r>
    <s v="044"/>
    <x v="17"/>
    <x v="2"/>
    <n v="1588"/>
    <n v="2100"/>
    <n v="3201408"/>
  </r>
  <r>
    <s v="045"/>
    <x v="18"/>
    <x v="0"/>
    <n v="1566"/>
    <n v="3200"/>
    <n v="4910976"/>
  </r>
  <r>
    <s v="046"/>
    <x v="18"/>
    <x v="1"/>
    <n v="954"/>
    <n v="2800"/>
    <n v="2671200"/>
  </r>
  <r>
    <s v="047"/>
    <x v="18"/>
    <x v="2"/>
    <n v="1584"/>
    <n v="2100"/>
    <n v="3193344"/>
  </r>
  <r>
    <s v="048"/>
    <x v="19"/>
    <x v="0"/>
    <n v="1576"/>
    <n v="3200"/>
    <n v="4942336"/>
  </r>
  <r>
    <s v="049"/>
    <x v="19"/>
    <x v="1"/>
    <n v="855"/>
    <n v="2800"/>
    <n v="2394000"/>
  </r>
  <r>
    <s v="050"/>
    <x v="20"/>
    <x v="0"/>
    <n v="1544"/>
    <n v="3200"/>
    <n v="4841984"/>
  </r>
  <r>
    <s v="051"/>
    <x v="20"/>
    <x v="1"/>
    <n v="891"/>
    <n v="2800"/>
    <n v="2494800"/>
  </r>
  <r>
    <s v="052"/>
    <x v="20"/>
    <x v="2"/>
    <n v="1545"/>
    <n v="2100"/>
    <n v="3114720"/>
  </r>
  <r>
    <s v="053"/>
    <x v="21"/>
    <x v="0"/>
    <n v="1349"/>
    <n v="3200"/>
    <n v="4273632"/>
  </r>
  <r>
    <s v="054"/>
    <x v="21"/>
    <x v="1"/>
    <n v="986"/>
    <n v="2800"/>
    <n v="2760800"/>
  </r>
  <r>
    <s v="055"/>
    <x v="21"/>
    <x v="2"/>
    <n v="1579"/>
    <n v="2100"/>
    <n v="3183264"/>
  </r>
  <r>
    <s v="056"/>
    <x v="22"/>
    <x v="0"/>
    <n v="1556"/>
    <n v="3200"/>
    <n v="4879616"/>
  </r>
  <r>
    <s v="057"/>
    <x v="22"/>
    <x v="1"/>
    <n v="983"/>
    <n v="2800"/>
    <n v="2752400"/>
  </r>
  <r>
    <s v="058"/>
    <x v="22"/>
    <x v="2"/>
    <n v="1518"/>
    <n v="2100"/>
    <n v="3060288"/>
  </r>
  <r>
    <s v="059"/>
    <x v="23"/>
    <x v="1"/>
    <n v="889"/>
    <n v="2800"/>
    <n v="2489200"/>
  </r>
  <r>
    <s v="060"/>
    <x v="23"/>
    <x v="2"/>
    <n v="1593"/>
    <n v="2100"/>
    <n v="3211488"/>
  </r>
  <r>
    <s v="061"/>
    <x v="24"/>
    <x v="0"/>
    <n v="1264"/>
    <n v="3200"/>
    <n v="4004352"/>
  </r>
  <r>
    <s v="062"/>
    <x v="24"/>
    <x v="1"/>
    <n v="993"/>
    <n v="2800"/>
    <n v="2780400"/>
  </r>
  <r>
    <s v="063"/>
    <x v="24"/>
    <x v="2"/>
    <n v="1583"/>
    <n v="2100"/>
    <n v="3191328"/>
  </r>
  <r>
    <s v="064"/>
    <x v="25"/>
    <x v="0"/>
    <n v="1583"/>
    <n v="3200"/>
    <n v="4964288"/>
  </r>
  <r>
    <s v="065"/>
    <x v="25"/>
    <x v="2"/>
    <n v="1559"/>
    <n v="2100"/>
    <n v="3142944"/>
  </r>
  <r>
    <s v="066"/>
    <x v="26"/>
    <x v="0"/>
    <n v="1524"/>
    <n v="3200"/>
    <n v="4779264"/>
  </r>
  <r>
    <s v="067"/>
    <x v="26"/>
    <x v="1"/>
    <n v="874"/>
    <n v="2800"/>
    <n v="2447200"/>
  </r>
  <r>
    <s v="068"/>
    <x v="26"/>
    <x v="2"/>
    <n v="1567"/>
    <n v="2100"/>
    <n v="3159072"/>
  </r>
  <r>
    <s v="069"/>
    <x v="27"/>
    <x v="1"/>
    <n v="984"/>
    <n v="2800"/>
    <n v="2755200"/>
  </r>
  <r>
    <s v="070"/>
    <x v="27"/>
    <x v="2"/>
    <n v="1579"/>
    <n v="2100"/>
    <n v="3183264"/>
  </r>
  <r>
    <s v="071"/>
    <x v="28"/>
    <x v="0"/>
    <n v="1216"/>
    <n v="3200"/>
    <n v="3852288"/>
  </r>
  <r>
    <s v="072"/>
    <x v="29"/>
    <x v="0"/>
    <n v="1532"/>
    <n v="3200"/>
    <n v="4804352"/>
  </r>
  <r>
    <s v="073"/>
    <x v="29"/>
    <x v="1"/>
    <n v="888"/>
    <n v="2800"/>
    <n v="2486400"/>
  </r>
  <r>
    <s v="074"/>
    <x v="29"/>
    <x v="2"/>
    <n v="1532"/>
    <n v="2100"/>
    <n v="3088512"/>
  </r>
  <r>
    <s v="075"/>
    <x v="30"/>
    <x v="0"/>
    <n v="1285"/>
    <n v="3200"/>
    <n v="4070880"/>
  </r>
  <r>
    <s v="076"/>
    <x v="30"/>
    <x v="1"/>
    <n v="910"/>
    <n v="2800"/>
    <n v="2548000"/>
  </r>
  <r>
    <s v="077"/>
    <x v="30"/>
    <x v="2"/>
    <n v="1537"/>
    <n v="2100"/>
    <n v="3098592"/>
  </r>
  <r>
    <s v="078"/>
    <x v="31"/>
    <x v="2"/>
    <n v="1535"/>
    <n v="2100"/>
    <n v="3094560"/>
  </r>
  <r>
    <s v="079"/>
    <x v="32"/>
    <x v="0"/>
    <n v="1407"/>
    <n v="3200"/>
    <n v="4457376"/>
  </r>
  <r>
    <s v="080"/>
    <x v="32"/>
    <x v="2"/>
    <n v="1509"/>
    <n v="2100"/>
    <n v="3042144"/>
  </r>
  <r>
    <s v="081"/>
    <x v="33"/>
    <x v="0"/>
    <n v="1519"/>
    <n v="3200"/>
    <n v="4763584"/>
  </r>
  <r>
    <s v="082"/>
    <x v="33"/>
    <x v="1"/>
    <n v="917"/>
    <n v="2800"/>
    <n v="2567600"/>
  </r>
  <r>
    <s v="083"/>
    <x v="34"/>
    <x v="0"/>
    <n v="1564"/>
    <n v="3200"/>
    <n v="4904704"/>
  </r>
  <r>
    <s v="084"/>
    <x v="34"/>
    <x v="1"/>
    <n v="997"/>
    <n v="2800"/>
    <n v="2791600"/>
  </r>
  <r>
    <s v="085"/>
    <x v="35"/>
    <x v="0"/>
    <n v="1297"/>
    <n v="3200"/>
    <n v="4108896"/>
  </r>
  <r>
    <s v="086"/>
    <x v="36"/>
    <x v="0"/>
    <n v="1255"/>
    <n v="3200"/>
    <n v="3975840"/>
  </r>
  <r>
    <s v="087"/>
    <x v="36"/>
    <x v="1"/>
    <n v="901"/>
    <n v="2800"/>
    <n v="2522800"/>
  </r>
  <r>
    <s v="088"/>
    <x v="36"/>
    <x v="2"/>
    <n v="1505"/>
    <n v="2100"/>
    <n v="3034080"/>
  </r>
  <r>
    <s v="089"/>
    <x v="37"/>
    <x v="0"/>
    <n v="1282"/>
    <n v="3200"/>
    <n v="4061376"/>
  </r>
  <r>
    <s v="090"/>
    <x v="37"/>
    <x v="1"/>
    <n v="933"/>
    <n v="2800"/>
    <n v="2612400"/>
  </r>
  <r>
    <s v="091"/>
    <x v="37"/>
    <x v="2"/>
    <n v="1482"/>
    <n v="2100"/>
    <n v="3018834"/>
  </r>
  <r>
    <s v="092"/>
    <x v="38"/>
    <x v="0"/>
    <n v="1298"/>
    <n v="3200"/>
    <n v="4112064"/>
  </r>
  <r>
    <s v="093"/>
    <x v="38"/>
    <x v="1"/>
    <n v="1015"/>
    <n v="2800"/>
    <n v="2785160"/>
  </r>
  <r>
    <s v="094"/>
    <x v="38"/>
    <x v="2"/>
    <n v="1461"/>
    <n v="2100"/>
    <n v="2976057"/>
  </r>
  <r>
    <s v="095"/>
    <x v="39"/>
    <x v="0"/>
    <n v="1524"/>
    <n v="3200"/>
    <n v="4779264"/>
  </r>
  <r>
    <s v="096"/>
    <x v="39"/>
    <x v="1"/>
    <n v="1090"/>
    <n v="2800"/>
    <n v="2990960"/>
  </r>
  <r>
    <s v="097"/>
    <x v="39"/>
    <x v="2"/>
    <n v="1471"/>
    <n v="2100"/>
    <n v="2996427"/>
  </r>
  <r>
    <s v="098"/>
    <x v="40"/>
    <x v="1"/>
    <n v="1099"/>
    <n v="2800"/>
    <n v="3015656"/>
  </r>
  <r>
    <s v="099"/>
    <x v="41"/>
    <x v="1"/>
    <n v="908"/>
    <n v="2800"/>
    <n v="2542400"/>
  </r>
  <r>
    <s v="100"/>
    <x v="41"/>
    <x v="2"/>
    <n v="1455"/>
    <n v="2100"/>
    <n v="2963835"/>
  </r>
  <r>
    <s v="101"/>
    <x v="42"/>
    <x v="1"/>
    <n v="1088"/>
    <n v="2800"/>
    <n v="2985472"/>
  </r>
  <r>
    <s v="102"/>
    <x v="42"/>
    <x v="2"/>
    <n v="1460"/>
    <n v="2100"/>
    <n v="2974020"/>
  </r>
  <r>
    <s v="103"/>
    <x v="43"/>
    <x v="1"/>
    <n v="1003"/>
    <n v="2800"/>
    <n v="2752232"/>
  </r>
  <r>
    <s v="104"/>
    <x v="43"/>
    <x v="2"/>
    <n v="1479"/>
    <n v="2100"/>
    <n v="3012723"/>
  </r>
  <r>
    <s v="105"/>
    <x v="44"/>
    <x v="0"/>
    <n v="1252"/>
    <n v="3200"/>
    <n v="3966336"/>
  </r>
  <r>
    <s v="106"/>
    <x v="44"/>
    <x v="1"/>
    <n v="999"/>
    <n v="2800"/>
    <n v="2797200"/>
  </r>
  <r>
    <s v="107"/>
    <x v="44"/>
    <x v="2"/>
    <n v="1549"/>
    <n v="2100"/>
    <n v="3122784"/>
  </r>
  <r>
    <s v="108"/>
    <x v="45"/>
    <x v="1"/>
    <n v="946"/>
    <n v="2800"/>
    <n v="2648800"/>
  </r>
  <r>
    <s v="109"/>
    <x v="45"/>
    <x v="2"/>
    <n v="1528"/>
    <n v="2100"/>
    <n v="3080448"/>
  </r>
  <r>
    <s v="110"/>
    <x v="46"/>
    <x v="0"/>
    <n v="1343"/>
    <n v="3200"/>
    <n v="4254624"/>
  </r>
  <r>
    <s v="111"/>
    <x v="46"/>
    <x v="1"/>
    <n v="1008"/>
    <n v="2800"/>
    <n v="2765952"/>
  </r>
  <r>
    <s v="112"/>
    <x v="46"/>
    <x v="2"/>
    <n v="1546"/>
    <n v="2100"/>
    <n v="3116736"/>
  </r>
  <r>
    <s v="113"/>
    <x v="47"/>
    <x v="0"/>
    <n v="1389"/>
    <n v="3200"/>
    <n v="4400352"/>
  </r>
  <r>
    <s v="114"/>
    <x v="47"/>
    <x v="1"/>
    <n v="1027"/>
    <n v="2800"/>
    <n v="2818088"/>
  </r>
  <r>
    <s v="115"/>
    <x v="47"/>
    <x v="2"/>
    <n v="1515"/>
    <n v="2100"/>
    <n v="3054240"/>
  </r>
  <r>
    <s v="116"/>
    <x v="48"/>
    <x v="1"/>
    <n v="904"/>
    <n v="2800"/>
    <n v="2531200"/>
  </r>
  <r>
    <s v="117"/>
    <x v="48"/>
    <x v="2"/>
    <n v="1471"/>
    <n v="2100"/>
    <n v="2996427"/>
  </r>
  <r>
    <s v="118"/>
    <x v="49"/>
    <x v="0"/>
    <n v="1446"/>
    <n v="3200"/>
    <n v="4580928"/>
  </r>
  <r>
    <s v="119"/>
    <x v="49"/>
    <x v="2"/>
    <n v="1533"/>
    <n v="2100"/>
    <n v="3090528"/>
  </r>
  <r>
    <s v="120"/>
    <x v="50"/>
    <x v="1"/>
    <n v="981"/>
    <n v="2800"/>
    <n v="2746800"/>
  </r>
  <r>
    <s v="121"/>
    <x v="51"/>
    <x v="1"/>
    <n v="930"/>
    <n v="2800"/>
    <n v="2604000"/>
  </r>
  <r>
    <s v="122"/>
    <x v="51"/>
    <x v="2"/>
    <n v="1451"/>
    <n v="2100"/>
    <n v="2955687"/>
  </r>
  <r>
    <s v="123"/>
    <x v="52"/>
    <x v="1"/>
    <n v="1068"/>
    <n v="2800"/>
    <n v="2930592"/>
  </r>
  <r>
    <s v="124"/>
    <x v="52"/>
    <x v="2"/>
    <n v="1472"/>
    <n v="2100"/>
    <n v="2998464"/>
  </r>
  <r>
    <s v="125"/>
    <x v="53"/>
    <x v="0"/>
    <n v="1450"/>
    <n v="3200"/>
    <n v="4593600"/>
  </r>
  <r>
    <s v="126"/>
    <x v="53"/>
    <x v="1"/>
    <n v="1025"/>
    <n v="2800"/>
    <n v="2812600"/>
  </r>
  <r>
    <s v="127"/>
    <x v="53"/>
    <x v="2"/>
    <n v="1473"/>
    <n v="2100"/>
    <n v="3000501"/>
  </r>
  <r>
    <s v="128"/>
    <x v="54"/>
    <x v="0"/>
    <n v="1346"/>
    <n v="3200"/>
    <n v="4264128"/>
  </r>
  <r>
    <s v="129"/>
    <x v="54"/>
    <x v="1"/>
    <n v="940"/>
    <n v="2800"/>
    <n v="2632000"/>
  </r>
  <r>
    <s v="130"/>
    <x v="54"/>
    <x v="2"/>
    <n v="1533"/>
    <n v="2100"/>
    <n v="3090528"/>
  </r>
  <r>
    <s v="131"/>
    <x v="55"/>
    <x v="0"/>
    <n v="1329"/>
    <n v="3200"/>
    <n v="4210272"/>
  </r>
  <r>
    <s v="132"/>
    <x v="55"/>
    <x v="1"/>
    <n v="938"/>
    <n v="2800"/>
    <n v="2626400"/>
  </r>
  <r>
    <s v="133"/>
    <x v="56"/>
    <x v="0"/>
    <n v="1435"/>
    <n v="3200"/>
    <n v="4546080"/>
  </r>
  <r>
    <s v="134"/>
    <x v="56"/>
    <x v="2"/>
    <n v="1516"/>
    <n v="2100"/>
    <n v="3056256"/>
  </r>
  <r>
    <s v="135"/>
    <x v="57"/>
    <x v="0"/>
    <n v="1341"/>
    <n v="3200"/>
    <n v="4248288"/>
  </r>
  <r>
    <s v="136"/>
    <x v="57"/>
    <x v="1"/>
    <n v="960"/>
    <n v="2800"/>
    <n v="2688000"/>
  </r>
  <r>
    <s v="137"/>
    <x v="58"/>
    <x v="0"/>
    <n v="1454"/>
    <n v="3200"/>
    <n v="4606272"/>
  </r>
  <r>
    <s v="138"/>
    <x v="58"/>
    <x v="1"/>
    <n v="1041"/>
    <n v="2800"/>
    <n v="2856504"/>
  </r>
  <r>
    <s v="139"/>
    <x v="59"/>
    <x v="0"/>
    <n v="1415"/>
    <n v="3200"/>
    <n v="4482720"/>
  </r>
  <r>
    <s v="140"/>
    <x v="59"/>
    <x v="1"/>
    <n v="1004"/>
    <n v="2800"/>
    <n v="2754976"/>
  </r>
  <r>
    <s v="141"/>
    <x v="59"/>
    <x v="2"/>
    <n v="1542"/>
    <n v="2100"/>
    <n v="3108672"/>
  </r>
  <r>
    <s v="142"/>
    <x v="60"/>
    <x v="0"/>
    <n v="1541"/>
    <n v="3200"/>
    <n v="4832576"/>
  </r>
  <r>
    <s v="143"/>
    <x v="60"/>
    <x v="1"/>
    <n v="1036"/>
    <n v="2800"/>
    <n v="2842784"/>
  </r>
  <r>
    <s v="144"/>
    <x v="61"/>
    <x v="0"/>
    <n v="1411"/>
    <n v="3200"/>
    <n v="4470048"/>
  </r>
  <r>
    <s v="145"/>
    <x v="61"/>
    <x v="1"/>
    <n v="1106"/>
    <n v="2800"/>
    <n v="3034864"/>
  </r>
  <r>
    <s v="146"/>
    <x v="61"/>
    <x v="2"/>
    <n v="1443"/>
    <n v="2100"/>
    <n v="2939391"/>
  </r>
  <r>
    <s v="147"/>
    <x v="62"/>
    <x v="0"/>
    <n v="1540"/>
    <n v="3200"/>
    <n v="4829440"/>
  </r>
  <r>
    <s v="148"/>
    <x v="62"/>
    <x v="2"/>
    <n v="1431"/>
    <n v="2100"/>
    <n v="2914947"/>
  </r>
  <r>
    <s v="149"/>
    <x v="63"/>
    <x v="0"/>
    <n v="1534"/>
    <n v="3200"/>
    <n v="4810624"/>
  </r>
  <r>
    <s v="150"/>
    <x v="63"/>
    <x v="1"/>
    <n v="1100"/>
    <n v="2800"/>
    <n v="3018400"/>
  </r>
  <r>
    <s v="151"/>
    <x v="64"/>
    <x v="0"/>
    <n v="1528"/>
    <n v="3200"/>
    <n v="4791808"/>
  </r>
  <r>
    <s v="152"/>
    <x v="64"/>
    <x v="1"/>
    <n v="1105"/>
    <n v="2800"/>
    <n v="3032120"/>
  </r>
  <r>
    <s v="153"/>
    <x v="64"/>
    <x v="2"/>
    <n v="1489"/>
    <n v="2100"/>
    <n v="3033093"/>
  </r>
  <r>
    <s v="154"/>
    <x v="65"/>
    <x v="0"/>
    <n v="1530"/>
    <n v="3200"/>
    <n v="4798080"/>
  </r>
  <r>
    <s v="155"/>
    <x v="65"/>
    <x v="1"/>
    <n v="1000"/>
    <n v="2800"/>
    <n v="2744000"/>
  </r>
  <r>
    <s v="156"/>
    <x v="65"/>
    <x v="2"/>
    <n v="1439"/>
    <n v="2100"/>
    <n v="2931243"/>
  </r>
  <r>
    <s v="157"/>
    <x v="66"/>
    <x v="0"/>
    <n v="1452"/>
    <n v="3200"/>
    <n v="4599936"/>
  </r>
  <r>
    <s v="158"/>
    <x v="66"/>
    <x v="1"/>
    <n v="1139"/>
    <n v="2800"/>
    <n v="3125416"/>
  </r>
  <r>
    <s v="159"/>
    <x v="67"/>
    <x v="0"/>
    <n v="1251"/>
    <n v="3200"/>
    <n v="3963168"/>
  </r>
  <r>
    <s v="160"/>
    <x v="67"/>
    <x v="2"/>
    <n v="1451"/>
    <n v="2100"/>
    <n v="2955687"/>
  </r>
  <r>
    <s v="161"/>
    <x v="68"/>
    <x v="1"/>
    <n v="1136"/>
    <n v="2800"/>
    <n v="3117184"/>
  </r>
  <r>
    <s v="162"/>
    <x v="68"/>
    <x v="2"/>
    <n v="1479"/>
    <n v="2100"/>
    <n v="3012723"/>
  </r>
  <r>
    <s v="163"/>
    <x v="69"/>
    <x v="0"/>
    <n v="1514"/>
    <n v="3200"/>
    <n v="4747904"/>
  </r>
  <r>
    <s v="164"/>
    <x v="69"/>
    <x v="1"/>
    <n v="1158"/>
    <n v="2800"/>
    <n v="3177552"/>
  </r>
  <r>
    <s v="165"/>
    <x v="69"/>
    <x v="2"/>
    <n v="1417"/>
    <n v="2100"/>
    <n v="2886429"/>
  </r>
  <r>
    <s v="166"/>
    <x v="70"/>
    <x v="0"/>
    <n v="1332"/>
    <n v="3200"/>
    <n v="4219776"/>
  </r>
  <r>
    <s v="167"/>
    <x v="70"/>
    <x v="2"/>
    <n v="1424"/>
    <n v="2100"/>
    <n v="2900688"/>
  </r>
  <r>
    <s v="168"/>
    <x v="71"/>
    <x v="1"/>
    <n v="1081"/>
    <n v="2800"/>
    <n v="2966264"/>
  </r>
  <r>
    <s v="169"/>
    <x v="72"/>
    <x v="0"/>
    <n v="1333"/>
    <n v="3200"/>
    <n v="4222944"/>
  </r>
  <r>
    <s v="170"/>
    <x v="72"/>
    <x v="1"/>
    <n v="1040"/>
    <n v="2800"/>
    <n v="2853760"/>
  </r>
  <r>
    <s v="171"/>
    <x v="72"/>
    <x v="2"/>
    <n v="1457"/>
    <n v="2100"/>
    <n v="2967909"/>
  </r>
  <r>
    <s v="172"/>
    <x v="73"/>
    <x v="0"/>
    <n v="1445"/>
    <n v="3200"/>
    <n v="4577760"/>
  </r>
  <r>
    <s v="173"/>
    <x v="73"/>
    <x v="1"/>
    <n v="1110"/>
    <n v="2800"/>
    <n v="3045840"/>
  </r>
  <r>
    <s v="174"/>
    <x v="73"/>
    <x v="2"/>
    <n v="1492"/>
    <n v="2100"/>
    <n v="3039204"/>
  </r>
  <r>
    <s v="175"/>
    <x v="74"/>
    <x v="1"/>
    <n v="1110"/>
    <n v="2800"/>
    <n v="3045840"/>
  </r>
  <r>
    <s v="176"/>
    <x v="74"/>
    <x v="2"/>
    <n v="1432"/>
    <n v="2100"/>
    <n v="2916984"/>
  </r>
  <r>
    <s v="177"/>
    <x v="75"/>
    <x v="1"/>
    <n v="1056"/>
    <n v="2800"/>
    <n v="2897664"/>
  </r>
  <r>
    <s v="178"/>
    <x v="75"/>
    <x v="2"/>
    <n v="1405"/>
    <n v="2100"/>
    <n v="2861985"/>
  </r>
  <r>
    <s v="179"/>
    <x v="76"/>
    <x v="0"/>
    <n v="1369"/>
    <n v="3200"/>
    <n v="4336992"/>
  </r>
  <r>
    <s v="180"/>
    <x v="76"/>
    <x v="1"/>
    <n v="1118"/>
    <n v="2800"/>
    <n v="3067792"/>
  </r>
  <r>
    <s v="181"/>
    <x v="76"/>
    <x v="2"/>
    <n v="1400"/>
    <n v="2100"/>
    <n v="2851800"/>
  </r>
  <r>
    <s v="182"/>
    <x v="77"/>
    <x v="1"/>
    <n v="1174"/>
    <n v="2800"/>
    <n v="3221456"/>
  </r>
  <r>
    <s v="183"/>
    <x v="77"/>
    <x v="2"/>
    <n v="1452"/>
    <n v="2100"/>
    <n v="2957724"/>
  </r>
  <r>
    <s v="184"/>
    <x v="78"/>
    <x v="0"/>
    <n v="1556"/>
    <n v="3200"/>
    <n v="4879616"/>
  </r>
  <r>
    <s v="185"/>
    <x v="78"/>
    <x v="1"/>
    <n v="1141"/>
    <n v="2800"/>
    <n v="3130904"/>
  </r>
  <r>
    <s v="186"/>
    <x v="78"/>
    <x v="2"/>
    <n v="1439"/>
    <n v="2100"/>
    <n v="2931243"/>
  </r>
  <r>
    <s v="187"/>
    <x v="79"/>
    <x v="0"/>
    <n v="1508"/>
    <n v="3200"/>
    <n v="4729088"/>
  </r>
  <r>
    <s v="188"/>
    <x v="79"/>
    <x v="1"/>
    <n v="1097"/>
    <n v="2800"/>
    <n v="3010168"/>
  </r>
  <r>
    <s v="189"/>
    <x v="80"/>
    <x v="0"/>
    <n v="1578"/>
    <n v="3200"/>
    <n v="4948608"/>
  </r>
  <r>
    <s v="190"/>
    <x v="80"/>
    <x v="1"/>
    <n v="1149"/>
    <n v="2800"/>
    <n v="3152856"/>
  </r>
  <r>
    <s v="191"/>
    <x v="80"/>
    <x v="2"/>
    <n v="1427"/>
    <n v="2100"/>
    <n v="2906799"/>
  </r>
  <r>
    <s v="192"/>
    <x v="81"/>
    <x v="1"/>
    <n v="1159"/>
    <n v="2800"/>
    <n v="3180296"/>
  </r>
  <r>
    <s v="193"/>
    <x v="81"/>
    <x v="2"/>
    <n v="1423"/>
    <n v="2100"/>
    <n v="2898651"/>
  </r>
  <r>
    <s v="194"/>
    <x v="82"/>
    <x v="0"/>
    <n v="1590"/>
    <n v="3200"/>
    <n v="4986240"/>
  </r>
  <r>
    <s v="195"/>
    <x v="82"/>
    <x v="1"/>
    <n v="1169"/>
    <n v="2800"/>
    <n v="3207736"/>
  </r>
  <r>
    <s v="196"/>
    <x v="82"/>
    <x v="2"/>
    <n v="1466"/>
    <n v="2100"/>
    <n v="2986242"/>
  </r>
  <r>
    <s v="197"/>
    <x v="83"/>
    <x v="0"/>
    <n v="1527"/>
    <n v="3200"/>
    <n v="4788672"/>
  </r>
  <r>
    <s v="198"/>
    <x v="83"/>
    <x v="1"/>
    <n v="1117"/>
    <n v="2800"/>
    <n v="3065048"/>
  </r>
  <r>
    <s v="199"/>
    <x v="83"/>
    <x v="2"/>
    <n v="1440"/>
    <n v="2100"/>
    <n v="2933280"/>
  </r>
  <r>
    <s v="200"/>
    <x v="84"/>
    <x v="1"/>
    <n v="1163"/>
    <n v="2800"/>
    <n v="3191272"/>
  </r>
  <r>
    <s v="201"/>
    <x v="84"/>
    <x v="2"/>
    <n v="1457"/>
    <n v="2100"/>
    <n v="2967909"/>
  </r>
  <r>
    <s v="202"/>
    <x v="85"/>
    <x v="0"/>
    <n v="1337"/>
    <n v="3200"/>
    <n v="4235616"/>
  </r>
  <r>
    <s v="203"/>
    <x v="85"/>
    <x v="2"/>
    <n v="1456"/>
    <n v="2100"/>
    <n v="2965872"/>
  </r>
  <r>
    <s v="204"/>
    <x v="86"/>
    <x v="0"/>
    <n v="1480"/>
    <n v="3200"/>
    <n v="4688640"/>
  </r>
  <r>
    <s v="205"/>
    <x v="86"/>
    <x v="1"/>
    <n v="1011"/>
    <n v="2800"/>
    <n v="2774184"/>
  </r>
  <r>
    <s v="206"/>
    <x v="86"/>
    <x v="2"/>
    <n v="1425"/>
    <n v="2100"/>
    <n v="2902725"/>
  </r>
  <r>
    <s v="207"/>
    <x v="87"/>
    <x v="0"/>
    <n v="1563"/>
    <n v="3200"/>
    <n v="4901568"/>
  </r>
  <r>
    <s v="208"/>
    <x v="87"/>
    <x v="2"/>
    <n v="1476"/>
    <n v="2100"/>
    <n v="3006612"/>
  </r>
  <r>
    <s v="209"/>
    <x v="88"/>
    <x v="0"/>
    <n v="1521"/>
    <n v="3200"/>
    <n v="4769856"/>
  </r>
  <r>
    <s v="210"/>
    <x v="88"/>
    <x v="1"/>
    <n v="1012"/>
    <n v="2800"/>
    <n v="2776928"/>
  </r>
  <r>
    <s v="211"/>
    <x v="88"/>
    <x v="2"/>
    <n v="1481"/>
    <n v="2100"/>
    <n v="3016797"/>
  </r>
  <r>
    <s v="212"/>
    <x v="89"/>
    <x v="0"/>
    <n v="1542"/>
    <n v="3200"/>
    <n v="4835712"/>
  </r>
  <r>
    <s v="213"/>
    <x v="89"/>
    <x v="1"/>
    <n v="1235"/>
    <n v="2800"/>
    <n v="3388840"/>
  </r>
  <r>
    <s v="214"/>
    <x v="89"/>
    <x v="2"/>
    <n v="1427"/>
    <n v="2100"/>
    <n v="2906799"/>
  </r>
  <r>
    <s v="215"/>
    <x v="90"/>
    <x v="0"/>
    <n v="1443"/>
    <n v="3200"/>
    <n v="4571424"/>
  </r>
  <r>
    <s v="216"/>
    <x v="90"/>
    <x v="1"/>
    <n v="1245"/>
    <n v="2800"/>
    <n v="3416280"/>
  </r>
  <r>
    <s v="217"/>
    <x v="90"/>
    <x v="2"/>
    <n v="1362"/>
    <n v="2100"/>
    <n v="2774394"/>
  </r>
  <r>
    <s v="218"/>
    <x v="91"/>
    <x v="0"/>
    <n v="1301"/>
    <n v="3200"/>
    <n v="4121568"/>
  </r>
  <r>
    <s v="219"/>
    <x v="91"/>
    <x v="1"/>
    <n v="1238"/>
    <n v="2800"/>
    <n v="3397072"/>
  </r>
  <r>
    <s v="220"/>
    <x v="92"/>
    <x v="0"/>
    <n v="1242"/>
    <n v="3200"/>
    <n v="3934656"/>
  </r>
  <r>
    <s v="221"/>
    <x v="92"/>
    <x v="2"/>
    <n v="1449"/>
    <n v="2100"/>
    <n v="2951613"/>
  </r>
  <r>
    <s v="222"/>
    <x v="93"/>
    <x v="0"/>
    <n v="1481"/>
    <n v="3200"/>
    <n v="4691808"/>
  </r>
  <r>
    <s v="223"/>
    <x v="93"/>
    <x v="1"/>
    <n v="1293"/>
    <n v="2800"/>
    <n v="3547992"/>
  </r>
  <r>
    <s v="224"/>
    <x v="93"/>
    <x v="2"/>
    <n v="1357"/>
    <n v="2100"/>
    <n v="2764209"/>
  </r>
  <r>
    <s v="225"/>
    <x v="94"/>
    <x v="1"/>
    <n v="1203"/>
    <n v="2800"/>
    <n v="3301032"/>
  </r>
  <r>
    <s v="226"/>
    <x v="94"/>
    <x v="2"/>
    <n v="1416"/>
    <n v="2100"/>
    <n v="2884392"/>
  </r>
  <r>
    <s v="227"/>
    <x v="95"/>
    <x v="0"/>
    <n v="1343"/>
    <n v="3200"/>
    <n v="4254624"/>
  </r>
  <r>
    <s v="228"/>
    <x v="95"/>
    <x v="1"/>
    <n v="1285"/>
    <n v="2800"/>
    <n v="3526040"/>
  </r>
  <r>
    <s v="229"/>
    <x v="95"/>
    <x v="2"/>
    <n v="1448"/>
    <n v="2100"/>
    <n v="2949576"/>
  </r>
  <r>
    <s v="230"/>
    <x v="96"/>
    <x v="0"/>
    <n v="1206"/>
    <n v="3200"/>
    <n v="3820608"/>
  </r>
  <r>
    <s v="231"/>
    <x v="96"/>
    <x v="2"/>
    <n v="1410"/>
    <n v="2100"/>
    <n v="2872170"/>
  </r>
  <r>
    <s v="232"/>
    <x v="97"/>
    <x v="1"/>
    <n v="1226"/>
    <n v="2800"/>
    <n v="3364144"/>
  </r>
  <r>
    <s v="233"/>
    <x v="97"/>
    <x v="2"/>
    <n v="1450"/>
    <n v="2100"/>
    <n v="2953650"/>
  </r>
  <r>
    <s v="234"/>
    <x v="98"/>
    <x v="1"/>
    <n v="1291"/>
    <n v="2800"/>
    <n v="3542504"/>
  </r>
  <r>
    <s v="235"/>
    <x v="98"/>
    <x v="2"/>
    <n v="1407"/>
    <n v="2100"/>
    <n v="2866059"/>
  </r>
  <r>
    <s v="236"/>
    <x v="99"/>
    <x v="1"/>
    <n v="1103"/>
    <n v="2800"/>
    <n v="3026632"/>
  </r>
  <r>
    <s v="237"/>
    <x v="99"/>
    <x v="2"/>
    <n v="1415"/>
    <n v="2100"/>
    <n v="2882355"/>
  </r>
  <r>
    <s v="238"/>
    <x v="100"/>
    <x v="0"/>
    <n v="1206"/>
    <n v="3200"/>
    <n v="3820608"/>
  </r>
  <r>
    <s v="239"/>
    <x v="100"/>
    <x v="1"/>
    <n v="1291"/>
    <n v="2800"/>
    <n v="3542504"/>
  </r>
  <r>
    <s v="240"/>
    <x v="101"/>
    <x v="1"/>
    <n v="1152"/>
    <n v="2800"/>
    <n v="3161088"/>
  </r>
  <r>
    <s v="241"/>
    <x v="101"/>
    <x v="2"/>
    <n v="1369"/>
    <n v="2100"/>
    <n v="2788653"/>
  </r>
  <r>
    <s v="242"/>
    <x v="102"/>
    <x v="0"/>
    <n v="1587"/>
    <n v="3200"/>
    <n v="4976832"/>
  </r>
  <r>
    <s v="243"/>
    <x v="102"/>
    <x v="1"/>
    <n v="1166"/>
    <n v="2800"/>
    <n v="3199504"/>
  </r>
  <r>
    <s v="244"/>
    <x v="102"/>
    <x v="2"/>
    <n v="1413"/>
    <n v="2100"/>
    <n v="2878281"/>
  </r>
  <r>
    <s v="245"/>
    <x v="103"/>
    <x v="0"/>
    <n v="1572"/>
    <n v="3200"/>
    <n v="4929792"/>
  </r>
  <r>
    <s v="246"/>
    <x v="104"/>
    <x v="0"/>
    <n v="1299"/>
    <n v="3200"/>
    <n v="4115232"/>
  </r>
  <r>
    <s v="247"/>
    <x v="104"/>
    <x v="1"/>
    <n v="1190"/>
    <n v="2800"/>
    <n v="3265360"/>
  </r>
  <r>
    <s v="248"/>
    <x v="104"/>
    <x v="2"/>
    <n v="1410"/>
    <n v="2100"/>
    <n v="2872170"/>
  </r>
  <r>
    <s v="249"/>
    <x v="105"/>
    <x v="1"/>
    <n v="1122"/>
    <n v="2800"/>
    <n v="3078768"/>
  </r>
  <r>
    <s v="250"/>
    <x v="105"/>
    <x v="2"/>
    <n v="1436"/>
    <n v="2100"/>
    <n v="2925132"/>
  </r>
  <r>
    <s v="251"/>
    <x v="106"/>
    <x v="0"/>
    <n v="1513"/>
    <n v="3200"/>
    <n v="4744768"/>
  </r>
  <r>
    <s v="252"/>
    <x v="106"/>
    <x v="1"/>
    <n v="1213"/>
    <n v="2800"/>
    <n v="3328472"/>
  </r>
  <r>
    <s v="253"/>
    <x v="106"/>
    <x v="2"/>
    <n v="1421"/>
    <n v="2100"/>
    <n v="2894577"/>
  </r>
  <r>
    <s v="254"/>
    <x v="107"/>
    <x v="0"/>
    <n v="1396"/>
    <n v="3200"/>
    <n v="4422528"/>
  </r>
  <r>
    <s v="255"/>
    <x v="107"/>
    <x v="1"/>
    <n v="1247"/>
    <n v="2800"/>
    <n v="3421768"/>
  </r>
  <r>
    <s v="256"/>
    <x v="107"/>
    <x v="2"/>
    <n v="1378"/>
    <n v="2100"/>
    <n v="2806986"/>
  </r>
  <r>
    <s v="257"/>
    <x v="108"/>
    <x v="2"/>
    <n v="1436"/>
    <n v="2100"/>
    <n v="2925132"/>
  </r>
  <r>
    <s v="258"/>
    <x v="109"/>
    <x v="0"/>
    <n v="1362"/>
    <n v="3200"/>
    <n v="4314816"/>
  </r>
  <r>
    <s v="259"/>
    <x v="109"/>
    <x v="1"/>
    <n v="1210"/>
    <n v="2800"/>
    <n v="3320240"/>
  </r>
  <r>
    <s v="260"/>
    <x v="109"/>
    <x v="2"/>
    <n v="1385"/>
    <n v="2100"/>
    <n v="2821245"/>
  </r>
  <r>
    <s v="261"/>
    <x v="110"/>
    <x v="1"/>
    <n v="1230"/>
    <n v="2800"/>
    <n v="3375120"/>
  </r>
  <r>
    <s v="262"/>
    <x v="111"/>
    <x v="0"/>
    <n v="1349"/>
    <n v="3200"/>
    <n v="4273632"/>
  </r>
  <r>
    <s v="263"/>
    <x v="111"/>
    <x v="1"/>
    <n v="1188"/>
    <n v="2800"/>
    <n v="3259872"/>
  </r>
  <r>
    <s v="264"/>
    <x v="111"/>
    <x v="2"/>
    <n v="1390"/>
    <n v="2100"/>
    <n v="2831430"/>
  </r>
  <r>
    <s v="265"/>
    <x v="112"/>
    <x v="0"/>
    <n v="1335"/>
    <n v="3200"/>
    <n v="4229280"/>
  </r>
  <r>
    <s v="266"/>
    <x v="112"/>
    <x v="1"/>
    <n v="1125"/>
    <n v="2800"/>
    <n v="3087000"/>
  </r>
  <r>
    <s v="267"/>
    <x v="112"/>
    <x v="2"/>
    <n v="1391"/>
    <n v="2100"/>
    <n v="2833467"/>
  </r>
  <r>
    <s v="268"/>
    <x v="113"/>
    <x v="2"/>
    <n v="1428"/>
    <n v="2100"/>
    <n v="2908836"/>
  </r>
  <r>
    <s v="269"/>
    <x v="114"/>
    <x v="0"/>
    <n v="1545"/>
    <n v="3200"/>
    <n v="4845120"/>
  </r>
  <r>
    <s v="270"/>
    <x v="114"/>
    <x v="1"/>
    <n v="1114"/>
    <n v="2800"/>
    <n v="3056816"/>
  </r>
  <r>
    <s v="271"/>
    <x v="115"/>
    <x v="0"/>
    <n v="1421"/>
    <n v="3200"/>
    <n v="4501728"/>
  </r>
  <r>
    <s v="272"/>
    <x v="115"/>
    <x v="1"/>
    <n v="1275"/>
    <n v="2800"/>
    <n v="3498600"/>
  </r>
  <r>
    <s v="273"/>
    <x v="115"/>
    <x v="2"/>
    <n v="1441"/>
    <n v="2100"/>
    <n v="2935317"/>
  </r>
  <r>
    <s v="274"/>
    <x v="116"/>
    <x v="0"/>
    <n v="1282"/>
    <n v="3200"/>
    <n v="4061376"/>
  </r>
  <r>
    <s v="275"/>
    <x v="117"/>
    <x v="0"/>
    <n v="1279"/>
    <n v="3200"/>
    <n v="4051872"/>
  </r>
  <r>
    <s v="276"/>
    <x v="117"/>
    <x v="1"/>
    <n v="1142"/>
    <n v="2800"/>
    <n v="3133648"/>
  </r>
  <r>
    <s v="277"/>
    <x v="117"/>
    <x v="2"/>
    <n v="1415"/>
    <n v="2100"/>
    <n v="2882355"/>
  </r>
  <r>
    <s v="278"/>
    <x v="118"/>
    <x v="2"/>
    <n v="1447"/>
    <n v="2100"/>
    <n v="2947539"/>
  </r>
  <r>
    <s v="279"/>
    <x v="119"/>
    <x v="0"/>
    <n v="1227"/>
    <n v="3200"/>
    <n v="3887136"/>
  </r>
  <r>
    <s v="280"/>
    <x v="119"/>
    <x v="1"/>
    <n v="1300"/>
    <n v="2800"/>
    <n v="3567200"/>
  </r>
  <r>
    <s v="281"/>
    <x v="119"/>
    <x v="2"/>
    <n v="1353"/>
    <n v="2100"/>
    <n v="2756061"/>
  </r>
  <r>
    <s v="282"/>
    <x v="120"/>
    <x v="0"/>
    <n v="1364"/>
    <n v="3200"/>
    <n v="4321152"/>
  </r>
  <r>
    <s v="283"/>
    <x v="120"/>
    <x v="1"/>
    <n v="1293"/>
    <n v="2800"/>
    <n v="3547992"/>
  </r>
  <r>
    <s v="284"/>
    <x v="121"/>
    <x v="0"/>
    <n v="1438"/>
    <n v="3200"/>
    <n v="4555584"/>
  </r>
  <r>
    <s v="285"/>
    <x v="121"/>
    <x v="1"/>
    <n v="1364"/>
    <n v="2800"/>
    <n v="3742816"/>
  </r>
  <r>
    <s v="286"/>
    <x v="121"/>
    <x v="2"/>
    <n v="1389"/>
    <n v="2100"/>
    <n v="2829393"/>
  </r>
  <r>
    <s v="287"/>
    <x v="122"/>
    <x v="0"/>
    <n v="1451"/>
    <n v="3200"/>
    <n v="4596768"/>
  </r>
  <r>
    <s v="288"/>
    <x v="122"/>
    <x v="1"/>
    <n v="1239"/>
    <n v="2800"/>
    <n v="3399816"/>
  </r>
  <r>
    <s v="289"/>
    <x v="122"/>
    <x v="2"/>
    <n v="1383"/>
    <n v="2100"/>
    <n v="2817171"/>
  </r>
  <r>
    <s v="290"/>
    <x v="123"/>
    <x v="0"/>
    <n v="1417"/>
    <n v="3200"/>
    <n v="4489056"/>
  </r>
  <r>
    <s v="291"/>
    <x v="123"/>
    <x v="1"/>
    <n v="1303"/>
    <n v="2800"/>
    <n v="3575432"/>
  </r>
  <r>
    <s v="292"/>
    <x v="124"/>
    <x v="0"/>
    <n v="1201"/>
    <n v="3200"/>
    <n v="3804768"/>
  </r>
  <r>
    <s v="293"/>
    <x v="124"/>
    <x v="1"/>
    <n v="1356"/>
    <n v="2800"/>
    <n v="3720864"/>
  </r>
  <r>
    <s v="294"/>
    <x v="124"/>
    <x v="2"/>
    <n v="1335"/>
    <n v="2100"/>
    <n v="2719395"/>
  </r>
  <r>
    <s v="295"/>
    <x v="125"/>
    <x v="0"/>
    <n v="1548"/>
    <n v="3200"/>
    <n v="4854528"/>
  </r>
  <r>
    <s v="296"/>
    <x v="125"/>
    <x v="2"/>
    <n v="1341"/>
    <n v="2100"/>
    <n v="2731617"/>
  </r>
  <r>
    <s v="297"/>
    <x v="126"/>
    <x v="0"/>
    <n v="1433"/>
    <n v="3200"/>
    <n v="4539744"/>
  </r>
  <r>
    <s v="298"/>
    <x v="126"/>
    <x v="1"/>
    <n v="1286"/>
    <n v="2800"/>
    <n v="3528784"/>
  </r>
  <r>
    <s v="299"/>
    <x v="126"/>
    <x v="2"/>
    <n v="1363"/>
    <n v="2100"/>
    <n v="2776431"/>
  </r>
  <r>
    <s v="300"/>
    <x v="127"/>
    <x v="0"/>
    <n v="1599"/>
    <n v="3200"/>
    <n v="5014464"/>
  </r>
  <r>
    <s v="301"/>
    <x v="127"/>
    <x v="1"/>
    <n v="1307"/>
    <n v="2800"/>
    <n v="3586408"/>
  </r>
  <r>
    <s v="302"/>
    <x v="127"/>
    <x v="2"/>
    <n v="1360"/>
    <n v="2100"/>
    <n v="2770320"/>
  </r>
  <r>
    <s v="303"/>
    <x v="128"/>
    <x v="0"/>
    <n v="1512"/>
    <n v="3200"/>
    <n v="4741632"/>
  </r>
  <r>
    <s v="304"/>
    <x v="128"/>
    <x v="1"/>
    <n v="1267"/>
    <n v="2800"/>
    <n v="3476648"/>
  </r>
  <r>
    <s v="305"/>
    <x v="128"/>
    <x v="2"/>
    <n v="1363"/>
    <n v="2100"/>
    <n v="2776431"/>
  </r>
  <r>
    <s v="306"/>
    <x v="129"/>
    <x v="0"/>
    <n v="1395"/>
    <n v="3200"/>
    <n v="4419360"/>
  </r>
  <r>
    <s v="307"/>
    <x v="129"/>
    <x v="1"/>
    <n v="1388"/>
    <n v="2800"/>
    <n v="3808672"/>
  </r>
  <r>
    <s v="308"/>
    <x v="129"/>
    <x v="2"/>
    <n v="1389"/>
    <n v="2100"/>
    <n v="2829393"/>
  </r>
  <r>
    <s v="309"/>
    <x v="130"/>
    <x v="2"/>
    <n v="1400"/>
    <n v="2100"/>
    <n v="2851800"/>
  </r>
  <r>
    <s v="310"/>
    <x v="131"/>
    <x v="0"/>
    <n v="1377"/>
    <n v="3200"/>
    <n v="4362336"/>
  </r>
  <r>
    <s v="311"/>
    <x v="131"/>
    <x v="1"/>
    <n v="1250"/>
    <n v="2800"/>
    <n v="3430000"/>
  </r>
  <r>
    <s v="312"/>
    <x v="131"/>
    <x v="2"/>
    <n v="1309"/>
    <n v="2100"/>
    <n v="2666433"/>
  </r>
  <r>
    <s v="313"/>
    <x v="132"/>
    <x v="1"/>
    <n v="1331"/>
    <n v="2800"/>
    <n v="3652264"/>
  </r>
  <r>
    <s v="314"/>
    <x v="132"/>
    <x v="2"/>
    <n v="1333"/>
    <n v="2100"/>
    <n v="2715321"/>
  </r>
  <r>
    <s v="315"/>
    <x v="133"/>
    <x v="0"/>
    <n v="1293"/>
    <n v="3200"/>
    <n v="4096224"/>
  </r>
  <r>
    <s v="316"/>
    <x v="133"/>
    <x v="1"/>
    <n v="1369"/>
    <n v="2800"/>
    <n v="3756536"/>
  </r>
  <r>
    <s v="317"/>
    <x v="134"/>
    <x v="0"/>
    <n v="1441"/>
    <n v="3200"/>
    <n v="4565088"/>
  </r>
  <r>
    <s v="318"/>
    <x v="134"/>
    <x v="1"/>
    <n v="1221"/>
    <n v="2800"/>
    <n v="3350424"/>
  </r>
  <r>
    <s v="319"/>
    <x v="134"/>
    <x v="2"/>
    <n v="1388"/>
    <n v="2100"/>
    <n v="2827356"/>
  </r>
  <r>
    <s v="320"/>
    <x v="135"/>
    <x v="0"/>
    <n v="1269"/>
    <n v="3200"/>
    <n v="4020192"/>
  </r>
  <r>
    <s v="321"/>
    <x v="135"/>
    <x v="1"/>
    <n v="1336"/>
    <n v="2800"/>
    <n v="3665984"/>
  </r>
  <r>
    <s v="322"/>
    <x v="135"/>
    <x v="2"/>
    <n v="1315"/>
    <n v="2100"/>
    <n v="2678655"/>
  </r>
  <r>
    <s v="323"/>
    <x v="136"/>
    <x v="0"/>
    <n v="1397"/>
    <n v="3200"/>
    <n v="4425696"/>
  </r>
  <r>
    <s v="324"/>
    <x v="136"/>
    <x v="1"/>
    <n v="1264"/>
    <n v="2800"/>
    <n v="3468416"/>
  </r>
  <r>
    <s v="325"/>
    <x v="137"/>
    <x v="1"/>
    <n v="1243"/>
    <n v="2800"/>
    <n v="3410792"/>
  </r>
  <r>
    <s v="326"/>
    <x v="138"/>
    <x v="0"/>
    <n v="1318"/>
    <n v="3200"/>
    <n v="4175424"/>
  </r>
  <r>
    <s v="327"/>
    <x v="138"/>
    <x v="1"/>
    <n v="1232"/>
    <n v="2800"/>
    <n v="3380608"/>
  </r>
  <r>
    <s v="328"/>
    <x v="138"/>
    <x v="2"/>
    <n v="1332"/>
    <n v="2100"/>
    <n v="2713284"/>
  </r>
  <r>
    <s v="329"/>
    <x v="139"/>
    <x v="0"/>
    <n v="1308"/>
    <n v="3200"/>
    <n v="4143744"/>
  </r>
  <r>
    <s v="330"/>
    <x v="139"/>
    <x v="1"/>
    <n v="1399"/>
    <n v="2800"/>
    <n v="3838856"/>
  </r>
  <r>
    <s v="331"/>
    <x v="139"/>
    <x v="2"/>
    <n v="1329"/>
    <n v="2100"/>
    <n v="2707173"/>
  </r>
  <r>
    <s v="332"/>
    <x v="140"/>
    <x v="0"/>
    <n v="1588"/>
    <n v="3200"/>
    <n v="4979968"/>
  </r>
  <r>
    <s v="333"/>
    <x v="140"/>
    <x v="1"/>
    <n v="1264"/>
    <n v="2800"/>
    <n v="3468416"/>
  </r>
  <r>
    <s v="334"/>
    <x v="140"/>
    <x v="2"/>
    <n v="1307"/>
    <n v="2100"/>
    <n v="2662359"/>
  </r>
  <r>
    <s v="335"/>
    <x v="141"/>
    <x v="0"/>
    <n v="1291"/>
    <n v="3200"/>
    <n v="4089888"/>
  </r>
  <r>
    <s v="336"/>
    <x v="141"/>
    <x v="2"/>
    <n v="1303"/>
    <n v="2100"/>
    <n v="2654211"/>
  </r>
  <r>
    <s v="337"/>
    <x v="142"/>
    <x v="0"/>
    <n v="1402"/>
    <n v="3200"/>
    <n v="4441536"/>
  </r>
  <r>
    <s v="338"/>
    <x v="142"/>
    <x v="1"/>
    <n v="1263"/>
    <n v="2800"/>
    <n v="3465672"/>
  </r>
  <r>
    <s v="339"/>
    <x v="142"/>
    <x v="2"/>
    <n v="1359"/>
    <n v="2100"/>
    <n v="2768283"/>
  </r>
  <r>
    <s v="340"/>
    <x v="143"/>
    <x v="0"/>
    <n v="1516"/>
    <n v="3200"/>
    <n v="4754176"/>
  </r>
  <r>
    <s v="341"/>
    <x v="143"/>
    <x v="1"/>
    <n v="1360"/>
    <n v="2800"/>
    <n v="3731840"/>
  </r>
  <r>
    <s v="342"/>
    <x v="144"/>
    <x v="0"/>
    <n v="1366"/>
    <n v="3200"/>
    <n v="4327488"/>
  </r>
  <r>
    <s v="343"/>
    <x v="144"/>
    <x v="1"/>
    <n v="1382"/>
    <n v="2800"/>
    <n v="3792208"/>
  </r>
  <r>
    <s v="344"/>
    <x v="144"/>
    <x v="2"/>
    <n v="1300"/>
    <n v="2100"/>
    <n v="2648100"/>
  </r>
  <r>
    <s v="345"/>
    <x v="145"/>
    <x v="0"/>
    <n v="1352"/>
    <n v="3200"/>
    <n v="4283136"/>
  </r>
  <r>
    <s v="346"/>
    <x v="145"/>
    <x v="1"/>
    <n v="1368"/>
    <n v="2800"/>
    <n v="3753792"/>
  </r>
  <r>
    <s v="347"/>
    <x v="145"/>
    <x v="2"/>
    <n v="1372"/>
    <n v="2100"/>
    <n v="2794764"/>
  </r>
  <r>
    <s v="348"/>
    <x v="146"/>
    <x v="0"/>
    <n v="1268"/>
    <n v="3200"/>
    <n v="4017024"/>
  </r>
  <r>
    <s v="349"/>
    <x v="146"/>
    <x v="1"/>
    <n v="1270"/>
    <n v="2800"/>
    <n v="3484880"/>
  </r>
  <r>
    <s v="350"/>
    <x v="146"/>
    <x v="2"/>
    <n v="1385"/>
    <n v="2100"/>
    <n v="2821245"/>
  </r>
  <r>
    <s v="351"/>
    <x v="147"/>
    <x v="0"/>
    <n v="1529"/>
    <n v="3200"/>
    <n v="4794944"/>
  </r>
  <r>
    <s v="352"/>
    <x v="147"/>
    <x v="1"/>
    <n v="1229"/>
    <n v="2800"/>
    <n v="3372376"/>
  </r>
  <r>
    <s v="353"/>
    <x v="147"/>
    <x v="2"/>
    <n v="1400"/>
    <n v="2100"/>
    <n v="2851800"/>
  </r>
  <r>
    <s v="354"/>
    <x v="148"/>
    <x v="1"/>
    <n v="1229"/>
    <n v="2800"/>
    <n v="3372376"/>
  </r>
  <r>
    <s v="355"/>
    <x v="148"/>
    <x v="2"/>
    <n v="1379"/>
    <n v="2100"/>
    <n v="2809023"/>
  </r>
  <r>
    <s v="356"/>
    <x v="149"/>
    <x v="0"/>
    <n v="1305"/>
    <n v="3200"/>
    <n v="4134240"/>
  </r>
  <r>
    <s v="357"/>
    <x v="149"/>
    <x v="1"/>
    <n v="1359"/>
    <n v="2800"/>
    <n v="3729096"/>
  </r>
  <r>
    <s v="358"/>
    <x v="150"/>
    <x v="0"/>
    <n v="1371"/>
    <n v="3200"/>
    <n v="4343328"/>
  </r>
  <r>
    <s v="359"/>
    <x v="150"/>
    <x v="1"/>
    <n v="1446"/>
    <n v="2800"/>
    <n v="3967824"/>
  </r>
  <r>
    <s v="360"/>
    <x v="151"/>
    <x v="0"/>
    <n v="1570"/>
    <n v="3200"/>
    <n v="4923520"/>
  </r>
  <r>
    <s v="361"/>
    <x v="151"/>
    <x v="1"/>
    <n v="1384"/>
    <n v="2800"/>
    <n v="3797696"/>
  </r>
  <r>
    <s v="362"/>
    <x v="151"/>
    <x v="2"/>
    <n v="1280"/>
    <n v="2100"/>
    <n v="2607360"/>
  </r>
  <r>
    <s v="363"/>
    <x v="152"/>
    <x v="0"/>
    <n v="1215"/>
    <n v="3200"/>
    <n v="3849120"/>
  </r>
  <r>
    <s v="364"/>
    <x v="152"/>
    <x v="1"/>
    <n v="1321"/>
    <n v="2800"/>
    <n v="3624824"/>
  </r>
  <r>
    <s v="365"/>
    <x v="152"/>
    <x v="2"/>
    <n v="1335"/>
    <n v="2100"/>
    <n v="2719395"/>
  </r>
  <r>
    <s v="366"/>
    <x v="153"/>
    <x v="0"/>
    <n v="1221"/>
    <n v="3200"/>
    <n v="3868128"/>
  </r>
  <r>
    <s v="367"/>
    <x v="153"/>
    <x v="1"/>
    <n v="1471"/>
    <n v="2800"/>
    <n v="4036424"/>
  </r>
  <r>
    <s v="368"/>
    <x v="153"/>
    <x v="2"/>
    <n v="1302"/>
    <n v="2100"/>
    <n v="2652174"/>
  </r>
  <r>
    <s v="369"/>
    <x v="154"/>
    <x v="0"/>
    <n v="1422"/>
    <n v="3200"/>
    <n v="4504896"/>
  </r>
  <r>
    <s v="370"/>
    <x v="154"/>
    <x v="1"/>
    <n v="1336"/>
    <n v="2800"/>
    <n v="3665984"/>
  </r>
  <r>
    <s v="371"/>
    <x v="154"/>
    <x v="2"/>
    <n v="1267"/>
    <n v="2100"/>
    <n v="2580879"/>
  </r>
  <r>
    <s v="372"/>
    <x v="155"/>
    <x v="0"/>
    <n v="1568"/>
    <n v="3200"/>
    <n v="4917248"/>
  </r>
  <r>
    <s v="373"/>
    <x v="155"/>
    <x v="1"/>
    <n v="1402"/>
    <n v="2800"/>
    <n v="3847088"/>
  </r>
  <r>
    <s v="374"/>
    <x v="155"/>
    <x v="2"/>
    <n v="1250"/>
    <n v="2100"/>
    <n v="2546250"/>
  </r>
  <r>
    <s v="375"/>
    <x v="156"/>
    <x v="0"/>
    <n v="1375"/>
    <n v="3200"/>
    <n v="4356000"/>
  </r>
  <r>
    <s v="376"/>
    <x v="156"/>
    <x v="1"/>
    <n v="1479"/>
    <n v="2800"/>
    <n v="4058376"/>
  </r>
  <r>
    <s v="377"/>
    <x v="156"/>
    <x v="2"/>
    <n v="1281"/>
    <n v="2100"/>
    <n v="2609397"/>
  </r>
  <r>
    <s v="378"/>
    <x v="157"/>
    <x v="0"/>
    <n v="1287"/>
    <n v="3200"/>
    <n v="4077216"/>
  </r>
  <r>
    <s v="379"/>
    <x v="157"/>
    <x v="1"/>
    <n v="1376"/>
    <n v="2800"/>
    <n v="3775744"/>
  </r>
  <r>
    <s v="380"/>
    <x v="157"/>
    <x v="2"/>
    <n v="1283"/>
    <n v="2100"/>
    <n v="2613471"/>
  </r>
  <r>
    <s v="381"/>
    <x v="158"/>
    <x v="1"/>
    <n v="1310"/>
    <n v="2800"/>
    <n v="3594640"/>
  </r>
  <r>
    <s v="382"/>
    <x v="158"/>
    <x v="2"/>
    <n v="1270"/>
    <n v="2100"/>
    <n v="2586990"/>
  </r>
  <r>
    <s v="383"/>
    <x v="159"/>
    <x v="0"/>
    <n v="1273"/>
    <n v="3200"/>
    <n v="4032864"/>
  </r>
  <r>
    <s v="384"/>
    <x v="159"/>
    <x v="1"/>
    <n v="1300"/>
    <n v="2800"/>
    <n v="3567200"/>
  </r>
  <r>
    <s v="385"/>
    <x v="159"/>
    <x v="2"/>
    <n v="1304"/>
    <n v="2100"/>
    <n v="2656248"/>
  </r>
  <r>
    <s v="386"/>
    <x v="160"/>
    <x v="0"/>
    <n v="1221"/>
    <n v="3200"/>
    <n v="3868128"/>
  </r>
  <r>
    <s v="387"/>
    <x v="160"/>
    <x v="1"/>
    <n v="1476"/>
    <n v="2800"/>
    <n v="4050144"/>
  </r>
  <r>
    <s v="388"/>
    <x v="161"/>
    <x v="0"/>
    <n v="1412"/>
    <n v="3200"/>
    <n v="4473216"/>
  </r>
  <r>
    <s v="389"/>
    <x v="161"/>
    <x v="1"/>
    <n v="1367"/>
    <n v="2800"/>
    <n v="3751048"/>
  </r>
  <r>
    <s v="390"/>
    <x v="161"/>
    <x v="2"/>
    <n v="1255"/>
    <n v="2100"/>
    <n v="2556435"/>
  </r>
  <r>
    <s v="391"/>
    <x v="162"/>
    <x v="0"/>
    <n v="1520"/>
    <n v="3200"/>
    <n v="4766720"/>
  </r>
  <r>
    <s v="392"/>
    <x v="163"/>
    <x v="0"/>
    <n v="1239"/>
    <n v="3200"/>
    <n v="3925152"/>
  </r>
  <r>
    <s v="393"/>
    <x v="163"/>
    <x v="1"/>
    <n v="1442"/>
    <n v="2800"/>
    <n v="3956848"/>
  </r>
  <r>
    <s v="394"/>
    <x v="164"/>
    <x v="0"/>
    <n v="1423"/>
    <n v="3200"/>
    <n v="4508064"/>
  </r>
  <r>
    <s v="395"/>
    <x v="164"/>
    <x v="1"/>
    <n v="1367"/>
    <n v="2800"/>
    <n v="3751048"/>
  </r>
  <r>
    <s v="396"/>
    <x v="164"/>
    <x v="2"/>
    <n v="1278"/>
    <n v="2100"/>
    <n v="2603286"/>
  </r>
  <r>
    <s v="397"/>
    <x v="165"/>
    <x v="0"/>
    <n v="1584"/>
    <n v="3200"/>
    <n v="4967424"/>
  </r>
  <r>
    <s v="398"/>
    <x v="165"/>
    <x v="1"/>
    <n v="1347"/>
    <n v="2800"/>
    <n v="3696168"/>
  </r>
  <r>
    <s v="399"/>
    <x v="165"/>
    <x v="2"/>
    <n v="1285"/>
    <n v="2100"/>
    <n v="2617545"/>
  </r>
  <r>
    <s v="400"/>
    <x v="166"/>
    <x v="0"/>
    <n v="1596"/>
    <n v="3200"/>
    <n v="5005056"/>
  </r>
  <r>
    <s v="401"/>
    <x v="166"/>
    <x v="1"/>
    <n v="1446"/>
    <n v="2800"/>
    <n v="3967824"/>
  </r>
  <r>
    <s v="402"/>
    <x v="166"/>
    <x v="2"/>
    <n v="1251"/>
    <n v="2100"/>
    <n v="2548287"/>
  </r>
  <r>
    <s v="403"/>
    <x v="167"/>
    <x v="0"/>
    <n v="1251"/>
    <n v="3200"/>
    <n v="3963168"/>
  </r>
  <r>
    <s v="404"/>
    <x v="167"/>
    <x v="2"/>
    <n v="1327"/>
    <n v="2100"/>
    <n v="2703099"/>
  </r>
  <r>
    <s v="405"/>
    <x v="168"/>
    <x v="2"/>
    <n v="1341"/>
    <n v="2100"/>
    <n v="2731617"/>
  </r>
  <r>
    <s v="406"/>
    <x v="169"/>
    <x v="1"/>
    <n v="1480"/>
    <n v="2800"/>
    <n v="4061120"/>
  </r>
  <r>
    <s v="407"/>
    <x v="169"/>
    <x v="2"/>
    <n v="1313"/>
    <n v="2100"/>
    <n v="2674581"/>
  </r>
  <r>
    <s v="408"/>
    <x v="170"/>
    <x v="0"/>
    <n v="1220"/>
    <n v="3200"/>
    <n v="3864960"/>
  </r>
  <r>
    <s v="409"/>
    <x v="170"/>
    <x v="1"/>
    <n v="1352"/>
    <n v="2800"/>
    <n v="3709888"/>
  </r>
  <r>
    <s v="410"/>
    <x v="170"/>
    <x v="2"/>
    <n v="1336"/>
    <n v="2100"/>
    <n v="2721432"/>
  </r>
  <r>
    <s v="411"/>
    <x v="171"/>
    <x v="1"/>
    <n v="1320"/>
    <n v="2800"/>
    <n v="3622080"/>
  </r>
  <r>
    <s v="412"/>
    <x v="171"/>
    <x v="2"/>
    <n v="1320"/>
    <n v="2100"/>
    <n v="2688840"/>
  </r>
  <r>
    <s v="413"/>
    <x v="172"/>
    <x v="0"/>
    <n v="1384"/>
    <n v="3200"/>
    <n v="4384512"/>
  </r>
  <r>
    <s v="414"/>
    <x v="172"/>
    <x v="1"/>
    <n v="1396"/>
    <n v="2800"/>
    <n v="3830624"/>
  </r>
  <r>
    <s v="415"/>
    <x v="172"/>
    <x v="2"/>
    <n v="1273"/>
    <n v="2100"/>
    <n v="2593101"/>
  </r>
  <r>
    <s v="416"/>
    <x v="173"/>
    <x v="0"/>
    <n v="1559"/>
    <n v="3200"/>
    <n v="4889024"/>
  </r>
  <r>
    <s v="417"/>
    <x v="173"/>
    <x v="1"/>
    <n v="1397"/>
    <n v="2800"/>
    <n v="3833368"/>
  </r>
  <r>
    <s v="418"/>
    <x v="173"/>
    <x v="2"/>
    <n v="1311"/>
    <n v="2100"/>
    <n v="2670507"/>
  </r>
  <r>
    <s v="419"/>
    <x v="174"/>
    <x v="0"/>
    <n v="1202"/>
    <n v="3200"/>
    <n v="3807936"/>
  </r>
  <r>
    <s v="420"/>
    <x v="174"/>
    <x v="1"/>
    <n v="1319"/>
    <n v="2800"/>
    <n v="3619336"/>
  </r>
  <r>
    <s v="421"/>
    <x v="174"/>
    <x v="2"/>
    <n v="1297"/>
    <n v="2100"/>
    <n v="2641989"/>
  </r>
  <r>
    <s v="422"/>
    <x v="175"/>
    <x v="0"/>
    <n v="1400"/>
    <n v="3200"/>
    <n v="4435200"/>
  </r>
  <r>
    <s v="423"/>
    <x v="175"/>
    <x v="2"/>
    <n v="1264"/>
    <n v="2100"/>
    <n v="2574768"/>
  </r>
  <r>
    <s v="424"/>
    <x v="176"/>
    <x v="0"/>
    <n v="1555"/>
    <n v="3200"/>
    <n v="4876480"/>
  </r>
  <r>
    <s v="425"/>
    <x v="176"/>
    <x v="1"/>
    <n v="1450"/>
    <n v="2800"/>
    <n v="3978800"/>
  </r>
  <r>
    <s v="426"/>
    <x v="176"/>
    <x v="2"/>
    <n v="1335"/>
    <n v="2100"/>
    <n v="2719395"/>
  </r>
  <r>
    <s v="427"/>
    <x v="177"/>
    <x v="0"/>
    <n v="1583"/>
    <n v="3200"/>
    <n v="4964288"/>
  </r>
  <r>
    <s v="428"/>
    <x v="177"/>
    <x v="1"/>
    <n v="1431"/>
    <n v="2800"/>
    <n v="3926664"/>
  </r>
  <r>
    <s v="429"/>
    <x v="177"/>
    <x v="2"/>
    <n v="1305"/>
    <n v="2100"/>
    <n v="2658285"/>
  </r>
  <r>
    <s v="430"/>
    <x v="178"/>
    <x v="0"/>
    <n v="1424"/>
    <n v="3200"/>
    <n v="4511232"/>
  </r>
  <r>
    <s v="431"/>
    <x v="178"/>
    <x v="2"/>
    <n v="1313"/>
    <n v="2100"/>
    <n v="2674581"/>
  </r>
  <r>
    <s v="432"/>
    <x v="179"/>
    <x v="0"/>
    <n v="1369"/>
    <n v="3200"/>
    <n v="4336992"/>
  </r>
  <r>
    <s v="433"/>
    <x v="179"/>
    <x v="1"/>
    <n v="1335"/>
    <n v="2800"/>
    <n v="3663240"/>
  </r>
  <r>
    <s v="434"/>
    <x v="180"/>
    <x v="0"/>
    <n v="1462"/>
    <n v="3200"/>
    <n v="4631616"/>
  </r>
  <r>
    <s v="435"/>
    <x v="180"/>
    <x v="1"/>
    <n v="1498"/>
    <n v="2800"/>
    <n v="4110512"/>
  </r>
  <r>
    <s v="436"/>
    <x v="180"/>
    <x v="2"/>
    <n v="1201"/>
    <n v="2100"/>
    <n v="2446437"/>
  </r>
  <r>
    <s v="437"/>
    <x v="181"/>
    <x v="0"/>
    <n v="1469"/>
    <n v="3200"/>
    <n v="4653792"/>
  </r>
  <r>
    <s v="438"/>
    <x v="181"/>
    <x v="2"/>
    <n v="1261"/>
    <n v="2100"/>
    <n v="2568657"/>
  </r>
  <r>
    <s v="439"/>
    <x v="182"/>
    <x v="0"/>
    <n v="1535"/>
    <n v="3200"/>
    <n v="4813760"/>
  </r>
  <r>
    <s v="440"/>
    <x v="182"/>
    <x v="1"/>
    <n v="1474"/>
    <n v="2800"/>
    <n v="4044656"/>
  </r>
  <r>
    <s v="441"/>
    <x v="182"/>
    <x v="2"/>
    <n v="1232"/>
    <n v="2100"/>
    <n v="2509584"/>
  </r>
  <r>
    <s v="442"/>
    <x v="183"/>
    <x v="1"/>
    <n v="1449"/>
    <n v="2800"/>
    <n v="3976056"/>
  </r>
  <r>
    <s v="443"/>
    <x v="183"/>
    <x v="2"/>
    <n v="1262"/>
    <n v="2100"/>
    <n v="2570694"/>
  </r>
  <r>
    <s v="444"/>
    <x v="184"/>
    <x v="0"/>
    <n v="1483"/>
    <n v="3200"/>
    <n v="4698144"/>
  </r>
  <r>
    <s v="445"/>
    <x v="184"/>
    <x v="2"/>
    <n v="1239"/>
    <n v="2100"/>
    <n v="2523843"/>
  </r>
  <r>
    <s v="446"/>
    <x v="185"/>
    <x v="0"/>
    <n v="1546"/>
    <n v="3200"/>
    <n v="4848256"/>
  </r>
  <r>
    <s v="447"/>
    <x v="185"/>
    <x v="1"/>
    <n v="1458"/>
    <n v="2800"/>
    <n v="4000752"/>
  </r>
  <r>
    <s v="448"/>
    <x v="185"/>
    <x v="2"/>
    <n v="1228"/>
    <n v="2100"/>
    <n v="2501436"/>
  </r>
  <r>
    <s v="449"/>
    <x v="186"/>
    <x v="0"/>
    <n v="1264"/>
    <n v="3200"/>
    <n v="4004352"/>
  </r>
  <r>
    <s v="450"/>
    <x v="186"/>
    <x v="1"/>
    <n v="1420"/>
    <n v="2800"/>
    <n v="3896480"/>
  </r>
  <r>
    <s v="451"/>
    <x v="186"/>
    <x v="2"/>
    <n v="1219"/>
    <n v="2100"/>
    <n v="2483103"/>
  </r>
  <r>
    <s v="452"/>
    <x v="187"/>
    <x v="0"/>
    <n v="1502"/>
    <n v="3200"/>
    <n v="4710272"/>
  </r>
  <r>
    <s v="453"/>
    <x v="187"/>
    <x v="1"/>
    <n v="1415"/>
    <n v="2800"/>
    <n v="3882760"/>
  </r>
  <r>
    <s v="454"/>
    <x v="188"/>
    <x v="0"/>
    <n v="1517"/>
    <n v="3200"/>
    <n v="4757312"/>
  </r>
  <r>
    <s v="455"/>
    <x v="189"/>
    <x v="0"/>
    <n v="1252"/>
    <n v="3200"/>
    <n v="3966336"/>
  </r>
  <r>
    <s v="456"/>
    <x v="189"/>
    <x v="1"/>
    <n v="1583"/>
    <n v="2800"/>
    <n v="4299428"/>
  </r>
  <r>
    <s v="457"/>
    <x v="189"/>
    <x v="2"/>
    <n v="1224"/>
    <n v="2100"/>
    <n v="2493288"/>
  </r>
  <r>
    <s v="458"/>
    <x v="190"/>
    <x v="0"/>
    <n v="1385"/>
    <n v="3200"/>
    <n v="4387680"/>
  </r>
  <r>
    <s v="459"/>
    <x v="190"/>
    <x v="2"/>
    <n v="1220"/>
    <n v="2100"/>
    <n v="2485140"/>
  </r>
  <r>
    <s v="460"/>
    <x v="191"/>
    <x v="0"/>
    <n v="1325"/>
    <n v="3200"/>
    <n v="4197600"/>
  </r>
  <r>
    <s v="461"/>
    <x v="191"/>
    <x v="2"/>
    <n v="1270"/>
    <n v="2100"/>
    <n v="2586990"/>
  </r>
  <r>
    <s v="462"/>
    <x v="192"/>
    <x v="0"/>
    <n v="1417"/>
    <n v="3200"/>
    <n v="4489056"/>
  </r>
  <r>
    <s v="463"/>
    <x v="192"/>
    <x v="1"/>
    <n v="1429"/>
    <n v="2800"/>
    <n v="3921176"/>
  </r>
  <r>
    <s v="464"/>
    <x v="192"/>
    <x v="2"/>
    <n v="1297"/>
    <n v="2100"/>
    <n v="2641989"/>
  </r>
  <r>
    <s v="465"/>
    <x v="193"/>
    <x v="1"/>
    <n v="1599"/>
    <n v="2800"/>
    <n v="4342884"/>
  </r>
  <r>
    <s v="466"/>
    <x v="193"/>
    <x v="2"/>
    <n v="1265"/>
    <n v="2100"/>
    <n v="2576805"/>
  </r>
  <r>
    <s v="467"/>
    <x v="194"/>
    <x v="1"/>
    <n v="1554"/>
    <n v="2800"/>
    <n v="4220664"/>
  </r>
  <r>
    <s v="468"/>
    <x v="194"/>
    <x v="2"/>
    <n v="1266"/>
    <n v="2100"/>
    <n v="2578842"/>
  </r>
  <r>
    <s v="469"/>
    <x v="195"/>
    <x v="0"/>
    <n v="1553"/>
    <n v="3200"/>
    <n v="4870208"/>
  </r>
  <r>
    <s v="470"/>
    <x v="195"/>
    <x v="1"/>
    <n v="1551"/>
    <n v="2800"/>
    <n v="4212516"/>
  </r>
  <r>
    <s v="471"/>
    <x v="195"/>
    <x v="2"/>
    <n v="1231"/>
    <n v="2100"/>
    <n v="2507547"/>
  </r>
  <r>
    <s v="472"/>
    <x v="196"/>
    <x v="0"/>
    <n v="1288"/>
    <n v="3200"/>
    <n v="4080384"/>
  </r>
  <r>
    <s v="473"/>
    <x v="196"/>
    <x v="1"/>
    <n v="1581"/>
    <n v="2800"/>
    <n v="4293996"/>
  </r>
  <r>
    <s v="474"/>
    <x v="196"/>
    <x v="2"/>
    <n v="1249"/>
    <n v="2100"/>
    <n v="2544213"/>
  </r>
  <r>
    <s v="475"/>
    <x v="197"/>
    <x v="0"/>
    <n v="1368"/>
    <n v="3200"/>
    <n v="4333824"/>
  </r>
  <r>
    <s v="476"/>
    <x v="197"/>
    <x v="1"/>
    <n v="1550"/>
    <n v="2800"/>
    <n v="4209800"/>
  </r>
  <r>
    <s v="477"/>
    <x v="197"/>
    <x v="2"/>
    <n v="1245"/>
    <n v="2100"/>
    <n v="2536065"/>
  </r>
  <r>
    <s v="478"/>
    <x v="198"/>
    <x v="0"/>
    <n v="1225"/>
    <n v="3200"/>
    <n v="3880800"/>
  </r>
  <r>
    <s v="479"/>
    <x v="198"/>
    <x v="1"/>
    <n v="1411"/>
    <n v="2800"/>
    <n v="3871784"/>
  </r>
  <r>
    <s v="480"/>
    <x v="198"/>
    <x v="2"/>
    <n v="1275"/>
    <n v="2100"/>
    <n v="2597175"/>
  </r>
  <r>
    <s v="481"/>
    <x v="199"/>
    <x v="0"/>
    <n v="1510"/>
    <n v="3200"/>
    <n v="4735360"/>
  </r>
  <r>
    <s v="482"/>
    <x v="199"/>
    <x v="1"/>
    <n v="1457"/>
    <n v="2800"/>
    <n v="3998008"/>
  </r>
  <r>
    <s v="483"/>
    <x v="199"/>
    <x v="2"/>
    <n v="1217"/>
    <n v="2100"/>
    <n v="2479029"/>
  </r>
  <r>
    <s v="484"/>
    <x v="200"/>
    <x v="0"/>
    <n v="1438"/>
    <n v="3200"/>
    <n v="4555584"/>
  </r>
  <r>
    <s v="485"/>
    <x v="200"/>
    <x v="1"/>
    <n v="1493"/>
    <n v="2800"/>
    <n v="4096792"/>
  </r>
  <r>
    <s v="486"/>
    <x v="201"/>
    <x v="1"/>
    <n v="1558"/>
    <n v="2800"/>
    <n v="4231528"/>
  </r>
  <r>
    <s v="487"/>
    <x v="202"/>
    <x v="0"/>
    <n v="1317"/>
    <n v="3200"/>
    <n v="4172256"/>
  </r>
  <r>
    <s v="488"/>
    <x v="202"/>
    <x v="1"/>
    <n v="1409"/>
    <n v="2800"/>
    <n v="3866296"/>
  </r>
  <r>
    <s v="489"/>
    <x v="202"/>
    <x v="2"/>
    <n v="1247"/>
    <n v="2100"/>
    <n v="2540139"/>
  </r>
  <r>
    <s v="490"/>
    <x v="203"/>
    <x v="0"/>
    <n v="1244"/>
    <n v="3200"/>
    <n v="3940992"/>
  </r>
  <r>
    <s v="491"/>
    <x v="203"/>
    <x v="1"/>
    <n v="1578"/>
    <n v="2800"/>
    <n v="4285848"/>
  </r>
  <r>
    <s v="492"/>
    <x v="203"/>
    <x v="2"/>
    <n v="1230"/>
    <n v="2100"/>
    <n v="2505510"/>
  </r>
  <r>
    <s v="493"/>
    <x v="204"/>
    <x v="0"/>
    <n v="1496"/>
    <n v="3200"/>
    <n v="4739328"/>
  </r>
  <r>
    <s v="494"/>
    <x v="204"/>
    <x v="1"/>
    <n v="1503"/>
    <n v="2800"/>
    <n v="4082148"/>
  </r>
  <r>
    <s v="495"/>
    <x v="204"/>
    <x v="2"/>
    <n v="1258"/>
    <n v="2100"/>
    <n v="2562546"/>
  </r>
  <r>
    <s v="496"/>
    <x v="205"/>
    <x v="0"/>
    <n v="1439"/>
    <n v="3200"/>
    <n v="4558752"/>
  </r>
  <r>
    <s v="497"/>
    <x v="205"/>
    <x v="2"/>
    <n v="1250"/>
    <n v="2100"/>
    <n v="2546250"/>
  </r>
  <r>
    <s v="498"/>
    <x v="206"/>
    <x v="0"/>
    <n v="1388"/>
    <n v="3200"/>
    <n v="4397184"/>
  </r>
  <r>
    <s v="499"/>
    <x v="206"/>
    <x v="1"/>
    <n v="1475"/>
    <n v="2800"/>
    <n v="4047400"/>
  </r>
  <r>
    <s v="500"/>
    <x v="207"/>
    <x v="1"/>
    <n v="1487"/>
    <n v="2800"/>
    <n v="4080328"/>
  </r>
  <r>
    <s v="501"/>
    <x v="208"/>
    <x v="0"/>
    <n v="1300"/>
    <n v="3200"/>
    <n v="4118400"/>
  </r>
  <r>
    <s v="502"/>
    <x v="208"/>
    <x v="1"/>
    <n v="1508"/>
    <n v="2800"/>
    <n v="4095728"/>
  </r>
  <r>
    <s v="503"/>
    <x v="208"/>
    <x v="2"/>
    <n v="1260"/>
    <n v="2100"/>
    <n v="2566620"/>
  </r>
  <r>
    <s v="504"/>
    <x v="209"/>
    <x v="0"/>
    <n v="1591"/>
    <n v="3200"/>
    <n v="4989376"/>
  </r>
  <r>
    <s v="505"/>
    <x v="209"/>
    <x v="1"/>
    <n v="1401"/>
    <n v="2800"/>
    <n v="3844344"/>
  </r>
  <r>
    <s v="506"/>
    <x v="210"/>
    <x v="1"/>
    <n v="1553"/>
    <n v="2800"/>
    <n v="4217948"/>
  </r>
  <r>
    <s v="507"/>
    <x v="210"/>
    <x v="2"/>
    <n v="1217"/>
    <n v="2100"/>
    <n v="2479029"/>
  </r>
  <r>
    <s v="508"/>
    <x v="211"/>
    <x v="0"/>
    <n v="1322"/>
    <n v="3200"/>
    <n v="4188096"/>
  </r>
  <r>
    <s v="509"/>
    <x v="211"/>
    <x v="1"/>
    <n v="1561"/>
    <n v="2800"/>
    <n v="4239676"/>
  </r>
  <r>
    <s v="510"/>
    <x v="212"/>
    <x v="0"/>
    <n v="1244"/>
    <n v="3200"/>
    <n v="3940992"/>
  </r>
  <r>
    <s v="511"/>
    <x v="212"/>
    <x v="1"/>
    <n v="1695"/>
    <n v="2800"/>
    <n v="4603620"/>
  </r>
  <r>
    <s v="512"/>
    <x v="212"/>
    <x v="2"/>
    <n v="1177"/>
    <n v="2100"/>
    <n v="2397549"/>
  </r>
  <r>
    <s v="513"/>
    <x v="213"/>
    <x v="0"/>
    <n v="1217"/>
    <n v="3200"/>
    <n v="3855456"/>
  </r>
  <r>
    <s v="514"/>
    <x v="213"/>
    <x v="1"/>
    <n v="1520"/>
    <n v="2800"/>
    <n v="4128320"/>
  </r>
  <r>
    <s v="515"/>
    <x v="214"/>
    <x v="1"/>
    <n v="1579"/>
    <n v="2800"/>
    <n v="4288564"/>
  </r>
  <r>
    <s v="516"/>
    <x v="214"/>
    <x v="2"/>
    <n v="1215"/>
    <n v="2100"/>
    <n v="2474955"/>
  </r>
  <r>
    <s v="517"/>
    <x v="215"/>
    <x v="1"/>
    <n v="1638"/>
    <n v="2800"/>
    <n v="4448808"/>
  </r>
  <r>
    <s v="518"/>
    <x v="216"/>
    <x v="0"/>
    <n v="1513"/>
    <n v="3200"/>
    <n v="4744768"/>
  </r>
  <r>
    <s v="519"/>
    <x v="216"/>
    <x v="2"/>
    <n v="1167"/>
    <n v="2100"/>
    <n v="2377179"/>
  </r>
  <r>
    <s v="520"/>
    <x v="217"/>
    <x v="0"/>
    <n v="1278"/>
    <n v="3200"/>
    <n v="4048704"/>
  </r>
  <r>
    <s v="521"/>
    <x v="217"/>
    <x v="1"/>
    <n v="1564"/>
    <n v="2800"/>
    <n v="4247824"/>
  </r>
  <r>
    <s v="522"/>
    <x v="217"/>
    <x v="2"/>
    <n v="1228"/>
    <n v="2100"/>
    <n v="2501436"/>
  </r>
  <r>
    <s v="523"/>
    <x v="218"/>
    <x v="0"/>
    <n v="1394"/>
    <n v="3200"/>
    <n v="4416192"/>
  </r>
  <r>
    <s v="524"/>
    <x v="218"/>
    <x v="1"/>
    <n v="1501"/>
    <n v="2800"/>
    <n v="4076716"/>
  </r>
  <r>
    <s v="525"/>
    <x v="218"/>
    <x v="2"/>
    <n v="1210"/>
    <n v="2100"/>
    <n v="2464770"/>
  </r>
  <r>
    <s v="526"/>
    <x v="219"/>
    <x v="0"/>
    <n v="1424"/>
    <n v="3200"/>
    <n v="4511232"/>
  </r>
  <r>
    <s v="527"/>
    <x v="219"/>
    <x v="1"/>
    <n v="1522"/>
    <n v="2800"/>
    <n v="4133752"/>
  </r>
  <r>
    <s v="528"/>
    <x v="219"/>
    <x v="2"/>
    <n v="1192"/>
    <n v="2100"/>
    <n v="2428104"/>
  </r>
  <r>
    <s v="529"/>
    <x v="220"/>
    <x v="1"/>
    <n v="1545"/>
    <n v="2800"/>
    <n v="4196220"/>
  </r>
  <r>
    <s v="530"/>
    <x v="220"/>
    <x v="2"/>
    <n v="1153"/>
    <n v="2100"/>
    <n v="2348661"/>
  </r>
  <r>
    <s v="531"/>
    <x v="221"/>
    <x v="0"/>
    <n v="1453"/>
    <n v="3200"/>
    <n v="4603104"/>
  </r>
  <r>
    <s v="532"/>
    <x v="221"/>
    <x v="1"/>
    <n v="1596"/>
    <n v="2800"/>
    <n v="4334736"/>
  </r>
  <r>
    <s v="533"/>
    <x v="221"/>
    <x v="2"/>
    <n v="1224"/>
    <n v="2100"/>
    <n v="2493288"/>
  </r>
  <r>
    <s v="534"/>
    <x v="222"/>
    <x v="0"/>
    <n v="1409"/>
    <n v="3200"/>
    <n v="4463712"/>
  </r>
  <r>
    <s v="535"/>
    <x v="222"/>
    <x v="1"/>
    <n v="1504"/>
    <n v="2800"/>
    <n v="4084864"/>
  </r>
  <r>
    <s v="536"/>
    <x v="223"/>
    <x v="2"/>
    <n v="1201"/>
    <n v="2100"/>
    <n v="2446437"/>
  </r>
  <r>
    <s v="537"/>
    <x v="224"/>
    <x v="0"/>
    <n v="1589"/>
    <n v="3200"/>
    <n v="4983104"/>
  </r>
  <r>
    <s v="538"/>
    <x v="224"/>
    <x v="1"/>
    <n v="1520"/>
    <n v="2800"/>
    <n v="4128320"/>
  </r>
  <r>
    <s v="539"/>
    <x v="225"/>
    <x v="0"/>
    <n v="1365"/>
    <n v="3200"/>
    <n v="4324320"/>
  </r>
  <r>
    <s v="540"/>
    <x v="225"/>
    <x v="1"/>
    <n v="1538"/>
    <n v="2800"/>
    <n v="4177208"/>
  </r>
  <r>
    <s v="541"/>
    <x v="225"/>
    <x v="2"/>
    <n v="1202"/>
    <n v="2100"/>
    <n v="2448474"/>
  </r>
  <r>
    <s v="542"/>
    <x v="226"/>
    <x v="0"/>
    <n v="1275"/>
    <n v="3200"/>
    <n v="4039200"/>
  </r>
  <r>
    <s v="543"/>
    <x v="226"/>
    <x v="1"/>
    <n v="1591"/>
    <n v="2800"/>
    <n v="4321156"/>
  </r>
  <r>
    <s v="544"/>
    <x v="227"/>
    <x v="0"/>
    <n v="1338"/>
    <n v="3200"/>
    <n v="4238784"/>
  </r>
  <r>
    <s v="545"/>
    <x v="227"/>
    <x v="1"/>
    <n v="1560"/>
    <n v="2800"/>
    <n v="4236960"/>
  </r>
  <r>
    <s v="546"/>
    <x v="227"/>
    <x v="2"/>
    <n v="1165"/>
    <n v="2100"/>
    <n v="2373105"/>
  </r>
  <r>
    <s v="547"/>
    <x v="228"/>
    <x v="0"/>
    <n v="1217"/>
    <n v="3200"/>
    <n v="3855456"/>
  </r>
  <r>
    <s v="548"/>
    <x v="228"/>
    <x v="1"/>
    <n v="1676"/>
    <n v="2800"/>
    <n v="4552016"/>
  </r>
  <r>
    <s v="549"/>
    <x v="228"/>
    <x v="2"/>
    <n v="1205"/>
    <n v="2100"/>
    <n v="2454585"/>
  </r>
  <r>
    <s v="550"/>
    <x v="229"/>
    <x v="0"/>
    <n v="1402"/>
    <n v="3200"/>
    <n v="4441536"/>
  </r>
  <r>
    <s v="551"/>
    <x v="229"/>
    <x v="1"/>
    <n v="1648"/>
    <n v="2800"/>
    <n v="4475968"/>
  </r>
  <r>
    <s v="552"/>
    <x v="229"/>
    <x v="2"/>
    <n v="1245"/>
    <n v="2100"/>
    <n v="2536065"/>
  </r>
  <r>
    <s v="553"/>
    <x v="230"/>
    <x v="0"/>
    <n v="1500"/>
    <n v="3200"/>
    <n v="4704000"/>
  </r>
  <r>
    <s v="554"/>
    <x v="230"/>
    <x v="1"/>
    <n v="1535"/>
    <n v="2800"/>
    <n v="4169060"/>
  </r>
  <r>
    <s v="555"/>
    <x v="230"/>
    <x v="2"/>
    <n v="1188"/>
    <n v="2100"/>
    <n v="2419956"/>
  </r>
  <r>
    <s v="556"/>
    <x v="231"/>
    <x v="0"/>
    <n v="1510"/>
    <n v="3200"/>
    <n v="4735360"/>
  </r>
  <r>
    <s v="557"/>
    <x v="232"/>
    <x v="0"/>
    <n v="1355"/>
    <n v="3200"/>
    <n v="4292640"/>
  </r>
  <r>
    <s v="558"/>
    <x v="232"/>
    <x v="1"/>
    <n v="1529"/>
    <n v="2800"/>
    <n v="4152764"/>
  </r>
  <r>
    <s v="559"/>
    <x v="232"/>
    <x v="2"/>
    <n v="1201"/>
    <n v="2100"/>
    <n v="2446437"/>
  </r>
  <r>
    <s v="560"/>
    <x v="233"/>
    <x v="0"/>
    <n v="1331"/>
    <n v="3200"/>
    <n v="4216608"/>
  </r>
  <r>
    <s v="561"/>
    <x v="233"/>
    <x v="1"/>
    <n v="1630"/>
    <n v="2800"/>
    <n v="4427080"/>
  </r>
  <r>
    <s v="562"/>
    <x v="233"/>
    <x v="2"/>
    <n v="1170"/>
    <n v="2100"/>
    <n v="2383290"/>
  </r>
  <r>
    <s v="563"/>
    <x v="234"/>
    <x v="0"/>
    <n v="1397"/>
    <n v="3200"/>
    <n v="4425696"/>
  </r>
  <r>
    <s v="564"/>
    <x v="234"/>
    <x v="1"/>
    <n v="1562"/>
    <n v="2800"/>
    <n v="4242392"/>
  </r>
  <r>
    <s v="565"/>
    <x v="234"/>
    <x v="2"/>
    <n v="1212"/>
    <n v="2100"/>
    <n v="2468844"/>
  </r>
  <r>
    <s v="566"/>
    <x v="235"/>
    <x v="2"/>
    <n v="1189"/>
    <n v="2100"/>
    <n v="2421993"/>
  </r>
  <r>
    <s v="567"/>
    <x v="236"/>
    <x v="0"/>
    <n v="1209"/>
    <n v="3200"/>
    <n v="3830112"/>
  </r>
  <r>
    <s v="568"/>
    <x v="236"/>
    <x v="2"/>
    <n v="1183"/>
    <n v="2100"/>
    <n v="2409771"/>
  </r>
  <r>
    <s v="569"/>
    <x v="237"/>
    <x v="0"/>
    <n v="1387"/>
    <n v="3200"/>
    <n v="4394016"/>
  </r>
  <r>
    <s v="570"/>
    <x v="237"/>
    <x v="1"/>
    <n v="1573"/>
    <n v="2800"/>
    <n v="4272268"/>
  </r>
  <r>
    <s v="571"/>
    <x v="237"/>
    <x v="2"/>
    <n v="1221"/>
    <n v="2100"/>
    <n v="2487177"/>
  </r>
  <r>
    <s v="572"/>
    <x v="238"/>
    <x v="0"/>
    <n v="1530"/>
    <n v="3200"/>
    <n v="4798080"/>
  </r>
  <r>
    <s v="573"/>
    <x v="238"/>
    <x v="1"/>
    <n v="1508"/>
    <n v="2800"/>
    <n v="4095728"/>
  </r>
  <r>
    <s v="574"/>
    <x v="239"/>
    <x v="0"/>
    <n v="1256"/>
    <n v="3200"/>
    <n v="3979008"/>
  </r>
  <r>
    <s v="575"/>
    <x v="239"/>
    <x v="1"/>
    <n v="1612"/>
    <n v="2800"/>
    <n v="4378192"/>
  </r>
  <r>
    <s v="576"/>
    <x v="239"/>
    <x v="2"/>
    <n v="1197"/>
    <n v="2100"/>
    <n v="2438289"/>
  </r>
  <r>
    <s v="577"/>
    <x v="240"/>
    <x v="0"/>
    <n v="1382"/>
    <n v="3200"/>
    <n v="4378176"/>
  </r>
  <r>
    <s v="578"/>
    <x v="240"/>
    <x v="1"/>
    <n v="1647"/>
    <n v="2800"/>
    <n v="4473252"/>
  </r>
  <r>
    <s v="579"/>
    <x v="240"/>
    <x v="2"/>
    <n v="1182"/>
    <n v="2100"/>
    <n v="2407734"/>
  </r>
  <r>
    <s v="580"/>
    <x v="241"/>
    <x v="0"/>
    <n v="1519"/>
    <n v="3200"/>
    <n v="4763584"/>
  </r>
  <r>
    <s v="581"/>
    <x v="241"/>
    <x v="1"/>
    <n v="1677"/>
    <n v="2800"/>
    <n v="4554732"/>
  </r>
  <r>
    <s v="582"/>
    <x v="242"/>
    <x v="0"/>
    <n v="1589"/>
    <n v="3200"/>
    <n v="4983104"/>
  </r>
  <r>
    <s v="583"/>
    <x v="242"/>
    <x v="1"/>
    <n v="1636"/>
    <n v="2800"/>
    <n v="4443376"/>
  </r>
  <r>
    <s v="584"/>
    <x v="242"/>
    <x v="2"/>
    <n v="1118"/>
    <n v="2100"/>
    <n v="2277366"/>
  </r>
  <r>
    <s v="585"/>
    <x v="243"/>
    <x v="0"/>
    <n v="1480"/>
    <n v="3200"/>
    <n v="4688640"/>
  </r>
  <r>
    <s v="586"/>
    <x v="243"/>
    <x v="1"/>
    <n v="1758"/>
    <n v="2800"/>
    <n v="4774728"/>
  </r>
  <r>
    <s v="587"/>
    <x v="243"/>
    <x v="2"/>
    <n v="1183"/>
    <n v="2100"/>
    <n v="2409771"/>
  </r>
  <r>
    <s v="588"/>
    <x v="244"/>
    <x v="0"/>
    <n v="1382"/>
    <n v="3200"/>
    <n v="4378176"/>
  </r>
  <r>
    <s v="589"/>
    <x v="244"/>
    <x v="1"/>
    <n v="1686"/>
    <n v="2800"/>
    <n v="4579176"/>
  </r>
  <r>
    <s v="590"/>
    <x v="244"/>
    <x v="2"/>
    <n v="1129"/>
    <n v="2100"/>
    <n v="2299773"/>
  </r>
  <r>
    <s v="591"/>
    <x v="245"/>
    <x v="0"/>
    <n v="1225"/>
    <n v="3200"/>
    <n v="3880800"/>
  </r>
  <r>
    <s v="592"/>
    <x v="245"/>
    <x v="1"/>
    <n v="1718"/>
    <n v="2800"/>
    <n v="4666088"/>
  </r>
  <r>
    <s v="593"/>
    <x v="245"/>
    <x v="2"/>
    <n v="1171"/>
    <n v="2100"/>
    <n v="2385327"/>
  </r>
  <r>
    <s v="594"/>
    <x v="246"/>
    <x v="0"/>
    <n v="1367"/>
    <n v="3200"/>
    <n v="4330656"/>
  </r>
  <r>
    <s v="595"/>
    <x v="246"/>
    <x v="1"/>
    <n v="1772"/>
    <n v="2800"/>
    <n v="4812752"/>
  </r>
  <r>
    <s v="596"/>
    <x v="246"/>
    <x v="2"/>
    <n v="1194"/>
    <n v="2100"/>
    <n v="2432178"/>
  </r>
  <r>
    <s v="597"/>
    <x v="247"/>
    <x v="0"/>
    <n v="1455"/>
    <n v="3200"/>
    <n v="4609440"/>
  </r>
  <r>
    <s v="598"/>
    <x v="247"/>
    <x v="1"/>
    <n v="1620"/>
    <n v="2800"/>
    <n v="4399920"/>
  </r>
  <r>
    <s v="599"/>
    <x v="247"/>
    <x v="2"/>
    <n v="1115"/>
    <n v="2100"/>
    <n v="2271255"/>
  </r>
  <r>
    <s v="600"/>
    <x v="248"/>
    <x v="0"/>
    <n v="1428"/>
    <n v="3200"/>
    <n v="4523904"/>
  </r>
  <r>
    <s v="601"/>
    <x v="248"/>
    <x v="1"/>
    <n v="1612"/>
    <n v="2800"/>
    <n v="4378192"/>
  </r>
  <r>
    <s v="602"/>
    <x v="248"/>
    <x v="2"/>
    <n v="1191"/>
    <n v="2100"/>
    <n v="2426067"/>
  </r>
  <r>
    <s v="603"/>
    <x v="249"/>
    <x v="1"/>
    <n v="1629"/>
    <n v="2800"/>
    <n v="4424364"/>
  </r>
  <r>
    <s v="604"/>
    <x v="249"/>
    <x v="2"/>
    <n v="1102"/>
    <n v="2100"/>
    <n v="2244774"/>
  </r>
  <r>
    <s v="605"/>
    <x v="250"/>
    <x v="0"/>
    <n v="1433"/>
    <n v="3200"/>
    <n v="4539744"/>
  </r>
  <r>
    <s v="606"/>
    <x v="250"/>
    <x v="1"/>
    <n v="1629"/>
    <n v="2800"/>
    <n v="4424364"/>
  </r>
  <r>
    <s v="607"/>
    <x v="251"/>
    <x v="0"/>
    <n v="1398"/>
    <n v="3200"/>
    <n v="4428864"/>
  </r>
  <r>
    <s v="608"/>
    <x v="251"/>
    <x v="1"/>
    <n v="1713"/>
    <n v="2800"/>
    <n v="4652508"/>
  </r>
  <r>
    <s v="609"/>
    <x v="251"/>
    <x v="2"/>
    <n v="1148"/>
    <n v="2100"/>
    <n v="2338476"/>
  </r>
  <r>
    <s v="610"/>
    <x v="252"/>
    <x v="0"/>
    <n v="1366"/>
    <n v="3200"/>
    <n v="4327488"/>
  </r>
  <r>
    <s v="611"/>
    <x v="252"/>
    <x v="1"/>
    <n v="1635"/>
    <n v="2800"/>
    <n v="4440660"/>
  </r>
  <r>
    <s v="612"/>
    <x v="252"/>
    <x v="2"/>
    <n v="1148"/>
    <n v="2100"/>
    <n v="2338476"/>
  </r>
  <r>
    <s v="613"/>
    <x v="253"/>
    <x v="0"/>
    <n v="1586"/>
    <n v="3200"/>
    <n v="4973696"/>
  </r>
  <r>
    <s v="614"/>
    <x v="253"/>
    <x v="2"/>
    <n v="1153"/>
    <n v="2100"/>
    <n v="2348661"/>
  </r>
  <r>
    <s v="615"/>
    <x v="254"/>
    <x v="0"/>
    <n v="1549"/>
    <n v="3200"/>
    <n v="4857664"/>
  </r>
  <r>
    <s v="616"/>
    <x v="255"/>
    <x v="0"/>
    <n v="1432"/>
    <n v="3200"/>
    <n v="4536576"/>
  </r>
  <r>
    <s v="617"/>
    <x v="255"/>
    <x v="1"/>
    <n v="1733"/>
    <n v="2800"/>
    <n v="4706828"/>
  </r>
  <r>
    <s v="618"/>
    <x v="256"/>
    <x v="0"/>
    <n v="1519"/>
    <n v="3200"/>
    <n v="4763584"/>
  </r>
  <r>
    <s v="619"/>
    <x v="256"/>
    <x v="1"/>
    <n v="1677"/>
    <n v="2800"/>
    <n v="4554732"/>
  </r>
  <r>
    <s v="620"/>
    <x v="256"/>
    <x v="2"/>
    <n v="1183"/>
    <n v="2100"/>
    <n v="2409771"/>
  </r>
  <r>
    <s v="621"/>
    <x v="257"/>
    <x v="0"/>
    <n v="1293"/>
    <n v="3200"/>
    <n v="4096224"/>
  </r>
  <r>
    <s v="622"/>
    <x v="257"/>
    <x v="1"/>
    <n v="1615"/>
    <n v="2800"/>
    <n v="4386340"/>
  </r>
  <r>
    <s v="623"/>
    <x v="257"/>
    <x v="2"/>
    <n v="1195"/>
    <n v="2100"/>
    <n v="2434215"/>
  </r>
  <r>
    <s v="624"/>
    <x v="258"/>
    <x v="0"/>
    <n v="1349"/>
    <n v="3200"/>
    <n v="4273632"/>
  </r>
  <r>
    <s v="625"/>
    <x v="259"/>
    <x v="0"/>
    <n v="1544"/>
    <n v="3200"/>
    <n v="4841984"/>
  </r>
  <r>
    <s v="626"/>
    <x v="259"/>
    <x v="1"/>
    <n v="1784"/>
    <n v="2800"/>
    <n v="4845344"/>
  </r>
  <r>
    <s v="627"/>
    <x v="259"/>
    <x v="2"/>
    <n v="1117"/>
    <n v="2100"/>
    <n v="2275329"/>
  </r>
  <r>
    <s v="628"/>
    <x v="260"/>
    <x v="1"/>
    <n v="1755"/>
    <n v="2800"/>
    <n v="4766580"/>
  </r>
  <r>
    <s v="629"/>
    <x v="260"/>
    <x v="2"/>
    <n v="1141"/>
    <n v="2100"/>
    <n v="2324217"/>
  </r>
  <r>
    <s v="630"/>
    <x v="261"/>
    <x v="0"/>
    <n v="1279"/>
    <n v="3200"/>
    <n v="4051872"/>
  </r>
  <r>
    <s v="631"/>
    <x v="261"/>
    <x v="1"/>
    <n v="1762"/>
    <n v="2800"/>
    <n v="4785592"/>
  </r>
  <r>
    <s v="632"/>
    <x v="262"/>
    <x v="0"/>
    <n v="1341"/>
    <n v="3200"/>
    <n v="4248288"/>
  </r>
  <r>
    <s v="633"/>
    <x v="262"/>
    <x v="1"/>
    <n v="1609"/>
    <n v="2800"/>
    <n v="4370044"/>
  </r>
  <r>
    <s v="634"/>
    <x v="262"/>
    <x v="2"/>
    <n v="1153"/>
    <n v="2100"/>
    <n v="2348661"/>
  </r>
  <r>
    <s v="635"/>
    <x v="263"/>
    <x v="0"/>
    <n v="1326"/>
    <n v="3200"/>
    <n v="4200768"/>
  </r>
  <r>
    <s v="636"/>
    <x v="263"/>
    <x v="1"/>
    <n v="1746"/>
    <n v="2800"/>
    <n v="4742136"/>
  </r>
  <r>
    <s v="637"/>
    <x v="263"/>
    <x v="2"/>
    <n v="1158"/>
    <n v="2100"/>
    <n v="2358846"/>
  </r>
  <r>
    <s v="638"/>
    <x v="264"/>
    <x v="0"/>
    <n v="1337"/>
    <n v="3200"/>
    <n v="4235616"/>
  </r>
  <r>
    <s v="639"/>
    <x v="264"/>
    <x v="1"/>
    <n v="1626"/>
    <n v="2800"/>
    <n v="4416216"/>
  </r>
  <r>
    <s v="640"/>
    <x v="265"/>
    <x v="0"/>
    <n v="1417"/>
    <n v="3200"/>
    <n v="4489056"/>
  </r>
  <r>
    <s v="641"/>
    <x v="265"/>
    <x v="1"/>
    <n v="1752"/>
    <n v="2800"/>
    <n v="4758432"/>
  </r>
  <r>
    <s v="642"/>
    <x v="265"/>
    <x v="2"/>
    <n v="1186"/>
    <n v="2100"/>
    <n v="2415882"/>
  </r>
  <r>
    <s v="643"/>
    <x v="266"/>
    <x v="0"/>
    <n v="1460"/>
    <n v="3200"/>
    <n v="4625280"/>
  </r>
  <r>
    <s v="644"/>
    <x v="266"/>
    <x v="1"/>
    <n v="1697"/>
    <n v="2800"/>
    <n v="4609052"/>
  </r>
  <r>
    <s v="645"/>
    <x v="267"/>
    <x v="0"/>
    <n v="1501"/>
    <n v="3200"/>
    <n v="4707136"/>
  </r>
  <r>
    <s v="646"/>
    <x v="267"/>
    <x v="1"/>
    <n v="1752"/>
    <n v="2800"/>
    <n v="4758432"/>
  </r>
  <r>
    <s v="647"/>
    <x v="267"/>
    <x v="2"/>
    <n v="1139"/>
    <n v="2100"/>
    <n v="2320143"/>
  </r>
  <r>
    <s v="648"/>
    <x v="268"/>
    <x v="0"/>
    <n v="1459"/>
    <n v="3200"/>
    <n v="4622112"/>
  </r>
  <r>
    <s v="649"/>
    <x v="268"/>
    <x v="1"/>
    <n v="1704"/>
    <n v="2800"/>
    <n v="4628064"/>
  </r>
  <r>
    <s v="650"/>
    <x v="269"/>
    <x v="1"/>
    <n v="1746"/>
    <n v="2800"/>
    <n v="4742136"/>
  </r>
  <r>
    <s v="651"/>
    <x v="269"/>
    <x v="2"/>
    <n v="1188"/>
    <n v="2100"/>
    <n v="2419956"/>
  </r>
  <r>
    <s v="652"/>
    <x v="270"/>
    <x v="0"/>
    <n v="1520"/>
    <n v="3200"/>
    <n v="4766720"/>
  </r>
  <r>
    <s v="653"/>
    <x v="270"/>
    <x v="1"/>
    <n v="1678"/>
    <n v="2800"/>
    <n v="4557448"/>
  </r>
  <r>
    <s v="654"/>
    <x v="270"/>
    <x v="2"/>
    <n v="1194"/>
    <n v="2100"/>
    <n v="2432178"/>
  </r>
  <r>
    <s v="655"/>
    <x v="271"/>
    <x v="0"/>
    <n v="1412"/>
    <n v="3200"/>
    <n v="4473216"/>
  </r>
  <r>
    <s v="656"/>
    <x v="271"/>
    <x v="1"/>
    <n v="1659"/>
    <n v="2800"/>
    <n v="4505844"/>
  </r>
  <r>
    <s v="657"/>
    <x v="271"/>
    <x v="2"/>
    <n v="1165"/>
    <n v="2100"/>
    <n v="2373105"/>
  </r>
  <r>
    <s v="658"/>
    <x v="272"/>
    <x v="0"/>
    <n v="1496"/>
    <n v="3200"/>
    <n v="4739328"/>
  </r>
  <r>
    <s v="659"/>
    <x v="272"/>
    <x v="1"/>
    <n v="1798"/>
    <n v="2800"/>
    <n v="4883368"/>
  </r>
  <r>
    <s v="660"/>
    <x v="272"/>
    <x v="2"/>
    <n v="1110"/>
    <n v="2100"/>
    <n v="2261070"/>
  </r>
  <r>
    <s v="661"/>
    <x v="273"/>
    <x v="0"/>
    <n v="1575"/>
    <n v="3200"/>
    <n v="4939200"/>
  </r>
  <r>
    <s v="662"/>
    <x v="273"/>
    <x v="1"/>
    <n v="1727"/>
    <n v="2800"/>
    <n v="4690532"/>
  </r>
  <r>
    <s v="663"/>
    <x v="273"/>
    <x v="2"/>
    <n v="1077"/>
    <n v="2100"/>
    <n v="2193849"/>
  </r>
  <r>
    <s v="664"/>
    <x v="274"/>
    <x v="0"/>
    <n v="1541"/>
    <n v="3200"/>
    <n v="4832576"/>
  </r>
  <r>
    <s v="665"/>
    <x v="274"/>
    <x v="2"/>
    <n v="1139"/>
    <n v="2100"/>
    <n v="2320143"/>
  </r>
  <r>
    <s v="666"/>
    <x v="275"/>
    <x v="0"/>
    <n v="1486"/>
    <n v="3200"/>
    <n v="4707648"/>
  </r>
  <r>
    <s v="667"/>
    <x v="275"/>
    <x v="1"/>
    <n v="1867"/>
    <n v="2800"/>
    <n v="5070772"/>
  </r>
  <r>
    <s v="668"/>
    <x v="276"/>
    <x v="0"/>
    <n v="1533"/>
    <n v="3200"/>
    <n v="4807488"/>
  </r>
  <r>
    <s v="669"/>
    <x v="276"/>
    <x v="1"/>
    <n v="1758"/>
    <n v="2800"/>
    <n v="4774728"/>
  </r>
  <r>
    <s v="670"/>
    <x v="276"/>
    <x v="2"/>
    <n v="1077"/>
    <n v="2100"/>
    <n v="2193849"/>
  </r>
  <r>
    <s v="671"/>
    <x v="277"/>
    <x v="0"/>
    <n v="1377"/>
    <n v="3200"/>
    <n v="4362336"/>
  </r>
  <r>
    <s v="672"/>
    <x v="277"/>
    <x v="2"/>
    <n v="1085"/>
    <n v="2100"/>
    <n v="2210145"/>
  </r>
  <r>
    <s v="673"/>
    <x v="278"/>
    <x v="1"/>
    <n v="1808"/>
    <n v="2800"/>
    <n v="4910528"/>
  </r>
  <r>
    <s v="674"/>
    <x v="278"/>
    <x v="2"/>
    <n v="1112"/>
    <n v="2100"/>
    <n v="2265144"/>
  </r>
  <r>
    <s v="675"/>
    <x v="279"/>
    <x v="0"/>
    <n v="1270"/>
    <n v="3200"/>
    <n v="4023360"/>
  </r>
  <r>
    <s v="676"/>
    <x v="279"/>
    <x v="1"/>
    <n v="1707"/>
    <n v="2800"/>
    <n v="4636212"/>
  </r>
  <r>
    <s v="677"/>
    <x v="279"/>
    <x v="2"/>
    <n v="1131"/>
    <n v="2100"/>
    <n v="2303847"/>
  </r>
  <r>
    <s v="678"/>
    <x v="280"/>
    <x v="0"/>
    <n v="1529"/>
    <n v="3200"/>
    <n v="4794944"/>
  </r>
  <r>
    <s v="679"/>
    <x v="280"/>
    <x v="1"/>
    <n v="1759"/>
    <n v="2800"/>
    <n v="4777444"/>
  </r>
  <r>
    <s v="680"/>
    <x v="280"/>
    <x v="2"/>
    <n v="1116"/>
    <n v="2100"/>
    <n v="2273292"/>
  </r>
  <r>
    <s v="681"/>
    <x v="281"/>
    <x v="0"/>
    <n v="1555"/>
    <n v="3200"/>
    <n v="4876480"/>
  </r>
  <r>
    <s v="682"/>
    <x v="281"/>
    <x v="1"/>
    <n v="1853"/>
    <n v="2800"/>
    <n v="5032748"/>
  </r>
  <r>
    <s v="683"/>
    <x v="281"/>
    <x v="2"/>
    <n v="1095"/>
    <n v="2100"/>
    <n v="2230515"/>
  </r>
  <r>
    <s v="684"/>
    <x v="282"/>
    <x v="0"/>
    <n v="1342"/>
    <n v="3200"/>
    <n v="4251456"/>
  </r>
  <r>
    <s v="685"/>
    <x v="282"/>
    <x v="1"/>
    <n v="1770"/>
    <n v="2800"/>
    <n v="4807320"/>
  </r>
  <r>
    <s v="686"/>
    <x v="282"/>
    <x v="2"/>
    <n v="1112"/>
    <n v="2100"/>
    <n v="2265144"/>
  </r>
  <r>
    <s v="687"/>
    <x v="283"/>
    <x v="0"/>
    <n v="1329"/>
    <n v="3200"/>
    <n v="4210272"/>
  </r>
  <r>
    <s v="688"/>
    <x v="283"/>
    <x v="1"/>
    <n v="1754"/>
    <n v="2800"/>
    <n v="4763864"/>
  </r>
  <r>
    <s v="689"/>
    <x v="283"/>
    <x v="2"/>
    <n v="1106"/>
    <n v="2100"/>
    <n v="2252922"/>
  </r>
  <r>
    <s v="690"/>
    <x v="284"/>
    <x v="0"/>
    <n v="1209"/>
    <n v="3200"/>
    <n v="3830112"/>
  </r>
  <r>
    <s v="691"/>
    <x v="284"/>
    <x v="1"/>
    <n v="1751"/>
    <n v="2800"/>
    <n v="4755716"/>
  </r>
  <r>
    <s v="692"/>
    <x v="284"/>
    <x v="2"/>
    <n v="1122"/>
    <n v="2100"/>
    <n v="2285514"/>
  </r>
  <r>
    <s v="693"/>
    <x v="285"/>
    <x v="0"/>
    <n v="1445"/>
    <n v="3200"/>
    <n v="4577760"/>
  </r>
  <r>
    <s v="694"/>
    <x v="285"/>
    <x v="1"/>
    <n v="1718"/>
    <n v="2800"/>
    <n v="4666088"/>
  </r>
  <r>
    <s v="695"/>
    <x v="285"/>
    <x v="2"/>
    <n v="1082"/>
    <n v="2100"/>
    <n v="2204034"/>
  </r>
  <r>
    <s v="696"/>
    <x v="286"/>
    <x v="0"/>
    <n v="1567"/>
    <n v="3200"/>
    <n v="4914112"/>
  </r>
  <r>
    <s v="697"/>
    <x v="286"/>
    <x v="2"/>
    <n v="1062"/>
    <n v="2100"/>
    <n v="2163294"/>
  </r>
  <r>
    <s v="698"/>
    <x v="287"/>
    <x v="0"/>
    <n v="1232"/>
    <n v="3200"/>
    <n v="3902976"/>
  </r>
  <r>
    <s v="699"/>
    <x v="287"/>
    <x v="2"/>
    <n v="1088"/>
    <n v="2100"/>
    <n v="2216256"/>
  </r>
  <r>
    <s v="700"/>
    <x v="288"/>
    <x v="0"/>
    <n v="1204"/>
    <n v="3200"/>
    <n v="3814272"/>
  </r>
  <r>
    <s v="701"/>
    <x v="288"/>
    <x v="1"/>
    <n v="1766"/>
    <n v="2800"/>
    <n v="4796456"/>
  </r>
  <r>
    <s v="702"/>
    <x v="288"/>
    <x v="2"/>
    <n v="1122"/>
    <n v="2100"/>
    <n v="2285514"/>
  </r>
  <r>
    <s v="703"/>
    <x v="289"/>
    <x v="0"/>
    <n v="1525"/>
    <n v="3200"/>
    <n v="4782400"/>
  </r>
  <r>
    <s v="704"/>
    <x v="289"/>
    <x v="1"/>
    <n v="1851"/>
    <n v="2800"/>
    <n v="5027316"/>
  </r>
  <r>
    <s v="705"/>
    <x v="289"/>
    <x v="2"/>
    <n v="1095"/>
    <n v="2100"/>
    <n v="2230515"/>
  </r>
  <r>
    <s v="706"/>
    <x v="290"/>
    <x v="0"/>
    <n v="1373"/>
    <n v="3200"/>
    <n v="4349664"/>
  </r>
  <r>
    <s v="707"/>
    <x v="290"/>
    <x v="1"/>
    <n v="1712"/>
    <n v="2800"/>
    <n v="4649792"/>
  </r>
  <r>
    <s v="708"/>
    <x v="290"/>
    <x v="2"/>
    <n v="1110"/>
    <n v="2100"/>
    <n v="2261070"/>
  </r>
  <r>
    <s v="709"/>
    <x v="291"/>
    <x v="0"/>
    <n v="1560"/>
    <n v="3200"/>
    <n v="4892160"/>
  </r>
  <r>
    <s v="710"/>
    <x v="292"/>
    <x v="1"/>
    <n v="1889"/>
    <n v="2800"/>
    <n v="5130524"/>
  </r>
  <r>
    <s v="711"/>
    <x v="292"/>
    <x v="2"/>
    <n v="1113"/>
    <n v="2100"/>
    <n v="2267181"/>
  </r>
  <r>
    <s v="712"/>
    <x v="293"/>
    <x v="1"/>
    <n v="1868"/>
    <n v="2800"/>
    <n v="5073488"/>
  </r>
  <r>
    <s v="713"/>
    <x v="293"/>
    <x v="2"/>
    <n v="1076"/>
    <n v="2100"/>
    <n v="2191812"/>
  </r>
  <r>
    <s v="714"/>
    <x v="294"/>
    <x v="0"/>
    <n v="1305"/>
    <n v="3200"/>
    <n v="4134240"/>
  </r>
  <r>
    <s v="715"/>
    <x v="294"/>
    <x v="1"/>
    <n v="1827"/>
    <n v="2800"/>
    <n v="4962132"/>
  </r>
  <r>
    <s v="716"/>
    <x v="294"/>
    <x v="2"/>
    <n v="1106"/>
    <n v="2100"/>
    <n v="2252922"/>
  </r>
  <r>
    <s v="717"/>
    <x v="295"/>
    <x v="0"/>
    <n v="1545"/>
    <n v="3200"/>
    <n v="4845120"/>
  </r>
  <r>
    <s v="718"/>
    <x v="296"/>
    <x v="0"/>
    <n v="1385"/>
    <n v="3200"/>
    <n v="4387680"/>
  </r>
  <r>
    <s v="719"/>
    <x v="296"/>
    <x v="1"/>
    <n v="1872"/>
    <n v="2800"/>
    <n v="5084352"/>
  </r>
  <r>
    <s v="720"/>
    <x v="296"/>
    <x v="2"/>
    <n v="1073"/>
    <n v="2100"/>
    <n v="2185701"/>
  </r>
  <r>
    <s v="721"/>
    <x v="297"/>
    <x v="0"/>
    <n v="1459"/>
    <n v="3200"/>
    <n v="4622112"/>
  </r>
  <r>
    <s v="722"/>
    <x v="297"/>
    <x v="2"/>
    <n v="1053"/>
    <n v="2100"/>
    <n v="2144961"/>
  </r>
  <r>
    <s v="723"/>
    <x v="298"/>
    <x v="0"/>
    <n v="1458"/>
    <n v="3200"/>
    <n v="4618944"/>
  </r>
  <r>
    <s v="724"/>
    <x v="298"/>
    <x v="1"/>
    <n v="1777"/>
    <n v="2800"/>
    <n v="4826332"/>
  </r>
  <r>
    <s v="725"/>
    <x v="299"/>
    <x v="1"/>
    <n v="1887"/>
    <n v="2800"/>
    <n v="5125092"/>
  </r>
  <r>
    <s v="726"/>
    <x v="299"/>
    <x v="2"/>
    <n v="1147"/>
    <n v="2100"/>
    <n v="2336439"/>
  </r>
  <r>
    <s v="727"/>
    <x v="300"/>
    <x v="1"/>
    <n v="1743"/>
    <n v="2800"/>
    <n v="4733988"/>
  </r>
  <r>
    <s v="728"/>
    <x v="300"/>
    <x v="2"/>
    <n v="1149"/>
    <n v="2100"/>
    <n v="2340513"/>
  </r>
  <r>
    <s v="729"/>
    <x v="301"/>
    <x v="0"/>
    <n v="1485"/>
    <n v="3200"/>
    <n v="4704480"/>
  </r>
  <r>
    <s v="730"/>
    <x v="301"/>
    <x v="1"/>
    <n v="1889"/>
    <n v="2800"/>
    <n v="5130524"/>
  </r>
  <r>
    <s v="731"/>
    <x v="301"/>
    <x v="2"/>
    <n v="1081"/>
    <n v="2100"/>
    <n v="2201997"/>
  </r>
  <r>
    <s v="732"/>
    <x v="302"/>
    <x v="0"/>
    <n v="1328"/>
    <n v="3200"/>
    <n v="4207104"/>
  </r>
  <r>
    <s v="733"/>
    <x v="302"/>
    <x v="1"/>
    <n v="1793"/>
    <n v="2800"/>
    <n v="4869788"/>
  </r>
  <r>
    <s v="734"/>
    <x v="303"/>
    <x v="0"/>
    <n v="1211"/>
    <n v="3200"/>
    <n v="3836448"/>
  </r>
  <r>
    <s v="735"/>
    <x v="303"/>
    <x v="1"/>
    <n v="1857"/>
    <n v="2800"/>
    <n v="5043612"/>
  </r>
  <r>
    <s v="736"/>
    <x v="303"/>
    <x v="2"/>
    <n v="1097"/>
    <n v="2100"/>
    <n v="2234589"/>
  </r>
  <r>
    <s v="737"/>
    <x v="304"/>
    <x v="0"/>
    <n v="1304"/>
    <n v="3200"/>
    <n v="4131072"/>
  </r>
  <r>
    <s v="738"/>
    <x v="304"/>
    <x v="1"/>
    <n v="1831"/>
    <n v="2800"/>
    <n v="4972996"/>
  </r>
  <r>
    <s v="739"/>
    <x v="304"/>
    <x v="2"/>
    <n v="1068"/>
    <n v="2100"/>
    <n v="2175516"/>
  </r>
  <r>
    <s v="740"/>
    <x v="305"/>
    <x v="0"/>
    <n v="1211"/>
    <n v="3200"/>
    <n v="3836448"/>
  </r>
  <r>
    <s v="741"/>
    <x v="305"/>
    <x v="1"/>
    <n v="1853"/>
    <n v="2800"/>
    <n v="5032748"/>
  </r>
  <r>
    <s v="742"/>
    <x v="305"/>
    <x v="2"/>
    <n v="1098"/>
    <n v="2100"/>
    <n v="2236626"/>
  </r>
  <r>
    <s v="743"/>
    <x v="306"/>
    <x v="0"/>
    <n v="1542"/>
    <n v="3200"/>
    <n v="4835712"/>
  </r>
  <r>
    <s v="744"/>
    <x v="306"/>
    <x v="1"/>
    <n v="1907"/>
    <n v="2800"/>
    <n v="5179412"/>
  </r>
  <r>
    <s v="745"/>
    <x v="307"/>
    <x v="0"/>
    <n v="1559"/>
    <n v="3200"/>
    <n v="4889024"/>
  </r>
  <r>
    <s v="746"/>
    <x v="307"/>
    <x v="1"/>
    <n v="1992"/>
    <n v="2800"/>
    <n v="5410272"/>
  </r>
  <r>
    <s v="747"/>
    <x v="307"/>
    <x v="2"/>
    <n v="1046"/>
    <n v="2100"/>
    <n v="2130702"/>
  </r>
  <r>
    <s v="748"/>
    <x v="308"/>
    <x v="0"/>
    <n v="1441"/>
    <n v="3200"/>
    <n v="4565088"/>
  </r>
  <r>
    <s v="749"/>
    <x v="308"/>
    <x v="1"/>
    <n v="1898"/>
    <n v="2800"/>
    <n v="5154968"/>
  </r>
  <r>
    <s v="750"/>
    <x v="308"/>
    <x v="2"/>
    <n v="1052"/>
    <n v="2100"/>
    <n v="2142924"/>
  </r>
  <r>
    <s v="751"/>
    <x v="309"/>
    <x v="0"/>
    <n v="1303"/>
    <n v="3200"/>
    <n v="4127904"/>
  </r>
  <r>
    <s v="752"/>
    <x v="309"/>
    <x v="1"/>
    <n v="1865"/>
    <n v="2800"/>
    <n v="5065340"/>
  </r>
  <r>
    <s v="753"/>
    <x v="310"/>
    <x v="0"/>
    <n v="1335"/>
    <n v="3200"/>
    <n v="4229280"/>
  </r>
  <r>
    <s v="754"/>
    <x v="310"/>
    <x v="1"/>
    <n v="1834"/>
    <n v="2800"/>
    <n v="4981144"/>
  </r>
  <r>
    <s v="755"/>
    <x v="310"/>
    <x v="2"/>
    <n v="1016"/>
    <n v="2100"/>
    <n v="2069592"/>
  </r>
  <r>
    <s v="756"/>
    <x v="311"/>
    <x v="0"/>
    <n v="1379"/>
    <n v="3200"/>
    <n v="4368672"/>
  </r>
  <r>
    <s v="757"/>
    <x v="311"/>
    <x v="1"/>
    <n v="1872"/>
    <n v="2800"/>
    <n v="5084352"/>
  </r>
  <r>
    <s v="758"/>
    <x v="311"/>
    <x v="2"/>
    <n v="1075"/>
    <n v="2100"/>
    <n v="2189775"/>
  </r>
  <r>
    <s v="759"/>
    <x v="312"/>
    <x v="1"/>
    <n v="1844"/>
    <n v="2800"/>
    <n v="5008304"/>
  </r>
  <r>
    <s v="760"/>
    <x v="313"/>
    <x v="1"/>
    <n v="1958"/>
    <n v="2800"/>
    <n v="5317928"/>
  </r>
  <r>
    <s v="761"/>
    <x v="313"/>
    <x v="2"/>
    <n v="1092"/>
    <n v="2100"/>
    <n v="2224404"/>
  </r>
  <r>
    <s v="762"/>
    <x v="314"/>
    <x v="0"/>
    <n v="1398"/>
    <n v="3200"/>
    <n v="4428864"/>
  </r>
  <r>
    <s v="763"/>
    <x v="314"/>
    <x v="2"/>
    <n v="1047"/>
    <n v="2100"/>
    <n v="2132739"/>
  </r>
  <r>
    <s v="764"/>
    <x v="315"/>
    <x v="0"/>
    <n v="1569"/>
    <n v="3200"/>
    <n v="4920384"/>
  </r>
  <r>
    <s v="765"/>
    <x v="315"/>
    <x v="1"/>
    <n v="1890"/>
    <n v="2800"/>
    <n v="5133240"/>
  </r>
  <r>
    <s v="766"/>
    <x v="315"/>
    <x v="2"/>
    <n v="1099"/>
    <n v="2100"/>
    <n v="2238663"/>
  </r>
  <r>
    <s v="767"/>
    <x v="316"/>
    <x v="0"/>
    <n v="1246"/>
    <n v="3200"/>
    <n v="3947328"/>
  </r>
  <r>
    <s v="768"/>
    <x v="316"/>
    <x v="1"/>
    <n v="1894"/>
    <n v="2800"/>
    <n v="5144104"/>
  </r>
  <r>
    <s v="769"/>
    <x v="317"/>
    <x v="0"/>
    <n v="1401"/>
    <n v="3200"/>
    <n v="4438368"/>
  </r>
  <r>
    <s v="770"/>
    <x v="317"/>
    <x v="1"/>
    <n v="1877"/>
    <n v="2800"/>
    <n v="5097932"/>
  </r>
  <r>
    <s v="771"/>
    <x v="317"/>
    <x v="2"/>
    <n v="1081"/>
    <n v="2100"/>
    <n v="2201997"/>
  </r>
  <r>
    <s v="772"/>
    <x v="318"/>
    <x v="1"/>
    <n v="1925"/>
    <n v="2800"/>
    <n v="5228300"/>
  </r>
  <r>
    <s v="773"/>
    <x v="318"/>
    <x v="2"/>
    <n v="1038"/>
    <n v="2100"/>
    <n v="2114406"/>
  </r>
  <r>
    <s v="774"/>
    <x v="319"/>
    <x v="0"/>
    <n v="1266"/>
    <n v="3200"/>
    <n v="4010688"/>
  </r>
  <r>
    <s v="775"/>
    <x v="319"/>
    <x v="1"/>
    <n v="1899"/>
    <n v="2800"/>
    <n v="5157684"/>
  </r>
  <r>
    <s v="776"/>
    <x v="319"/>
    <x v="2"/>
    <n v="1022"/>
    <n v="2100"/>
    <n v="2081814"/>
  </r>
  <r>
    <s v="777"/>
    <x v="320"/>
    <x v="0"/>
    <n v="1556"/>
    <n v="3200"/>
    <n v="4879616"/>
  </r>
  <r>
    <s v="778"/>
    <x v="320"/>
    <x v="1"/>
    <n v="1849"/>
    <n v="2800"/>
    <n v="5021884"/>
  </r>
  <r>
    <s v="779"/>
    <x v="320"/>
    <x v="2"/>
    <n v="1095"/>
    <n v="2100"/>
    <n v="2230515"/>
  </r>
  <r>
    <s v="780"/>
    <x v="321"/>
    <x v="0"/>
    <n v="1264"/>
    <n v="3200"/>
    <n v="4004352"/>
  </r>
  <r>
    <s v="781"/>
    <x v="321"/>
    <x v="1"/>
    <n v="1900"/>
    <n v="2800"/>
    <n v="5160400"/>
  </r>
  <r>
    <s v="782"/>
    <x v="321"/>
    <x v="2"/>
    <n v="1072"/>
    <n v="2100"/>
    <n v="2183664"/>
  </r>
  <r>
    <s v="783"/>
    <x v="322"/>
    <x v="0"/>
    <n v="1425"/>
    <n v="3200"/>
    <n v="4514400"/>
  </r>
  <r>
    <s v="784"/>
    <x v="322"/>
    <x v="2"/>
    <n v="1026"/>
    <n v="2100"/>
    <n v="2089962"/>
  </r>
  <r>
    <s v="785"/>
    <x v="323"/>
    <x v="0"/>
    <n v="1220"/>
    <n v="3200"/>
    <n v="3864960"/>
  </r>
  <r>
    <s v="786"/>
    <x v="323"/>
    <x v="1"/>
    <n v="1951"/>
    <n v="2800"/>
    <n v="5298916"/>
  </r>
  <r>
    <s v="787"/>
    <x v="324"/>
    <x v="0"/>
    <n v="1272"/>
    <n v="3200"/>
    <n v="4029696"/>
  </r>
  <r>
    <s v="788"/>
    <x v="324"/>
    <x v="1"/>
    <n v="1866"/>
    <n v="2800"/>
    <n v="5068056"/>
  </r>
  <r>
    <s v="789"/>
    <x v="324"/>
    <x v="2"/>
    <n v="1036"/>
    <n v="2100"/>
    <n v="2110332"/>
  </r>
  <r>
    <s v="790"/>
    <x v="325"/>
    <x v="2"/>
    <n v="1013"/>
    <n v="2100"/>
    <n v="2063481"/>
  </r>
  <r>
    <s v="791"/>
    <x v="326"/>
    <x v="1"/>
    <n v="1937"/>
    <n v="2800"/>
    <n v="5260892"/>
  </r>
  <r>
    <s v="792"/>
    <x v="326"/>
    <x v="2"/>
    <n v="1066"/>
    <n v="2100"/>
    <n v="2171442"/>
  </r>
  <r>
    <s v="793"/>
    <x v="327"/>
    <x v="0"/>
    <n v="1221"/>
    <n v="3200"/>
    <n v="3868128"/>
  </r>
  <r>
    <s v="794"/>
    <x v="327"/>
    <x v="1"/>
    <n v="1830"/>
    <n v="2800"/>
    <n v="4970280"/>
  </r>
  <r>
    <s v="795"/>
    <x v="327"/>
    <x v="2"/>
    <n v="1066"/>
    <n v="2100"/>
    <n v="2171442"/>
  </r>
  <r>
    <s v="796"/>
    <x v="328"/>
    <x v="0"/>
    <n v="1324"/>
    <n v="3200"/>
    <n v="4194432"/>
  </r>
  <r>
    <s v="797"/>
    <x v="328"/>
    <x v="1"/>
    <n v="1979"/>
    <n v="2800"/>
    <n v="5374964"/>
  </r>
  <r>
    <s v="798"/>
    <x v="328"/>
    <x v="2"/>
    <n v="1060"/>
    <n v="2100"/>
    <n v="2159220"/>
  </r>
  <r>
    <s v="799"/>
    <x v="329"/>
    <x v="0"/>
    <n v="1235"/>
    <n v="3200"/>
    <n v="3912480"/>
  </r>
  <r>
    <s v="800"/>
    <x v="329"/>
    <x v="1"/>
    <n v="1867"/>
    <n v="2800"/>
    <n v="5070772"/>
  </r>
  <r>
    <s v="801"/>
    <x v="329"/>
    <x v="2"/>
    <n v="1012"/>
    <n v="2100"/>
    <n v="2061444"/>
  </r>
  <r>
    <s v="802"/>
    <x v="330"/>
    <x v="0"/>
    <n v="1314"/>
    <n v="3200"/>
    <n v="4162752"/>
  </r>
  <r>
    <s v="803"/>
    <x v="330"/>
    <x v="1"/>
    <n v="1943"/>
    <n v="2800"/>
    <n v="5277188"/>
  </r>
  <r>
    <s v="804"/>
    <x v="330"/>
    <x v="2"/>
    <n v="1019"/>
    <n v="2100"/>
    <n v="2075703"/>
  </r>
  <r>
    <s v="805"/>
    <x v="331"/>
    <x v="0"/>
    <n v="1357"/>
    <n v="3200"/>
    <n v="4298976"/>
  </r>
  <r>
    <s v="806"/>
    <x v="331"/>
    <x v="2"/>
    <n v="1032"/>
    <n v="2100"/>
    <n v="2102184"/>
  </r>
  <r>
    <s v="807"/>
    <x v="332"/>
    <x v="0"/>
    <n v="1453"/>
    <n v="3200"/>
    <n v="4603104"/>
  </r>
  <r>
    <s v="808"/>
    <x v="332"/>
    <x v="1"/>
    <n v="1850"/>
    <n v="2800"/>
    <n v="5024600"/>
  </r>
  <r>
    <s v="809"/>
    <x v="332"/>
    <x v="2"/>
    <n v="1096"/>
    <n v="2100"/>
    <n v="2232552"/>
  </r>
  <r>
    <s v="810"/>
    <x v="333"/>
    <x v="0"/>
    <n v="1600"/>
    <n v="3200"/>
    <n v="5017600"/>
  </r>
  <r>
    <s v="811"/>
    <x v="333"/>
    <x v="1"/>
    <n v="1966"/>
    <n v="2800"/>
    <n v="5339656"/>
  </r>
  <r>
    <s v="812"/>
    <x v="333"/>
    <x v="2"/>
    <n v="1024"/>
    <n v="2100"/>
    <n v="2085888"/>
  </r>
  <r>
    <s v="813"/>
    <x v="334"/>
    <x v="0"/>
    <n v="1465"/>
    <n v="3200"/>
    <n v="4641120"/>
  </r>
  <r>
    <s v="814"/>
    <x v="334"/>
    <x v="1"/>
    <n v="2069"/>
    <n v="2800"/>
    <n v="5561472"/>
  </r>
  <r>
    <s v="815"/>
    <x v="334"/>
    <x v="2"/>
    <n v="977"/>
    <n v="2100"/>
    <n v="2051700"/>
  </r>
  <r>
    <s v="816"/>
    <x v="335"/>
    <x v="0"/>
    <n v="1454"/>
    <n v="3200"/>
    <n v="4606272"/>
  </r>
  <r>
    <s v="817"/>
    <x v="335"/>
    <x v="1"/>
    <n v="2081"/>
    <n v="2800"/>
    <n v="5593728"/>
  </r>
  <r>
    <s v="818"/>
    <x v="335"/>
    <x v="2"/>
    <n v="995"/>
    <n v="2100"/>
    <n v="2089500"/>
  </r>
  <r>
    <s v="819"/>
    <x v="336"/>
    <x v="0"/>
    <n v="1413"/>
    <n v="3200"/>
    <n v="4476384"/>
  </r>
  <r>
    <s v="820"/>
    <x v="337"/>
    <x v="0"/>
    <n v="1342"/>
    <n v="3200"/>
    <n v="4251456"/>
  </r>
  <r>
    <s v="821"/>
    <x v="337"/>
    <x v="1"/>
    <n v="1911"/>
    <n v="2800"/>
    <n v="5190276"/>
  </r>
  <r>
    <s v="822"/>
    <x v="337"/>
    <x v="2"/>
    <n v="952"/>
    <n v="2100"/>
    <n v="1999200"/>
  </r>
  <r>
    <s v="823"/>
    <x v="338"/>
    <x v="1"/>
    <n v="2075"/>
    <n v="2800"/>
    <n v="5577600"/>
  </r>
  <r>
    <s v="824"/>
    <x v="338"/>
    <x v="2"/>
    <n v="992"/>
    <n v="2100"/>
    <n v="2083200"/>
  </r>
  <r>
    <s v="825"/>
    <x v="339"/>
    <x v="1"/>
    <n v="1924"/>
    <n v="2800"/>
    <n v="5225584"/>
  </r>
  <r>
    <s v="826"/>
    <x v="339"/>
    <x v="2"/>
    <n v="1034"/>
    <n v="2100"/>
    <n v="2106258"/>
  </r>
  <r>
    <s v="827"/>
    <x v="340"/>
    <x v="0"/>
    <n v="1559"/>
    <n v="3200"/>
    <n v="4889024"/>
  </r>
  <r>
    <s v="828"/>
    <x v="340"/>
    <x v="1"/>
    <n v="1922"/>
    <n v="2800"/>
    <n v="5220152"/>
  </r>
  <r>
    <s v="829"/>
    <x v="340"/>
    <x v="2"/>
    <n v="1006"/>
    <n v="2100"/>
    <n v="2049222"/>
  </r>
  <r>
    <s v="830"/>
    <x v="341"/>
    <x v="0"/>
    <n v="1214"/>
    <n v="3200"/>
    <n v="3845952"/>
  </r>
  <r>
    <s v="831"/>
    <x v="341"/>
    <x v="1"/>
    <n v="2074"/>
    <n v="2800"/>
    <n v="5574912"/>
  </r>
  <r>
    <s v="832"/>
    <x v="341"/>
    <x v="2"/>
    <n v="982"/>
    <n v="2100"/>
    <n v="2062200"/>
  </r>
  <r>
    <s v="833"/>
    <x v="342"/>
    <x v="0"/>
    <n v="1300"/>
    <n v="3200"/>
    <n v="4118400"/>
  </r>
  <r>
    <s v="834"/>
    <x v="342"/>
    <x v="1"/>
    <n v="2045"/>
    <n v="2800"/>
    <n v="5496960"/>
  </r>
  <r>
    <s v="835"/>
    <x v="342"/>
    <x v="2"/>
    <n v="1006"/>
    <n v="2100"/>
    <n v="2049222"/>
  </r>
  <r>
    <s v="836"/>
    <x v="343"/>
    <x v="0"/>
    <n v="1231"/>
    <n v="3200"/>
    <n v="3899808"/>
  </r>
  <r>
    <s v="837"/>
    <x v="343"/>
    <x v="1"/>
    <n v="2018"/>
    <n v="2800"/>
    <n v="5424384"/>
  </r>
  <r>
    <s v="838"/>
    <x v="343"/>
    <x v="2"/>
    <n v="955"/>
    <n v="2100"/>
    <n v="2005500"/>
  </r>
  <r>
    <s v="839"/>
    <x v="344"/>
    <x v="0"/>
    <n v="1209"/>
    <n v="3200"/>
    <n v="3830112"/>
  </r>
  <r>
    <s v="840"/>
    <x v="344"/>
    <x v="2"/>
    <n v="984"/>
    <n v="2100"/>
    <n v="2066400"/>
  </r>
  <r>
    <s v="841"/>
    <x v="345"/>
    <x v="0"/>
    <n v="1406"/>
    <n v="3200"/>
    <n v="4454208"/>
  </r>
  <r>
    <s v="842"/>
    <x v="345"/>
    <x v="2"/>
    <n v="1016"/>
    <n v="2100"/>
    <n v="2069592"/>
  </r>
  <r>
    <s v="843"/>
    <x v="346"/>
    <x v="0"/>
    <n v="1570"/>
    <n v="3200"/>
    <n v="4923520"/>
  </r>
  <r>
    <s v="844"/>
    <x v="346"/>
    <x v="1"/>
    <n v="2002"/>
    <n v="2800"/>
    <n v="5381376"/>
  </r>
  <r>
    <s v="845"/>
    <x v="346"/>
    <x v="2"/>
    <n v="1013"/>
    <n v="2100"/>
    <n v="2063481"/>
  </r>
  <r>
    <s v="846"/>
    <x v="347"/>
    <x v="0"/>
    <n v="1374"/>
    <n v="3200"/>
    <n v="4352832"/>
  </r>
  <r>
    <s v="847"/>
    <x v="347"/>
    <x v="1"/>
    <n v="2067"/>
    <n v="2800"/>
    <n v="5556096"/>
  </r>
  <r>
    <s v="848"/>
    <x v="348"/>
    <x v="1"/>
    <n v="1949"/>
    <n v="2800"/>
    <n v="5293484"/>
  </r>
  <r>
    <s v="849"/>
    <x v="348"/>
    <x v="2"/>
    <n v="1035"/>
    <n v="2100"/>
    <n v="2108295"/>
  </r>
  <r>
    <s v="850"/>
    <x v="349"/>
    <x v="0"/>
    <n v="1236"/>
    <n v="3200"/>
    <n v="3915648"/>
  </r>
  <r>
    <s v="851"/>
    <x v="349"/>
    <x v="2"/>
    <n v="976"/>
    <n v="2100"/>
    <n v="2049600"/>
  </r>
  <r>
    <s v="852"/>
    <x v="350"/>
    <x v="0"/>
    <n v="1519"/>
    <n v="3200"/>
    <n v="4763584"/>
  </r>
  <r>
    <s v="853"/>
    <x v="350"/>
    <x v="1"/>
    <n v="2100"/>
    <n v="2800"/>
    <n v="5644800"/>
  </r>
  <r>
    <s v="854"/>
    <x v="350"/>
    <x v="2"/>
    <n v="1004"/>
    <n v="2100"/>
    <n v="2045148"/>
  </r>
  <r>
    <s v="855"/>
    <x v="351"/>
    <x v="0"/>
    <n v="1428"/>
    <n v="3200"/>
    <n v="4523904"/>
  </r>
  <r>
    <s v="856"/>
    <x v="351"/>
    <x v="1"/>
    <n v="1919"/>
    <n v="2800"/>
    <n v="5212004"/>
  </r>
  <r>
    <s v="857"/>
    <x v="351"/>
    <x v="2"/>
    <n v="966"/>
    <n v="2100"/>
    <n v="2028600"/>
  </r>
  <r>
    <s v="858"/>
    <x v="352"/>
    <x v="0"/>
    <n v="1213"/>
    <n v="3200"/>
    <n v="3842784"/>
  </r>
  <r>
    <s v="859"/>
    <x v="352"/>
    <x v="1"/>
    <n v="1975"/>
    <n v="2800"/>
    <n v="5364100"/>
  </r>
  <r>
    <s v="860"/>
    <x v="352"/>
    <x v="2"/>
    <n v="977"/>
    <n v="2100"/>
    <n v="2051700"/>
  </r>
  <r>
    <s v="861"/>
    <x v="353"/>
    <x v="0"/>
    <n v="1450"/>
    <n v="3200"/>
    <n v="4593600"/>
  </r>
  <r>
    <s v="862"/>
    <x v="353"/>
    <x v="1"/>
    <n v="2058"/>
    <n v="2800"/>
    <n v="5531904"/>
  </r>
  <r>
    <s v="863"/>
    <x v="353"/>
    <x v="2"/>
    <n v="1000"/>
    <n v="2100"/>
    <n v="2037000"/>
  </r>
  <r>
    <s v="864"/>
    <x v="354"/>
    <x v="0"/>
    <n v="1566"/>
    <n v="3200"/>
    <n v="4910976"/>
  </r>
  <r>
    <s v="865"/>
    <x v="354"/>
    <x v="1"/>
    <n v="1938"/>
    <n v="2800"/>
    <n v="5263608"/>
  </r>
  <r>
    <s v="866"/>
    <x v="354"/>
    <x v="2"/>
    <n v="1025"/>
    <n v="2100"/>
    <n v="2087925"/>
  </r>
  <r>
    <s v="867"/>
    <x v="355"/>
    <x v="0"/>
    <n v="1596"/>
    <n v="3200"/>
    <n v="5005056"/>
  </r>
  <r>
    <s v="868"/>
    <x v="355"/>
    <x v="1"/>
    <n v="1936"/>
    <n v="2800"/>
    <n v="5258176"/>
  </r>
  <r>
    <s v="869"/>
    <x v="355"/>
    <x v="2"/>
    <n v="1015"/>
    <n v="2100"/>
    <n v="2067555"/>
  </r>
  <r>
    <s v="870"/>
    <x v="356"/>
    <x v="0"/>
    <n v="1393"/>
    <n v="3200"/>
    <n v="4413024"/>
  </r>
  <r>
    <s v="871"/>
    <x v="356"/>
    <x v="1"/>
    <n v="2006"/>
    <n v="2800"/>
    <n v="5392128"/>
  </r>
  <r>
    <s v="872"/>
    <x v="356"/>
    <x v="2"/>
    <n v="1026"/>
    <n v="2100"/>
    <n v="2089962"/>
  </r>
  <r>
    <s v="873"/>
    <x v="357"/>
    <x v="1"/>
    <n v="2100"/>
    <n v="2800"/>
    <n v="5644800"/>
  </r>
  <r>
    <s v="874"/>
    <x v="357"/>
    <x v="2"/>
    <n v="987"/>
    <n v="2100"/>
    <n v="2072700"/>
  </r>
  <r>
    <s v="875"/>
    <x v="358"/>
    <x v="0"/>
    <n v="1531"/>
    <n v="3200"/>
    <n v="4801216"/>
  </r>
  <r>
    <s v="876"/>
    <x v="358"/>
    <x v="2"/>
    <n v="1044"/>
    <n v="2100"/>
    <n v="2126628"/>
  </r>
  <r>
    <s v="877"/>
    <x v="359"/>
    <x v="0"/>
    <n v="1338"/>
    <n v="3200"/>
    <n v="4238784"/>
  </r>
  <r>
    <s v="878"/>
    <x v="359"/>
    <x v="1"/>
    <n v="2017"/>
    <n v="2800"/>
    <n v="5421696"/>
  </r>
  <r>
    <s v="879"/>
    <x v="359"/>
    <x v="2"/>
    <n v="1008"/>
    <n v="2100"/>
    <n v="2053296"/>
  </r>
  <r>
    <s v="880"/>
    <x v="360"/>
    <x v="0"/>
    <n v="1266"/>
    <n v="3200"/>
    <n v="4010688"/>
  </r>
  <r>
    <s v="881"/>
    <x v="360"/>
    <x v="2"/>
    <n v="1031"/>
    <n v="2100"/>
    <n v="2100147"/>
  </r>
  <r>
    <s v="882"/>
    <x v="361"/>
    <x v="0"/>
    <n v="1235"/>
    <n v="3200"/>
    <n v="3912480"/>
  </r>
  <r>
    <s v="883"/>
    <x v="361"/>
    <x v="1"/>
    <n v="2041"/>
    <n v="2800"/>
    <n v="5486208"/>
  </r>
  <r>
    <s v="884"/>
    <x v="361"/>
    <x v="2"/>
    <n v="1036"/>
    <n v="2100"/>
    <n v="2110332"/>
  </r>
  <r>
    <s v="885"/>
    <x v="362"/>
    <x v="0"/>
    <n v="1383"/>
    <n v="3200"/>
    <n v="4381344"/>
  </r>
  <r>
    <s v="886"/>
    <x v="362"/>
    <x v="1"/>
    <n v="1935"/>
    <n v="2800"/>
    <n v="5255460"/>
  </r>
  <r>
    <s v="887"/>
    <x v="362"/>
    <x v="2"/>
    <n v="987"/>
    <n v="2100"/>
    <n v="2072700"/>
  </r>
  <r>
    <s v="888"/>
    <x v="363"/>
    <x v="2"/>
    <n v="959"/>
    <n v="2100"/>
    <n v="201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5">
  <location ref="A3:E21" firstHeaderRow="1" firstDataRow="2" firstDataCol="1"/>
  <pivotFields count="7">
    <pivotField showAll="0"/>
    <pivotField axis="axisRow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numFmtId="5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6"/>
    <field x="1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求和项:数量" fld="3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数据源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1"/>
  <sheetViews>
    <sheetView showGridLines="0" workbookViewId="0">
      <selection activeCell="E4" sqref="E4:E891"/>
    </sheetView>
  </sheetViews>
  <sheetFormatPr defaultRowHeight="13.5" x14ac:dyDescent="0.15"/>
  <cols>
    <col min="1" max="1" width="9" style="3"/>
    <col min="2" max="2" width="11.625" style="4" bestFit="1" customWidth="1"/>
    <col min="3" max="3" width="6.25" bestFit="1" customWidth="1"/>
    <col min="4" max="4" width="5.5" bestFit="1" customWidth="1"/>
    <col min="6" max="6" width="11.625" bestFit="1" customWidth="1"/>
  </cols>
  <sheetData>
    <row r="1" spans="1:6" ht="24.75" x14ac:dyDescent="0.4">
      <c r="A1" s="5" t="s">
        <v>910</v>
      </c>
      <c r="B1" s="6"/>
      <c r="C1" s="7"/>
      <c r="D1" s="7"/>
      <c r="E1" s="7"/>
      <c r="F1" s="7"/>
    </row>
    <row r="2" spans="1:6" hidden="1" x14ac:dyDescent="0.15"/>
    <row r="3" spans="1:6" x14ac:dyDescent="0.15">
      <c r="A3" s="8" t="s">
        <v>19</v>
      </c>
      <c r="B3" s="9" t="s">
        <v>13</v>
      </c>
      <c r="C3" s="10" t="s">
        <v>14</v>
      </c>
      <c r="D3" s="10" t="s">
        <v>15</v>
      </c>
      <c r="E3" s="10" t="s">
        <v>908</v>
      </c>
      <c r="F3" s="10" t="s">
        <v>909</v>
      </c>
    </row>
    <row r="4" spans="1:6" x14ac:dyDescent="0.15">
      <c r="A4" s="11" t="s">
        <v>20</v>
      </c>
      <c r="B4" s="12">
        <v>40909</v>
      </c>
      <c r="C4" s="13" t="s">
        <v>16</v>
      </c>
      <c r="D4" s="13">
        <v>1481</v>
      </c>
      <c r="E4" s="14">
        <f>VLOOKUP(C4,价格表!$B$2:$C$5,2,0)</f>
        <v>3200</v>
      </c>
      <c r="F4" s="14">
        <f>D4*E4*(1-HLOOKUP(C4,折扣表!$B$2:$E$6,IF(D4&lt;1000,2,IF(D4&lt;1500,3,IF(D4&lt;2000,4,5)))))</f>
        <v>4691808</v>
      </c>
    </row>
    <row r="5" spans="1:6" x14ac:dyDescent="0.15">
      <c r="A5" s="11" t="s">
        <v>21</v>
      </c>
      <c r="B5" s="12">
        <v>40909</v>
      </c>
      <c r="C5" s="13" t="s">
        <v>17</v>
      </c>
      <c r="D5" s="13">
        <v>882</v>
      </c>
      <c r="E5" s="14">
        <f>VLOOKUP(C5,价格表!$B$2:$C$5,2,0)</f>
        <v>2800</v>
      </c>
      <c r="F5" s="14">
        <f>D5*E5*(1-HLOOKUP(C5,折扣表!$B$2:$E$6,IF(D5&lt;1000,2,IF(D5&lt;1500,3,IF(D5&lt;2000,4,5)))))</f>
        <v>2469600</v>
      </c>
    </row>
    <row r="6" spans="1:6" x14ac:dyDescent="0.15">
      <c r="A6" s="11" t="s">
        <v>22</v>
      </c>
      <c r="B6" s="12">
        <v>40909</v>
      </c>
      <c r="C6" s="13" t="s">
        <v>18</v>
      </c>
      <c r="D6" s="13">
        <v>1575</v>
      </c>
      <c r="E6" s="14">
        <f>VLOOKUP(C6,价格表!$B$2:$C$5,2,0)</f>
        <v>2100</v>
      </c>
      <c r="F6" s="14">
        <f>D6*E6*(1-HLOOKUP(C6,折扣表!$B$2:$E$6,IF(D6&lt;1000,2,IF(D6&lt;1500,3,IF(D6&lt;2000,4,5)))))</f>
        <v>3175200</v>
      </c>
    </row>
    <row r="7" spans="1:6" x14ac:dyDescent="0.15">
      <c r="A7" s="11" t="s">
        <v>23</v>
      </c>
      <c r="B7" s="12">
        <v>40910</v>
      </c>
      <c r="C7" s="13" t="s">
        <v>17</v>
      </c>
      <c r="D7" s="13">
        <v>900</v>
      </c>
      <c r="E7" s="14">
        <f>VLOOKUP(C7,价格表!$B$2:$C$5,2,0)</f>
        <v>2800</v>
      </c>
      <c r="F7" s="14">
        <f>D7*E7*(1-HLOOKUP(C7,折扣表!$B$2:$E$6,IF(D7&lt;1000,2,IF(D7&lt;1500,3,IF(D7&lt;2000,4,5)))))</f>
        <v>2520000</v>
      </c>
    </row>
    <row r="8" spans="1:6" x14ac:dyDescent="0.15">
      <c r="A8" s="11" t="s">
        <v>24</v>
      </c>
      <c r="B8" s="12">
        <v>40910</v>
      </c>
      <c r="C8" s="13" t="s">
        <v>18</v>
      </c>
      <c r="D8" s="13">
        <v>1532</v>
      </c>
      <c r="E8" s="14">
        <f>VLOOKUP(C8,价格表!$B$2:$C$5,2,0)</f>
        <v>2100</v>
      </c>
      <c r="F8" s="14">
        <f>D8*E8*(1-HLOOKUP(C8,折扣表!$B$2:$E$6,IF(D8&lt;1000,2,IF(D8&lt;1500,3,IF(D8&lt;2000,4,5)))))</f>
        <v>3088512</v>
      </c>
    </row>
    <row r="9" spans="1:6" x14ac:dyDescent="0.15">
      <c r="A9" s="11" t="s">
        <v>25</v>
      </c>
      <c r="B9" s="12">
        <v>40911</v>
      </c>
      <c r="C9" s="13" t="s">
        <v>16</v>
      </c>
      <c r="D9" s="13">
        <v>1561</v>
      </c>
      <c r="E9" s="14">
        <f>VLOOKUP(C9,价格表!$B$2:$C$5,2,0)</f>
        <v>3200</v>
      </c>
      <c r="F9" s="14">
        <f>D9*E9*(1-HLOOKUP(C9,折扣表!$B$2:$E$6,IF(D9&lt;1000,2,IF(D9&lt;1500,3,IF(D9&lt;2000,4,5)))))</f>
        <v>4895296</v>
      </c>
    </row>
    <row r="10" spans="1:6" x14ac:dyDescent="0.15">
      <c r="A10" s="11" t="s">
        <v>26</v>
      </c>
      <c r="B10" s="12">
        <v>40911</v>
      </c>
      <c r="C10" s="13" t="s">
        <v>18</v>
      </c>
      <c r="D10" s="13">
        <v>1551</v>
      </c>
      <c r="E10" s="14">
        <f>VLOOKUP(C10,价格表!$B$2:$C$5,2,0)</f>
        <v>2100</v>
      </c>
      <c r="F10" s="14">
        <f>D10*E10*(1-HLOOKUP(C10,折扣表!$B$2:$E$6,IF(D10&lt;1000,2,IF(D10&lt;1500,3,IF(D10&lt;2000,4,5)))))</f>
        <v>3126816</v>
      </c>
    </row>
    <row r="11" spans="1:6" x14ac:dyDescent="0.15">
      <c r="A11" s="11" t="s">
        <v>27</v>
      </c>
      <c r="B11" s="12">
        <v>40912</v>
      </c>
      <c r="C11" s="13" t="s">
        <v>16</v>
      </c>
      <c r="D11" s="13">
        <v>1282</v>
      </c>
      <c r="E11" s="14">
        <f>VLOOKUP(C11,价格表!$B$2:$C$5,2,0)</f>
        <v>3200</v>
      </c>
      <c r="F11" s="14">
        <f>D11*E11*(1-HLOOKUP(C11,折扣表!$B$2:$E$6,IF(D11&lt;1000,2,IF(D11&lt;1500,3,IF(D11&lt;2000,4,5)))))</f>
        <v>4061376</v>
      </c>
    </row>
    <row r="12" spans="1:6" x14ac:dyDescent="0.15">
      <c r="A12" s="11" t="s">
        <v>28</v>
      </c>
      <c r="B12" s="12">
        <v>40912</v>
      </c>
      <c r="C12" s="13" t="s">
        <v>17</v>
      </c>
      <c r="D12" s="13">
        <v>812</v>
      </c>
      <c r="E12" s="14">
        <f>VLOOKUP(C12,价格表!$B$2:$C$5,2,0)</f>
        <v>2800</v>
      </c>
      <c r="F12" s="14">
        <f>D12*E12*(1-HLOOKUP(C12,折扣表!$B$2:$E$6,IF(D12&lt;1000,2,IF(D12&lt;1500,3,IF(D12&lt;2000,4,5)))))</f>
        <v>2273600</v>
      </c>
    </row>
    <row r="13" spans="1:6" x14ac:dyDescent="0.15">
      <c r="A13" s="11" t="s">
        <v>29</v>
      </c>
      <c r="B13" s="12">
        <v>40912</v>
      </c>
      <c r="C13" s="13" t="s">
        <v>18</v>
      </c>
      <c r="D13" s="13">
        <v>1518</v>
      </c>
      <c r="E13" s="14">
        <f>VLOOKUP(C13,价格表!$B$2:$C$5,2,0)</f>
        <v>2100</v>
      </c>
      <c r="F13" s="14">
        <f>D13*E13*(1-HLOOKUP(C13,折扣表!$B$2:$E$6,IF(D13&lt;1000,2,IF(D13&lt;1500,3,IF(D13&lt;2000,4,5)))))</f>
        <v>3060288</v>
      </c>
    </row>
    <row r="14" spans="1:6" x14ac:dyDescent="0.15">
      <c r="A14" s="11" t="s">
        <v>30</v>
      </c>
      <c r="B14" s="12">
        <v>40913</v>
      </c>
      <c r="C14" s="13" t="s">
        <v>17</v>
      </c>
      <c r="D14" s="13">
        <v>880</v>
      </c>
      <c r="E14" s="14">
        <f>VLOOKUP(C14,价格表!$B$2:$C$5,2,0)</f>
        <v>2800</v>
      </c>
      <c r="F14" s="14">
        <f>D14*E14*(1-HLOOKUP(C14,折扣表!$B$2:$E$6,IF(D14&lt;1000,2,IF(D14&lt;1500,3,IF(D14&lt;2000,4,5)))))</f>
        <v>2464000</v>
      </c>
    </row>
    <row r="15" spans="1:6" x14ac:dyDescent="0.15">
      <c r="A15" s="11" t="s">
        <v>31</v>
      </c>
      <c r="B15" s="12">
        <v>40914</v>
      </c>
      <c r="C15" s="13" t="s">
        <v>16</v>
      </c>
      <c r="D15" s="13">
        <v>1516</v>
      </c>
      <c r="E15" s="14">
        <f>VLOOKUP(C15,价格表!$B$2:$C$5,2,0)</f>
        <v>3200</v>
      </c>
      <c r="F15" s="14">
        <f>D15*E15*(1-HLOOKUP(C15,折扣表!$B$2:$E$6,IF(D15&lt;1000,2,IF(D15&lt;1500,3,IF(D15&lt;2000,4,5)))))</f>
        <v>4754176</v>
      </c>
    </row>
    <row r="16" spans="1:6" x14ac:dyDescent="0.15">
      <c r="A16" s="11" t="s">
        <v>32</v>
      </c>
      <c r="B16" s="12">
        <v>40914</v>
      </c>
      <c r="C16" s="13" t="s">
        <v>18</v>
      </c>
      <c r="D16" s="13">
        <v>1564</v>
      </c>
      <c r="E16" s="14">
        <f>VLOOKUP(C16,价格表!$B$2:$C$5,2,0)</f>
        <v>2100</v>
      </c>
      <c r="F16" s="14">
        <f>D16*E16*(1-HLOOKUP(C16,折扣表!$B$2:$E$6,IF(D16&lt;1000,2,IF(D16&lt;1500,3,IF(D16&lt;2000,4,5)))))</f>
        <v>3153024</v>
      </c>
    </row>
    <row r="17" spans="1:6" x14ac:dyDescent="0.15">
      <c r="A17" s="11" t="s">
        <v>33</v>
      </c>
      <c r="B17" s="12">
        <v>40915</v>
      </c>
      <c r="C17" s="13" t="s">
        <v>16</v>
      </c>
      <c r="D17" s="13">
        <v>1530</v>
      </c>
      <c r="E17" s="14">
        <f>VLOOKUP(C17,价格表!$B$2:$C$5,2,0)</f>
        <v>3200</v>
      </c>
      <c r="F17" s="14">
        <f>D17*E17*(1-HLOOKUP(C17,折扣表!$B$2:$E$6,IF(D17&lt;1000,2,IF(D17&lt;1500,3,IF(D17&lt;2000,4,5)))))</f>
        <v>4798080</v>
      </c>
    </row>
    <row r="18" spans="1:6" x14ac:dyDescent="0.15">
      <c r="A18" s="11" t="s">
        <v>34</v>
      </c>
      <c r="B18" s="12">
        <v>40915</v>
      </c>
      <c r="C18" s="13" t="s">
        <v>17</v>
      </c>
      <c r="D18" s="13">
        <v>840</v>
      </c>
      <c r="E18" s="14">
        <f>VLOOKUP(C18,价格表!$B$2:$C$5,2,0)</f>
        <v>2800</v>
      </c>
      <c r="F18" s="14">
        <f>D18*E18*(1-HLOOKUP(C18,折扣表!$B$2:$E$6,IF(D18&lt;1000,2,IF(D18&lt;1500,3,IF(D18&lt;2000,4,5)))))</f>
        <v>2352000</v>
      </c>
    </row>
    <row r="19" spans="1:6" x14ac:dyDescent="0.15">
      <c r="A19" s="11" t="s">
        <v>35</v>
      </c>
      <c r="B19" s="12">
        <v>40915</v>
      </c>
      <c r="C19" s="13" t="s">
        <v>18</v>
      </c>
      <c r="D19" s="13">
        <v>1515</v>
      </c>
      <c r="E19" s="14">
        <f>VLOOKUP(C19,价格表!$B$2:$C$5,2,0)</f>
        <v>2100</v>
      </c>
      <c r="F19" s="14">
        <f>D19*E19*(1-HLOOKUP(C19,折扣表!$B$2:$E$6,IF(D19&lt;1000,2,IF(D19&lt;1500,3,IF(D19&lt;2000,4,5)))))</f>
        <v>3054240</v>
      </c>
    </row>
    <row r="20" spans="1:6" x14ac:dyDescent="0.15">
      <c r="A20" s="11" t="s">
        <v>36</v>
      </c>
      <c r="B20" s="12">
        <v>40916</v>
      </c>
      <c r="C20" s="13" t="s">
        <v>16</v>
      </c>
      <c r="D20" s="13">
        <v>1248</v>
      </c>
      <c r="E20" s="14">
        <f>VLOOKUP(C20,价格表!$B$2:$C$5,2,0)</f>
        <v>3200</v>
      </c>
      <c r="F20" s="14">
        <f>D20*E20*(1-HLOOKUP(C20,折扣表!$B$2:$E$6,IF(D20&lt;1000,2,IF(D20&lt;1500,3,IF(D20&lt;2000,4,5)))))</f>
        <v>3953664</v>
      </c>
    </row>
    <row r="21" spans="1:6" x14ac:dyDescent="0.15">
      <c r="A21" s="11" t="s">
        <v>37</v>
      </c>
      <c r="B21" s="12">
        <v>40916</v>
      </c>
      <c r="C21" s="13" t="s">
        <v>17</v>
      </c>
      <c r="D21" s="13">
        <v>993</v>
      </c>
      <c r="E21" s="14">
        <f>VLOOKUP(C21,价格表!$B$2:$C$5,2,0)</f>
        <v>2800</v>
      </c>
      <c r="F21" s="14">
        <f>D21*E21*(1-HLOOKUP(C21,折扣表!$B$2:$E$6,IF(D21&lt;1000,2,IF(D21&lt;1500,3,IF(D21&lt;2000,4,5)))))</f>
        <v>2780400</v>
      </c>
    </row>
    <row r="22" spans="1:6" x14ac:dyDescent="0.15">
      <c r="A22" s="11" t="s">
        <v>38</v>
      </c>
      <c r="B22" s="12">
        <v>40916</v>
      </c>
      <c r="C22" s="13" t="s">
        <v>18</v>
      </c>
      <c r="D22" s="13">
        <v>1530</v>
      </c>
      <c r="E22" s="14">
        <f>VLOOKUP(C22,价格表!$B$2:$C$5,2,0)</f>
        <v>2100</v>
      </c>
      <c r="F22" s="14">
        <f>D22*E22*(1-HLOOKUP(C22,折扣表!$B$2:$E$6,IF(D22&lt;1000,2,IF(D22&lt;1500,3,IF(D22&lt;2000,4,5)))))</f>
        <v>3084480</v>
      </c>
    </row>
    <row r="23" spans="1:6" x14ac:dyDescent="0.15">
      <c r="A23" s="11" t="s">
        <v>39</v>
      </c>
      <c r="B23" s="12">
        <v>40917</v>
      </c>
      <c r="C23" s="13" t="s">
        <v>16</v>
      </c>
      <c r="D23" s="13">
        <v>1538</v>
      </c>
      <c r="E23" s="14">
        <f>VLOOKUP(C23,价格表!$B$2:$C$5,2,0)</f>
        <v>3200</v>
      </c>
      <c r="F23" s="14">
        <f>D23*E23*(1-HLOOKUP(C23,折扣表!$B$2:$E$6,IF(D23&lt;1000,2,IF(D23&lt;1500,3,IF(D23&lt;2000,4,5)))))</f>
        <v>4823168</v>
      </c>
    </row>
    <row r="24" spans="1:6" x14ac:dyDescent="0.15">
      <c r="A24" s="11" t="s">
        <v>40</v>
      </c>
      <c r="B24" s="12">
        <v>40917</v>
      </c>
      <c r="C24" s="13" t="s">
        <v>18</v>
      </c>
      <c r="D24" s="13">
        <v>1589</v>
      </c>
      <c r="E24" s="14">
        <f>VLOOKUP(C24,价格表!$B$2:$C$5,2,0)</f>
        <v>2100</v>
      </c>
      <c r="F24" s="14">
        <f>D24*E24*(1-HLOOKUP(C24,折扣表!$B$2:$E$6,IF(D24&lt;1000,2,IF(D24&lt;1500,3,IF(D24&lt;2000,4,5)))))</f>
        <v>3203424</v>
      </c>
    </row>
    <row r="25" spans="1:6" x14ac:dyDescent="0.15">
      <c r="A25" s="11" t="s">
        <v>41</v>
      </c>
      <c r="B25" s="12">
        <v>40918</v>
      </c>
      <c r="C25" s="13" t="s">
        <v>16</v>
      </c>
      <c r="D25" s="13">
        <v>1498</v>
      </c>
      <c r="E25" s="14">
        <f>VLOOKUP(C25,价格表!$B$2:$C$5,2,0)</f>
        <v>3200</v>
      </c>
      <c r="F25" s="14">
        <f>D25*E25*(1-HLOOKUP(C25,折扣表!$B$2:$E$6,IF(D25&lt;1000,2,IF(D25&lt;1500,3,IF(D25&lt;2000,4,5)))))</f>
        <v>4745664</v>
      </c>
    </row>
    <row r="26" spans="1:6" x14ac:dyDescent="0.15">
      <c r="A26" s="11" t="s">
        <v>42</v>
      </c>
      <c r="B26" s="12">
        <v>40918</v>
      </c>
      <c r="C26" s="13" t="s">
        <v>17</v>
      </c>
      <c r="D26" s="13">
        <v>817</v>
      </c>
      <c r="E26" s="14">
        <f>VLOOKUP(C26,价格表!$B$2:$C$5,2,0)</f>
        <v>2800</v>
      </c>
      <c r="F26" s="14">
        <f>D26*E26*(1-HLOOKUP(C26,折扣表!$B$2:$E$6,IF(D26&lt;1000,2,IF(D26&lt;1500,3,IF(D26&lt;2000,4,5)))))</f>
        <v>2287600</v>
      </c>
    </row>
    <row r="27" spans="1:6" x14ac:dyDescent="0.15">
      <c r="A27" s="11" t="s">
        <v>43</v>
      </c>
      <c r="B27" s="12">
        <v>40918</v>
      </c>
      <c r="C27" s="13" t="s">
        <v>18</v>
      </c>
      <c r="D27" s="13">
        <v>1595</v>
      </c>
      <c r="E27" s="14">
        <f>VLOOKUP(C27,价格表!$B$2:$C$5,2,0)</f>
        <v>2100</v>
      </c>
      <c r="F27" s="14">
        <f>D27*E27*(1-HLOOKUP(C27,折扣表!$B$2:$E$6,IF(D27&lt;1000,2,IF(D27&lt;1500,3,IF(D27&lt;2000,4,5)))))</f>
        <v>3215520</v>
      </c>
    </row>
    <row r="28" spans="1:6" x14ac:dyDescent="0.15">
      <c r="A28" s="11" t="s">
        <v>44</v>
      </c>
      <c r="B28" s="12">
        <v>40919</v>
      </c>
      <c r="C28" s="13" t="s">
        <v>16</v>
      </c>
      <c r="D28" s="13">
        <v>1579</v>
      </c>
      <c r="E28" s="14">
        <f>VLOOKUP(C28,价格表!$B$2:$C$5,2,0)</f>
        <v>3200</v>
      </c>
      <c r="F28" s="14">
        <f>D28*E28*(1-HLOOKUP(C28,折扣表!$B$2:$E$6,IF(D28&lt;1000,2,IF(D28&lt;1500,3,IF(D28&lt;2000,4,5)))))</f>
        <v>4951744</v>
      </c>
    </row>
    <row r="29" spans="1:6" x14ac:dyDescent="0.15">
      <c r="A29" s="11" t="s">
        <v>45</v>
      </c>
      <c r="B29" s="12">
        <v>40919</v>
      </c>
      <c r="C29" s="13" t="s">
        <v>17</v>
      </c>
      <c r="D29" s="13">
        <v>822</v>
      </c>
      <c r="E29" s="14">
        <f>VLOOKUP(C29,价格表!$B$2:$C$5,2,0)</f>
        <v>2800</v>
      </c>
      <c r="F29" s="14">
        <f>D29*E29*(1-HLOOKUP(C29,折扣表!$B$2:$E$6,IF(D29&lt;1000,2,IF(D29&lt;1500,3,IF(D29&lt;2000,4,5)))))</f>
        <v>2301600</v>
      </c>
    </row>
    <row r="30" spans="1:6" x14ac:dyDescent="0.15">
      <c r="A30" s="11" t="s">
        <v>46</v>
      </c>
      <c r="B30" s="12">
        <v>40919</v>
      </c>
      <c r="C30" s="13" t="s">
        <v>18</v>
      </c>
      <c r="D30" s="13">
        <v>1531</v>
      </c>
      <c r="E30" s="14">
        <f>VLOOKUP(C30,价格表!$B$2:$C$5,2,0)</f>
        <v>2100</v>
      </c>
      <c r="F30" s="14">
        <f>D30*E30*(1-HLOOKUP(C30,折扣表!$B$2:$E$6,IF(D30&lt;1000,2,IF(D30&lt;1500,3,IF(D30&lt;2000,4,5)))))</f>
        <v>3086496</v>
      </c>
    </row>
    <row r="31" spans="1:6" x14ac:dyDescent="0.15">
      <c r="A31" s="11" t="s">
        <v>47</v>
      </c>
      <c r="B31" s="12">
        <v>40920</v>
      </c>
      <c r="C31" s="13" t="s">
        <v>17</v>
      </c>
      <c r="D31" s="13">
        <v>840</v>
      </c>
      <c r="E31" s="14">
        <f>VLOOKUP(C31,价格表!$B$2:$C$5,2,0)</f>
        <v>2800</v>
      </c>
      <c r="F31" s="14">
        <f>D31*E31*(1-HLOOKUP(C31,折扣表!$B$2:$E$6,IF(D31&lt;1000,2,IF(D31&lt;1500,3,IF(D31&lt;2000,4,5)))))</f>
        <v>2352000</v>
      </c>
    </row>
    <row r="32" spans="1:6" x14ac:dyDescent="0.15">
      <c r="A32" s="11" t="s">
        <v>48</v>
      </c>
      <c r="B32" s="12">
        <v>40920</v>
      </c>
      <c r="C32" s="13" t="s">
        <v>18</v>
      </c>
      <c r="D32" s="13">
        <v>1513</v>
      </c>
      <c r="E32" s="14">
        <f>VLOOKUP(C32,价格表!$B$2:$C$5,2,0)</f>
        <v>2100</v>
      </c>
      <c r="F32" s="14">
        <f>D32*E32*(1-HLOOKUP(C32,折扣表!$B$2:$E$6,IF(D32&lt;1000,2,IF(D32&lt;1500,3,IF(D32&lt;2000,4,5)))))</f>
        <v>3050208</v>
      </c>
    </row>
    <row r="33" spans="1:6" x14ac:dyDescent="0.15">
      <c r="A33" s="11" t="s">
        <v>49</v>
      </c>
      <c r="B33" s="12">
        <v>40921</v>
      </c>
      <c r="C33" s="13" t="s">
        <v>16</v>
      </c>
      <c r="D33" s="13">
        <v>1565</v>
      </c>
      <c r="E33" s="14">
        <f>VLOOKUP(C33,价格表!$B$2:$C$5,2,0)</f>
        <v>3200</v>
      </c>
      <c r="F33" s="14">
        <f>D33*E33*(1-HLOOKUP(C33,折扣表!$B$2:$E$6,IF(D33&lt;1000,2,IF(D33&lt;1500,3,IF(D33&lt;2000,4,5)))))</f>
        <v>4907840</v>
      </c>
    </row>
    <row r="34" spans="1:6" x14ac:dyDescent="0.15">
      <c r="A34" s="11" t="s">
        <v>50</v>
      </c>
      <c r="B34" s="12">
        <v>40921</v>
      </c>
      <c r="C34" s="13" t="s">
        <v>17</v>
      </c>
      <c r="D34" s="13">
        <v>840</v>
      </c>
      <c r="E34" s="14">
        <f>VLOOKUP(C34,价格表!$B$2:$C$5,2,0)</f>
        <v>2800</v>
      </c>
      <c r="F34" s="14">
        <f>D34*E34*(1-HLOOKUP(C34,折扣表!$B$2:$E$6,IF(D34&lt;1000,2,IF(D34&lt;1500,3,IF(D34&lt;2000,4,5)))))</f>
        <v>2352000</v>
      </c>
    </row>
    <row r="35" spans="1:6" x14ac:dyDescent="0.15">
      <c r="A35" s="11" t="s">
        <v>51</v>
      </c>
      <c r="B35" s="12">
        <v>40921</v>
      </c>
      <c r="C35" s="13" t="s">
        <v>18</v>
      </c>
      <c r="D35" s="13">
        <v>1501</v>
      </c>
      <c r="E35" s="14">
        <f>VLOOKUP(C35,价格表!$B$2:$C$5,2,0)</f>
        <v>2100</v>
      </c>
      <c r="F35" s="14">
        <f>D35*E35*(1-HLOOKUP(C35,折扣表!$B$2:$E$6,IF(D35&lt;1000,2,IF(D35&lt;1500,3,IF(D35&lt;2000,4,5)))))</f>
        <v>3026016</v>
      </c>
    </row>
    <row r="36" spans="1:6" x14ac:dyDescent="0.15">
      <c r="A36" s="11" t="s">
        <v>52</v>
      </c>
      <c r="B36" s="12">
        <v>40922</v>
      </c>
      <c r="C36" s="13" t="s">
        <v>16</v>
      </c>
      <c r="D36" s="13">
        <v>1463</v>
      </c>
      <c r="E36" s="14">
        <f>VLOOKUP(C36,价格表!$B$2:$C$5,2,0)</f>
        <v>3200</v>
      </c>
      <c r="F36" s="14">
        <f>D36*E36*(1-HLOOKUP(C36,折扣表!$B$2:$E$6,IF(D36&lt;1000,2,IF(D36&lt;1500,3,IF(D36&lt;2000,4,5)))))</f>
        <v>4634784</v>
      </c>
    </row>
    <row r="37" spans="1:6" x14ac:dyDescent="0.15">
      <c r="A37" s="11" t="s">
        <v>53</v>
      </c>
      <c r="B37" s="12">
        <v>40922</v>
      </c>
      <c r="C37" s="13" t="s">
        <v>17</v>
      </c>
      <c r="D37" s="13">
        <v>934</v>
      </c>
      <c r="E37" s="14">
        <f>VLOOKUP(C37,价格表!$B$2:$C$5,2,0)</f>
        <v>2800</v>
      </c>
      <c r="F37" s="14">
        <f>D37*E37*(1-HLOOKUP(C37,折扣表!$B$2:$E$6,IF(D37&lt;1000,2,IF(D37&lt;1500,3,IF(D37&lt;2000,4,5)))))</f>
        <v>2615200</v>
      </c>
    </row>
    <row r="38" spans="1:6" x14ac:dyDescent="0.15">
      <c r="A38" s="11" t="s">
        <v>54</v>
      </c>
      <c r="B38" s="12">
        <v>40922</v>
      </c>
      <c r="C38" s="13" t="s">
        <v>18</v>
      </c>
      <c r="D38" s="13">
        <v>1539</v>
      </c>
      <c r="E38" s="14">
        <f>VLOOKUP(C38,价格表!$B$2:$C$5,2,0)</f>
        <v>2100</v>
      </c>
      <c r="F38" s="14">
        <f>D38*E38*(1-HLOOKUP(C38,折扣表!$B$2:$E$6,IF(D38&lt;1000,2,IF(D38&lt;1500,3,IF(D38&lt;2000,4,5)))))</f>
        <v>3102624</v>
      </c>
    </row>
    <row r="39" spans="1:6" x14ac:dyDescent="0.15">
      <c r="A39" s="11" t="s">
        <v>55</v>
      </c>
      <c r="B39" s="12">
        <v>40923</v>
      </c>
      <c r="C39" s="13" t="s">
        <v>16</v>
      </c>
      <c r="D39" s="13">
        <v>1429</v>
      </c>
      <c r="E39" s="14">
        <f>VLOOKUP(C39,价格表!$B$2:$C$5,2,0)</f>
        <v>3200</v>
      </c>
      <c r="F39" s="14">
        <f>D39*E39*(1-HLOOKUP(C39,折扣表!$B$2:$E$6,IF(D39&lt;1000,2,IF(D39&lt;1500,3,IF(D39&lt;2000,4,5)))))</f>
        <v>4527072</v>
      </c>
    </row>
    <row r="40" spans="1:6" x14ac:dyDescent="0.15">
      <c r="A40" s="11" t="s">
        <v>56</v>
      </c>
      <c r="B40" s="12">
        <v>40923</v>
      </c>
      <c r="C40" s="13" t="s">
        <v>17</v>
      </c>
      <c r="D40" s="13">
        <v>819</v>
      </c>
      <c r="E40" s="14">
        <f>VLOOKUP(C40,价格表!$B$2:$C$5,2,0)</f>
        <v>2800</v>
      </c>
      <c r="F40" s="14">
        <f>D40*E40*(1-HLOOKUP(C40,折扣表!$B$2:$E$6,IF(D40&lt;1000,2,IF(D40&lt;1500,3,IF(D40&lt;2000,4,5)))))</f>
        <v>2293200</v>
      </c>
    </row>
    <row r="41" spans="1:6" x14ac:dyDescent="0.15">
      <c r="A41" s="11" t="s">
        <v>57</v>
      </c>
      <c r="B41" s="12">
        <v>40924</v>
      </c>
      <c r="C41" s="13" t="s">
        <v>16</v>
      </c>
      <c r="D41" s="13">
        <v>1231</v>
      </c>
      <c r="E41" s="14">
        <f>VLOOKUP(C41,价格表!$B$2:$C$5,2,0)</f>
        <v>3200</v>
      </c>
      <c r="F41" s="14">
        <f>D41*E41*(1-HLOOKUP(C41,折扣表!$B$2:$E$6,IF(D41&lt;1000,2,IF(D41&lt;1500,3,IF(D41&lt;2000,4,5)))))</f>
        <v>3899808</v>
      </c>
    </row>
    <row r="42" spans="1:6" x14ac:dyDescent="0.15">
      <c r="A42" s="11" t="s">
        <v>58</v>
      </c>
      <c r="B42" s="12">
        <v>40925</v>
      </c>
      <c r="C42" s="13" t="s">
        <v>16</v>
      </c>
      <c r="D42" s="13">
        <v>1354</v>
      </c>
      <c r="E42" s="14">
        <f>VLOOKUP(C42,价格表!$B$2:$C$5,2,0)</f>
        <v>3200</v>
      </c>
      <c r="F42" s="14">
        <f>D42*E42*(1-HLOOKUP(C42,折扣表!$B$2:$E$6,IF(D42&lt;1000,2,IF(D42&lt;1500,3,IF(D42&lt;2000,4,5)))))</f>
        <v>4289472</v>
      </c>
    </row>
    <row r="43" spans="1:6" x14ac:dyDescent="0.15">
      <c r="A43" s="11" t="s">
        <v>59</v>
      </c>
      <c r="B43" s="12">
        <v>40925</v>
      </c>
      <c r="C43" s="13" t="s">
        <v>17</v>
      </c>
      <c r="D43" s="13">
        <v>911</v>
      </c>
      <c r="E43" s="14">
        <f>VLOOKUP(C43,价格表!$B$2:$C$5,2,0)</f>
        <v>2800</v>
      </c>
      <c r="F43" s="14">
        <f>D43*E43*(1-HLOOKUP(C43,折扣表!$B$2:$E$6,IF(D43&lt;1000,2,IF(D43&lt;1500,3,IF(D43&lt;2000,4,5)))))</f>
        <v>2550800</v>
      </c>
    </row>
    <row r="44" spans="1:6" x14ac:dyDescent="0.15">
      <c r="A44" s="11" t="s">
        <v>60</v>
      </c>
      <c r="B44" s="12">
        <v>40925</v>
      </c>
      <c r="C44" s="13" t="s">
        <v>18</v>
      </c>
      <c r="D44" s="13">
        <v>1537</v>
      </c>
      <c r="E44" s="14">
        <f>VLOOKUP(C44,价格表!$B$2:$C$5,2,0)</f>
        <v>2100</v>
      </c>
      <c r="F44" s="14">
        <f>D44*E44*(1-HLOOKUP(C44,折扣表!$B$2:$E$6,IF(D44&lt;1000,2,IF(D44&lt;1500,3,IF(D44&lt;2000,4,5)))))</f>
        <v>3098592</v>
      </c>
    </row>
    <row r="45" spans="1:6" x14ac:dyDescent="0.15">
      <c r="A45" s="11" t="s">
        <v>61</v>
      </c>
      <c r="B45" s="12">
        <v>40926</v>
      </c>
      <c r="C45" s="13" t="s">
        <v>16</v>
      </c>
      <c r="D45" s="13">
        <v>1264</v>
      </c>
      <c r="E45" s="14">
        <f>VLOOKUP(C45,价格表!$B$2:$C$5,2,0)</f>
        <v>3200</v>
      </c>
      <c r="F45" s="14">
        <f>D45*E45*(1-HLOOKUP(C45,折扣表!$B$2:$E$6,IF(D45&lt;1000,2,IF(D45&lt;1500,3,IF(D45&lt;2000,4,5)))))</f>
        <v>4004352</v>
      </c>
    </row>
    <row r="46" spans="1:6" x14ac:dyDescent="0.15">
      <c r="A46" s="11" t="s">
        <v>62</v>
      </c>
      <c r="B46" s="12">
        <v>40926</v>
      </c>
      <c r="C46" s="13" t="s">
        <v>17</v>
      </c>
      <c r="D46" s="13">
        <v>946</v>
      </c>
      <c r="E46" s="14">
        <f>VLOOKUP(C46,价格表!$B$2:$C$5,2,0)</f>
        <v>2800</v>
      </c>
      <c r="F46" s="14">
        <f>D46*E46*(1-HLOOKUP(C46,折扣表!$B$2:$E$6,IF(D46&lt;1000,2,IF(D46&lt;1500,3,IF(D46&lt;2000,4,5)))))</f>
        <v>2648800</v>
      </c>
    </row>
    <row r="47" spans="1:6" x14ac:dyDescent="0.15">
      <c r="A47" s="11" t="s">
        <v>63</v>
      </c>
      <c r="B47" s="12">
        <v>40926</v>
      </c>
      <c r="C47" s="13" t="s">
        <v>18</v>
      </c>
      <c r="D47" s="13">
        <v>1588</v>
      </c>
      <c r="E47" s="14">
        <f>VLOOKUP(C47,价格表!$B$2:$C$5,2,0)</f>
        <v>2100</v>
      </c>
      <c r="F47" s="14">
        <f>D47*E47*(1-HLOOKUP(C47,折扣表!$B$2:$E$6,IF(D47&lt;1000,2,IF(D47&lt;1500,3,IF(D47&lt;2000,4,5)))))</f>
        <v>3201408</v>
      </c>
    </row>
    <row r="48" spans="1:6" x14ac:dyDescent="0.15">
      <c r="A48" s="11" t="s">
        <v>64</v>
      </c>
      <c r="B48" s="12">
        <v>40927</v>
      </c>
      <c r="C48" s="13" t="s">
        <v>16</v>
      </c>
      <c r="D48" s="13">
        <v>1566</v>
      </c>
      <c r="E48" s="14">
        <f>VLOOKUP(C48,价格表!$B$2:$C$5,2,0)</f>
        <v>3200</v>
      </c>
      <c r="F48" s="14">
        <f>D48*E48*(1-HLOOKUP(C48,折扣表!$B$2:$E$6,IF(D48&lt;1000,2,IF(D48&lt;1500,3,IF(D48&lt;2000,4,5)))))</f>
        <v>4910976</v>
      </c>
    </row>
    <row r="49" spans="1:6" x14ac:dyDescent="0.15">
      <c r="A49" s="11" t="s">
        <v>65</v>
      </c>
      <c r="B49" s="12">
        <v>40927</v>
      </c>
      <c r="C49" s="13" t="s">
        <v>17</v>
      </c>
      <c r="D49" s="13">
        <v>954</v>
      </c>
      <c r="E49" s="14">
        <f>VLOOKUP(C49,价格表!$B$2:$C$5,2,0)</f>
        <v>2800</v>
      </c>
      <c r="F49" s="14">
        <f>D49*E49*(1-HLOOKUP(C49,折扣表!$B$2:$E$6,IF(D49&lt;1000,2,IF(D49&lt;1500,3,IF(D49&lt;2000,4,5)))))</f>
        <v>2671200</v>
      </c>
    </row>
    <row r="50" spans="1:6" x14ac:dyDescent="0.15">
      <c r="A50" s="11" t="s">
        <v>66</v>
      </c>
      <c r="B50" s="12">
        <v>40927</v>
      </c>
      <c r="C50" s="13" t="s">
        <v>18</v>
      </c>
      <c r="D50" s="13">
        <v>1584</v>
      </c>
      <c r="E50" s="14">
        <f>VLOOKUP(C50,价格表!$B$2:$C$5,2,0)</f>
        <v>2100</v>
      </c>
      <c r="F50" s="14">
        <f>D50*E50*(1-HLOOKUP(C50,折扣表!$B$2:$E$6,IF(D50&lt;1000,2,IF(D50&lt;1500,3,IF(D50&lt;2000,4,5)))))</f>
        <v>3193344</v>
      </c>
    </row>
    <row r="51" spans="1:6" x14ac:dyDescent="0.15">
      <c r="A51" s="11" t="s">
        <v>67</v>
      </c>
      <c r="B51" s="12">
        <v>40928</v>
      </c>
      <c r="C51" s="13" t="s">
        <v>16</v>
      </c>
      <c r="D51" s="13">
        <v>1576</v>
      </c>
      <c r="E51" s="14">
        <f>VLOOKUP(C51,价格表!$B$2:$C$5,2,0)</f>
        <v>3200</v>
      </c>
      <c r="F51" s="14">
        <f>D51*E51*(1-HLOOKUP(C51,折扣表!$B$2:$E$6,IF(D51&lt;1000,2,IF(D51&lt;1500,3,IF(D51&lt;2000,4,5)))))</f>
        <v>4942336</v>
      </c>
    </row>
    <row r="52" spans="1:6" x14ac:dyDescent="0.15">
      <c r="A52" s="11" t="s">
        <v>68</v>
      </c>
      <c r="B52" s="12">
        <v>40928</v>
      </c>
      <c r="C52" s="13" t="s">
        <v>17</v>
      </c>
      <c r="D52" s="13">
        <v>855</v>
      </c>
      <c r="E52" s="14">
        <f>VLOOKUP(C52,价格表!$B$2:$C$5,2,0)</f>
        <v>2800</v>
      </c>
      <c r="F52" s="14">
        <f>D52*E52*(1-HLOOKUP(C52,折扣表!$B$2:$E$6,IF(D52&lt;1000,2,IF(D52&lt;1500,3,IF(D52&lt;2000,4,5)))))</f>
        <v>2394000</v>
      </c>
    </row>
    <row r="53" spans="1:6" x14ac:dyDescent="0.15">
      <c r="A53" s="11" t="s">
        <v>69</v>
      </c>
      <c r="B53" s="12">
        <v>40929</v>
      </c>
      <c r="C53" s="13" t="s">
        <v>16</v>
      </c>
      <c r="D53" s="13">
        <v>1544</v>
      </c>
      <c r="E53" s="14">
        <f>VLOOKUP(C53,价格表!$B$2:$C$5,2,0)</f>
        <v>3200</v>
      </c>
      <c r="F53" s="14">
        <f>D53*E53*(1-HLOOKUP(C53,折扣表!$B$2:$E$6,IF(D53&lt;1000,2,IF(D53&lt;1500,3,IF(D53&lt;2000,4,5)))))</f>
        <v>4841984</v>
      </c>
    </row>
    <row r="54" spans="1:6" x14ac:dyDescent="0.15">
      <c r="A54" s="11" t="s">
        <v>70</v>
      </c>
      <c r="B54" s="12">
        <v>40929</v>
      </c>
      <c r="C54" s="13" t="s">
        <v>17</v>
      </c>
      <c r="D54" s="13">
        <v>891</v>
      </c>
      <c r="E54" s="14">
        <f>VLOOKUP(C54,价格表!$B$2:$C$5,2,0)</f>
        <v>2800</v>
      </c>
      <c r="F54" s="14">
        <f>D54*E54*(1-HLOOKUP(C54,折扣表!$B$2:$E$6,IF(D54&lt;1000,2,IF(D54&lt;1500,3,IF(D54&lt;2000,4,5)))))</f>
        <v>2494800</v>
      </c>
    </row>
    <row r="55" spans="1:6" x14ac:dyDescent="0.15">
      <c r="A55" s="11" t="s">
        <v>71</v>
      </c>
      <c r="B55" s="12">
        <v>40929</v>
      </c>
      <c r="C55" s="13" t="s">
        <v>18</v>
      </c>
      <c r="D55" s="13">
        <v>1545</v>
      </c>
      <c r="E55" s="14">
        <f>VLOOKUP(C55,价格表!$B$2:$C$5,2,0)</f>
        <v>2100</v>
      </c>
      <c r="F55" s="14">
        <f>D55*E55*(1-HLOOKUP(C55,折扣表!$B$2:$E$6,IF(D55&lt;1000,2,IF(D55&lt;1500,3,IF(D55&lt;2000,4,5)))))</f>
        <v>3114720</v>
      </c>
    </row>
    <row r="56" spans="1:6" x14ac:dyDescent="0.15">
      <c r="A56" s="11" t="s">
        <v>72</v>
      </c>
      <c r="B56" s="12">
        <v>40930</v>
      </c>
      <c r="C56" s="13" t="s">
        <v>16</v>
      </c>
      <c r="D56" s="13">
        <v>1349</v>
      </c>
      <c r="E56" s="14">
        <f>VLOOKUP(C56,价格表!$B$2:$C$5,2,0)</f>
        <v>3200</v>
      </c>
      <c r="F56" s="14">
        <f>D56*E56*(1-HLOOKUP(C56,折扣表!$B$2:$E$6,IF(D56&lt;1000,2,IF(D56&lt;1500,3,IF(D56&lt;2000,4,5)))))</f>
        <v>4273632</v>
      </c>
    </row>
    <row r="57" spans="1:6" x14ac:dyDescent="0.15">
      <c r="A57" s="11" t="s">
        <v>73</v>
      </c>
      <c r="B57" s="12">
        <v>40930</v>
      </c>
      <c r="C57" s="13" t="s">
        <v>17</v>
      </c>
      <c r="D57" s="13">
        <v>986</v>
      </c>
      <c r="E57" s="14">
        <f>VLOOKUP(C57,价格表!$B$2:$C$5,2,0)</f>
        <v>2800</v>
      </c>
      <c r="F57" s="14">
        <f>D57*E57*(1-HLOOKUP(C57,折扣表!$B$2:$E$6,IF(D57&lt;1000,2,IF(D57&lt;1500,3,IF(D57&lt;2000,4,5)))))</f>
        <v>2760800</v>
      </c>
    </row>
    <row r="58" spans="1:6" x14ac:dyDescent="0.15">
      <c r="A58" s="11" t="s">
        <v>74</v>
      </c>
      <c r="B58" s="12">
        <v>40930</v>
      </c>
      <c r="C58" s="13" t="s">
        <v>18</v>
      </c>
      <c r="D58" s="13">
        <v>1579</v>
      </c>
      <c r="E58" s="14">
        <f>VLOOKUP(C58,价格表!$B$2:$C$5,2,0)</f>
        <v>2100</v>
      </c>
      <c r="F58" s="14">
        <f>D58*E58*(1-HLOOKUP(C58,折扣表!$B$2:$E$6,IF(D58&lt;1000,2,IF(D58&lt;1500,3,IF(D58&lt;2000,4,5)))))</f>
        <v>3183264</v>
      </c>
    </row>
    <row r="59" spans="1:6" x14ac:dyDescent="0.15">
      <c r="A59" s="11" t="s">
        <v>75</v>
      </c>
      <c r="B59" s="12">
        <v>40931</v>
      </c>
      <c r="C59" s="13" t="s">
        <v>16</v>
      </c>
      <c r="D59" s="13">
        <v>1556</v>
      </c>
      <c r="E59" s="14">
        <f>VLOOKUP(C59,价格表!$B$2:$C$5,2,0)</f>
        <v>3200</v>
      </c>
      <c r="F59" s="14">
        <f>D59*E59*(1-HLOOKUP(C59,折扣表!$B$2:$E$6,IF(D59&lt;1000,2,IF(D59&lt;1500,3,IF(D59&lt;2000,4,5)))))</f>
        <v>4879616</v>
      </c>
    </row>
    <row r="60" spans="1:6" x14ac:dyDescent="0.15">
      <c r="A60" s="11" t="s">
        <v>76</v>
      </c>
      <c r="B60" s="12">
        <v>40931</v>
      </c>
      <c r="C60" s="13" t="s">
        <v>17</v>
      </c>
      <c r="D60" s="13">
        <v>983</v>
      </c>
      <c r="E60" s="14">
        <f>VLOOKUP(C60,价格表!$B$2:$C$5,2,0)</f>
        <v>2800</v>
      </c>
      <c r="F60" s="14">
        <f>D60*E60*(1-HLOOKUP(C60,折扣表!$B$2:$E$6,IF(D60&lt;1000,2,IF(D60&lt;1500,3,IF(D60&lt;2000,4,5)))))</f>
        <v>2752400</v>
      </c>
    </row>
    <row r="61" spans="1:6" x14ac:dyDescent="0.15">
      <c r="A61" s="11" t="s">
        <v>77</v>
      </c>
      <c r="B61" s="12">
        <v>40931</v>
      </c>
      <c r="C61" s="13" t="s">
        <v>18</v>
      </c>
      <c r="D61" s="13">
        <v>1518</v>
      </c>
      <c r="E61" s="14">
        <f>VLOOKUP(C61,价格表!$B$2:$C$5,2,0)</f>
        <v>2100</v>
      </c>
      <c r="F61" s="14">
        <f>D61*E61*(1-HLOOKUP(C61,折扣表!$B$2:$E$6,IF(D61&lt;1000,2,IF(D61&lt;1500,3,IF(D61&lt;2000,4,5)))))</f>
        <v>3060288</v>
      </c>
    </row>
    <row r="62" spans="1:6" x14ac:dyDescent="0.15">
      <c r="A62" s="11" t="s">
        <v>78</v>
      </c>
      <c r="B62" s="12">
        <v>40932</v>
      </c>
      <c r="C62" s="13" t="s">
        <v>17</v>
      </c>
      <c r="D62" s="13">
        <v>889</v>
      </c>
      <c r="E62" s="14">
        <f>VLOOKUP(C62,价格表!$B$2:$C$5,2,0)</f>
        <v>2800</v>
      </c>
      <c r="F62" s="14">
        <f>D62*E62*(1-HLOOKUP(C62,折扣表!$B$2:$E$6,IF(D62&lt;1000,2,IF(D62&lt;1500,3,IF(D62&lt;2000,4,5)))))</f>
        <v>2489200</v>
      </c>
    </row>
    <row r="63" spans="1:6" x14ac:dyDescent="0.15">
      <c r="A63" s="11" t="s">
        <v>79</v>
      </c>
      <c r="B63" s="12">
        <v>40932</v>
      </c>
      <c r="C63" s="13" t="s">
        <v>18</v>
      </c>
      <c r="D63" s="13">
        <v>1593</v>
      </c>
      <c r="E63" s="14">
        <f>VLOOKUP(C63,价格表!$B$2:$C$5,2,0)</f>
        <v>2100</v>
      </c>
      <c r="F63" s="14">
        <f>D63*E63*(1-HLOOKUP(C63,折扣表!$B$2:$E$6,IF(D63&lt;1000,2,IF(D63&lt;1500,3,IF(D63&lt;2000,4,5)))))</f>
        <v>3211488</v>
      </c>
    </row>
    <row r="64" spans="1:6" x14ac:dyDescent="0.15">
      <c r="A64" s="11" t="s">
        <v>80</v>
      </c>
      <c r="B64" s="12">
        <v>40933</v>
      </c>
      <c r="C64" s="13" t="s">
        <v>16</v>
      </c>
      <c r="D64" s="13">
        <v>1264</v>
      </c>
      <c r="E64" s="14">
        <f>VLOOKUP(C64,价格表!$B$2:$C$5,2,0)</f>
        <v>3200</v>
      </c>
      <c r="F64" s="14">
        <f>D64*E64*(1-HLOOKUP(C64,折扣表!$B$2:$E$6,IF(D64&lt;1000,2,IF(D64&lt;1500,3,IF(D64&lt;2000,4,5)))))</f>
        <v>4004352</v>
      </c>
    </row>
    <row r="65" spans="1:6" x14ac:dyDescent="0.15">
      <c r="A65" s="11" t="s">
        <v>81</v>
      </c>
      <c r="B65" s="12">
        <v>40933</v>
      </c>
      <c r="C65" s="13" t="s">
        <v>17</v>
      </c>
      <c r="D65" s="13">
        <v>993</v>
      </c>
      <c r="E65" s="14">
        <f>VLOOKUP(C65,价格表!$B$2:$C$5,2,0)</f>
        <v>2800</v>
      </c>
      <c r="F65" s="14">
        <f>D65*E65*(1-HLOOKUP(C65,折扣表!$B$2:$E$6,IF(D65&lt;1000,2,IF(D65&lt;1500,3,IF(D65&lt;2000,4,5)))))</f>
        <v>2780400</v>
      </c>
    </row>
    <row r="66" spans="1:6" x14ac:dyDescent="0.15">
      <c r="A66" s="11" t="s">
        <v>82</v>
      </c>
      <c r="B66" s="12">
        <v>40933</v>
      </c>
      <c r="C66" s="13" t="s">
        <v>18</v>
      </c>
      <c r="D66" s="13">
        <v>1583</v>
      </c>
      <c r="E66" s="14">
        <f>VLOOKUP(C66,价格表!$B$2:$C$5,2,0)</f>
        <v>2100</v>
      </c>
      <c r="F66" s="14">
        <f>D66*E66*(1-HLOOKUP(C66,折扣表!$B$2:$E$6,IF(D66&lt;1000,2,IF(D66&lt;1500,3,IF(D66&lt;2000,4,5)))))</f>
        <v>3191328</v>
      </c>
    </row>
    <row r="67" spans="1:6" x14ac:dyDescent="0.15">
      <c r="A67" s="11" t="s">
        <v>83</v>
      </c>
      <c r="B67" s="12">
        <v>40934</v>
      </c>
      <c r="C67" s="13" t="s">
        <v>16</v>
      </c>
      <c r="D67" s="13">
        <v>1583</v>
      </c>
      <c r="E67" s="14">
        <f>VLOOKUP(C67,价格表!$B$2:$C$5,2,0)</f>
        <v>3200</v>
      </c>
      <c r="F67" s="14">
        <f>D67*E67*(1-HLOOKUP(C67,折扣表!$B$2:$E$6,IF(D67&lt;1000,2,IF(D67&lt;1500,3,IF(D67&lt;2000,4,5)))))</f>
        <v>4964288</v>
      </c>
    </row>
    <row r="68" spans="1:6" x14ac:dyDescent="0.15">
      <c r="A68" s="11" t="s">
        <v>84</v>
      </c>
      <c r="B68" s="12">
        <v>40934</v>
      </c>
      <c r="C68" s="13" t="s">
        <v>18</v>
      </c>
      <c r="D68" s="13">
        <v>1559</v>
      </c>
      <c r="E68" s="14">
        <f>VLOOKUP(C68,价格表!$B$2:$C$5,2,0)</f>
        <v>2100</v>
      </c>
      <c r="F68" s="14">
        <f>D68*E68*(1-HLOOKUP(C68,折扣表!$B$2:$E$6,IF(D68&lt;1000,2,IF(D68&lt;1500,3,IF(D68&lt;2000,4,5)))))</f>
        <v>3142944</v>
      </c>
    </row>
    <row r="69" spans="1:6" x14ac:dyDescent="0.15">
      <c r="A69" s="11" t="s">
        <v>85</v>
      </c>
      <c r="B69" s="12">
        <v>40935</v>
      </c>
      <c r="C69" s="13" t="s">
        <v>16</v>
      </c>
      <c r="D69" s="13">
        <v>1524</v>
      </c>
      <c r="E69" s="14">
        <f>VLOOKUP(C69,价格表!$B$2:$C$5,2,0)</f>
        <v>3200</v>
      </c>
      <c r="F69" s="14">
        <f>D69*E69*(1-HLOOKUP(C69,折扣表!$B$2:$E$6,IF(D69&lt;1000,2,IF(D69&lt;1500,3,IF(D69&lt;2000,4,5)))))</f>
        <v>4779264</v>
      </c>
    </row>
    <row r="70" spans="1:6" x14ac:dyDescent="0.15">
      <c r="A70" s="11" t="s">
        <v>86</v>
      </c>
      <c r="B70" s="12">
        <v>40935</v>
      </c>
      <c r="C70" s="13" t="s">
        <v>17</v>
      </c>
      <c r="D70" s="13">
        <v>874</v>
      </c>
      <c r="E70" s="14">
        <f>VLOOKUP(C70,价格表!$B$2:$C$5,2,0)</f>
        <v>2800</v>
      </c>
      <c r="F70" s="14">
        <f>D70*E70*(1-HLOOKUP(C70,折扣表!$B$2:$E$6,IF(D70&lt;1000,2,IF(D70&lt;1500,3,IF(D70&lt;2000,4,5)))))</f>
        <v>2447200</v>
      </c>
    </row>
    <row r="71" spans="1:6" x14ac:dyDescent="0.15">
      <c r="A71" s="11" t="s">
        <v>87</v>
      </c>
      <c r="B71" s="12">
        <v>40935</v>
      </c>
      <c r="C71" s="13" t="s">
        <v>18</v>
      </c>
      <c r="D71" s="13">
        <v>1567</v>
      </c>
      <c r="E71" s="14">
        <f>VLOOKUP(C71,价格表!$B$2:$C$5,2,0)</f>
        <v>2100</v>
      </c>
      <c r="F71" s="14">
        <f>D71*E71*(1-HLOOKUP(C71,折扣表!$B$2:$E$6,IF(D71&lt;1000,2,IF(D71&lt;1500,3,IF(D71&lt;2000,4,5)))))</f>
        <v>3159072</v>
      </c>
    </row>
    <row r="72" spans="1:6" x14ac:dyDescent="0.15">
      <c r="A72" s="11" t="s">
        <v>88</v>
      </c>
      <c r="B72" s="12">
        <v>40936</v>
      </c>
      <c r="C72" s="13" t="s">
        <v>17</v>
      </c>
      <c r="D72" s="13">
        <v>984</v>
      </c>
      <c r="E72" s="14">
        <f>VLOOKUP(C72,价格表!$B$2:$C$5,2,0)</f>
        <v>2800</v>
      </c>
      <c r="F72" s="14">
        <f>D72*E72*(1-HLOOKUP(C72,折扣表!$B$2:$E$6,IF(D72&lt;1000,2,IF(D72&lt;1500,3,IF(D72&lt;2000,4,5)))))</f>
        <v>2755200</v>
      </c>
    </row>
    <row r="73" spans="1:6" x14ac:dyDescent="0.15">
      <c r="A73" s="11" t="s">
        <v>89</v>
      </c>
      <c r="B73" s="12">
        <v>40936</v>
      </c>
      <c r="C73" s="13" t="s">
        <v>18</v>
      </c>
      <c r="D73" s="13">
        <v>1579</v>
      </c>
      <c r="E73" s="14">
        <f>VLOOKUP(C73,价格表!$B$2:$C$5,2,0)</f>
        <v>2100</v>
      </c>
      <c r="F73" s="14">
        <f>D73*E73*(1-HLOOKUP(C73,折扣表!$B$2:$E$6,IF(D73&lt;1000,2,IF(D73&lt;1500,3,IF(D73&lt;2000,4,5)))))</f>
        <v>3183264</v>
      </c>
    </row>
    <row r="74" spans="1:6" x14ac:dyDescent="0.15">
      <c r="A74" s="11" t="s">
        <v>90</v>
      </c>
      <c r="B74" s="12">
        <v>40937</v>
      </c>
      <c r="C74" s="13" t="s">
        <v>16</v>
      </c>
      <c r="D74" s="13">
        <v>1216</v>
      </c>
      <c r="E74" s="14">
        <f>VLOOKUP(C74,价格表!$B$2:$C$5,2,0)</f>
        <v>3200</v>
      </c>
      <c r="F74" s="14">
        <f>D74*E74*(1-HLOOKUP(C74,折扣表!$B$2:$E$6,IF(D74&lt;1000,2,IF(D74&lt;1500,3,IF(D74&lt;2000,4,5)))))</f>
        <v>3852288</v>
      </c>
    </row>
    <row r="75" spans="1:6" x14ac:dyDescent="0.15">
      <c r="A75" s="11" t="s">
        <v>91</v>
      </c>
      <c r="B75" s="12">
        <v>40938</v>
      </c>
      <c r="C75" s="13" t="s">
        <v>16</v>
      </c>
      <c r="D75" s="13">
        <v>1532</v>
      </c>
      <c r="E75" s="14">
        <f>VLOOKUP(C75,价格表!$B$2:$C$5,2,0)</f>
        <v>3200</v>
      </c>
      <c r="F75" s="14">
        <f>D75*E75*(1-HLOOKUP(C75,折扣表!$B$2:$E$6,IF(D75&lt;1000,2,IF(D75&lt;1500,3,IF(D75&lt;2000,4,5)))))</f>
        <v>4804352</v>
      </c>
    </row>
    <row r="76" spans="1:6" x14ac:dyDescent="0.15">
      <c r="A76" s="11" t="s">
        <v>92</v>
      </c>
      <c r="B76" s="12">
        <v>40938</v>
      </c>
      <c r="C76" s="13" t="s">
        <v>17</v>
      </c>
      <c r="D76" s="13">
        <v>888</v>
      </c>
      <c r="E76" s="14">
        <f>VLOOKUP(C76,价格表!$B$2:$C$5,2,0)</f>
        <v>2800</v>
      </c>
      <c r="F76" s="14">
        <f>D76*E76*(1-HLOOKUP(C76,折扣表!$B$2:$E$6,IF(D76&lt;1000,2,IF(D76&lt;1500,3,IF(D76&lt;2000,4,5)))))</f>
        <v>2486400</v>
      </c>
    </row>
    <row r="77" spans="1:6" x14ac:dyDescent="0.15">
      <c r="A77" s="11" t="s">
        <v>93</v>
      </c>
      <c r="B77" s="12">
        <v>40938</v>
      </c>
      <c r="C77" s="13" t="s">
        <v>18</v>
      </c>
      <c r="D77" s="13">
        <v>1532</v>
      </c>
      <c r="E77" s="14">
        <f>VLOOKUP(C77,价格表!$B$2:$C$5,2,0)</f>
        <v>2100</v>
      </c>
      <c r="F77" s="14">
        <f>D77*E77*(1-HLOOKUP(C77,折扣表!$B$2:$E$6,IF(D77&lt;1000,2,IF(D77&lt;1500,3,IF(D77&lt;2000,4,5)))))</f>
        <v>3088512</v>
      </c>
    </row>
    <row r="78" spans="1:6" x14ac:dyDescent="0.15">
      <c r="A78" s="11" t="s">
        <v>94</v>
      </c>
      <c r="B78" s="12">
        <v>40939</v>
      </c>
      <c r="C78" s="13" t="s">
        <v>16</v>
      </c>
      <c r="D78" s="13">
        <v>1285</v>
      </c>
      <c r="E78" s="14">
        <f>VLOOKUP(C78,价格表!$B$2:$C$5,2,0)</f>
        <v>3200</v>
      </c>
      <c r="F78" s="14">
        <f>D78*E78*(1-HLOOKUP(C78,折扣表!$B$2:$E$6,IF(D78&lt;1000,2,IF(D78&lt;1500,3,IF(D78&lt;2000,4,5)))))</f>
        <v>4070880</v>
      </c>
    </row>
    <row r="79" spans="1:6" x14ac:dyDescent="0.15">
      <c r="A79" s="11" t="s">
        <v>95</v>
      </c>
      <c r="B79" s="12">
        <v>40939</v>
      </c>
      <c r="C79" s="13" t="s">
        <v>17</v>
      </c>
      <c r="D79" s="13">
        <v>910</v>
      </c>
      <c r="E79" s="14">
        <f>VLOOKUP(C79,价格表!$B$2:$C$5,2,0)</f>
        <v>2800</v>
      </c>
      <c r="F79" s="14">
        <f>D79*E79*(1-HLOOKUP(C79,折扣表!$B$2:$E$6,IF(D79&lt;1000,2,IF(D79&lt;1500,3,IF(D79&lt;2000,4,5)))))</f>
        <v>2548000</v>
      </c>
    </row>
    <row r="80" spans="1:6" x14ac:dyDescent="0.15">
      <c r="A80" s="11" t="s">
        <v>96</v>
      </c>
      <c r="B80" s="12">
        <v>40939</v>
      </c>
      <c r="C80" s="13" t="s">
        <v>18</v>
      </c>
      <c r="D80" s="13">
        <v>1537</v>
      </c>
      <c r="E80" s="14">
        <f>VLOOKUP(C80,价格表!$B$2:$C$5,2,0)</f>
        <v>2100</v>
      </c>
      <c r="F80" s="14">
        <f>D80*E80*(1-HLOOKUP(C80,折扣表!$B$2:$E$6,IF(D80&lt;1000,2,IF(D80&lt;1500,3,IF(D80&lt;2000,4,5)))))</f>
        <v>3098592</v>
      </c>
    </row>
    <row r="81" spans="1:6" x14ac:dyDescent="0.15">
      <c r="A81" s="11" t="s">
        <v>97</v>
      </c>
      <c r="B81" s="12">
        <v>40940</v>
      </c>
      <c r="C81" s="13" t="s">
        <v>18</v>
      </c>
      <c r="D81" s="13">
        <v>1535</v>
      </c>
      <c r="E81" s="14">
        <f>VLOOKUP(C81,价格表!$B$2:$C$5,2,0)</f>
        <v>2100</v>
      </c>
      <c r="F81" s="14">
        <f>D81*E81*(1-HLOOKUP(C81,折扣表!$B$2:$E$6,IF(D81&lt;1000,2,IF(D81&lt;1500,3,IF(D81&lt;2000,4,5)))))</f>
        <v>3094560</v>
      </c>
    </row>
    <row r="82" spans="1:6" x14ac:dyDescent="0.15">
      <c r="A82" s="11" t="s">
        <v>98</v>
      </c>
      <c r="B82" s="12">
        <v>40941</v>
      </c>
      <c r="C82" s="13" t="s">
        <v>16</v>
      </c>
      <c r="D82" s="13">
        <v>1407</v>
      </c>
      <c r="E82" s="14">
        <f>VLOOKUP(C82,价格表!$B$2:$C$5,2,0)</f>
        <v>3200</v>
      </c>
      <c r="F82" s="14">
        <f>D82*E82*(1-HLOOKUP(C82,折扣表!$B$2:$E$6,IF(D82&lt;1000,2,IF(D82&lt;1500,3,IF(D82&lt;2000,4,5)))))</f>
        <v>4457376</v>
      </c>
    </row>
    <row r="83" spans="1:6" x14ac:dyDescent="0.15">
      <c r="A83" s="11" t="s">
        <v>99</v>
      </c>
      <c r="B83" s="12">
        <v>40941</v>
      </c>
      <c r="C83" s="13" t="s">
        <v>18</v>
      </c>
      <c r="D83" s="13">
        <v>1509</v>
      </c>
      <c r="E83" s="14">
        <f>VLOOKUP(C83,价格表!$B$2:$C$5,2,0)</f>
        <v>2100</v>
      </c>
      <c r="F83" s="14">
        <f>D83*E83*(1-HLOOKUP(C83,折扣表!$B$2:$E$6,IF(D83&lt;1000,2,IF(D83&lt;1500,3,IF(D83&lt;2000,4,5)))))</f>
        <v>3042144</v>
      </c>
    </row>
    <row r="84" spans="1:6" x14ac:dyDescent="0.15">
      <c r="A84" s="11" t="s">
        <v>100</v>
      </c>
      <c r="B84" s="12">
        <v>40942</v>
      </c>
      <c r="C84" s="13" t="s">
        <v>16</v>
      </c>
      <c r="D84" s="13">
        <v>1519</v>
      </c>
      <c r="E84" s="14">
        <f>VLOOKUP(C84,价格表!$B$2:$C$5,2,0)</f>
        <v>3200</v>
      </c>
      <c r="F84" s="14">
        <f>D84*E84*(1-HLOOKUP(C84,折扣表!$B$2:$E$6,IF(D84&lt;1000,2,IF(D84&lt;1500,3,IF(D84&lt;2000,4,5)))))</f>
        <v>4763584</v>
      </c>
    </row>
    <row r="85" spans="1:6" x14ac:dyDescent="0.15">
      <c r="A85" s="11" t="s">
        <v>101</v>
      </c>
      <c r="B85" s="12">
        <v>40942</v>
      </c>
      <c r="C85" s="13" t="s">
        <v>17</v>
      </c>
      <c r="D85" s="13">
        <v>917</v>
      </c>
      <c r="E85" s="14">
        <f>VLOOKUP(C85,价格表!$B$2:$C$5,2,0)</f>
        <v>2800</v>
      </c>
      <c r="F85" s="14">
        <f>D85*E85*(1-HLOOKUP(C85,折扣表!$B$2:$E$6,IF(D85&lt;1000,2,IF(D85&lt;1500,3,IF(D85&lt;2000,4,5)))))</f>
        <v>2567600</v>
      </c>
    </row>
    <row r="86" spans="1:6" x14ac:dyDescent="0.15">
      <c r="A86" s="11" t="s">
        <v>102</v>
      </c>
      <c r="B86" s="12">
        <v>40943</v>
      </c>
      <c r="C86" s="13" t="s">
        <v>16</v>
      </c>
      <c r="D86" s="13">
        <v>1564</v>
      </c>
      <c r="E86" s="14">
        <f>VLOOKUP(C86,价格表!$B$2:$C$5,2,0)</f>
        <v>3200</v>
      </c>
      <c r="F86" s="14">
        <f>D86*E86*(1-HLOOKUP(C86,折扣表!$B$2:$E$6,IF(D86&lt;1000,2,IF(D86&lt;1500,3,IF(D86&lt;2000,4,5)))))</f>
        <v>4904704</v>
      </c>
    </row>
    <row r="87" spans="1:6" x14ac:dyDescent="0.15">
      <c r="A87" s="11" t="s">
        <v>103</v>
      </c>
      <c r="B87" s="12">
        <v>40943</v>
      </c>
      <c r="C87" s="13" t="s">
        <v>17</v>
      </c>
      <c r="D87" s="13">
        <v>997</v>
      </c>
      <c r="E87" s="14">
        <f>VLOOKUP(C87,价格表!$B$2:$C$5,2,0)</f>
        <v>2800</v>
      </c>
      <c r="F87" s="14">
        <f>D87*E87*(1-HLOOKUP(C87,折扣表!$B$2:$E$6,IF(D87&lt;1000,2,IF(D87&lt;1500,3,IF(D87&lt;2000,4,5)))))</f>
        <v>2791600</v>
      </c>
    </row>
    <row r="88" spans="1:6" x14ac:dyDescent="0.15">
      <c r="A88" s="11" t="s">
        <v>104</v>
      </c>
      <c r="B88" s="12">
        <v>40944</v>
      </c>
      <c r="C88" s="13" t="s">
        <v>16</v>
      </c>
      <c r="D88" s="13">
        <v>1297</v>
      </c>
      <c r="E88" s="14">
        <f>VLOOKUP(C88,价格表!$B$2:$C$5,2,0)</f>
        <v>3200</v>
      </c>
      <c r="F88" s="14">
        <f>D88*E88*(1-HLOOKUP(C88,折扣表!$B$2:$E$6,IF(D88&lt;1000,2,IF(D88&lt;1500,3,IF(D88&lt;2000,4,5)))))</f>
        <v>4108896</v>
      </c>
    </row>
    <row r="89" spans="1:6" x14ac:dyDescent="0.15">
      <c r="A89" s="11" t="s">
        <v>105</v>
      </c>
      <c r="B89" s="12">
        <v>40945</v>
      </c>
      <c r="C89" s="13" t="s">
        <v>16</v>
      </c>
      <c r="D89" s="13">
        <v>1255</v>
      </c>
      <c r="E89" s="14">
        <f>VLOOKUP(C89,价格表!$B$2:$C$5,2,0)</f>
        <v>3200</v>
      </c>
      <c r="F89" s="14">
        <f>D89*E89*(1-HLOOKUP(C89,折扣表!$B$2:$E$6,IF(D89&lt;1000,2,IF(D89&lt;1500,3,IF(D89&lt;2000,4,5)))))</f>
        <v>3975840</v>
      </c>
    </row>
    <row r="90" spans="1:6" x14ac:dyDescent="0.15">
      <c r="A90" s="11" t="s">
        <v>106</v>
      </c>
      <c r="B90" s="12">
        <v>40945</v>
      </c>
      <c r="C90" s="13" t="s">
        <v>17</v>
      </c>
      <c r="D90" s="13">
        <v>901</v>
      </c>
      <c r="E90" s="14">
        <f>VLOOKUP(C90,价格表!$B$2:$C$5,2,0)</f>
        <v>2800</v>
      </c>
      <c r="F90" s="14">
        <f>D90*E90*(1-HLOOKUP(C90,折扣表!$B$2:$E$6,IF(D90&lt;1000,2,IF(D90&lt;1500,3,IF(D90&lt;2000,4,5)))))</f>
        <v>2522800</v>
      </c>
    </row>
    <row r="91" spans="1:6" x14ac:dyDescent="0.15">
      <c r="A91" s="11" t="s">
        <v>107</v>
      </c>
      <c r="B91" s="12">
        <v>40945</v>
      </c>
      <c r="C91" s="13" t="s">
        <v>18</v>
      </c>
      <c r="D91" s="13">
        <v>1505</v>
      </c>
      <c r="E91" s="14">
        <f>VLOOKUP(C91,价格表!$B$2:$C$5,2,0)</f>
        <v>2100</v>
      </c>
      <c r="F91" s="14">
        <f>D91*E91*(1-HLOOKUP(C91,折扣表!$B$2:$E$6,IF(D91&lt;1000,2,IF(D91&lt;1500,3,IF(D91&lt;2000,4,5)))))</f>
        <v>3034080</v>
      </c>
    </row>
    <row r="92" spans="1:6" x14ac:dyDescent="0.15">
      <c r="A92" s="11" t="s">
        <v>108</v>
      </c>
      <c r="B92" s="12">
        <v>40946</v>
      </c>
      <c r="C92" s="13" t="s">
        <v>16</v>
      </c>
      <c r="D92" s="13">
        <v>1282</v>
      </c>
      <c r="E92" s="14">
        <f>VLOOKUP(C92,价格表!$B$2:$C$5,2,0)</f>
        <v>3200</v>
      </c>
      <c r="F92" s="14">
        <f>D92*E92*(1-HLOOKUP(C92,折扣表!$B$2:$E$6,IF(D92&lt;1000,2,IF(D92&lt;1500,3,IF(D92&lt;2000,4,5)))))</f>
        <v>4061376</v>
      </c>
    </row>
    <row r="93" spans="1:6" x14ac:dyDescent="0.15">
      <c r="A93" s="11" t="s">
        <v>109</v>
      </c>
      <c r="B93" s="12">
        <v>40946</v>
      </c>
      <c r="C93" s="13" t="s">
        <v>17</v>
      </c>
      <c r="D93" s="13">
        <v>933</v>
      </c>
      <c r="E93" s="14">
        <f>VLOOKUP(C93,价格表!$B$2:$C$5,2,0)</f>
        <v>2800</v>
      </c>
      <c r="F93" s="14">
        <f>D93*E93*(1-HLOOKUP(C93,折扣表!$B$2:$E$6,IF(D93&lt;1000,2,IF(D93&lt;1500,3,IF(D93&lt;2000,4,5)))))</f>
        <v>2612400</v>
      </c>
    </row>
    <row r="94" spans="1:6" x14ac:dyDescent="0.15">
      <c r="A94" s="11" t="s">
        <v>110</v>
      </c>
      <c r="B94" s="12">
        <v>40946</v>
      </c>
      <c r="C94" s="13" t="s">
        <v>18</v>
      </c>
      <c r="D94" s="13">
        <v>1482</v>
      </c>
      <c r="E94" s="14">
        <f>VLOOKUP(C94,价格表!$B$2:$C$5,2,0)</f>
        <v>2100</v>
      </c>
      <c r="F94" s="14">
        <f>D94*E94*(1-HLOOKUP(C94,折扣表!$B$2:$E$6,IF(D94&lt;1000,2,IF(D94&lt;1500,3,IF(D94&lt;2000,4,5)))))</f>
        <v>3018834</v>
      </c>
    </row>
    <row r="95" spans="1:6" x14ac:dyDescent="0.15">
      <c r="A95" s="11" t="s">
        <v>111</v>
      </c>
      <c r="B95" s="12">
        <v>40947</v>
      </c>
      <c r="C95" s="13" t="s">
        <v>16</v>
      </c>
      <c r="D95" s="13">
        <v>1298</v>
      </c>
      <c r="E95" s="14">
        <f>VLOOKUP(C95,价格表!$B$2:$C$5,2,0)</f>
        <v>3200</v>
      </c>
      <c r="F95" s="14">
        <f>D95*E95*(1-HLOOKUP(C95,折扣表!$B$2:$E$6,IF(D95&lt;1000,2,IF(D95&lt;1500,3,IF(D95&lt;2000,4,5)))))</f>
        <v>4112064</v>
      </c>
    </row>
    <row r="96" spans="1:6" x14ac:dyDescent="0.15">
      <c r="A96" s="11" t="s">
        <v>112</v>
      </c>
      <c r="B96" s="12">
        <v>40947</v>
      </c>
      <c r="C96" s="13" t="s">
        <v>17</v>
      </c>
      <c r="D96" s="13">
        <v>1015</v>
      </c>
      <c r="E96" s="14">
        <f>VLOOKUP(C96,价格表!$B$2:$C$5,2,0)</f>
        <v>2800</v>
      </c>
      <c r="F96" s="14">
        <f>D96*E96*(1-HLOOKUP(C96,折扣表!$B$2:$E$6,IF(D96&lt;1000,2,IF(D96&lt;1500,3,IF(D96&lt;2000,4,5)))))</f>
        <v>2785160</v>
      </c>
    </row>
    <row r="97" spans="1:6" x14ac:dyDescent="0.15">
      <c r="A97" s="11" t="s">
        <v>113</v>
      </c>
      <c r="B97" s="12">
        <v>40947</v>
      </c>
      <c r="C97" s="13" t="s">
        <v>18</v>
      </c>
      <c r="D97" s="13">
        <v>1461</v>
      </c>
      <c r="E97" s="14">
        <f>VLOOKUP(C97,价格表!$B$2:$C$5,2,0)</f>
        <v>2100</v>
      </c>
      <c r="F97" s="14">
        <f>D97*E97*(1-HLOOKUP(C97,折扣表!$B$2:$E$6,IF(D97&lt;1000,2,IF(D97&lt;1500,3,IF(D97&lt;2000,4,5)))))</f>
        <v>2976057</v>
      </c>
    </row>
    <row r="98" spans="1:6" x14ac:dyDescent="0.15">
      <c r="A98" s="11" t="s">
        <v>114</v>
      </c>
      <c r="B98" s="12">
        <v>40948</v>
      </c>
      <c r="C98" s="13" t="s">
        <v>16</v>
      </c>
      <c r="D98" s="13">
        <v>1524</v>
      </c>
      <c r="E98" s="14">
        <f>VLOOKUP(C98,价格表!$B$2:$C$5,2,0)</f>
        <v>3200</v>
      </c>
      <c r="F98" s="14">
        <f>D98*E98*(1-HLOOKUP(C98,折扣表!$B$2:$E$6,IF(D98&lt;1000,2,IF(D98&lt;1500,3,IF(D98&lt;2000,4,5)))))</f>
        <v>4779264</v>
      </c>
    </row>
    <row r="99" spans="1:6" x14ac:dyDescent="0.15">
      <c r="A99" s="11" t="s">
        <v>115</v>
      </c>
      <c r="B99" s="12">
        <v>40948</v>
      </c>
      <c r="C99" s="13" t="s">
        <v>17</v>
      </c>
      <c r="D99" s="13">
        <v>1090</v>
      </c>
      <c r="E99" s="14">
        <f>VLOOKUP(C99,价格表!$B$2:$C$5,2,0)</f>
        <v>2800</v>
      </c>
      <c r="F99" s="14">
        <f>D99*E99*(1-HLOOKUP(C99,折扣表!$B$2:$E$6,IF(D99&lt;1000,2,IF(D99&lt;1500,3,IF(D99&lt;2000,4,5)))))</f>
        <v>2990960</v>
      </c>
    </row>
    <row r="100" spans="1:6" x14ac:dyDescent="0.15">
      <c r="A100" s="11" t="s">
        <v>116</v>
      </c>
      <c r="B100" s="12">
        <v>40948</v>
      </c>
      <c r="C100" s="13" t="s">
        <v>18</v>
      </c>
      <c r="D100" s="13">
        <v>1471</v>
      </c>
      <c r="E100" s="14">
        <f>VLOOKUP(C100,价格表!$B$2:$C$5,2,0)</f>
        <v>2100</v>
      </c>
      <c r="F100" s="14">
        <f>D100*E100*(1-HLOOKUP(C100,折扣表!$B$2:$E$6,IF(D100&lt;1000,2,IF(D100&lt;1500,3,IF(D100&lt;2000,4,5)))))</f>
        <v>2996427</v>
      </c>
    </row>
    <row r="101" spans="1:6" x14ac:dyDescent="0.15">
      <c r="A101" s="11" t="s">
        <v>117</v>
      </c>
      <c r="B101" s="12">
        <v>40949</v>
      </c>
      <c r="C101" s="13" t="s">
        <v>17</v>
      </c>
      <c r="D101" s="13">
        <v>1099</v>
      </c>
      <c r="E101" s="14">
        <f>VLOOKUP(C101,价格表!$B$2:$C$5,2,0)</f>
        <v>2800</v>
      </c>
      <c r="F101" s="14">
        <f>D101*E101*(1-HLOOKUP(C101,折扣表!$B$2:$E$6,IF(D101&lt;1000,2,IF(D101&lt;1500,3,IF(D101&lt;2000,4,5)))))</f>
        <v>3015656</v>
      </c>
    </row>
    <row r="102" spans="1:6" x14ac:dyDescent="0.15">
      <c r="A102" s="11" t="s">
        <v>118</v>
      </c>
      <c r="B102" s="12">
        <v>40950</v>
      </c>
      <c r="C102" s="13" t="s">
        <v>17</v>
      </c>
      <c r="D102" s="13">
        <v>908</v>
      </c>
      <c r="E102" s="14">
        <f>VLOOKUP(C102,价格表!$B$2:$C$5,2,0)</f>
        <v>2800</v>
      </c>
      <c r="F102" s="14">
        <f>D102*E102*(1-HLOOKUP(C102,折扣表!$B$2:$E$6,IF(D102&lt;1000,2,IF(D102&lt;1500,3,IF(D102&lt;2000,4,5)))))</f>
        <v>2542400</v>
      </c>
    </row>
    <row r="103" spans="1:6" x14ac:dyDescent="0.15">
      <c r="A103" s="11" t="s">
        <v>119</v>
      </c>
      <c r="B103" s="12">
        <v>40950</v>
      </c>
      <c r="C103" s="13" t="s">
        <v>18</v>
      </c>
      <c r="D103" s="13">
        <v>1455</v>
      </c>
      <c r="E103" s="14">
        <f>VLOOKUP(C103,价格表!$B$2:$C$5,2,0)</f>
        <v>2100</v>
      </c>
      <c r="F103" s="14">
        <f>D103*E103*(1-HLOOKUP(C103,折扣表!$B$2:$E$6,IF(D103&lt;1000,2,IF(D103&lt;1500,3,IF(D103&lt;2000,4,5)))))</f>
        <v>2963835</v>
      </c>
    </row>
    <row r="104" spans="1:6" x14ac:dyDescent="0.15">
      <c r="A104" s="11" t="s">
        <v>120</v>
      </c>
      <c r="B104" s="12">
        <v>40951</v>
      </c>
      <c r="C104" s="13" t="s">
        <v>17</v>
      </c>
      <c r="D104" s="13">
        <v>1088</v>
      </c>
      <c r="E104" s="14">
        <f>VLOOKUP(C104,价格表!$B$2:$C$5,2,0)</f>
        <v>2800</v>
      </c>
      <c r="F104" s="14">
        <f>D104*E104*(1-HLOOKUP(C104,折扣表!$B$2:$E$6,IF(D104&lt;1000,2,IF(D104&lt;1500,3,IF(D104&lt;2000,4,5)))))</f>
        <v>2985472</v>
      </c>
    </row>
    <row r="105" spans="1:6" x14ac:dyDescent="0.15">
      <c r="A105" s="11" t="s">
        <v>121</v>
      </c>
      <c r="B105" s="12">
        <v>40951</v>
      </c>
      <c r="C105" s="13" t="s">
        <v>18</v>
      </c>
      <c r="D105" s="13">
        <v>1460</v>
      </c>
      <c r="E105" s="14">
        <f>VLOOKUP(C105,价格表!$B$2:$C$5,2,0)</f>
        <v>2100</v>
      </c>
      <c r="F105" s="14">
        <f>D105*E105*(1-HLOOKUP(C105,折扣表!$B$2:$E$6,IF(D105&lt;1000,2,IF(D105&lt;1500,3,IF(D105&lt;2000,4,5)))))</f>
        <v>2974020</v>
      </c>
    </row>
    <row r="106" spans="1:6" x14ac:dyDescent="0.15">
      <c r="A106" s="11" t="s">
        <v>122</v>
      </c>
      <c r="B106" s="12">
        <v>40952</v>
      </c>
      <c r="C106" s="13" t="s">
        <v>17</v>
      </c>
      <c r="D106" s="13">
        <v>1003</v>
      </c>
      <c r="E106" s="14">
        <f>VLOOKUP(C106,价格表!$B$2:$C$5,2,0)</f>
        <v>2800</v>
      </c>
      <c r="F106" s="14">
        <f>D106*E106*(1-HLOOKUP(C106,折扣表!$B$2:$E$6,IF(D106&lt;1000,2,IF(D106&lt;1500,3,IF(D106&lt;2000,4,5)))))</f>
        <v>2752232</v>
      </c>
    </row>
    <row r="107" spans="1:6" x14ac:dyDescent="0.15">
      <c r="A107" s="11" t="s">
        <v>123</v>
      </c>
      <c r="B107" s="12">
        <v>40952</v>
      </c>
      <c r="C107" s="13" t="s">
        <v>18</v>
      </c>
      <c r="D107" s="13">
        <v>1479</v>
      </c>
      <c r="E107" s="14">
        <f>VLOOKUP(C107,价格表!$B$2:$C$5,2,0)</f>
        <v>2100</v>
      </c>
      <c r="F107" s="14">
        <f>D107*E107*(1-HLOOKUP(C107,折扣表!$B$2:$E$6,IF(D107&lt;1000,2,IF(D107&lt;1500,3,IF(D107&lt;2000,4,5)))))</f>
        <v>3012723</v>
      </c>
    </row>
    <row r="108" spans="1:6" x14ac:dyDescent="0.15">
      <c r="A108" s="11" t="s">
        <v>124</v>
      </c>
      <c r="B108" s="12">
        <v>40953</v>
      </c>
      <c r="C108" s="13" t="s">
        <v>16</v>
      </c>
      <c r="D108" s="13">
        <v>1252</v>
      </c>
      <c r="E108" s="14">
        <f>VLOOKUP(C108,价格表!$B$2:$C$5,2,0)</f>
        <v>3200</v>
      </c>
      <c r="F108" s="14">
        <f>D108*E108*(1-HLOOKUP(C108,折扣表!$B$2:$E$6,IF(D108&lt;1000,2,IF(D108&lt;1500,3,IF(D108&lt;2000,4,5)))))</f>
        <v>3966336</v>
      </c>
    </row>
    <row r="109" spans="1:6" x14ac:dyDescent="0.15">
      <c r="A109" s="11" t="s">
        <v>125</v>
      </c>
      <c r="B109" s="12">
        <v>40953</v>
      </c>
      <c r="C109" s="13" t="s">
        <v>17</v>
      </c>
      <c r="D109" s="13">
        <v>999</v>
      </c>
      <c r="E109" s="14">
        <f>VLOOKUP(C109,价格表!$B$2:$C$5,2,0)</f>
        <v>2800</v>
      </c>
      <c r="F109" s="14">
        <f>D109*E109*(1-HLOOKUP(C109,折扣表!$B$2:$E$6,IF(D109&lt;1000,2,IF(D109&lt;1500,3,IF(D109&lt;2000,4,5)))))</f>
        <v>2797200</v>
      </c>
    </row>
    <row r="110" spans="1:6" x14ac:dyDescent="0.15">
      <c r="A110" s="11" t="s">
        <v>126</v>
      </c>
      <c r="B110" s="12">
        <v>40953</v>
      </c>
      <c r="C110" s="13" t="s">
        <v>18</v>
      </c>
      <c r="D110" s="13">
        <v>1549</v>
      </c>
      <c r="E110" s="14">
        <f>VLOOKUP(C110,价格表!$B$2:$C$5,2,0)</f>
        <v>2100</v>
      </c>
      <c r="F110" s="14">
        <f>D110*E110*(1-HLOOKUP(C110,折扣表!$B$2:$E$6,IF(D110&lt;1000,2,IF(D110&lt;1500,3,IF(D110&lt;2000,4,5)))))</f>
        <v>3122784</v>
      </c>
    </row>
    <row r="111" spans="1:6" x14ac:dyDescent="0.15">
      <c r="A111" s="11" t="s">
        <v>127</v>
      </c>
      <c r="B111" s="12">
        <v>40954</v>
      </c>
      <c r="C111" s="13" t="s">
        <v>17</v>
      </c>
      <c r="D111" s="13">
        <v>946</v>
      </c>
      <c r="E111" s="14">
        <f>VLOOKUP(C111,价格表!$B$2:$C$5,2,0)</f>
        <v>2800</v>
      </c>
      <c r="F111" s="14">
        <f>D111*E111*(1-HLOOKUP(C111,折扣表!$B$2:$E$6,IF(D111&lt;1000,2,IF(D111&lt;1500,3,IF(D111&lt;2000,4,5)))))</f>
        <v>2648800</v>
      </c>
    </row>
    <row r="112" spans="1:6" x14ac:dyDescent="0.15">
      <c r="A112" s="11" t="s">
        <v>128</v>
      </c>
      <c r="B112" s="12">
        <v>40954</v>
      </c>
      <c r="C112" s="13" t="s">
        <v>18</v>
      </c>
      <c r="D112" s="13">
        <v>1528</v>
      </c>
      <c r="E112" s="14">
        <f>VLOOKUP(C112,价格表!$B$2:$C$5,2,0)</f>
        <v>2100</v>
      </c>
      <c r="F112" s="14">
        <f>D112*E112*(1-HLOOKUP(C112,折扣表!$B$2:$E$6,IF(D112&lt;1000,2,IF(D112&lt;1500,3,IF(D112&lt;2000,4,5)))))</f>
        <v>3080448</v>
      </c>
    </row>
    <row r="113" spans="1:6" x14ac:dyDescent="0.15">
      <c r="A113" s="11" t="s">
        <v>129</v>
      </c>
      <c r="B113" s="12">
        <v>40955</v>
      </c>
      <c r="C113" s="13" t="s">
        <v>16</v>
      </c>
      <c r="D113" s="13">
        <v>1343</v>
      </c>
      <c r="E113" s="14">
        <f>VLOOKUP(C113,价格表!$B$2:$C$5,2,0)</f>
        <v>3200</v>
      </c>
      <c r="F113" s="14">
        <f>D113*E113*(1-HLOOKUP(C113,折扣表!$B$2:$E$6,IF(D113&lt;1000,2,IF(D113&lt;1500,3,IF(D113&lt;2000,4,5)))))</f>
        <v>4254624</v>
      </c>
    </row>
    <row r="114" spans="1:6" x14ac:dyDescent="0.15">
      <c r="A114" s="11" t="s">
        <v>130</v>
      </c>
      <c r="B114" s="12">
        <v>40955</v>
      </c>
      <c r="C114" s="13" t="s">
        <v>17</v>
      </c>
      <c r="D114" s="13">
        <v>1008</v>
      </c>
      <c r="E114" s="14">
        <f>VLOOKUP(C114,价格表!$B$2:$C$5,2,0)</f>
        <v>2800</v>
      </c>
      <c r="F114" s="14">
        <f>D114*E114*(1-HLOOKUP(C114,折扣表!$B$2:$E$6,IF(D114&lt;1000,2,IF(D114&lt;1500,3,IF(D114&lt;2000,4,5)))))</f>
        <v>2765952</v>
      </c>
    </row>
    <row r="115" spans="1:6" x14ac:dyDescent="0.15">
      <c r="A115" s="11" t="s">
        <v>131</v>
      </c>
      <c r="B115" s="12">
        <v>40955</v>
      </c>
      <c r="C115" s="13" t="s">
        <v>18</v>
      </c>
      <c r="D115" s="13">
        <v>1546</v>
      </c>
      <c r="E115" s="14">
        <f>VLOOKUP(C115,价格表!$B$2:$C$5,2,0)</f>
        <v>2100</v>
      </c>
      <c r="F115" s="14">
        <f>D115*E115*(1-HLOOKUP(C115,折扣表!$B$2:$E$6,IF(D115&lt;1000,2,IF(D115&lt;1500,3,IF(D115&lt;2000,4,5)))))</f>
        <v>3116736</v>
      </c>
    </row>
    <row r="116" spans="1:6" x14ac:dyDescent="0.15">
      <c r="A116" s="11" t="s">
        <v>132</v>
      </c>
      <c r="B116" s="12">
        <v>40956</v>
      </c>
      <c r="C116" s="13" t="s">
        <v>16</v>
      </c>
      <c r="D116" s="13">
        <v>1389</v>
      </c>
      <c r="E116" s="14">
        <f>VLOOKUP(C116,价格表!$B$2:$C$5,2,0)</f>
        <v>3200</v>
      </c>
      <c r="F116" s="14">
        <f>D116*E116*(1-HLOOKUP(C116,折扣表!$B$2:$E$6,IF(D116&lt;1000,2,IF(D116&lt;1500,3,IF(D116&lt;2000,4,5)))))</f>
        <v>4400352</v>
      </c>
    </row>
    <row r="117" spans="1:6" x14ac:dyDescent="0.15">
      <c r="A117" s="11" t="s">
        <v>133</v>
      </c>
      <c r="B117" s="12">
        <v>40956</v>
      </c>
      <c r="C117" s="13" t="s">
        <v>17</v>
      </c>
      <c r="D117" s="13">
        <v>1027</v>
      </c>
      <c r="E117" s="14">
        <f>VLOOKUP(C117,价格表!$B$2:$C$5,2,0)</f>
        <v>2800</v>
      </c>
      <c r="F117" s="14">
        <f>D117*E117*(1-HLOOKUP(C117,折扣表!$B$2:$E$6,IF(D117&lt;1000,2,IF(D117&lt;1500,3,IF(D117&lt;2000,4,5)))))</f>
        <v>2818088</v>
      </c>
    </row>
    <row r="118" spans="1:6" x14ac:dyDescent="0.15">
      <c r="A118" s="11" t="s">
        <v>134</v>
      </c>
      <c r="B118" s="12">
        <v>40956</v>
      </c>
      <c r="C118" s="13" t="s">
        <v>18</v>
      </c>
      <c r="D118" s="13">
        <v>1515</v>
      </c>
      <c r="E118" s="14">
        <f>VLOOKUP(C118,价格表!$B$2:$C$5,2,0)</f>
        <v>2100</v>
      </c>
      <c r="F118" s="14">
        <f>D118*E118*(1-HLOOKUP(C118,折扣表!$B$2:$E$6,IF(D118&lt;1000,2,IF(D118&lt;1500,3,IF(D118&lt;2000,4,5)))))</f>
        <v>3054240</v>
      </c>
    </row>
    <row r="119" spans="1:6" x14ac:dyDescent="0.15">
      <c r="A119" s="11" t="s">
        <v>135</v>
      </c>
      <c r="B119" s="12">
        <v>40957</v>
      </c>
      <c r="C119" s="13" t="s">
        <v>17</v>
      </c>
      <c r="D119" s="13">
        <v>904</v>
      </c>
      <c r="E119" s="14">
        <f>VLOOKUP(C119,价格表!$B$2:$C$5,2,0)</f>
        <v>2800</v>
      </c>
      <c r="F119" s="14">
        <f>D119*E119*(1-HLOOKUP(C119,折扣表!$B$2:$E$6,IF(D119&lt;1000,2,IF(D119&lt;1500,3,IF(D119&lt;2000,4,5)))))</f>
        <v>2531200</v>
      </c>
    </row>
    <row r="120" spans="1:6" x14ac:dyDescent="0.15">
      <c r="A120" s="11" t="s">
        <v>136</v>
      </c>
      <c r="B120" s="12">
        <v>40957</v>
      </c>
      <c r="C120" s="13" t="s">
        <v>18</v>
      </c>
      <c r="D120" s="13">
        <v>1471</v>
      </c>
      <c r="E120" s="14">
        <f>VLOOKUP(C120,价格表!$B$2:$C$5,2,0)</f>
        <v>2100</v>
      </c>
      <c r="F120" s="14">
        <f>D120*E120*(1-HLOOKUP(C120,折扣表!$B$2:$E$6,IF(D120&lt;1000,2,IF(D120&lt;1500,3,IF(D120&lt;2000,4,5)))))</f>
        <v>2996427</v>
      </c>
    </row>
    <row r="121" spans="1:6" x14ac:dyDescent="0.15">
      <c r="A121" s="11" t="s">
        <v>137</v>
      </c>
      <c r="B121" s="12">
        <v>40958</v>
      </c>
      <c r="C121" s="13" t="s">
        <v>16</v>
      </c>
      <c r="D121" s="13">
        <v>1446</v>
      </c>
      <c r="E121" s="14">
        <f>VLOOKUP(C121,价格表!$B$2:$C$5,2,0)</f>
        <v>3200</v>
      </c>
      <c r="F121" s="14">
        <f>D121*E121*(1-HLOOKUP(C121,折扣表!$B$2:$E$6,IF(D121&lt;1000,2,IF(D121&lt;1500,3,IF(D121&lt;2000,4,5)))))</f>
        <v>4580928</v>
      </c>
    </row>
    <row r="122" spans="1:6" x14ac:dyDescent="0.15">
      <c r="A122" s="11" t="s">
        <v>138</v>
      </c>
      <c r="B122" s="12">
        <v>40958</v>
      </c>
      <c r="C122" s="13" t="s">
        <v>18</v>
      </c>
      <c r="D122" s="13">
        <v>1533</v>
      </c>
      <c r="E122" s="14">
        <f>VLOOKUP(C122,价格表!$B$2:$C$5,2,0)</f>
        <v>2100</v>
      </c>
      <c r="F122" s="14">
        <f>D122*E122*(1-HLOOKUP(C122,折扣表!$B$2:$E$6,IF(D122&lt;1000,2,IF(D122&lt;1500,3,IF(D122&lt;2000,4,5)))))</f>
        <v>3090528</v>
      </c>
    </row>
    <row r="123" spans="1:6" x14ac:dyDescent="0.15">
      <c r="A123" s="11" t="s">
        <v>139</v>
      </c>
      <c r="B123" s="12">
        <v>40959</v>
      </c>
      <c r="C123" s="13" t="s">
        <v>17</v>
      </c>
      <c r="D123" s="13">
        <v>981</v>
      </c>
      <c r="E123" s="14">
        <f>VLOOKUP(C123,价格表!$B$2:$C$5,2,0)</f>
        <v>2800</v>
      </c>
      <c r="F123" s="14">
        <f>D123*E123*(1-HLOOKUP(C123,折扣表!$B$2:$E$6,IF(D123&lt;1000,2,IF(D123&lt;1500,3,IF(D123&lt;2000,4,5)))))</f>
        <v>2746800</v>
      </c>
    </row>
    <row r="124" spans="1:6" x14ac:dyDescent="0.15">
      <c r="A124" s="11" t="s">
        <v>140</v>
      </c>
      <c r="B124" s="12">
        <v>40960</v>
      </c>
      <c r="C124" s="13" t="s">
        <v>17</v>
      </c>
      <c r="D124" s="13">
        <v>930</v>
      </c>
      <c r="E124" s="14">
        <f>VLOOKUP(C124,价格表!$B$2:$C$5,2,0)</f>
        <v>2800</v>
      </c>
      <c r="F124" s="14">
        <f>D124*E124*(1-HLOOKUP(C124,折扣表!$B$2:$E$6,IF(D124&lt;1000,2,IF(D124&lt;1500,3,IF(D124&lt;2000,4,5)))))</f>
        <v>2604000</v>
      </c>
    </row>
    <row r="125" spans="1:6" x14ac:dyDescent="0.15">
      <c r="A125" s="11" t="s">
        <v>141</v>
      </c>
      <c r="B125" s="12">
        <v>40960</v>
      </c>
      <c r="C125" s="13" t="s">
        <v>18</v>
      </c>
      <c r="D125" s="13">
        <v>1451</v>
      </c>
      <c r="E125" s="14">
        <f>VLOOKUP(C125,价格表!$B$2:$C$5,2,0)</f>
        <v>2100</v>
      </c>
      <c r="F125" s="14">
        <f>D125*E125*(1-HLOOKUP(C125,折扣表!$B$2:$E$6,IF(D125&lt;1000,2,IF(D125&lt;1500,3,IF(D125&lt;2000,4,5)))))</f>
        <v>2955687</v>
      </c>
    </row>
    <row r="126" spans="1:6" x14ac:dyDescent="0.15">
      <c r="A126" s="11" t="s">
        <v>142</v>
      </c>
      <c r="B126" s="12">
        <v>40961</v>
      </c>
      <c r="C126" s="13" t="s">
        <v>17</v>
      </c>
      <c r="D126" s="13">
        <v>1068</v>
      </c>
      <c r="E126" s="14">
        <f>VLOOKUP(C126,价格表!$B$2:$C$5,2,0)</f>
        <v>2800</v>
      </c>
      <c r="F126" s="14">
        <f>D126*E126*(1-HLOOKUP(C126,折扣表!$B$2:$E$6,IF(D126&lt;1000,2,IF(D126&lt;1500,3,IF(D126&lt;2000,4,5)))))</f>
        <v>2930592</v>
      </c>
    </row>
    <row r="127" spans="1:6" x14ac:dyDescent="0.15">
      <c r="A127" s="11" t="s">
        <v>143</v>
      </c>
      <c r="B127" s="12">
        <v>40961</v>
      </c>
      <c r="C127" s="13" t="s">
        <v>18</v>
      </c>
      <c r="D127" s="13">
        <v>1472</v>
      </c>
      <c r="E127" s="14">
        <f>VLOOKUP(C127,价格表!$B$2:$C$5,2,0)</f>
        <v>2100</v>
      </c>
      <c r="F127" s="14">
        <f>D127*E127*(1-HLOOKUP(C127,折扣表!$B$2:$E$6,IF(D127&lt;1000,2,IF(D127&lt;1500,3,IF(D127&lt;2000,4,5)))))</f>
        <v>2998464</v>
      </c>
    </row>
    <row r="128" spans="1:6" x14ac:dyDescent="0.15">
      <c r="A128" s="11" t="s">
        <v>144</v>
      </c>
      <c r="B128" s="12">
        <v>40962</v>
      </c>
      <c r="C128" s="13" t="s">
        <v>16</v>
      </c>
      <c r="D128" s="13">
        <v>1450</v>
      </c>
      <c r="E128" s="14">
        <f>VLOOKUP(C128,价格表!$B$2:$C$5,2,0)</f>
        <v>3200</v>
      </c>
      <c r="F128" s="14">
        <f>D128*E128*(1-HLOOKUP(C128,折扣表!$B$2:$E$6,IF(D128&lt;1000,2,IF(D128&lt;1500,3,IF(D128&lt;2000,4,5)))))</f>
        <v>4593600</v>
      </c>
    </row>
    <row r="129" spans="1:6" x14ac:dyDescent="0.15">
      <c r="A129" s="11" t="s">
        <v>145</v>
      </c>
      <c r="B129" s="12">
        <v>40962</v>
      </c>
      <c r="C129" s="13" t="s">
        <v>17</v>
      </c>
      <c r="D129" s="13">
        <v>1025</v>
      </c>
      <c r="E129" s="14">
        <f>VLOOKUP(C129,价格表!$B$2:$C$5,2,0)</f>
        <v>2800</v>
      </c>
      <c r="F129" s="14">
        <f>D129*E129*(1-HLOOKUP(C129,折扣表!$B$2:$E$6,IF(D129&lt;1000,2,IF(D129&lt;1500,3,IF(D129&lt;2000,4,5)))))</f>
        <v>2812600</v>
      </c>
    </row>
    <row r="130" spans="1:6" x14ac:dyDescent="0.15">
      <c r="A130" s="11" t="s">
        <v>146</v>
      </c>
      <c r="B130" s="12">
        <v>40962</v>
      </c>
      <c r="C130" s="13" t="s">
        <v>18</v>
      </c>
      <c r="D130" s="13">
        <v>1473</v>
      </c>
      <c r="E130" s="14">
        <f>VLOOKUP(C130,价格表!$B$2:$C$5,2,0)</f>
        <v>2100</v>
      </c>
      <c r="F130" s="14">
        <f>D130*E130*(1-HLOOKUP(C130,折扣表!$B$2:$E$6,IF(D130&lt;1000,2,IF(D130&lt;1500,3,IF(D130&lt;2000,4,5)))))</f>
        <v>3000501</v>
      </c>
    </row>
    <row r="131" spans="1:6" x14ac:dyDescent="0.15">
      <c r="A131" s="11" t="s">
        <v>147</v>
      </c>
      <c r="B131" s="12">
        <v>40963</v>
      </c>
      <c r="C131" s="13" t="s">
        <v>16</v>
      </c>
      <c r="D131" s="13">
        <v>1346</v>
      </c>
      <c r="E131" s="14">
        <f>VLOOKUP(C131,价格表!$B$2:$C$5,2,0)</f>
        <v>3200</v>
      </c>
      <c r="F131" s="14">
        <f>D131*E131*(1-HLOOKUP(C131,折扣表!$B$2:$E$6,IF(D131&lt;1000,2,IF(D131&lt;1500,3,IF(D131&lt;2000,4,5)))))</f>
        <v>4264128</v>
      </c>
    </row>
    <row r="132" spans="1:6" x14ac:dyDescent="0.15">
      <c r="A132" s="11" t="s">
        <v>148</v>
      </c>
      <c r="B132" s="12">
        <v>40963</v>
      </c>
      <c r="C132" s="13" t="s">
        <v>17</v>
      </c>
      <c r="D132" s="13">
        <v>940</v>
      </c>
      <c r="E132" s="14">
        <f>VLOOKUP(C132,价格表!$B$2:$C$5,2,0)</f>
        <v>2800</v>
      </c>
      <c r="F132" s="14">
        <f>D132*E132*(1-HLOOKUP(C132,折扣表!$B$2:$E$6,IF(D132&lt;1000,2,IF(D132&lt;1500,3,IF(D132&lt;2000,4,5)))))</f>
        <v>2632000</v>
      </c>
    </row>
    <row r="133" spans="1:6" x14ac:dyDescent="0.15">
      <c r="A133" s="11" t="s">
        <v>149</v>
      </c>
      <c r="B133" s="12">
        <v>40963</v>
      </c>
      <c r="C133" s="13" t="s">
        <v>18</v>
      </c>
      <c r="D133" s="13">
        <v>1533</v>
      </c>
      <c r="E133" s="14">
        <f>VLOOKUP(C133,价格表!$B$2:$C$5,2,0)</f>
        <v>2100</v>
      </c>
      <c r="F133" s="14">
        <f>D133*E133*(1-HLOOKUP(C133,折扣表!$B$2:$E$6,IF(D133&lt;1000,2,IF(D133&lt;1500,3,IF(D133&lt;2000,4,5)))))</f>
        <v>3090528</v>
      </c>
    </row>
    <row r="134" spans="1:6" x14ac:dyDescent="0.15">
      <c r="A134" s="11" t="s">
        <v>150</v>
      </c>
      <c r="B134" s="12">
        <v>40964</v>
      </c>
      <c r="C134" s="13" t="s">
        <v>16</v>
      </c>
      <c r="D134" s="13">
        <v>1329</v>
      </c>
      <c r="E134" s="14">
        <f>VLOOKUP(C134,价格表!$B$2:$C$5,2,0)</f>
        <v>3200</v>
      </c>
      <c r="F134" s="14">
        <f>D134*E134*(1-HLOOKUP(C134,折扣表!$B$2:$E$6,IF(D134&lt;1000,2,IF(D134&lt;1500,3,IF(D134&lt;2000,4,5)))))</f>
        <v>4210272</v>
      </c>
    </row>
    <row r="135" spans="1:6" x14ac:dyDescent="0.15">
      <c r="A135" s="11" t="s">
        <v>151</v>
      </c>
      <c r="B135" s="12">
        <v>40964</v>
      </c>
      <c r="C135" s="13" t="s">
        <v>17</v>
      </c>
      <c r="D135" s="13">
        <v>938</v>
      </c>
      <c r="E135" s="14">
        <f>VLOOKUP(C135,价格表!$B$2:$C$5,2,0)</f>
        <v>2800</v>
      </c>
      <c r="F135" s="14">
        <f>D135*E135*(1-HLOOKUP(C135,折扣表!$B$2:$E$6,IF(D135&lt;1000,2,IF(D135&lt;1500,3,IF(D135&lt;2000,4,5)))))</f>
        <v>2626400</v>
      </c>
    </row>
    <row r="136" spans="1:6" x14ac:dyDescent="0.15">
      <c r="A136" s="11" t="s">
        <v>152</v>
      </c>
      <c r="B136" s="12">
        <v>40965</v>
      </c>
      <c r="C136" s="13" t="s">
        <v>16</v>
      </c>
      <c r="D136" s="13">
        <v>1435</v>
      </c>
      <c r="E136" s="14">
        <f>VLOOKUP(C136,价格表!$B$2:$C$5,2,0)</f>
        <v>3200</v>
      </c>
      <c r="F136" s="14">
        <f>D136*E136*(1-HLOOKUP(C136,折扣表!$B$2:$E$6,IF(D136&lt;1000,2,IF(D136&lt;1500,3,IF(D136&lt;2000,4,5)))))</f>
        <v>4546080</v>
      </c>
    </row>
    <row r="137" spans="1:6" x14ac:dyDescent="0.15">
      <c r="A137" s="11" t="s">
        <v>153</v>
      </c>
      <c r="B137" s="12">
        <v>40965</v>
      </c>
      <c r="C137" s="13" t="s">
        <v>18</v>
      </c>
      <c r="D137" s="13">
        <v>1516</v>
      </c>
      <c r="E137" s="14">
        <f>VLOOKUP(C137,价格表!$B$2:$C$5,2,0)</f>
        <v>2100</v>
      </c>
      <c r="F137" s="14">
        <f>D137*E137*(1-HLOOKUP(C137,折扣表!$B$2:$E$6,IF(D137&lt;1000,2,IF(D137&lt;1500,3,IF(D137&lt;2000,4,5)))))</f>
        <v>3056256</v>
      </c>
    </row>
    <row r="138" spans="1:6" x14ac:dyDescent="0.15">
      <c r="A138" s="11" t="s">
        <v>154</v>
      </c>
      <c r="B138" s="12">
        <v>40966</v>
      </c>
      <c r="C138" s="13" t="s">
        <v>16</v>
      </c>
      <c r="D138" s="13">
        <v>1341</v>
      </c>
      <c r="E138" s="14">
        <f>VLOOKUP(C138,价格表!$B$2:$C$5,2,0)</f>
        <v>3200</v>
      </c>
      <c r="F138" s="14">
        <f>D138*E138*(1-HLOOKUP(C138,折扣表!$B$2:$E$6,IF(D138&lt;1000,2,IF(D138&lt;1500,3,IF(D138&lt;2000,4,5)))))</f>
        <v>4248288</v>
      </c>
    </row>
    <row r="139" spans="1:6" x14ac:dyDescent="0.15">
      <c r="A139" s="11" t="s">
        <v>155</v>
      </c>
      <c r="B139" s="12">
        <v>40966</v>
      </c>
      <c r="C139" s="13" t="s">
        <v>17</v>
      </c>
      <c r="D139" s="13">
        <v>960</v>
      </c>
      <c r="E139" s="14">
        <f>VLOOKUP(C139,价格表!$B$2:$C$5,2,0)</f>
        <v>2800</v>
      </c>
      <c r="F139" s="14">
        <f>D139*E139*(1-HLOOKUP(C139,折扣表!$B$2:$E$6,IF(D139&lt;1000,2,IF(D139&lt;1500,3,IF(D139&lt;2000,4,5)))))</f>
        <v>2688000</v>
      </c>
    </row>
    <row r="140" spans="1:6" x14ac:dyDescent="0.15">
      <c r="A140" s="11" t="s">
        <v>156</v>
      </c>
      <c r="B140" s="12">
        <v>40967</v>
      </c>
      <c r="C140" s="13" t="s">
        <v>16</v>
      </c>
      <c r="D140" s="13">
        <v>1454</v>
      </c>
      <c r="E140" s="14">
        <f>VLOOKUP(C140,价格表!$B$2:$C$5,2,0)</f>
        <v>3200</v>
      </c>
      <c r="F140" s="14">
        <f>D140*E140*(1-HLOOKUP(C140,折扣表!$B$2:$E$6,IF(D140&lt;1000,2,IF(D140&lt;1500,3,IF(D140&lt;2000,4,5)))))</f>
        <v>4606272</v>
      </c>
    </row>
    <row r="141" spans="1:6" x14ac:dyDescent="0.15">
      <c r="A141" s="11" t="s">
        <v>157</v>
      </c>
      <c r="B141" s="12">
        <v>40967</v>
      </c>
      <c r="C141" s="13" t="s">
        <v>17</v>
      </c>
      <c r="D141" s="13">
        <v>1041</v>
      </c>
      <c r="E141" s="14">
        <f>VLOOKUP(C141,价格表!$B$2:$C$5,2,0)</f>
        <v>2800</v>
      </c>
      <c r="F141" s="14">
        <f>D141*E141*(1-HLOOKUP(C141,折扣表!$B$2:$E$6,IF(D141&lt;1000,2,IF(D141&lt;1500,3,IF(D141&lt;2000,4,5)))))</f>
        <v>2856504</v>
      </c>
    </row>
    <row r="142" spans="1:6" x14ac:dyDescent="0.15">
      <c r="A142" s="11" t="s">
        <v>158</v>
      </c>
      <c r="B142" s="12">
        <v>40968</v>
      </c>
      <c r="C142" s="13" t="s">
        <v>16</v>
      </c>
      <c r="D142" s="13">
        <v>1415</v>
      </c>
      <c r="E142" s="14">
        <f>VLOOKUP(C142,价格表!$B$2:$C$5,2,0)</f>
        <v>3200</v>
      </c>
      <c r="F142" s="14">
        <f>D142*E142*(1-HLOOKUP(C142,折扣表!$B$2:$E$6,IF(D142&lt;1000,2,IF(D142&lt;1500,3,IF(D142&lt;2000,4,5)))))</f>
        <v>4482720</v>
      </c>
    </row>
    <row r="143" spans="1:6" x14ac:dyDescent="0.15">
      <c r="A143" s="11" t="s">
        <v>159</v>
      </c>
      <c r="B143" s="12">
        <v>40968</v>
      </c>
      <c r="C143" s="13" t="s">
        <v>17</v>
      </c>
      <c r="D143" s="13">
        <v>1004</v>
      </c>
      <c r="E143" s="14">
        <f>VLOOKUP(C143,价格表!$B$2:$C$5,2,0)</f>
        <v>2800</v>
      </c>
      <c r="F143" s="14">
        <f>D143*E143*(1-HLOOKUP(C143,折扣表!$B$2:$E$6,IF(D143&lt;1000,2,IF(D143&lt;1500,3,IF(D143&lt;2000,4,5)))))</f>
        <v>2754976</v>
      </c>
    </row>
    <row r="144" spans="1:6" x14ac:dyDescent="0.15">
      <c r="A144" s="11" t="s">
        <v>160</v>
      </c>
      <c r="B144" s="12">
        <v>40968</v>
      </c>
      <c r="C144" s="13" t="s">
        <v>18</v>
      </c>
      <c r="D144" s="13">
        <v>1542</v>
      </c>
      <c r="E144" s="14">
        <f>VLOOKUP(C144,价格表!$B$2:$C$5,2,0)</f>
        <v>2100</v>
      </c>
      <c r="F144" s="14">
        <f>D144*E144*(1-HLOOKUP(C144,折扣表!$B$2:$E$6,IF(D144&lt;1000,2,IF(D144&lt;1500,3,IF(D144&lt;2000,4,5)))))</f>
        <v>3108672</v>
      </c>
    </row>
    <row r="145" spans="1:6" x14ac:dyDescent="0.15">
      <c r="A145" s="11" t="s">
        <v>161</v>
      </c>
      <c r="B145" s="12">
        <v>40969</v>
      </c>
      <c r="C145" s="13" t="s">
        <v>16</v>
      </c>
      <c r="D145" s="13">
        <v>1541</v>
      </c>
      <c r="E145" s="14">
        <f>VLOOKUP(C145,价格表!$B$2:$C$5,2,0)</f>
        <v>3200</v>
      </c>
      <c r="F145" s="14">
        <f>D145*E145*(1-HLOOKUP(C145,折扣表!$B$2:$E$6,IF(D145&lt;1000,2,IF(D145&lt;1500,3,IF(D145&lt;2000,4,5)))))</f>
        <v>4832576</v>
      </c>
    </row>
    <row r="146" spans="1:6" x14ac:dyDescent="0.15">
      <c r="A146" s="11" t="s">
        <v>162</v>
      </c>
      <c r="B146" s="12">
        <v>40969</v>
      </c>
      <c r="C146" s="13" t="s">
        <v>17</v>
      </c>
      <c r="D146" s="13">
        <v>1036</v>
      </c>
      <c r="E146" s="14">
        <f>VLOOKUP(C146,价格表!$B$2:$C$5,2,0)</f>
        <v>2800</v>
      </c>
      <c r="F146" s="14">
        <f>D146*E146*(1-HLOOKUP(C146,折扣表!$B$2:$E$6,IF(D146&lt;1000,2,IF(D146&lt;1500,3,IF(D146&lt;2000,4,5)))))</f>
        <v>2842784</v>
      </c>
    </row>
    <row r="147" spans="1:6" x14ac:dyDescent="0.15">
      <c r="A147" s="11" t="s">
        <v>163</v>
      </c>
      <c r="B147" s="12">
        <v>40970</v>
      </c>
      <c r="C147" s="13" t="s">
        <v>16</v>
      </c>
      <c r="D147" s="13">
        <v>1411</v>
      </c>
      <c r="E147" s="14">
        <f>VLOOKUP(C147,价格表!$B$2:$C$5,2,0)</f>
        <v>3200</v>
      </c>
      <c r="F147" s="14">
        <f>D147*E147*(1-HLOOKUP(C147,折扣表!$B$2:$E$6,IF(D147&lt;1000,2,IF(D147&lt;1500,3,IF(D147&lt;2000,4,5)))))</f>
        <v>4470048</v>
      </c>
    </row>
    <row r="148" spans="1:6" x14ac:dyDescent="0.15">
      <c r="A148" s="11" t="s">
        <v>164</v>
      </c>
      <c r="B148" s="12">
        <v>40970</v>
      </c>
      <c r="C148" s="13" t="s">
        <v>17</v>
      </c>
      <c r="D148" s="13">
        <v>1106</v>
      </c>
      <c r="E148" s="14">
        <f>VLOOKUP(C148,价格表!$B$2:$C$5,2,0)</f>
        <v>2800</v>
      </c>
      <c r="F148" s="14">
        <f>D148*E148*(1-HLOOKUP(C148,折扣表!$B$2:$E$6,IF(D148&lt;1000,2,IF(D148&lt;1500,3,IF(D148&lt;2000,4,5)))))</f>
        <v>3034864</v>
      </c>
    </row>
    <row r="149" spans="1:6" x14ac:dyDescent="0.15">
      <c r="A149" s="11" t="s">
        <v>165</v>
      </c>
      <c r="B149" s="12">
        <v>40970</v>
      </c>
      <c r="C149" s="13" t="s">
        <v>18</v>
      </c>
      <c r="D149" s="13">
        <v>1443</v>
      </c>
      <c r="E149" s="14">
        <f>VLOOKUP(C149,价格表!$B$2:$C$5,2,0)</f>
        <v>2100</v>
      </c>
      <c r="F149" s="14">
        <f>D149*E149*(1-HLOOKUP(C149,折扣表!$B$2:$E$6,IF(D149&lt;1000,2,IF(D149&lt;1500,3,IF(D149&lt;2000,4,5)))))</f>
        <v>2939391</v>
      </c>
    </row>
    <row r="150" spans="1:6" x14ac:dyDescent="0.15">
      <c r="A150" s="11" t="s">
        <v>166</v>
      </c>
      <c r="B150" s="12">
        <v>40971</v>
      </c>
      <c r="C150" s="13" t="s">
        <v>16</v>
      </c>
      <c r="D150" s="13">
        <v>1540</v>
      </c>
      <c r="E150" s="14">
        <f>VLOOKUP(C150,价格表!$B$2:$C$5,2,0)</f>
        <v>3200</v>
      </c>
      <c r="F150" s="14">
        <f>D150*E150*(1-HLOOKUP(C150,折扣表!$B$2:$E$6,IF(D150&lt;1000,2,IF(D150&lt;1500,3,IF(D150&lt;2000,4,5)))))</f>
        <v>4829440</v>
      </c>
    </row>
    <row r="151" spans="1:6" x14ac:dyDescent="0.15">
      <c r="A151" s="11" t="s">
        <v>167</v>
      </c>
      <c r="B151" s="12">
        <v>40971</v>
      </c>
      <c r="C151" s="13" t="s">
        <v>18</v>
      </c>
      <c r="D151" s="13">
        <v>1431</v>
      </c>
      <c r="E151" s="14">
        <f>VLOOKUP(C151,价格表!$B$2:$C$5,2,0)</f>
        <v>2100</v>
      </c>
      <c r="F151" s="14">
        <f>D151*E151*(1-HLOOKUP(C151,折扣表!$B$2:$E$6,IF(D151&lt;1000,2,IF(D151&lt;1500,3,IF(D151&lt;2000,4,5)))))</f>
        <v>2914947</v>
      </c>
    </row>
    <row r="152" spans="1:6" x14ac:dyDescent="0.15">
      <c r="A152" s="11" t="s">
        <v>168</v>
      </c>
      <c r="B152" s="12">
        <v>40972</v>
      </c>
      <c r="C152" s="13" t="s">
        <v>16</v>
      </c>
      <c r="D152" s="13">
        <v>1534</v>
      </c>
      <c r="E152" s="14">
        <f>VLOOKUP(C152,价格表!$B$2:$C$5,2,0)</f>
        <v>3200</v>
      </c>
      <c r="F152" s="14">
        <f>D152*E152*(1-HLOOKUP(C152,折扣表!$B$2:$E$6,IF(D152&lt;1000,2,IF(D152&lt;1500,3,IF(D152&lt;2000,4,5)))))</f>
        <v>4810624</v>
      </c>
    </row>
    <row r="153" spans="1:6" x14ac:dyDescent="0.15">
      <c r="A153" s="11" t="s">
        <v>169</v>
      </c>
      <c r="B153" s="12">
        <v>40972</v>
      </c>
      <c r="C153" s="13" t="s">
        <v>17</v>
      </c>
      <c r="D153" s="13">
        <v>1100</v>
      </c>
      <c r="E153" s="14">
        <f>VLOOKUP(C153,价格表!$B$2:$C$5,2,0)</f>
        <v>2800</v>
      </c>
      <c r="F153" s="14">
        <f>D153*E153*(1-HLOOKUP(C153,折扣表!$B$2:$E$6,IF(D153&lt;1000,2,IF(D153&lt;1500,3,IF(D153&lt;2000,4,5)))))</f>
        <v>3018400</v>
      </c>
    </row>
    <row r="154" spans="1:6" x14ac:dyDescent="0.15">
      <c r="A154" s="11" t="s">
        <v>170</v>
      </c>
      <c r="B154" s="12">
        <v>40973</v>
      </c>
      <c r="C154" s="13" t="s">
        <v>16</v>
      </c>
      <c r="D154" s="13">
        <v>1528</v>
      </c>
      <c r="E154" s="14">
        <f>VLOOKUP(C154,价格表!$B$2:$C$5,2,0)</f>
        <v>3200</v>
      </c>
      <c r="F154" s="14">
        <f>D154*E154*(1-HLOOKUP(C154,折扣表!$B$2:$E$6,IF(D154&lt;1000,2,IF(D154&lt;1500,3,IF(D154&lt;2000,4,5)))))</f>
        <v>4791808</v>
      </c>
    </row>
    <row r="155" spans="1:6" x14ac:dyDescent="0.15">
      <c r="A155" s="11" t="s">
        <v>171</v>
      </c>
      <c r="B155" s="12">
        <v>40973</v>
      </c>
      <c r="C155" s="13" t="s">
        <v>17</v>
      </c>
      <c r="D155" s="13">
        <v>1105</v>
      </c>
      <c r="E155" s="14">
        <f>VLOOKUP(C155,价格表!$B$2:$C$5,2,0)</f>
        <v>2800</v>
      </c>
      <c r="F155" s="14">
        <f>D155*E155*(1-HLOOKUP(C155,折扣表!$B$2:$E$6,IF(D155&lt;1000,2,IF(D155&lt;1500,3,IF(D155&lt;2000,4,5)))))</f>
        <v>3032120</v>
      </c>
    </row>
    <row r="156" spans="1:6" x14ac:dyDescent="0.15">
      <c r="A156" s="11" t="s">
        <v>172</v>
      </c>
      <c r="B156" s="12">
        <v>40973</v>
      </c>
      <c r="C156" s="13" t="s">
        <v>18</v>
      </c>
      <c r="D156" s="13">
        <v>1489</v>
      </c>
      <c r="E156" s="14">
        <f>VLOOKUP(C156,价格表!$B$2:$C$5,2,0)</f>
        <v>2100</v>
      </c>
      <c r="F156" s="14">
        <f>D156*E156*(1-HLOOKUP(C156,折扣表!$B$2:$E$6,IF(D156&lt;1000,2,IF(D156&lt;1500,3,IF(D156&lt;2000,4,5)))))</f>
        <v>3033093</v>
      </c>
    </row>
    <row r="157" spans="1:6" x14ac:dyDescent="0.15">
      <c r="A157" s="11" t="s">
        <v>173</v>
      </c>
      <c r="B157" s="12">
        <v>40974</v>
      </c>
      <c r="C157" s="13" t="s">
        <v>16</v>
      </c>
      <c r="D157" s="13">
        <v>1530</v>
      </c>
      <c r="E157" s="14">
        <f>VLOOKUP(C157,价格表!$B$2:$C$5,2,0)</f>
        <v>3200</v>
      </c>
      <c r="F157" s="14">
        <f>D157*E157*(1-HLOOKUP(C157,折扣表!$B$2:$E$6,IF(D157&lt;1000,2,IF(D157&lt;1500,3,IF(D157&lt;2000,4,5)))))</f>
        <v>4798080</v>
      </c>
    </row>
    <row r="158" spans="1:6" x14ac:dyDescent="0.15">
      <c r="A158" s="11" t="s">
        <v>174</v>
      </c>
      <c r="B158" s="12">
        <v>40974</v>
      </c>
      <c r="C158" s="13" t="s">
        <v>17</v>
      </c>
      <c r="D158" s="13">
        <v>1000</v>
      </c>
      <c r="E158" s="14">
        <f>VLOOKUP(C158,价格表!$B$2:$C$5,2,0)</f>
        <v>2800</v>
      </c>
      <c r="F158" s="14">
        <f>D158*E158*(1-HLOOKUP(C158,折扣表!$B$2:$E$6,IF(D158&lt;1000,2,IF(D158&lt;1500,3,IF(D158&lt;2000,4,5)))))</f>
        <v>2744000</v>
      </c>
    </row>
    <row r="159" spans="1:6" x14ac:dyDescent="0.15">
      <c r="A159" s="11" t="s">
        <v>175</v>
      </c>
      <c r="B159" s="12">
        <v>40974</v>
      </c>
      <c r="C159" s="13" t="s">
        <v>18</v>
      </c>
      <c r="D159" s="13">
        <v>1439</v>
      </c>
      <c r="E159" s="14">
        <f>VLOOKUP(C159,价格表!$B$2:$C$5,2,0)</f>
        <v>2100</v>
      </c>
      <c r="F159" s="14">
        <f>D159*E159*(1-HLOOKUP(C159,折扣表!$B$2:$E$6,IF(D159&lt;1000,2,IF(D159&lt;1500,3,IF(D159&lt;2000,4,5)))))</f>
        <v>2931243</v>
      </c>
    </row>
    <row r="160" spans="1:6" x14ac:dyDescent="0.15">
      <c r="A160" s="11" t="s">
        <v>176</v>
      </c>
      <c r="B160" s="12">
        <v>40975</v>
      </c>
      <c r="C160" s="13" t="s">
        <v>16</v>
      </c>
      <c r="D160" s="13">
        <v>1452</v>
      </c>
      <c r="E160" s="14">
        <f>VLOOKUP(C160,价格表!$B$2:$C$5,2,0)</f>
        <v>3200</v>
      </c>
      <c r="F160" s="14">
        <f>D160*E160*(1-HLOOKUP(C160,折扣表!$B$2:$E$6,IF(D160&lt;1000,2,IF(D160&lt;1500,3,IF(D160&lt;2000,4,5)))))</f>
        <v>4599936</v>
      </c>
    </row>
    <row r="161" spans="1:6" x14ac:dyDescent="0.15">
      <c r="A161" s="11" t="s">
        <v>177</v>
      </c>
      <c r="B161" s="12">
        <v>40975</v>
      </c>
      <c r="C161" s="13" t="s">
        <v>17</v>
      </c>
      <c r="D161" s="13">
        <v>1139</v>
      </c>
      <c r="E161" s="14">
        <f>VLOOKUP(C161,价格表!$B$2:$C$5,2,0)</f>
        <v>2800</v>
      </c>
      <c r="F161" s="14">
        <f>D161*E161*(1-HLOOKUP(C161,折扣表!$B$2:$E$6,IF(D161&lt;1000,2,IF(D161&lt;1500,3,IF(D161&lt;2000,4,5)))))</f>
        <v>3125416</v>
      </c>
    </row>
    <row r="162" spans="1:6" x14ac:dyDescent="0.15">
      <c r="A162" s="11" t="s">
        <v>178</v>
      </c>
      <c r="B162" s="12">
        <v>40976</v>
      </c>
      <c r="C162" s="13" t="s">
        <v>16</v>
      </c>
      <c r="D162" s="13">
        <v>1251</v>
      </c>
      <c r="E162" s="14">
        <f>VLOOKUP(C162,价格表!$B$2:$C$5,2,0)</f>
        <v>3200</v>
      </c>
      <c r="F162" s="14">
        <f>D162*E162*(1-HLOOKUP(C162,折扣表!$B$2:$E$6,IF(D162&lt;1000,2,IF(D162&lt;1500,3,IF(D162&lt;2000,4,5)))))</f>
        <v>3963168</v>
      </c>
    </row>
    <row r="163" spans="1:6" x14ac:dyDescent="0.15">
      <c r="A163" s="11" t="s">
        <v>179</v>
      </c>
      <c r="B163" s="12">
        <v>40976</v>
      </c>
      <c r="C163" s="13" t="s">
        <v>18</v>
      </c>
      <c r="D163" s="13">
        <v>1451</v>
      </c>
      <c r="E163" s="14">
        <f>VLOOKUP(C163,价格表!$B$2:$C$5,2,0)</f>
        <v>2100</v>
      </c>
      <c r="F163" s="14">
        <f>D163*E163*(1-HLOOKUP(C163,折扣表!$B$2:$E$6,IF(D163&lt;1000,2,IF(D163&lt;1500,3,IF(D163&lt;2000,4,5)))))</f>
        <v>2955687</v>
      </c>
    </row>
    <row r="164" spans="1:6" x14ac:dyDescent="0.15">
      <c r="A164" s="11" t="s">
        <v>180</v>
      </c>
      <c r="B164" s="12">
        <v>40977</v>
      </c>
      <c r="C164" s="13" t="s">
        <v>17</v>
      </c>
      <c r="D164" s="13">
        <v>1136</v>
      </c>
      <c r="E164" s="14">
        <f>VLOOKUP(C164,价格表!$B$2:$C$5,2,0)</f>
        <v>2800</v>
      </c>
      <c r="F164" s="14">
        <f>D164*E164*(1-HLOOKUP(C164,折扣表!$B$2:$E$6,IF(D164&lt;1000,2,IF(D164&lt;1500,3,IF(D164&lt;2000,4,5)))))</f>
        <v>3117184</v>
      </c>
    </row>
    <row r="165" spans="1:6" x14ac:dyDescent="0.15">
      <c r="A165" s="11" t="s">
        <v>181</v>
      </c>
      <c r="B165" s="12">
        <v>40977</v>
      </c>
      <c r="C165" s="13" t="s">
        <v>18</v>
      </c>
      <c r="D165" s="13">
        <v>1479</v>
      </c>
      <c r="E165" s="14">
        <f>VLOOKUP(C165,价格表!$B$2:$C$5,2,0)</f>
        <v>2100</v>
      </c>
      <c r="F165" s="14">
        <f>D165*E165*(1-HLOOKUP(C165,折扣表!$B$2:$E$6,IF(D165&lt;1000,2,IF(D165&lt;1500,3,IF(D165&lt;2000,4,5)))))</f>
        <v>3012723</v>
      </c>
    </row>
    <row r="166" spans="1:6" x14ac:dyDescent="0.15">
      <c r="A166" s="11" t="s">
        <v>182</v>
      </c>
      <c r="B166" s="12">
        <v>40978</v>
      </c>
      <c r="C166" s="13" t="s">
        <v>16</v>
      </c>
      <c r="D166" s="13">
        <v>1514</v>
      </c>
      <c r="E166" s="14">
        <f>VLOOKUP(C166,价格表!$B$2:$C$5,2,0)</f>
        <v>3200</v>
      </c>
      <c r="F166" s="14">
        <f>D166*E166*(1-HLOOKUP(C166,折扣表!$B$2:$E$6,IF(D166&lt;1000,2,IF(D166&lt;1500,3,IF(D166&lt;2000,4,5)))))</f>
        <v>4747904</v>
      </c>
    </row>
    <row r="167" spans="1:6" x14ac:dyDescent="0.15">
      <c r="A167" s="11" t="s">
        <v>183</v>
      </c>
      <c r="B167" s="12">
        <v>40978</v>
      </c>
      <c r="C167" s="13" t="s">
        <v>17</v>
      </c>
      <c r="D167" s="13">
        <v>1158</v>
      </c>
      <c r="E167" s="14">
        <f>VLOOKUP(C167,价格表!$B$2:$C$5,2,0)</f>
        <v>2800</v>
      </c>
      <c r="F167" s="14">
        <f>D167*E167*(1-HLOOKUP(C167,折扣表!$B$2:$E$6,IF(D167&lt;1000,2,IF(D167&lt;1500,3,IF(D167&lt;2000,4,5)))))</f>
        <v>3177552</v>
      </c>
    </row>
    <row r="168" spans="1:6" x14ac:dyDescent="0.15">
      <c r="A168" s="11" t="s">
        <v>184</v>
      </c>
      <c r="B168" s="12">
        <v>40978</v>
      </c>
      <c r="C168" s="13" t="s">
        <v>18</v>
      </c>
      <c r="D168" s="13">
        <v>1417</v>
      </c>
      <c r="E168" s="14">
        <f>VLOOKUP(C168,价格表!$B$2:$C$5,2,0)</f>
        <v>2100</v>
      </c>
      <c r="F168" s="14">
        <f>D168*E168*(1-HLOOKUP(C168,折扣表!$B$2:$E$6,IF(D168&lt;1000,2,IF(D168&lt;1500,3,IF(D168&lt;2000,4,5)))))</f>
        <v>2886429</v>
      </c>
    </row>
    <row r="169" spans="1:6" x14ac:dyDescent="0.15">
      <c r="A169" s="11" t="s">
        <v>185</v>
      </c>
      <c r="B169" s="12">
        <v>40979</v>
      </c>
      <c r="C169" s="13" t="s">
        <v>16</v>
      </c>
      <c r="D169" s="13">
        <v>1332</v>
      </c>
      <c r="E169" s="14">
        <f>VLOOKUP(C169,价格表!$B$2:$C$5,2,0)</f>
        <v>3200</v>
      </c>
      <c r="F169" s="14">
        <f>D169*E169*(1-HLOOKUP(C169,折扣表!$B$2:$E$6,IF(D169&lt;1000,2,IF(D169&lt;1500,3,IF(D169&lt;2000,4,5)))))</f>
        <v>4219776</v>
      </c>
    </row>
    <row r="170" spans="1:6" x14ac:dyDescent="0.15">
      <c r="A170" s="11" t="s">
        <v>186</v>
      </c>
      <c r="B170" s="12">
        <v>40979</v>
      </c>
      <c r="C170" s="13" t="s">
        <v>18</v>
      </c>
      <c r="D170" s="13">
        <v>1424</v>
      </c>
      <c r="E170" s="14">
        <f>VLOOKUP(C170,价格表!$B$2:$C$5,2,0)</f>
        <v>2100</v>
      </c>
      <c r="F170" s="14">
        <f>D170*E170*(1-HLOOKUP(C170,折扣表!$B$2:$E$6,IF(D170&lt;1000,2,IF(D170&lt;1500,3,IF(D170&lt;2000,4,5)))))</f>
        <v>2900688</v>
      </c>
    </row>
    <row r="171" spans="1:6" x14ac:dyDescent="0.15">
      <c r="A171" s="11" t="s">
        <v>187</v>
      </c>
      <c r="B171" s="12">
        <v>40980</v>
      </c>
      <c r="C171" s="13" t="s">
        <v>17</v>
      </c>
      <c r="D171" s="13">
        <v>1081</v>
      </c>
      <c r="E171" s="14">
        <f>VLOOKUP(C171,价格表!$B$2:$C$5,2,0)</f>
        <v>2800</v>
      </c>
      <c r="F171" s="14">
        <f>D171*E171*(1-HLOOKUP(C171,折扣表!$B$2:$E$6,IF(D171&lt;1000,2,IF(D171&lt;1500,3,IF(D171&lt;2000,4,5)))))</f>
        <v>2966264</v>
      </c>
    </row>
    <row r="172" spans="1:6" x14ac:dyDescent="0.15">
      <c r="A172" s="11" t="s">
        <v>188</v>
      </c>
      <c r="B172" s="12">
        <v>40981</v>
      </c>
      <c r="C172" s="13" t="s">
        <v>16</v>
      </c>
      <c r="D172" s="13">
        <v>1333</v>
      </c>
      <c r="E172" s="14">
        <f>VLOOKUP(C172,价格表!$B$2:$C$5,2,0)</f>
        <v>3200</v>
      </c>
      <c r="F172" s="14">
        <f>D172*E172*(1-HLOOKUP(C172,折扣表!$B$2:$E$6,IF(D172&lt;1000,2,IF(D172&lt;1500,3,IF(D172&lt;2000,4,5)))))</f>
        <v>4222944</v>
      </c>
    </row>
    <row r="173" spans="1:6" x14ac:dyDescent="0.15">
      <c r="A173" s="11" t="s">
        <v>189</v>
      </c>
      <c r="B173" s="12">
        <v>40981</v>
      </c>
      <c r="C173" s="13" t="s">
        <v>17</v>
      </c>
      <c r="D173" s="13">
        <v>1040</v>
      </c>
      <c r="E173" s="14">
        <f>VLOOKUP(C173,价格表!$B$2:$C$5,2,0)</f>
        <v>2800</v>
      </c>
      <c r="F173" s="14">
        <f>D173*E173*(1-HLOOKUP(C173,折扣表!$B$2:$E$6,IF(D173&lt;1000,2,IF(D173&lt;1500,3,IF(D173&lt;2000,4,5)))))</f>
        <v>2853760</v>
      </c>
    </row>
    <row r="174" spans="1:6" x14ac:dyDescent="0.15">
      <c r="A174" s="11" t="s">
        <v>190</v>
      </c>
      <c r="B174" s="12">
        <v>40981</v>
      </c>
      <c r="C174" s="13" t="s">
        <v>18</v>
      </c>
      <c r="D174" s="13">
        <v>1457</v>
      </c>
      <c r="E174" s="14">
        <f>VLOOKUP(C174,价格表!$B$2:$C$5,2,0)</f>
        <v>2100</v>
      </c>
      <c r="F174" s="14">
        <f>D174*E174*(1-HLOOKUP(C174,折扣表!$B$2:$E$6,IF(D174&lt;1000,2,IF(D174&lt;1500,3,IF(D174&lt;2000,4,5)))))</f>
        <v>2967909</v>
      </c>
    </row>
    <row r="175" spans="1:6" x14ac:dyDescent="0.15">
      <c r="A175" s="11" t="s">
        <v>191</v>
      </c>
      <c r="B175" s="12">
        <v>40982</v>
      </c>
      <c r="C175" s="13" t="s">
        <v>16</v>
      </c>
      <c r="D175" s="13">
        <v>1445</v>
      </c>
      <c r="E175" s="14">
        <f>VLOOKUP(C175,价格表!$B$2:$C$5,2,0)</f>
        <v>3200</v>
      </c>
      <c r="F175" s="14">
        <f>D175*E175*(1-HLOOKUP(C175,折扣表!$B$2:$E$6,IF(D175&lt;1000,2,IF(D175&lt;1500,3,IF(D175&lt;2000,4,5)))))</f>
        <v>4577760</v>
      </c>
    </row>
    <row r="176" spans="1:6" x14ac:dyDescent="0.15">
      <c r="A176" s="11" t="s">
        <v>192</v>
      </c>
      <c r="B176" s="12">
        <v>40982</v>
      </c>
      <c r="C176" s="13" t="s">
        <v>17</v>
      </c>
      <c r="D176" s="13">
        <v>1110</v>
      </c>
      <c r="E176" s="14">
        <f>VLOOKUP(C176,价格表!$B$2:$C$5,2,0)</f>
        <v>2800</v>
      </c>
      <c r="F176" s="14">
        <f>D176*E176*(1-HLOOKUP(C176,折扣表!$B$2:$E$6,IF(D176&lt;1000,2,IF(D176&lt;1500,3,IF(D176&lt;2000,4,5)))))</f>
        <v>3045840</v>
      </c>
    </row>
    <row r="177" spans="1:6" x14ac:dyDescent="0.15">
      <c r="A177" s="11" t="s">
        <v>193</v>
      </c>
      <c r="B177" s="12">
        <v>40982</v>
      </c>
      <c r="C177" s="13" t="s">
        <v>18</v>
      </c>
      <c r="D177" s="13">
        <v>1492</v>
      </c>
      <c r="E177" s="14">
        <f>VLOOKUP(C177,价格表!$B$2:$C$5,2,0)</f>
        <v>2100</v>
      </c>
      <c r="F177" s="14">
        <f>D177*E177*(1-HLOOKUP(C177,折扣表!$B$2:$E$6,IF(D177&lt;1000,2,IF(D177&lt;1500,3,IF(D177&lt;2000,4,5)))))</f>
        <v>3039204</v>
      </c>
    </row>
    <row r="178" spans="1:6" x14ac:dyDescent="0.15">
      <c r="A178" s="11" t="s">
        <v>194</v>
      </c>
      <c r="B178" s="12">
        <v>40984</v>
      </c>
      <c r="C178" s="13" t="s">
        <v>17</v>
      </c>
      <c r="D178" s="13">
        <v>1110</v>
      </c>
      <c r="E178" s="14">
        <f>VLOOKUP(C178,价格表!$B$2:$C$5,2,0)</f>
        <v>2800</v>
      </c>
      <c r="F178" s="14">
        <f>D178*E178*(1-HLOOKUP(C178,折扣表!$B$2:$E$6,IF(D178&lt;1000,2,IF(D178&lt;1500,3,IF(D178&lt;2000,4,5)))))</f>
        <v>3045840</v>
      </c>
    </row>
    <row r="179" spans="1:6" x14ac:dyDescent="0.15">
      <c r="A179" s="11" t="s">
        <v>195</v>
      </c>
      <c r="B179" s="12">
        <v>40984</v>
      </c>
      <c r="C179" s="13" t="s">
        <v>18</v>
      </c>
      <c r="D179" s="13">
        <v>1432</v>
      </c>
      <c r="E179" s="14">
        <f>VLOOKUP(C179,价格表!$B$2:$C$5,2,0)</f>
        <v>2100</v>
      </c>
      <c r="F179" s="14">
        <f>D179*E179*(1-HLOOKUP(C179,折扣表!$B$2:$E$6,IF(D179&lt;1000,2,IF(D179&lt;1500,3,IF(D179&lt;2000,4,5)))))</f>
        <v>2916984</v>
      </c>
    </row>
    <row r="180" spans="1:6" x14ac:dyDescent="0.15">
      <c r="A180" s="11" t="s">
        <v>196</v>
      </c>
      <c r="B180" s="12">
        <v>40985</v>
      </c>
      <c r="C180" s="13" t="s">
        <v>17</v>
      </c>
      <c r="D180" s="13">
        <v>1056</v>
      </c>
      <c r="E180" s="14">
        <f>VLOOKUP(C180,价格表!$B$2:$C$5,2,0)</f>
        <v>2800</v>
      </c>
      <c r="F180" s="14">
        <f>D180*E180*(1-HLOOKUP(C180,折扣表!$B$2:$E$6,IF(D180&lt;1000,2,IF(D180&lt;1500,3,IF(D180&lt;2000,4,5)))))</f>
        <v>2897664</v>
      </c>
    </row>
    <row r="181" spans="1:6" x14ac:dyDescent="0.15">
      <c r="A181" s="11" t="s">
        <v>197</v>
      </c>
      <c r="B181" s="12">
        <v>40985</v>
      </c>
      <c r="C181" s="13" t="s">
        <v>18</v>
      </c>
      <c r="D181" s="13">
        <v>1405</v>
      </c>
      <c r="E181" s="14">
        <f>VLOOKUP(C181,价格表!$B$2:$C$5,2,0)</f>
        <v>2100</v>
      </c>
      <c r="F181" s="14">
        <f>D181*E181*(1-HLOOKUP(C181,折扣表!$B$2:$E$6,IF(D181&lt;1000,2,IF(D181&lt;1500,3,IF(D181&lt;2000,4,5)))))</f>
        <v>2861985</v>
      </c>
    </row>
    <row r="182" spans="1:6" x14ac:dyDescent="0.15">
      <c r="A182" s="11" t="s">
        <v>198</v>
      </c>
      <c r="B182" s="12">
        <v>40986</v>
      </c>
      <c r="C182" s="13" t="s">
        <v>16</v>
      </c>
      <c r="D182" s="13">
        <v>1369</v>
      </c>
      <c r="E182" s="14">
        <f>VLOOKUP(C182,价格表!$B$2:$C$5,2,0)</f>
        <v>3200</v>
      </c>
      <c r="F182" s="14">
        <f>D182*E182*(1-HLOOKUP(C182,折扣表!$B$2:$E$6,IF(D182&lt;1000,2,IF(D182&lt;1500,3,IF(D182&lt;2000,4,5)))))</f>
        <v>4336992</v>
      </c>
    </row>
    <row r="183" spans="1:6" x14ac:dyDescent="0.15">
      <c r="A183" s="11" t="s">
        <v>199</v>
      </c>
      <c r="B183" s="12">
        <v>40986</v>
      </c>
      <c r="C183" s="13" t="s">
        <v>17</v>
      </c>
      <c r="D183" s="13">
        <v>1118</v>
      </c>
      <c r="E183" s="14">
        <f>VLOOKUP(C183,价格表!$B$2:$C$5,2,0)</f>
        <v>2800</v>
      </c>
      <c r="F183" s="14">
        <f>D183*E183*(1-HLOOKUP(C183,折扣表!$B$2:$E$6,IF(D183&lt;1000,2,IF(D183&lt;1500,3,IF(D183&lt;2000,4,5)))))</f>
        <v>3067792</v>
      </c>
    </row>
    <row r="184" spans="1:6" x14ac:dyDescent="0.15">
      <c r="A184" s="11" t="s">
        <v>200</v>
      </c>
      <c r="B184" s="12">
        <v>40986</v>
      </c>
      <c r="C184" s="13" t="s">
        <v>18</v>
      </c>
      <c r="D184" s="13">
        <v>1400</v>
      </c>
      <c r="E184" s="14">
        <f>VLOOKUP(C184,价格表!$B$2:$C$5,2,0)</f>
        <v>2100</v>
      </c>
      <c r="F184" s="14">
        <f>D184*E184*(1-HLOOKUP(C184,折扣表!$B$2:$E$6,IF(D184&lt;1000,2,IF(D184&lt;1500,3,IF(D184&lt;2000,4,5)))))</f>
        <v>2851800</v>
      </c>
    </row>
    <row r="185" spans="1:6" x14ac:dyDescent="0.15">
      <c r="A185" s="11" t="s">
        <v>201</v>
      </c>
      <c r="B185" s="12">
        <v>40987</v>
      </c>
      <c r="C185" s="13" t="s">
        <v>17</v>
      </c>
      <c r="D185" s="13">
        <v>1174</v>
      </c>
      <c r="E185" s="14">
        <f>VLOOKUP(C185,价格表!$B$2:$C$5,2,0)</f>
        <v>2800</v>
      </c>
      <c r="F185" s="14">
        <f>D185*E185*(1-HLOOKUP(C185,折扣表!$B$2:$E$6,IF(D185&lt;1000,2,IF(D185&lt;1500,3,IF(D185&lt;2000,4,5)))))</f>
        <v>3221456</v>
      </c>
    </row>
    <row r="186" spans="1:6" x14ac:dyDescent="0.15">
      <c r="A186" s="11" t="s">
        <v>202</v>
      </c>
      <c r="B186" s="12">
        <v>40987</v>
      </c>
      <c r="C186" s="13" t="s">
        <v>18</v>
      </c>
      <c r="D186" s="13">
        <v>1452</v>
      </c>
      <c r="E186" s="14">
        <f>VLOOKUP(C186,价格表!$B$2:$C$5,2,0)</f>
        <v>2100</v>
      </c>
      <c r="F186" s="14">
        <f>D186*E186*(1-HLOOKUP(C186,折扣表!$B$2:$E$6,IF(D186&lt;1000,2,IF(D186&lt;1500,3,IF(D186&lt;2000,4,5)))))</f>
        <v>2957724</v>
      </c>
    </row>
    <row r="187" spans="1:6" x14ac:dyDescent="0.15">
      <c r="A187" s="11" t="s">
        <v>203</v>
      </c>
      <c r="B187" s="12">
        <v>40988</v>
      </c>
      <c r="C187" s="13" t="s">
        <v>16</v>
      </c>
      <c r="D187" s="13">
        <v>1556</v>
      </c>
      <c r="E187" s="14">
        <f>VLOOKUP(C187,价格表!$B$2:$C$5,2,0)</f>
        <v>3200</v>
      </c>
      <c r="F187" s="14">
        <f>D187*E187*(1-HLOOKUP(C187,折扣表!$B$2:$E$6,IF(D187&lt;1000,2,IF(D187&lt;1500,3,IF(D187&lt;2000,4,5)))))</f>
        <v>4879616</v>
      </c>
    </row>
    <row r="188" spans="1:6" x14ac:dyDescent="0.15">
      <c r="A188" s="11" t="s">
        <v>204</v>
      </c>
      <c r="B188" s="12">
        <v>40988</v>
      </c>
      <c r="C188" s="13" t="s">
        <v>17</v>
      </c>
      <c r="D188" s="13">
        <v>1141</v>
      </c>
      <c r="E188" s="14">
        <f>VLOOKUP(C188,价格表!$B$2:$C$5,2,0)</f>
        <v>2800</v>
      </c>
      <c r="F188" s="14">
        <f>D188*E188*(1-HLOOKUP(C188,折扣表!$B$2:$E$6,IF(D188&lt;1000,2,IF(D188&lt;1500,3,IF(D188&lt;2000,4,5)))))</f>
        <v>3130904</v>
      </c>
    </row>
    <row r="189" spans="1:6" x14ac:dyDescent="0.15">
      <c r="A189" s="11" t="s">
        <v>205</v>
      </c>
      <c r="B189" s="12">
        <v>40988</v>
      </c>
      <c r="C189" s="13" t="s">
        <v>18</v>
      </c>
      <c r="D189" s="13">
        <v>1439</v>
      </c>
      <c r="E189" s="14">
        <f>VLOOKUP(C189,价格表!$B$2:$C$5,2,0)</f>
        <v>2100</v>
      </c>
      <c r="F189" s="14">
        <f>D189*E189*(1-HLOOKUP(C189,折扣表!$B$2:$E$6,IF(D189&lt;1000,2,IF(D189&lt;1500,3,IF(D189&lt;2000,4,5)))))</f>
        <v>2931243</v>
      </c>
    </row>
    <row r="190" spans="1:6" x14ac:dyDescent="0.15">
      <c r="A190" s="11" t="s">
        <v>206</v>
      </c>
      <c r="B190" s="12">
        <v>40989</v>
      </c>
      <c r="C190" s="13" t="s">
        <v>16</v>
      </c>
      <c r="D190" s="13">
        <v>1508</v>
      </c>
      <c r="E190" s="14">
        <f>VLOOKUP(C190,价格表!$B$2:$C$5,2,0)</f>
        <v>3200</v>
      </c>
      <c r="F190" s="14">
        <f>D190*E190*(1-HLOOKUP(C190,折扣表!$B$2:$E$6,IF(D190&lt;1000,2,IF(D190&lt;1500,3,IF(D190&lt;2000,4,5)))))</f>
        <v>4729088</v>
      </c>
    </row>
    <row r="191" spans="1:6" x14ac:dyDescent="0.15">
      <c r="A191" s="11" t="s">
        <v>207</v>
      </c>
      <c r="B191" s="12">
        <v>40989</v>
      </c>
      <c r="C191" s="13" t="s">
        <v>17</v>
      </c>
      <c r="D191" s="13">
        <v>1097</v>
      </c>
      <c r="E191" s="14">
        <f>VLOOKUP(C191,价格表!$B$2:$C$5,2,0)</f>
        <v>2800</v>
      </c>
      <c r="F191" s="14">
        <f>D191*E191*(1-HLOOKUP(C191,折扣表!$B$2:$E$6,IF(D191&lt;1000,2,IF(D191&lt;1500,3,IF(D191&lt;2000,4,5)))))</f>
        <v>3010168</v>
      </c>
    </row>
    <row r="192" spans="1:6" x14ac:dyDescent="0.15">
      <c r="A192" s="11" t="s">
        <v>208</v>
      </c>
      <c r="B192" s="12">
        <v>40991</v>
      </c>
      <c r="C192" s="13" t="s">
        <v>16</v>
      </c>
      <c r="D192" s="13">
        <v>1578</v>
      </c>
      <c r="E192" s="14">
        <f>VLOOKUP(C192,价格表!$B$2:$C$5,2,0)</f>
        <v>3200</v>
      </c>
      <c r="F192" s="14">
        <f>D192*E192*(1-HLOOKUP(C192,折扣表!$B$2:$E$6,IF(D192&lt;1000,2,IF(D192&lt;1500,3,IF(D192&lt;2000,4,5)))))</f>
        <v>4948608</v>
      </c>
    </row>
    <row r="193" spans="1:6" x14ac:dyDescent="0.15">
      <c r="A193" s="11" t="s">
        <v>209</v>
      </c>
      <c r="B193" s="12">
        <v>40991</v>
      </c>
      <c r="C193" s="13" t="s">
        <v>17</v>
      </c>
      <c r="D193" s="13">
        <v>1149</v>
      </c>
      <c r="E193" s="14">
        <f>VLOOKUP(C193,价格表!$B$2:$C$5,2,0)</f>
        <v>2800</v>
      </c>
      <c r="F193" s="14">
        <f>D193*E193*(1-HLOOKUP(C193,折扣表!$B$2:$E$6,IF(D193&lt;1000,2,IF(D193&lt;1500,3,IF(D193&lt;2000,4,5)))))</f>
        <v>3152856</v>
      </c>
    </row>
    <row r="194" spans="1:6" x14ac:dyDescent="0.15">
      <c r="A194" s="11" t="s">
        <v>210</v>
      </c>
      <c r="B194" s="12">
        <v>40991</v>
      </c>
      <c r="C194" s="13" t="s">
        <v>18</v>
      </c>
      <c r="D194" s="13">
        <v>1427</v>
      </c>
      <c r="E194" s="14">
        <f>VLOOKUP(C194,价格表!$B$2:$C$5,2,0)</f>
        <v>2100</v>
      </c>
      <c r="F194" s="14">
        <f>D194*E194*(1-HLOOKUP(C194,折扣表!$B$2:$E$6,IF(D194&lt;1000,2,IF(D194&lt;1500,3,IF(D194&lt;2000,4,5)))))</f>
        <v>2906799</v>
      </c>
    </row>
    <row r="195" spans="1:6" x14ac:dyDescent="0.15">
      <c r="A195" s="11" t="s">
        <v>211</v>
      </c>
      <c r="B195" s="12">
        <v>40992</v>
      </c>
      <c r="C195" s="13" t="s">
        <v>17</v>
      </c>
      <c r="D195" s="13">
        <v>1159</v>
      </c>
      <c r="E195" s="14">
        <f>VLOOKUP(C195,价格表!$B$2:$C$5,2,0)</f>
        <v>2800</v>
      </c>
      <c r="F195" s="14">
        <f>D195*E195*(1-HLOOKUP(C195,折扣表!$B$2:$E$6,IF(D195&lt;1000,2,IF(D195&lt;1500,3,IF(D195&lt;2000,4,5)))))</f>
        <v>3180296</v>
      </c>
    </row>
    <row r="196" spans="1:6" x14ac:dyDescent="0.15">
      <c r="A196" s="11" t="s">
        <v>212</v>
      </c>
      <c r="B196" s="12">
        <v>40992</v>
      </c>
      <c r="C196" s="13" t="s">
        <v>18</v>
      </c>
      <c r="D196" s="13">
        <v>1423</v>
      </c>
      <c r="E196" s="14">
        <f>VLOOKUP(C196,价格表!$B$2:$C$5,2,0)</f>
        <v>2100</v>
      </c>
      <c r="F196" s="14">
        <f>D196*E196*(1-HLOOKUP(C196,折扣表!$B$2:$E$6,IF(D196&lt;1000,2,IF(D196&lt;1500,3,IF(D196&lt;2000,4,5)))))</f>
        <v>2898651</v>
      </c>
    </row>
    <row r="197" spans="1:6" x14ac:dyDescent="0.15">
      <c r="A197" s="11" t="s">
        <v>213</v>
      </c>
      <c r="B197" s="12">
        <v>40993</v>
      </c>
      <c r="C197" s="13" t="s">
        <v>16</v>
      </c>
      <c r="D197" s="13">
        <v>1590</v>
      </c>
      <c r="E197" s="14">
        <f>VLOOKUP(C197,价格表!$B$2:$C$5,2,0)</f>
        <v>3200</v>
      </c>
      <c r="F197" s="14">
        <f>D197*E197*(1-HLOOKUP(C197,折扣表!$B$2:$E$6,IF(D197&lt;1000,2,IF(D197&lt;1500,3,IF(D197&lt;2000,4,5)))))</f>
        <v>4986240</v>
      </c>
    </row>
    <row r="198" spans="1:6" x14ac:dyDescent="0.15">
      <c r="A198" s="11" t="s">
        <v>214</v>
      </c>
      <c r="B198" s="12">
        <v>40993</v>
      </c>
      <c r="C198" s="13" t="s">
        <v>17</v>
      </c>
      <c r="D198" s="13">
        <v>1169</v>
      </c>
      <c r="E198" s="14">
        <f>VLOOKUP(C198,价格表!$B$2:$C$5,2,0)</f>
        <v>2800</v>
      </c>
      <c r="F198" s="14">
        <f>D198*E198*(1-HLOOKUP(C198,折扣表!$B$2:$E$6,IF(D198&lt;1000,2,IF(D198&lt;1500,3,IF(D198&lt;2000,4,5)))))</f>
        <v>3207736</v>
      </c>
    </row>
    <row r="199" spans="1:6" x14ac:dyDescent="0.15">
      <c r="A199" s="11" t="s">
        <v>215</v>
      </c>
      <c r="B199" s="12">
        <v>40993</v>
      </c>
      <c r="C199" s="13" t="s">
        <v>18</v>
      </c>
      <c r="D199" s="13">
        <v>1466</v>
      </c>
      <c r="E199" s="14">
        <f>VLOOKUP(C199,价格表!$B$2:$C$5,2,0)</f>
        <v>2100</v>
      </c>
      <c r="F199" s="14">
        <f>D199*E199*(1-HLOOKUP(C199,折扣表!$B$2:$E$6,IF(D199&lt;1000,2,IF(D199&lt;1500,3,IF(D199&lt;2000,4,5)))))</f>
        <v>2986242</v>
      </c>
    </row>
    <row r="200" spans="1:6" x14ac:dyDescent="0.15">
      <c r="A200" s="11" t="s">
        <v>216</v>
      </c>
      <c r="B200" s="12">
        <v>40994</v>
      </c>
      <c r="C200" s="13" t="s">
        <v>16</v>
      </c>
      <c r="D200" s="13">
        <v>1527</v>
      </c>
      <c r="E200" s="14">
        <f>VLOOKUP(C200,价格表!$B$2:$C$5,2,0)</f>
        <v>3200</v>
      </c>
      <c r="F200" s="14">
        <f>D200*E200*(1-HLOOKUP(C200,折扣表!$B$2:$E$6,IF(D200&lt;1000,2,IF(D200&lt;1500,3,IF(D200&lt;2000,4,5)))))</f>
        <v>4788672</v>
      </c>
    </row>
    <row r="201" spans="1:6" x14ac:dyDescent="0.15">
      <c r="A201" s="11" t="s">
        <v>217</v>
      </c>
      <c r="B201" s="12">
        <v>40994</v>
      </c>
      <c r="C201" s="13" t="s">
        <v>17</v>
      </c>
      <c r="D201" s="13">
        <v>1117</v>
      </c>
      <c r="E201" s="14">
        <f>VLOOKUP(C201,价格表!$B$2:$C$5,2,0)</f>
        <v>2800</v>
      </c>
      <c r="F201" s="14">
        <f>D201*E201*(1-HLOOKUP(C201,折扣表!$B$2:$E$6,IF(D201&lt;1000,2,IF(D201&lt;1500,3,IF(D201&lt;2000,4,5)))))</f>
        <v>3065048</v>
      </c>
    </row>
    <row r="202" spans="1:6" x14ac:dyDescent="0.15">
      <c r="A202" s="11" t="s">
        <v>218</v>
      </c>
      <c r="B202" s="12">
        <v>40994</v>
      </c>
      <c r="C202" s="13" t="s">
        <v>18</v>
      </c>
      <c r="D202" s="13">
        <v>1440</v>
      </c>
      <c r="E202" s="14">
        <f>VLOOKUP(C202,价格表!$B$2:$C$5,2,0)</f>
        <v>2100</v>
      </c>
      <c r="F202" s="14">
        <f>D202*E202*(1-HLOOKUP(C202,折扣表!$B$2:$E$6,IF(D202&lt;1000,2,IF(D202&lt;1500,3,IF(D202&lt;2000,4,5)))))</f>
        <v>2933280</v>
      </c>
    </row>
    <row r="203" spans="1:6" x14ac:dyDescent="0.15">
      <c r="A203" s="11" t="s">
        <v>219</v>
      </c>
      <c r="B203" s="12">
        <v>40995</v>
      </c>
      <c r="C203" s="13" t="s">
        <v>17</v>
      </c>
      <c r="D203" s="13">
        <v>1163</v>
      </c>
      <c r="E203" s="14">
        <f>VLOOKUP(C203,价格表!$B$2:$C$5,2,0)</f>
        <v>2800</v>
      </c>
      <c r="F203" s="14">
        <f>D203*E203*(1-HLOOKUP(C203,折扣表!$B$2:$E$6,IF(D203&lt;1000,2,IF(D203&lt;1500,3,IF(D203&lt;2000,4,5)))))</f>
        <v>3191272</v>
      </c>
    </row>
    <row r="204" spans="1:6" x14ac:dyDescent="0.15">
      <c r="A204" s="11" t="s">
        <v>220</v>
      </c>
      <c r="B204" s="12">
        <v>40995</v>
      </c>
      <c r="C204" s="13" t="s">
        <v>18</v>
      </c>
      <c r="D204" s="13">
        <v>1457</v>
      </c>
      <c r="E204" s="14">
        <f>VLOOKUP(C204,价格表!$B$2:$C$5,2,0)</f>
        <v>2100</v>
      </c>
      <c r="F204" s="14">
        <f>D204*E204*(1-HLOOKUP(C204,折扣表!$B$2:$E$6,IF(D204&lt;1000,2,IF(D204&lt;1500,3,IF(D204&lt;2000,4,5)))))</f>
        <v>2967909</v>
      </c>
    </row>
    <row r="205" spans="1:6" x14ac:dyDescent="0.15">
      <c r="A205" s="11" t="s">
        <v>221</v>
      </c>
      <c r="B205" s="12">
        <v>40996</v>
      </c>
      <c r="C205" s="13" t="s">
        <v>16</v>
      </c>
      <c r="D205" s="13">
        <v>1337</v>
      </c>
      <c r="E205" s="14">
        <f>VLOOKUP(C205,价格表!$B$2:$C$5,2,0)</f>
        <v>3200</v>
      </c>
      <c r="F205" s="14">
        <f>D205*E205*(1-HLOOKUP(C205,折扣表!$B$2:$E$6,IF(D205&lt;1000,2,IF(D205&lt;1500,3,IF(D205&lt;2000,4,5)))))</f>
        <v>4235616</v>
      </c>
    </row>
    <row r="206" spans="1:6" x14ac:dyDescent="0.15">
      <c r="A206" s="11" t="s">
        <v>222</v>
      </c>
      <c r="B206" s="12">
        <v>40996</v>
      </c>
      <c r="C206" s="13" t="s">
        <v>18</v>
      </c>
      <c r="D206" s="13">
        <v>1456</v>
      </c>
      <c r="E206" s="14">
        <f>VLOOKUP(C206,价格表!$B$2:$C$5,2,0)</f>
        <v>2100</v>
      </c>
      <c r="F206" s="14">
        <f>D206*E206*(1-HLOOKUP(C206,折扣表!$B$2:$E$6,IF(D206&lt;1000,2,IF(D206&lt;1500,3,IF(D206&lt;2000,4,5)))))</f>
        <v>2965872</v>
      </c>
    </row>
    <row r="207" spans="1:6" x14ac:dyDescent="0.15">
      <c r="A207" s="11" t="s">
        <v>223</v>
      </c>
      <c r="B207" s="12">
        <v>40997</v>
      </c>
      <c r="C207" s="13" t="s">
        <v>16</v>
      </c>
      <c r="D207" s="13">
        <v>1480</v>
      </c>
      <c r="E207" s="14">
        <f>VLOOKUP(C207,价格表!$B$2:$C$5,2,0)</f>
        <v>3200</v>
      </c>
      <c r="F207" s="14">
        <f>D207*E207*(1-HLOOKUP(C207,折扣表!$B$2:$E$6,IF(D207&lt;1000,2,IF(D207&lt;1500,3,IF(D207&lt;2000,4,5)))))</f>
        <v>4688640</v>
      </c>
    </row>
    <row r="208" spans="1:6" x14ac:dyDescent="0.15">
      <c r="A208" s="11" t="s">
        <v>224</v>
      </c>
      <c r="B208" s="12">
        <v>40997</v>
      </c>
      <c r="C208" s="13" t="s">
        <v>17</v>
      </c>
      <c r="D208" s="13">
        <v>1011</v>
      </c>
      <c r="E208" s="14">
        <f>VLOOKUP(C208,价格表!$B$2:$C$5,2,0)</f>
        <v>2800</v>
      </c>
      <c r="F208" s="14">
        <f>D208*E208*(1-HLOOKUP(C208,折扣表!$B$2:$E$6,IF(D208&lt;1000,2,IF(D208&lt;1500,3,IF(D208&lt;2000,4,5)))))</f>
        <v>2774184</v>
      </c>
    </row>
    <row r="209" spans="1:6" x14ac:dyDescent="0.15">
      <c r="A209" s="11" t="s">
        <v>225</v>
      </c>
      <c r="B209" s="12">
        <v>40997</v>
      </c>
      <c r="C209" s="13" t="s">
        <v>18</v>
      </c>
      <c r="D209" s="13">
        <v>1425</v>
      </c>
      <c r="E209" s="14">
        <f>VLOOKUP(C209,价格表!$B$2:$C$5,2,0)</f>
        <v>2100</v>
      </c>
      <c r="F209" s="14">
        <f>D209*E209*(1-HLOOKUP(C209,折扣表!$B$2:$E$6,IF(D209&lt;1000,2,IF(D209&lt;1500,3,IF(D209&lt;2000,4,5)))))</f>
        <v>2902725</v>
      </c>
    </row>
    <row r="210" spans="1:6" x14ac:dyDescent="0.15">
      <c r="A210" s="11" t="s">
        <v>226</v>
      </c>
      <c r="B210" s="12">
        <v>40998</v>
      </c>
      <c r="C210" s="13" t="s">
        <v>16</v>
      </c>
      <c r="D210" s="13">
        <v>1563</v>
      </c>
      <c r="E210" s="14">
        <f>VLOOKUP(C210,价格表!$B$2:$C$5,2,0)</f>
        <v>3200</v>
      </c>
      <c r="F210" s="14">
        <f>D210*E210*(1-HLOOKUP(C210,折扣表!$B$2:$E$6,IF(D210&lt;1000,2,IF(D210&lt;1500,3,IF(D210&lt;2000,4,5)))))</f>
        <v>4901568</v>
      </c>
    </row>
    <row r="211" spans="1:6" x14ac:dyDescent="0.15">
      <c r="A211" s="11" t="s">
        <v>227</v>
      </c>
      <c r="B211" s="12">
        <v>40998</v>
      </c>
      <c r="C211" s="13" t="s">
        <v>18</v>
      </c>
      <c r="D211" s="13">
        <v>1476</v>
      </c>
      <c r="E211" s="14">
        <f>VLOOKUP(C211,价格表!$B$2:$C$5,2,0)</f>
        <v>2100</v>
      </c>
      <c r="F211" s="14">
        <f>D211*E211*(1-HLOOKUP(C211,折扣表!$B$2:$E$6,IF(D211&lt;1000,2,IF(D211&lt;1500,3,IF(D211&lt;2000,4,5)))))</f>
        <v>3006612</v>
      </c>
    </row>
    <row r="212" spans="1:6" x14ac:dyDescent="0.15">
      <c r="A212" s="11" t="s">
        <v>228</v>
      </c>
      <c r="B212" s="12">
        <v>40999</v>
      </c>
      <c r="C212" s="13" t="s">
        <v>16</v>
      </c>
      <c r="D212" s="13">
        <v>1521</v>
      </c>
      <c r="E212" s="14">
        <f>VLOOKUP(C212,价格表!$B$2:$C$5,2,0)</f>
        <v>3200</v>
      </c>
      <c r="F212" s="14">
        <f>D212*E212*(1-HLOOKUP(C212,折扣表!$B$2:$E$6,IF(D212&lt;1000,2,IF(D212&lt;1500,3,IF(D212&lt;2000,4,5)))))</f>
        <v>4769856</v>
      </c>
    </row>
    <row r="213" spans="1:6" x14ac:dyDescent="0.15">
      <c r="A213" s="11" t="s">
        <v>229</v>
      </c>
      <c r="B213" s="12">
        <v>40999</v>
      </c>
      <c r="C213" s="13" t="s">
        <v>17</v>
      </c>
      <c r="D213" s="13">
        <v>1012</v>
      </c>
      <c r="E213" s="14">
        <f>VLOOKUP(C213,价格表!$B$2:$C$5,2,0)</f>
        <v>2800</v>
      </c>
      <c r="F213" s="14">
        <f>D213*E213*(1-HLOOKUP(C213,折扣表!$B$2:$E$6,IF(D213&lt;1000,2,IF(D213&lt;1500,3,IF(D213&lt;2000,4,5)))))</f>
        <v>2776928</v>
      </c>
    </row>
    <row r="214" spans="1:6" x14ac:dyDescent="0.15">
      <c r="A214" s="11" t="s">
        <v>230</v>
      </c>
      <c r="B214" s="12">
        <v>40999</v>
      </c>
      <c r="C214" s="13" t="s">
        <v>18</v>
      </c>
      <c r="D214" s="13">
        <v>1481</v>
      </c>
      <c r="E214" s="14">
        <f>VLOOKUP(C214,价格表!$B$2:$C$5,2,0)</f>
        <v>2100</v>
      </c>
      <c r="F214" s="14">
        <f>D214*E214*(1-HLOOKUP(C214,折扣表!$B$2:$E$6,IF(D214&lt;1000,2,IF(D214&lt;1500,3,IF(D214&lt;2000,4,5)))))</f>
        <v>3016797</v>
      </c>
    </row>
    <row r="215" spans="1:6" x14ac:dyDescent="0.15">
      <c r="A215" s="11" t="s">
        <v>231</v>
      </c>
      <c r="B215" s="12">
        <v>41000</v>
      </c>
      <c r="C215" s="13" t="s">
        <v>16</v>
      </c>
      <c r="D215" s="13">
        <v>1542</v>
      </c>
      <c r="E215" s="14">
        <f>VLOOKUP(C215,价格表!$B$2:$C$5,2,0)</f>
        <v>3200</v>
      </c>
      <c r="F215" s="14">
        <f>D215*E215*(1-HLOOKUP(C215,折扣表!$B$2:$E$6,IF(D215&lt;1000,2,IF(D215&lt;1500,3,IF(D215&lt;2000,4,5)))))</f>
        <v>4835712</v>
      </c>
    </row>
    <row r="216" spans="1:6" x14ac:dyDescent="0.15">
      <c r="A216" s="11" t="s">
        <v>232</v>
      </c>
      <c r="B216" s="12">
        <v>41000</v>
      </c>
      <c r="C216" s="13" t="s">
        <v>17</v>
      </c>
      <c r="D216" s="13">
        <v>1235</v>
      </c>
      <c r="E216" s="14">
        <f>VLOOKUP(C216,价格表!$B$2:$C$5,2,0)</f>
        <v>2800</v>
      </c>
      <c r="F216" s="14">
        <f>D216*E216*(1-HLOOKUP(C216,折扣表!$B$2:$E$6,IF(D216&lt;1000,2,IF(D216&lt;1500,3,IF(D216&lt;2000,4,5)))))</f>
        <v>3388840</v>
      </c>
    </row>
    <row r="217" spans="1:6" x14ac:dyDescent="0.15">
      <c r="A217" s="11" t="s">
        <v>233</v>
      </c>
      <c r="B217" s="12">
        <v>41000</v>
      </c>
      <c r="C217" s="13" t="s">
        <v>18</v>
      </c>
      <c r="D217" s="13">
        <v>1427</v>
      </c>
      <c r="E217" s="14">
        <f>VLOOKUP(C217,价格表!$B$2:$C$5,2,0)</f>
        <v>2100</v>
      </c>
      <c r="F217" s="14">
        <f>D217*E217*(1-HLOOKUP(C217,折扣表!$B$2:$E$6,IF(D217&lt;1000,2,IF(D217&lt;1500,3,IF(D217&lt;2000,4,5)))))</f>
        <v>2906799</v>
      </c>
    </row>
    <row r="218" spans="1:6" x14ac:dyDescent="0.15">
      <c r="A218" s="11" t="s">
        <v>234</v>
      </c>
      <c r="B218" s="12">
        <v>41001</v>
      </c>
      <c r="C218" s="13" t="s">
        <v>16</v>
      </c>
      <c r="D218" s="13">
        <v>1443</v>
      </c>
      <c r="E218" s="14">
        <f>VLOOKUP(C218,价格表!$B$2:$C$5,2,0)</f>
        <v>3200</v>
      </c>
      <c r="F218" s="14">
        <f>D218*E218*(1-HLOOKUP(C218,折扣表!$B$2:$E$6,IF(D218&lt;1000,2,IF(D218&lt;1500,3,IF(D218&lt;2000,4,5)))))</f>
        <v>4571424</v>
      </c>
    </row>
    <row r="219" spans="1:6" x14ac:dyDescent="0.15">
      <c r="A219" s="11" t="s">
        <v>235</v>
      </c>
      <c r="B219" s="12">
        <v>41001</v>
      </c>
      <c r="C219" s="13" t="s">
        <v>17</v>
      </c>
      <c r="D219" s="13">
        <v>1245</v>
      </c>
      <c r="E219" s="14">
        <f>VLOOKUP(C219,价格表!$B$2:$C$5,2,0)</f>
        <v>2800</v>
      </c>
      <c r="F219" s="14">
        <f>D219*E219*(1-HLOOKUP(C219,折扣表!$B$2:$E$6,IF(D219&lt;1000,2,IF(D219&lt;1500,3,IF(D219&lt;2000,4,5)))))</f>
        <v>3416280</v>
      </c>
    </row>
    <row r="220" spans="1:6" x14ac:dyDescent="0.15">
      <c r="A220" s="11" t="s">
        <v>236</v>
      </c>
      <c r="B220" s="12">
        <v>41001</v>
      </c>
      <c r="C220" s="13" t="s">
        <v>18</v>
      </c>
      <c r="D220" s="13">
        <v>1362</v>
      </c>
      <c r="E220" s="14">
        <f>VLOOKUP(C220,价格表!$B$2:$C$5,2,0)</f>
        <v>2100</v>
      </c>
      <c r="F220" s="14">
        <f>D220*E220*(1-HLOOKUP(C220,折扣表!$B$2:$E$6,IF(D220&lt;1000,2,IF(D220&lt;1500,3,IF(D220&lt;2000,4,5)))))</f>
        <v>2774394</v>
      </c>
    </row>
    <row r="221" spans="1:6" x14ac:dyDescent="0.15">
      <c r="A221" s="11" t="s">
        <v>237</v>
      </c>
      <c r="B221" s="12">
        <v>41002</v>
      </c>
      <c r="C221" s="13" t="s">
        <v>16</v>
      </c>
      <c r="D221" s="13">
        <v>1301</v>
      </c>
      <c r="E221" s="14">
        <f>VLOOKUP(C221,价格表!$B$2:$C$5,2,0)</f>
        <v>3200</v>
      </c>
      <c r="F221" s="14">
        <f>D221*E221*(1-HLOOKUP(C221,折扣表!$B$2:$E$6,IF(D221&lt;1000,2,IF(D221&lt;1500,3,IF(D221&lt;2000,4,5)))))</f>
        <v>4121568</v>
      </c>
    </row>
    <row r="222" spans="1:6" x14ac:dyDescent="0.15">
      <c r="A222" s="11" t="s">
        <v>238</v>
      </c>
      <c r="B222" s="12">
        <v>41002</v>
      </c>
      <c r="C222" s="13" t="s">
        <v>17</v>
      </c>
      <c r="D222" s="13">
        <v>1238</v>
      </c>
      <c r="E222" s="14">
        <f>VLOOKUP(C222,价格表!$B$2:$C$5,2,0)</f>
        <v>2800</v>
      </c>
      <c r="F222" s="14">
        <f>D222*E222*(1-HLOOKUP(C222,折扣表!$B$2:$E$6,IF(D222&lt;1000,2,IF(D222&lt;1500,3,IF(D222&lt;2000,4,5)))))</f>
        <v>3397072</v>
      </c>
    </row>
    <row r="223" spans="1:6" x14ac:dyDescent="0.15">
      <c r="A223" s="11" t="s">
        <v>239</v>
      </c>
      <c r="B223" s="12">
        <v>41003</v>
      </c>
      <c r="C223" s="13" t="s">
        <v>16</v>
      </c>
      <c r="D223" s="13">
        <v>1242</v>
      </c>
      <c r="E223" s="14">
        <f>VLOOKUP(C223,价格表!$B$2:$C$5,2,0)</f>
        <v>3200</v>
      </c>
      <c r="F223" s="14">
        <f>D223*E223*(1-HLOOKUP(C223,折扣表!$B$2:$E$6,IF(D223&lt;1000,2,IF(D223&lt;1500,3,IF(D223&lt;2000,4,5)))))</f>
        <v>3934656</v>
      </c>
    </row>
    <row r="224" spans="1:6" x14ac:dyDescent="0.15">
      <c r="A224" s="11" t="s">
        <v>240</v>
      </c>
      <c r="B224" s="12">
        <v>41003</v>
      </c>
      <c r="C224" s="13" t="s">
        <v>18</v>
      </c>
      <c r="D224" s="13">
        <v>1449</v>
      </c>
      <c r="E224" s="14">
        <f>VLOOKUP(C224,价格表!$B$2:$C$5,2,0)</f>
        <v>2100</v>
      </c>
      <c r="F224" s="14">
        <f>D224*E224*(1-HLOOKUP(C224,折扣表!$B$2:$E$6,IF(D224&lt;1000,2,IF(D224&lt;1500,3,IF(D224&lt;2000,4,5)))))</f>
        <v>2951613</v>
      </c>
    </row>
    <row r="225" spans="1:6" x14ac:dyDescent="0.15">
      <c r="A225" s="11" t="s">
        <v>241</v>
      </c>
      <c r="B225" s="12">
        <v>41004</v>
      </c>
      <c r="C225" s="13" t="s">
        <v>16</v>
      </c>
      <c r="D225" s="13">
        <v>1481</v>
      </c>
      <c r="E225" s="14">
        <f>VLOOKUP(C225,价格表!$B$2:$C$5,2,0)</f>
        <v>3200</v>
      </c>
      <c r="F225" s="14">
        <f>D225*E225*(1-HLOOKUP(C225,折扣表!$B$2:$E$6,IF(D225&lt;1000,2,IF(D225&lt;1500,3,IF(D225&lt;2000,4,5)))))</f>
        <v>4691808</v>
      </c>
    </row>
    <row r="226" spans="1:6" x14ac:dyDescent="0.15">
      <c r="A226" s="11" t="s">
        <v>242</v>
      </c>
      <c r="B226" s="12">
        <v>41004</v>
      </c>
      <c r="C226" s="13" t="s">
        <v>17</v>
      </c>
      <c r="D226" s="13">
        <v>1293</v>
      </c>
      <c r="E226" s="14">
        <f>VLOOKUP(C226,价格表!$B$2:$C$5,2,0)</f>
        <v>2800</v>
      </c>
      <c r="F226" s="14">
        <f>D226*E226*(1-HLOOKUP(C226,折扣表!$B$2:$E$6,IF(D226&lt;1000,2,IF(D226&lt;1500,3,IF(D226&lt;2000,4,5)))))</f>
        <v>3547992</v>
      </c>
    </row>
    <row r="227" spans="1:6" x14ac:dyDescent="0.15">
      <c r="A227" s="11" t="s">
        <v>243</v>
      </c>
      <c r="B227" s="12">
        <v>41004</v>
      </c>
      <c r="C227" s="13" t="s">
        <v>18</v>
      </c>
      <c r="D227" s="13">
        <v>1357</v>
      </c>
      <c r="E227" s="14">
        <f>VLOOKUP(C227,价格表!$B$2:$C$5,2,0)</f>
        <v>2100</v>
      </c>
      <c r="F227" s="14">
        <f>D227*E227*(1-HLOOKUP(C227,折扣表!$B$2:$E$6,IF(D227&lt;1000,2,IF(D227&lt;1500,3,IF(D227&lt;2000,4,5)))))</f>
        <v>2764209</v>
      </c>
    </row>
    <row r="228" spans="1:6" x14ac:dyDescent="0.15">
      <c r="A228" s="11" t="s">
        <v>244</v>
      </c>
      <c r="B228" s="12">
        <v>41005</v>
      </c>
      <c r="C228" s="13" t="s">
        <v>17</v>
      </c>
      <c r="D228" s="13">
        <v>1203</v>
      </c>
      <c r="E228" s="14">
        <f>VLOOKUP(C228,价格表!$B$2:$C$5,2,0)</f>
        <v>2800</v>
      </c>
      <c r="F228" s="14">
        <f>D228*E228*(1-HLOOKUP(C228,折扣表!$B$2:$E$6,IF(D228&lt;1000,2,IF(D228&lt;1500,3,IF(D228&lt;2000,4,5)))))</f>
        <v>3301032</v>
      </c>
    </row>
    <row r="229" spans="1:6" x14ac:dyDescent="0.15">
      <c r="A229" s="11" t="s">
        <v>245</v>
      </c>
      <c r="B229" s="12">
        <v>41005</v>
      </c>
      <c r="C229" s="13" t="s">
        <v>18</v>
      </c>
      <c r="D229" s="13">
        <v>1416</v>
      </c>
      <c r="E229" s="14">
        <f>VLOOKUP(C229,价格表!$B$2:$C$5,2,0)</f>
        <v>2100</v>
      </c>
      <c r="F229" s="14">
        <f>D229*E229*(1-HLOOKUP(C229,折扣表!$B$2:$E$6,IF(D229&lt;1000,2,IF(D229&lt;1500,3,IF(D229&lt;2000,4,5)))))</f>
        <v>2884392</v>
      </c>
    </row>
    <row r="230" spans="1:6" x14ac:dyDescent="0.15">
      <c r="A230" s="11" t="s">
        <v>246</v>
      </c>
      <c r="B230" s="12">
        <v>41006</v>
      </c>
      <c r="C230" s="13" t="s">
        <v>16</v>
      </c>
      <c r="D230" s="13">
        <v>1343</v>
      </c>
      <c r="E230" s="14">
        <f>VLOOKUP(C230,价格表!$B$2:$C$5,2,0)</f>
        <v>3200</v>
      </c>
      <c r="F230" s="14">
        <f>D230*E230*(1-HLOOKUP(C230,折扣表!$B$2:$E$6,IF(D230&lt;1000,2,IF(D230&lt;1500,3,IF(D230&lt;2000,4,5)))))</f>
        <v>4254624</v>
      </c>
    </row>
    <row r="231" spans="1:6" x14ac:dyDescent="0.15">
      <c r="A231" s="11" t="s">
        <v>247</v>
      </c>
      <c r="B231" s="12">
        <v>41006</v>
      </c>
      <c r="C231" s="13" t="s">
        <v>17</v>
      </c>
      <c r="D231" s="13">
        <v>1285</v>
      </c>
      <c r="E231" s="14">
        <f>VLOOKUP(C231,价格表!$B$2:$C$5,2,0)</f>
        <v>2800</v>
      </c>
      <c r="F231" s="14">
        <f>D231*E231*(1-HLOOKUP(C231,折扣表!$B$2:$E$6,IF(D231&lt;1000,2,IF(D231&lt;1500,3,IF(D231&lt;2000,4,5)))))</f>
        <v>3526040</v>
      </c>
    </row>
    <row r="232" spans="1:6" x14ac:dyDescent="0.15">
      <c r="A232" s="11" t="s">
        <v>248</v>
      </c>
      <c r="B232" s="12">
        <v>41006</v>
      </c>
      <c r="C232" s="13" t="s">
        <v>18</v>
      </c>
      <c r="D232" s="13">
        <v>1448</v>
      </c>
      <c r="E232" s="14">
        <f>VLOOKUP(C232,价格表!$B$2:$C$5,2,0)</f>
        <v>2100</v>
      </c>
      <c r="F232" s="14">
        <f>D232*E232*(1-HLOOKUP(C232,折扣表!$B$2:$E$6,IF(D232&lt;1000,2,IF(D232&lt;1500,3,IF(D232&lt;2000,4,5)))))</f>
        <v>2949576</v>
      </c>
    </row>
    <row r="233" spans="1:6" x14ac:dyDescent="0.15">
      <c r="A233" s="11" t="s">
        <v>249</v>
      </c>
      <c r="B233" s="12">
        <v>41007</v>
      </c>
      <c r="C233" s="13" t="s">
        <v>16</v>
      </c>
      <c r="D233" s="13">
        <v>1206</v>
      </c>
      <c r="E233" s="14">
        <f>VLOOKUP(C233,价格表!$B$2:$C$5,2,0)</f>
        <v>3200</v>
      </c>
      <c r="F233" s="14">
        <f>D233*E233*(1-HLOOKUP(C233,折扣表!$B$2:$E$6,IF(D233&lt;1000,2,IF(D233&lt;1500,3,IF(D233&lt;2000,4,5)))))</f>
        <v>3820608</v>
      </c>
    </row>
    <row r="234" spans="1:6" x14ac:dyDescent="0.15">
      <c r="A234" s="11" t="s">
        <v>250</v>
      </c>
      <c r="B234" s="12">
        <v>41007</v>
      </c>
      <c r="C234" s="13" t="s">
        <v>18</v>
      </c>
      <c r="D234" s="13">
        <v>1410</v>
      </c>
      <c r="E234" s="14">
        <f>VLOOKUP(C234,价格表!$B$2:$C$5,2,0)</f>
        <v>2100</v>
      </c>
      <c r="F234" s="14">
        <f>D234*E234*(1-HLOOKUP(C234,折扣表!$B$2:$E$6,IF(D234&lt;1000,2,IF(D234&lt;1500,3,IF(D234&lt;2000,4,5)))))</f>
        <v>2872170</v>
      </c>
    </row>
    <row r="235" spans="1:6" x14ac:dyDescent="0.15">
      <c r="A235" s="11" t="s">
        <v>251</v>
      </c>
      <c r="B235" s="12">
        <v>41008</v>
      </c>
      <c r="C235" s="13" t="s">
        <v>17</v>
      </c>
      <c r="D235" s="13">
        <v>1226</v>
      </c>
      <c r="E235" s="14">
        <f>VLOOKUP(C235,价格表!$B$2:$C$5,2,0)</f>
        <v>2800</v>
      </c>
      <c r="F235" s="14">
        <f>D235*E235*(1-HLOOKUP(C235,折扣表!$B$2:$E$6,IF(D235&lt;1000,2,IF(D235&lt;1500,3,IF(D235&lt;2000,4,5)))))</f>
        <v>3364144</v>
      </c>
    </row>
    <row r="236" spans="1:6" x14ac:dyDescent="0.15">
      <c r="A236" s="11" t="s">
        <v>252</v>
      </c>
      <c r="B236" s="12">
        <v>41008</v>
      </c>
      <c r="C236" s="13" t="s">
        <v>18</v>
      </c>
      <c r="D236" s="13">
        <v>1450</v>
      </c>
      <c r="E236" s="14">
        <f>VLOOKUP(C236,价格表!$B$2:$C$5,2,0)</f>
        <v>2100</v>
      </c>
      <c r="F236" s="14">
        <f>D236*E236*(1-HLOOKUP(C236,折扣表!$B$2:$E$6,IF(D236&lt;1000,2,IF(D236&lt;1500,3,IF(D236&lt;2000,4,5)))))</f>
        <v>2953650</v>
      </c>
    </row>
    <row r="237" spans="1:6" x14ac:dyDescent="0.15">
      <c r="A237" s="11" t="s">
        <v>253</v>
      </c>
      <c r="B237" s="12">
        <v>41009</v>
      </c>
      <c r="C237" s="13" t="s">
        <v>17</v>
      </c>
      <c r="D237" s="13">
        <v>1291</v>
      </c>
      <c r="E237" s="14">
        <f>VLOOKUP(C237,价格表!$B$2:$C$5,2,0)</f>
        <v>2800</v>
      </c>
      <c r="F237" s="14">
        <f>D237*E237*(1-HLOOKUP(C237,折扣表!$B$2:$E$6,IF(D237&lt;1000,2,IF(D237&lt;1500,3,IF(D237&lt;2000,4,5)))))</f>
        <v>3542504</v>
      </c>
    </row>
    <row r="238" spans="1:6" x14ac:dyDescent="0.15">
      <c r="A238" s="11" t="s">
        <v>254</v>
      </c>
      <c r="B238" s="12">
        <v>41009</v>
      </c>
      <c r="C238" s="13" t="s">
        <v>18</v>
      </c>
      <c r="D238" s="13">
        <v>1407</v>
      </c>
      <c r="E238" s="14">
        <f>VLOOKUP(C238,价格表!$B$2:$C$5,2,0)</f>
        <v>2100</v>
      </c>
      <c r="F238" s="14">
        <f>D238*E238*(1-HLOOKUP(C238,折扣表!$B$2:$E$6,IF(D238&lt;1000,2,IF(D238&lt;1500,3,IF(D238&lt;2000,4,5)))))</f>
        <v>2866059</v>
      </c>
    </row>
    <row r="239" spans="1:6" x14ac:dyDescent="0.15">
      <c r="A239" s="11" t="s">
        <v>255</v>
      </c>
      <c r="B239" s="12">
        <v>41010</v>
      </c>
      <c r="C239" s="13" t="s">
        <v>17</v>
      </c>
      <c r="D239" s="13">
        <v>1103</v>
      </c>
      <c r="E239" s="14">
        <f>VLOOKUP(C239,价格表!$B$2:$C$5,2,0)</f>
        <v>2800</v>
      </c>
      <c r="F239" s="14">
        <f>D239*E239*(1-HLOOKUP(C239,折扣表!$B$2:$E$6,IF(D239&lt;1000,2,IF(D239&lt;1500,3,IF(D239&lt;2000,4,5)))))</f>
        <v>3026632</v>
      </c>
    </row>
    <row r="240" spans="1:6" x14ac:dyDescent="0.15">
      <c r="A240" s="11" t="s">
        <v>256</v>
      </c>
      <c r="B240" s="12">
        <v>41010</v>
      </c>
      <c r="C240" s="13" t="s">
        <v>18</v>
      </c>
      <c r="D240" s="13">
        <v>1415</v>
      </c>
      <c r="E240" s="14">
        <f>VLOOKUP(C240,价格表!$B$2:$C$5,2,0)</f>
        <v>2100</v>
      </c>
      <c r="F240" s="14">
        <f>D240*E240*(1-HLOOKUP(C240,折扣表!$B$2:$E$6,IF(D240&lt;1000,2,IF(D240&lt;1500,3,IF(D240&lt;2000,4,5)))))</f>
        <v>2882355</v>
      </c>
    </row>
    <row r="241" spans="1:6" x14ac:dyDescent="0.15">
      <c r="A241" s="11" t="s">
        <v>257</v>
      </c>
      <c r="B241" s="12">
        <v>41011</v>
      </c>
      <c r="C241" s="13" t="s">
        <v>16</v>
      </c>
      <c r="D241" s="13">
        <v>1206</v>
      </c>
      <c r="E241" s="14">
        <f>VLOOKUP(C241,价格表!$B$2:$C$5,2,0)</f>
        <v>3200</v>
      </c>
      <c r="F241" s="14">
        <f>D241*E241*(1-HLOOKUP(C241,折扣表!$B$2:$E$6,IF(D241&lt;1000,2,IF(D241&lt;1500,3,IF(D241&lt;2000,4,5)))))</f>
        <v>3820608</v>
      </c>
    </row>
    <row r="242" spans="1:6" x14ac:dyDescent="0.15">
      <c r="A242" s="11" t="s">
        <v>258</v>
      </c>
      <c r="B242" s="12">
        <v>41011</v>
      </c>
      <c r="C242" s="13" t="s">
        <v>17</v>
      </c>
      <c r="D242" s="13">
        <v>1291</v>
      </c>
      <c r="E242" s="14">
        <f>VLOOKUP(C242,价格表!$B$2:$C$5,2,0)</f>
        <v>2800</v>
      </c>
      <c r="F242" s="14">
        <f>D242*E242*(1-HLOOKUP(C242,折扣表!$B$2:$E$6,IF(D242&lt;1000,2,IF(D242&lt;1500,3,IF(D242&lt;2000,4,5)))))</f>
        <v>3542504</v>
      </c>
    </row>
    <row r="243" spans="1:6" x14ac:dyDescent="0.15">
      <c r="A243" s="11" t="s">
        <v>259</v>
      </c>
      <c r="B243" s="12">
        <v>41012</v>
      </c>
      <c r="C243" s="13" t="s">
        <v>17</v>
      </c>
      <c r="D243" s="13">
        <v>1152</v>
      </c>
      <c r="E243" s="14">
        <f>VLOOKUP(C243,价格表!$B$2:$C$5,2,0)</f>
        <v>2800</v>
      </c>
      <c r="F243" s="14">
        <f>D243*E243*(1-HLOOKUP(C243,折扣表!$B$2:$E$6,IF(D243&lt;1000,2,IF(D243&lt;1500,3,IF(D243&lt;2000,4,5)))))</f>
        <v>3161088</v>
      </c>
    </row>
    <row r="244" spans="1:6" x14ac:dyDescent="0.15">
      <c r="A244" s="11" t="s">
        <v>260</v>
      </c>
      <c r="B244" s="12">
        <v>41012</v>
      </c>
      <c r="C244" s="13" t="s">
        <v>18</v>
      </c>
      <c r="D244" s="13">
        <v>1369</v>
      </c>
      <c r="E244" s="14">
        <f>VLOOKUP(C244,价格表!$B$2:$C$5,2,0)</f>
        <v>2100</v>
      </c>
      <c r="F244" s="14">
        <f>D244*E244*(1-HLOOKUP(C244,折扣表!$B$2:$E$6,IF(D244&lt;1000,2,IF(D244&lt;1500,3,IF(D244&lt;2000,4,5)))))</f>
        <v>2788653</v>
      </c>
    </row>
    <row r="245" spans="1:6" x14ac:dyDescent="0.15">
      <c r="A245" s="11" t="s">
        <v>261</v>
      </c>
      <c r="B245" s="12">
        <v>41013</v>
      </c>
      <c r="C245" s="13" t="s">
        <v>16</v>
      </c>
      <c r="D245" s="13">
        <v>1587</v>
      </c>
      <c r="E245" s="14">
        <f>VLOOKUP(C245,价格表!$B$2:$C$5,2,0)</f>
        <v>3200</v>
      </c>
      <c r="F245" s="14">
        <f>D245*E245*(1-HLOOKUP(C245,折扣表!$B$2:$E$6,IF(D245&lt;1000,2,IF(D245&lt;1500,3,IF(D245&lt;2000,4,5)))))</f>
        <v>4976832</v>
      </c>
    </row>
    <row r="246" spans="1:6" x14ac:dyDescent="0.15">
      <c r="A246" s="11" t="s">
        <v>262</v>
      </c>
      <c r="B246" s="12">
        <v>41013</v>
      </c>
      <c r="C246" s="13" t="s">
        <v>17</v>
      </c>
      <c r="D246" s="13">
        <v>1166</v>
      </c>
      <c r="E246" s="14">
        <f>VLOOKUP(C246,价格表!$B$2:$C$5,2,0)</f>
        <v>2800</v>
      </c>
      <c r="F246" s="14">
        <f>D246*E246*(1-HLOOKUP(C246,折扣表!$B$2:$E$6,IF(D246&lt;1000,2,IF(D246&lt;1500,3,IF(D246&lt;2000,4,5)))))</f>
        <v>3199504</v>
      </c>
    </row>
    <row r="247" spans="1:6" x14ac:dyDescent="0.15">
      <c r="A247" s="11" t="s">
        <v>263</v>
      </c>
      <c r="B247" s="12">
        <v>41013</v>
      </c>
      <c r="C247" s="13" t="s">
        <v>18</v>
      </c>
      <c r="D247" s="13">
        <v>1413</v>
      </c>
      <c r="E247" s="14">
        <f>VLOOKUP(C247,价格表!$B$2:$C$5,2,0)</f>
        <v>2100</v>
      </c>
      <c r="F247" s="14">
        <f>D247*E247*(1-HLOOKUP(C247,折扣表!$B$2:$E$6,IF(D247&lt;1000,2,IF(D247&lt;1500,3,IF(D247&lt;2000,4,5)))))</f>
        <v>2878281</v>
      </c>
    </row>
    <row r="248" spans="1:6" x14ac:dyDescent="0.15">
      <c r="A248" s="11" t="s">
        <v>264</v>
      </c>
      <c r="B248" s="12">
        <v>41014</v>
      </c>
      <c r="C248" s="13" t="s">
        <v>16</v>
      </c>
      <c r="D248" s="13">
        <v>1572</v>
      </c>
      <c r="E248" s="14">
        <f>VLOOKUP(C248,价格表!$B$2:$C$5,2,0)</f>
        <v>3200</v>
      </c>
      <c r="F248" s="14">
        <f>D248*E248*(1-HLOOKUP(C248,折扣表!$B$2:$E$6,IF(D248&lt;1000,2,IF(D248&lt;1500,3,IF(D248&lt;2000,4,5)))))</f>
        <v>4929792</v>
      </c>
    </row>
    <row r="249" spans="1:6" x14ac:dyDescent="0.15">
      <c r="A249" s="11" t="s">
        <v>265</v>
      </c>
      <c r="B249" s="12">
        <v>41015</v>
      </c>
      <c r="C249" s="13" t="s">
        <v>16</v>
      </c>
      <c r="D249" s="13">
        <v>1299</v>
      </c>
      <c r="E249" s="14">
        <f>VLOOKUP(C249,价格表!$B$2:$C$5,2,0)</f>
        <v>3200</v>
      </c>
      <c r="F249" s="14">
        <f>D249*E249*(1-HLOOKUP(C249,折扣表!$B$2:$E$6,IF(D249&lt;1000,2,IF(D249&lt;1500,3,IF(D249&lt;2000,4,5)))))</f>
        <v>4115232</v>
      </c>
    </row>
    <row r="250" spans="1:6" x14ac:dyDescent="0.15">
      <c r="A250" s="11" t="s">
        <v>266</v>
      </c>
      <c r="B250" s="12">
        <v>41015</v>
      </c>
      <c r="C250" s="13" t="s">
        <v>17</v>
      </c>
      <c r="D250" s="13">
        <v>1190</v>
      </c>
      <c r="E250" s="14">
        <f>VLOOKUP(C250,价格表!$B$2:$C$5,2,0)</f>
        <v>2800</v>
      </c>
      <c r="F250" s="14">
        <f>D250*E250*(1-HLOOKUP(C250,折扣表!$B$2:$E$6,IF(D250&lt;1000,2,IF(D250&lt;1500,3,IF(D250&lt;2000,4,5)))))</f>
        <v>3265360</v>
      </c>
    </row>
    <row r="251" spans="1:6" x14ac:dyDescent="0.15">
      <c r="A251" s="11" t="s">
        <v>267</v>
      </c>
      <c r="B251" s="12">
        <v>41015</v>
      </c>
      <c r="C251" s="13" t="s">
        <v>18</v>
      </c>
      <c r="D251" s="13">
        <v>1410</v>
      </c>
      <c r="E251" s="14">
        <f>VLOOKUP(C251,价格表!$B$2:$C$5,2,0)</f>
        <v>2100</v>
      </c>
      <c r="F251" s="14">
        <f>D251*E251*(1-HLOOKUP(C251,折扣表!$B$2:$E$6,IF(D251&lt;1000,2,IF(D251&lt;1500,3,IF(D251&lt;2000,4,5)))))</f>
        <v>2872170</v>
      </c>
    </row>
    <row r="252" spans="1:6" x14ac:dyDescent="0.15">
      <c r="A252" s="11" t="s">
        <v>268</v>
      </c>
      <c r="B252" s="12">
        <v>41016</v>
      </c>
      <c r="C252" s="13" t="s">
        <v>17</v>
      </c>
      <c r="D252" s="13">
        <v>1122</v>
      </c>
      <c r="E252" s="14">
        <f>VLOOKUP(C252,价格表!$B$2:$C$5,2,0)</f>
        <v>2800</v>
      </c>
      <c r="F252" s="14">
        <f>D252*E252*(1-HLOOKUP(C252,折扣表!$B$2:$E$6,IF(D252&lt;1000,2,IF(D252&lt;1500,3,IF(D252&lt;2000,4,5)))))</f>
        <v>3078768</v>
      </c>
    </row>
    <row r="253" spans="1:6" x14ac:dyDescent="0.15">
      <c r="A253" s="11" t="s">
        <v>269</v>
      </c>
      <c r="B253" s="12">
        <v>41016</v>
      </c>
      <c r="C253" s="13" t="s">
        <v>18</v>
      </c>
      <c r="D253" s="13">
        <v>1436</v>
      </c>
      <c r="E253" s="14">
        <f>VLOOKUP(C253,价格表!$B$2:$C$5,2,0)</f>
        <v>2100</v>
      </c>
      <c r="F253" s="14">
        <f>D253*E253*(1-HLOOKUP(C253,折扣表!$B$2:$E$6,IF(D253&lt;1000,2,IF(D253&lt;1500,3,IF(D253&lt;2000,4,5)))))</f>
        <v>2925132</v>
      </c>
    </row>
    <row r="254" spans="1:6" x14ac:dyDescent="0.15">
      <c r="A254" s="11" t="s">
        <v>270</v>
      </c>
      <c r="B254" s="12">
        <v>41017</v>
      </c>
      <c r="C254" s="13" t="s">
        <v>16</v>
      </c>
      <c r="D254" s="13">
        <v>1513</v>
      </c>
      <c r="E254" s="14">
        <f>VLOOKUP(C254,价格表!$B$2:$C$5,2,0)</f>
        <v>3200</v>
      </c>
      <c r="F254" s="14">
        <f>D254*E254*(1-HLOOKUP(C254,折扣表!$B$2:$E$6,IF(D254&lt;1000,2,IF(D254&lt;1500,3,IF(D254&lt;2000,4,5)))))</f>
        <v>4744768</v>
      </c>
    </row>
    <row r="255" spans="1:6" x14ac:dyDescent="0.15">
      <c r="A255" s="11" t="s">
        <v>271</v>
      </c>
      <c r="B255" s="12">
        <v>41017</v>
      </c>
      <c r="C255" s="13" t="s">
        <v>17</v>
      </c>
      <c r="D255" s="13">
        <v>1213</v>
      </c>
      <c r="E255" s="14">
        <f>VLOOKUP(C255,价格表!$B$2:$C$5,2,0)</f>
        <v>2800</v>
      </c>
      <c r="F255" s="14">
        <f>D255*E255*(1-HLOOKUP(C255,折扣表!$B$2:$E$6,IF(D255&lt;1000,2,IF(D255&lt;1500,3,IF(D255&lt;2000,4,5)))))</f>
        <v>3328472</v>
      </c>
    </row>
    <row r="256" spans="1:6" x14ac:dyDescent="0.15">
      <c r="A256" s="11" t="s">
        <v>272</v>
      </c>
      <c r="B256" s="12">
        <v>41017</v>
      </c>
      <c r="C256" s="13" t="s">
        <v>18</v>
      </c>
      <c r="D256" s="13">
        <v>1421</v>
      </c>
      <c r="E256" s="14">
        <f>VLOOKUP(C256,价格表!$B$2:$C$5,2,0)</f>
        <v>2100</v>
      </c>
      <c r="F256" s="14">
        <f>D256*E256*(1-HLOOKUP(C256,折扣表!$B$2:$E$6,IF(D256&lt;1000,2,IF(D256&lt;1500,3,IF(D256&lt;2000,4,5)))))</f>
        <v>2894577</v>
      </c>
    </row>
    <row r="257" spans="1:6" x14ac:dyDescent="0.15">
      <c r="A257" s="11" t="s">
        <v>273</v>
      </c>
      <c r="B257" s="12">
        <v>41018</v>
      </c>
      <c r="C257" s="13" t="s">
        <v>16</v>
      </c>
      <c r="D257" s="13">
        <v>1396</v>
      </c>
      <c r="E257" s="14">
        <f>VLOOKUP(C257,价格表!$B$2:$C$5,2,0)</f>
        <v>3200</v>
      </c>
      <c r="F257" s="14">
        <f>D257*E257*(1-HLOOKUP(C257,折扣表!$B$2:$E$6,IF(D257&lt;1000,2,IF(D257&lt;1500,3,IF(D257&lt;2000,4,5)))))</f>
        <v>4422528</v>
      </c>
    </row>
    <row r="258" spans="1:6" x14ac:dyDescent="0.15">
      <c r="A258" s="11" t="s">
        <v>274</v>
      </c>
      <c r="B258" s="12">
        <v>41018</v>
      </c>
      <c r="C258" s="13" t="s">
        <v>17</v>
      </c>
      <c r="D258" s="13">
        <v>1247</v>
      </c>
      <c r="E258" s="14">
        <f>VLOOKUP(C258,价格表!$B$2:$C$5,2,0)</f>
        <v>2800</v>
      </c>
      <c r="F258" s="14">
        <f>D258*E258*(1-HLOOKUP(C258,折扣表!$B$2:$E$6,IF(D258&lt;1000,2,IF(D258&lt;1500,3,IF(D258&lt;2000,4,5)))))</f>
        <v>3421768</v>
      </c>
    </row>
    <row r="259" spans="1:6" x14ac:dyDescent="0.15">
      <c r="A259" s="11" t="s">
        <v>275</v>
      </c>
      <c r="B259" s="12">
        <v>41018</v>
      </c>
      <c r="C259" s="13" t="s">
        <v>18</v>
      </c>
      <c r="D259" s="13">
        <v>1378</v>
      </c>
      <c r="E259" s="14">
        <f>VLOOKUP(C259,价格表!$B$2:$C$5,2,0)</f>
        <v>2100</v>
      </c>
      <c r="F259" s="14">
        <f>D259*E259*(1-HLOOKUP(C259,折扣表!$B$2:$E$6,IF(D259&lt;1000,2,IF(D259&lt;1500,3,IF(D259&lt;2000,4,5)))))</f>
        <v>2806986</v>
      </c>
    </row>
    <row r="260" spans="1:6" x14ac:dyDescent="0.15">
      <c r="A260" s="11" t="s">
        <v>276</v>
      </c>
      <c r="B260" s="12">
        <v>41019</v>
      </c>
      <c r="C260" s="13" t="s">
        <v>18</v>
      </c>
      <c r="D260" s="13">
        <v>1436</v>
      </c>
      <c r="E260" s="14">
        <f>VLOOKUP(C260,价格表!$B$2:$C$5,2,0)</f>
        <v>2100</v>
      </c>
      <c r="F260" s="14">
        <f>D260*E260*(1-HLOOKUP(C260,折扣表!$B$2:$E$6,IF(D260&lt;1000,2,IF(D260&lt;1500,3,IF(D260&lt;2000,4,5)))))</f>
        <v>2925132</v>
      </c>
    </row>
    <row r="261" spans="1:6" x14ac:dyDescent="0.15">
      <c r="A261" s="11" t="s">
        <v>277</v>
      </c>
      <c r="B261" s="12">
        <v>41020</v>
      </c>
      <c r="C261" s="13" t="s">
        <v>16</v>
      </c>
      <c r="D261" s="13">
        <v>1362</v>
      </c>
      <c r="E261" s="14">
        <f>VLOOKUP(C261,价格表!$B$2:$C$5,2,0)</f>
        <v>3200</v>
      </c>
      <c r="F261" s="14">
        <f>D261*E261*(1-HLOOKUP(C261,折扣表!$B$2:$E$6,IF(D261&lt;1000,2,IF(D261&lt;1500,3,IF(D261&lt;2000,4,5)))))</f>
        <v>4314816</v>
      </c>
    </row>
    <row r="262" spans="1:6" x14ac:dyDescent="0.15">
      <c r="A262" s="11" t="s">
        <v>278</v>
      </c>
      <c r="B262" s="12">
        <v>41020</v>
      </c>
      <c r="C262" s="13" t="s">
        <v>17</v>
      </c>
      <c r="D262" s="13">
        <v>1210</v>
      </c>
      <c r="E262" s="14">
        <f>VLOOKUP(C262,价格表!$B$2:$C$5,2,0)</f>
        <v>2800</v>
      </c>
      <c r="F262" s="14">
        <f>D262*E262*(1-HLOOKUP(C262,折扣表!$B$2:$E$6,IF(D262&lt;1000,2,IF(D262&lt;1500,3,IF(D262&lt;2000,4,5)))))</f>
        <v>3320240</v>
      </c>
    </row>
    <row r="263" spans="1:6" x14ac:dyDescent="0.15">
      <c r="A263" s="11" t="s">
        <v>279</v>
      </c>
      <c r="B263" s="12">
        <v>41020</v>
      </c>
      <c r="C263" s="13" t="s">
        <v>18</v>
      </c>
      <c r="D263" s="13">
        <v>1385</v>
      </c>
      <c r="E263" s="14">
        <f>VLOOKUP(C263,价格表!$B$2:$C$5,2,0)</f>
        <v>2100</v>
      </c>
      <c r="F263" s="14">
        <f>D263*E263*(1-HLOOKUP(C263,折扣表!$B$2:$E$6,IF(D263&lt;1000,2,IF(D263&lt;1500,3,IF(D263&lt;2000,4,5)))))</f>
        <v>2821245</v>
      </c>
    </row>
    <row r="264" spans="1:6" x14ac:dyDescent="0.15">
      <c r="A264" s="11" t="s">
        <v>280</v>
      </c>
      <c r="B264" s="12">
        <v>41021</v>
      </c>
      <c r="C264" s="13" t="s">
        <v>17</v>
      </c>
      <c r="D264" s="13">
        <v>1230</v>
      </c>
      <c r="E264" s="14">
        <f>VLOOKUP(C264,价格表!$B$2:$C$5,2,0)</f>
        <v>2800</v>
      </c>
      <c r="F264" s="14">
        <f>D264*E264*(1-HLOOKUP(C264,折扣表!$B$2:$E$6,IF(D264&lt;1000,2,IF(D264&lt;1500,3,IF(D264&lt;2000,4,5)))))</f>
        <v>3375120</v>
      </c>
    </row>
    <row r="265" spans="1:6" x14ac:dyDescent="0.15">
      <c r="A265" s="11" t="s">
        <v>281</v>
      </c>
      <c r="B265" s="12">
        <v>41022</v>
      </c>
      <c r="C265" s="13" t="s">
        <v>16</v>
      </c>
      <c r="D265" s="13">
        <v>1349</v>
      </c>
      <c r="E265" s="14">
        <f>VLOOKUP(C265,价格表!$B$2:$C$5,2,0)</f>
        <v>3200</v>
      </c>
      <c r="F265" s="14">
        <f>D265*E265*(1-HLOOKUP(C265,折扣表!$B$2:$E$6,IF(D265&lt;1000,2,IF(D265&lt;1500,3,IF(D265&lt;2000,4,5)))))</f>
        <v>4273632</v>
      </c>
    </row>
    <row r="266" spans="1:6" x14ac:dyDescent="0.15">
      <c r="A266" s="11" t="s">
        <v>282</v>
      </c>
      <c r="B266" s="12">
        <v>41022</v>
      </c>
      <c r="C266" s="13" t="s">
        <v>17</v>
      </c>
      <c r="D266" s="13">
        <v>1188</v>
      </c>
      <c r="E266" s="14">
        <f>VLOOKUP(C266,价格表!$B$2:$C$5,2,0)</f>
        <v>2800</v>
      </c>
      <c r="F266" s="14">
        <f>D266*E266*(1-HLOOKUP(C266,折扣表!$B$2:$E$6,IF(D266&lt;1000,2,IF(D266&lt;1500,3,IF(D266&lt;2000,4,5)))))</f>
        <v>3259872</v>
      </c>
    </row>
    <row r="267" spans="1:6" x14ac:dyDescent="0.15">
      <c r="A267" s="11" t="s">
        <v>283</v>
      </c>
      <c r="B267" s="12">
        <v>41022</v>
      </c>
      <c r="C267" s="13" t="s">
        <v>18</v>
      </c>
      <c r="D267" s="13">
        <v>1390</v>
      </c>
      <c r="E267" s="14">
        <f>VLOOKUP(C267,价格表!$B$2:$C$5,2,0)</f>
        <v>2100</v>
      </c>
      <c r="F267" s="14">
        <f>D267*E267*(1-HLOOKUP(C267,折扣表!$B$2:$E$6,IF(D267&lt;1000,2,IF(D267&lt;1500,3,IF(D267&lt;2000,4,5)))))</f>
        <v>2831430</v>
      </c>
    </row>
    <row r="268" spans="1:6" x14ac:dyDescent="0.15">
      <c r="A268" s="11" t="s">
        <v>284</v>
      </c>
      <c r="B268" s="12">
        <v>41023</v>
      </c>
      <c r="C268" s="13" t="s">
        <v>16</v>
      </c>
      <c r="D268" s="13">
        <v>1335</v>
      </c>
      <c r="E268" s="14">
        <f>VLOOKUP(C268,价格表!$B$2:$C$5,2,0)</f>
        <v>3200</v>
      </c>
      <c r="F268" s="14">
        <f>D268*E268*(1-HLOOKUP(C268,折扣表!$B$2:$E$6,IF(D268&lt;1000,2,IF(D268&lt;1500,3,IF(D268&lt;2000,4,5)))))</f>
        <v>4229280</v>
      </c>
    </row>
    <row r="269" spans="1:6" x14ac:dyDescent="0.15">
      <c r="A269" s="11" t="s">
        <v>285</v>
      </c>
      <c r="B269" s="12">
        <v>41023</v>
      </c>
      <c r="C269" s="13" t="s">
        <v>17</v>
      </c>
      <c r="D269" s="13">
        <v>1125</v>
      </c>
      <c r="E269" s="14">
        <f>VLOOKUP(C269,价格表!$B$2:$C$5,2,0)</f>
        <v>2800</v>
      </c>
      <c r="F269" s="14">
        <f>D269*E269*(1-HLOOKUP(C269,折扣表!$B$2:$E$6,IF(D269&lt;1000,2,IF(D269&lt;1500,3,IF(D269&lt;2000,4,5)))))</f>
        <v>3087000</v>
      </c>
    </row>
    <row r="270" spans="1:6" x14ac:dyDescent="0.15">
      <c r="A270" s="11" t="s">
        <v>286</v>
      </c>
      <c r="B270" s="12">
        <v>41023</v>
      </c>
      <c r="C270" s="13" t="s">
        <v>18</v>
      </c>
      <c r="D270" s="13">
        <v>1391</v>
      </c>
      <c r="E270" s="14">
        <f>VLOOKUP(C270,价格表!$B$2:$C$5,2,0)</f>
        <v>2100</v>
      </c>
      <c r="F270" s="14">
        <f>D270*E270*(1-HLOOKUP(C270,折扣表!$B$2:$E$6,IF(D270&lt;1000,2,IF(D270&lt;1500,3,IF(D270&lt;2000,4,5)))))</f>
        <v>2833467</v>
      </c>
    </row>
    <row r="271" spans="1:6" x14ac:dyDescent="0.15">
      <c r="A271" s="11" t="s">
        <v>287</v>
      </c>
      <c r="B271" s="12">
        <v>41024</v>
      </c>
      <c r="C271" s="13" t="s">
        <v>18</v>
      </c>
      <c r="D271" s="13">
        <v>1428</v>
      </c>
      <c r="E271" s="14">
        <f>VLOOKUP(C271,价格表!$B$2:$C$5,2,0)</f>
        <v>2100</v>
      </c>
      <c r="F271" s="14">
        <f>D271*E271*(1-HLOOKUP(C271,折扣表!$B$2:$E$6,IF(D271&lt;1000,2,IF(D271&lt;1500,3,IF(D271&lt;2000,4,5)))))</f>
        <v>2908836</v>
      </c>
    </row>
    <row r="272" spans="1:6" x14ac:dyDescent="0.15">
      <c r="A272" s="11" t="s">
        <v>288</v>
      </c>
      <c r="B272" s="12">
        <v>41025</v>
      </c>
      <c r="C272" s="13" t="s">
        <v>16</v>
      </c>
      <c r="D272" s="13">
        <v>1545</v>
      </c>
      <c r="E272" s="14">
        <f>VLOOKUP(C272,价格表!$B$2:$C$5,2,0)</f>
        <v>3200</v>
      </c>
      <c r="F272" s="14">
        <f>D272*E272*(1-HLOOKUP(C272,折扣表!$B$2:$E$6,IF(D272&lt;1000,2,IF(D272&lt;1500,3,IF(D272&lt;2000,4,5)))))</f>
        <v>4845120</v>
      </c>
    </row>
    <row r="273" spans="1:6" x14ac:dyDescent="0.15">
      <c r="A273" s="11" t="s">
        <v>289</v>
      </c>
      <c r="B273" s="12">
        <v>41025</v>
      </c>
      <c r="C273" s="13" t="s">
        <v>17</v>
      </c>
      <c r="D273" s="13">
        <v>1114</v>
      </c>
      <c r="E273" s="14">
        <f>VLOOKUP(C273,价格表!$B$2:$C$5,2,0)</f>
        <v>2800</v>
      </c>
      <c r="F273" s="14">
        <f>D273*E273*(1-HLOOKUP(C273,折扣表!$B$2:$E$6,IF(D273&lt;1000,2,IF(D273&lt;1500,3,IF(D273&lt;2000,4,5)))))</f>
        <v>3056816</v>
      </c>
    </row>
    <row r="274" spans="1:6" x14ac:dyDescent="0.15">
      <c r="A274" s="11" t="s">
        <v>290</v>
      </c>
      <c r="B274" s="12">
        <v>41026</v>
      </c>
      <c r="C274" s="13" t="s">
        <v>16</v>
      </c>
      <c r="D274" s="13">
        <v>1421</v>
      </c>
      <c r="E274" s="14">
        <f>VLOOKUP(C274,价格表!$B$2:$C$5,2,0)</f>
        <v>3200</v>
      </c>
      <c r="F274" s="14">
        <f>D274*E274*(1-HLOOKUP(C274,折扣表!$B$2:$E$6,IF(D274&lt;1000,2,IF(D274&lt;1500,3,IF(D274&lt;2000,4,5)))))</f>
        <v>4501728</v>
      </c>
    </row>
    <row r="275" spans="1:6" x14ac:dyDescent="0.15">
      <c r="A275" s="11" t="s">
        <v>291</v>
      </c>
      <c r="B275" s="12">
        <v>41026</v>
      </c>
      <c r="C275" s="13" t="s">
        <v>17</v>
      </c>
      <c r="D275" s="13">
        <v>1275</v>
      </c>
      <c r="E275" s="14">
        <f>VLOOKUP(C275,价格表!$B$2:$C$5,2,0)</f>
        <v>2800</v>
      </c>
      <c r="F275" s="14">
        <f>D275*E275*(1-HLOOKUP(C275,折扣表!$B$2:$E$6,IF(D275&lt;1000,2,IF(D275&lt;1500,3,IF(D275&lt;2000,4,5)))))</f>
        <v>3498600</v>
      </c>
    </row>
    <row r="276" spans="1:6" x14ac:dyDescent="0.15">
      <c r="A276" s="11" t="s">
        <v>292</v>
      </c>
      <c r="B276" s="12">
        <v>41026</v>
      </c>
      <c r="C276" s="13" t="s">
        <v>18</v>
      </c>
      <c r="D276" s="13">
        <v>1441</v>
      </c>
      <c r="E276" s="14">
        <f>VLOOKUP(C276,价格表!$B$2:$C$5,2,0)</f>
        <v>2100</v>
      </c>
      <c r="F276" s="14">
        <f>D276*E276*(1-HLOOKUP(C276,折扣表!$B$2:$E$6,IF(D276&lt;1000,2,IF(D276&lt;1500,3,IF(D276&lt;2000,4,5)))))</f>
        <v>2935317</v>
      </c>
    </row>
    <row r="277" spans="1:6" x14ac:dyDescent="0.15">
      <c r="A277" s="11" t="s">
        <v>293</v>
      </c>
      <c r="B277" s="12">
        <v>41027</v>
      </c>
      <c r="C277" s="13" t="s">
        <v>16</v>
      </c>
      <c r="D277" s="13">
        <v>1282</v>
      </c>
      <c r="E277" s="14">
        <f>VLOOKUP(C277,价格表!$B$2:$C$5,2,0)</f>
        <v>3200</v>
      </c>
      <c r="F277" s="14">
        <f>D277*E277*(1-HLOOKUP(C277,折扣表!$B$2:$E$6,IF(D277&lt;1000,2,IF(D277&lt;1500,3,IF(D277&lt;2000,4,5)))))</f>
        <v>4061376</v>
      </c>
    </row>
    <row r="278" spans="1:6" x14ac:dyDescent="0.15">
      <c r="A278" s="11" t="s">
        <v>294</v>
      </c>
      <c r="B278" s="12">
        <v>41028</v>
      </c>
      <c r="C278" s="13" t="s">
        <v>16</v>
      </c>
      <c r="D278" s="13">
        <v>1279</v>
      </c>
      <c r="E278" s="14">
        <f>VLOOKUP(C278,价格表!$B$2:$C$5,2,0)</f>
        <v>3200</v>
      </c>
      <c r="F278" s="14">
        <f>D278*E278*(1-HLOOKUP(C278,折扣表!$B$2:$E$6,IF(D278&lt;1000,2,IF(D278&lt;1500,3,IF(D278&lt;2000,4,5)))))</f>
        <v>4051872</v>
      </c>
    </row>
    <row r="279" spans="1:6" x14ac:dyDescent="0.15">
      <c r="A279" s="11" t="s">
        <v>295</v>
      </c>
      <c r="B279" s="12">
        <v>41028</v>
      </c>
      <c r="C279" s="13" t="s">
        <v>17</v>
      </c>
      <c r="D279" s="13">
        <v>1142</v>
      </c>
      <c r="E279" s="14">
        <f>VLOOKUP(C279,价格表!$B$2:$C$5,2,0)</f>
        <v>2800</v>
      </c>
      <c r="F279" s="14">
        <f>D279*E279*(1-HLOOKUP(C279,折扣表!$B$2:$E$6,IF(D279&lt;1000,2,IF(D279&lt;1500,3,IF(D279&lt;2000,4,5)))))</f>
        <v>3133648</v>
      </c>
    </row>
    <row r="280" spans="1:6" x14ac:dyDescent="0.15">
      <c r="A280" s="11" t="s">
        <v>296</v>
      </c>
      <c r="B280" s="12">
        <v>41028</v>
      </c>
      <c r="C280" s="13" t="s">
        <v>18</v>
      </c>
      <c r="D280" s="13">
        <v>1415</v>
      </c>
      <c r="E280" s="14">
        <f>VLOOKUP(C280,价格表!$B$2:$C$5,2,0)</f>
        <v>2100</v>
      </c>
      <c r="F280" s="14">
        <f>D280*E280*(1-HLOOKUP(C280,折扣表!$B$2:$E$6,IF(D280&lt;1000,2,IF(D280&lt;1500,3,IF(D280&lt;2000,4,5)))))</f>
        <v>2882355</v>
      </c>
    </row>
    <row r="281" spans="1:6" x14ac:dyDescent="0.15">
      <c r="A281" s="11" t="s">
        <v>297</v>
      </c>
      <c r="B281" s="12">
        <v>41029</v>
      </c>
      <c r="C281" s="13" t="s">
        <v>18</v>
      </c>
      <c r="D281" s="13">
        <v>1447</v>
      </c>
      <c r="E281" s="14">
        <f>VLOOKUP(C281,价格表!$B$2:$C$5,2,0)</f>
        <v>2100</v>
      </c>
      <c r="F281" s="14">
        <f>D281*E281*(1-HLOOKUP(C281,折扣表!$B$2:$E$6,IF(D281&lt;1000,2,IF(D281&lt;1500,3,IF(D281&lt;2000,4,5)))))</f>
        <v>2947539</v>
      </c>
    </row>
    <row r="282" spans="1:6" x14ac:dyDescent="0.15">
      <c r="A282" s="11" t="s">
        <v>298</v>
      </c>
      <c r="B282" s="12">
        <v>41030</v>
      </c>
      <c r="C282" s="13" t="s">
        <v>16</v>
      </c>
      <c r="D282" s="13">
        <v>1227</v>
      </c>
      <c r="E282" s="14">
        <f>VLOOKUP(C282,价格表!$B$2:$C$5,2,0)</f>
        <v>3200</v>
      </c>
      <c r="F282" s="14">
        <f>D282*E282*(1-HLOOKUP(C282,折扣表!$B$2:$E$6,IF(D282&lt;1000,2,IF(D282&lt;1500,3,IF(D282&lt;2000,4,5)))))</f>
        <v>3887136</v>
      </c>
    </row>
    <row r="283" spans="1:6" x14ac:dyDescent="0.15">
      <c r="A283" s="11" t="s">
        <v>299</v>
      </c>
      <c r="B283" s="12">
        <v>41030</v>
      </c>
      <c r="C283" s="13" t="s">
        <v>17</v>
      </c>
      <c r="D283" s="13">
        <v>1300</v>
      </c>
      <c r="E283" s="14">
        <f>VLOOKUP(C283,价格表!$B$2:$C$5,2,0)</f>
        <v>2800</v>
      </c>
      <c r="F283" s="14">
        <f>D283*E283*(1-HLOOKUP(C283,折扣表!$B$2:$E$6,IF(D283&lt;1000,2,IF(D283&lt;1500,3,IF(D283&lt;2000,4,5)))))</f>
        <v>3567200</v>
      </c>
    </row>
    <row r="284" spans="1:6" x14ac:dyDescent="0.15">
      <c r="A284" s="11" t="s">
        <v>300</v>
      </c>
      <c r="B284" s="12">
        <v>41030</v>
      </c>
      <c r="C284" s="13" t="s">
        <v>18</v>
      </c>
      <c r="D284" s="13">
        <v>1353</v>
      </c>
      <c r="E284" s="14">
        <f>VLOOKUP(C284,价格表!$B$2:$C$5,2,0)</f>
        <v>2100</v>
      </c>
      <c r="F284" s="14">
        <f>D284*E284*(1-HLOOKUP(C284,折扣表!$B$2:$E$6,IF(D284&lt;1000,2,IF(D284&lt;1500,3,IF(D284&lt;2000,4,5)))))</f>
        <v>2756061</v>
      </c>
    </row>
    <row r="285" spans="1:6" x14ac:dyDescent="0.15">
      <c r="A285" s="11" t="s">
        <v>301</v>
      </c>
      <c r="B285" s="12">
        <v>41031</v>
      </c>
      <c r="C285" s="13" t="s">
        <v>16</v>
      </c>
      <c r="D285" s="13">
        <v>1364</v>
      </c>
      <c r="E285" s="14">
        <f>VLOOKUP(C285,价格表!$B$2:$C$5,2,0)</f>
        <v>3200</v>
      </c>
      <c r="F285" s="14">
        <f>D285*E285*(1-HLOOKUP(C285,折扣表!$B$2:$E$6,IF(D285&lt;1000,2,IF(D285&lt;1500,3,IF(D285&lt;2000,4,5)))))</f>
        <v>4321152</v>
      </c>
    </row>
    <row r="286" spans="1:6" x14ac:dyDescent="0.15">
      <c r="A286" s="11" t="s">
        <v>302</v>
      </c>
      <c r="B286" s="12">
        <v>41031</v>
      </c>
      <c r="C286" s="13" t="s">
        <v>17</v>
      </c>
      <c r="D286" s="13">
        <v>1293</v>
      </c>
      <c r="E286" s="14">
        <f>VLOOKUP(C286,价格表!$B$2:$C$5,2,0)</f>
        <v>2800</v>
      </c>
      <c r="F286" s="14">
        <f>D286*E286*(1-HLOOKUP(C286,折扣表!$B$2:$E$6,IF(D286&lt;1000,2,IF(D286&lt;1500,3,IF(D286&lt;2000,4,5)))))</f>
        <v>3547992</v>
      </c>
    </row>
    <row r="287" spans="1:6" x14ac:dyDescent="0.15">
      <c r="A287" s="11" t="s">
        <v>303</v>
      </c>
      <c r="B287" s="12">
        <v>41032</v>
      </c>
      <c r="C287" s="13" t="s">
        <v>16</v>
      </c>
      <c r="D287" s="13">
        <v>1438</v>
      </c>
      <c r="E287" s="14">
        <f>VLOOKUP(C287,价格表!$B$2:$C$5,2,0)</f>
        <v>3200</v>
      </c>
      <c r="F287" s="14">
        <f>D287*E287*(1-HLOOKUP(C287,折扣表!$B$2:$E$6,IF(D287&lt;1000,2,IF(D287&lt;1500,3,IF(D287&lt;2000,4,5)))))</f>
        <v>4555584</v>
      </c>
    </row>
    <row r="288" spans="1:6" x14ac:dyDescent="0.15">
      <c r="A288" s="11" t="s">
        <v>304</v>
      </c>
      <c r="B288" s="12">
        <v>41032</v>
      </c>
      <c r="C288" s="13" t="s">
        <v>17</v>
      </c>
      <c r="D288" s="13">
        <v>1364</v>
      </c>
      <c r="E288" s="14">
        <f>VLOOKUP(C288,价格表!$B$2:$C$5,2,0)</f>
        <v>2800</v>
      </c>
      <c r="F288" s="14">
        <f>D288*E288*(1-HLOOKUP(C288,折扣表!$B$2:$E$6,IF(D288&lt;1000,2,IF(D288&lt;1500,3,IF(D288&lt;2000,4,5)))))</f>
        <v>3742816</v>
      </c>
    </row>
    <row r="289" spans="1:6" x14ac:dyDescent="0.15">
      <c r="A289" s="11" t="s">
        <v>305</v>
      </c>
      <c r="B289" s="12">
        <v>41032</v>
      </c>
      <c r="C289" s="13" t="s">
        <v>18</v>
      </c>
      <c r="D289" s="13">
        <v>1389</v>
      </c>
      <c r="E289" s="14">
        <f>VLOOKUP(C289,价格表!$B$2:$C$5,2,0)</f>
        <v>2100</v>
      </c>
      <c r="F289" s="14">
        <f>D289*E289*(1-HLOOKUP(C289,折扣表!$B$2:$E$6,IF(D289&lt;1000,2,IF(D289&lt;1500,3,IF(D289&lt;2000,4,5)))))</f>
        <v>2829393</v>
      </c>
    </row>
    <row r="290" spans="1:6" x14ac:dyDescent="0.15">
      <c r="A290" s="11" t="s">
        <v>306</v>
      </c>
      <c r="B290" s="12">
        <v>41033</v>
      </c>
      <c r="C290" s="13" t="s">
        <v>16</v>
      </c>
      <c r="D290" s="13">
        <v>1451</v>
      </c>
      <c r="E290" s="14">
        <f>VLOOKUP(C290,价格表!$B$2:$C$5,2,0)</f>
        <v>3200</v>
      </c>
      <c r="F290" s="14">
        <f>D290*E290*(1-HLOOKUP(C290,折扣表!$B$2:$E$6,IF(D290&lt;1000,2,IF(D290&lt;1500,3,IF(D290&lt;2000,4,5)))))</f>
        <v>4596768</v>
      </c>
    </row>
    <row r="291" spans="1:6" x14ac:dyDescent="0.15">
      <c r="A291" s="11" t="s">
        <v>307</v>
      </c>
      <c r="B291" s="12">
        <v>41033</v>
      </c>
      <c r="C291" s="13" t="s">
        <v>17</v>
      </c>
      <c r="D291" s="13">
        <v>1239</v>
      </c>
      <c r="E291" s="14">
        <f>VLOOKUP(C291,价格表!$B$2:$C$5,2,0)</f>
        <v>2800</v>
      </c>
      <c r="F291" s="14">
        <f>D291*E291*(1-HLOOKUP(C291,折扣表!$B$2:$E$6,IF(D291&lt;1000,2,IF(D291&lt;1500,3,IF(D291&lt;2000,4,5)))))</f>
        <v>3399816</v>
      </c>
    </row>
    <row r="292" spans="1:6" x14ac:dyDescent="0.15">
      <c r="A292" s="11" t="s">
        <v>308</v>
      </c>
      <c r="B292" s="12">
        <v>41033</v>
      </c>
      <c r="C292" s="13" t="s">
        <v>18</v>
      </c>
      <c r="D292" s="13">
        <v>1383</v>
      </c>
      <c r="E292" s="14">
        <f>VLOOKUP(C292,价格表!$B$2:$C$5,2,0)</f>
        <v>2100</v>
      </c>
      <c r="F292" s="14">
        <f>D292*E292*(1-HLOOKUP(C292,折扣表!$B$2:$E$6,IF(D292&lt;1000,2,IF(D292&lt;1500,3,IF(D292&lt;2000,4,5)))))</f>
        <v>2817171</v>
      </c>
    </row>
    <row r="293" spans="1:6" x14ac:dyDescent="0.15">
      <c r="A293" s="11" t="s">
        <v>309</v>
      </c>
      <c r="B293" s="12">
        <v>41034</v>
      </c>
      <c r="C293" s="13" t="s">
        <v>16</v>
      </c>
      <c r="D293" s="13">
        <v>1417</v>
      </c>
      <c r="E293" s="14">
        <f>VLOOKUP(C293,价格表!$B$2:$C$5,2,0)</f>
        <v>3200</v>
      </c>
      <c r="F293" s="14">
        <f>D293*E293*(1-HLOOKUP(C293,折扣表!$B$2:$E$6,IF(D293&lt;1000,2,IF(D293&lt;1500,3,IF(D293&lt;2000,4,5)))))</f>
        <v>4489056</v>
      </c>
    </row>
    <row r="294" spans="1:6" x14ac:dyDescent="0.15">
      <c r="A294" s="11" t="s">
        <v>310</v>
      </c>
      <c r="B294" s="12">
        <v>41034</v>
      </c>
      <c r="C294" s="13" t="s">
        <v>17</v>
      </c>
      <c r="D294" s="13">
        <v>1303</v>
      </c>
      <c r="E294" s="14">
        <f>VLOOKUP(C294,价格表!$B$2:$C$5,2,0)</f>
        <v>2800</v>
      </c>
      <c r="F294" s="14">
        <f>D294*E294*(1-HLOOKUP(C294,折扣表!$B$2:$E$6,IF(D294&lt;1000,2,IF(D294&lt;1500,3,IF(D294&lt;2000,4,5)))))</f>
        <v>3575432</v>
      </c>
    </row>
    <row r="295" spans="1:6" x14ac:dyDescent="0.15">
      <c r="A295" s="11" t="s">
        <v>311</v>
      </c>
      <c r="B295" s="12">
        <v>41035</v>
      </c>
      <c r="C295" s="13" t="s">
        <v>16</v>
      </c>
      <c r="D295" s="13">
        <v>1201</v>
      </c>
      <c r="E295" s="14">
        <f>VLOOKUP(C295,价格表!$B$2:$C$5,2,0)</f>
        <v>3200</v>
      </c>
      <c r="F295" s="14">
        <f>D295*E295*(1-HLOOKUP(C295,折扣表!$B$2:$E$6,IF(D295&lt;1000,2,IF(D295&lt;1500,3,IF(D295&lt;2000,4,5)))))</f>
        <v>3804768</v>
      </c>
    </row>
    <row r="296" spans="1:6" x14ac:dyDescent="0.15">
      <c r="A296" s="11" t="s">
        <v>312</v>
      </c>
      <c r="B296" s="12">
        <v>41035</v>
      </c>
      <c r="C296" s="13" t="s">
        <v>17</v>
      </c>
      <c r="D296" s="13">
        <v>1356</v>
      </c>
      <c r="E296" s="14">
        <f>VLOOKUP(C296,价格表!$B$2:$C$5,2,0)</f>
        <v>2800</v>
      </c>
      <c r="F296" s="14">
        <f>D296*E296*(1-HLOOKUP(C296,折扣表!$B$2:$E$6,IF(D296&lt;1000,2,IF(D296&lt;1500,3,IF(D296&lt;2000,4,5)))))</f>
        <v>3720864</v>
      </c>
    </row>
    <row r="297" spans="1:6" x14ac:dyDescent="0.15">
      <c r="A297" s="11" t="s">
        <v>313</v>
      </c>
      <c r="B297" s="12">
        <v>41035</v>
      </c>
      <c r="C297" s="13" t="s">
        <v>18</v>
      </c>
      <c r="D297" s="13">
        <v>1335</v>
      </c>
      <c r="E297" s="14">
        <f>VLOOKUP(C297,价格表!$B$2:$C$5,2,0)</f>
        <v>2100</v>
      </c>
      <c r="F297" s="14">
        <f>D297*E297*(1-HLOOKUP(C297,折扣表!$B$2:$E$6,IF(D297&lt;1000,2,IF(D297&lt;1500,3,IF(D297&lt;2000,4,5)))))</f>
        <v>2719395</v>
      </c>
    </row>
    <row r="298" spans="1:6" x14ac:dyDescent="0.15">
      <c r="A298" s="11" t="s">
        <v>314</v>
      </c>
      <c r="B298" s="12">
        <v>41036</v>
      </c>
      <c r="C298" s="13" t="s">
        <v>16</v>
      </c>
      <c r="D298" s="13">
        <v>1548</v>
      </c>
      <c r="E298" s="14">
        <f>VLOOKUP(C298,价格表!$B$2:$C$5,2,0)</f>
        <v>3200</v>
      </c>
      <c r="F298" s="14">
        <f>D298*E298*(1-HLOOKUP(C298,折扣表!$B$2:$E$6,IF(D298&lt;1000,2,IF(D298&lt;1500,3,IF(D298&lt;2000,4,5)))))</f>
        <v>4854528</v>
      </c>
    </row>
    <row r="299" spans="1:6" x14ac:dyDescent="0.15">
      <c r="A299" s="11" t="s">
        <v>315</v>
      </c>
      <c r="B299" s="12">
        <v>41036</v>
      </c>
      <c r="C299" s="13" t="s">
        <v>18</v>
      </c>
      <c r="D299" s="13">
        <v>1341</v>
      </c>
      <c r="E299" s="14">
        <f>VLOOKUP(C299,价格表!$B$2:$C$5,2,0)</f>
        <v>2100</v>
      </c>
      <c r="F299" s="14">
        <f>D299*E299*(1-HLOOKUP(C299,折扣表!$B$2:$E$6,IF(D299&lt;1000,2,IF(D299&lt;1500,3,IF(D299&lt;2000,4,5)))))</f>
        <v>2731617</v>
      </c>
    </row>
    <row r="300" spans="1:6" x14ac:dyDescent="0.15">
      <c r="A300" s="11" t="s">
        <v>316</v>
      </c>
      <c r="B300" s="12">
        <v>41037</v>
      </c>
      <c r="C300" s="13" t="s">
        <v>16</v>
      </c>
      <c r="D300" s="13">
        <v>1433</v>
      </c>
      <c r="E300" s="14">
        <f>VLOOKUP(C300,价格表!$B$2:$C$5,2,0)</f>
        <v>3200</v>
      </c>
      <c r="F300" s="14">
        <f>D300*E300*(1-HLOOKUP(C300,折扣表!$B$2:$E$6,IF(D300&lt;1000,2,IF(D300&lt;1500,3,IF(D300&lt;2000,4,5)))))</f>
        <v>4539744</v>
      </c>
    </row>
    <row r="301" spans="1:6" x14ac:dyDescent="0.15">
      <c r="A301" s="11" t="s">
        <v>317</v>
      </c>
      <c r="B301" s="12">
        <v>41037</v>
      </c>
      <c r="C301" s="13" t="s">
        <v>17</v>
      </c>
      <c r="D301" s="13">
        <v>1286</v>
      </c>
      <c r="E301" s="14">
        <f>VLOOKUP(C301,价格表!$B$2:$C$5,2,0)</f>
        <v>2800</v>
      </c>
      <c r="F301" s="14">
        <f>D301*E301*(1-HLOOKUP(C301,折扣表!$B$2:$E$6,IF(D301&lt;1000,2,IF(D301&lt;1500,3,IF(D301&lt;2000,4,5)))))</f>
        <v>3528784</v>
      </c>
    </row>
    <row r="302" spans="1:6" x14ac:dyDescent="0.15">
      <c r="A302" s="11" t="s">
        <v>318</v>
      </c>
      <c r="B302" s="12">
        <v>41037</v>
      </c>
      <c r="C302" s="13" t="s">
        <v>18</v>
      </c>
      <c r="D302" s="13">
        <v>1363</v>
      </c>
      <c r="E302" s="14">
        <f>VLOOKUP(C302,价格表!$B$2:$C$5,2,0)</f>
        <v>2100</v>
      </c>
      <c r="F302" s="14">
        <f>D302*E302*(1-HLOOKUP(C302,折扣表!$B$2:$E$6,IF(D302&lt;1000,2,IF(D302&lt;1500,3,IF(D302&lt;2000,4,5)))))</f>
        <v>2776431</v>
      </c>
    </row>
    <row r="303" spans="1:6" x14ac:dyDescent="0.15">
      <c r="A303" s="11" t="s">
        <v>319</v>
      </c>
      <c r="B303" s="12">
        <v>41038</v>
      </c>
      <c r="C303" s="13" t="s">
        <v>16</v>
      </c>
      <c r="D303" s="13">
        <v>1599</v>
      </c>
      <c r="E303" s="14">
        <f>VLOOKUP(C303,价格表!$B$2:$C$5,2,0)</f>
        <v>3200</v>
      </c>
      <c r="F303" s="14">
        <f>D303*E303*(1-HLOOKUP(C303,折扣表!$B$2:$E$6,IF(D303&lt;1000,2,IF(D303&lt;1500,3,IF(D303&lt;2000,4,5)))))</f>
        <v>5014464</v>
      </c>
    </row>
    <row r="304" spans="1:6" x14ac:dyDescent="0.15">
      <c r="A304" s="11" t="s">
        <v>320</v>
      </c>
      <c r="B304" s="12">
        <v>41038</v>
      </c>
      <c r="C304" s="13" t="s">
        <v>17</v>
      </c>
      <c r="D304" s="13">
        <v>1307</v>
      </c>
      <c r="E304" s="14">
        <f>VLOOKUP(C304,价格表!$B$2:$C$5,2,0)</f>
        <v>2800</v>
      </c>
      <c r="F304" s="14">
        <f>D304*E304*(1-HLOOKUP(C304,折扣表!$B$2:$E$6,IF(D304&lt;1000,2,IF(D304&lt;1500,3,IF(D304&lt;2000,4,5)))))</f>
        <v>3586408</v>
      </c>
    </row>
    <row r="305" spans="1:6" x14ac:dyDescent="0.15">
      <c r="A305" s="11" t="s">
        <v>321</v>
      </c>
      <c r="B305" s="12">
        <v>41038</v>
      </c>
      <c r="C305" s="13" t="s">
        <v>18</v>
      </c>
      <c r="D305" s="13">
        <v>1360</v>
      </c>
      <c r="E305" s="14">
        <f>VLOOKUP(C305,价格表!$B$2:$C$5,2,0)</f>
        <v>2100</v>
      </c>
      <c r="F305" s="14">
        <f>D305*E305*(1-HLOOKUP(C305,折扣表!$B$2:$E$6,IF(D305&lt;1000,2,IF(D305&lt;1500,3,IF(D305&lt;2000,4,5)))))</f>
        <v>2770320</v>
      </c>
    </row>
    <row r="306" spans="1:6" x14ac:dyDescent="0.15">
      <c r="A306" s="11" t="s">
        <v>322</v>
      </c>
      <c r="B306" s="12">
        <v>41039</v>
      </c>
      <c r="C306" s="13" t="s">
        <v>16</v>
      </c>
      <c r="D306" s="13">
        <v>1512</v>
      </c>
      <c r="E306" s="14">
        <f>VLOOKUP(C306,价格表!$B$2:$C$5,2,0)</f>
        <v>3200</v>
      </c>
      <c r="F306" s="14">
        <f>D306*E306*(1-HLOOKUP(C306,折扣表!$B$2:$E$6,IF(D306&lt;1000,2,IF(D306&lt;1500,3,IF(D306&lt;2000,4,5)))))</f>
        <v>4741632</v>
      </c>
    </row>
    <row r="307" spans="1:6" x14ac:dyDescent="0.15">
      <c r="A307" s="11" t="s">
        <v>323</v>
      </c>
      <c r="B307" s="12">
        <v>41039</v>
      </c>
      <c r="C307" s="13" t="s">
        <v>17</v>
      </c>
      <c r="D307" s="13">
        <v>1267</v>
      </c>
      <c r="E307" s="14">
        <f>VLOOKUP(C307,价格表!$B$2:$C$5,2,0)</f>
        <v>2800</v>
      </c>
      <c r="F307" s="14">
        <f>D307*E307*(1-HLOOKUP(C307,折扣表!$B$2:$E$6,IF(D307&lt;1000,2,IF(D307&lt;1500,3,IF(D307&lt;2000,4,5)))))</f>
        <v>3476648</v>
      </c>
    </row>
    <row r="308" spans="1:6" x14ac:dyDescent="0.15">
      <c r="A308" s="11" t="s">
        <v>324</v>
      </c>
      <c r="B308" s="12">
        <v>41039</v>
      </c>
      <c r="C308" s="13" t="s">
        <v>18</v>
      </c>
      <c r="D308" s="13">
        <v>1363</v>
      </c>
      <c r="E308" s="14">
        <f>VLOOKUP(C308,价格表!$B$2:$C$5,2,0)</f>
        <v>2100</v>
      </c>
      <c r="F308" s="14">
        <f>D308*E308*(1-HLOOKUP(C308,折扣表!$B$2:$E$6,IF(D308&lt;1000,2,IF(D308&lt;1500,3,IF(D308&lt;2000,4,5)))))</f>
        <v>2776431</v>
      </c>
    </row>
    <row r="309" spans="1:6" x14ac:dyDescent="0.15">
      <c r="A309" s="11" t="s">
        <v>325</v>
      </c>
      <c r="B309" s="12">
        <v>41040</v>
      </c>
      <c r="C309" s="13" t="s">
        <v>16</v>
      </c>
      <c r="D309" s="13">
        <v>1395</v>
      </c>
      <c r="E309" s="14">
        <f>VLOOKUP(C309,价格表!$B$2:$C$5,2,0)</f>
        <v>3200</v>
      </c>
      <c r="F309" s="14">
        <f>D309*E309*(1-HLOOKUP(C309,折扣表!$B$2:$E$6,IF(D309&lt;1000,2,IF(D309&lt;1500,3,IF(D309&lt;2000,4,5)))))</f>
        <v>4419360</v>
      </c>
    </row>
    <row r="310" spans="1:6" x14ac:dyDescent="0.15">
      <c r="A310" s="11" t="s">
        <v>326</v>
      </c>
      <c r="B310" s="12">
        <v>41040</v>
      </c>
      <c r="C310" s="13" t="s">
        <v>17</v>
      </c>
      <c r="D310" s="13">
        <v>1388</v>
      </c>
      <c r="E310" s="14">
        <f>VLOOKUP(C310,价格表!$B$2:$C$5,2,0)</f>
        <v>2800</v>
      </c>
      <c r="F310" s="14">
        <f>D310*E310*(1-HLOOKUP(C310,折扣表!$B$2:$E$6,IF(D310&lt;1000,2,IF(D310&lt;1500,3,IF(D310&lt;2000,4,5)))))</f>
        <v>3808672</v>
      </c>
    </row>
    <row r="311" spans="1:6" x14ac:dyDescent="0.15">
      <c r="A311" s="11" t="s">
        <v>327</v>
      </c>
      <c r="B311" s="12">
        <v>41040</v>
      </c>
      <c r="C311" s="13" t="s">
        <v>18</v>
      </c>
      <c r="D311" s="13">
        <v>1389</v>
      </c>
      <c r="E311" s="14">
        <f>VLOOKUP(C311,价格表!$B$2:$C$5,2,0)</f>
        <v>2100</v>
      </c>
      <c r="F311" s="14">
        <f>D311*E311*(1-HLOOKUP(C311,折扣表!$B$2:$E$6,IF(D311&lt;1000,2,IF(D311&lt;1500,3,IF(D311&lt;2000,4,5)))))</f>
        <v>2829393</v>
      </c>
    </row>
    <row r="312" spans="1:6" x14ac:dyDescent="0.15">
      <c r="A312" s="11" t="s">
        <v>328</v>
      </c>
      <c r="B312" s="12">
        <v>41041</v>
      </c>
      <c r="C312" s="13" t="s">
        <v>18</v>
      </c>
      <c r="D312" s="13">
        <v>1400</v>
      </c>
      <c r="E312" s="14">
        <f>VLOOKUP(C312,价格表!$B$2:$C$5,2,0)</f>
        <v>2100</v>
      </c>
      <c r="F312" s="14">
        <f>D312*E312*(1-HLOOKUP(C312,折扣表!$B$2:$E$6,IF(D312&lt;1000,2,IF(D312&lt;1500,3,IF(D312&lt;2000,4,5)))))</f>
        <v>2851800</v>
      </c>
    </row>
    <row r="313" spans="1:6" x14ac:dyDescent="0.15">
      <c r="A313" s="11" t="s">
        <v>329</v>
      </c>
      <c r="B313" s="12">
        <v>41042</v>
      </c>
      <c r="C313" s="13" t="s">
        <v>16</v>
      </c>
      <c r="D313" s="13">
        <v>1377</v>
      </c>
      <c r="E313" s="14">
        <f>VLOOKUP(C313,价格表!$B$2:$C$5,2,0)</f>
        <v>3200</v>
      </c>
      <c r="F313" s="14">
        <f>D313*E313*(1-HLOOKUP(C313,折扣表!$B$2:$E$6,IF(D313&lt;1000,2,IF(D313&lt;1500,3,IF(D313&lt;2000,4,5)))))</f>
        <v>4362336</v>
      </c>
    </row>
    <row r="314" spans="1:6" x14ac:dyDescent="0.15">
      <c r="A314" s="11" t="s">
        <v>330</v>
      </c>
      <c r="B314" s="12">
        <v>41042</v>
      </c>
      <c r="C314" s="13" t="s">
        <v>17</v>
      </c>
      <c r="D314" s="13">
        <v>1250</v>
      </c>
      <c r="E314" s="14">
        <f>VLOOKUP(C314,价格表!$B$2:$C$5,2,0)</f>
        <v>2800</v>
      </c>
      <c r="F314" s="14">
        <f>D314*E314*(1-HLOOKUP(C314,折扣表!$B$2:$E$6,IF(D314&lt;1000,2,IF(D314&lt;1500,3,IF(D314&lt;2000,4,5)))))</f>
        <v>3430000</v>
      </c>
    </row>
    <row r="315" spans="1:6" x14ac:dyDescent="0.15">
      <c r="A315" s="11" t="s">
        <v>331</v>
      </c>
      <c r="B315" s="12">
        <v>41042</v>
      </c>
      <c r="C315" s="13" t="s">
        <v>18</v>
      </c>
      <c r="D315" s="13">
        <v>1309</v>
      </c>
      <c r="E315" s="14">
        <f>VLOOKUP(C315,价格表!$B$2:$C$5,2,0)</f>
        <v>2100</v>
      </c>
      <c r="F315" s="14">
        <f>D315*E315*(1-HLOOKUP(C315,折扣表!$B$2:$E$6,IF(D315&lt;1000,2,IF(D315&lt;1500,3,IF(D315&lt;2000,4,5)))))</f>
        <v>2666433</v>
      </c>
    </row>
    <row r="316" spans="1:6" x14ac:dyDescent="0.15">
      <c r="A316" s="11" t="s">
        <v>332</v>
      </c>
      <c r="B316" s="12">
        <v>41043</v>
      </c>
      <c r="C316" s="13" t="s">
        <v>17</v>
      </c>
      <c r="D316" s="13">
        <v>1331</v>
      </c>
      <c r="E316" s="14">
        <f>VLOOKUP(C316,价格表!$B$2:$C$5,2,0)</f>
        <v>2800</v>
      </c>
      <c r="F316" s="14">
        <f>D316*E316*(1-HLOOKUP(C316,折扣表!$B$2:$E$6,IF(D316&lt;1000,2,IF(D316&lt;1500,3,IF(D316&lt;2000,4,5)))))</f>
        <v>3652264</v>
      </c>
    </row>
    <row r="317" spans="1:6" x14ac:dyDescent="0.15">
      <c r="A317" s="11" t="s">
        <v>333</v>
      </c>
      <c r="B317" s="12">
        <v>41043</v>
      </c>
      <c r="C317" s="13" t="s">
        <v>18</v>
      </c>
      <c r="D317" s="13">
        <v>1333</v>
      </c>
      <c r="E317" s="14">
        <f>VLOOKUP(C317,价格表!$B$2:$C$5,2,0)</f>
        <v>2100</v>
      </c>
      <c r="F317" s="14">
        <f>D317*E317*(1-HLOOKUP(C317,折扣表!$B$2:$E$6,IF(D317&lt;1000,2,IF(D317&lt;1500,3,IF(D317&lt;2000,4,5)))))</f>
        <v>2715321</v>
      </c>
    </row>
    <row r="318" spans="1:6" x14ac:dyDescent="0.15">
      <c r="A318" s="11" t="s">
        <v>334</v>
      </c>
      <c r="B318" s="12">
        <v>41044</v>
      </c>
      <c r="C318" s="13" t="s">
        <v>16</v>
      </c>
      <c r="D318" s="13">
        <v>1293</v>
      </c>
      <c r="E318" s="14">
        <f>VLOOKUP(C318,价格表!$B$2:$C$5,2,0)</f>
        <v>3200</v>
      </c>
      <c r="F318" s="14">
        <f>D318*E318*(1-HLOOKUP(C318,折扣表!$B$2:$E$6,IF(D318&lt;1000,2,IF(D318&lt;1500,3,IF(D318&lt;2000,4,5)))))</f>
        <v>4096224</v>
      </c>
    </row>
    <row r="319" spans="1:6" x14ac:dyDescent="0.15">
      <c r="A319" s="11" t="s">
        <v>335</v>
      </c>
      <c r="B319" s="12">
        <v>41044</v>
      </c>
      <c r="C319" s="13" t="s">
        <v>17</v>
      </c>
      <c r="D319" s="13">
        <v>1369</v>
      </c>
      <c r="E319" s="14">
        <f>VLOOKUP(C319,价格表!$B$2:$C$5,2,0)</f>
        <v>2800</v>
      </c>
      <c r="F319" s="14">
        <f>D319*E319*(1-HLOOKUP(C319,折扣表!$B$2:$E$6,IF(D319&lt;1000,2,IF(D319&lt;1500,3,IF(D319&lt;2000,4,5)))))</f>
        <v>3756536</v>
      </c>
    </row>
    <row r="320" spans="1:6" x14ac:dyDescent="0.15">
      <c r="A320" s="11" t="s">
        <v>336</v>
      </c>
      <c r="B320" s="12">
        <v>41045</v>
      </c>
      <c r="C320" s="13" t="s">
        <v>16</v>
      </c>
      <c r="D320" s="13">
        <v>1441</v>
      </c>
      <c r="E320" s="14">
        <f>VLOOKUP(C320,价格表!$B$2:$C$5,2,0)</f>
        <v>3200</v>
      </c>
      <c r="F320" s="14">
        <f>D320*E320*(1-HLOOKUP(C320,折扣表!$B$2:$E$6,IF(D320&lt;1000,2,IF(D320&lt;1500,3,IF(D320&lt;2000,4,5)))))</f>
        <v>4565088</v>
      </c>
    </row>
    <row r="321" spans="1:6" x14ac:dyDescent="0.15">
      <c r="A321" s="11" t="s">
        <v>337</v>
      </c>
      <c r="B321" s="12">
        <v>41045</v>
      </c>
      <c r="C321" s="13" t="s">
        <v>17</v>
      </c>
      <c r="D321" s="13">
        <v>1221</v>
      </c>
      <c r="E321" s="14">
        <f>VLOOKUP(C321,价格表!$B$2:$C$5,2,0)</f>
        <v>2800</v>
      </c>
      <c r="F321" s="14">
        <f>D321*E321*(1-HLOOKUP(C321,折扣表!$B$2:$E$6,IF(D321&lt;1000,2,IF(D321&lt;1500,3,IF(D321&lt;2000,4,5)))))</f>
        <v>3350424</v>
      </c>
    </row>
    <row r="322" spans="1:6" x14ac:dyDescent="0.15">
      <c r="A322" s="11" t="s">
        <v>338</v>
      </c>
      <c r="B322" s="12">
        <v>41045</v>
      </c>
      <c r="C322" s="13" t="s">
        <v>18</v>
      </c>
      <c r="D322" s="13">
        <v>1388</v>
      </c>
      <c r="E322" s="14">
        <f>VLOOKUP(C322,价格表!$B$2:$C$5,2,0)</f>
        <v>2100</v>
      </c>
      <c r="F322" s="14">
        <f>D322*E322*(1-HLOOKUP(C322,折扣表!$B$2:$E$6,IF(D322&lt;1000,2,IF(D322&lt;1500,3,IF(D322&lt;2000,4,5)))))</f>
        <v>2827356</v>
      </c>
    </row>
    <row r="323" spans="1:6" x14ac:dyDescent="0.15">
      <c r="A323" s="11" t="s">
        <v>339</v>
      </c>
      <c r="B323" s="12">
        <v>41046</v>
      </c>
      <c r="C323" s="13" t="s">
        <v>16</v>
      </c>
      <c r="D323" s="13">
        <v>1269</v>
      </c>
      <c r="E323" s="14">
        <f>VLOOKUP(C323,价格表!$B$2:$C$5,2,0)</f>
        <v>3200</v>
      </c>
      <c r="F323" s="14">
        <f>D323*E323*(1-HLOOKUP(C323,折扣表!$B$2:$E$6,IF(D323&lt;1000,2,IF(D323&lt;1500,3,IF(D323&lt;2000,4,5)))))</f>
        <v>4020192</v>
      </c>
    </row>
    <row r="324" spans="1:6" x14ac:dyDescent="0.15">
      <c r="A324" s="11" t="s">
        <v>340</v>
      </c>
      <c r="B324" s="12">
        <v>41046</v>
      </c>
      <c r="C324" s="13" t="s">
        <v>17</v>
      </c>
      <c r="D324" s="13">
        <v>1336</v>
      </c>
      <c r="E324" s="14">
        <f>VLOOKUP(C324,价格表!$B$2:$C$5,2,0)</f>
        <v>2800</v>
      </c>
      <c r="F324" s="14">
        <f>D324*E324*(1-HLOOKUP(C324,折扣表!$B$2:$E$6,IF(D324&lt;1000,2,IF(D324&lt;1500,3,IF(D324&lt;2000,4,5)))))</f>
        <v>3665984</v>
      </c>
    </row>
    <row r="325" spans="1:6" x14ac:dyDescent="0.15">
      <c r="A325" s="11" t="s">
        <v>341</v>
      </c>
      <c r="B325" s="12">
        <v>41046</v>
      </c>
      <c r="C325" s="13" t="s">
        <v>18</v>
      </c>
      <c r="D325" s="13">
        <v>1315</v>
      </c>
      <c r="E325" s="14">
        <f>VLOOKUP(C325,价格表!$B$2:$C$5,2,0)</f>
        <v>2100</v>
      </c>
      <c r="F325" s="14">
        <f>D325*E325*(1-HLOOKUP(C325,折扣表!$B$2:$E$6,IF(D325&lt;1000,2,IF(D325&lt;1500,3,IF(D325&lt;2000,4,5)))))</f>
        <v>2678655</v>
      </c>
    </row>
    <row r="326" spans="1:6" x14ac:dyDescent="0.15">
      <c r="A326" s="11" t="s">
        <v>342</v>
      </c>
      <c r="B326" s="12">
        <v>41047</v>
      </c>
      <c r="C326" s="13" t="s">
        <v>16</v>
      </c>
      <c r="D326" s="13">
        <v>1397</v>
      </c>
      <c r="E326" s="14">
        <f>VLOOKUP(C326,价格表!$B$2:$C$5,2,0)</f>
        <v>3200</v>
      </c>
      <c r="F326" s="14">
        <f>D326*E326*(1-HLOOKUP(C326,折扣表!$B$2:$E$6,IF(D326&lt;1000,2,IF(D326&lt;1500,3,IF(D326&lt;2000,4,5)))))</f>
        <v>4425696</v>
      </c>
    </row>
    <row r="327" spans="1:6" x14ac:dyDescent="0.15">
      <c r="A327" s="11" t="s">
        <v>343</v>
      </c>
      <c r="B327" s="12">
        <v>41047</v>
      </c>
      <c r="C327" s="13" t="s">
        <v>17</v>
      </c>
      <c r="D327" s="13">
        <v>1264</v>
      </c>
      <c r="E327" s="14">
        <f>VLOOKUP(C327,价格表!$B$2:$C$5,2,0)</f>
        <v>2800</v>
      </c>
      <c r="F327" s="14">
        <f>D327*E327*(1-HLOOKUP(C327,折扣表!$B$2:$E$6,IF(D327&lt;1000,2,IF(D327&lt;1500,3,IF(D327&lt;2000,4,5)))))</f>
        <v>3468416</v>
      </c>
    </row>
    <row r="328" spans="1:6" x14ac:dyDescent="0.15">
      <c r="A328" s="11" t="s">
        <v>344</v>
      </c>
      <c r="B328" s="12">
        <v>41048</v>
      </c>
      <c r="C328" s="13" t="s">
        <v>17</v>
      </c>
      <c r="D328" s="13">
        <v>1243</v>
      </c>
      <c r="E328" s="14">
        <f>VLOOKUP(C328,价格表!$B$2:$C$5,2,0)</f>
        <v>2800</v>
      </c>
      <c r="F328" s="14">
        <f>D328*E328*(1-HLOOKUP(C328,折扣表!$B$2:$E$6,IF(D328&lt;1000,2,IF(D328&lt;1500,3,IF(D328&lt;2000,4,5)))))</f>
        <v>3410792</v>
      </c>
    </row>
    <row r="329" spans="1:6" x14ac:dyDescent="0.15">
      <c r="A329" s="11" t="s">
        <v>345</v>
      </c>
      <c r="B329" s="12">
        <v>41049</v>
      </c>
      <c r="C329" s="13" t="s">
        <v>16</v>
      </c>
      <c r="D329" s="13">
        <v>1318</v>
      </c>
      <c r="E329" s="14">
        <f>VLOOKUP(C329,价格表!$B$2:$C$5,2,0)</f>
        <v>3200</v>
      </c>
      <c r="F329" s="14">
        <f>D329*E329*(1-HLOOKUP(C329,折扣表!$B$2:$E$6,IF(D329&lt;1000,2,IF(D329&lt;1500,3,IF(D329&lt;2000,4,5)))))</f>
        <v>4175424</v>
      </c>
    </row>
    <row r="330" spans="1:6" x14ac:dyDescent="0.15">
      <c r="A330" s="11" t="s">
        <v>346</v>
      </c>
      <c r="B330" s="12">
        <v>41049</v>
      </c>
      <c r="C330" s="13" t="s">
        <v>17</v>
      </c>
      <c r="D330" s="13">
        <v>1232</v>
      </c>
      <c r="E330" s="14">
        <f>VLOOKUP(C330,价格表!$B$2:$C$5,2,0)</f>
        <v>2800</v>
      </c>
      <c r="F330" s="14">
        <f>D330*E330*(1-HLOOKUP(C330,折扣表!$B$2:$E$6,IF(D330&lt;1000,2,IF(D330&lt;1500,3,IF(D330&lt;2000,4,5)))))</f>
        <v>3380608</v>
      </c>
    </row>
    <row r="331" spans="1:6" x14ac:dyDescent="0.15">
      <c r="A331" s="11" t="s">
        <v>347</v>
      </c>
      <c r="B331" s="12">
        <v>41049</v>
      </c>
      <c r="C331" s="13" t="s">
        <v>18</v>
      </c>
      <c r="D331" s="13">
        <v>1332</v>
      </c>
      <c r="E331" s="14">
        <f>VLOOKUP(C331,价格表!$B$2:$C$5,2,0)</f>
        <v>2100</v>
      </c>
      <c r="F331" s="14">
        <f>D331*E331*(1-HLOOKUP(C331,折扣表!$B$2:$E$6,IF(D331&lt;1000,2,IF(D331&lt;1500,3,IF(D331&lt;2000,4,5)))))</f>
        <v>2713284</v>
      </c>
    </row>
    <row r="332" spans="1:6" x14ac:dyDescent="0.15">
      <c r="A332" s="11" t="s">
        <v>348</v>
      </c>
      <c r="B332" s="12">
        <v>41050</v>
      </c>
      <c r="C332" s="13" t="s">
        <v>16</v>
      </c>
      <c r="D332" s="13">
        <v>1308</v>
      </c>
      <c r="E332" s="14">
        <f>VLOOKUP(C332,价格表!$B$2:$C$5,2,0)</f>
        <v>3200</v>
      </c>
      <c r="F332" s="14">
        <f>D332*E332*(1-HLOOKUP(C332,折扣表!$B$2:$E$6,IF(D332&lt;1000,2,IF(D332&lt;1500,3,IF(D332&lt;2000,4,5)))))</f>
        <v>4143744</v>
      </c>
    </row>
    <row r="333" spans="1:6" x14ac:dyDescent="0.15">
      <c r="A333" s="11" t="s">
        <v>349</v>
      </c>
      <c r="B333" s="12">
        <v>41050</v>
      </c>
      <c r="C333" s="13" t="s">
        <v>17</v>
      </c>
      <c r="D333" s="13">
        <v>1399</v>
      </c>
      <c r="E333" s="14">
        <f>VLOOKUP(C333,价格表!$B$2:$C$5,2,0)</f>
        <v>2800</v>
      </c>
      <c r="F333" s="14">
        <f>D333*E333*(1-HLOOKUP(C333,折扣表!$B$2:$E$6,IF(D333&lt;1000,2,IF(D333&lt;1500,3,IF(D333&lt;2000,4,5)))))</f>
        <v>3838856</v>
      </c>
    </row>
    <row r="334" spans="1:6" x14ac:dyDescent="0.15">
      <c r="A334" s="11" t="s">
        <v>350</v>
      </c>
      <c r="B334" s="12">
        <v>41050</v>
      </c>
      <c r="C334" s="13" t="s">
        <v>18</v>
      </c>
      <c r="D334" s="13">
        <v>1329</v>
      </c>
      <c r="E334" s="14">
        <f>VLOOKUP(C334,价格表!$B$2:$C$5,2,0)</f>
        <v>2100</v>
      </c>
      <c r="F334" s="14">
        <f>D334*E334*(1-HLOOKUP(C334,折扣表!$B$2:$E$6,IF(D334&lt;1000,2,IF(D334&lt;1500,3,IF(D334&lt;2000,4,5)))))</f>
        <v>2707173</v>
      </c>
    </row>
    <row r="335" spans="1:6" x14ac:dyDescent="0.15">
      <c r="A335" s="11" t="s">
        <v>351</v>
      </c>
      <c r="B335" s="12">
        <v>41051</v>
      </c>
      <c r="C335" s="13" t="s">
        <v>16</v>
      </c>
      <c r="D335" s="13">
        <v>1588</v>
      </c>
      <c r="E335" s="14">
        <f>VLOOKUP(C335,价格表!$B$2:$C$5,2,0)</f>
        <v>3200</v>
      </c>
      <c r="F335" s="14">
        <f>D335*E335*(1-HLOOKUP(C335,折扣表!$B$2:$E$6,IF(D335&lt;1000,2,IF(D335&lt;1500,3,IF(D335&lt;2000,4,5)))))</f>
        <v>4979968</v>
      </c>
    </row>
    <row r="336" spans="1:6" x14ac:dyDescent="0.15">
      <c r="A336" s="11" t="s">
        <v>352</v>
      </c>
      <c r="B336" s="12">
        <v>41051</v>
      </c>
      <c r="C336" s="13" t="s">
        <v>17</v>
      </c>
      <c r="D336" s="13">
        <v>1264</v>
      </c>
      <c r="E336" s="14">
        <f>VLOOKUP(C336,价格表!$B$2:$C$5,2,0)</f>
        <v>2800</v>
      </c>
      <c r="F336" s="14">
        <f>D336*E336*(1-HLOOKUP(C336,折扣表!$B$2:$E$6,IF(D336&lt;1000,2,IF(D336&lt;1500,3,IF(D336&lt;2000,4,5)))))</f>
        <v>3468416</v>
      </c>
    </row>
    <row r="337" spans="1:6" x14ac:dyDescent="0.15">
      <c r="A337" s="11" t="s">
        <v>353</v>
      </c>
      <c r="B337" s="12">
        <v>41051</v>
      </c>
      <c r="C337" s="13" t="s">
        <v>18</v>
      </c>
      <c r="D337" s="13">
        <v>1307</v>
      </c>
      <c r="E337" s="14">
        <f>VLOOKUP(C337,价格表!$B$2:$C$5,2,0)</f>
        <v>2100</v>
      </c>
      <c r="F337" s="14">
        <f>D337*E337*(1-HLOOKUP(C337,折扣表!$B$2:$E$6,IF(D337&lt;1000,2,IF(D337&lt;1500,3,IF(D337&lt;2000,4,5)))))</f>
        <v>2662359</v>
      </c>
    </row>
    <row r="338" spans="1:6" x14ac:dyDescent="0.15">
      <c r="A338" s="11" t="s">
        <v>354</v>
      </c>
      <c r="B338" s="12">
        <v>41052</v>
      </c>
      <c r="C338" s="13" t="s">
        <v>16</v>
      </c>
      <c r="D338" s="13">
        <v>1291</v>
      </c>
      <c r="E338" s="14">
        <f>VLOOKUP(C338,价格表!$B$2:$C$5,2,0)</f>
        <v>3200</v>
      </c>
      <c r="F338" s="14">
        <f>D338*E338*(1-HLOOKUP(C338,折扣表!$B$2:$E$6,IF(D338&lt;1000,2,IF(D338&lt;1500,3,IF(D338&lt;2000,4,5)))))</f>
        <v>4089888</v>
      </c>
    </row>
    <row r="339" spans="1:6" x14ac:dyDescent="0.15">
      <c r="A339" s="11" t="s">
        <v>355</v>
      </c>
      <c r="B339" s="12">
        <v>41052</v>
      </c>
      <c r="C339" s="13" t="s">
        <v>18</v>
      </c>
      <c r="D339" s="13">
        <v>1303</v>
      </c>
      <c r="E339" s="14">
        <f>VLOOKUP(C339,价格表!$B$2:$C$5,2,0)</f>
        <v>2100</v>
      </c>
      <c r="F339" s="14">
        <f>D339*E339*(1-HLOOKUP(C339,折扣表!$B$2:$E$6,IF(D339&lt;1000,2,IF(D339&lt;1500,3,IF(D339&lt;2000,4,5)))))</f>
        <v>2654211</v>
      </c>
    </row>
    <row r="340" spans="1:6" x14ac:dyDescent="0.15">
      <c r="A340" s="11" t="s">
        <v>356</v>
      </c>
      <c r="B340" s="12">
        <v>41053</v>
      </c>
      <c r="C340" s="13" t="s">
        <v>16</v>
      </c>
      <c r="D340" s="13">
        <v>1402</v>
      </c>
      <c r="E340" s="14">
        <f>VLOOKUP(C340,价格表!$B$2:$C$5,2,0)</f>
        <v>3200</v>
      </c>
      <c r="F340" s="14">
        <f>D340*E340*(1-HLOOKUP(C340,折扣表!$B$2:$E$6,IF(D340&lt;1000,2,IF(D340&lt;1500,3,IF(D340&lt;2000,4,5)))))</f>
        <v>4441536</v>
      </c>
    </row>
    <row r="341" spans="1:6" x14ac:dyDescent="0.15">
      <c r="A341" s="11" t="s">
        <v>357</v>
      </c>
      <c r="B341" s="12">
        <v>41053</v>
      </c>
      <c r="C341" s="13" t="s">
        <v>17</v>
      </c>
      <c r="D341" s="13">
        <v>1263</v>
      </c>
      <c r="E341" s="14">
        <f>VLOOKUP(C341,价格表!$B$2:$C$5,2,0)</f>
        <v>2800</v>
      </c>
      <c r="F341" s="14">
        <f>D341*E341*(1-HLOOKUP(C341,折扣表!$B$2:$E$6,IF(D341&lt;1000,2,IF(D341&lt;1500,3,IF(D341&lt;2000,4,5)))))</f>
        <v>3465672</v>
      </c>
    </row>
    <row r="342" spans="1:6" x14ac:dyDescent="0.15">
      <c r="A342" s="11" t="s">
        <v>358</v>
      </c>
      <c r="B342" s="12">
        <v>41053</v>
      </c>
      <c r="C342" s="13" t="s">
        <v>18</v>
      </c>
      <c r="D342" s="13">
        <v>1359</v>
      </c>
      <c r="E342" s="14">
        <f>VLOOKUP(C342,价格表!$B$2:$C$5,2,0)</f>
        <v>2100</v>
      </c>
      <c r="F342" s="14">
        <f>D342*E342*(1-HLOOKUP(C342,折扣表!$B$2:$E$6,IF(D342&lt;1000,2,IF(D342&lt;1500,3,IF(D342&lt;2000,4,5)))))</f>
        <v>2768283</v>
      </c>
    </row>
    <row r="343" spans="1:6" x14ac:dyDescent="0.15">
      <c r="A343" s="11" t="s">
        <v>359</v>
      </c>
      <c r="B343" s="12">
        <v>41054</v>
      </c>
      <c r="C343" s="13" t="s">
        <v>16</v>
      </c>
      <c r="D343" s="13">
        <v>1516</v>
      </c>
      <c r="E343" s="14">
        <f>VLOOKUP(C343,价格表!$B$2:$C$5,2,0)</f>
        <v>3200</v>
      </c>
      <c r="F343" s="14">
        <f>D343*E343*(1-HLOOKUP(C343,折扣表!$B$2:$E$6,IF(D343&lt;1000,2,IF(D343&lt;1500,3,IF(D343&lt;2000,4,5)))))</f>
        <v>4754176</v>
      </c>
    </row>
    <row r="344" spans="1:6" x14ac:dyDescent="0.15">
      <c r="A344" s="11" t="s">
        <v>360</v>
      </c>
      <c r="B344" s="12">
        <v>41054</v>
      </c>
      <c r="C344" s="13" t="s">
        <v>17</v>
      </c>
      <c r="D344" s="13">
        <v>1360</v>
      </c>
      <c r="E344" s="14">
        <f>VLOOKUP(C344,价格表!$B$2:$C$5,2,0)</f>
        <v>2800</v>
      </c>
      <c r="F344" s="14">
        <f>D344*E344*(1-HLOOKUP(C344,折扣表!$B$2:$E$6,IF(D344&lt;1000,2,IF(D344&lt;1500,3,IF(D344&lt;2000,4,5)))))</f>
        <v>3731840</v>
      </c>
    </row>
    <row r="345" spans="1:6" x14ac:dyDescent="0.15">
      <c r="A345" s="11" t="s">
        <v>361</v>
      </c>
      <c r="B345" s="12">
        <v>41055</v>
      </c>
      <c r="C345" s="13" t="s">
        <v>16</v>
      </c>
      <c r="D345" s="13">
        <v>1366</v>
      </c>
      <c r="E345" s="14">
        <f>VLOOKUP(C345,价格表!$B$2:$C$5,2,0)</f>
        <v>3200</v>
      </c>
      <c r="F345" s="14">
        <f>D345*E345*(1-HLOOKUP(C345,折扣表!$B$2:$E$6,IF(D345&lt;1000,2,IF(D345&lt;1500,3,IF(D345&lt;2000,4,5)))))</f>
        <v>4327488</v>
      </c>
    </row>
    <row r="346" spans="1:6" x14ac:dyDescent="0.15">
      <c r="A346" s="11" t="s">
        <v>362</v>
      </c>
      <c r="B346" s="12">
        <v>41055</v>
      </c>
      <c r="C346" s="13" t="s">
        <v>17</v>
      </c>
      <c r="D346" s="13">
        <v>1382</v>
      </c>
      <c r="E346" s="14">
        <f>VLOOKUP(C346,价格表!$B$2:$C$5,2,0)</f>
        <v>2800</v>
      </c>
      <c r="F346" s="14">
        <f>D346*E346*(1-HLOOKUP(C346,折扣表!$B$2:$E$6,IF(D346&lt;1000,2,IF(D346&lt;1500,3,IF(D346&lt;2000,4,5)))))</f>
        <v>3792208</v>
      </c>
    </row>
    <row r="347" spans="1:6" x14ac:dyDescent="0.15">
      <c r="A347" s="11" t="s">
        <v>363</v>
      </c>
      <c r="B347" s="12">
        <v>41055</v>
      </c>
      <c r="C347" s="13" t="s">
        <v>18</v>
      </c>
      <c r="D347" s="13">
        <v>1300</v>
      </c>
      <c r="E347" s="14">
        <f>VLOOKUP(C347,价格表!$B$2:$C$5,2,0)</f>
        <v>2100</v>
      </c>
      <c r="F347" s="14">
        <f>D347*E347*(1-HLOOKUP(C347,折扣表!$B$2:$E$6,IF(D347&lt;1000,2,IF(D347&lt;1500,3,IF(D347&lt;2000,4,5)))))</f>
        <v>2648100</v>
      </c>
    </row>
    <row r="348" spans="1:6" x14ac:dyDescent="0.15">
      <c r="A348" s="11" t="s">
        <v>364</v>
      </c>
      <c r="B348" s="12">
        <v>41056</v>
      </c>
      <c r="C348" s="13" t="s">
        <v>16</v>
      </c>
      <c r="D348" s="13">
        <v>1352</v>
      </c>
      <c r="E348" s="14">
        <f>VLOOKUP(C348,价格表!$B$2:$C$5,2,0)</f>
        <v>3200</v>
      </c>
      <c r="F348" s="14">
        <f>D348*E348*(1-HLOOKUP(C348,折扣表!$B$2:$E$6,IF(D348&lt;1000,2,IF(D348&lt;1500,3,IF(D348&lt;2000,4,5)))))</f>
        <v>4283136</v>
      </c>
    </row>
    <row r="349" spans="1:6" x14ac:dyDescent="0.15">
      <c r="A349" s="11" t="s">
        <v>365</v>
      </c>
      <c r="B349" s="12">
        <v>41056</v>
      </c>
      <c r="C349" s="13" t="s">
        <v>17</v>
      </c>
      <c r="D349" s="13">
        <v>1368</v>
      </c>
      <c r="E349" s="14">
        <f>VLOOKUP(C349,价格表!$B$2:$C$5,2,0)</f>
        <v>2800</v>
      </c>
      <c r="F349" s="14">
        <f>D349*E349*(1-HLOOKUP(C349,折扣表!$B$2:$E$6,IF(D349&lt;1000,2,IF(D349&lt;1500,3,IF(D349&lt;2000,4,5)))))</f>
        <v>3753792</v>
      </c>
    </row>
    <row r="350" spans="1:6" x14ac:dyDescent="0.15">
      <c r="A350" s="11" t="s">
        <v>366</v>
      </c>
      <c r="B350" s="12">
        <v>41056</v>
      </c>
      <c r="C350" s="13" t="s">
        <v>18</v>
      </c>
      <c r="D350" s="13">
        <v>1372</v>
      </c>
      <c r="E350" s="14">
        <f>VLOOKUP(C350,价格表!$B$2:$C$5,2,0)</f>
        <v>2100</v>
      </c>
      <c r="F350" s="14">
        <f>D350*E350*(1-HLOOKUP(C350,折扣表!$B$2:$E$6,IF(D350&lt;1000,2,IF(D350&lt;1500,3,IF(D350&lt;2000,4,5)))))</f>
        <v>2794764</v>
      </c>
    </row>
    <row r="351" spans="1:6" x14ac:dyDescent="0.15">
      <c r="A351" s="11" t="s">
        <v>367</v>
      </c>
      <c r="B351" s="12">
        <v>41057</v>
      </c>
      <c r="C351" s="13" t="s">
        <v>16</v>
      </c>
      <c r="D351" s="13">
        <v>1268</v>
      </c>
      <c r="E351" s="14">
        <f>VLOOKUP(C351,价格表!$B$2:$C$5,2,0)</f>
        <v>3200</v>
      </c>
      <c r="F351" s="14">
        <f>D351*E351*(1-HLOOKUP(C351,折扣表!$B$2:$E$6,IF(D351&lt;1000,2,IF(D351&lt;1500,3,IF(D351&lt;2000,4,5)))))</f>
        <v>4017024</v>
      </c>
    </row>
    <row r="352" spans="1:6" x14ac:dyDescent="0.15">
      <c r="A352" s="11" t="s">
        <v>368</v>
      </c>
      <c r="B352" s="12">
        <v>41057</v>
      </c>
      <c r="C352" s="13" t="s">
        <v>17</v>
      </c>
      <c r="D352" s="13">
        <v>1270</v>
      </c>
      <c r="E352" s="14">
        <f>VLOOKUP(C352,价格表!$B$2:$C$5,2,0)</f>
        <v>2800</v>
      </c>
      <c r="F352" s="14">
        <f>D352*E352*(1-HLOOKUP(C352,折扣表!$B$2:$E$6,IF(D352&lt;1000,2,IF(D352&lt;1500,3,IF(D352&lt;2000,4,5)))))</f>
        <v>3484880</v>
      </c>
    </row>
    <row r="353" spans="1:6" x14ac:dyDescent="0.15">
      <c r="A353" s="11" t="s">
        <v>369</v>
      </c>
      <c r="B353" s="12">
        <v>41057</v>
      </c>
      <c r="C353" s="13" t="s">
        <v>18</v>
      </c>
      <c r="D353" s="13">
        <v>1385</v>
      </c>
      <c r="E353" s="14">
        <f>VLOOKUP(C353,价格表!$B$2:$C$5,2,0)</f>
        <v>2100</v>
      </c>
      <c r="F353" s="14">
        <f>D353*E353*(1-HLOOKUP(C353,折扣表!$B$2:$E$6,IF(D353&lt;1000,2,IF(D353&lt;1500,3,IF(D353&lt;2000,4,5)))))</f>
        <v>2821245</v>
      </c>
    </row>
    <row r="354" spans="1:6" x14ac:dyDescent="0.15">
      <c r="A354" s="11" t="s">
        <v>370</v>
      </c>
      <c r="B354" s="12">
        <v>41058</v>
      </c>
      <c r="C354" s="13" t="s">
        <v>16</v>
      </c>
      <c r="D354" s="13">
        <v>1529</v>
      </c>
      <c r="E354" s="14">
        <f>VLOOKUP(C354,价格表!$B$2:$C$5,2,0)</f>
        <v>3200</v>
      </c>
      <c r="F354" s="14">
        <f>D354*E354*(1-HLOOKUP(C354,折扣表!$B$2:$E$6,IF(D354&lt;1000,2,IF(D354&lt;1500,3,IF(D354&lt;2000,4,5)))))</f>
        <v>4794944</v>
      </c>
    </row>
    <row r="355" spans="1:6" x14ac:dyDescent="0.15">
      <c r="A355" s="11" t="s">
        <v>371</v>
      </c>
      <c r="B355" s="12">
        <v>41058</v>
      </c>
      <c r="C355" s="13" t="s">
        <v>17</v>
      </c>
      <c r="D355" s="13">
        <v>1229</v>
      </c>
      <c r="E355" s="14">
        <f>VLOOKUP(C355,价格表!$B$2:$C$5,2,0)</f>
        <v>2800</v>
      </c>
      <c r="F355" s="14">
        <f>D355*E355*(1-HLOOKUP(C355,折扣表!$B$2:$E$6,IF(D355&lt;1000,2,IF(D355&lt;1500,3,IF(D355&lt;2000,4,5)))))</f>
        <v>3372376</v>
      </c>
    </row>
    <row r="356" spans="1:6" x14ac:dyDescent="0.15">
      <c r="A356" s="11" t="s">
        <v>372</v>
      </c>
      <c r="B356" s="12">
        <v>41058</v>
      </c>
      <c r="C356" s="13" t="s">
        <v>18</v>
      </c>
      <c r="D356" s="13">
        <v>1400</v>
      </c>
      <c r="E356" s="14">
        <f>VLOOKUP(C356,价格表!$B$2:$C$5,2,0)</f>
        <v>2100</v>
      </c>
      <c r="F356" s="14">
        <f>D356*E356*(1-HLOOKUP(C356,折扣表!$B$2:$E$6,IF(D356&lt;1000,2,IF(D356&lt;1500,3,IF(D356&lt;2000,4,5)))))</f>
        <v>2851800</v>
      </c>
    </row>
    <row r="357" spans="1:6" x14ac:dyDescent="0.15">
      <c r="A357" s="11" t="s">
        <v>373</v>
      </c>
      <c r="B357" s="12">
        <v>41059</v>
      </c>
      <c r="C357" s="13" t="s">
        <v>17</v>
      </c>
      <c r="D357" s="13">
        <v>1229</v>
      </c>
      <c r="E357" s="14">
        <f>VLOOKUP(C357,价格表!$B$2:$C$5,2,0)</f>
        <v>2800</v>
      </c>
      <c r="F357" s="14">
        <f>D357*E357*(1-HLOOKUP(C357,折扣表!$B$2:$E$6,IF(D357&lt;1000,2,IF(D357&lt;1500,3,IF(D357&lt;2000,4,5)))))</f>
        <v>3372376</v>
      </c>
    </row>
    <row r="358" spans="1:6" x14ac:dyDescent="0.15">
      <c r="A358" s="11" t="s">
        <v>374</v>
      </c>
      <c r="B358" s="12">
        <v>41059</v>
      </c>
      <c r="C358" s="13" t="s">
        <v>18</v>
      </c>
      <c r="D358" s="13">
        <v>1379</v>
      </c>
      <c r="E358" s="14">
        <f>VLOOKUP(C358,价格表!$B$2:$C$5,2,0)</f>
        <v>2100</v>
      </c>
      <c r="F358" s="14">
        <f>D358*E358*(1-HLOOKUP(C358,折扣表!$B$2:$E$6,IF(D358&lt;1000,2,IF(D358&lt;1500,3,IF(D358&lt;2000,4,5)))))</f>
        <v>2809023</v>
      </c>
    </row>
    <row r="359" spans="1:6" x14ac:dyDescent="0.15">
      <c r="A359" s="11" t="s">
        <v>375</v>
      </c>
      <c r="B359" s="12">
        <v>41060</v>
      </c>
      <c r="C359" s="13" t="s">
        <v>16</v>
      </c>
      <c r="D359" s="13">
        <v>1305</v>
      </c>
      <c r="E359" s="14">
        <f>VLOOKUP(C359,价格表!$B$2:$C$5,2,0)</f>
        <v>3200</v>
      </c>
      <c r="F359" s="14">
        <f>D359*E359*(1-HLOOKUP(C359,折扣表!$B$2:$E$6,IF(D359&lt;1000,2,IF(D359&lt;1500,3,IF(D359&lt;2000,4,5)))))</f>
        <v>4134240</v>
      </c>
    </row>
    <row r="360" spans="1:6" x14ac:dyDescent="0.15">
      <c r="A360" s="11" t="s">
        <v>376</v>
      </c>
      <c r="B360" s="12">
        <v>41060</v>
      </c>
      <c r="C360" s="13" t="s">
        <v>17</v>
      </c>
      <c r="D360" s="13">
        <v>1359</v>
      </c>
      <c r="E360" s="14">
        <f>VLOOKUP(C360,价格表!$B$2:$C$5,2,0)</f>
        <v>2800</v>
      </c>
      <c r="F360" s="14">
        <f>D360*E360*(1-HLOOKUP(C360,折扣表!$B$2:$E$6,IF(D360&lt;1000,2,IF(D360&lt;1500,3,IF(D360&lt;2000,4,5)))))</f>
        <v>3729096</v>
      </c>
    </row>
    <row r="361" spans="1:6" x14ac:dyDescent="0.15">
      <c r="A361" s="11" t="s">
        <v>377</v>
      </c>
      <c r="B361" s="12">
        <v>41061</v>
      </c>
      <c r="C361" s="13" t="s">
        <v>16</v>
      </c>
      <c r="D361" s="13">
        <v>1371</v>
      </c>
      <c r="E361" s="14">
        <f>VLOOKUP(C361,价格表!$B$2:$C$5,2,0)</f>
        <v>3200</v>
      </c>
      <c r="F361" s="14">
        <f>D361*E361*(1-HLOOKUP(C361,折扣表!$B$2:$E$6,IF(D361&lt;1000,2,IF(D361&lt;1500,3,IF(D361&lt;2000,4,5)))))</f>
        <v>4343328</v>
      </c>
    </row>
    <row r="362" spans="1:6" x14ac:dyDescent="0.15">
      <c r="A362" s="11" t="s">
        <v>378</v>
      </c>
      <c r="B362" s="12">
        <v>41061</v>
      </c>
      <c r="C362" s="13" t="s">
        <v>17</v>
      </c>
      <c r="D362" s="13">
        <v>1446</v>
      </c>
      <c r="E362" s="14">
        <f>VLOOKUP(C362,价格表!$B$2:$C$5,2,0)</f>
        <v>2800</v>
      </c>
      <c r="F362" s="14">
        <f>D362*E362*(1-HLOOKUP(C362,折扣表!$B$2:$E$6,IF(D362&lt;1000,2,IF(D362&lt;1500,3,IF(D362&lt;2000,4,5)))))</f>
        <v>3967824</v>
      </c>
    </row>
    <row r="363" spans="1:6" x14ac:dyDescent="0.15">
      <c r="A363" s="11" t="s">
        <v>379</v>
      </c>
      <c r="B363" s="12">
        <v>41062</v>
      </c>
      <c r="C363" s="13" t="s">
        <v>16</v>
      </c>
      <c r="D363" s="13">
        <v>1570</v>
      </c>
      <c r="E363" s="14">
        <f>VLOOKUP(C363,价格表!$B$2:$C$5,2,0)</f>
        <v>3200</v>
      </c>
      <c r="F363" s="14">
        <f>D363*E363*(1-HLOOKUP(C363,折扣表!$B$2:$E$6,IF(D363&lt;1000,2,IF(D363&lt;1500,3,IF(D363&lt;2000,4,5)))))</f>
        <v>4923520</v>
      </c>
    </row>
    <row r="364" spans="1:6" x14ac:dyDescent="0.15">
      <c r="A364" s="11" t="s">
        <v>380</v>
      </c>
      <c r="B364" s="12">
        <v>41062</v>
      </c>
      <c r="C364" s="13" t="s">
        <v>17</v>
      </c>
      <c r="D364" s="13">
        <v>1384</v>
      </c>
      <c r="E364" s="14">
        <f>VLOOKUP(C364,价格表!$B$2:$C$5,2,0)</f>
        <v>2800</v>
      </c>
      <c r="F364" s="14">
        <f>D364*E364*(1-HLOOKUP(C364,折扣表!$B$2:$E$6,IF(D364&lt;1000,2,IF(D364&lt;1500,3,IF(D364&lt;2000,4,5)))))</f>
        <v>3797696</v>
      </c>
    </row>
    <row r="365" spans="1:6" x14ac:dyDescent="0.15">
      <c r="A365" s="11" t="s">
        <v>381</v>
      </c>
      <c r="B365" s="12">
        <v>41062</v>
      </c>
      <c r="C365" s="13" t="s">
        <v>18</v>
      </c>
      <c r="D365" s="13">
        <v>1280</v>
      </c>
      <c r="E365" s="14">
        <f>VLOOKUP(C365,价格表!$B$2:$C$5,2,0)</f>
        <v>2100</v>
      </c>
      <c r="F365" s="14">
        <f>D365*E365*(1-HLOOKUP(C365,折扣表!$B$2:$E$6,IF(D365&lt;1000,2,IF(D365&lt;1500,3,IF(D365&lt;2000,4,5)))))</f>
        <v>2607360</v>
      </c>
    </row>
    <row r="366" spans="1:6" x14ac:dyDescent="0.15">
      <c r="A366" s="11" t="s">
        <v>382</v>
      </c>
      <c r="B366" s="12">
        <v>41063</v>
      </c>
      <c r="C366" s="13" t="s">
        <v>16</v>
      </c>
      <c r="D366" s="13">
        <v>1215</v>
      </c>
      <c r="E366" s="14">
        <f>VLOOKUP(C366,价格表!$B$2:$C$5,2,0)</f>
        <v>3200</v>
      </c>
      <c r="F366" s="14">
        <f>D366*E366*(1-HLOOKUP(C366,折扣表!$B$2:$E$6,IF(D366&lt;1000,2,IF(D366&lt;1500,3,IF(D366&lt;2000,4,5)))))</f>
        <v>3849120</v>
      </c>
    </row>
    <row r="367" spans="1:6" x14ac:dyDescent="0.15">
      <c r="A367" s="11" t="s">
        <v>383</v>
      </c>
      <c r="B367" s="12">
        <v>41063</v>
      </c>
      <c r="C367" s="13" t="s">
        <v>17</v>
      </c>
      <c r="D367" s="13">
        <v>1321</v>
      </c>
      <c r="E367" s="14">
        <f>VLOOKUP(C367,价格表!$B$2:$C$5,2,0)</f>
        <v>2800</v>
      </c>
      <c r="F367" s="14">
        <f>D367*E367*(1-HLOOKUP(C367,折扣表!$B$2:$E$6,IF(D367&lt;1000,2,IF(D367&lt;1500,3,IF(D367&lt;2000,4,5)))))</f>
        <v>3624824</v>
      </c>
    </row>
    <row r="368" spans="1:6" x14ac:dyDescent="0.15">
      <c r="A368" s="11" t="s">
        <v>384</v>
      </c>
      <c r="B368" s="12">
        <v>41063</v>
      </c>
      <c r="C368" s="13" t="s">
        <v>18</v>
      </c>
      <c r="D368" s="13">
        <v>1335</v>
      </c>
      <c r="E368" s="14">
        <f>VLOOKUP(C368,价格表!$B$2:$C$5,2,0)</f>
        <v>2100</v>
      </c>
      <c r="F368" s="14">
        <f>D368*E368*(1-HLOOKUP(C368,折扣表!$B$2:$E$6,IF(D368&lt;1000,2,IF(D368&lt;1500,3,IF(D368&lt;2000,4,5)))))</f>
        <v>2719395</v>
      </c>
    </row>
    <row r="369" spans="1:6" x14ac:dyDescent="0.15">
      <c r="A369" s="11" t="s">
        <v>385</v>
      </c>
      <c r="B369" s="12">
        <v>41064</v>
      </c>
      <c r="C369" s="13" t="s">
        <v>16</v>
      </c>
      <c r="D369" s="13">
        <v>1221</v>
      </c>
      <c r="E369" s="14">
        <f>VLOOKUP(C369,价格表!$B$2:$C$5,2,0)</f>
        <v>3200</v>
      </c>
      <c r="F369" s="14">
        <f>D369*E369*(1-HLOOKUP(C369,折扣表!$B$2:$E$6,IF(D369&lt;1000,2,IF(D369&lt;1500,3,IF(D369&lt;2000,4,5)))))</f>
        <v>3868128</v>
      </c>
    </row>
    <row r="370" spans="1:6" x14ac:dyDescent="0.15">
      <c r="A370" s="11" t="s">
        <v>386</v>
      </c>
      <c r="B370" s="12">
        <v>41064</v>
      </c>
      <c r="C370" s="13" t="s">
        <v>17</v>
      </c>
      <c r="D370" s="13">
        <v>1471</v>
      </c>
      <c r="E370" s="14">
        <f>VLOOKUP(C370,价格表!$B$2:$C$5,2,0)</f>
        <v>2800</v>
      </c>
      <c r="F370" s="14">
        <f>D370*E370*(1-HLOOKUP(C370,折扣表!$B$2:$E$6,IF(D370&lt;1000,2,IF(D370&lt;1500,3,IF(D370&lt;2000,4,5)))))</f>
        <v>4036424</v>
      </c>
    </row>
    <row r="371" spans="1:6" x14ac:dyDescent="0.15">
      <c r="A371" s="11" t="s">
        <v>387</v>
      </c>
      <c r="B371" s="12">
        <v>41064</v>
      </c>
      <c r="C371" s="13" t="s">
        <v>18</v>
      </c>
      <c r="D371" s="13">
        <v>1302</v>
      </c>
      <c r="E371" s="14">
        <f>VLOOKUP(C371,价格表!$B$2:$C$5,2,0)</f>
        <v>2100</v>
      </c>
      <c r="F371" s="14">
        <f>D371*E371*(1-HLOOKUP(C371,折扣表!$B$2:$E$6,IF(D371&lt;1000,2,IF(D371&lt;1500,3,IF(D371&lt;2000,4,5)))))</f>
        <v>2652174</v>
      </c>
    </row>
    <row r="372" spans="1:6" x14ac:dyDescent="0.15">
      <c r="A372" s="11" t="s">
        <v>388</v>
      </c>
      <c r="B372" s="12">
        <v>41065</v>
      </c>
      <c r="C372" s="13" t="s">
        <v>16</v>
      </c>
      <c r="D372" s="13">
        <v>1422</v>
      </c>
      <c r="E372" s="14">
        <f>VLOOKUP(C372,价格表!$B$2:$C$5,2,0)</f>
        <v>3200</v>
      </c>
      <c r="F372" s="14">
        <f>D372*E372*(1-HLOOKUP(C372,折扣表!$B$2:$E$6,IF(D372&lt;1000,2,IF(D372&lt;1500,3,IF(D372&lt;2000,4,5)))))</f>
        <v>4504896</v>
      </c>
    </row>
    <row r="373" spans="1:6" x14ac:dyDescent="0.15">
      <c r="A373" s="11" t="s">
        <v>389</v>
      </c>
      <c r="B373" s="12">
        <v>41065</v>
      </c>
      <c r="C373" s="13" t="s">
        <v>17</v>
      </c>
      <c r="D373" s="13">
        <v>1336</v>
      </c>
      <c r="E373" s="14">
        <f>VLOOKUP(C373,价格表!$B$2:$C$5,2,0)</f>
        <v>2800</v>
      </c>
      <c r="F373" s="14">
        <f>D373*E373*(1-HLOOKUP(C373,折扣表!$B$2:$E$6,IF(D373&lt;1000,2,IF(D373&lt;1500,3,IF(D373&lt;2000,4,5)))))</f>
        <v>3665984</v>
      </c>
    </row>
    <row r="374" spans="1:6" x14ac:dyDescent="0.15">
      <c r="A374" s="11" t="s">
        <v>390</v>
      </c>
      <c r="B374" s="12">
        <v>41065</v>
      </c>
      <c r="C374" s="13" t="s">
        <v>18</v>
      </c>
      <c r="D374" s="13">
        <v>1267</v>
      </c>
      <c r="E374" s="14">
        <f>VLOOKUP(C374,价格表!$B$2:$C$5,2,0)</f>
        <v>2100</v>
      </c>
      <c r="F374" s="14">
        <f>D374*E374*(1-HLOOKUP(C374,折扣表!$B$2:$E$6,IF(D374&lt;1000,2,IF(D374&lt;1500,3,IF(D374&lt;2000,4,5)))))</f>
        <v>2580879</v>
      </c>
    </row>
    <row r="375" spans="1:6" x14ac:dyDescent="0.15">
      <c r="A375" s="11" t="s">
        <v>391</v>
      </c>
      <c r="B375" s="12">
        <v>41066</v>
      </c>
      <c r="C375" s="13" t="s">
        <v>16</v>
      </c>
      <c r="D375" s="13">
        <v>1568</v>
      </c>
      <c r="E375" s="14">
        <f>VLOOKUP(C375,价格表!$B$2:$C$5,2,0)</f>
        <v>3200</v>
      </c>
      <c r="F375" s="14">
        <f>D375*E375*(1-HLOOKUP(C375,折扣表!$B$2:$E$6,IF(D375&lt;1000,2,IF(D375&lt;1500,3,IF(D375&lt;2000,4,5)))))</f>
        <v>4917248</v>
      </c>
    </row>
    <row r="376" spans="1:6" x14ac:dyDescent="0.15">
      <c r="A376" s="11" t="s">
        <v>392</v>
      </c>
      <c r="B376" s="12">
        <v>41066</v>
      </c>
      <c r="C376" s="13" t="s">
        <v>17</v>
      </c>
      <c r="D376" s="13">
        <v>1402</v>
      </c>
      <c r="E376" s="14">
        <f>VLOOKUP(C376,价格表!$B$2:$C$5,2,0)</f>
        <v>2800</v>
      </c>
      <c r="F376" s="14">
        <f>D376*E376*(1-HLOOKUP(C376,折扣表!$B$2:$E$6,IF(D376&lt;1000,2,IF(D376&lt;1500,3,IF(D376&lt;2000,4,5)))))</f>
        <v>3847088</v>
      </c>
    </row>
    <row r="377" spans="1:6" x14ac:dyDescent="0.15">
      <c r="A377" s="11" t="s">
        <v>393</v>
      </c>
      <c r="B377" s="12">
        <v>41066</v>
      </c>
      <c r="C377" s="13" t="s">
        <v>18</v>
      </c>
      <c r="D377" s="13">
        <v>1250</v>
      </c>
      <c r="E377" s="14">
        <f>VLOOKUP(C377,价格表!$B$2:$C$5,2,0)</f>
        <v>2100</v>
      </c>
      <c r="F377" s="14">
        <f>D377*E377*(1-HLOOKUP(C377,折扣表!$B$2:$E$6,IF(D377&lt;1000,2,IF(D377&lt;1500,3,IF(D377&lt;2000,4,5)))))</f>
        <v>2546250</v>
      </c>
    </row>
    <row r="378" spans="1:6" x14ac:dyDescent="0.15">
      <c r="A378" s="11" t="s">
        <v>394</v>
      </c>
      <c r="B378" s="12">
        <v>41067</v>
      </c>
      <c r="C378" s="13" t="s">
        <v>16</v>
      </c>
      <c r="D378" s="13">
        <v>1375</v>
      </c>
      <c r="E378" s="14">
        <f>VLOOKUP(C378,价格表!$B$2:$C$5,2,0)</f>
        <v>3200</v>
      </c>
      <c r="F378" s="14">
        <f>D378*E378*(1-HLOOKUP(C378,折扣表!$B$2:$E$6,IF(D378&lt;1000,2,IF(D378&lt;1500,3,IF(D378&lt;2000,4,5)))))</f>
        <v>4356000</v>
      </c>
    </row>
    <row r="379" spans="1:6" x14ac:dyDescent="0.15">
      <c r="A379" s="11" t="s">
        <v>395</v>
      </c>
      <c r="B379" s="12">
        <v>41067</v>
      </c>
      <c r="C379" s="13" t="s">
        <v>17</v>
      </c>
      <c r="D379" s="13">
        <v>1479</v>
      </c>
      <c r="E379" s="14">
        <f>VLOOKUP(C379,价格表!$B$2:$C$5,2,0)</f>
        <v>2800</v>
      </c>
      <c r="F379" s="14">
        <f>D379*E379*(1-HLOOKUP(C379,折扣表!$B$2:$E$6,IF(D379&lt;1000,2,IF(D379&lt;1500,3,IF(D379&lt;2000,4,5)))))</f>
        <v>4058376</v>
      </c>
    </row>
    <row r="380" spans="1:6" x14ac:dyDescent="0.15">
      <c r="A380" s="11" t="s">
        <v>396</v>
      </c>
      <c r="B380" s="12">
        <v>41067</v>
      </c>
      <c r="C380" s="13" t="s">
        <v>18</v>
      </c>
      <c r="D380" s="13">
        <v>1281</v>
      </c>
      <c r="E380" s="14">
        <f>VLOOKUP(C380,价格表!$B$2:$C$5,2,0)</f>
        <v>2100</v>
      </c>
      <c r="F380" s="14">
        <f>D380*E380*(1-HLOOKUP(C380,折扣表!$B$2:$E$6,IF(D380&lt;1000,2,IF(D380&lt;1500,3,IF(D380&lt;2000,4,5)))))</f>
        <v>2609397</v>
      </c>
    </row>
    <row r="381" spans="1:6" x14ac:dyDescent="0.15">
      <c r="A381" s="11" t="s">
        <v>397</v>
      </c>
      <c r="B381" s="12">
        <v>41068</v>
      </c>
      <c r="C381" s="13" t="s">
        <v>16</v>
      </c>
      <c r="D381" s="13">
        <v>1287</v>
      </c>
      <c r="E381" s="14">
        <f>VLOOKUP(C381,价格表!$B$2:$C$5,2,0)</f>
        <v>3200</v>
      </c>
      <c r="F381" s="14">
        <f>D381*E381*(1-HLOOKUP(C381,折扣表!$B$2:$E$6,IF(D381&lt;1000,2,IF(D381&lt;1500,3,IF(D381&lt;2000,4,5)))))</f>
        <v>4077216</v>
      </c>
    </row>
    <row r="382" spans="1:6" x14ac:dyDescent="0.15">
      <c r="A382" s="11" t="s">
        <v>398</v>
      </c>
      <c r="B382" s="12">
        <v>41068</v>
      </c>
      <c r="C382" s="13" t="s">
        <v>17</v>
      </c>
      <c r="D382" s="13">
        <v>1376</v>
      </c>
      <c r="E382" s="14">
        <f>VLOOKUP(C382,价格表!$B$2:$C$5,2,0)</f>
        <v>2800</v>
      </c>
      <c r="F382" s="14">
        <f>D382*E382*(1-HLOOKUP(C382,折扣表!$B$2:$E$6,IF(D382&lt;1000,2,IF(D382&lt;1500,3,IF(D382&lt;2000,4,5)))))</f>
        <v>3775744</v>
      </c>
    </row>
    <row r="383" spans="1:6" x14ac:dyDescent="0.15">
      <c r="A383" s="11" t="s">
        <v>399</v>
      </c>
      <c r="B383" s="12">
        <v>41068</v>
      </c>
      <c r="C383" s="13" t="s">
        <v>18</v>
      </c>
      <c r="D383" s="13">
        <v>1283</v>
      </c>
      <c r="E383" s="14">
        <f>VLOOKUP(C383,价格表!$B$2:$C$5,2,0)</f>
        <v>2100</v>
      </c>
      <c r="F383" s="14">
        <f>D383*E383*(1-HLOOKUP(C383,折扣表!$B$2:$E$6,IF(D383&lt;1000,2,IF(D383&lt;1500,3,IF(D383&lt;2000,4,5)))))</f>
        <v>2613471</v>
      </c>
    </row>
    <row r="384" spans="1:6" x14ac:dyDescent="0.15">
      <c r="A384" s="11" t="s">
        <v>400</v>
      </c>
      <c r="B384" s="12">
        <v>41069</v>
      </c>
      <c r="C384" s="13" t="s">
        <v>17</v>
      </c>
      <c r="D384" s="13">
        <v>1310</v>
      </c>
      <c r="E384" s="14">
        <f>VLOOKUP(C384,价格表!$B$2:$C$5,2,0)</f>
        <v>2800</v>
      </c>
      <c r="F384" s="14">
        <f>D384*E384*(1-HLOOKUP(C384,折扣表!$B$2:$E$6,IF(D384&lt;1000,2,IF(D384&lt;1500,3,IF(D384&lt;2000,4,5)))))</f>
        <v>3594640</v>
      </c>
    </row>
    <row r="385" spans="1:6" x14ac:dyDescent="0.15">
      <c r="A385" s="11" t="s">
        <v>401</v>
      </c>
      <c r="B385" s="12">
        <v>41069</v>
      </c>
      <c r="C385" s="13" t="s">
        <v>18</v>
      </c>
      <c r="D385" s="13">
        <v>1270</v>
      </c>
      <c r="E385" s="14">
        <f>VLOOKUP(C385,价格表!$B$2:$C$5,2,0)</f>
        <v>2100</v>
      </c>
      <c r="F385" s="14">
        <f>D385*E385*(1-HLOOKUP(C385,折扣表!$B$2:$E$6,IF(D385&lt;1000,2,IF(D385&lt;1500,3,IF(D385&lt;2000,4,5)))))</f>
        <v>2586990</v>
      </c>
    </row>
    <row r="386" spans="1:6" x14ac:dyDescent="0.15">
      <c r="A386" s="11" t="s">
        <v>402</v>
      </c>
      <c r="B386" s="12">
        <v>41070</v>
      </c>
      <c r="C386" s="13" t="s">
        <v>16</v>
      </c>
      <c r="D386" s="13">
        <v>1273</v>
      </c>
      <c r="E386" s="14">
        <f>VLOOKUP(C386,价格表!$B$2:$C$5,2,0)</f>
        <v>3200</v>
      </c>
      <c r="F386" s="14">
        <f>D386*E386*(1-HLOOKUP(C386,折扣表!$B$2:$E$6,IF(D386&lt;1000,2,IF(D386&lt;1500,3,IF(D386&lt;2000,4,5)))))</f>
        <v>4032864</v>
      </c>
    </row>
    <row r="387" spans="1:6" x14ac:dyDescent="0.15">
      <c r="A387" s="11" t="s">
        <v>403</v>
      </c>
      <c r="B387" s="12">
        <v>41070</v>
      </c>
      <c r="C387" s="13" t="s">
        <v>17</v>
      </c>
      <c r="D387" s="13">
        <v>1300</v>
      </c>
      <c r="E387" s="14">
        <f>VLOOKUP(C387,价格表!$B$2:$C$5,2,0)</f>
        <v>2800</v>
      </c>
      <c r="F387" s="14">
        <f>D387*E387*(1-HLOOKUP(C387,折扣表!$B$2:$E$6,IF(D387&lt;1000,2,IF(D387&lt;1500,3,IF(D387&lt;2000,4,5)))))</f>
        <v>3567200</v>
      </c>
    </row>
    <row r="388" spans="1:6" x14ac:dyDescent="0.15">
      <c r="A388" s="11" t="s">
        <v>404</v>
      </c>
      <c r="B388" s="12">
        <v>41070</v>
      </c>
      <c r="C388" s="13" t="s">
        <v>18</v>
      </c>
      <c r="D388" s="13">
        <v>1304</v>
      </c>
      <c r="E388" s="14">
        <f>VLOOKUP(C388,价格表!$B$2:$C$5,2,0)</f>
        <v>2100</v>
      </c>
      <c r="F388" s="14">
        <f>D388*E388*(1-HLOOKUP(C388,折扣表!$B$2:$E$6,IF(D388&lt;1000,2,IF(D388&lt;1500,3,IF(D388&lt;2000,4,5)))))</f>
        <v>2656248</v>
      </c>
    </row>
    <row r="389" spans="1:6" x14ac:dyDescent="0.15">
      <c r="A389" s="11" t="s">
        <v>405</v>
      </c>
      <c r="B389" s="12">
        <v>41071</v>
      </c>
      <c r="C389" s="13" t="s">
        <v>16</v>
      </c>
      <c r="D389" s="13">
        <v>1221</v>
      </c>
      <c r="E389" s="14">
        <f>VLOOKUP(C389,价格表!$B$2:$C$5,2,0)</f>
        <v>3200</v>
      </c>
      <c r="F389" s="14">
        <f>D389*E389*(1-HLOOKUP(C389,折扣表!$B$2:$E$6,IF(D389&lt;1000,2,IF(D389&lt;1500,3,IF(D389&lt;2000,4,5)))))</f>
        <v>3868128</v>
      </c>
    </row>
    <row r="390" spans="1:6" x14ac:dyDescent="0.15">
      <c r="A390" s="11" t="s">
        <v>406</v>
      </c>
      <c r="B390" s="12">
        <v>41071</v>
      </c>
      <c r="C390" s="13" t="s">
        <v>17</v>
      </c>
      <c r="D390" s="13">
        <v>1476</v>
      </c>
      <c r="E390" s="14">
        <f>VLOOKUP(C390,价格表!$B$2:$C$5,2,0)</f>
        <v>2800</v>
      </c>
      <c r="F390" s="14">
        <f>D390*E390*(1-HLOOKUP(C390,折扣表!$B$2:$E$6,IF(D390&lt;1000,2,IF(D390&lt;1500,3,IF(D390&lt;2000,4,5)))))</f>
        <v>4050144</v>
      </c>
    </row>
    <row r="391" spans="1:6" x14ac:dyDescent="0.15">
      <c r="A391" s="11" t="s">
        <v>407</v>
      </c>
      <c r="B391" s="12">
        <v>41072</v>
      </c>
      <c r="C391" s="13" t="s">
        <v>16</v>
      </c>
      <c r="D391" s="13">
        <v>1412</v>
      </c>
      <c r="E391" s="14">
        <f>VLOOKUP(C391,价格表!$B$2:$C$5,2,0)</f>
        <v>3200</v>
      </c>
      <c r="F391" s="14">
        <f>D391*E391*(1-HLOOKUP(C391,折扣表!$B$2:$E$6,IF(D391&lt;1000,2,IF(D391&lt;1500,3,IF(D391&lt;2000,4,5)))))</f>
        <v>4473216</v>
      </c>
    </row>
    <row r="392" spans="1:6" x14ac:dyDescent="0.15">
      <c r="A392" s="11" t="s">
        <v>408</v>
      </c>
      <c r="B392" s="12">
        <v>41072</v>
      </c>
      <c r="C392" s="13" t="s">
        <v>17</v>
      </c>
      <c r="D392" s="13">
        <v>1367</v>
      </c>
      <c r="E392" s="14">
        <f>VLOOKUP(C392,价格表!$B$2:$C$5,2,0)</f>
        <v>2800</v>
      </c>
      <c r="F392" s="14">
        <f>D392*E392*(1-HLOOKUP(C392,折扣表!$B$2:$E$6,IF(D392&lt;1000,2,IF(D392&lt;1500,3,IF(D392&lt;2000,4,5)))))</f>
        <v>3751048</v>
      </c>
    </row>
    <row r="393" spans="1:6" x14ac:dyDescent="0.15">
      <c r="A393" s="11" t="s">
        <v>409</v>
      </c>
      <c r="B393" s="12">
        <v>41072</v>
      </c>
      <c r="C393" s="13" t="s">
        <v>18</v>
      </c>
      <c r="D393" s="13">
        <v>1255</v>
      </c>
      <c r="E393" s="14">
        <f>VLOOKUP(C393,价格表!$B$2:$C$5,2,0)</f>
        <v>2100</v>
      </c>
      <c r="F393" s="14">
        <f>D393*E393*(1-HLOOKUP(C393,折扣表!$B$2:$E$6,IF(D393&lt;1000,2,IF(D393&lt;1500,3,IF(D393&lt;2000,4,5)))))</f>
        <v>2556435</v>
      </c>
    </row>
    <row r="394" spans="1:6" x14ac:dyDescent="0.15">
      <c r="A394" s="11" t="s">
        <v>410</v>
      </c>
      <c r="B394" s="12">
        <v>41073</v>
      </c>
      <c r="C394" s="13" t="s">
        <v>16</v>
      </c>
      <c r="D394" s="13">
        <v>1520</v>
      </c>
      <c r="E394" s="14">
        <f>VLOOKUP(C394,价格表!$B$2:$C$5,2,0)</f>
        <v>3200</v>
      </c>
      <c r="F394" s="14">
        <f>D394*E394*(1-HLOOKUP(C394,折扣表!$B$2:$E$6,IF(D394&lt;1000,2,IF(D394&lt;1500,3,IF(D394&lt;2000,4,5)))))</f>
        <v>4766720</v>
      </c>
    </row>
    <row r="395" spans="1:6" x14ac:dyDescent="0.15">
      <c r="A395" s="11" t="s">
        <v>411</v>
      </c>
      <c r="B395" s="12">
        <v>41074</v>
      </c>
      <c r="C395" s="13" t="s">
        <v>16</v>
      </c>
      <c r="D395" s="13">
        <v>1239</v>
      </c>
      <c r="E395" s="14">
        <f>VLOOKUP(C395,价格表!$B$2:$C$5,2,0)</f>
        <v>3200</v>
      </c>
      <c r="F395" s="14">
        <f>D395*E395*(1-HLOOKUP(C395,折扣表!$B$2:$E$6,IF(D395&lt;1000,2,IF(D395&lt;1500,3,IF(D395&lt;2000,4,5)))))</f>
        <v>3925152</v>
      </c>
    </row>
    <row r="396" spans="1:6" x14ac:dyDescent="0.15">
      <c r="A396" s="11" t="s">
        <v>412</v>
      </c>
      <c r="B396" s="12">
        <v>41074</v>
      </c>
      <c r="C396" s="13" t="s">
        <v>17</v>
      </c>
      <c r="D396" s="13">
        <v>1442</v>
      </c>
      <c r="E396" s="14">
        <f>VLOOKUP(C396,价格表!$B$2:$C$5,2,0)</f>
        <v>2800</v>
      </c>
      <c r="F396" s="14">
        <f>D396*E396*(1-HLOOKUP(C396,折扣表!$B$2:$E$6,IF(D396&lt;1000,2,IF(D396&lt;1500,3,IF(D396&lt;2000,4,5)))))</f>
        <v>3956848</v>
      </c>
    </row>
    <row r="397" spans="1:6" x14ac:dyDescent="0.15">
      <c r="A397" s="11" t="s">
        <v>413</v>
      </c>
      <c r="B397" s="12">
        <v>41075</v>
      </c>
      <c r="C397" s="13" t="s">
        <v>16</v>
      </c>
      <c r="D397" s="13">
        <v>1423</v>
      </c>
      <c r="E397" s="14">
        <f>VLOOKUP(C397,价格表!$B$2:$C$5,2,0)</f>
        <v>3200</v>
      </c>
      <c r="F397" s="14">
        <f>D397*E397*(1-HLOOKUP(C397,折扣表!$B$2:$E$6,IF(D397&lt;1000,2,IF(D397&lt;1500,3,IF(D397&lt;2000,4,5)))))</f>
        <v>4508064</v>
      </c>
    </row>
    <row r="398" spans="1:6" x14ac:dyDescent="0.15">
      <c r="A398" s="11" t="s">
        <v>414</v>
      </c>
      <c r="B398" s="12">
        <v>41075</v>
      </c>
      <c r="C398" s="13" t="s">
        <v>17</v>
      </c>
      <c r="D398" s="13">
        <v>1367</v>
      </c>
      <c r="E398" s="14">
        <f>VLOOKUP(C398,价格表!$B$2:$C$5,2,0)</f>
        <v>2800</v>
      </c>
      <c r="F398" s="14">
        <f>D398*E398*(1-HLOOKUP(C398,折扣表!$B$2:$E$6,IF(D398&lt;1000,2,IF(D398&lt;1500,3,IF(D398&lt;2000,4,5)))))</f>
        <v>3751048</v>
      </c>
    </row>
    <row r="399" spans="1:6" x14ac:dyDescent="0.15">
      <c r="A399" s="11" t="s">
        <v>415</v>
      </c>
      <c r="B399" s="12">
        <v>41075</v>
      </c>
      <c r="C399" s="13" t="s">
        <v>18</v>
      </c>
      <c r="D399" s="13">
        <v>1278</v>
      </c>
      <c r="E399" s="14">
        <f>VLOOKUP(C399,价格表!$B$2:$C$5,2,0)</f>
        <v>2100</v>
      </c>
      <c r="F399" s="14">
        <f>D399*E399*(1-HLOOKUP(C399,折扣表!$B$2:$E$6,IF(D399&lt;1000,2,IF(D399&lt;1500,3,IF(D399&lt;2000,4,5)))))</f>
        <v>2603286</v>
      </c>
    </row>
    <row r="400" spans="1:6" x14ac:dyDescent="0.15">
      <c r="A400" s="11" t="s">
        <v>416</v>
      </c>
      <c r="B400" s="12">
        <v>41076</v>
      </c>
      <c r="C400" s="13" t="s">
        <v>16</v>
      </c>
      <c r="D400" s="13">
        <v>1584</v>
      </c>
      <c r="E400" s="14">
        <f>VLOOKUP(C400,价格表!$B$2:$C$5,2,0)</f>
        <v>3200</v>
      </c>
      <c r="F400" s="14">
        <f>D400*E400*(1-HLOOKUP(C400,折扣表!$B$2:$E$6,IF(D400&lt;1000,2,IF(D400&lt;1500,3,IF(D400&lt;2000,4,5)))))</f>
        <v>4967424</v>
      </c>
    </row>
    <row r="401" spans="1:6" x14ac:dyDescent="0.15">
      <c r="A401" s="11" t="s">
        <v>417</v>
      </c>
      <c r="B401" s="12">
        <v>41076</v>
      </c>
      <c r="C401" s="13" t="s">
        <v>17</v>
      </c>
      <c r="D401" s="13">
        <v>1347</v>
      </c>
      <c r="E401" s="14">
        <f>VLOOKUP(C401,价格表!$B$2:$C$5,2,0)</f>
        <v>2800</v>
      </c>
      <c r="F401" s="14">
        <f>D401*E401*(1-HLOOKUP(C401,折扣表!$B$2:$E$6,IF(D401&lt;1000,2,IF(D401&lt;1500,3,IF(D401&lt;2000,4,5)))))</f>
        <v>3696168</v>
      </c>
    </row>
    <row r="402" spans="1:6" x14ac:dyDescent="0.15">
      <c r="A402" s="11" t="s">
        <v>418</v>
      </c>
      <c r="B402" s="12">
        <v>41076</v>
      </c>
      <c r="C402" s="13" t="s">
        <v>18</v>
      </c>
      <c r="D402" s="13">
        <v>1285</v>
      </c>
      <c r="E402" s="14">
        <f>VLOOKUP(C402,价格表!$B$2:$C$5,2,0)</f>
        <v>2100</v>
      </c>
      <c r="F402" s="14">
        <f>D402*E402*(1-HLOOKUP(C402,折扣表!$B$2:$E$6,IF(D402&lt;1000,2,IF(D402&lt;1500,3,IF(D402&lt;2000,4,5)))))</f>
        <v>2617545</v>
      </c>
    </row>
    <row r="403" spans="1:6" x14ac:dyDescent="0.15">
      <c r="A403" s="11" t="s">
        <v>419</v>
      </c>
      <c r="B403" s="12">
        <v>41077</v>
      </c>
      <c r="C403" s="13" t="s">
        <v>16</v>
      </c>
      <c r="D403" s="13">
        <v>1596</v>
      </c>
      <c r="E403" s="14">
        <f>VLOOKUP(C403,价格表!$B$2:$C$5,2,0)</f>
        <v>3200</v>
      </c>
      <c r="F403" s="14">
        <f>D403*E403*(1-HLOOKUP(C403,折扣表!$B$2:$E$6,IF(D403&lt;1000,2,IF(D403&lt;1500,3,IF(D403&lt;2000,4,5)))))</f>
        <v>5005056</v>
      </c>
    </row>
    <row r="404" spans="1:6" x14ac:dyDescent="0.15">
      <c r="A404" s="11" t="s">
        <v>420</v>
      </c>
      <c r="B404" s="12">
        <v>41077</v>
      </c>
      <c r="C404" s="13" t="s">
        <v>17</v>
      </c>
      <c r="D404" s="13">
        <v>1446</v>
      </c>
      <c r="E404" s="14">
        <f>VLOOKUP(C404,价格表!$B$2:$C$5,2,0)</f>
        <v>2800</v>
      </c>
      <c r="F404" s="14">
        <f>D404*E404*(1-HLOOKUP(C404,折扣表!$B$2:$E$6,IF(D404&lt;1000,2,IF(D404&lt;1500,3,IF(D404&lt;2000,4,5)))))</f>
        <v>3967824</v>
      </c>
    </row>
    <row r="405" spans="1:6" x14ac:dyDescent="0.15">
      <c r="A405" s="11" t="s">
        <v>421</v>
      </c>
      <c r="B405" s="12">
        <v>41077</v>
      </c>
      <c r="C405" s="13" t="s">
        <v>18</v>
      </c>
      <c r="D405" s="13">
        <v>1251</v>
      </c>
      <c r="E405" s="14">
        <f>VLOOKUP(C405,价格表!$B$2:$C$5,2,0)</f>
        <v>2100</v>
      </c>
      <c r="F405" s="14">
        <f>D405*E405*(1-HLOOKUP(C405,折扣表!$B$2:$E$6,IF(D405&lt;1000,2,IF(D405&lt;1500,3,IF(D405&lt;2000,4,5)))))</f>
        <v>2548287</v>
      </c>
    </row>
    <row r="406" spans="1:6" x14ac:dyDescent="0.15">
      <c r="A406" s="11" t="s">
        <v>422</v>
      </c>
      <c r="B406" s="12">
        <v>41078</v>
      </c>
      <c r="C406" s="13" t="s">
        <v>16</v>
      </c>
      <c r="D406" s="13">
        <v>1251</v>
      </c>
      <c r="E406" s="14">
        <f>VLOOKUP(C406,价格表!$B$2:$C$5,2,0)</f>
        <v>3200</v>
      </c>
      <c r="F406" s="14">
        <f>D406*E406*(1-HLOOKUP(C406,折扣表!$B$2:$E$6,IF(D406&lt;1000,2,IF(D406&lt;1500,3,IF(D406&lt;2000,4,5)))))</f>
        <v>3963168</v>
      </c>
    </row>
    <row r="407" spans="1:6" x14ac:dyDescent="0.15">
      <c r="A407" s="11" t="s">
        <v>423</v>
      </c>
      <c r="B407" s="12">
        <v>41078</v>
      </c>
      <c r="C407" s="13" t="s">
        <v>18</v>
      </c>
      <c r="D407" s="13">
        <v>1327</v>
      </c>
      <c r="E407" s="14">
        <f>VLOOKUP(C407,价格表!$B$2:$C$5,2,0)</f>
        <v>2100</v>
      </c>
      <c r="F407" s="14">
        <f>D407*E407*(1-HLOOKUP(C407,折扣表!$B$2:$E$6,IF(D407&lt;1000,2,IF(D407&lt;1500,3,IF(D407&lt;2000,4,5)))))</f>
        <v>2703099</v>
      </c>
    </row>
    <row r="408" spans="1:6" x14ac:dyDescent="0.15">
      <c r="A408" s="11" t="s">
        <v>424</v>
      </c>
      <c r="B408" s="12">
        <v>41079</v>
      </c>
      <c r="C408" s="13" t="s">
        <v>18</v>
      </c>
      <c r="D408" s="13">
        <v>1341</v>
      </c>
      <c r="E408" s="14">
        <f>VLOOKUP(C408,价格表!$B$2:$C$5,2,0)</f>
        <v>2100</v>
      </c>
      <c r="F408" s="14">
        <f>D408*E408*(1-HLOOKUP(C408,折扣表!$B$2:$E$6,IF(D408&lt;1000,2,IF(D408&lt;1500,3,IF(D408&lt;2000,4,5)))))</f>
        <v>2731617</v>
      </c>
    </row>
    <row r="409" spans="1:6" x14ac:dyDescent="0.15">
      <c r="A409" s="11" t="s">
        <v>425</v>
      </c>
      <c r="B409" s="12">
        <v>41080</v>
      </c>
      <c r="C409" s="13" t="s">
        <v>17</v>
      </c>
      <c r="D409" s="13">
        <v>1480</v>
      </c>
      <c r="E409" s="14">
        <f>VLOOKUP(C409,价格表!$B$2:$C$5,2,0)</f>
        <v>2800</v>
      </c>
      <c r="F409" s="14">
        <f>D409*E409*(1-HLOOKUP(C409,折扣表!$B$2:$E$6,IF(D409&lt;1000,2,IF(D409&lt;1500,3,IF(D409&lt;2000,4,5)))))</f>
        <v>4061120</v>
      </c>
    </row>
    <row r="410" spans="1:6" x14ac:dyDescent="0.15">
      <c r="A410" s="11" t="s">
        <v>426</v>
      </c>
      <c r="B410" s="12">
        <v>41080</v>
      </c>
      <c r="C410" s="13" t="s">
        <v>18</v>
      </c>
      <c r="D410" s="13">
        <v>1313</v>
      </c>
      <c r="E410" s="14">
        <f>VLOOKUP(C410,价格表!$B$2:$C$5,2,0)</f>
        <v>2100</v>
      </c>
      <c r="F410" s="14">
        <f>D410*E410*(1-HLOOKUP(C410,折扣表!$B$2:$E$6,IF(D410&lt;1000,2,IF(D410&lt;1500,3,IF(D410&lt;2000,4,5)))))</f>
        <v>2674581</v>
      </c>
    </row>
    <row r="411" spans="1:6" x14ac:dyDescent="0.15">
      <c r="A411" s="11" t="s">
        <v>427</v>
      </c>
      <c r="B411" s="12">
        <v>41081</v>
      </c>
      <c r="C411" s="13" t="s">
        <v>16</v>
      </c>
      <c r="D411" s="13">
        <v>1220</v>
      </c>
      <c r="E411" s="14">
        <f>VLOOKUP(C411,价格表!$B$2:$C$5,2,0)</f>
        <v>3200</v>
      </c>
      <c r="F411" s="14">
        <f>D411*E411*(1-HLOOKUP(C411,折扣表!$B$2:$E$6,IF(D411&lt;1000,2,IF(D411&lt;1500,3,IF(D411&lt;2000,4,5)))))</f>
        <v>3864960</v>
      </c>
    </row>
    <row r="412" spans="1:6" x14ac:dyDescent="0.15">
      <c r="A412" s="11" t="s">
        <v>428</v>
      </c>
      <c r="B412" s="12">
        <v>41081</v>
      </c>
      <c r="C412" s="13" t="s">
        <v>17</v>
      </c>
      <c r="D412" s="13">
        <v>1352</v>
      </c>
      <c r="E412" s="14">
        <f>VLOOKUP(C412,价格表!$B$2:$C$5,2,0)</f>
        <v>2800</v>
      </c>
      <c r="F412" s="14">
        <f>D412*E412*(1-HLOOKUP(C412,折扣表!$B$2:$E$6,IF(D412&lt;1000,2,IF(D412&lt;1500,3,IF(D412&lt;2000,4,5)))))</f>
        <v>3709888</v>
      </c>
    </row>
    <row r="413" spans="1:6" x14ac:dyDescent="0.15">
      <c r="A413" s="11" t="s">
        <v>429</v>
      </c>
      <c r="B413" s="12">
        <v>41081</v>
      </c>
      <c r="C413" s="13" t="s">
        <v>18</v>
      </c>
      <c r="D413" s="13">
        <v>1336</v>
      </c>
      <c r="E413" s="14">
        <f>VLOOKUP(C413,价格表!$B$2:$C$5,2,0)</f>
        <v>2100</v>
      </c>
      <c r="F413" s="14">
        <f>D413*E413*(1-HLOOKUP(C413,折扣表!$B$2:$E$6,IF(D413&lt;1000,2,IF(D413&lt;1500,3,IF(D413&lt;2000,4,5)))))</f>
        <v>2721432</v>
      </c>
    </row>
    <row r="414" spans="1:6" x14ac:dyDescent="0.15">
      <c r="A414" s="11" t="s">
        <v>430</v>
      </c>
      <c r="B414" s="12">
        <v>41082</v>
      </c>
      <c r="C414" s="13" t="s">
        <v>17</v>
      </c>
      <c r="D414" s="13">
        <v>1320</v>
      </c>
      <c r="E414" s="14">
        <f>VLOOKUP(C414,价格表!$B$2:$C$5,2,0)</f>
        <v>2800</v>
      </c>
      <c r="F414" s="14">
        <f>D414*E414*(1-HLOOKUP(C414,折扣表!$B$2:$E$6,IF(D414&lt;1000,2,IF(D414&lt;1500,3,IF(D414&lt;2000,4,5)))))</f>
        <v>3622080</v>
      </c>
    </row>
    <row r="415" spans="1:6" x14ac:dyDescent="0.15">
      <c r="A415" s="11" t="s">
        <v>431</v>
      </c>
      <c r="B415" s="12">
        <v>41082</v>
      </c>
      <c r="C415" s="13" t="s">
        <v>18</v>
      </c>
      <c r="D415" s="13">
        <v>1320</v>
      </c>
      <c r="E415" s="14">
        <f>VLOOKUP(C415,价格表!$B$2:$C$5,2,0)</f>
        <v>2100</v>
      </c>
      <c r="F415" s="14">
        <f>D415*E415*(1-HLOOKUP(C415,折扣表!$B$2:$E$6,IF(D415&lt;1000,2,IF(D415&lt;1500,3,IF(D415&lt;2000,4,5)))))</f>
        <v>2688840</v>
      </c>
    </row>
    <row r="416" spans="1:6" x14ac:dyDescent="0.15">
      <c r="A416" s="11" t="s">
        <v>432</v>
      </c>
      <c r="B416" s="12">
        <v>41083</v>
      </c>
      <c r="C416" s="13" t="s">
        <v>16</v>
      </c>
      <c r="D416" s="13">
        <v>1384</v>
      </c>
      <c r="E416" s="14">
        <f>VLOOKUP(C416,价格表!$B$2:$C$5,2,0)</f>
        <v>3200</v>
      </c>
      <c r="F416" s="14">
        <f>D416*E416*(1-HLOOKUP(C416,折扣表!$B$2:$E$6,IF(D416&lt;1000,2,IF(D416&lt;1500,3,IF(D416&lt;2000,4,5)))))</f>
        <v>4384512</v>
      </c>
    </row>
    <row r="417" spans="1:6" x14ac:dyDescent="0.15">
      <c r="A417" s="11" t="s">
        <v>433</v>
      </c>
      <c r="B417" s="12">
        <v>41083</v>
      </c>
      <c r="C417" s="13" t="s">
        <v>17</v>
      </c>
      <c r="D417" s="13">
        <v>1396</v>
      </c>
      <c r="E417" s="14">
        <f>VLOOKUP(C417,价格表!$B$2:$C$5,2,0)</f>
        <v>2800</v>
      </c>
      <c r="F417" s="14">
        <f>D417*E417*(1-HLOOKUP(C417,折扣表!$B$2:$E$6,IF(D417&lt;1000,2,IF(D417&lt;1500,3,IF(D417&lt;2000,4,5)))))</f>
        <v>3830624</v>
      </c>
    </row>
    <row r="418" spans="1:6" x14ac:dyDescent="0.15">
      <c r="A418" s="11" t="s">
        <v>434</v>
      </c>
      <c r="B418" s="12">
        <v>41083</v>
      </c>
      <c r="C418" s="13" t="s">
        <v>18</v>
      </c>
      <c r="D418" s="13">
        <v>1273</v>
      </c>
      <c r="E418" s="14">
        <f>VLOOKUP(C418,价格表!$B$2:$C$5,2,0)</f>
        <v>2100</v>
      </c>
      <c r="F418" s="14">
        <f>D418*E418*(1-HLOOKUP(C418,折扣表!$B$2:$E$6,IF(D418&lt;1000,2,IF(D418&lt;1500,3,IF(D418&lt;2000,4,5)))))</f>
        <v>2593101</v>
      </c>
    </row>
    <row r="419" spans="1:6" x14ac:dyDescent="0.15">
      <c r="A419" s="11" t="s">
        <v>435</v>
      </c>
      <c r="B419" s="12">
        <v>41084</v>
      </c>
      <c r="C419" s="13" t="s">
        <v>16</v>
      </c>
      <c r="D419" s="13">
        <v>1559</v>
      </c>
      <c r="E419" s="14">
        <f>VLOOKUP(C419,价格表!$B$2:$C$5,2,0)</f>
        <v>3200</v>
      </c>
      <c r="F419" s="14">
        <f>D419*E419*(1-HLOOKUP(C419,折扣表!$B$2:$E$6,IF(D419&lt;1000,2,IF(D419&lt;1500,3,IF(D419&lt;2000,4,5)))))</f>
        <v>4889024</v>
      </c>
    </row>
    <row r="420" spans="1:6" x14ac:dyDescent="0.15">
      <c r="A420" s="11" t="s">
        <v>436</v>
      </c>
      <c r="B420" s="12">
        <v>41084</v>
      </c>
      <c r="C420" s="13" t="s">
        <v>17</v>
      </c>
      <c r="D420" s="13">
        <v>1397</v>
      </c>
      <c r="E420" s="14">
        <f>VLOOKUP(C420,价格表!$B$2:$C$5,2,0)</f>
        <v>2800</v>
      </c>
      <c r="F420" s="14">
        <f>D420*E420*(1-HLOOKUP(C420,折扣表!$B$2:$E$6,IF(D420&lt;1000,2,IF(D420&lt;1500,3,IF(D420&lt;2000,4,5)))))</f>
        <v>3833368</v>
      </c>
    </row>
    <row r="421" spans="1:6" x14ac:dyDescent="0.15">
      <c r="A421" s="11" t="s">
        <v>437</v>
      </c>
      <c r="B421" s="12">
        <v>41084</v>
      </c>
      <c r="C421" s="13" t="s">
        <v>18</v>
      </c>
      <c r="D421" s="13">
        <v>1311</v>
      </c>
      <c r="E421" s="14">
        <f>VLOOKUP(C421,价格表!$B$2:$C$5,2,0)</f>
        <v>2100</v>
      </c>
      <c r="F421" s="14">
        <f>D421*E421*(1-HLOOKUP(C421,折扣表!$B$2:$E$6,IF(D421&lt;1000,2,IF(D421&lt;1500,3,IF(D421&lt;2000,4,5)))))</f>
        <v>2670507</v>
      </c>
    </row>
    <row r="422" spans="1:6" x14ac:dyDescent="0.15">
      <c r="A422" s="11" t="s">
        <v>438</v>
      </c>
      <c r="B422" s="12">
        <v>41085</v>
      </c>
      <c r="C422" s="13" t="s">
        <v>16</v>
      </c>
      <c r="D422" s="13">
        <v>1202</v>
      </c>
      <c r="E422" s="14">
        <f>VLOOKUP(C422,价格表!$B$2:$C$5,2,0)</f>
        <v>3200</v>
      </c>
      <c r="F422" s="14">
        <f>D422*E422*(1-HLOOKUP(C422,折扣表!$B$2:$E$6,IF(D422&lt;1000,2,IF(D422&lt;1500,3,IF(D422&lt;2000,4,5)))))</f>
        <v>3807936</v>
      </c>
    </row>
    <row r="423" spans="1:6" x14ac:dyDescent="0.15">
      <c r="A423" s="11" t="s">
        <v>439</v>
      </c>
      <c r="B423" s="12">
        <v>41085</v>
      </c>
      <c r="C423" s="13" t="s">
        <v>17</v>
      </c>
      <c r="D423" s="13">
        <v>1319</v>
      </c>
      <c r="E423" s="14">
        <f>VLOOKUP(C423,价格表!$B$2:$C$5,2,0)</f>
        <v>2800</v>
      </c>
      <c r="F423" s="14">
        <f>D423*E423*(1-HLOOKUP(C423,折扣表!$B$2:$E$6,IF(D423&lt;1000,2,IF(D423&lt;1500,3,IF(D423&lt;2000,4,5)))))</f>
        <v>3619336</v>
      </c>
    </row>
    <row r="424" spans="1:6" x14ac:dyDescent="0.15">
      <c r="A424" s="11" t="s">
        <v>440</v>
      </c>
      <c r="B424" s="12">
        <v>41085</v>
      </c>
      <c r="C424" s="13" t="s">
        <v>18</v>
      </c>
      <c r="D424" s="13">
        <v>1297</v>
      </c>
      <c r="E424" s="14">
        <f>VLOOKUP(C424,价格表!$B$2:$C$5,2,0)</f>
        <v>2100</v>
      </c>
      <c r="F424" s="14">
        <f>D424*E424*(1-HLOOKUP(C424,折扣表!$B$2:$E$6,IF(D424&lt;1000,2,IF(D424&lt;1500,3,IF(D424&lt;2000,4,5)))))</f>
        <v>2641989</v>
      </c>
    </row>
    <row r="425" spans="1:6" x14ac:dyDescent="0.15">
      <c r="A425" s="11" t="s">
        <v>441</v>
      </c>
      <c r="B425" s="12">
        <v>41086</v>
      </c>
      <c r="C425" s="13" t="s">
        <v>16</v>
      </c>
      <c r="D425" s="13">
        <v>1400</v>
      </c>
      <c r="E425" s="14">
        <f>VLOOKUP(C425,价格表!$B$2:$C$5,2,0)</f>
        <v>3200</v>
      </c>
      <c r="F425" s="14">
        <f>D425*E425*(1-HLOOKUP(C425,折扣表!$B$2:$E$6,IF(D425&lt;1000,2,IF(D425&lt;1500,3,IF(D425&lt;2000,4,5)))))</f>
        <v>4435200</v>
      </c>
    </row>
    <row r="426" spans="1:6" x14ac:dyDescent="0.15">
      <c r="A426" s="11" t="s">
        <v>442</v>
      </c>
      <c r="B426" s="12">
        <v>41086</v>
      </c>
      <c r="C426" s="13" t="s">
        <v>18</v>
      </c>
      <c r="D426" s="13">
        <v>1264</v>
      </c>
      <c r="E426" s="14">
        <f>VLOOKUP(C426,价格表!$B$2:$C$5,2,0)</f>
        <v>2100</v>
      </c>
      <c r="F426" s="14">
        <f>D426*E426*(1-HLOOKUP(C426,折扣表!$B$2:$E$6,IF(D426&lt;1000,2,IF(D426&lt;1500,3,IF(D426&lt;2000,4,5)))))</f>
        <v>2574768</v>
      </c>
    </row>
    <row r="427" spans="1:6" x14ac:dyDescent="0.15">
      <c r="A427" s="11" t="s">
        <v>443</v>
      </c>
      <c r="B427" s="12">
        <v>41087</v>
      </c>
      <c r="C427" s="13" t="s">
        <v>16</v>
      </c>
      <c r="D427" s="13">
        <v>1555</v>
      </c>
      <c r="E427" s="14">
        <f>VLOOKUP(C427,价格表!$B$2:$C$5,2,0)</f>
        <v>3200</v>
      </c>
      <c r="F427" s="14">
        <f>D427*E427*(1-HLOOKUP(C427,折扣表!$B$2:$E$6,IF(D427&lt;1000,2,IF(D427&lt;1500,3,IF(D427&lt;2000,4,5)))))</f>
        <v>4876480</v>
      </c>
    </row>
    <row r="428" spans="1:6" x14ac:dyDescent="0.15">
      <c r="A428" s="11" t="s">
        <v>444</v>
      </c>
      <c r="B428" s="12">
        <v>41087</v>
      </c>
      <c r="C428" s="13" t="s">
        <v>17</v>
      </c>
      <c r="D428" s="13">
        <v>1450</v>
      </c>
      <c r="E428" s="14">
        <f>VLOOKUP(C428,价格表!$B$2:$C$5,2,0)</f>
        <v>2800</v>
      </c>
      <c r="F428" s="14">
        <f>D428*E428*(1-HLOOKUP(C428,折扣表!$B$2:$E$6,IF(D428&lt;1000,2,IF(D428&lt;1500,3,IF(D428&lt;2000,4,5)))))</f>
        <v>3978800</v>
      </c>
    </row>
    <row r="429" spans="1:6" x14ac:dyDescent="0.15">
      <c r="A429" s="11" t="s">
        <v>445</v>
      </c>
      <c r="B429" s="12">
        <v>41087</v>
      </c>
      <c r="C429" s="13" t="s">
        <v>18</v>
      </c>
      <c r="D429" s="13">
        <v>1335</v>
      </c>
      <c r="E429" s="14">
        <f>VLOOKUP(C429,价格表!$B$2:$C$5,2,0)</f>
        <v>2100</v>
      </c>
      <c r="F429" s="14">
        <f>D429*E429*(1-HLOOKUP(C429,折扣表!$B$2:$E$6,IF(D429&lt;1000,2,IF(D429&lt;1500,3,IF(D429&lt;2000,4,5)))))</f>
        <v>2719395</v>
      </c>
    </row>
    <row r="430" spans="1:6" x14ac:dyDescent="0.15">
      <c r="A430" s="11" t="s">
        <v>446</v>
      </c>
      <c r="B430" s="12">
        <v>41088</v>
      </c>
      <c r="C430" s="13" t="s">
        <v>16</v>
      </c>
      <c r="D430" s="13">
        <v>1583</v>
      </c>
      <c r="E430" s="14">
        <f>VLOOKUP(C430,价格表!$B$2:$C$5,2,0)</f>
        <v>3200</v>
      </c>
      <c r="F430" s="14">
        <f>D430*E430*(1-HLOOKUP(C430,折扣表!$B$2:$E$6,IF(D430&lt;1000,2,IF(D430&lt;1500,3,IF(D430&lt;2000,4,5)))))</f>
        <v>4964288</v>
      </c>
    </row>
    <row r="431" spans="1:6" x14ac:dyDescent="0.15">
      <c r="A431" s="11" t="s">
        <v>447</v>
      </c>
      <c r="B431" s="12">
        <v>41088</v>
      </c>
      <c r="C431" s="13" t="s">
        <v>17</v>
      </c>
      <c r="D431" s="13">
        <v>1431</v>
      </c>
      <c r="E431" s="14">
        <f>VLOOKUP(C431,价格表!$B$2:$C$5,2,0)</f>
        <v>2800</v>
      </c>
      <c r="F431" s="14">
        <f>D431*E431*(1-HLOOKUP(C431,折扣表!$B$2:$E$6,IF(D431&lt;1000,2,IF(D431&lt;1500,3,IF(D431&lt;2000,4,5)))))</f>
        <v>3926664</v>
      </c>
    </row>
    <row r="432" spans="1:6" x14ac:dyDescent="0.15">
      <c r="A432" s="11" t="s">
        <v>448</v>
      </c>
      <c r="B432" s="12">
        <v>41088</v>
      </c>
      <c r="C432" s="13" t="s">
        <v>18</v>
      </c>
      <c r="D432" s="13">
        <v>1305</v>
      </c>
      <c r="E432" s="14">
        <f>VLOOKUP(C432,价格表!$B$2:$C$5,2,0)</f>
        <v>2100</v>
      </c>
      <c r="F432" s="14">
        <f>D432*E432*(1-HLOOKUP(C432,折扣表!$B$2:$E$6,IF(D432&lt;1000,2,IF(D432&lt;1500,3,IF(D432&lt;2000,4,5)))))</f>
        <v>2658285</v>
      </c>
    </row>
    <row r="433" spans="1:6" x14ac:dyDescent="0.15">
      <c r="A433" s="11" t="s">
        <v>449</v>
      </c>
      <c r="B433" s="12">
        <v>41089</v>
      </c>
      <c r="C433" s="13" t="s">
        <v>16</v>
      </c>
      <c r="D433" s="13">
        <v>1424</v>
      </c>
      <c r="E433" s="14">
        <f>VLOOKUP(C433,价格表!$B$2:$C$5,2,0)</f>
        <v>3200</v>
      </c>
      <c r="F433" s="14">
        <f>D433*E433*(1-HLOOKUP(C433,折扣表!$B$2:$E$6,IF(D433&lt;1000,2,IF(D433&lt;1500,3,IF(D433&lt;2000,4,5)))))</f>
        <v>4511232</v>
      </c>
    </row>
    <row r="434" spans="1:6" x14ac:dyDescent="0.15">
      <c r="A434" s="11" t="s">
        <v>450</v>
      </c>
      <c r="B434" s="12">
        <v>41089</v>
      </c>
      <c r="C434" s="13" t="s">
        <v>18</v>
      </c>
      <c r="D434" s="13">
        <v>1313</v>
      </c>
      <c r="E434" s="14">
        <f>VLOOKUP(C434,价格表!$B$2:$C$5,2,0)</f>
        <v>2100</v>
      </c>
      <c r="F434" s="14">
        <f>D434*E434*(1-HLOOKUP(C434,折扣表!$B$2:$E$6,IF(D434&lt;1000,2,IF(D434&lt;1500,3,IF(D434&lt;2000,4,5)))))</f>
        <v>2674581</v>
      </c>
    </row>
    <row r="435" spans="1:6" x14ac:dyDescent="0.15">
      <c r="A435" s="11" t="s">
        <v>451</v>
      </c>
      <c r="B435" s="12">
        <v>41090</v>
      </c>
      <c r="C435" s="13" t="s">
        <v>16</v>
      </c>
      <c r="D435" s="13">
        <v>1369</v>
      </c>
      <c r="E435" s="14">
        <f>VLOOKUP(C435,价格表!$B$2:$C$5,2,0)</f>
        <v>3200</v>
      </c>
      <c r="F435" s="14">
        <f>D435*E435*(1-HLOOKUP(C435,折扣表!$B$2:$E$6,IF(D435&lt;1000,2,IF(D435&lt;1500,3,IF(D435&lt;2000,4,5)))))</f>
        <v>4336992</v>
      </c>
    </row>
    <row r="436" spans="1:6" x14ac:dyDescent="0.15">
      <c r="A436" s="11" t="s">
        <v>452</v>
      </c>
      <c r="B436" s="12">
        <v>41090</v>
      </c>
      <c r="C436" s="13" t="s">
        <v>17</v>
      </c>
      <c r="D436" s="13">
        <v>1335</v>
      </c>
      <c r="E436" s="14">
        <f>VLOOKUP(C436,价格表!$B$2:$C$5,2,0)</f>
        <v>2800</v>
      </c>
      <c r="F436" s="14">
        <f>D436*E436*(1-HLOOKUP(C436,折扣表!$B$2:$E$6,IF(D436&lt;1000,2,IF(D436&lt;1500,3,IF(D436&lt;2000,4,5)))))</f>
        <v>3663240</v>
      </c>
    </row>
    <row r="437" spans="1:6" x14ac:dyDescent="0.15">
      <c r="A437" s="11" t="s">
        <v>453</v>
      </c>
      <c r="B437" s="12">
        <v>41091</v>
      </c>
      <c r="C437" s="13" t="s">
        <v>16</v>
      </c>
      <c r="D437" s="13">
        <v>1462</v>
      </c>
      <c r="E437" s="14">
        <f>VLOOKUP(C437,价格表!$B$2:$C$5,2,0)</f>
        <v>3200</v>
      </c>
      <c r="F437" s="14">
        <f>D437*E437*(1-HLOOKUP(C437,折扣表!$B$2:$E$6,IF(D437&lt;1000,2,IF(D437&lt;1500,3,IF(D437&lt;2000,4,5)))))</f>
        <v>4631616</v>
      </c>
    </row>
    <row r="438" spans="1:6" x14ac:dyDescent="0.15">
      <c r="A438" s="11" t="s">
        <v>454</v>
      </c>
      <c r="B438" s="12">
        <v>41091</v>
      </c>
      <c r="C438" s="13" t="s">
        <v>17</v>
      </c>
      <c r="D438" s="13">
        <v>1498</v>
      </c>
      <c r="E438" s="14">
        <f>VLOOKUP(C438,价格表!$B$2:$C$5,2,0)</f>
        <v>2800</v>
      </c>
      <c r="F438" s="14">
        <f>D438*E438*(1-HLOOKUP(C438,折扣表!$B$2:$E$6,IF(D438&lt;1000,2,IF(D438&lt;1500,3,IF(D438&lt;2000,4,5)))))</f>
        <v>4110512</v>
      </c>
    </row>
    <row r="439" spans="1:6" x14ac:dyDescent="0.15">
      <c r="A439" s="11" t="s">
        <v>455</v>
      </c>
      <c r="B439" s="12">
        <v>41091</v>
      </c>
      <c r="C439" s="13" t="s">
        <v>18</v>
      </c>
      <c r="D439" s="13">
        <v>1201</v>
      </c>
      <c r="E439" s="14">
        <f>VLOOKUP(C439,价格表!$B$2:$C$5,2,0)</f>
        <v>2100</v>
      </c>
      <c r="F439" s="14">
        <f>D439*E439*(1-HLOOKUP(C439,折扣表!$B$2:$E$6,IF(D439&lt;1000,2,IF(D439&lt;1500,3,IF(D439&lt;2000,4,5)))))</f>
        <v>2446437</v>
      </c>
    </row>
    <row r="440" spans="1:6" x14ac:dyDescent="0.15">
      <c r="A440" s="11" t="s">
        <v>456</v>
      </c>
      <c r="B440" s="12">
        <v>41092</v>
      </c>
      <c r="C440" s="13" t="s">
        <v>16</v>
      </c>
      <c r="D440" s="13">
        <v>1469</v>
      </c>
      <c r="E440" s="14">
        <f>VLOOKUP(C440,价格表!$B$2:$C$5,2,0)</f>
        <v>3200</v>
      </c>
      <c r="F440" s="14">
        <f>D440*E440*(1-HLOOKUP(C440,折扣表!$B$2:$E$6,IF(D440&lt;1000,2,IF(D440&lt;1500,3,IF(D440&lt;2000,4,5)))))</f>
        <v>4653792</v>
      </c>
    </row>
    <row r="441" spans="1:6" x14ac:dyDescent="0.15">
      <c r="A441" s="11" t="s">
        <v>457</v>
      </c>
      <c r="B441" s="12">
        <v>41092</v>
      </c>
      <c r="C441" s="13" t="s">
        <v>18</v>
      </c>
      <c r="D441" s="13">
        <v>1261</v>
      </c>
      <c r="E441" s="14">
        <f>VLOOKUP(C441,价格表!$B$2:$C$5,2,0)</f>
        <v>2100</v>
      </c>
      <c r="F441" s="14">
        <f>D441*E441*(1-HLOOKUP(C441,折扣表!$B$2:$E$6,IF(D441&lt;1000,2,IF(D441&lt;1500,3,IF(D441&lt;2000,4,5)))))</f>
        <v>2568657</v>
      </c>
    </row>
    <row r="442" spans="1:6" x14ac:dyDescent="0.15">
      <c r="A442" s="11" t="s">
        <v>458</v>
      </c>
      <c r="B442" s="12">
        <v>41093</v>
      </c>
      <c r="C442" s="13" t="s">
        <v>16</v>
      </c>
      <c r="D442" s="13">
        <v>1535</v>
      </c>
      <c r="E442" s="14">
        <f>VLOOKUP(C442,价格表!$B$2:$C$5,2,0)</f>
        <v>3200</v>
      </c>
      <c r="F442" s="14">
        <f>D442*E442*(1-HLOOKUP(C442,折扣表!$B$2:$E$6,IF(D442&lt;1000,2,IF(D442&lt;1500,3,IF(D442&lt;2000,4,5)))))</f>
        <v>4813760</v>
      </c>
    </row>
    <row r="443" spans="1:6" x14ac:dyDescent="0.15">
      <c r="A443" s="11" t="s">
        <v>459</v>
      </c>
      <c r="B443" s="12">
        <v>41093</v>
      </c>
      <c r="C443" s="13" t="s">
        <v>17</v>
      </c>
      <c r="D443" s="13">
        <v>1474</v>
      </c>
      <c r="E443" s="14">
        <f>VLOOKUP(C443,价格表!$B$2:$C$5,2,0)</f>
        <v>2800</v>
      </c>
      <c r="F443" s="14">
        <f>D443*E443*(1-HLOOKUP(C443,折扣表!$B$2:$E$6,IF(D443&lt;1000,2,IF(D443&lt;1500,3,IF(D443&lt;2000,4,5)))))</f>
        <v>4044656</v>
      </c>
    </row>
    <row r="444" spans="1:6" x14ac:dyDescent="0.15">
      <c r="A444" s="11" t="s">
        <v>460</v>
      </c>
      <c r="B444" s="12">
        <v>41093</v>
      </c>
      <c r="C444" s="13" t="s">
        <v>18</v>
      </c>
      <c r="D444" s="13">
        <v>1232</v>
      </c>
      <c r="E444" s="14">
        <f>VLOOKUP(C444,价格表!$B$2:$C$5,2,0)</f>
        <v>2100</v>
      </c>
      <c r="F444" s="14">
        <f>D444*E444*(1-HLOOKUP(C444,折扣表!$B$2:$E$6,IF(D444&lt;1000,2,IF(D444&lt;1500,3,IF(D444&lt;2000,4,5)))))</f>
        <v>2509584</v>
      </c>
    </row>
    <row r="445" spans="1:6" x14ac:dyDescent="0.15">
      <c r="A445" s="11" t="s">
        <v>461</v>
      </c>
      <c r="B445" s="12">
        <v>41094</v>
      </c>
      <c r="C445" s="13" t="s">
        <v>17</v>
      </c>
      <c r="D445" s="13">
        <v>1449</v>
      </c>
      <c r="E445" s="14">
        <f>VLOOKUP(C445,价格表!$B$2:$C$5,2,0)</f>
        <v>2800</v>
      </c>
      <c r="F445" s="14">
        <f>D445*E445*(1-HLOOKUP(C445,折扣表!$B$2:$E$6,IF(D445&lt;1000,2,IF(D445&lt;1500,3,IF(D445&lt;2000,4,5)))))</f>
        <v>3976056</v>
      </c>
    </row>
    <row r="446" spans="1:6" x14ac:dyDescent="0.15">
      <c r="A446" s="11" t="s">
        <v>462</v>
      </c>
      <c r="B446" s="12">
        <v>41094</v>
      </c>
      <c r="C446" s="13" t="s">
        <v>18</v>
      </c>
      <c r="D446" s="13">
        <v>1262</v>
      </c>
      <c r="E446" s="14">
        <f>VLOOKUP(C446,价格表!$B$2:$C$5,2,0)</f>
        <v>2100</v>
      </c>
      <c r="F446" s="14">
        <f>D446*E446*(1-HLOOKUP(C446,折扣表!$B$2:$E$6,IF(D446&lt;1000,2,IF(D446&lt;1500,3,IF(D446&lt;2000,4,5)))))</f>
        <v>2570694</v>
      </c>
    </row>
    <row r="447" spans="1:6" x14ac:dyDescent="0.15">
      <c r="A447" s="11" t="s">
        <v>463</v>
      </c>
      <c r="B447" s="12">
        <v>41095</v>
      </c>
      <c r="C447" s="13" t="s">
        <v>16</v>
      </c>
      <c r="D447" s="13">
        <v>1483</v>
      </c>
      <c r="E447" s="14">
        <f>VLOOKUP(C447,价格表!$B$2:$C$5,2,0)</f>
        <v>3200</v>
      </c>
      <c r="F447" s="14">
        <f>D447*E447*(1-HLOOKUP(C447,折扣表!$B$2:$E$6,IF(D447&lt;1000,2,IF(D447&lt;1500,3,IF(D447&lt;2000,4,5)))))</f>
        <v>4698144</v>
      </c>
    </row>
    <row r="448" spans="1:6" x14ac:dyDescent="0.15">
      <c r="A448" s="11" t="s">
        <v>464</v>
      </c>
      <c r="B448" s="12">
        <v>41095</v>
      </c>
      <c r="C448" s="13" t="s">
        <v>18</v>
      </c>
      <c r="D448" s="13">
        <v>1239</v>
      </c>
      <c r="E448" s="14">
        <f>VLOOKUP(C448,价格表!$B$2:$C$5,2,0)</f>
        <v>2100</v>
      </c>
      <c r="F448" s="14">
        <f>D448*E448*(1-HLOOKUP(C448,折扣表!$B$2:$E$6,IF(D448&lt;1000,2,IF(D448&lt;1500,3,IF(D448&lt;2000,4,5)))))</f>
        <v>2523843</v>
      </c>
    </row>
    <row r="449" spans="1:6" x14ac:dyDescent="0.15">
      <c r="A449" s="11" t="s">
        <v>465</v>
      </c>
      <c r="B449" s="12">
        <v>41096</v>
      </c>
      <c r="C449" s="13" t="s">
        <v>16</v>
      </c>
      <c r="D449" s="13">
        <v>1546</v>
      </c>
      <c r="E449" s="14">
        <f>VLOOKUP(C449,价格表!$B$2:$C$5,2,0)</f>
        <v>3200</v>
      </c>
      <c r="F449" s="14">
        <f>D449*E449*(1-HLOOKUP(C449,折扣表!$B$2:$E$6,IF(D449&lt;1000,2,IF(D449&lt;1500,3,IF(D449&lt;2000,4,5)))))</f>
        <v>4848256</v>
      </c>
    </row>
    <row r="450" spans="1:6" x14ac:dyDescent="0.15">
      <c r="A450" s="11" t="s">
        <v>466</v>
      </c>
      <c r="B450" s="12">
        <v>41096</v>
      </c>
      <c r="C450" s="13" t="s">
        <v>17</v>
      </c>
      <c r="D450" s="13">
        <v>1458</v>
      </c>
      <c r="E450" s="14">
        <f>VLOOKUP(C450,价格表!$B$2:$C$5,2,0)</f>
        <v>2800</v>
      </c>
      <c r="F450" s="14">
        <f>D450*E450*(1-HLOOKUP(C450,折扣表!$B$2:$E$6,IF(D450&lt;1000,2,IF(D450&lt;1500,3,IF(D450&lt;2000,4,5)))))</f>
        <v>4000752</v>
      </c>
    </row>
    <row r="451" spans="1:6" x14ac:dyDescent="0.15">
      <c r="A451" s="11" t="s">
        <v>467</v>
      </c>
      <c r="B451" s="12">
        <v>41096</v>
      </c>
      <c r="C451" s="13" t="s">
        <v>18</v>
      </c>
      <c r="D451" s="13">
        <v>1228</v>
      </c>
      <c r="E451" s="14">
        <f>VLOOKUP(C451,价格表!$B$2:$C$5,2,0)</f>
        <v>2100</v>
      </c>
      <c r="F451" s="14">
        <f>D451*E451*(1-HLOOKUP(C451,折扣表!$B$2:$E$6,IF(D451&lt;1000,2,IF(D451&lt;1500,3,IF(D451&lt;2000,4,5)))))</f>
        <v>2501436</v>
      </c>
    </row>
    <row r="452" spans="1:6" x14ac:dyDescent="0.15">
      <c r="A452" s="11" t="s">
        <v>468</v>
      </c>
      <c r="B452" s="12">
        <v>41097</v>
      </c>
      <c r="C452" s="13" t="s">
        <v>16</v>
      </c>
      <c r="D452" s="13">
        <v>1264</v>
      </c>
      <c r="E452" s="14">
        <f>VLOOKUP(C452,价格表!$B$2:$C$5,2,0)</f>
        <v>3200</v>
      </c>
      <c r="F452" s="14">
        <f>D452*E452*(1-HLOOKUP(C452,折扣表!$B$2:$E$6,IF(D452&lt;1000,2,IF(D452&lt;1500,3,IF(D452&lt;2000,4,5)))))</f>
        <v>4004352</v>
      </c>
    </row>
    <row r="453" spans="1:6" x14ac:dyDescent="0.15">
      <c r="A453" s="11" t="s">
        <v>469</v>
      </c>
      <c r="B453" s="12">
        <v>41097</v>
      </c>
      <c r="C453" s="13" t="s">
        <v>17</v>
      </c>
      <c r="D453" s="13">
        <v>1420</v>
      </c>
      <c r="E453" s="14">
        <f>VLOOKUP(C453,价格表!$B$2:$C$5,2,0)</f>
        <v>2800</v>
      </c>
      <c r="F453" s="14">
        <f>D453*E453*(1-HLOOKUP(C453,折扣表!$B$2:$E$6,IF(D453&lt;1000,2,IF(D453&lt;1500,3,IF(D453&lt;2000,4,5)))))</f>
        <v>3896480</v>
      </c>
    </row>
    <row r="454" spans="1:6" x14ac:dyDescent="0.15">
      <c r="A454" s="11" t="s">
        <v>470</v>
      </c>
      <c r="B454" s="12">
        <v>41097</v>
      </c>
      <c r="C454" s="13" t="s">
        <v>18</v>
      </c>
      <c r="D454" s="13">
        <v>1219</v>
      </c>
      <c r="E454" s="14">
        <f>VLOOKUP(C454,价格表!$B$2:$C$5,2,0)</f>
        <v>2100</v>
      </c>
      <c r="F454" s="14">
        <f>D454*E454*(1-HLOOKUP(C454,折扣表!$B$2:$E$6,IF(D454&lt;1000,2,IF(D454&lt;1500,3,IF(D454&lt;2000,4,5)))))</f>
        <v>2483103</v>
      </c>
    </row>
    <row r="455" spans="1:6" x14ac:dyDescent="0.15">
      <c r="A455" s="11" t="s">
        <v>471</v>
      </c>
      <c r="B455" s="12">
        <v>41098</v>
      </c>
      <c r="C455" s="13" t="s">
        <v>16</v>
      </c>
      <c r="D455" s="13">
        <v>1502</v>
      </c>
      <c r="E455" s="14">
        <f>VLOOKUP(C455,价格表!$B$2:$C$5,2,0)</f>
        <v>3200</v>
      </c>
      <c r="F455" s="14">
        <f>D455*E455*(1-HLOOKUP(C455,折扣表!$B$2:$E$6,IF(D455&lt;1000,2,IF(D455&lt;1500,3,IF(D455&lt;2000,4,5)))))</f>
        <v>4710272</v>
      </c>
    </row>
    <row r="456" spans="1:6" x14ac:dyDescent="0.15">
      <c r="A456" s="11" t="s">
        <v>472</v>
      </c>
      <c r="B456" s="12">
        <v>41098</v>
      </c>
      <c r="C456" s="13" t="s">
        <v>17</v>
      </c>
      <c r="D456" s="13">
        <v>1415</v>
      </c>
      <c r="E456" s="14">
        <f>VLOOKUP(C456,价格表!$B$2:$C$5,2,0)</f>
        <v>2800</v>
      </c>
      <c r="F456" s="14">
        <f>D456*E456*(1-HLOOKUP(C456,折扣表!$B$2:$E$6,IF(D456&lt;1000,2,IF(D456&lt;1500,3,IF(D456&lt;2000,4,5)))))</f>
        <v>3882760</v>
      </c>
    </row>
    <row r="457" spans="1:6" x14ac:dyDescent="0.15">
      <c r="A457" s="11" t="s">
        <v>473</v>
      </c>
      <c r="B457" s="12">
        <v>41099</v>
      </c>
      <c r="C457" s="13" t="s">
        <v>16</v>
      </c>
      <c r="D457" s="13">
        <v>1517</v>
      </c>
      <c r="E457" s="14">
        <f>VLOOKUP(C457,价格表!$B$2:$C$5,2,0)</f>
        <v>3200</v>
      </c>
      <c r="F457" s="14">
        <f>D457*E457*(1-HLOOKUP(C457,折扣表!$B$2:$E$6,IF(D457&lt;1000,2,IF(D457&lt;1500,3,IF(D457&lt;2000,4,5)))))</f>
        <v>4757312</v>
      </c>
    </row>
    <row r="458" spans="1:6" x14ac:dyDescent="0.15">
      <c r="A458" s="11" t="s">
        <v>474</v>
      </c>
      <c r="B458" s="12">
        <v>41100</v>
      </c>
      <c r="C458" s="13" t="s">
        <v>16</v>
      </c>
      <c r="D458" s="13">
        <v>1252</v>
      </c>
      <c r="E458" s="14">
        <f>VLOOKUP(C458,价格表!$B$2:$C$5,2,0)</f>
        <v>3200</v>
      </c>
      <c r="F458" s="14">
        <f>D458*E458*(1-HLOOKUP(C458,折扣表!$B$2:$E$6,IF(D458&lt;1000,2,IF(D458&lt;1500,3,IF(D458&lt;2000,4,5)))))</f>
        <v>3966336</v>
      </c>
    </row>
    <row r="459" spans="1:6" x14ac:dyDescent="0.15">
      <c r="A459" s="11" t="s">
        <v>475</v>
      </c>
      <c r="B459" s="12">
        <v>41100</v>
      </c>
      <c r="C459" s="13" t="s">
        <v>17</v>
      </c>
      <c r="D459" s="13">
        <v>1583</v>
      </c>
      <c r="E459" s="14">
        <f>VLOOKUP(C459,价格表!$B$2:$C$5,2,0)</f>
        <v>2800</v>
      </c>
      <c r="F459" s="14">
        <f>D459*E459*(1-HLOOKUP(C459,折扣表!$B$2:$E$6,IF(D459&lt;1000,2,IF(D459&lt;1500,3,IF(D459&lt;2000,4,5)))))</f>
        <v>4299428</v>
      </c>
    </row>
    <row r="460" spans="1:6" x14ac:dyDescent="0.15">
      <c r="A460" s="11" t="s">
        <v>476</v>
      </c>
      <c r="B460" s="12">
        <v>41100</v>
      </c>
      <c r="C460" s="13" t="s">
        <v>18</v>
      </c>
      <c r="D460" s="13">
        <v>1224</v>
      </c>
      <c r="E460" s="14">
        <f>VLOOKUP(C460,价格表!$B$2:$C$5,2,0)</f>
        <v>2100</v>
      </c>
      <c r="F460" s="14">
        <f>D460*E460*(1-HLOOKUP(C460,折扣表!$B$2:$E$6,IF(D460&lt;1000,2,IF(D460&lt;1500,3,IF(D460&lt;2000,4,5)))))</f>
        <v>2493288</v>
      </c>
    </row>
    <row r="461" spans="1:6" x14ac:dyDescent="0.15">
      <c r="A461" s="11" t="s">
        <v>477</v>
      </c>
      <c r="B461" s="12">
        <v>41101</v>
      </c>
      <c r="C461" s="13" t="s">
        <v>16</v>
      </c>
      <c r="D461" s="13">
        <v>1385</v>
      </c>
      <c r="E461" s="14">
        <f>VLOOKUP(C461,价格表!$B$2:$C$5,2,0)</f>
        <v>3200</v>
      </c>
      <c r="F461" s="14">
        <f>D461*E461*(1-HLOOKUP(C461,折扣表!$B$2:$E$6,IF(D461&lt;1000,2,IF(D461&lt;1500,3,IF(D461&lt;2000,4,5)))))</f>
        <v>4387680</v>
      </c>
    </row>
    <row r="462" spans="1:6" x14ac:dyDescent="0.15">
      <c r="A462" s="11" t="s">
        <v>478</v>
      </c>
      <c r="B462" s="12">
        <v>41101</v>
      </c>
      <c r="C462" s="13" t="s">
        <v>18</v>
      </c>
      <c r="D462" s="13">
        <v>1220</v>
      </c>
      <c r="E462" s="14">
        <f>VLOOKUP(C462,价格表!$B$2:$C$5,2,0)</f>
        <v>2100</v>
      </c>
      <c r="F462" s="14">
        <f>D462*E462*(1-HLOOKUP(C462,折扣表!$B$2:$E$6,IF(D462&lt;1000,2,IF(D462&lt;1500,3,IF(D462&lt;2000,4,5)))))</f>
        <v>2485140</v>
      </c>
    </row>
    <row r="463" spans="1:6" x14ac:dyDescent="0.15">
      <c r="A463" s="11" t="s">
        <v>479</v>
      </c>
      <c r="B463" s="12">
        <v>41102</v>
      </c>
      <c r="C463" s="13" t="s">
        <v>16</v>
      </c>
      <c r="D463" s="13">
        <v>1325</v>
      </c>
      <c r="E463" s="14">
        <f>VLOOKUP(C463,价格表!$B$2:$C$5,2,0)</f>
        <v>3200</v>
      </c>
      <c r="F463" s="14">
        <f>D463*E463*(1-HLOOKUP(C463,折扣表!$B$2:$E$6,IF(D463&lt;1000,2,IF(D463&lt;1500,3,IF(D463&lt;2000,4,5)))))</f>
        <v>4197600</v>
      </c>
    </row>
    <row r="464" spans="1:6" x14ac:dyDescent="0.15">
      <c r="A464" s="11" t="s">
        <v>480</v>
      </c>
      <c r="B464" s="12">
        <v>41102</v>
      </c>
      <c r="C464" s="13" t="s">
        <v>18</v>
      </c>
      <c r="D464" s="13">
        <v>1270</v>
      </c>
      <c r="E464" s="14">
        <f>VLOOKUP(C464,价格表!$B$2:$C$5,2,0)</f>
        <v>2100</v>
      </c>
      <c r="F464" s="14">
        <f>D464*E464*(1-HLOOKUP(C464,折扣表!$B$2:$E$6,IF(D464&lt;1000,2,IF(D464&lt;1500,3,IF(D464&lt;2000,4,5)))))</f>
        <v>2586990</v>
      </c>
    </row>
    <row r="465" spans="1:6" x14ac:dyDescent="0.15">
      <c r="A465" s="11" t="s">
        <v>481</v>
      </c>
      <c r="B465" s="12">
        <v>41103</v>
      </c>
      <c r="C465" s="13" t="s">
        <v>16</v>
      </c>
      <c r="D465" s="13">
        <v>1417</v>
      </c>
      <c r="E465" s="14">
        <f>VLOOKUP(C465,价格表!$B$2:$C$5,2,0)</f>
        <v>3200</v>
      </c>
      <c r="F465" s="14">
        <f>D465*E465*(1-HLOOKUP(C465,折扣表!$B$2:$E$6,IF(D465&lt;1000,2,IF(D465&lt;1500,3,IF(D465&lt;2000,4,5)))))</f>
        <v>4489056</v>
      </c>
    </row>
    <row r="466" spans="1:6" x14ac:dyDescent="0.15">
      <c r="A466" s="11" t="s">
        <v>482</v>
      </c>
      <c r="B466" s="12">
        <v>41103</v>
      </c>
      <c r="C466" s="13" t="s">
        <v>17</v>
      </c>
      <c r="D466" s="13">
        <v>1429</v>
      </c>
      <c r="E466" s="14">
        <f>VLOOKUP(C466,价格表!$B$2:$C$5,2,0)</f>
        <v>2800</v>
      </c>
      <c r="F466" s="14">
        <f>D466*E466*(1-HLOOKUP(C466,折扣表!$B$2:$E$6,IF(D466&lt;1000,2,IF(D466&lt;1500,3,IF(D466&lt;2000,4,5)))))</f>
        <v>3921176</v>
      </c>
    </row>
    <row r="467" spans="1:6" x14ac:dyDescent="0.15">
      <c r="A467" s="11" t="s">
        <v>483</v>
      </c>
      <c r="B467" s="12">
        <v>41103</v>
      </c>
      <c r="C467" s="13" t="s">
        <v>18</v>
      </c>
      <c r="D467" s="13">
        <v>1297</v>
      </c>
      <c r="E467" s="14">
        <f>VLOOKUP(C467,价格表!$B$2:$C$5,2,0)</f>
        <v>2100</v>
      </c>
      <c r="F467" s="14">
        <f>D467*E467*(1-HLOOKUP(C467,折扣表!$B$2:$E$6,IF(D467&lt;1000,2,IF(D467&lt;1500,3,IF(D467&lt;2000,4,5)))))</f>
        <v>2641989</v>
      </c>
    </row>
    <row r="468" spans="1:6" x14ac:dyDescent="0.15">
      <c r="A468" s="11" t="s">
        <v>484</v>
      </c>
      <c r="B468" s="12">
        <v>41104</v>
      </c>
      <c r="C468" s="13" t="s">
        <v>17</v>
      </c>
      <c r="D468" s="13">
        <v>1599</v>
      </c>
      <c r="E468" s="14">
        <f>VLOOKUP(C468,价格表!$B$2:$C$5,2,0)</f>
        <v>2800</v>
      </c>
      <c r="F468" s="14">
        <f>D468*E468*(1-HLOOKUP(C468,折扣表!$B$2:$E$6,IF(D468&lt;1000,2,IF(D468&lt;1500,3,IF(D468&lt;2000,4,5)))))</f>
        <v>4342884</v>
      </c>
    </row>
    <row r="469" spans="1:6" x14ac:dyDescent="0.15">
      <c r="A469" s="11" t="s">
        <v>485</v>
      </c>
      <c r="B469" s="12">
        <v>41104</v>
      </c>
      <c r="C469" s="13" t="s">
        <v>18</v>
      </c>
      <c r="D469" s="13">
        <v>1265</v>
      </c>
      <c r="E469" s="14">
        <f>VLOOKUP(C469,价格表!$B$2:$C$5,2,0)</f>
        <v>2100</v>
      </c>
      <c r="F469" s="14">
        <f>D469*E469*(1-HLOOKUP(C469,折扣表!$B$2:$E$6,IF(D469&lt;1000,2,IF(D469&lt;1500,3,IF(D469&lt;2000,4,5)))))</f>
        <v>2576805</v>
      </c>
    </row>
    <row r="470" spans="1:6" x14ac:dyDescent="0.15">
      <c r="A470" s="11" t="s">
        <v>486</v>
      </c>
      <c r="B470" s="12">
        <v>41105</v>
      </c>
      <c r="C470" s="13" t="s">
        <v>17</v>
      </c>
      <c r="D470" s="13">
        <v>1554</v>
      </c>
      <c r="E470" s="14">
        <f>VLOOKUP(C470,价格表!$B$2:$C$5,2,0)</f>
        <v>2800</v>
      </c>
      <c r="F470" s="14">
        <f>D470*E470*(1-HLOOKUP(C470,折扣表!$B$2:$E$6,IF(D470&lt;1000,2,IF(D470&lt;1500,3,IF(D470&lt;2000,4,5)))))</f>
        <v>4220664</v>
      </c>
    </row>
    <row r="471" spans="1:6" x14ac:dyDescent="0.15">
      <c r="A471" s="11" t="s">
        <v>487</v>
      </c>
      <c r="B471" s="12">
        <v>41105</v>
      </c>
      <c r="C471" s="13" t="s">
        <v>18</v>
      </c>
      <c r="D471" s="13">
        <v>1266</v>
      </c>
      <c r="E471" s="14">
        <f>VLOOKUP(C471,价格表!$B$2:$C$5,2,0)</f>
        <v>2100</v>
      </c>
      <c r="F471" s="14">
        <f>D471*E471*(1-HLOOKUP(C471,折扣表!$B$2:$E$6,IF(D471&lt;1000,2,IF(D471&lt;1500,3,IF(D471&lt;2000,4,5)))))</f>
        <v>2578842</v>
      </c>
    </row>
    <row r="472" spans="1:6" x14ac:dyDescent="0.15">
      <c r="A472" s="11" t="s">
        <v>488</v>
      </c>
      <c r="B472" s="12">
        <v>41106</v>
      </c>
      <c r="C472" s="13" t="s">
        <v>16</v>
      </c>
      <c r="D472" s="13">
        <v>1553</v>
      </c>
      <c r="E472" s="14">
        <f>VLOOKUP(C472,价格表!$B$2:$C$5,2,0)</f>
        <v>3200</v>
      </c>
      <c r="F472" s="14">
        <f>D472*E472*(1-HLOOKUP(C472,折扣表!$B$2:$E$6,IF(D472&lt;1000,2,IF(D472&lt;1500,3,IF(D472&lt;2000,4,5)))))</f>
        <v>4870208</v>
      </c>
    </row>
    <row r="473" spans="1:6" x14ac:dyDescent="0.15">
      <c r="A473" s="11" t="s">
        <v>489</v>
      </c>
      <c r="B473" s="12">
        <v>41106</v>
      </c>
      <c r="C473" s="13" t="s">
        <v>17</v>
      </c>
      <c r="D473" s="13">
        <v>1551</v>
      </c>
      <c r="E473" s="14">
        <f>VLOOKUP(C473,价格表!$B$2:$C$5,2,0)</f>
        <v>2800</v>
      </c>
      <c r="F473" s="14">
        <f>D473*E473*(1-HLOOKUP(C473,折扣表!$B$2:$E$6,IF(D473&lt;1000,2,IF(D473&lt;1500,3,IF(D473&lt;2000,4,5)))))</f>
        <v>4212516</v>
      </c>
    </row>
    <row r="474" spans="1:6" x14ac:dyDescent="0.15">
      <c r="A474" s="11" t="s">
        <v>490</v>
      </c>
      <c r="B474" s="12">
        <v>41106</v>
      </c>
      <c r="C474" s="13" t="s">
        <v>18</v>
      </c>
      <c r="D474" s="13">
        <v>1231</v>
      </c>
      <c r="E474" s="14">
        <f>VLOOKUP(C474,价格表!$B$2:$C$5,2,0)</f>
        <v>2100</v>
      </c>
      <c r="F474" s="14">
        <f>D474*E474*(1-HLOOKUP(C474,折扣表!$B$2:$E$6,IF(D474&lt;1000,2,IF(D474&lt;1500,3,IF(D474&lt;2000,4,5)))))</f>
        <v>2507547</v>
      </c>
    </row>
    <row r="475" spans="1:6" x14ac:dyDescent="0.15">
      <c r="A475" s="11" t="s">
        <v>491</v>
      </c>
      <c r="B475" s="12">
        <v>41107</v>
      </c>
      <c r="C475" s="13" t="s">
        <v>16</v>
      </c>
      <c r="D475" s="13">
        <v>1288</v>
      </c>
      <c r="E475" s="14">
        <f>VLOOKUP(C475,价格表!$B$2:$C$5,2,0)</f>
        <v>3200</v>
      </c>
      <c r="F475" s="14">
        <f>D475*E475*(1-HLOOKUP(C475,折扣表!$B$2:$E$6,IF(D475&lt;1000,2,IF(D475&lt;1500,3,IF(D475&lt;2000,4,5)))))</f>
        <v>4080384</v>
      </c>
    </row>
    <row r="476" spans="1:6" x14ac:dyDescent="0.15">
      <c r="A476" s="11" t="s">
        <v>492</v>
      </c>
      <c r="B476" s="12">
        <v>41107</v>
      </c>
      <c r="C476" s="13" t="s">
        <v>17</v>
      </c>
      <c r="D476" s="13">
        <v>1581</v>
      </c>
      <c r="E476" s="14">
        <f>VLOOKUP(C476,价格表!$B$2:$C$5,2,0)</f>
        <v>2800</v>
      </c>
      <c r="F476" s="14">
        <f>D476*E476*(1-HLOOKUP(C476,折扣表!$B$2:$E$6,IF(D476&lt;1000,2,IF(D476&lt;1500,3,IF(D476&lt;2000,4,5)))))</f>
        <v>4293996</v>
      </c>
    </row>
    <row r="477" spans="1:6" x14ac:dyDescent="0.15">
      <c r="A477" s="11" t="s">
        <v>493</v>
      </c>
      <c r="B477" s="12">
        <v>41107</v>
      </c>
      <c r="C477" s="13" t="s">
        <v>18</v>
      </c>
      <c r="D477" s="13">
        <v>1249</v>
      </c>
      <c r="E477" s="14">
        <f>VLOOKUP(C477,价格表!$B$2:$C$5,2,0)</f>
        <v>2100</v>
      </c>
      <c r="F477" s="14">
        <f>D477*E477*(1-HLOOKUP(C477,折扣表!$B$2:$E$6,IF(D477&lt;1000,2,IF(D477&lt;1500,3,IF(D477&lt;2000,4,5)))))</f>
        <v>2544213</v>
      </c>
    </row>
    <row r="478" spans="1:6" x14ac:dyDescent="0.15">
      <c r="A478" s="11" t="s">
        <v>494</v>
      </c>
      <c r="B478" s="12">
        <v>41108</v>
      </c>
      <c r="C478" s="13" t="s">
        <v>16</v>
      </c>
      <c r="D478" s="13">
        <v>1368</v>
      </c>
      <c r="E478" s="14">
        <f>VLOOKUP(C478,价格表!$B$2:$C$5,2,0)</f>
        <v>3200</v>
      </c>
      <c r="F478" s="14">
        <f>D478*E478*(1-HLOOKUP(C478,折扣表!$B$2:$E$6,IF(D478&lt;1000,2,IF(D478&lt;1500,3,IF(D478&lt;2000,4,5)))))</f>
        <v>4333824</v>
      </c>
    </row>
    <row r="479" spans="1:6" x14ac:dyDescent="0.15">
      <c r="A479" s="11" t="s">
        <v>495</v>
      </c>
      <c r="B479" s="12">
        <v>41108</v>
      </c>
      <c r="C479" s="13" t="s">
        <v>17</v>
      </c>
      <c r="D479" s="13">
        <v>1550</v>
      </c>
      <c r="E479" s="14">
        <f>VLOOKUP(C479,价格表!$B$2:$C$5,2,0)</f>
        <v>2800</v>
      </c>
      <c r="F479" s="14">
        <f>D479*E479*(1-HLOOKUP(C479,折扣表!$B$2:$E$6,IF(D479&lt;1000,2,IF(D479&lt;1500,3,IF(D479&lt;2000,4,5)))))</f>
        <v>4209800</v>
      </c>
    </row>
    <row r="480" spans="1:6" x14ac:dyDescent="0.15">
      <c r="A480" s="11" t="s">
        <v>496</v>
      </c>
      <c r="B480" s="12">
        <v>41108</v>
      </c>
      <c r="C480" s="13" t="s">
        <v>18</v>
      </c>
      <c r="D480" s="13">
        <v>1245</v>
      </c>
      <c r="E480" s="14">
        <f>VLOOKUP(C480,价格表!$B$2:$C$5,2,0)</f>
        <v>2100</v>
      </c>
      <c r="F480" s="14">
        <f>D480*E480*(1-HLOOKUP(C480,折扣表!$B$2:$E$6,IF(D480&lt;1000,2,IF(D480&lt;1500,3,IF(D480&lt;2000,4,5)))))</f>
        <v>2536065</v>
      </c>
    </row>
    <row r="481" spans="1:6" x14ac:dyDescent="0.15">
      <c r="A481" s="11" t="s">
        <v>497</v>
      </c>
      <c r="B481" s="12">
        <v>41109</v>
      </c>
      <c r="C481" s="13" t="s">
        <v>16</v>
      </c>
      <c r="D481" s="13">
        <v>1225</v>
      </c>
      <c r="E481" s="14">
        <f>VLOOKUP(C481,价格表!$B$2:$C$5,2,0)</f>
        <v>3200</v>
      </c>
      <c r="F481" s="14">
        <f>D481*E481*(1-HLOOKUP(C481,折扣表!$B$2:$E$6,IF(D481&lt;1000,2,IF(D481&lt;1500,3,IF(D481&lt;2000,4,5)))))</f>
        <v>3880800</v>
      </c>
    </row>
    <row r="482" spans="1:6" x14ac:dyDescent="0.15">
      <c r="A482" s="11" t="s">
        <v>498</v>
      </c>
      <c r="B482" s="12">
        <v>41109</v>
      </c>
      <c r="C482" s="13" t="s">
        <v>17</v>
      </c>
      <c r="D482" s="13">
        <v>1411</v>
      </c>
      <c r="E482" s="14">
        <f>VLOOKUP(C482,价格表!$B$2:$C$5,2,0)</f>
        <v>2800</v>
      </c>
      <c r="F482" s="14">
        <f>D482*E482*(1-HLOOKUP(C482,折扣表!$B$2:$E$6,IF(D482&lt;1000,2,IF(D482&lt;1500,3,IF(D482&lt;2000,4,5)))))</f>
        <v>3871784</v>
      </c>
    </row>
    <row r="483" spans="1:6" x14ac:dyDescent="0.15">
      <c r="A483" s="11" t="s">
        <v>499</v>
      </c>
      <c r="B483" s="12">
        <v>41109</v>
      </c>
      <c r="C483" s="13" t="s">
        <v>18</v>
      </c>
      <c r="D483" s="13">
        <v>1275</v>
      </c>
      <c r="E483" s="14">
        <f>VLOOKUP(C483,价格表!$B$2:$C$5,2,0)</f>
        <v>2100</v>
      </c>
      <c r="F483" s="14">
        <f>D483*E483*(1-HLOOKUP(C483,折扣表!$B$2:$E$6,IF(D483&lt;1000,2,IF(D483&lt;1500,3,IF(D483&lt;2000,4,5)))))</f>
        <v>2597175</v>
      </c>
    </row>
    <row r="484" spans="1:6" x14ac:dyDescent="0.15">
      <c r="A484" s="11" t="s">
        <v>500</v>
      </c>
      <c r="B484" s="12">
        <v>41110</v>
      </c>
      <c r="C484" s="13" t="s">
        <v>16</v>
      </c>
      <c r="D484" s="13">
        <v>1510</v>
      </c>
      <c r="E484" s="14">
        <f>VLOOKUP(C484,价格表!$B$2:$C$5,2,0)</f>
        <v>3200</v>
      </c>
      <c r="F484" s="14">
        <f>D484*E484*(1-HLOOKUP(C484,折扣表!$B$2:$E$6,IF(D484&lt;1000,2,IF(D484&lt;1500,3,IF(D484&lt;2000,4,5)))))</f>
        <v>4735360</v>
      </c>
    </row>
    <row r="485" spans="1:6" x14ac:dyDescent="0.15">
      <c r="A485" s="11" t="s">
        <v>501</v>
      </c>
      <c r="B485" s="12">
        <v>41110</v>
      </c>
      <c r="C485" s="13" t="s">
        <v>17</v>
      </c>
      <c r="D485" s="13">
        <v>1457</v>
      </c>
      <c r="E485" s="14">
        <f>VLOOKUP(C485,价格表!$B$2:$C$5,2,0)</f>
        <v>2800</v>
      </c>
      <c r="F485" s="14">
        <f>D485*E485*(1-HLOOKUP(C485,折扣表!$B$2:$E$6,IF(D485&lt;1000,2,IF(D485&lt;1500,3,IF(D485&lt;2000,4,5)))))</f>
        <v>3998008</v>
      </c>
    </row>
    <row r="486" spans="1:6" x14ac:dyDescent="0.15">
      <c r="A486" s="11" t="s">
        <v>502</v>
      </c>
      <c r="B486" s="12">
        <v>41110</v>
      </c>
      <c r="C486" s="13" t="s">
        <v>18</v>
      </c>
      <c r="D486" s="13">
        <v>1217</v>
      </c>
      <c r="E486" s="14">
        <f>VLOOKUP(C486,价格表!$B$2:$C$5,2,0)</f>
        <v>2100</v>
      </c>
      <c r="F486" s="14">
        <f>D486*E486*(1-HLOOKUP(C486,折扣表!$B$2:$E$6,IF(D486&lt;1000,2,IF(D486&lt;1500,3,IF(D486&lt;2000,4,5)))))</f>
        <v>2479029</v>
      </c>
    </row>
    <row r="487" spans="1:6" x14ac:dyDescent="0.15">
      <c r="A487" s="11" t="s">
        <v>503</v>
      </c>
      <c r="B487" s="12">
        <v>41111</v>
      </c>
      <c r="C487" s="13" t="s">
        <v>16</v>
      </c>
      <c r="D487" s="13">
        <v>1438</v>
      </c>
      <c r="E487" s="14">
        <f>VLOOKUP(C487,价格表!$B$2:$C$5,2,0)</f>
        <v>3200</v>
      </c>
      <c r="F487" s="14">
        <f>D487*E487*(1-HLOOKUP(C487,折扣表!$B$2:$E$6,IF(D487&lt;1000,2,IF(D487&lt;1500,3,IF(D487&lt;2000,4,5)))))</f>
        <v>4555584</v>
      </c>
    </row>
    <row r="488" spans="1:6" x14ac:dyDescent="0.15">
      <c r="A488" s="11" t="s">
        <v>504</v>
      </c>
      <c r="B488" s="12">
        <v>41111</v>
      </c>
      <c r="C488" s="13" t="s">
        <v>17</v>
      </c>
      <c r="D488" s="13">
        <v>1493</v>
      </c>
      <c r="E488" s="14">
        <f>VLOOKUP(C488,价格表!$B$2:$C$5,2,0)</f>
        <v>2800</v>
      </c>
      <c r="F488" s="14">
        <f>D488*E488*(1-HLOOKUP(C488,折扣表!$B$2:$E$6,IF(D488&lt;1000,2,IF(D488&lt;1500,3,IF(D488&lt;2000,4,5)))))</f>
        <v>4096792</v>
      </c>
    </row>
    <row r="489" spans="1:6" x14ac:dyDescent="0.15">
      <c r="A489" s="11" t="s">
        <v>505</v>
      </c>
      <c r="B489" s="12">
        <v>41112</v>
      </c>
      <c r="C489" s="13" t="s">
        <v>17</v>
      </c>
      <c r="D489" s="13">
        <v>1558</v>
      </c>
      <c r="E489" s="14">
        <f>VLOOKUP(C489,价格表!$B$2:$C$5,2,0)</f>
        <v>2800</v>
      </c>
      <c r="F489" s="14">
        <f>D489*E489*(1-HLOOKUP(C489,折扣表!$B$2:$E$6,IF(D489&lt;1000,2,IF(D489&lt;1500,3,IF(D489&lt;2000,4,5)))))</f>
        <v>4231528</v>
      </c>
    </row>
    <row r="490" spans="1:6" x14ac:dyDescent="0.15">
      <c r="A490" s="11" t="s">
        <v>506</v>
      </c>
      <c r="B490" s="12">
        <v>41113</v>
      </c>
      <c r="C490" s="13" t="s">
        <v>16</v>
      </c>
      <c r="D490" s="13">
        <v>1317</v>
      </c>
      <c r="E490" s="14">
        <f>VLOOKUP(C490,价格表!$B$2:$C$5,2,0)</f>
        <v>3200</v>
      </c>
      <c r="F490" s="14">
        <f>D490*E490*(1-HLOOKUP(C490,折扣表!$B$2:$E$6,IF(D490&lt;1000,2,IF(D490&lt;1500,3,IF(D490&lt;2000,4,5)))))</f>
        <v>4172256</v>
      </c>
    </row>
    <row r="491" spans="1:6" x14ac:dyDescent="0.15">
      <c r="A491" s="11" t="s">
        <v>507</v>
      </c>
      <c r="B491" s="12">
        <v>41113</v>
      </c>
      <c r="C491" s="13" t="s">
        <v>17</v>
      </c>
      <c r="D491" s="13">
        <v>1409</v>
      </c>
      <c r="E491" s="14">
        <f>VLOOKUP(C491,价格表!$B$2:$C$5,2,0)</f>
        <v>2800</v>
      </c>
      <c r="F491" s="14">
        <f>D491*E491*(1-HLOOKUP(C491,折扣表!$B$2:$E$6,IF(D491&lt;1000,2,IF(D491&lt;1500,3,IF(D491&lt;2000,4,5)))))</f>
        <v>3866296</v>
      </c>
    </row>
    <row r="492" spans="1:6" x14ac:dyDescent="0.15">
      <c r="A492" s="11" t="s">
        <v>508</v>
      </c>
      <c r="B492" s="12">
        <v>41113</v>
      </c>
      <c r="C492" s="13" t="s">
        <v>18</v>
      </c>
      <c r="D492" s="13">
        <v>1247</v>
      </c>
      <c r="E492" s="14">
        <f>VLOOKUP(C492,价格表!$B$2:$C$5,2,0)</f>
        <v>2100</v>
      </c>
      <c r="F492" s="14">
        <f>D492*E492*(1-HLOOKUP(C492,折扣表!$B$2:$E$6,IF(D492&lt;1000,2,IF(D492&lt;1500,3,IF(D492&lt;2000,4,5)))))</f>
        <v>2540139</v>
      </c>
    </row>
    <row r="493" spans="1:6" x14ac:dyDescent="0.15">
      <c r="A493" s="11" t="s">
        <v>509</v>
      </c>
      <c r="B493" s="12">
        <v>41114</v>
      </c>
      <c r="C493" s="13" t="s">
        <v>16</v>
      </c>
      <c r="D493" s="13">
        <v>1244</v>
      </c>
      <c r="E493" s="14">
        <f>VLOOKUP(C493,价格表!$B$2:$C$5,2,0)</f>
        <v>3200</v>
      </c>
      <c r="F493" s="14">
        <f>D493*E493*(1-HLOOKUP(C493,折扣表!$B$2:$E$6,IF(D493&lt;1000,2,IF(D493&lt;1500,3,IF(D493&lt;2000,4,5)))))</f>
        <v>3940992</v>
      </c>
    </row>
    <row r="494" spans="1:6" x14ac:dyDescent="0.15">
      <c r="A494" s="11" t="s">
        <v>510</v>
      </c>
      <c r="B494" s="12">
        <v>41114</v>
      </c>
      <c r="C494" s="13" t="s">
        <v>17</v>
      </c>
      <c r="D494" s="13">
        <v>1578</v>
      </c>
      <c r="E494" s="14">
        <f>VLOOKUP(C494,价格表!$B$2:$C$5,2,0)</f>
        <v>2800</v>
      </c>
      <c r="F494" s="14">
        <f>D494*E494*(1-HLOOKUP(C494,折扣表!$B$2:$E$6,IF(D494&lt;1000,2,IF(D494&lt;1500,3,IF(D494&lt;2000,4,5)))))</f>
        <v>4285848</v>
      </c>
    </row>
    <row r="495" spans="1:6" x14ac:dyDescent="0.15">
      <c r="A495" s="11" t="s">
        <v>511</v>
      </c>
      <c r="B495" s="12">
        <v>41114</v>
      </c>
      <c r="C495" s="13" t="s">
        <v>18</v>
      </c>
      <c r="D495" s="13">
        <v>1230</v>
      </c>
      <c r="E495" s="14">
        <f>VLOOKUP(C495,价格表!$B$2:$C$5,2,0)</f>
        <v>2100</v>
      </c>
      <c r="F495" s="14">
        <f>D495*E495*(1-HLOOKUP(C495,折扣表!$B$2:$E$6,IF(D495&lt;1000,2,IF(D495&lt;1500,3,IF(D495&lt;2000,4,5)))))</f>
        <v>2505510</v>
      </c>
    </row>
    <row r="496" spans="1:6" x14ac:dyDescent="0.15">
      <c r="A496" s="11" t="s">
        <v>512</v>
      </c>
      <c r="B496" s="12">
        <v>41115</v>
      </c>
      <c r="C496" s="13" t="s">
        <v>16</v>
      </c>
      <c r="D496" s="13">
        <v>1496</v>
      </c>
      <c r="E496" s="14">
        <f>VLOOKUP(C496,价格表!$B$2:$C$5,2,0)</f>
        <v>3200</v>
      </c>
      <c r="F496" s="14">
        <f>D496*E496*(1-HLOOKUP(C496,折扣表!$B$2:$E$6,IF(D496&lt;1000,2,IF(D496&lt;1500,3,IF(D496&lt;2000,4,5)))))</f>
        <v>4739328</v>
      </c>
    </row>
    <row r="497" spans="1:6" x14ac:dyDescent="0.15">
      <c r="A497" s="11" t="s">
        <v>513</v>
      </c>
      <c r="B497" s="12">
        <v>41115</v>
      </c>
      <c r="C497" s="13" t="s">
        <v>17</v>
      </c>
      <c r="D497" s="13">
        <v>1503</v>
      </c>
      <c r="E497" s="14">
        <f>VLOOKUP(C497,价格表!$B$2:$C$5,2,0)</f>
        <v>2800</v>
      </c>
      <c r="F497" s="14">
        <f>D497*E497*(1-HLOOKUP(C497,折扣表!$B$2:$E$6,IF(D497&lt;1000,2,IF(D497&lt;1500,3,IF(D497&lt;2000,4,5)))))</f>
        <v>4082148</v>
      </c>
    </row>
    <row r="498" spans="1:6" x14ac:dyDescent="0.15">
      <c r="A498" s="11" t="s">
        <v>514</v>
      </c>
      <c r="B498" s="12">
        <v>41115</v>
      </c>
      <c r="C498" s="13" t="s">
        <v>18</v>
      </c>
      <c r="D498" s="13">
        <v>1258</v>
      </c>
      <c r="E498" s="14">
        <f>VLOOKUP(C498,价格表!$B$2:$C$5,2,0)</f>
        <v>2100</v>
      </c>
      <c r="F498" s="14">
        <f>D498*E498*(1-HLOOKUP(C498,折扣表!$B$2:$E$6,IF(D498&lt;1000,2,IF(D498&lt;1500,3,IF(D498&lt;2000,4,5)))))</f>
        <v>2562546</v>
      </c>
    </row>
    <row r="499" spans="1:6" x14ac:dyDescent="0.15">
      <c r="A499" s="11" t="s">
        <v>515</v>
      </c>
      <c r="B499" s="12">
        <v>41116</v>
      </c>
      <c r="C499" s="13" t="s">
        <v>16</v>
      </c>
      <c r="D499" s="13">
        <v>1439</v>
      </c>
      <c r="E499" s="14">
        <f>VLOOKUP(C499,价格表!$B$2:$C$5,2,0)</f>
        <v>3200</v>
      </c>
      <c r="F499" s="14">
        <f>D499*E499*(1-HLOOKUP(C499,折扣表!$B$2:$E$6,IF(D499&lt;1000,2,IF(D499&lt;1500,3,IF(D499&lt;2000,4,5)))))</f>
        <v>4558752</v>
      </c>
    </row>
    <row r="500" spans="1:6" x14ac:dyDescent="0.15">
      <c r="A500" s="11" t="s">
        <v>516</v>
      </c>
      <c r="B500" s="12">
        <v>41116</v>
      </c>
      <c r="C500" s="13" t="s">
        <v>18</v>
      </c>
      <c r="D500" s="13">
        <v>1250</v>
      </c>
      <c r="E500" s="14">
        <f>VLOOKUP(C500,价格表!$B$2:$C$5,2,0)</f>
        <v>2100</v>
      </c>
      <c r="F500" s="14">
        <f>D500*E500*(1-HLOOKUP(C500,折扣表!$B$2:$E$6,IF(D500&lt;1000,2,IF(D500&lt;1500,3,IF(D500&lt;2000,4,5)))))</f>
        <v>2546250</v>
      </c>
    </row>
    <row r="501" spans="1:6" x14ac:dyDescent="0.15">
      <c r="A501" s="11" t="s">
        <v>517</v>
      </c>
      <c r="B501" s="12">
        <v>41117</v>
      </c>
      <c r="C501" s="13" t="s">
        <v>16</v>
      </c>
      <c r="D501" s="13">
        <v>1388</v>
      </c>
      <c r="E501" s="14">
        <f>VLOOKUP(C501,价格表!$B$2:$C$5,2,0)</f>
        <v>3200</v>
      </c>
      <c r="F501" s="14">
        <f>D501*E501*(1-HLOOKUP(C501,折扣表!$B$2:$E$6,IF(D501&lt;1000,2,IF(D501&lt;1500,3,IF(D501&lt;2000,4,5)))))</f>
        <v>4397184</v>
      </c>
    </row>
    <row r="502" spans="1:6" x14ac:dyDescent="0.15">
      <c r="A502" s="11" t="s">
        <v>518</v>
      </c>
      <c r="B502" s="12">
        <v>41117</v>
      </c>
      <c r="C502" s="13" t="s">
        <v>17</v>
      </c>
      <c r="D502" s="13">
        <v>1475</v>
      </c>
      <c r="E502" s="14">
        <f>VLOOKUP(C502,价格表!$B$2:$C$5,2,0)</f>
        <v>2800</v>
      </c>
      <c r="F502" s="14">
        <f>D502*E502*(1-HLOOKUP(C502,折扣表!$B$2:$E$6,IF(D502&lt;1000,2,IF(D502&lt;1500,3,IF(D502&lt;2000,4,5)))))</f>
        <v>4047400</v>
      </c>
    </row>
    <row r="503" spans="1:6" x14ac:dyDescent="0.15">
      <c r="A503" s="11" t="s">
        <v>519</v>
      </c>
      <c r="B503" s="12">
        <v>41118</v>
      </c>
      <c r="C503" s="13" t="s">
        <v>17</v>
      </c>
      <c r="D503" s="13">
        <v>1487</v>
      </c>
      <c r="E503" s="14">
        <f>VLOOKUP(C503,价格表!$B$2:$C$5,2,0)</f>
        <v>2800</v>
      </c>
      <c r="F503" s="14">
        <f>D503*E503*(1-HLOOKUP(C503,折扣表!$B$2:$E$6,IF(D503&lt;1000,2,IF(D503&lt;1500,3,IF(D503&lt;2000,4,5)))))</f>
        <v>4080328</v>
      </c>
    </row>
    <row r="504" spans="1:6" x14ac:dyDescent="0.15">
      <c r="A504" s="11" t="s">
        <v>520</v>
      </c>
      <c r="B504" s="12">
        <v>41119</v>
      </c>
      <c r="C504" s="13" t="s">
        <v>16</v>
      </c>
      <c r="D504" s="13">
        <v>1300</v>
      </c>
      <c r="E504" s="14">
        <f>VLOOKUP(C504,价格表!$B$2:$C$5,2,0)</f>
        <v>3200</v>
      </c>
      <c r="F504" s="14">
        <f>D504*E504*(1-HLOOKUP(C504,折扣表!$B$2:$E$6,IF(D504&lt;1000,2,IF(D504&lt;1500,3,IF(D504&lt;2000,4,5)))))</f>
        <v>4118400</v>
      </c>
    </row>
    <row r="505" spans="1:6" x14ac:dyDescent="0.15">
      <c r="A505" s="11" t="s">
        <v>521</v>
      </c>
      <c r="B505" s="12">
        <v>41119</v>
      </c>
      <c r="C505" s="13" t="s">
        <v>17</v>
      </c>
      <c r="D505" s="13">
        <v>1508</v>
      </c>
      <c r="E505" s="14">
        <f>VLOOKUP(C505,价格表!$B$2:$C$5,2,0)</f>
        <v>2800</v>
      </c>
      <c r="F505" s="14">
        <f>D505*E505*(1-HLOOKUP(C505,折扣表!$B$2:$E$6,IF(D505&lt;1000,2,IF(D505&lt;1500,3,IF(D505&lt;2000,4,5)))))</f>
        <v>4095728</v>
      </c>
    </row>
    <row r="506" spans="1:6" x14ac:dyDescent="0.15">
      <c r="A506" s="11" t="s">
        <v>522</v>
      </c>
      <c r="B506" s="12">
        <v>41119</v>
      </c>
      <c r="C506" s="13" t="s">
        <v>18</v>
      </c>
      <c r="D506" s="13">
        <v>1260</v>
      </c>
      <c r="E506" s="14">
        <f>VLOOKUP(C506,价格表!$B$2:$C$5,2,0)</f>
        <v>2100</v>
      </c>
      <c r="F506" s="14">
        <f>D506*E506*(1-HLOOKUP(C506,折扣表!$B$2:$E$6,IF(D506&lt;1000,2,IF(D506&lt;1500,3,IF(D506&lt;2000,4,5)))))</f>
        <v>2566620</v>
      </c>
    </row>
    <row r="507" spans="1:6" x14ac:dyDescent="0.15">
      <c r="A507" s="11" t="s">
        <v>523</v>
      </c>
      <c r="B507" s="12">
        <v>41120</v>
      </c>
      <c r="C507" s="13" t="s">
        <v>16</v>
      </c>
      <c r="D507" s="13">
        <v>1591</v>
      </c>
      <c r="E507" s="14">
        <f>VLOOKUP(C507,价格表!$B$2:$C$5,2,0)</f>
        <v>3200</v>
      </c>
      <c r="F507" s="14">
        <f>D507*E507*(1-HLOOKUP(C507,折扣表!$B$2:$E$6,IF(D507&lt;1000,2,IF(D507&lt;1500,3,IF(D507&lt;2000,4,5)))))</f>
        <v>4989376</v>
      </c>
    </row>
    <row r="508" spans="1:6" x14ac:dyDescent="0.15">
      <c r="A508" s="11" t="s">
        <v>524</v>
      </c>
      <c r="B508" s="12">
        <v>41120</v>
      </c>
      <c r="C508" s="13" t="s">
        <v>17</v>
      </c>
      <c r="D508" s="13">
        <v>1401</v>
      </c>
      <c r="E508" s="14">
        <f>VLOOKUP(C508,价格表!$B$2:$C$5,2,0)</f>
        <v>2800</v>
      </c>
      <c r="F508" s="14">
        <f>D508*E508*(1-HLOOKUP(C508,折扣表!$B$2:$E$6,IF(D508&lt;1000,2,IF(D508&lt;1500,3,IF(D508&lt;2000,4,5)))))</f>
        <v>3844344</v>
      </c>
    </row>
    <row r="509" spans="1:6" x14ac:dyDescent="0.15">
      <c r="A509" s="11" t="s">
        <v>525</v>
      </c>
      <c r="B509" s="12">
        <v>41121</v>
      </c>
      <c r="C509" s="13" t="s">
        <v>17</v>
      </c>
      <c r="D509" s="13">
        <v>1553</v>
      </c>
      <c r="E509" s="14">
        <f>VLOOKUP(C509,价格表!$B$2:$C$5,2,0)</f>
        <v>2800</v>
      </c>
      <c r="F509" s="14">
        <f>D509*E509*(1-HLOOKUP(C509,折扣表!$B$2:$E$6,IF(D509&lt;1000,2,IF(D509&lt;1500,3,IF(D509&lt;2000,4,5)))))</f>
        <v>4217948</v>
      </c>
    </row>
    <row r="510" spans="1:6" x14ac:dyDescent="0.15">
      <c r="A510" s="11" t="s">
        <v>526</v>
      </c>
      <c r="B510" s="12">
        <v>41121</v>
      </c>
      <c r="C510" s="13" t="s">
        <v>18</v>
      </c>
      <c r="D510" s="13">
        <v>1217</v>
      </c>
      <c r="E510" s="14">
        <f>VLOOKUP(C510,价格表!$B$2:$C$5,2,0)</f>
        <v>2100</v>
      </c>
      <c r="F510" s="14">
        <f>D510*E510*(1-HLOOKUP(C510,折扣表!$B$2:$E$6,IF(D510&lt;1000,2,IF(D510&lt;1500,3,IF(D510&lt;2000,4,5)))))</f>
        <v>2479029</v>
      </c>
    </row>
    <row r="511" spans="1:6" x14ac:dyDescent="0.15">
      <c r="A511" s="11" t="s">
        <v>527</v>
      </c>
      <c r="B511" s="12">
        <v>41122</v>
      </c>
      <c r="C511" s="13" t="s">
        <v>16</v>
      </c>
      <c r="D511" s="13">
        <v>1322</v>
      </c>
      <c r="E511" s="14">
        <f>VLOOKUP(C511,价格表!$B$2:$C$5,2,0)</f>
        <v>3200</v>
      </c>
      <c r="F511" s="14">
        <f>D511*E511*(1-HLOOKUP(C511,折扣表!$B$2:$E$6,IF(D511&lt;1000,2,IF(D511&lt;1500,3,IF(D511&lt;2000,4,5)))))</f>
        <v>4188096</v>
      </c>
    </row>
    <row r="512" spans="1:6" x14ac:dyDescent="0.15">
      <c r="A512" s="11" t="s">
        <v>528</v>
      </c>
      <c r="B512" s="12">
        <v>41122</v>
      </c>
      <c r="C512" s="13" t="s">
        <v>17</v>
      </c>
      <c r="D512" s="13">
        <v>1561</v>
      </c>
      <c r="E512" s="14">
        <f>VLOOKUP(C512,价格表!$B$2:$C$5,2,0)</f>
        <v>2800</v>
      </c>
      <c r="F512" s="14">
        <f>D512*E512*(1-HLOOKUP(C512,折扣表!$B$2:$E$6,IF(D512&lt;1000,2,IF(D512&lt;1500,3,IF(D512&lt;2000,4,5)))))</f>
        <v>4239676</v>
      </c>
    </row>
    <row r="513" spans="1:6" x14ac:dyDescent="0.15">
      <c r="A513" s="11" t="s">
        <v>529</v>
      </c>
      <c r="B513" s="12">
        <v>41123</v>
      </c>
      <c r="C513" s="13" t="s">
        <v>16</v>
      </c>
      <c r="D513" s="13">
        <v>1244</v>
      </c>
      <c r="E513" s="14">
        <f>VLOOKUP(C513,价格表!$B$2:$C$5,2,0)</f>
        <v>3200</v>
      </c>
      <c r="F513" s="14">
        <f>D513*E513*(1-HLOOKUP(C513,折扣表!$B$2:$E$6,IF(D513&lt;1000,2,IF(D513&lt;1500,3,IF(D513&lt;2000,4,5)))))</f>
        <v>3940992</v>
      </c>
    </row>
    <row r="514" spans="1:6" x14ac:dyDescent="0.15">
      <c r="A514" s="11" t="s">
        <v>530</v>
      </c>
      <c r="B514" s="12">
        <v>41123</v>
      </c>
      <c r="C514" s="13" t="s">
        <v>17</v>
      </c>
      <c r="D514" s="13">
        <v>1695</v>
      </c>
      <c r="E514" s="14">
        <f>VLOOKUP(C514,价格表!$B$2:$C$5,2,0)</f>
        <v>2800</v>
      </c>
      <c r="F514" s="14">
        <f>D514*E514*(1-HLOOKUP(C514,折扣表!$B$2:$E$6,IF(D514&lt;1000,2,IF(D514&lt;1500,3,IF(D514&lt;2000,4,5)))))</f>
        <v>4603620</v>
      </c>
    </row>
    <row r="515" spans="1:6" x14ac:dyDescent="0.15">
      <c r="A515" s="11" t="s">
        <v>531</v>
      </c>
      <c r="B515" s="12">
        <v>41123</v>
      </c>
      <c r="C515" s="13" t="s">
        <v>18</v>
      </c>
      <c r="D515" s="13">
        <v>1177</v>
      </c>
      <c r="E515" s="14">
        <f>VLOOKUP(C515,价格表!$B$2:$C$5,2,0)</f>
        <v>2100</v>
      </c>
      <c r="F515" s="14">
        <f>D515*E515*(1-HLOOKUP(C515,折扣表!$B$2:$E$6,IF(D515&lt;1000,2,IF(D515&lt;1500,3,IF(D515&lt;2000,4,5)))))</f>
        <v>2397549</v>
      </c>
    </row>
    <row r="516" spans="1:6" x14ac:dyDescent="0.15">
      <c r="A516" s="11" t="s">
        <v>532</v>
      </c>
      <c r="B516" s="12">
        <v>41124</v>
      </c>
      <c r="C516" s="13" t="s">
        <v>16</v>
      </c>
      <c r="D516" s="13">
        <v>1217</v>
      </c>
      <c r="E516" s="14">
        <f>VLOOKUP(C516,价格表!$B$2:$C$5,2,0)</f>
        <v>3200</v>
      </c>
      <c r="F516" s="14">
        <f>D516*E516*(1-HLOOKUP(C516,折扣表!$B$2:$E$6,IF(D516&lt;1000,2,IF(D516&lt;1500,3,IF(D516&lt;2000,4,5)))))</f>
        <v>3855456</v>
      </c>
    </row>
    <row r="517" spans="1:6" x14ac:dyDescent="0.15">
      <c r="A517" s="11" t="s">
        <v>533</v>
      </c>
      <c r="B517" s="12">
        <v>41124</v>
      </c>
      <c r="C517" s="13" t="s">
        <v>17</v>
      </c>
      <c r="D517" s="13">
        <v>1520</v>
      </c>
      <c r="E517" s="14">
        <f>VLOOKUP(C517,价格表!$B$2:$C$5,2,0)</f>
        <v>2800</v>
      </c>
      <c r="F517" s="14">
        <f>D517*E517*(1-HLOOKUP(C517,折扣表!$B$2:$E$6,IF(D517&lt;1000,2,IF(D517&lt;1500,3,IF(D517&lt;2000,4,5)))))</f>
        <v>4128320</v>
      </c>
    </row>
    <row r="518" spans="1:6" x14ac:dyDescent="0.15">
      <c r="A518" s="11" t="s">
        <v>534</v>
      </c>
      <c r="B518" s="12">
        <v>41125</v>
      </c>
      <c r="C518" s="13" t="s">
        <v>17</v>
      </c>
      <c r="D518" s="13">
        <v>1579</v>
      </c>
      <c r="E518" s="14">
        <f>VLOOKUP(C518,价格表!$B$2:$C$5,2,0)</f>
        <v>2800</v>
      </c>
      <c r="F518" s="14">
        <f>D518*E518*(1-HLOOKUP(C518,折扣表!$B$2:$E$6,IF(D518&lt;1000,2,IF(D518&lt;1500,3,IF(D518&lt;2000,4,5)))))</f>
        <v>4288564</v>
      </c>
    </row>
    <row r="519" spans="1:6" x14ac:dyDescent="0.15">
      <c r="A519" s="11" t="s">
        <v>535</v>
      </c>
      <c r="B519" s="12">
        <v>41125</v>
      </c>
      <c r="C519" s="13" t="s">
        <v>18</v>
      </c>
      <c r="D519" s="13">
        <v>1215</v>
      </c>
      <c r="E519" s="14">
        <f>VLOOKUP(C519,价格表!$B$2:$C$5,2,0)</f>
        <v>2100</v>
      </c>
      <c r="F519" s="14">
        <f>D519*E519*(1-HLOOKUP(C519,折扣表!$B$2:$E$6,IF(D519&lt;1000,2,IF(D519&lt;1500,3,IF(D519&lt;2000,4,5)))))</f>
        <v>2474955</v>
      </c>
    </row>
    <row r="520" spans="1:6" x14ac:dyDescent="0.15">
      <c r="A520" s="11" t="s">
        <v>536</v>
      </c>
      <c r="B520" s="12">
        <v>41126</v>
      </c>
      <c r="C520" s="13" t="s">
        <v>17</v>
      </c>
      <c r="D520" s="13">
        <v>1638</v>
      </c>
      <c r="E520" s="14">
        <f>VLOOKUP(C520,价格表!$B$2:$C$5,2,0)</f>
        <v>2800</v>
      </c>
      <c r="F520" s="14">
        <f>D520*E520*(1-HLOOKUP(C520,折扣表!$B$2:$E$6,IF(D520&lt;1000,2,IF(D520&lt;1500,3,IF(D520&lt;2000,4,5)))))</f>
        <v>4448808</v>
      </c>
    </row>
    <row r="521" spans="1:6" x14ac:dyDescent="0.15">
      <c r="A521" s="11" t="s">
        <v>537</v>
      </c>
      <c r="B521" s="12">
        <v>41127</v>
      </c>
      <c r="C521" s="13" t="s">
        <v>16</v>
      </c>
      <c r="D521" s="13">
        <v>1513</v>
      </c>
      <c r="E521" s="14">
        <f>VLOOKUP(C521,价格表!$B$2:$C$5,2,0)</f>
        <v>3200</v>
      </c>
      <c r="F521" s="14">
        <f>D521*E521*(1-HLOOKUP(C521,折扣表!$B$2:$E$6,IF(D521&lt;1000,2,IF(D521&lt;1500,3,IF(D521&lt;2000,4,5)))))</f>
        <v>4744768</v>
      </c>
    </row>
    <row r="522" spans="1:6" x14ac:dyDescent="0.15">
      <c r="A522" s="11" t="s">
        <v>538</v>
      </c>
      <c r="B522" s="12">
        <v>41127</v>
      </c>
      <c r="C522" s="13" t="s">
        <v>18</v>
      </c>
      <c r="D522" s="13">
        <v>1167</v>
      </c>
      <c r="E522" s="14">
        <f>VLOOKUP(C522,价格表!$B$2:$C$5,2,0)</f>
        <v>2100</v>
      </c>
      <c r="F522" s="14">
        <f>D522*E522*(1-HLOOKUP(C522,折扣表!$B$2:$E$6,IF(D522&lt;1000,2,IF(D522&lt;1500,3,IF(D522&lt;2000,4,5)))))</f>
        <v>2377179</v>
      </c>
    </row>
    <row r="523" spans="1:6" x14ac:dyDescent="0.15">
      <c r="A523" s="11" t="s">
        <v>539</v>
      </c>
      <c r="B523" s="12">
        <v>41128</v>
      </c>
      <c r="C523" s="13" t="s">
        <v>16</v>
      </c>
      <c r="D523" s="13">
        <v>1278</v>
      </c>
      <c r="E523" s="14">
        <f>VLOOKUP(C523,价格表!$B$2:$C$5,2,0)</f>
        <v>3200</v>
      </c>
      <c r="F523" s="14">
        <f>D523*E523*(1-HLOOKUP(C523,折扣表!$B$2:$E$6,IF(D523&lt;1000,2,IF(D523&lt;1500,3,IF(D523&lt;2000,4,5)))))</f>
        <v>4048704</v>
      </c>
    </row>
    <row r="524" spans="1:6" x14ac:dyDescent="0.15">
      <c r="A524" s="11" t="s">
        <v>540</v>
      </c>
      <c r="B524" s="12">
        <v>41128</v>
      </c>
      <c r="C524" s="13" t="s">
        <v>17</v>
      </c>
      <c r="D524" s="13">
        <v>1564</v>
      </c>
      <c r="E524" s="14">
        <f>VLOOKUP(C524,价格表!$B$2:$C$5,2,0)</f>
        <v>2800</v>
      </c>
      <c r="F524" s="14">
        <f>D524*E524*(1-HLOOKUP(C524,折扣表!$B$2:$E$6,IF(D524&lt;1000,2,IF(D524&lt;1500,3,IF(D524&lt;2000,4,5)))))</f>
        <v>4247824</v>
      </c>
    </row>
    <row r="525" spans="1:6" x14ac:dyDescent="0.15">
      <c r="A525" s="11" t="s">
        <v>541</v>
      </c>
      <c r="B525" s="12">
        <v>41128</v>
      </c>
      <c r="C525" s="13" t="s">
        <v>18</v>
      </c>
      <c r="D525" s="13">
        <v>1228</v>
      </c>
      <c r="E525" s="14">
        <f>VLOOKUP(C525,价格表!$B$2:$C$5,2,0)</f>
        <v>2100</v>
      </c>
      <c r="F525" s="14">
        <f>D525*E525*(1-HLOOKUP(C525,折扣表!$B$2:$E$6,IF(D525&lt;1000,2,IF(D525&lt;1500,3,IF(D525&lt;2000,4,5)))))</f>
        <v>2501436</v>
      </c>
    </row>
    <row r="526" spans="1:6" x14ac:dyDescent="0.15">
      <c r="A526" s="11" t="s">
        <v>542</v>
      </c>
      <c r="B526" s="12">
        <v>41129</v>
      </c>
      <c r="C526" s="13" t="s">
        <v>16</v>
      </c>
      <c r="D526" s="13">
        <v>1394</v>
      </c>
      <c r="E526" s="14">
        <f>VLOOKUP(C526,价格表!$B$2:$C$5,2,0)</f>
        <v>3200</v>
      </c>
      <c r="F526" s="14">
        <f>D526*E526*(1-HLOOKUP(C526,折扣表!$B$2:$E$6,IF(D526&lt;1000,2,IF(D526&lt;1500,3,IF(D526&lt;2000,4,5)))))</f>
        <v>4416192</v>
      </c>
    </row>
    <row r="527" spans="1:6" x14ac:dyDescent="0.15">
      <c r="A527" s="11" t="s">
        <v>543</v>
      </c>
      <c r="B527" s="12">
        <v>41129</v>
      </c>
      <c r="C527" s="13" t="s">
        <v>17</v>
      </c>
      <c r="D527" s="13">
        <v>1501</v>
      </c>
      <c r="E527" s="14">
        <f>VLOOKUP(C527,价格表!$B$2:$C$5,2,0)</f>
        <v>2800</v>
      </c>
      <c r="F527" s="14">
        <f>D527*E527*(1-HLOOKUP(C527,折扣表!$B$2:$E$6,IF(D527&lt;1000,2,IF(D527&lt;1500,3,IF(D527&lt;2000,4,5)))))</f>
        <v>4076716</v>
      </c>
    </row>
    <row r="528" spans="1:6" x14ac:dyDescent="0.15">
      <c r="A528" s="11" t="s">
        <v>544</v>
      </c>
      <c r="B528" s="12">
        <v>41129</v>
      </c>
      <c r="C528" s="13" t="s">
        <v>18</v>
      </c>
      <c r="D528" s="13">
        <v>1210</v>
      </c>
      <c r="E528" s="14">
        <f>VLOOKUP(C528,价格表!$B$2:$C$5,2,0)</f>
        <v>2100</v>
      </c>
      <c r="F528" s="14">
        <f>D528*E528*(1-HLOOKUP(C528,折扣表!$B$2:$E$6,IF(D528&lt;1000,2,IF(D528&lt;1500,3,IF(D528&lt;2000,4,5)))))</f>
        <v>2464770</v>
      </c>
    </row>
    <row r="529" spans="1:6" x14ac:dyDescent="0.15">
      <c r="A529" s="11" t="s">
        <v>545</v>
      </c>
      <c r="B529" s="12">
        <v>41130</v>
      </c>
      <c r="C529" s="13" t="s">
        <v>16</v>
      </c>
      <c r="D529" s="13">
        <v>1424</v>
      </c>
      <c r="E529" s="14">
        <f>VLOOKUP(C529,价格表!$B$2:$C$5,2,0)</f>
        <v>3200</v>
      </c>
      <c r="F529" s="14">
        <f>D529*E529*(1-HLOOKUP(C529,折扣表!$B$2:$E$6,IF(D529&lt;1000,2,IF(D529&lt;1500,3,IF(D529&lt;2000,4,5)))))</f>
        <v>4511232</v>
      </c>
    </row>
    <row r="530" spans="1:6" x14ac:dyDescent="0.15">
      <c r="A530" s="11" t="s">
        <v>546</v>
      </c>
      <c r="B530" s="12">
        <v>41130</v>
      </c>
      <c r="C530" s="13" t="s">
        <v>17</v>
      </c>
      <c r="D530" s="13">
        <v>1522</v>
      </c>
      <c r="E530" s="14">
        <f>VLOOKUP(C530,价格表!$B$2:$C$5,2,0)</f>
        <v>2800</v>
      </c>
      <c r="F530" s="14">
        <f>D530*E530*(1-HLOOKUP(C530,折扣表!$B$2:$E$6,IF(D530&lt;1000,2,IF(D530&lt;1500,3,IF(D530&lt;2000,4,5)))))</f>
        <v>4133752</v>
      </c>
    </row>
    <row r="531" spans="1:6" x14ac:dyDescent="0.15">
      <c r="A531" s="11" t="s">
        <v>547</v>
      </c>
      <c r="B531" s="12">
        <v>41130</v>
      </c>
      <c r="C531" s="13" t="s">
        <v>18</v>
      </c>
      <c r="D531" s="13">
        <v>1192</v>
      </c>
      <c r="E531" s="14">
        <f>VLOOKUP(C531,价格表!$B$2:$C$5,2,0)</f>
        <v>2100</v>
      </c>
      <c r="F531" s="14">
        <f>D531*E531*(1-HLOOKUP(C531,折扣表!$B$2:$E$6,IF(D531&lt;1000,2,IF(D531&lt;1500,3,IF(D531&lt;2000,4,5)))))</f>
        <v>2428104</v>
      </c>
    </row>
    <row r="532" spans="1:6" x14ac:dyDescent="0.15">
      <c r="A532" s="11" t="s">
        <v>548</v>
      </c>
      <c r="B532" s="12">
        <v>41131</v>
      </c>
      <c r="C532" s="13" t="s">
        <v>17</v>
      </c>
      <c r="D532" s="13">
        <v>1545</v>
      </c>
      <c r="E532" s="14">
        <f>VLOOKUP(C532,价格表!$B$2:$C$5,2,0)</f>
        <v>2800</v>
      </c>
      <c r="F532" s="14">
        <f>D532*E532*(1-HLOOKUP(C532,折扣表!$B$2:$E$6,IF(D532&lt;1000,2,IF(D532&lt;1500,3,IF(D532&lt;2000,4,5)))))</f>
        <v>4196220</v>
      </c>
    </row>
    <row r="533" spans="1:6" x14ac:dyDescent="0.15">
      <c r="A533" s="11" t="s">
        <v>549</v>
      </c>
      <c r="B533" s="12">
        <v>41131</v>
      </c>
      <c r="C533" s="13" t="s">
        <v>18</v>
      </c>
      <c r="D533" s="13">
        <v>1153</v>
      </c>
      <c r="E533" s="14">
        <f>VLOOKUP(C533,价格表!$B$2:$C$5,2,0)</f>
        <v>2100</v>
      </c>
      <c r="F533" s="14">
        <f>D533*E533*(1-HLOOKUP(C533,折扣表!$B$2:$E$6,IF(D533&lt;1000,2,IF(D533&lt;1500,3,IF(D533&lt;2000,4,5)))))</f>
        <v>2348661</v>
      </c>
    </row>
    <row r="534" spans="1:6" x14ac:dyDescent="0.15">
      <c r="A534" s="11" t="s">
        <v>550</v>
      </c>
      <c r="B534" s="12">
        <v>41132</v>
      </c>
      <c r="C534" s="13" t="s">
        <v>16</v>
      </c>
      <c r="D534" s="13">
        <v>1453</v>
      </c>
      <c r="E534" s="14">
        <f>VLOOKUP(C534,价格表!$B$2:$C$5,2,0)</f>
        <v>3200</v>
      </c>
      <c r="F534" s="14">
        <f>D534*E534*(1-HLOOKUP(C534,折扣表!$B$2:$E$6,IF(D534&lt;1000,2,IF(D534&lt;1500,3,IF(D534&lt;2000,4,5)))))</f>
        <v>4603104</v>
      </c>
    </row>
    <row r="535" spans="1:6" x14ac:dyDescent="0.15">
      <c r="A535" s="11" t="s">
        <v>551</v>
      </c>
      <c r="B535" s="12">
        <v>41132</v>
      </c>
      <c r="C535" s="13" t="s">
        <v>17</v>
      </c>
      <c r="D535" s="13">
        <v>1596</v>
      </c>
      <c r="E535" s="14">
        <f>VLOOKUP(C535,价格表!$B$2:$C$5,2,0)</f>
        <v>2800</v>
      </c>
      <c r="F535" s="14">
        <f>D535*E535*(1-HLOOKUP(C535,折扣表!$B$2:$E$6,IF(D535&lt;1000,2,IF(D535&lt;1500,3,IF(D535&lt;2000,4,5)))))</f>
        <v>4334736</v>
      </c>
    </row>
    <row r="536" spans="1:6" x14ac:dyDescent="0.15">
      <c r="A536" s="11" t="s">
        <v>552</v>
      </c>
      <c r="B536" s="12">
        <v>41132</v>
      </c>
      <c r="C536" s="13" t="s">
        <v>18</v>
      </c>
      <c r="D536" s="13">
        <v>1224</v>
      </c>
      <c r="E536" s="14">
        <f>VLOOKUP(C536,价格表!$B$2:$C$5,2,0)</f>
        <v>2100</v>
      </c>
      <c r="F536" s="14">
        <f>D536*E536*(1-HLOOKUP(C536,折扣表!$B$2:$E$6,IF(D536&lt;1000,2,IF(D536&lt;1500,3,IF(D536&lt;2000,4,5)))))</f>
        <v>2493288</v>
      </c>
    </row>
    <row r="537" spans="1:6" x14ac:dyDescent="0.15">
      <c r="A537" s="11" t="s">
        <v>553</v>
      </c>
      <c r="B537" s="12">
        <v>41133</v>
      </c>
      <c r="C537" s="13" t="s">
        <v>16</v>
      </c>
      <c r="D537" s="13">
        <v>1409</v>
      </c>
      <c r="E537" s="14">
        <f>VLOOKUP(C537,价格表!$B$2:$C$5,2,0)</f>
        <v>3200</v>
      </c>
      <c r="F537" s="14">
        <f>D537*E537*(1-HLOOKUP(C537,折扣表!$B$2:$E$6,IF(D537&lt;1000,2,IF(D537&lt;1500,3,IF(D537&lt;2000,4,5)))))</f>
        <v>4463712</v>
      </c>
    </row>
    <row r="538" spans="1:6" x14ac:dyDescent="0.15">
      <c r="A538" s="11" t="s">
        <v>554</v>
      </c>
      <c r="B538" s="12">
        <v>41133</v>
      </c>
      <c r="C538" s="13" t="s">
        <v>17</v>
      </c>
      <c r="D538" s="13">
        <v>1504</v>
      </c>
      <c r="E538" s="14">
        <f>VLOOKUP(C538,价格表!$B$2:$C$5,2,0)</f>
        <v>2800</v>
      </c>
      <c r="F538" s="14">
        <f>D538*E538*(1-HLOOKUP(C538,折扣表!$B$2:$E$6,IF(D538&lt;1000,2,IF(D538&lt;1500,3,IF(D538&lt;2000,4,5)))))</f>
        <v>4084864</v>
      </c>
    </row>
    <row r="539" spans="1:6" x14ac:dyDescent="0.15">
      <c r="A539" s="11" t="s">
        <v>555</v>
      </c>
      <c r="B539" s="12">
        <v>41134</v>
      </c>
      <c r="C539" s="13" t="s">
        <v>18</v>
      </c>
      <c r="D539" s="13">
        <v>1201</v>
      </c>
      <c r="E539" s="14">
        <f>VLOOKUP(C539,价格表!$B$2:$C$5,2,0)</f>
        <v>2100</v>
      </c>
      <c r="F539" s="14">
        <f>D539*E539*(1-HLOOKUP(C539,折扣表!$B$2:$E$6,IF(D539&lt;1000,2,IF(D539&lt;1500,3,IF(D539&lt;2000,4,5)))))</f>
        <v>2446437</v>
      </c>
    </row>
    <row r="540" spans="1:6" x14ac:dyDescent="0.15">
      <c r="A540" s="11" t="s">
        <v>556</v>
      </c>
      <c r="B540" s="12">
        <v>41135</v>
      </c>
      <c r="C540" s="13" t="s">
        <v>16</v>
      </c>
      <c r="D540" s="13">
        <v>1589</v>
      </c>
      <c r="E540" s="14">
        <f>VLOOKUP(C540,价格表!$B$2:$C$5,2,0)</f>
        <v>3200</v>
      </c>
      <c r="F540" s="14">
        <f>D540*E540*(1-HLOOKUP(C540,折扣表!$B$2:$E$6,IF(D540&lt;1000,2,IF(D540&lt;1500,3,IF(D540&lt;2000,4,5)))))</f>
        <v>4983104</v>
      </c>
    </row>
    <row r="541" spans="1:6" x14ac:dyDescent="0.15">
      <c r="A541" s="11" t="s">
        <v>557</v>
      </c>
      <c r="B541" s="12">
        <v>41135</v>
      </c>
      <c r="C541" s="13" t="s">
        <v>17</v>
      </c>
      <c r="D541" s="13">
        <v>1520</v>
      </c>
      <c r="E541" s="14">
        <f>VLOOKUP(C541,价格表!$B$2:$C$5,2,0)</f>
        <v>2800</v>
      </c>
      <c r="F541" s="14">
        <f>D541*E541*(1-HLOOKUP(C541,折扣表!$B$2:$E$6,IF(D541&lt;1000,2,IF(D541&lt;1500,3,IF(D541&lt;2000,4,5)))))</f>
        <v>4128320</v>
      </c>
    </row>
    <row r="542" spans="1:6" x14ac:dyDescent="0.15">
      <c r="A542" s="11" t="s">
        <v>558</v>
      </c>
      <c r="B542" s="12">
        <v>41136</v>
      </c>
      <c r="C542" s="13" t="s">
        <v>16</v>
      </c>
      <c r="D542" s="13">
        <v>1365</v>
      </c>
      <c r="E542" s="14">
        <f>VLOOKUP(C542,价格表!$B$2:$C$5,2,0)</f>
        <v>3200</v>
      </c>
      <c r="F542" s="14">
        <f>D542*E542*(1-HLOOKUP(C542,折扣表!$B$2:$E$6,IF(D542&lt;1000,2,IF(D542&lt;1500,3,IF(D542&lt;2000,4,5)))))</f>
        <v>4324320</v>
      </c>
    </row>
    <row r="543" spans="1:6" x14ac:dyDescent="0.15">
      <c r="A543" s="11" t="s">
        <v>559</v>
      </c>
      <c r="B543" s="12">
        <v>41136</v>
      </c>
      <c r="C543" s="13" t="s">
        <v>17</v>
      </c>
      <c r="D543" s="13">
        <v>1538</v>
      </c>
      <c r="E543" s="14">
        <f>VLOOKUP(C543,价格表!$B$2:$C$5,2,0)</f>
        <v>2800</v>
      </c>
      <c r="F543" s="14">
        <f>D543*E543*(1-HLOOKUP(C543,折扣表!$B$2:$E$6,IF(D543&lt;1000,2,IF(D543&lt;1500,3,IF(D543&lt;2000,4,5)))))</f>
        <v>4177208</v>
      </c>
    </row>
    <row r="544" spans="1:6" x14ac:dyDescent="0.15">
      <c r="A544" s="11" t="s">
        <v>560</v>
      </c>
      <c r="B544" s="12">
        <v>41136</v>
      </c>
      <c r="C544" s="13" t="s">
        <v>18</v>
      </c>
      <c r="D544" s="13">
        <v>1202</v>
      </c>
      <c r="E544" s="14">
        <f>VLOOKUP(C544,价格表!$B$2:$C$5,2,0)</f>
        <v>2100</v>
      </c>
      <c r="F544" s="14">
        <f>D544*E544*(1-HLOOKUP(C544,折扣表!$B$2:$E$6,IF(D544&lt;1000,2,IF(D544&lt;1500,3,IF(D544&lt;2000,4,5)))))</f>
        <v>2448474</v>
      </c>
    </row>
    <row r="545" spans="1:6" x14ac:dyDescent="0.15">
      <c r="A545" s="11" t="s">
        <v>561</v>
      </c>
      <c r="B545" s="12">
        <v>41137</v>
      </c>
      <c r="C545" s="13" t="s">
        <v>16</v>
      </c>
      <c r="D545" s="13">
        <v>1275</v>
      </c>
      <c r="E545" s="14">
        <f>VLOOKUP(C545,价格表!$B$2:$C$5,2,0)</f>
        <v>3200</v>
      </c>
      <c r="F545" s="14">
        <f>D545*E545*(1-HLOOKUP(C545,折扣表!$B$2:$E$6,IF(D545&lt;1000,2,IF(D545&lt;1500,3,IF(D545&lt;2000,4,5)))))</f>
        <v>4039200</v>
      </c>
    </row>
    <row r="546" spans="1:6" x14ac:dyDescent="0.15">
      <c r="A546" s="11" t="s">
        <v>562</v>
      </c>
      <c r="B546" s="12">
        <v>41137</v>
      </c>
      <c r="C546" s="13" t="s">
        <v>17</v>
      </c>
      <c r="D546" s="13">
        <v>1591</v>
      </c>
      <c r="E546" s="14">
        <f>VLOOKUP(C546,价格表!$B$2:$C$5,2,0)</f>
        <v>2800</v>
      </c>
      <c r="F546" s="14">
        <f>D546*E546*(1-HLOOKUP(C546,折扣表!$B$2:$E$6,IF(D546&lt;1000,2,IF(D546&lt;1500,3,IF(D546&lt;2000,4,5)))))</f>
        <v>4321156</v>
      </c>
    </row>
    <row r="547" spans="1:6" x14ac:dyDescent="0.15">
      <c r="A547" s="11" t="s">
        <v>563</v>
      </c>
      <c r="B547" s="12">
        <v>41138</v>
      </c>
      <c r="C547" s="13" t="s">
        <v>16</v>
      </c>
      <c r="D547" s="13">
        <v>1338</v>
      </c>
      <c r="E547" s="14">
        <f>VLOOKUP(C547,价格表!$B$2:$C$5,2,0)</f>
        <v>3200</v>
      </c>
      <c r="F547" s="14">
        <f>D547*E547*(1-HLOOKUP(C547,折扣表!$B$2:$E$6,IF(D547&lt;1000,2,IF(D547&lt;1500,3,IF(D547&lt;2000,4,5)))))</f>
        <v>4238784</v>
      </c>
    </row>
    <row r="548" spans="1:6" x14ac:dyDescent="0.15">
      <c r="A548" s="11" t="s">
        <v>564</v>
      </c>
      <c r="B548" s="12">
        <v>41138</v>
      </c>
      <c r="C548" s="13" t="s">
        <v>17</v>
      </c>
      <c r="D548" s="13">
        <v>1560</v>
      </c>
      <c r="E548" s="14">
        <f>VLOOKUP(C548,价格表!$B$2:$C$5,2,0)</f>
        <v>2800</v>
      </c>
      <c r="F548" s="14">
        <f>D548*E548*(1-HLOOKUP(C548,折扣表!$B$2:$E$6,IF(D548&lt;1000,2,IF(D548&lt;1500,3,IF(D548&lt;2000,4,5)))))</f>
        <v>4236960</v>
      </c>
    </row>
    <row r="549" spans="1:6" x14ac:dyDescent="0.15">
      <c r="A549" s="11" t="s">
        <v>565</v>
      </c>
      <c r="B549" s="12">
        <v>41138</v>
      </c>
      <c r="C549" s="13" t="s">
        <v>18</v>
      </c>
      <c r="D549" s="13">
        <v>1165</v>
      </c>
      <c r="E549" s="14">
        <f>VLOOKUP(C549,价格表!$B$2:$C$5,2,0)</f>
        <v>2100</v>
      </c>
      <c r="F549" s="14">
        <f>D549*E549*(1-HLOOKUP(C549,折扣表!$B$2:$E$6,IF(D549&lt;1000,2,IF(D549&lt;1500,3,IF(D549&lt;2000,4,5)))))</f>
        <v>2373105</v>
      </c>
    </row>
    <row r="550" spans="1:6" x14ac:dyDescent="0.15">
      <c r="A550" s="11" t="s">
        <v>566</v>
      </c>
      <c r="B550" s="12">
        <v>41139</v>
      </c>
      <c r="C550" s="13" t="s">
        <v>16</v>
      </c>
      <c r="D550" s="13">
        <v>1217</v>
      </c>
      <c r="E550" s="14">
        <f>VLOOKUP(C550,价格表!$B$2:$C$5,2,0)</f>
        <v>3200</v>
      </c>
      <c r="F550" s="14">
        <f>D550*E550*(1-HLOOKUP(C550,折扣表!$B$2:$E$6,IF(D550&lt;1000,2,IF(D550&lt;1500,3,IF(D550&lt;2000,4,5)))))</f>
        <v>3855456</v>
      </c>
    </row>
    <row r="551" spans="1:6" x14ac:dyDescent="0.15">
      <c r="A551" s="11" t="s">
        <v>567</v>
      </c>
      <c r="B551" s="12">
        <v>41139</v>
      </c>
      <c r="C551" s="13" t="s">
        <v>17</v>
      </c>
      <c r="D551" s="13">
        <v>1676</v>
      </c>
      <c r="E551" s="14">
        <f>VLOOKUP(C551,价格表!$B$2:$C$5,2,0)</f>
        <v>2800</v>
      </c>
      <c r="F551" s="14">
        <f>D551*E551*(1-HLOOKUP(C551,折扣表!$B$2:$E$6,IF(D551&lt;1000,2,IF(D551&lt;1500,3,IF(D551&lt;2000,4,5)))))</f>
        <v>4552016</v>
      </c>
    </row>
    <row r="552" spans="1:6" x14ac:dyDescent="0.15">
      <c r="A552" s="11" t="s">
        <v>568</v>
      </c>
      <c r="B552" s="12">
        <v>41139</v>
      </c>
      <c r="C552" s="13" t="s">
        <v>18</v>
      </c>
      <c r="D552" s="13">
        <v>1205</v>
      </c>
      <c r="E552" s="14">
        <f>VLOOKUP(C552,价格表!$B$2:$C$5,2,0)</f>
        <v>2100</v>
      </c>
      <c r="F552" s="14">
        <f>D552*E552*(1-HLOOKUP(C552,折扣表!$B$2:$E$6,IF(D552&lt;1000,2,IF(D552&lt;1500,3,IF(D552&lt;2000,4,5)))))</f>
        <v>2454585</v>
      </c>
    </row>
    <row r="553" spans="1:6" x14ac:dyDescent="0.15">
      <c r="A553" s="11" t="s">
        <v>569</v>
      </c>
      <c r="B553" s="12">
        <v>41140</v>
      </c>
      <c r="C553" s="13" t="s">
        <v>16</v>
      </c>
      <c r="D553" s="13">
        <v>1402</v>
      </c>
      <c r="E553" s="14">
        <f>VLOOKUP(C553,价格表!$B$2:$C$5,2,0)</f>
        <v>3200</v>
      </c>
      <c r="F553" s="14">
        <f>D553*E553*(1-HLOOKUP(C553,折扣表!$B$2:$E$6,IF(D553&lt;1000,2,IF(D553&lt;1500,3,IF(D553&lt;2000,4,5)))))</f>
        <v>4441536</v>
      </c>
    </row>
    <row r="554" spans="1:6" x14ac:dyDescent="0.15">
      <c r="A554" s="11" t="s">
        <v>570</v>
      </c>
      <c r="B554" s="12">
        <v>41140</v>
      </c>
      <c r="C554" s="13" t="s">
        <v>17</v>
      </c>
      <c r="D554" s="13">
        <v>1648</v>
      </c>
      <c r="E554" s="14">
        <f>VLOOKUP(C554,价格表!$B$2:$C$5,2,0)</f>
        <v>2800</v>
      </c>
      <c r="F554" s="14">
        <f>D554*E554*(1-HLOOKUP(C554,折扣表!$B$2:$E$6,IF(D554&lt;1000,2,IF(D554&lt;1500,3,IF(D554&lt;2000,4,5)))))</f>
        <v>4475968</v>
      </c>
    </row>
    <row r="555" spans="1:6" x14ac:dyDescent="0.15">
      <c r="A555" s="11" t="s">
        <v>571</v>
      </c>
      <c r="B555" s="12">
        <v>41140</v>
      </c>
      <c r="C555" s="13" t="s">
        <v>18</v>
      </c>
      <c r="D555" s="13">
        <v>1245</v>
      </c>
      <c r="E555" s="14">
        <f>VLOOKUP(C555,价格表!$B$2:$C$5,2,0)</f>
        <v>2100</v>
      </c>
      <c r="F555" s="14">
        <f>D555*E555*(1-HLOOKUP(C555,折扣表!$B$2:$E$6,IF(D555&lt;1000,2,IF(D555&lt;1500,3,IF(D555&lt;2000,4,5)))))</f>
        <v>2536065</v>
      </c>
    </row>
    <row r="556" spans="1:6" x14ac:dyDescent="0.15">
      <c r="A556" s="11" t="s">
        <v>572</v>
      </c>
      <c r="B556" s="12">
        <v>41141</v>
      </c>
      <c r="C556" s="13" t="s">
        <v>16</v>
      </c>
      <c r="D556" s="13">
        <v>1500</v>
      </c>
      <c r="E556" s="14">
        <f>VLOOKUP(C556,价格表!$B$2:$C$5,2,0)</f>
        <v>3200</v>
      </c>
      <c r="F556" s="14">
        <f>D556*E556*(1-HLOOKUP(C556,折扣表!$B$2:$E$6,IF(D556&lt;1000,2,IF(D556&lt;1500,3,IF(D556&lt;2000,4,5)))))</f>
        <v>4704000</v>
      </c>
    </row>
    <row r="557" spans="1:6" x14ac:dyDescent="0.15">
      <c r="A557" s="11" t="s">
        <v>573</v>
      </c>
      <c r="B557" s="12">
        <v>41141</v>
      </c>
      <c r="C557" s="13" t="s">
        <v>17</v>
      </c>
      <c r="D557" s="13">
        <v>1535</v>
      </c>
      <c r="E557" s="14">
        <f>VLOOKUP(C557,价格表!$B$2:$C$5,2,0)</f>
        <v>2800</v>
      </c>
      <c r="F557" s="14">
        <f>D557*E557*(1-HLOOKUP(C557,折扣表!$B$2:$E$6,IF(D557&lt;1000,2,IF(D557&lt;1500,3,IF(D557&lt;2000,4,5)))))</f>
        <v>4169060</v>
      </c>
    </row>
    <row r="558" spans="1:6" x14ac:dyDescent="0.15">
      <c r="A558" s="11" t="s">
        <v>574</v>
      </c>
      <c r="B558" s="12">
        <v>41141</v>
      </c>
      <c r="C558" s="13" t="s">
        <v>18</v>
      </c>
      <c r="D558" s="13">
        <v>1188</v>
      </c>
      <c r="E558" s="14">
        <f>VLOOKUP(C558,价格表!$B$2:$C$5,2,0)</f>
        <v>2100</v>
      </c>
      <c r="F558" s="14">
        <f>D558*E558*(1-HLOOKUP(C558,折扣表!$B$2:$E$6,IF(D558&lt;1000,2,IF(D558&lt;1500,3,IF(D558&lt;2000,4,5)))))</f>
        <v>2419956</v>
      </c>
    </row>
    <row r="559" spans="1:6" x14ac:dyDescent="0.15">
      <c r="A559" s="11" t="s">
        <v>575</v>
      </c>
      <c r="B559" s="12">
        <v>41142</v>
      </c>
      <c r="C559" s="13" t="s">
        <v>16</v>
      </c>
      <c r="D559" s="13">
        <v>1510</v>
      </c>
      <c r="E559" s="14">
        <f>VLOOKUP(C559,价格表!$B$2:$C$5,2,0)</f>
        <v>3200</v>
      </c>
      <c r="F559" s="14">
        <f>D559*E559*(1-HLOOKUP(C559,折扣表!$B$2:$E$6,IF(D559&lt;1000,2,IF(D559&lt;1500,3,IF(D559&lt;2000,4,5)))))</f>
        <v>4735360</v>
      </c>
    </row>
    <row r="560" spans="1:6" x14ac:dyDescent="0.15">
      <c r="A560" s="11" t="s">
        <v>576</v>
      </c>
      <c r="B560" s="12">
        <v>41143</v>
      </c>
      <c r="C560" s="13" t="s">
        <v>16</v>
      </c>
      <c r="D560" s="13">
        <v>1355</v>
      </c>
      <c r="E560" s="14">
        <f>VLOOKUP(C560,价格表!$B$2:$C$5,2,0)</f>
        <v>3200</v>
      </c>
      <c r="F560" s="14">
        <f>D560*E560*(1-HLOOKUP(C560,折扣表!$B$2:$E$6,IF(D560&lt;1000,2,IF(D560&lt;1500,3,IF(D560&lt;2000,4,5)))))</f>
        <v>4292640</v>
      </c>
    </row>
    <row r="561" spans="1:6" x14ac:dyDescent="0.15">
      <c r="A561" s="11" t="s">
        <v>577</v>
      </c>
      <c r="B561" s="12">
        <v>41143</v>
      </c>
      <c r="C561" s="13" t="s">
        <v>17</v>
      </c>
      <c r="D561" s="13">
        <v>1529</v>
      </c>
      <c r="E561" s="14">
        <f>VLOOKUP(C561,价格表!$B$2:$C$5,2,0)</f>
        <v>2800</v>
      </c>
      <c r="F561" s="14">
        <f>D561*E561*(1-HLOOKUP(C561,折扣表!$B$2:$E$6,IF(D561&lt;1000,2,IF(D561&lt;1500,3,IF(D561&lt;2000,4,5)))))</f>
        <v>4152764</v>
      </c>
    </row>
    <row r="562" spans="1:6" x14ac:dyDescent="0.15">
      <c r="A562" s="11" t="s">
        <v>578</v>
      </c>
      <c r="B562" s="12">
        <v>41143</v>
      </c>
      <c r="C562" s="13" t="s">
        <v>18</v>
      </c>
      <c r="D562" s="13">
        <v>1201</v>
      </c>
      <c r="E562" s="14">
        <f>VLOOKUP(C562,价格表!$B$2:$C$5,2,0)</f>
        <v>2100</v>
      </c>
      <c r="F562" s="14">
        <f>D562*E562*(1-HLOOKUP(C562,折扣表!$B$2:$E$6,IF(D562&lt;1000,2,IF(D562&lt;1500,3,IF(D562&lt;2000,4,5)))))</f>
        <v>2446437</v>
      </c>
    </row>
    <row r="563" spans="1:6" x14ac:dyDescent="0.15">
      <c r="A563" s="11" t="s">
        <v>579</v>
      </c>
      <c r="B563" s="12">
        <v>41144</v>
      </c>
      <c r="C563" s="13" t="s">
        <v>16</v>
      </c>
      <c r="D563" s="13">
        <v>1331</v>
      </c>
      <c r="E563" s="14">
        <f>VLOOKUP(C563,价格表!$B$2:$C$5,2,0)</f>
        <v>3200</v>
      </c>
      <c r="F563" s="14">
        <f>D563*E563*(1-HLOOKUP(C563,折扣表!$B$2:$E$6,IF(D563&lt;1000,2,IF(D563&lt;1500,3,IF(D563&lt;2000,4,5)))))</f>
        <v>4216608</v>
      </c>
    </row>
    <row r="564" spans="1:6" x14ac:dyDescent="0.15">
      <c r="A564" s="11" t="s">
        <v>580</v>
      </c>
      <c r="B564" s="12">
        <v>41144</v>
      </c>
      <c r="C564" s="13" t="s">
        <v>17</v>
      </c>
      <c r="D564" s="13">
        <v>1630</v>
      </c>
      <c r="E564" s="14">
        <f>VLOOKUP(C564,价格表!$B$2:$C$5,2,0)</f>
        <v>2800</v>
      </c>
      <c r="F564" s="14">
        <f>D564*E564*(1-HLOOKUP(C564,折扣表!$B$2:$E$6,IF(D564&lt;1000,2,IF(D564&lt;1500,3,IF(D564&lt;2000,4,5)))))</f>
        <v>4427080</v>
      </c>
    </row>
    <row r="565" spans="1:6" x14ac:dyDescent="0.15">
      <c r="A565" s="11" t="s">
        <v>581</v>
      </c>
      <c r="B565" s="12">
        <v>41144</v>
      </c>
      <c r="C565" s="13" t="s">
        <v>18</v>
      </c>
      <c r="D565" s="13">
        <v>1170</v>
      </c>
      <c r="E565" s="14">
        <f>VLOOKUP(C565,价格表!$B$2:$C$5,2,0)</f>
        <v>2100</v>
      </c>
      <c r="F565" s="14">
        <f>D565*E565*(1-HLOOKUP(C565,折扣表!$B$2:$E$6,IF(D565&lt;1000,2,IF(D565&lt;1500,3,IF(D565&lt;2000,4,5)))))</f>
        <v>2383290</v>
      </c>
    </row>
    <row r="566" spans="1:6" x14ac:dyDescent="0.15">
      <c r="A566" s="11" t="s">
        <v>582</v>
      </c>
      <c r="B566" s="12">
        <v>41145</v>
      </c>
      <c r="C566" s="13" t="s">
        <v>16</v>
      </c>
      <c r="D566" s="13">
        <v>1397</v>
      </c>
      <c r="E566" s="14">
        <f>VLOOKUP(C566,价格表!$B$2:$C$5,2,0)</f>
        <v>3200</v>
      </c>
      <c r="F566" s="14">
        <f>D566*E566*(1-HLOOKUP(C566,折扣表!$B$2:$E$6,IF(D566&lt;1000,2,IF(D566&lt;1500,3,IF(D566&lt;2000,4,5)))))</f>
        <v>4425696</v>
      </c>
    </row>
    <row r="567" spans="1:6" x14ac:dyDescent="0.15">
      <c r="A567" s="11" t="s">
        <v>583</v>
      </c>
      <c r="B567" s="12">
        <v>41145</v>
      </c>
      <c r="C567" s="13" t="s">
        <v>17</v>
      </c>
      <c r="D567" s="13">
        <v>1562</v>
      </c>
      <c r="E567" s="14">
        <f>VLOOKUP(C567,价格表!$B$2:$C$5,2,0)</f>
        <v>2800</v>
      </c>
      <c r="F567" s="14">
        <f>D567*E567*(1-HLOOKUP(C567,折扣表!$B$2:$E$6,IF(D567&lt;1000,2,IF(D567&lt;1500,3,IF(D567&lt;2000,4,5)))))</f>
        <v>4242392</v>
      </c>
    </row>
    <row r="568" spans="1:6" x14ac:dyDescent="0.15">
      <c r="A568" s="11" t="s">
        <v>584</v>
      </c>
      <c r="B568" s="12">
        <v>41145</v>
      </c>
      <c r="C568" s="13" t="s">
        <v>18</v>
      </c>
      <c r="D568" s="13">
        <v>1212</v>
      </c>
      <c r="E568" s="14">
        <f>VLOOKUP(C568,价格表!$B$2:$C$5,2,0)</f>
        <v>2100</v>
      </c>
      <c r="F568" s="14">
        <f>D568*E568*(1-HLOOKUP(C568,折扣表!$B$2:$E$6,IF(D568&lt;1000,2,IF(D568&lt;1500,3,IF(D568&lt;2000,4,5)))))</f>
        <v>2468844</v>
      </c>
    </row>
    <row r="569" spans="1:6" x14ac:dyDescent="0.15">
      <c r="A569" s="11" t="s">
        <v>585</v>
      </c>
      <c r="B569" s="12">
        <v>41146</v>
      </c>
      <c r="C569" s="13" t="s">
        <v>18</v>
      </c>
      <c r="D569" s="13">
        <v>1189</v>
      </c>
      <c r="E569" s="14">
        <f>VLOOKUP(C569,价格表!$B$2:$C$5,2,0)</f>
        <v>2100</v>
      </c>
      <c r="F569" s="14">
        <f>D569*E569*(1-HLOOKUP(C569,折扣表!$B$2:$E$6,IF(D569&lt;1000,2,IF(D569&lt;1500,3,IF(D569&lt;2000,4,5)))))</f>
        <v>2421993</v>
      </c>
    </row>
    <row r="570" spans="1:6" x14ac:dyDescent="0.15">
      <c r="A570" s="11" t="s">
        <v>586</v>
      </c>
      <c r="B570" s="12">
        <v>41147</v>
      </c>
      <c r="C570" s="13" t="s">
        <v>16</v>
      </c>
      <c r="D570" s="13">
        <v>1209</v>
      </c>
      <c r="E570" s="14">
        <f>VLOOKUP(C570,价格表!$B$2:$C$5,2,0)</f>
        <v>3200</v>
      </c>
      <c r="F570" s="14">
        <f>D570*E570*(1-HLOOKUP(C570,折扣表!$B$2:$E$6,IF(D570&lt;1000,2,IF(D570&lt;1500,3,IF(D570&lt;2000,4,5)))))</f>
        <v>3830112</v>
      </c>
    </row>
    <row r="571" spans="1:6" x14ac:dyDescent="0.15">
      <c r="A571" s="11" t="s">
        <v>587</v>
      </c>
      <c r="B571" s="12">
        <v>41147</v>
      </c>
      <c r="C571" s="13" t="s">
        <v>18</v>
      </c>
      <c r="D571" s="13">
        <v>1183</v>
      </c>
      <c r="E571" s="14">
        <f>VLOOKUP(C571,价格表!$B$2:$C$5,2,0)</f>
        <v>2100</v>
      </c>
      <c r="F571" s="14">
        <f>D571*E571*(1-HLOOKUP(C571,折扣表!$B$2:$E$6,IF(D571&lt;1000,2,IF(D571&lt;1500,3,IF(D571&lt;2000,4,5)))))</f>
        <v>2409771</v>
      </c>
    </row>
    <row r="572" spans="1:6" x14ac:dyDescent="0.15">
      <c r="A572" s="11" t="s">
        <v>588</v>
      </c>
      <c r="B572" s="12">
        <v>41148</v>
      </c>
      <c r="C572" s="13" t="s">
        <v>16</v>
      </c>
      <c r="D572" s="13">
        <v>1387</v>
      </c>
      <c r="E572" s="14">
        <f>VLOOKUP(C572,价格表!$B$2:$C$5,2,0)</f>
        <v>3200</v>
      </c>
      <c r="F572" s="14">
        <f>D572*E572*(1-HLOOKUP(C572,折扣表!$B$2:$E$6,IF(D572&lt;1000,2,IF(D572&lt;1500,3,IF(D572&lt;2000,4,5)))))</f>
        <v>4394016</v>
      </c>
    </row>
    <row r="573" spans="1:6" x14ac:dyDescent="0.15">
      <c r="A573" s="11" t="s">
        <v>589</v>
      </c>
      <c r="B573" s="12">
        <v>41148</v>
      </c>
      <c r="C573" s="13" t="s">
        <v>17</v>
      </c>
      <c r="D573" s="13">
        <v>1573</v>
      </c>
      <c r="E573" s="14">
        <f>VLOOKUP(C573,价格表!$B$2:$C$5,2,0)</f>
        <v>2800</v>
      </c>
      <c r="F573" s="14">
        <f>D573*E573*(1-HLOOKUP(C573,折扣表!$B$2:$E$6,IF(D573&lt;1000,2,IF(D573&lt;1500,3,IF(D573&lt;2000,4,5)))))</f>
        <v>4272268</v>
      </c>
    </row>
    <row r="574" spans="1:6" x14ac:dyDescent="0.15">
      <c r="A574" s="11" t="s">
        <v>590</v>
      </c>
      <c r="B574" s="12">
        <v>41148</v>
      </c>
      <c r="C574" s="13" t="s">
        <v>18</v>
      </c>
      <c r="D574" s="13">
        <v>1221</v>
      </c>
      <c r="E574" s="14">
        <f>VLOOKUP(C574,价格表!$B$2:$C$5,2,0)</f>
        <v>2100</v>
      </c>
      <c r="F574" s="14">
        <f>D574*E574*(1-HLOOKUP(C574,折扣表!$B$2:$E$6,IF(D574&lt;1000,2,IF(D574&lt;1500,3,IF(D574&lt;2000,4,5)))))</f>
        <v>2487177</v>
      </c>
    </row>
    <row r="575" spans="1:6" x14ac:dyDescent="0.15">
      <c r="A575" s="11" t="s">
        <v>591</v>
      </c>
      <c r="B575" s="12">
        <v>41149</v>
      </c>
      <c r="C575" s="13" t="s">
        <v>16</v>
      </c>
      <c r="D575" s="13">
        <v>1530</v>
      </c>
      <c r="E575" s="14">
        <f>VLOOKUP(C575,价格表!$B$2:$C$5,2,0)</f>
        <v>3200</v>
      </c>
      <c r="F575" s="14">
        <f>D575*E575*(1-HLOOKUP(C575,折扣表!$B$2:$E$6,IF(D575&lt;1000,2,IF(D575&lt;1500,3,IF(D575&lt;2000,4,5)))))</f>
        <v>4798080</v>
      </c>
    </row>
    <row r="576" spans="1:6" x14ac:dyDescent="0.15">
      <c r="A576" s="11" t="s">
        <v>592</v>
      </c>
      <c r="B576" s="12">
        <v>41149</v>
      </c>
      <c r="C576" s="13" t="s">
        <v>17</v>
      </c>
      <c r="D576" s="13">
        <v>1508</v>
      </c>
      <c r="E576" s="14">
        <f>VLOOKUP(C576,价格表!$B$2:$C$5,2,0)</f>
        <v>2800</v>
      </c>
      <c r="F576" s="14">
        <f>D576*E576*(1-HLOOKUP(C576,折扣表!$B$2:$E$6,IF(D576&lt;1000,2,IF(D576&lt;1500,3,IF(D576&lt;2000,4,5)))))</f>
        <v>4095728</v>
      </c>
    </row>
    <row r="577" spans="1:6" x14ac:dyDescent="0.15">
      <c r="A577" s="11" t="s">
        <v>593</v>
      </c>
      <c r="B577" s="12">
        <v>41150</v>
      </c>
      <c r="C577" s="13" t="s">
        <v>16</v>
      </c>
      <c r="D577" s="13">
        <v>1256</v>
      </c>
      <c r="E577" s="14">
        <f>VLOOKUP(C577,价格表!$B$2:$C$5,2,0)</f>
        <v>3200</v>
      </c>
      <c r="F577" s="14">
        <f>D577*E577*(1-HLOOKUP(C577,折扣表!$B$2:$E$6,IF(D577&lt;1000,2,IF(D577&lt;1500,3,IF(D577&lt;2000,4,5)))))</f>
        <v>3979008</v>
      </c>
    </row>
    <row r="578" spans="1:6" x14ac:dyDescent="0.15">
      <c r="A578" s="11" t="s">
        <v>594</v>
      </c>
      <c r="B578" s="12">
        <v>41150</v>
      </c>
      <c r="C578" s="13" t="s">
        <v>17</v>
      </c>
      <c r="D578" s="13">
        <v>1612</v>
      </c>
      <c r="E578" s="14">
        <f>VLOOKUP(C578,价格表!$B$2:$C$5,2,0)</f>
        <v>2800</v>
      </c>
      <c r="F578" s="14">
        <f>D578*E578*(1-HLOOKUP(C578,折扣表!$B$2:$E$6,IF(D578&lt;1000,2,IF(D578&lt;1500,3,IF(D578&lt;2000,4,5)))))</f>
        <v>4378192</v>
      </c>
    </row>
    <row r="579" spans="1:6" x14ac:dyDescent="0.15">
      <c r="A579" s="11" t="s">
        <v>595</v>
      </c>
      <c r="B579" s="12">
        <v>41150</v>
      </c>
      <c r="C579" s="13" t="s">
        <v>18</v>
      </c>
      <c r="D579" s="13">
        <v>1197</v>
      </c>
      <c r="E579" s="14">
        <f>VLOOKUP(C579,价格表!$B$2:$C$5,2,0)</f>
        <v>2100</v>
      </c>
      <c r="F579" s="14">
        <f>D579*E579*(1-HLOOKUP(C579,折扣表!$B$2:$E$6,IF(D579&lt;1000,2,IF(D579&lt;1500,3,IF(D579&lt;2000,4,5)))))</f>
        <v>2438289</v>
      </c>
    </row>
    <row r="580" spans="1:6" x14ac:dyDescent="0.15">
      <c r="A580" s="11" t="s">
        <v>596</v>
      </c>
      <c r="B580" s="12">
        <v>41151</v>
      </c>
      <c r="C580" s="13" t="s">
        <v>16</v>
      </c>
      <c r="D580" s="13">
        <v>1382</v>
      </c>
      <c r="E580" s="14">
        <f>VLOOKUP(C580,价格表!$B$2:$C$5,2,0)</f>
        <v>3200</v>
      </c>
      <c r="F580" s="14">
        <f>D580*E580*(1-HLOOKUP(C580,折扣表!$B$2:$E$6,IF(D580&lt;1000,2,IF(D580&lt;1500,3,IF(D580&lt;2000,4,5)))))</f>
        <v>4378176</v>
      </c>
    </row>
    <row r="581" spans="1:6" x14ac:dyDescent="0.15">
      <c r="A581" s="11" t="s">
        <v>597</v>
      </c>
      <c r="B581" s="12">
        <v>41151</v>
      </c>
      <c r="C581" s="13" t="s">
        <v>17</v>
      </c>
      <c r="D581" s="13">
        <v>1647</v>
      </c>
      <c r="E581" s="14">
        <f>VLOOKUP(C581,价格表!$B$2:$C$5,2,0)</f>
        <v>2800</v>
      </c>
      <c r="F581" s="14">
        <f>D581*E581*(1-HLOOKUP(C581,折扣表!$B$2:$E$6,IF(D581&lt;1000,2,IF(D581&lt;1500,3,IF(D581&lt;2000,4,5)))))</f>
        <v>4473252</v>
      </c>
    </row>
    <row r="582" spans="1:6" x14ac:dyDescent="0.15">
      <c r="A582" s="11" t="s">
        <v>598</v>
      </c>
      <c r="B582" s="12">
        <v>41151</v>
      </c>
      <c r="C582" s="13" t="s">
        <v>18</v>
      </c>
      <c r="D582" s="13">
        <v>1182</v>
      </c>
      <c r="E582" s="14">
        <f>VLOOKUP(C582,价格表!$B$2:$C$5,2,0)</f>
        <v>2100</v>
      </c>
      <c r="F582" s="14">
        <f>D582*E582*(1-HLOOKUP(C582,折扣表!$B$2:$E$6,IF(D582&lt;1000,2,IF(D582&lt;1500,3,IF(D582&lt;2000,4,5)))))</f>
        <v>2407734</v>
      </c>
    </row>
    <row r="583" spans="1:6" x14ac:dyDescent="0.15">
      <c r="A583" s="11" t="s">
        <v>599</v>
      </c>
      <c r="B583" s="12">
        <v>41152</v>
      </c>
      <c r="C583" s="13" t="s">
        <v>16</v>
      </c>
      <c r="D583" s="13">
        <v>1519</v>
      </c>
      <c r="E583" s="14">
        <f>VLOOKUP(C583,价格表!$B$2:$C$5,2,0)</f>
        <v>3200</v>
      </c>
      <c r="F583" s="14">
        <f>D583*E583*(1-HLOOKUP(C583,折扣表!$B$2:$E$6,IF(D583&lt;1000,2,IF(D583&lt;1500,3,IF(D583&lt;2000,4,5)))))</f>
        <v>4763584</v>
      </c>
    </row>
    <row r="584" spans="1:6" x14ac:dyDescent="0.15">
      <c r="A584" s="11" t="s">
        <v>600</v>
      </c>
      <c r="B584" s="12">
        <v>41152</v>
      </c>
      <c r="C584" s="13" t="s">
        <v>17</v>
      </c>
      <c r="D584" s="13">
        <v>1677</v>
      </c>
      <c r="E584" s="14">
        <f>VLOOKUP(C584,价格表!$B$2:$C$5,2,0)</f>
        <v>2800</v>
      </c>
      <c r="F584" s="14">
        <f>D584*E584*(1-HLOOKUP(C584,折扣表!$B$2:$E$6,IF(D584&lt;1000,2,IF(D584&lt;1500,3,IF(D584&lt;2000,4,5)))))</f>
        <v>4554732</v>
      </c>
    </row>
    <row r="585" spans="1:6" x14ac:dyDescent="0.15">
      <c r="A585" s="11" t="s">
        <v>601</v>
      </c>
      <c r="B585" s="12">
        <v>41153</v>
      </c>
      <c r="C585" s="13" t="s">
        <v>16</v>
      </c>
      <c r="D585" s="13">
        <v>1589</v>
      </c>
      <c r="E585" s="14">
        <f>VLOOKUP(C585,价格表!$B$2:$C$5,2,0)</f>
        <v>3200</v>
      </c>
      <c r="F585" s="14">
        <f>D585*E585*(1-HLOOKUP(C585,折扣表!$B$2:$E$6,IF(D585&lt;1000,2,IF(D585&lt;1500,3,IF(D585&lt;2000,4,5)))))</f>
        <v>4983104</v>
      </c>
    </row>
    <row r="586" spans="1:6" x14ac:dyDescent="0.15">
      <c r="A586" s="11" t="s">
        <v>602</v>
      </c>
      <c r="B586" s="12">
        <v>41153</v>
      </c>
      <c r="C586" s="13" t="s">
        <v>17</v>
      </c>
      <c r="D586" s="13">
        <v>1636</v>
      </c>
      <c r="E586" s="14">
        <f>VLOOKUP(C586,价格表!$B$2:$C$5,2,0)</f>
        <v>2800</v>
      </c>
      <c r="F586" s="14">
        <f>D586*E586*(1-HLOOKUP(C586,折扣表!$B$2:$E$6,IF(D586&lt;1000,2,IF(D586&lt;1500,3,IF(D586&lt;2000,4,5)))))</f>
        <v>4443376</v>
      </c>
    </row>
    <row r="587" spans="1:6" x14ac:dyDescent="0.15">
      <c r="A587" s="11" t="s">
        <v>603</v>
      </c>
      <c r="B587" s="12">
        <v>41153</v>
      </c>
      <c r="C587" s="13" t="s">
        <v>18</v>
      </c>
      <c r="D587" s="13">
        <v>1118</v>
      </c>
      <c r="E587" s="14">
        <f>VLOOKUP(C587,价格表!$B$2:$C$5,2,0)</f>
        <v>2100</v>
      </c>
      <c r="F587" s="14">
        <f>D587*E587*(1-HLOOKUP(C587,折扣表!$B$2:$E$6,IF(D587&lt;1000,2,IF(D587&lt;1500,3,IF(D587&lt;2000,4,5)))))</f>
        <v>2277366</v>
      </c>
    </row>
    <row r="588" spans="1:6" x14ac:dyDescent="0.15">
      <c r="A588" s="11" t="s">
        <v>604</v>
      </c>
      <c r="B588" s="12">
        <v>41154</v>
      </c>
      <c r="C588" s="13" t="s">
        <v>16</v>
      </c>
      <c r="D588" s="13">
        <v>1480</v>
      </c>
      <c r="E588" s="14">
        <f>VLOOKUP(C588,价格表!$B$2:$C$5,2,0)</f>
        <v>3200</v>
      </c>
      <c r="F588" s="14">
        <f>D588*E588*(1-HLOOKUP(C588,折扣表!$B$2:$E$6,IF(D588&lt;1000,2,IF(D588&lt;1500,3,IF(D588&lt;2000,4,5)))))</f>
        <v>4688640</v>
      </c>
    </row>
    <row r="589" spans="1:6" x14ac:dyDescent="0.15">
      <c r="A589" s="11" t="s">
        <v>605</v>
      </c>
      <c r="B589" s="12">
        <v>41154</v>
      </c>
      <c r="C589" s="13" t="s">
        <v>17</v>
      </c>
      <c r="D589" s="13">
        <v>1758</v>
      </c>
      <c r="E589" s="14">
        <f>VLOOKUP(C589,价格表!$B$2:$C$5,2,0)</f>
        <v>2800</v>
      </c>
      <c r="F589" s="14">
        <f>D589*E589*(1-HLOOKUP(C589,折扣表!$B$2:$E$6,IF(D589&lt;1000,2,IF(D589&lt;1500,3,IF(D589&lt;2000,4,5)))))</f>
        <v>4774728</v>
      </c>
    </row>
    <row r="590" spans="1:6" x14ac:dyDescent="0.15">
      <c r="A590" s="11" t="s">
        <v>606</v>
      </c>
      <c r="B590" s="12">
        <v>41154</v>
      </c>
      <c r="C590" s="13" t="s">
        <v>18</v>
      </c>
      <c r="D590" s="13">
        <v>1183</v>
      </c>
      <c r="E590" s="14">
        <f>VLOOKUP(C590,价格表!$B$2:$C$5,2,0)</f>
        <v>2100</v>
      </c>
      <c r="F590" s="14">
        <f>D590*E590*(1-HLOOKUP(C590,折扣表!$B$2:$E$6,IF(D590&lt;1000,2,IF(D590&lt;1500,3,IF(D590&lt;2000,4,5)))))</f>
        <v>2409771</v>
      </c>
    </row>
    <row r="591" spans="1:6" x14ac:dyDescent="0.15">
      <c r="A591" s="11" t="s">
        <v>607</v>
      </c>
      <c r="B591" s="12">
        <v>41155</v>
      </c>
      <c r="C591" s="13" t="s">
        <v>16</v>
      </c>
      <c r="D591" s="13">
        <v>1382</v>
      </c>
      <c r="E591" s="14">
        <f>VLOOKUP(C591,价格表!$B$2:$C$5,2,0)</f>
        <v>3200</v>
      </c>
      <c r="F591" s="14">
        <f>D591*E591*(1-HLOOKUP(C591,折扣表!$B$2:$E$6,IF(D591&lt;1000,2,IF(D591&lt;1500,3,IF(D591&lt;2000,4,5)))))</f>
        <v>4378176</v>
      </c>
    </row>
    <row r="592" spans="1:6" x14ac:dyDescent="0.15">
      <c r="A592" s="11" t="s">
        <v>608</v>
      </c>
      <c r="B592" s="12">
        <v>41155</v>
      </c>
      <c r="C592" s="13" t="s">
        <v>17</v>
      </c>
      <c r="D592" s="13">
        <v>1686</v>
      </c>
      <c r="E592" s="14">
        <f>VLOOKUP(C592,价格表!$B$2:$C$5,2,0)</f>
        <v>2800</v>
      </c>
      <c r="F592" s="14">
        <f>D592*E592*(1-HLOOKUP(C592,折扣表!$B$2:$E$6,IF(D592&lt;1000,2,IF(D592&lt;1500,3,IF(D592&lt;2000,4,5)))))</f>
        <v>4579176</v>
      </c>
    </row>
    <row r="593" spans="1:6" x14ac:dyDescent="0.15">
      <c r="A593" s="11" t="s">
        <v>609</v>
      </c>
      <c r="B593" s="12">
        <v>41155</v>
      </c>
      <c r="C593" s="13" t="s">
        <v>18</v>
      </c>
      <c r="D593" s="13">
        <v>1129</v>
      </c>
      <c r="E593" s="14">
        <f>VLOOKUP(C593,价格表!$B$2:$C$5,2,0)</f>
        <v>2100</v>
      </c>
      <c r="F593" s="14">
        <f>D593*E593*(1-HLOOKUP(C593,折扣表!$B$2:$E$6,IF(D593&lt;1000,2,IF(D593&lt;1500,3,IF(D593&lt;2000,4,5)))))</f>
        <v>2299773</v>
      </c>
    </row>
    <row r="594" spans="1:6" x14ac:dyDescent="0.15">
      <c r="A594" s="11" t="s">
        <v>610</v>
      </c>
      <c r="B594" s="12">
        <v>41156</v>
      </c>
      <c r="C594" s="13" t="s">
        <v>16</v>
      </c>
      <c r="D594" s="13">
        <v>1225</v>
      </c>
      <c r="E594" s="14">
        <f>VLOOKUP(C594,价格表!$B$2:$C$5,2,0)</f>
        <v>3200</v>
      </c>
      <c r="F594" s="14">
        <f>D594*E594*(1-HLOOKUP(C594,折扣表!$B$2:$E$6,IF(D594&lt;1000,2,IF(D594&lt;1500,3,IF(D594&lt;2000,4,5)))))</f>
        <v>3880800</v>
      </c>
    </row>
    <row r="595" spans="1:6" x14ac:dyDescent="0.15">
      <c r="A595" s="11" t="s">
        <v>611</v>
      </c>
      <c r="B595" s="12">
        <v>41156</v>
      </c>
      <c r="C595" s="13" t="s">
        <v>17</v>
      </c>
      <c r="D595" s="13">
        <v>1718</v>
      </c>
      <c r="E595" s="14">
        <f>VLOOKUP(C595,价格表!$B$2:$C$5,2,0)</f>
        <v>2800</v>
      </c>
      <c r="F595" s="14">
        <f>D595*E595*(1-HLOOKUP(C595,折扣表!$B$2:$E$6,IF(D595&lt;1000,2,IF(D595&lt;1500,3,IF(D595&lt;2000,4,5)))))</f>
        <v>4666088</v>
      </c>
    </row>
    <row r="596" spans="1:6" x14ac:dyDescent="0.15">
      <c r="A596" s="11" t="s">
        <v>612</v>
      </c>
      <c r="B596" s="12">
        <v>41156</v>
      </c>
      <c r="C596" s="13" t="s">
        <v>18</v>
      </c>
      <c r="D596" s="13">
        <v>1171</v>
      </c>
      <c r="E596" s="14">
        <f>VLOOKUP(C596,价格表!$B$2:$C$5,2,0)</f>
        <v>2100</v>
      </c>
      <c r="F596" s="14">
        <f>D596*E596*(1-HLOOKUP(C596,折扣表!$B$2:$E$6,IF(D596&lt;1000,2,IF(D596&lt;1500,3,IF(D596&lt;2000,4,5)))))</f>
        <v>2385327</v>
      </c>
    </row>
    <row r="597" spans="1:6" x14ac:dyDescent="0.15">
      <c r="A597" s="11" t="s">
        <v>613</v>
      </c>
      <c r="B597" s="12">
        <v>41157</v>
      </c>
      <c r="C597" s="13" t="s">
        <v>16</v>
      </c>
      <c r="D597" s="13">
        <v>1367</v>
      </c>
      <c r="E597" s="14">
        <f>VLOOKUP(C597,价格表!$B$2:$C$5,2,0)</f>
        <v>3200</v>
      </c>
      <c r="F597" s="14">
        <f>D597*E597*(1-HLOOKUP(C597,折扣表!$B$2:$E$6,IF(D597&lt;1000,2,IF(D597&lt;1500,3,IF(D597&lt;2000,4,5)))))</f>
        <v>4330656</v>
      </c>
    </row>
    <row r="598" spans="1:6" x14ac:dyDescent="0.15">
      <c r="A598" s="11" t="s">
        <v>614</v>
      </c>
      <c r="B598" s="12">
        <v>41157</v>
      </c>
      <c r="C598" s="13" t="s">
        <v>17</v>
      </c>
      <c r="D598" s="13">
        <v>1772</v>
      </c>
      <c r="E598" s="14">
        <f>VLOOKUP(C598,价格表!$B$2:$C$5,2,0)</f>
        <v>2800</v>
      </c>
      <c r="F598" s="14">
        <f>D598*E598*(1-HLOOKUP(C598,折扣表!$B$2:$E$6,IF(D598&lt;1000,2,IF(D598&lt;1500,3,IF(D598&lt;2000,4,5)))))</f>
        <v>4812752</v>
      </c>
    </row>
    <row r="599" spans="1:6" x14ac:dyDescent="0.15">
      <c r="A599" s="11" t="s">
        <v>615</v>
      </c>
      <c r="B599" s="12">
        <v>41157</v>
      </c>
      <c r="C599" s="13" t="s">
        <v>18</v>
      </c>
      <c r="D599" s="13">
        <v>1194</v>
      </c>
      <c r="E599" s="14">
        <f>VLOOKUP(C599,价格表!$B$2:$C$5,2,0)</f>
        <v>2100</v>
      </c>
      <c r="F599" s="14">
        <f>D599*E599*(1-HLOOKUP(C599,折扣表!$B$2:$E$6,IF(D599&lt;1000,2,IF(D599&lt;1500,3,IF(D599&lt;2000,4,5)))))</f>
        <v>2432178</v>
      </c>
    </row>
    <row r="600" spans="1:6" x14ac:dyDescent="0.15">
      <c r="A600" s="11" t="s">
        <v>616</v>
      </c>
      <c r="B600" s="12">
        <v>41158</v>
      </c>
      <c r="C600" s="13" t="s">
        <v>16</v>
      </c>
      <c r="D600" s="13">
        <v>1455</v>
      </c>
      <c r="E600" s="14">
        <f>VLOOKUP(C600,价格表!$B$2:$C$5,2,0)</f>
        <v>3200</v>
      </c>
      <c r="F600" s="14">
        <f>D600*E600*(1-HLOOKUP(C600,折扣表!$B$2:$E$6,IF(D600&lt;1000,2,IF(D600&lt;1500,3,IF(D600&lt;2000,4,5)))))</f>
        <v>4609440</v>
      </c>
    </row>
    <row r="601" spans="1:6" x14ac:dyDescent="0.15">
      <c r="A601" s="11" t="s">
        <v>617</v>
      </c>
      <c r="B601" s="12">
        <v>41158</v>
      </c>
      <c r="C601" s="13" t="s">
        <v>17</v>
      </c>
      <c r="D601" s="13">
        <v>1620</v>
      </c>
      <c r="E601" s="14">
        <f>VLOOKUP(C601,价格表!$B$2:$C$5,2,0)</f>
        <v>2800</v>
      </c>
      <c r="F601" s="14">
        <f>D601*E601*(1-HLOOKUP(C601,折扣表!$B$2:$E$6,IF(D601&lt;1000,2,IF(D601&lt;1500,3,IF(D601&lt;2000,4,5)))))</f>
        <v>4399920</v>
      </c>
    </row>
    <row r="602" spans="1:6" x14ac:dyDescent="0.15">
      <c r="A602" s="11" t="s">
        <v>618</v>
      </c>
      <c r="B602" s="12">
        <v>41158</v>
      </c>
      <c r="C602" s="13" t="s">
        <v>18</v>
      </c>
      <c r="D602" s="13">
        <v>1115</v>
      </c>
      <c r="E602" s="14">
        <f>VLOOKUP(C602,价格表!$B$2:$C$5,2,0)</f>
        <v>2100</v>
      </c>
      <c r="F602" s="14">
        <f>D602*E602*(1-HLOOKUP(C602,折扣表!$B$2:$E$6,IF(D602&lt;1000,2,IF(D602&lt;1500,3,IF(D602&lt;2000,4,5)))))</f>
        <v>2271255</v>
      </c>
    </row>
    <row r="603" spans="1:6" x14ac:dyDescent="0.15">
      <c r="A603" s="11" t="s">
        <v>619</v>
      </c>
      <c r="B603" s="12">
        <v>41159</v>
      </c>
      <c r="C603" s="13" t="s">
        <v>16</v>
      </c>
      <c r="D603" s="13">
        <v>1428</v>
      </c>
      <c r="E603" s="14">
        <f>VLOOKUP(C603,价格表!$B$2:$C$5,2,0)</f>
        <v>3200</v>
      </c>
      <c r="F603" s="14">
        <f>D603*E603*(1-HLOOKUP(C603,折扣表!$B$2:$E$6,IF(D603&lt;1000,2,IF(D603&lt;1500,3,IF(D603&lt;2000,4,5)))))</f>
        <v>4523904</v>
      </c>
    </row>
    <row r="604" spans="1:6" x14ac:dyDescent="0.15">
      <c r="A604" s="11" t="s">
        <v>620</v>
      </c>
      <c r="B604" s="12">
        <v>41159</v>
      </c>
      <c r="C604" s="13" t="s">
        <v>17</v>
      </c>
      <c r="D604" s="13">
        <v>1612</v>
      </c>
      <c r="E604" s="14">
        <f>VLOOKUP(C604,价格表!$B$2:$C$5,2,0)</f>
        <v>2800</v>
      </c>
      <c r="F604" s="14">
        <f>D604*E604*(1-HLOOKUP(C604,折扣表!$B$2:$E$6,IF(D604&lt;1000,2,IF(D604&lt;1500,3,IF(D604&lt;2000,4,5)))))</f>
        <v>4378192</v>
      </c>
    </row>
    <row r="605" spans="1:6" x14ac:dyDescent="0.15">
      <c r="A605" s="11" t="s">
        <v>621</v>
      </c>
      <c r="B605" s="12">
        <v>41159</v>
      </c>
      <c r="C605" s="13" t="s">
        <v>18</v>
      </c>
      <c r="D605" s="13">
        <v>1191</v>
      </c>
      <c r="E605" s="14">
        <f>VLOOKUP(C605,价格表!$B$2:$C$5,2,0)</f>
        <v>2100</v>
      </c>
      <c r="F605" s="14">
        <f>D605*E605*(1-HLOOKUP(C605,折扣表!$B$2:$E$6,IF(D605&lt;1000,2,IF(D605&lt;1500,3,IF(D605&lt;2000,4,5)))))</f>
        <v>2426067</v>
      </c>
    </row>
    <row r="606" spans="1:6" x14ac:dyDescent="0.15">
      <c r="A606" s="11" t="s">
        <v>622</v>
      </c>
      <c r="B606" s="12">
        <v>41160</v>
      </c>
      <c r="C606" s="13" t="s">
        <v>17</v>
      </c>
      <c r="D606" s="13">
        <v>1629</v>
      </c>
      <c r="E606" s="14">
        <f>VLOOKUP(C606,价格表!$B$2:$C$5,2,0)</f>
        <v>2800</v>
      </c>
      <c r="F606" s="14">
        <f>D606*E606*(1-HLOOKUP(C606,折扣表!$B$2:$E$6,IF(D606&lt;1000,2,IF(D606&lt;1500,3,IF(D606&lt;2000,4,5)))))</f>
        <v>4424364</v>
      </c>
    </row>
    <row r="607" spans="1:6" x14ac:dyDescent="0.15">
      <c r="A607" s="11" t="s">
        <v>623</v>
      </c>
      <c r="B607" s="12">
        <v>41160</v>
      </c>
      <c r="C607" s="13" t="s">
        <v>18</v>
      </c>
      <c r="D607" s="13">
        <v>1102</v>
      </c>
      <c r="E607" s="14">
        <f>VLOOKUP(C607,价格表!$B$2:$C$5,2,0)</f>
        <v>2100</v>
      </c>
      <c r="F607" s="14">
        <f>D607*E607*(1-HLOOKUP(C607,折扣表!$B$2:$E$6,IF(D607&lt;1000,2,IF(D607&lt;1500,3,IF(D607&lt;2000,4,5)))))</f>
        <v>2244774</v>
      </c>
    </row>
    <row r="608" spans="1:6" x14ac:dyDescent="0.15">
      <c r="A608" s="11" t="s">
        <v>624</v>
      </c>
      <c r="B608" s="12">
        <v>41161</v>
      </c>
      <c r="C608" s="13" t="s">
        <v>16</v>
      </c>
      <c r="D608" s="13">
        <v>1433</v>
      </c>
      <c r="E608" s="14">
        <f>VLOOKUP(C608,价格表!$B$2:$C$5,2,0)</f>
        <v>3200</v>
      </c>
      <c r="F608" s="14">
        <f>D608*E608*(1-HLOOKUP(C608,折扣表!$B$2:$E$6,IF(D608&lt;1000,2,IF(D608&lt;1500,3,IF(D608&lt;2000,4,5)))))</f>
        <v>4539744</v>
      </c>
    </row>
    <row r="609" spans="1:6" x14ac:dyDescent="0.15">
      <c r="A609" s="11" t="s">
        <v>625</v>
      </c>
      <c r="B609" s="12">
        <v>41161</v>
      </c>
      <c r="C609" s="13" t="s">
        <v>17</v>
      </c>
      <c r="D609" s="13">
        <v>1629</v>
      </c>
      <c r="E609" s="14">
        <f>VLOOKUP(C609,价格表!$B$2:$C$5,2,0)</f>
        <v>2800</v>
      </c>
      <c r="F609" s="14">
        <f>D609*E609*(1-HLOOKUP(C609,折扣表!$B$2:$E$6,IF(D609&lt;1000,2,IF(D609&lt;1500,3,IF(D609&lt;2000,4,5)))))</f>
        <v>4424364</v>
      </c>
    </row>
    <row r="610" spans="1:6" x14ac:dyDescent="0.15">
      <c r="A610" s="11" t="s">
        <v>626</v>
      </c>
      <c r="B610" s="12">
        <v>41162</v>
      </c>
      <c r="C610" s="13" t="s">
        <v>16</v>
      </c>
      <c r="D610" s="13">
        <v>1398</v>
      </c>
      <c r="E610" s="14">
        <f>VLOOKUP(C610,价格表!$B$2:$C$5,2,0)</f>
        <v>3200</v>
      </c>
      <c r="F610" s="14">
        <f>D610*E610*(1-HLOOKUP(C610,折扣表!$B$2:$E$6,IF(D610&lt;1000,2,IF(D610&lt;1500,3,IF(D610&lt;2000,4,5)))))</f>
        <v>4428864</v>
      </c>
    </row>
    <row r="611" spans="1:6" x14ac:dyDescent="0.15">
      <c r="A611" s="11" t="s">
        <v>627</v>
      </c>
      <c r="B611" s="12">
        <v>41162</v>
      </c>
      <c r="C611" s="13" t="s">
        <v>17</v>
      </c>
      <c r="D611" s="13">
        <v>1713</v>
      </c>
      <c r="E611" s="14">
        <f>VLOOKUP(C611,价格表!$B$2:$C$5,2,0)</f>
        <v>2800</v>
      </c>
      <c r="F611" s="14">
        <f>D611*E611*(1-HLOOKUP(C611,折扣表!$B$2:$E$6,IF(D611&lt;1000,2,IF(D611&lt;1500,3,IF(D611&lt;2000,4,5)))))</f>
        <v>4652508</v>
      </c>
    </row>
    <row r="612" spans="1:6" x14ac:dyDescent="0.15">
      <c r="A612" s="11" t="s">
        <v>628</v>
      </c>
      <c r="B612" s="12">
        <v>41162</v>
      </c>
      <c r="C612" s="13" t="s">
        <v>18</v>
      </c>
      <c r="D612" s="13">
        <v>1148</v>
      </c>
      <c r="E612" s="14">
        <f>VLOOKUP(C612,价格表!$B$2:$C$5,2,0)</f>
        <v>2100</v>
      </c>
      <c r="F612" s="14">
        <f>D612*E612*(1-HLOOKUP(C612,折扣表!$B$2:$E$6,IF(D612&lt;1000,2,IF(D612&lt;1500,3,IF(D612&lt;2000,4,5)))))</f>
        <v>2338476</v>
      </c>
    </row>
    <row r="613" spans="1:6" x14ac:dyDescent="0.15">
      <c r="A613" s="11" t="s">
        <v>629</v>
      </c>
      <c r="B613" s="12">
        <v>41163</v>
      </c>
      <c r="C613" s="13" t="s">
        <v>16</v>
      </c>
      <c r="D613" s="13">
        <v>1366</v>
      </c>
      <c r="E613" s="14">
        <f>VLOOKUP(C613,价格表!$B$2:$C$5,2,0)</f>
        <v>3200</v>
      </c>
      <c r="F613" s="14">
        <f>D613*E613*(1-HLOOKUP(C613,折扣表!$B$2:$E$6,IF(D613&lt;1000,2,IF(D613&lt;1500,3,IF(D613&lt;2000,4,5)))))</f>
        <v>4327488</v>
      </c>
    </row>
    <row r="614" spans="1:6" x14ac:dyDescent="0.15">
      <c r="A614" s="11" t="s">
        <v>630</v>
      </c>
      <c r="B614" s="12">
        <v>41163</v>
      </c>
      <c r="C614" s="13" t="s">
        <v>17</v>
      </c>
      <c r="D614" s="13">
        <v>1635</v>
      </c>
      <c r="E614" s="14">
        <f>VLOOKUP(C614,价格表!$B$2:$C$5,2,0)</f>
        <v>2800</v>
      </c>
      <c r="F614" s="14">
        <f>D614*E614*(1-HLOOKUP(C614,折扣表!$B$2:$E$6,IF(D614&lt;1000,2,IF(D614&lt;1500,3,IF(D614&lt;2000,4,5)))))</f>
        <v>4440660</v>
      </c>
    </row>
    <row r="615" spans="1:6" x14ac:dyDescent="0.15">
      <c r="A615" s="11" t="s">
        <v>631</v>
      </c>
      <c r="B615" s="12">
        <v>41163</v>
      </c>
      <c r="C615" s="13" t="s">
        <v>18</v>
      </c>
      <c r="D615" s="13">
        <v>1148</v>
      </c>
      <c r="E615" s="14">
        <f>VLOOKUP(C615,价格表!$B$2:$C$5,2,0)</f>
        <v>2100</v>
      </c>
      <c r="F615" s="14">
        <f>D615*E615*(1-HLOOKUP(C615,折扣表!$B$2:$E$6,IF(D615&lt;1000,2,IF(D615&lt;1500,3,IF(D615&lt;2000,4,5)))))</f>
        <v>2338476</v>
      </c>
    </row>
    <row r="616" spans="1:6" x14ac:dyDescent="0.15">
      <c r="A616" s="11" t="s">
        <v>632</v>
      </c>
      <c r="B616" s="12">
        <v>41164</v>
      </c>
      <c r="C616" s="13" t="s">
        <v>16</v>
      </c>
      <c r="D616" s="13">
        <v>1586</v>
      </c>
      <c r="E616" s="14">
        <f>VLOOKUP(C616,价格表!$B$2:$C$5,2,0)</f>
        <v>3200</v>
      </c>
      <c r="F616" s="14">
        <f>D616*E616*(1-HLOOKUP(C616,折扣表!$B$2:$E$6,IF(D616&lt;1000,2,IF(D616&lt;1500,3,IF(D616&lt;2000,4,5)))))</f>
        <v>4973696</v>
      </c>
    </row>
    <row r="617" spans="1:6" x14ac:dyDescent="0.15">
      <c r="A617" s="11" t="s">
        <v>633</v>
      </c>
      <c r="B617" s="12">
        <v>41164</v>
      </c>
      <c r="C617" s="13" t="s">
        <v>18</v>
      </c>
      <c r="D617" s="13">
        <v>1153</v>
      </c>
      <c r="E617" s="14">
        <f>VLOOKUP(C617,价格表!$B$2:$C$5,2,0)</f>
        <v>2100</v>
      </c>
      <c r="F617" s="14">
        <f>D617*E617*(1-HLOOKUP(C617,折扣表!$B$2:$E$6,IF(D617&lt;1000,2,IF(D617&lt;1500,3,IF(D617&lt;2000,4,5)))))</f>
        <v>2348661</v>
      </c>
    </row>
    <row r="618" spans="1:6" x14ac:dyDescent="0.15">
      <c r="A618" s="11" t="s">
        <v>634</v>
      </c>
      <c r="B618" s="12">
        <v>41165</v>
      </c>
      <c r="C618" s="13" t="s">
        <v>16</v>
      </c>
      <c r="D618" s="13">
        <v>1549</v>
      </c>
      <c r="E618" s="14">
        <f>VLOOKUP(C618,价格表!$B$2:$C$5,2,0)</f>
        <v>3200</v>
      </c>
      <c r="F618" s="14">
        <f>D618*E618*(1-HLOOKUP(C618,折扣表!$B$2:$E$6,IF(D618&lt;1000,2,IF(D618&lt;1500,3,IF(D618&lt;2000,4,5)))))</f>
        <v>4857664</v>
      </c>
    </row>
    <row r="619" spans="1:6" x14ac:dyDescent="0.15">
      <c r="A619" s="11" t="s">
        <v>635</v>
      </c>
      <c r="B619" s="12">
        <v>41166</v>
      </c>
      <c r="C619" s="13" t="s">
        <v>16</v>
      </c>
      <c r="D619" s="13">
        <v>1432</v>
      </c>
      <c r="E619" s="14">
        <f>VLOOKUP(C619,价格表!$B$2:$C$5,2,0)</f>
        <v>3200</v>
      </c>
      <c r="F619" s="14">
        <f>D619*E619*(1-HLOOKUP(C619,折扣表!$B$2:$E$6,IF(D619&lt;1000,2,IF(D619&lt;1500,3,IF(D619&lt;2000,4,5)))))</f>
        <v>4536576</v>
      </c>
    </row>
    <row r="620" spans="1:6" x14ac:dyDescent="0.15">
      <c r="A620" s="11" t="s">
        <v>636</v>
      </c>
      <c r="B620" s="12">
        <v>41166</v>
      </c>
      <c r="C620" s="13" t="s">
        <v>17</v>
      </c>
      <c r="D620" s="13">
        <v>1733</v>
      </c>
      <c r="E620" s="14">
        <f>VLOOKUP(C620,价格表!$B$2:$C$5,2,0)</f>
        <v>2800</v>
      </c>
      <c r="F620" s="14">
        <f>D620*E620*(1-HLOOKUP(C620,折扣表!$B$2:$E$6,IF(D620&lt;1000,2,IF(D620&lt;1500,3,IF(D620&lt;2000,4,5)))))</f>
        <v>4706828</v>
      </c>
    </row>
    <row r="621" spans="1:6" x14ac:dyDescent="0.15">
      <c r="A621" s="11" t="s">
        <v>637</v>
      </c>
      <c r="B621" s="12">
        <v>41167</v>
      </c>
      <c r="C621" s="13" t="s">
        <v>16</v>
      </c>
      <c r="D621" s="13">
        <v>1519</v>
      </c>
      <c r="E621" s="14">
        <f>VLOOKUP(C621,价格表!$B$2:$C$5,2,0)</f>
        <v>3200</v>
      </c>
      <c r="F621" s="14">
        <f>D621*E621*(1-HLOOKUP(C621,折扣表!$B$2:$E$6,IF(D621&lt;1000,2,IF(D621&lt;1500,3,IF(D621&lt;2000,4,5)))))</f>
        <v>4763584</v>
      </c>
    </row>
    <row r="622" spans="1:6" x14ac:dyDescent="0.15">
      <c r="A622" s="11" t="s">
        <v>638</v>
      </c>
      <c r="B622" s="12">
        <v>41167</v>
      </c>
      <c r="C622" s="13" t="s">
        <v>17</v>
      </c>
      <c r="D622" s="13">
        <v>1677</v>
      </c>
      <c r="E622" s="14">
        <f>VLOOKUP(C622,价格表!$B$2:$C$5,2,0)</f>
        <v>2800</v>
      </c>
      <c r="F622" s="14">
        <f>D622*E622*(1-HLOOKUP(C622,折扣表!$B$2:$E$6,IF(D622&lt;1000,2,IF(D622&lt;1500,3,IF(D622&lt;2000,4,5)))))</f>
        <v>4554732</v>
      </c>
    </row>
    <row r="623" spans="1:6" x14ac:dyDescent="0.15">
      <c r="A623" s="11" t="s">
        <v>639</v>
      </c>
      <c r="B623" s="12">
        <v>41167</v>
      </c>
      <c r="C623" s="13" t="s">
        <v>18</v>
      </c>
      <c r="D623" s="13">
        <v>1183</v>
      </c>
      <c r="E623" s="14">
        <f>VLOOKUP(C623,价格表!$B$2:$C$5,2,0)</f>
        <v>2100</v>
      </c>
      <c r="F623" s="14">
        <f>D623*E623*(1-HLOOKUP(C623,折扣表!$B$2:$E$6,IF(D623&lt;1000,2,IF(D623&lt;1500,3,IF(D623&lt;2000,4,5)))))</f>
        <v>2409771</v>
      </c>
    </row>
    <row r="624" spans="1:6" x14ac:dyDescent="0.15">
      <c r="A624" s="11" t="s">
        <v>640</v>
      </c>
      <c r="B624" s="12">
        <v>41168</v>
      </c>
      <c r="C624" s="13" t="s">
        <v>16</v>
      </c>
      <c r="D624" s="13">
        <v>1293</v>
      </c>
      <c r="E624" s="14">
        <f>VLOOKUP(C624,价格表!$B$2:$C$5,2,0)</f>
        <v>3200</v>
      </c>
      <c r="F624" s="14">
        <f>D624*E624*(1-HLOOKUP(C624,折扣表!$B$2:$E$6,IF(D624&lt;1000,2,IF(D624&lt;1500,3,IF(D624&lt;2000,4,5)))))</f>
        <v>4096224</v>
      </c>
    </row>
    <row r="625" spans="1:6" x14ac:dyDescent="0.15">
      <c r="A625" s="11" t="s">
        <v>641</v>
      </c>
      <c r="B625" s="12">
        <v>41168</v>
      </c>
      <c r="C625" s="13" t="s">
        <v>17</v>
      </c>
      <c r="D625" s="13">
        <v>1615</v>
      </c>
      <c r="E625" s="14">
        <f>VLOOKUP(C625,价格表!$B$2:$C$5,2,0)</f>
        <v>2800</v>
      </c>
      <c r="F625" s="14">
        <f>D625*E625*(1-HLOOKUP(C625,折扣表!$B$2:$E$6,IF(D625&lt;1000,2,IF(D625&lt;1500,3,IF(D625&lt;2000,4,5)))))</f>
        <v>4386340</v>
      </c>
    </row>
    <row r="626" spans="1:6" x14ac:dyDescent="0.15">
      <c r="A626" s="11" t="s">
        <v>642</v>
      </c>
      <c r="B626" s="12">
        <v>41168</v>
      </c>
      <c r="C626" s="13" t="s">
        <v>18</v>
      </c>
      <c r="D626" s="13">
        <v>1195</v>
      </c>
      <c r="E626" s="14">
        <f>VLOOKUP(C626,价格表!$B$2:$C$5,2,0)</f>
        <v>2100</v>
      </c>
      <c r="F626" s="14">
        <f>D626*E626*(1-HLOOKUP(C626,折扣表!$B$2:$E$6,IF(D626&lt;1000,2,IF(D626&lt;1500,3,IF(D626&lt;2000,4,5)))))</f>
        <v>2434215</v>
      </c>
    </row>
    <row r="627" spans="1:6" x14ac:dyDescent="0.15">
      <c r="A627" s="11" t="s">
        <v>643</v>
      </c>
      <c r="B627" s="12">
        <v>41169</v>
      </c>
      <c r="C627" s="13" t="s">
        <v>16</v>
      </c>
      <c r="D627" s="13">
        <v>1349</v>
      </c>
      <c r="E627" s="14">
        <f>VLOOKUP(C627,价格表!$B$2:$C$5,2,0)</f>
        <v>3200</v>
      </c>
      <c r="F627" s="14">
        <f>D627*E627*(1-HLOOKUP(C627,折扣表!$B$2:$E$6,IF(D627&lt;1000,2,IF(D627&lt;1500,3,IF(D627&lt;2000,4,5)))))</f>
        <v>4273632</v>
      </c>
    </row>
    <row r="628" spans="1:6" x14ac:dyDescent="0.15">
      <c r="A628" s="11" t="s">
        <v>644</v>
      </c>
      <c r="B628" s="12">
        <v>41170</v>
      </c>
      <c r="C628" s="13" t="s">
        <v>16</v>
      </c>
      <c r="D628" s="13">
        <v>1544</v>
      </c>
      <c r="E628" s="14">
        <f>VLOOKUP(C628,价格表!$B$2:$C$5,2,0)</f>
        <v>3200</v>
      </c>
      <c r="F628" s="14">
        <f>D628*E628*(1-HLOOKUP(C628,折扣表!$B$2:$E$6,IF(D628&lt;1000,2,IF(D628&lt;1500,3,IF(D628&lt;2000,4,5)))))</f>
        <v>4841984</v>
      </c>
    </row>
    <row r="629" spans="1:6" x14ac:dyDescent="0.15">
      <c r="A629" s="11" t="s">
        <v>645</v>
      </c>
      <c r="B629" s="12">
        <v>41170</v>
      </c>
      <c r="C629" s="13" t="s">
        <v>17</v>
      </c>
      <c r="D629" s="13">
        <v>1784</v>
      </c>
      <c r="E629" s="14">
        <f>VLOOKUP(C629,价格表!$B$2:$C$5,2,0)</f>
        <v>2800</v>
      </c>
      <c r="F629" s="14">
        <f>D629*E629*(1-HLOOKUP(C629,折扣表!$B$2:$E$6,IF(D629&lt;1000,2,IF(D629&lt;1500,3,IF(D629&lt;2000,4,5)))))</f>
        <v>4845344</v>
      </c>
    </row>
    <row r="630" spans="1:6" x14ac:dyDescent="0.15">
      <c r="A630" s="11" t="s">
        <v>646</v>
      </c>
      <c r="B630" s="12">
        <v>41170</v>
      </c>
      <c r="C630" s="13" t="s">
        <v>18</v>
      </c>
      <c r="D630" s="13">
        <v>1117</v>
      </c>
      <c r="E630" s="14">
        <f>VLOOKUP(C630,价格表!$B$2:$C$5,2,0)</f>
        <v>2100</v>
      </c>
      <c r="F630" s="14">
        <f>D630*E630*(1-HLOOKUP(C630,折扣表!$B$2:$E$6,IF(D630&lt;1000,2,IF(D630&lt;1500,3,IF(D630&lt;2000,4,5)))))</f>
        <v>2275329</v>
      </c>
    </row>
    <row r="631" spans="1:6" x14ac:dyDescent="0.15">
      <c r="A631" s="11" t="s">
        <v>647</v>
      </c>
      <c r="B631" s="12">
        <v>41171</v>
      </c>
      <c r="C631" s="13" t="s">
        <v>17</v>
      </c>
      <c r="D631" s="13">
        <v>1755</v>
      </c>
      <c r="E631" s="14">
        <f>VLOOKUP(C631,价格表!$B$2:$C$5,2,0)</f>
        <v>2800</v>
      </c>
      <c r="F631" s="14">
        <f>D631*E631*(1-HLOOKUP(C631,折扣表!$B$2:$E$6,IF(D631&lt;1000,2,IF(D631&lt;1500,3,IF(D631&lt;2000,4,5)))))</f>
        <v>4766580</v>
      </c>
    </row>
    <row r="632" spans="1:6" x14ac:dyDescent="0.15">
      <c r="A632" s="11" t="s">
        <v>648</v>
      </c>
      <c r="B632" s="12">
        <v>41171</v>
      </c>
      <c r="C632" s="13" t="s">
        <v>18</v>
      </c>
      <c r="D632" s="13">
        <v>1141</v>
      </c>
      <c r="E632" s="14">
        <f>VLOOKUP(C632,价格表!$B$2:$C$5,2,0)</f>
        <v>2100</v>
      </c>
      <c r="F632" s="14">
        <f>D632*E632*(1-HLOOKUP(C632,折扣表!$B$2:$E$6,IF(D632&lt;1000,2,IF(D632&lt;1500,3,IF(D632&lt;2000,4,5)))))</f>
        <v>2324217</v>
      </c>
    </row>
    <row r="633" spans="1:6" x14ac:dyDescent="0.15">
      <c r="A633" s="11" t="s">
        <v>649</v>
      </c>
      <c r="B633" s="12">
        <v>41172</v>
      </c>
      <c r="C633" s="13" t="s">
        <v>16</v>
      </c>
      <c r="D633" s="13">
        <v>1279</v>
      </c>
      <c r="E633" s="14">
        <f>VLOOKUP(C633,价格表!$B$2:$C$5,2,0)</f>
        <v>3200</v>
      </c>
      <c r="F633" s="14">
        <f>D633*E633*(1-HLOOKUP(C633,折扣表!$B$2:$E$6,IF(D633&lt;1000,2,IF(D633&lt;1500,3,IF(D633&lt;2000,4,5)))))</f>
        <v>4051872</v>
      </c>
    </row>
    <row r="634" spans="1:6" x14ac:dyDescent="0.15">
      <c r="A634" s="11" t="s">
        <v>650</v>
      </c>
      <c r="B634" s="12">
        <v>41172</v>
      </c>
      <c r="C634" s="13" t="s">
        <v>17</v>
      </c>
      <c r="D634" s="13">
        <v>1762</v>
      </c>
      <c r="E634" s="14">
        <f>VLOOKUP(C634,价格表!$B$2:$C$5,2,0)</f>
        <v>2800</v>
      </c>
      <c r="F634" s="14">
        <f>D634*E634*(1-HLOOKUP(C634,折扣表!$B$2:$E$6,IF(D634&lt;1000,2,IF(D634&lt;1500,3,IF(D634&lt;2000,4,5)))))</f>
        <v>4785592</v>
      </c>
    </row>
    <row r="635" spans="1:6" x14ac:dyDescent="0.15">
      <c r="A635" s="11" t="s">
        <v>651</v>
      </c>
      <c r="B635" s="12">
        <v>41173</v>
      </c>
      <c r="C635" s="13" t="s">
        <v>16</v>
      </c>
      <c r="D635" s="13">
        <v>1341</v>
      </c>
      <c r="E635" s="14">
        <f>VLOOKUP(C635,价格表!$B$2:$C$5,2,0)</f>
        <v>3200</v>
      </c>
      <c r="F635" s="14">
        <f>D635*E635*(1-HLOOKUP(C635,折扣表!$B$2:$E$6,IF(D635&lt;1000,2,IF(D635&lt;1500,3,IF(D635&lt;2000,4,5)))))</f>
        <v>4248288</v>
      </c>
    </row>
    <row r="636" spans="1:6" x14ac:dyDescent="0.15">
      <c r="A636" s="11" t="s">
        <v>652</v>
      </c>
      <c r="B636" s="12">
        <v>41173</v>
      </c>
      <c r="C636" s="13" t="s">
        <v>17</v>
      </c>
      <c r="D636" s="13">
        <v>1609</v>
      </c>
      <c r="E636" s="14">
        <f>VLOOKUP(C636,价格表!$B$2:$C$5,2,0)</f>
        <v>2800</v>
      </c>
      <c r="F636" s="14">
        <f>D636*E636*(1-HLOOKUP(C636,折扣表!$B$2:$E$6,IF(D636&lt;1000,2,IF(D636&lt;1500,3,IF(D636&lt;2000,4,5)))))</f>
        <v>4370044</v>
      </c>
    </row>
    <row r="637" spans="1:6" x14ac:dyDescent="0.15">
      <c r="A637" s="11" t="s">
        <v>653</v>
      </c>
      <c r="B637" s="12">
        <v>41173</v>
      </c>
      <c r="C637" s="13" t="s">
        <v>18</v>
      </c>
      <c r="D637" s="13">
        <v>1153</v>
      </c>
      <c r="E637" s="14">
        <f>VLOOKUP(C637,价格表!$B$2:$C$5,2,0)</f>
        <v>2100</v>
      </c>
      <c r="F637" s="14">
        <f>D637*E637*(1-HLOOKUP(C637,折扣表!$B$2:$E$6,IF(D637&lt;1000,2,IF(D637&lt;1500,3,IF(D637&lt;2000,4,5)))))</f>
        <v>2348661</v>
      </c>
    </row>
    <row r="638" spans="1:6" x14ac:dyDescent="0.15">
      <c r="A638" s="11" t="s">
        <v>654</v>
      </c>
      <c r="B638" s="12">
        <v>41174</v>
      </c>
      <c r="C638" s="13" t="s">
        <v>16</v>
      </c>
      <c r="D638" s="13">
        <v>1326</v>
      </c>
      <c r="E638" s="14">
        <f>VLOOKUP(C638,价格表!$B$2:$C$5,2,0)</f>
        <v>3200</v>
      </c>
      <c r="F638" s="14">
        <f>D638*E638*(1-HLOOKUP(C638,折扣表!$B$2:$E$6,IF(D638&lt;1000,2,IF(D638&lt;1500,3,IF(D638&lt;2000,4,5)))))</f>
        <v>4200768</v>
      </c>
    </row>
    <row r="639" spans="1:6" x14ac:dyDescent="0.15">
      <c r="A639" s="11" t="s">
        <v>655</v>
      </c>
      <c r="B639" s="12">
        <v>41174</v>
      </c>
      <c r="C639" s="13" t="s">
        <v>17</v>
      </c>
      <c r="D639" s="13">
        <v>1746</v>
      </c>
      <c r="E639" s="14">
        <f>VLOOKUP(C639,价格表!$B$2:$C$5,2,0)</f>
        <v>2800</v>
      </c>
      <c r="F639" s="14">
        <f>D639*E639*(1-HLOOKUP(C639,折扣表!$B$2:$E$6,IF(D639&lt;1000,2,IF(D639&lt;1500,3,IF(D639&lt;2000,4,5)))))</f>
        <v>4742136</v>
      </c>
    </row>
    <row r="640" spans="1:6" x14ac:dyDescent="0.15">
      <c r="A640" s="11" t="s">
        <v>656</v>
      </c>
      <c r="B640" s="12">
        <v>41174</v>
      </c>
      <c r="C640" s="13" t="s">
        <v>18</v>
      </c>
      <c r="D640" s="13">
        <v>1158</v>
      </c>
      <c r="E640" s="14">
        <f>VLOOKUP(C640,价格表!$B$2:$C$5,2,0)</f>
        <v>2100</v>
      </c>
      <c r="F640" s="14">
        <f>D640*E640*(1-HLOOKUP(C640,折扣表!$B$2:$E$6,IF(D640&lt;1000,2,IF(D640&lt;1500,3,IF(D640&lt;2000,4,5)))))</f>
        <v>2358846</v>
      </c>
    </row>
    <row r="641" spans="1:6" x14ac:dyDescent="0.15">
      <c r="A641" s="11" t="s">
        <v>657</v>
      </c>
      <c r="B641" s="12">
        <v>41175</v>
      </c>
      <c r="C641" s="13" t="s">
        <v>16</v>
      </c>
      <c r="D641" s="13">
        <v>1337</v>
      </c>
      <c r="E641" s="14">
        <f>VLOOKUP(C641,价格表!$B$2:$C$5,2,0)</f>
        <v>3200</v>
      </c>
      <c r="F641" s="14">
        <f>D641*E641*(1-HLOOKUP(C641,折扣表!$B$2:$E$6,IF(D641&lt;1000,2,IF(D641&lt;1500,3,IF(D641&lt;2000,4,5)))))</f>
        <v>4235616</v>
      </c>
    </row>
    <row r="642" spans="1:6" x14ac:dyDescent="0.15">
      <c r="A642" s="11" t="s">
        <v>658</v>
      </c>
      <c r="B642" s="12">
        <v>41175</v>
      </c>
      <c r="C642" s="13" t="s">
        <v>17</v>
      </c>
      <c r="D642" s="13">
        <v>1626</v>
      </c>
      <c r="E642" s="14">
        <f>VLOOKUP(C642,价格表!$B$2:$C$5,2,0)</f>
        <v>2800</v>
      </c>
      <c r="F642" s="14">
        <f>D642*E642*(1-HLOOKUP(C642,折扣表!$B$2:$E$6,IF(D642&lt;1000,2,IF(D642&lt;1500,3,IF(D642&lt;2000,4,5)))))</f>
        <v>4416216</v>
      </c>
    </row>
    <row r="643" spans="1:6" x14ac:dyDescent="0.15">
      <c r="A643" s="11" t="s">
        <v>659</v>
      </c>
      <c r="B643" s="12">
        <v>41176</v>
      </c>
      <c r="C643" s="13" t="s">
        <v>16</v>
      </c>
      <c r="D643" s="13">
        <v>1417</v>
      </c>
      <c r="E643" s="14">
        <f>VLOOKUP(C643,价格表!$B$2:$C$5,2,0)</f>
        <v>3200</v>
      </c>
      <c r="F643" s="14">
        <f>D643*E643*(1-HLOOKUP(C643,折扣表!$B$2:$E$6,IF(D643&lt;1000,2,IF(D643&lt;1500,3,IF(D643&lt;2000,4,5)))))</f>
        <v>4489056</v>
      </c>
    </row>
    <row r="644" spans="1:6" x14ac:dyDescent="0.15">
      <c r="A644" s="11" t="s">
        <v>660</v>
      </c>
      <c r="B644" s="12">
        <v>41176</v>
      </c>
      <c r="C644" s="13" t="s">
        <v>17</v>
      </c>
      <c r="D644" s="13">
        <v>1752</v>
      </c>
      <c r="E644" s="14">
        <f>VLOOKUP(C644,价格表!$B$2:$C$5,2,0)</f>
        <v>2800</v>
      </c>
      <c r="F644" s="14">
        <f>D644*E644*(1-HLOOKUP(C644,折扣表!$B$2:$E$6,IF(D644&lt;1000,2,IF(D644&lt;1500,3,IF(D644&lt;2000,4,5)))))</f>
        <v>4758432</v>
      </c>
    </row>
    <row r="645" spans="1:6" x14ac:dyDescent="0.15">
      <c r="A645" s="11" t="s">
        <v>661</v>
      </c>
      <c r="B645" s="12">
        <v>41176</v>
      </c>
      <c r="C645" s="13" t="s">
        <v>18</v>
      </c>
      <c r="D645" s="13">
        <v>1186</v>
      </c>
      <c r="E645" s="14">
        <f>VLOOKUP(C645,价格表!$B$2:$C$5,2,0)</f>
        <v>2100</v>
      </c>
      <c r="F645" s="14">
        <f>D645*E645*(1-HLOOKUP(C645,折扣表!$B$2:$E$6,IF(D645&lt;1000,2,IF(D645&lt;1500,3,IF(D645&lt;2000,4,5)))))</f>
        <v>2415882</v>
      </c>
    </row>
    <row r="646" spans="1:6" x14ac:dyDescent="0.15">
      <c r="A646" s="11" t="s">
        <v>662</v>
      </c>
      <c r="B646" s="12">
        <v>41177</v>
      </c>
      <c r="C646" s="13" t="s">
        <v>16</v>
      </c>
      <c r="D646" s="13">
        <v>1460</v>
      </c>
      <c r="E646" s="14">
        <f>VLOOKUP(C646,价格表!$B$2:$C$5,2,0)</f>
        <v>3200</v>
      </c>
      <c r="F646" s="14">
        <f>D646*E646*(1-HLOOKUP(C646,折扣表!$B$2:$E$6,IF(D646&lt;1000,2,IF(D646&lt;1500,3,IF(D646&lt;2000,4,5)))))</f>
        <v>4625280</v>
      </c>
    </row>
    <row r="647" spans="1:6" x14ac:dyDescent="0.15">
      <c r="A647" s="11" t="s">
        <v>663</v>
      </c>
      <c r="B647" s="12">
        <v>41177</v>
      </c>
      <c r="C647" s="13" t="s">
        <v>17</v>
      </c>
      <c r="D647" s="13">
        <v>1697</v>
      </c>
      <c r="E647" s="14">
        <f>VLOOKUP(C647,价格表!$B$2:$C$5,2,0)</f>
        <v>2800</v>
      </c>
      <c r="F647" s="14">
        <f>D647*E647*(1-HLOOKUP(C647,折扣表!$B$2:$E$6,IF(D647&lt;1000,2,IF(D647&lt;1500,3,IF(D647&lt;2000,4,5)))))</f>
        <v>4609052</v>
      </c>
    </row>
    <row r="648" spans="1:6" x14ac:dyDescent="0.15">
      <c r="A648" s="11" t="s">
        <v>664</v>
      </c>
      <c r="B648" s="12">
        <v>41178</v>
      </c>
      <c r="C648" s="13" t="s">
        <v>16</v>
      </c>
      <c r="D648" s="13">
        <v>1501</v>
      </c>
      <c r="E648" s="14">
        <f>VLOOKUP(C648,价格表!$B$2:$C$5,2,0)</f>
        <v>3200</v>
      </c>
      <c r="F648" s="14">
        <f>D648*E648*(1-HLOOKUP(C648,折扣表!$B$2:$E$6,IF(D648&lt;1000,2,IF(D648&lt;1500,3,IF(D648&lt;2000,4,5)))))</f>
        <v>4707136</v>
      </c>
    </row>
    <row r="649" spans="1:6" x14ac:dyDescent="0.15">
      <c r="A649" s="11" t="s">
        <v>665</v>
      </c>
      <c r="B649" s="12">
        <v>41178</v>
      </c>
      <c r="C649" s="13" t="s">
        <v>17</v>
      </c>
      <c r="D649" s="13">
        <v>1752</v>
      </c>
      <c r="E649" s="14">
        <f>VLOOKUP(C649,价格表!$B$2:$C$5,2,0)</f>
        <v>2800</v>
      </c>
      <c r="F649" s="14">
        <f>D649*E649*(1-HLOOKUP(C649,折扣表!$B$2:$E$6,IF(D649&lt;1000,2,IF(D649&lt;1500,3,IF(D649&lt;2000,4,5)))))</f>
        <v>4758432</v>
      </c>
    </row>
    <row r="650" spans="1:6" x14ac:dyDescent="0.15">
      <c r="A650" s="11" t="s">
        <v>666</v>
      </c>
      <c r="B650" s="12">
        <v>41178</v>
      </c>
      <c r="C650" s="13" t="s">
        <v>18</v>
      </c>
      <c r="D650" s="13">
        <v>1139</v>
      </c>
      <c r="E650" s="14">
        <f>VLOOKUP(C650,价格表!$B$2:$C$5,2,0)</f>
        <v>2100</v>
      </c>
      <c r="F650" s="14">
        <f>D650*E650*(1-HLOOKUP(C650,折扣表!$B$2:$E$6,IF(D650&lt;1000,2,IF(D650&lt;1500,3,IF(D650&lt;2000,4,5)))))</f>
        <v>2320143</v>
      </c>
    </row>
    <row r="651" spans="1:6" x14ac:dyDescent="0.15">
      <c r="A651" s="11" t="s">
        <v>667</v>
      </c>
      <c r="B651" s="12">
        <v>41179</v>
      </c>
      <c r="C651" s="13" t="s">
        <v>16</v>
      </c>
      <c r="D651" s="13">
        <v>1459</v>
      </c>
      <c r="E651" s="14">
        <f>VLOOKUP(C651,价格表!$B$2:$C$5,2,0)</f>
        <v>3200</v>
      </c>
      <c r="F651" s="14">
        <f>D651*E651*(1-HLOOKUP(C651,折扣表!$B$2:$E$6,IF(D651&lt;1000,2,IF(D651&lt;1500,3,IF(D651&lt;2000,4,5)))))</f>
        <v>4622112</v>
      </c>
    </row>
    <row r="652" spans="1:6" x14ac:dyDescent="0.15">
      <c r="A652" s="11" t="s">
        <v>668</v>
      </c>
      <c r="B652" s="12">
        <v>41179</v>
      </c>
      <c r="C652" s="13" t="s">
        <v>17</v>
      </c>
      <c r="D652" s="13">
        <v>1704</v>
      </c>
      <c r="E652" s="14">
        <f>VLOOKUP(C652,价格表!$B$2:$C$5,2,0)</f>
        <v>2800</v>
      </c>
      <c r="F652" s="14">
        <f>D652*E652*(1-HLOOKUP(C652,折扣表!$B$2:$E$6,IF(D652&lt;1000,2,IF(D652&lt;1500,3,IF(D652&lt;2000,4,5)))))</f>
        <v>4628064</v>
      </c>
    </row>
    <row r="653" spans="1:6" x14ac:dyDescent="0.15">
      <c r="A653" s="11" t="s">
        <v>669</v>
      </c>
      <c r="B653" s="12">
        <v>41180</v>
      </c>
      <c r="C653" s="13" t="s">
        <v>17</v>
      </c>
      <c r="D653" s="13">
        <v>1746</v>
      </c>
      <c r="E653" s="14">
        <f>VLOOKUP(C653,价格表!$B$2:$C$5,2,0)</f>
        <v>2800</v>
      </c>
      <c r="F653" s="14">
        <f>D653*E653*(1-HLOOKUP(C653,折扣表!$B$2:$E$6,IF(D653&lt;1000,2,IF(D653&lt;1500,3,IF(D653&lt;2000,4,5)))))</f>
        <v>4742136</v>
      </c>
    </row>
    <row r="654" spans="1:6" x14ac:dyDescent="0.15">
      <c r="A654" s="11" t="s">
        <v>670</v>
      </c>
      <c r="B654" s="12">
        <v>41180</v>
      </c>
      <c r="C654" s="13" t="s">
        <v>18</v>
      </c>
      <c r="D654" s="13">
        <v>1188</v>
      </c>
      <c r="E654" s="14">
        <f>VLOOKUP(C654,价格表!$B$2:$C$5,2,0)</f>
        <v>2100</v>
      </c>
      <c r="F654" s="14">
        <f>D654*E654*(1-HLOOKUP(C654,折扣表!$B$2:$E$6,IF(D654&lt;1000,2,IF(D654&lt;1500,3,IF(D654&lt;2000,4,5)))))</f>
        <v>2419956</v>
      </c>
    </row>
    <row r="655" spans="1:6" x14ac:dyDescent="0.15">
      <c r="A655" s="11" t="s">
        <v>671</v>
      </c>
      <c r="B655" s="12">
        <v>41181</v>
      </c>
      <c r="C655" s="13" t="s">
        <v>16</v>
      </c>
      <c r="D655" s="13">
        <v>1520</v>
      </c>
      <c r="E655" s="14">
        <f>VLOOKUP(C655,价格表!$B$2:$C$5,2,0)</f>
        <v>3200</v>
      </c>
      <c r="F655" s="14">
        <f>D655*E655*(1-HLOOKUP(C655,折扣表!$B$2:$E$6,IF(D655&lt;1000,2,IF(D655&lt;1500,3,IF(D655&lt;2000,4,5)))))</f>
        <v>4766720</v>
      </c>
    </row>
    <row r="656" spans="1:6" x14ac:dyDescent="0.15">
      <c r="A656" s="11" t="s">
        <v>672</v>
      </c>
      <c r="B656" s="12">
        <v>41181</v>
      </c>
      <c r="C656" s="13" t="s">
        <v>17</v>
      </c>
      <c r="D656" s="13">
        <v>1678</v>
      </c>
      <c r="E656" s="14">
        <f>VLOOKUP(C656,价格表!$B$2:$C$5,2,0)</f>
        <v>2800</v>
      </c>
      <c r="F656" s="14">
        <f>D656*E656*(1-HLOOKUP(C656,折扣表!$B$2:$E$6,IF(D656&lt;1000,2,IF(D656&lt;1500,3,IF(D656&lt;2000,4,5)))))</f>
        <v>4557448</v>
      </c>
    </row>
    <row r="657" spans="1:6" x14ac:dyDescent="0.15">
      <c r="A657" s="11" t="s">
        <v>673</v>
      </c>
      <c r="B657" s="12">
        <v>41181</v>
      </c>
      <c r="C657" s="13" t="s">
        <v>18</v>
      </c>
      <c r="D657" s="13">
        <v>1194</v>
      </c>
      <c r="E657" s="14">
        <f>VLOOKUP(C657,价格表!$B$2:$C$5,2,0)</f>
        <v>2100</v>
      </c>
      <c r="F657" s="14">
        <f>D657*E657*(1-HLOOKUP(C657,折扣表!$B$2:$E$6,IF(D657&lt;1000,2,IF(D657&lt;1500,3,IF(D657&lt;2000,4,5)))))</f>
        <v>2432178</v>
      </c>
    </row>
    <row r="658" spans="1:6" x14ac:dyDescent="0.15">
      <c r="A658" s="11" t="s">
        <v>674</v>
      </c>
      <c r="B658" s="12">
        <v>41182</v>
      </c>
      <c r="C658" s="13" t="s">
        <v>16</v>
      </c>
      <c r="D658" s="13">
        <v>1412</v>
      </c>
      <c r="E658" s="14">
        <f>VLOOKUP(C658,价格表!$B$2:$C$5,2,0)</f>
        <v>3200</v>
      </c>
      <c r="F658" s="14">
        <f>D658*E658*(1-HLOOKUP(C658,折扣表!$B$2:$E$6,IF(D658&lt;1000,2,IF(D658&lt;1500,3,IF(D658&lt;2000,4,5)))))</f>
        <v>4473216</v>
      </c>
    </row>
    <row r="659" spans="1:6" x14ac:dyDescent="0.15">
      <c r="A659" s="11" t="s">
        <v>675</v>
      </c>
      <c r="B659" s="12">
        <v>41182</v>
      </c>
      <c r="C659" s="13" t="s">
        <v>17</v>
      </c>
      <c r="D659" s="13">
        <v>1659</v>
      </c>
      <c r="E659" s="14">
        <f>VLOOKUP(C659,价格表!$B$2:$C$5,2,0)</f>
        <v>2800</v>
      </c>
      <c r="F659" s="14">
        <f>D659*E659*(1-HLOOKUP(C659,折扣表!$B$2:$E$6,IF(D659&lt;1000,2,IF(D659&lt;1500,3,IF(D659&lt;2000,4,5)))))</f>
        <v>4505844</v>
      </c>
    </row>
    <row r="660" spans="1:6" x14ac:dyDescent="0.15">
      <c r="A660" s="11" t="s">
        <v>676</v>
      </c>
      <c r="B660" s="12">
        <v>41182</v>
      </c>
      <c r="C660" s="13" t="s">
        <v>18</v>
      </c>
      <c r="D660" s="13">
        <v>1165</v>
      </c>
      <c r="E660" s="14">
        <f>VLOOKUP(C660,价格表!$B$2:$C$5,2,0)</f>
        <v>2100</v>
      </c>
      <c r="F660" s="14">
        <f>D660*E660*(1-HLOOKUP(C660,折扣表!$B$2:$E$6,IF(D660&lt;1000,2,IF(D660&lt;1500,3,IF(D660&lt;2000,4,5)))))</f>
        <v>2373105</v>
      </c>
    </row>
    <row r="661" spans="1:6" x14ac:dyDescent="0.15">
      <c r="A661" s="11" t="s">
        <v>677</v>
      </c>
      <c r="B661" s="12">
        <v>41183</v>
      </c>
      <c r="C661" s="13" t="s">
        <v>16</v>
      </c>
      <c r="D661" s="13">
        <v>1496</v>
      </c>
      <c r="E661" s="14">
        <f>VLOOKUP(C661,价格表!$B$2:$C$5,2,0)</f>
        <v>3200</v>
      </c>
      <c r="F661" s="14">
        <f>D661*E661*(1-HLOOKUP(C661,折扣表!$B$2:$E$6,IF(D661&lt;1000,2,IF(D661&lt;1500,3,IF(D661&lt;2000,4,5)))))</f>
        <v>4739328</v>
      </c>
    </row>
    <row r="662" spans="1:6" x14ac:dyDescent="0.15">
      <c r="A662" s="11" t="s">
        <v>678</v>
      </c>
      <c r="B662" s="12">
        <v>41183</v>
      </c>
      <c r="C662" s="13" t="s">
        <v>17</v>
      </c>
      <c r="D662" s="13">
        <v>1798</v>
      </c>
      <c r="E662" s="14">
        <f>VLOOKUP(C662,价格表!$B$2:$C$5,2,0)</f>
        <v>2800</v>
      </c>
      <c r="F662" s="14">
        <f>D662*E662*(1-HLOOKUP(C662,折扣表!$B$2:$E$6,IF(D662&lt;1000,2,IF(D662&lt;1500,3,IF(D662&lt;2000,4,5)))))</f>
        <v>4883368</v>
      </c>
    </row>
    <row r="663" spans="1:6" x14ac:dyDescent="0.15">
      <c r="A663" s="11" t="s">
        <v>679</v>
      </c>
      <c r="B663" s="12">
        <v>41183</v>
      </c>
      <c r="C663" s="13" t="s">
        <v>18</v>
      </c>
      <c r="D663" s="13">
        <v>1110</v>
      </c>
      <c r="E663" s="14">
        <f>VLOOKUP(C663,价格表!$B$2:$C$5,2,0)</f>
        <v>2100</v>
      </c>
      <c r="F663" s="14">
        <f>D663*E663*(1-HLOOKUP(C663,折扣表!$B$2:$E$6,IF(D663&lt;1000,2,IF(D663&lt;1500,3,IF(D663&lt;2000,4,5)))))</f>
        <v>2261070</v>
      </c>
    </row>
    <row r="664" spans="1:6" x14ac:dyDescent="0.15">
      <c r="A664" s="11" t="s">
        <v>680</v>
      </c>
      <c r="B664" s="12">
        <v>41184</v>
      </c>
      <c r="C664" s="13" t="s">
        <v>16</v>
      </c>
      <c r="D664" s="13">
        <v>1575</v>
      </c>
      <c r="E664" s="14">
        <f>VLOOKUP(C664,价格表!$B$2:$C$5,2,0)</f>
        <v>3200</v>
      </c>
      <c r="F664" s="14">
        <f>D664*E664*(1-HLOOKUP(C664,折扣表!$B$2:$E$6,IF(D664&lt;1000,2,IF(D664&lt;1500,3,IF(D664&lt;2000,4,5)))))</f>
        <v>4939200</v>
      </c>
    </row>
    <row r="665" spans="1:6" x14ac:dyDescent="0.15">
      <c r="A665" s="11" t="s">
        <v>681</v>
      </c>
      <c r="B665" s="12">
        <v>41184</v>
      </c>
      <c r="C665" s="13" t="s">
        <v>17</v>
      </c>
      <c r="D665" s="13">
        <v>1727</v>
      </c>
      <c r="E665" s="14">
        <f>VLOOKUP(C665,价格表!$B$2:$C$5,2,0)</f>
        <v>2800</v>
      </c>
      <c r="F665" s="14">
        <f>D665*E665*(1-HLOOKUP(C665,折扣表!$B$2:$E$6,IF(D665&lt;1000,2,IF(D665&lt;1500,3,IF(D665&lt;2000,4,5)))))</f>
        <v>4690532</v>
      </c>
    </row>
    <row r="666" spans="1:6" x14ac:dyDescent="0.15">
      <c r="A666" s="11" t="s">
        <v>682</v>
      </c>
      <c r="B666" s="12">
        <v>41184</v>
      </c>
      <c r="C666" s="13" t="s">
        <v>18</v>
      </c>
      <c r="D666" s="13">
        <v>1077</v>
      </c>
      <c r="E666" s="14">
        <f>VLOOKUP(C666,价格表!$B$2:$C$5,2,0)</f>
        <v>2100</v>
      </c>
      <c r="F666" s="14">
        <f>D666*E666*(1-HLOOKUP(C666,折扣表!$B$2:$E$6,IF(D666&lt;1000,2,IF(D666&lt;1500,3,IF(D666&lt;2000,4,5)))))</f>
        <v>2193849</v>
      </c>
    </row>
    <row r="667" spans="1:6" x14ac:dyDescent="0.15">
      <c r="A667" s="11" t="s">
        <v>683</v>
      </c>
      <c r="B667" s="12">
        <v>41185</v>
      </c>
      <c r="C667" s="13" t="s">
        <v>16</v>
      </c>
      <c r="D667" s="13">
        <v>1541</v>
      </c>
      <c r="E667" s="14">
        <f>VLOOKUP(C667,价格表!$B$2:$C$5,2,0)</f>
        <v>3200</v>
      </c>
      <c r="F667" s="14">
        <f>D667*E667*(1-HLOOKUP(C667,折扣表!$B$2:$E$6,IF(D667&lt;1000,2,IF(D667&lt;1500,3,IF(D667&lt;2000,4,5)))))</f>
        <v>4832576</v>
      </c>
    </row>
    <row r="668" spans="1:6" x14ac:dyDescent="0.15">
      <c r="A668" s="11" t="s">
        <v>684</v>
      </c>
      <c r="B668" s="12">
        <v>41185</v>
      </c>
      <c r="C668" s="13" t="s">
        <v>18</v>
      </c>
      <c r="D668" s="13">
        <v>1139</v>
      </c>
      <c r="E668" s="14">
        <f>VLOOKUP(C668,价格表!$B$2:$C$5,2,0)</f>
        <v>2100</v>
      </c>
      <c r="F668" s="14">
        <f>D668*E668*(1-HLOOKUP(C668,折扣表!$B$2:$E$6,IF(D668&lt;1000,2,IF(D668&lt;1500,3,IF(D668&lt;2000,4,5)))))</f>
        <v>2320143</v>
      </c>
    </row>
    <row r="669" spans="1:6" x14ac:dyDescent="0.15">
      <c r="A669" s="11" t="s">
        <v>685</v>
      </c>
      <c r="B669" s="12">
        <v>41186</v>
      </c>
      <c r="C669" s="13" t="s">
        <v>16</v>
      </c>
      <c r="D669" s="13">
        <v>1486</v>
      </c>
      <c r="E669" s="14">
        <f>VLOOKUP(C669,价格表!$B$2:$C$5,2,0)</f>
        <v>3200</v>
      </c>
      <c r="F669" s="14">
        <f>D669*E669*(1-HLOOKUP(C669,折扣表!$B$2:$E$6,IF(D669&lt;1000,2,IF(D669&lt;1500,3,IF(D669&lt;2000,4,5)))))</f>
        <v>4707648</v>
      </c>
    </row>
    <row r="670" spans="1:6" x14ac:dyDescent="0.15">
      <c r="A670" s="11" t="s">
        <v>686</v>
      </c>
      <c r="B670" s="12">
        <v>41186</v>
      </c>
      <c r="C670" s="13" t="s">
        <v>17</v>
      </c>
      <c r="D670" s="13">
        <v>1867</v>
      </c>
      <c r="E670" s="14">
        <f>VLOOKUP(C670,价格表!$B$2:$C$5,2,0)</f>
        <v>2800</v>
      </c>
      <c r="F670" s="14">
        <f>D670*E670*(1-HLOOKUP(C670,折扣表!$B$2:$E$6,IF(D670&lt;1000,2,IF(D670&lt;1500,3,IF(D670&lt;2000,4,5)))))</f>
        <v>5070772</v>
      </c>
    </row>
    <row r="671" spans="1:6" x14ac:dyDescent="0.15">
      <c r="A671" s="11" t="s">
        <v>687</v>
      </c>
      <c r="B671" s="12">
        <v>41187</v>
      </c>
      <c r="C671" s="13" t="s">
        <v>16</v>
      </c>
      <c r="D671" s="13">
        <v>1533</v>
      </c>
      <c r="E671" s="14">
        <f>VLOOKUP(C671,价格表!$B$2:$C$5,2,0)</f>
        <v>3200</v>
      </c>
      <c r="F671" s="14">
        <f>D671*E671*(1-HLOOKUP(C671,折扣表!$B$2:$E$6,IF(D671&lt;1000,2,IF(D671&lt;1500,3,IF(D671&lt;2000,4,5)))))</f>
        <v>4807488</v>
      </c>
    </row>
    <row r="672" spans="1:6" x14ac:dyDescent="0.15">
      <c r="A672" s="11" t="s">
        <v>688</v>
      </c>
      <c r="B672" s="12">
        <v>41187</v>
      </c>
      <c r="C672" s="13" t="s">
        <v>17</v>
      </c>
      <c r="D672" s="13">
        <v>1758</v>
      </c>
      <c r="E672" s="14">
        <f>VLOOKUP(C672,价格表!$B$2:$C$5,2,0)</f>
        <v>2800</v>
      </c>
      <c r="F672" s="14">
        <f>D672*E672*(1-HLOOKUP(C672,折扣表!$B$2:$E$6,IF(D672&lt;1000,2,IF(D672&lt;1500,3,IF(D672&lt;2000,4,5)))))</f>
        <v>4774728</v>
      </c>
    </row>
    <row r="673" spans="1:6" x14ac:dyDescent="0.15">
      <c r="A673" s="11" t="s">
        <v>689</v>
      </c>
      <c r="B673" s="12">
        <v>41187</v>
      </c>
      <c r="C673" s="13" t="s">
        <v>18</v>
      </c>
      <c r="D673" s="13">
        <v>1077</v>
      </c>
      <c r="E673" s="14">
        <f>VLOOKUP(C673,价格表!$B$2:$C$5,2,0)</f>
        <v>2100</v>
      </c>
      <c r="F673" s="14">
        <f>D673*E673*(1-HLOOKUP(C673,折扣表!$B$2:$E$6,IF(D673&lt;1000,2,IF(D673&lt;1500,3,IF(D673&lt;2000,4,5)))))</f>
        <v>2193849</v>
      </c>
    </row>
    <row r="674" spans="1:6" x14ac:dyDescent="0.15">
      <c r="A674" s="11" t="s">
        <v>690</v>
      </c>
      <c r="B674" s="12">
        <v>41188</v>
      </c>
      <c r="C674" s="13" t="s">
        <v>16</v>
      </c>
      <c r="D674" s="13">
        <v>1377</v>
      </c>
      <c r="E674" s="14">
        <f>VLOOKUP(C674,价格表!$B$2:$C$5,2,0)</f>
        <v>3200</v>
      </c>
      <c r="F674" s="14">
        <f>D674*E674*(1-HLOOKUP(C674,折扣表!$B$2:$E$6,IF(D674&lt;1000,2,IF(D674&lt;1500,3,IF(D674&lt;2000,4,5)))))</f>
        <v>4362336</v>
      </c>
    </row>
    <row r="675" spans="1:6" x14ac:dyDescent="0.15">
      <c r="A675" s="11" t="s">
        <v>691</v>
      </c>
      <c r="B675" s="12">
        <v>41188</v>
      </c>
      <c r="C675" s="13" t="s">
        <v>18</v>
      </c>
      <c r="D675" s="13">
        <v>1085</v>
      </c>
      <c r="E675" s="14">
        <f>VLOOKUP(C675,价格表!$B$2:$C$5,2,0)</f>
        <v>2100</v>
      </c>
      <c r="F675" s="14">
        <f>D675*E675*(1-HLOOKUP(C675,折扣表!$B$2:$E$6,IF(D675&lt;1000,2,IF(D675&lt;1500,3,IF(D675&lt;2000,4,5)))))</f>
        <v>2210145</v>
      </c>
    </row>
    <row r="676" spans="1:6" x14ac:dyDescent="0.15">
      <c r="A676" s="11" t="s">
        <v>692</v>
      </c>
      <c r="B676" s="12">
        <v>41189</v>
      </c>
      <c r="C676" s="13" t="s">
        <v>17</v>
      </c>
      <c r="D676" s="13">
        <v>1808</v>
      </c>
      <c r="E676" s="14">
        <f>VLOOKUP(C676,价格表!$B$2:$C$5,2,0)</f>
        <v>2800</v>
      </c>
      <c r="F676" s="14">
        <f>D676*E676*(1-HLOOKUP(C676,折扣表!$B$2:$E$6,IF(D676&lt;1000,2,IF(D676&lt;1500,3,IF(D676&lt;2000,4,5)))))</f>
        <v>4910528</v>
      </c>
    </row>
    <row r="677" spans="1:6" x14ac:dyDescent="0.15">
      <c r="A677" s="11" t="s">
        <v>693</v>
      </c>
      <c r="B677" s="12">
        <v>41189</v>
      </c>
      <c r="C677" s="13" t="s">
        <v>18</v>
      </c>
      <c r="D677" s="13">
        <v>1112</v>
      </c>
      <c r="E677" s="14">
        <f>VLOOKUP(C677,价格表!$B$2:$C$5,2,0)</f>
        <v>2100</v>
      </c>
      <c r="F677" s="14">
        <f>D677*E677*(1-HLOOKUP(C677,折扣表!$B$2:$E$6,IF(D677&lt;1000,2,IF(D677&lt;1500,3,IF(D677&lt;2000,4,5)))))</f>
        <v>2265144</v>
      </c>
    </row>
    <row r="678" spans="1:6" x14ac:dyDescent="0.15">
      <c r="A678" s="11" t="s">
        <v>694</v>
      </c>
      <c r="B678" s="12">
        <v>41190</v>
      </c>
      <c r="C678" s="13" t="s">
        <v>16</v>
      </c>
      <c r="D678" s="13">
        <v>1270</v>
      </c>
      <c r="E678" s="14">
        <f>VLOOKUP(C678,价格表!$B$2:$C$5,2,0)</f>
        <v>3200</v>
      </c>
      <c r="F678" s="14">
        <f>D678*E678*(1-HLOOKUP(C678,折扣表!$B$2:$E$6,IF(D678&lt;1000,2,IF(D678&lt;1500,3,IF(D678&lt;2000,4,5)))))</f>
        <v>4023360</v>
      </c>
    </row>
    <row r="679" spans="1:6" x14ac:dyDescent="0.15">
      <c r="A679" s="11" t="s">
        <v>695</v>
      </c>
      <c r="B679" s="12">
        <v>41190</v>
      </c>
      <c r="C679" s="13" t="s">
        <v>17</v>
      </c>
      <c r="D679" s="13">
        <v>1707</v>
      </c>
      <c r="E679" s="14">
        <f>VLOOKUP(C679,价格表!$B$2:$C$5,2,0)</f>
        <v>2800</v>
      </c>
      <c r="F679" s="14">
        <f>D679*E679*(1-HLOOKUP(C679,折扣表!$B$2:$E$6,IF(D679&lt;1000,2,IF(D679&lt;1500,3,IF(D679&lt;2000,4,5)))))</f>
        <v>4636212</v>
      </c>
    </row>
    <row r="680" spans="1:6" x14ac:dyDescent="0.15">
      <c r="A680" s="11" t="s">
        <v>696</v>
      </c>
      <c r="B680" s="12">
        <v>41190</v>
      </c>
      <c r="C680" s="13" t="s">
        <v>18</v>
      </c>
      <c r="D680" s="13">
        <v>1131</v>
      </c>
      <c r="E680" s="14">
        <f>VLOOKUP(C680,价格表!$B$2:$C$5,2,0)</f>
        <v>2100</v>
      </c>
      <c r="F680" s="14">
        <f>D680*E680*(1-HLOOKUP(C680,折扣表!$B$2:$E$6,IF(D680&lt;1000,2,IF(D680&lt;1500,3,IF(D680&lt;2000,4,5)))))</f>
        <v>2303847</v>
      </c>
    </row>
    <row r="681" spans="1:6" x14ac:dyDescent="0.15">
      <c r="A681" s="11" t="s">
        <v>697</v>
      </c>
      <c r="B681" s="12">
        <v>41191</v>
      </c>
      <c r="C681" s="13" t="s">
        <v>16</v>
      </c>
      <c r="D681" s="13">
        <v>1529</v>
      </c>
      <c r="E681" s="14">
        <f>VLOOKUP(C681,价格表!$B$2:$C$5,2,0)</f>
        <v>3200</v>
      </c>
      <c r="F681" s="14">
        <f>D681*E681*(1-HLOOKUP(C681,折扣表!$B$2:$E$6,IF(D681&lt;1000,2,IF(D681&lt;1500,3,IF(D681&lt;2000,4,5)))))</f>
        <v>4794944</v>
      </c>
    </row>
    <row r="682" spans="1:6" x14ac:dyDescent="0.15">
      <c r="A682" s="11" t="s">
        <v>698</v>
      </c>
      <c r="B682" s="12">
        <v>41191</v>
      </c>
      <c r="C682" s="13" t="s">
        <v>17</v>
      </c>
      <c r="D682" s="13">
        <v>1759</v>
      </c>
      <c r="E682" s="14">
        <f>VLOOKUP(C682,价格表!$B$2:$C$5,2,0)</f>
        <v>2800</v>
      </c>
      <c r="F682" s="14">
        <f>D682*E682*(1-HLOOKUP(C682,折扣表!$B$2:$E$6,IF(D682&lt;1000,2,IF(D682&lt;1500,3,IF(D682&lt;2000,4,5)))))</f>
        <v>4777444</v>
      </c>
    </row>
    <row r="683" spans="1:6" x14ac:dyDescent="0.15">
      <c r="A683" s="11" t="s">
        <v>699</v>
      </c>
      <c r="B683" s="12">
        <v>41191</v>
      </c>
      <c r="C683" s="13" t="s">
        <v>18</v>
      </c>
      <c r="D683" s="13">
        <v>1116</v>
      </c>
      <c r="E683" s="14">
        <f>VLOOKUP(C683,价格表!$B$2:$C$5,2,0)</f>
        <v>2100</v>
      </c>
      <c r="F683" s="14">
        <f>D683*E683*(1-HLOOKUP(C683,折扣表!$B$2:$E$6,IF(D683&lt;1000,2,IF(D683&lt;1500,3,IF(D683&lt;2000,4,5)))))</f>
        <v>2273292</v>
      </c>
    </row>
    <row r="684" spans="1:6" x14ac:dyDescent="0.15">
      <c r="A684" s="11" t="s">
        <v>700</v>
      </c>
      <c r="B684" s="12">
        <v>41192</v>
      </c>
      <c r="C684" s="13" t="s">
        <v>16</v>
      </c>
      <c r="D684" s="13">
        <v>1555</v>
      </c>
      <c r="E684" s="14">
        <f>VLOOKUP(C684,价格表!$B$2:$C$5,2,0)</f>
        <v>3200</v>
      </c>
      <c r="F684" s="14">
        <f>D684*E684*(1-HLOOKUP(C684,折扣表!$B$2:$E$6,IF(D684&lt;1000,2,IF(D684&lt;1500,3,IF(D684&lt;2000,4,5)))))</f>
        <v>4876480</v>
      </c>
    </row>
    <row r="685" spans="1:6" x14ac:dyDescent="0.15">
      <c r="A685" s="11" t="s">
        <v>701</v>
      </c>
      <c r="B685" s="12">
        <v>41192</v>
      </c>
      <c r="C685" s="13" t="s">
        <v>17</v>
      </c>
      <c r="D685" s="13">
        <v>1853</v>
      </c>
      <c r="E685" s="14">
        <f>VLOOKUP(C685,价格表!$B$2:$C$5,2,0)</f>
        <v>2800</v>
      </c>
      <c r="F685" s="14">
        <f>D685*E685*(1-HLOOKUP(C685,折扣表!$B$2:$E$6,IF(D685&lt;1000,2,IF(D685&lt;1500,3,IF(D685&lt;2000,4,5)))))</f>
        <v>5032748</v>
      </c>
    </row>
    <row r="686" spans="1:6" x14ac:dyDescent="0.15">
      <c r="A686" s="11" t="s">
        <v>702</v>
      </c>
      <c r="B686" s="12">
        <v>41192</v>
      </c>
      <c r="C686" s="13" t="s">
        <v>18</v>
      </c>
      <c r="D686" s="13">
        <v>1095</v>
      </c>
      <c r="E686" s="14">
        <f>VLOOKUP(C686,价格表!$B$2:$C$5,2,0)</f>
        <v>2100</v>
      </c>
      <c r="F686" s="14">
        <f>D686*E686*(1-HLOOKUP(C686,折扣表!$B$2:$E$6,IF(D686&lt;1000,2,IF(D686&lt;1500,3,IF(D686&lt;2000,4,5)))))</f>
        <v>2230515</v>
      </c>
    </row>
    <row r="687" spans="1:6" x14ac:dyDescent="0.15">
      <c r="A687" s="11" t="s">
        <v>703</v>
      </c>
      <c r="B687" s="12">
        <v>41193</v>
      </c>
      <c r="C687" s="13" t="s">
        <v>16</v>
      </c>
      <c r="D687" s="13">
        <v>1342</v>
      </c>
      <c r="E687" s="14">
        <f>VLOOKUP(C687,价格表!$B$2:$C$5,2,0)</f>
        <v>3200</v>
      </c>
      <c r="F687" s="14">
        <f>D687*E687*(1-HLOOKUP(C687,折扣表!$B$2:$E$6,IF(D687&lt;1000,2,IF(D687&lt;1500,3,IF(D687&lt;2000,4,5)))))</f>
        <v>4251456</v>
      </c>
    </row>
    <row r="688" spans="1:6" x14ac:dyDescent="0.15">
      <c r="A688" s="11" t="s">
        <v>704</v>
      </c>
      <c r="B688" s="12">
        <v>41193</v>
      </c>
      <c r="C688" s="13" t="s">
        <v>17</v>
      </c>
      <c r="D688" s="13">
        <v>1770</v>
      </c>
      <c r="E688" s="14">
        <f>VLOOKUP(C688,价格表!$B$2:$C$5,2,0)</f>
        <v>2800</v>
      </c>
      <c r="F688" s="14">
        <f>D688*E688*(1-HLOOKUP(C688,折扣表!$B$2:$E$6,IF(D688&lt;1000,2,IF(D688&lt;1500,3,IF(D688&lt;2000,4,5)))))</f>
        <v>4807320</v>
      </c>
    </row>
    <row r="689" spans="1:6" x14ac:dyDescent="0.15">
      <c r="A689" s="11" t="s">
        <v>705</v>
      </c>
      <c r="B689" s="12">
        <v>41193</v>
      </c>
      <c r="C689" s="13" t="s">
        <v>18</v>
      </c>
      <c r="D689" s="13">
        <v>1112</v>
      </c>
      <c r="E689" s="14">
        <f>VLOOKUP(C689,价格表!$B$2:$C$5,2,0)</f>
        <v>2100</v>
      </c>
      <c r="F689" s="14">
        <f>D689*E689*(1-HLOOKUP(C689,折扣表!$B$2:$E$6,IF(D689&lt;1000,2,IF(D689&lt;1500,3,IF(D689&lt;2000,4,5)))))</f>
        <v>2265144</v>
      </c>
    </row>
    <row r="690" spans="1:6" x14ac:dyDescent="0.15">
      <c r="A690" s="11" t="s">
        <v>706</v>
      </c>
      <c r="B690" s="12">
        <v>41194</v>
      </c>
      <c r="C690" s="13" t="s">
        <v>16</v>
      </c>
      <c r="D690" s="13">
        <v>1329</v>
      </c>
      <c r="E690" s="14">
        <f>VLOOKUP(C690,价格表!$B$2:$C$5,2,0)</f>
        <v>3200</v>
      </c>
      <c r="F690" s="14">
        <f>D690*E690*(1-HLOOKUP(C690,折扣表!$B$2:$E$6,IF(D690&lt;1000,2,IF(D690&lt;1500,3,IF(D690&lt;2000,4,5)))))</f>
        <v>4210272</v>
      </c>
    </row>
    <row r="691" spans="1:6" x14ac:dyDescent="0.15">
      <c r="A691" s="11" t="s">
        <v>707</v>
      </c>
      <c r="B691" s="12">
        <v>41194</v>
      </c>
      <c r="C691" s="13" t="s">
        <v>17</v>
      </c>
      <c r="D691" s="13">
        <v>1754</v>
      </c>
      <c r="E691" s="14">
        <f>VLOOKUP(C691,价格表!$B$2:$C$5,2,0)</f>
        <v>2800</v>
      </c>
      <c r="F691" s="14">
        <f>D691*E691*(1-HLOOKUP(C691,折扣表!$B$2:$E$6,IF(D691&lt;1000,2,IF(D691&lt;1500,3,IF(D691&lt;2000,4,5)))))</f>
        <v>4763864</v>
      </c>
    </row>
    <row r="692" spans="1:6" x14ac:dyDescent="0.15">
      <c r="A692" s="11" t="s">
        <v>708</v>
      </c>
      <c r="B692" s="12">
        <v>41194</v>
      </c>
      <c r="C692" s="13" t="s">
        <v>18</v>
      </c>
      <c r="D692" s="13">
        <v>1106</v>
      </c>
      <c r="E692" s="14">
        <f>VLOOKUP(C692,价格表!$B$2:$C$5,2,0)</f>
        <v>2100</v>
      </c>
      <c r="F692" s="14">
        <f>D692*E692*(1-HLOOKUP(C692,折扣表!$B$2:$E$6,IF(D692&lt;1000,2,IF(D692&lt;1500,3,IF(D692&lt;2000,4,5)))))</f>
        <v>2252922</v>
      </c>
    </row>
    <row r="693" spans="1:6" x14ac:dyDescent="0.15">
      <c r="A693" s="11" t="s">
        <v>709</v>
      </c>
      <c r="B693" s="12">
        <v>41195</v>
      </c>
      <c r="C693" s="13" t="s">
        <v>16</v>
      </c>
      <c r="D693" s="13">
        <v>1209</v>
      </c>
      <c r="E693" s="14">
        <f>VLOOKUP(C693,价格表!$B$2:$C$5,2,0)</f>
        <v>3200</v>
      </c>
      <c r="F693" s="14">
        <f>D693*E693*(1-HLOOKUP(C693,折扣表!$B$2:$E$6,IF(D693&lt;1000,2,IF(D693&lt;1500,3,IF(D693&lt;2000,4,5)))))</f>
        <v>3830112</v>
      </c>
    </row>
    <row r="694" spans="1:6" x14ac:dyDescent="0.15">
      <c r="A694" s="11" t="s">
        <v>710</v>
      </c>
      <c r="B694" s="12">
        <v>41195</v>
      </c>
      <c r="C694" s="13" t="s">
        <v>17</v>
      </c>
      <c r="D694" s="13">
        <v>1751</v>
      </c>
      <c r="E694" s="14">
        <f>VLOOKUP(C694,价格表!$B$2:$C$5,2,0)</f>
        <v>2800</v>
      </c>
      <c r="F694" s="14">
        <f>D694*E694*(1-HLOOKUP(C694,折扣表!$B$2:$E$6,IF(D694&lt;1000,2,IF(D694&lt;1500,3,IF(D694&lt;2000,4,5)))))</f>
        <v>4755716</v>
      </c>
    </row>
    <row r="695" spans="1:6" x14ac:dyDescent="0.15">
      <c r="A695" s="11" t="s">
        <v>711</v>
      </c>
      <c r="B695" s="12">
        <v>41195</v>
      </c>
      <c r="C695" s="13" t="s">
        <v>18</v>
      </c>
      <c r="D695" s="13">
        <v>1122</v>
      </c>
      <c r="E695" s="14">
        <f>VLOOKUP(C695,价格表!$B$2:$C$5,2,0)</f>
        <v>2100</v>
      </c>
      <c r="F695" s="14">
        <f>D695*E695*(1-HLOOKUP(C695,折扣表!$B$2:$E$6,IF(D695&lt;1000,2,IF(D695&lt;1500,3,IF(D695&lt;2000,4,5)))))</f>
        <v>2285514</v>
      </c>
    </row>
    <row r="696" spans="1:6" x14ac:dyDescent="0.15">
      <c r="A696" s="11" t="s">
        <v>712</v>
      </c>
      <c r="B696" s="12">
        <v>41196</v>
      </c>
      <c r="C696" s="13" t="s">
        <v>16</v>
      </c>
      <c r="D696" s="13">
        <v>1445</v>
      </c>
      <c r="E696" s="14">
        <f>VLOOKUP(C696,价格表!$B$2:$C$5,2,0)</f>
        <v>3200</v>
      </c>
      <c r="F696" s="14">
        <f>D696*E696*(1-HLOOKUP(C696,折扣表!$B$2:$E$6,IF(D696&lt;1000,2,IF(D696&lt;1500,3,IF(D696&lt;2000,4,5)))))</f>
        <v>4577760</v>
      </c>
    </row>
    <row r="697" spans="1:6" x14ac:dyDescent="0.15">
      <c r="A697" s="11" t="s">
        <v>713</v>
      </c>
      <c r="B697" s="12">
        <v>41196</v>
      </c>
      <c r="C697" s="13" t="s">
        <v>17</v>
      </c>
      <c r="D697" s="13">
        <v>1718</v>
      </c>
      <c r="E697" s="14">
        <f>VLOOKUP(C697,价格表!$B$2:$C$5,2,0)</f>
        <v>2800</v>
      </c>
      <c r="F697" s="14">
        <f>D697*E697*(1-HLOOKUP(C697,折扣表!$B$2:$E$6,IF(D697&lt;1000,2,IF(D697&lt;1500,3,IF(D697&lt;2000,4,5)))))</f>
        <v>4666088</v>
      </c>
    </row>
    <row r="698" spans="1:6" x14ac:dyDescent="0.15">
      <c r="A698" s="11" t="s">
        <v>714</v>
      </c>
      <c r="B698" s="12">
        <v>41196</v>
      </c>
      <c r="C698" s="13" t="s">
        <v>18</v>
      </c>
      <c r="D698" s="13">
        <v>1082</v>
      </c>
      <c r="E698" s="14">
        <f>VLOOKUP(C698,价格表!$B$2:$C$5,2,0)</f>
        <v>2100</v>
      </c>
      <c r="F698" s="14">
        <f>D698*E698*(1-HLOOKUP(C698,折扣表!$B$2:$E$6,IF(D698&lt;1000,2,IF(D698&lt;1500,3,IF(D698&lt;2000,4,5)))))</f>
        <v>2204034</v>
      </c>
    </row>
    <row r="699" spans="1:6" x14ac:dyDescent="0.15">
      <c r="A699" s="11" t="s">
        <v>715</v>
      </c>
      <c r="B699" s="12">
        <v>41197</v>
      </c>
      <c r="C699" s="13" t="s">
        <v>16</v>
      </c>
      <c r="D699" s="13">
        <v>1567</v>
      </c>
      <c r="E699" s="14">
        <f>VLOOKUP(C699,价格表!$B$2:$C$5,2,0)</f>
        <v>3200</v>
      </c>
      <c r="F699" s="14">
        <f>D699*E699*(1-HLOOKUP(C699,折扣表!$B$2:$E$6,IF(D699&lt;1000,2,IF(D699&lt;1500,3,IF(D699&lt;2000,4,5)))))</f>
        <v>4914112</v>
      </c>
    </row>
    <row r="700" spans="1:6" x14ac:dyDescent="0.15">
      <c r="A700" s="11" t="s">
        <v>716</v>
      </c>
      <c r="B700" s="12">
        <v>41197</v>
      </c>
      <c r="C700" s="13" t="s">
        <v>18</v>
      </c>
      <c r="D700" s="13">
        <v>1062</v>
      </c>
      <c r="E700" s="14">
        <f>VLOOKUP(C700,价格表!$B$2:$C$5,2,0)</f>
        <v>2100</v>
      </c>
      <c r="F700" s="14">
        <f>D700*E700*(1-HLOOKUP(C700,折扣表!$B$2:$E$6,IF(D700&lt;1000,2,IF(D700&lt;1500,3,IF(D700&lt;2000,4,5)))))</f>
        <v>2163294</v>
      </c>
    </row>
    <row r="701" spans="1:6" x14ac:dyDescent="0.15">
      <c r="A701" s="11" t="s">
        <v>717</v>
      </c>
      <c r="B701" s="12">
        <v>41198</v>
      </c>
      <c r="C701" s="13" t="s">
        <v>16</v>
      </c>
      <c r="D701" s="13">
        <v>1232</v>
      </c>
      <c r="E701" s="14">
        <f>VLOOKUP(C701,价格表!$B$2:$C$5,2,0)</f>
        <v>3200</v>
      </c>
      <c r="F701" s="14">
        <f>D701*E701*(1-HLOOKUP(C701,折扣表!$B$2:$E$6,IF(D701&lt;1000,2,IF(D701&lt;1500,3,IF(D701&lt;2000,4,5)))))</f>
        <v>3902976</v>
      </c>
    </row>
    <row r="702" spans="1:6" x14ac:dyDescent="0.15">
      <c r="A702" s="11" t="s">
        <v>718</v>
      </c>
      <c r="B702" s="12">
        <v>41198</v>
      </c>
      <c r="C702" s="13" t="s">
        <v>18</v>
      </c>
      <c r="D702" s="13">
        <v>1088</v>
      </c>
      <c r="E702" s="14">
        <f>VLOOKUP(C702,价格表!$B$2:$C$5,2,0)</f>
        <v>2100</v>
      </c>
      <c r="F702" s="14">
        <f>D702*E702*(1-HLOOKUP(C702,折扣表!$B$2:$E$6,IF(D702&lt;1000,2,IF(D702&lt;1500,3,IF(D702&lt;2000,4,5)))))</f>
        <v>2216256</v>
      </c>
    </row>
    <row r="703" spans="1:6" x14ac:dyDescent="0.15">
      <c r="A703" s="11" t="s">
        <v>719</v>
      </c>
      <c r="B703" s="12">
        <v>41199</v>
      </c>
      <c r="C703" s="13" t="s">
        <v>16</v>
      </c>
      <c r="D703" s="13">
        <v>1204</v>
      </c>
      <c r="E703" s="14">
        <f>VLOOKUP(C703,价格表!$B$2:$C$5,2,0)</f>
        <v>3200</v>
      </c>
      <c r="F703" s="14">
        <f>D703*E703*(1-HLOOKUP(C703,折扣表!$B$2:$E$6,IF(D703&lt;1000,2,IF(D703&lt;1500,3,IF(D703&lt;2000,4,5)))))</f>
        <v>3814272</v>
      </c>
    </row>
    <row r="704" spans="1:6" x14ac:dyDescent="0.15">
      <c r="A704" s="11" t="s">
        <v>720</v>
      </c>
      <c r="B704" s="12">
        <v>41199</v>
      </c>
      <c r="C704" s="13" t="s">
        <v>17</v>
      </c>
      <c r="D704" s="13">
        <v>1766</v>
      </c>
      <c r="E704" s="14">
        <f>VLOOKUP(C704,价格表!$B$2:$C$5,2,0)</f>
        <v>2800</v>
      </c>
      <c r="F704" s="14">
        <f>D704*E704*(1-HLOOKUP(C704,折扣表!$B$2:$E$6,IF(D704&lt;1000,2,IF(D704&lt;1500,3,IF(D704&lt;2000,4,5)))))</f>
        <v>4796456</v>
      </c>
    </row>
    <row r="705" spans="1:6" x14ac:dyDescent="0.15">
      <c r="A705" s="11" t="s">
        <v>721</v>
      </c>
      <c r="B705" s="12">
        <v>41199</v>
      </c>
      <c r="C705" s="13" t="s">
        <v>18</v>
      </c>
      <c r="D705" s="13">
        <v>1122</v>
      </c>
      <c r="E705" s="14">
        <f>VLOOKUP(C705,价格表!$B$2:$C$5,2,0)</f>
        <v>2100</v>
      </c>
      <c r="F705" s="14">
        <f>D705*E705*(1-HLOOKUP(C705,折扣表!$B$2:$E$6,IF(D705&lt;1000,2,IF(D705&lt;1500,3,IF(D705&lt;2000,4,5)))))</f>
        <v>2285514</v>
      </c>
    </row>
    <row r="706" spans="1:6" x14ac:dyDescent="0.15">
      <c r="A706" s="11" t="s">
        <v>722</v>
      </c>
      <c r="B706" s="12">
        <v>41200</v>
      </c>
      <c r="C706" s="13" t="s">
        <v>16</v>
      </c>
      <c r="D706" s="13">
        <v>1525</v>
      </c>
      <c r="E706" s="14">
        <f>VLOOKUP(C706,价格表!$B$2:$C$5,2,0)</f>
        <v>3200</v>
      </c>
      <c r="F706" s="14">
        <f>D706*E706*(1-HLOOKUP(C706,折扣表!$B$2:$E$6,IF(D706&lt;1000,2,IF(D706&lt;1500,3,IF(D706&lt;2000,4,5)))))</f>
        <v>4782400</v>
      </c>
    </row>
    <row r="707" spans="1:6" x14ac:dyDescent="0.15">
      <c r="A707" s="11" t="s">
        <v>723</v>
      </c>
      <c r="B707" s="12">
        <v>41200</v>
      </c>
      <c r="C707" s="13" t="s">
        <v>17</v>
      </c>
      <c r="D707" s="13">
        <v>1851</v>
      </c>
      <c r="E707" s="14">
        <f>VLOOKUP(C707,价格表!$B$2:$C$5,2,0)</f>
        <v>2800</v>
      </c>
      <c r="F707" s="14">
        <f>D707*E707*(1-HLOOKUP(C707,折扣表!$B$2:$E$6,IF(D707&lt;1000,2,IF(D707&lt;1500,3,IF(D707&lt;2000,4,5)))))</f>
        <v>5027316</v>
      </c>
    </row>
    <row r="708" spans="1:6" x14ac:dyDescent="0.15">
      <c r="A708" s="11" t="s">
        <v>724</v>
      </c>
      <c r="B708" s="12">
        <v>41200</v>
      </c>
      <c r="C708" s="13" t="s">
        <v>18</v>
      </c>
      <c r="D708" s="13">
        <v>1095</v>
      </c>
      <c r="E708" s="14">
        <f>VLOOKUP(C708,价格表!$B$2:$C$5,2,0)</f>
        <v>2100</v>
      </c>
      <c r="F708" s="14">
        <f>D708*E708*(1-HLOOKUP(C708,折扣表!$B$2:$E$6,IF(D708&lt;1000,2,IF(D708&lt;1500,3,IF(D708&lt;2000,4,5)))))</f>
        <v>2230515</v>
      </c>
    </row>
    <row r="709" spans="1:6" x14ac:dyDescent="0.15">
      <c r="A709" s="11" t="s">
        <v>725</v>
      </c>
      <c r="B709" s="12">
        <v>41201</v>
      </c>
      <c r="C709" s="13" t="s">
        <v>16</v>
      </c>
      <c r="D709" s="13">
        <v>1373</v>
      </c>
      <c r="E709" s="14">
        <f>VLOOKUP(C709,价格表!$B$2:$C$5,2,0)</f>
        <v>3200</v>
      </c>
      <c r="F709" s="14">
        <f>D709*E709*(1-HLOOKUP(C709,折扣表!$B$2:$E$6,IF(D709&lt;1000,2,IF(D709&lt;1500,3,IF(D709&lt;2000,4,5)))))</f>
        <v>4349664</v>
      </c>
    </row>
    <row r="710" spans="1:6" x14ac:dyDescent="0.15">
      <c r="A710" s="11" t="s">
        <v>726</v>
      </c>
      <c r="B710" s="12">
        <v>41201</v>
      </c>
      <c r="C710" s="13" t="s">
        <v>17</v>
      </c>
      <c r="D710" s="13">
        <v>1712</v>
      </c>
      <c r="E710" s="14">
        <f>VLOOKUP(C710,价格表!$B$2:$C$5,2,0)</f>
        <v>2800</v>
      </c>
      <c r="F710" s="14">
        <f>D710*E710*(1-HLOOKUP(C710,折扣表!$B$2:$E$6,IF(D710&lt;1000,2,IF(D710&lt;1500,3,IF(D710&lt;2000,4,5)))))</f>
        <v>4649792</v>
      </c>
    </row>
    <row r="711" spans="1:6" x14ac:dyDescent="0.15">
      <c r="A711" s="11" t="s">
        <v>727</v>
      </c>
      <c r="B711" s="12">
        <v>41201</v>
      </c>
      <c r="C711" s="13" t="s">
        <v>18</v>
      </c>
      <c r="D711" s="13">
        <v>1110</v>
      </c>
      <c r="E711" s="14">
        <f>VLOOKUP(C711,价格表!$B$2:$C$5,2,0)</f>
        <v>2100</v>
      </c>
      <c r="F711" s="14">
        <f>D711*E711*(1-HLOOKUP(C711,折扣表!$B$2:$E$6,IF(D711&lt;1000,2,IF(D711&lt;1500,3,IF(D711&lt;2000,4,5)))))</f>
        <v>2261070</v>
      </c>
    </row>
    <row r="712" spans="1:6" x14ac:dyDescent="0.15">
      <c r="A712" s="11" t="s">
        <v>728</v>
      </c>
      <c r="B712" s="12">
        <v>41202</v>
      </c>
      <c r="C712" s="13" t="s">
        <v>16</v>
      </c>
      <c r="D712" s="13">
        <v>1560</v>
      </c>
      <c r="E712" s="14">
        <f>VLOOKUP(C712,价格表!$B$2:$C$5,2,0)</f>
        <v>3200</v>
      </c>
      <c r="F712" s="14">
        <f>D712*E712*(1-HLOOKUP(C712,折扣表!$B$2:$E$6,IF(D712&lt;1000,2,IF(D712&lt;1500,3,IF(D712&lt;2000,4,5)))))</f>
        <v>4892160</v>
      </c>
    </row>
    <row r="713" spans="1:6" x14ac:dyDescent="0.15">
      <c r="A713" s="11" t="s">
        <v>729</v>
      </c>
      <c r="B713" s="12">
        <v>41203</v>
      </c>
      <c r="C713" s="13" t="s">
        <v>17</v>
      </c>
      <c r="D713" s="13">
        <v>1889</v>
      </c>
      <c r="E713" s="14">
        <f>VLOOKUP(C713,价格表!$B$2:$C$5,2,0)</f>
        <v>2800</v>
      </c>
      <c r="F713" s="14">
        <f>D713*E713*(1-HLOOKUP(C713,折扣表!$B$2:$E$6,IF(D713&lt;1000,2,IF(D713&lt;1500,3,IF(D713&lt;2000,4,5)))))</f>
        <v>5130524</v>
      </c>
    </row>
    <row r="714" spans="1:6" x14ac:dyDescent="0.15">
      <c r="A714" s="11" t="s">
        <v>730</v>
      </c>
      <c r="B714" s="12">
        <v>41203</v>
      </c>
      <c r="C714" s="13" t="s">
        <v>18</v>
      </c>
      <c r="D714" s="13">
        <v>1113</v>
      </c>
      <c r="E714" s="14">
        <f>VLOOKUP(C714,价格表!$B$2:$C$5,2,0)</f>
        <v>2100</v>
      </c>
      <c r="F714" s="14">
        <f>D714*E714*(1-HLOOKUP(C714,折扣表!$B$2:$E$6,IF(D714&lt;1000,2,IF(D714&lt;1500,3,IF(D714&lt;2000,4,5)))))</f>
        <v>2267181</v>
      </c>
    </row>
    <row r="715" spans="1:6" x14ac:dyDescent="0.15">
      <c r="A715" s="11" t="s">
        <v>731</v>
      </c>
      <c r="B715" s="12">
        <v>41204</v>
      </c>
      <c r="C715" s="13" t="s">
        <v>17</v>
      </c>
      <c r="D715" s="13">
        <v>1868</v>
      </c>
      <c r="E715" s="14">
        <f>VLOOKUP(C715,价格表!$B$2:$C$5,2,0)</f>
        <v>2800</v>
      </c>
      <c r="F715" s="14">
        <f>D715*E715*(1-HLOOKUP(C715,折扣表!$B$2:$E$6,IF(D715&lt;1000,2,IF(D715&lt;1500,3,IF(D715&lt;2000,4,5)))))</f>
        <v>5073488</v>
      </c>
    </row>
    <row r="716" spans="1:6" x14ac:dyDescent="0.15">
      <c r="A716" s="11" t="s">
        <v>732</v>
      </c>
      <c r="B716" s="12">
        <v>41204</v>
      </c>
      <c r="C716" s="13" t="s">
        <v>18</v>
      </c>
      <c r="D716" s="13">
        <v>1076</v>
      </c>
      <c r="E716" s="14">
        <f>VLOOKUP(C716,价格表!$B$2:$C$5,2,0)</f>
        <v>2100</v>
      </c>
      <c r="F716" s="14">
        <f>D716*E716*(1-HLOOKUP(C716,折扣表!$B$2:$E$6,IF(D716&lt;1000,2,IF(D716&lt;1500,3,IF(D716&lt;2000,4,5)))))</f>
        <v>2191812</v>
      </c>
    </row>
    <row r="717" spans="1:6" x14ac:dyDescent="0.15">
      <c r="A717" s="11" t="s">
        <v>733</v>
      </c>
      <c r="B717" s="12">
        <v>41205</v>
      </c>
      <c r="C717" s="13" t="s">
        <v>16</v>
      </c>
      <c r="D717" s="13">
        <v>1305</v>
      </c>
      <c r="E717" s="14">
        <f>VLOOKUP(C717,价格表!$B$2:$C$5,2,0)</f>
        <v>3200</v>
      </c>
      <c r="F717" s="14">
        <f>D717*E717*(1-HLOOKUP(C717,折扣表!$B$2:$E$6,IF(D717&lt;1000,2,IF(D717&lt;1500,3,IF(D717&lt;2000,4,5)))))</f>
        <v>4134240</v>
      </c>
    </row>
    <row r="718" spans="1:6" x14ac:dyDescent="0.15">
      <c r="A718" s="11" t="s">
        <v>734</v>
      </c>
      <c r="B718" s="12">
        <v>41205</v>
      </c>
      <c r="C718" s="13" t="s">
        <v>17</v>
      </c>
      <c r="D718" s="13">
        <v>1827</v>
      </c>
      <c r="E718" s="14">
        <f>VLOOKUP(C718,价格表!$B$2:$C$5,2,0)</f>
        <v>2800</v>
      </c>
      <c r="F718" s="14">
        <f>D718*E718*(1-HLOOKUP(C718,折扣表!$B$2:$E$6,IF(D718&lt;1000,2,IF(D718&lt;1500,3,IF(D718&lt;2000,4,5)))))</f>
        <v>4962132</v>
      </c>
    </row>
    <row r="719" spans="1:6" x14ac:dyDescent="0.15">
      <c r="A719" s="11" t="s">
        <v>735</v>
      </c>
      <c r="B719" s="12">
        <v>41205</v>
      </c>
      <c r="C719" s="13" t="s">
        <v>18</v>
      </c>
      <c r="D719" s="13">
        <v>1106</v>
      </c>
      <c r="E719" s="14">
        <f>VLOOKUP(C719,价格表!$B$2:$C$5,2,0)</f>
        <v>2100</v>
      </c>
      <c r="F719" s="14">
        <f>D719*E719*(1-HLOOKUP(C719,折扣表!$B$2:$E$6,IF(D719&lt;1000,2,IF(D719&lt;1500,3,IF(D719&lt;2000,4,5)))))</f>
        <v>2252922</v>
      </c>
    </row>
    <row r="720" spans="1:6" x14ac:dyDescent="0.15">
      <c r="A720" s="11" t="s">
        <v>736</v>
      </c>
      <c r="B720" s="12">
        <v>41206</v>
      </c>
      <c r="C720" s="13" t="s">
        <v>16</v>
      </c>
      <c r="D720" s="13">
        <v>1545</v>
      </c>
      <c r="E720" s="14">
        <f>VLOOKUP(C720,价格表!$B$2:$C$5,2,0)</f>
        <v>3200</v>
      </c>
      <c r="F720" s="14">
        <f>D720*E720*(1-HLOOKUP(C720,折扣表!$B$2:$E$6,IF(D720&lt;1000,2,IF(D720&lt;1500,3,IF(D720&lt;2000,4,5)))))</f>
        <v>4845120</v>
      </c>
    </row>
    <row r="721" spans="1:6" x14ac:dyDescent="0.15">
      <c r="A721" s="11" t="s">
        <v>737</v>
      </c>
      <c r="B721" s="12">
        <v>41207</v>
      </c>
      <c r="C721" s="13" t="s">
        <v>16</v>
      </c>
      <c r="D721" s="13">
        <v>1385</v>
      </c>
      <c r="E721" s="14">
        <f>VLOOKUP(C721,价格表!$B$2:$C$5,2,0)</f>
        <v>3200</v>
      </c>
      <c r="F721" s="14">
        <f>D721*E721*(1-HLOOKUP(C721,折扣表!$B$2:$E$6,IF(D721&lt;1000,2,IF(D721&lt;1500,3,IF(D721&lt;2000,4,5)))))</f>
        <v>4387680</v>
      </c>
    </row>
    <row r="722" spans="1:6" x14ac:dyDescent="0.15">
      <c r="A722" s="11" t="s">
        <v>738</v>
      </c>
      <c r="B722" s="12">
        <v>41207</v>
      </c>
      <c r="C722" s="13" t="s">
        <v>17</v>
      </c>
      <c r="D722" s="13">
        <v>1872</v>
      </c>
      <c r="E722" s="14">
        <f>VLOOKUP(C722,价格表!$B$2:$C$5,2,0)</f>
        <v>2800</v>
      </c>
      <c r="F722" s="14">
        <f>D722*E722*(1-HLOOKUP(C722,折扣表!$B$2:$E$6,IF(D722&lt;1000,2,IF(D722&lt;1500,3,IF(D722&lt;2000,4,5)))))</f>
        <v>5084352</v>
      </c>
    </row>
    <row r="723" spans="1:6" x14ac:dyDescent="0.15">
      <c r="A723" s="11" t="s">
        <v>739</v>
      </c>
      <c r="B723" s="12">
        <v>41207</v>
      </c>
      <c r="C723" s="13" t="s">
        <v>18</v>
      </c>
      <c r="D723" s="13">
        <v>1073</v>
      </c>
      <c r="E723" s="14">
        <f>VLOOKUP(C723,价格表!$B$2:$C$5,2,0)</f>
        <v>2100</v>
      </c>
      <c r="F723" s="14">
        <f>D723*E723*(1-HLOOKUP(C723,折扣表!$B$2:$E$6,IF(D723&lt;1000,2,IF(D723&lt;1500,3,IF(D723&lt;2000,4,5)))))</f>
        <v>2185701</v>
      </c>
    </row>
    <row r="724" spans="1:6" x14ac:dyDescent="0.15">
      <c r="A724" s="11" t="s">
        <v>740</v>
      </c>
      <c r="B724" s="12">
        <v>41208</v>
      </c>
      <c r="C724" s="13" t="s">
        <v>16</v>
      </c>
      <c r="D724" s="13">
        <v>1459</v>
      </c>
      <c r="E724" s="14">
        <f>VLOOKUP(C724,价格表!$B$2:$C$5,2,0)</f>
        <v>3200</v>
      </c>
      <c r="F724" s="14">
        <f>D724*E724*(1-HLOOKUP(C724,折扣表!$B$2:$E$6,IF(D724&lt;1000,2,IF(D724&lt;1500,3,IF(D724&lt;2000,4,5)))))</f>
        <v>4622112</v>
      </c>
    </row>
    <row r="725" spans="1:6" x14ac:dyDescent="0.15">
      <c r="A725" s="11" t="s">
        <v>741</v>
      </c>
      <c r="B725" s="12">
        <v>41208</v>
      </c>
      <c r="C725" s="13" t="s">
        <v>18</v>
      </c>
      <c r="D725" s="13">
        <v>1053</v>
      </c>
      <c r="E725" s="14">
        <f>VLOOKUP(C725,价格表!$B$2:$C$5,2,0)</f>
        <v>2100</v>
      </c>
      <c r="F725" s="14">
        <f>D725*E725*(1-HLOOKUP(C725,折扣表!$B$2:$E$6,IF(D725&lt;1000,2,IF(D725&lt;1500,3,IF(D725&lt;2000,4,5)))))</f>
        <v>2144961</v>
      </c>
    </row>
    <row r="726" spans="1:6" x14ac:dyDescent="0.15">
      <c r="A726" s="11" t="s">
        <v>742</v>
      </c>
      <c r="B726" s="12">
        <v>41209</v>
      </c>
      <c r="C726" s="13" t="s">
        <v>16</v>
      </c>
      <c r="D726" s="13">
        <v>1458</v>
      </c>
      <c r="E726" s="14">
        <f>VLOOKUP(C726,价格表!$B$2:$C$5,2,0)</f>
        <v>3200</v>
      </c>
      <c r="F726" s="14">
        <f>D726*E726*(1-HLOOKUP(C726,折扣表!$B$2:$E$6,IF(D726&lt;1000,2,IF(D726&lt;1500,3,IF(D726&lt;2000,4,5)))))</f>
        <v>4618944</v>
      </c>
    </row>
    <row r="727" spans="1:6" x14ac:dyDescent="0.15">
      <c r="A727" s="11" t="s">
        <v>743</v>
      </c>
      <c r="B727" s="12">
        <v>41209</v>
      </c>
      <c r="C727" s="13" t="s">
        <v>17</v>
      </c>
      <c r="D727" s="13">
        <v>1777</v>
      </c>
      <c r="E727" s="14">
        <f>VLOOKUP(C727,价格表!$B$2:$C$5,2,0)</f>
        <v>2800</v>
      </c>
      <c r="F727" s="14">
        <f>D727*E727*(1-HLOOKUP(C727,折扣表!$B$2:$E$6,IF(D727&lt;1000,2,IF(D727&lt;1500,3,IF(D727&lt;2000,4,5)))))</f>
        <v>4826332</v>
      </c>
    </row>
    <row r="728" spans="1:6" x14ac:dyDescent="0.15">
      <c r="A728" s="11" t="s">
        <v>744</v>
      </c>
      <c r="B728" s="12">
        <v>41210</v>
      </c>
      <c r="C728" s="13" t="s">
        <v>17</v>
      </c>
      <c r="D728" s="13">
        <v>1887</v>
      </c>
      <c r="E728" s="14">
        <f>VLOOKUP(C728,价格表!$B$2:$C$5,2,0)</f>
        <v>2800</v>
      </c>
      <c r="F728" s="14">
        <f>D728*E728*(1-HLOOKUP(C728,折扣表!$B$2:$E$6,IF(D728&lt;1000,2,IF(D728&lt;1500,3,IF(D728&lt;2000,4,5)))))</f>
        <v>5125092</v>
      </c>
    </row>
    <row r="729" spans="1:6" x14ac:dyDescent="0.15">
      <c r="A729" s="11" t="s">
        <v>745</v>
      </c>
      <c r="B729" s="12">
        <v>41210</v>
      </c>
      <c r="C729" s="13" t="s">
        <v>18</v>
      </c>
      <c r="D729" s="13">
        <v>1147</v>
      </c>
      <c r="E729" s="14">
        <f>VLOOKUP(C729,价格表!$B$2:$C$5,2,0)</f>
        <v>2100</v>
      </c>
      <c r="F729" s="14">
        <f>D729*E729*(1-HLOOKUP(C729,折扣表!$B$2:$E$6,IF(D729&lt;1000,2,IF(D729&lt;1500,3,IF(D729&lt;2000,4,5)))))</f>
        <v>2336439</v>
      </c>
    </row>
    <row r="730" spans="1:6" x14ac:dyDescent="0.15">
      <c r="A730" s="11" t="s">
        <v>746</v>
      </c>
      <c r="B730" s="12">
        <v>41211</v>
      </c>
      <c r="C730" s="13" t="s">
        <v>17</v>
      </c>
      <c r="D730" s="13">
        <v>1743</v>
      </c>
      <c r="E730" s="14">
        <f>VLOOKUP(C730,价格表!$B$2:$C$5,2,0)</f>
        <v>2800</v>
      </c>
      <c r="F730" s="14">
        <f>D730*E730*(1-HLOOKUP(C730,折扣表!$B$2:$E$6,IF(D730&lt;1000,2,IF(D730&lt;1500,3,IF(D730&lt;2000,4,5)))))</f>
        <v>4733988</v>
      </c>
    </row>
    <row r="731" spans="1:6" x14ac:dyDescent="0.15">
      <c r="A731" s="11" t="s">
        <v>747</v>
      </c>
      <c r="B731" s="12">
        <v>41211</v>
      </c>
      <c r="C731" s="13" t="s">
        <v>18</v>
      </c>
      <c r="D731" s="13">
        <v>1149</v>
      </c>
      <c r="E731" s="14">
        <f>VLOOKUP(C731,价格表!$B$2:$C$5,2,0)</f>
        <v>2100</v>
      </c>
      <c r="F731" s="14">
        <f>D731*E731*(1-HLOOKUP(C731,折扣表!$B$2:$E$6,IF(D731&lt;1000,2,IF(D731&lt;1500,3,IF(D731&lt;2000,4,5)))))</f>
        <v>2340513</v>
      </c>
    </row>
    <row r="732" spans="1:6" x14ac:dyDescent="0.15">
      <c r="A732" s="11" t="s">
        <v>748</v>
      </c>
      <c r="B732" s="12">
        <v>41212</v>
      </c>
      <c r="C732" s="13" t="s">
        <v>16</v>
      </c>
      <c r="D732" s="13">
        <v>1485</v>
      </c>
      <c r="E732" s="14">
        <f>VLOOKUP(C732,价格表!$B$2:$C$5,2,0)</f>
        <v>3200</v>
      </c>
      <c r="F732" s="14">
        <f>D732*E732*(1-HLOOKUP(C732,折扣表!$B$2:$E$6,IF(D732&lt;1000,2,IF(D732&lt;1500,3,IF(D732&lt;2000,4,5)))))</f>
        <v>4704480</v>
      </c>
    </row>
    <row r="733" spans="1:6" x14ac:dyDescent="0.15">
      <c r="A733" s="11" t="s">
        <v>749</v>
      </c>
      <c r="B733" s="12">
        <v>41212</v>
      </c>
      <c r="C733" s="13" t="s">
        <v>17</v>
      </c>
      <c r="D733" s="13">
        <v>1889</v>
      </c>
      <c r="E733" s="14">
        <f>VLOOKUP(C733,价格表!$B$2:$C$5,2,0)</f>
        <v>2800</v>
      </c>
      <c r="F733" s="14">
        <f>D733*E733*(1-HLOOKUP(C733,折扣表!$B$2:$E$6,IF(D733&lt;1000,2,IF(D733&lt;1500,3,IF(D733&lt;2000,4,5)))))</f>
        <v>5130524</v>
      </c>
    </row>
    <row r="734" spans="1:6" x14ac:dyDescent="0.15">
      <c r="A734" s="11" t="s">
        <v>750</v>
      </c>
      <c r="B734" s="12">
        <v>41212</v>
      </c>
      <c r="C734" s="13" t="s">
        <v>18</v>
      </c>
      <c r="D734" s="13">
        <v>1081</v>
      </c>
      <c r="E734" s="14">
        <f>VLOOKUP(C734,价格表!$B$2:$C$5,2,0)</f>
        <v>2100</v>
      </c>
      <c r="F734" s="14">
        <f>D734*E734*(1-HLOOKUP(C734,折扣表!$B$2:$E$6,IF(D734&lt;1000,2,IF(D734&lt;1500,3,IF(D734&lt;2000,4,5)))))</f>
        <v>2201997</v>
      </c>
    </row>
    <row r="735" spans="1:6" x14ac:dyDescent="0.15">
      <c r="A735" s="11" t="s">
        <v>751</v>
      </c>
      <c r="B735" s="12">
        <v>41213</v>
      </c>
      <c r="C735" s="13" t="s">
        <v>16</v>
      </c>
      <c r="D735" s="13">
        <v>1328</v>
      </c>
      <c r="E735" s="14">
        <f>VLOOKUP(C735,价格表!$B$2:$C$5,2,0)</f>
        <v>3200</v>
      </c>
      <c r="F735" s="14">
        <f>D735*E735*(1-HLOOKUP(C735,折扣表!$B$2:$E$6,IF(D735&lt;1000,2,IF(D735&lt;1500,3,IF(D735&lt;2000,4,5)))))</f>
        <v>4207104</v>
      </c>
    </row>
    <row r="736" spans="1:6" x14ac:dyDescent="0.15">
      <c r="A736" s="11" t="s">
        <v>752</v>
      </c>
      <c r="B736" s="12">
        <v>41213</v>
      </c>
      <c r="C736" s="13" t="s">
        <v>17</v>
      </c>
      <c r="D736" s="13">
        <v>1793</v>
      </c>
      <c r="E736" s="14">
        <f>VLOOKUP(C736,价格表!$B$2:$C$5,2,0)</f>
        <v>2800</v>
      </c>
      <c r="F736" s="14">
        <f>D736*E736*(1-HLOOKUP(C736,折扣表!$B$2:$E$6,IF(D736&lt;1000,2,IF(D736&lt;1500,3,IF(D736&lt;2000,4,5)))))</f>
        <v>4869788</v>
      </c>
    </row>
    <row r="737" spans="1:6" x14ac:dyDescent="0.15">
      <c r="A737" s="11" t="s">
        <v>753</v>
      </c>
      <c r="B737" s="12">
        <v>41214</v>
      </c>
      <c r="C737" s="13" t="s">
        <v>16</v>
      </c>
      <c r="D737" s="13">
        <v>1211</v>
      </c>
      <c r="E737" s="14">
        <f>VLOOKUP(C737,价格表!$B$2:$C$5,2,0)</f>
        <v>3200</v>
      </c>
      <c r="F737" s="14">
        <f>D737*E737*(1-HLOOKUP(C737,折扣表!$B$2:$E$6,IF(D737&lt;1000,2,IF(D737&lt;1500,3,IF(D737&lt;2000,4,5)))))</f>
        <v>3836448</v>
      </c>
    </row>
    <row r="738" spans="1:6" x14ac:dyDescent="0.15">
      <c r="A738" s="11" t="s">
        <v>754</v>
      </c>
      <c r="B738" s="12">
        <v>41214</v>
      </c>
      <c r="C738" s="13" t="s">
        <v>17</v>
      </c>
      <c r="D738" s="13">
        <v>1857</v>
      </c>
      <c r="E738" s="14">
        <f>VLOOKUP(C738,价格表!$B$2:$C$5,2,0)</f>
        <v>2800</v>
      </c>
      <c r="F738" s="14">
        <f>D738*E738*(1-HLOOKUP(C738,折扣表!$B$2:$E$6,IF(D738&lt;1000,2,IF(D738&lt;1500,3,IF(D738&lt;2000,4,5)))))</f>
        <v>5043612</v>
      </c>
    </row>
    <row r="739" spans="1:6" x14ac:dyDescent="0.15">
      <c r="A739" s="11" t="s">
        <v>755</v>
      </c>
      <c r="B739" s="12">
        <v>41214</v>
      </c>
      <c r="C739" s="13" t="s">
        <v>18</v>
      </c>
      <c r="D739" s="13">
        <v>1097</v>
      </c>
      <c r="E739" s="14">
        <f>VLOOKUP(C739,价格表!$B$2:$C$5,2,0)</f>
        <v>2100</v>
      </c>
      <c r="F739" s="14">
        <f>D739*E739*(1-HLOOKUP(C739,折扣表!$B$2:$E$6,IF(D739&lt;1000,2,IF(D739&lt;1500,3,IF(D739&lt;2000,4,5)))))</f>
        <v>2234589</v>
      </c>
    </row>
    <row r="740" spans="1:6" x14ac:dyDescent="0.15">
      <c r="A740" s="11" t="s">
        <v>756</v>
      </c>
      <c r="B740" s="12">
        <v>41215</v>
      </c>
      <c r="C740" s="13" t="s">
        <v>16</v>
      </c>
      <c r="D740" s="13">
        <v>1304</v>
      </c>
      <c r="E740" s="14">
        <f>VLOOKUP(C740,价格表!$B$2:$C$5,2,0)</f>
        <v>3200</v>
      </c>
      <c r="F740" s="14">
        <f>D740*E740*(1-HLOOKUP(C740,折扣表!$B$2:$E$6,IF(D740&lt;1000,2,IF(D740&lt;1500,3,IF(D740&lt;2000,4,5)))))</f>
        <v>4131072</v>
      </c>
    </row>
    <row r="741" spans="1:6" x14ac:dyDescent="0.15">
      <c r="A741" s="11" t="s">
        <v>757</v>
      </c>
      <c r="B741" s="12">
        <v>41215</v>
      </c>
      <c r="C741" s="13" t="s">
        <v>17</v>
      </c>
      <c r="D741" s="13">
        <v>1831</v>
      </c>
      <c r="E741" s="14">
        <f>VLOOKUP(C741,价格表!$B$2:$C$5,2,0)</f>
        <v>2800</v>
      </c>
      <c r="F741" s="14">
        <f>D741*E741*(1-HLOOKUP(C741,折扣表!$B$2:$E$6,IF(D741&lt;1000,2,IF(D741&lt;1500,3,IF(D741&lt;2000,4,5)))))</f>
        <v>4972996</v>
      </c>
    </row>
    <row r="742" spans="1:6" x14ac:dyDescent="0.15">
      <c r="A742" s="11" t="s">
        <v>758</v>
      </c>
      <c r="B742" s="12">
        <v>41215</v>
      </c>
      <c r="C742" s="13" t="s">
        <v>18</v>
      </c>
      <c r="D742" s="13">
        <v>1068</v>
      </c>
      <c r="E742" s="14">
        <f>VLOOKUP(C742,价格表!$B$2:$C$5,2,0)</f>
        <v>2100</v>
      </c>
      <c r="F742" s="14">
        <f>D742*E742*(1-HLOOKUP(C742,折扣表!$B$2:$E$6,IF(D742&lt;1000,2,IF(D742&lt;1500,3,IF(D742&lt;2000,4,5)))))</f>
        <v>2175516</v>
      </c>
    </row>
    <row r="743" spans="1:6" x14ac:dyDescent="0.15">
      <c r="A743" s="11" t="s">
        <v>759</v>
      </c>
      <c r="B743" s="12">
        <v>41216</v>
      </c>
      <c r="C743" s="13" t="s">
        <v>16</v>
      </c>
      <c r="D743" s="13">
        <v>1211</v>
      </c>
      <c r="E743" s="14">
        <f>VLOOKUP(C743,价格表!$B$2:$C$5,2,0)</f>
        <v>3200</v>
      </c>
      <c r="F743" s="14">
        <f>D743*E743*(1-HLOOKUP(C743,折扣表!$B$2:$E$6,IF(D743&lt;1000,2,IF(D743&lt;1500,3,IF(D743&lt;2000,4,5)))))</f>
        <v>3836448</v>
      </c>
    </row>
    <row r="744" spans="1:6" x14ac:dyDescent="0.15">
      <c r="A744" s="11" t="s">
        <v>760</v>
      </c>
      <c r="B744" s="12">
        <v>41216</v>
      </c>
      <c r="C744" s="13" t="s">
        <v>17</v>
      </c>
      <c r="D744" s="13">
        <v>1853</v>
      </c>
      <c r="E744" s="14">
        <f>VLOOKUP(C744,价格表!$B$2:$C$5,2,0)</f>
        <v>2800</v>
      </c>
      <c r="F744" s="14">
        <f>D744*E744*(1-HLOOKUP(C744,折扣表!$B$2:$E$6,IF(D744&lt;1000,2,IF(D744&lt;1500,3,IF(D744&lt;2000,4,5)))))</f>
        <v>5032748</v>
      </c>
    </row>
    <row r="745" spans="1:6" x14ac:dyDescent="0.15">
      <c r="A745" s="11" t="s">
        <v>761</v>
      </c>
      <c r="B745" s="12">
        <v>41216</v>
      </c>
      <c r="C745" s="13" t="s">
        <v>18</v>
      </c>
      <c r="D745" s="13">
        <v>1098</v>
      </c>
      <c r="E745" s="14">
        <f>VLOOKUP(C745,价格表!$B$2:$C$5,2,0)</f>
        <v>2100</v>
      </c>
      <c r="F745" s="14">
        <f>D745*E745*(1-HLOOKUP(C745,折扣表!$B$2:$E$6,IF(D745&lt;1000,2,IF(D745&lt;1500,3,IF(D745&lt;2000,4,5)))))</f>
        <v>2236626</v>
      </c>
    </row>
    <row r="746" spans="1:6" x14ac:dyDescent="0.15">
      <c r="A746" s="11" t="s">
        <v>762</v>
      </c>
      <c r="B746" s="12">
        <v>41217</v>
      </c>
      <c r="C746" s="13" t="s">
        <v>16</v>
      </c>
      <c r="D746" s="13">
        <v>1542</v>
      </c>
      <c r="E746" s="14">
        <f>VLOOKUP(C746,价格表!$B$2:$C$5,2,0)</f>
        <v>3200</v>
      </c>
      <c r="F746" s="14">
        <f>D746*E746*(1-HLOOKUP(C746,折扣表!$B$2:$E$6,IF(D746&lt;1000,2,IF(D746&lt;1500,3,IF(D746&lt;2000,4,5)))))</f>
        <v>4835712</v>
      </c>
    </row>
    <row r="747" spans="1:6" x14ac:dyDescent="0.15">
      <c r="A747" s="11" t="s">
        <v>763</v>
      </c>
      <c r="B747" s="12">
        <v>41217</v>
      </c>
      <c r="C747" s="13" t="s">
        <v>17</v>
      </c>
      <c r="D747" s="13">
        <v>1907</v>
      </c>
      <c r="E747" s="14">
        <f>VLOOKUP(C747,价格表!$B$2:$C$5,2,0)</f>
        <v>2800</v>
      </c>
      <c r="F747" s="14">
        <f>D747*E747*(1-HLOOKUP(C747,折扣表!$B$2:$E$6,IF(D747&lt;1000,2,IF(D747&lt;1500,3,IF(D747&lt;2000,4,5)))))</f>
        <v>5179412</v>
      </c>
    </row>
    <row r="748" spans="1:6" x14ac:dyDescent="0.15">
      <c r="A748" s="11" t="s">
        <v>764</v>
      </c>
      <c r="B748" s="12">
        <v>41218</v>
      </c>
      <c r="C748" s="13" t="s">
        <v>16</v>
      </c>
      <c r="D748" s="13">
        <v>1559</v>
      </c>
      <c r="E748" s="14">
        <f>VLOOKUP(C748,价格表!$B$2:$C$5,2,0)</f>
        <v>3200</v>
      </c>
      <c r="F748" s="14">
        <f>D748*E748*(1-HLOOKUP(C748,折扣表!$B$2:$E$6,IF(D748&lt;1000,2,IF(D748&lt;1500,3,IF(D748&lt;2000,4,5)))))</f>
        <v>4889024</v>
      </c>
    </row>
    <row r="749" spans="1:6" x14ac:dyDescent="0.15">
      <c r="A749" s="11" t="s">
        <v>765</v>
      </c>
      <c r="B749" s="12">
        <v>41218</v>
      </c>
      <c r="C749" s="13" t="s">
        <v>17</v>
      </c>
      <c r="D749" s="13">
        <v>1992</v>
      </c>
      <c r="E749" s="14">
        <f>VLOOKUP(C749,价格表!$B$2:$C$5,2,0)</f>
        <v>2800</v>
      </c>
      <c r="F749" s="14">
        <f>D749*E749*(1-HLOOKUP(C749,折扣表!$B$2:$E$6,IF(D749&lt;1000,2,IF(D749&lt;1500,3,IF(D749&lt;2000,4,5)))))</f>
        <v>5410272</v>
      </c>
    </row>
    <row r="750" spans="1:6" x14ac:dyDescent="0.15">
      <c r="A750" s="11" t="s">
        <v>766</v>
      </c>
      <c r="B750" s="12">
        <v>41218</v>
      </c>
      <c r="C750" s="13" t="s">
        <v>18</v>
      </c>
      <c r="D750" s="13">
        <v>1046</v>
      </c>
      <c r="E750" s="14">
        <f>VLOOKUP(C750,价格表!$B$2:$C$5,2,0)</f>
        <v>2100</v>
      </c>
      <c r="F750" s="14">
        <f>D750*E750*(1-HLOOKUP(C750,折扣表!$B$2:$E$6,IF(D750&lt;1000,2,IF(D750&lt;1500,3,IF(D750&lt;2000,4,5)))))</f>
        <v>2130702</v>
      </c>
    </row>
    <row r="751" spans="1:6" x14ac:dyDescent="0.15">
      <c r="A751" s="11" t="s">
        <v>767</v>
      </c>
      <c r="B751" s="12">
        <v>41219</v>
      </c>
      <c r="C751" s="13" t="s">
        <v>16</v>
      </c>
      <c r="D751" s="13">
        <v>1441</v>
      </c>
      <c r="E751" s="14">
        <f>VLOOKUP(C751,价格表!$B$2:$C$5,2,0)</f>
        <v>3200</v>
      </c>
      <c r="F751" s="14">
        <f>D751*E751*(1-HLOOKUP(C751,折扣表!$B$2:$E$6,IF(D751&lt;1000,2,IF(D751&lt;1500,3,IF(D751&lt;2000,4,5)))))</f>
        <v>4565088</v>
      </c>
    </row>
    <row r="752" spans="1:6" x14ac:dyDescent="0.15">
      <c r="A752" s="11" t="s">
        <v>768</v>
      </c>
      <c r="B752" s="12">
        <v>41219</v>
      </c>
      <c r="C752" s="13" t="s">
        <v>17</v>
      </c>
      <c r="D752" s="13">
        <v>1898</v>
      </c>
      <c r="E752" s="14">
        <f>VLOOKUP(C752,价格表!$B$2:$C$5,2,0)</f>
        <v>2800</v>
      </c>
      <c r="F752" s="14">
        <f>D752*E752*(1-HLOOKUP(C752,折扣表!$B$2:$E$6,IF(D752&lt;1000,2,IF(D752&lt;1500,3,IF(D752&lt;2000,4,5)))))</f>
        <v>5154968</v>
      </c>
    </row>
    <row r="753" spans="1:6" x14ac:dyDescent="0.15">
      <c r="A753" s="11" t="s">
        <v>769</v>
      </c>
      <c r="B753" s="12">
        <v>41219</v>
      </c>
      <c r="C753" s="13" t="s">
        <v>18</v>
      </c>
      <c r="D753" s="13">
        <v>1052</v>
      </c>
      <c r="E753" s="14">
        <f>VLOOKUP(C753,价格表!$B$2:$C$5,2,0)</f>
        <v>2100</v>
      </c>
      <c r="F753" s="14">
        <f>D753*E753*(1-HLOOKUP(C753,折扣表!$B$2:$E$6,IF(D753&lt;1000,2,IF(D753&lt;1500,3,IF(D753&lt;2000,4,5)))))</f>
        <v>2142924</v>
      </c>
    </row>
    <row r="754" spans="1:6" x14ac:dyDescent="0.15">
      <c r="A754" s="11" t="s">
        <v>770</v>
      </c>
      <c r="B754" s="12">
        <v>41220</v>
      </c>
      <c r="C754" s="13" t="s">
        <v>16</v>
      </c>
      <c r="D754" s="13">
        <v>1303</v>
      </c>
      <c r="E754" s="14">
        <f>VLOOKUP(C754,价格表!$B$2:$C$5,2,0)</f>
        <v>3200</v>
      </c>
      <c r="F754" s="14">
        <f>D754*E754*(1-HLOOKUP(C754,折扣表!$B$2:$E$6,IF(D754&lt;1000,2,IF(D754&lt;1500,3,IF(D754&lt;2000,4,5)))))</f>
        <v>4127904</v>
      </c>
    </row>
    <row r="755" spans="1:6" x14ac:dyDescent="0.15">
      <c r="A755" s="11" t="s">
        <v>771</v>
      </c>
      <c r="B755" s="12">
        <v>41220</v>
      </c>
      <c r="C755" s="13" t="s">
        <v>17</v>
      </c>
      <c r="D755" s="13">
        <v>1865</v>
      </c>
      <c r="E755" s="14">
        <f>VLOOKUP(C755,价格表!$B$2:$C$5,2,0)</f>
        <v>2800</v>
      </c>
      <c r="F755" s="14">
        <f>D755*E755*(1-HLOOKUP(C755,折扣表!$B$2:$E$6,IF(D755&lt;1000,2,IF(D755&lt;1500,3,IF(D755&lt;2000,4,5)))))</f>
        <v>5065340</v>
      </c>
    </row>
    <row r="756" spans="1:6" x14ac:dyDescent="0.15">
      <c r="A756" s="11" t="s">
        <v>772</v>
      </c>
      <c r="B756" s="12">
        <v>41221</v>
      </c>
      <c r="C756" s="13" t="s">
        <v>16</v>
      </c>
      <c r="D756" s="13">
        <v>1335</v>
      </c>
      <c r="E756" s="14">
        <f>VLOOKUP(C756,价格表!$B$2:$C$5,2,0)</f>
        <v>3200</v>
      </c>
      <c r="F756" s="14">
        <f>D756*E756*(1-HLOOKUP(C756,折扣表!$B$2:$E$6,IF(D756&lt;1000,2,IF(D756&lt;1500,3,IF(D756&lt;2000,4,5)))))</f>
        <v>4229280</v>
      </c>
    </row>
    <row r="757" spans="1:6" x14ac:dyDescent="0.15">
      <c r="A757" s="11" t="s">
        <v>773</v>
      </c>
      <c r="B757" s="12">
        <v>41221</v>
      </c>
      <c r="C757" s="13" t="s">
        <v>17</v>
      </c>
      <c r="D757" s="13">
        <v>1834</v>
      </c>
      <c r="E757" s="14">
        <f>VLOOKUP(C757,价格表!$B$2:$C$5,2,0)</f>
        <v>2800</v>
      </c>
      <c r="F757" s="14">
        <f>D757*E757*(1-HLOOKUP(C757,折扣表!$B$2:$E$6,IF(D757&lt;1000,2,IF(D757&lt;1500,3,IF(D757&lt;2000,4,5)))))</f>
        <v>4981144</v>
      </c>
    </row>
    <row r="758" spans="1:6" x14ac:dyDescent="0.15">
      <c r="A758" s="11" t="s">
        <v>774</v>
      </c>
      <c r="B758" s="12">
        <v>41221</v>
      </c>
      <c r="C758" s="13" t="s">
        <v>18</v>
      </c>
      <c r="D758" s="13">
        <v>1016</v>
      </c>
      <c r="E758" s="14">
        <f>VLOOKUP(C758,价格表!$B$2:$C$5,2,0)</f>
        <v>2100</v>
      </c>
      <c r="F758" s="14">
        <f>D758*E758*(1-HLOOKUP(C758,折扣表!$B$2:$E$6,IF(D758&lt;1000,2,IF(D758&lt;1500,3,IF(D758&lt;2000,4,5)))))</f>
        <v>2069592</v>
      </c>
    </row>
    <row r="759" spans="1:6" x14ac:dyDescent="0.15">
      <c r="A759" s="11" t="s">
        <v>775</v>
      </c>
      <c r="B759" s="12">
        <v>41222</v>
      </c>
      <c r="C759" s="13" t="s">
        <v>16</v>
      </c>
      <c r="D759" s="13">
        <v>1379</v>
      </c>
      <c r="E759" s="14">
        <f>VLOOKUP(C759,价格表!$B$2:$C$5,2,0)</f>
        <v>3200</v>
      </c>
      <c r="F759" s="14">
        <f>D759*E759*(1-HLOOKUP(C759,折扣表!$B$2:$E$6,IF(D759&lt;1000,2,IF(D759&lt;1500,3,IF(D759&lt;2000,4,5)))))</f>
        <v>4368672</v>
      </c>
    </row>
    <row r="760" spans="1:6" x14ac:dyDescent="0.15">
      <c r="A760" s="11" t="s">
        <v>776</v>
      </c>
      <c r="B760" s="12">
        <v>41222</v>
      </c>
      <c r="C760" s="13" t="s">
        <v>17</v>
      </c>
      <c r="D760" s="13">
        <v>1872</v>
      </c>
      <c r="E760" s="14">
        <f>VLOOKUP(C760,价格表!$B$2:$C$5,2,0)</f>
        <v>2800</v>
      </c>
      <c r="F760" s="14">
        <f>D760*E760*(1-HLOOKUP(C760,折扣表!$B$2:$E$6,IF(D760&lt;1000,2,IF(D760&lt;1500,3,IF(D760&lt;2000,4,5)))))</f>
        <v>5084352</v>
      </c>
    </row>
    <row r="761" spans="1:6" x14ac:dyDescent="0.15">
      <c r="A761" s="11" t="s">
        <v>777</v>
      </c>
      <c r="B761" s="12">
        <v>41222</v>
      </c>
      <c r="C761" s="13" t="s">
        <v>18</v>
      </c>
      <c r="D761" s="13">
        <v>1075</v>
      </c>
      <c r="E761" s="14">
        <f>VLOOKUP(C761,价格表!$B$2:$C$5,2,0)</f>
        <v>2100</v>
      </c>
      <c r="F761" s="14">
        <f>D761*E761*(1-HLOOKUP(C761,折扣表!$B$2:$E$6,IF(D761&lt;1000,2,IF(D761&lt;1500,3,IF(D761&lt;2000,4,5)))))</f>
        <v>2189775</v>
      </c>
    </row>
    <row r="762" spans="1:6" x14ac:dyDescent="0.15">
      <c r="A762" s="11" t="s">
        <v>778</v>
      </c>
      <c r="B762" s="12">
        <v>41223</v>
      </c>
      <c r="C762" s="13" t="s">
        <v>17</v>
      </c>
      <c r="D762" s="13">
        <v>1844</v>
      </c>
      <c r="E762" s="14">
        <f>VLOOKUP(C762,价格表!$B$2:$C$5,2,0)</f>
        <v>2800</v>
      </c>
      <c r="F762" s="14">
        <f>D762*E762*(1-HLOOKUP(C762,折扣表!$B$2:$E$6,IF(D762&lt;1000,2,IF(D762&lt;1500,3,IF(D762&lt;2000,4,5)))))</f>
        <v>5008304</v>
      </c>
    </row>
    <row r="763" spans="1:6" x14ac:dyDescent="0.15">
      <c r="A763" s="11" t="s">
        <v>779</v>
      </c>
      <c r="B763" s="12">
        <v>41224</v>
      </c>
      <c r="C763" s="13" t="s">
        <v>17</v>
      </c>
      <c r="D763" s="13">
        <v>1958</v>
      </c>
      <c r="E763" s="14">
        <f>VLOOKUP(C763,价格表!$B$2:$C$5,2,0)</f>
        <v>2800</v>
      </c>
      <c r="F763" s="14">
        <f>D763*E763*(1-HLOOKUP(C763,折扣表!$B$2:$E$6,IF(D763&lt;1000,2,IF(D763&lt;1500,3,IF(D763&lt;2000,4,5)))))</f>
        <v>5317928</v>
      </c>
    </row>
    <row r="764" spans="1:6" x14ac:dyDescent="0.15">
      <c r="A764" s="11" t="s">
        <v>780</v>
      </c>
      <c r="B764" s="12">
        <v>41224</v>
      </c>
      <c r="C764" s="13" t="s">
        <v>18</v>
      </c>
      <c r="D764" s="13">
        <v>1092</v>
      </c>
      <c r="E764" s="14">
        <f>VLOOKUP(C764,价格表!$B$2:$C$5,2,0)</f>
        <v>2100</v>
      </c>
      <c r="F764" s="14">
        <f>D764*E764*(1-HLOOKUP(C764,折扣表!$B$2:$E$6,IF(D764&lt;1000,2,IF(D764&lt;1500,3,IF(D764&lt;2000,4,5)))))</f>
        <v>2224404</v>
      </c>
    </row>
    <row r="765" spans="1:6" x14ac:dyDescent="0.15">
      <c r="A765" s="11" t="s">
        <v>781</v>
      </c>
      <c r="B765" s="12">
        <v>41225</v>
      </c>
      <c r="C765" s="13" t="s">
        <v>16</v>
      </c>
      <c r="D765" s="13">
        <v>1398</v>
      </c>
      <c r="E765" s="14">
        <f>VLOOKUP(C765,价格表!$B$2:$C$5,2,0)</f>
        <v>3200</v>
      </c>
      <c r="F765" s="14">
        <f>D765*E765*(1-HLOOKUP(C765,折扣表!$B$2:$E$6,IF(D765&lt;1000,2,IF(D765&lt;1500,3,IF(D765&lt;2000,4,5)))))</f>
        <v>4428864</v>
      </c>
    </row>
    <row r="766" spans="1:6" x14ac:dyDescent="0.15">
      <c r="A766" s="11" t="s">
        <v>782</v>
      </c>
      <c r="B766" s="12">
        <v>41225</v>
      </c>
      <c r="C766" s="13" t="s">
        <v>18</v>
      </c>
      <c r="D766" s="13">
        <v>1047</v>
      </c>
      <c r="E766" s="14">
        <f>VLOOKUP(C766,价格表!$B$2:$C$5,2,0)</f>
        <v>2100</v>
      </c>
      <c r="F766" s="14">
        <f>D766*E766*(1-HLOOKUP(C766,折扣表!$B$2:$E$6,IF(D766&lt;1000,2,IF(D766&lt;1500,3,IF(D766&lt;2000,4,5)))))</f>
        <v>2132739</v>
      </c>
    </row>
    <row r="767" spans="1:6" x14ac:dyDescent="0.15">
      <c r="A767" s="11" t="s">
        <v>783</v>
      </c>
      <c r="B767" s="12">
        <v>41226</v>
      </c>
      <c r="C767" s="13" t="s">
        <v>16</v>
      </c>
      <c r="D767" s="13">
        <v>1569</v>
      </c>
      <c r="E767" s="14">
        <f>VLOOKUP(C767,价格表!$B$2:$C$5,2,0)</f>
        <v>3200</v>
      </c>
      <c r="F767" s="14">
        <f>D767*E767*(1-HLOOKUP(C767,折扣表!$B$2:$E$6,IF(D767&lt;1000,2,IF(D767&lt;1500,3,IF(D767&lt;2000,4,5)))))</f>
        <v>4920384</v>
      </c>
    </row>
    <row r="768" spans="1:6" x14ac:dyDescent="0.15">
      <c r="A768" s="11" t="s">
        <v>784</v>
      </c>
      <c r="B768" s="12">
        <v>41226</v>
      </c>
      <c r="C768" s="13" t="s">
        <v>17</v>
      </c>
      <c r="D768" s="13">
        <v>1890</v>
      </c>
      <c r="E768" s="14">
        <f>VLOOKUP(C768,价格表!$B$2:$C$5,2,0)</f>
        <v>2800</v>
      </c>
      <c r="F768" s="14">
        <f>D768*E768*(1-HLOOKUP(C768,折扣表!$B$2:$E$6,IF(D768&lt;1000,2,IF(D768&lt;1500,3,IF(D768&lt;2000,4,5)))))</f>
        <v>5133240</v>
      </c>
    </row>
    <row r="769" spans="1:6" x14ac:dyDescent="0.15">
      <c r="A769" s="11" t="s">
        <v>785</v>
      </c>
      <c r="B769" s="12">
        <v>41226</v>
      </c>
      <c r="C769" s="13" t="s">
        <v>18</v>
      </c>
      <c r="D769" s="13">
        <v>1099</v>
      </c>
      <c r="E769" s="14">
        <f>VLOOKUP(C769,价格表!$B$2:$C$5,2,0)</f>
        <v>2100</v>
      </c>
      <c r="F769" s="14">
        <f>D769*E769*(1-HLOOKUP(C769,折扣表!$B$2:$E$6,IF(D769&lt;1000,2,IF(D769&lt;1500,3,IF(D769&lt;2000,4,5)))))</f>
        <v>2238663</v>
      </c>
    </row>
    <row r="770" spans="1:6" x14ac:dyDescent="0.15">
      <c r="A770" s="11" t="s">
        <v>786</v>
      </c>
      <c r="B770" s="12">
        <v>41227</v>
      </c>
      <c r="C770" s="13" t="s">
        <v>16</v>
      </c>
      <c r="D770" s="13">
        <v>1246</v>
      </c>
      <c r="E770" s="14">
        <f>VLOOKUP(C770,价格表!$B$2:$C$5,2,0)</f>
        <v>3200</v>
      </c>
      <c r="F770" s="14">
        <f>D770*E770*(1-HLOOKUP(C770,折扣表!$B$2:$E$6,IF(D770&lt;1000,2,IF(D770&lt;1500,3,IF(D770&lt;2000,4,5)))))</f>
        <v>3947328</v>
      </c>
    </row>
    <row r="771" spans="1:6" x14ac:dyDescent="0.15">
      <c r="A771" s="11" t="s">
        <v>787</v>
      </c>
      <c r="B771" s="12">
        <v>41227</v>
      </c>
      <c r="C771" s="13" t="s">
        <v>17</v>
      </c>
      <c r="D771" s="13">
        <v>1894</v>
      </c>
      <c r="E771" s="14">
        <f>VLOOKUP(C771,价格表!$B$2:$C$5,2,0)</f>
        <v>2800</v>
      </c>
      <c r="F771" s="14">
        <f>D771*E771*(1-HLOOKUP(C771,折扣表!$B$2:$E$6,IF(D771&lt;1000,2,IF(D771&lt;1500,3,IF(D771&lt;2000,4,5)))))</f>
        <v>5144104</v>
      </c>
    </row>
    <row r="772" spans="1:6" x14ac:dyDescent="0.15">
      <c r="A772" s="11" t="s">
        <v>788</v>
      </c>
      <c r="B772" s="12">
        <v>41228</v>
      </c>
      <c r="C772" s="13" t="s">
        <v>16</v>
      </c>
      <c r="D772" s="13">
        <v>1401</v>
      </c>
      <c r="E772" s="14">
        <f>VLOOKUP(C772,价格表!$B$2:$C$5,2,0)</f>
        <v>3200</v>
      </c>
      <c r="F772" s="14">
        <f>D772*E772*(1-HLOOKUP(C772,折扣表!$B$2:$E$6,IF(D772&lt;1000,2,IF(D772&lt;1500,3,IF(D772&lt;2000,4,5)))))</f>
        <v>4438368</v>
      </c>
    </row>
    <row r="773" spans="1:6" x14ac:dyDescent="0.15">
      <c r="A773" s="11" t="s">
        <v>789</v>
      </c>
      <c r="B773" s="12">
        <v>41228</v>
      </c>
      <c r="C773" s="13" t="s">
        <v>17</v>
      </c>
      <c r="D773" s="13">
        <v>1877</v>
      </c>
      <c r="E773" s="14">
        <f>VLOOKUP(C773,价格表!$B$2:$C$5,2,0)</f>
        <v>2800</v>
      </c>
      <c r="F773" s="14">
        <f>D773*E773*(1-HLOOKUP(C773,折扣表!$B$2:$E$6,IF(D773&lt;1000,2,IF(D773&lt;1500,3,IF(D773&lt;2000,4,5)))))</f>
        <v>5097932</v>
      </c>
    </row>
    <row r="774" spans="1:6" x14ac:dyDescent="0.15">
      <c r="A774" s="11" t="s">
        <v>790</v>
      </c>
      <c r="B774" s="12">
        <v>41228</v>
      </c>
      <c r="C774" s="13" t="s">
        <v>18</v>
      </c>
      <c r="D774" s="13">
        <v>1081</v>
      </c>
      <c r="E774" s="14">
        <f>VLOOKUP(C774,价格表!$B$2:$C$5,2,0)</f>
        <v>2100</v>
      </c>
      <c r="F774" s="14">
        <f>D774*E774*(1-HLOOKUP(C774,折扣表!$B$2:$E$6,IF(D774&lt;1000,2,IF(D774&lt;1500,3,IF(D774&lt;2000,4,5)))))</f>
        <v>2201997</v>
      </c>
    </row>
    <row r="775" spans="1:6" x14ac:dyDescent="0.15">
      <c r="A775" s="11" t="s">
        <v>791</v>
      </c>
      <c r="B775" s="12">
        <v>41229</v>
      </c>
      <c r="C775" s="13" t="s">
        <v>17</v>
      </c>
      <c r="D775" s="13">
        <v>1925</v>
      </c>
      <c r="E775" s="14">
        <f>VLOOKUP(C775,价格表!$B$2:$C$5,2,0)</f>
        <v>2800</v>
      </c>
      <c r="F775" s="14">
        <f>D775*E775*(1-HLOOKUP(C775,折扣表!$B$2:$E$6,IF(D775&lt;1000,2,IF(D775&lt;1500,3,IF(D775&lt;2000,4,5)))))</f>
        <v>5228300</v>
      </c>
    </row>
    <row r="776" spans="1:6" x14ac:dyDescent="0.15">
      <c r="A776" s="11" t="s">
        <v>792</v>
      </c>
      <c r="B776" s="12">
        <v>41229</v>
      </c>
      <c r="C776" s="13" t="s">
        <v>18</v>
      </c>
      <c r="D776" s="13">
        <v>1038</v>
      </c>
      <c r="E776" s="14">
        <f>VLOOKUP(C776,价格表!$B$2:$C$5,2,0)</f>
        <v>2100</v>
      </c>
      <c r="F776" s="14">
        <f>D776*E776*(1-HLOOKUP(C776,折扣表!$B$2:$E$6,IF(D776&lt;1000,2,IF(D776&lt;1500,3,IF(D776&lt;2000,4,5)))))</f>
        <v>2114406</v>
      </c>
    </row>
    <row r="777" spans="1:6" x14ac:dyDescent="0.15">
      <c r="A777" s="11" t="s">
        <v>793</v>
      </c>
      <c r="B777" s="12">
        <v>41230</v>
      </c>
      <c r="C777" s="13" t="s">
        <v>16</v>
      </c>
      <c r="D777" s="13">
        <v>1266</v>
      </c>
      <c r="E777" s="14">
        <f>VLOOKUP(C777,价格表!$B$2:$C$5,2,0)</f>
        <v>3200</v>
      </c>
      <c r="F777" s="14">
        <f>D777*E777*(1-HLOOKUP(C777,折扣表!$B$2:$E$6,IF(D777&lt;1000,2,IF(D777&lt;1500,3,IF(D777&lt;2000,4,5)))))</f>
        <v>4010688</v>
      </c>
    </row>
    <row r="778" spans="1:6" x14ac:dyDescent="0.15">
      <c r="A778" s="11" t="s">
        <v>794</v>
      </c>
      <c r="B778" s="12">
        <v>41230</v>
      </c>
      <c r="C778" s="13" t="s">
        <v>17</v>
      </c>
      <c r="D778" s="13">
        <v>1899</v>
      </c>
      <c r="E778" s="14">
        <f>VLOOKUP(C778,价格表!$B$2:$C$5,2,0)</f>
        <v>2800</v>
      </c>
      <c r="F778" s="14">
        <f>D778*E778*(1-HLOOKUP(C778,折扣表!$B$2:$E$6,IF(D778&lt;1000,2,IF(D778&lt;1500,3,IF(D778&lt;2000,4,5)))))</f>
        <v>5157684</v>
      </c>
    </row>
    <row r="779" spans="1:6" x14ac:dyDescent="0.15">
      <c r="A779" s="11" t="s">
        <v>795</v>
      </c>
      <c r="B779" s="12">
        <v>41230</v>
      </c>
      <c r="C779" s="13" t="s">
        <v>18</v>
      </c>
      <c r="D779" s="13">
        <v>1022</v>
      </c>
      <c r="E779" s="14">
        <f>VLOOKUP(C779,价格表!$B$2:$C$5,2,0)</f>
        <v>2100</v>
      </c>
      <c r="F779" s="14">
        <f>D779*E779*(1-HLOOKUP(C779,折扣表!$B$2:$E$6,IF(D779&lt;1000,2,IF(D779&lt;1500,3,IF(D779&lt;2000,4,5)))))</f>
        <v>2081814</v>
      </c>
    </row>
    <row r="780" spans="1:6" x14ac:dyDescent="0.15">
      <c r="A780" s="11" t="s">
        <v>796</v>
      </c>
      <c r="B780" s="12">
        <v>41231</v>
      </c>
      <c r="C780" s="13" t="s">
        <v>16</v>
      </c>
      <c r="D780" s="13">
        <v>1556</v>
      </c>
      <c r="E780" s="14">
        <f>VLOOKUP(C780,价格表!$B$2:$C$5,2,0)</f>
        <v>3200</v>
      </c>
      <c r="F780" s="14">
        <f>D780*E780*(1-HLOOKUP(C780,折扣表!$B$2:$E$6,IF(D780&lt;1000,2,IF(D780&lt;1500,3,IF(D780&lt;2000,4,5)))))</f>
        <v>4879616</v>
      </c>
    </row>
    <row r="781" spans="1:6" x14ac:dyDescent="0.15">
      <c r="A781" s="11" t="s">
        <v>797</v>
      </c>
      <c r="B781" s="12">
        <v>41231</v>
      </c>
      <c r="C781" s="13" t="s">
        <v>17</v>
      </c>
      <c r="D781" s="13">
        <v>1849</v>
      </c>
      <c r="E781" s="14">
        <f>VLOOKUP(C781,价格表!$B$2:$C$5,2,0)</f>
        <v>2800</v>
      </c>
      <c r="F781" s="14">
        <f>D781*E781*(1-HLOOKUP(C781,折扣表!$B$2:$E$6,IF(D781&lt;1000,2,IF(D781&lt;1500,3,IF(D781&lt;2000,4,5)))))</f>
        <v>5021884</v>
      </c>
    </row>
    <row r="782" spans="1:6" x14ac:dyDescent="0.15">
      <c r="A782" s="11" t="s">
        <v>798</v>
      </c>
      <c r="B782" s="12">
        <v>41231</v>
      </c>
      <c r="C782" s="13" t="s">
        <v>18</v>
      </c>
      <c r="D782" s="13">
        <v>1095</v>
      </c>
      <c r="E782" s="14">
        <f>VLOOKUP(C782,价格表!$B$2:$C$5,2,0)</f>
        <v>2100</v>
      </c>
      <c r="F782" s="14">
        <f>D782*E782*(1-HLOOKUP(C782,折扣表!$B$2:$E$6,IF(D782&lt;1000,2,IF(D782&lt;1500,3,IF(D782&lt;2000,4,5)))))</f>
        <v>2230515</v>
      </c>
    </row>
    <row r="783" spans="1:6" x14ac:dyDescent="0.15">
      <c r="A783" s="11" t="s">
        <v>799</v>
      </c>
      <c r="B783" s="12">
        <v>41232</v>
      </c>
      <c r="C783" s="13" t="s">
        <v>16</v>
      </c>
      <c r="D783" s="13">
        <v>1264</v>
      </c>
      <c r="E783" s="14">
        <f>VLOOKUP(C783,价格表!$B$2:$C$5,2,0)</f>
        <v>3200</v>
      </c>
      <c r="F783" s="14">
        <f>D783*E783*(1-HLOOKUP(C783,折扣表!$B$2:$E$6,IF(D783&lt;1000,2,IF(D783&lt;1500,3,IF(D783&lt;2000,4,5)))))</f>
        <v>4004352</v>
      </c>
    </row>
    <row r="784" spans="1:6" x14ac:dyDescent="0.15">
      <c r="A784" s="11" t="s">
        <v>800</v>
      </c>
      <c r="B784" s="12">
        <v>41232</v>
      </c>
      <c r="C784" s="13" t="s">
        <v>17</v>
      </c>
      <c r="D784" s="13">
        <v>1900</v>
      </c>
      <c r="E784" s="14">
        <f>VLOOKUP(C784,价格表!$B$2:$C$5,2,0)</f>
        <v>2800</v>
      </c>
      <c r="F784" s="14">
        <f>D784*E784*(1-HLOOKUP(C784,折扣表!$B$2:$E$6,IF(D784&lt;1000,2,IF(D784&lt;1500,3,IF(D784&lt;2000,4,5)))))</f>
        <v>5160400</v>
      </c>
    </row>
    <row r="785" spans="1:6" x14ac:dyDescent="0.15">
      <c r="A785" s="11" t="s">
        <v>801</v>
      </c>
      <c r="B785" s="12">
        <v>41232</v>
      </c>
      <c r="C785" s="13" t="s">
        <v>18</v>
      </c>
      <c r="D785" s="13">
        <v>1072</v>
      </c>
      <c r="E785" s="14">
        <f>VLOOKUP(C785,价格表!$B$2:$C$5,2,0)</f>
        <v>2100</v>
      </c>
      <c r="F785" s="14">
        <f>D785*E785*(1-HLOOKUP(C785,折扣表!$B$2:$E$6,IF(D785&lt;1000,2,IF(D785&lt;1500,3,IF(D785&lt;2000,4,5)))))</f>
        <v>2183664</v>
      </c>
    </row>
    <row r="786" spans="1:6" x14ac:dyDescent="0.15">
      <c r="A786" s="11" t="s">
        <v>802</v>
      </c>
      <c r="B786" s="12">
        <v>41233</v>
      </c>
      <c r="C786" s="13" t="s">
        <v>16</v>
      </c>
      <c r="D786" s="13">
        <v>1425</v>
      </c>
      <c r="E786" s="14">
        <f>VLOOKUP(C786,价格表!$B$2:$C$5,2,0)</f>
        <v>3200</v>
      </c>
      <c r="F786" s="14">
        <f>D786*E786*(1-HLOOKUP(C786,折扣表!$B$2:$E$6,IF(D786&lt;1000,2,IF(D786&lt;1500,3,IF(D786&lt;2000,4,5)))))</f>
        <v>4514400</v>
      </c>
    </row>
    <row r="787" spans="1:6" x14ac:dyDescent="0.15">
      <c r="A787" s="11" t="s">
        <v>803</v>
      </c>
      <c r="B787" s="12">
        <v>41233</v>
      </c>
      <c r="C787" s="13" t="s">
        <v>18</v>
      </c>
      <c r="D787" s="13">
        <v>1026</v>
      </c>
      <c r="E787" s="14">
        <f>VLOOKUP(C787,价格表!$B$2:$C$5,2,0)</f>
        <v>2100</v>
      </c>
      <c r="F787" s="14">
        <f>D787*E787*(1-HLOOKUP(C787,折扣表!$B$2:$E$6,IF(D787&lt;1000,2,IF(D787&lt;1500,3,IF(D787&lt;2000,4,5)))))</f>
        <v>2089962</v>
      </c>
    </row>
    <row r="788" spans="1:6" x14ac:dyDescent="0.15">
      <c r="A788" s="11" t="s">
        <v>804</v>
      </c>
      <c r="B788" s="12">
        <v>41234</v>
      </c>
      <c r="C788" s="13" t="s">
        <v>16</v>
      </c>
      <c r="D788" s="13">
        <v>1220</v>
      </c>
      <c r="E788" s="14">
        <f>VLOOKUP(C788,价格表!$B$2:$C$5,2,0)</f>
        <v>3200</v>
      </c>
      <c r="F788" s="14">
        <f>D788*E788*(1-HLOOKUP(C788,折扣表!$B$2:$E$6,IF(D788&lt;1000,2,IF(D788&lt;1500,3,IF(D788&lt;2000,4,5)))))</f>
        <v>3864960</v>
      </c>
    </row>
    <row r="789" spans="1:6" x14ac:dyDescent="0.15">
      <c r="A789" s="11" t="s">
        <v>805</v>
      </c>
      <c r="B789" s="12">
        <v>41234</v>
      </c>
      <c r="C789" s="13" t="s">
        <v>17</v>
      </c>
      <c r="D789" s="13">
        <v>1951</v>
      </c>
      <c r="E789" s="14">
        <f>VLOOKUP(C789,价格表!$B$2:$C$5,2,0)</f>
        <v>2800</v>
      </c>
      <c r="F789" s="14">
        <f>D789*E789*(1-HLOOKUP(C789,折扣表!$B$2:$E$6,IF(D789&lt;1000,2,IF(D789&lt;1500,3,IF(D789&lt;2000,4,5)))))</f>
        <v>5298916</v>
      </c>
    </row>
    <row r="790" spans="1:6" x14ac:dyDescent="0.15">
      <c r="A790" s="11" t="s">
        <v>806</v>
      </c>
      <c r="B790" s="12">
        <v>41235</v>
      </c>
      <c r="C790" s="13" t="s">
        <v>16</v>
      </c>
      <c r="D790" s="13">
        <v>1272</v>
      </c>
      <c r="E790" s="14">
        <f>VLOOKUP(C790,价格表!$B$2:$C$5,2,0)</f>
        <v>3200</v>
      </c>
      <c r="F790" s="14">
        <f>D790*E790*(1-HLOOKUP(C790,折扣表!$B$2:$E$6,IF(D790&lt;1000,2,IF(D790&lt;1500,3,IF(D790&lt;2000,4,5)))))</f>
        <v>4029696</v>
      </c>
    </row>
    <row r="791" spans="1:6" x14ac:dyDescent="0.15">
      <c r="A791" s="11" t="s">
        <v>807</v>
      </c>
      <c r="B791" s="12">
        <v>41235</v>
      </c>
      <c r="C791" s="13" t="s">
        <v>17</v>
      </c>
      <c r="D791" s="13">
        <v>1866</v>
      </c>
      <c r="E791" s="14">
        <f>VLOOKUP(C791,价格表!$B$2:$C$5,2,0)</f>
        <v>2800</v>
      </c>
      <c r="F791" s="14">
        <f>D791*E791*(1-HLOOKUP(C791,折扣表!$B$2:$E$6,IF(D791&lt;1000,2,IF(D791&lt;1500,3,IF(D791&lt;2000,4,5)))))</f>
        <v>5068056</v>
      </c>
    </row>
    <row r="792" spans="1:6" x14ac:dyDescent="0.15">
      <c r="A792" s="11" t="s">
        <v>808</v>
      </c>
      <c r="B792" s="12">
        <v>41235</v>
      </c>
      <c r="C792" s="13" t="s">
        <v>18</v>
      </c>
      <c r="D792" s="13">
        <v>1036</v>
      </c>
      <c r="E792" s="14">
        <f>VLOOKUP(C792,价格表!$B$2:$C$5,2,0)</f>
        <v>2100</v>
      </c>
      <c r="F792" s="14">
        <f>D792*E792*(1-HLOOKUP(C792,折扣表!$B$2:$E$6,IF(D792&lt;1000,2,IF(D792&lt;1500,3,IF(D792&lt;2000,4,5)))))</f>
        <v>2110332</v>
      </c>
    </row>
    <row r="793" spans="1:6" x14ac:dyDescent="0.15">
      <c r="A793" s="11" t="s">
        <v>809</v>
      </c>
      <c r="B793" s="12">
        <v>41236</v>
      </c>
      <c r="C793" s="13" t="s">
        <v>18</v>
      </c>
      <c r="D793" s="13">
        <v>1013</v>
      </c>
      <c r="E793" s="14">
        <f>VLOOKUP(C793,价格表!$B$2:$C$5,2,0)</f>
        <v>2100</v>
      </c>
      <c r="F793" s="14">
        <f>D793*E793*(1-HLOOKUP(C793,折扣表!$B$2:$E$6,IF(D793&lt;1000,2,IF(D793&lt;1500,3,IF(D793&lt;2000,4,5)))))</f>
        <v>2063481</v>
      </c>
    </row>
    <row r="794" spans="1:6" x14ac:dyDescent="0.15">
      <c r="A794" s="11" t="s">
        <v>810</v>
      </c>
      <c r="B794" s="12">
        <v>41237</v>
      </c>
      <c r="C794" s="13" t="s">
        <v>17</v>
      </c>
      <c r="D794" s="13">
        <v>1937</v>
      </c>
      <c r="E794" s="14">
        <f>VLOOKUP(C794,价格表!$B$2:$C$5,2,0)</f>
        <v>2800</v>
      </c>
      <c r="F794" s="14">
        <f>D794*E794*(1-HLOOKUP(C794,折扣表!$B$2:$E$6,IF(D794&lt;1000,2,IF(D794&lt;1500,3,IF(D794&lt;2000,4,5)))))</f>
        <v>5260892</v>
      </c>
    </row>
    <row r="795" spans="1:6" x14ac:dyDescent="0.15">
      <c r="A795" s="11" t="s">
        <v>811</v>
      </c>
      <c r="B795" s="12">
        <v>41237</v>
      </c>
      <c r="C795" s="13" t="s">
        <v>18</v>
      </c>
      <c r="D795" s="13">
        <v>1066</v>
      </c>
      <c r="E795" s="14">
        <f>VLOOKUP(C795,价格表!$B$2:$C$5,2,0)</f>
        <v>2100</v>
      </c>
      <c r="F795" s="14">
        <f>D795*E795*(1-HLOOKUP(C795,折扣表!$B$2:$E$6,IF(D795&lt;1000,2,IF(D795&lt;1500,3,IF(D795&lt;2000,4,5)))))</f>
        <v>2171442</v>
      </c>
    </row>
    <row r="796" spans="1:6" x14ac:dyDescent="0.15">
      <c r="A796" s="11" t="s">
        <v>812</v>
      </c>
      <c r="B796" s="12">
        <v>41238</v>
      </c>
      <c r="C796" s="13" t="s">
        <v>16</v>
      </c>
      <c r="D796" s="13">
        <v>1221</v>
      </c>
      <c r="E796" s="14">
        <f>VLOOKUP(C796,价格表!$B$2:$C$5,2,0)</f>
        <v>3200</v>
      </c>
      <c r="F796" s="14">
        <f>D796*E796*(1-HLOOKUP(C796,折扣表!$B$2:$E$6,IF(D796&lt;1000,2,IF(D796&lt;1500,3,IF(D796&lt;2000,4,5)))))</f>
        <v>3868128</v>
      </c>
    </row>
    <row r="797" spans="1:6" x14ac:dyDescent="0.15">
      <c r="A797" s="11" t="s">
        <v>813</v>
      </c>
      <c r="B797" s="12">
        <v>41238</v>
      </c>
      <c r="C797" s="13" t="s">
        <v>17</v>
      </c>
      <c r="D797" s="13">
        <v>1830</v>
      </c>
      <c r="E797" s="14">
        <f>VLOOKUP(C797,价格表!$B$2:$C$5,2,0)</f>
        <v>2800</v>
      </c>
      <c r="F797" s="14">
        <f>D797*E797*(1-HLOOKUP(C797,折扣表!$B$2:$E$6,IF(D797&lt;1000,2,IF(D797&lt;1500,3,IF(D797&lt;2000,4,5)))))</f>
        <v>4970280</v>
      </c>
    </row>
    <row r="798" spans="1:6" x14ac:dyDescent="0.15">
      <c r="A798" s="11" t="s">
        <v>814</v>
      </c>
      <c r="B798" s="12">
        <v>41238</v>
      </c>
      <c r="C798" s="13" t="s">
        <v>18</v>
      </c>
      <c r="D798" s="13">
        <v>1066</v>
      </c>
      <c r="E798" s="14">
        <f>VLOOKUP(C798,价格表!$B$2:$C$5,2,0)</f>
        <v>2100</v>
      </c>
      <c r="F798" s="14">
        <f>D798*E798*(1-HLOOKUP(C798,折扣表!$B$2:$E$6,IF(D798&lt;1000,2,IF(D798&lt;1500,3,IF(D798&lt;2000,4,5)))))</f>
        <v>2171442</v>
      </c>
    </row>
    <row r="799" spans="1:6" x14ac:dyDescent="0.15">
      <c r="A799" s="11" t="s">
        <v>815</v>
      </c>
      <c r="B799" s="12">
        <v>41239</v>
      </c>
      <c r="C799" s="13" t="s">
        <v>16</v>
      </c>
      <c r="D799" s="13">
        <v>1324</v>
      </c>
      <c r="E799" s="14">
        <f>VLOOKUP(C799,价格表!$B$2:$C$5,2,0)</f>
        <v>3200</v>
      </c>
      <c r="F799" s="14">
        <f>D799*E799*(1-HLOOKUP(C799,折扣表!$B$2:$E$6,IF(D799&lt;1000,2,IF(D799&lt;1500,3,IF(D799&lt;2000,4,5)))))</f>
        <v>4194432</v>
      </c>
    </row>
    <row r="800" spans="1:6" x14ac:dyDescent="0.15">
      <c r="A800" s="11" t="s">
        <v>816</v>
      </c>
      <c r="B800" s="12">
        <v>41239</v>
      </c>
      <c r="C800" s="13" t="s">
        <v>17</v>
      </c>
      <c r="D800" s="13">
        <v>1979</v>
      </c>
      <c r="E800" s="14">
        <f>VLOOKUP(C800,价格表!$B$2:$C$5,2,0)</f>
        <v>2800</v>
      </c>
      <c r="F800" s="14">
        <f>D800*E800*(1-HLOOKUP(C800,折扣表!$B$2:$E$6,IF(D800&lt;1000,2,IF(D800&lt;1500,3,IF(D800&lt;2000,4,5)))))</f>
        <v>5374964</v>
      </c>
    </row>
    <row r="801" spans="1:6" x14ac:dyDescent="0.15">
      <c r="A801" s="11" t="s">
        <v>817</v>
      </c>
      <c r="B801" s="12">
        <v>41239</v>
      </c>
      <c r="C801" s="13" t="s">
        <v>18</v>
      </c>
      <c r="D801" s="13">
        <v>1060</v>
      </c>
      <c r="E801" s="14">
        <f>VLOOKUP(C801,价格表!$B$2:$C$5,2,0)</f>
        <v>2100</v>
      </c>
      <c r="F801" s="14">
        <f>D801*E801*(1-HLOOKUP(C801,折扣表!$B$2:$E$6,IF(D801&lt;1000,2,IF(D801&lt;1500,3,IF(D801&lt;2000,4,5)))))</f>
        <v>2159220</v>
      </c>
    </row>
    <row r="802" spans="1:6" x14ac:dyDescent="0.15">
      <c r="A802" s="11" t="s">
        <v>818</v>
      </c>
      <c r="B802" s="12">
        <v>41240</v>
      </c>
      <c r="C802" s="13" t="s">
        <v>16</v>
      </c>
      <c r="D802" s="13">
        <v>1235</v>
      </c>
      <c r="E802" s="14">
        <f>VLOOKUP(C802,价格表!$B$2:$C$5,2,0)</f>
        <v>3200</v>
      </c>
      <c r="F802" s="14">
        <f>D802*E802*(1-HLOOKUP(C802,折扣表!$B$2:$E$6,IF(D802&lt;1000,2,IF(D802&lt;1500,3,IF(D802&lt;2000,4,5)))))</f>
        <v>3912480</v>
      </c>
    </row>
    <row r="803" spans="1:6" x14ac:dyDescent="0.15">
      <c r="A803" s="11" t="s">
        <v>819</v>
      </c>
      <c r="B803" s="12">
        <v>41240</v>
      </c>
      <c r="C803" s="13" t="s">
        <v>17</v>
      </c>
      <c r="D803" s="13">
        <v>1867</v>
      </c>
      <c r="E803" s="14">
        <f>VLOOKUP(C803,价格表!$B$2:$C$5,2,0)</f>
        <v>2800</v>
      </c>
      <c r="F803" s="14">
        <f>D803*E803*(1-HLOOKUP(C803,折扣表!$B$2:$E$6,IF(D803&lt;1000,2,IF(D803&lt;1500,3,IF(D803&lt;2000,4,5)))))</f>
        <v>5070772</v>
      </c>
    </row>
    <row r="804" spans="1:6" x14ac:dyDescent="0.15">
      <c r="A804" s="11" t="s">
        <v>820</v>
      </c>
      <c r="B804" s="12">
        <v>41240</v>
      </c>
      <c r="C804" s="13" t="s">
        <v>18</v>
      </c>
      <c r="D804" s="13">
        <v>1012</v>
      </c>
      <c r="E804" s="14">
        <f>VLOOKUP(C804,价格表!$B$2:$C$5,2,0)</f>
        <v>2100</v>
      </c>
      <c r="F804" s="14">
        <f>D804*E804*(1-HLOOKUP(C804,折扣表!$B$2:$E$6,IF(D804&lt;1000,2,IF(D804&lt;1500,3,IF(D804&lt;2000,4,5)))))</f>
        <v>2061444</v>
      </c>
    </row>
    <row r="805" spans="1:6" x14ac:dyDescent="0.15">
      <c r="A805" s="11" t="s">
        <v>821</v>
      </c>
      <c r="B805" s="12">
        <v>41241</v>
      </c>
      <c r="C805" s="13" t="s">
        <v>16</v>
      </c>
      <c r="D805" s="13">
        <v>1314</v>
      </c>
      <c r="E805" s="14">
        <f>VLOOKUP(C805,价格表!$B$2:$C$5,2,0)</f>
        <v>3200</v>
      </c>
      <c r="F805" s="14">
        <f>D805*E805*(1-HLOOKUP(C805,折扣表!$B$2:$E$6,IF(D805&lt;1000,2,IF(D805&lt;1500,3,IF(D805&lt;2000,4,5)))))</f>
        <v>4162752</v>
      </c>
    </row>
    <row r="806" spans="1:6" x14ac:dyDescent="0.15">
      <c r="A806" s="11" t="s">
        <v>822</v>
      </c>
      <c r="B806" s="12">
        <v>41241</v>
      </c>
      <c r="C806" s="13" t="s">
        <v>17</v>
      </c>
      <c r="D806" s="13">
        <v>1943</v>
      </c>
      <c r="E806" s="14">
        <f>VLOOKUP(C806,价格表!$B$2:$C$5,2,0)</f>
        <v>2800</v>
      </c>
      <c r="F806" s="14">
        <f>D806*E806*(1-HLOOKUP(C806,折扣表!$B$2:$E$6,IF(D806&lt;1000,2,IF(D806&lt;1500,3,IF(D806&lt;2000,4,5)))))</f>
        <v>5277188</v>
      </c>
    </row>
    <row r="807" spans="1:6" x14ac:dyDescent="0.15">
      <c r="A807" s="11" t="s">
        <v>823</v>
      </c>
      <c r="B807" s="12">
        <v>41241</v>
      </c>
      <c r="C807" s="13" t="s">
        <v>18</v>
      </c>
      <c r="D807" s="13">
        <v>1019</v>
      </c>
      <c r="E807" s="14">
        <f>VLOOKUP(C807,价格表!$B$2:$C$5,2,0)</f>
        <v>2100</v>
      </c>
      <c r="F807" s="14">
        <f>D807*E807*(1-HLOOKUP(C807,折扣表!$B$2:$E$6,IF(D807&lt;1000,2,IF(D807&lt;1500,3,IF(D807&lt;2000,4,5)))))</f>
        <v>2075703</v>
      </c>
    </row>
    <row r="808" spans="1:6" x14ac:dyDescent="0.15">
      <c r="A808" s="11" t="s">
        <v>824</v>
      </c>
      <c r="B808" s="12">
        <v>41242</v>
      </c>
      <c r="C808" s="13" t="s">
        <v>16</v>
      </c>
      <c r="D808" s="13">
        <v>1357</v>
      </c>
      <c r="E808" s="14">
        <f>VLOOKUP(C808,价格表!$B$2:$C$5,2,0)</f>
        <v>3200</v>
      </c>
      <c r="F808" s="14">
        <f>D808*E808*(1-HLOOKUP(C808,折扣表!$B$2:$E$6,IF(D808&lt;1000,2,IF(D808&lt;1500,3,IF(D808&lt;2000,4,5)))))</f>
        <v>4298976</v>
      </c>
    </row>
    <row r="809" spans="1:6" x14ac:dyDescent="0.15">
      <c r="A809" s="11" t="s">
        <v>825</v>
      </c>
      <c r="B809" s="12">
        <v>41242</v>
      </c>
      <c r="C809" s="13" t="s">
        <v>18</v>
      </c>
      <c r="D809" s="13">
        <v>1032</v>
      </c>
      <c r="E809" s="14">
        <f>VLOOKUP(C809,价格表!$B$2:$C$5,2,0)</f>
        <v>2100</v>
      </c>
      <c r="F809" s="14">
        <f>D809*E809*(1-HLOOKUP(C809,折扣表!$B$2:$E$6,IF(D809&lt;1000,2,IF(D809&lt;1500,3,IF(D809&lt;2000,4,5)))))</f>
        <v>2102184</v>
      </c>
    </row>
    <row r="810" spans="1:6" x14ac:dyDescent="0.15">
      <c r="A810" s="11" t="s">
        <v>826</v>
      </c>
      <c r="B810" s="12">
        <v>41243</v>
      </c>
      <c r="C810" s="13" t="s">
        <v>16</v>
      </c>
      <c r="D810" s="13">
        <v>1453</v>
      </c>
      <c r="E810" s="14">
        <f>VLOOKUP(C810,价格表!$B$2:$C$5,2,0)</f>
        <v>3200</v>
      </c>
      <c r="F810" s="14">
        <f>D810*E810*(1-HLOOKUP(C810,折扣表!$B$2:$E$6,IF(D810&lt;1000,2,IF(D810&lt;1500,3,IF(D810&lt;2000,4,5)))))</f>
        <v>4603104</v>
      </c>
    </row>
    <row r="811" spans="1:6" x14ac:dyDescent="0.15">
      <c r="A811" s="11" t="s">
        <v>827</v>
      </c>
      <c r="B811" s="12">
        <v>41243</v>
      </c>
      <c r="C811" s="13" t="s">
        <v>17</v>
      </c>
      <c r="D811" s="13">
        <v>1850</v>
      </c>
      <c r="E811" s="14">
        <f>VLOOKUP(C811,价格表!$B$2:$C$5,2,0)</f>
        <v>2800</v>
      </c>
      <c r="F811" s="14">
        <f>D811*E811*(1-HLOOKUP(C811,折扣表!$B$2:$E$6,IF(D811&lt;1000,2,IF(D811&lt;1500,3,IF(D811&lt;2000,4,5)))))</f>
        <v>5024600</v>
      </c>
    </row>
    <row r="812" spans="1:6" x14ac:dyDescent="0.15">
      <c r="A812" s="11" t="s">
        <v>828</v>
      </c>
      <c r="B812" s="12">
        <v>41243</v>
      </c>
      <c r="C812" s="13" t="s">
        <v>18</v>
      </c>
      <c r="D812" s="13">
        <v>1096</v>
      </c>
      <c r="E812" s="14">
        <f>VLOOKUP(C812,价格表!$B$2:$C$5,2,0)</f>
        <v>2100</v>
      </c>
      <c r="F812" s="14">
        <f>D812*E812*(1-HLOOKUP(C812,折扣表!$B$2:$E$6,IF(D812&lt;1000,2,IF(D812&lt;1500,3,IF(D812&lt;2000,4,5)))))</f>
        <v>2232552</v>
      </c>
    </row>
    <row r="813" spans="1:6" x14ac:dyDescent="0.15">
      <c r="A813" s="11" t="s">
        <v>829</v>
      </c>
      <c r="B813" s="12">
        <v>41244</v>
      </c>
      <c r="C813" s="13" t="s">
        <v>16</v>
      </c>
      <c r="D813" s="13">
        <v>1600</v>
      </c>
      <c r="E813" s="14">
        <f>VLOOKUP(C813,价格表!$B$2:$C$5,2,0)</f>
        <v>3200</v>
      </c>
      <c r="F813" s="14">
        <f>D813*E813*(1-HLOOKUP(C813,折扣表!$B$2:$E$6,IF(D813&lt;1000,2,IF(D813&lt;1500,3,IF(D813&lt;2000,4,5)))))</f>
        <v>5017600</v>
      </c>
    </row>
    <row r="814" spans="1:6" x14ac:dyDescent="0.15">
      <c r="A814" s="11" t="s">
        <v>830</v>
      </c>
      <c r="B814" s="12">
        <v>41244</v>
      </c>
      <c r="C814" s="13" t="s">
        <v>17</v>
      </c>
      <c r="D814" s="13">
        <v>1966</v>
      </c>
      <c r="E814" s="14">
        <f>VLOOKUP(C814,价格表!$B$2:$C$5,2,0)</f>
        <v>2800</v>
      </c>
      <c r="F814" s="14">
        <f>D814*E814*(1-HLOOKUP(C814,折扣表!$B$2:$E$6,IF(D814&lt;1000,2,IF(D814&lt;1500,3,IF(D814&lt;2000,4,5)))))</f>
        <v>5339656</v>
      </c>
    </row>
    <row r="815" spans="1:6" x14ac:dyDescent="0.15">
      <c r="A815" s="11" t="s">
        <v>831</v>
      </c>
      <c r="B815" s="12">
        <v>41244</v>
      </c>
      <c r="C815" s="13" t="s">
        <v>18</v>
      </c>
      <c r="D815" s="13">
        <v>1024</v>
      </c>
      <c r="E815" s="14">
        <f>VLOOKUP(C815,价格表!$B$2:$C$5,2,0)</f>
        <v>2100</v>
      </c>
      <c r="F815" s="14">
        <f>D815*E815*(1-HLOOKUP(C815,折扣表!$B$2:$E$6,IF(D815&lt;1000,2,IF(D815&lt;1500,3,IF(D815&lt;2000,4,5)))))</f>
        <v>2085888</v>
      </c>
    </row>
    <row r="816" spans="1:6" x14ac:dyDescent="0.15">
      <c r="A816" s="11" t="s">
        <v>832</v>
      </c>
      <c r="B816" s="12">
        <v>41245</v>
      </c>
      <c r="C816" s="13" t="s">
        <v>16</v>
      </c>
      <c r="D816" s="13">
        <v>1465</v>
      </c>
      <c r="E816" s="14">
        <f>VLOOKUP(C816,价格表!$B$2:$C$5,2,0)</f>
        <v>3200</v>
      </c>
      <c r="F816" s="14">
        <f>D816*E816*(1-HLOOKUP(C816,折扣表!$B$2:$E$6,IF(D816&lt;1000,2,IF(D816&lt;1500,3,IF(D816&lt;2000,4,5)))))</f>
        <v>4641120</v>
      </c>
    </row>
    <row r="817" spans="1:6" x14ac:dyDescent="0.15">
      <c r="A817" s="11" t="s">
        <v>833</v>
      </c>
      <c r="B817" s="12">
        <v>41245</v>
      </c>
      <c r="C817" s="13" t="s">
        <v>17</v>
      </c>
      <c r="D817" s="13">
        <v>2069</v>
      </c>
      <c r="E817" s="14">
        <f>VLOOKUP(C817,价格表!$B$2:$C$5,2,0)</f>
        <v>2800</v>
      </c>
      <c r="F817" s="14">
        <f>D817*E817*(1-HLOOKUP(C817,折扣表!$B$2:$E$6,IF(D817&lt;1000,2,IF(D817&lt;1500,3,IF(D817&lt;2000,4,5)))))</f>
        <v>5561472</v>
      </c>
    </row>
    <row r="818" spans="1:6" x14ac:dyDescent="0.15">
      <c r="A818" s="11" t="s">
        <v>834</v>
      </c>
      <c r="B818" s="12">
        <v>41245</v>
      </c>
      <c r="C818" s="13" t="s">
        <v>18</v>
      </c>
      <c r="D818" s="13">
        <v>977</v>
      </c>
      <c r="E818" s="14">
        <f>VLOOKUP(C818,价格表!$B$2:$C$5,2,0)</f>
        <v>2100</v>
      </c>
      <c r="F818" s="14">
        <f>D818*E818*(1-HLOOKUP(C818,折扣表!$B$2:$E$6,IF(D818&lt;1000,2,IF(D818&lt;1500,3,IF(D818&lt;2000,4,5)))))</f>
        <v>2051700</v>
      </c>
    </row>
    <row r="819" spans="1:6" x14ac:dyDescent="0.15">
      <c r="A819" s="11" t="s">
        <v>835</v>
      </c>
      <c r="B819" s="12">
        <v>41246</v>
      </c>
      <c r="C819" s="13" t="s">
        <v>16</v>
      </c>
      <c r="D819" s="13">
        <v>1454</v>
      </c>
      <c r="E819" s="14">
        <f>VLOOKUP(C819,价格表!$B$2:$C$5,2,0)</f>
        <v>3200</v>
      </c>
      <c r="F819" s="14">
        <f>D819*E819*(1-HLOOKUP(C819,折扣表!$B$2:$E$6,IF(D819&lt;1000,2,IF(D819&lt;1500,3,IF(D819&lt;2000,4,5)))))</f>
        <v>4606272</v>
      </c>
    </row>
    <row r="820" spans="1:6" x14ac:dyDescent="0.15">
      <c r="A820" s="11" t="s">
        <v>836</v>
      </c>
      <c r="B820" s="12">
        <v>41246</v>
      </c>
      <c r="C820" s="13" t="s">
        <v>17</v>
      </c>
      <c r="D820" s="13">
        <v>2081</v>
      </c>
      <c r="E820" s="14">
        <f>VLOOKUP(C820,价格表!$B$2:$C$5,2,0)</f>
        <v>2800</v>
      </c>
      <c r="F820" s="14">
        <f>D820*E820*(1-HLOOKUP(C820,折扣表!$B$2:$E$6,IF(D820&lt;1000,2,IF(D820&lt;1500,3,IF(D820&lt;2000,4,5)))))</f>
        <v>5593728</v>
      </c>
    </row>
    <row r="821" spans="1:6" x14ac:dyDescent="0.15">
      <c r="A821" s="11" t="s">
        <v>837</v>
      </c>
      <c r="B821" s="12">
        <v>41246</v>
      </c>
      <c r="C821" s="13" t="s">
        <v>18</v>
      </c>
      <c r="D821" s="13">
        <v>995</v>
      </c>
      <c r="E821" s="14">
        <f>VLOOKUP(C821,价格表!$B$2:$C$5,2,0)</f>
        <v>2100</v>
      </c>
      <c r="F821" s="14">
        <f>D821*E821*(1-HLOOKUP(C821,折扣表!$B$2:$E$6,IF(D821&lt;1000,2,IF(D821&lt;1500,3,IF(D821&lt;2000,4,5)))))</f>
        <v>2089500</v>
      </c>
    </row>
    <row r="822" spans="1:6" x14ac:dyDescent="0.15">
      <c r="A822" s="11" t="s">
        <v>838</v>
      </c>
      <c r="B822" s="12">
        <v>41247</v>
      </c>
      <c r="C822" s="13" t="s">
        <v>16</v>
      </c>
      <c r="D822" s="13">
        <v>1413</v>
      </c>
      <c r="E822" s="14">
        <f>VLOOKUP(C822,价格表!$B$2:$C$5,2,0)</f>
        <v>3200</v>
      </c>
      <c r="F822" s="14">
        <f>D822*E822*(1-HLOOKUP(C822,折扣表!$B$2:$E$6,IF(D822&lt;1000,2,IF(D822&lt;1500,3,IF(D822&lt;2000,4,5)))))</f>
        <v>4476384</v>
      </c>
    </row>
    <row r="823" spans="1:6" x14ac:dyDescent="0.15">
      <c r="A823" s="11" t="s">
        <v>839</v>
      </c>
      <c r="B823" s="12">
        <v>41248</v>
      </c>
      <c r="C823" s="13" t="s">
        <v>16</v>
      </c>
      <c r="D823" s="13">
        <v>1342</v>
      </c>
      <c r="E823" s="14">
        <f>VLOOKUP(C823,价格表!$B$2:$C$5,2,0)</f>
        <v>3200</v>
      </c>
      <c r="F823" s="14">
        <f>D823*E823*(1-HLOOKUP(C823,折扣表!$B$2:$E$6,IF(D823&lt;1000,2,IF(D823&lt;1500,3,IF(D823&lt;2000,4,5)))))</f>
        <v>4251456</v>
      </c>
    </row>
    <row r="824" spans="1:6" x14ac:dyDescent="0.15">
      <c r="A824" s="11" t="s">
        <v>840</v>
      </c>
      <c r="B824" s="12">
        <v>41248</v>
      </c>
      <c r="C824" s="13" t="s">
        <v>17</v>
      </c>
      <c r="D824" s="13">
        <v>1911</v>
      </c>
      <c r="E824" s="14">
        <f>VLOOKUP(C824,价格表!$B$2:$C$5,2,0)</f>
        <v>2800</v>
      </c>
      <c r="F824" s="14">
        <f>D824*E824*(1-HLOOKUP(C824,折扣表!$B$2:$E$6,IF(D824&lt;1000,2,IF(D824&lt;1500,3,IF(D824&lt;2000,4,5)))))</f>
        <v>5190276</v>
      </c>
    </row>
    <row r="825" spans="1:6" x14ac:dyDescent="0.15">
      <c r="A825" s="11" t="s">
        <v>841</v>
      </c>
      <c r="B825" s="12">
        <v>41248</v>
      </c>
      <c r="C825" s="13" t="s">
        <v>18</v>
      </c>
      <c r="D825" s="13">
        <v>952</v>
      </c>
      <c r="E825" s="14">
        <f>VLOOKUP(C825,价格表!$B$2:$C$5,2,0)</f>
        <v>2100</v>
      </c>
      <c r="F825" s="14">
        <f>D825*E825*(1-HLOOKUP(C825,折扣表!$B$2:$E$6,IF(D825&lt;1000,2,IF(D825&lt;1500,3,IF(D825&lt;2000,4,5)))))</f>
        <v>1999200</v>
      </c>
    </row>
    <row r="826" spans="1:6" x14ac:dyDescent="0.15">
      <c r="A826" s="11" t="s">
        <v>842</v>
      </c>
      <c r="B826" s="12">
        <v>41249</v>
      </c>
      <c r="C826" s="13" t="s">
        <v>17</v>
      </c>
      <c r="D826" s="13">
        <v>2075</v>
      </c>
      <c r="E826" s="14">
        <f>VLOOKUP(C826,价格表!$B$2:$C$5,2,0)</f>
        <v>2800</v>
      </c>
      <c r="F826" s="14">
        <f>D826*E826*(1-HLOOKUP(C826,折扣表!$B$2:$E$6,IF(D826&lt;1000,2,IF(D826&lt;1500,3,IF(D826&lt;2000,4,5)))))</f>
        <v>5577600</v>
      </c>
    </row>
    <row r="827" spans="1:6" x14ac:dyDescent="0.15">
      <c r="A827" s="11" t="s">
        <v>843</v>
      </c>
      <c r="B827" s="12">
        <v>41249</v>
      </c>
      <c r="C827" s="13" t="s">
        <v>18</v>
      </c>
      <c r="D827" s="13">
        <v>992</v>
      </c>
      <c r="E827" s="14">
        <f>VLOOKUP(C827,价格表!$B$2:$C$5,2,0)</f>
        <v>2100</v>
      </c>
      <c r="F827" s="14">
        <f>D827*E827*(1-HLOOKUP(C827,折扣表!$B$2:$E$6,IF(D827&lt;1000,2,IF(D827&lt;1500,3,IF(D827&lt;2000,4,5)))))</f>
        <v>2083200</v>
      </c>
    </row>
    <row r="828" spans="1:6" x14ac:dyDescent="0.15">
      <c r="A828" s="11" t="s">
        <v>844</v>
      </c>
      <c r="B828" s="12">
        <v>41250</v>
      </c>
      <c r="C828" s="13" t="s">
        <v>17</v>
      </c>
      <c r="D828" s="13">
        <v>1924</v>
      </c>
      <c r="E828" s="14">
        <f>VLOOKUP(C828,价格表!$B$2:$C$5,2,0)</f>
        <v>2800</v>
      </c>
      <c r="F828" s="14">
        <f>D828*E828*(1-HLOOKUP(C828,折扣表!$B$2:$E$6,IF(D828&lt;1000,2,IF(D828&lt;1500,3,IF(D828&lt;2000,4,5)))))</f>
        <v>5225584</v>
      </c>
    </row>
    <row r="829" spans="1:6" x14ac:dyDescent="0.15">
      <c r="A829" s="11" t="s">
        <v>845</v>
      </c>
      <c r="B829" s="12">
        <v>41250</v>
      </c>
      <c r="C829" s="13" t="s">
        <v>18</v>
      </c>
      <c r="D829" s="13">
        <v>1034</v>
      </c>
      <c r="E829" s="14">
        <f>VLOOKUP(C829,价格表!$B$2:$C$5,2,0)</f>
        <v>2100</v>
      </c>
      <c r="F829" s="14">
        <f>D829*E829*(1-HLOOKUP(C829,折扣表!$B$2:$E$6,IF(D829&lt;1000,2,IF(D829&lt;1500,3,IF(D829&lt;2000,4,5)))))</f>
        <v>2106258</v>
      </c>
    </row>
    <row r="830" spans="1:6" x14ac:dyDescent="0.15">
      <c r="A830" s="11" t="s">
        <v>846</v>
      </c>
      <c r="B830" s="12">
        <v>41251</v>
      </c>
      <c r="C830" s="13" t="s">
        <v>16</v>
      </c>
      <c r="D830" s="13">
        <v>1559</v>
      </c>
      <c r="E830" s="14">
        <f>VLOOKUP(C830,价格表!$B$2:$C$5,2,0)</f>
        <v>3200</v>
      </c>
      <c r="F830" s="14">
        <f>D830*E830*(1-HLOOKUP(C830,折扣表!$B$2:$E$6,IF(D830&lt;1000,2,IF(D830&lt;1500,3,IF(D830&lt;2000,4,5)))))</f>
        <v>4889024</v>
      </c>
    </row>
    <row r="831" spans="1:6" x14ac:dyDescent="0.15">
      <c r="A831" s="11" t="s">
        <v>847</v>
      </c>
      <c r="B831" s="12">
        <v>41251</v>
      </c>
      <c r="C831" s="13" t="s">
        <v>17</v>
      </c>
      <c r="D831" s="13">
        <v>1922</v>
      </c>
      <c r="E831" s="14">
        <f>VLOOKUP(C831,价格表!$B$2:$C$5,2,0)</f>
        <v>2800</v>
      </c>
      <c r="F831" s="14">
        <f>D831*E831*(1-HLOOKUP(C831,折扣表!$B$2:$E$6,IF(D831&lt;1000,2,IF(D831&lt;1500,3,IF(D831&lt;2000,4,5)))))</f>
        <v>5220152</v>
      </c>
    </row>
    <row r="832" spans="1:6" x14ac:dyDescent="0.15">
      <c r="A832" s="11" t="s">
        <v>848</v>
      </c>
      <c r="B832" s="12">
        <v>41251</v>
      </c>
      <c r="C832" s="13" t="s">
        <v>18</v>
      </c>
      <c r="D832" s="13">
        <v>1006</v>
      </c>
      <c r="E832" s="14">
        <f>VLOOKUP(C832,价格表!$B$2:$C$5,2,0)</f>
        <v>2100</v>
      </c>
      <c r="F832" s="14">
        <f>D832*E832*(1-HLOOKUP(C832,折扣表!$B$2:$E$6,IF(D832&lt;1000,2,IF(D832&lt;1500,3,IF(D832&lt;2000,4,5)))))</f>
        <v>2049222</v>
      </c>
    </row>
    <row r="833" spans="1:6" x14ac:dyDescent="0.15">
      <c r="A833" s="11" t="s">
        <v>849</v>
      </c>
      <c r="B833" s="12">
        <v>41252</v>
      </c>
      <c r="C833" s="13" t="s">
        <v>16</v>
      </c>
      <c r="D833" s="13">
        <v>1214</v>
      </c>
      <c r="E833" s="14">
        <f>VLOOKUP(C833,价格表!$B$2:$C$5,2,0)</f>
        <v>3200</v>
      </c>
      <c r="F833" s="14">
        <f>D833*E833*(1-HLOOKUP(C833,折扣表!$B$2:$E$6,IF(D833&lt;1000,2,IF(D833&lt;1500,3,IF(D833&lt;2000,4,5)))))</f>
        <v>3845952</v>
      </c>
    </row>
    <row r="834" spans="1:6" x14ac:dyDescent="0.15">
      <c r="A834" s="11" t="s">
        <v>850</v>
      </c>
      <c r="B834" s="12">
        <v>41252</v>
      </c>
      <c r="C834" s="13" t="s">
        <v>17</v>
      </c>
      <c r="D834" s="13">
        <v>2074</v>
      </c>
      <c r="E834" s="14">
        <f>VLOOKUP(C834,价格表!$B$2:$C$5,2,0)</f>
        <v>2800</v>
      </c>
      <c r="F834" s="14">
        <f>D834*E834*(1-HLOOKUP(C834,折扣表!$B$2:$E$6,IF(D834&lt;1000,2,IF(D834&lt;1500,3,IF(D834&lt;2000,4,5)))))</f>
        <v>5574912</v>
      </c>
    </row>
    <row r="835" spans="1:6" x14ac:dyDescent="0.15">
      <c r="A835" s="11" t="s">
        <v>851</v>
      </c>
      <c r="B835" s="12">
        <v>41252</v>
      </c>
      <c r="C835" s="13" t="s">
        <v>18</v>
      </c>
      <c r="D835" s="13">
        <v>982</v>
      </c>
      <c r="E835" s="14">
        <f>VLOOKUP(C835,价格表!$B$2:$C$5,2,0)</f>
        <v>2100</v>
      </c>
      <c r="F835" s="14">
        <f>D835*E835*(1-HLOOKUP(C835,折扣表!$B$2:$E$6,IF(D835&lt;1000,2,IF(D835&lt;1500,3,IF(D835&lt;2000,4,5)))))</f>
        <v>2062200</v>
      </c>
    </row>
    <row r="836" spans="1:6" x14ac:dyDescent="0.15">
      <c r="A836" s="11" t="s">
        <v>852</v>
      </c>
      <c r="B836" s="12">
        <v>41253</v>
      </c>
      <c r="C836" s="13" t="s">
        <v>16</v>
      </c>
      <c r="D836" s="13">
        <v>1300</v>
      </c>
      <c r="E836" s="14">
        <f>VLOOKUP(C836,价格表!$B$2:$C$5,2,0)</f>
        <v>3200</v>
      </c>
      <c r="F836" s="14">
        <f>D836*E836*(1-HLOOKUP(C836,折扣表!$B$2:$E$6,IF(D836&lt;1000,2,IF(D836&lt;1500,3,IF(D836&lt;2000,4,5)))))</f>
        <v>4118400</v>
      </c>
    </row>
    <row r="837" spans="1:6" x14ac:dyDescent="0.15">
      <c r="A837" s="11" t="s">
        <v>853</v>
      </c>
      <c r="B837" s="12">
        <v>41253</v>
      </c>
      <c r="C837" s="13" t="s">
        <v>17</v>
      </c>
      <c r="D837" s="13">
        <v>2045</v>
      </c>
      <c r="E837" s="14">
        <f>VLOOKUP(C837,价格表!$B$2:$C$5,2,0)</f>
        <v>2800</v>
      </c>
      <c r="F837" s="14">
        <f>D837*E837*(1-HLOOKUP(C837,折扣表!$B$2:$E$6,IF(D837&lt;1000,2,IF(D837&lt;1500,3,IF(D837&lt;2000,4,5)))))</f>
        <v>5496960</v>
      </c>
    </row>
    <row r="838" spans="1:6" x14ac:dyDescent="0.15">
      <c r="A838" s="11" t="s">
        <v>854</v>
      </c>
      <c r="B838" s="12">
        <v>41253</v>
      </c>
      <c r="C838" s="13" t="s">
        <v>18</v>
      </c>
      <c r="D838" s="13">
        <v>1006</v>
      </c>
      <c r="E838" s="14">
        <f>VLOOKUP(C838,价格表!$B$2:$C$5,2,0)</f>
        <v>2100</v>
      </c>
      <c r="F838" s="14">
        <f>D838*E838*(1-HLOOKUP(C838,折扣表!$B$2:$E$6,IF(D838&lt;1000,2,IF(D838&lt;1500,3,IF(D838&lt;2000,4,5)))))</f>
        <v>2049222</v>
      </c>
    </row>
    <row r="839" spans="1:6" x14ac:dyDescent="0.15">
      <c r="A839" s="11" t="s">
        <v>855</v>
      </c>
      <c r="B839" s="12">
        <v>41254</v>
      </c>
      <c r="C839" s="13" t="s">
        <v>16</v>
      </c>
      <c r="D839" s="13">
        <v>1231</v>
      </c>
      <c r="E839" s="14">
        <f>VLOOKUP(C839,价格表!$B$2:$C$5,2,0)</f>
        <v>3200</v>
      </c>
      <c r="F839" s="14">
        <f>D839*E839*(1-HLOOKUP(C839,折扣表!$B$2:$E$6,IF(D839&lt;1000,2,IF(D839&lt;1500,3,IF(D839&lt;2000,4,5)))))</f>
        <v>3899808</v>
      </c>
    </row>
    <row r="840" spans="1:6" x14ac:dyDescent="0.15">
      <c r="A840" s="11" t="s">
        <v>856</v>
      </c>
      <c r="B840" s="12">
        <v>41254</v>
      </c>
      <c r="C840" s="13" t="s">
        <v>17</v>
      </c>
      <c r="D840" s="13">
        <v>2018</v>
      </c>
      <c r="E840" s="14">
        <f>VLOOKUP(C840,价格表!$B$2:$C$5,2,0)</f>
        <v>2800</v>
      </c>
      <c r="F840" s="14">
        <f>D840*E840*(1-HLOOKUP(C840,折扣表!$B$2:$E$6,IF(D840&lt;1000,2,IF(D840&lt;1500,3,IF(D840&lt;2000,4,5)))))</f>
        <v>5424384</v>
      </c>
    </row>
    <row r="841" spans="1:6" x14ac:dyDescent="0.15">
      <c r="A841" s="11" t="s">
        <v>857</v>
      </c>
      <c r="B841" s="12">
        <v>41254</v>
      </c>
      <c r="C841" s="13" t="s">
        <v>18</v>
      </c>
      <c r="D841" s="13">
        <v>955</v>
      </c>
      <c r="E841" s="14">
        <f>VLOOKUP(C841,价格表!$B$2:$C$5,2,0)</f>
        <v>2100</v>
      </c>
      <c r="F841" s="14">
        <f>D841*E841*(1-HLOOKUP(C841,折扣表!$B$2:$E$6,IF(D841&lt;1000,2,IF(D841&lt;1500,3,IF(D841&lt;2000,4,5)))))</f>
        <v>2005500</v>
      </c>
    </row>
    <row r="842" spans="1:6" x14ac:dyDescent="0.15">
      <c r="A842" s="11" t="s">
        <v>858</v>
      </c>
      <c r="B842" s="12">
        <v>41255</v>
      </c>
      <c r="C842" s="13" t="s">
        <v>16</v>
      </c>
      <c r="D842" s="13">
        <v>1209</v>
      </c>
      <c r="E842" s="14">
        <f>VLOOKUP(C842,价格表!$B$2:$C$5,2,0)</f>
        <v>3200</v>
      </c>
      <c r="F842" s="14">
        <f>D842*E842*(1-HLOOKUP(C842,折扣表!$B$2:$E$6,IF(D842&lt;1000,2,IF(D842&lt;1500,3,IF(D842&lt;2000,4,5)))))</f>
        <v>3830112</v>
      </c>
    </row>
    <row r="843" spans="1:6" x14ac:dyDescent="0.15">
      <c r="A843" s="11" t="s">
        <v>859</v>
      </c>
      <c r="B843" s="12">
        <v>41255</v>
      </c>
      <c r="C843" s="13" t="s">
        <v>18</v>
      </c>
      <c r="D843" s="13">
        <v>984</v>
      </c>
      <c r="E843" s="14">
        <f>VLOOKUP(C843,价格表!$B$2:$C$5,2,0)</f>
        <v>2100</v>
      </c>
      <c r="F843" s="14">
        <f>D843*E843*(1-HLOOKUP(C843,折扣表!$B$2:$E$6,IF(D843&lt;1000,2,IF(D843&lt;1500,3,IF(D843&lt;2000,4,5)))))</f>
        <v>2066400</v>
      </c>
    </row>
    <row r="844" spans="1:6" x14ac:dyDescent="0.15">
      <c r="A844" s="11" t="s">
        <v>860</v>
      </c>
      <c r="B844" s="12">
        <v>41256</v>
      </c>
      <c r="C844" s="13" t="s">
        <v>16</v>
      </c>
      <c r="D844" s="13">
        <v>1406</v>
      </c>
      <c r="E844" s="14">
        <f>VLOOKUP(C844,价格表!$B$2:$C$5,2,0)</f>
        <v>3200</v>
      </c>
      <c r="F844" s="14">
        <f>D844*E844*(1-HLOOKUP(C844,折扣表!$B$2:$E$6,IF(D844&lt;1000,2,IF(D844&lt;1500,3,IF(D844&lt;2000,4,5)))))</f>
        <v>4454208</v>
      </c>
    </row>
    <row r="845" spans="1:6" x14ac:dyDescent="0.15">
      <c r="A845" s="11" t="s">
        <v>861</v>
      </c>
      <c r="B845" s="12">
        <v>41256</v>
      </c>
      <c r="C845" s="13" t="s">
        <v>18</v>
      </c>
      <c r="D845" s="13">
        <v>1016</v>
      </c>
      <c r="E845" s="14">
        <f>VLOOKUP(C845,价格表!$B$2:$C$5,2,0)</f>
        <v>2100</v>
      </c>
      <c r="F845" s="14">
        <f>D845*E845*(1-HLOOKUP(C845,折扣表!$B$2:$E$6,IF(D845&lt;1000,2,IF(D845&lt;1500,3,IF(D845&lt;2000,4,5)))))</f>
        <v>2069592</v>
      </c>
    </row>
    <row r="846" spans="1:6" x14ac:dyDescent="0.15">
      <c r="A846" s="11" t="s">
        <v>862</v>
      </c>
      <c r="B846" s="12">
        <v>41257</v>
      </c>
      <c r="C846" s="13" t="s">
        <v>16</v>
      </c>
      <c r="D846" s="13">
        <v>1570</v>
      </c>
      <c r="E846" s="14">
        <f>VLOOKUP(C846,价格表!$B$2:$C$5,2,0)</f>
        <v>3200</v>
      </c>
      <c r="F846" s="14">
        <f>D846*E846*(1-HLOOKUP(C846,折扣表!$B$2:$E$6,IF(D846&lt;1000,2,IF(D846&lt;1500,3,IF(D846&lt;2000,4,5)))))</f>
        <v>4923520</v>
      </c>
    </row>
    <row r="847" spans="1:6" x14ac:dyDescent="0.15">
      <c r="A847" s="11" t="s">
        <v>863</v>
      </c>
      <c r="B847" s="12">
        <v>41257</v>
      </c>
      <c r="C847" s="13" t="s">
        <v>17</v>
      </c>
      <c r="D847" s="13">
        <v>2002</v>
      </c>
      <c r="E847" s="14">
        <f>VLOOKUP(C847,价格表!$B$2:$C$5,2,0)</f>
        <v>2800</v>
      </c>
      <c r="F847" s="14">
        <f>D847*E847*(1-HLOOKUP(C847,折扣表!$B$2:$E$6,IF(D847&lt;1000,2,IF(D847&lt;1500,3,IF(D847&lt;2000,4,5)))))</f>
        <v>5381376</v>
      </c>
    </row>
    <row r="848" spans="1:6" x14ac:dyDescent="0.15">
      <c r="A848" s="11" t="s">
        <v>864</v>
      </c>
      <c r="B848" s="12">
        <v>41257</v>
      </c>
      <c r="C848" s="13" t="s">
        <v>18</v>
      </c>
      <c r="D848" s="13">
        <v>1013</v>
      </c>
      <c r="E848" s="14">
        <f>VLOOKUP(C848,价格表!$B$2:$C$5,2,0)</f>
        <v>2100</v>
      </c>
      <c r="F848" s="14">
        <f>D848*E848*(1-HLOOKUP(C848,折扣表!$B$2:$E$6,IF(D848&lt;1000,2,IF(D848&lt;1500,3,IF(D848&lt;2000,4,5)))))</f>
        <v>2063481</v>
      </c>
    </row>
    <row r="849" spans="1:6" x14ac:dyDescent="0.15">
      <c r="A849" s="11" t="s">
        <v>865</v>
      </c>
      <c r="B849" s="12">
        <v>41258</v>
      </c>
      <c r="C849" s="13" t="s">
        <v>16</v>
      </c>
      <c r="D849" s="13">
        <v>1374</v>
      </c>
      <c r="E849" s="14">
        <f>VLOOKUP(C849,价格表!$B$2:$C$5,2,0)</f>
        <v>3200</v>
      </c>
      <c r="F849" s="14">
        <f>D849*E849*(1-HLOOKUP(C849,折扣表!$B$2:$E$6,IF(D849&lt;1000,2,IF(D849&lt;1500,3,IF(D849&lt;2000,4,5)))))</f>
        <v>4352832</v>
      </c>
    </row>
    <row r="850" spans="1:6" x14ac:dyDescent="0.15">
      <c r="A850" s="11" t="s">
        <v>866</v>
      </c>
      <c r="B850" s="12">
        <v>41258</v>
      </c>
      <c r="C850" s="13" t="s">
        <v>17</v>
      </c>
      <c r="D850" s="13">
        <v>2067</v>
      </c>
      <c r="E850" s="14">
        <f>VLOOKUP(C850,价格表!$B$2:$C$5,2,0)</f>
        <v>2800</v>
      </c>
      <c r="F850" s="14">
        <f>D850*E850*(1-HLOOKUP(C850,折扣表!$B$2:$E$6,IF(D850&lt;1000,2,IF(D850&lt;1500,3,IF(D850&lt;2000,4,5)))))</f>
        <v>5556096</v>
      </c>
    </row>
    <row r="851" spans="1:6" x14ac:dyDescent="0.15">
      <c r="A851" s="11" t="s">
        <v>867</v>
      </c>
      <c r="B851" s="12">
        <v>41259</v>
      </c>
      <c r="C851" s="13" t="s">
        <v>17</v>
      </c>
      <c r="D851" s="13">
        <v>1949</v>
      </c>
      <c r="E851" s="14">
        <f>VLOOKUP(C851,价格表!$B$2:$C$5,2,0)</f>
        <v>2800</v>
      </c>
      <c r="F851" s="14">
        <f>D851*E851*(1-HLOOKUP(C851,折扣表!$B$2:$E$6,IF(D851&lt;1000,2,IF(D851&lt;1500,3,IF(D851&lt;2000,4,5)))))</f>
        <v>5293484</v>
      </c>
    </row>
    <row r="852" spans="1:6" x14ac:dyDescent="0.15">
      <c r="A852" s="11" t="s">
        <v>868</v>
      </c>
      <c r="B852" s="12">
        <v>41259</v>
      </c>
      <c r="C852" s="13" t="s">
        <v>18</v>
      </c>
      <c r="D852" s="13">
        <v>1035</v>
      </c>
      <c r="E852" s="14">
        <f>VLOOKUP(C852,价格表!$B$2:$C$5,2,0)</f>
        <v>2100</v>
      </c>
      <c r="F852" s="14">
        <f>D852*E852*(1-HLOOKUP(C852,折扣表!$B$2:$E$6,IF(D852&lt;1000,2,IF(D852&lt;1500,3,IF(D852&lt;2000,4,5)))))</f>
        <v>2108295</v>
      </c>
    </row>
    <row r="853" spans="1:6" x14ac:dyDescent="0.15">
      <c r="A853" s="11" t="s">
        <v>869</v>
      </c>
      <c r="B853" s="12">
        <v>41260</v>
      </c>
      <c r="C853" s="13" t="s">
        <v>16</v>
      </c>
      <c r="D853" s="13">
        <v>1236</v>
      </c>
      <c r="E853" s="14">
        <f>VLOOKUP(C853,价格表!$B$2:$C$5,2,0)</f>
        <v>3200</v>
      </c>
      <c r="F853" s="14">
        <f>D853*E853*(1-HLOOKUP(C853,折扣表!$B$2:$E$6,IF(D853&lt;1000,2,IF(D853&lt;1500,3,IF(D853&lt;2000,4,5)))))</f>
        <v>3915648</v>
      </c>
    </row>
    <row r="854" spans="1:6" x14ac:dyDescent="0.15">
      <c r="A854" s="11" t="s">
        <v>870</v>
      </c>
      <c r="B854" s="12">
        <v>41260</v>
      </c>
      <c r="C854" s="13" t="s">
        <v>18</v>
      </c>
      <c r="D854" s="13">
        <v>976</v>
      </c>
      <c r="E854" s="14">
        <f>VLOOKUP(C854,价格表!$B$2:$C$5,2,0)</f>
        <v>2100</v>
      </c>
      <c r="F854" s="14">
        <f>D854*E854*(1-HLOOKUP(C854,折扣表!$B$2:$E$6,IF(D854&lt;1000,2,IF(D854&lt;1500,3,IF(D854&lt;2000,4,5)))))</f>
        <v>2049600</v>
      </c>
    </row>
    <row r="855" spans="1:6" x14ac:dyDescent="0.15">
      <c r="A855" s="11" t="s">
        <v>871</v>
      </c>
      <c r="B855" s="12">
        <v>41261</v>
      </c>
      <c r="C855" s="13" t="s">
        <v>16</v>
      </c>
      <c r="D855" s="13">
        <v>1519</v>
      </c>
      <c r="E855" s="14">
        <f>VLOOKUP(C855,价格表!$B$2:$C$5,2,0)</f>
        <v>3200</v>
      </c>
      <c r="F855" s="14">
        <f>D855*E855*(1-HLOOKUP(C855,折扣表!$B$2:$E$6,IF(D855&lt;1000,2,IF(D855&lt;1500,3,IF(D855&lt;2000,4,5)))))</f>
        <v>4763584</v>
      </c>
    </row>
    <row r="856" spans="1:6" x14ac:dyDescent="0.15">
      <c r="A856" s="11" t="s">
        <v>872</v>
      </c>
      <c r="B856" s="12">
        <v>41261</v>
      </c>
      <c r="C856" s="13" t="s">
        <v>17</v>
      </c>
      <c r="D856" s="13">
        <v>2100</v>
      </c>
      <c r="E856" s="14">
        <f>VLOOKUP(C856,价格表!$B$2:$C$5,2,0)</f>
        <v>2800</v>
      </c>
      <c r="F856" s="14">
        <f>D856*E856*(1-HLOOKUP(C856,折扣表!$B$2:$E$6,IF(D856&lt;1000,2,IF(D856&lt;1500,3,IF(D856&lt;2000,4,5)))))</f>
        <v>5644800</v>
      </c>
    </row>
    <row r="857" spans="1:6" x14ac:dyDescent="0.15">
      <c r="A857" s="11" t="s">
        <v>873</v>
      </c>
      <c r="B857" s="12">
        <v>41261</v>
      </c>
      <c r="C857" s="13" t="s">
        <v>18</v>
      </c>
      <c r="D857" s="13">
        <v>1004</v>
      </c>
      <c r="E857" s="14">
        <f>VLOOKUP(C857,价格表!$B$2:$C$5,2,0)</f>
        <v>2100</v>
      </c>
      <c r="F857" s="14">
        <f>D857*E857*(1-HLOOKUP(C857,折扣表!$B$2:$E$6,IF(D857&lt;1000,2,IF(D857&lt;1500,3,IF(D857&lt;2000,4,5)))))</f>
        <v>2045148</v>
      </c>
    </row>
    <row r="858" spans="1:6" x14ac:dyDescent="0.15">
      <c r="A858" s="11" t="s">
        <v>874</v>
      </c>
      <c r="B858" s="12">
        <v>41262</v>
      </c>
      <c r="C858" s="13" t="s">
        <v>16</v>
      </c>
      <c r="D858" s="13">
        <v>1428</v>
      </c>
      <c r="E858" s="14">
        <f>VLOOKUP(C858,价格表!$B$2:$C$5,2,0)</f>
        <v>3200</v>
      </c>
      <c r="F858" s="14">
        <f>D858*E858*(1-HLOOKUP(C858,折扣表!$B$2:$E$6,IF(D858&lt;1000,2,IF(D858&lt;1500,3,IF(D858&lt;2000,4,5)))))</f>
        <v>4523904</v>
      </c>
    </row>
    <row r="859" spans="1:6" x14ac:dyDescent="0.15">
      <c r="A859" s="11" t="s">
        <v>875</v>
      </c>
      <c r="B859" s="12">
        <v>41262</v>
      </c>
      <c r="C859" s="13" t="s">
        <v>17</v>
      </c>
      <c r="D859" s="13">
        <v>1919</v>
      </c>
      <c r="E859" s="14">
        <f>VLOOKUP(C859,价格表!$B$2:$C$5,2,0)</f>
        <v>2800</v>
      </c>
      <c r="F859" s="14">
        <f>D859*E859*(1-HLOOKUP(C859,折扣表!$B$2:$E$6,IF(D859&lt;1000,2,IF(D859&lt;1500,3,IF(D859&lt;2000,4,5)))))</f>
        <v>5212004</v>
      </c>
    </row>
    <row r="860" spans="1:6" x14ac:dyDescent="0.15">
      <c r="A860" s="11" t="s">
        <v>876</v>
      </c>
      <c r="B860" s="12">
        <v>41262</v>
      </c>
      <c r="C860" s="13" t="s">
        <v>18</v>
      </c>
      <c r="D860" s="13">
        <v>966</v>
      </c>
      <c r="E860" s="14">
        <f>VLOOKUP(C860,价格表!$B$2:$C$5,2,0)</f>
        <v>2100</v>
      </c>
      <c r="F860" s="14">
        <f>D860*E860*(1-HLOOKUP(C860,折扣表!$B$2:$E$6,IF(D860&lt;1000,2,IF(D860&lt;1500,3,IF(D860&lt;2000,4,5)))))</f>
        <v>2028600</v>
      </c>
    </row>
    <row r="861" spans="1:6" x14ac:dyDescent="0.15">
      <c r="A861" s="11" t="s">
        <v>877</v>
      </c>
      <c r="B861" s="12">
        <v>41263</v>
      </c>
      <c r="C861" s="13" t="s">
        <v>16</v>
      </c>
      <c r="D861" s="13">
        <v>1213</v>
      </c>
      <c r="E861" s="14">
        <f>VLOOKUP(C861,价格表!$B$2:$C$5,2,0)</f>
        <v>3200</v>
      </c>
      <c r="F861" s="14">
        <f>D861*E861*(1-HLOOKUP(C861,折扣表!$B$2:$E$6,IF(D861&lt;1000,2,IF(D861&lt;1500,3,IF(D861&lt;2000,4,5)))))</f>
        <v>3842784</v>
      </c>
    </row>
    <row r="862" spans="1:6" x14ac:dyDescent="0.15">
      <c r="A862" s="11" t="s">
        <v>878</v>
      </c>
      <c r="B862" s="12">
        <v>41263</v>
      </c>
      <c r="C862" s="13" t="s">
        <v>17</v>
      </c>
      <c r="D862" s="13">
        <v>1975</v>
      </c>
      <c r="E862" s="14">
        <f>VLOOKUP(C862,价格表!$B$2:$C$5,2,0)</f>
        <v>2800</v>
      </c>
      <c r="F862" s="14">
        <f>D862*E862*(1-HLOOKUP(C862,折扣表!$B$2:$E$6,IF(D862&lt;1000,2,IF(D862&lt;1500,3,IF(D862&lt;2000,4,5)))))</f>
        <v>5364100</v>
      </c>
    </row>
    <row r="863" spans="1:6" x14ac:dyDescent="0.15">
      <c r="A863" s="11" t="s">
        <v>879</v>
      </c>
      <c r="B863" s="12">
        <v>41263</v>
      </c>
      <c r="C863" s="13" t="s">
        <v>18</v>
      </c>
      <c r="D863" s="13">
        <v>977</v>
      </c>
      <c r="E863" s="14">
        <f>VLOOKUP(C863,价格表!$B$2:$C$5,2,0)</f>
        <v>2100</v>
      </c>
      <c r="F863" s="14">
        <f>D863*E863*(1-HLOOKUP(C863,折扣表!$B$2:$E$6,IF(D863&lt;1000,2,IF(D863&lt;1500,3,IF(D863&lt;2000,4,5)))))</f>
        <v>2051700</v>
      </c>
    </row>
    <row r="864" spans="1:6" x14ac:dyDescent="0.15">
      <c r="A864" s="11" t="s">
        <v>880</v>
      </c>
      <c r="B864" s="12">
        <v>41264</v>
      </c>
      <c r="C864" s="13" t="s">
        <v>16</v>
      </c>
      <c r="D864" s="13">
        <v>1450</v>
      </c>
      <c r="E864" s="14">
        <f>VLOOKUP(C864,价格表!$B$2:$C$5,2,0)</f>
        <v>3200</v>
      </c>
      <c r="F864" s="14">
        <f>D864*E864*(1-HLOOKUP(C864,折扣表!$B$2:$E$6,IF(D864&lt;1000,2,IF(D864&lt;1500,3,IF(D864&lt;2000,4,5)))))</f>
        <v>4593600</v>
      </c>
    </row>
    <row r="865" spans="1:6" x14ac:dyDescent="0.15">
      <c r="A865" s="11" t="s">
        <v>881</v>
      </c>
      <c r="B865" s="12">
        <v>41264</v>
      </c>
      <c r="C865" s="13" t="s">
        <v>17</v>
      </c>
      <c r="D865" s="13">
        <v>2058</v>
      </c>
      <c r="E865" s="14">
        <f>VLOOKUP(C865,价格表!$B$2:$C$5,2,0)</f>
        <v>2800</v>
      </c>
      <c r="F865" s="14">
        <f>D865*E865*(1-HLOOKUP(C865,折扣表!$B$2:$E$6,IF(D865&lt;1000,2,IF(D865&lt;1500,3,IF(D865&lt;2000,4,5)))))</f>
        <v>5531904</v>
      </c>
    </row>
    <row r="866" spans="1:6" x14ac:dyDescent="0.15">
      <c r="A866" s="11" t="s">
        <v>882</v>
      </c>
      <c r="B866" s="12">
        <v>41264</v>
      </c>
      <c r="C866" s="13" t="s">
        <v>18</v>
      </c>
      <c r="D866" s="13">
        <v>1000</v>
      </c>
      <c r="E866" s="14">
        <f>VLOOKUP(C866,价格表!$B$2:$C$5,2,0)</f>
        <v>2100</v>
      </c>
      <c r="F866" s="14">
        <f>D866*E866*(1-HLOOKUP(C866,折扣表!$B$2:$E$6,IF(D866&lt;1000,2,IF(D866&lt;1500,3,IF(D866&lt;2000,4,5)))))</f>
        <v>2037000</v>
      </c>
    </row>
    <row r="867" spans="1:6" x14ac:dyDescent="0.15">
      <c r="A867" s="11" t="s">
        <v>883</v>
      </c>
      <c r="B867" s="12">
        <v>41265</v>
      </c>
      <c r="C867" s="13" t="s">
        <v>16</v>
      </c>
      <c r="D867" s="13">
        <v>1566</v>
      </c>
      <c r="E867" s="14">
        <f>VLOOKUP(C867,价格表!$B$2:$C$5,2,0)</f>
        <v>3200</v>
      </c>
      <c r="F867" s="14">
        <f>D867*E867*(1-HLOOKUP(C867,折扣表!$B$2:$E$6,IF(D867&lt;1000,2,IF(D867&lt;1500,3,IF(D867&lt;2000,4,5)))))</f>
        <v>4910976</v>
      </c>
    </row>
    <row r="868" spans="1:6" x14ac:dyDescent="0.15">
      <c r="A868" s="11" t="s">
        <v>884</v>
      </c>
      <c r="B868" s="12">
        <v>41265</v>
      </c>
      <c r="C868" s="13" t="s">
        <v>17</v>
      </c>
      <c r="D868" s="13">
        <v>1938</v>
      </c>
      <c r="E868" s="14">
        <f>VLOOKUP(C868,价格表!$B$2:$C$5,2,0)</f>
        <v>2800</v>
      </c>
      <c r="F868" s="14">
        <f>D868*E868*(1-HLOOKUP(C868,折扣表!$B$2:$E$6,IF(D868&lt;1000,2,IF(D868&lt;1500,3,IF(D868&lt;2000,4,5)))))</f>
        <v>5263608</v>
      </c>
    </row>
    <row r="869" spans="1:6" x14ac:dyDescent="0.15">
      <c r="A869" s="11" t="s">
        <v>885</v>
      </c>
      <c r="B869" s="12">
        <v>41265</v>
      </c>
      <c r="C869" s="13" t="s">
        <v>18</v>
      </c>
      <c r="D869" s="13">
        <v>1025</v>
      </c>
      <c r="E869" s="14">
        <f>VLOOKUP(C869,价格表!$B$2:$C$5,2,0)</f>
        <v>2100</v>
      </c>
      <c r="F869" s="14">
        <f>D869*E869*(1-HLOOKUP(C869,折扣表!$B$2:$E$6,IF(D869&lt;1000,2,IF(D869&lt;1500,3,IF(D869&lt;2000,4,5)))))</f>
        <v>2087925</v>
      </c>
    </row>
    <row r="870" spans="1:6" x14ac:dyDescent="0.15">
      <c r="A870" s="11" t="s">
        <v>886</v>
      </c>
      <c r="B870" s="12">
        <v>41266</v>
      </c>
      <c r="C870" s="13" t="s">
        <v>16</v>
      </c>
      <c r="D870" s="13">
        <v>1596</v>
      </c>
      <c r="E870" s="14">
        <f>VLOOKUP(C870,价格表!$B$2:$C$5,2,0)</f>
        <v>3200</v>
      </c>
      <c r="F870" s="14">
        <f>D870*E870*(1-HLOOKUP(C870,折扣表!$B$2:$E$6,IF(D870&lt;1000,2,IF(D870&lt;1500,3,IF(D870&lt;2000,4,5)))))</f>
        <v>5005056</v>
      </c>
    </row>
    <row r="871" spans="1:6" x14ac:dyDescent="0.15">
      <c r="A871" s="11" t="s">
        <v>887</v>
      </c>
      <c r="B871" s="12">
        <v>41266</v>
      </c>
      <c r="C871" s="13" t="s">
        <v>17</v>
      </c>
      <c r="D871" s="13">
        <v>1936</v>
      </c>
      <c r="E871" s="14">
        <f>VLOOKUP(C871,价格表!$B$2:$C$5,2,0)</f>
        <v>2800</v>
      </c>
      <c r="F871" s="14">
        <f>D871*E871*(1-HLOOKUP(C871,折扣表!$B$2:$E$6,IF(D871&lt;1000,2,IF(D871&lt;1500,3,IF(D871&lt;2000,4,5)))))</f>
        <v>5258176</v>
      </c>
    </row>
    <row r="872" spans="1:6" x14ac:dyDescent="0.15">
      <c r="A872" s="11" t="s">
        <v>888</v>
      </c>
      <c r="B872" s="12">
        <v>41266</v>
      </c>
      <c r="C872" s="13" t="s">
        <v>18</v>
      </c>
      <c r="D872" s="13">
        <v>1015</v>
      </c>
      <c r="E872" s="14">
        <f>VLOOKUP(C872,价格表!$B$2:$C$5,2,0)</f>
        <v>2100</v>
      </c>
      <c r="F872" s="14">
        <f>D872*E872*(1-HLOOKUP(C872,折扣表!$B$2:$E$6,IF(D872&lt;1000,2,IF(D872&lt;1500,3,IF(D872&lt;2000,4,5)))))</f>
        <v>2067555</v>
      </c>
    </row>
    <row r="873" spans="1:6" x14ac:dyDescent="0.15">
      <c r="A873" s="11" t="s">
        <v>889</v>
      </c>
      <c r="B873" s="12">
        <v>41267</v>
      </c>
      <c r="C873" s="13" t="s">
        <v>16</v>
      </c>
      <c r="D873" s="13">
        <v>1393</v>
      </c>
      <c r="E873" s="14">
        <f>VLOOKUP(C873,价格表!$B$2:$C$5,2,0)</f>
        <v>3200</v>
      </c>
      <c r="F873" s="14">
        <f>D873*E873*(1-HLOOKUP(C873,折扣表!$B$2:$E$6,IF(D873&lt;1000,2,IF(D873&lt;1500,3,IF(D873&lt;2000,4,5)))))</f>
        <v>4413024</v>
      </c>
    </row>
    <row r="874" spans="1:6" x14ac:dyDescent="0.15">
      <c r="A874" s="11" t="s">
        <v>890</v>
      </c>
      <c r="B874" s="12">
        <v>41267</v>
      </c>
      <c r="C874" s="13" t="s">
        <v>17</v>
      </c>
      <c r="D874" s="13">
        <v>2006</v>
      </c>
      <c r="E874" s="14">
        <f>VLOOKUP(C874,价格表!$B$2:$C$5,2,0)</f>
        <v>2800</v>
      </c>
      <c r="F874" s="14">
        <f>D874*E874*(1-HLOOKUP(C874,折扣表!$B$2:$E$6,IF(D874&lt;1000,2,IF(D874&lt;1500,3,IF(D874&lt;2000,4,5)))))</f>
        <v>5392128</v>
      </c>
    </row>
    <row r="875" spans="1:6" x14ac:dyDescent="0.15">
      <c r="A875" s="11" t="s">
        <v>891</v>
      </c>
      <c r="B875" s="12">
        <v>41267</v>
      </c>
      <c r="C875" s="13" t="s">
        <v>18</v>
      </c>
      <c r="D875" s="13">
        <v>1026</v>
      </c>
      <c r="E875" s="14">
        <f>VLOOKUP(C875,价格表!$B$2:$C$5,2,0)</f>
        <v>2100</v>
      </c>
      <c r="F875" s="14">
        <f>D875*E875*(1-HLOOKUP(C875,折扣表!$B$2:$E$6,IF(D875&lt;1000,2,IF(D875&lt;1500,3,IF(D875&lt;2000,4,5)))))</f>
        <v>2089962</v>
      </c>
    </row>
    <row r="876" spans="1:6" x14ac:dyDescent="0.15">
      <c r="A876" s="11" t="s">
        <v>892</v>
      </c>
      <c r="B876" s="12">
        <v>41268</v>
      </c>
      <c r="C876" s="13" t="s">
        <v>17</v>
      </c>
      <c r="D876" s="13">
        <v>2100</v>
      </c>
      <c r="E876" s="14">
        <f>VLOOKUP(C876,价格表!$B$2:$C$5,2,0)</f>
        <v>2800</v>
      </c>
      <c r="F876" s="14">
        <f>D876*E876*(1-HLOOKUP(C876,折扣表!$B$2:$E$6,IF(D876&lt;1000,2,IF(D876&lt;1500,3,IF(D876&lt;2000,4,5)))))</f>
        <v>5644800</v>
      </c>
    </row>
    <row r="877" spans="1:6" x14ac:dyDescent="0.15">
      <c r="A877" s="11" t="s">
        <v>893</v>
      </c>
      <c r="B877" s="12">
        <v>41268</v>
      </c>
      <c r="C877" s="13" t="s">
        <v>18</v>
      </c>
      <c r="D877" s="13">
        <v>987</v>
      </c>
      <c r="E877" s="14">
        <f>VLOOKUP(C877,价格表!$B$2:$C$5,2,0)</f>
        <v>2100</v>
      </c>
      <c r="F877" s="14">
        <f>D877*E877*(1-HLOOKUP(C877,折扣表!$B$2:$E$6,IF(D877&lt;1000,2,IF(D877&lt;1500,3,IF(D877&lt;2000,4,5)))))</f>
        <v>2072700</v>
      </c>
    </row>
    <row r="878" spans="1:6" x14ac:dyDescent="0.15">
      <c r="A878" s="11" t="s">
        <v>894</v>
      </c>
      <c r="B878" s="12">
        <v>41269</v>
      </c>
      <c r="C878" s="13" t="s">
        <v>16</v>
      </c>
      <c r="D878" s="13">
        <v>1531</v>
      </c>
      <c r="E878" s="14">
        <f>VLOOKUP(C878,价格表!$B$2:$C$5,2,0)</f>
        <v>3200</v>
      </c>
      <c r="F878" s="14">
        <f>D878*E878*(1-HLOOKUP(C878,折扣表!$B$2:$E$6,IF(D878&lt;1000,2,IF(D878&lt;1500,3,IF(D878&lt;2000,4,5)))))</f>
        <v>4801216</v>
      </c>
    </row>
    <row r="879" spans="1:6" x14ac:dyDescent="0.15">
      <c r="A879" s="11" t="s">
        <v>895</v>
      </c>
      <c r="B879" s="12">
        <v>41269</v>
      </c>
      <c r="C879" s="13" t="s">
        <v>18</v>
      </c>
      <c r="D879" s="13">
        <v>1044</v>
      </c>
      <c r="E879" s="14">
        <f>VLOOKUP(C879,价格表!$B$2:$C$5,2,0)</f>
        <v>2100</v>
      </c>
      <c r="F879" s="14">
        <f>D879*E879*(1-HLOOKUP(C879,折扣表!$B$2:$E$6,IF(D879&lt;1000,2,IF(D879&lt;1500,3,IF(D879&lt;2000,4,5)))))</f>
        <v>2126628</v>
      </c>
    </row>
    <row r="880" spans="1:6" x14ac:dyDescent="0.15">
      <c r="A880" s="11" t="s">
        <v>896</v>
      </c>
      <c r="B880" s="12">
        <v>41270</v>
      </c>
      <c r="C880" s="13" t="s">
        <v>16</v>
      </c>
      <c r="D880" s="13">
        <v>1338</v>
      </c>
      <c r="E880" s="14">
        <f>VLOOKUP(C880,价格表!$B$2:$C$5,2,0)</f>
        <v>3200</v>
      </c>
      <c r="F880" s="14">
        <f>D880*E880*(1-HLOOKUP(C880,折扣表!$B$2:$E$6,IF(D880&lt;1000,2,IF(D880&lt;1500,3,IF(D880&lt;2000,4,5)))))</f>
        <v>4238784</v>
      </c>
    </row>
    <row r="881" spans="1:6" x14ac:dyDescent="0.15">
      <c r="A881" s="11" t="s">
        <v>897</v>
      </c>
      <c r="B881" s="12">
        <v>41270</v>
      </c>
      <c r="C881" s="13" t="s">
        <v>17</v>
      </c>
      <c r="D881" s="13">
        <v>2017</v>
      </c>
      <c r="E881" s="14">
        <f>VLOOKUP(C881,价格表!$B$2:$C$5,2,0)</f>
        <v>2800</v>
      </c>
      <c r="F881" s="14">
        <f>D881*E881*(1-HLOOKUP(C881,折扣表!$B$2:$E$6,IF(D881&lt;1000,2,IF(D881&lt;1500,3,IF(D881&lt;2000,4,5)))))</f>
        <v>5421696</v>
      </c>
    </row>
    <row r="882" spans="1:6" x14ac:dyDescent="0.15">
      <c r="A882" s="11" t="s">
        <v>898</v>
      </c>
      <c r="B882" s="12">
        <v>41270</v>
      </c>
      <c r="C882" s="13" t="s">
        <v>18</v>
      </c>
      <c r="D882" s="13">
        <v>1008</v>
      </c>
      <c r="E882" s="14">
        <f>VLOOKUP(C882,价格表!$B$2:$C$5,2,0)</f>
        <v>2100</v>
      </c>
      <c r="F882" s="14">
        <f>D882*E882*(1-HLOOKUP(C882,折扣表!$B$2:$E$6,IF(D882&lt;1000,2,IF(D882&lt;1500,3,IF(D882&lt;2000,4,5)))))</f>
        <v>2053296</v>
      </c>
    </row>
    <row r="883" spans="1:6" x14ac:dyDescent="0.15">
      <c r="A883" s="11" t="s">
        <v>899</v>
      </c>
      <c r="B883" s="12">
        <v>41271</v>
      </c>
      <c r="C883" s="13" t="s">
        <v>16</v>
      </c>
      <c r="D883" s="13">
        <v>1266</v>
      </c>
      <c r="E883" s="14">
        <f>VLOOKUP(C883,价格表!$B$2:$C$5,2,0)</f>
        <v>3200</v>
      </c>
      <c r="F883" s="14">
        <f>D883*E883*(1-HLOOKUP(C883,折扣表!$B$2:$E$6,IF(D883&lt;1000,2,IF(D883&lt;1500,3,IF(D883&lt;2000,4,5)))))</f>
        <v>4010688</v>
      </c>
    </row>
    <row r="884" spans="1:6" x14ac:dyDescent="0.15">
      <c r="A884" s="11" t="s">
        <v>900</v>
      </c>
      <c r="B884" s="12">
        <v>41271</v>
      </c>
      <c r="C884" s="13" t="s">
        <v>18</v>
      </c>
      <c r="D884" s="13">
        <v>1031</v>
      </c>
      <c r="E884" s="14">
        <f>VLOOKUP(C884,价格表!$B$2:$C$5,2,0)</f>
        <v>2100</v>
      </c>
      <c r="F884" s="14">
        <f>D884*E884*(1-HLOOKUP(C884,折扣表!$B$2:$E$6,IF(D884&lt;1000,2,IF(D884&lt;1500,3,IF(D884&lt;2000,4,5)))))</f>
        <v>2100147</v>
      </c>
    </row>
    <row r="885" spans="1:6" x14ac:dyDescent="0.15">
      <c r="A885" s="11" t="s">
        <v>901</v>
      </c>
      <c r="B885" s="12">
        <v>41272</v>
      </c>
      <c r="C885" s="13" t="s">
        <v>16</v>
      </c>
      <c r="D885" s="13">
        <v>1235</v>
      </c>
      <c r="E885" s="14">
        <f>VLOOKUP(C885,价格表!$B$2:$C$5,2,0)</f>
        <v>3200</v>
      </c>
      <c r="F885" s="14">
        <f>D885*E885*(1-HLOOKUP(C885,折扣表!$B$2:$E$6,IF(D885&lt;1000,2,IF(D885&lt;1500,3,IF(D885&lt;2000,4,5)))))</f>
        <v>3912480</v>
      </c>
    </row>
    <row r="886" spans="1:6" x14ac:dyDescent="0.15">
      <c r="A886" s="11" t="s">
        <v>902</v>
      </c>
      <c r="B886" s="12">
        <v>41272</v>
      </c>
      <c r="C886" s="13" t="s">
        <v>17</v>
      </c>
      <c r="D886" s="13">
        <v>2041</v>
      </c>
      <c r="E886" s="14">
        <f>VLOOKUP(C886,价格表!$B$2:$C$5,2,0)</f>
        <v>2800</v>
      </c>
      <c r="F886" s="14">
        <f>D886*E886*(1-HLOOKUP(C886,折扣表!$B$2:$E$6,IF(D886&lt;1000,2,IF(D886&lt;1500,3,IF(D886&lt;2000,4,5)))))</f>
        <v>5486208</v>
      </c>
    </row>
    <row r="887" spans="1:6" x14ac:dyDescent="0.15">
      <c r="A887" s="11" t="s">
        <v>903</v>
      </c>
      <c r="B887" s="12">
        <v>41272</v>
      </c>
      <c r="C887" s="13" t="s">
        <v>18</v>
      </c>
      <c r="D887" s="13">
        <v>1036</v>
      </c>
      <c r="E887" s="14">
        <f>VLOOKUP(C887,价格表!$B$2:$C$5,2,0)</f>
        <v>2100</v>
      </c>
      <c r="F887" s="14">
        <f>D887*E887*(1-HLOOKUP(C887,折扣表!$B$2:$E$6,IF(D887&lt;1000,2,IF(D887&lt;1500,3,IF(D887&lt;2000,4,5)))))</f>
        <v>2110332</v>
      </c>
    </row>
    <row r="888" spans="1:6" x14ac:dyDescent="0.15">
      <c r="A888" s="11" t="s">
        <v>904</v>
      </c>
      <c r="B888" s="12">
        <v>41273</v>
      </c>
      <c r="C888" s="13" t="s">
        <v>16</v>
      </c>
      <c r="D888" s="13">
        <v>1383</v>
      </c>
      <c r="E888" s="14">
        <f>VLOOKUP(C888,价格表!$B$2:$C$5,2,0)</f>
        <v>3200</v>
      </c>
      <c r="F888" s="14">
        <f>D888*E888*(1-HLOOKUP(C888,折扣表!$B$2:$E$6,IF(D888&lt;1000,2,IF(D888&lt;1500,3,IF(D888&lt;2000,4,5)))))</f>
        <v>4381344</v>
      </c>
    </row>
    <row r="889" spans="1:6" x14ac:dyDescent="0.15">
      <c r="A889" s="11" t="s">
        <v>905</v>
      </c>
      <c r="B889" s="12">
        <v>41273</v>
      </c>
      <c r="C889" s="13" t="s">
        <v>17</v>
      </c>
      <c r="D889" s="13">
        <v>1935</v>
      </c>
      <c r="E889" s="14">
        <f>VLOOKUP(C889,价格表!$B$2:$C$5,2,0)</f>
        <v>2800</v>
      </c>
      <c r="F889" s="14">
        <f>D889*E889*(1-HLOOKUP(C889,折扣表!$B$2:$E$6,IF(D889&lt;1000,2,IF(D889&lt;1500,3,IF(D889&lt;2000,4,5)))))</f>
        <v>5255460</v>
      </c>
    </row>
    <row r="890" spans="1:6" x14ac:dyDescent="0.15">
      <c r="A890" s="11" t="s">
        <v>906</v>
      </c>
      <c r="B890" s="12">
        <v>41273</v>
      </c>
      <c r="C890" s="13" t="s">
        <v>18</v>
      </c>
      <c r="D890" s="13">
        <v>987</v>
      </c>
      <c r="E890" s="14">
        <f>VLOOKUP(C890,价格表!$B$2:$C$5,2,0)</f>
        <v>2100</v>
      </c>
      <c r="F890" s="14">
        <f>D890*E890*(1-HLOOKUP(C890,折扣表!$B$2:$E$6,IF(D890&lt;1000,2,IF(D890&lt;1500,3,IF(D890&lt;2000,4,5)))))</f>
        <v>2072700</v>
      </c>
    </row>
    <row r="891" spans="1:6" x14ac:dyDescent="0.15">
      <c r="A891" s="15" t="s">
        <v>907</v>
      </c>
      <c r="B891" s="16">
        <v>41274</v>
      </c>
      <c r="C891" s="17" t="s">
        <v>18</v>
      </c>
      <c r="D891" s="17">
        <v>959</v>
      </c>
      <c r="E891" s="18">
        <f>VLOOKUP(C891,价格表!$B$2:$C$5,2,0)</f>
        <v>2100</v>
      </c>
      <c r="F891" s="18">
        <f>D891*E891*(1-HLOOKUP(C891,折扣表!$B$2:$E$6,IF(D891&lt;1000,2,IF(D891&lt;1500,3,IF(D891&lt;2000,4,5)))))</f>
        <v>2013900</v>
      </c>
    </row>
  </sheetData>
  <phoneticPr fontId="1" type="noConversion"/>
  <conditionalFormatting sqref="A4:F891">
    <cfRule type="expression" dxfId="0" priority="1">
      <formula>OR(WEEKDAY($B4)=1,WEEKDAY($B4)=7)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"/>
  <sheetViews>
    <sheetView workbookViewId="0">
      <selection activeCell="Q7" sqref="Q7"/>
    </sheetView>
  </sheetViews>
  <sheetFormatPr defaultRowHeight="13.5" x14ac:dyDescent="0.15"/>
  <cols>
    <col min="1" max="1" width="13.125" customWidth="1"/>
    <col min="2" max="2" width="9.75" bestFit="1" customWidth="1"/>
    <col min="3" max="4" width="8.5" customWidth="1"/>
    <col min="5" max="5" width="9.625" customWidth="1"/>
  </cols>
  <sheetData>
    <row r="3" spans="1:5" x14ac:dyDescent="0.15">
      <c r="A3" s="19" t="s">
        <v>926</v>
      </c>
      <c r="B3" s="19" t="s">
        <v>925</v>
      </c>
    </row>
    <row r="4" spans="1:5" x14ac:dyDescent="0.15">
      <c r="A4" s="19" t="s">
        <v>911</v>
      </c>
      <c r="B4" t="s">
        <v>16</v>
      </c>
      <c r="C4" t="s">
        <v>17</v>
      </c>
      <c r="D4" t="s">
        <v>18</v>
      </c>
      <c r="E4" t="s">
        <v>912</v>
      </c>
    </row>
    <row r="5" spans="1:5" x14ac:dyDescent="0.15">
      <c r="A5" s="20" t="s">
        <v>927</v>
      </c>
      <c r="B5" s="22"/>
      <c r="C5" s="22"/>
      <c r="D5" s="22"/>
      <c r="E5" s="22"/>
    </row>
    <row r="6" spans="1:5" x14ac:dyDescent="0.15">
      <c r="A6" s="21" t="s">
        <v>913</v>
      </c>
      <c r="B6" s="22">
        <v>37534</v>
      </c>
      <c r="C6" s="22">
        <v>22443</v>
      </c>
      <c r="D6" s="22">
        <v>40354</v>
      </c>
      <c r="E6" s="22">
        <v>100331</v>
      </c>
    </row>
    <row r="7" spans="1:5" x14ac:dyDescent="0.15">
      <c r="A7" s="21" t="s">
        <v>914</v>
      </c>
      <c r="B7" s="22">
        <v>26346</v>
      </c>
      <c r="C7" s="22">
        <v>23722</v>
      </c>
      <c r="D7" s="22">
        <v>31486</v>
      </c>
      <c r="E7" s="22">
        <v>81554</v>
      </c>
    </row>
    <row r="8" spans="1:5" x14ac:dyDescent="0.15">
      <c r="A8" s="21" t="s">
        <v>915</v>
      </c>
      <c r="B8" s="22">
        <v>32440</v>
      </c>
      <c r="C8" s="22">
        <v>26487</v>
      </c>
      <c r="D8" s="22">
        <v>34701</v>
      </c>
      <c r="E8" s="22">
        <v>93628</v>
      </c>
    </row>
    <row r="9" spans="1:5" x14ac:dyDescent="0.15">
      <c r="A9" s="20" t="s">
        <v>928</v>
      </c>
      <c r="B9" s="22"/>
      <c r="C9" s="22"/>
      <c r="D9" s="22"/>
      <c r="E9" s="22"/>
    </row>
    <row r="10" spans="1:5" x14ac:dyDescent="0.15">
      <c r="A10" s="21" t="s">
        <v>916</v>
      </c>
      <c r="B10" s="22">
        <v>27704</v>
      </c>
      <c r="C10" s="22">
        <v>27784</v>
      </c>
      <c r="D10" s="22">
        <v>33901</v>
      </c>
      <c r="E10" s="22">
        <v>89389</v>
      </c>
    </row>
    <row r="11" spans="1:5" x14ac:dyDescent="0.15">
      <c r="A11" s="21" t="s">
        <v>917</v>
      </c>
      <c r="B11" s="22">
        <v>37605</v>
      </c>
      <c r="C11" s="22">
        <v>36472</v>
      </c>
      <c r="D11" s="22">
        <v>32487</v>
      </c>
      <c r="E11" s="22">
        <v>106564</v>
      </c>
    </row>
    <row r="12" spans="1:5" x14ac:dyDescent="0.15">
      <c r="A12" s="21" t="s">
        <v>918</v>
      </c>
      <c r="B12" s="22">
        <v>36244</v>
      </c>
      <c r="C12" s="22">
        <v>34750</v>
      </c>
      <c r="D12" s="22">
        <v>32376</v>
      </c>
      <c r="E12" s="22">
        <v>103370</v>
      </c>
    </row>
    <row r="13" spans="1:5" x14ac:dyDescent="0.15">
      <c r="A13" s="20" t="s">
        <v>929</v>
      </c>
      <c r="B13" s="22"/>
      <c r="C13" s="22"/>
      <c r="D13" s="22"/>
      <c r="E13" s="22"/>
    </row>
    <row r="14" spans="1:5" x14ac:dyDescent="0.15">
      <c r="A14" s="21" t="s">
        <v>919</v>
      </c>
      <c r="B14" s="22">
        <v>35314</v>
      </c>
      <c r="C14" s="22">
        <v>37394</v>
      </c>
      <c r="D14" s="22">
        <v>29863</v>
      </c>
      <c r="E14" s="22">
        <v>102571</v>
      </c>
    </row>
    <row r="15" spans="1:5" x14ac:dyDescent="0.15">
      <c r="A15" s="21" t="s">
        <v>920</v>
      </c>
      <c r="B15" s="22">
        <v>35816</v>
      </c>
      <c r="C15" s="22">
        <v>41031</v>
      </c>
      <c r="D15" s="22">
        <v>26327</v>
      </c>
      <c r="E15" s="22">
        <v>103174</v>
      </c>
    </row>
    <row r="16" spans="1:5" x14ac:dyDescent="0.15">
      <c r="A16" s="21" t="s">
        <v>921</v>
      </c>
      <c r="B16" s="22">
        <v>38447</v>
      </c>
      <c r="C16" s="22">
        <v>45703</v>
      </c>
      <c r="D16" s="22">
        <v>25471</v>
      </c>
      <c r="E16" s="22">
        <v>109621</v>
      </c>
    </row>
    <row r="17" spans="1:5" x14ac:dyDescent="0.15">
      <c r="A17" s="20" t="s">
        <v>930</v>
      </c>
      <c r="B17" s="22"/>
      <c r="C17" s="22"/>
      <c r="D17" s="22"/>
      <c r="E17" s="22"/>
    </row>
    <row r="18" spans="1:5" x14ac:dyDescent="0.15">
      <c r="A18" s="21" t="s">
        <v>922</v>
      </c>
      <c r="B18" s="22">
        <v>37113</v>
      </c>
      <c r="C18" s="22">
        <v>43144</v>
      </c>
      <c r="D18" s="22">
        <v>28639</v>
      </c>
      <c r="E18" s="22">
        <v>108896</v>
      </c>
    </row>
    <row r="19" spans="1:5" x14ac:dyDescent="0.15">
      <c r="A19" s="21" t="s">
        <v>923</v>
      </c>
      <c r="B19" s="22">
        <v>33806</v>
      </c>
      <c r="C19" s="22">
        <v>49168</v>
      </c>
      <c r="D19" s="22">
        <v>26424</v>
      </c>
      <c r="E19" s="22">
        <v>109398</v>
      </c>
    </row>
    <row r="20" spans="1:5" x14ac:dyDescent="0.15">
      <c r="A20" s="21" t="s">
        <v>924</v>
      </c>
      <c r="B20" s="22">
        <v>36291</v>
      </c>
      <c r="C20" s="22">
        <v>48128</v>
      </c>
      <c r="D20" s="22">
        <v>29012</v>
      </c>
      <c r="E20" s="22">
        <v>113431</v>
      </c>
    </row>
    <row r="21" spans="1:5" x14ac:dyDescent="0.15">
      <c r="A21" s="20" t="s">
        <v>912</v>
      </c>
      <c r="B21" s="22">
        <v>414660</v>
      </c>
      <c r="C21" s="22">
        <v>436226</v>
      </c>
      <c r="D21" s="22">
        <v>371041</v>
      </c>
      <c r="E21" s="22">
        <v>1221927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workbookViewId="0">
      <selection activeCell="A6" sqref="A6"/>
    </sheetView>
  </sheetViews>
  <sheetFormatPr defaultRowHeight="13.5" x14ac:dyDescent="0.15"/>
  <cols>
    <col min="6" max="6" width="16.5" customWidth="1"/>
  </cols>
  <sheetData>
    <row r="1" spans="1:6" x14ac:dyDescent="0.15">
      <c r="A1" t="s">
        <v>931</v>
      </c>
      <c r="B1" t="s">
        <v>932</v>
      </c>
    </row>
    <row r="2" spans="1:6" x14ac:dyDescent="0.15">
      <c r="A2" t="s">
        <v>16</v>
      </c>
      <c r="B2" t="s">
        <v>933</v>
      </c>
    </row>
    <row r="3" spans="1:6" x14ac:dyDescent="0.15">
      <c r="A3" t="s">
        <v>17</v>
      </c>
      <c r="B3" t="s">
        <v>934</v>
      </c>
    </row>
    <row r="4" spans="1:6" x14ac:dyDescent="0.15">
      <c r="A4" t="s">
        <v>18</v>
      </c>
      <c r="B4" t="s">
        <v>935</v>
      </c>
    </row>
    <row r="6" spans="1:6" x14ac:dyDescent="0.15">
      <c r="A6" s="8" t="s">
        <v>19</v>
      </c>
      <c r="B6" s="9" t="s">
        <v>13</v>
      </c>
      <c r="C6" s="10" t="s">
        <v>14</v>
      </c>
      <c r="D6" s="10" t="s">
        <v>15</v>
      </c>
      <c r="E6" s="10" t="s">
        <v>908</v>
      </c>
      <c r="F6" s="10" t="s">
        <v>909</v>
      </c>
    </row>
    <row r="7" spans="1:6" x14ac:dyDescent="0.15">
      <c r="A7" s="11" t="s">
        <v>22</v>
      </c>
      <c r="B7" s="12">
        <v>40909</v>
      </c>
      <c r="C7" s="13" t="s">
        <v>18</v>
      </c>
      <c r="D7" s="13">
        <v>1575</v>
      </c>
      <c r="E7" s="14">
        <v>2100</v>
      </c>
      <c r="F7" s="14">
        <v>3175200</v>
      </c>
    </row>
    <row r="8" spans="1:6" x14ac:dyDescent="0.15">
      <c r="A8" s="11" t="s">
        <v>24</v>
      </c>
      <c r="B8" s="12">
        <v>40910</v>
      </c>
      <c r="C8" s="13" t="s">
        <v>18</v>
      </c>
      <c r="D8" s="13">
        <v>1532</v>
      </c>
      <c r="E8" s="14">
        <v>2100</v>
      </c>
      <c r="F8" s="14">
        <v>3088512</v>
      </c>
    </row>
    <row r="9" spans="1:6" x14ac:dyDescent="0.15">
      <c r="A9" s="11" t="s">
        <v>25</v>
      </c>
      <c r="B9" s="12">
        <v>40911</v>
      </c>
      <c r="C9" s="13" t="s">
        <v>16</v>
      </c>
      <c r="D9" s="13">
        <v>1561</v>
      </c>
      <c r="E9" s="14">
        <v>3200</v>
      </c>
      <c r="F9" s="14">
        <v>4895296</v>
      </c>
    </row>
    <row r="10" spans="1:6" x14ac:dyDescent="0.15">
      <c r="A10" s="11" t="s">
        <v>26</v>
      </c>
      <c r="B10" s="12">
        <v>40911</v>
      </c>
      <c r="C10" s="13" t="s">
        <v>18</v>
      </c>
      <c r="D10" s="13">
        <v>1551</v>
      </c>
      <c r="E10" s="14">
        <v>2100</v>
      </c>
      <c r="F10" s="14">
        <v>3126816</v>
      </c>
    </row>
    <row r="11" spans="1:6" x14ac:dyDescent="0.15">
      <c r="A11" s="11" t="s">
        <v>29</v>
      </c>
      <c r="B11" s="12">
        <v>40912</v>
      </c>
      <c r="C11" s="13" t="s">
        <v>18</v>
      </c>
      <c r="D11" s="13">
        <v>1518</v>
      </c>
      <c r="E11" s="14">
        <v>2100</v>
      </c>
      <c r="F11" s="14">
        <v>3060288</v>
      </c>
    </row>
    <row r="12" spans="1:6" x14ac:dyDescent="0.15">
      <c r="A12" s="11" t="s">
        <v>32</v>
      </c>
      <c r="B12" s="12">
        <v>40914</v>
      </c>
      <c r="C12" s="13" t="s">
        <v>18</v>
      </c>
      <c r="D12" s="13">
        <v>1564</v>
      </c>
      <c r="E12" s="14">
        <v>2100</v>
      </c>
      <c r="F12" s="14">
        <v>3153024</v>
      </c>
    </row>
    <row r="13" spans="1:6" x14ac:dyDescent="0.15">
      <c r="A13" s="11" t="s">
        <v>35</v>
      </c>
      <c r="B13" s="12">
        <v>40915</v>
      </c>
      <c r="C13" s="13" t="s">
        <v>18</v>
      </c>
      <c r="D13" s="13">
        <v>1515</v>
      </c>
      <c r="E13" s="14">
        <v>2100</v>
      </c>
      <c r="F13" s="14">
        <v>3054240</v>
      </c>
    </row>
    <row r="14" spans="1:6" x14ac:dyDescent="0.15">
      <c r="A14" s="11" t="s">
        <v>38</v>
      </c>
      <c r="B14" s="12">
        <v>40916</v>
      </c>
      <c r="C14" s="13" t="s">
        <v>18</v>
      </c>
      <c r="D14" s="13">
        <v>1530</v>
      </c>
      <c r="E14" s="14">
        <v>2100</v>
      </c>
      <c r="F14" s="14">
        <v>3084480</v>
      </c>
    </row>
    <row r="15" spans="1:6" x14ac:dyDescent="0.15">
      <c r="A15" s="11" t="s">
        <v>40</v>
      </c>
      <c r="B15" s="12">
        <v>40917</v>
      </c>
      <c r="C15" s="13" t="s">
        <v>18</v>
      </c>
      <c r="D15" s="13">
        <v>1589</v>
      </c>
      <c r="E15" s="14">
        <v>2100</v>
      </c>
      <c r="F15" s="14">
        <v>3203424</v>
      </c>
    </row>
    <row r="16" spans="1:6" x14ac:dyDescent="0.15">
      <c r="A16" s="11" t="s">
        <v>43</v>
      </c>
      <c r="B16" s="12">
        <v>40918</v>
      </c>
      <c r="C16" s="13" t="s">
        <v>18</v>
      </c>
      <c r="D16" s="13">
        <v>1595</v>
      </c>
      <c r="E16" s="14">
        <v>2100</v>
      </c>
      <c r="F16" s="14">
        <v>3215520</v>
      </c>
    </row>
    <row r="17" spans="1:6" x14ac:dyDescent="0.15">
      <c r="A17" s="11" t="s">
        <v>44</v>
      </c>
      <c r="B17" s="12">
        <v>40919</v>
      </c>
      <c r="C17" s="13" t="s">
        <v>16</v>
      </c>
      <c r="D17" s="13">
        <v>1579</v>
      </c>
      <c r="E17" s="14">
        <v>3200</v>
      </c>
      <c r="F17" s="14">
        <v>4951744</v>
      </c>
    </row>
    <row r="18" spans="1:6" x14ac:dyDescent="0.15">
      <c r="A18" s="11" t="s">
        <v>46</v>
      </c>
      <c r="B18" s="12">
        <v>40919</v>
      </c>
      <c r="C18" s="13" t="s">
        <v>18</v>
      </c>
      <c r="D18" s="13">
        <v>1531</v>
      </c>
      <c r="E18" s="14">
        <v>2100</v>
      </c>
      <c r="F18" s="14">
        <v>3086496</v>
      </c>
    </row>
    <row r="19" spans="1:6" x14ac:dyDescent="0.15">
      <c r="A19" s="11" t="s">
        <v>48</v>
      </c>
      <c r="B19" s="12">
        <v>40920</v>
      </c>
      <c r="C19" s="13" t="s">
        <v>18</v>
      </c>
      <c r="D19" s="13">
        <v>1513</v>
      </c>
      <c r="E19" s="14">
        <v>2100</v>
      </c>
      <c r="F19" s="14">
        <v>3050208</v>
      </c>
    </row>
    <row r="20" spans="1:6" x14ac:dyDescent="0.15">
      <c r="A20" s="11" t="s">
        <v>49</v>
      </c>
      <c r="B20" s="12">
        <v>40921</v>
      </c>
      <c r="C20" s="13" t="s">
        <v>16</v>
      </c>
      <c r="D20" s="13">
        <v>1565</v>
      </c>
      <c r="E20" s="14">
        <v>3200</v>
      </c>
      <c r="F20" s="14">
        <v>4907840</v>
      </c>
    </row>
    <row r="21" spans="1:6" x14ac:dyDescent="0.15">
      <c r="A21" s="11" t="s">
        <v>51</v>
      </c>
      <c r="B21" s="12">
        <v>40921</v>
      </c>
      <c r="C21" s="13" t="s">
        <v>18</v>
      </c>
      <c r="D21" s="13">
        <v>1501</v>
      </c>
      <c r="E21" s="14">
        <v>2100</v>
      </c>
      <c r="F21" s="14">
        <v>3026016</v>
      </c>
    </row>
    <row r="22" spans="1:6" x14ac:dyDescent="0.15">
      <c r="A22" s="11" t="s">
        <v>54</v>
      </c>
      <c r="B22" s="12">
        <v>40922</v>
      </c>
      <c r="C22" s="13" t="s">
        <v>18</v>
      </c>
      <c r="D22" s="13">
        <v>1539</v>
      </c>
      <c r="E22" s="14">
        <v>2100</v>
      </c>
      <c r="F22" s="14">
        <v>3102624</v>
      </c>
    </row>
    <row r="23" spans="1:6" x14ac:dyDescent="0.15">
      <c r="A23" s="11" t="s">
        <v>60</v>
      </c>
      <c r="B23" s="12">
        <v>40925</v>
      </c>
      <c r="C23" s="13" t="s">
        <v>18</v>
      </c>
      <c r="D23" s="13">
        <v>1537</v>
      </c>
      <c r="E23" s="14">
        <v>2100</v>
      </c>
      <c r="F23" s="14">
        <v>3098592</v>
      </c>
    </row>
    <row r="24" spans="1:6" x14ac:dyDescent="0.15">
      <c r="A24" s="11" t="s">
        <v>63</v>
      </c>
      <c r="B24" s="12">
        <v>40926</v>
      </c>
      <c r="C24" s="13" t="s">
        <v>18</v>
      </c>
      <c r="D24" s="13">
        <v>1588</v>
      </c>
      <c r="E24" s="14">
        <v>2100</v>
      </c>
      <c r="F24" s="14">
        <v>3201408</v>
      </c>
    </row>
    <row r="25" spans="1:6" x14ac:dyDescent="0.15">
      <c r="A25" s="11" t="s">
        <v>64</v>
      </c>
      <c r="B25" s="12">
        <v>40927</v>
      </c>
      <c r="C25" s="13" t="s">
        <v>16</v>
      </c>
      <c r="D25" s="13">
        <v>1566</v>
      </c>
      <c r="E25" s="14">
        <v>3200</v>
      </c>
      <c r="F25" s="14">
        <v>4910976</v>
      </c>
    </row>
    <row r="26" spans="1:6" x14ac:dyDescent="0.15">
      <c r="A26" s="11" t="s">
        <v>66</v>
      </c>
      <c r="B26" s="12">
        <v>40927</v>
      </c>
      <c r="C26" s="13" t="s">
        <v>18</v>
      </c>
      <c r="D26" s="13">
        <v>1584</v>
      </c>
      <c r="E26" s="14">
        <v>2100</v>
      </c>
      <c r="F26" s="14">
        <v>3193344</v>
      </c>
    </row>
    <row r="27" spans="1:6" x14ac:dyDescent="0.15">
      <c r="A27" s="11" t="s">
        <v>67</v>
      </c>
      <c r="B27" s="12">
        <v>40928</v>
      </c>
      <c r="C27" s="13" t="s">
        <v>16</v>
      </c>
      <c r="D27" s="13">
        <v>1576</v>
      </c>
      <c r="E27" s="14">
        <v>3200</v>
      </c>
      <c r="F27" s="14">
        <v>4942336</v>
      </c>
    </row>
    <row r="28" spans="1:6" x14ac:dyDescent="0.15">
      <c r="A28" s="11" t="s">
        <v>71</v>
      </c>
      <c r="B28" s="12">
        <v>40929</v>
      </c>
      <c r="C28" s="13" t="s">
        <v>18</v>
      </c>
      <c r="D28" s="13">
        <v>1545</v>
      </c>
      <c r="E28" s="14">
        <v>2100</v>
      </c>
      <c r="F28" s="14">
        <v>3114720</v>
      </c>
    </row>
    <row r="29" spans="1:6" x14ac:dyDescent="0.15">
      <c r="A29" s="11" t="s">
        <v>74</v>
      </c>
      <c r="B29" s="12">
        <v>40930</v>
      </c>
      <c r="C29" s="13" t="s">
        <v>18</v>
      </c>
      <c r="D29" s="13">
        <v>1579</v>
      </c>
      <c r="E29" s="14">
        <v>2100</v>
      </c>
      <c r="F29" s="14">
        <v>3183264</v>
      </c>
    </row>
    <row r="30" spans="1:6" x14ac:dyDescent="0.15">
      <c r="A30" s="11" t="s">
        <v>75</v>
      </c>
      <c r="B30" s="12">
        <v>40931</v>
      </c>
      <c r="C30" s="13" t="s">
        <v>16</v>
      </c>
      <c r="D30" s="13">
        <v>1556</v>
      </c>
      <c r="E30" s="14">
        <v>3200</v>
      </c>
      <c r="F30" s="14">
        <v>4879616</v>
      </c>
    </row>
    <row r="31" spans="1:6" x14ac:dyDescent="0.15">
      <c r="A31" s="11" t="s">
        <v>77</v>
      </c>
      <c r="B31" s="12">
        <v>40931</v>
      </c>
      <c r="C31" s="13" t="s">
        <v>18</v>
      </c>
      <c r="D31" s="13">
        <v>1518</v>
      </c>
      <c r="E31" s="14">
        <v>2100</v>
      </c>
      <c r="F31" s="14">
        <v>3060288</v>
      </c>
    </row>
    <row r="32" spans="1:6" x14ac:dyDescent="0.15">
      <c r="A32" s="11" t="s">
        <v>79</v>
      </c>
      <c r="B32" s="12">
        <v>40932</v>
      </c>
      <c r="C32" s="13" t="s">
        <v>18</v>
      </c>
      <c r="D32" s="13">
        <v>1593</v>
      </c>
      <c r="E32" s="14">
        <v>2100</v>
      </c>
      <c r="F32" s="14">
        <v>3211488</v>
      </c>
    </row>
    <row r="33" spans="1:6" x14ac:dyDescent="0.15">
      <c r="A33" s="11" t="s">
        <v>82</v>
      </c>
      <c r="B33" s="12">
        <v>40933</v>
      </c>
      <c r="C33" s="13" t="s">
        <v>18</v>
      </c>
      <c r="D33" s="13">
        <v>1583</v>
      </c>
      <c r="E33" s="14">
        <v>2100</v>
      </c>
      <c r="F33" s="14">
        <v>3191328</v>
      </c>
    </row>
    <row r="34" spans="1:6" x14ac:dyDescent="0.15">
      <c r="A34" s="11" t="s">
        <v>83</v>
      </c>
      <c r="B34" s="12">
        <v>40934</v>
      </c>
      <c r="C34" s="13" t="s">
        <v>16</v>
      </c>
      <c r="D34" s="13">
        <v>1583</v>
      </c>
      <c r="E34" s="14">
        <v>3200</v>
      </c>
      <c r="F34" s="14">
        <v>4964288</v>
      </c>
    </row>
    <row r="35" spans="1:6" x14ac:dyDescent="0.15">
      <c r="A35" s="11" t="s">
        <v>84</v>
      </c>
      <c r="B35" s="12">
        <v>40934</v>
      </c>
      <c r="C35" s="13" t="s">
        <v>18</v>
      </c>
      <c r="D35" s="13">
        <v>1559</v>
      </c>
      <c r="E35" s="14">
        <v>2100</v>
      </c>
      <c r="F35" s="14">
        <v>3142944</v>
      </c>
    </row>
    <row r="36" spans="1:6" x14ac:dyDescent="0.15">
      <c r="A36" s="11" t="s">
        <v>87</v>
      </c>
      <c r="B36" s="12">
        <v>40935</v>
      </c>
      <c r="C36" s="13" t="s">
        <v>18</v>
      </c>
      <c r="D36" s="13">
        <v>1567</v>
      </c>
      <c r="E36" s="14">
        <v>2100</v>
      </c>
      <c r="F36" s="14">
        <v>3159072</v>
      </c>
    </row>
    <row r="37" spans="1:6" x14ac:dyDescent="0.15">
      <c r="A37" s="11" t="s">
        <v>89</v>
      </c>
      <c r="B37" s="12">
        <v>40936</v>
      </c>
      <c r="C37" s="13" t="s">
        <v>18</v>
      </c>
      <c r="D37" s="13">
        <v>1579</v>
      </c>
      <c r="E37" s="14">
        <v>2100</v>
      </c>
      <c r="F37" s="14">
        <v>3183264</v>
      </c>
    </row>
    <row r="38" spans="1:6" x14ac:dyDescent="0.15">
      <c r="A38" s="11" t="s">
        <v>93</v>
      </c>
      <c r="B38" s="12">
        <v>40938</v>
      </c>
      <c r="C38" s="13" t="s">
        <v>18</v>
      </c>
      <c r="D38" s="13">
        <v>1532</v>
      </c>
      <c r="E38" s="14">
        <v>2100</v>
      </c>
      <c r="F38" s="14">
        <v>3088512</v>
      </c>
    </row>
    <row r="39" spans="1:6" x14ac:dyDescent="0.15">
      <c r="A39" s="11" t="s">
        <v>96</v>
      </c>
      <c r="B39" s="12">
        <v>40939</v>
      </c>
      <c r="C39" s="13" t="s">
        <v>18</v>
      </c>
      <c r="D39" s="13">
        <v>1537</v>
      </c>
      <c r="E39" s="14">
        <v>2100</v>
      </c>
      <c r="F39" s="14">
        <v>3098592</v>
      </c>
    </row>
    <row r="40" spans="1:6" x14ac:dyDescent="0.15">
      <c r="A40" s="11" t="s">
        <v>97</v>
      </c>
      <c r="B40" s="12">
        <v>40940</v>
      </c>
      <c r="C40" s="13" t="s">
        <v>18</v>
      </c>
      <c r="D40" s="13">
        <v>1535</v>
      </c>
      <c r="E40" s="14">
        <v>2100</v>
      </c>
      <c r="F40" s="14">
        <v>3094560</v>
      </c>
    </row>
    <row r="41" spans="1:6" x14ac:dyDescent="0.15">
      <c r="A41" s="11" t="s">
        <v>99</v>
      </c>
      <c r="B41" s="12">
        <v>40941</v>
      </c>
      <c r="C41" s="13" t="s">
        <v>18</v>
      </c>
      <c r="D41" s="13">
        <v>1509</v>
      </c>
      <c r="E41" s="14">
        <v>2100</v>
      </c>
      <c r="F41" s="14">
        <v>3042144</v>
      </c>
    </row>
    <row r="42" spans="1:6" x14ac:dyDescent="0.15">
      <c r="A42" s="11" t="s">
        <v>102</v>
      </c>
      <c r="B42" s="12">
        <v>40943</v>
      </c>
      <c r="C42" s="13" t="s">
        <v>16</v>
      </c>
      <c r="D42" s="13">
        <v>1564</v>
      </c>
      <c r="E42" s="14">
        <v>3200</v>
      </c>
      <c r="F42" s="14">
        <v>4904704</v>
      </c>
    </row>
    <row r="43" spans="1:6" x14ac:dyDescent="0.15">
      <c r="A43" s="11" t="s">
        <v>107</v>
      </c>
      <c r="B43" s="12">
        <v>40945</v>
      </c>
      <c r="C43" s="13" t="s">
        <v>18</v>
      </c>
      <c r="D43" s="13">
        <v>1505</v>
      </c>
      <c r="E43" s="14">
        <v>2100</v>
      </c>
      <c r="F43" s="14">
        <v>3034080</v>
      </c>
    </row>
    <row r="44" spans="1:6" x14ac:dyDescent="0.15">
      <c r="A44" s="11" t="s">
        <v>126</v>
      </c>
      <c r="B44" s="12">
        <v>40953</v>
      </c>
      <c r="C44" s="13" t="s">
        <v>18</v>
      </c>
      <c r="D44" s="13">
        <v>1549</v>
      </c>
      <c r="E44" s="14">
        <v>2100</v>
      </c>
      <c r="F44" s="14">
        <v>3122784</v>
      </c>
    </row>
    <row r="45" spans="1:6" x14ac:dyDescent="0.15">
      <c r="A45" s="11" t="s">
        <v>128</v>
      </c>
      <c r="B45" s="12">
        <v>40954</v>
      </c>
      <c r="C45" s="13" t="s">
        <v>18</v>
      </c>
      <c r="D45" s="13">
        <v>1528</v>
      </c>
      <c r="E45" s="14">
        <v>2100</v>
      </c>
      <c r="F45" s="14">
        <v>3080448</v>
      </c>
    </row>
    <row r="46" spans="1:6" x14ac:dyDescent="0.15">
      <c r="A46" s="11" t="s">
        <v>131</v>
      </c>
      <c r="B46" s="12">
        <v>40955</v>
      </c>
      <c r="C46" s="13" t="s">
        <v>18</v>
      </c>
      <c r="D46" s="13">
        <v>1546</v>
      </c>
      <c r="E46" s="14">
        <v>2100</v>
      </c>
      <c r="F46" s="14">
        <v>3116736</v>
      </c>
    </row>
    <row r="47" spans="1:6" x14ac:dyDescent="0.15">
      <c r="A47" s="11" t="s">
        <v>134</v>
      </c>
      <c r="B47" s="12">
        <v>40956</v>
      </c>
      <c r="C47" s="13" t="s">
        <v>18</v>
      </c>
      <c r="D47" s="13">
        <v>1515</v>
      </c>
      <c r="E47" s="14">
        <v>2100</v>
      </c>
      <c r="F47" s="14">
        <v>3054240</v>
      </c>
    </row>
    <row r="48" spans="1:6" x14ac:dyDescent="0.15">
      <c r="A48" s="11" t="s">
        <v>138</v>
      </c>
      <c r="B48" s="12">
        <v>40958</v>
      </c>
      <c r="C48" s="13" t="s">
        <v>18</v>
      </c>
      <c r="D48" s="13">
        <v>1533</v>
      </c>
      <c r="E48" s="14">
        <v>2100</v>
      </c>
      <c r="F48" s="14">
        <v>3090528</v>
      </c>
    </row>
    <row r="49" spans="1:6" x14ac:dyDescent="0.15">
      <c r="A49" s="11" t="s">
        <v>149</v>
      </c>
      <c r="B49" s="12">
        <v>40963</v>
      </c>
      <c r="C49" s="13" t="s">
        <v>18</v>
      </c>
      <c r="D49" s="13">
        <v>1533</v>
      </c>
      <c r="E49" s="14">
        <v>2100</v>
      </c>
      <c r="F49" s="14">
        <v>3090528</v>
      </c>
    </row>
    <row r="50" spans="1:6" x14ac:dyDescent="0.15">
      <c r="A50" s="11" t="s">
        <v>153</v>
      </c>
      <c r="B50" s="12">
        <v>40965</v>
      </c>
      <c r="C50" s="13" t="s">
        <v>18</v>
      </c>
      <c r="D50" s="13">
        <v>1516</v>
      </c>
      <c r="E50" s="14">
        <v>2100</v>
      </c>
      <c r="F50" s="14">
        <v>3056256</v>
      </c>
    </row>
    <row r="51" spans="1:6" x14ac:dyDescent="0.15">
      <c r="A51" s="11" t="s">
        <v>160</v>
      </c>
      <c r="B51" s="12">
        <v>40968</v>
      </c>
      <c r="C51" s="13" t="s">
        <v>18</v>
      </c>
      <c r="D51" s="13">
        <v>1542</v>
      </c>
      <c r="E51" s="14">
        <v>2100</v>
      </c>
      <c r="F51" s="14">
        <v>3108672</v>
      </c>
    </row>
    <row r="52" spans="1:6" x14ac:dyDescent="0.15">
      <c r="A52" s="11" t="s">
        <v>203</v>
      </c>
      <c r="B52" s="12">
        <v>40988</v>
      </c>
      <c r="C52" s="13" t="s">
        <v>16</v>
      </c>
      <c r="D52" s="13">
        <v>1556</v>
      </c>
      <c r="E52" s="14">
        <v>3200</v>
      </c>
      <c r="F52" s="14">
        <v>4879616</v>
      </c>
    </row>
    <row r="53" spans="1:6" x14ac:dyDescent="0.15">
      <c r="A53" s="11" t="s">
        <v>208</v>
      </c>
      <c r="B53" s="12">
        <v>40991</v>
      </c>
      <c r="C53" s="13" t="s">
        <v>16</v>
      </c>
      <c r="D53" s="13">
        <v>1578</v>
      </c>
      <c r="E53" s="14">
        <v>3200</v>
      </c>
      <c r="F53" s="14">
        <v>4948608</v>
      </c>
    </row>
    <row r="54" spans="1:6" x14ac:dyDescent="0.15">
      <c r="A54" s="11" t="s">
        <v>213</v>
      </c>
      <c r="B54" s="12">
        <v>40993</v>
      </c>
      <c r="C54" s="13" t="s">
        <v>16</v>
      </c>
      <c r="D54" s="13">
        <v>1590</v>
      </c>
      <c r="E54" s="14">
        <v>3200</v>
      </c>
      <c r="F54" s="14">
        <v>4986240</v>
      </c>
    </row>
    <row r="55" spans="1:6" x14ac:dyDescent="0.15">
      <c r="A55" s="11" t="s">
        <v>226</v>
      </c>
      <c r="B55" s="12">
        <v>40998</v>
      </c>
      <c r="C55" s="13" t="s">
        <v>16</v>
      </c>
      <c r="D55" s="13">
        <v>1563</v>
      </c>
      <c r="E55" s="14">
        <v>3200</v>
      </c>
      <c r="F55" s="14">
        <v>4901568</v>
      </c>
    </row>
    <row r="56" spans="1:6" x14ac:dyDescent="0.15">
      <c r="A56" s="11" t="s">
        <v>261</v>
      </c>
      <c r="B56" s="12">
        <v>41013</v>
      </c>
      <c r="C56" s="13" t="s">
        <v>16</v>
      </c>
      <c r="D56" s="13">
        <v>1587</v>
      </c>
      <c r="E56" s="14">
        <v>3200</v>
      </c>
      <c r="F56" s="14">
        <v>4976832</v>
      </c>
    </row>
    <row r="57" spans="1:6" x14ac:dyDescent="0.15">
      <c r="A57" s="11" t="s">
        <v>264</v>
      </c>
      <c r="B57" s="12">
        <v>41014</v>
      </c>
      <c r="C57" s="13" t="s">
        <v>16</v>
      </c>
      <c r="D57" s="13">
        <v>1572</v>
      </c>
      <c r="E57" s="14">
        <v>3200</v>
      </c>
      <c r="F57" s="14">
        <v>4929792</v>
      </c>
    </row>
    <row r="58" spans="1:6" x14ac:dyDescent="0.15">
      <c r="A58" s="11" t="s">
        <v>319</v>
      </c>
      <c r="B58" s="12">
        <v>41038</v>
      </c>
      <c r="C58" s="13" t="s">
        <v>16</v>
      </c>
      <c r="D58" s="13">
        <v>1599</v>
      </c>
      <c r="E58" s="14">
        <v>3200</v>
      </c>
      <c r="F58" s="14">
        <v>5014464</v>
      </c>
    </row>
    <row r="59" spans="1:6" x14ac:dyDescent="0.15">
      <c r="A59" s="11" t="s">
        <v>351</v>
      </c>
      <c r="B59" s="12">
        <v>41051</v>
      </c>
      <c r="C59" s="13" t="s">
        <v>16</v>
      </c>
      <c r="D59" s="13">
        <v>1588</v>
      </c>
      <c r="E59" s="14">
        <v>3200</v>
      </c>
      <c r="F59" s="14">
        <v>4979968</v>
      </c>
    </row>
    <row r="60" spans="1:6" x14ac:dyDescent="0.15">
      <c r="A60" s="11" t="s">
        <v>379</v>
      </c>
      <c r="B60" s="12">
        <v>41062</v>
      </c>
      <c r="C60" s="13" t="s">
        <v>16</v>
      </c>
      <c r="D60" s="13">
        <v>1570</v>
      </c>
      <c r="E60" s="14">
        <v>3200</v>
      </c>
      <c r="F60" s="14">
        <v>4923520</v>
      </c>
    </row>
    <row r="61" spans="1:6" x14ac:dyDescent="0.15">
      <c r="A61" s="11" t="s">
        <v>391</v>
      </c>
      <c r="B61" s="12">
        <v>41066</v>
      </c>
      <c r="C61" s="13" t="s">
        <v>16</v>
      </c>
      <c r="D61" s="13">
        <v>1568</v>
      </c>
      <c r="E61" s="14">
        <v>3200</v>
      </c>
      <c r="F61" s="14">
        <v>4917248</v>
      </c>
    </row>
    <row r="62" spans="1:6" x14ac:dyDescent="0.15">
      <c r="A62" s="11" t="s">
        <v>416</v>
      </c>
      <c r="B62" s="12">
        <v>41076</v>
      </c>
      <c r="C62" s="13" t="s">
        <v>16</v>
      </c>
      <c r="D62" s="13">
        <v>1584</v>
      </c>
      <c r="E62" s="14">
        <v>3200</v>
      </c>
      <c r="F62" s="14">
        <v>4967424</v>
      </c>
    </row>
    <row r="63" spans="1:6" x14ac:dyDescent="0.15">
      <c r="A63" s="11" t="s">
        <v>419</v>
      </c>
      <c r="B63" s="12">
        <v>41077</v>
      </c>
      <c r="C63" s="13" t="s">
        <v>16</v>
      </c>
      <c r="D63" s="13">
        <v>1596</v>
      </c>
      <c r="E63" s="14">
        <v>3200</v>
      </c>
      <c r="F63" s="14">
        <v>5005056</v>
      </c>
    </row>
    <row r="64" spans="1:6" x14ac:dyDescent="0.15">
      <c r="A64" s="11" t="s">
        <v>435</v>
      </c>
      <c r="B64" s="12">
        <v>41084</v>
      </c>
      <c r="C64" s="13" t="s">
        <v>16</v>
      </c>
      <c r="D64" s="13">
        <v>1559</v>
      </c>
      <c r="E64" s="14">
        <v>3200</v>
      </c>
      <c r="F64" s="14">
        <v>4889024</v>
      </c>
    </row>
    <row r="65" spans="1:6" x14ac:dyDescent="0.15">
      <c r="A65" s="11" t="s">
        <v>443</v>
      </c>
      <c r="B65" s="12">
        <v>41087</v>
      </c>
      <c r="C65" s="13" t="s">
        <v>16</v>
      </c>
      <c r="D65" s="13">
        <v>1555</v>
      </c>
      <c r="E65" s="14">
        <v>3200</v>
      </c>
      <c r="F65" s="14">
        <v>4876480</v>
      </c>
    </row>
    <row r="66" spans="1:6" x14ac:dyDescent="0.15">
      <c r="A66" s="11" t="s">
        <v>446</v>
      </c>
      <c r="B66" s="12">
        <v>41088</v>
      </c>
      <c r="C66" s="13" t="s">
        <v>16</v>
      </c>
      <c r="D66" s="13">
        <v>1583</v>
      </c>
      <c r="E66" s="14">
        <v>3200</v>
      </c>
      <c r="F66" s="14">
        <v>4964288</v>
      </c>
    </row>
    <row r="67" spans="1:6" x14ac:dyDescent="0.15">
      <c r="A67" s="11" t="s">
        <v>488</v>
      </c>
      <c r="B67" s="12">
        <v>41106</v>
      </c>
      <c r="C67" s="13" t="s">
        <v>16</v>
      </c>
      <c r="D67" s="13">
        <v>1553</v>
      </c>
      <c r="E67" s="14">
        <v>3200</v>
      </c>
      <c r="F67" s="14">
        <v>4870208</v>
      </c>
    </row>
    <row r="68" spans="1:6" x14ac:dyDescent="0.15">
      <c r="A68" s="11" t="s">
        <v>523</v>
      </c>
      <c r="B68" s="12">
        <v>41120</v>
      </c>
      <c r="C68" s="13" t="s">
        <v>16</v>
      </c>
      <c r="D68" s="13">
        <v>1591</v>
      </c>
      <c r="E68" s="14">
        <v>3200</v>
      </c>
      <c r="F68" s="14">
        <v>4989376</v>
      </c>
    </row>
    <row r="69" spans="1:6" x14ac:dyDescent="0.15">
      <c r="A69" s="11" t="s">
        <v>556</v>
      </c>
      <c r="B69" s="12">
        <v>41135</v>
      </c>
      <c r="C69" s="13" t="s">
        <v>16</v>
      </c>
      <c r="D69" s="13">
        <v>1589</v>
      </c>
      <c r="E69" s="14">
        <v>3200</v>
      </c>
      <c r="F69" s="14">
        <v>4983104</v>
      </c>
    </row>
    <row r="70" spans="1:6" x14ac:dyDescent="0.15">
      <c r="A70" s="11" t="s">
        <v>601</v>
      </c>
      <c r="B70" s="12">
        <v>41153</v>
      </c>
      <c r="C70" s="13" t="s">
        <v>16</v>
      </c>
      <c r="D70" s="13">
        <v>1589</v>
      </c>
      <c r="E70" s="14">
        <v>3200</v>
      </c>
      <c r="F70" s="14">
        <v>4983104</v>
      </c>
    </row>
    <row r="71" spans="1:6" x14ac:dyDescent="0.15">
      <c r="A71" s="11" t="s">
        <v>632</v>
      </c>
      <c r="B71" s="12">
        <v>41164</v>
      </c>
      <c r="C71" s="13" t="s">
        <v>16</v>
      </c>
      <c r="D71" s="13">
        <v>1586</v>
      </c>
      <c r="E71" s="14">
        <v>3200</v>
      </c>
      <c r="F71" s="14">
        <v>4973696</v>
      </c>
    </row>
    <row r="72" spans="1:6" x14ac:dyDescent="0.15">
      <c r="A72" s="11" t="s">
        <v>680</v>
      </c>
      <c r="B72" s="12">
        <v>41184</v>
      </c>
      <c r="C72" s="13" t="s">
        <v>16</v>
      </c>
      <c r="D72" s="13">
        <v>1575</v>
      </c>
      <c r="E72" s="14">
        <v>3200</v>
      </c>
      <c r="F72" s="14">
        <v>4939200</v>
      </c>
    </row>
    <row r="73" spans="1:6" x14ac:dyDescent="0.15">
      <c r="A73" s="11" t="s">
        <v>700</v>
      </c>
      <c r="B73" s="12">
        <v>41192</v>
      </c>
      <c r="C73" s="13" t="s">
        <v>16</v>
      </c>
      <c r="D73" s="13">
        <v>1555</v>
      </c>
      <c r="E73" s="14">
        <v>3200</v>
      </c>
      <c r="F73" s="14">
        <v>4876480</v>
      </c>
    </row>
    <row r="74" spans="1:6" x14ac:dyDescent="0.15">
      <c r="A74" s="11" t="s">
        <v>715</v>
      </c>
      <c r="B74" s="12">
        <v>41197</v>
      </c>
      <c r="C74" s="13" t="s">
        <v>16</v>
      </c>
      <c r="D74" s="13">
        <v>1567</v>
      </c>
      <c r="E74" s="14">
        <v>3200</v>
      </c>
      <c r="F74" s="14">
        <v>4914112</v>
      </c>
    </row>
    <row r="75" spans="1:6" x14ac:dyDescent="0.15">
      <c r="A75" s="11" t="s">
        <v>728</v>
      </c>
      <c r="B75" s="12">
        <v>41202</v>
      </c>
      <c r="C75" s="13" t="s">
        <v>16</v>
      </c>
      <c r="D75" s="13">
        <v>1560</v>
      </c>
      <c r="E75" s="14">
        <v>3200</v>
      </c>
      <c r="F75" s="14">
        <v>4892160</v>
      </c>
    </row>
    <row r="76" spans="1:6" x14ac:dyDescent="0.15">
      <c r="A76" s="11" t="s">
        <v>763</v>
      </c>
      <c r="B76" s="12">
        <v>41217</v>
      </c>
      <c r="C76" s="13" t="s">
        <v>17</v>
      </c>
      <c r="D76" s="13">
        <v>1907</v>
      </c>
      <c r="E76" s="14">
        <v>2800</v>
      </c>
      <c r="F76" s="14">
        <v>5179412</v>
      </c>
    </row>
    <row r="77" spans="1:6" x14ac:dyDescent="0.15">
      <c r="A77" s="11" t="s">
        <v>764</v>
      </c>
      <c r="B77" s="12">
        <v>41218</v>
      </c>
      <c r="C77" s="13" t="s">
        <v>16</v>
      </c>
      <c r="D77" s="13">
        <v>1559</v>
      </c>
      <c r="E77" s="14">
        <v>3200</v>
      </c>
      <c r="F77" s="14">
        <v>4889024</v>
      </c>
    </row>
    <row r="78" spans="1:6" x14ac:dyDescent="0.15">
      <c r="A78" s="11" t="s">
        <v>765</v>
      </c>
      <c r="B78" s="12">
        <v>41218</v>
      </c>
      <c r="C78" s="13" t="s">
        <v>17</v>
      </c>
      <c r="D78" s="13">
        <v>1992</v>
      </c>
      <c r="E78" s="14">
        <v>2800</v>
      </c>
      <c r="F78" s="14">
        <v>5410272</v>
      </c>
    </row>
    <row r="79" spans="1:6" x14ac:dyDescent="0.15">
      <c r="A79" s="11" t="s">
        <v>779</v>
      </c>
      <c r="B79" s="12">
        <v>41224</v>
      </c>
      <c r="C79" s="13" t="s">
        <v>17</v>
      </c>
      <c r="D79" s="13">
        <v>1958</v>
      </c>
      <c r="E79" s="14">
        <v>2800</v>
      </c>
      <c r="F79" s="14">
        <v>5317928</v>
      </c>
    </row>
    <row r="80" spans="1:6" x14ac:dyDescent="0.15">
      <c r="A80" s="11" t="s">
        <v>783</v>
      </c>
      <c r="B80" s="12">
        <v>41226</v>
      </c>
      <c r="C80" s="13" t="s">
        <v>16</v>
      </c>
      <c r="D80" s="13">
        <v>1569</v>
      </c>
      <c r="E80" s="14">
        <v>3200</v>
      </c>
      <c r="F80" s="14">
        <v>4920384</v>
      </c>
    </row>
    <row r="81" spans="1:6" x14ac:dyDescent="0.15">
      <c r="A81" s="11" t="s">
        <v>791</v>
      </c>
      <c r="B81" s="12">
        <v>41229</v>
      </c>
      <c r="C81" s="13" t="s">
        <v>17</v>
      </c>
      <c r="D81" s="13">
        <v>1925</v>
      </c>
      <c r="E81" s="14">
        <v>2800</v>
      </c>
      <c r="F81" s="14">
        <v>5228300</v>
      </c>
    </row>
    <row r="82" spans="1:6" x14ac:dyDescent="0.15">
      <c r="A82" s="11" t="s">
        <v>796</v>
      </c>
      <c r="B82" s="12">
        <v>41231</v>
      </c>
      <c r="C82" s="13" t="s">
        <v>16</v>
      </c>
      <c r="D82" s="13">
        <v>1556</v>
      </c>
      <c r="E82" s="14">
        <v>3200</v>
      </c>
      <c r="F82" s="14">
        <v>4879616</v>
      </c>
    </row>
    <row r="83" spans="1:6" x14ac:dyDescent="0.15">
      <c r="A83" s="11" t="s">
        <v>805</v>
      </c>
      <c r="B83" s="12">
        <v>41234</v>
      </c>
      <c r="C83" s="13" t="s">
        <v>17</v>
      </c>
      <c r="D83" s="13">
        <v>1951</v>
      </c>
      <c r="E83" s="14">
        <v>2800</v>
      </c>
      <c r="F83" s="14">
        <v>5298916</v>
      </c>
    </row>
    <row r="84" spans="1:6" x14ac:dyDescent="0.15">
      <c r="A84" s="11" t="s">
        <v>810</v>
      </c>
      <c r="B84" s="12">
        <v>41237</v>
      </c>
      <c r="C84" s="13" t="s">
        <v>17</v>
      </c>
      <c r="D84" s="13">
        <v>1937</v>
      </c>
      <c r="E84" s="14">
        <v>2800</v>
      </c>
      <c r="F84" s="14">
        <v>5260892</v>
      </c>
    </row>
    <row r="85" spans="1:6" x14ac:dyDescent="0.15">
      <c r="A85" s="11" t="s">
        <v>816</v>
      </c>
      <c r="B85" s="12">
        <v>41239</v>
      </c>
      <c r="C85" s="13" t="s">
        <v>17</v>
      </c>
      <c r="D85" s="13">
        <v>1979</v>
      </c>
      <c r="E85" s="14">
        <v>2800</v>
      </c>
      <c r="F85" s="14">
        <v>5374964</v>
      </c>
    </row>
    <row r="86" spans="1:6" x14ac:dyDescent="0.15">
      <c r="A86" s="11" t="s">
        <v>822</v>
      </c>
      <c r="B86" s="12">
        <v>41241</v>
      </c>
      <c r="C86" s="13" t="s">
        <v>17</v>
      </c>
      <c r="D86" s="13">
        <v>1943</v>
      </c>
      <c r="E86" s="14">
        <v>2800</v>
      </c>
      <c r="F86" s="14">
        <v>5277188</v>
      </c>
    </row>
    <row r="87" spans="1:6" x14ac:dyDescent="0.15">
      <c r="A87" s="11" t="s">
        <v>829</v>
      </c>
      <c r="B87" s="12">
        <v>41244</v>
      </c>
      <c r="C87" s="13" t="s">
        <v>16</v>
      </c>
      <c r="D87" s="13">
        <v>1600</v>
      </c>
      <c r="E87" s="14">
        <v>3200</v>
      </c>
      <c r="F87" s="14">
        <v>5017600</v>
      </c>
    </row>
    <row r="88" spans="1:6" x14ac:dyDescent="0.15">
      <c r="A88" s="11" t="s">
        <v>830</v>
      </c>
      <c r="B88" s="12">
        <v>41244</v>
      </c>
      <c r="C88" s="13" t="s">
        <v>17</v>
      </c>
      <c r="D88" s="13">
        <v>1966</v>
      </c>
      <c r="E88" s="14">
        <v>2800</v>
      </c>
      <c r="F88" s="14">
        <v>5339656</v>
      </c>
    </row>
    <row r="89" spans="1:6" x14ac:dyDescent="0.15">
      <c r="A89" s="11" t="s">
        <v>833</v>
      </c>
      <c r="B89" s="12">
        <v>41245</v>
      </c>
      <c r="C89" s="13" t="s">
        <v>17</v>
      </c>
      <c r="D89" s="13">
        <v>2069</v>
      </c>
      <c r="E89" s="14">
        <v>2800</v>
      </c>
      <c r="F89" s="14">
        <v>5561472</v>
      </c>
    </row>
    <row r="90" spans="1:6" x14ac:dyDescent="0.15">
      <c r="A90" s="11" t="s">
        <v>836</v>
      </c>
      <c r="B90" s="12">
        <v>41246</v>
      </c>
      <c r="C90" s="13" t="s">
        <v>17</v>
      </c>
      <c r="D90" s="13">
        <v>2081</v>
      </c>
      <c r="E90" s="14">
        <v>2800</v>
      </c>
      <c r="F90" s="14">
        <v>5593728</v>
      </c>
    </row>
    <row r="91" spans="1:6" x14ac:dyDescent="0.15">
      <c r="A91" s="11" t="s">
        <v>840</v>
      </c>
      <c r="B91" s="12">
        <v>41248</v>
      </c>
      <c r="C91" s="13" t="s">
        <v>17</v>
      </c>
      <c r="D91" s="13">
        <v>1911</v>
      </c>
      <c r="E91" s="14">
        <v>2800</v>
      </c>
      <c r="F91" s="14">
        <v>5190276</v>
      </c>
    </row>
    <row r="92" spans="1:6" x14ac:dyDescent="0.15">
      <c r="A92" s="11" t="s">
        <v>842</v>
      </c>
      <c r="B92" s="12">
        <v>41249</v>
      </c>
      <c r="C92" s="13" t="s">
        <v>17</v>
      </c>
      <c r="D92" s="13">
        <v>2075</v>
      </c>
      <c r="E92" s="14">
        <v>2800</v>
      </c>
      <c r="F92" s="14">
        <v>5577600</v>
      </c>
    </row>
    <row r="93" spans="1:6" x14ac:dyDescent="0.15">
      <c r="A93" s="11" t="s">
        <v>844</v>
      </c>
      <c r="B93" s="12">
        <v>41250</v>
      </c>
      <c r="C93" s="13" t="s">
        <v>17</v>
      </c>
      <c r="D93" s="13">
        <v>1924</v>
      </c>
      <c r="E93" s="14">
        <v>2800</v>
      </c>
      <c r="F93" s="14">
        <v>5225584</v>
      </c>
    </row>
    <row r="94" spans="1:6" x14ac:dyDescent="0.15">
      <c r="A94" s="11" t="s">
        <v>846</v>
      </c>
      <c r="B94" s="12">
        <v>41251</v>
      </c>
      <c r="C94" s="13" t="s">
        <v>16</v>
      </c>
      <c r="D94" s="13">
        <v>1559</v>
      </c>
      <c r="E94" s="14">
        <v>3200</v>
      </c>
      <c r="F94" s="14">
        <v>4889024</v>
      </c>
    </row>
    <row r="95" spans="1:6" x14ac:dyDescent="0.15">
      <c r="A95" s="11" t="s">
        <v>847</v>
      </c>
      <c r="B95" s="12">
        <v>41251</v>
      </c>
      <c r="C95" s="13" t="s">
        <v>17</v>
      </c>
      <c r="D95" s="13">
        <v>1922</v>
      </c>
      <c r="E95" s="14">
        <v>2800</v>
      </c>
      <c r="F95" s="14">
        <v>5220152</v>
      </c>
    </row>
    <row r="96" spans="1:6" x14ac:dyDescent="0.15">
      <c r="A96" s="11" t="s">
        <v>850</v>
      </c>
      <c r="B96" s="12">
        <v>41252</v>
      </c>
      <c r="C96" s="13" t="s">
        <v>17</v>
      </c>
      <c r="D96" s="13">
        <v>2074</v>
      </c>
      <c r="E96" s="14">
        <v>2800</v>
      </c>
      <c r="F96" s="14">
        <v>5574912</v>
      </c>
    </row>
    <row r="97" spans="1:6" x14ac:dyDescent="0.15">
      <c r="A97" s="11" t="s">
        <v>853</v>
      </c>
      <c r="B97" s="12">
        <v>41253</v>
      </c>
      <c r="C97" s="13" t="s">
        <v>17</v>
      </c>
      <c r="D97" s="13">
        <v>2045</v>
      </c>
      <c r="E97" s="14">
        <v>2800</v>
      </c>
      <c r="F97" s="14">
        <v>5496960</v>
      </c>
    </row>
    <row r="98" spans="1:6" x14ac:dyDescent="0.15">
      <c r="A98" s="11" t="s">
        <v>856</v>
      </c>
      <c r="B98" s="12">
        <v>41254</v>
      </c>
      <c r="C98" s="13" t="s">
        <v>17</v>
      </c>
      <c r="D98" s="13">
        <v>2018</v>
      </c>
      <c r="E98" s="14">
        <v>2800</v>
      </c>
      <c r="F98" s="14">
        <v>5424384</v>
      </c>
    </row>
    <row r="99" spans="1:6" x14ac:dyDescent="0.15">
      <c r="A99" s="11" t="s">
        <v>862</v>
      </c>
      <c r="B99" s="12">
        <v>41257</v>
      </c>
      <c r="C99" s="13" t="s">
        <v>16</v>
      </c>
      <c r="D99" s="13">
        <v>1570</v>
      </c>
      <c r="E99" s="14">
        <v>3200</v>
      </c>
      <c r="F99" s="14">
        <v>4923520</v>
      </c>
    </row>
    <row r="100" spans="1:6" x14ac:dyDescent="0.15">
      <c r="A100" s="11" t="s">
        <v>863</v>
      </c>
      <c r="B100" s="12">
        <v>41257</v>
      </c>
      <c r="C100" s="13" t="s">
        <v>17</v>
      </c>
      <c r="D100" s="13">
        <v>2002</v>
      </c>
      <c r="E100" s="14">
        <v>2800</v>
      </c>
      <c r="F100" s="14">
        <v>5381376</v>
      </c>
    </row>
    <row r="101" spans="1:6" x14ac:dyDescent="0.15">
      <c r="A101" s="11" t="s">
        <v>866</v>
      </c>
      <c r="B101" s="12">
        <v>41258</v>
      </c>
      <c r="C101" s="13" t="s">
        <v>17</v>
      </c>
      <c r="D101" s="13">
        <v>2067</v>
      </c>
      <c r="E101" s="14">
        <v>2800</v>
      </c>
      <c r="F101" s="14">
        <v>5556096</v>
      </c>
    </row>
    <row r="102" spans="1:6" x14ac:dyDescent="0.15">
      <c r="A102" s="11" t="s">
        <v>867</v>
      </c>
      <c r="B102" s="12">
        <v>41259</v>
      </c>
      <c r="C102" s="13" t="s">
        <v>17</v>
      </c>
      <c r="D102" s="13">
        <v>1949</v>
      </c>
      <c r="E102" s="14">
        <v>2800</v>
      </c>
      <c r="F102" s="14">
        <v>5293484</v>
      </c>
    </row>
    <row r="103" spans="1:6" x14ac:dyDescent="0.15">
      <c r="A103" s="11" t="s">
        <v>872</v>
      </c>
      <c r="B103" s="12">
        <v>41261</v>
      </c>
      <c r="C103" s="13" t="s">
        <v>17</v>
      </c>
      <c r="D103" s="13">
        <v>2100</v>
      </c>
      <c r="E103" s="14">
        <v>2800</v>
      </c>
      <c r="F103" s="14">
        <v>5644800</v>
      </c>
    </row>
    <row r="104" spans="1:6" x14ac:dyDescent="0.15">
      <c r="A104" s="11" t="s">
        <v>875</v>
      </c>
      <c r="B104" s="12">
        <v>41262</v>
      </c>
      <c r="C104" s="13" t="s">
        <v>17</v>
      </c>
      <c r="D104" s="13">
        <v>1919</v>
      </c>
      <c r="E104" s="14">
        <v>2800</v>
      </c>
      <c r="F104" s="14">
        <v>5212004</v>
      </c>
    </row>
    <row r="105" spans="1:6" x14ac:dyDescent="0.15">
      <c r="A105" s="11" t="s">
        <v>878</v>
      </c>
      <c r="B105" s="12">
        <v>41263</v>
      </c>
      <c r="C105" s="13" t="s">
        <v>17</v>
      </c>
      <c r="D105" s="13">
        <v>1975</v>
      </c>
      <c r="E105" s="14">
        <v>2800</v>
      </c>
      <c r="F105" s="14">
        <v>5364100</v>
      </c>
    </row>
    <row r="106" spans="1:6" x14ac:dyDescent="0.15">
      <c r="A106" s="11" t="s">
        <v>881</v>
      </c>
      <c r="B106" s="12">
        <v>41264</v>
      </c>
      <c r="C106" s="13" t="s">
        <v>17</v>
      </c>
      <c r="D106" s="13">
        <v>2058</v>
      </c>
      <c r="E106" s="14">
        <v>2800</v>
      </c>
      <c r="F106" s="14">
        <v>5531904</v>
      </c>
    </row>
    <row r="107" spans="1:6" x14ac:dyDescent="0.15">
      <c r="A107" s="11" t="s">
        <v>883</v>
      </c>
      <c r="B107" s="12">
        <v>41265</v>
      </c>
      <c r="C107" s="13" t="s">
        <v>16</v>
      </c>
      <c r="D107" s="13">
        <v>1566</v>
      </c>
      <c r="E107" s="14">
        <v>3200</v>
      </c>
      <c r="F107" s="14">
        <v>4910976</v>
      </c>
    </row>
    <row r="108" spans="1:6" x14ac:dyDescent="0.15">
      <c r="A108" s="11" t="s">
        <v>884</v>
      </c>
      <c r="B108" s="12">
        <v>41265</v>
      </c>
      <c r="C108" s="13" t="s">
        <v>17</v>
      </c>
      <c r="D108" s="13">
        <v>1938</v>
      </c>
      <c r="E108" s="14">
        <v>2800</v>
      </c>
      <c r="F108" s="14">
        <v>5263608</v>
      </c>
    </row>
    <row r="109" spans="1:6" x14ac:dyDescent="0.15">
      <c r="A109" s="11" t="s">
        <v>886</v>
      </c>
      <c r="B109" s="12">
        <v>41266</v>
      </c>
      <c r="C109" s="13" t="s">
        <v>16</v>
      </c>
      <c r="D109" s="13">
        <v>1596</v>
      </c>
      <c r="E109" s="14">
        <v>3200</v>
      </c>
      <c r="F109" s="14">
        <v>5005056</v>
      </c>
    </row>
    <row r="110" spans="1:6" x14ac:dyDescent="0.15">
      <c r="A110" s="11" t="s">
        <v>887</v>
      </c>
      <c r="B110" s="12">
        <v>41266</v>
      </c>
      <c r="C110" s="13" t="s">
        <v>17</v>
      </c>
      <c r="D110" s="13">
        <v>1936</v>
      </c>
      <c r="E110" s="14">
        <v>2800</v>
      </c>
      <c r="F110" s="14">
        <v>5258176</v>
      </c>
    </row>
    <row r="111" spans="1:6" x14ac:dyDescent="0.15">
      <c r="A111" s="11" t="s">
        <v>890</v>
      </c>
      <c r="B111" s="12">
        <v>41267</v>
      </c>
      <c r="C111" s="13" t="s">
        <v>17</v>
      </c>
      <c r="D111" s="13">
        <v>2006</v>
      </c>
      <c r="E111" s="14">
        <v>2800</v>
      </c>
      <c r="F111" s="14">
        <v>5392128</v>
      </c>
    </row>
    <row r="112" spans="1:6" x14ac:dyDescent="0.15">
      <c r="A112" s="11" t="s">
        <v>892</v>
      </c>
      <c r="B112" s="12">
        <v>41268</v>
      </c>
      <c r="C112" s="13" t="s">
        <v>17</v>
      </c>
      <c r="D112" s="13">
        <v>2100</v>
      </c>
      <c r="E112" s="14">
        <v>2800</v>
      </c>
      <c r="F112" s="14">
        <v>5644800</v>
      </c>
    </row>
    <row r="113" spans="1:6" x14ac:dyDescent="0.15">
      <c r="A113" s="11" t="s">
        <v>897</v>
      </c>
      <c r="B113" s="12">
        <v>41270</v>
      </c>
      <c r="C113" s="13" t="s">
        <v>17</v>
      </c>
      <c r="D113" s="13">
        <v>2017</v>
      </c>
      <c r="E113" s="14">
        <v>2800</v>
      </c>
      <c r="F113" s="14">
        <v>5421696</v>
      </c>
    </row>
    <row r="114" spans="1:6" x14ac:dyDescent="0.15">
      <c r="A114" s="11" t="s">
        <v>902</v>
      </c>
      <c r="B114" s="12">
        <v>41272</v>
      </c>
      <c r="C114" s="13" t="s">
        <v>17</v>
      </c>
      <c r="D114" s="13">
        <v>2041</v>
      </c>
      <c r="E114" s="14">
        <v>2800</v>
      </c>
      <c r="F114" s="14">
        <v>5486208</v>
      </c>
    </row>
    <row r="115" spans="1:6" x14ac:dyDescent="0.15">
      <c r="A115" s="11" t="s">
        <v>905</v>
      </c>
      <c r="B115" s="12">
        <v>41273</v>
      </c>
      <c r="C115" s="13" t="s">
        <v>17</v>
      </c>
      <c r="D115" s="13">
        <v>1935</v>
      </c>
      <c r="E115" s="14">
        <v>2800</v>
      </c>
      <c r="F115" s="14">
        <v>5255460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5"/>
  <sheetViews>
    <sheetView showGridLines="0" workbookViewId="0">
      <selection activeCell="E13" sqref="E13"/>
    </sheetView>
  </sheetViews>
  <sheetFormatPr defaultRowHeight="13.5" x14ac:dyDescent="0.15"/>
  <cols>
    <col min="1" max="1" width="1.875" customWidth="1"/>
    <col min="2" max="2" width="11.625" bestFit="1" customWidth="1"/>
    <col min="3" max="3" width="12.375" bestFit="1" customWidth="1"/>
  </cols>
  <sheetData>
    <row r="1" spans="2:3" ht="7.7" customHeight="1" x14ac:dyDescent="0.15"/>
    <row r="2" spans="2:3" x14ac:dyDescent="0.15">
      <c r="B2" s="1" t="s">
        <v>0</v>
      </c>
      <c r="C2" s="1" t="s">
        <v>1</v>
      </c>
    </row>
    <row r="3" spans="2:3" x14ac:dyDescent="0.15">
      <c r="B3" s="1" t="s">
        <v>7</v>
      </c>
      <c r="C3" s="1">
        <v>3200</v>
      </c>
    </row>
    <row r="4" spans="2:3" x14ac:dyDescent="0.15">
      <c r="B4" s="1" t="s">
        <v>8</v>
      </c>
      <c r="C4" s="1">
        <v>2800</v>
      </c>
    </row>
    <row r="5" spans="2:3" x14ac:dyDescent="0.15">
      <c r="B5" s="1" t="s">
        <v>9</v>
      </c>
      <c r="C5" s="1">
        <v>2100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showGridLines="0" workbookViewId="0">
      <selection activeCell="C16" sqref="C16"/>
    </sheetView>
  </sheetViews>
  <sheetFormatPr defaultRowHeight="13.5" x14ac:dyDescent="0.15"/>
  <cols>
    <col min="1" max="1" width="2.875" customWidth="1"/>
    <col min="2" max="2" width="15.875" bestFit="1" customWidth="1"/>
    <col min="3" max="3" width="15" bestFit="1" customWidth="1"/>
    <col min="4" max="4" width="12.125" bestFit="1" customWidth="1"/>
    <col min="5" max="5" width="18.375" customWidth="1"/>
    <col min="6" max="6" width="15.875" customWidth="1"/>
    <col min="8" max="8" width="9" customWidth="1"/>
  </cols>
  <sheetData>
    <row r="1" spans="2:5" ht="10.7" customHeight="1" x14ac:dyDescent="0.15"/>
    <row r="2" spans="2:5" x14ac:dyDescent="0.15">
      <c r="B2" s="1" t="s">
        <v>3</v>
      </c>
      <c r="C2" s="1" t="s">
        <v>10</v>
      </c>
      <c r="D2" s="1" t="s">
        <v>11</v>
      </c>
      <c r="E2" s="1" t="s">
        <v>12</v>
      </c>
    </row>
    <row r="3" spans="2:5" x14ac:dyDescent="0.15">
      <c r="B3" s="1" t="s">
        <v>2</v>
      </c>
      <c r="C3" s="2">
        <v>0</v>
      </c>
      <c r="D3" s="2">
        <v>0</v>
      </c>
      <c r="E3" s="2">
        <v>0</v>
      </c>
    </row>
    <row r="4" spans="2:5" x14ac:dyDescent="0.15">
      <c r="B4" s="1" t="s">
        <v>4</v>
      </c>
      <c r="C4" s="2">
        <v>0.01</v>
      </c>
      <c r="D4" s="2">
        <v>0.02</v>
      </c>
      <c r="E4" s="2">
        <v>0.03</v>
      </c>
    </row>
    <row r="5" spans="2:5" x14ac:dyDescent="0.15">
      <c r="B5" s="1" t="s">
        <v>5</v>
      </c>
      <c r="C5" s="2">
        <v>0.02</v>
      </c>
      <c r="D5" s="2">
        <v>0.03</v>
      </c>
      <c r="E5" s="2">
        <v>0.04</v>
      </c>
    </row>
    <row r="6" spans="2:5" x14ac:dyDescent="0.15">
      <c r="B6" s="1" t="s">
        <v>6</v>
      </c>
      <c r="C6" s="2">
        <v>0.03</v>
      </c>
      <c r="D6" s="2">
        <v>0.04</v>
      </c>
      <c r="E6" s="2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销售记录</vt:lpstr>
      <vt:lpstr>销售量汇总</vt:lpstr>
      <vt:lpstr>大额订单</vt:lpstr>
      <vt:lpstr>价格表</vt:lpstr>
      <vt:lpstr>折扣表</vt:lpstr>
      <vt:lpstr>大额订单!Criteria</vt:lpstr>
      <vt:lpstr>销售记录!数据源</vt:lpstr>
      <vt:lpstr>大额订单!提取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2021-10-09T03:57:17Z</dcterms:modified>
</cp:coreProperties>
</file>