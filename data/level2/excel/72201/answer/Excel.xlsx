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480" yWindow="105" windowWidth="18210" windowHeight="8040" activeTab="1"/>
  </bookViews>
  <sheets>
    <sheet name="成本分析" sheetId="1" r:id="rId1"/>
    <sheet name="经济订货批量分析" sheetId="2" r:id="rId2"/>
    <sheet name="方案摘要" sheetId="3" r:id="rId3"/>
  </sheets>
  <definedNames>
    <definedName name="_xlnm.Print_Area" localSheetId="2">方案摘要!$B$2:$G$10</definedName>
    <definedName name="单次订货成本">经济订货批量分析!$C$3</definedName>
    <definedName name="单位年储存成本">经济订货批量分析!$C$4</definedName>
    <definedName name="经济订货批量">经济订货批量分析!$C$5</definedName>
    <definedName name="年需求量">经济订货批量分析!$C$2</definedName>
  </definedNames>
  <calcPr calcId="162913"/>
</workbook>
</file>

<file path=xl/calcChain.xml><?xml version="1.0" encoding="utf-8"?>
<calcChain xmlns="http://schemas.openxmlformats.org/spreadsheetml/2006/main">
  <c r="B7" i="2" l="1"/>
  <c r="C5" i="2"/>
  <c r="H4" i="1"/>
  <c r="H5" i="1"/>
  <c r="H6" i="1"/>
  <c r="H7" i="1"/>
  <c r="H8" i="1"/>
  <c r="H9" i="1"/>
  <c r="H10" i="1"/>
  <c r="H11" i="1"/>
  <c r="H12" i="1"/>
  <c r="H13" i="1"/>
  <c r="H14" i="1"/>
  <c r="H15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3" i="1"/>
</calcChain>
</file>

<file path=xl/sharedStrings.xml><?xml version="1.0" encoding="utf-8"?>
<sst xmlns="http://schemas.openxmlformats.org/spreadsheetml/2006/main" count="28" uniqueCount="26">
  <si>
    <t>年订货成本</t>
  </si>
  <si>
    <t>年储存成本</t>
  </si>
  <si>
    <t>年总成本</t>
  </si>
  <si>
    <t>年需求量（单位：个）</t>
    <phoneticPr fontId="1" type="noConversion"/>
  </si>
  <si>
    <t>单次订货成本（单位：元）</t>
    <phoneticPr fontId="1" type="noConversion"/>
  </si>
  <si>
    <t>单位年储存成本（单位：元）</t>
    <phoneticPr fontId="1" type="noConversion"/>
  </si>
  <si>
    <t>订货量</t>
  </si>
  <si>
    <t>年需求量
（单位：个）</t>
  </si>
  <si>
    <t>单次订货成本
（单位：元）</t>
  </si>
  <si>
    <t>单位年储存成本
（单位：元）</t>
  </si>
  <si>
    <t>经济订货批量
（单位：个）</t>
  </si>
  <si>
    <t>年需求量</t>
  </si>
  <si>
    <t>单次订货成本</t>
  </si>
  <si>
    <t>单位年储存成本</t>
  </si>
  <si>
    <t>经济订货批量</t>
  </si>
  <si>
    <t>需求下降</t>
  </si>
  <si>
    <t>创建者 Microsoft 日期 2021/4/6</t>
  </si>
  <si>
    <t>需求持平</t>
  </si>
  <si>
    <t>需求上升</t>
  </si>
  <si>
    <t>方案摘要</t>
  </si>
  <si>
    <t>可变单元格:</t>
  </si>
  <si>
    <t>当前值:</t>
  </si>
  <si>
    <t>结果单元格:</t>
  </si>
  <si>
    <t>注释: “当前值”这一列表示的是在</t>
  </si>
  <si>
    <t>建立方案汇总时，可变单元格的值。</t>
  </si>
  <si>
    <t>每组方案的可变单元格均以灰色底纹突出显示。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</si>
</sst>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¥&quot;#,##0;&quot;¥&quot;\-#,##0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9"/>
      <name val="宋体"/>
      <family val="2"/>
      <charset val="134"/>
      <scheme val="minor"/>
    </font>
    <font>
      <b/>
      <sz val="11"/>
      <color indexed="9"/>
      <name val="宋体"/>
      <family val="3"/>
      <charset val="134"/>
      <scheme val="minor"/>
    </font>
    <font>
      <b/>
      <sz val="11"/>
      <color indexed="8"/>
      <name val="宋体"/>
      <family val="2"/>
      <charset val="134"/>
      <scheme val="minor"/>
    </font>
    <font>
      <b/>
      <sz val="11"/>
      <color indexed="18"/>
      <name val="宋体"/>
      <family val="2"/>
      <charset val="134"/>
      <scheme val="minor"/>
    </font>
    <font>
      <b/>
      <sz val="11"/>
      <color indexed="18"/>
      <name val="宋体"/>
      <family val="3"/>
      <charset val="134"/>
      <scheme val="minor"/>
    </font>
    <font>
      <sz val="11"/>
      <color indexed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" fontId="0" fillId="0" borderId="0" xfId="0" applyNumberFormat="1">
      <alignment vertical="center"/>
    </xf>
    <xf numFmtId="1" fontId="0" fillId="0" borderId="1" xfId="0" applyNumberFormat="1" applyBorder="1">
      <alignment vertical="center"/>
    </xf>
    <xf numFmtId="0" fontId="0" fillId="0" borderId="0" xfId="0" applyFill="1" applyBorder="1" applyAlignment="1">
      <alignment vertical="center"/>
    </xf>
    <xf numFmtId="1" fontId="0" fillId="0" borderId="3" xfId="0" applyNumberForma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right" vertical="center"/>
    </xf>
    <xf numFmtId="0" fontId="0" fillId="4" borderId="0" xfId="0" applyFill="1" applyBorder="1" applyAlignment="1">
      <alignment vertical="center"/>
    </xf>
    <xf numFmtId="0" fontId="8" fillId="0" borderId="0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4">
    <dxf>
      <font>
        <color theme="0"/>
      </font>
      <fill>
        <patternFill>
          <bgColor rgb="FFFF0000"/>
        </patternFill>
      </fill>
    </dxf>
    <dxf>
      <numFmt numFmtId="9" formatCode="&quot;¥&quot;#,##0;&quot;¥&quot;\-#,##0"/>
    </dxf>
    <dxf>
      <numFmt numFmtId="9" formatCode="&quot;¥&quot;#,##0;&quot;¥&quot;\-#,##0"/>
    </dxf>
    <dxf>
      <numFmt numFmtId="9" formatCode="&quot;¥&quot;#,##0;&quot;¥&quot;\-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采购成本分析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成本分析!$F$2</c:f>
              <c:strCache>
                <c:ptCount val="1"/>
                <c:pt idx="0">
                  <c:v>年订货成本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成本分析!$E$3:$E$15</c:f>
              <c:numCache>
                <c:formatCode>General</c:formatCode>
                <c:ptCount val="13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</c:numCache>
            </c:numRef>
          </c:xVal>
          <c:yVal>
            <c:numRef>
              <c:f>成本分析!$F$3:$F$15</c:f>
              <c:numCache>
                <c:formatCode>"¥"#,##0_);\("¥"#,##0\)</c:formatCode>
                <c:ptCount val="13"/>
                <c:pt idx="0">
                  <c:v>37500</c:v>
                </c:pt>
                <c:pt idx="1">
                  <c:v>25000</c:v>
                </c:pt>
                <c:pt idx="2">
                  <c:v>18750</c:v>
                </c:pt>
                <c:pt idx="3">
                  <c:v>15000</c:v>
                </c:pt>
                <c:pt idx="4">
                  <c:v>12500</c:v>
                </c:pt>
                <c:pt idx="5">
                  <c:v>10714.285714285714</c:v>
                </c:pt>
                <c:pt idx="6">
                  <c:v>9375</c:v>
                </c:pt>
                <c:pt idx="7">
                  <c:v>8333.3333333333339</c:v>
                </c:pt>
                <c:pt idx="8">
                  <c:v>7500</c:v>
                </c:pt>
                <c:pt idx="9">
                  <c:v>6818.181818181818</c:v>
                </c:pt>
                <c:pt idx="10">
                  <c:v>6250</c:v>
                </c:pt>
                <c:pt idx="11">
                  <c:v>5769.2307692307695</c:v>
                </c:pt>
                <c:pt idx="12">
                  <c:v>5357.1428571428569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DA-4F84-9093-5CAD5CE3969F}"/>
            </c:ext>
          </c:extLst>
        </c:ser>
        <c:ser>
          <c:idx val="1"/>
          <c:order val="1"/>
          <c:tx>
            <c:strRef>
              <c:f>成本分析!$G$2</c:f>
              <c:strCache>
                <c:ptCount val="1"/>
                <c:pt idx="0">
                  <c:v>年储存成本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成本分析!$E$3:$E$15</c:f>
              <c:numCache>
                <c:formatCode>General</c:formatCode>
                <c:ptCount val="13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</c:numCache>
            </c:numRef>
          </c:xVal>
          <c:yVal>
            <c:numRef>
              <c:f>成本分析!$G$3:$G$15</c:f>
              <c:numCache>
                <c:formatCode>"¥"#,##0_);\("¥"#,##0\)</c:formatCode>
                <c:ptCount val="13"/>
                <c:pt idx="0">
                  <c:v>3000</c:v>
                </c:pt>
                <c:pt idx="1">
                  <c:v>4500</c:v>
                </c:pt>
                <c:pt idx="2">
                  <c:v>6000</c:v>
                </c:pt>
                <c:pt idx="3">
                  <c:v>7500</c:v>
                </c:pt>
                <c:pt idx="4">
                  <c:v>9000</c:v>
                </c:pt>
                <c:pt idx="5">
                  <c:v>10500</c:v>
                </c:pt>
                <c:pt idx="6">
                  <c:v>12000</c:v>
                </c:pt>
                <c:pt idx="7">
                  <c:v>13500</c:v>
                </c:pt>
                <c:pt idx="8">
                  <c:v>15000</c:v>
                </c:pt>
                <c:pt idx="9">
                  <c:v>16500</c:v>
                </c:pt>
                <c:pt idx="10">
                  <c:v>18000</c:v>
                </c:pt>
                <c:pt idx="11">
                  <c:v>19500</c:v>
                </c:pt>
                <c:pt idx="12">
                  <c:v>21000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DA-4F84-9093-5CAD5CE3969F}"/>
            </c:ext>
          </c:extLst>
        </c:ser>
        <c:ser>
          <c:idx val="2"/>
          <c:order val="2"/>
          <c:tx>
            <c:strRef>
              <c:f>成本分析!$H$2</c:f>
              <c:strCache>
                <c:ptCount val="1"/>
                <c:pt idx="0">
                  <c:v>年总成本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成本分析!$E$3:$E$15</c:f>
              <c:numCache>
                <c:formatCode>General</c:formatCode>
                <c:ptCount val="13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500</c:v>
                </c:pt>
                <c:pt idx="4">
                  <c:v>600</c:v>
                </c:pt>
                <c:pt idx="5">
                  <c:v>700</c:v>
                </c:pt>
                <c:pt idx="6">
                  <c:v>800</c:v>
                </c:pt>
                <c:pt idx="7">
                  <c:v>900</c:v>
                </c:pt>
                <c:pt idx="8">
                  <c:v>1000</c:v>
                </c:pt>
                <c:pt idx="9">
                  <c:v>1100</c:v>
                </c:pt>
                <c:pt idx="10">
                  <c:v>1200</c:v>
                </c:pt>
                <c:pt idx="11">
                  <c:v>1300</c:v>
                </c:pt>
                <c:pt idx="12">
                  <c:v>1400</c:v>
                </c:pt>
              </c:numCache>
            </c:numRef>
          </c:xVal>
          <c:yVal>
            <c:numRef>
              <c:f>成本分析!$H$3:$H$15</c:f>
              <c:numCache>
                <c:formatCode>"¥"#,##0_);\("¥"#,##0\)</c:formatCode>
                <c:ptCount val="13"/>
                <c:pt idx="0">
                  <c:v>40500</c:v>
                </c:pt>
                <c:pt idx="1">
                  <c:v>29500</c:v>
                </c:pt>
                <c:pt idx="2">
                  <c:v>24750</c:v>
                </c:pt>
                <c:pt idx="3">
                  <c:v>22500</c:v>
                </c:pt>
                <c:pt idx="4">
                  <c:v>21500</c:v>
                </c:pt>
                <c:pt idx="5">
                  <c:v>21214.285714285714</c:v>
                </c:pt>
                <c:pt idx="6">
                  <c:v>21375</c:v>
                </c:pt>
                <c:pt idx="7">
                  <c:v>21833.333333333336</c:v>
                </c:pt>
                <c:pt idx="8">
                  <c:v>22500</c:v>
                </c:pt>
                <c:pt idx="9">
                  <c:v>23318.181818181816</c:v>
                </c:pt>
                <c:pt idx="10">
                  <c:v>24250</c:v>
                </c:pt>
                <c:pt idx="11">
                  <c:v>25269.23076923077</c:v>
                </c:pt>
                <c:pt idx="12">
                  <c:v>26357.142857142855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DA-4F84-9093-5CAD5CE39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527976"/>
        <c:axId val="327526992"/>
      </c:scatterChart>
      <c:valAx>
        <c:axId val="327527976"/>
        <c:scaling>
          <c:orientation val="minMax"/>
          <c:max val="1400"/>
          <c:min val="2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7526992"/>
        <c:crosses val="autoZero"/>
        <c:crossBetween val="midCat"/>
        <c:majorUnit val="300"/>
      </c:valAx>
      <c:valAx>
        <c:axId val="32752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&quot;¥&quot;#,##0_);\(&quot;¥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7527976"/>
        <c:crosses val="autoZero"/>
        <c:crossBetween val="midCat"/>
        <c:majorUnit val="9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90486</xdr:colOff>
      <xdr:row>1</xdr:row>
      <xdr:rowOff>42861</xdr:rowOff>
    </xdr:from>
    <xdr:to>
      <xdr:col>16</xdr:col>
      <xdr:colOff>590549</xdr:colOff>
      <xdr:row>17</xdr:row>
      <xdr:rowOff>66674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成本分析" displayName="成本分析" ref="E2:H15" totalsRowShown="0">
  <autoFilter ref="E2:H15"/>
  <tableColumns count="4">
    <tableColumn id="1" name="订货量"/>
    <tableColumn id="2" name="年订货成本" dataDxfId="3">
      <calculatedColumnFormula>$C$2/E3*$C$3</calculatedColumnFormula>
    </tableColumn>
    <tableColumn id="3" name="年储存成本" dataDxfId="2">
      <calculatedColumnFormula>$C$4*E3*0.5</calculatedColumnFormula>
    </tableColumn>
    <tableColumn id="4" name="年总成本" dataDxfId="1">
      <calculatedColumnFormula>F3+G3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5"/>
  <sheetViews>
    <sheetView topLeftCell="H1" workbookViewId="0">
      <selection activeCell="N22" sqref="N22"/>
    </sheetView>
  </sheetViews>
  <sheetFormatPr defaultRowHeight="13.5" x14ac:dyDescent="0.15"/>
  <cols>
    <col min="2" max="2" width="28.625" bestFit="1" customWidth="1"/>
    <col min="3" max="3" width="8.25" bestFit="1" customWidth="1"/>
    <col min="5" max="5" width="8.875" customWidth="1"/>
    <col min="6" max="7" width="12.875" customWidth="1"/>
    <col min="8" max="8" width="11.375" bestFit="1" customWidth="1"/>
  </cols>
  <sheetData>
    <row r="2" spans="2:8" x14ac:dyDescent="0.15">
      <c r="B2" s="1" t="s">
        <v>3</v>
      </c>
      <c r="C2" s="1">
        <v>15000</v>
      </c>
      <c r="E2" t="s">
        <v>6</v>
      </c>
      <c r="F2" t="s">
        <v>0</v>
      </c>
      <c r="G2" t="s">
        <v>1</v>
      </c>
      <c r="H2" t="s">
        <v>2</v>
      </c>
    </row>
    <row r="3" spans="2:8" x14ac:dyDescent="0.15">
      <c r="B3" s="1" t="s">
        <v>4</v>
      </c>
      <c r="C3" s="1">
        <v>500</v>
      </c>
      <c r="E3">
        <v>200</v>
      </c>
      <c r="F3" s="3">
        <f>$C$2/E3*$C$3</f>
        <v>37500</v>
      </c>
      <c r="G3" s="3">
        <f>$C$4*E3*0.5</f>
        <v>3000</v>
      </c>
      <c r="H3" s="3">
        <f>F3+G3</f>
        <v>40500</v>
      </c>
    </row>
    <row r="4" spans="2:8" x14ac:dyDescent="0.15">
      <c r="B4" s="1" t="s">
        <v>5</v>
      </c>
      <c r="C4" s="1">
        <v>30</v>
      </c>
      <c r="E4">
        <v>300</v>
      </c>
      <c r="F4" s="3">
        <f t="shared" ref="F4:F15" si="0">$C$2/E4*$C$3</f>
        <v>25000</v>
      </c>
      <c r="G4" s="3">
        <f t="shared" ref="G4:G15" si="1">$C$4*E4*0.5</f>
        <v>4500</v>
      </c>
      <c r="H4" s="3">
        <f t="shared" ref="H4:H15" si="2">F4+G4</f>
        <v>29500</v>
      </c>
    </row>
    <row r="5" spans="2:8" x14ac:dyDescent="0.15">
      <c r="C5">
        <v>400</v>
      </c>
      <c r="E5">
        <v>400</v>
      </c>
      <c r="F5" s="3">
        <f t="shared" si="0"/>
        <v>18750</v>
      </c>
      <c r="G5" s="3">
        <f t="shared" si="1"/>
        <v>6000</v>
      </c>
      <c r="H5" s="3">
        <f t="shared" si="2"/>
        <v>24750</v>
      </c>
    </row>
    <row r="6" spans="2:8" x14ac:dyDescent="0.15">
      <c r="E6">
        <v>500</v>
      </c>
      <c r="F6" s="3">
        <f t="shared" si="0"/>
        <v>15000</v>
      </c>
      <c r="G6" s="3">
        <f t="shared" si="1"/>
        <v>7500</v>
      </c>
      <c r="H6" s="3">
        <f t="shared" si="2"/>
        <v>22500</v>
      </c>
    </row>
    <row r="7" spans="2:8" x14ac:dyDescent="0.15">
      <c r="E7">
        <v>600</v>
      </c>
      <c r="F7" s="3">
        <f t="shared" si="0"/>
        <v>12500</v>
      </c>
      <c r="G7" s="3">
        <f t="shared" si="1"/>
        <v>9000</v>
      </c>
      <c r="H7" s="3">
        <f t="shared" si="2"/>
        <v>21500</v>
      </c>
    </row>
    <row r="8" spans="2:8" x14ac:dyDescent="0.15">
      <c r="E8">
        <v>700</v>
      </c>
      <c r="F8" s="3">
        <f t="shared" si="0"/>
        <v>10714.285714285714</v>
      </c>
      <c r="G8" s="3">
        <f t="shared" si="1"/>
        <v>10500</v>
      </c>
      <c r="H8" s="3">
        <f t="shared" si="2"/>
        <v>21214.285714285714</v>
      </c>
    </row>
    <row r="9" spans="2:8" x14ac:dyDescent="0.15">
      <c r="E9">
        <v>800</v>
      </c>
      <c r="F9" s="3">
        <f t="shared" si="0"/>
        <v>9375</v>
      </c>
      <c r="G9" s="3">
        <f t="shared" si="1"/>
        <v>12000</v>
      </c>
      <c r="H9" s="3">
        <f t="shared" si="2"/>
        <v>21375</v>
      </c>
    </row>
    <row r="10" spans="2:8" x14ac:dyDescent="0.15">
      <c r="E10">
        <v>900</v>
      </c>
      <c r="F10" s="3">
        <f t="shared" si="0"/>
        <v>8333.3333333333339</v>
      </c>
      <c r="G10" s="3">
        <f t="shared" si="1"/>
        <v>13500</v>
      </c>
      <c r="H10" s="3">
        <f t="shared" si="2"/>
        <v>21833.333333333336</v>
      </c>
    </row>
    <row r="11" spans="2:8" x14ac:dyDescent="0.15">
      <c r="E11">
        <v>1000</v>
      </c>
      <c r="F11" s="3">
        <f t="shared" si="0"/>
        <v>7500</v>
      </c>
      <c r="G11" s="3">
        <f t="shared" si="1"/>
        <v>15000</v>
      </c>
      <c r="H11" s="3">
        <f t="shared" si="2"/>
        <v>22500</v>
      </c>
    </row>
    <row r="12" spans="2:8" x14ac:dyDescent="0.15">
      <c r="E12">
        <v>1100</v>
      </c>
      <c r="F12" s="3">
        <f t="shared" si="0"/>
        <v>6818.181818181818</v>
      </c>
      <c r="G12" s="3">
        <f t="shared" si="1"/>
        <v>16500</v>
      </c>
      <c r="H12" s="3">
        <f t="shared" si="2"/>
        <v>23318.181818181816</v>
      </c>
    </row>
    <row r="13" spans="2:8" x14ac:dyDescent="0.15">
      <c r="E13">
        <v>1200</v>
      </c>
      <c r="F13" s="3">
        <f t="shared" si="0"/>
        <v>6250</v>
      </c>
      <c r="G13" s="3">
        <f t="shared" si="1"/>
        <v>18000</v>
      </c>
      <c r="H13" s="3">
        <f t="shared" si="2"/>
        <v>24250</v>
      </c>
    </row>
    <row r="14" spans="2:8" x14ac:dyDescent="0.15">
      <c r="E14">
        <v>1300</v>
      </c>
      <c r="F14" s="3">
        <f t="shared" si="0"/>
        <v>5769.2307692307695</v>
      </c>
      <c r="G14" s="3">
        <f t="shared" si="1"/>
        <v>19500</v>
      </c>
      <c r="H14" s="3">
        <f t="shared" si="2"/>
        <v>25269.23076923077</v>
      </c>
    </row>
    <row r="15" spans="2:8" x14ac:dyDescent="0.15">
      <c r="E15">
        <v>1400</v>
      </c>
      <c r="F15" s="3">
        <f t="shared" si="0"/>
        <v>5357.1428571428569</v>
      </c>
      <c r="G15" s="3">
        <f t="shared" si="1"/>
        <v>21000</v>
      </c>
      <c r="H15" s="3">
        <f t="shared" si="2"/>
        <v>26357.142857142855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7"/>
  <sheetViews>
    <sheetView tabSelected="1" workbookViewId="0">
      <selection activeCell="B2" sqref="B2:B5"/>
    </sheetView>
  </sheetViews>
  <sheetFormatPr defaultRowHeight="13.5" x14ac:dyDescent="0.15"/>
  <cols>
    <col min="2" max="2" width="28.625" bestFit="1" customWidth="1"/>
    <col min="3" max="3" width="12.625" bestFit="1" customWidth="1"/>
    <col min="4" max="13" width="11.625" bestFit="1" customWidth="1"/>
  </cols>
  <sheetData>
    <row r="2" spans="2:13" ht="27" x14ac:dyDescent="0.15">
      <c r="B2" s="19" t="s">
        <v>7</v>
      </c>
      <c r="C2" s="1">
        <v>15000</v>
      </c>
    </row>
    <row r="3" spans="2:13" ht="27" x14ac:dyDescent="0.15">
      <c r="B3" s="19" t="s">
        <v>8</v>
      </c>
      <c r="C3" s="1">
        <v>500</v>
      </c>
    </row>
    <row r="4" spans="2:13" ht="27" x14ac:dyDescent="0.15">
      <c r="B4" s="19" t="s">
        <v>9</v>
      </c>
      <c r="C4" s="1">
        <v>30</v>
      </c>
    </row>
    <row r="5" spans="2:13" ht="27" x14ac:dyDescent="0.15">
      <c r="B5" s="19" t="s">
        <v>10</v>
      </c>
      <c r="C5" s="4">
        <f>SQRT(2*C2*C3/C4)</f>
        <v>707.10678118654755</v>
      </c>
    </row>
    <row r="7" spans="2:13" x14ac:dyDescent="0.15">
      <c r="B7" s="4">
        <f>SQRT(2*C2*C3/C4)</f>
        <v>707.10678118654755</v>
      </c>
      <c r="C7" s="2">
        <v>10000</v>
      </c>
      <c r="D7" s="2">
        <v>11000</v>
      </c>
      <c r="E7" s="2">
        <v>12000</v>
      </c>
      <c r="F7" s="2">
        <v>13000</v>
      </c>
      <c r="G7" s="2">
        <v>14000</v>
      </c>
      <c r="H7" s="2">
        <v>15000</v>
      </c>
      <c r="I7" s="2">
        <v>16000</v>
      </c>
      <c r="J7" s="2">
        <v>17000</v>
      </c>
      <c r="K7" s="2">
        <v>18000</v>
      </c>
      <c r="L7" s="2">
        <v>19000</v>
      </c>
      <c r="M7" s="2">
        <v>20000</v>
      </c>
    </row>
    <row r="8" spans="2:13" x14ac:dyDescent="0.15">
      <c r="B8" s="2">
        <v>21</v>
      </c>
      <c r="C8" s="4">
        <f t="dataTable" ref="C8:M27" dt2D="1" dtr="1" r1="C2" r2="C4"/>
        <v>690.06555934235428</v>
      </c>
      <c r="D8" s="4">
        <v>723.74686445574582</v>
      </c>
      <c r="E8" s="4">
        <v>755.92894601845444</v>
      </c>
      <c r="F8" s="4">
        <v>786.7957924694432</v>
      </c>
      <c r="G8" s="4">
        <v>816.49658092772597</v>
      </c>
      <c r="H8" s="4">
        <v>845.15425472851655</v>
      </c>
      <c r="I8" s="4">
        <v>872.87156094396948</v>
      </c>
      <c r="J8" s="4">
        <v>899.73541084243732</v>
      </c>
      <c r="K8" s="4">
        <v>925.82009977255143</v>
      </c>
      <c r="L8" s="4">
        <v>951.18973121134184</v>
      </c>
      <c r="M8" s="4">
        <v>975.90007294853319</v>
      </c>
    </row>
    <row r="9" spans="2:13" x14ac:dyDescent="0.15">
      <c r="B9" s="2">
        <v>22</v>
      </c>
      <c r="C9" s="4">
        <v>674.19986246324208</v>
      </c>
      <c r="D9" s="4">
        <v>707.10678118654755</v>
      </c>
      <c r="E9" s="4">
        <v>738.54894587599642</v>
      </c>
      <c r="F9" s="4">
        <v>768.70611478580747</v>
      </c>
      <c r="G9" s="4">
        <v>797.7240352174656</v>
      </c>
      <c r="H9" s="4">
        <v>825.72282384477046</v>
      </c>
      <c r="I9" s="4">
        <v>852.80286542244176</v>
      </c>
      <c r="J9" s="4">
        <v>879.04907299153251</v>
      </c>
      <c r="K9" s="4">
        <v>904.53403373329093</v>
      </c>
      <c r="L9" s="4">
        <v>929.32037728458511</v>
      </c>
      <c r="M9" s="4">
        <v>953.46258924559231</v>
      </c>
    </row>
    <row r="10" spans="2:13" x14ac:dyDescent="0.15">
      <c r="B10" s="2">
        <v>23</v>
      </c>
      <c r="C10" s="4">
        <v>659.38047339578702</v>
      </c>
      <c r="D10" s="4">
        <v>691.56407480812459</v>
      </c>
      <c r="E10" s="4">
        <v>722.31511851461516</v>
      </c>
      <c r="F10" s="4">
        <v>751.80941155611231</v>
      </c>
      <c r="G10" s="4">
        <v>780.18949760549401</v>
      </c>
      <c r="H10" s="4">
        <v>807.57285308724829</v>
      </c>
      <c r="I10" s="4">
        <v>834.05765622829904</v>
      </c>
      <c r="J10" s="4">
        <v>859.72695362109516</v>
      </c>
      <c r="K10" s="4">
        <v>884.65173692938276</v>
      </c>
      <c r="L10" s="4">
        <v>908.89325914638573</v>
      </c>
      <c r="M10" s="4">
        <v>932.50480824031376</v>
      </c>
    </row>
    <row r="11" spans="2:13" x14ac:dyDescent="0.15">
      <c r="B11" s="2">
        <v>24</v>
      </c>
      <c r="C11" s="4">
        <v>645.49722436790285</v>
      </c>
      <c r="D11" s="4">
        <v>677.00320038633004</v>
      </c>
      <c r="E11" s="4">
        <v>707.10678118654755</v>
      </c>
      <c r="F11" s="4">
        <v>735.98007219398721</v>
      </c>
      <c r="G11" s="4">
        <v>763.7626158259734</v>
      </c>
      <c r="H11" s="4">
        <v>790.56941504209487</v>
      </c>
      <c r="I11" s="4">
        <v>816.49658092772597</v>
      </c>
      <c r="J11" s="4">
        <v>841.62541153017321</v>
      </c>
      <c r="K11" s="4">
        <v>866.02540378443859</v>
      </c>
      <c r="L11" s="4">
        <v>889.75652100260925</v>
      </c>
      <c r="M11" s="4">
        <v>912.87092917527684</v>
      </c>
    </row>
    <row r="12" spans="2:13" x14ac:dyDescent="0.15">
      <c r="B12" s="2">
        <v>25</v>
      </c>
      <c r="C12" s="4">
        <v>632.45553203367592</v>
      </c>
      <c r="D12" s="4">
        <v>663.32495807108</v>
      </c>
      <c r="E12" s="4">
        <v>692.8203230275509</v>
      </c>
      <c r="F12" s="4">
        <v>721.11025509279784</v>
      </c>
      <c r="G12" s="4">
        <v>748.33147735478826</v>
      </c>
      <c r="H12" s="4">
        <v>774.59666924148337</v>
      </c>
      <c r="I12" s="4">
        <v>800</v>
      </c>
      <c r="J12" s="4">
        <v>824.62112512353212</v>
      </c>
      <c r="K12" s="4">
        <v>848.52813742385706</v>
      </c>
      <c r="L12" s="4">
        <v>871.77978870813467</v>
      </c>
      <c r="M12" s="4">
        <v>894.42719099991587</v>
      </c>
    </row>
    <row r="13" spans="2:13" x14ac:dyDescent="0.15">
      <c r="B13" s="2">
        <v>26</v>
      </c>
      <c r="C13" s="4">
        <v>620.1736729460423</v>
      </c>
      <c r="D13" s="4">
        <v>650.44363558799091</v>
      </c>
      <c r="E13" s="4">
        <v>679.36622048675747</v>
      </c>
      <c r="F13" s="4">
        <v>707.10678118654755</v>
      </c>
      <c r="G13" s="4">
        <v>733.79938570534284</v>
      </c>
      <c r="H13" s="4">
        <v>759.55452531274989</v>
      </c>
      <c r="I13" s="4">
        <v>784.46454055273614</v>
      </c>
      <c r="J13" s="4">
        <v>808.60754006263994</v>
      </c>
      <c r="K13" s="4">
        <v>832.05029433784364</v>
      </c>
      <c r="L13" s="4">
        <v>854.85041426511032</v>
      </c>
      <c r="M13" s="4">
        <v>877.05801930702921</v>
      </c>
    </row>
    <row r="14" spans="2:13" x14ac:dyDescent="0.15">
      <c r="B14" s="2">
        <v>27</v>
      </c>
      <c r="C14" s="4">
        <v>608.5806194501846</v>
      </c>
      <c r="D14" s="4">
        <v>638.2847385042254</v>
      </c>
      <c r="E14" s="4">
        <v>666.66666666666663</v>
      </c>
      <c r="F14" s="4">
        <v>693.8886664887109</v>
      </c>
      <c r="G14" s="4">
        <v>720.08229982309558</v>
      </c>
      <c r="H14" s="4">
        <v>745.35599249992981</v>
      </c>
      <c r="I14" s="4">
        <v>769.80035891950104</v>
      </c>
      <c r="J14" s="4">
        <v>793.49204761587225</v>
      </c>
      <c r="K14" s="4">
        <v>816.49658092772597</v>
      </c>
      <c r="L14" s="4">
        <v>838.87049280786107</v>
      </c>
      <c r="M14" s="4">
        <v>860.66296582387042</v>
      </c>
    </row>
    <row r="15" spans="2:13" x14ac:dyDescent="0.15">
      <c r="B15" s="2">
        <v>28</v>
      </c>
      <c r="C15" s="4">
        <v>597.61430466719685</v>
      </c>
      <c r="D15" s="4">
        <v>626.78317052800867</v>
      </c>
      <c r="E15" s="4">
        <v>654.6536707079772</v>
      </c>
      <c r="F15" s="4">
        <v>681.38514386924692</v>
      </c>
      <c r="G15" s="4">
        <v>707.10678118654755</v>
      </c>
      <c r="H15" s="4">
        <v>731.92505471139987</v>
      </c>
      <c r="I15" s="4">
        <v>755.92894601845444</v>
      </c>
      <c r="J15" s="4">
        <v>779.19372247397962</v>
      </c>
      <c r="K15" s="4">
        <v>801.78372573727313</v>
      </c>
      <c r="L15" s="4">
        <v>823.75447104791397</v>
      </c>
      <c r="M15" s="4">
        <v>845.15425472851655</v>
      </c>
    </row>
    <row r="16" spans="2:13" x14ac:dyDescent="0.15">
      <c r="B16" s="2">
        <v>29</v>
      </c>
      <c r="C16" s="4">
        <v>587.22021951470356</v>
      </c>
      <c r="D16" s="4">
        <v>615.88176205143975</v>
      </c>
      <c r="E16" s="4">
        <v>643.26752090267689</v>
      </c>
      <c r="F16" s="4">
        <v>669.53406341198615</v>
      </c>
      <c r="G16" s="4">
        <v>694.80833377965121</v>
      </c>
      <c r="H16" s="4">
        <v>719.1949522280762</v>
      </c>
      <c r="I16" s="4">
        <v>742.78135270820746</v>
      </c>
      <c r="J16" s="4">
        <v>765.64149348877652</v>
      </c>
      <c r="K16" s="4">
        <v>787.83859715833535</v>
      </c>
      <c r="L16" s="4">
        <v>809.4272134003794</v>
      </c>
      <c r="M16" s="4">
        <v>830.45479853739971</v>
      </c>
    </row>
    <row r="17" spans="2:13" x14ac:dyDescent="0.15">
      <c r="B17" s="2">
        <v>30</v>
      </c>
      <c r="C17" s="4">
        <v>577.35026918962569</v>
      </c>
      <c r="D17" s="4">
        <v>605.53007081949841</v>
      </c>
      <c r="E17" s="4">
        <v>632.45553203367592</v>
      </c>
      <c r="F17" s="4">
        <v>658.2805886043833</v>
      </c>
      <c r="G17" s="4">
        <v>683.13005106397327</v>
      </c>
      <c r="H17" s="4">
        <v>707.10678118654755</v>
      </c>
      <c r="I17" s="4">
        <v>730.2967433402215</v>
      </c>
      <c r="J17" s="4">
        <v>752.77265270908094</v>
      </c>
      <c r="K17" s="4">
        <v>774.59666924148337</v>
      </c>
      <c r="L17" s="4">
        <v>795.82242575422151</v>
      </c>
      <c r="M17" s="4">
        <v>816.49658092772597</v>
      </c>
    </row>
    <row r="18" spans="2:13" x14ac:dyDescent="0.15">
      <c r="B18" s="2">
        <v>31</v>
      </c>
      <c r="C18" s="4">
        <v>567.96183424706476</v>
      </c>
      <c r="D18" s="4">
        <v>595.68339718127061</v>
      </c>
      <c r="E18" s="4">
        <v>622.17101683825513</v>
      </c>
      <c r="F18" s="4">
        <v>647.57612580273326</v>
      </c>
      <c r="G18" s="4">
        <v>672.02150503224698</v>
      </c>
      <c r="H18" s="4">
        <v>695.60834364025243</v>
      </c>
      <c r="I18" s="4">
        <v>718.42120810709957</v>
      </c>
      <c r="J18" s="4">
        <v>740.5316311773546</v>
      </c>
      <c r="K18" s="4">
        <v>762.00076200114302</v>
      </c>
      <c r="L18" s="4">
        <v>782.88136125881272</v>
      </c>
      <c r="M18" s="4">
        <v>803.21932890249889</v>
      </c>
    </row>
    <row r="19" spans="2:13" x14ac:dyDescent="0.15">
      <c r="B19" s="2">
        <v>32</v>
      </c>
      <c r="C19" s="4">
        <v>559.01699437494744</v>
      </c>
      <c r="D19" s="4">
        <v>586.30196997792871</v>
      </c>
      <c r="E19" s="4">
        <v>612.37243569579448</v>
      </c>
      <c r="F19" s="4">
        <v>637.37743919909815</v>
      </c>
      <c r="G19" s="4">
        <v>661.43782776614762</v>
      </c>
      <c r="H19" s="4">
        <v>684.65319688145769</v>
      </c>
      <c r="I19" s="4">
        <v>707.10678118654755</v>
      </c>
      <c r="J19" s="4">
        <v>728.86898685566257</v>
      </c>
      <c r="K19" s="4">
        <v>750</v>
      </c>
      <c r="L19" s="4">
        <v>770.55175037112201</v>
      </c>
      <c r="M19" s="4">
        <v>790.56941504209487</v>
      </c>
    </row>
    <row r="20" spans="2:13" x14ac:dyDescent="0.15">
      <c r="B20" s="2">
        <v>33</v>
      </c>
      <c r="C20" s="4">
        <v>550.48188256318031</v>
      </c>
      <c r="D20" s="4">
        <v>577.35026918962569</v>
      </c>
      <c r="E20" s="4">
        <v>603.02268915552725</v>
      </c>
      <c r="F20" s="4">
        <v>627.64591446084785</v>
      </c>
      <c r="G20" s="4">
        <v>651.3389472789296</v>
      </c>
      <c r="H20" s="4">
        <v>674.19986246324208</v>
      </c>
      <c r="I20" s="4">
        <v>696.3106238227914</v>
      </c>
      <c r="J20" s="4">
        <v>717.74056256527342</v>
      </c>
      <c r="K20" s="4">
        <v>738.54894587599642</v>
      </c>
      <c r="L20" s="4">
        <v>758.7869106393282</v>
      </c>
      <c r="M20" s="4">
        <v>778.49894416152301</v>
      </c>
    </row>
    <row r="21" spans="2:13" x14ac:dyDescent="0.15">
      <c r="B21" s="2">
        <v>34</v>
      </c>
      <c r="C21" s="4">
        <v>542.32614454664042</v>
      </c>
      <c r="D21" s="4">
        <v>568.79645899452112</v>
      </c>
      <c r="E21" s="4">
        <v>594.08852578600465</v>
      </c>
      <c r="F21" s="4">
        <v>618.34694240084229</v>
      </c>
      <c r="G21" s="4">
        <v>641.68894791974787</v>
      </c>
      <c r="H21" s="4">
        <v>664.21116415507151</v>
      </c>
      <c r="I21" s="4">
        <v>685.99434057003532</v>
      </c>
      <c r="J21" s="4">
        <v>707.10678118654755</v>
      </c>
      <c r="K21" s="4">
        <v>727.60687510899891</v>
      </c>
      <c r="L21" s="4">
        <v>747.54500159640202</v>
      </c>
      <c r="M21" s="4">
        <v>766.96498884737048</v>
      </c>
    </row>
    <row r="22" spans="2:13" x14ac:dyDescent="0.15">
      <c r="B22" s="2">
        <v>35</v>
      </c>
      <c r="C22" s="4">
        <v>534.52248382484879</v>
      </c>
      <c r="D22" s="4">
        <v>560.61191058138809</v>
      </c>
      <c r="E22" s="4">
        <v>585.54004376911985</v>
      </c>
      <c r="F22" s="4">
        <v>609.44940022004403</v>
      </c>
      <c r="G22" s="4">
        <v>632.45553203367592</v>
      </c>
      <c r="H22" s="4">
        <v>654.6536707079772</v>
      </c>
      <c r="I22" s="4">
        <v>676.12340378281328</v>
      </c>
      <c r="J22" s="4">
        <v>696.93205243716966</v>
      </c>
      <c r="K22" s="4">
        <v>717.13716560063619</v>
      </c>
      <c r="L22" s="4">
        <v>736.78839761300719</v>
      </c>
      <c r="M22" s="4">
        <v>755.92894601845444</v>
      </c>
    </row>
    <row r="23" spans="2:13" x14ac:dyDescent="0.15">
      <c r="B23" s="2">
        <v>36</v>
      </c>
      <c r="C23" s="4">
        <v>527.04627669472984</v>
      </c>
      <c r="D23" s="4">
        <v>552.77079839256669</v>
      </c>
      <c r="E23" s="4">
        <v>577.35026918962569</v>
      </c>
      <c r="F23" s="4">
        <v>600.92521257733154</v>
      </c>
      <c r="G23" s="4">
        <v>623.60956446232353</v>
      </c>
      <c r="H23" s="4">
        <v>645.49722436790285</v>
      </c>
      <c r="I23" s="4">
        <v>666.66666666666663</v>
      </c>
      <c r="J23" s="4">
        <v>687.18427093627679</v>
      </c>
      <c r="K23" s="4">
        <v>707.10678118654755</v>
      </c>
      <c r="L23" s="4">
        <v>726.4831572567789</v>
      </c>
      <c r="M23" s="4">
        <v>745.35599249992981</v>
      </c>
    </row>
    <row r="24" spans="2:13" x14ac:dyDescent="0.15">
      <c r="B24" s="2">
        <v>37</v>
      </c>
      <c r="C24" s="4">
        <v>519.87524491003637</v>
      </c>
      <c r="D24" s="4">
        <v>545.24975680627063</v>
      </c>
      <c r="E24" s="4">
        <v>569.49479745149938</v>
      </c>
      <c r="F24" s="4">
        <v>592.74897836381922</v>
      </c>
      <c r="G24" s="4">
        <v>615.12468522924553</v>
      </c>
      <c r="H24" s="4">
        <v>636.71453996701325</v>
      </c>
      <c r="I24" s="4">
        <v>657.59594922142912</v>
      </c>
      <c r="J24" s="4">
        <v>677.83438940456506</v>
      </c>
      <c r="K24" s="4">
        <v>697.48583246291571</v>
      </c>
      <c r="L24" s="4">
        <v>716.59857208447852</v>
      </c>
      <c r="M24" s="4">
        <v>735.21462209380775</v>
      </c>
    </row>
    <row r="25" spans="2:13" x14ac:dyDescent="0.15">
      <c r="B25" s="2">
        <v>38</v>
      </c>
      <c r="C25" s="4">
        <v>512.98917604257701</v>
      </c>
      <c r="D25" s="4">
        <v>538.02758684897026</v>
      </c>
      <c r="E25" s="4">
        <v>561.95148694901638</v>
      </c>
      <c r="F25" s="4">
        <v>584.8976518656018</v>
      </c>
      <c r="G25" s="4">
        <v>606.97697866688395</v>
      </c>
      <c r="H25" s="4">
        <v>628.28086243754331</v>
      </c>
      <c r="I25" s="4">
        <v>648.88568452305014</v>
      </c>
      <c r="J25" s="4">
        <v>668.85605405993863</v>
      </c>
      <c r="K25" s="4">
        <v>688.24720161168534</v>
      </c>
      <c r="L25" s="4">
        <v>707.10678118654755</v>
      </c>
      <c r="M25" s="4">
        <v>725.47625011001162</v>
      </c>
    </row>
    <row r="26" spans="2:13" x14ac:dyDescent="0.15">
      <c r="B26" s="2">
        <v>39</v>
      </c>
      <c r="C26" s="4">
        <v>506.3696835418333</v>
      </c>
      <c r="D26" s="4">
        <v>531.0850045437943</v>
      </c>
      <c r="E26" s="4">
        <v>554.70019622522909</v>
      </c>
      <c r="F26" s="4">
        <v>577.35026918962569</v>
      </c>
      <c r="G26" s="4">
        <v>599.14468951527806</v>
      </c>
      <c r="H26" s="4">
        <v>620.1736729460423</v>
      </c>
      <c r="I26" s="4">
        <v>640.51261522034849</v>
      </c>
      <c r="J26" s="4">
        <v>660.22529177352476</v>
      </c>
      <c r="K26" s="4">
        <v>679.36622048675747</v>
      </c>
      <c r="L26" s="4">
        <v>697.98244045211277</v>
      </c>
      <c r="M26" s="4">
        <v>716.11487403943283</v>
      </c>
    </row>
    <row r="27" spans="2:13" x14ac:dyDescent="0.15">
      <c r="B27" s="2">
        <v>40</v>
      </c>
      <c r="C27" s="4">
        <v>500</v>
      </c>
      <c r="D27" s="4">
        <v>524.40442408507579</v>
      </c>
      <c r="E27" s="4">
        <v>547.72255750516615</v>
      </c>
      <c r="F27" s="4">
        <v>570.08771254956901</v>
      </c>
      <c r="G27" s="4">
        <v>591.6079783099616</v>
      </c>
      <c r="H27" s="4">
        <v>612.37243569579448</v>
      </c>
      <c r="I27" s="4">
        <v>632.45553203367592</v>
      </c>
      <c r="J27" s="4">
        <v>651.92024052026488</v>
      </c>
      <c r="K27" s="4">
        <v>670.82039324993696</v>
      </c>
      <c r="L27" s="4">
        <v>689.20243760451103</v>
      </c>
      <c r="M27" s="4">
        <v>707.10678118654755</v>
      </c>
    </row>
  </sheetData>
  <scenarios current="1" show="1" sqref="C5">
    <scenario name="需求下降" locked="1" count="3" user="Microsoft" comment="创建者 Microsoft 日期 2021/4/6">
      <inputCells r="C2" val="10000"/>
      <inputCells r="C3" val="600"/>
      <inputCells r="C4" val="35"/>
    </scenario>
    <scenario name="需求持平" locked="1" count="3" user="Microsoft" comment="创建者 Microsoft 日期 2021/4/6">
      <inputCells r="C2" val="15000"/>
      <inputCells r="C3" val="500"/>
      <inputCells r="C4" val="30"/>
    </scenario>
    <scenario name="需求上升" locked="1" count="3" user="Microsoft" comment="创建者 Microsoft 日期 2021/4/6">
      <inputCells r="C2" val="20000"/>
      <inputCells r="C3" val="450"/>
      <inputCells r="C4" val="27"/>
    </scenario>
  </scenarios>
  <phoneticPr fontId="1" type="noConversion"/>
  <conditionalFormatting sqref="C8:M27">
    <cfRule type="cellIs" dxfId="0" priority="1" operator="between">
      <formula>650</formula>
      <formula>750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G13"/>
  <sheetViews>
    <sheetView showGridLines="0" workbookViewId="0">
      <selection activeCell="D28" sqref="D28"/>
    </sheetView>
  </sheetViews>
  <sheetFormatPr defaultRowHeight="13.5" outlineLevelRow="1" outlineLevelCol="1" x14ac:dyDescent="0.15"/>
  <cols>
    <col min="3" max="3" width="16.375" bestFit="1" customWidth="1"/>
    <col min="4" max="7" width="9.5" bestFit="1" customWidth="1" outlineLevel="1"/>
  </cols>
  <sheetData>
    <row r="1" spans="2:7" ht="14.25" thickBot="1" x14ac:dyDescent="0.2"/>
    <row r="2" spans="2:7" x14ac:dyDescent="0.15">
      <c r="B2" s="8" t="s">
        <v>19</v>
      </c>
      <c r="C2" s="9"/>
      <c r="D2" s="15"/>
      <c r="E2" s="15"/>
      <c r="F2" s="15"/>
      <c r="G2" s="15"/>
    </row>
    <row r="3" spans="2:7" collapsed="1" x14ac:dyDescent="0.15">
      <c r="B3" s="7"/>
      <c r="C3" s="7"/>
      <c r="D3" s="16" t="s">
        <v>21</v>
      </c>
      <c r="E3" s="16" t="s">
        <v>15</v>
      </c>
      <c r="F3" s="16" t="s">
        <v>17</v>
      </c>
      <c r="G3" s="16" t="s">
        <v>18</v>
      </c>
    </row>
    <row r="4" spans="2:7" ht="48" hidden="1" outlineLevel="1" x14ac:dyDescent="0.15">
      <c r="B4" s="11"/>
      <c r="C4" s="11"/>
      <c r="D4" s="5"/>
      <c r="E4" s="18" t="s">
        <v>16</v>
      </c>
      <c r="F4" s="18" t="s">
        <v>16</v>
      </c>
      <c r="G4" s="18" t="s">
        <v>16</v>
      </c>
    </row>
    <row r="5" spans="2:7" x14ac:dyDescent="0.15">
      <c r="B5" s="12" t="s">
        <v>20</v>
      </c>
      <c r="C5" s="13"/>
      <c r="D5" s="10"/>
      <c r="E5" s="10"/>
      <c r="F5" s="10"/>
      <c r="G5" s="10"/>
    </row>
    <row r="6" spans="2:7" outlineLevel="1" x14ac:dyDescent="0.15">
      <c r="B6" s="11"/>
      <c r="C6" s="11" t="s">
        <v>11</v>
      </c>
      <c r="D6" s="5">
        <v>15000</v>
      </c>
      <c r="E6" s="17">
        <v>10000</v>
      </c>
      <c r="F6" s="17">
        <v>15000</v>
      </c>
      <c r="G6" s="17">
        <v>20000</v>
      </c>
    </row>
    <row r="7" spans="2:7" outlineLevel="1" x14ac:dyDescent="0.15">
      <c r="B7" s="11"/>
      <c r="C7" s="11" t="s">
        <v>12</v>
      </c>
      <c r="D7" s="5">
        <v>500</v>
      </c>
      <c r="E7" s="17">
        <v>600</v>
      </c>
      <c r="F7" s="17">
        <v>500</v>
      </c>
      <c r="G7" s="17">
        <v>450</v>
      </c>
    </row>
    <row r="8" spans="2:7" outlineLevel="1" x14ac:dyDescent="0.15">
      <c r="B8" s="11"/>
      <c r="C8" s="11" t="s">
        <v>13</v>
      </c>
      <c r="D8" s="5">
        <v>30</v>
      </c>
      <c r="E8" s="17">
        <v>35</v>
      </c>
      <c r="F8" s="17">
        <v>30</v>
      </c>
      <c r="G8" s="17">
        <v>27</v>
      </c>
    </row>
    <row r="9" spans="2:7" x14ac:dyDescent="0.15">
      <c r="B9" s="12" t="s">
        <v>22</v>
      </c>
      <c r="C9" s="13"/>
      <c r="D9" s="10"/>
      <c r="E9" s="10"/>
      <c r="F9" s="10"/>
      <c r="G9" s="10"/>
    </row>
    <row r="10" spans="2:7" ht="14.25" outlineLevel="1" thickBot="1" x14ac:dyDescent="0.2">
      <c r="B10" s="14"/>
      <c r="C10" s="14" t="s">
        <v>14</v>
      </c>
      <c r="D10" s="6">
        <v>707.10678118654801</v>
      </c>
      <c r="E10" s="6">
        <v>585.54004376911996</v>
      </c>
      <c r="F10" s="6">
        <v>707.10678118654801</v>
      </c>
      <c r="G10" s="6">
        <v>816.49658092772597</v>
      </c>
    </row>
    <row r="11" spans="2:7" x14ac:dyDescent="0.15">
      <c r="B11" t="s">
        <v>23</v>
      </c>
    </row>
    <row r="12" spans="2:7" x14ac:dyDescent="0.15">
      <c r="B12" t="s">
        <v>24</v>
      </c>
    </row>
    <row r="13" spans="2:7" x14ac:dyDescent="0.15">
      <c r="B13" t="s">
        <v>25</v>
      </c>
    </row>
  </sheetData>
  <phoneticPr fontId="1" type="noConversion"/>
  <printOptions horizontalCentered="1" verticalCentered="1"/>
  <pageMargins left="0.70866141732283472" right="0.70866141732283472" top="0.74803149606299213" bottom="0.74803149606299213" header="1.1811023622047245" footer="0.31496062992125984"/>
  <pageSetup paperSize="9" scale="200" orientation="landscape" r:id="rId1"/>
  <headerFooter>
    <oddHeader>&amp;C不同方案比较分析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成本分析</vt:lpstr>
      <vt:lpstr>经济订货批量分析</vt:lpstr>
      <vt:lpstr>方案摘要</vt:lpstr>
      <vt:lpstr>方案摘要!Print_Area</vt:lpstr>
      <vt:lpstr>单次订货成本</vt:lpstr>
      <vt:lpstr>单位年储存成本</vt:lpstr>
      <vt:lpstr>经济订货批量</vt:lpstr>
      <vt:lpstr>年需求量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MicroMacro</dc:creator>
  <cp:lastModifiedBy>Microsoft</cp:lastModifiedBy>
  <dcterms:created xsi:type="dcterms:W3CDTF">2016-05-26T11:45:13Z</dcterms:created>
  <dcterms:modified xsi:type="dcterms:W3CDTF">2021-04-10T07:24:24Z</dcterms:modified>
</cp:coreProperties>
</file>