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19200" windowHeight="8235" firstSheet="3" activeTab="3"/>
  </bookViews>
  <sheets>
    <sheet name="2016年" sheetId="13" r:id="rId1"/>
    <sheet name="2017年" sheetId="3" r:id="rId2"/>
    <sheet name="2018年" sheetId="6" r:id="rId3"/>
    <sheet name="分类统计" sheetId="11" r:id="rId4"/>
    <sheet name="透视分析" sheetId="15" r:id="rId5"/>
    <sheet name="Sheet3" sheetId="14" state="hidden" r:id="rId6"/>
  </sheets>
  <definedNames>
    <definedName name="_xlnm._FilterDatabase" localSheetId="1" hidden="1">'2017年'!$A$3:$F$349</definedName>
    <definedName name="_xlnm._FilterDatabase" localSheetId="2" hidden="1">'2018年'!$A$3:$F$219</definedName>
    <definedName name="收支分类">Sheet3!$F$3:$F$16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1" l="1"/>
  <c r="E8" i="11"/>
  <c r="F8" i="11"/>
  <c r="G8" i="11"/>
  <c r="H8" i="11"/>
  <c r="I8" i="11"/>
  <c r="J8" i="11"/>
  <c r="C8" i="11"/>
  <c r="J7" i="11"/>
  <c r="I7" i="11"/>
  <c r="H7" i="11"/>
  <c r="J6" i="11"/>
  <c r="I6" i="11"/>
  <c r="H6" i="11"/>
  <c r="J5" i="11"/>
  <c r="I5" i="11"/>
  <c r="H5" i="11"/>
  <c r="G6" i="11"/>
  <c r="G7" i="11"/>
  <c r="G5" i="11"/>
  <c r="D7" i="11"/>
  <c r="E7" i="11"/>
  <c r="F7" i="11"/>
  <c r="C7" i="11"/>
  <c r="D6" i="11"/>
  <c r="E6" i="11"/>
  <c r="F6" i="11"/>
  <c r="C6" i="11"/>
  <c r="D5" i="11"/>
  <c r="E5" i="11"/>
  <c r="F5" i="11"/>
  <c r="C5" i="11"/>
  <c r="C220" i="6"/>
  <c r="B220" i="6"/>
  <c r="D6" i="6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5" i="6"/>
  <c r="C351" i="3"/>
  <c r="B351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C93" i="13"/>
  <c r="B93" i="13"/>
  <c r="D6" i="13"/>
  <c r="D7" i="13"/>
  <c r="D8" i="13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5" i="13"/>
</calcChain>
</file>

<file path=xl/sharedStrings.xml><?xml version="1.0" encoding="utf-8"?>
<sst xmlns="http://schemas.openxmlformats.org/spreadsheetml/2006/main" count="1382" uniqueCount="273">
  <si>
    <t>摘要</t>
  </si>
  <si>
    <t>微信公众号认证服务费报销</t>
  </si>
  <si>
    <t>搬家费用报销</t>
  </si>
  <si>
    <t>92102：住房公积金</t>
  </si>
  <si>
    <t>住房公积金</t>
  </si>
  <si>
    <t>网上银行服务费</t>
  </si>
  <si>
    <t>活期结算户结息43.28扣税:.00</t>
  </si>
  <si>
    <t>2016.11月账户管理费扣费</t>
  </si>
  <si>
    <t>2016103110381387</t>
  </si>
  <si>
    <t>2016103130020011</t>
  </si>
  <si>
    <t>交易日期</t>
  </si>
  <si>
    <t>账户余额</t>
  </si>
  <si>
    <t/>
  </si>
  <si>
    <t>投资款</t>
  </si>
  <si>
    <t>入资款</t>
  </si>
  <si>
    <t>工资</t>
  </si>
  <si>
    <t>税控系统费用</t>
  </si>
  <si>
    <t>交通费</t>
  </si>
  <si>
    <t>上地西里5-8月房租</t>
  </si>
  <si>
    <t>发票打印机</t>
  </si>
  <si>
    <t>房屋租赁保证金(押金)</t>
  </si>
  <si>
    <t>网银结算手续费</t>
  </si>
  <si>
    <t>办公费</t>
  </si>
  <si>
    <t>支付采购大米货款</t>
  </si>
  <si>
    <t>采购土豆尾款</t>
  </si>
  <si>
    <t>房租</t>
  </si>
  <si>
    <t>交通费及快递费</t>
  </si>
  <si>
    <t>往来款</t>
  </si>
  <si>
    <t>无线网服务费</t>
  </si>
  <si>
    <t>医保费</t>
  </si>
  <si>
    <t>社会保险费</t>
  </si>
  <si>
    <t>还款</t>
  </si>
  <si>
    <t>采购ERP软件款</t>
  </si>
  <si>
    <t>预付ERP实施服务费</t>
  </si>
  <si>
    <t>各项费用报销</t>
  </si>
  <si>
    <t>报销差旅费</t>
  </si>
  <si>
    <t>10/11月工资</t>
  </si>
  <si>
    <t>商标代理费</t>
  </si>
  <si>
    <t>费用报销</t>
  </si>
  <si>
    <t>购买服务器</t>
  </si>
  <si>
    <t>借支备用金</t>
  </si>
  <si>
    <t>工资奖金</t>
  </si>
  <si>
    <t>补发工资</t>
  </si>
  <si>
    <t>油鸡货款</t>
  </si>
  <si>
    <t>电费</t>
  </si>
  <si>
    <t>履约保证金</t>
  </si>
  <si>
    <t>手续费</t>
    <phoneticPr fontId="1" type="noConversion"/>
  </si>
  <si>
    <t>手续费</t>
    <phoneticPr fontId="1" type="noConversion"/>
  </si>
  <si>
    <t>代垫社保还款</t>
    <phoneticPr fontId="1" type="noConversion"/>
  </si>
  <si>
    <t>税金</t>
    <phoneticPr fontId="1" type="noConversion"/>
  </si>
  <si>
    <t>利息收入</t>
    <phoneticPr fontId="1" type="noConversion"/>
  </si>
  <si>
    <t>#北京社保</t>
  </si>
  <si>
    <t>支出</t>
    <phoneticPr fontId="1" type="noConversion"/>
  </si>
  <si>
    <t>支付采购米面油货款</t>
  </si>
  <si>
    <t>支付税控系统服务费</t>
  </si>
  <si>
    <t>2月和3月配送费及仓储费</t>
  </si>
  <si>
    <t>个税</t>
    <phoneticPr fontId="1" type="noConversion"/>
  </si>
  <si>
    <t>采购技术指导书</t>
    <phoneticPr fontId="1" type="noConversion"/>
  </si>
  <si>
    <t>手续费</t>
    <phoneticPr fontId="1" type="noConversion"/>
  </si>
  <si>
    <t>个税</t>
    <phoneticPr fontId="1" type="noConversion"/>
  </si>
  <si>
    <t>利息收入</t>
    <phoneticPr fontId="1" type="noConversion"/>
  </si>
  <si>
    <t>提出贷记:00140683670,汇兑</t>
  </si>
  <si>
    <t>网站设计劳务费</t>
  </si>
  <si>
    <t>退还出资款</t>
  </si>
  <si>
    <t>代为支付履约保证金</t>
  </si>
  <si>
    <t>网银支付手续费</t>
  </si>
  <si>
    <t>网银汇款手续费</t>
  </si>
  <si>
    <t>蔬菜货款</t>
  </si>
  <si>
    <t>购买云数据库</t>
  </si>
  <si>
    <t>货款</t>
  </si>
  <si>
    <t>工资及劳务费</t>
  </si>
  <si>
    <t>2017.06月账户管理费扣费</t>
  </si>
  <si>
    <t>借款</t>
  </si>
  <si>
    <t>个税</t>
    <phoneticPr fontId="1" type="noConversion"/>
  </si>
  <si>
    <t>划错款</t>
    <phoneticPr fontId="1" type="noConversion"/>
  </si>
  <si>
    <t>活期结算户结息79.28扣税:.00</t>
  </si>
  <si>
    <t>网上企业银行-数字证书费</t>
  </si>
  <si>
    <t>蔬菜采购备用金</t>
  </si>
  <si>
    <t>支付新风设备款</t>
  </si>
  <si>
    <t>库房租赁保证金(押金)</t>
  </si>
  <si>
    <t>款项退回</t>
  </si>
  <si>
    <t>微信小程序的UI美工设计</t>
  </si>
  <si>
    <t>会议服务</t>
  </si>
  <si>
    <t>支付5月毛菜货款</t>
    <phoneticPr fontId="1" type="noConversion"/>
  </si>
  <si>
    <t>支付3-5月份粮油货款</t>
    <phoneticPr fontId="1" type="noConversion"/>
  </si>
  <si>
    <t>利息</t>
    <phoneticPr fontId="1" type="noConversion"/>
  </si>
  <si>
    <t>银行手续费</t>
    <phoneticPr fontId="1" type="noConversion"/>
  </si>
  <si>
    <t>购买笔记本电脑</t>
    <phoneticPr fontId="1" type="noConversion"/>
  </si>
  <si>
    <t>支付净菜货款</t>
  </si>
  <si>
    <t>支付毛菜货款</t>
  </si>
  <si>
    <t>补足备用金</t>
  </si>
  <si>
    <t>爱为客还借款</t>
    <phoneticPr fontId="1" type="noConversion"/>
  </si>
  <si>
    <t>商标申请服务费</t>
    <phoneticPr fontId="1" type="noConversion"/>
  </si>
  <si>
    <t>6月份蔬菜货款</t>
  </si>
  <si>
    <t>装修改造费用</t>
  </si>
  <si>
    <t>印花税</t>
    <phoneticPr fontId="1" type="noConversion"/>
  </si>
  <si>
    <t>退回商标申请服务费</t>
    <phoneticPr fontId="1" type="noConversion"/>
  </si>
  <si>
    <t>个税</t>
    <phoneticPr fontId="1" type="noConversion"/>
  </si>
  <si>
    <t>个税</t>
    <phoneticPr fontId="1" type="noConversion"/>
  </si>
  <si>
    <t>工资及劳务费</t>
    <phoneticPr fontId="1" type="noConversion"/>
  </si>
  <si>
    <t>支付供应商发票返点</t>
  </si>
  <si>
    <t>收回投资款</t>
    <phoneticPr fontId="1" type="noConversion"/>
  </si>
  <si>
    <t>押金退回</t>
    <phoneticPr fontId="1" type="noConversion"/>
  </si>
  <si>
    <t>活期结算户结息53.73扣税:.00</t>
  </si>
  <si>
    <t>退还购买股权款</t>
  </si>
  <si>
    <t>小龙虾产业分会会费</t>
  </si>
  <si>
    <t>物业管理费</t>
  </si>
  <si>
    <t>法律顾问费</t>
  </si>
  <si>
    <t>往来</t>
  </si>
  <si>
    <t>退回入资款</t>
  </si>
  <si>
    <t>品牌设计2018年年度顾问费</t>
  </si>
  <si>
    <t>备用金</t>
  </si>
  <si>
    <t>支付代垫搬运费</t>
  </si>
  <si>
    <t>会员年费</t>
  </si>
  <si>
    <t>补发4-7月工资</t>
  </si>
  <si>
    <t>委托收款</t>
  </si>
  <si>
    <t>活期结算户结息77.64扣税:.00</t>
  </si>
  <si>
    <t>活期结算户结息47.70扣税:.00</t>
  </si>
  <si>
    <t>活期结算户结息62.50扣税:.00</t>
  </si>
  <si>
    <t>转账</t>
  </si>
  <si>
    <t>采购成本</t>
    <phoneticPr fontId="1" type="noConversion"/>
  </si>
  <si>
    <t>收入</t>
  </si>
  <si>
    <t>支出</t>
  </si>
  <si>
    <t>2017年</t>
  </si>
  <si>
    <t>2018年</t>
  </si>
  <si>
    <t>工资及奖金</t>
  </si>
  <si>
    <t>工资及奖金</t>
    <phoneticPr fontId="1" type="noConversion"/>
  </si>
  <si>
    <t>社保</t>
  </si>
  <si>
    <t>社保</t>
    <phoneticPr fontId="1" type="noConversion"/>
  </si>
  <si>
    <t>采购成本</t>
  </si>
  <si>
    <t>收入</t>
    <phoneticPr fontId="1" type="noConversion"/>
  </si>
  <si>
    <t>交易日期</t>
    <phoneticPr fontId="1" type="noConversion"/>
  </si>
  <si>
    <t>保洁劳务费</t>
  </si>
  <si>
    <t>活期结算户结息</t>
  </si>
  <si>
    <t>费用</t>
  </si>
  <si>
    <t>费用</t>
    <phoneticPr fontId="1" type="noConversion"/>
  </si>
  <si>
    <t>个人所得税</t>
  </si>
  <si>
    <t>个人所得税</t>
    <phoneticPr fontId="1" type="noConversion"/>
  </si>
  <si>
    <t>销售收入</t>
  </si>
  <si>
    <t>销售收入</t>
    <phoneticPr fontId="1" type="noConversion"/>
  </si>
  <si>
    <t>毛利润</t>
    <phoneticPr fontId="1" type="noConversion"/>
  </si>
  <si>
    <t>小计</t>
    <phoneticPr fontId="1" type="noConversion"/>
  </si>
  <si>
    <t>其他收入</t>
  </si>
  <si>
    <t>其他收入</t>
    <phoneticPr fontId="1" type="noConversion"/>
  </si>
  <si>
    <t>实收资本</t>
  </si>
  <si>
    <t>捐赠款</t>
    <phoneticPr fontId="1" type="noConversion"/>
  </si>
  <si>
    <t>其他支出</t>
  </si>
  <si>
    <t>个人所得税</t>
    <phoneticPr fontId="1" type="noConversion"/>
  </si>
  <si>
    <t>其他税费</t>
  </si>
  <si>
    <t>提现</t>
  </si>
  <si>
    <t>代付费用</t>
    <phoneticPr fontId="1" type="noConversion"/>
  </si>
  <si>
    <t>商标申请代理服务费</t>
    <phoneticPr fontId="1" type="noConversion"/>
  </si>
  <si>
    <t>办公室窗帘费</t>
    <phoneticPr fontId="1" type="noConversion"/>
  </si>
  <si>
    <t>对外投资</t>
  </si>
  <si>
    <t>执行会员费</t>
    <phoneticPr fontId="1" type="noConversion"/>
  </si>
  <si>
    <t>采购蔬菜费用</t>
    <phoneticPr fontId="1" type="noConversion"/>
  </si>
  <si>
    <t>采购蔬菜费用</t>
    <phoneticPr fontId="1" type="noConversion"/>
  </si>
  <si>
    <t>采购蔬菜费</t>
    <phoneticPr fontId="1" type="noConversion"/>
  </si>
  <si>
    <t>收支分类</t>
    <phoneticPr fontId="1" type="noConversion"/>
  </si>
  <si>
    <t>返还购买股权款</t>
    <phoneticPr fontId="1" type="noConversion"/>
  </si>
  <si>
    <t>个人借款</t>
    <phoneticPr fontId="1" type="noConversion"/>
  </si>
  <si>
    <t>服务费</t>
    <phoneticPr fontId="1" type="noConversion"/>
  </si>
  <si>
    <t>宽带网费</t>
    <phoneticPr fontId="1" type="noConversion"/>
  </si>
  <si>
    <t>入资款</t>
    <phoneticPr fontId="1" type="noConversion"/>
  </si>
  <si>
    <t>银行手续费</t>
    <phoneticPr fontId="1" type="noConversion"/>
  </si>
  <si>
    <t>印花税</t>
    <phoneticPr fontId="1" type="noConversion"/>
  </si>
  <si>
    <t>个税</t>
    <phoneticPr fontId="1" type="noConversion"/>
  </si>
  <si>
    <t>退回划错款</t>
    <phoneticPr fontId="1" type="noConversion"/>
  </si>
  <si>
    <t>代付股权购买款</t>
    <phoneticPr fontId="1" type="noConversion"/>
  </si>
  <si>
    <t>个人劳务费</t>
    <phoneticPr fontId="1" type="noConversion"/>
  </si>
  <si>
    <t>个人劳务费</t>
    <phoneticPr fontId="1" type="noConversion"/>
  </si>
  <si>
    <t>房租</t>
    <phoneticPr fontId="1" type="noConversion"/>
  </si>
  <si>
    <t>购买云主机</t>
    <phoneticPr fontId="1" type="noConversion"/>
  </si>
  <si>
    <t>物流仓储费</t>
    <phoneticPr fontId="1" type="noConversion"/>
  </si>
  <si>
    <t>货款</t>
    <phoneticPr fontId="1" type="noConversion"/>
  </si>
  <si>
    <t>货款</t>
    <phoneticPr fontId="1" type="noConversion"/>
  </si>
  <si>
    <t>返点</t>
    <phoneticPr fontId="1" type="noConversion"/>
  </si>
  <si>
    <t>货款</t>
    <phoneticPr fontId="1" type="noConversion"/>
  </si>
  <si>
    <t>货款</t>
    <phoneticPr fontId="1" type="noConversion"/>
  </si>
  <si>
    <t>返点</t>
    <phoneticPr fontId="1" type="noConversion"/>
  </si>
  <si>
    <t>货款</t>
    <phoneticPr fontId="1" type="noConversion"/>
  </si>
  <si>
    <t>入资款</t>
    <phoneticPr fontId="1" type="noConversion"/>
  </si>
  <si>
    <t>7月货款</t>
    <phoneticPr fontId="1" type="noConversion"/>
  </si>
  <si>
    <t>8月货款</t>
    <phoneticPr fontId="1" type="noConversion"/>
  </si>
  <si>
    <t>6月货款</t>
    <phoneticPr fontId="1" type="noConversion"/>
  </si>
  <si>
    <t>5月货款</t>
    <phoneticPr fontId="1" type="noConversion"/>
  </si>
  <si>
    <t>六七八月份的配送费及仓储费</t>
    <phoneticPr fontId="1" type="noConversion"/>
  </si>
  <si>
    <t>货款</t>
    <phoneticPr fontId="1" type="noConversion"/>
  </si>
  <si>
    <t>三四五月份的配送费</t>
    <phoneticPr fontId="1" type="noConversion"/>
  </si>
  <si>
    <t>5月份返点</t>
    <phoneticPr fontId="1" type="noConversion"/>
  </si>
  <si>
    <t>货款</t>
    <phoneticPr fontId="1" type="noConversion"/>
  </si>
  <si>
    <t>4月份返点</t>
    <phoneticPr fontId="1" type="noConversion"/>
  </si>
  <si>
    <t>4月份返点</t>
    <phoneticPr fontId="1" type="noConversion"/>
  </si>
  <si>
    <t>罚款</t>
    <phoneticPr fontId="1" type="noConversion"/>
  </si>
  <si>
    <t>罚款</t>
    <phoneticPr fontId="1" type="noConversion"/>
  </si>
  <si>
    <t>货款</t>
    <phoneticPr fontId="1" type="noConversion"/>
  </si>
  <si>
    <t>返点</t>
    <phoneticPr fontId="1" type="noConversion"/>
  </si>
  <si>
    <t>2016年</t>
    <phoneticPr fontId="1" type="noConversion"/>
  </si>
  <si>
    <t>合计</t>
    <phoneticPr fontId="1" type="noConversion"/>
  </si>
  <si>
    <t>上年结转余额</t>
    <phoneticPr fontId="1" type="noConversion"/>
  </si>
  <si>
    <t>上年余额</t>
    <phoneticPr fontId="1" type="noConversion"/>
  </si>
  <si>
    <t>费用报销</t>
    <phoneticPr fontId="1" type="noConversion"/>
  </si>
  <si>
    <t>蔬菜货款</t>
    <phoneticPr fontId="1" type="noConversion"/>
  </si>
  <si>
    <t>工资</t>
    <phoneticPr fontId="1" type="noConversion"/>
  </si>
  <si>
    <t>蔬菜采购货款及费用报销</t>
    <phoneticPr fontId="1" type="noConversion"/>
  </si>
  <si>
    <t>费用报销</t>
    <phoneticPr fontId="1" type="noConversion"/>
  </si>
  <si>
    <t>工资及劳务费</t>
    <phoneticPr fontId="1" type="noConversion"/>
  </si>
  <si>
    <t>社会保险费</t>
    <phoneticPr fontId="1" type="noConversion"/>
  </si>
  <si>
    <t>工资奖金</t>
    <phoneticPr fontId="1" type="noConversion"/>
  </si>
  <si>
    <t>税金</t>
    <phoneticPr fontId="1" type="noConversion"/>
  </si>
  <si>
    <t>支付采购大米货款</t>
    <phoneticPr fontId="1" type="noConversion"/>
  </si>
  <si>
    <t>手续费</t>
    <phoneticPr fontId="1" type="noConversion"/>
  </si>
  <si>
    <t>费用报销</t>
    <phoneticPr fontId="1" type="noConversion"/>
  </si>
  <si>
    <t>各项费用报销</t>
    <phoneticPr fontId="1" type="noConversion"/>
  </si>
  <si>
    <t>工资</t>
    <phoneticPr fontId="1" type="noConversion"/>
  </si>
  <si>
    <t>付蔬菜货款</t>
    <phoneticPr fontId="1" type="noConversion"/>
  </si>
  <si>
    <t>返点</t>
    <phoneticPr fontId="1" type="noConversion"/>
  </si>
  <si>
    <t>货款</t>
    <phoneticPr fontId="1" type="noConversion"/>
  </si>
  <si>
    <t>付ERP实施服务费尾款</t>
    <phoneticPr fontId="1" type="noConversion"/>
  </si>
  <si>
    <t>手续费</t>
  </si>
  <si>
    <t>手续费</t>
    <phoneticPr fontId="1" type="noConversion"/>
  </si>
  <si>
    <t>税费</t>
    <phoneticPr fontId="1" type="noConversion"/>
  </si>
  <si>
    <t>税费</t>
    <phoneticPr fontId="1" type="noConversion"/>
  </si>
  <si>
    <t>税费</t>
    <phoneticPr fontId="1" type="noConversion"/>
  </si>
  <si>
    <t>试打款</t>
    <phoneticPr fontId="1" type="noConversion"/>
  </si>
  <si>
    <t>2017年银行交易明细</t>
    <phoneticPr fontId="1" type="noConversion"/>
  </si>
  <si>
    <t>2018年银行交易明细</t>
    <phoneticPr fontId="1" type="noConversion"/>
  </si>
  <si>
    <t>年度</t>
    <phoneticPr fontId="1" type="noConversion"/>
  </si>
  <si>
    <t>销售情况</t>
    <phoneticPr fontId="1" type="noConversion"/>
  </si>
  <si>
    <t>2016年银行交易明细</t>
    <phoneticPr fontId="1" type="noConversion"/>
  </si>
  <si>
    <t>收支分类</t>
    <phoneticPr fontId="1" type="noConversion"/>
  </si>
  <si>
    <t>上年结转余额</t>
    <phoneticPr fontId="1" type="noConversion"/>
  </si>
  <si>
    <t>上年余额</t>
    <phoneticPr fontId="1" type="noConversion"/>
  </si>
  <si>
    <t>手续费</t>
    <phoneticPr fontId="1" type="noConversion"/>
  </si>
  <si>
    <t>利息收入</t>
    <phoneticPr fontId="1" type="noConversion"/>
  </si>
  <si>
    <t>税金</t>
    <phoneticPr fontId="1" type="noConversion"/>
  </si>
  <si>
    <t>支付农户收购土豆款</t>
    <phoneticPr fontId="1" type="noConversion"/>
  </si>
  <si>
    <t>支付采购大米货款</t>
    <phoneticPr fontId="1" type="noConversion"/>
  </si>
  <si>
    <t>土豆款</t>
    <phoneticPr fontId="1" type="noConversion"/>
  </si>
  <si>
    <t>8月16日土豆款</t>
    <phoneticPr fontId="1" type="noConversion"/>
  </si>
  <si>
    <t>货款</t>
    <phoneticPr fontId="1" type="noConversion"/>
  </si>
  <si>
    <t>上地西里办公室水费</t>
    <phoneticPr fontId="1" type="noConversion"/>
  </si>
  <si>
    <t>购买办公用品</t>
    <phoneticPr fontId="1" type="noConversion"/>
  </si>
  <si>
    <t>首次现金支付员工住房公积金</t>
    <phoneticPr fontId="1" type="noConversion"/>
  </si>
  <si>
    <t>股份</t>
    <phoneticPr fontId="1" type="noConversion"/>
  </si>
  <si>
    <t>支付货款</t>
    <phoneticPr fontId="1" type="noConversion"/>
  </si>
  <si>
    <t>房租押金退回</t>
    <phoneticPr fontId="1" type="noConversion"/>
  </si>
  <si>
    <t>活期结算户结息103.10扣税:.00</t>
  </si>
  <si>
    <t>工资及奖金</t>
    <phoneticPr fontId="1" type="noConversion"/>
  </si>
  <si>
    <t>支付给员工及为员工支付的费用</t>
    <phoneticPr fontId="1" type="noConversion"/>
  </si>
  <si>
    <t>迷你图</t>
    <phoneticPr fontId="1" type="noConversion"/>
  </si>
  <si>
    <t>工资及奖金</t>
    <phoneticPr fontId="1" type="noConversion"/>
  </si>
  <si>
    <t>提现</t>
    <phoneticPr fontId="1" type="noConversion"/>
  </si>
  <si>
    <t>住房公积金</t>
    <phoneticPr fontId="1" type="noConversion"/>
  </si>
  <si>
    <t>费用</t>
    <phoneticPr fontId="1" type="noConversion"/>
  </si>
  <si>
    <t>费用</t>
    <phoneticPr fontId="1" type="noConversion"/>
  </si>
  <si>
    <t>费用</t>
    <phoneticPr fontId="1" type="noConversion"/>
  </si>
  <si>
    <t>汇总</t>
  </si>
  <si>
    <t>总计</t>
  </si>
  <si>
    <t>(全部)</t>
  </si>
  <si>
    <t>2016年</t>
  </si>
  <si>
    <t>第二季</t>
  </si>
  <si>
    <t>第三季</t>
  </si>
  <si>
    <t>第四季</t>
  </si>
  <si>
    <t>第一季</t>
  </si>
  <si>
    <t>列</t>
  </si>
  <si>
    <t>2016年 汇总</t>
  </si>
  <si>
    <t>2017年 汇总</t>
  </si>
  <si>
    <t>2018年 汇总</t>
  </si>
  <si>
    <t>年度</t>
  </si>
  <si>
    <t>收支统计</t>
  </si>
  <si>
    <t>年份</t>
  </si>
  <si>
    <t>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</si>
</sst>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yyyy\-mm\-dd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8"/>
      <color rgb="FF00206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FF0000"/>
      <name val="宋体"/>
      <family val="2"/>
      <charset val="134"/>
      <scheme val="minor"/>
    </font>
    <font>
      <sz val="9"/>
      <name val="Arial"/>
      <family val="2"/>
    </font>
    <font>
      <b/>
      <sz val="9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0"/>
      <name val="宋体"/>
      <family val="2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 applyFont="1"/>
    <xf numFmtId="0" fontId="4" fillId="0" borderId="0" xfId="1" applyFont="1" applyProtection="1"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3" fillId="0" borderId="0" xfId="1" applyProtection="1"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4" fillId="0" borderId="0" xfId="1" applyFont="1" applyFill="1" applyProtection="1">
      <protection locked="0"/>
    </xf>
    <xf numFmtId="0" fontId="7" fillId="0" borderId="0" xfId="1" applyFont="1" applyFill="1" applyAlignment="1" applyProtection="1">
      <alignment horizontal="center" vertical="center"/>
      <protection locked="0"/>
    </xf>
    <xf numFmtId="0" fontId="7" fillId="0" borderId="0" xfId="1" applyFont="1" applyFill="1" applyAlignment="1" applyProtection="1">
      <alignment vertical="center"/>
      <protection locked="0"/>
    </xf>
    <xf numFmtId="0" fontId="6" fillId="0" borderId="0" xfId="1" applyFont="1" applyFill="1" applyProtection="1">
      <protection locked="0"/>
    </xf>
    <xf numFmtId="0" fontId="3" fillId="0" borderId="0" xfId="1" applyFill="1" applyProtection="1">
      <protection locked="0"/>
    </xf>
    <xf numFmtId="0" fontId="3" fillId="0" borderId="0" xfId="1" applyFont="1" applyFill="1" applyProtection="1">
      <protection locked="0"/>
    </xf>
    <xf numFmtId="0" fontId="3" fillId="0" borderId="0" xfId="1" applyFill="1" applyProtection="1">
      <protection locked="0"/>
    </xf>
    <xf numFmtId="0" fontId="6" fillId="0" borderId="0" xfId="1" applyNumberFormat="1" applyFont="1" applyFill="1" applyBorder="1" applyAlignment="1"/>
    <xf numFmtId="0" fontId="8" fillId="0" borderId="0" xfId="0" applyFo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76" fontId="9" fillId="0" borderId="1" xfId="0" applyNumberFormat="1" applyFont="1" applyBorder="1">
      <alignment vertical="center"/>
    </xf>
    <xf numFmtId="176" fontId="12" fillId="2" borderId="1" xfId="0" applyNumberFormat="1" applyFont="1" applyFill="1" applyBorder="1">
      <alignment vertical="center"/>
    </xf>
    <xf numFmtId="177" fontId="10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2" fillId="0" borderId="0" xfId="1" applyFont="1"/>
    <xf numFmtId="176" fontId="10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6" fontId="4" fillId="0" borderId="0" xfId="1" applyNumberFormat="1" applyFont="1"/>
    <xf numFmtId="176" fontId="2" fillId="0" borderId="0" xfId="0" applyNumberFormat="1" applyFont="1">
      <alignment vertical="center"/>
    </xf>
    <xf numFmtId="177" fontId="6" fillId="0" borderId="0" xfId="1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>
      <alignment vertical="center"/>
    </xf>
    <xf numFmtId="176" fontId="11" fillId="0" borderId="0" xfId="1" applyNumberFormat="1" applyFont="1" applyFill="1" applyProtection="1">
      <protection locked="0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>
      <alignment vertical="center"/>
    </xf>
    <xf numFmtId="0" fontId="6" fillId="0" borderId="0" xfId="0" applyNumberFormat="1" applyFont="1" applyFill="1" applyBorder="1" applyAlignment="1" applyProtection="1"/>
    <xf numFmtId="176" fontId="2" fillId="0" borderId="0" xfId="0" applyNumberFormat="1" applyFont="1" applyFill="1">
      <alignment vertical="center"/>
    </xf>
    <xf numFmtId="0" fontId="0" fillId="0" borderId="0" xfId="0" pivotButton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>
      <alignment vertical="center"/>
    </xf>
    <xf numFmtId="0" fontId="5" fillId="0" borderId="0" xfId="1" applyFont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/>
  </cellStyles>
  <dxfs count="43">
    <dxf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177" formatCode="yyyy\-mm\-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minor"/>
      </font>
      <numFmt numFmtId="177" formatCode="yyyy\-mm\-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FEF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[Excel.xlsx]透视分析!数据透视表1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透视分析!$D$3:$D$4</c:f>
              <c:strCache>
                <c:ptCount val="1"/>
                <c:pt idx="0">
                  <c:v>支出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透视分析!$A$5:$B$19</c:f>
              <c:multiLvlStrCache>
                <c:ptCount val="11"/>
                <c:lvl>
                  <c:pt idx="0">
                    <c:v>第二季</c:v>
                  </c:pt>
                  <c:pt idx="1">
                    <c:v>第三季</c:v>
                  </c:pt>
                  <c:pt idx="2">
                    <c:v>第四季</c:v>
                  </c:pt>
                  <c:pt idx="3">
                    <c:v>第一季</c:v>
                  </c:pt>
                  <c:pt idx="4">
                    <c:v>第二季</c:v>
                  </c:pt>
                  <c:pt idx="5">
                    <c:v>第三季</c:v>
                  </c:pt>
                  <c:pt idx="6">
                    <c:v>第四季</c:v>
                  </c:pt>
                  <c:pt idx="7">
                    <c:v>第一季</c:v>
                  </c:pt>
                  <c:pt idx="8">
                    <c:v>第二季</c:v>
                  </c:pt>
                  <c:pt idx="9">
                    <c:v>第三季</c:v>
                  </c:pt>
                  <c:pt idx="10">
                    <c:v>第四季</c:v>
                  </c:pt>
                </c:lvl>
                <c:lvl>
                  <c:pt idx="0">
                    <c:v>2016年</c:v>
                  </c:pt>
                  <c:pt idx="3">
                    <c:v>2017年</c:v>
                  </c:pt>
                  <c:pt idx="7">
                    <c:v>2018年</c:v>
                  </c:pt>
                </c:lvl>
              </c:multiLvlStrCache>
            </c:multiLvlStrRef>
          </c:cat>
          <c:val>
            <c:numRef>
              <c:f>透视分析!$D$5:$D$19</c:f>
              <c:numCache>
                <c:formatCode>#,##0.00_ </c:formatCode>
                <c:ptCount val="11"/>
                <c:pt idx="0">
                  <c:v>27942.3</c:v>
                </c:pt>
                <c:pt idx="1">
                  <c:v>603338.70000000007</c:v>
                </c:pt>
                <c:pt idx="2">
                  <c:v>843698.74</c:v>
                </c:pt>
                <c:pt idx="3">
                  <c:v>2194540.5000000005</c:v>
                </c:pt>
                <c:pt idx="4">
                  <c:v>1780370.93</c:v>
                </c:pt>
                <c:pt idx="5">
                  <c:v>4160894.5000000005</c:v>
                </c:pt>
                <c:pt idx="6">
                  <c:v>3545885.81</c:v>
                </c:pt>
                <c:pt idx="7">
                  <c:v>2496072.5899999994</c:v>
                </c:pt>
                <c:pt idx="8">
                  <c:v>1077269.5099999998</c:v>
                </c:pt>
                <c:pt idx="9">
                  <c:v>1261917.17</c:v>
                </c:pt>
                <c:pt idx="10">
                  <c:v>2977451.1799999997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2-49D8-A73F-2039CD0B6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003760"/>
        <c:axId val="520004088"/>
      </c:barChart>
      <c:lineChart>
        <c:grouping val="standard"/>
        <c:varyColors val="0"/>
        <c:ser>
          <c:idx val="0"/>
          <c:order val="0"/>
          <c:tx>
            <c:strRef>
              <c:f>透视分析!$C$3:$C$4</c:f>
              <c:strCache>
                <c:ptCount val="1"/>
                <c:pt idx="0">
                  <c:v>收入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透视分析!$A$5:$B$19</c:f>
              <c:multiLvlStrCache>
                <c:ptCount val="11"/>
                <c:lvl>
                  <c:pt idx="0">
                    <c:v>第二季</c:v>
                  </c:pt>
                  <c:pt idx="1">
                    <c:v>第三季</c:v>
                  </c:pt>
                  <c:pt idx="2">
                    <c:v>第四季</c:v>
                  </c:pt>
                  <c:pt idx="3">
                    <c:v>第一季</c:v>
                  </c:pt>
                  <c:pt idx="4">
                    <c:v>第二季</c:v>
                  </c:pt>
                  <c:pt idx="5">
                    <c:v>第三季</c:v>
                  </c:pt>
                  <c:pt idx="6">
                    <c:v>第四季</c:v>
                  </c:pt>
                  <c:pt idx="7">
                    <c:v>第一季</c:v>
                  </c:pt>
                  <c:pt idx="8">
                    <c:v>第二季</c:v>
                  </c:pt>
                  <c:pt idx="9">
                    <c:v>第三季</c:v>
                  </c:pt>
                  <c:pt idx="10">
                    <c:v>第四季</c:v>
                  </c:pt>
                </c:lvl>
                <c:lvl>
                  <c:pt idx="0">
                    <c:v>2016年</c:v>
                  </c:pt>
                  <c:pt idx="3">
                    <c:v>2017年</c:v>
                  </c:pt>
                  <c:pt idx="7">
                    <c:v>2018年</c:v>
                  </c:pt>
                </c:lvl>
              </c:multiLvlStrCache>
            </c:multiLvlStrRef>
          </c:cat>
          <c:val>
            <c:numRef>
              <c:f>透视分析!$C$5:$C$19</c:f>
              <c:numCache>
                <c:formatCode>#,##0.00_ </c:formatCode>
                <c:ptCount val="11"/>
                <c:pt idx="0">
                  <c:v>3801888.53</c:v>
                </c:pt>
                <c:pt idx="1">
                  <c:v>590223.33000000007</c:v>
                </c:pt>
                <c:pt idx="2">
                  <c:v>1773384.4500000002</c:v>
                </c:pt>
                <c:pt idx="3">
                  <c:v>822299.03999999992</c:v>
                </c:pt>
                <c:pt idx="4">
                  <c:v>1391970.25</c:v>
                </c:pt>
                <c:pt idx="5">
                  <c:v>4915785.8899999997</c:v>
                </c:pt>
                <c:pt idx="6">
                  <c:v>1865362.1199999999</c:v>
                </c:pt>
                <c:pt idx="7">
                  <c:v>1502794.54</c:v>
                </c:pt>
                <c:pt idx="8">
                  <c:v>854854.9</c:v>
                </c:pt>
                <c:pt idx="9">
                  <c:v>12300353.129999999</c:v>
                </c:pt>
                <c:pt idx="10">
                  <c:v>7542.02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2-49D8-A73F-2039CD0B6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622384"/>
        <c:axId val="523626976"/>
      </c:lineChart>
      <c:catAx>
        <c:axId val="52000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004088"/>
        <c:crosses val="autoZero"/>
        <c:auto val="1"/>
        <c:lblAlgn val="ctr"/>
        <c:lblOffset val="100"/>
        <c:noMultiLvlLbl val="0"/>
      </c:catAx>
      <c:valAx>
        <c:axId val="52000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003760"/>
        <c:crosses val="autoZero"/>
        <c:crossBetween val="between"/>
      </c:valAx>
      <c:valAx>
        <c:axId val="523626976"/>
        <c:scaling>
          <c:orientation val="minMax"/>
        </c:scaling>
        <c:delete val="0"/>
        <c:axPos val="r"/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3622384"/>
        <c:crosses val="max"/>
        <c:crossBetween val="between"/>
      </c:valAx>
      <c:catAx>
        <c:axId val="523622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3626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20</xdr:row>
      <xdr:rowOff>76200</xdr:rowOff>
    </xdr:from>
    <xdr:to>
      <xdr:col>10</xdr:col>
      <xdr:colOff>400050</xdr:colOff>
      <xdr:row>45</xdr:row>
      <xdr:rowOff>28575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4214.611061226853" createdVersion="6" refreshedVersion="6" minRefreshableVersion="3" recordCount="3260">
  <cacheSource type="consolidation">
    <consolidation autoPage="0">
      <pages count="1">
        <page count="3">
          <pageItem name="2016年"/>
          <pageItem name="2017年"/>
          <pageItem name="2018年"/>
        </page>
      </pages>
      <rangeSets count="3">
        <rangeSet i1="0" ref="A3:F92" sheet="2016年"/>
        <rangeSet i1="1" ref="A3:F350" sheet="2017年"/>
        <rangeSet i1="2" ref="A3:F219" sheet="2018年"/>
      </rangeSets>
    </consolidation>
  </cacheSource>
  <cacheFields count="5">
    <cacheField name="行" numFmtId="0">
      <sharedItems containsNonDate="0" containsDate="1" containsString="0" containsBlank="1" minDate="2016-04-21T00:00:00" maxDate="2018-12-28T00:00:00" count="307">
        <m/>
        <d v="2016-04-21T00:00:00"/>
        <d v="2016-04-22T00:00:00"/>
        <d v="2016-04-25T00:00:00"/>
        <d v="2016-04-26T00:00:00"/>
        <d v="2016-05-06T00:00:00"/>
        <d v="2016-06-02T00:00:00"/>
        <d v="2016-06-20T00:00:00"/>
        <d v="2016-06-21T00:00:00"/>
        <d v="2016-07-06T00:00:00"/>
        <d v="2016-07-08T00:00:00"/>
        <d v="2016-08-05T00:00:00"/>
        <d v="2016-08-06T00:00:00"/>
        <d v="2016-08-17T00:00:00"/>
        <d v="2016-08-19T00:00:00"/>
        <d v="2016-08-20T00:00:00"/>
        <d v="2016-08-24T00:00:00"/>
        <d v="2016-09-01T00:00:00"/>
        <d v="2016-09-02T00:00:00"/>
        <d v="2016-09-09T00:00:00"/>
        <d v="2016-09-10T00:00:00"/>
        <d v="2016-09-14T00:00:00"/>
        <d v="2016-09-21T00:00:00"/>
        <d v="2016-09-22T00:00:00"/>
        <d v="2016-10-10T00:00:00"/>
        <d v="2016-10-12T00:00:00"/>
        <d v="2016-10-17T00:00:00"/>
        <d v="2016-10-24T00:00:00"/>
        <d v="2016-10-28T00:00:00"/>
        <d v="2016-11-02T00:00:00"/>
        <d v="2016-11-03T00:00:00"/>
        <d v="2016-11-04T00:00:00"/>
        <d v="2016-11-07T00:00:00"/>
        <d v="2016-11-08T00:00:00"/>
        <d v="2016-11-10T00:00:00"/>
        <d v="2016-11-28T00:00:00"/>
        <d v="2016-11-29T00:00:00"/>
        <d v="2016-11-30T00:00:00"/>
        <d v="2016-12-01T00:00:00"/>
        <d v="2016-12-06T00:00:00"/>
        <d v="2016-12-07T00:00:00"/>
        <d v="2016-12-08T00:00:00"/>
        <d v="2016-12-09T00:00:00"/>
        <d v="2016-12-19T00:00:00"/>
        <d v="2016-12-21T00:00:00"/>
        <d v="2016-12-22T00:00:00"/>
        <d v="2016-12-28T00:00:00"/>
        <d v="2016-12-29T00:00:00"/>
        <d v="2016-12-30T00:00:00"/>
        <d v="2016-10-25T00:00:00"/>
        <d v="2016-10-31T00:00:00"/>
        <d v="2016-11-15T00:00:00"/>
        <d v="2016-12-04T00:00:00"/>
        <d v="2016-12-15T00:00:00"/>
        <d v="2016-12-27T00:00:00"/>
        <d v="2016-12-31T00:00:00"/>
        <d v="2017-01-06T00:00:00"/>
        <d v="2017-01-09T00:00:00"/>
        <d v="2017-01-10T00:00:00"/>
        <d v="2017-01-12T00:00:00"/>
        <d v="2017-01-13T00:00:00"/>
        <d v="2017-01-20T00:00:00"/>
        <d v="2017-02-06T00:00:00"/>
        <d v="2017-02-07T00:00:00"/>
        <d v="2017-02-14T00:00:00"/>
        <d v="2017-02-24T00:00:00"/>
        <d v="2017-02-25T00:00:00"/>
        <d v="2017-03-02T00:00:00"/>
        <d v="2017-03-06T00:00:00"/>
        <d v="2017-03-07T00:00:00"/>
        <d v="2017-03-09T00:00:00"/>
        <d v="2017-03-13T00:00:00"/>
        <d v="2017-03-15T00:00:00"/>
        <d v="2017-03-16T00:00:00"/>
        <d v="2017-03-17T00:00:00"/>
        <d v="2017-03-18T00:00:00"/>
        <d v="2017-03-21T00:00:00"/>
        <d v="2017-03-24T00:00:00"/>
        <d v="2017-03-27T00:00:00"/>
        <d v="2017-04-01T00:00:00"/>
        <d v="2017-04-06T00:00:00"/>
        <d v="2017-04-07T00:00:00"/>
        <d v="2017-04-24T00:00:00"/>
        <d v="2017-04-25T00:00:00"/>
        <d v="2017-04-27T00:00:00"/>
        <d v="2017-04-28T00:00:00"/>
        <d v="2017-05-08T00:00:00"/>
        <d v="2017-05-09T00:00:00"/>
        <d v="2017-05-12T00:00:00"/>
        <d v="2017-05-15T00:00:00"/>
        <d v="2017-05-22T00:00:00"/>
        <d v="2017-05-23T00:00:00"/>
        <d v="2017-05-24T00:00:00"/>
        <d v="2017-05-25T00:00:00"/>
        <d v="2017-05-28T00:00:00"/>
        <d v="2017-06-03T00:00:00"/>
        <d v="2017-06-06T00:00:00"/>
        <d v="2017-06-09T00:00:00"/>
        <d v="2017-06-12T00:00:00"/>
        <d v="2017-06-20T00:00:00"/>
        <d v="2017-06-21T00:00:00"/>
        <d v="2017-06-26T00:00:00"/>
        <d v="2017-06-28T00:00:00"/>
        <d v="2017-07-04T00:00:00"/>
        <d v="2017-07-06T00:00:00"/>
        <d v="2017-07-10T00:00:00"/>
        <d v="2017-07-12T00:00:00"/>
        <d v="2017-07-14T00:00:00"/>
        <d v="2017-07-17T00:00:00"/>
        <d v="2017-07-18T00:00:00"/>
        <d v="2017-07-19T00:00:00"/>
        <d v="2017-07-20T00:00:00"/>
        <d v="2017-07-24T00:00:00"/>
        <d v="2017-07-25T00:00:00"/>
        <d v="2017-07-28T00:00:00"/>
        <d v="2017-07-29T00:00:00"/>
        <d v="2017-08-02T00:00:00"/>
        <d v="2017-08-07T00:00:00"/>
        <d v="2017-08-09T00:00:00"/>
        <d v="2017-08-10T00:00:00"/>
        <d v="2017-08-11T00:00:00"/>
        <d v="2017-08-14T00:00:00"/>
        <d v="2017-08-16T00:00:00"/>
        <d v="2017-08-18T00:00:00"/>
        <d v="2017-08-19T00:00:00"/>
        <d v="2017-08-22T00:00:00"/>
        <d v="2017-08-23T00:00:00"/>
        <d v="2017-08-24T00:00:00"/>
        <d v="2017-08-25T00:00:00"/>
        <d v="2017-08-26T00:00:00"/>
        <d v="2017-08-28T00:00:00"/>
        <d v="2017-08-29T00:00:00"/>
        <d v="2017-08-30T00:00:00"/>
        <d v="2017-08-31T00:00:00"/>
        <d v="2017-09-01T00:00:00"/>
        <d v="2017-09-02T00:00:00"/>
        <d v="2017-09-04T00:00:00"/>
        <d v="2017-09-05T00:00:00"/>
        <d v="2017-09-06T00:00:00"/>
        <d v="2017-09-07T00:00:00"/>
        <d v="2017-09-08T00:00:00"/>
        <d v="2017-09-12T00:00:00"/>
        <d v="2017-09-21T00:00:00"/>
        <d v="2017-09-22T00:00:00"/>
        <d v="2017-09-25T00:00:00"/>
        <d v="2017-10-11T00:00:00"/>
        <d v="2017-10-12T00:00:00"/>
        <d v="2017-10-13T00:00:00"/>
        <d v="2017-10-17T00:00:00"/>
        <d v="2017-10-18T00:00:00"/>
        <d v="2017-10-25T00:00:00"/>
        <d v="2017-10-26T00:00:00"/>
        <d v="2017-10-27T00:00:00"/>
        <d v="2017-11-02T00:00:00"/>
        <d v="2017-11-03T00:00:00"/>
        <d v="2017-11-14T00:00:00"/>
        <d v="2017-11-17T00:00:00"/>
        <d v="2017-11-24T00:00:00"/>
        <d v="2017-11-25T00:00:00"/>
        <d v="2017-11-28T00:00:00"/>
        <d v="2017-12-01T00:00:00"/>
        <d v="2017-12-02T00:00:00"/>
        <d v="2017-12-12T00:00:00"/>
        <d v="2017-12-15T00:00:00"/>
        <d v="2017-12-18T00:00:00"/>
        <d v="2017-12-19T00:00:00"/>
        <d v="2017-12-21T00:00:00"/>
        <d v="2017-12-22T00:00:00"/>
        <d v="2017-12-25T00:00:00"/>
        <d v="2017-12-28T00:00:00"/>
        <d v="2017-01-04T00:00:00"/>
        <d v="2017-01-16T00:00:00"/>
        <d v="2017-02-04T00:00:00"/>
        <d v="2017-02-15T00:00:00"/>
        <d v="2017-03-04T00:00:00"/>
        <d v="2017-03-05T00:00:00"/>
        <d v="2017-04-04T00:00:00"/>
        <d v="2017-04-05T00:00:00"/>
        <d v="2017-04-17T00:00:00"/>
        <d v="2017-05-04T00:00:00"/>
        <d v="2017-05-05T00:00:00"/>
        <d v="2017-05-27T00:00:00"/>
        <d v="2017-06-04T00:00:00"/>
        <d v="2017-06-05T00:00:00"/>
        <d v="2017-06-15T00:00:00"/>
        <d v="2017-07-05T00:00:00"/>
        <d v="2017-07-26T00:00:00"/>
        <d v="2017-08-04T00:00:00"/>
        <d v="2017-08-05T00:00:00"/>
        <d v="2017-08-15T00:00:00"/>
        <d v="2017-09-15T00:00:00"/>
        <d v="2017-10-04T00:00:00"/>
        <d v="2017-10-10T00:00:00"/>
        <d v="2017-10-16T00:00:00"/>
        <d v="2017-11-04T00:00:00"/>
        <d v="2017-11-05T00:00:00"/>
        <d v="2017-11-15T00:00:00"/>
        <d v="2017-12-04T00:00:00"/>
        <d v="2017-12-06T00:00:00"/>
        <d v="2017-12-31T00:00:00"/>
        <d v="2018-01-08T00:00:00"/>
        <d v="2018-01-09T00:00:00"/>
        <d v="2018-01-10T00:00:00"/>
        <d v="2018-01-11T00:00:00"/>
        <d v="2018-01-12T00:00:00"/>
        <d v="2018-01-25T00:00:00"/>
        <d v="2018-01-29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26T00:00:00"/>
        <d v="2018-03-08T00:00:00"/>
        <d v="2018-03-09T00:00:00"/>
        <d v="2018-03-21T00:00:00"/>
        <d v="2018-03-22T00:00:00"/>
        <d v="2018-03-26T00:00:00"/>
        <d v="2018-03-28T00:00:00"/>
        <d v="2018-03-29T00:00:00"/>
        <d v="2018-04-03T00:00:00"/>
        <d v="2018-04-10T00:00:00"/>
        <d v="2018-04-16T00:00:00"/>
        <d v="2018-04-17T00:00:00"/>
        <d v="2018-04-25T00:00:00"/>
        <d v="2018-04-26T00:00:00"/>
        <d v="2018-04-27T00:00:00"/>
        <d v="2018-05-10T00:00:00"/>
        <d v="2018-05-25T00:00:00"/>
        <d v="2018-05-30T00:00:00"/>
        <d v="2018-05-31T00:00:00"/>
        <d v="2018-06-11T00:00:00"/>
        <d v="2018-06-17T00:00:00"/>
        <d v="2018-06-19T00:00:00"/>
        <d v="2018-06-20T00:00:00"/>
        <d v="2018-06-21T00:00:00"/>
        <d v="2018-06-25T00:00:00"/>
        <d v="2018-06-26T00:00:00"/>
        <d v="2018-06-27T00:00:00"/>
        <d v="2018-07-03T00:00:00"/>
        <d v="2018-07-10T00:00:00"/>
        <d v="2018-07-25T00:00:00"/>
        <d v="2018-08-01T00:00:00"/>
        <d v="2018-08-06T00:00:00"/>
        <d v="2018-08-14T00:00:00"/>
        <d v="2018-08-15T00:00:00"/>
        <d v="2018-08-24T00:00:00"/>
        <d v="2018-09-03T00:00:00"/>
        <d v="2018-09-17T00:00:00"/>
        <d v="2018-09-21T00:00:00"/>
        <d v="2018-09-25T00:00:00"/>
        <d v="2018-09-26T00:00:00"/>
        <d v="2018-09-28T00:00:00"/>
        <d v="2018-09-29T00:00:00"/>
        <d v="2018-10-08T00:00:00"/>
        <d v="2018-10-09T00:00:00"/>
        <d v="2018-10-10T00:00:00"/>
        <d v="2018-10-11T00:00:00"/>
        <d v="2018-10-15T00:00:00"/>
        <d v="2018-10-22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26T00:00:00"/>
        <d v="2018-12-04T00:00:00"/>
        <d v="2018-12-06T00:00:00"/>
        <d v="2018-12-11T00:00:00"/>
        <d v="2018-12-18T00:00:00"/>
        <d v="2018-12-21T00:00:00"/>
        <d v="2018-12-25T00:00:00"/>
        <d v="2018-12-27T00:00:00"/>
        <d v="2018-01-04T00:00:00"/>
        <d v="2018-01-06T00:00:00"/>
        <d v="2018-01-15T00:00:00"/>
        <d v="2018-02-04T00:00:00"/>
        <d v="2018-02-22T00:00:00"/>
        <d v="2018-03-04T00:00:00"/>
        <d v="2018-03-05T00:00:00"/>
        <d v="2018-03-15T00:00:00"/>
        <d v="2018-04-04T00:00:00"/>
        <d v="2018-04-05T00:00:00"/>
        <d v="2018-05-04T00:00:00"/>
        <d v="2018-05-05T00:00:00"/>
        <d v="2018-05-15T00:00:00"/>
        <d v="2018-06-04T00:00:00"/>
        <d v="2018-06-05T00:00:00"/>
        <d v="2018-06-15T00:00:00"/>
        <d v="2018-07-04T00:00:00"/>
        <d v="2018-07-05T00:00:00"/>
        <d v="2018-07-16T00:00:00"/>
        <d v="2018-08-04T00:00:00"/>
        <d v="2018-08-05T00:00:00"/>
        <d v="2018-09-04T00:00:00"/>
        <d v="2018-09-05T00:00:00"/>
        <d v="2018-10-04T00:00:00"/>
        <d v="2018-11-04T00:00:00"/>
        <d v="2018-11-15T00:00:00"/>
        <d v="2018-12-17T00:00:00"/>
      </sharedItems>
      <fieldGroup par="4" base="0">
        <rangePr groupBy="quarters" startDate="2016-04-21T00:00:00" endDate="2018-12-28T00:00:00"/>
        <groupItems count="6">
          <s v="(空白)"/>
          <s v="第一季"/>
          <s v="第二季"/>
          <s v="第三季"/>
          <s v="第四季"/>
          <s v="&gt;2018/12/28"/>
        </groupItems>
      </fieldGroup>
    </cacheField>
    <cacheField name="列" numFmtId="0">
      <sharedItems count="5">
        <s v="支出"/>
        <s v="收入"/>
        <s v="账户余额"/>
        <s v="摘要"/>
        <s v="收支分类"/>
      </sharedItems>
    </cacheField>
    <cacheField name="值" numFmtId="0">
      <sharedItems containsBlank="1" containsMixedTypes="1" containsNumber="1" minValue="0" maxValue="11940810.630000003"/>
    </cacheField>
    <cacheField name="页1" numFmtId="0">
      <sharedItems count="3">
        <s v="2016年"/>
        <s v="2017年"/>
        <s v="2018年"/>
      </sharedItems>
    </cacheField>
    <cacheField name="年" numFmtId="0" databaseField="0">
      <fieldGroup base="0">
        <rangePr groupBy="years" startDate="2016-04-21T00:00:00" endDate="2018-12-28T00:00:00"/>
        <groupItems count="5">
          <s v="&lt;2016/4/21"/>
          <s v="2016年"/>
          <s v="2017年"/>
          <s v="2018年"/>
          <s v="&gt;2018/12/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60">
  <r>
    <x v="0"/>
    <x v="0"/>
    <m/>
    <x v="0"/>
  </r>
  <r>
    <x v="0"/>
    <x v="1"/>
    <m/>
    <x v="0"/>
  </r>
  <r>
    <x v="0"/>
    <x v="2"/>
    <n v="0"/>
    <x v="0"/>
  </r>
  <r>
    <x v="0"/>
    <x v="3"/>
    <s v="上年结转余额"/>
    <x v="0"/>
  </r>
  <r>
    <x v="0"/>
    <x v="4"/>
    <s v="上年余额"/>
    <x v="0"/>
  </r>
  <r>
    <x v="1"/>
    <x v="0"/>
    <m/>
    <x v="0"/>
  </r>
  <r>
    <x v="1"/>
    <x v="1"/>
    <n v="2000000"/>
    <x v="0"/>
  </r>
  <r>
    <x v="1"/>
    <x v="2"/>
    <n v="2000000"/>
    <x v="0"/>
  </r>
  <r>
    <x v="1"/>
    <x v="3"/>
    <s v="投资款"/>
    <x v="0"/>
  </r>
  <r>
    <x v="1"/>
    <x v="4"/>
    <s v="实收资本"/>
    <x v="0"/>
  </r>
  <r>
    <x v="2"/>
    <x v="0"/>
    <m/>
    <x v="0"/>
  </r>
  <r>
    <x v="2"/>
    <x v="1"/>
    <n v="1000000"/>
    <x v="0"/>
  </r>
  <r>
    <x v="2"/>
    <x v="2"/>
    <n v="3000000"/>
    <x v="0"/>
  </r>
  <r>
    <x v="2"/>
    <x v="3"/>
    <s v="投资款"/>
    <x v="0"/>
  </r>
  <r>
    <x v="2"/>
    <x v="4"/>
    <s v="实收资本"/>
    <x v="0"/>
  </r>
  <r>
    <x v="3"/>
    <x v="0"/>
    <n v="80"/>
    <x v="0"/>
  </r>
  <r>
    <x v="3"/>
    <x v="1"/>
    <m/>
    <x v="0"/>
  </r>
  <r>
    <x v="3"/>
    <x v="2"/>
    <n v="2999920"/>
    <x v="0"/>
  </r>
  <r>
    <x v="3"/>
    <x v="3"/>
    <s v="手续费"/>
    <x v="0"/>
  </r>
  <r>
    <x v="3"/>
    <x v="4"/>
    <s v="费用"/>
    <x v="0"/>
  </r>
  <r>
    <x v="4"/>
    <x v="0"/>
    <m/>
    <x v="0"/>
  </r>
  <r>
    <x v="4"/>
    <x v="1"/>
    <n v="800000"/>
    <x v="0"/>
  </r>
  <r>
    <x v="4"/>
    <x v="2"/>
    <n v="3799920"/>
    <x v="0"/>
  </r>
  <r>
    <x v="4"/>
    <x v="3"/>
    <s v="入资款"/>
    <x v="0"/>
  </r>
  <r>
    <x v="4"/>
    <x v="4"/>
    <s v="实收资本"/>
    <x v="0"/>
  </r>
  <r>
    <x v="5"/>
    <x v="0"/>
    <n v="2000"/>
    <x v="0"/>
  </r>
  <r>
    <x v="5"/>
    <x v="1"/>
    <m/>
    <x v="0"/>
  </r>
  <r>
    <x v="5"/>
    <x v="2"/>
    <n v="3797920"/>
    <x v="0"/>
  </r>
  <r>
    <x v="5"/>
    <x v="3"/>
    <s v="工资"/>
    <x v="0"/>
  </r>
  <r>
    <x v="5"/>
    <x v="4"/>
    <s v="工资及奖金"/>
    <x v="0"/>
  </r>
  <r>
    <x v="6"/>
    <x v="0"/>
    <n v="970"/>
    <x v="0"/>
  </r>
  <r>
    <x v="6"/>
    <x v="1"/>
    <m/>
    <x v="0"/>
  </r>
  <r>
    <x v="6"/>
    <x v="2"/>
    <n v="3796950"/>
    <x v="0"/>
  </r>
  <r>
    <x v="6"/>
    <x v="3"/>
    <s v="税控系统费用"/>
    <x v="0"/>
  </r>
  <r>
    <x v="6"/>
    <x v="4"/>
    <s v="费用"/>
    <x v="0"/>
  </r>
  <r>
    <x v="6"/>
    <x v="0"/>
    <n v="42.3"/>
    <x v="0"/>
  </r>
  <r>
    <x v="6"/>
    <x v="1"/>
    <m/>
    <x v="0"/>
  </r>
  <r>
    <x v="6"/>
    <x v="2"/>
    <n v="3796907.7"/>
    <x v="0"/>
  </r>
  <r>
    <x v="6"/>
    <x v="3"/>
    <s v="交通费"/>
    <x v="0"/>
  </r>
  <r>
    <x v="6"/>
    <x v="4"/>
    <s v="费用"/>
    <x v="0"/>
  </r>
  <r>
    <x v="6"/>
    <x v="0"/>
    <n v="2000"/>
    <x v="0"/>
  </r>
  <r>
    <x v="6"/>
    <x v="1"/>
    <m/>
    <x v="0"/>
  </r>
  <r>
    <x v="6"/>
    <x v="2"/>
    <n v="3794907.7"/>
    <x v="0"/>
  </r>
  <r>
    <x v="6"/>
    <x v="3"/>
    <s v="工资"/>
    <x v="0"/>
  </r>
  <r>
    <x v="6"/>
    <x v="4"/>
    <s v="工资及奖金"/>
    <x v="0"/>
  </r>
  <r>
    <x v="7"/>
    <x v="0"/>
    <n v="22850"/>
    <x v="0"/>
  </r>
  <r>
    <x v="7"/>
    <x v="1"/>
    <m/>
    <x v="0"/>
  </r>
  <r>
    <x v="7"/>
    <x v="2"/>
    <n v="3772057.7"/>
    <x v="0"/>
  </r>
  <r>
    <x v="7"/>
    <x v="3"/>
    <s v="上地西里5-8月房租"/>
    <x v="0"/>
  </r>
  <r>
    <x v="7"/>
    <x v="4"/>
    <s v="费用"/>
    <x v="0"/>
  </r>
  <r>
    <x v="8"/>
    <x v="0"/>
    <m/>
    <x v="0"/>
  </r>
  <r>
    <x v="8"/>
    <x v="1"/>
    <n v="1888.53"/>
    <x v="0"/>
  </r>
  <r>
    <x v="8"/>
    <x v="2"/>
    <n v="3773946.23"/>
    <x v="0"/>
  </r>
  <r>
    <x v="8"/>
    <x v="3"/>
    <s v="利息收入"/>
    <x v="0"/>
  </r>
  <r>
    <x v="8"/>
    <x v="4"/>
    <s v="其他收入"/>
    <x v="0"/>
  </r>
  <r>
    <x v="9"/>
    <x v="0"/>
    <n v="91.4"/>
    <x v="0"/>
  </r>
  <r>
    <x v="9"/>
    <x v="1"/>
    <m/>
    <x v="0"/>
  </r>
  <r>
    <x v="9"/>
    <x v="2"/>
    <n v="3773854.83"/>
    <x v="0"/>
  </r>
  <r>
    <x v="9"/>
    <x v="3"/>
    <s v="税金"/>
    <x v="0"/>
  </r>
  <r>
    <x v="9"/>
    <x v="4"/>
    <s v="其他税费"/>
    <x v="0"/>
  </r>
  <r>
    <x v="10"/>
    <x v="0"/>
    <n v="2000"/>
    <x v="0"/>
  </r>
  <r>
    <x v="10"/>
    <x v="1"/>
    <m/>
    <x v="0"/>
  </r>
  <r>
    <x v="10"/>
    <x v="2"/>
    <n v="3771854.83"/>
    <x v="0"/>
  </r>
  <r>
    <x v="10"/>
    <x v="3"/>
    <s v="工资"/>
    <x v="0"/>
  </r>
  <r>
    <x v="10"/>
    <x v="4"/>
    <s v="工资及奖金"/>
    <x v="0"/>
  </r>
  <r>
    <x v="10"/>
    <x v="0"/>
    <n v="1589"/>
    <x v="0"/>
  </r>
  <r>
    <x v="10"/>
    <x v="1"/>
    <m/>
    <x v="0"/>
  </r>
  <r>
    <x v="10"/>
    <x v="2"/>
    <n v="3770265.83"/>
    <x v="0"/>
  </r>
  <r>
    <x v="10"/>
    <x v="3"/>
    <s v="发票打印机"/>
    <x v="0"/>
  </r>
  <r>
    <x v="10"/>
    <x v="4"/>
    <s v="费用"/>
    <x v="0"/>
  </r>
  <r>
    <x v="10"/>
    <x v="0"/>
    <n v="50"/>
    <x v="0"/>
  </r>
  <r>
    <x v="10"/>
    <x v="1"/>
    <m/>
    <x v="0"/>
  </r>
  <r>
    <x v="10"/>
    <x v="2"/>
    <n v="3770215.83"/>
    <x v="0"/>
  </r>
  <r>
    <x v="10"/>
    <x v="3"/>
    <s v="交通费"/>
    <x v="0"/>
  </r>
  <r>
    <x v="10"/>
    <x v="4"/>
    <s v="费用"/>
    <x v="0"/>
  </r>
  <r>
    <x v="11"/>
    <x v="0"/>
    <n v="100000"/>
    <x v="0"/>
  </r>
  <r>
    <x v="11"/>
    <x v="1"/>
    <m/>
    <x v="0"/>
  </r>
  <r>
    <x v="11"/>
    <x v="2"/>
    <n v="3670215.83"/>
    <x v="0"/>
  </r>
  <r>
    <x v="11"/>
    <x v="3"/>
    <s v="房屋租赁保证金(押金)"/>
    <x v="0"/>
  </r>
  <r>
    <x v="11"/>
    <x v="4"/>
    <s v="往来"/>
    <x v="0"/>
  </r>
  <r>
    <x v="12"/>
    <x v="0"/>
    <n v="7"/>
    <x v="0"/>
  </r>
  <r>
    <x v="12"/>
    <x v="1"/>
    <m/>
    <x v="0"/>
  </r>
  <r>
    <x v="12"/>
    <x v="2"/>
    <n v="3670208.83"/>
    <x v="0"/>
  </r>
  <r>
    <x v="12"/>
    <x v="3"/>
    <s v="手续费"/>
    <x v="0"/>
  </r>
  <r>
    <x v="12"/>
    <x v="4"/>
    <s v="费用"/>
    <x v="0"/>
  </r>
  <r>
    <x v="13"/>
    <x v="0"/>
    <n v="16825"/>
    <x v="0"/>
  </r>
  <r>
    <x v="13"/>
    <x v="1"/>
    <m/>
    <x v="0"/>
  </r>
  <r>
    <x v="13"/>
    <x v="2"/>
    <n v="3653383.83"/>
    <x v="0"/>
  </r>
  <r>
    <x v="13"/>
    <x v="3"/>
    <s v="支付农户收购土豆款"/>
    <x v="0"/>
  </r>
  <r>
    <x v="13"/>
    <x v="4"/>
    <s v="采购成本"/>
    <x v="0"/>
  </r>
  <r>
    <x v="14"/>
    <x v="0"/>
    <n v="2000"/>
    <x v="0"/>
  </r>
  <r>
    <x v="14"/>
    <x v="1"/>
    <m/>
    <x v="0"/>
  </r>
  <r>
    <x v="14"/>
    <x v="2"/>
    <n v="3651383.83"/>
    <x v="0"/>
  </r>
  <r>
    <x v="14"/>
    <x v="3"/>
    <s v="工资"/>
    <x v="0"/>
  </r>
  <r>
    <x v="14"/>
    <x v="4"/>
    <s v="工资及奖金"/>
    <x v="0"/>
  </r>
  <r>
    <x v="14"/>
    <x v="0"/>
    <n v="59"/>
    <x v="0"/>
  </r>
  <r>
    <x v="14"/>
    <x v="1"/>
    <m/>
    <x v="0"/>
  </r>
  <r>
    <x v="14"/>
    <x v="2"/>
    <n v="3651324.83"/>
    <x v="0"/>
  </r>
  <r>
    <x v="14"/>
    <x v="3"/>
    <s v="办公费"/>
    <x v="0"/>
  </r>
  <r>
    <x v="14"/>
    <x v="4"/>
    <s v="费用"/>
    <x v="0"/>
  </r>
  <r>
    <x v="14"/>
    <x v="0"/>
    <n v="40"/>
    <x v="0"/>
  </r>
  <r>
    <x v="14"/>
    <x v="1"/>
    <m/>
    <x v="0"/>
  </r>
  <r>
    <x v="14"/>
    <x v="2"/>
    <n v="3651284.83"/>
    <x v="0"/>
  </r>
  <r>
    <x v="14"/>
    <x v="3"/>
    <s v="交通费"/>
    <x v="0"/>
  </r>
  <r>
    <x v="14"/>
    <x v="4"/>
    <s v="费用"/>
    <x v="0"/>
  </r>
  <r>
    <x v="15"/>
    <x v="0"/>
    <n v="46200"/>
    <x v="0"/>
  </r>
  <r>
    <x v="15"/>
    <x v="1"/>
    <m/>
    <x v="0"/>
  </r>
  <r>
    <x v="15"/>
    <x v="2"/>
    <n v="3605084.83"/>
    <x v="0"/>
  </r>
  <r>
    <x v="15"/>
    <x v="3"/>
    <s v="支付采购大米货款"/>
    <x v="0"/>
  </r>
  <r>
    <x v="15"/>
    <x v="4"/>
    <s v="采购成本"/>
    <x v="0"/>
  </r>
  <r>
    <x v="16"/>
    <x v="0"/>
    <n v="5000"/>
    <x v="0"/>
  </r>
  <r>
    <x v="16"/>
    <x v="1"/>
    <m/>
    <x v="0"/>
  </r>
  <r>
    <x v="16"/>
    <x v="2"/>
    <n v="3600084.83"/>
    <x v="0"/>
  </r>
  <r>
    <x v="16"/>
    <x v="3"/>
    <s v="采购土豆尾款"/>
    <x v="0"/>
  </r>
  <r>
    <x v="16"/>
    <x v="4"/>
    <s v="采购成本"/>
    <x v="0"/>
  </r>
  <r>
    <x v="17"/>
    <x v="0"/>
    <m/>
    <x v="0"/>
  </r>
  <r>
    <x v="17"/>
    <x v="1"/>
    <n v="21815"/>
    <x v="0"/>
  </r>
  <r>
    <x v="17"/>
    <x v="2"/>
    <n v="3621899.83"/>
    <x v="0"/>
  </r>
  <r>
    <x v="17"/>
    <x v="3"/>
    <s v="土豆款"/>
    <x v="0"/>
  </r>
  <r>
    <x v="17"/>
    <x v="4"/>
    <s v="销售收入"/>
    <x v="0"/>
  </r>
  <r>
    <x v="18"/>
    <x v="0"/>
    <m/>
    <x v="0"/>
  </r>
  <r>
    <x v="18"/>
    <x v="1"/>
    <n v="10"/>
    <x v="0"/>
  </r>
  <r>
    <x v="18"/>
    <x v="2"/>
    <n v="3621909.83"/>
    <x v="0"/>
  </r>
  <r>
    <x v="18"/>
    <x v="3"/>
    <s v="8月16日土豆款"/>
    <x v="0"/>
  </r>
  <r>
    <x v="18"/>
    <x v="4"/>
    <s v="销售收入"/>
    <x v="0"/>
  </r>
  <r>
    <x v="19"/>
    <x v="0"/>
    <n v="427050"/>
    <x v="0"/>
  </r>
  <r>
    <x v="19"/>
    <x v="1"/>
    <m/>
    <x v="0"/>
  </r>
  <r>
    <x v="19"/>
    <x v="2"/>
    <n v="3194859.83"/>
    <x v="0"/>
  </r>
  <r>
    <x v="19"/>
    <x v="3"/>
    <s v="房租"/>
    <x v="0"/>
  </r>
  <r>
    <x v="19"/>
    <x v="4"/>
    <s v="费用"/>
    <x v="0"/>
  </r>
  <r>
    <x v="20"/>
    <x v="0"/>
    <n v="10.5"/>
    <x v="0"/>
  </r>
  <r>
    <x v="20"/>
    <x v="1"/>
    <m/>
    <x v="0"/>
  </r>
  <r>
    <x v="20"/>
    <x v="2"/>
    <n v="3194849.33"/>
    <x v="0"/>
  </r>
  <r>
    <x v="20"/>
    <x v="3"/>
    <s v="手续费"/>
    <x v="0"/>
  </r>
  <r>
    <x v="20"/>
    <x v="4"/>
    <s v="费用"/>
    <x v="0"/>
  </r>
  <r>
    <x v="21"/>
    <x v="0"/>
    <m/>
    <x v="0"/>
  </r>
  <r>
    <x v="21"/>
    <x v="1"/>
    <n v="565571.52"/>
    <x v="0"/>
  </r>
  <r>
    <x v="21"/>
    <x v="2"/>
    <n v="3760420.85"/>
    <x v="0"/>
  </r>
  <r>
    <x v="21"/>
    <x v="3"/>
    <s v="货款"/>
    <x v="0"/>
  </r>
  <r>
    <x v="21"/>
    <x v="4"/>
    <s v="销售收入"/>
    <x v="0"/>
  </r>
  <r>
    <x v="22"/>
    <x v="0"/>
    <m/>
    <x v="0"/>
  </r>
  <r>
    <x v="22"/>
    <x v="1"/>
    <n v="2826.81"/>
    <x v="0"/>
  </r>
  <r>
    <x v="22"/>
    <x v="2"/>
    <n v="3763247.66"/>
    <x v="0"/>
  </r>
  <r>
    <x v="22"/>
    <x v="3"/>
    <s v="利息收入"/>
    <x v="0"/>
  </r>
  <r>
    <x v="22"/>
    <x v="4"/>
    <s v="其他收入"/>
    <x v="0"/>
  </r>
  <r>
    <x v="23"/>
    <x v="0"/>
    <n v="2000"/>
    <x v="0"/>
  </r>
  <r>
    <x v="23"/>
    <x v="1"/>
    <m/>
    <x v="0"/>
  </r>
  <r>
    <x v="23"/>
    <x v="2"/>
    <n v="3761247.66"/>
    <x v="0"/>
  </r>
  <r>
    <x v="23"/>
    <x v="3"/>
    <s v="工资"/>
    <x v="0"/>
  </r>
  <r>
    <x v="23"/>
    <x v="4"/>
    <s v="工资及奖金"/>
    <x v="0"/>
  </r>
  <r>
    <x v="23"/>
    <x v="0"/>
    <n v="307.8"/>
    <x v="0"/>
  </r>
  <r>
    <x v="23"/>
    <x v="1"/>
    <m/>
    <x v="0"/>
  </r>
  <r>
    <x v="23"/>
    <x v="2"/>
    <n v="3760939.8600000003"/>
    <x v="0"/>
  </r>
  <r>
    <x v="23"/>
    <x v="3"/>
    <s v="上地西里办公室水费"/>
    <x v="0"/>
  </r>
  <r>
    <x v="23"/>
    <x v="4"/>
    <s v="费用"/>
    <x v="0"/>
  </r>
  <r>
    <x v="23"/>
    <x v="0"/>
    <n v="109"/>
    <x v="0"/>
  </r>
  <r>
    <x v="23"/>
    <x v="1"/>
    <m/>
    <x v="0"/>
  </r>
  <r>
    <x v="23"/>
    <x v="2"/>
    <n v="3760830.8600000003"/>
    <x v="0"/>
  </r>
  <r>
    <x v="23"/>
    <x v="3"/>
    <s v="交通费及快递费"/>
    <x v="0"/>
  </r>
  <r>
    <x v="23"/>
    <x v="4"/>
    <s v="费用"/>
    <x v="0"/>
  </r>
  <r>
    <x v="24"/>
    <x v="0"/>
    <m/>
    <x v="0"/>
  </r>
  <r>
    <x v="24"/>
    <x v="1"/>
    <n v="189055.39"/>
    <x v="0"/>
  </r>
  <r>
    <x v="24"/>
    <x v="2"/>
    <n v="3949886.2500000005"/>
    <x v="0"/>
  </r>
  <r>
    <x v="24"/>
    <x v="3"/>
    <s v="货款"/>
    <x v="0"/>
  </r>
  <r>
    <x v="24"/>
    <x v="4"/>
    <s v="销售收入"/>
    <x v="0"/>
  </r>
  <r>
    <x v="24"/>
    <x v="0"/>
    <m/>
    <x v="0"/>
  </r>
  <r>
    <x v="24"/>
    <x v="1"/>
    <n v="0.2"/>
    <x v="0"/>
  </r>
  <r>
    <x v="24"/>
    <x v="2"/>
    <n v="3949886.4500000007"/>
    <x v="0"/>
  </r>
  <r>
    <x v="24"/>
    <x v="3"/>
    <m/>
    <x v="0"/>
  </r>
  <r>
    <x v="24"/>
    <x v="4"/>
    <s v="其他收入"/>
    <x v="0"/>
  </r>
  <r>
    <x v="25"/>
    <x v="0"/>
    <n v="2706.5"/>
    <x v="0"/>
  </r>
  <r>
    <x v="25"/>
    <x v="1"/>
    <m/>
    <x v="0"/>
  </r>
  <r>
    <x v="25"/>
    <x v="2"/>
    <n v="3947179.9500000007"/>
    <x v="0"/>
  </r>
  <r>
    <x v="25"/>
    <x v="3"/>
    <s v="税金"/>
    <x v="0"/>
  </r>
  <r>
    <x v="25"/>
    <x v="4"/>
    <s v="个人所得税"/>
    <x v="0"/>
  </r>
  <r>
    <x v="26"/>
    <x v="0"/>
    <n v="20000"/>
    <x v="0"/>
  </r>
  <r>
    <x v="26"/>
    <x v="1"/>
    <m/>
    <x v="0"/>
  </r>
  <r>
    <x v="26"/>
    <x v="2"/>
    <n v="3927179.9500000007"/>
    <x v="0"/>
  </r>
  <r>
    <x v="26"/>
    <x v="3"/>
    <s v="往来款"/>
    <x v="0"/>
  </r>
  <r>
    <x v="26"/>
    <x v="4"/>
    <s v="往来"/>
    <x v="0"/>
  </r>
  <r>
    <x v="27"/>
    <x v="0"/>
    <n v="203.7"/>
    <x v="0"/>
  </r>
  <r>
    <x v="27"/>
    <x v="1"/>
    <m/>
    <x v="0"/>
  </r>
  <r>
    <x v="27"/>
    <x v="2"/>
    <n v="3926976.2500000005"/>
    <x v="0"/>
  </r>
  <r>
    <x v="27"/>
    <x v="3"/>
    <s v="购买办公用品"/>
    <x v="0"/>
  </r>
  <r>
    <x v="27"/>
    <x v="4"/>
    <s v="费用"/>
    <x v="0"/>
  </r>
  <r>
    <x v="27"/>
    <x v="0"/>
    <n v="23"/>
    <x v="0"/>
  </r>
  <r>
    <x v="27"/>
    <x v="1"/>
    <m/>
    <x v="0"/>
  </r>
  <r>
    <x v="27"/>
    <x v="2"/>
    <n v="3926953.2500000005"/>
    <x v="0"/>
  </r>
  <r>
    <x v="27"/>
    <x v="3"/>
    <s v="交通费"/>
    <x v="0"/>
  </r>
  <r>
    <x v="27"/>
    <x v="4"/>
    <s v="费用"/>
    <x v="0"/>
  </r>
  <r>
    <x v="27"/>
    <x v="0"/>
    <n v="2400"/>
    <x v="0"/>
  </r>
  <r>
    <x v="27"/>
    <x v="1"/>
    <m/>
    <x v="0"/>
  </r>
  <r>
    <x v="27"/>
    <x v="2"/>
    <n v="3924553.2500000005"/>
    <x v="0"/>
  </r>
  <r>
    <x v="27"/>
    <x v="3"/>
    <s v="首次现金支付员工住房公积金"/>
    <x v="0"/>
  </r>
  <r>
    <x v="27"/>
    <x v="4"/>
    <s v="住房公积金"/>
    <x v="0"/>
  </r>
  <r>
    <x v="28"/>
    <x v="0"/>
    <n v="4770"/>
    <x v="0"/>
  </r>
  <r>
    <x v="28"/>
    <x v="1"/>
    <m/>
    <x v="0"/>
  </r>
  <r>
    <x v="28"/>
    <x v="2"/>
    <n v="3919783.2500000005"/>
    <x v="0"/>
  </r>
  <r>
    <x v="28"/>
    <x v="3"/>
    <s v="无线网服务费"/>
    <x v="0"/>
  </r>
  <r>
    <x v="28"/>
    <x v="4"/>
    <s v="费用"/>
    <x v="0"/>
  </r>
  <r>
    <x v="29"/>
    <x v="0"/>
    <m/>
    <x v="0"/>
  </r>
  <r>
    <x v="29"/>
    <x v="1"/>
    <n v="800000"/>
    <x v="0"/>
  </r>
  <r>
    <x v="29"/>
    <x v="2"/>
    <n v="4719783.25"/>
    <x v="0"/>
  </r>
  <r>
    <x v="29"/>
    <x v="3"/>
    <s v="股份"/>
    <x v="0"/>
  </r>
  <r>
    <x v="29"/>
    <x v="4"/>
    <s v="往来"/>
    <x v="0"/>
  </r>
  <r>
    <x v="30"/>
    <x v="0"/>
    <n v="1722"/>
    <x v="0"/>
  </r>
  <r>
    <x v="30"/>
    <x v="1"/>
    <m/>
    <x v="0"/>
  </r>
  <r>
    <x v="30"/>
    <x v="2"/>
    <n v="4718061.25"/>
    <x v="0"/>
  </r>
  <r>
    <x v="30"/>
    <x v="3"/>
    <s v="医保费"/>
    <x v="0"/>
  </r>
  <r>
    <x v="30"/>
    <x v="4"/>
    <s v="社保"/>
    <x v="0"/>
  </r>
  <r>
    <x v="31"/>
    <x v="0"/>
    <n v="4147"/>
    <x v="0"/>
  </r>
  <r>
    <x v="31"/>
    <x v="1"/>
    <m/>
    <x v="0"/>
  </r>
  <r>
    <x v="31"/>
    <x v="2"/>
    <n v="4713914.25"/>
    <x v="0"/>
  </r>
  <r>
    <x v="31"/>
    <x v="3"/>
    <s v="社会保险费"/>
    <x v="0"/>
  </r>
  <r>
    <x v="31"/>
    <x v="4"/>
    <s v="社保"/>
    <x v="0"/>
  </r>
  <r>
    <x v="32"/>
    <x v="0"/>
    <n v="9683"/>
    <x v="0"/>
  </r>
  <r>
    <x v="32"/>
    <x v="1"/>
    <m/>
    <x v="0"/>
  </r>
  <r>
    <x v="32"/>
    <x v="2"/>
    <n v="4704231.25"/>
    <x v="0"/>
  </r>
  <r>
    <x v="32"/>
    <x v="3"/>
    <s v="工资"/>
    <x v="0"/>
  </r>
  <r>
    <x v="32"/>
    <x v="4"/>
    <s v="工资及奖金"/>
    <x v="0"/>
  </r>
  <r>
    <x v="32"/>
    <x v="0"/>
    <n v="6786.5"/>
    <x v="0"/>
  </r>
  <r>
    <x v="32"/>
    <x v="1"/>
    <m/>
    <x v="0"/>
  </r>
  <r>
    <x v="32"/>
    <x v="2"/>
    <n v="4697444.75"/>
    <x v="0"/>
  </r>
  <r>
    <x v="32"/>
    <x v="3"/>
    <s v="工资"/>
    <x v="0"/>
  </r>
  <r>
    <x v="32"/>
    <x v="4"/>
    <s v="工资及奖金"/>
    <x v="0"/>
  </r>
  <r>
    <x v="33"/>
    <x v="0"/>
    <n v="7082.13"/>
    <x v="0"/>
  </r>
  <r>
    <x v="33"/>
    <x v="1"/>
    <m/>
    <x v="0"/>
  </r>
  <r>
    <x v="33"/>
    <x v="2"/>
    <n v="4690362.62"/>
    <x v="0"/>
  </r>
  <r>
    <x v="33"/>
    <x v="3"/>
    <s v="税金"/>
    <x v="0"/>
  </r>
  <r>
    <x v="33"/>
    <x v="4"/>
    <s v="个人所得税"/>
    <x v="0"/>
  </r>
  <r>
    <x v="34"/>
    <x v="0"/>
    <n v="9961.4"/>
    <x v="0"/>
  </r>
  <r>
    <x v="34"/>
    <x v="1"/>
    <m/>
    <x v="0"/>
  </r>
  <r>
    <x v="34"/>
    <x v="2"/>
    <n v="4680401.22"/>
    <x v="0"/>
  </r>
  <r>
    <x v="34"/>
    <x v="3"/>
    <s v="工资"/>
    <x v="0"/>
  </r>
  <r>
    <x v="34"/>
    <x v="4"/>
    <s v="工资及奖金"/>
    <x v="0"/>
  </r>
  <r>
    <x v="35"/>
    <x v="0"/>
    <m/>
    <x v="0"/>
  </r>
  <r>
    <x v="35"/>
    <x v="1"/>
    <n v="20000"/>
    <x v="0"/>
  </r>
  <r>
    <x v="35"/>
    <x v="2"/>
    <n v="4700401.22"/>
    <x v="0"/>
  </r>
  <r>
    <x v="35"/>
    <x v="3"/>
    <s v="还款"/>
    <x v="0"/>
  </r>
  <r>
    <x v="35"/>
    <x v="4"/>
    <s v="往来"/>
    <x v="0"/>
  </r>
  <r>
    <x v="36"/>
    <x v="0"/>
    <n v="497290.29"/>
    <x v="0"/>
  </r>
  <r>
    <x v="36"/>
    <x v="1"/>
    <m/>
    <x v="0"/>
  </r>
  <r>
    <x v="36"/>
    <x v="2"/>
    <n v="4203110.93"/>
    <x v="0"/>
  </r>
  <r>
    <x v="36"/>
    <x v="3"/>
    <s v="支付货款"/>
    <x v="0"/>
  </r>
  <r>
    <x v="36"/>
    <x v="4"/>
    <s v="采购成本"/>
    <x v="0"/>
  </r>
  <r>
    <x v="36"/>
    <x v="0"/>
    <n v="6400"/>
    <x v="0"/>
  </r>
  <r>
    <x v="36"/>
    <x v="1"/>
    <m/>
    <x v="0"/>
  </r>
  <r>
    <x v="36"/>
    <x v="2"/>
    <n v="4196710.93"/>
    <x v="0"/>
  </r>
  <r>
    <x v="36"/>
    <x v="3"/>
    <s v="采购ERP软件款"/>
    <x v="0"/>
  </r>
  <r>
    <x v="36"/>
    <x v="4"/>
    <s v="费用"/>
    <x v="0"/>
  </r>
  <r>
    <x v="36"/>
    <x v="0"/>
    <n v="7700"/>
    <x v="0"/>
  </r>
  <r>
    <x v="36"/>
    <x v="1"/>
    <m/>
    <x v="0"/>
  </r>
  <r>
    <x v="36"/>
    <x v="2"/>
    <n v="4189010.9299999997"/>
    <x v="0"/>
  </r>
  <r>
    <x v="36"/>
    <x v="3"/>
    <s v="预付ERP实施服务费"/>
    <x v="0"/>
  </r>
  <r>
    <x v="36"/>
    <x v="4"/>
    <s v="费用"/>
    <x v="0"/>
  </r>
  <r>
    <x v="37"/>
    <x v="0"/>
    <n v="17.5"/>
    <x v="0"/>
  </r>
  <r>
    <x v="37"/>
    <x v="1"/>
    <m/>
    <x v="0"/>
  </r>
  <r>
    <x v="37"/>
    <x v="2"/>
    <n v="4188993.4299999997"/>
    <x v="0"/>
  </r>
  <r>
    <x v="37"/>
    <x v="3"/>
    <s v="手续费"/>
    <x v="0"/>
  </r>
  <r>
    <x v="37"/>
    <x v="4"/>
    <s v="费用"/>
    <x v="0"/>
  </r>
  <r>
    <x v="37"/>
    <x v="0"/>
    <n v="68803.23"/>
    <x v="0"/>
  </r>
  <r>
    <x v="37"/>
    <x v="1"/>
    <m/>
    <x v="0"/>
  </r>
  <r>
    <x v="37"/>
    <x v="2"/>
    <n v="4120190.1999999997"/>
    <x v="0"/>
  </r>
  <r>
    <x v="37"/>
    <x v="3"/>
    <s v="支付货款"/>
    <x v="0"/>
  </r>
  <r>
    <x v="37"/>
    <x v="4"/>
    <s v="采购成本"/>
    <x v="0"/>
  </r>
  <r>
    <x v="38"/>
    <x v="0"/>
    <n v="7"/>
    <x v="0"/>
  </r>
  <r>
    <x v="38"/>
    <x v="1"/>
    <m/>
    <x v="0"/>
  </r>
  <r>
    <x v="38"/>
    <x v="2"/>
    <n v="4120183.1999999997"/>
    <x v="0"/>
  </r>
  <r>
    <x v="38"/>
    <x v="3"/>
    <s v="手续费"/>
    <x v="0"/>
  </r>
  <r>
    <x v="38"/>
    <x v="4"/>
    <s v="费用"/>
    <x v="0"/>
  </r>
  <r>
    <x v="39"/>
    <x v="0"/>
    <n v="7073.24"/>
    <x v="0"/>
  </r>
  <r>
    <x v="39"/>
    <x v="1"/>
    <m/>
    <x v="0"/>
  </r>
  <r>
    <x v="39"/>
    <x v="2"/>
    <n v="4113109.9599999995"/>
    <x v="0"/>
  </r>
  <r>
    <x v="39"/>
    <x v="3"/>
    <s v="工资"/>
    <x v="0"/>
  </r>
  <r>
    <x v="39"/>
    <x v="4"/>
    <s v="工资及奖金"/>
    <x v="0"/>
  </r>
  <r>
    <x v="39"/>
    <x v="0"/>
    <n v="9335"/>
    <x v="0"/>
  </r>
  <r>
    <x v="39"/>
    <x v="1"/>
    <m/>
    <x v="0"/>
  </r>
  <r>
    <x v="39"/>
    <x v="2"/>
    <n v="4103774.9599999995"/>
    <x v="0"/>
  </r>
  <r>
    <x v="39"/>
    <x v="3"/>
    <s v="工资"/>
    <x v="0"/>
  </r>
  <r>
    <x v="39"/>
    <x v="4"/>
    <s v="工资及奖金"/>
    <x v="0"/>
  </r>
  <r>
    <x v="39"/>
    <x v="0"/>
    <n v="4536.93"/>
    <x v="0"/>
  </r>
  <r>
    <x v="39"/>
    <x v="1"/>
    <m/>
    <x v="0"/>
  </r>
  <r>
    <x v="39"/>
    <x v="2"/>
    <n v="4099238.0299999993"/>
    <x v="0"/>
  </r>
  <r>
    <x v="39"/>
    <x v="3"/>
    <s v="工资"/>
    <x v="0"/>
  </r>
  <r>
    <x v="39"/>
    <x v="4"/>
    <s v="工资及奖金"/>
    <x v="0"/>
  </r>
  <r>
    <x v="39"/>
    <x v="0"/>
    <n v="11926.54"/>
    <x v="0"/>
  </r>
  <r>
    <x v="39"/>
    <x v="1"/>
    <m/>
    <x v="0"/>
  </r>
  <r>
    <x v="39"/>
    <x v="2"/>
    <n v="4087311.4899999993"/>
    <x v="0"/>
  </r>
  <r>
    <x v="39"/>
    <x v="3"/>
    <s v="工资"/>
    <x v="0"/>
  </r>
  <r>
    <x v="39"/>
    <x v="4"/>
    <s v="工资及奖金"/>
    <x v="0"/>
  </r>
  <r>
    <x v="39"/>
    <x v="0"/>
    <n v="6246.95"/>
    <x v="0"/>
  </r>
  <r>
    <x v="39"/>
    <x v="1"/>
    <m/>
    <x v="0"/>
  </r>
  <r>
    <x v="39"/>
    <x v="2"/>
    <n v="4081064.5399999991"/>
    <x v="0"/>
  </r>
  <r>
    <x v="39"/>
    <x v="3"/>
    <s v="工资"/>
    <x v="0"/>
  </r>
  <r>
    <x v="39"/>
    <x v="4"/>
    <s v="工资及奖金"/>
    <x v="0"/>
  </r>
  <r>
    <x v="39"/>
    <x v="0"/>
    <n v="4263.1400000000003"/>
    <x v="0"/>
  </r>
  <r>
    <x v="39"/>
    <x v="1"/>
    <m/>
    <x v="0"/>
  </r>
  <r>
    <x v="39"/>
    <x v="2"/>
    <n v="4076801.399999999"/>
    <x v="0"/>
  </r>
  <r>
    <x v="39"/>
    <x v="3"/>
    <s v="工资"/>
    <x v="0"/>
  </r>
  <r>
    <x v="39"/>
    <x v="4"/>
    <s v="工资及奖金"/>
    <x v="0"/>
  </r>
  <r>
    <x v="39"/>
    <x v="0"/>
    <n v="4829.71"/>
    <x v="0"/>
  </r>
  <r>
    <x v="39"/>
    <x v="1"/>
    <m/>
    <x v="0"/>
  </r>
  <r>
    <x v="39"/>
    <x v="2"/>
    <n v="4071971.689999999"/>
    <x v="0"/>
  </r>
  <r>
    <x v="39"/>
    <x v="3"/>
    <s v="工资"/>
    <x v="0"/>
  </r>
  <r>
    <x v="39"/>
    <x v="4"/>
    <s v="工资及奖金"/>
    <x v="0"/>
  </r>
  <r>
    <x v="39"/>
    <x v="0"/>
    <n v="3483"/>
    <x v="0"/>
  </r>
  <r>
    <x v="39"/>
    <x v="1"/>
    <m/>
    <x v="0"/>
  </r>
  <r>
    <x v="39"/>
    <x v="2"/>
    <n v="4068488.689999999"/>
    <x v="0"/>
  </r>
  <r>
    <x v="39"/>
    <x v="3"/>
    <s v="医保费"/>
    <x v="0"/>
  </r>
  <r>
    <x v="39"/>
    <x v="4"/>
    <s v="社保"/>
    <x v="0"/>
  </r>
  <r>
    <x v="40"/>
    <x v="0"/>
    <n v="8381"/>
    <x v="0"/>
  </r>
  <r>
    <x v="40"/>
    <x v="1"/>
    <m/>
    <x v="0"/>
  </r>
  <r>
    <x v="40"/>
    <x v="2"/>
    <n v="4060107.689999999"/>
    <x v="0"/>
  </r>
  <r>
    <x v="40"/>
    <x v="3"/>
    <s v="社会保险费"/>
    <x v="0"/>
  </r>
  <r>
    <x v="40"/>
    <x v="4"/>
    <s v="社保"/>
    <x v="0"/>
  </r>
  <r>
    <x v="41"/>
    <x v="0"/>
    <n v="14138.7"/>
    <x v="0"/>
  </r>
  <r>
    <x v="41"/>
    <x v="1"/>
    <m/>
    <x v="0"/>
  </r>
  <r>
    <x v="41"/>
    <x v="2"/>
    <n v="4045968.9899999988"/>
    <x v="0"/>
  </r>
  <r>
    <x v="41"/>
    <x v="3"/>
    <s v="各项费用报销"/>
    <x v="0"/>
  </r>
  <r>
    <x v="41"/>
    <x v="4"/>
    <s v="费用"/>
    <x v="0"/>
  </r>
  <r>
    <x v="41"/>
    <x v="0"/>
    <n v="7528.5"/>
    <x v="0"/>
  </r>
  <r>
    <x v="41"/>
    <x v="1"/>
    <m/>
    <x v="0"/>
  </r>
  <r>
    <x v="41"/>
    <x v="2"/>
    <n v="4038440.4899999988"/>
    <x v="0"/>
  </r>
  <r>
    <x v="41"/>
    <x v="3"/>
    <s v="报销差旅费"/>
    <x v="0"/>
  </r>
  <r>
    <x v="41"/>
    <x v="4"/>
    <s v="费用"/>
    <x v="0"/>
  </r>
  <r>
    <x v="41"/>
    <x v="0"/>
    <n v="20264"/>
    <x v="0"/>
  </r>
  <r>
    <x v="41"/>
    <x v="1"/>
    <m/>
    <x v="0"/>
  </r>
  <r>
    <x v="41"/>
    <x v="2"/>
    <n v="4018176.4899999988"/>
    <x v="0"/>
  </r>
  <r>
    <x v="41"/>
    <x v="3"/>
    <s v="10/11月工资"/>
    <x v="0"/>
  </r>
  <r>
    <x v="41"/>
    <x v="4"/>
    <s v="工资及奖金"/>
    <x v="0"/>
  </r>
  <r>
    <x v="41"/>
    <x v="0"/>
    <n v="16037.75"/>
    <x v="0"/>
  </r>
  <r>
    <x v="41"/>
    <x v="1"/>
    <m/>
    <x v="0"/>
  </r>
  <r>
    <x v="41"/>
    <x v="2"/>
    <n v="4002138.7399999988"/>
    <x v="0"/>
  </r>
  <r>
    <x v="41"/>
    <x v="3"/>
    <s v="10/11月工资"/>
    <x v="0"/>
  </r>
  <r>
    <x v="41"/>
    <x v="4"/>
    <s v="工资及奖金"/>
    <x v="0"/>
  </r>
  <r>
    <x v="42"/>
    <x v="0"/>
    <n v="24712"/>
    <x v="0"/>
  </r>
  <r>
    <x v="42"/>
    <x v="1"/>
    <m/>
    <x v="0"/>
  </r>
  <r>
    <x v="42"/>
    <x v="2"/>
    <n v="3977426.7399999988"/>
    <x v="0"/>
  </r>
  <r>
    <x v="42"/>
    <x v="3"/>
    <s v="各项费用报销"/>
    <x v="0"/>
  </r>
  <r>
    <x v="42"/>
    <x v="4"/>
    <s v="费用"/>
    <x v="0"/>
  </r>
  <r>
    <x v="42"/>
    <x v="0"/>
    <n v="25"/>
    <x v="0"/>
  </r>
  <r>
    <x v="42"/>
    <x v="1"/>
    <m/>
    <x v="0"/>
  </r>
  <r>
    <x v="42"/>
    <x v="2"/>
    <n v="3977401.7399999988"/>
    <x v="0"/>
  </r>
  <r>
    <x v="42"/>
    <x v="3"/>
    <s v="税金"/>
    <x v="0"/>
  </r>
  <r>
    <x v="42"/>
    <x v="4"/>
    <s v="其他税费"/>
    <x v="0"/>
  </r>
  <r>
    <x v="42"/>
    <x v="0"/>
    <n v="6494.03"/>
    <x v="0"/>
  </r>
  <r>
    <x v="42"/>
    <x v="1"/>
    <m/>
    <x v="0"/>
  </r>
  <r>
    <x v="42"/>
    <x v="2"/>
    <n v="3970907.709999999"/>
    <x v="0"/>
  </r>
  <r>
    <x v="42"/>
    <x v="3"/>
    <s v="税金"/>
    <x v="0"/>
  </r>
  <r>
    <x v="42"/>
    <x v="4"/>
    <s v="个人所得税"/>
    <x v="0"/>
  </r>
  <r>
    <x v="43"/>
    <x v="0"/>
    <m/>
    <x v="0"/>
  </r>
  <r>
    <x v="43"/>
    <x v="1"/>
    <n v="766"/>
    <x v="0"/>
  </r>
  <r>
    <x v="43"/>
    <x v="2"/>
    <n v="3971673.709999999"/>
    <x v="0"/>
  </r>
  <r>
    <x v="43"/>
    <x v="3"/>
    <s v="房租押金退回"/>
    <x v="0"/>
  </r>
  <r>
    <x v="43"/>
    <x v="4"/>
    <s v="往来"/>
    <x v="0"/>
  </r>
  <r>
    <x v="44"/>
    <x v="0"/>
    <m/>
    <x v="0"/>
  </r>
  <r>
    <x v="44"/>
    <x v="1"/>
    <n v="3095.67"/>
    <x v="0"/>
  </r>
  <r>
    <x v="44"/>
    <x v="2"/>
    <n v="3974769.379999999"/>
    <x v="0"/>
  </r>
  <r>
    <x v="44"/>
    <x v="3"/>
    <s v="利息收入"/>
    <x v="0"/>
  </r>
  <r>
    <x v="44"/>
    <x v="4"/>
    <s v="其他收入"/>
    <x v="0"/>
  </r>
  <r>
    <x v="45"/>
    <x v="0"/>
    <n v="7200"/>
    <x v="0"/>
  </r>
  <r>
    <x v="45"/>
    <x v="1"/>
    <m/>
    <x v="0"/>
  </r>
  <r>
    <x v="45"/>
    <x v="2"/>
    <n v="3967569.379999999"/>
    <x v="0"/>
  </r>
  <r>
    <x v="45"/>
    <x v="3"/>
    <s v="商标代理费"/>
    <x v="0"/>
  </r>
  <r>
    <x v="45"/>
    <x v="4"/>
    <s v="费用"/>
    <x v="0"/>
  </r>
  <r>
    <x v="45"/>
    <x v="0"/>
    <n v="14520"/>
    <x v="0"/>
  </r>
  <r>
    <x v="45"/>
    <x v="1"/>
    <m/>
    <x v="0"/>
  </r>
  <r>
    <x v="45"/>
    <x v="2"/>
    <n v="3953049.379999999"/>
    <x v="0"/>
  </r>
  <r>
    <x v="45"/>
    <x v="3"/>
    <s v="商标代理费"/>
    <x v="0"/>
  </r>
  <r>
    <x v="45"/>
    <x v="4"/>
    <s v="费用"/>
    <x v="0"/>
  </r>
  <r>
    <x v="45"/>
    <x v="0"/>
    <n v="1905"/>
    <x v="0"/>
  </r>
  <r>
    <x v="45"/>
    <x v="1"/>
    <m/>
    <x v="0"/>
  </r>
  <r>
    <x v="45"/>
    <x v="2"/>
    <n v="3951144.379999999"/>
    <x v="0"/>
  </r>
  <r>
    <x v="45"/>
    <x v="3"/>
    <s v="费用报销"/>
    <x v="0"/>
  </r>
  <r>
    <x v="45"/>
    <x v="4"/>
    <s v="费用"/>
    <x v="0"/>
  </r>
  <r>
    <x v="45"/>
    <x v="0"/>
    <n v="1283"/>
    <x v="0"/>
  </r>
  <r>
    <x v="45"/>
    <x v="1"/>
    <m/>
    <x v="0"/>
  </r>
  <r>
    <x v="45"/>
    <x v="2"/>
    <n v="3949861.379999999"/>
    <x v="0"/>
  </r>
  <r>
    <x v="45"/>
    <x v="3"/>
    <s v="费用报销"/>
    <x v="0"/>
  </r>
  <r>
    <x v="45"/>
    <x v="4"/>
    <s v="费用"/>
    <x v="0"/>
  </r>
  <r>
    <x v="46"/>
    <x v="0"/>
    <m/>
    <x v="0"/>
  </r>
  <r>
    <x v="46"/>
    <x v="1"/>
    <n v="479277.21"/>
    <x v="0"/>
  </r>
  <r>
    <x v="46"/>
    <x v="2"/>
    <n v="4429138.5899999989"/>
    <x v="0"/>
  </r>
  <r>
    <x v="46"/>
    <x v="3"/>
    <s v="货款"/>
    <x v="0"/>
  </r>
  <r>
    <x v="46"/>
    <x v="4"/>
    <s v="销售收入"/>
    <x v="0"/>
  </r>
  <r>
    <x v="47"/>
    <x v="0"/>
    <m/>
    <x v="0"/>
  </r>
  <r>
    <x v="47"/>
    <x v="1"/>
    <n v="231125"/>
    <x v="0"/>
  </r>
  <r>
    <x v="47"/>
    <x v="2"/>
    <n v="4660263.5899999989"/>
    <x v="0"/>
  </r>
  <r>
    <x v="47"/>
    <x v="3"/>
    <s v="货款"/>
    <x v="0"/>
  </r>
  <r>
    <x v="47"/>
    <x v="4"/>
    <s v="销售收入"/>
    <x v="0"/>
  </r>
  <r>
    <x v="48"/>
    <x v="0"/>
    <n v="7500"/>
    <x v="0"/>
  </r>
  <r>
    <x v="48"/>
    <x v="1"/>
    <m/>
    <x v="0"/>
  </r>
  <r>
    <x v="48"/>
    <x v="2"/>
    <n v="4652763.5899999989"/>
    <x v="0"/>
  </r>
  <r>
    <x v="48"/>
    <x v="3"/>
    <s v="购买服务器"/>
    <x v="0"/>
  </r>
  <r>
    <x v="48"/>
    <x v="4"/>
    <s v="费用"/>
    <x v="0"/>
  </r>
  <r>
    <x v="49"/>
    <x v="0"/>
    <n v="300"/>
    <x v="0"/>
  </r>
  <r>
    <x v="49"/>
    <x v="1"/>
    <m/>
    <x v="0"/>
  </r>
  <r>
    <x v="49"/>
    <x v="2"/>
    <n v="4652463.5899999989"/>
    <x v="0"/>
  </r>
  <r>
    <x v="49"/>
    <x v="3"/>
    <s v="微信公众号认证服务费报销"/>
    <x v="0"/>
  </r>
  <r>
    <x v="49"/>
    <x v="4"/>
    <s v="费用"/>
    <x v="0"/>
  </r>
  <r>
    <x v="49"/>
    <x v="0"/>
    <n v="900"/>
    <x v="0"/>
  </r>
  <r>
    <x v="49"/>
    <x v="1"/>
    <m/>
    <x v="0"/>
  </r>
  <r>
    <x v="49"/>
    <x v="2"/>
    <n v="4651563.5899999989"/>
    <x v="0"/>
  </r>
  <r>
    <x v="49"/>
    <x v="3"/>
    <s v="搬家费用报销"/>
    <x v="0"/>
  </r>
  <r>
    <x v="49"/>
    <x v="4"/>
    <s v="费用"/>
    <x v="0"/>
  </r>
  <r>
    <x v="50"/>
    <x v="0"/>
    <m/>
    <x v="0"/>
  </r>
  <r>
    <x v="50"/>
    <x v="1"/>
    <n v="50000"/>
    <x v="0"/>
  </r>
  <r>
    <x v="50"/>
    <x v="2"/>
    <n v="4701563.5899999989"/>
    <x v="0"/>
  </r>
  <r>
    <x v="50"/>
    <x v="3"/>
    <s v="2016103110381387"/>
    <x v="0"/>
  </r>
  <r>
    <x v="50"/>
    <x v="4"/>
    <s v="往来"/>
    <x v="0"/>
  </r>
  <r>
    <x v="50"/>
    <x v="0"/>
    <m/>
    <x v="0"/>
  </r>
  <r>
    <x v="50"/>
    <x v="1"/>
    <n v="21.7"/>
    <x v="0"/>
  </r>
  <r>
    <x v="50"/>
    <x v="2"/>
    <n v="4701585.2899999991"/>
    <x v="0"/>
  </r>
  <r>
    <x v="50"/>
    <x v="3"/>
    <s v="2016103130020011"/>
    <x v="0"/>
  </r>
  <r>
    <x v="50"/>
    <x v="4"/>
    <s v="其他收入"/>
    <x v="0"/>
  </r>
  <r>
    <x v="51"/>
    <x v="0"/>
    <n v="2400"/>
    <x v="0"/>
  </r>
  <r>
    <x v="51"/>
    <x v="1"/>
    <m/>
    <x v="0"/>
  </r>
  <r>
    <x v="51"/>
    <x v="2"/>
    <n v="4699185.2899999991"/>
    <x v="0"/>
  </r>
  <r>
    <x v="51"/>
    <x v="3"/>
    <s v="92102：住房公积金"/>
    <x v="0"/>
  </r>
  <r>
    <x v="51"/>
    <x v="4"/>
    <s v="住房公积金"/>
    <x v="0"/>
  </r>
  <r>
    <x v="52"/>
    <x v="0"/>
    <n v="50"/>
    <x v="0"/>
  </r>
  <r>
    <x v="52"/>
    <x v="1"/>
    <m/>
    <x v="0"/>
  </r>
  <r>
    <x v="52"/>
    <x v="2"/>
    <n v="4699135.2899999991"/>
    <x v="0"/>
  </r>
  <r>
    <x v="52"/>
    <x v="3"/>
    <s v="网上银行服务费"/>
    <x v="0"/>
  </r>
  <r>
    <x v="52"/>
    <x v="4"/>
    <s v="费用"/>
    <x v="0"/>
  </r>
  <r>
    <x v="53"/>
    <x v="0"/>
    <n v="8592"/>
    <x v="0"/>
  </r>
  <r>
    <x v="53"/>
    <x v="1"/>
    <m/>
    <x v="0"/>
  </r>
  <r>
    <x v="53"/>
    <x v="2"/>
    <n v="4690543.2899999991"/>
    <x v="0"/>
  </r>
  <r>
    <x v="53"/>
    <x v="3"/>
    <s v="92102：住房公积金"/>
    <x v="0"/>
  </r>
  <r>
    <x v="53"/>
    <x v="4"/>
    <s v="住房公积金"/>
    <x v="0"/>
  </r>
  <r>
    <x v="44"/>
    <x v="0"/>
    <m/>
    <x v="0"/>
  </r>
  <r>
    <x v="44"/>
    <x v="1"/>
    <n v="43.28"/>
    <x v="0"/>
  </r>
  <r>
    <x v="44"/>
    <x v="2"/>
    <n v="4690586.5699999994"/>
    <x v="0"/>
  </r>
  <r>
    <x v="44"/>
    <x v="3"/>
    <s v="活期结算户结息43.28扣税:.00"/>
    <x v="0"/>
  </r>
  <r>
    <x v="44"/>
    <x v="4"/>
    <s v="其他收入"/>
    <x v="0"/>
  </r>
  <r>
    <x v="54"/>
    <x v="0"/>
    <n v="50"/>
    <x v="0"/>
  </r>
  <r>
    <x v="54"/>
    <x v="1"/>
    <m/>
    <x v="0"/>
  </r>
  <r>
    <x v="54"/>
    <x v="2"/>
    <n v="4690536.5699999994"/>
    <x v="0"/>
  </r>
  <r>
    <x v="54"/>
    <x v="3"/>
    <s v="2016.11月账户管理费扣费"/>
    <x v="0"/>
  </r>
  <r>
    <x v="54"/>
    <x v="4"/>
    <s v="费用"/>
    <x v="0"/>
  </r>
  <r>
    <x v="55"/>
    <x v="0"/>
    <n v="20"/>
    <x v="0"/>
  </r>
  <r>
    <x v="55"/>
    <x v="1"/>
    <m/>
    <x v="0"/>
  </r>
  <r>
    <x v="55"/>
    <x v="2"/>
    <n v="4690516.5699999994"/>
    <x v="0"/>
  </r>
  <r>
    <x v="55"/>
    <x v="3"/>
    <s v="手续费"/>
    <x v="0"/>
  </r>
  <r>
    <x v="55"/>
    <x v="4"/>
    <s v="费用"/>
    <x v="0"/>
  </r>
  <r>
    <x v="55"/>
    <x v="0"/>
    <m/>
    <x v="1"/>
  </r>
  <r>
    <x v="55"/>
    <x v="1"/>
    <m/>
    <x v="1"/>
  </r>
  <r>
    <x v="55"/>
    <x v="2"/>
    <n v="4690516.5699999994"/>
    <x v="1"/>
  </r>
  <r>
    <x v="55"/>
    <x v="3"/>
    <s v="上年结转余额"/>
    <x v="1"/>
  </r>
  <r>
    <x v="55"/>
    <x v="4"/>
    <s v="上年余额"/>
    <x v="1"/>
  </r>
  <r>
    <x v="56"/>
    <x v="0"/>
    <n v="9217.0400000000009"/>
    <x v="1"/>
  </r>
  <r>
    <x v="56"/>
    <x v="1"/>
    <m/>
    <x v="1"/>
  </r>
  <r>
    <x v="56"/>
    <x v="2"/>
    <n v="4681299.5299999993"/>
    <x v="1"/>
  </r>
  <r>
    <x v="56"/>
    <x v="3"/>
    <s v="社会保险费"/>
    <x v="1"/>
  </r>
  <r>
    <x v="56"/>
    <x v="4"/>
    <s v="社保"/>
    <x v="1"/>
  </r>
  <r>
    <x v="56"/>
    <x v="0"/>
    <n v="3996.24"/>
    <x v="1"/>
  </r>
  <r>
    <x v="56"/>
    <x v="1"/>
    <m/>
    <x v="1"/>
  </r>
  <r>
    <x v="56"/>
    <x v="2"/>
    <n v="4677303.2899999991"/>
    <x v="1"/>
  </r>
  <r>
    <x v="56"/>
    <x v="3"/>
    <s v="医保费"/>
    <x v="1"/>
  </r>
  <r>
    <x v="56"/>
    <x v="4"/>
    <s v="社保"/>
    <x v="1"/>
  </r>
  <r>
    <x v="57"/>
    <x v="0"/>
    <m/>
    <x v="1"/>
  </r>
  <r>
    <x v="57"/>
    <x v="1"/>
    <n v="0.02"/>
    <x v="1"/>
  </r>
  <r>
    <x v="57"/>
    <x v="2"/>
    <n v="4677303.3099999987"/>
    <x v="1"/>
  </r>
  <r>
    <x v="57"/>
    <x v="3"/>
    <s v="试打款"/>
    <x v="1"/>
  </r>
  <r>
    <x v="57"/>
    <x v="4"/>
    <s v="其他收入"/>
    <x v="1"/>
  </r>
  <r>
    <x v="57"/>
    <x v="0"/>
    <m/>
    <x v="1"/>
  </r>
  <r>
    <x v="57"/>
    <x v="1"/>
    <n v="1349.28"/>
    <x v="1"/>
  </r>
  <r>
    <x v="57"/>
    <x v="2"/>
    <n v="4678652.5899999989"/>
    <x v="1"/>
  </r>
  <r>
    <x v="57"/>
    <x v="3"/>
    <s v="代垫社保还款"/>
    <x v="1"/>
  </r>
  <r>
    <x v="57"/>
    <x v="4"/>
    <s v="其他收入"/>
    <x v="1"/>
  </r>
  <r>
    <x v="57"/>
    <x v="0"/>
    <n v="16037.75"/>
    <x v="1"/>
  </r>
  <r>
    <x v="57"/>
    <x v="1"/>
    <m/>
    <x v="1"/>
  </r>
  <r>
    <x v="57"/>
    <x v="2"/>
    <n v="4662614.8399999989"/>
    <x v="1"/>
  </r>
  <r>
    <x v="57"/>
    <x v="3"/>
    <s v="工资"/>
    <x v="1"/>
  </r>
  <r>
    <x v="57"/>
    <x v="4"/>
    <s v="工资及奖金"/>
    <x v="1"/>
  </r>
  <r>
    <x v="57"/>
    <x v="0"/>
    <n v="6608.84"/>
    <x v="1"/>
  </r>
  <r>
    <x v="57"/>
    <x v="1"/>
    <m/>
    <x v="1"/>
  </r>
  <r>
    <x v="57"/>
    <x v="2"/>
    <n v="4656005.9999999991"/>
    <x v="1"/>
  </r>
  <r>
    <x v="57"/>
    <x v="3"/>
    <s v="工资"/>
    <x v="1"/>
  </r>
  <r>
    <x v="57"/>
    <x v="4"/>
    <s v="工资及奖金"/>
    <x v="1"/>
  </r>
  <r>
    <x v="57"/>
    <x v="0"/>
    <n v="9335"/>
    <x v="1"/>
  </r>
  <r>
    <x v="57"/>
    <x v="1"/>
    <m/>
    <x v="1"/>
  </r>
  <r>
    <x v="57"/>
    <x v="2"/>
    <n v="4646670.9999999991"/>
    <x v="1"/>
  </r>
  <r>
    <x v="57"/>
    <x v="3"/>
    <s v="工资"/>
    <x v="1"/>
  </r>
  <r>
    <x v="57"/>
    <x v="4"/>
    <s v="工资及奖金"/>
    <x v="1"/>
  </r>
  <r>
    <x v="57"/>
    <x v="0"/>
    <n v="4536.93"/>
    <x v="1"/>
  </r>
  <r>
    <x v="57"/>
    <x v="1"/>
    <m/>
    <x v="1"/>
  </r>
  <r>
    <x v="57"/>
    <x v="2"/>
    <n v="4642134.0699999994"/>
    <x v="1"/>
  </r>
  <r>
    <x v="57"/>
    <x v="3"/>
    <s v="工资"/>
    <x v="1"/>
  </r>
  <r>
    <x v="57"/>
    <x v="4"/>
    <s v="工资及奖金"/>
    <x v="1"/>
  </r>
  <r>
    <x v="57"/>
    <x v="0"/>
    <n v="13578.06"/>
    <x v="1"/>
  </r>
  <r>
    <x v="57"/>
    <x v="1"/>
    <m/>
    <x v="1"/>
  </r>
  <r>
    <x v="57"/>
    <x v="2"/>
    <n v="4628556.01"/>
    <x v="1"/>
  </r>
  <r>
    <x v="57"/>
    <x v="3"/>
    <s v="工资"/>
    <x v="1"/>
  </r>
  <r>
    <x v="57"/>
    <x v="4"/>
    <s v="工资及奖金"/>
    <x v="1"/>
  </r>
  <r>
    <x v="57"/>
    <x v="0"/>
    <n v="14167.83"/>
    <x v="1"/>
  </r>
  <r>
    <x v="57"/>
    <x v="1"/>
    <m/>
    <x v="1"/>
  </r>
  <r>
    <x v="57"/>
    <x v="2"/>
    <n v="4614388.18"/>
    <x v="1"/>
  </r>
  <r>
    <x v="57"/>
    <x v="3"/>
    <s v="工资"/>
    <x v="1"/>
  </r>
  <r>
    <x v="57"/>
    <x v="4"/>
    <s v="工资及奖金"/>
    <x v="1"/>
  </r>
  <r>
    <x v="57"/>
    <x v="0"/>
    <n v="4829.71"/>
    <x v="1"/>
  </r>
  <r>
    <x v="57"/>
    <x v="1"/>
    <m/>
    <x v="1"/>
  </r>
  <r>
    <x v="57"/>
    <x v="2"/>
    <n v="4609558.47"/>
    <x v="1"/>
  </r>
  <r>
    <x v="57"/>
    <x v="3"/>
    <s v="工资"/>
    <x v="1"/>
  </r>
  <r>
    <x v="57"/>
    <x v="4"/>
    <s v="工资及奖金"/>
    <x v="1"/>
  </r>
  <r>
    <x v="58"/>
    <x v="0"/>
    <n v="9020.33"/>
    <x v="1"/>
  </r>
  <r>
    <x v="58"/>
    <x v="1"/>
    <m/>
    <x v="1"/>
  </r>
  <r>
    <x v="58"/>
    <x v="2"/>
    <n v="4600538.1399999997"/>
    <x v="1"/>
  </r>
  <r>
    <x v="58"/>
    <x v="3"/>
    <s v="税金"/>
    <x v="1"/>
  </r>
  <r>
    <x v="58"/>
    <x v="4"/>
    <s v="个人所得税"/>
    <x v="1"/>
  </r>
  <r>
    <x v="59"/>
    <x v="0"/>
    <n v="8100"/>
    <x v="1"/>
  </r>
  <r>
    <x v="59"/>
    <x v="1"/>
    <m/>
    <x v="1"/>
  </r>
  <r>
    <x v="59"/>
    <x v="2"/>
    <n v="4592438.1399999997"/>
    <x v="1"/>
  </r>
  <r>
    <x v="59"/>
    <x v="3"/>
    <s v="借支备用金"/>
    <x v="1"/>
  </r>
  <r>
    <x v="59"/>
    <x v="4"/>
    <s v="采购成本"/>
    <x v="1"/>
  </r>
  <r>
    <x v="59"/>
    <x v="0"/>
    <n v="3304.8"/>
    <x v="1"/>
  </r>
  <r>
    <x v="59"/>
    <x v="1"/>
    <m/>
    <x v="1"/>
  </r>
  <r>
    <x v="59"/>
    <x v="2"/>
    <n v="4589133.34"/>
    <x v="1"/>
  </r>
  <r>
    <x v="59"/>
    <x v="3"/>
    <s v="购买云主机"/>
    <x v="1"/>
  </r>
  <r>
    <x v="59"/>
    <x v="4"/>
    <s v="费用"/>
    <x v="1"/>
  </r>
  <r>
    <x v="60"/>
    <x v="0"/>
    <n v="16076"/>
    <x v="1"/>
  </r>
  <r>
    <x v="60"/>
    <x v="1"/>
    <m/>
    <x v="1"/>
  </r>
  <r>
    <x v="60"/>
    <x v="2"/>
    <n v="4573057.34"/>
    <x v="1"/>
  </r>
  <r>
    <x v="60"/>
    <x v="3"/>
    <s v="各项费用报销"/>
    <x v="1"/>
  </r>
  <r>
    <x v="60"/>
    <x v="4"/>
    <s v="费用"/>
    <x v="1"/>
  </r>
  <r>
    <x v="61"/>
    <x v="0"/>
    <n v="188"/>
    <x v="1"/>
  </r>
  <r>
    <x v="61"/>
    <x v="1"/>
    <m/>
    <x v="1"/>
  </r>
  <r>
    <x v="61"/>
    <x v="2"/>
    <n v="4572869.34"/>
    <x v="1"/>
  </r>
  <r>
    <x v="61"/>
    <x v="3"/>
    <s v="费用报销"/>
    <x v="1"/>
  </r>
  <r>
    <x v="61"/>
    <x v="4"/>
    <s v="费用"/>
    <x v="1"/>
  </r>
  <r>
    <x v="61"/>
    <x v="0"/>
    <n v="1367"/>
    <x v="1"/>
  </r>
  <r>
    <x v="61"/>
    <x v="1"/>
    <m/>
    <x v="1"/>
  </r>
  <r>
    <x v="61"/>
    <x v="2"/>
    <n v="4571502.34"/>
    <x v="1"/>
  </r>
  <r>
    <x v="61"/>
    <x v="3"/>
    <s v="费用报销"/>
    <x v="1"/>
  </r>
  <r>
    <x v="61"/>
    <x v="4"/>
    <s v="费用"/>
    <x v="1"/>
  </r>
  <r>
    <x v="61"/>
    <x v="0"/>
    <n v="8527.6"/>
    <x v="1"/>
  </r>
  <r>
    <x v="61"/>
    <x v="1"/>
    <m/>
    <x v="1"/>
  </r>
  <r>
    <x v="61"/>
    <x v="2"/>
    <n v="4562974.74"/>
    <x v="1"/>
  </r>
  <r>
    <x v="61"/>
    <x v="3"/>
    <s v="费用报销"/>
    <x v="1"/>
  </r>
  <r>
    <x v="61"/>
    <x v="4"/>
    <s v="费用"/>
    <x v="1"/>
  </r>
  <r>
    <x v="61"/>
    <x v="0"/>
    <n v="3213"/>
    <x v="1"/>
  </r>
  <r>
    <x v="61"/>
    <x v="1"/>
    <m/>
    <x v="1"/>
  </r>
  <r>
    <x v="61"/>
    <x v="2"/>
    <n v="4559761.74"/>
    <x v="1"/>
  </r>
  <r>
    <x v="61"/>
    <x v="3"/>
    <s v="费用报销"/>
    <x v="1"/>
  </r>
  <r>
    <x v="61"/>
    <x v="4"/>
    <s v="费用"/>
    <x v="1"/>
  </r>
  <r>
    <x v="62"/>
    <x v="0"/>
    <n v="3483"/>
    <x v="1"/>
  </r>
  <r>
    <x v="62"/>
    <x v="1"/>
    <m/>
    <x v="1"/>
  </r>
  <r>
    <x v="62"/>
    <x v="2"/>
    <n v="4556278.74"/>
    <x v="1"/>
  </r>
  <r>
    <x v="62"/>
    <x v="3"/>
    <s v="医保费"/>
    <x v="1"/>
  </r>
  <r>
    <x v="62"/>
    <x v="4"/>
    <s v="社保"/>
    <x v="1"/>
  </r>
  <r>
    <x v="63"/>
    <x v="0"/>
    <n v="8381"/>
    <x v="1"/>
  </r>
  <r>
    <x v="63"/>
    <x v="1"/>
    <m/>
    <x v="1"/>
  </r>
  <r>
    <x v="63"/>
    <x v="2"/>
    <n v="4547897.74"/>
    <x v="1"/>
  </r>
  <r>
    <x v="63"/>
    <x v="3"/>
    <s v="社会保险费"/>
    <x v="1"/>
  </r>
  <r>
    <x v="63"/>
    <x v="4"/>
    <s v="社保"/>
    <x v="1"/>
  </r>
  <r>
    <x v="63"/>
    <x v="0"/>
    <n v="29747.75"/>
    <x v="1"/>
  </r>
  <r>
    <x v="63"/>
    <x v="1"/>
    <m/>
    <x v="1"/>
  </r>
  <r>
    <x v="63"/>
    <x v="2"/>
    <n v="4518149.99"/>
    <x v="1"/>
  </r>
  <r>
    <x v="63"/>
    <x v="3"/>
    <s v="工资奖金"/>
    <x v="1"/>
  </r>
  <r>
    <x v="63"/>
    <x v="4"/>
    <s v="工资及奖金"/>
    <x v="1"/>
  </r>
  <r>
    <x v="63"/>
    <x v="0"/>
    <n v="11694.9"/>
    <x v="1"/>
  </r>
  <r>
    <x v="63"/>
    <x v="1"/>
    <m/>
    <x v="1"/>
  </r>
  <r>
    <x v="63"/>
    <x v="2"/>
    <n v="4506455.09"/>
    <x v="1"/>
  </r>
  <r>
    <x v="63"/>
    <x v="3"/>
    <s v="工资奖金"/>
    <x v="1"/>
  </r>
  <r>
    <x v="63"/>
    <x v="4"/>
    <s v="工资及奖金"/>
    <x v="1"/>
  </r>
  <r>
    <x v="63"/>
    <x v="0"/>
    <n v="14692"/>
    <x v="1"/>
  </r>
  <r>
    <x v="63"/>
    <x v="1"/>
    <m/>
    <x v="1"/>
  </r>
  <r>
    <x v="63"/>
    <x v="2"/>
    <n v="4491763.09"/>
    <x v="1"/>
  </r>
  <r>
    <x v="63"/>
    <x v="3"/>
    <s v="工资奖金"/>
    <x v="1"/>
  </r>
  <r>
    <x v="63"/>
    <x v="4"/>
    <s v="工资及奖金"/>
    <x v="1"/>
  </r>
  <r>
    <x v="63"/>
    <x v="0"/>
    <n v="6234.43"/>
    <x v="1"/>
  </r>
  <r>
    <x v="63"/>
    <x v="1"/>
    <m/>
    <x v="1"/>
  </r>
  <r>
    <x v="63"/>
    <x v="2"/>
    <n v="4485528.66"/>
    <x v="1"/>
  </r>
  <r>
    <x v="63"/>
    <x v="3"/>
    <s v="工资奖金"/>
    <x v="1"/>
  </r>
  <r>
    <x v="63"/>
    <x v="4"/>
    <s v="工资及奖金"/>
    <x v="1"/>
  </r>
  <r>
    <x v="63"/>
    <x v="0"/>
    <n v="22330.43"/>
    <x v="1"/>
  </r>
  <r>
    <x v="63"/>
    <x v="1"/>
    <m/>
    <x v="1"/>
  </r>
  <r>
    <x v="63"/>
    <x v="2"/>
    <n v="4463198.2300000004"/>
    <x v="1"/>
  </r>
  <r>
    <x v="63"/>
    <x v="3"/>
    <s v="工资奖金"/>
    <x v="1"/>
  </r>
  <r>
    <x v="63"/>
    <x v="4"/>
    <s v="工资及奖金"/>
    <x v="1"/>
  </r>
  <r>
    <x v="63"/>
    <x v="0"/>
    <n v="24072.41"/>
    <x v="1"/>
  </r>
  <r>
    <x v="63"/>
    <x v="1"/>
    <m/>
    <x v="1"/>
  </r>
  <r>
    <x v="63"/>
    <x v="2"/>
    <n v="4439125.82"/>
    <x v="1"/>
  </r>
  <r>
    <x v="63"/>
    <x v="3"/>
    <s v="工资奖金"/>
    <x v="1"/>
  </r>
  <r>
    <x v="63"/>
    <x v="4"/>
    <s v="工资及奖金"/>
    <x v="1"/>
  </r>
  <r>
    <x v="63"/>
    <x v="0"/>
    <n v="4685.46"/>
    <x v="1"/>
  </r>
  <r>
    <x v="63"/>
    <x v="1"/>
    <m/>
    <x v="1"/>
  </r>
  <r>
    <x v="63"/>
    <x v="2"/>
    <n v="4434440.3600000003"/>
    <x v="1"/>
  </r>
  <r>
    <x v="63"/>
    <x v="3"/>
    <s v="工资奖金"/>
    <x v="1"/>
  </r>
  <r>
    <x v="63"/>
    <x v="4"/>
    <s v="工资及奖金"/>
    <x v="1"/>
  </r>
  <r>
    <x v="63"/>
    <x v="0"/>
    <n v="60"/>
    <x v="1"/>
  </r>
  <r>
    <x v="63"/>
    <x v="1"/>
    <m/>
    <x v="1"/>
  </r>
  <r>
    <x v="63"/>
    <x v="2"/>
    <n v="4434380.3600000003"/>
    <x v="1"/>
  </r>
  <r>
    <x v="63"/>
    <x v="3"/>
    <s v="补发工资"/>
    <x v="1"/>
  </r>
  <r>
    <x v="63"/>
    <x v="4"/>
    <s v="工资及奖金"/>
    <x v="1"/>
  </r>
  <r>
    <x v="63"/>
    <x v="0"/>
    <n v="5059.3500000000004"/>
    <x v="1"/>
  </r>
  <r>
    <x v="63"/>
    <x v="1"/>
    <m/>
    <x v="1"/>
  </r>
  <r>
    <x v="63"/>
    <x v="2"/>
    <n v="4429321.0100000007"/>
    <x v="1"/>
  </r>
  <r>
    <x v="63"/>
    <x v="3"/>
    <s v="税金"/>
    <x v="1"/>
  </r>
  <r>
    <x v="63"/>
    <x v="4"/>
    <s v="个人所得税"/>
    <x v="1"/>
  </r>
  <r>
    <x v="64"/>
    <x v="0"/>
    <n v="1500"/>
    <x v="1"/>
  </r>
  <r>
    <x v="64"/>
    <x v="1"/>
    <m/>
    <x v="1"/>
  </r>
  <r>
    <x v="64"/>
    <x v="2"/>
    <n v="4427821.0100000007"/>
    <x v="1"/>
  </r>
  <r>
    <x v="64"/>
    <x v="3"/>
    <s v="物流仓储费"/>
    <x v="1"/>
  </r>
  <r>
    <x v="64"/>
    <x v="4"/>
    <s v="采购成本"/>
    <x v="1"/>
  </r>
  <r>
    <x v="65"/>
    <x v="0"/>
    <n v="221365.5"/>
    <x v="1"/>
  </r>
  <r>
    <x v="65"/>
    <x v="1"/>
    <m/>
    <x v="1"/>
  </r>
  <r>
    <x v="65"/>
    <x v="2"/>
    <n v="4206455.5100000007"/>
    <x v="1"/>
  </r>
  <r>
    <x v="65"/>
    <x v="3"/>
    <s v="支付采购大米货款"/>
    <x v="1"/>
  </r>
  <r>
    <x v="65"/>
    <x v="4"/>
    <s v="采购成本"/>
    <x v="1"/>
  </r>
  <r>
    <x v="65"/>
    <x v="0"/>
    <n v="13500"/>
    <x v="1"/>
  </r>
  <r>
    <x v="65"/>
    <x v="1"/>
    <m/>
    <x v="1"/>
  </r>
  <r>
    <x v="65"/>
    <x v="2"/>
    <n v="4192955.5100000007"/>
    <x v="1"/>
  </r>
  <r>
    <x v="65"/>
    <x v="3"/>
    <s v="油鸡货款"/>
    <x v="1"/>
  </r>
  <r>
    <x v="65"/>
    <x v="4"/>
    <s v="采购成本"/>
    <x v="1"/>
  </r>
  <r>
    <x v="66"/>
    <x v="0"/>
    <n v="10.5"/>
    <x v="1"/>
  </r>
  <r>
    <x v="66"/>
    <x v="1"/>
    <m/>
    <x v="1"/>
  </r>
  <r>
    <x v="66"/>
    <x v="2"/>
    <n v="4192945.0100000007"/>
    <x v="1"/>
  </r>
  <r>
    <x v="66"/>
    <x v="3"/>
    <s v="手续费"/>
    <x v="1"/>
  </r>
  <r>
    <x v="66"/>
    <x v="4"/>
    <s v="费用"/>
    <x v="1"/>
  </r>
  <r>
    <x v="67"/>
    <x v="0"/>
    <n v="1291.4000000000001"/>
    <x v="1"/>
  </r>
  <r>
    <x v="67"/>
    <x v="1"/>
    <m/>
    <x v="1"/>
  </r>
  <r>
    <x v="67"/>
    <x v="2"/>
    <n v="4191653.6100000008"/>
    <x v="1"/>
  </r>
  <r>
    <x v="67"/>
    <x v="3"/>
    <s v="费用报销"/>
    <x v="1"/>
  </r>
  <r>
    <x v="67"/>
    <x v="4"/>
    <s v="费用"/>
    <x v="1"/>
  </r>
  <r>
    <x v="67"/>
    <x v="0"/>
    <n v="1852"/>
    <x v="1"/>
  </r>
  <r>
    <x v="67"/>
    <x v="1"/>
    <m/>
    <x v="1"/>
  </r>
  <r>
    <x v="67"/>
    <x v="2"/>
    <n v="4189801.6100000008"/>
    <x v="1"/>
  </r>
  <r>
    <x v="67"/>
    <x v="3"/>
    <s v="费用报销"/>
    <x v="1"/>
  </r>
  <r>
    <x v="67"/>
    <x v="4"/>
    <s v="费用"/>
    <x v="1"/>
  </r>
  <r>
    <x v="67"/>
    <x v="0"/>
    <n v="9142.0499999999993"/>
    <x v="1"/>
  </r>
  <r>
    <x v="67"/>
    <x v="1"/>
    <m/>
    <x v="1"/>
  </r>
  <r>
    <x v="67"/>
    <x v="2"/>
    <n v="4180659.560000001"/>
    <x v="1"/>
  </r>
  <r>
    <x v="67"/>
    <x v="3"/>
    <s v="费用报销"/>
    <x v="1"/>
  </r>
  <r>
    <x v="67"/>
    <x v="4"/>
    <s v="费用"/>
    <x v="1"/>
  </r>
  <r>
    <x v="67"/>
    <x v="0"/>
    <n v="3260"/>
    <x v="1"/>
  </r>
  <r>
    <x v="67"/>
    <x v="1"/>
    <m/>
    <x v="1"/>
  </r>
  <r>
    <x v="67"/>
    <x v="2"/>
    <n v="4177399.560000001"/>
    <x v="1"/>
  </r>
  <r>
    <x v="67"/>
    <x v="3"/>
    <s v="各项费用报销"/>
    <x v="1"/>
  </r>
  <r>
    <x v="67"/>
    <x v="4"/>
    <s v="费用"/>
    <x v="1"/>
  </r>
  <r>
    <x v="68"/>
    <x v="0"/>
    <n v="2100"/>
    <x v="1"/>
  </r>
  <r>
    <x v="68"/>
    <x v="1"/>
    <m/>
    <x v="1"/>
  </r>
  <r>
    <x v="68"/>
    <x v="2"/>
    <n v="4175299.560000001"/>
    <x v="1"/>
  </r>
  <r>
    <x v="68"/>
    <x v="3"/>
    <s v="电费"/>
    <x v="1"/>
  </r>
  <r>
    <x v="68"/>
    <x v="4"/>
    <s v="费用"/>
    <x v="1"/>
  </r>
  <r>
    <x v="69"/>
    <x v="0"/>
    <n v="16037.75"/>
    <x v="1"/>
  </r>
  <r>
    <x v="69"/>
    <x v="1"/>
    <m/>
    <x v="1"/>
  </r>
  <r>
    <x v="69"/>
    <x v="2"/>
    <n v="4159261.810000001"/>
    <x v="1"/>
  </r>
  <r>
    <x v="69"/>
    <x v="3"/>
    <s v="工资"/>
    <x v="1"/>
  </r>
  <r>
    <x v="69"/>
    <x v="4"/>
    <s v="工资及奖金"/>
    <x v="1"/>
  </r>
  <r>
    <x v="69"/>
    <x v="0"/>
    <n v="6608.84"/>
    <x v="1"/>
  </r>
  <r>
    <x v="69"/>
    <x v="1"/>
    <m/>
    <x v="1"/>
  </r>
  <r>
    <x v="69"/>
    <x v="2"/>
    <n v="4152652.9700000011"/>
    <x v="1"/>
  </r>
  <r>
    <x v="69"/>
    <x v="3"/>
    <s v="工资"/>
    <x v="1"/>
  </r>
  <r>
    <x v="69"/>
    <x v="4"/>
    <s v="工资及奖金"/>
    <x v="1"/>
  </r>
  <r>
    <x v="69"/>
    <x v="0"/>
    <n v="9335"/>
    <x v="1"/>
  </r>
  <r>
    <x v="69"/>
    <x v="1"/>
    <m/>
    <x v="1"/>
  </r>
  <r>
    <x v="69"/>
    <x v="2"/>
    <n v="4143317.9700000011"/>
    <x v="1"/>
  </r>
  <r>
    <x v="69"/>
    <x v="3"/>
    <s v="工资"/>
    <x v="1"/>
  </r>
  <r>
    <x v="69"/>
    <x v="4"/>
    <s v="工资及奖金"/>
    <x v="1"/>
  </r>
  <r>
    <x v="69"/>
    <x v="0"/>
    <n v="4536.93"/>
    <x v="1"/>
  </r>
  <r>
    <x v="69"/>
    <x v="1"/>
    <m/>
    <x v="1"/>
  </r>
  <r>
    <x v="69"/>
    <x v="2"/>
    <n v="4138781.040000001"/>
    <x v="1"/>
  </r>
  <r>
    <x v="69"/>
    <x v="3"/>
    <s v="工资"/>
    <x v="1"/>
  </r>
  <r>
    <x v="69"/>
    <x v="4"/>
    <s v="工资及奖金"/>
    <x v="1"/>
  </r>
  <r>
    <x v="69"/>
    <x v="0"/>
    <n v="14169.2"/>
    <x v="1"/>
  </r>
  <r>
    <x v="69"/>
    <x v="1"/>
    <m/>
    <x v="1"/>
  </r>
  <r>
    <x v="69"/>
    <x v="2"/>
    <n v="4124611.8400000008"/>
    <x v="1"/>
  </r>
  <r>
    <x v="69"/>
    <x v="3"/>
    <s v="工资"/>
    <x v="1"/>
  </r>
  <r>
    <x v="69"/>
    <x v="4"/>
    <s v="工资及奖金"/>
    <x v="1"/>
  </r>
  <r>
    <x v="69"/>
    <x v="0"/>
    <n v="18305.759999999998"/>
    <x v="1"/>
  </r>
  <r>
    <x v="69"/>
    <x v="1"/>
    <m/>
    <x v="1"/>
  </r>
  <r>
    <x v="69"/>
    <x v="2"/>
    <n v="4106306.080000001"/>
    <x v="1"/>
  </r>
  <r>
    <x v="69"/>
    <x v="3"/>
    <s v="工资"/>
    <x v="1"/>
  </r>
  <r>
    <x v="69"/>
    <x v="4"/>
    <s v="工资及奖金"/>
    <x v="1"/>
  </r>
  <r>
    <x v="69"/>
    <x v="0"/>
    <n v="2499.86"/>
    <x v="1"/>
  </r>
  <r>
    <x v="69"/>
    <x v="1"/>
    <m/>
    <x v="1"/>
  </r>
  <r>
    <x v="69"/>
    <x v="2"/>
    <n v="4103806.2200000011"/>
    <x v="1"/>
  </r>
  <r>
    <x v="69"/>
    <x v="3"/>
    <s v="工资"/>
    <x v="1"/>
  </r>
  <r>
    <x v="69"/>
    <x v="4"/>
    <s v="工资及奖金"/>
    <x v="1"/>
  </r>
  <r>
    <x v="70"/>
    <x v="0"/>
    <n v="20000"/>
    <x v="1"/>
  </r>
  <r>
    <x v="70"/>
    <x v="1"/>
    <m/>
    <x v="1"/>
  </r>
  <r>
    <x v="70"/>
    <x v="2"/>
    <n v="4083806.2200000011"/>
    <x v="1"/>
  </r>
  <r>
    <x v="70"/>
    <x v="3"/>
    <s v="履约保证金"/>
    <x v="1"/>
  </r>
  <r>
    <x v="70"/>
    <x v="4"/>
    <s v="往来"/>
    <x v="1"/>
  </r>
  <r>
    <x v="71"/>
    <x v="0"/>
    <n v="10101.709999999999"/>
    <x v="1"/>
  </r>
  <r>
    <x v="71"/>
    <x v="1"/>
    <m/>
    <x v="1"/>
  </r>
  <r>
    <x v="71"/>
    <x v="2"/>
    <n v="4073704.5100000012"/>
    <x v="1"/>
  </r>
  <r>
    <x v="71"/>
    <x v="3"/>
    <s v="税金"/>
    <x v="1"/>
  </r>
  <r>
    <x v="71"/>
    <x v="4"/>
    <s v="个人所得税"/>
    <x v="1"/>
  </r>
  <r>
    <x v="72"/>
    <x v="0"/>
    <m/>
    <x v="1"/>
  </r>
  <r>
    <x v="72"/>
    <x v="1"/>
    <n v="225125"/>
    <x v="1"/>
  </r>
  <r>
    <x v="72"/>
    <x v="2"/>
    <n v="4298829.5100000016"/>
    <x v="1"/>
  </r>
  <r>
    <x v="72"/>
    <x v="3"/>
    <s v="货款"/>
    <x v="1"/>
  </r>
  <r>
    <x v="72"/>
    <x v="4"/>
    <s v="销售收入"/>
    <x v="1"/>
  </r>
  <r>
    <x v="73"/>
    <x v="0"/>
    <m/>
    <x v="1"/>
  </r>
  <r>
    <x v="73"/>
    <x v="1"/>
    <n v="554865.62"/>
    <x v="1"/>
  </r>
  <r>
    <x v="73"/>
    <x v="2"/>
    <n v="4853695.1300000018"/>
    <x v="1"/>
  </r>
  <r>
    <x v="73"/>
    <x v="3"/>
    <s v="货款"/>
    <x v="1"/>
  </r>
  <r>
    <x v="73"/>
    <x v="4"/>
    <s v="销售收入"/>
    <x v="1"/>
  </r>
  <r>
    <x v="74"/>
    <x v="0"/>
    <n v="698778.3"/>
    <x v="1"/>
  </r>
  <r>
    <x v="74"/>
    <x v="1"/>
    <m/>
    <x v="1"/>
  </r>
  <r>
    <x v="74"/>
    <x v="2"/>
    <n v="4154916.8300000019"/>
    <x v="1"/>
  </r>
  <r>
    <x v="74"/>
    <x v="3"/>
    <s v="付蔬菜货款"/>
    <x v="1"/>
  </r>
  <r>
    <x v="74"/>
    <x v="4"/>
    <s v="采购成本"/>
    <x v="1"/>
  </r>
  <r>
    <x v="74"/>
    <x v="0"/>
    <n v="825052.75"/>
    <x v="1"/>
  </r>
  <r>
    <x v="74"/>
    <x v="1"/>
    <m/>
    <x v="1"/>
  </r>
  <r>
    <x v="74"/>
    <x v="2"/>
    <n v="3329864.0800000019"/>
    <x v="1"/>
  </r>
  <r>
    <x v="74"/>
    <x v="3"/>
    <s v="付蔬菜货款"/>
    <x v="1"/>
  </r>
  <r>
    <x v="74"/>
    <x v="4"/>
    <s v="采购成本"/>
    <x v="1"/>
  </r>
  <r>
    <x v="75"/>
    <x v="0"/>
    <n v="28"/>
    <x v="1"/>
  </r>
  <r>
    <x v="75"/>
    <x v="1"/>
    <m/>
    <x v="1"/>
  </r>
  <r>
    <x v="75"/>
    <x v="2"/>
    <n v="3329836.0800000019"/>
    <x v="1"/>
  </r>
  <r>
    <x v="75"/>
    <x v="3"/>
    <s v="手续费"/>
    <x v="1"/>
  </r>
  <r>
    <x v="75"/>
    <x v="4"/>
    <s v="费用"/>
    <x v="1"/>
  </r>
  <r>
    <x v="76"/>
    <x v="0"/>
    <m/>
    <x v="1"/>
  </r>
  <r>
    <x v="76"/>
    <x v="1"/>
    <n v="3141.52"/>
    <x v="1"/>
  </r>
  <r>
    <x v="76"/>
    <x v="2"/>
    <n v="3332977.600000002"/>
    <x v="1"/>
  </r>
  <r>
    <x v="76"/>
    <x v="3"/>
    <s v="利息收入"/>
    <x v="1"/>
  </r>
  <r>
    <x v="76"/>
    <x v="4"/>
    <s v="其他收入"/>
    <x v="1"/>
  </r>
  <r>
    <x v="76"/>
    <x v="0"/>
    <n v="8600"/>
    <x v="1"/>
  </r>
  <r>
    <x v="76"/>
    <x v="1"/>
    <m/>
    <x v="1"/>
  </r>
  <r>
    <x v="76"/>
    <x v="2"/>
    <n v="3324377.600000002"/>
    <x v="1"/>
  </r>
  <r>
    <x v="76"/>
    <x v="3"/>
    <s v="无线网服务费"/>
    <x v="1"/>
  </r>
  <r>
    <x v="76"/>
    <x v="4"/>
    <s v="费用"/>
    <x v="1"/>
  </r>
  <r>
    <x v="77"/>
    <x v="0"/>
    <n v="9432.6200000000008"/>
    <x v="1"/>
  </r>
  <r>
    <x v="77"/>
    <x v="1"/>
    <m/>
    <x v="1"/>
  </r>
  <r>
    <x v="77"/>
    <x v="2"/>
    <n v="3314944.9800000018"/>
    <x v="1"/>
  </r>
  <r>
    <x v="77"/>
    <x v="3"/>
    <s v="返点"/>
    <x v="1"/>
  </r>
  <r>
    <x v="77"/>
    <x v="4"/>
    <s v="费用"/>
    <x v="1"/>
  </r>
  <r>
    <x v="78"/>
    <x v="0"/>
    <m/>
    <x v="1"/>
  </r>
  <r>
    <x v="78"/>
    <x v="1"/>
    <n v="37730.480000000003"/>
    <x v="1"/>
  </r>
  <r>
    <x v="78"/>
    <x v="2"/>
    <n v="3352675.4600000018"/>
    <x v="1"/>
  </r>
  <r>
    <x v="78"/>
    <x v="3"/>
    <s v="货款"/>
    <x v="1"/>
  </r>
  <r>
    <x v="78"/>
    <x v="4"/>
    <s v="销售收入"/>
    <x v="1"/>
  </r>
  <r>
    <x v="79"/>
    <x v="0"/>
    <n v="5532"/>
    <x v="1"/>
  </r>
  <r>
    <x v="79"/>
    <x v="1"/>
    <m/>
    <x v="1"/>
  </r>
  <r>
    <x v="79"/>
    <x v="2"/>
    <n v="3347143.4600000018"/>
    <x v="1"/>
  </r>
  <r>
    <x v="79"/>
    <x v="3"/>
    <s v="费用报销"/>
    <x v="1"/>
  </r>
  <r>
    <x v="79"/>
    <x v="4"/>
    <s v="费用"/>
    <x v="1"/>
  </r>
  <r>
    <x v="80"/>
    <x v="0"/>
    <n v="16037.75"/>
    <x v="1"/>
  </r>
  <r>
    <x v="80"/>
    <x v="1"/>
    <m/>
    <x v="1"/>
  </r>
  <r>
    <x v="80"/>
    <x v="2"/>
    <n v="3331105.7100000018"/>
    <x v="1"/>
  </r>
  <r>
    <x v="80"/>
    <x v="3"/>
    <s v="工资"/>
    <x v="1"/>
  </r>
  <r>
    <x v="80"/>
    <x v="4"/>
    <s v="工资及奖金"/>
    <x v="1"/>
  </r>
  <r>
    <x v="80"/>
    <x v="0"/>
    <n v="6608.84"/>
    <x v="1"/>
  </r>
  <r>
    <x v="80"/>
    <x v="1"/>
    <m/>
    <x v="1"/>
  </r>
  <r>
    <x v="80"/>
    <x v="2"/>
    <n v="3324496.870000002"/>
    <x v="1"/>
  </r>
  <r>
    <x v="80"/>
    <x v="3"/>
    <s v="工资"/>
    <x v="1"/>
  </r>
  <r>
    <x v="80"/>
    <x v="4"/>
    <s v="工资及奖金"/>
    <x v="1"/>
  </r>
  <r>
    <x v="80"/>
    <x v="0"/>
    <n v="9335"/>
    <x v="1"/>
  </r>
  <r>
    <x v="80"/>
    <x v="1"/>
    <m/>
    <x v="1"/>
  </r>
  <r>
    <x v="80"/>
    <x v="2"/>
    <n v="3315161.870000002"/>
    <x v="1"/>
  </r>
  <r>
    <x v="80"/>
    <x v="3"/>
    <s v="工资"/>
    <x v="1"/>
  </r>
  <r>
    <x v="80"/>
    <x v="4"/>
    <s v="工资及奖金"/>
    <x v="1"/>
  </r>
  <r>
    <x v="80"/>
    <x v="0"/>
    <n v="4439.93"/>
    <x v="1"/>
  </r>
  <r>
    <x v="80"/>
    <x v="1"/>
    <m/>
    <x v="1"/>
  </r>
  <r>
    <x v="80"/>
    <x v="2"/>
    <n v="3310721.9400000018"/>
    <x v="1"/>
  </r>
  <r>
    <x v="80"/>
    <x v="3"/>
    <s v="工资"/>
    <x v="1"/>
  </r>
  <r>
    <x v="80"/>
    <x v="4"/>
    <s v="工资及奖金"/>
    <x v="1"/>
  </r>
  <r>
    <x v="80"/>
    <x v="0"/>
    <n v="14169.2"/>
    <x v="1"/>
  </r>
  <r>
    <x v="80"/>
    <x v="1"/>
    <m/>
    <x v="1"/>
  </r>
  <r>
    <x v="80"/>
    <x v="2"/>
    <n v="3296552.7400000016"/>
    <x v="1"/>
  </r>
  <r>
    <x v="80"/>
    <x v="3"/>
    <s v="工资"/>
    <x v="1"/>
  </r>
  <r>
    <x v="80"/>
    <x v="4"/>
    <s v="工资及奖金"/>
    <x v="1"/>
  </r>
  <r>
    <x v="80"/>
    <x v="0"/>
    <n v="19986.8"/>
    <x v="1"/>
  </r>
  <r>
    <x v="80"/>
    <x v="1"/>
    <m/>
    <x v="1"/>
  </r>
  <r>
    <x v="80"/>
    <x v="2"/>
    <n v="3276565.9400000018"/>
    <x v="1"/>
  </r>
  <r>
    <x v="80"/>
    <x v="3"/>
    <s v="工资"/>
    <x v="1"/>
  </r>
  <r>
    <x v="80"/>
    <x v="4"/>
    <s v="工资及奖金"/>
    <x v="1"/>
  </r>
  <r>
    <x v="80"/>
    <x v="0"/>
    <n v="5322.54"/>
    <x v="1"/>
  </r>
  <r>
    <x v="80"/>
    <x v="1"/>
    <m/>
    <x v="1"/>
  </r>
  <r>
    <x v="80"/>
    <x v="2"/>
    <n v="3271243.4000000018"/>
    <x v="1"/>
  </r>
  <r>
    <x v="80"/>
    <x v="3"/>
    <s v="工资"/>
    <x v="1"/>
  </r>
  <r>
    <x v="80"/>
    <x v="4"/>
    <s v="工资及奖金"/>
    <x v="1"/>
  </r>
  <r>
    <x v="80"/>
    <x v="0"/>
    <n v="3660.36"/>
    <x v="1"/>
  </r>
  <r>
    <x v="80"/>
    <x v="1"/>
    <m/>
    <x v="1"/>
  </r>
  <r>
    <x v="80"/>
    <x v="2"/>
    <n v="3267583.0400000019"/>
    <x v="1"/>
  </r>
  <r>
    <x v="80"/>
    <x v="3"/>
    <s v="工资"/>
    <x v="1"/>
  </r>
  <r>
    <x v="80"/>
    <x v="4"/>
    <s v="工资及奖金"/>
    <x v="1"/>
  </r>
  <r>
    <x v="80"/>
    <x v="0"/>
    <n v="2137.38"/>
    <x v="1"/>
  </r>
  <r>
    <x v="80"/>
    <x v="1"/>
    <m/>
    <x v="1"/>
  </r>
  <r>
    <x v="80"/>
    <x v="2"/>
    <n v="3265445.660000002"/>
    <x v="1"/>
  </r>
  <r>
    <x v="80"/>
    <x v="3"/>
    <s v="工资"/>
    <x v="1"/>
  </r>
  <r>
    <x v="80"/>
    <x v="4"/>
    <s v="工资及奖金"/>
    <x v="1"/>
  </r>
  <r>
    <x v="81"/>
    <x v="0"/>
    <n v="10659.22"/>
    <x v="1"/>
  </r>
  <r>
    <x v="81"/>
    <x v="1"/>
    <m/>
    <x v="1"/>
  </r>
  <r>
    <x v="81"/>
    <x v="2"/>
    <n v="3254786.4400000018"/>
    <x v="1"/>
  </r>
  <r>
    <x v="81"/>
    <x v="3"/>
    <s v="税金"/>
    <x v="1"/>
  </r>
  <r>
    <x v="81"/>
    <x v="4"/>
    <s v="个人所得税"/>
    <x v="1"/>
  </r>
  <r>
    <x v="82"/>
    <x v="0"/>
    <n v="8745.6"/>
    <x v="1"/>
  </r>
  <r>
    <x v="82"/>
    <x v="1"/>
    <m/>
    <x v="1"/>
  </r>
  <r>
    <x v="82"/>
    <x v="2"/>
    <n v="3246040.8400000017"/>
    <x v="1"/>
  </r>
  <r>
    <x v="82"/>
    <x v="3"/>
    <s v="返点"/>
    <x v="1"/>
  </r>
  <r>
    <x v="82"/>
    <x v="4"/>
    <s v="费用"/>
    <x v="1"/>
  </r>
  <r>
    <x v="82"/>
    <x v="0"/>
    <n v="1160.7"/>
    <x v="1"/>
  </r>
  <r>
    <x v="82"/>
    <x v="1"/>
    <m/>
    <x v="1"/>
  </r>
  <r>
    <x v="82"/>
    <x v="2"/>
    <n v="3244880.1400000015"/>
    <x v="1"/>
  </r>
  <r>
    <x v="82"/>
    <x v="3"/>
    <s v="返点"/>
    <x v="1"/>
  </r>
  <r>
    <x v="82"/>
    <x v="4"/>
    <s v="费用"/>
    <x v="1"/>
  </r>
  <r>
    <x v="82"/>
    <x v="0"/>
    <n v="2748.55"/>
    <x v="1"/>
  </r>
  <r>
    <x v="82"/>
    <x v="1"/>
    <m/>
    <x v="1"/>
  </r>
  <r>
    <x v="82"/>
    <x v="2"/>
    <n v="3242131.5900000017"/>
    <x v="1"/>
  </r>
  <r>
    <x v="82"/>
    <x v="3"/>
    <s v="返点"/>
    <x v="1"/>
  </r>
  <r>
    <x v="82"/>
    <x v="4"/>
    <s v="费用"/>
    <x v="1"/>
  </r>
  <r>
    <x v="82"/>
    <x v="0"/>
    <m/>
    <x v="1"/>
  </r>
  <r>
    <x v="82"/>
    <x v="1"/>
    <n v="10994.2"/>
    <x v="1"/>
  </r>
  <r>
    <x v="82"/>
    <x v="2"/>
    <n v="3253125.7900000019"/>
    <x v="1"/>
  </r>
  <r>
    <x v="82"/>
    <x v="3"/>
    <s v="货款"/>
    <x v="1"/>
  </r>
  <r>
    <x v="82"/>
    <x v="4"/>
    <s v="销售收入"/>
    <x v="1"/>
  </r>
  <r>
    <x v="82"/>
    <x v="0"/>
    <m/>
    <x v="1"/>
  </r>
  <r>
    <x v="82"/>
    <x v="1"/>
    <n v="39625.129999999997"/>
    <x v="1"/>
  </r>
  <r>
    <x v="82"/>
    <x v="2"/>
    <n v="3292750.9200000018"/>
    <x v="1"/>
  </r>
  <r>
    <x v="82"/>
    <x v="3"/>
    <s v="货款"/>
    <x v="1"/>
  </r>
  <r>
    <x v="82"/>
    <x v="4"/>
    <s v="销售收入"/>
    <x v="1"/>
  </r>
  <r>
    <x v="82"/>
    <x v="0"/>
    <n v="345480"/>
    <x v="1"/>
  </r>
  <r>
    <x v="82"/>
    <x v="1"/>
    <m/>
    <x v="1"/>
  </r>
  <r>
    <x v="82"/>
    <x v="2"/>
    <n v="2947270.9200000018"/>
    <x v="1"/>
  </r>
  <r>
    <x v="82"/>
    <x v="3"/>
    <s v="支付采购大米货款"/>
    <x v="1"/>
  </r>
  <r>
    <x v="82"/>
    <x v="4"/>
    <s v="采购成本"/>
    <x v="1"/>
  </r>
  <r>
    <x v="83"/>
    <x v="0"/>
    <n v="10.5"/>
    <x v="1"/>
  </r>
  <r>
    <x v="83"/>
    <x v="1"/>
    <m/>
    <x v="1"/>
  </r>
  <r>
    <x v="83"/>
    <x v="2"/>
    <n v="2947260.4200000018"/>
    <x v="1"/>
  </r>
  <r>
    <x v="83"/>
    <x v="3"/>
    <s v="手续费"/>
    <x v="1"/>
  </r>
  <r>
    <x v="83"/>
    <x v="4"/>
    <s v="费用"/>
    <x v="1"/>
  </r>
  <r>
    <x v="84"/>
    <x v="0"/>
    <m/>
    <x v="1"/>
  </r>
  <r>
    <x v="84"/>
    <x v="1"/>
    <n v="924125.53"/>
    <x v="1"/>
  </r>
  <r>
    <x v="84"/>
    <x v="2"/>
    <n v="3871385.950000002"/>
    <x v="1"/>
  </r>
  <r>
    <x v="84"/>
    <x v="3"/>
    <s v="货款"/>
    <x v="1"/>
  </r>
  <r>
    <x v="84"/>
    <x v="4"/>
    <s v="销售收入"/>
    <x v="1"/>
  </r>
  <r>
    <x v="85"/>
    <x v="0"/>
    <n v="4400"/>
    <x v="1"/>
  </r>
  <r>
    <x v="85"/>
    <x v="1"/>
    <m/>
    <x v="1"/>
  </r>
  <r>
    <x v="85"/>
    <x v="2"/>
    <n v="3866985.950000002"/>
    <x v="1"/>
  </r>
  <r>
    <x v="85"/>
    <x v="3"/>
    <s v="付ERP实施服务费尾款"/>
    <x v="1"/>
  </r>
  <r>
    <x v="85"/>
    <x v="4"/>
    <s v="费用"/>
    <x v="1"/>
  </r>
  <r>
    <x v="85"/>
    <x v="0"/>
    <n v="5523"/>
    <x v="1"/>
  </r>
  <r>
    <x v="85"/>
    <x v="1"/>
    <m/>
    <x v="1"/>
  </r>
  <r>
    <x v="85"/>
    <x v="2"/>
    <n v="3861462.950000002"/>
    <x v="1"/>
  </r>
  <r>
    <x v="85"/>
    <x v="3"/>
    <s v="费用报销"/>
    <x v="1"/>
  </r>
  <r>
    <x v="85"/>
    <x v="4"/>
    <s v="费用"/>
    <x v="1"/>
  </r>
  <r>
    <x v="85"/>
    <x v="0"/>
    <n v="2217"/>
    <x v="1"/>
  </r>
  <r>
    <x v="85"/>
    <x v="1"/>
    <m/>
    <x v="1"/>
  </r>
  <r>
    <x v="85"/>
    <x v="2"/>
    <n v="3859245.950000002"/>
    <x v="1"/>
  </r>
  <r>
    <x v="85"/>
    <x v="3"/>
    <s v="费用报销"/>
    <x v="1"/>
  </r>
  <r>
    <x v="85"/>
    <x v="4"/>
    <s v="费用"/>
    <x v="1"/>
  </r>
  <r>
    <x v="86"/>
    <x v="0"/>
    <n v="256594"/>
    <x v="1"/>
  </r>
  <r>
    <x v="86"/>
    <x v="1"/>
    <m/>
    <x v="1"/>
  </r>
  <r>
    <x v="86"/>
    <x v="2"/>
    <n v="3602651.950000002"/>
    <x v="1"/>
  </r>
  <r>
    <x v="86"/>
    <x v="3"/>
    <s v="支付采购米面油货款"/>
    <x v="1"/>
  </r>
  <r>
    <x v="86"/>
    <x v="4"/>
    <s v="采购成本"/>
    <x v="1"/>
  </r>
  <r>
    <x v="87"/>
    <x v="0"/>
    <n v="10.5"/>
    <x v="1"/>
  </r>
  <r>
    <x v="87"/>
    <x v="1"/>
    <m/>
    <x v="1"/>
  </r>
  <r>
    <x v="87"/>
    <x v="2"/>
    <n v="3602641.450000002"/>
    <x v="1"/>
  </r>
  <r>
    <x v="87"/>
    <x v="3"/>
    <s v="手续费"/>
    <x v="1"/>
  </r>
  <r>
    <x v="87"/>
    <x v="4"/>
    <s v="费用"/>
    <x v="1"/>
  </r>
  <r>
    <x v="88"/>
    <x v="0"/>
    <n v="7573.92"/>
    <x v="1"/>
  </r>
  <r>
    <x v="88"/>
    <x v="1"/>
    <m/>
    <x v="1"/>
  </r>
  <r>
    <x v="88"/>
    <x v="2"/>
    <n v="3595067.5300000021"/>
    <x v="1"/>
  </r>
  <r>
    <x v="88"/>
    <x v="3"/>
    <s v="个税"/>
    <x v="1"/>
  </r>
  <r>
    <x v="88"/>
    <x v="4"/>
    <s v="个人所得税"/>
    <x v="1"/>
  </r>
  <r>
    <x v="89"/>
    <x v="0"/>
    <n v="5994"/>
    <x v="1"/>
  </r>
  <r>
    <x v="89"/>
    <x v="1"/>
    <m/>
    <x v="1"/>
  </r>
  <r>
    <x v="89"/>
    <x v="2"/>
    <n v="3589073.5300000021"/>
    <x v="1"/>
  </r>
  <r>
    <x v="89"/>
    <x v="3"/>
    <s v="费用报销"/>
    <x v="1"/>
  </r>
  <r>
    <x v="89"/>
    <x v="4"/>
    <s v="费用"/>
    <x v="1"/>
  </r>
  <r>
    <x v="89"/>
    <x v="0"/>
    <n v="1725.3"/>
    <x v="1"/>
  </r>
  <r>
    <x v="89"/>
    <x v="1"/>
    <m/>
    <x v="1"/>
  </r>
  <r>
    <x v="89"/>
    <x v="2"/>
    <n v="3587348.2300000023"/>
    <x v="1"/>
  </r>
  <r>
    <x v="89"/>
    <x v="3"/>
    <s v="费用报销"/>
    <x v="1"/>
  </r>
  <r>
    <x v="89"/>
    <x v="4"/>
    <s v="费用"/>
    <x v="1"/>
  </r>
  <r>
    <x v="90"/>
    <x v="0"/>
    <n v="6791"/>
    <x v="1"/>
  </r>
  <r>
    <x v="90"/>
    <x v="1"/>
    <m/>
    <x v="1"/>
  </r>
  <r>
    <x v="90"/>
    <x v="2"/>
    <n v="3580557.2300000023"/>
    <x v="1"/>
  </r>
  <r>
    <x v="90"/>
    <x v="3"/>
    <s v="返点"/>
    <x v="1"/>
  </r>
  <r>
    <x v="90"/>
    <x v="4"/>
    <s v="费用"/>
    <x v="1"/>
  </r>
  <r>
    <x v="90"/>
    <x v="0"/>
    <n v="2303"/>
    <x v="1"/>
  </r>
  <r>
    <x v="90"/>
    <x v="1"/>
    <m/>
    <x v="1"/>
  </r>
  <r>
    <x v="90"/>
    <x v="2"/>
    <n v="3578254.2300000023"/>
    <x v="1"/>
  </r>
  <r>
    <x v="90"/>
    <x v="3"/>
    <s v="返点"/>
    <x v="1"/>
  </r>
  <r>
    <x v="90"/>
    <x v="4"/>
    <s v="费用"/>
    <x v="1"/>
  </r>
  <r>
    <x v="91"/>
    <x v="0"/>
    <n v="880"/>
    <x v="1"/>
  </r>
  <r>
    <x v="91"/>
    <x v="1"/>
    <m/>
    <x v="1"/>
  </r>
  <r>
    <x v="91"/>
    <x v="2"/>
    <n v="3577374.2300000023"/>
    <x v="1"/>
  </r>
  <r>
    <x v="91"/>
    <x v="3"/>
    <s v="采购技术指导书"/>
    <x v="1"/>
  </r>
  <r>
    <x v="91"/>
    <x v="4"/>
    <s v="费用"/>
    <x v="1"/>
  </r>
  <r>
    <x v="92"/>
    <x v="0"/>
    <n v="5490.5"/>
    <x v="1"/>
  </r>
  <r>
    <x v="92"/>
    <x v="1"/>
    <m/>
    <x v="1"/>
  </r>
  <r>
    <x v="92"/>
    <x v="2"/>
    <n v="3571883.7300000023"/>
    <x v="1"/>
  </r>
  <r>
    <x v="92"/>
    <x v="3"/>
    <s v="费用报销"/>
    <x v="1"/>
  </r>
  <r>
    <x v="92"/>
    <x v="4"/>
    <s v="费用"/>
    <x v="1"/>
  </r>
  <r>
    <x v="93"/>
    <x v="0"/>
    <n v="10.5"/>
    <x v="1"/>
  </r>
  <r>
    <x v="93"/>
    <x v="1"/>
    <m/>
    <x v="1"/>
  </r>
  <r>
    <x v="93"/>
    <x v="2"/>
    <n v="3571873.2300000023"/>
    <x v="1"/>
  </r>
  <r>
    <x v="93"/>
    <x v="3"/>
    <s v="手续费"/>
    <x v="1"/>
  </r>
  <r>
    <x v="93"/>
    <x v="4"/>
    <s v="费用"/>
    <x v="1"/>
  </r>
  <r>
    <x v="93"/>
    <x v="0"/>
    <m/>
    <x v="1"/>
  </r>
  <r>
    <x v="93"/>
    <x v="1"/>
    <n v="36375.53"/>
    <x v="1"/>
  </r>
  <r>
    <x v="93"/>
    <x v="2"/>
    <n v="3608248.7600000021"/>
    <x v="1"/>
  </r>
  <r>
    <x v="93"/>
    <x v="3"/>
    <s v="货款"/>
    <x v="1"/>
  </r>
  <r>
    <x v="93"/>
    <x v="4"/>
    <s v="销售收入"/>
    <x v="1"/>
  </r>
  <r>
    <x v="93"/>
    <x v="0"/>
    <n v="14087.75"/>
    <x v="1"/>
  </r>
  <r>
    <x v="93"/>
    <x v="1"/>
    <m/>
    <x v="1"/>
  </r>
  <r>
    <x v="93"/>
    <x v="2"/>
    <n v="3594161.0100000021"/>
    <x v="1"/>
  </r>
  <r>
    <x v="93"/>
    <x v="3"/>
    <s v="工资"/>
    <x v="1"/>
  </r>
  <r>
    <x v="93"/>
    <x v="4"/>
    <s v="工资及奖金"/>
    <x v="1"/>
  </r>
  <r>
    <x v="93"/>
    <x v="0"/>
    <n v="8922.2000000000007"/>
    <x v="1"/>
  </r>
  <r>
    <x v="93"/>
    <x v="1"/>
    <m/>
    <x v="1"/>
  </r>
  <r>
    <x v="93"/>
    <x v="2"/>
    <n v="3585238.8100000019"/>
    <x v="1"/>
  </r>
  <r>
    <x v="93"/>
    <x v="3"/>
    <s v="工资"/>
    <x v="1"/>
  </r>
  <r>
    <x v="93"/>
    <x v="4"/>
    <s v="工资及奖金"/>
    <x v="1"/>
  </r>
  <r>
    <x v="93"/>
    <x v="0"/>
    <n v="5737.1"/>
    <x v="1"/>
  </r>
  <r>
    <x v="93"/>
    <x v="1"/>
    <m/>
    <x v="1"/>
  </r>
  <r>
    <x v="93"/>
    <x v="2"/>
    <n v="3579501.7100000018"/>
    <x v="1"/>
  </r>
  <r>
    <x v="93"/>
    <x v="3"/>
    <s v="工资"/>
    <x v="1"/>
  </r>
  <r>
    <x v="93"/>
    <x v="4"/>
    <s v="工资及奖金"/>
    <x v="1"/>
  </r>
  <r>
    <x v="93"/>
    <x v="0"/>
    <n v="51.26"/>
    <x v="1"/>
  </r>
  <r>
    <x v="93"/>
    <x v="1"/>
    <m/>
    <x v="1"/>
  </r>
  <r>
    <x v="93"/>
    <x v="2"/>
    <n v="3579450.450000002"/>
    <x v="1"/>
  </r>
  <r>
    <x v="93"/>
    <x v="3"/>
    <s v="工资"/>
    <x v="1"/>
  </r>
  <r>
    <x v="93"/>
    <x v="4"/>
    <s v="工资及奖金"/>
    <x v="1"/>
  </r>
  <r>
    <x v="93"/>
    <x v="0"/>
    <n v="8022.78"/>
    <x v="1"/>
  </r>
  <r>
    <x v="93"/>
    <x v="1"/>
    <m/>
    <x v="1"/>
  </r>
  <r>
    <x v="93"/>
    <x v="2"/>
    <n v="3571427.6700000023"/>
    <x v="1"/>
  </r>
  <r>
    <x v="93"/>
    <x v="3"/>
    <s v="工资"/>
    <x v="1"/>
  </r>
  <r>
    <x v="93"/>
    <x v="4"/>
    <s v="工资及奖金"/>
    <x v="1"/>
  </r>
  <r>
    <x v="93"/>
    <x v="0"/>
    <n v="2702.34"/>
    <x v="1"/>
  </r>
  <r>
    <x v="93"/>
    <x v="1"/>
    <m/>
    <x v="1"/>
  </r>
  <r>
    <x v="93"/>
    <x v="2"/>
    <n v="3568725.3300000024"/>
    <x v="1"/>
  </r>
  <r>
    <x v="93"/>
    <x v="3"/>
    <s v="工资"/>
    <x v="1"/>
  </r>
  <r>
    <x v="93"/>
    <x v="4"/>
    <s v="工资及奖金"/>
    <x v="1"/>
  </r>
  <r>
    <x v="93"/>
    <x v="0"/>
    <n v="2970.95"/>
    <x v="1"/>
  </r>
  <r>
    <x v="93"/>
    <x v="1"/>
    <m/>
    <x v="1"/>
  </r>
  <r>
    <x v="93"/>
    <x v="2"/>
    <n v="3565754.3800000022"/>
    <x v="1"/>
  </r>
  <r>
    <x v="93"/>
    <x v="3"/>
    <s v="工资"/>
    <x v="1"/>
  </r>
  <r>
    <x v="93"/>
    <x v="4"/>
    <s v="工资及奖金"/>
    <x v="1"/>
  </r>
  <r>
    <x v="93"/>
    <x v="0"/>
    <n v="9366.34"/>
    <x v="1"/>
  </r>
  <r>
    <x v="93"/>
    <x v="1"/>
    <m/>
    <x v="1"/>
  </r>
  <r>
    <x v="93"/>
    <x v="2"/>
    <n v="3556388.0400000024"/>
    <x v="1"/>
  </r>
  <r>
    <x v="93"/>
    <x v="3"/>
    <s v="工资"/>
    <x v="1"/>
  </r>
  <r>
    <x v="93"/>
    <x v="4"/>
    <s v="工资及奖金"/>
    <x v="1"/>
  </r>
  <r>
    <x v="93"/>
    <x v="0"/>
    <n v="16236.8"/>
    <x v="1"/>
  </r>
  <r>
    <x v="93"/>
    <x v="1"/>
    <m/>
    <x v="1"/>
  </r>
  <r>
    <x v="93"/>
    <x v="2"/>
    <n v="3540151.2400000026"/>
    <x v="1"/>
  </r>
  <r>
    <x v="93"/>
    <x v="3"/>
    <s v="工资"/>
    <x v="1"/>
  </r>
  <r>
    <x v="93"/>
    <x v="4"/>
    <s v="工资及奖金"/>
    <x v="1"/>
  </r>
  <r>
    <x v="94"/>
    <x v="0"/>
    <n v="10.5"/>
    <x v="1"/>
  </r>
  <r>
    <x v="94"/>
    <x v="1"/>
    <m/>
    <x v="1"/>
  </r>
  <r>
    <x v="94"/>
    <x v="2"/>
    <n v="3540140.7400000026"/>
    <x v="1"/>
  </r>
  <r>
    <x v="94"/>
    <x v="3"/>
    <s v="手续费"/>
    <x v="1"/>
  </r>
  <r>
    <x v="94"/>
    <x v="4"/>
    <s v="费用"/>
    <x v="1"/>
  </r>
  <r>
    <x v="95"/>
    <x v="0"/>
    <n v="42810"/>
    <x v="1"/>
  </r>
  <r>
    <x v="95"/>
    <x v="1"/>
    <m/>
    <x v="1"/>
  </r>
  <r>
    <x v="95"/>
    <x v="2"/>
    <n v="3497330.7400000026"/>
    <x v="1"/>
  </r>
  <r>
    <x v="95"/>
    <x v="3"/>
    <s v="支付采购大米货款"/>
    <x v="1"/>
  </r>
  <r>
    <x v="95"/>
    <x v="4"/>
    <s v="采购成本"/>
    <x v="1"/>
  </r>
  <r>
    <x v="95"/>
    <x v="0"/>
    <n v="42810"/>
    <x v="1"/>
  </r>
  <r>
    <x v="95"/>
    <x v="1"/>
    <m/>
    <x v="1"/>
  </r>
  <r>
    <x v="95"/>
    <x v="2"/>
    <n v="3454520.7400000026"/>
    <x v="1"/>
  </r>
  <r>
    <x v="95"/>
    <x v="3"/>
    <s v="支付采购大米货款"/>
    <x v="1"/>
  </r>
  <r>
    <x v="95"/>
    <x v="4"/>
    <s v="采购成本"/>
    <x v="1"/>
  </r>
  <r>
    <x v="95"/>
    <x v="0"/>
    <n v="42810"/>
    <x v="1"/>
  </r>
  <r>
    <x v="95"/>
    <x v="1"/>
    <m/>
    <x v="1"/>
  </r>
  <r>
    <x v="95"/>
    <x v="2"/>
    <n v="3411710.7400000026"/>
    <x v="1"/>
  </r>
  <r>
    <x v="95"/>
    <x v="3"/>
    <s v="支付采购大米货款"/>
    <x v="1"/>
  </r>
  <r>
    <x v="95"/>
    <x v="4"/>
    <s v="采购成本"/>
    <x v="1"/>
  </r>
  <r>
    <x v="95"/>
    <x v="0"/>
    <n v="42810"/>
    <x v="1"/>
  </r>
  <r>
    <x v="95"/>
    <x v="1"/>
    <m/>
    <x v="1"/>
  </r>
  <r>
    <x v="95"/>
    <x v="2"/>
    <n v="3368900.7400000026"/>
    <x v="1"/>
  </r>
  <r>
    <x v="95"/>
    <x v="3"/>
    <s v="支付采购大米货款"/>
    <x v="1"/>
  </r>
  <r>
    <x v="95"/>
    <x v="4"/>
    <s v="采购成本"/>
    <x v="1"/>
  </r>
  <r>
    <x v="96"/>
    <x v="0"/>
    <n v="330"/>
    <x v="1"/>
  </r>
  <r>
    <x v="96"/>
    <x v="1"/>
    <m/>
    <x v="1"/>
  </r>
  <r>
    <x v="96"/>
    <x v="2"/>
    <n v="3368570.7400000026"/>
    <x v="1"/>
  </r>
  <r>
    <x v="96"/>
    <x v="3"/>
    <s v="支付税控系统服务费"/>
    <x v="1"/>
  </r>
  <r>
    <x v="96"/>
    <x v="4"/>
    <s v="费用"/>
    <x v="1"/>
  </r>
  <r>
    <x v="97"/>
    <x v="0"/>
    <n v="9820"/>
    <x v="1"/>
  </r>
  <r>
    <x v="97"/>
    <x v="1"/>
    <m/>
    <x v="1"/>
  </r>
  <r>
    <x v="97"/>
    <x v="2"/>
    <n v="3358750.7400000026"/>
    <x v="1"/>
  </r>
  <r>
    <x v="97"/>
    <x v="3"/>
    <s v="2月和3月配送费及仓储费"/>
    <x v="1"/>
  </r>
  <r>
    <x v="97"/>
    <x v="4"/>
    <s v="采购成本"/>
    <x v="1"/>
  </r>
  <r>
    <x v="98"/>
    <x v="0"/>
    <n v="8130.19"/>
    <x v="1"/>
  </r>
  <r>
    <x v="98"/>
    <x v="1"/>
    <m/>
    <x v="1"/>
  </r>
  <r>
    <x v="98"/>
    <x v="2"/>
    <n v="3350620.5500000026"/>
    <x v="1"/>
  </r>
  <r>
    <x v="98"/>
    <x v="3"/>
    <s v="个税"/>
    <x v="1"/>
  </r>
  <r>
    <x v="98"/>
    <x v="4"/>
    <s v="个人所得税"/>
    <x v="1"/>
  </r>
  <r>
    <x v="99"/>
    <x v="0"/>
    <n v="5591"/>
    <x v="1"/>
  </r>
  <r>
    <x v="99"/>
    <x v="1"/>
    <m/>
    <x v="1"/>
  </r>
  <r>
    <x v="99"/>
    <x v="2"/>
    <n v="3345029.5500000026"/>
    <x v="1"/>
  </r>
  <r>
    <x v="99"/>
    <x v="3"/>
    <s v="返点"/>
    <x v="1"/>
  </r>
  <r>
    <x v="99"/>
    <x v="4"/>
    <s v="费用"/>
    <x v="1"/>
  </r>
  <r>
    <x v="99"/>
    <x v="0"/>
    <n v="2772"/>
    <x v="1"/>
  </r>
  <r>
    <x v="99"/>
    <x v="1"/>
    <m/>
    <x v="1"/>
  </r>
  <r>
    <x v="99"/>
    <x v="2"/>
    <n v="3342257.5500000026"/>
    <x v="1"/>
  </r>
  <r>
    <x v="99"/>
    <x v="3"/>
    <s v="返点"/>
    <x v="1"/>
  </r>
  <r>
    <x v="99"/>
    <x v="4"/>
    <s v="费用"/>
    <x v="1"/>
  </r>
  <r>
    <x v="99"/>
    <x v="0"/>
    <n v="1765"/>
    <x v="1"/>
  </r>
  <r>
    <x v="99"/>
    <x v="1"/>
    <m/>
    <x v="1"/>
  </r>
  <r>
    <x v="99"/>
    <x v="2"/>
    <n v="3340492.5500000026"/>
    <x v="1"/>
  </r>
  <r>
    <x v="99"/>
    <x v="3"/>
    <s v="费用报销"/>
    <x v="1"/>
  </r>
  <r>
    <x v="99"/>
    <x v="4"/>
    <s v="费用"/>
    <x v="1"/>
  </r>
  <r>
    <x v="99"/>
    <x v="0"/>
    <n v="762.5"/>
    <x v="1"/>
  </r>
  <r>
    <x v="99"/>
    <x v="1"/>
    <m/>
    <x v="1"/>
  </r>
  <r>
    <x v="99"/>
    <x v="2"/>
    <n v="3339730.0500000026"/>
    <x v="1"/>
  </r>
  <r>
    <x v="99"/>
    <x v="3"/>
    <s v="费用报销"/>
    <x v="1"/>
  </r>
  <r>
    <x v="99"/>
    <x v="4"/>
    <s v="费用"/>
    <x v="1"/>
  </r>
  <r>
    <x v="99"/>
    <x v="0"/>
    <n v="16700.5"/>
    <x v="1"/>
  </r>
  <r>
    <x v="99"/>
    <x v="1"/>
    <m/>
    <x v="1"/>
  </r>
  <r>
    <x v="99"/>
    <x v="2"/>
    <n v="3323029.5500000026"/>
    <x v="1"/>
  </r>
  <r>
    <x v="99"/>
    <x v="3"/>
    <s v="费用报销"/>
    <x v="1"/>
  </r>
  <r>
    <x v="99"/>
    <x v="4"/>
    <s v="费用"/>
    <x v="1"/>
  </r>
  <r>
    <x v="99"/>
    <x v="0"/>
    <n v="804.46"/>
    <x v="1"/>
  </r>
  <r>
    <x v="99"/>
    <x v="1"/>
    <m/>
    <x v="1"/>
  </r>
  <r>
    <x v="99"/>
    <x v="2"/>
    <n v="3322225.0900000026"/>
    <x v="1"/>
  </r>
  <r>
    <x v="99"/>
    <x v="3"/>
    <s v="费用报销"/>
    <x v="1"/>
  </r>
  <r>
    <x v="99"/>
    <x v="4"/>
    <s v="费用"/>
    <x v="1"/>
  </r>
  <r>
    <x v="100"/>
    <x v="0"/>
    <m/>
    <x v="1"/>
  </r>
  <r>
    <x v="100"/>
    <x v="1"/>
    <n v="2331.3200000000002"/>
    <x v="1"/>
  </r>
  <r>
    <x v="100"/>
    <x v="2"/>
    <n v="3324556.4100000025"/>
    <x v="1"/>
  </r>
  <r>
    <x v="100"/>
    <x v="3"/>
    <s v="利息收入"/>
    <x v="1"/>
  </r>
  <r>
    <x v="100"/>
    <x v="4"/>
    <s v="其他收入"/>
    <x v="1"/>
  </r>
  <r>
    <x v="101"/>
    <x v="0"/>
    <n v="14087.75"/>
    <x v="1"/>
  </r>
  <r>
    <x v="101"/>
    <x v="1"/>
    <m/>
    <x v="1"/>
  </r>
  <r>
    <x v="101"/>
    <x v="2"/>
    <n v="3310468.6600000025"/>
    <x v="1"/>
  </r>
  <r>
    <x v="101"/>
    <x v="3"/>
    <s v="工资"/>
    <x v="1"/>
  </r>
  <r>
    <x v="101"/>
    <x v="4"/>
    <s v="工资及奖金"/>
    <x v="1"/>
  </r>
  <r>
    <x v="101"/>
    <x v="0"/>
    <n v="8922.2000000000007"/>
    <x v="1"/>
  </r>
  <r>
    <x v="101"/>
    <x v="1"/>
    <m/>
    <x v="1"/>
  </r>
  <r>
    <x v="101"/>
    <x v="2"/>
    <n v="3301546.4600000023"/>
    <x v="1"/>
  </r>
  <r>
    <x v="101"/>
    <x v="3"/>
    <s v="工资"/>
    <x v="1"/>
  </r>
  <r>
    <x v="101"/>
    <x v="4"/>
    <s v="工资及奖金"/>
    <x v="1"/>
  </r>
  <r>
    <x v="101"/>
    <x v="0"/>
    <n v="9449.16"/>
    <x v="1"/>
  </r>
  <r>
    <x v="101"/>
    <x v="1"/>
    <m/>
    <x v="1"/>
  </r>
  <r>
    <x v="101"/>
    <x v="2"/>
    <n v="3292097.3000000021"/>
    <x v="1"/>
  </r>
  <r>
    <x v="101"/>
    <x v="3"/>
    <s v="工资"/>
    <x v="1"/>
  </r>
  <r>
    <x v="101"/>
    <x v="4"/>
    <s v="工资及奖金"/>
    <x v="1"/>
  </r>
  <r>
    <x v="101"/>
    <x v="0"/>
    <n v="13236.8"/>
    <x v="1"/>
  </r>
  <r>
    <x v="101"/>
    <x v="1"/>
    <m/>
    <x v="1"/>
  </r>
  <r>
    <x v="101"/>
    <x v="2"/>
    <n v="3278860.5000000023"/>
    <x v="1"/>
  </r>
  <r>
    <x v="101"/>
    <x v="3"/>
    <s v="工资"/>
    <x v="1"/>
  </r>
  <r>
    <x v="101"/>
    <x v="4"/>
    <s v="工资及奖金"/>
    <x v="1"/>
  </r>
  <r>
    <x v="101"/>
    <x v="0"/>
    <n v="13886.19"/>
    <x v="1"/>
  </r>
  <r>
    <x v="101"/>
    <x v="1"/>
    <m/>
    <x v="1"/>
  </r>
  <r>
    <x v="101"/>
    <x v="2"/>
    <n v="3264974.3100000024"/>
    <x v="1"/>
  </r>
  <r>
    <x v="101"/>
    <x v="3"/>
    <s v="工资"/>
    <x v="1"/>
  </r>
  <r>
    <x v="101"/>
    <x v="4"/>
    <s v="工资及奖金"/>
    <x v="1"/>
  </r>
  <r>
    <x v="101"/>
    <x v="0"/>
    <n v="2342.84"/>
    <x v="1"/>
  </r>
  <r>
    <x v="101"/>
    <x v="1"/>
    <m/>
    <x v="1"/>
  </r>
  <r>
    <x v="101"/>
    <x v="2"/>
    <n v="3262631.4700000025"/>
    <x v="1"/>
  </r>
  <r>
    <x v="101"/>
    <x v="3"/>
    <s v="工资"/>
    <x v="1"/>
  </r>
  <r>
    <x v="101"/>
    <x v="4"/>
    <s v="工资及奖金"/>
    <x v="1"/>
  </r>
  <r>
    <x v="101"/>
    <x v="0"/>
    <n v="2631.73"/>
    <x v="1"/>
  </r>
  <r>
    <x v="101"/>
    <x v="1"/>
    <m/>
    <x v="1"/>
  </r>
  <r>
    <x v="101"/>
    <x v="2"/>
    <n v="3259999.7400000026"/>
    <x v="1"/>
  </r>
  <r>
    <x v="101"/>
    <x v="3"/>
    <s v="工资"/>
    <x v="1"/>
  </r>
  <r>
    <x v="101"/>
    <x v="4"/>
    <s v="工资及奖金"/>
    <x v="1"/>
  </r>
  <r>
    <x v="101"/>
    <x v="0"/>
    <n v="5713"/>
    <x v="1"/>
  </r>
  <r>
    <x v="101"/>
    <x v="1"/>
    <m/>
    <x v="1"/>
  </r>
  <r>
    <x v="101"/>
    <x v="2"/>
    <n v="3254286.7400000026"/>
    <x v="1"/>
  </r>
  <r>
    <x v="101"/>
    <x v="3"/>
    <s v="费用报销"/>
    <x v="1"/>
  </r>
  <r>
    <x v="101"/>
    <x v="4"/>
    <s v="费用"/>
    <x v="1"/>
  </r>
  <r>
    <x v="101"/>
    <x v="0"/>
    <m/>
    <x v="1"/>
  </r>
  <r>
    <x v="101"/>
    <x v="1"/>
    <n v="33450.47"/>
    <x v="1"/>
  </r>
  <r>
    <x v="101"/>
    <x v="2"/>
    <n v="3287737.2100000028"/>
    <x v="1"/>
  </r>
  <r>
    <x v="101"/>
    <x v="3"/>
    <s v="货款"/>
    <x v="1"/>
  </r>
  <r>
    <x v="101"/>
    <x v="4"/>
    <s v="销售收入"/>
    <x v="1"/>
  </r>
  <r>
    <x v="101"/>
    <x v="0"/>
    <n v="345"/>
    <x v="1"/>
  </r>
  <r>
    <x v="101"/>
    <x v="1"/>
    <m/>
    <x v="1"/>
  </r>
  <r>
    <x v="101"/>
    <x v="2"/>
    <n v="3287392.2100000028"/>
    <x v="1"/>
  </r>
  <r>
    <x v="101"/>
    <x v="3"/>
    <s v="费用报销"/>
    <x v="1"/>
  </r>
  <r>
    <x v="101"/>
    <x v="4"/>
    <s v="费用"/>
    <x v="1"/>
  </r>
  <r>
    <x v="102"/>
    <x v="0"/>
    <m/>
    <x v="1"/>
  </r>
  <r>
    <x v="102"/>
    <x v="1"/>
    <n v="344983.39"/>
    <x v="1"/>
  </r>
  <r>
    <x v="102"/>
    <x v="2"/>
    <n v="3632375.6000000029"/>
    <x v="1"/>
  </r>
  <r>
    <x v="102"/>
    <x v="3"/>
    <s v="货款"/>
    <x v="1"/>
  </r>
  <r>
    <x v="102"/>
    <x v="4"/>
    <s v="销售收入"/>
    <x v="1"/>
  </r>
  <r>
    <x v="103"/>
    <x v="0"/>
    <n v="462.6"/>
    <x v="1"/>
  </r>
  <r>
    <x v="103"/>
    <x v="1"/>
    <m/>
    <x v="1"/>
  </r>
  <r>
    <x v="103"/>
    <x v="2"/>
    <n v="3631913.0000000028"/>
    <x v="1"/>
  </r>
  <r>
    <x v="103"/>
    <x v="3"/>
    <s v="印花税"/>
    <x v="1"/>
  </r>
  <r>
    <x v="103"/>
    <x v="4"/>
    <s v="其他税费"/>
    <x v="1"/>
  </r>
  <r>
    <x v="103"/>
    <x v="0"/>
    <n v="627"/>
    <x v="1"/>
  </r>
  <r>
    <x v="103"/>
    <x v="1"/>
    <m/>
    <x v="1"/>
  </r>
  <r>
    <x v="103"/>
    <x v="2"/>
    <n v="3631286.0000000028"/>
    <x v="1"/>
  </r>
  <r>
    <x v="103"/>
    <x v="3"/>
    <s v="印花税"/>
    <x v="1"/>
  </r>
  <r>
    <x v="103"/>
    <x v="4"/>
    <s v="其他税费"/>
    <x v="1"/>
  </r>
  <r>
    <x v="103"/>
    <x v="0"/>
    <n v="1.5"/>
    <x v="1"/>
  </r>
  <r>
    <x v="103"/>
    <x v="1"/>
    <m/>
    <x v="1"/>
  </r>
  <r>
    <x v="103"/>
    <x v="2"/>
    <n v="3631284.5000000028"/>
    <x v="1"/>
  </r>
  <r>
    <x v="103"/>
    <x v="3"/>
    <s v="印花税"/>
    <x v="1"/>
  </r>
  <r>
    <x v="103"/>
    <x v="4"/>
    <s v="其他税费"/>
    <x v="1"/>
  </r>
  <r>
    <x v="104"/>
    <x v="0"/>
    <n v="10.5"/>
    <x v="1"/>
  </r>
  <r>
    <x v="104"/>
    <x v="1"/>
    <m/>
    <x v="1"/>
  </r>
  <r>
    <x v="104"/>
    <x v="2"/>
    <n v="3631274.0000000028"/>
    <x v="1"/>
  </r>
  <r>
    <x v="104"/>
    <x v="3"/>
    <s v="手续费"/>
    <x v="1"/>
  </r>
  <r>
    <x v="104"/>
    <x v="4"/>
    <s v="费用"/>
    <x v="1"/>
  </r>
  <r>
    <x v="104"/>
    <x v="0"/>
    <n v="130753.53"/>
    <x v="1"/>
  </r>
  <r>
    <x v="104"/>
    <x v="1"/>
    <m/>
    <x v="1"/>
  </r>
  <r>
    <x v="104"/>
    <x v="2"/>
    <n v="3500520.470000003"/>
    <x v="1"/>
  </r>
  <r>
    <x v="104"/>
    <x v="3"/>
    <s v="蔬菜货款"/>
    <x v="1"/>
  </r>
  <r>
    <x v="104"/>
    <x v="4"/>
    <s v="采购成本"/>
    <x v="1"/>
  </r>
  <r>
    <x v="105"/>
    <x v="0"/>
    <n v="7548"/>
    <x v="1"/>
  </r>
  <r>
    <x v="105"/>
    <x v="1"/>
    <m/>
    <x v="1"/>
  </r>
  <r>
    <x v="105"/>
    <x v="2"/>
    <n v="3492972.470000003"/>
    <x v="1"/>
  </r>
  <r>
    <x v="105"/>
    <x v="3"/>
    <s v="购买云数据库"/>
    <x v="1"/>
  </r>
  <r>
    <x v="105"/>
    <x v="4"/>
    <s v="费用"/>
    <x v="1"/>
  </r>
  <r>
    <x v="105"/>
    <x v="0"/>
    <n v="20143.96"/>
    <x v="1"/>
  </r>
  <r>
    <x v="105"/>
    <x v="1"/>
    <m/>
    <x v="1"/>
  </r>
  <r>
    <x v="105"/>
    <x v="2"/>
    <n v="3472828.510000003"/>
    <x v="1"/>
  </r>
  <r>
    <x v="105"/>
    <x v="3"/>
    <s v="个税"/>
    <x v="1"/>
  </r>
  <r>
    <x v="105"/>
    <x v="4"/>
    <s v="个人所得税"/>
    <x v="1"/>
  </r>
  <r>
    <x v="105"/>
    <x v="0"/>
    <m/>
    <x v="1"/>
  </r>
  <r>
    <x v="105"/>
    <x v="1"/>
    <n v="330"/>
    <x v="1"/>
  </r>
  <r>
    <x v="105"/>
    <x v="2"/>
    <n v="3473158.510000003"/>
    <x v="1"/>
  </r>
  <r>
    <x v="105"/>
    <x v="3"/>
    <m/>
    <x v="1"/>
  </r>
  <r>
    <x v="105"/>
    <x v="4"/>
    <s v="其他收入"/>
    <x v="1"/>
  </r>
  <r>
    <x v="106"/>
    <x v="0"/>
    <m/>
    <x v="1"/>
  </r>
  <r>
    <x v="106"/>
    <x v="1"/>
    <n v="37983.199999999997"/>
    <x v="1"/>
  </r>
  <r>
    <x v="106"/>
    <x v="2"/>
    <n v="3511141.7100000032"/>
    <x v="1"/>
  </r>
  <r>
    <x v="106"/>
    <x v="3"/>
    <s v="货款"/>
    <x v="1"/>
  </r>
  <r>
    <x v="106"/>
    <x v="4"/>
    <s v="销售收入"/>
    <x v="1"/>
  </r>
  <r>
    <x v="107"/>
    <x v="0"/>
    <m/>
    <x v="1"/>
  </r>
  <r>
    <x v="107"/>
    <x v="1"/>
    <n v="28210"/>
    <x v="1"/>
  </r>
  <r>
    <x v="107"/>
    <x v="2"/>
    <n v="3539351.7100000032"/>
    <x v="1"/>
  </r>
  <r>
    <x v="107"/>
    <x v="3"/>
    <s v="货款"/>
    <x v="1"/>
  </r>
  <r>
    <x v="107"/>
    <x v="4"/>
    <s v="销售收入"/>
    <x v="1"/>
  </r>
  <r>
    <x v="108"/>
    <x v="0"/>
    <m/>
    <x v="1"/>
  </r>
  <r>
    <x v="108"/>
    <x v="1"/>
    <n v="494756.83"/>
    <x v="1"/>
  </r>
  <r>
    <x v="108"/>
    <x v="2"/>
    <n v="4034108.5400000033"/>
    <x v="1"/>
  </r>
  <r>
    <x v="108"/>
    <x v="3"/>
    <s v="货款"/>
    <x v="1"/>
  </r>
  <r>
    <x v="108"/>
    <x v="4"/>
    <s v="销售收入"/>
    <x v="1"/>
  </r>
  <r>
    <x v="109"/>
    <x v="0"/>
    <n v="620000"/>
    <x v="1"/>
  </r>
  <r>
    <x v="109"/>
    <x v="1"/>
    <m/>
    <x v="1"/>
  </r>
  <r>
    <x v="109"/>
    <x v="2"/>
    <n v="3414108.5400000033"/>
    <x v="1"/>
  </r>
  <r>
    <x v="109"/>
    <x v="3"/>
    <s v="划错款"/>
    <x v="1"/>
  </r>
  <r>
    <x v="109"/>
    <x v="4"/>
    <s v="往来"/>
    <x v="1"/>
  </r>
  <r>
    <x v="110"/>
    <x v="0"/>
    <n v="14"/>
    <x v="1"/>
  </r>
  <r>
    <x v="110"/>
    <x v="1"/>
    <m/>
    <x v="1"/>
  </r>
  <r>
    <x v="110"/>
    <x v="2"/>
    <n v="3414094.5400000033"/>
    <x v="1"/>
  </r>
  <r>
    <x v="110"/>
    <x v="3"/>
    <s v="手续费"/>
    <x v="1"/>
  </r>
  <r>
    <x v="110"/>
    <x v="4"/>
    <s v="费用"/>
    <x v="1"/>
  </r>
  <r>
    <x v="110"/>
    <x v="0"/>
    <n v="1000"/>
    <x v="1"/>
  </r>
  <r>
    <x v="110"/>
    <x v="1"/>
    <m/>
    <x v="1"/>
  </r>
  <r>
    <x v="110"/>
    <x v="2"/>
    <n v="3413094.5400000033"/>
    <x v="1"/>
  </r>
  <r>
    <x v="110"/>
    <x v="3"/>
    <s v="罚款"/>
    <x v="1"/>
  </r>
  <r>
    <x v="110"/>
    <x v="4"/>
    <s v="其他支出"/>
    <x v="1"/>
  </r>
  <r>
    <x v="110"/>
    <x v="0"/>
    <n v="1383"/>
    <x v="1"/>
  </r>
  <r>
    <x v="110"/>
    <x v="1"/>
    <m/>
    <x v="1"/>
  </r>
  <r>
    <x v="110"/>
    <x v="2"/>
    <n v="3411711.5400000033"/>
    <x v="1"/>
  </r>
  <r>
    <x v="110"/>
    <x v="3"/>
    <s v="费用报销"/>
    <x v="1"/>
  </r>
  <r>
    <x v="110"/>
    <x v="4"/>
    <s v="费用"/>
    <x v="1"/>
  </r>
  <r>
    <x v="110"/>
    <x v="0"/>
    <n v="13960.5"/>
    <x v="1"/>
  </r>
  <r>
    <x v="110"/>
    <x v="1"/>
    <m/>
    <x v="1"/>
  </r>
  <r>
    <x v="110"/>
    <x v="2"/>
    <n v="3397751.0400000033"/>
    <x v="1"/>
  </r>
  <r>
    <x v="110"/>
    <x v="3"/>
    <s v="费用报销"/>
    <x v="1"/>
  </r>
  <r>
    <x v="110"/>
    <x v="4"/>
    <s v="费用"/>
    <x v="1"/>
  </r>
  <r>
    <x v="111"/>
    <x v="0"/>
    <n v="1000"/>
    <x v="1"/>
  </r>
  <r>
    <x v="111"/>
    <x v="1"/>
    <m/>
    <x v="1"/>
  </r>
  <r>
    <x v="111"/>
    <x v="2"/>
    <n v="3396751.0400000033"/>
    <x v="1"/>
  </r>
  <r>
    <x v="111"/>
    <x v="3"/>
    <s v="罚款"/>
    <x v="1"/>
  </r>
  <r>
    <x v="111"/>
    <x v="4"/>
    <s v="其他支出"/>
    <x v="1"/>
  </r>
  <r>
    <x v="112"/>
    <x v="0"/>
    <n v="1268"/>
    <x v="1"/>
  </r>
  <r>
    <x v="112"/>
    <x v="1"/>
    <m/>
    <x v="1"/>
  </r>
  <r>
    <x v="112"/>
    <x v="2"/>
    <n v="3395483.0400000033"/>
    <x v="1"/>
  </r>
  <r>
    <x v="112"/>
    <x v="3"/>
    <s v="4月份返点"/>
    <x v="1"/>
  </r>
  <r>
    <x v="112"/>
    <x v="4"/>
    <s v="费用"/>
    <x v="1"/>
  </r>
  <r>
    <x v="112"/>
    <x v="0"/>
    <n v="2298"/>
    <x v="1"/>
  </r>
  <r>
    <x v="112"/>
    <x v="1"/>
    <m/>
    <x v="1"/>
  </r>
  <r>
    <x v="112"/>
    <x v="2"/>
    <n v="3393185.0400000033"/>
    <x v="1"/>
  </r>
  <r>
    <x v="112"/>
    <x v="3"/>
    <s v="4月份返点"/>
    <x v="1"/>
  </r>
  <r>
    <x v="112"/>
    <x v="4"/>
    <s v="费用"/>
    <x v="1"/>
  </r>
  <r>
    <x v="113"/>
    <x v="0"/>
    <m/>
    <x v="1"/>
  </r>
  <r>
    <x v="113"/>
    <x v="1"/>
    <n v="14261.74"/>
    <x v="1"/>
  </r>
  <r>
    <x v="113"/>
    <x v="2"/>
    <n v="3407446.7800000035"/>
    <x v="1"/>
  </r>
  <r>
    <x v="113"/>
    <x v="3"/>
    <s v="货款"/>
    <x v="1"/>
  </r>
  <r>
    <x v="113"/>
    <x v="4"/>
    <s v="销售收入"/>
    <x v="1"/>
  </r>
  <r>
    <x v="113"/>
    <x v="0"/>
    <m/>
    <x v="1"/>
  </r>
  <r>
    <x v="113"/>
    <x v="1"/>
    <n v="218804.9"/>
    <x v="1"/>
  </r>
  <r>
    <x v="113"/>
    <x v="2"/>
    <n v="3626251.6800000034"/>
    <x v="1"/>
  </r>
  <r>
    <x v="113"/>
    <x v="3"/>
    <s v="货款"/>
    <x v="1"/>
  </r>
  <r>
    <x v="113"/>
    <x v="4"/>
    <s v="销售收入"/>
    <x v="1"/>
  </r>
  <r>
    <x v="113"/>
    <x v="0"/>
    <n v="29882.75"/>
    <x v="1"/>
  </r>
  <r>
    <x v="113"/>
    <x v="1"/>
    <m/>
    <x v="1"/>
  </r>
  <r>
    <x v="113"/>
    <x v="2"/>
    <n v="3596368.9300000034"/>
    <x v="1"/>
  </r>
  <r>
    <x v="113"/>
    <x v="3"/>
    <s v="工资及劳务费"/>
    <x v="1"/>
  </r>
  <r>
    <x v="113"/>
    <x v="4"/>
    <s v="工资及奖金"/>
    <x v="1"/>
  </r>
  <r>
    <x v="113"/>
    <x v="0"/>
    <n v="8922.2000000000007"/>
    <x v="1"/>
  </r>
  <r>
    <x v="113"/>
    <x v="1"/>
    <m/>
    <x v="1"/>
  </r>
  <r>
    <x v="113"/>
    <x v="2"/>
    <n v="3587446.7300000032"/>
    <x v="1"/>
  </r>
  <r>
    <x v="113"/>
    <x v="3"/>
    <s v="工资及劳务费"/>
    <x v="1"/>
  </r>
  <r>
    <x v="113"/>
    <x v="4"/>
    <s v="工资及奖金"/>
    <x v="1"/>
  </r>
  <r>
    <x v="113"/>
    <x v="0"/>
    <n v="24712.26"/>
    <x v="1"/>
  </r>
  <r>
    <x v="113"/>
    <x v="1"/>
    <m/>
    <x v="1"/>
  </r>
  <r>
    <x v="113"/>
    <x v="2"/>
    <n v="3562734.4700000035"/>
    <x v="1"/>
  </r>
  <r>
    <x v="113"/>
    <x v="3"/>
    <s v="工资及劳务费"/>
    <x v="1"/>
  </r>
  <r>
    <x v="113"/>
    <x v="4"/>
    <s v="工资及奖金"/>
    <x v="1"/>
  </r>
  <r>
    <x v="113"/>
    <x v="0"/>
    <n v="26361.8"/>
    <x v="1"/>
  </r>
  <r>
    <x v="113"/>
    <x v="1"/>
    <m/>
    <x v="1"/>
  </r>
  <r>
    <x v="113"/>
    <x v="2"/>
    <n v="3536372.6700000037"/>
    <x v="1"/>
  </r>
  <r>
    <x v="113"/>
    <x v="3"/>
    <s v="工资及劳务费"/>
    <x v="1"/>
  </r>
  <r>
    <x v="113"/>
    <x v="4"/>
    <s v="工资及奖金"/>
    <x v="1"/>
  </r>
  <r>
    <x v="113"/>
    <x v="0"/>
    <n v="3365.53"/>
    <x v="1"/>
  </r>
  <r>
    <x v="113"/>
    <x v="1"/>
    <m/>
    <x v="1"/>
  </r>
  <r>
    <x v="113"/>
    <x v="2"/>
    <n v="3533007.1400000039"/>
    <x v="1"/>
  </r>
  <r>
    <x v="113"/>
    <x v="3"/>
    <s v="工资及劳务费"/>
    <x v="1"/>
  </r>
  <r>
    <x v="113"/>
    <x v="4"/>
    <s v="工资及奖金"/>
    <x v="1"/>
  </r>
  <r>
    <x v="113"/>
    <x v="0"/>
    <n v="866.21"/>
    <x v="1"/>
  </r>
  <r>
    <x v="113"/>
    <x v="1"/>
    <m/>
    <x v="1"/>
  </r>
  <r>
    <x v="113"/>
    <x v="2"/>
    <n v="3532140.9300000039"/>
    <x v="1"/>
  </r>
  <r>
    <x v="113"/>
    <x v="3"/>
    <s v="工资及劳务费"/>
    <x v="1"/>
  </r>
  <r>
    <x v="113"/>
    <x v="4"/>
    <s v="工资及奖金"/>
    <x v="1"/>
  </r>
  <r>
    <x v="114"/>
    <x v="0"/>
    <m/>
    <x v="1"/>
  </r>
  <r>
    <x v="114"/>
    <x v="1"/>
    <n v="345504.43"/>
    <x v="1"/>
  </r>
  <r>
    <x v="114"/>
    <x v="2"/>
    <n v="3877645.3600000041"/>
    <x v="1"/>
  </r>
  <r>
    <x v="114"/>
    <x v="3"/>
    <s v="货款"/>
    <x v="1"/>
  </r>
  <r>
    <x v="114"/>
    <x v="4"/>
    <s v="销售收入"/>
    <x v="1"/>
  </r>
  <r>
    <x v="115"/>
    <x v="0"/>
    <m/>
    <x v="1"/>
  </r>
  <r>
    <x v="115"/>
    <x v="1"/>
    <n v="620000"/>
    <x v="1"/>
  </r>
  <r>
    <x v="115"/>
    <x v="2"/>
    <n v="4497645.3600000041"/>
    <x v="1"/>
  </r>
  <r>
    <x v="115"/>
    <x v="3"/>
    <s v="退回划错款"/>
    <x v="1"/>
  </r>
  <r>
    <x v="115"/>
    <x v="4"/>
    <s v="往来"/>
    <x v="1"/>
  </r>
  <r>
    <x v="116"/>
    <x v="0"/>
    <n v="10.5"/>
    <x v="1"/>
  </r>
  <r>
    <x v="116"/>
    <x v="1"/>
    <m/>
    <x v="1"/>
  </r>
  <r>
    <x v="116"/>
    <x v="2"/>
    <n v="4497634.8600000041"/>
    <x v="1"/>
  </r>
  <r>
    <x v="116"/>
    <x v="3"/>
    <s v="手续费"/>
    <x v="1"/>
  </r>
  <r>
    <x v="116"/>
    <x v="4"/>
    <s v="费用"/>
    <x v="1"/>
  </r>
  <r>
    <x v="117"/>
    <x v="0"/>
    <n v="7542.15"/>
    <x v="1"/>
  </r>
  <r>
    <x v="117"/>
    <x v="1"/>
    <m/>
    <x v="1"/>
  </r>
  <r>
    <x v="117"/>
    <x v="2"/>
    <n v="4490092.7100000037"/>
    <x v="1"/>
  </r>
  <r>
    <x v="117"/>
    <x v="3"/>
    <s v="费用报销"/>
    <x v="1"/>
  </r>
  <r>
    <x v="117"/>
    <x v="4"/>
    <s v="费用"/>
    <x v="1"/>
  </r>
  <r>
    <x v="117"/>
    <x v="0"/>
    <n v="995.54"/>
    <x v="1"/>
  </r>
  <r>
    <x v="117"/>
    <x v="1"/>
    <m/>
    <x v="1"/>
  </r>
  <r>
    <x v="117"/>
    <x v="2"/>
    <n v="4489097.1700000037"/>
    <x v="1"/>
  </r>
  <r>
    <x v="117"/>
    <x v="3"/>
    <s v="费用报销"/>
    <x v="1"/>
  </r>
  <r>
    <x v="117"/>
    <x v="4"/>
    <s v="费用"/>
    <x v="1"/>
  </r>
  <r>
    <x v="118"/>
    <x v="0"/>
    <m/>
    <x v="1"/>
  </r>
  <r>
    <x v="118"/>
    <x v="1"/>
    <n v="26519"/>
    <x v="1"/>
  </r>
  <r>
    <x v="118"/>
    <x v="2"/>
    <n v="4515616.1700000037"/>
    <x v="1"/>
  </r>
  <r>
    <x v="118"/>
    <x v="3"/>
    <s v="货款"/>
    <x v="1"/>
  </r>
  <r>
    <x v="118"/>
    <x v="4"/>
    <s v="销售收入"/>
    <x v="1"/>
  </r>
  <r>
    <x v="119"/>
    <x v="0"/>
    <n v="500000"/>
    <x v="1"/>
  </r>
  <r>
    <x v="119"/>
    <x v="1"/>
    <m/>
    <x v="1"/>
  </r>
  <r>
    <x v="119"/>
    <x v="2"/>
    <n v="4015616.1700000037"/>
    <x v="1"/>
  </r>
  <r>
    <x v="119"/>
    <x v="3"/>
    <s v="借款"/>
    <x v="1"/>
  </r>
  <r>
    <x v="119"/>
    <x v="4"/>
    <s v="往来"/>
    <x v="1"/>
  </r>
  <r>
    <x v="120"/>
    <x v="0"/>
    <n v="10.5"/>
    <x v="1"/>
  </r>
  <r>
    <x v="120"/>
    <x v="1"/>
    <m/>
    <x v="1"/>
  </r>
  <r>
    <x v="120"/>
    <x v="2"/>
    <n v="4015605.6700000037"/>
    <x v="1"/>
  </r>
  <r>
    <x v="120"/>
    <x v="3"/>
    <s v="手续费"/>
    <x v="1"/>
  </r>
  <r>
    <x v="120"/>
    <x v="4"/>
    <s v="费用"/>
    <x v="1"/>
  </r>
  <r>
    <x v="120"/>
    <x v="0"/>
    <n v="7534.83"/>
    <x v="1"/>
  </r>
  <r>
    <x v="120"/>
    <x v="1"/>
    <m/>
    <x v="1"/>
  </r>
  <r>
    <x v="120"/>
    <x v="2"/>
    <n v="4008070.8400000036"/>
    <x v="1"/>
  </r>
  <r>
    <x v="120"/>
    <x v="3"/>
    <s v="个税"/>
    <x v="1"/>
  </r>
  <r>
    <x v="120"/>
    <x v="4"/>
    <s v="个人所得税"/>
    <x v="1"/>
  </r>
  <r>
    <x v="121"/>
    <x v="0"/>
    <m/>
    <x v="1"/>
  </r>
  <r>
    <x v="121"/>
    <x v="1"/>
    <n v="370818"/>
    <x v="1"/>
  </r>
  <r>
    <x v="121"/>
    <x v="2"/>
    <n v="4378888.8400000036"/>
    <x v="1"/>
  </r>
  <r>
    <x v="121"/>
    <x v="3"/>
    <s v="货款"/>
    <x v="1"/>
  </r>
  <r>
    <x v="121"/>
    <x v="4"/>
    <s v="销售收入"/>
    <x v="1"/>
  </r>
  <r>
    <x v="122"/>
    <x v="0"/>
    <n v="423"/>
    <x v="1"/>
  </r>
  <r>
    <x v="122"/>
    <x v="1"/>
    <m/>
    <x v="1"/>
  </r>
  <r>
    <x v="122"/>
    <x v="2"/>
    <n v="4378465.8400000036"/>
    <x v="1"/>
  </r>
  <r>
    <x v="122"/>
    <x v="3"/>
    <s v="费用报销"/>
    <x v="1"/>
  </r>
  <r>
    <x v="122"/>
    <x v="4"/>
    <s v="费用"/>
    <x v="1"/>
  </r>
  <r>
    <x v="122"/>
    <x v="0"/>
    <n v="8614.0400000000009"/>
    <x v="1"/>
  </r>
  <r>
    <x v="122"/>
    <x v="1"/>
    <m/>
    <x v="1"/>
  </r>
  <r>
    <x v="122"/>
    <x v="2"/>
    <n v="4369851.8000000035"/>
    <x v="1"/>
  </r>
  <r>
    <x v="122"/>
    <x v="3"/>
    <s v="费用报销"/>
    <x v="1"/>
  </r>
  <r>
    <x v="122"/>
    <x v="4"/>
    <s v="费用"/>
    <x v="1"/>
  </r>
  <r>
    <x v="122"/>
    <x v="0"/>
    <n v="2996"/>
    <x v="1"/>
  </r>
  <r>
    <x v="122"/>
    <x v="1"/>
    <m/>
    <x v="1"/>
  </r>
  <r>
    <x v="122"/>
    <x v="2"/>
    <n v="4366855.8000000035"/>
    <x v="1"/>
  </r>
  <r>
    <x v="122"/>
    <x v="3"/>
    <s v="费用报销"/>
    <x v="1"/>
  </r>
  <r>
    <x v="122"/>
    <x v="4"/>
    <s v="费用"/>
    <x v="1"/>
  </r>
  <r>
    <x v="123"/>
    <x v="0"/>
    <n v="118484"/>
    <x v="1"/>
  </r>
  <r>
    <x v="123"/>
    <x v="1"/>
    <m/>
    <x v="1"/>
  </r>
  <r>
    <x v="123"/>
    <x v="2"/>
    <n v="4248371.8000000035"/>
    <x v="1"/>
  </r>
  <r>
    <x v="123"/>
    <x v="3"/>
    <s v="支付3-5月份粮油货款"/>
    <x v="1"/>
  </r>
  <r>
    <x v="123"/>
    <x v="4"/>
    <s v="采购成本"/>
    <x v="1"/>
  </r>
  <r>
    <x v="124"/>
    <x v="0"/>
    <n v="10.5"/>
    <x v="1"/>
  </r>
  <r>
    <x v="124"/>
    <x v="1"/>
    <m/>
    <x v="1"/>
  </r>
  <r>
    <x v="124"/>
    <x v="2"/>
    <n v="4248361.3000000035"/>
    <x v="1"/>
  </r>
  <r>
    <x v="124"/>
    <x v="3"/>
    <s v="手续费"/>
    <x v="1"/>
  </r>
  <r>
    <x v="124"/>
    <x v="4"/>
    <s v="费用"/>
    <x v="1"/>
  </r>
  <r>
    <x v="125"/>
    <x v="0"/>
    <n v="150"/>
    <x v="1"/>
  </r>
  <r>
    <x v="125"/>
    <x v="1"/>
    <m/>
    <x v="1"/>
  </r>
  <r>
    <x v="125"/>
    <x v="2"/>
    <n v="4248211.3000000035"/>
    <x v="1"/>
  </r>
  <r>
    <x v="125"/>
    <x v="3"/>
    <s v="5月份返点"/>
    <x v="1"/>
  </r>
  <r>
    <x v="125"/>
    <x v="4"/>
    <s v="费用"/>
    <x v="1"/>
  </r>
  <r>
    <x v="126"/>
    <x v="0"/>
    <n v="68440"/>
    <x v="1"/>
  </r>
  <r>
    <x v="126"/>
    <x v="1"/>
    <m/>
    <x v="1"/>
  </r>
  <r>
    <x v="126"/>
    <x v="2"/>
    <n v="4179771.3000000035"/>
    <x v="1"/>
  </r>
  <r>
    <x v="126"/>
    <x v="3"/>
    <s v="三四五月份的配送费"/>
    <x v="1"/>
  </r>
  <r>
    <x v="126"/>
    <x v="4"/>
    <s v="采购成本"/>
    <x v="1"/>
  </r>
  <r>
    <x v="127"/>
    <x v="0"/>
    <n v="7"/>
    <x v="1"/>
  </r>
  <r>
    <x v="127"/>
    <x v="1"/>
    <m/>
    <x v="1"/>
  </r>
  <r>
    <x v="127"/>
    <x v="2"/>
    <n v="4179764.3000000035"/>
    <x v="1"/>
  </r>
  <r>
    <x v="127"/>
    <x v="3"/>
    <s v="手续费"/>
    <x v="1"/>
  </r>
  <r>
    <x v="127"/>
    <x v="4"/>
    <s v="费用"/>
    <x v="1"/>
  </r>
  <r>
    <x v="127"/>
    <x v="0"/>
    <n v="277080"/>
    <x v="1"/>
  </r>
  <r>
    <x v="127"/>
    <x v="1"/>
    <m/>
    <x v="1"/>
  </r>
  <r>
    <x v="127"/>
    <x v="2"/>
    <n v="3902684.3000000035"/>
    <x v="1"/>
  </r>
  <r>
    <x v="127"/>
    <x v="3"/>
    <s v="支付采购大米货款"/>
    <x v="1"/>
  </r>
  <r>
    <x v="127"/>
    <x v="4"/>
    <s v="采购成本"/>
    <x v="1"/>
  </r>
  <r>
    <x v="127"/>
    <x v="0"/>
    <m/>
    <x v="1"/>
  </r>
  <r>
    <x v="127"/>
    <x v="1"/>
    <n v="597.29999999999995"/>
    <x v="1"/>
  </r>
  <r>
    <x v="127"/>
    <x v="2"/>
    <n v="3903281.6000000034"/>
    <x v="1"/>
  </r>
  <r>
    <x v="127"/>
    <x v="3"/>
    <s v="货款"/>
    <x v="1"/>
  </r>
  <r>
    <x v="127"/>
    <x v="4"/>
    <s v="销售收入"/>
    <x v="1"/>
  </r>
  <r>
    <x v="128"/>
    <x v="0"/>
    <n v="10.5"/>
    <x v="1"/>
  </r>
  <r>
    <x v="128"/>
    <x v="1"/>
    <m/>
    <x v="1"/>
  </r>
  <r>
    <x v="128"/>
    <x v="2"/>
    <n v="3903271.1000000034"/>
    <x v="1"/>
  </r>
  <r>
    <x v="128"/>
    <x v="3"/>
    <s v="手续费"/>
    <x v="1"/>
  </r>
  <r>
    <x v="128"/>
    <x v="4"/>
    <s v="费用"/>
    <x v="1"/>
  </r>
  <r>
    <x v="128"/>
    <x v="0"/>
    <n v="14087.75"/>
    <x v="1"/>
  </r>
  <r>
    <x v="128"/>
    <x v="1"/>
    <m/>
    <x v="1"/>
  </r>
  <r>
    <x v="128"/>
    <x v="2"/>
    <n v="3889183.3500000034"/>
    <x v="1"/>
  </r>
  <r>
    <x v="128"/>
    <x v="3"/>
    <s v="工资及劳务费"/>
    <x v="1"/>
  </r>
  <r>
    <x v="128"/>
    <x v="4"/>
    <s v="工资及奖金"/>
    <x v="1"/>
  </r>
  <r>
    <x v="128"/>
    <x v="0"/>
    <n v="8922.2000000000007"/>
    <x v="1"/>
  </r>
  <r>
    <x v="128"/>
    <x v="1"/>
    <m/>
    <x v="1"/>
  </r>
  <r>
    <x v="128"/>
    <x v="2"/>
    <n v="3880261.1500000032"/>
    <x v="1"/>
  </r>
  <r>
    <x v="128"/>
    <x v="3"/>
    <s v="工资及劳务费"/>
    <x v="1"/>
  </r>
  <r>
    <x v="128"/>
    <x v="4"/>
    <s v="工资及奖金"/>
    <x v="1"/>
  </r>
  <r>
    <x v="128"/>
    <x v="0"/>
    <n v="4004.9"/>
    <x v="1"/>
  </r>
  <r>
    <x v="128"/>
    <x v="1"/>
    <m/>
    <x v="1"/>
  </r>
  <r>
    <x v="128"/>
    <x v="2"/>
    <n v="3876256.2500000033"/>
    <x v="1"/>
  </r>
  <r>
    <x v="128"/>
    <x v="3"/>
    <s v="工资及劳务费"/>
    <x v="1"/>
  </r>
  <r>
    <x v="128"/>
    <x v="4"/>
    <s v="工资及奖金"/>
    <x v="1"/>
  </r>
  <r>
    <x v="128"/>
    <x v="0"/>
    <n v="1219.31"/>
    <x v="1"/>
  </r>
  <r>
    <x v="128"/>
    <x v="1"/>
    <m/>
    <x v="1"/>
  </r>
  <r>
    <x v="128"/>
    <x v="2"/>
    <n v="3875036.9400000032"/>
    <x v="1"/>
  </r>
  <r>
    <x v="128"/>
    <x v="3"/>
    <s v="工资及劳务费"/>
    <x v="1"/>
  </r>
  <r>
    <x v="128"/>
    <x v="4"/>
    <s v="工资及奖金"/>
    <x v="1"/>
  </r>
  <r>
    <x v="128"/>
    <x v="0"/>
    <n v="14170"/>
    <x v="1"/>
  </r>
  <r>
    <x v="128"/>
    <x v="1"/>
    <m/>
    <x v="1"/>
  </r>
  <r>
    <x v="128"/>
    <x v="2"/>
    <n v="3860866.9400000032"/>
    <x v="1"/>
  </r>
  <r>
    <x v="128"/>
    <x v="3"/>
    <s v="六七八月份的配送费及仓储费"/>
    <x v="1"/>
  </r>
  <r>
    <x v="128"/>
    <x v="4"/>
    <s v="采购成本"/>
    <x v="1"/>
  </r>
  <r>
    <x v="128"/>
    <x v="0"/>
    <n v="12531.42"/>
    <x v="1"/>
  </r>
  <r>
    <x v="128"/>
    <x v="1"/>
    <m/>
    <x v="1"/>
  </r>
  <r>
    <x v="128"/>
    <x v="2"/>
    <n v="3848335.5200000033"/>
    <x v="1"/>
  </r>
  <r>
    <x v="128"/>
    <x v="3"/>
    <s v="工资"/>
    <x v="1"/>
  </r>
  <r>
    <x v="128"/>
    <x v="4"/>
    <s v="工资及奖金"/>
    <x v="1"/>
  </r>
  <r>
    <x v="128"/>
    <x v="0"/>
    <n v="16198.55"/>
    <x v="1"/>
  </r>
  <r>
    <x v="128"/>
    <x v="1"/>
    <m/>
    <x v="1"/>
  </r>
  <r>
    <x v="128"/>
    <x v="2"/>
    <n v="3832136.9700000035"/>
    <x v="1"/>
  </r>
  <r>
    <x v="128"/>
    <x v="3"/>
    <s v="工资"/>
    <x v="1"/>
  </r>
  <r>
    <x v="128"/>
    <x v="4"/>
    <s v="工资及奖金"/>
    <x v="1"/>
  </r>
  <r>
    <x v="129"/>
    <x v="0"/>
    <n v="7"/>
    <x v="1"/>
  </r>
  <r>
    <x v="129"/>
    <x v="1"/>
    <m/>
    <x v="1"/>
  </r>
  <r>
    <x v="129"/>
    <x v="2"/>
    <n v="3832129.9700000035"/>
    <x v="1"/>
  </r>
  <r>
    <x v="129"/>
    <x v="3"/>
    <s v="手续费"/>
    <x v="1"/>
  </r>
  <r>
    <x v="129"/>
    <x v="4"/>
    <s v="费用"/>
    <x v="1"/>
  </r>
  <r>
    <x v="130"/>
    <x v="0"/>
    <n v="9998"/>
    <x v="1"/>
  </r>
  <r>
    <x v="130"/>
    <x v="1"/>
    <m/>
    <x v="1"/>
  </r>
  <r>
    <x v="130"/>
    <x v="2"/>
    <n v="3822131.9700000035"/>
    <x v="1"/>
  </r>
  <r>
    <x v="130"/>
    <x v="3"/>
    <s v="会议服务"/>
    <x v="1"/>
  </r>
  <r>
    <x v="130"/>
    <x v="4"/>
    <s v="费用"/>
    <x v="1"/>
  </r>
  <r>
    <x v="131"/>
    <x v="0"/>
    <n v="3.5"/>
    <x v="1"/>
  </r>
  <r>
    <x v="131"/>
    <x v="1"/>
    <m/>
    <x v="1"/>
  </r>
  <r>
    <x v="131"/>
    <x v="2"/>
    <n v="3822128.4700000035"/>
    <x v="1"/>
  </r>
  <r>
    <x v="131"/>
    <x v="3"/>
    <s v="手续费"/>
    <x v="1"/>
  </r>
  <r>
    <x v="131"/>
    <x v="4"/>
    <s v="费用"/>
    <x v="1"/>
  </r>
  <r>
    <x v="131"/>
    <x v="0"/>
    <m/>
    <x v="1"/>
  </r>
  <r>
    <x v="131"/>
    <x v="1"/>
    <n v="342695.29"/>
    <x v="1"/>
  </r>
  <r>
    <x v="131"/>
    <x v="2"/>
    <n v="4164823.7600000035"/>
    <x v="1"/>
  </r>
  <r>
    <x v="131"/>
    <x v="3"/>
    <s v="5月货款"/>
    <x v="1"/>
  </r>
  <r>
    <x v="131"/>
    <x v="4"/>
    <s v="销售收入"/>
    <x v="1"/>
  </r>
  <r>
    <x v="132"/>
    <x v="0"/>
    <n v="206581.36"/>
    <x v="1"/>
  </r>
  <r>
    <x v="132"/>
    <x v="1"/>
    <m/>
    <x v="1"/>
  </r>
  <r>
    <x v="132"/>
    <x v="2"/>
    <n v="3958242.4000000036"/>
    <x v="1"/>
  </r>
  <r>
    <x v="132"/>
    <x v="3"/>
    <s v="支付5月毛菜货款"/>
    <x v="1"/>
  </r>
  <r>
    <x v="132"/>
    <x v="4"/>
    <s v="采购成本"/>
    <x v="1"/>
  </r>
  <r>
    <x v="132"/>
    <x v="0"/>
    <n v="2937.85"/>
    <x v="1"/>
  </r>
  <r>
    <x v="132"/>
    <x v="1"/>
    <m/>
    <x v="1"/>
  </r>
  <r>
    <x v="132"/>
    <x v="2"/>
    <n v="3955304.5500000035"/>
    <x v="1"/>
  </r>
  <r>
    <x v="132"/>
    <x v="3"/>
    <s v="费用报销"/>
    <x v="1"/>
  </r>
  <r>
    <x v="132"/>
    <x v="4"/>
    <s v="费用"/>
    <x v="1"/>
  </r>
  <r>
    <x v="132"/>
    <x v="0"/>
    <n v="783.7"/>
    <x v="1"/>
  </r>
  <r>
    <x v="132"/>
    <x v="1"/>
    <m/>
    <x v="1"/>
  </r>
  <r>
    <x v="132"/>
    <x v="2"/>
    <n v="3954520.8500000034"/>
    <x v="1"/>
  </r>
  <r>
    <x v="132"/>
    <x v="3"/>
    <s v="费用报销"/>
    <x v="1"/>
  </r>
  <r>
    <x v="132"/>
    <x v="4"/>
    <s v="费用"/>
    <x v="1"/>
  </r>
  <r>
    <x v="132"/>
    <x v="0"/>
    <n v="2189"/>
    <x v="1"/>
  </r>
  <r>
    <x v="132"/>
    <x v="1"/>
    <m/>
    <x v="1"/>
  </r>
  <r>
    <x v="132"/>
    <x v="2"/>
    <n v="3952331.8500000034"/>
    <x v="1"/>
  </r>
  <r>
    <x v="132"/>
    <x v="3"/>
    <s v="费用报销"/>
    <x v="1"/>
  </r>
  <r>
    <x v="132"/>
    <x v="4"/>
    <s v="费用"/>
    <x v="1"/>
  </r>
  <r>
    <x v="133"/>
    <x v="0"/>
    <n v="10.5"/>
    <x v="1"/>
  </r>
  <r>
    <x v="133"/>
    <x v="1"/>
    <m/>
    <x v="1"/>
  </r>
  <r>
    <x v="133"/>
    <x v="2"/>
    <n v="3952321.3500000034"/>
    <x v="1"/>
  </r>
  <r>
    <x v="133"/>
    <x v="3"/>
    <s v="手续费"/>
    <x v="1"/>
  </r>
  <r>
    <x v="133"/>
    <x v="4"/>
    <s v="费用"/>
    <x v="1"/>
  </r>
  <r>
    <x v="134"/>
    <x v="0"/>
    <n v="250000"/>
    <x v="1"/>
  </r>
  <r>
    <x v="134"/>
    <x v="1"/>
    <m/>
    <x v="1"/>
  </r>
  <r>
    <x v="134"/>
    <x v="2"/>
    <n v="3702321.3500000034"/>
    <x v="1"/>
  </r>
  <r>
    <x v="134"/>
    <x v="3"/>
    <s v="代付股权购买款"/>
    <x v="1"/>
  </r>
  <r>
    <x v="134"/>
    <x v="4"/>
    <s v="往来"/>
    <x v="1"/>
  </r>
  <r>
    <x v="134"/>
    <x v="0"/>
    <n v="400000"/>
    <x v="1"/>
  </r>
  <r>
    <x v="134"/>
    <x v="1"/>
    <m/>
    <x v="1"/>
  </r>
  <r>
    <x v="134"/>
    <x v="2"/>
    <n v="3302321.3500000034"/>
    <x v="1"/>
  </r>
  <r>
    <x v="134"/>
    <x v="3"/>
    <s v="代付股权购买款"/>
    <x v="1"/>
  </r>
  <r>
    <x v="134"/>
    <x v="4"/>
    <s v="往来"/>
    <x v="1"/>
  </r>
  <r>
    <x v="135"/>
    <x v="0"/>
    <n v="21"/>
    <x v="1"/>
  </r>
  <r>
    <x v="135"/>
    <x v="1"/>
    <m/>
    <x v="1"/>
  </r>
  <r>
    <x v="135"/>
    <x v="2"/>
    <n v="3302300.3500000034"/>
    <x v="1"/>
  </r>
  <r>
    <x v="135"/>
    <x v="3"/>
    <s v="手续费"/>
    <x v="1"/>
  </r>
  <r>
    <x v="135"/>
    <x v="4"/>
    <s v="费用"/>
    <x v="1"/>
  </r>
  <r>
    <x v="136"/>
    <x v="0"/>
    <m/>
    <x v="1"/>
  </r>
  <r>
    <x v="136"/>
    <x v="1"/>
    <n v="1200000"/>
    <x v="1"/>
  </r>
  <r>
    <x v="136"/>
    <x v="2"/>
    <n v="4502300.3500000034"/>
    <x v="1"/>
  </r>
  <r>
    <x v="136"/>
    <x v="3"/>
    <s v=""/>
    <x v="1"/>
  </r>
  <r>
    <x v="136"/>
    <x v="4"/>
    <s v="往来"/>
    <x v="1"/>
  </r>
  <r>
    <x v="137"/>
    <x v="0"/>
    <n v="1200000"/>
    <x v="1"/>
  </r>
  <r>
    <x v="137"/>
    <x v="1"/>
    <m/>
    <x v="1"/>
  </r>
  <r>
    <x v="137"/>
    <x v="2"/>
    <n v="3302300.3500000034"/>
    <x v="1"/>
  </r>
  <r>
    <x v="137"/>
    <x v="3"/>
    <s v="款项退回"/>
    <x v="1"/>
  </r>
  <r>
    <x v="137"/>
    <x v="4"/>
    <s v="往来"/>
    <x v="1"/>
  </r>
  <r>
    <x v="138"/>
    <x v="0"/>
    <n v="16.8"/>
    <x v="1"/>
  </r>
  <r>
    <x v="138"/>
    <x v="1"/>
    <m/>
    <x v="1"/>
  </r>
  <r>
    <x v="138"/>
    <x v="2"/>
    <n v="3302283.5500000035"/>
    <x v="1"/>
  </r>
  <r>
    <x v="138"/>
    <x v="3"/>
    <s v="手续费"/>
    <x v="1"/>
  </r>
  <r>
    <x v="138"/>
    <x v="4"/>
    <s v="费用"/>
    <x v="1"/>
  </r>
  <r>
    <x v="139"/>
    <x v="0"/>
    <n v="7430"/>
    <x v="1"/>
  </r>
  <r>
    <x v="139"/>
    <x v="1"/>
    <m/>
    <x v="1"/>
  </r>
  <r>
    <x v="139"/>
    <x v="2"/>
    <n v="3294853.5500000035"/>
    <x v="1"/>
  </r>
  <r>
    <x v="139"/>
    <x v="3"/>
    <s v="个税"/>
    <x v="1"/>
  </r>
  <r>
    <x v="139"/>
    <x v="4"/>
    <s v="个人所得税"/>
    <x v="1"/>
  </r>
  <r>
    <x v="140"/>
    <x v="0"/>
    <m/>
    <x v="1"/>
  </r>
  <r>
    <x v="140"/>
    <x v="1"/>
    <n v="1200000"/>
    <x v="1"/>
  </r>
  <r>
    <x v="140"/>
    <x v="2"/>
    <n v="4494853.5500000035"/>
    <x v="1"/>
  </r>
  <r>
    <x v="140"/>
    <x v="3"/>
    <s v="投资款"/>
    <x v="1"/>
  </r>
  <r>
    <x v="140"/>
    <x v="4"/>
    <s v="实收资本"/>
    <x v="1"/>
  </r>
  <r>
    <x v="141"/>
    <x v="0"/>
    <m/>
    <x v="1"/>
  </r>
  <r>
    <x v="141"/>
    <x v="1"/>
    <n v="13110.28"/>
    <x v="1"/>
  </r>
  <r>
    <x v="141"/>
    <x v="2"/>
    <n v="4507963.8300000038"/>
    <x v="1"/>
  </r>
  <r>
    <x v="141"/>
    <x v="3"/>
    <s v="8月货款"/>
    <x v="1"/>
  </r>
  <r>
    <x v="141"/>
    <x v="4"/>
    <s v="销售收入"/>
    <x v="1"/>
  </r>
  <r>
    <x v="142"/>
    <x v="0"/>
    <m/>
    <x v="1"/>
  </r>
  <r>
    <x v="142"/>
    <x v="1"/>
    <n v="2115.64"/>
    <x v="1"/>
  </r>
  <r>
    <x v="142"/>
    <x v="2"/>
    <n v="4510079.4700000035"/>
    <x v="1"/>
  </r>
  <r>
    <x v="142"/>
    <x v="3"/>
    <s v="利息"/>
    <x v="1"/>
  </r>
  <r>
    <x v="142"/>
    <x v="4"/>
    <s v="其他收入"/>
    <x v="1"/>
  </r>
  <r>
    <x v="142"/>
    <x v="0"/>
    <n v="40"/>
    <x v="1"/>
  </r>
  <r>
    <x v="142"/>
    <x v="1"/>
    <m/>
    <x v="1"/>
  </r>
  <r>
    <x v="142"/>
    <x v="2"/>
    <n v="4510039.4700000035"/>
    <x v="1"/>
  </r>
  <r>
    <x v="142"/>
    <x v="3"/>
    <s v="银行手续费"/>
    <x v="1"/>
  </r>
  <r>
    <x v="142"/>
    <x v="4"/>
    <s v="费用"/>
    <x v="1"/>
  </r>
  <r>
    <x v="143"/>
    <x v="0"/>
    <n v="5199"/>
    <x v="1"/>
  </r>
  <r>
    <x v="143"/>
    <x v="1"/>
    <m/>
    <x v="1"/>
  </r>
  <r>
    <x v="143"/>
    <x v="2"/>
    <n v="4504840.4700000035"/>
    <x v="1"/>
  </r>
  <r>
    <x v="143"/>
    <x v="3"/>
    <s v="购买笔记本电脑"/>
    <x v="1"/>
  </r>
  <r>
    <x v="143"/>
    <x v="4"/>
    <s v="采购成本"/>
    <x v="1"/>
  </r>
  <r>
    <x v="144"/>
    <x v="0"/>
    <n v="3000"/>
    <x v="1"/>
  </r>
  <r>
    <x v="144"/>
    <x v="1"/>
    <m/>
    <x v="1"/>
  </r>
  <r>
    <x v="144"/>
    <x v="2"/>
    <n v="4501840.4700000035"/>
    <x v="1"/>
  </r>
  <r>
    <x v="144"/>
    <x v="3"/>
    <s v="微信小程序的UI美工设计"/>
    <x v="1"/>
  </r>
  <r>
    <x v="144"/>
    <x v="4"/>
    <s v="采购成本"/>
    <x v="1"/>
  </r>
  <r>
    <x v="144"/>
    <x v="0"/>
    <n v="501"/>
    <x v="1"/>
  </r>
  <r>
    <x v="144"/>
    <x v="1"/>
    <m/>
    <x v="1"/>
  </r>
  <r>
    <x v="144"/>
    <x v="2"/>
    <n v="4501339.4700000035"/>
    <x v="1"/>
  </r>
  <r>
    <x v="144"/>
    <x v="3"/>
    <s v="费用报销"/>
    <x v="1"/>
  </r>
  <r>
    <x v="144"/>
    <x v="4"/>
    <s v="费用"/>
    <x v="1"/>
  </r>
  <r>
    <x v="144"/>
    <x v="0"/>
    <n v="8113.5"/>
    <x v="1"/>
  </r>
  <r>
    <x v="144"/>
    <x v="1"/>
    <m/>
    <x v="1"/>
  </r>
  <r>
    <x v="144"/>
    <x v="2"/>
    <n v="4493225.9700000035"/>
    <x v="1"/>
  </r>
  <r>
    <x v="144"/>
    <x v="3"/>
    <s v="费用报销"/>
    <x v="1"/>
  </r>
  <r>
    <x v="144"/>
    <x v="4"/>
    <s v="费用"/>
    <x v="1"/>
  </r>
  <r>
    <x v="144"/>
    <x v="0"/>
    <n v="300"/>
    <x v="1"/>
  </r>
  <r>
    <x v="144"/>
    <x v="1"/>
    <m/>
    <x v="1"/>
  </r>
  <r>
    <x v="144"/>
    <x v="2"/>
    <n v="4492925.9700000035"/>
    <x v="1"/>
  </r>
  <r>
    <x v="144"/>
    <x v="3"/>
    <s v="费用报销"/>
    <x v="1"/>
  </r>
  <r>
    <x v="144"/>
    <x v="4"/>
    <s v="费用"/>
    <x v="1"/>
  </r>
  <r>
    <x v="144"/>
    <x v="0"/>
    <n v="88"/>
    <x v="1"/>
  </r>
  <r>
    <x v="144"/>
    <x v="1"/>
    <m/>
    <x v="1"/>
  </r>
  <r>
    <x v="144"/>
    <x v="2"/>
    <n v="4492837.9700000035"/>
    <x v="1"/>
  </r>
  <r>
    <x v="144"/>
    <x v="3"/>
    <s v="费用报销"/>
    <x v="1"/>
  </r>
  <r>
    <x v="144"/>
    <x v="4"/>
    <s v="费用"/>
    <x v="1"/>
  </r>
  <r>
    <x v="144"/>
    <x v="0"/>
    <n v="2197.8000000000002"/>
    <x v="1"/>
  </r>
  <r>
    <x v="144"/>
    <x v="1"/>
    <m/>
    <x v="1"/>
  </r>
  <r>
    <x v="144"/>
    <x v="2"/>
    <n v="4490640.1700000037"/>
    <x v="1"/>
  </r>
  <r>
    <x v="144"/>
    <x v="3"/>
    <s v="费用报销"/>
    <x v="1"/>
  </r>
  <r>
    <x v="144"/>
    <x v="4"/>
    <s v="费用"/>
    <x v="1"/>
  </r>
  <r>
    <x v="144"/>
    <x v="0"/>
    <n v="14087.75"/>
    <x v="1"/>
  </r>
  <r>
    <x v="144"/>
    <x v="1"/>
    <m/>
    <x v="1"/>
  </r>
  <r>
    <x v="144"/>
    <x v="2"/>
    <n v="4476552.4200000037"/>
    <x v="1"/>
  </r>
  <r>
    <x v="144"/>
    <x v="3"/>
    <s v="工资"/>
    <x v="1"/>
  </r>
  <r>
    <x v="144"/>
    <x v="4"/>
    <s v="工资及奖金"/>
    <x v="1"/>
  </r>
  <r>
    <x v="144"/>
    <x v="0"/>
    <n v="8922.2000000000007"/>
    <x v="1"/>
  </r>
  <r>
    <x v="144"/>
    <x v="1"/>
    <m/>
    <x v="1"/>
  </r>
  <r>
    <x v="144"/>
    <x v="2"/>
    <n v="4467630.2200000035"/>
    <x v="1"/>
  </r>
  <r>
    <x v="144"/>
    <x v="3"/>
    <s v="工资"/>
    <x v="1"/>
  </r>
  <r>
    <x v="144"/>
    <x v="4"/>
    <s v="工资及奖金"/>
    <x v="1"/>
  </r>
  <r>
    <x v="144"/>
    <x v="0"/>
    <n v="4004.9"/>
    <x v="1"/>
  </r>
  <r>
    <x v="144"/>
    <x v="1"/>
    <m/>
    <x v="1"/>
  </r>
  <r>
    <x v="144"/>
    <x v="2"/>
    <n v="4463625.3200000031"/>
    <x v="1"/>
  </r>
  <r>
    <x v="144"/>
    <x v="3"/>
    <s v="工资"/>
    <x v="1"/>
  </r>
  <r>
    <x v="144"/>
    <x v="4"/>
    <s v="工资及奖金"/>
    <x v="1"/>
  </r>
  <r>
    <x v="144"/>
    <x v="0"/>
    <n v="12531.42"/>
    <x v="1"/>
  </r>
  <r>
    <x v="144"/>
    <x v="1"/>
    <m/>
    <x v="1"/>
  </r>
  <r>
    <x v="144"/>
    <x v="2"/>
    <n v="4451093.9000000032"/>
    <x v="1"/>
  </r>
  <r>
    <x v="144"/>
    <x v="3"/>
    <s v="工资"/>
    <x v="1"/>
  </r>
  <r>
    <x v="144"/>
    <x v="4"/>
    <s v="工资及奖金"/>
    <x v="1"/>
  </r>
  <r>
    <x v="144"/>
    <x v="0"/>
    <n v="16198.55"/>
    <x v="1"/>
  </r>
  <r>
    <x v="144"/>
    <x v="1"/>
    <m/>
    <x v="1"/>
  </r>
  <r>
    <x v="144"/>
    <x v="2"/>
    <n v="4434895.3500000034"/>
    <x v="1"/>
  </r>
  <r>
    <x v="144"/>
    <x v="3"/>
    <s v="工资"/>
    <x v="1"/>
  </r>
  <r>
    <x v="144"/>
    <x v="4"/>
    <s v="工资及奖金"/>
    <x v="1"/>
  </r>
  <r>
    <x v="145"/>
    <x v="0"/>
    <n v="50000"/>
    <x v="1"/>
  </r>
  <r>
    <x v="145"/>
    <x v="1"/>
    <m/>
    <x v="1"/>
  </r>
  <r>
    <x v="145"/>
    <x v="2"/>
    <n v="4384895.3500000034"/>
    <x v="1"/>
  </r>
  <r>
    <x v="145"/>
    <x v="3"/>
    <s v="蔬菜采购备用金"/>
    <x v="1"/>
  </r>
  <r>
    <x v="145"/>
    <x v="4"/>
    <s v="采购成本"/>
    <x v="1"/>
  </r>
  <r>
    <x v="145"/>
    <x v="0"/>
    <n v="50000"/>
    <x v="1"/>
  </r>
  <r>
    <x v="145"/>
    <x v="1"/>
    <m/>
    <x v="1"/>
  </r>
  <r>
    <x v="145"/>
    <x v="2"/>
    <n v="4334895.3500000034"/>
    <x v="1"/>
  </r>
  <r>
    <x v="145"/>
    <x v="3"/>
    <s v="蔬菜采购备用金"/>
    <x v="1"/>
  </r>
  <r>
    <x v="145"/>
    <x v="4"/>
    <s v="采购成本"/>
    <x v="1"/>
  </r>
  <r>
    <x v="146"/>
    <x v="0"/>
    <n v="23800"/>
    <x v="1"/>
  </r>
  <r>
    <x v="146"/>
    <x v="1"/>
    <m/>
    <x v="1"/>
  </r>
  <r>
    <x v="146"/>
    <x v="2"/>
    <n v="4311095.3500000034"/>
    <x v="1"/>
  </r>
  <r>
    <x v="146"/>
    <x v="3"/>
    <s v="支付新风设备款"/>
    <x v="1"/>
  </r>
  <r>
    <x v="146"/>
    <x v="4"/>
    <s v="费用"/>
    <x v="1"/>
  </r>
  <r>
    <x v="147"/>
    <x v="0"/>
    <n v="17952.72"/>
    <x v="1"/>
  </r>
  <r>
    <x v="147"/>
    <x v="1"/>
    <m/>
    <x v="1"/>
  </r>
  <r>
    <x v="147"/>
    <x v="2"/>
    <n v="4293142.6300000036"/>
    <x v="1"/>
  </r>
  <r>
    <x v="147"/>
    <x v="3"/>
    <s v="个税"/>
    <x v="1"/>
  </r>
  <r>
    <x v="147"/>
    <x v="4"/>
    <s v="个人所得税"/>
    <x v="1"/>
  </r>
  <r>
    <x v="148"/>
    <x v="0"/>
    <n v="30000"/>
    <x v="1"/>
  </r>
  <r>
    <x v="148"/>
    <x v="1"/>
    <m/>
    <x v="1"/>
  </r>
  <r>
    <x v="148"/>
    <x v="2"/>
    <n v="4263142.6300000036"/>
    <x v="1"/>
  </r>
  <r>
    <x v="148"/>
    <x v="3"/>
    <s v="库房租赁保证金(押金)"/>
    <x v="1"/>
  </r>
  <r>
    <x v="148"/>
    <x v="4"/>
    <s v="往来"/>
    <x v="1"/>
  </r>
  <r>
    <x v="149"/>
    <x v="0"/>
    <n v="7"/>
    <x v="1"/>
  </r>
  <r>
    <x v="149"/>
    <x v="1"/>
    <m/>
    <x v="1"/>
  </r>
  <r>
    <x v="149"/>
    <x v="2"/>
    <n v="4263135.6300000036"/>
    <x v="1"/>
  </r>
  <r>
    <x v="149"/>
    <x v="3"/>
    <s v="手续费"/>
    <x v="1"/>
  </r>
  <r>
    <x v="149"/>
    <x v="4"/>
    <s v="费用"/>
    <x v="1"/>
  </r>
  <r>
    <x v="149"/>
    <x v="0"/>
    <n v="37286"/>
    <x v="1"/>
  </r>
  <r>
    <x v="149"/>
    <x v="1"/>
    <m/>
    <x v="1"/>
  </r>
  <r>
    <x v="149"/>
    <x v="2"/>
    <n v="4225849.6300000036"/>
    <x v="1"/>
  </r>
  <r>
    <x v="149"/>
    <x v="3"/>
    <s v="房租"/>
    <x v="1"/>
  </r>
  <r>
    <x v="149"/>
    <x v="4"/>
    <s v="费用"/>
    <x v="1"/>
  </r>
  <r>
    <x v="149"/>
    <x v="0"/>
    <n v="37286"/>
    <x v="1"/>
  </r>
  <r>
    <x v="149"/>
    <x v="1"/>
    <m/>
    <x v="1"/>
  </r>
  <r>
    <x v="149"/>
    <x v="2"/>
    <n v="4188563.6300000036"/>
    <x v="1"/>
  </r>
  <r>
    <x v="149"/>
    <x v="3"/>
    <s v="房租"/>
    <x v="1"/>
  </r>
  <r>
    <x v="149"/>
    <x v="4"/>
    <s v="费用"/>
    <x v="1"/>
  </r>
  <r>
    <x v="150"/>
    <x v="0"/>
    <n v="31578.9"/>
    <x v="1"/>
  </r>
  <r>
    <x v="150"/>
    <x v="1"/>
    <m/>
    <x v="1"/>
  </r>
  <r>
    <x v="150"/>
    <x v="2"/>
    <n v="4156984.7300000037"/>
    <x v="1"/>
  </r>
  <r>
    <x v="150"/>
    <x v="3"/>
    <s v="工资及劳务费"/>
    <x v="1"/>
  </r>
  <r>
    <x v="150"/>
    <x v="4"/>
    <s v="工资及奖金"/>
    <x v="1"/>
  </r>
  <r>
    <x v="150"/>
    <x v="0"/>
    <n v="8922.2000000000007"/>
    <x v="1"/>
  </r>
  <r>
    <x v="150"/>
    <x v="1"/>
    <m/>
    <x v="1"/>
  </r>
  <r>
    <x v="150"/>
    <x v="2"/>
    <n v="4148062.5300000035"/>
    <x v="1"/>
  </r>
  <r>
    <x v="150"/>
    <x v="3"/>
    <s v="工资及劳务费"/>
    <x v="1"/>
  </r>
  <r>
    <x v="150"/>
    <x v="4"/>
    <s v="工资及奖金"/>
    <x v="1"/>
  </r>
  <r>
    <x v="150"/>
    <x v="0"/>
    <n v="4004.9"/>
    <x v="1"/>
  </r>
  <r>
    <x v="150"/>
    <x v="1"/>
    <m/>
    <x v="1"/>
  </r>
  <r>
    <x v="150"/>
    <x v="2"/>
    <n v="4144057.6300000036"/>
    <x v="1"/>
  </r>
  <r>
    <x v="150"/>
    <x v="3"/>
    <s v="工资及劳务费"/>
    <x v="1"/>
  </r>
  <r>
    <x v="150"/>
    <x v="4"/>
    <s v="工资及奖金"/>
    <x v="1"/>
  </r>
  <r>
    <x v="150"/>
    <x v="0"/>
    <n v="11523.05"/>
    <x v="1"/>
  </r>
  <r>
    <x v="150"/>
    <x v="1"/>
    <m/>
    <x v="1"/>
  </r>
  <r>
    <x v="150"/>
    <x v="2"/>
    <n v="4132534.5800000038"/>
    <x v="1"/>
  </r>
  <r>
    <x v="150"/>
    <x v="3"/>
    <s v="工资及劳务费"/>
    <x v="1"/>
  </r>
  <r>
    <x v="150"/>
    <x v="4"/>
    <s v="工资及奖金"/>
    <x v="1"/>
  </r>
  <r>
    <x v="150"/>
    <x v="0"/>
    <n v="26416.55"/>
    <x v="1"/>
  </r>
  <r>
    <x v="150"/>
    <x v="1"/>
    <m/>
    <x v="1"/>
  </r>
  <r>
    <x v="150"/>
    <x v="2"/>
    <n v="4106118.030000004"/>
    <x v="1"/>
  </r>
  <r>
    <x v="150"/>
    <x v="3"/>
    <s v="工资及劳务费"/>
    <x v="1"/>
  </r>
  <r>
    <x v="150"/>
    <x v="4"/>
    <s v="工资及奖金"/>
    <x v="1"/>
  </r>
  <r>
    <x v="150"/>
    <x v="0"/>
    <n v="2317.2399999999998"/>
    <x v="1"/>
  </r>
  <r>
    <x v="150"/>
    <x v="1"/>
    <m/>
    <x v="1"/>
  </r>
  <r>
    <x v="150"/>
    <x v="2"/>
    <n v="4103800.7900000038"/>
    <x v="1"/>
  </r>
  <r>
    <x v="150"/>
    <x v="3"/>
    <s v="工资及劳务费"/>
    <x v="1"/>
  </r>
  <r>
    <x v="150"/>
    <x v="4"/>
    <s v="工资及奖金"/>
    <x v="1"/>
  </r>
  <r>
    <x v="150"/>
    <x v="0"/>
    <n v="6300"/>
    <x v="1"/>
  </r>
  <r>
    <x v="150"/>
    <x v="1"/>
    <m/>
    <x v="1"/>
  </r>
  <r>
    <x v="150"/>
    <x v="2"/>
    <n v="4097500.7900000038"/>
    <x v="1"/>
  </r>
  <r>
    <x v="150"/>
    <x v="3"/>
    <s v="工资及劳务费"/>
    <x v="1"/>
  </r>
  <r>
    <x v="150"/>
    <x v="4"/>
    <s v="工资及奖金"/>
    <x v="1"/>
  </r>
  <r>
    <x v="151"/>
    <x v="0"/>
    <n v="580000"/>
    <x v="1"/>
  </r>
  <r>
    <x v="151"/>
    <x v="1"/>
    <m/>
    <x v="1"/>
  </r>
  <r>
    <x v="151"/>
    <x v="2"/>
    <n v="3517500.7900000038"/>
    <x v="1"/>
  </r>
  <r>
    <x v="151"/>
    <x v="3"/>
    <s v="支付净菜货款"/>
    <x v="1"/>
  </r>
  <r>
    <x v="151"/>
    <x v="4"/>
    <s v="采购成本"/>
    <x v="1"/>
  </r>
  <r>
    <x v="151"/>
    <x v="0"/>
    <n v="420000"/>
    <x v="1"/>
  </r>
  <r>
    <x v="151"/>
    <x v="1"/>
    <m/>
    <x v="1"/>
  </r>
  <r>
    <x v="151"/>
    <x v="2"/>
    <n v="3097500.7900000038"/>
    <x v="1"/>
  </r>
  <r>
    <x v="151"/>
    <x v="3"/>
    <s v="支付毛菜货款"/>
    <x v="1"/>
  </r>
  <r>
    <x v="151"/>
    <x v="4"/>
    <s v="采购成本"/>
    <x v="1"/>
  </r>
  <r>
    <x v="151"/>
    <x v="0"/>
    <n v="28162.75"/>
    <x v="1"/>
  </r>
  <r>
    <x v="151"/>
    <x v="1"/>
    <m/>
    <x v="1"/>
  </r>
  <r>
    <x v="151"/>
    <x v="2"/>
    <n v="3069338.0400000038"/>
    <x v="1"/>
  </r>
  <r>
    <x v="151"/>
    <x v="3"/>
    <s v="补足备用金"/>
    <x v="1"/>
  </r>
  <r>
    <x v="151"/>
    <x v="4"/>
    <s v="采购成本"/>
    <x v="1"/>
  </r>
  <r>
    <x v="151"/>
    <x v="0"/>
    <n v="50000"/>
    <x v="1"/>
  </r>
  <r>
    <x v="151"/>
    <x v="1"/>
    <m/>
    <x v="1"/>
  </r>
  <r>
    <x v="151"/>
    <x v="2"/>
    <n v="3019338.0400000038"/>
    <x v="1"/>
  </r>
  <r>
    <x v="151"/>
    <x v="3"/>
    <s v="补足备用金"/>
    <x v="1"/>
  </r>
  <r>
    <x v="151"/>
    <x v="4"/>
    <s v="采购成本"/>
    <x v="1"/>
  </r>
  <r>
    <x v="152"/>
    <x v="0"/>
    <n v="24.5"/>
    <x v="1"/>
  </r>
  <r>
    <x v="152"/>
    <x v="1"/>
    <m/>
    <x v="1"/>
  </r>
  <r>
    <x v="152"/>
    <x v="2"/>
    <n v="3019313.5400000038"/>
    <x v="1"/>
  </r>
  <r>
    <x v="152"/>
    <x v="3"/>
    <s v="手续费"/>
    <x v="1"/>
  </r>
  <r>
    <x v="152"/>
    <x v="4"/>
    <s v="费用"/>
    <x v="1"/>
  </r>
  <r>
    <x v="152"/>
    <x v="0"/>
    <n v="12712.3"/>
    <x v="1"/>
  </r>
  <r>
    <x v="152"/>
    <x v="1"/>
    <m/>
    <x v="1"/>
  </r>
  <r>
    <x v="152"/>
    <x v="2"/>
    <n v="3006601.2400000039"/>
    <x v="1"/>
  </r>
  <r>
    <x v="152"/>
    <x v="3"/>
    <s v="费用报销"/>
    <x v="1"/>
  </r>
  <r>
    <x v="152"/>
    <x v="4"/>
    <s v="费用"/>
    <x v="1"/>
  </r>
  <r>
    <x v="152"/>
    <x v="0"/>
    <n v="7.2"/>
    <x v="1"/>
  </r>
  <r>
    <x v="152"/>
    <x v="1"/>
    <m/>
    <x v="1"/>
  </r>
  <r>
    <x v="152"/>
    <x v="2"/>
    <n v="3006594.0400000038"/>
    <x v="1"/>
  </r>
  <r>
    <x v="152"/>
    <x v="3"/>
    <s v="费用报销"/>
    <x v="1"/>
  </r>
  <r>
    <x v="152"/>
    <x v="4"/>
    <s v="费用"/>
    <x v="1"/>
  </r>
  <r>
    <x v="153"/>
    <x v="0"/>
    <m/>
    <x v="1"/>
  </r>
  <r>
    <x v="153"/>
    <x v="1"/>
    <n v="500000"/>
    <x v="1"/>
  </r>
  <r>
    <x v="153"/>
    <x v="2"/>
    <n v="3506594.0400000038"/>
    <x v="1"/>
  </r>
  <r>
    <x v="153"/>
    <x v="3"/>
    <s v="爱为客还借款"/>
    <x v="1"/>
  </r>
  <r>
    <x v="153"/>
    <x v="4"/>
    <s v="往来"/>
    <x v="1"/>
  </r>
  <r>
    <x v="154"/>
    <x v="0"/>
    <n v="2100"/>
    <x v="1"/>
  </r>
  <r>
    <x v="154"/>
    <x v="1"/>
    <m/>
    <x v="1"/>
  </r>
  <r>
    <x v="154"/>
    <x v="2"/>
    <n v="3504494.0400000038"/>
    <x v="1"/>
  </r>
  <r>
    <x v="154"/>
    <x v="3"/>
    <s v="商标申请服务费"/>
    <x v="1"/>
  </r>
  <r>
    <x v="154"/>
    <x v="4"/>
    <s v="费用"/>
    <x v="1"/>
  </r>
  <r>
    <x v="154"/>
    <x v="0"/>
    <n v="43621.3"/>
    <x v="1"/>
  </r>
  <r>
    <x v="154"/>
    <x v="1"/>
    <m/>
    <x v="1"/>
  </r>
  <r>
    <x v="154"/>
    <x v="2"/>
    <n v="3460872.7400000039"/>
    <x v="1"/>
  </r>
  <r>
    <x v="154"/>
    <x v="3"/>
    <s v="补足备用金"/>
    <x v="1"/>
  </r>
  <r>
    <x v="154"/>
    <x v="4"/>
    <s v="采购成本"/>
    <x v="1"/>
  </r>
  <r>
    <x v="154"/>
    <x v="0"/>
    <n v="50000"/>
    <x v="1"/>
  </r>
  <r>
    <x v="154"/>
    <x v="1"/>
    <m/>
    <x v="1"/>
  </r>
  <r>
    <x v="154"/>
    <x v="2"/>
    <n v="3410872.7400000039"/>
    <x v="1"/>
  </r>
  <r>
    <x v="154"/>
    <x v="3"/>
    <s v="补足备用金"/>
    <x v="1"/>
  </r>
  <r>
    <x v="154"/>
    <x v="4"/>
    <s v="采购成本"/>
    <x v="1"/>
  </r>
  <r>
    <x v="155"/>
    <x v="0"/>
    <n v="4109"/>
    <x v="1"/>
  </r>
  <r>
    <x v="155"/>
    <x v="1"/>
    <m/>
    <x v="1"/>
  </r>
  <r>
    <x v="155"/>
    <x v="2"/>
    <n v="3406763.7400000039"/>
    <x v="1"/>
  </r>
  <r>
    <x v="155"/>
    <x v="3"/>
    <s v="费用报销"/>
    <x v="1"/>
  </r>
  <r>
    <x v="155"/>
    <x v="4"/>
    <s v="费用"/>
    <x v="1"/>
  </r>
  <r>
    <x v="155"/>
    <x v="0"/>
    <n v="4200.57"/>
    <x v="1"/>
  </r>
  <r>
    <x v="155"/>
    <x v="1"/>
    <m/>
    <x v="1"/>
  </r>
  <r>
    <x v="155"/>
    <x v="2"/>
    <n v="3402563.1700000041"/>
    <x v="1"/>
  </r>
  <r>
    <x v="155"/>
    <x v="3"/>
    <s v="个税"/>
    <x v="1"/>
  </r>
  <r>
    <x v="155"/>
    <x v="4"/>
    <s v="个人所得税"/>
    <x v="1"/>
  </r>
  <r>
    <x v="156"/>
    <x v="0"/>
    <n v="5901"/>
    <x v="1"/>
  </r>
  <r>
    <x v="156"/>
    <x v="1"/>
    <m/>
    <x v="1"/>
  </r>
  <r>
    <x v="156"/>
    <x v="2"/>
    <n v="3396662.1700000041"/>
    <x v="1"/>
  </r>
  <r>
    <x v="156"/>
    <x v="3"/>
    <s v="补足备用金"/>
    <x v="1"/>
  </r>
  <r>
    <x v="156"/>
    <x v="4"/>
    <s v="采购成本"/>
    <x v="1"/>
  </r>
  <r>
    <x v="156"/>
    <x v="0"/>
    <n v="50000"/>
    <x v="1"/>
  </r>
  <r>
    <x v="156"/>
    <x v="1"/>
    <m/>
    <x v="1"/>
  </r>
  <r>
    <x v="156"/>
    <x v="2"/>
    <n v="3346662.1700000041"/>
    <x v="1"/>
  </r>
  <r>
    <x v="156"/>
    <x v="3"/>
    <s v="补足备用金"/>
    <x v="1"/>
  </r>
  <r>
    <x v="156"/>
    <x v="4"/>
    <s v="采购成本"/>
    <x v="1"/>
  </r>
  <r>
    <x v="156"/>
    <x v="0"/>
    <n v="50000"/>
    <x v="1"/>
  </r>
  <r>
    <x v="156"/>
    <x v="1"/>
    <m/>
    <x v="1"/>
  </r>
  <r>
    <x v="156"/>
    <x v="2"/>
    <n v="3296662.1700000041"/>
    <x v="1"/>
  </r>
  <r>
    <x v="156"/>
    <x v="3"/>
    <s v="补足备用金"/>
    <x v="1"/>
  </r>
  <r>
    <x v="156"/>
    <x v="4"/>
    <s v="采购成本"/>
    <x v="1"/>
  </r>
  <r>
    <x v="157"/>
    <x v="0"/>
    <m/>
    <x v="1"/>
  </r>
  <r>
    <x v="157"/>
    <x v="1"/>
    <n v="1800"/>
    <x v="1"/>
  </r>
  <r>
    <x v="157"/>
    <x v="2"/>
    <n v="3298462.1700000041"/>
    <x v="1"/>
  </r>
  <r>
    <x v="157"/>
    <x v="3"/>
    <s v="退回商标申请服务费"/>
    <x v="1"/>
  </r>
  <r>
    <x v="157"/>
    <x v="4"/>
    <s v="其他收入"/>
    <x v="1"/>
  </r>
  <r>
    <x v="158"/>
    <x v="0"/>
    <n v="14087.75"/>
    <x v="1"/>
  </r>
  <r>
    <x v="158"/>
    <x v="1"/>
    <m/>
    <x v="1"/>
  </r>
  <r>
    <x v="158"/>
    <x v="2"/>
    <n v="3284374.4200000041"/>
    <x v="1"/>
  </r>
  <r>
    <x v="158"/>
    <x v="3"/>
    <s v="工资及劳务费"/>
    <x v="1"/>
  </r>
  <r>
    <x v="158"/>
    <x v="4"/>
    <s v="工资及奖金"/>
    <x v="1"/>
  </r>
  <r>
    <x v="158"/>
    <x v="0"/>
    <n v="8922.2000000000007"/>
    <x v="1"/>
  </r>
  <r>
    <x v="158"/>
    <x v="1"/>
    <m/>
    <x v="1"/>
  </r>
  <r>
    <x v="158"/>
    <x v="2"/>
    <n v="3275452.2200000039"/>
    <x v="1"/>
  </r>
  <r>
    <x v="158"/>
    <x v="3"/>
    <s v="工资及劳务费"/>
    <x v="1"/>
  </r>
  <r>
    <x v="158"/>
    <x v="4"/>
    <s v="工资及奖金"/>
    <x v="1"/>
  </r>
  <r>
    <x v="158"/>
    <x v="0"/>
    <n v="4004.9"/>
    <x v="1"/>
  </r>
  <r>
    <x v="158"/>
    <x v="1"/>
    <m/>
    <x v="1"/>
  </r>
  <r>
    <x v="158"/>
    <x v="2"/>
    <n v="3271447.320000004"/>
    <x v="1"/>
  </r>
  <r>
    <x v="158"/>
    <x v="3"/>
    <s v="工资及劳务费"/>
    <x v="1"/>
  </r>
  <r>
    <x v="158"/>
    <x v="4"/>
    <s v="工资及奖金"/>
    <x v="1"/>
  </r>
  <r>
    <x v="158"/>
    <x v="0"/>
    <n v="7330.1"/>
    <x v="1"/>
  </r>
  <r>
    <x v="158"/>
    <x v="1"/>
    <m/>
    <x v="1"/>
  </r>
  <r>
    <x v="158"/>
    <x v="2"/>
    <n v="3264117.2200000039"/>
    <x v="1"/>
  </r>
  <r>
    <x v="158"/>
    <x v="3"/>
    <s v="工资及劳务费"/>
    <x v="1"/>
  </r>
  <r>
    <x v="158"/>
    <x v="4"/>
    <s v="工资及奖金"/>
    <x v="1"/>
  </r>
  <r>
    <x v="158"/>
    <x v="0"/>
    <n v="4955"/>
    <x v="1"/>
  </r>
  <r>
    <x v="158"/>
    <x v="1"/>
    <m/>
    <x v="1"/>
  </r>
  <r>
    <x v="158"/>
    <x v="2"/>
    <n v="3259162.2200000039"/>
    <x v="1"/>
  </r>
  <r>
    <x v="158"/>
    <x v="3"/>
    <s v="工资及劳务费"/>
    <x v="1"/>
  </r>
  <r>
    <x v="158"/>
    <x v="4"/>
    <s v="工资及奖金"/>
    <x v="1"/>
  </r>
  <r>
    <x v="158"/>
    <x v="0"/>
    <n v="4955"/>
    <x v="1"/>
  </r>
  <r>
    <x v="158"/>
    <x v="1"/>
    <m/>
    <x v="1"/>
  </r>
  <r>
    <x v="158"/>
    <x v="2"/>
    <n v="3254207.2200000039"/>
    <x v="1"/>
  </r>
  <r>
    <x v="158"/>
    <x v="3"/>
    <s v="工资及劳务费"/>
    <x v="1"/>
  </r>
  <r>
    <x v="158"/>
    <x v="4"/>
    <s v="工资及奖金"/>
    <x v="1"/>
  </r>
  <r>
    <x v="158"/>
    <x v="0"/>
    <n v="4955"/>
    <x v="1"/>
  </r>
  <r>
    <x v="158"/>
    <x v="1"/>
    <m/>
    <x v="1"/>
  </r>
  <r>
    <x v="158"/>
    <x v="2"/>
    <n v="3249252.2200000039"/>
    <x v="1"/>
  </r>
  <r>
    <x v="158"/>
    <x v="3"/>
    <s v="工资及劳务费"/>
    <x v="1"/>
  </r>
  <r>
    <x v="158"/>
    <x v="4"/>
    <s v="工资及奖金"/>
    <x v="1"/>
  </r>
  <r>
    <x v="158"/>
    <x v="0"/>
    <n v="4955"/>
    <x v="1"/>
  </r>
  <r>
    <x v="158"/>
    <x v="1"/>
    <m/>
    <x v="1"/>
  </r>
  <r>
    <x v="158"/>
    <x v="2"/>
    <n v="3244297.2200000039"/>
    <x v="1"/>
  </r>
  <r>
    <x v="158"/>
    <x v="3"/>
    <s v="工资及劳务费"/>
    <x v="1"/>
  </r>
  <r>
    <x v="158"/>
    <x v="4"/>
    <s v="工资及奖金"/>
    <x v="1"/>
  </r>
  <r>
    <x v="158"/>
    <x v="0"/>
    <n v="4955"/>
    <x v="1"/>
  </r>
  <r>
    <x v="158"/>
    <x v="1"/>
    <m/>
    <x v="1"/>
  </r>
  <r>
    <x v="158"/>
    <x v="2"/>
    <n v="3239342.2200000039"/>
    <x v="1"/>
  </r>
  <r>
    <x v="158"/>
    <x v="3"/>
    <s v="工资及劳务费"/>
    <x v="1"/>
  </r>
  <r>
    <x v="158"/>
    <x v="4"/>
    <s v="工资及奖金"/>
    <x v="1"/>
  </r>
  <r>
    <x v="158"/>
    <x v="0"/>
    <n v="4200"/>
    <x v="1"/>
  </r>
  <r>
    <x v="158"/>
    <x v="1"/>
    <m/>
    <x v="1"/>
  </r>
  <r>
    <x v="158"/>
    <x v="2"/>
    <n v="3235142.2200000039"/>
    <x v="1"/>
  </r>
  <r>
    <x v="158"/>
    <x v="3"/>
    <s v="工资及劳务费"/>
    <x v="1"/>
  </r>
  <r>
    <x v="158"/>
    <x v="4"/>
    <s v="工资及奖金"/>
    <x v="1"/>
  </r>
  <r>
    <x v="158"/>
    <x v="0"/>
    <n v="800"/>
    <x v="1"/>
  </r>
  <r>
    <x v="158"/>
    <x v="1"/>
    <m/>
    <x v="1"/>
  </r>
  <r>
    <x v="158"/>
    <x v="2"/>
    <n v="3234342.2200000039"/>
    <x v="1"/>
  </r>
  <r>
    <x v="158"/>
    <x v="3"/>
    <s v="工资及劳务费"/>
    <x v="1"/>
  </r>
  <r>
    <x v="158"/>
    <x v="4"/>
    <s v="费用"/>
    <x v="1"/>
  </r>
  <r>
    <x v="158"/>
    <x v="0"/>
    <n v="800"/>
    <x v="1"/>
  </r>
  <r>
    <x v="158"/>
    <x v="1"/>
    <m/>
    <x v="1"/>
  </r>
  <r>
    <x v="158"/>
    <x v="2"/>
    <n v="3233542.2200000039"/>
    <x v="1"/>
  </r>
  <r>
    <x v="158"/>
    <x v="3"/>
    <s v="工资及劳务费"/>
    <x v="1"/>
  </r>
  <r>
    <x v="158"/>
    <x v="4"/>
    <s v="费用"/>
    <x v="1"/>
  </r>
  <r>
    <x v="158"/>
    <x v="0"/>
    <n v="800"/>
    <x v="1"/>
  </r>
  <r>
    <x v="158"/>
    <x v="1"/>
    <m/>
    <x v="1"/>
  </r>
  <r>
    <x v="158"/>
    <x v="2"/>
    <n v="3232742.2200000039"/>
    <x v="1"/>
  </r>
  <r>
    <x v="158"/>
    <x v="3"/>
    <s v="工资及劳务费"/>
    <x v="1"/>
  </r>
  <r>
    <x v="158"/>
    <x v="4"/>
    <s v="费用"/>
    <x v="1"/>
  </r>
  <r>
    <x v="158"/>
    <x v="0"/>
    <n v="800"/>
    <x v="1"/>
  </r>
  <r>
    <x v="158"/>
    <x v="1"/>
    <m/>
    <x v="1"/>
  </r>
  <r>
    <x v="158"/>
    <x v="2"/>
    <n v="3231942.2200000039"/>
    <x v="1"/>
  </r>
  <r>
    <x v="158"/>
    <x v="3"/>
    <s v="工资及劳务费"/>
    <x v="1"/>
  </r>
  <r>
    <x v="158"/>
    <x v="4"/>
    <s v="费用"/>
    <x v="1"/>
  </r>
  <r>
    <x v="158"/>
    <x v="0"/>
    <n v="800"/>
    <x v="1"/>
  </r>
  <r>
    <x v="158"/>
    <x v="1"/>
    <m/>
    <x v="1"/>
  </r>
  <r>
    <x v="158"/>
    <x v="2"/>
    <n v="3231142.2200000039"/>
    <x v="1"/>
  </r>
  <r>
    <x v="158"/>
    <x v="3"/>
    <s v="工资及劳务费"/>
    <x v="1"/>
  </r>
  <r>
    <x v="158"/>
    <x v="4"/>
    <s v="费用"/>
    <x v="1"/>
  </r>
  <r>
    <x v="159"/>
    <x v="0"/>
    <n v="5646.75"/>
    <x v="1"/>
  </r>
  <r>
    <x v="159"/>
    <x v="1"/>
    <m/>
    <x v="1"/>
  </r>
  <r>
    <x v="159"/>
    <x v="2"/>
    <n v="3225495.4700000039"/>
    <x v="1"/>
  </r>
  <r>
    <x v="159"/>
    <x v="3"/>
    <s v="费用报销"/>
    <x v="1"/>
  </r>
  <r>
    <x v="159"/>
    <x v="4"/>
    <s v="费用"/>
    <x v="1"/>
  </r>
  <r>
    <x v="159"/>
    <x v="0"/>
    <n v="704"/>
    <x v="1"/>
  </r>
  <r>
    <x v="159"/>
    <x v="1"/>
    <m/>
    <x v="1"/>
  </r>
  <r>
    <x v="159"/>
    <x v="2"/>
    <n v="3224791.4700000039"/>
    <x v="1"/>
  </r>
  <r>
    <x v="159"/>
    <x v="3"/>
    <s v="费用报销"/>
    <x v="1"/>
  </r>
  <r>
    <x v="159"/>
    <x v="4"/>
    <s v="费用"/>
    <x v="1"/>
  </r>
  <r>
    <x v="159"/>
    <x v="0"/>
    <m/>
    <x v="1"/>
  </r>
  <r>
    <x v="159"/>
    <x v="1"/>
    <n v="291318.67"/>
    <x v="1"/>
  </r>
  <r>
    <x v="159"/>
    <x v="2"/>
    <n v="3516110.1400000039"/>
    <x v="1"/>
  </r>
  <r>
    <x v="159"/>
    <x v="3"/>
    <s v="6月货款"/>
    <x v="1"/>
  </r>
  <r>
    <x v="159"/>
    <x v="4"/>
    <s v="销售收入"/>
    <x v="1"/>
  </r>
  <r>
    <x v="160"/>
    <x v="0"/>
    <n v="176216.47"/>
    <x v="1"/>
  </r>
  <r>
    <x v="160"/>
    <x v="1"/>
    <m/>
    <x v="1"/>
  </r>
  <r>
    <x v="160"/>
    <x v="2"/>
    <n v="3339893.6700000037"/>
    <x v="1"/>
  </r>
  <r>
    <x v="160"/>
    <x v="3"/>
    <s v="6月份蔬菜货款"/>
    <x v="1"/>
  </r>
  <r>
    <x v="160"/>
    <x v="4"/>
    <s v="采购成本"/>
    <x v="1"/>
  </r>
  <r>
    <x v="160"/>
    <x v="0"/>
    <n v="29000"/>
    <x v="1"/>
  </r>
  <r>
    <x v="160"/>
    <x v="1"/>
    <m/>
    <x v="1"/>
  </r>
  <r>
    <x v="160"/>
    <x v="2"/>
    <n v="3310893.6700000037"/>
    <x v="1"/>
  </r>
  <r>
    <x v="160"/>
    <x v="3"/>
    <s v="装修改造费用"/>
    <x v="1"/>
  </r>
  <r>
    <x v="160"/>
    <x v="4"/>
    <s v="费用"/>
    <x v="1"/>
  </r>
  <r>
    <x v="161"/>
    <x v="0"/>
    <n v="10.5"/>
    <x v="1"/>
  </r>
  <r>
    <x v="161"/>
    <x v="1"/>
    <m/>
    <x v="1"/>
  </r>
  <r>
    <x v="161"/>
    <x v="2"/>
    <n v="3310883.1700000037"/>
    <x v="1"/>
  </r>
  <r>
    <x v="161"/>
    <x v="3"/>
    <s v="手续费"/>
    <x v="1"/>
  </r>
  <r>
    <x v="161"/>
    <x v="4"/>
    <s v="费用"/>
    <x v="1"/>
  </r>
  <r>
    <x v="162"/>
    <x v="0"/>
    <n v="623"/>
    <x v="1"/>
  </r>
  <r>
    <x v="162"/>
    <x v="1"/>
    <m/>
    <x v="1"/>
  </r>
  <r>
    <x v="162"/>
    <x v="2"/>
    <n v="3310260.1700000037"/>
    <x v="1"/>
  </r>
  <r>
    <x v="162"/>
    <x v="3"/>
    <s v="印花税"/>
    <x v="1"/>
  </r>
  <r>
    <x v="162"/>
    <x v="4"/>
    <s v="其他税费"/>
    <x v="1"/>
  </r>
  <r>
    <x v="162"/>
    <x v="0"/>
    <n v="300"/>
    <x v="1"/>
  </r>
  <r>
    <x v="162"/>
    <x v="1"/>
    <m/>
    <x v="1"/>
  </r>
  <r>
    <x v="162"/>
    <x v="2"/>
    <n v="3309960.1700000037"/>
    <x v="1"/>
  </r>
  <r>
    <x v="162"/>
    <x v="3"/>
    <s v="印花税"/>
    <x v="1"/>
  </r>
  <r>
    <x v="162"/>
    <x v="4"/>
    <s v="其他税费"/>
    <x v="1"/>
  </r>
  <r>
    <x v="162"/>
    <x v="0"/>
    <n v="3833.7"/>
    <x v="1"/>
  </r>
  <r>
    <x v="162"/>
    <x v="1"/>
    <m/>
    <x v="1"/>
  </r>
  <r>
    <x v="162"/>
    <x v="2"/>
    <n v="3306126.4700000035"/>
    <x v="1"/>
  </r>
  <r>
    <x v="162"/>
    <x v="3"/>
    <s v="个税"/>
    <x v="1"/>
  </r>
  <r>
    <x v="162"/>
    <x v="4"/>
    <s v="个人所得税"/>
    <x v="1"/>
  </r>
  <r>
    <x v="163"/>
    <x v="0"/>
    <n v="2133.33"/>
    <x v="1"/>
  </r>
  <r>
    <x v="163"/>
    <x v="1"/>
    <m/>
    <x v="1"/>
  </r>
  <r>
    <x v="163"/>
    <x v="2"/>
    <n v="3303993.1400000034"/>
    <x v="1"/>
  </r>
  <r>
    <x v="163"/>
    <x v="3"/>
    <s v="工资及劳务费"/>
    <x v="1"/>
  </r>
  <r>
    <x v="163"/>
    <x v="4"/>
    <s v="工资及奖金"/>
    <x v="1"/>
  </r>
  <r>
    <x v="163"/>
    <x v="0"/>
    <n v="7733.33"/>
    <x v="1"/>
  </r>
  <r>
    <x v="163"/>
    <x v="1"/>
    <m/>
    <x v="1"/>
  </r>
  <r>
    <x v="163"/>
    <x v="2"/>
    <n v="3296259.8100000033"/>
    <x v="1"/>
  </r>
  <r>
    <x v="163"/>
    <x v="3"/>
    <s v="工资及劳务费"/>
    <x v="1"/>
  </r>
  <r>
    <x v="163"/>
    <x v="4"/>
    <s v="工资及奖金"/>
    <x v="1"/>
  </r>
  <r>
    <x v="163"/>
    <x v="0"/>
    <n v="5866.67"/>
    <x v="1"/>
  </r>
  <r>
    <x v="163"/>
    <x v="1"/>
    <m/>
    <x v="1"/>
  </r>
  <r>
    <x v="163"/>
    <x v="2"/>
    <n v="3290393.1400000034"/>
    <x v="1"/>
  </r>
  <r>
    <x v="163"/>
    <x v="3"/>
    <s v="工资及劳务费"/>
    <x v="1"/>
  </r>
  <r>
    <x v="163"/>
    <x v="4"/>
    <s v="工资及奖金"/>
    <x v="1"/>
  </r>
  <r>
    <x v="163"/>
    <x v="0"/>
    <n v="6800"/>
    <x v="1"/>
  </r>
  <r>
    <x v="163"/>
    <x v="1"/>
    <m/>
    <x v="1"/>
  </r>
  <r>
    <x v="163"/>
    <x v="2"/>
    <n v="3283593.1400000034"/>
    <x v="1"/>
  </r>
  <r>
    <x v="163"/>
    <x v="3"/>
    <s v="工资及劳务费"/>
    <x v="1"/>
  </r>
  <r>
    <x v="163"/>
    <x v="4"/>
    <s v="工资及奖金"/>
    <x v="1"/>
  </r>
  <r>
    <x v="163"/>
    <x v="0"/>
    <n v="7733.33"/>
    <x v="1"/>
  </r>
  <r>
    <x v="163"/>
    <x v="1"/>
    <m/>
    <x v="1"/>
  </r>
  <r>
    <x v="163"/>
    <x v="2"/>
    <n v="3275859.8100000033"/>
    <x v="1"/>
  </r>
  <r>
    <x v="163"/>
    <x v="3"/>
    <s v="工资及劳务费"/>
    <x v="1"/>
  </r>
  <r>
    <x v="163"/>
    <x v="4"/>
    <s v="工资及奖金"/>
    <x v="1"/>
  </r>
  <r>
    <x v="163"/>
    <x v="0"/>
    <n v="800"/>
    <x v="1"/>
  </r>
  <r>
    <x v="163"/>
    <x v="1"/>
    <m/>
    <x v="1"/>
  </r>
  <r>
    <x v="163"/>
    <x v="2"/>
    <n v="3275059.8100000033"/>
    <x v="1"/>
  </r>
  <r>
    <x v="163"/>
    <x v="3"/>
    <s v="个人劳务费"/>
    <x v="1"/>
  </r>
  <r>
    <x v="163"/>
    <x v="4"/>
    <s v="费用"/>
    <x v="1"/>
  </r>
  <r>
    <x v="163"/>
    <x v="0"/>
    <n v="800"/>
    <x v="1"/>
  </r>
  <r>
    <x v="163"/>
    <x v="1"/>
    <m/>
    <x v="1"/>
  </r>
  <r>
    <x v="163"/>
    <x v="2"/>
    <n v="3274259.8100000033"/>
    <x v="1"/>
  </r>
  <r>
    <x v="163"/>
    <x v="3"/>
    <s v="工资及劳务费"/>
    <x v="1"/>
  </r>
  <r>
    <x v="163"/>
    <x v="4"/>
    <s v="费用"/>
    <x v="1"/>
  </r>
  <r>
    <x v="163"/>
    <x v="0"/>
    <n v="800"/>
    <x v="1"/>
  </r>
  <r>
    <x v="163"/>
    <x v="1"/>
    <m/>
    <x v="1"/>
  </r>
  <r>
    <x v="163"/>
    <x v="2"/>
    <n v="3273459.8100000033"/>
    <x v="1"/>
  </r>
  <r>
    <x v="163"/>
    <x v="3"/>
    <s v="工资及劳务费"/>
    <x v="1"/>
  </r>
  <r>
    <x v="163"/>
    <x v="4"/>
    <s v="费用"/>
    <x v="1"/>
  </r>
  <r>
    <x v="163"/>
    <x v="0"/>
    <n v="800"/>
    <x v="1"/>
  </r>
  <r>
    <x v="163"/>
    <x v="1"/>
    <m/>
    <x v="1"/>
  </r>
  <r>
    <x v="163"/>
    <x v="2"/>
    <n v="3272659.8100000033"/>
    <x v="1"/>
  </r>
  <r>
    <x v="163"/>
    <x v="3"/>
    <s v="个人劳务费"/>
    <x v="1"/>
  </r>
  <r>
    <x v="163"/>
    <x v="4"/>
    <s v="费用"/>
    <x v="1"/>
  </r>
  <r>
    <x v="164"/>
    <x v="0"/>
    <m/>
    <x v="1"/>
  </r>
  <r>
    <x v="164"/>
    <x v="1"/>
    <n v="192271.35"/>
    <x v="1"/>
  </r>
  <r>
    <x v="164"/>
    <x v="2"/>
    <n v="3464931.1600000034"/>
    <x v="1"/>
  </r>
  <r>
    <x v="164"/>
    <x v="3"/>
    <s v="8月货款"/>
    <x v="1"/>
  </r>
  <r>
    <x v="164"/>
    <x v="4"/>
    <s v="销售收入"/>
    <x v="1"/>
  </r>
  <r>
    <x v="164"/>
    <x v="0"/>
    <m/>
    <x v="1"/>
  </r>
  <r>
    <x v="164"/>
    <x v="1"/>
    <n v="378145.25"/>
    <x v="1"/>
  </r>
  <r>
    <x v="164"/>
    <x v="2"/>
    <n v="3843076.4100000034"/>
    <x v="1"/>
  </r>
  <r>
    <x v="164"/>
    <x v="3"/>
    <s v="7月货款"/>
    <x v="1"/>
  </r>
  <r>
    <x v="164"/>
    <x v="4"/>
    <s v="销售收入"/>
    <x v="1"/>
  </r>
  <r>
    <x v="165"/>
    <x v="0"/>
    <n v="800"/>
    <x v="1"/>
  </r>
  <r>
    <x v="165"/>
    <x v="1"/>
    <m/>
    <x v="1"/>
  </r>
  <r>
    <x v="165"/>
    <x v="2"/>
    <n v="3842276.4100000034"/>
    <x v="1"/>
  </r>
  <r>
    <x v="165"/>
    <x v="3"/>
    <s v="工资及劳务费"/>
    <x v="1"/>
  </r>
  <r>
    <x v="165"/>
    <x v="4"/>
    <s v="费用"/>
    <x v="1"/>
  </r>
  <r>
    <x v="165"/>
    <x v="0"/>
    <n v="7610"/>
    <x v="1"/>
  </r>
  <r>
    <x v="165"/>
    <x v="1"/>
    <m/>
    <x v="1"/>
  </r>
  <r>
    <x v="165"/>
    <x v="2"/>
    <n v="3834666.4100000034"/>
    <x v="1"/>
  </r>
  <r>
    <x v="165"/>
    <x v="3"/>
    <s v="工资及劳务费"/>
    <x v="1"/>
  </r>
  <r>
    <x v="165"/>
    <x v="4"/>
    <s v="工资及奖金"/>
    <x v="1"/>
  </r>
  <r>
    <x v="166"/>
    <x v="0"/>
    <m/>
    <x v="1"/>
  </r>
  <r>
    <x v="166"/>
    <x v="1"/>
    <n v="1773.12"/>
    <x v="1"/>
  </r>
  <r>
    <x v="166"/>
    <x v="2"/>
    <n v="3836439.5300000035"/>
    <x v="1"/>
  </r>
  <r>
    <x v="166"/>
    <x v="3"/>
    <s v="利息"/>
    <x v="1"/>
  </r>
  <r>
    <x v="166"/>
    <x v="4"/>
    <s v="其他收入"/>
    <x v="1"/>
  </r>
  <r>
    <x v="166"/>
    <x v="0"/>
    <n v="1500000"/>
    <x v="1"/>
  </r>
  <r>
    <x v="166"/>
    <x v="1"/>
    <m/>
    <x v="1"/>
  </r>
  <r>
    <x v="166"/>
    <x v="2"/>
    <n v="2336439.5300000035"/>
    <x v="1"/>
  </r>
  <r>
    <x v="166"/>
    <x v="3"/>
    <s v="入资款"/>
    <x v="1"/>
  </r>
  <r>
    <x v="166"/>
    <x v="4"/>
    <s v="对外投资"/>
    <x v="1"/>
  </r>
  <r>
    <x v="167"/>
    <x v="0"/>
    <n v="21"/>
    <x v="1"/>
  </r>
  <r>
    <x v="167"/>
    <x v="1"/>
    <m/>
    <x v="1"/>
  </r>
  <r>
    <x v="167"/>
    <x v="2"/>
    <n v="2336418.5300000035"/>
    <x v="1"/>
  </r>
  <r>
    <x v="167"/>
    <x v="3"/>
    <s v="手续费"/>
    <x v="1"/>
  </r>
  <r>
    <x v="167"/>
    <x v="4"/>
    <s v="费用"/>
    <x v="1"/>
  </r>
  <r>
    <x v="167"/>
    <x v="0"/>
    <m/>
    <x v="1"/>
  </r>
  <r>
    <x v="167"/>
    <x v="1"/>
    <n v="500000"/>
    <x v="1"/>
  </r>
  <r>
    <x v="167"/>
    <x v="2"/>
    <n v="2836418.5300000035"/>
    <x v="1"/>
  </r>
  <r>
    <x v="167"/>
    <x v="3"/>
    <s v="收回投资款"/>
    <x v="1"/>
  </r>
  <r>
    <x v="167"/>
    <x v="4"/>
    <s v="其他收入"/>
    <x v="1"/>
  </r>
  <r>
    <x v="167"/>
    <x v="0"/>
    <n v="5196"/>
    <x v="1"/>
  </r>
  <r>
    <x v="167"/>
    <x v="1"/>
    <m/>
    <x v="1"/>
  </r>
  <r>
    <x v="167"/>
    <x v="2"/>
    <n v="2831222.5300000035"/>
    <x v="1"/>
  </r>
  <r>
    <x v="167"/>
    <x v="3"/>
    <s v="支付供应商发票返点"/>
    <x v="1"/>
  </r>
  <r>
    <x v="167"/>
    <x v="4"/>
    <s v="费用"/>
    <x v="1"/>
  </r>
  <r>
    <x v="168"/>
    <x v="0"/>
    <n v="14087.75"/>
    <x v="1"/>
  </r>
  <r>
    <x v="168"/>
    <x v="1"/>
    <m/>
    <x v="1"/>
  </r>
  <r>
    <x v="168"/>
    <x v="2"/>
    <n v="2817134.7800000035"/>
    <x v="1"/>
  </r>
  <r>
    <x v="168"/>
    <x v="3"/>
    <s v="工资及劳务费"/>
    <x v="1"/>
  </r>
  <r>
    <x v="168"/>
    <x v="4"/>
    <s v="工资及奖金"/>
    <x v="1"/>
  </r>
  <r>
    <x v="168"/>
    <x v="0"/>
    <n v="8922.2000000000007"/>
    <x v="1"/>
  </r>
  <r>
    <x v="168"/>
    <x v="1"/>
    <m/>
    <x v="1"/>
  </r>
  <r>
    <x v="168"/>
    <x v="2"/>
    <n v="2808212.5800000033"/>
    <x v="1"/>
  </r>
  <r>
    <x v="168"/>
    <x v="3"/>
    <s v="工资及劳务费"/>
    <x v="1"/>
  </r>
  <r>
    <x v="168"/>
    <x v="4"/>
    <s v="工资及奖金"/>
    <x v="1"/>
  </r>
  <r>
    <x v="168"/>
    <x v="0"/>
    <n v="3585.69"/>
    <x v="1"/>
  </r>
  <r>
    <x v="168"/>
    <x v="1"/>
    <m/>
    <x v="1"/>
  </r>
  <r>
    <x v="168"/>
    <x v="2"/>
    <n v="2804626.8900000034"/>
    <x v="1"/>
  </r>
  <r>
    <x v="168"/>
    <x v="3"/>
    <s v="工资及劳务费"/>
    <x v="1"/>
  </r>
  <r>
    <x v="168"/>
    <x v="4"/>
    <s v="工资及奖金"/>
    <x v="1"/>
  </r>
  <r>
    <x v="168"/>
    <x v="0"/>
    <n v="4955"/>
    <x v="1"/>
  </r>
  <r>
    <x v="168"/>
    <x v="1"/>
    <m/>
    <x v="1"/>
  </r>
  <r>
    <x v="168"/>
    <x v="2"/>
    <n v="2799671.8900000034"/>
    <x v="1"/>
  </r>
  <r>
    <x v="168"/>
    <x v="3"/>
    <s v="工资及劳务费"/>
    <x v="1"/>
  </r>
  <r>
    <x v="168"/>
    <x v="4"/>
    <s v="工资及奖金"/>
    <x v="1"/>
  </r>
  <r>
    <x v="168"/>
    <x v="0"/>
    <n v="4200"/>
    <x v="1"/>
  </r>
  <r>
    <x v="168"/>
    <x v="1"/>
    <m/>
    <x v="1"/>
  </r>
  <r>
    <x v="168"/>
    <x v="2"/>
    <n v="2795471.8900000034"/>
    <x v="1"/>
  </r>
  <r>
    <x v="168"/>
    <x v="3"/>
    <s v="工资及劳务费"/>
    <x v="1"/>
  </r>
  <r>
    <x v="168"/>
    <x v="4"/>
    <s v="工资及奖金"/>
    <x v="1"/>
  </r>
  <r>
    <x v="169"/>
    <x v="0"/>
    <n v="6160"/>
    <x v="1"/>
  </r>
  <r>
    <x v="169"/>
    <x v="1"/>
    <m/>
    <x v="1"/>
  </r>
  <r>
    <x v="169"/>
    <x v="2"/>
    <n v="2789311.8900000034"/>
    <x v="1"/>
  </r>
  <r>
    <x v="169"/>
    <x v="3"/>
    <s v="费用报销"/>
    <x v="1"/>
  </r>
  <r>
    <x v="169"/>
    <x v="4"/>
    <s v="工资及奖金"/>
    <x v="1"/>
  </r>
  <r>
    <x v="170"/>
    <x v="0"/>
    <n v="50"/>
    <x v="1"/>
  </r>
  <r>
    <x v="170"/>
    <x v="1"/>
    <m/>
    <x v="1"/>
  </r>
  <r>
    <x v="170"/>
    <x v="2"/>
    <n v="2789261.8900000034"/>
    <x v="1"/>
  </r>
  <r>
    <x v="170"/>
    <x v="3"/>
    <s v="网上银行服务费"/>
    <x v="1"/>
  </r>
  <r>
    <x v="170"/>
    <x v="4"/>
    <s v="费用"/>
    <x v="1"/>
  </r>
  <r>
    <x v="57"/>
    <x v="0"/>
    <n v="257.47000000000003"/>
    <x v="1"/>
  </r>
  <r>
    <x v="57"/>
    <x v="1"/>
    <m/>
    <x v="1"/>
  </r>
  <r>
    <x v="57"/>
    <x v="2"/>
    <n v="2789004.4200000032"/>
    <x v="1"/>
  </r>
  <r>
    <x v="57"/>
    <x v="3"/>
    <s v="保洁劳务费"/>
    <x v="1"/>
  </r>
  <r>
    <x v="57"/>
    <x v="4"/>
    <s v="费用"/>
    <x v="1"/>
  </r>
  <r>
    <x v="171"/>
    <x v="0"/>
    <n v="7560"/>
    <x v="1"/>
  </r>
  <r>
    <x v="171"/>
    <x v="1"/>
    <m/>
    <x v="1"/>
  </r>
  <r>
    <x v="171"/>
    <x v="2"/>
    <n v="2781444.4200000032"/>
    <x v="1"/>
  </r>
  <r>
    <x v="171"/>
    <x v="3"/>
    <s v="92102：住房公积金"/>
    <x v="1"/>
  </r>
  <r>
    <x v="171"/>
    <x v="4"/>
    <s v="住房公积金"/>
    <x v="1"/>
  </r>
  <r>
    <x v="172"/>
    <x v="0"/>
    <n v="50"/>
    <x v="1"/>
  </r>
  <r>
    <x v="172"/>
    <x v="1"/>
    <m/>
    <x v="1"/>
  </r>
  <r>
    <x v="172"/>
    <x v="2"/>
    <n v="2781394.4200000032"/>
    <x v="1"/>
  </r>
  <r>
    <x v="172"/>
    <x v="3"/>
    <s v="网上银行服务费"/>
    <x v="1"/>
  </r>
  <r>
    <x v="172"/>
    <x v="4"/>
    <s v="费用"/>
    <x v="1"/>
  </r>
  <r>
    <x v="62"/>
    <x v="0"/>
    <n v="800"/>
    <x v="1"/>
  </r>
  <r>
    <x v="62"/>
    <x v="1"/>
    <m/>
    <x v="1"/>
  </r>
  <r>
    <x v="62"/>
    <x v="2"/>
    <n v="2780594.4200000032"/>
    <x v="1"/>
  </r>
  <r>
    <x v="62"/>
    <x v="3"/>
    <s v="保洁劳务费"/>
    <x v="1"/>
  </r>
  <r>
    <x v="62"/>
    <x v="4"/>
    <s v="费用"/>
    <x v="1"/>
  </r>
  <r>
    <x v="173"/>
    <x v="0"/>
    <n v="6528"/>
    <x v="1"/>
  </r>
  <r>
    <x v="173"/>
    <x v="1"/>
    <m/>
    <x v="1"/>
  </r>
  <r>
    <x v="173"/>
    <x v="2"/>
    <n v="2774066.4200000032"/>
    <x v="1"/>
  </r>
  <r>
    <x v="173"/>
    <x v="3"/>
    <s v="92102：住房公积金"/>
    <x v="1"/>
  </r>
  <r>
    <x v="173"/>
    <x v="4"/>
    <s v="住房公积金"/>
    <x v="1"/>
  </r>
  <r>
    <x v="174"/>
    <x v="0"/>
    <n v="50"/>
    <x v="1"/>
  </r>
  <r>
    <x v="174"/>
    <x v="1"/>
    <m/>
    <x v="1"/>
  </r>
  <r>
    <x v="174"/>
    <x v="2"/>
    <n v="2774016.4200000032"/>
    <x v="1"/>
  </r>
  <r>
    <x v="174"/>
    <x v="3"/>
    <s v="网上银行服务费"/>
    <x v="1"/>
  </r>
  <r>
    <x v="174"/>
    <x v="4"/>
    <s v="费用"/>
    <x v="1"/>
  </r>
  <r>
    <x v="175"/>
    <x v="0"/>
    <n v="11864"/>
    <x v="1"/>
  </r>
  <r>
    <x v="175"/>
    <x v="1"/>
    <m/>
    <x v="1"/>
  </r>
  <r>
    <x v="175"/>
    <x v="2"/>
    <n v="2762152.4200000032"/>
    <x v="1"/>
  </r>
  <r>
    <x v="175"/>
    <x v="3"/>
    <s v="#北京社保"/>
    <x v="1"/>
  </r>
  <r>
    <x v="175"/>
    <x v="4"/>
    <s v="社保"/>
    <x v="1"/>
  </r>
  <r>
    <x v="69"/>
    <x v="0"/>
    <n v="800"/>
    <x v="1"/>
  </r>
  <r>
    <x v="69"/>
    <x v="1"/>
    <m/>
    <x v="1"/>
  </r>
  <r>
    <x v="69"/>
    <x v="2"/>
    <n v="2761352.4200000032"/>
    <x v="1"/>
  </r>
  <r>
    <x v="69"/>
    <x v="3"/>
    <s v="保洁劳务费"/>
    <x v="1"/>
  </r>
  <r>
    <x v="69"/>
    <x v="4"/>
    <s v="费用"/>
    <x v="1"/>
  </r>
  <r>
    <x v="72"/>
    <x v="0"/>
    <n v="6528"/>
    <x v="1"/>
  </r>
  <r>
    <x v="72"/>
    <x v="1"/>
    <m/>
    <x v="1"/>
  </r>
  <r>
    <x v="72"/>
    <x v="2"/>
    <n v="2754824.4200000032"/>
    <x v="1"/>
  </r>
  <r>
    <x v="72"/>
    <x v="3"/>
    <s v="92102：住房公积金"/>
    <x v="1"/>
  </r>
  <r>
    <x v="72"/>
    <x v="4"/>
    <s v="住房公积金"/>
    <x v="1"/>
  </r>
  <r>
    <x v="76"/>
    <x v="0"/>
    <m/>
    <x v="1"/>
  </r>
  <r>
    <x v="76"/>
    <x v="1"/>
    <n v="87.12"/>
    <x v="1"/>
  </r>
  <r>
    <x v="76"/>
    <x v="2"/>
    <n v="2754911.5400000033"/>
    <x v="1"/>
  </r>
  <r>
    <x v="76"/>
    <x v="3"/>
    <s v="活期结算户结息"/>
    <x v="1"/>
  </r>
  <r>
    <x v="76"/>
    <x v="4"/>
    <s v="其他收入"/>
    <x v="1"/>
  </r>
  <r>
    <x v="176"/>
    <x v="0"/>
    <n v="50"/>
    <x v="1"/>
  </r>
  <r>
    <x v="176"/>
    <x v="1"/>
    <m/>
    <x v="1"/>
  </r>
  <r>
    <x v="176"/>
    <x v="2"/>
    <n v="2754861.5400000033"/>
    <x v="1"/>
  </r>
  <r>
    <x v="176"/>
    <x v="3"/>
    <s v="网上银行服务费"/>
    <x v="1"/>
  </r>
  <r>
    <x v="176"/>
    <x v="4"/>
    <s v="费用"/>
    <x v="1"/>
  </r>
  <r>
    <x v="177"/>
    <x v="0"/>
    <n v="15378.8"/>
    <x v="1"/>
  </r>
  <r>
    <x v="177"/>
    <x v="1"/>
    <m/>
    <x v="1"/>
  </r>
  <r>
    <x v="177"/>
    <x v="2"/>
    <n v="2739482.7400000035"/>
    <x v="1"/>
  </r>
  <r>
    <x v="177"/>
    <x v="3"/>
    <s v="#北京社保"/>
    <x v="1"/>
  </r>
  <r>
    <x v="177"/>
    <x v="4"/>
    <s v="社保"/>
    <x v="1"/>
  </r>
  <r>
    <x v="80"/>
    <x v="0"/>
    <n v="800"/>
    <x v="1"/>
  </r>
  <r>
    <x v="80"/>
    <x v="1"/>
    <m/>
    <x v="1"/>
  </r>
  <r>
    <x v="80"/>
    <x v="2"/>
    <n v="2738682.7400000035"/>
    <x v="1"/>
  </r>
  <r>
    <x v="80"/>
    <x v="3"/>
    <s v="保洁劳务费"/>
    <x v="1"/>
  </r>
  <r>
    <x v="80"/>
    <x v="4"/>
    <s v="费用"/>
    <x v="1"/>
  </r>
  <r>
    <x v="178"/>
    <x v="0"/>
    <n v="8616"/>
    <x v="1"/>
  </r>
  <r>
    <x v="178"/>
    <x v="1"/>
    <m/>
    <x v="1"/>
  </r>
  <r>
    <x v="178"/>
    <x v="2"/>
    <n v="2730066.7400000035"/>
    <x v="1"/>
  </r>
  <r>
    <x v="178"/>
    <x v="3"/>
    <s v="92102：住房公积金"/>
    <x v="1"/>
  </r>
  <r>
    <x v="178"/>
    <x v="4"/>
    <s v="住房公积金"/>
    <x v="1"/>
  </r>
  <r>
    <x v="179"/>
    <x v="0"/>
    <n v="50"/>
    <x v="1"/>
  </r>
  <r>
    <x v="179"/>
    <x v="1"/>
    <m/>
    <x v="1"/>
  </r>
  <r>
    <x v="179"/>
    <x v="2"/>
    <n v="2730016.7400000035"/>
    <x v="1"/>
  </r>
  <r>
    <x v="179"/>
    <x v="3"/>
    <s v="网上银行服务费"/>
    <x v="1"/>
  </r>
  <r>
    <x v="179"/>
    <x v="4"/>
    <s v="费用"/>
    <x v="1"/>
  </r>
  <r>
    <x v="180"/>
    <x v="0"/>
    <n v="15387.4"/>
    <x v="1"/>
  </r>
  <r>
    <x v="180"/>
    <x v="1"/>
    <m/>
    <x v="1"/>
  </r>
  <r>
    <x v="180"/>
    <x v="2"/>
    <n v="2714629.3400000036"/>
    <x v="1"/>
  </r>
  <r>
    <x v="180"/>
    <x v="3"/>
    <s v="#北京社保"/>
    <x v="1"/>
  </r>
  <r>
    <x v="180"/>
    <x v="4"/>
    <s v="社保"/>
    <x v="1"/>
  </r>
  <r>
    <x v="180"/>
    <x v="0"/>
    <n v="800"/>
    <x v="1"/>
  </r>
  <r>
    <x v="180"/>
    <x v="1"/>
    <m/>
    <x v="1"/>
  </r>
  <r>
    <x v="180"/>
    <x v="2"/>
    <n v="2713829.3400000036"/>
    <x v="1"/>
  </r>
  <r>
    <x v="180"/>
    <x v="3"/>
    <s v="提出贷记:00140683670,汇兑"/>
    <x v="1"/>
  </r>
  <r>
    <x v="180"/>
    <x v="4"/>
    <s v="费用"/>
    <x v="1"/>
  </r>
  <r>
    <x v="86"/>
    <x v="0"/>
    <n v="2000"/>
    <x v="1"/>
  </r>
  <r>
    <x v="86"/>
    <x v="1"/>
    <m/>
    <x v="1"/>
  </r>
  <r>
    <x v="86"/>
    <x v="2"/>
    <n v="2711829.3400000036"/>
    <x v="1"/>
  </r>
  <r>
    <x v="86"/>
    <x v="3"/>
    <s v="网站设计劳务费"/>
    <x v="1"/>
  </r>
  <r>
    <x v="86"/>
    <x v="4"/>
    <s v="费用"/>
    <x v="1"/>
  </r>
  <r>
    <x v="89"/>
    <x v="0"/>
    <n v="7056"/>
    <x v="1"/>
  </r>
  <r>
    <x v="89"/>
    <x v="1"/>
    <m/>
    <x v="1"/>
  </r>
  <r>
    <x v="89"/>
    <x v="2"/>
    <n v="2704773.3400000036"/>
    <x v="1"/>
  </r>
  <r>
    <x v="89"/>
    <x v="3"/>
    <s v="92102：住房公积金"/>
    <x v="1"/>
  </r>
  <r>
    <x v="89"/>
    <x v="4"/>
    <s v="住房公积金"/>
    <x v="1"/>
  </r>
  <r>
    <x v="93"/>
    <x v="0"/>
    <n v="400000"/>
    <x v="1"/>
  </r>
  <r>
    <x v="93"/>
    <x v="1"/>
    <m/>
    <x v="1"/>
  </r>
  <r>
    <x v="93"/>
    <x v="2"/>
    <n v="2304773.3400000036"/>
    <x v="1"/>
  </r>
  <r>
    <x v="93"/>
    <x v="3"/>
    <s v="退还出资款"/>
    <x v="1"/>
  </r>
  <r>
    <x v="93"/>
    <x v="4"/>
    <s v="往来"/>
    <x v="1"/>
  </r>
  <r>
    <x v="181"/>
    <x v="0"/>
    <n v="200000"/>
    <x v="1"/>
  </r>
  <r>
    <x v="181"/>
    <x v="1"/>
    <m/>
    <x v="1"/>
  </r>
  <r>
    <x v="181"/>
    <x v="2"/>
    <n v="2104773.3400000036"/>
    <x v="1"/>
  </r>
  <r>
    <x v="181"/>
    <x v="3"/>
    <s v="代为支付履约保证金"/>
    <x v="1"/>
  </r>
  <r>
    <x v="181"/>
    <x v="4"/>
    <s v="往来"/>
    <x v="1"/>
  </r>
  <r>
    <x v="182"/>
    <x v="0"/>
    <n v="0.93"/>
    <x v="1"/>
  </r>
  <r>
    <x v="182"/>
    <x v="1"/>
    <m/>
    <x v="1"/>
  </r>
  <r>
    <x v="182"/>
    <x v="2"/>
    <n v="2104772.4100000034"/>
    <x v="1"/>
  </r>
  <r>
    <x v="182"/>
    <x v="3"/>
    <s v="网银支付手续费"/>
    <x v="1"/>
  </r>
  <r>
    <x v="182"/>
    <x v="4"/>
    <s v="费用"/>
    <x v="1"/>
  </r>
  <r>
    <x v="182"/>
    <x v="0"/>
    <n v="13.97"/>
    <x v="1"/>
  </r>
  <r>
    <x v="182"/>
    <x v="1"/>
    <m/>
    <x v="1"/>
  </r>
  <r>
    <x v="182"/>
    <x v="2"/>
    <n v="2104758.4400000032"/>
    <x v="1"/>
  </r>
  <r>
    <x v="182"/>
    <x v="3"/>
    <s v="网银汇款手续费"/>
    <x v="1"/>
  </r>
  <r>
    <x v="182"/>
    <x v="4"/>
    <s v="费用"/>
    <x v="1"/>
  </r>
  <r>
    <x v="182"/>
    <x v="0"/>
    <n v="50"/>
    <x v="1"/>
  </r>
  <r>
    <x v="182"/>
    <x v="1"/>
    <m/>
    <x v="1"/>
  </r>
  <r>
    <x v="182"/>
    <x v="2"/>
    <n v="2104708.4400000032"/>
    <x v="1"/>
  </r>
  <r>
    <x v="182"/>
    <x v="3"/>
    <s v="网上银行服务费"/>
    <x v="1"/>
  </r>
  <r>
    <x v="182"/>
    <x v="4"/>
    <s v="费用"/>
    <x v="1"/>
  </r>
  <r>
    <x v="183"/>
    <x v="0"/>
    <n v="11158.4"/>
    <x v="1"/>
  </r>
  <r>
    <x v="183"/>
    <x v="1"/>
    <m/>
    <x v="1"/>
  </r>
  <r>
    <x v="183"/>
    <x v="2"/>
    <n v="2093550.0400000033"/>
    <x v="1"/>
  </r>
  <r>
    <x v="183"/>
    <x v="3"/>
    <s v="#北京社保"/>
    <x v="1"/>
  </r>
  <r>
    <x v="183"/>
    <x v="4"/>
    <s v="社保"/>
    <x v="1"/>
  </r>
  <r>
    <x v="101"/>
    <x v="0"/>
    <n v="800"/>
    <x v="1"/>
  </r>
  <r>
    <x v="101"/>
    <x v="1"/>
    <m/>
    <x v="1"/>
  </r>
  <r>
    <x v="101"/>
    <x v="2"/>
    <n v="2092750.0400000033"/>
    <x v="1"/>
  </r>
  <r>
    <x v="101"/>
    <x v="3"/>
    <s v="保洁劳务费"/>
    <x v="1"/>
  </r>
  <r>
    <x v="101"/>
    <x v="4"/>
    <s v="费用"/>
    <x v="1"/>
  </r>
  <r>
    <x v="184"/>
    <x v="0"/>
    <n v="6024"/>
    <x v="1"/>
  </r>
  <r>
    <x v="184"/>
    <x v="1"/>
    <m/>
    <x v="1"/>
  </r>
  <r>
    <x v="184"/>
    <x v="2"/>
    <n v="2086726.0400000033"/>
    <x v="1"/>
  </r>
  <r>
    <x v="184"/>
    <x v="3"/>
    <s v="92102：住房公积金"/>
    <x v="1"/>
  </r>
  <r>
    <x v="184"/>
    <x v="4"/>
    <s v="住房公积金"/>
    <x v="1"/>
  </r>
  <r>
    <x v="100"/>
    <x v="0"/>
    <m/>
    <x v="1"/>
  </r>
  <r>
    <x v="100"/>
    <x v="1"/>
    <n v="84.68"/>
    <x v="1"/>
  </r>
  <r>
    <x v="100"/>
    <x v="2"/>
    <n v="2086810.7200000032"/>
    <x v="1"/>
  </r>
  <r>
    <x v="100"/>
    <x v="3"/>
    <s v="活期结算户结息"/>
    <x v="1"/>
  </r>
  <r>
    <x v="100"/>
    <x v="4"/>
    <s v="其他收入"/>
    <x v="1"/>
  </r>
  <r>
    <x v="103"/>
    <x v="0"/>
    <n v="50"/>
    <x v="1"/>
  </r>
  <r>
    <x v="103"/>
    <x v="1"/>
    <m/>
    <x v="1"/>
  </r>
  <r>
    <x v="103"/>
    <x v="2"/>
    <n v="2086760.7200000032"/>
    <x v="1"/>
  </r>
  <r>
    <x v="103"/>
    <x v="3"/>
    <s v="网上银行服务费"/>
    <x v="1"/>
  </r>
  <r>
    <x v="103"/>
    <x v="4"/>
    <s v="费用"/>
    <x v="1"/>
  </r>
  <r>
    <x v="103"/>
    <x v="0"/>
    <n v="800"/>
    <x v="1"/>
  </r>
  <r>
    <x v="103"/>
    <x v="1"/>
    <m/>
    <x v="1"/>
  </r>
  <r>
    <x v="103"/>
    <x v="2"/>
    <n v="2085960.7200000032"/>
    <x v="1"/>
  </r>
  <r>
    <x v="103"/>
    <x v="3"/>
    <s v="保洁劳务费"/>
    <x v="1"/>
  </r>
  <r>
    <x v="103"/>
    <x v="4"/>
    <s v="费用"/>
    <x v="1"/>
  </r>
  <r>
    <x v="185"/>
    <x v="0"/>
    <n v="9392.4"/>
    <x v="1"/>
  </r>
  <r>
    <x v="185"/>
    <x v="1"/>
    <m/>
    <x v="1"/>
  </r>
  <r>
    <x v="185"/>
    <x v="2"/>
    <n v="2076568.3200000033"/>
    <x v="1"/>
  </r>
  <r>
    <x v="185"/>
    <x v="3"/>
    <s v="#北京社保"/>
    <x v="1"/>
  </r>
  <r>
    <x v="185"/>
    <x v="4"/>
    <s v="社保"/>
    <x v="1"/>
  </r>
  <r>
    <x v="108"/>
    <x v="0"/>
    <n v="6024"/>
    <x v="1"/>
  </r>
  <r>
    <x v="108"/>
    <x v="1"/>
    <m/>
    <x v="1"/>
  </r>
  <r>
    <x v="108"/>
    <x v="2"/>
    <n v="2070544.3200000033"/>
    <x v="1"/>
  </r>
  <r>
    <x v="108"/>
    <x v="3"/>
    <s v="92102：住房公积金"/>
    <x v="1"/>
  </r>
  <r>
    <x v="108"/>
    <x v="4"/>
    <s v="住房公积金"/>
    <x v="1"/>
  </r>
  <r>
    <x v="186"/>
    <x v="0"/>
    <n v="50"/>
    <x v="1"/>
  </r>
  <r>
    <x v="186"/>
    <x v="1"/>
    <m/>
    <x v="1"/>
  </r>
  <r>
    <x v="186"/>
    <x v="2"/>
    <n v="2070494.3200000033"/>
    <x v="1"/>
  </r>
  <r>
    <x v="186"/>
    <x v="3"/>
    <s v="2017.06月账户管理费扣费"/>
    <x v="1"/>
  </r>
  <r>
    <x v="186"/>
    <x v="4"/>
    <s v="费用"/>
    <x v="1"/>
  </r>
  <r>
    <x v="187"/>
    <x v="0"/>
    <n v="50"/>
    <x v="1"/>
  </r>
  <r>
    <x v="187"/>
    <x v="1"/>
    <m/>
    <x v="1"/>
  </r>
  <r>
    <x v="187"/>
    <x v="2"/>
    <n v="2070444.3200000033"/>
    <x v="1"/>
  </r>
  <r>
    <x v="187"/>
    <x v="3"/>
    <s v="网上银行服务费"/>
    <x v="1"/>
  </r>
  <r>
    <x v="187"/>
    <x v="4"/>
    <s v="费用"/>
    <x v="1"/>
  </r>
  <r>
    <x v="188"/>
    <x v="0"/>
    <n v="9720.1200000000008"/>
    <x v="1"/>
  </r>
  <r>
    <x v="188"/>
    <x v="1"/>
    <m/>
    <x v="1"/>
  </r>
  <r>
    <x v="188"/>
    <x v="2"/>
    <n v="2060724.2000000032"/>
    <x v="1"/>
  </r>
  <r>
    <x v="188"/>
    <x v="3"/>
    <s v="#北京社保"/>
    <x v="1"/>
  </r>
  <r>
    <x v="188"/>
    <x v="4"/>
    <s v="社保"/>
    <x v="1"/>
  </r>
  <r>
    <x v="120"/>
    <x v="0"/>
    <n v="800"/>
    <x v="1"/>
  </r>
  <r>
    <x v="120"/>
    <x v="1"/>
    <m/>
    <x v="1"/>
  </r>
  <r>
    <x v="120"/>
    <x v="2"/>
    <n v="2059924.2000000032"/>
    <x v="1"/>
  </r>
  <r>
    <x v="120"/>
    <x v="3"/>
    <s v="保洁劳务费"/>
    <x v="1"/>
  </r>
  <r>
    <x v="120"/>
    <x v="4"/>
    <s v="费用"/>
    <x v="1"/>
  </r>
  <r>
    <x v="189"/>
    <x v="0"/>
    <n v="6024"/>
    <x v="1"/>
  </r>
  <r>
    <x v="189"/>
    <x v="1"/>
    <m/>
    <x v="1"/>
  </r>
  <r>
    <x v="189"/>
    <x v="2"/>
    <n v="2053900.2000000032"/>
    <x v="1"/>
  </r>
  <r>
    <x v="189"/>
    <x v="3"/>
    <s v="92102：住房公积金"/>
    <x v="1"/>
  </r>
  <r>
    <x v="189"/>
    <x v="4"/>
    <s v="住房公积金"/>
    <x v="1"/>
  </r>
  <r>
    <x v="136"/>
    <x v="0"/>
    <n v="50"/>
    <x v="1"/>
  </r>
  <r>
    <x v="136"/>
    <x v="1"/>
    <m/>
    <x v="1"/>
  </r>
  <r>
    <x v="136"/>
    <x v="2"/>
    <n v="2053850.2000000032"/>
    <x v="1"/>
  </r>
  <r>
    <x v="136"/>
    <x v="3"/>
    <s v="网上银行服务费"/>
    <x v="1"/>
  </r>
  <r>
    <x v="136"/>
    <x v="4"/>
    <s v="费用"/>
    <x v="1"/>
  </r>
  <r>
    <x v="137"/>
    <x v="0"/>
    <n v="9720.1200000000008"/>
    <x v="1"/>
  </r>
  <r>
    <x v="137"/>
    <x v="1"/>
    <m/>
    <x v="1"/>
  </r>
  <r>
    <x v="137"/>
    <x v="2"/>
    <n v="2044130.0800000031"/>
    <x v="1"/>
  </r>
  <r>
    <x v="137"/>
    <x v="3"/>
    <s v="#北京社保"/>
    <x v="1"/>
  </r>
  <r>
    <x v="137"/>
    <x v="4"/>
    <s v="社保"/>
    <x v="1"/>
  </r>
  <r>
    <x v="190"/>
    <x v="0"/>
    <n v="4992"/>
    <x v="1"/>
  </r>
  <r>
    <x v="190"/>
    <x v="1"/>
    <m/>
    <x v="1"/>
  </r>
  <r>
    <x v="190"/>
    <x v="2"/>
    <n v="2039138.0800000031"/>
    <x v="1"/>
  </r>
  <r>
    <x v="190"/>
    <x v="3"/>
    <s v="92102：住房公积金"/>
    <x v="1"/>
  </r>
  <r>
    <x v="190"/>
    <x v="4"/>
    <s v="住房公积金"/>
    <x v="1"/>
  </r>
  <r>
    <x v="142"/>
    <x v="0"/>
    <m/>
    <x v="1"/>
  </r>
  <r>
    <x v="142"/>
    <x v="1"/>
    <n v="79.28"/>
    <x v="1"/>
  </r>
  <r>
    <x v="142"/>
    <x v="2"/>
    <n v="2039217.3600000031"/>
    <x v="1"/>
  </r>
  <r>
    <x v="142"/>
    <x v="3"/>
    <s v="活期结算户结息79.28扣税:.00"/>
    <x v="1"/>
  </r>
  <r>
    <x v="142"/>
    <x v="4"/>
    <s v="其他收入"/>
    <x v="1"/>
  </r>
  <r>
    <x v="142"/>
    <x v="0"/>
    <n v="35"/>
    <x v="1"/>
  </r>
  <r>
    <x v="142"/>
    <x v="1"/>
    <m/>
    <x v="1"/>
  </r>
  <r>
    <x v="142"/>
    <x v="2"/>
    <n v="2039182.3600000031"/>
    <x v="1"/>
  </r>
  <r>
    <x v="142"/>
    <x v="3"/>
    <s v="网上企业银行-数字证书费"/>
    <x v="1"/>
  </r>
  <r>
    <x v="142"/>
    <x v="4"/>
    <s v="费用"/>
    <x v="1"/>
  </r>
  <r>
    <x v="191"/>
    <x v="0"/>
    <n v="50"/>
    <x v="1"/>
  </r>
  <r>
    <x v="191"/>
    <x v="1"/>
    <m/>
    <x v="1"/>
  </r>
  <r>
    <x v="191"/>
    <x v="2"/>
    <n v="2039132.3600000031"/>
    <x v="1"/>
  </r>
  <r>
    <x v="191"/>
    <x v="3"/>
    <s v="网上银行服务费"/>
    <x v="1"/>
  </r>
  <r>
    <x v="191"/>
    <x v="4"/>
    <s v="费用"/>
    <x v="1"/>
  </r>
  <r>
    <x v="192"/>
    <x v="0"/>
    <n v="7790.12"/>
    <x v="1"/>
  </r>
  <r>
    <x v="192"/>
    <x v="1"/>
    <m/>
    <x v="1"/>
  </r>
  <r>
    <x v="192"/>
    <x v="2"/>
    <n v="2031342.240000003"/>
    <x v="1"/>
  </r>
  <r>
    <x v="192"/>
    <x v="3"/>
    <s v="#北京社保"/>
    <x v="1"/>
  </r>
  <r>
    <x v="192"/>
    <x v="4"/>
    <s v="社保"/>
    <x v="1"/>
  </r>
  <r>
    <x v="193"/>
    <x v="0"/>
    <n v="4992"/>
    <x v="1"/>
  </r>
  <r>
    <x v="193"/>
    <x v="1"/>
    <m/>
    <x v="1"/>
  </r>
  <r>
    <x v="193"/>
    <x v="2"/>
    <n v="2026350.240000003"/>
    <x v="1"/>
  </r>
  <r>
    <x v="193"/>
    <x v="3"/>
    <s v="92102：住房公积金"/>
    <x v="1"/>
  </r>
  <r>
    <x v="193"/>
    <x v="4"/>
    <s v="住房公积金"/>
    <x v="1"/>
  </r>
  <r>
    <x v="194"/>
    <x v="0"/>
    <n v="50"/>
    <x v="1"/>
  </r>
  <r>
    <x v="194"/>
    <x v="1"/>
    <m/>
    <x v="1"/>
  </r>
  <r>
    <x v="194"/>
    <x v="2"/>
    <n v="2026300.240000003"/>
    <x v="1"/>
  </r>
  <r>
    <x v="194"/>
    <x v="3"/>
    <s v="网上银行服务费"/>
    <x v="1"/>
  </r>
  <r>
    <x v="194"/>
    <x v="4"/>
    <s v="费用"/>
    <x v="1"/>
  </r>
  <r>
    <x v="195"/>
    <x v="0"/>
    <n v="7739.72"/>
    <x v="1"/>
  </r>
  <r>
    <x v="195"/>
    <x v="1"/>
    <m/>
    <x v="1"/>
  </r>
  <r>
    <x v="195"/>
    <x v="2"/>
    <n v="2018560.520000003"/>
    <x v="1"/>
  </r>
  <r>
    <x v="195"/>
    <x v="3"/>
    <s v="#北京社保"/>
    <x v="1"/>
  </r>
  <r>
    <x v="195"/>
    <x v="4"/>
    <s v="社保"/>
    <x v="1"/>
  </r>
  <r>
    <x v="196"/>
    <x v="0"/>
    <n v="4536"/>
    <x v="1"/>
  </r>
  <r>
    <x v="196"/>
    <x v="1"/>
    <m/>
    <x v="1"/>
  </r>
  <r>
    <x v="196"/>
    <x v="2"/>
    <n v="2014024.520000003"/>
    <x v="1"/>
  </r>
  <r>
    <x v="196"/>
    <x v="3"/>
    <s v="92102：住房公积金"/>
    <x v="1"/>
  </r>
  <r>
    <x v="196"/>
    <x v="4"/>
    <s v="住房公积金"/>
    <x v="1"/>
  </r>
  <r>
    <x v="197"/>
    <x v="0"/>
    <n v="50"/>
    <x v="1"/>
  </r>
  <r>
    <x v="197"/>
    <x v="1"/>
    <m/>
    <x v="1"/>
  </r>
  <r>
    <x v="197"/>
    <x v="2"/>
    <n v="2013974.520000003"/>
    <x v="1"/>
  </r>
  <r>
    <x v="197"/>
    <x v="3"/>
    <s v="网上银行服务费"/>
    <x v="1"/>
  </r>
  <r>
    <x v="197"/>
    <x v="4"/>
    <s v="费用"/>
    <x v="1"/>
  </r>
  <r>
    <x v="198"/>
    <x v="0"/>
    <n v="5819.12"/>
    <x v="1"/>
  </r>
  <r>
    <x v="198"/>
    <x v="1"/>
    <m/>
    <x v="1"/>
  </r>
  <r>
    <x v="198"/>
    <x v="2"/>
    <n v="2008155.4000000029"/>
    <x v="1"/>
  </r>
  <r>
    <x v="198"/>
    <x v="3"/>
    <s v="#北京社保"/>
    <x v="1"/>
  </r>
  <r>
    <x v="198"/>
    <x v="4"/>
    <s v="社保"/>
    <x v="1"/>
  </r>
  <r>
    <x v="163"/>
    <x v="0"/>
    <n v="3960"/>
    <x v="1"/>
  </r>
  <r>
    <x v="163"/>
    <x v="1"/>
    <m/>
    <x v="1"/>
  </r>
  <r>
    <x v="163"/>
    <x v="2"/>
    <n v="2004195.4000000029"/>
    <x v="1"/>
  </r>
  <r>
    <x v="163"/>
    <x v="3"/>
    <s v="92102：住房公积金"/>
    <x v="1"/>
  </r>
  <r>
    <x v="163"/>
    <x v="4"/>
    <s v="住房公积金"/>
    <x v="1"/>
  </r>
  <r>
    <x v="166"/>
    <x v="0"/>
    <m/>
    <x v="1"/>
  </r>
  <r>
    <x v="166"/>
    <x v="1"/>
    <n v="53.73"/>
    <x v="1"/>
  </r>
  <r>
    <x v="166"/>
    <x v="2"/>
    <n v="2004249.1300000029"/>
    <x v="1"/>
  </r>
  <r>
    <x v="166"/>
    <x v="3"/>
    <s v="活期结算户结息53.73扣税:.00"/>
    <x v="1"/>
  </r>
  <r>
    <x v="166"/>
    <x v="4"/>
    <s v="其他收入"/>
    <x v="1"/>
  </r>
  <r>
    <x v="199"/>
    <x v="0"/>
    <n v="7"/>
    <x v="1"/>
  </r>
  <r>
    <x v="199"/>
    <x v="1"/>
    <m/>
    <x v="1"/>
  </r>
  <r>
    <x v="199"/>
    <x v="2"/>
    <n v="2004242.1300000029"/>
    <x v="1"/>
  </r>
  <r>
    <x v="199"/>
    <x v="3"/>
    <s v="手续费"/>
    <x v="1"/>
  </r>
  <r>
    <x v="199"/>
    <x v="4"/>
    <s v="费用"/>
    <x v="1"/>
  </r>
  <r>
    <x v="199"/>
    <x v="0"/>
    <m/>
    <x v="2"/>
  </r>
  <r>
    <x v="199"/>
    <x v="1"/>
    <m/>
    <x v="2"/>
  </r>
  <r>
    <x v="199"/>
    <x v="2"/>
    <n v="2004242.1300000029"/>
    <x v="2"/>
  </r>
  <r>
    <x v="199"/>
    <x v="3"/>
    <s v="上年结转余额"/>
    <x v="2"/>
  </r>
  <r>
    <x v="199"/>
    <x v="4"/>
    <s v="上年余额"/>
    <x v="2"/>
  </r>
  <r>
    <x v="200"/>
    <x v="0"/>
    <n v="4121"/>
    <x v="2"/>
  </r>
  <r>
    <x v="200"/>
    <x v="1"/>
    <m/>
    <x v="2"/>
  </r>
  <r>
    <x v="200"/>
    <x v="2"/>
    <n v="2000121.1300000029"/>
    <x v="2"/>
  </r>
  <r>
    <x v="200"/>
    <x v="3"/>
    <s v="费用报销"/>
    <x v="2"/>
  </r>
  <r>
    <x v="200"/>
    <x v="4"/>
    <s v="费用"/>
    <x v="2"/>
  </r>
  <r>
    <x v="200"/>
    <x v="0"/>
    <n v="329.2"/>
    <x v="2"/>
  </r>
  <r>
    <x v="200"/>
    <x v="1"/>
    <m/>
    <x v="2"/>
  </r>
  <r>
    <x v="200"/>
    <x v="2"/>
    <n v="1999791.930000003"/>
    <x v="2"/>
  </r>
  <r>
    <x v="200"/>
    <x v="3"/>
    <s v="费用报销"/>
    <x v="2"/>
  </r>
  <r>
    <x v="200"/>
    <x v="4"/>
    <s v="费用"/>
    <x v="2"/>
  </r>
  <r>
    <x v="200"/>
    <x v="0"/>
    <n v="711"/>
    <x v="2"/>
  </r>
  <r>
    <x v="200"/>
    <x v="1"/>
    <m/>
    <x v="2"/>
  </r>
  <r>
    <x v="200"/>
    <x v="2"/>
    <n v="1999080.930000003"/>
    <x v="2"/>
  </r>
  <r>
    <x v="200"/>
    <x v="3"/>
    <s v="费用报销"/>
    <x v="2"/>
  </r>
  <r>
    <x v="200"/>
    <x v="4"/>
    <s v="费用"/>
    <x v="2"/>
  </r>
  <r>
    <x v="201"/>
    <x v="0"/>
    <n v="9569.0300000000007"/>
    <x v="2"/>
  </r>
  <r>
    <x v="201"/>
    <x v="1"/>
    <m/>
    <x v="2"/>
  </r>
  <r>
    <x v="201"/>
    <x v="2"/>
    <n v="1989511.9000000029"/>
    <x v="2"/>
  </r>
  <r>
    <x v="201"/>
    <x v="3"/>
    <s v="个人所得税"/>
    <x v="2"/>
  </r>
  <r>
    <x v="201"/>
    <x v="4"/>
    <s v="个人所得税"/>
    <x v="2"/>
  </r>
  <r>
    <x v="202"/>
    <x v="0"/>
    <m/>
    <x v="2"/>
  </r>
  <r>
    <x v="202"/>
    <x v="1"/>
    <n v="20000"/>
    <x v="2"/>
  </r>
  <r>
    <x v="202"/>
    <x v="2"/>
    <n v="2009511.9000000029"/>
    <x v="2"/>
  </r>
  <r>
    <x v="202"/>
    <x v="3"/>
    <s v="押金退回"/>
    <x v="2"/>
  </r>
  <r>
    <x v="202"/>
    <x v="4"/>
    <s v="其他收入"/>
    <x v="2"/>
  </r>
  <r>
    <x v="203"/>
    <x v="0"/>
    <n v="215856.84"/>
    <x v="2"/>
  </r>
  <r>
    <x v="203"/>
    <x v="1"/>
    <m/>
    <x v="2"/>
  </r>
  <r>
    <x v="203"/>
    <x v="2"/>
    <n v="1793655.0600000028"/>
    <x v="2"/>
  </r>
  <r>
    <x v="203"/>
    <x v="3"/>
    <s v="蔬菜货款"/>
    <x v="2"/>
  </r>
  <r>
    <x v="203"/>
    <x v="4"/>
    <s v="采购成本"/>
    <x v="2"/>
  </r>
  <r>
    <x v="203"/>
    <x v="0"/>
    <n v="40440"/>
    <x v="2"/>
  </r>
  <r>
    <x v="203"/>
    <x v="1"/>
    <m/>
    <x v="2"/>
  </r>
  <r>
    <x v="203"/>
    <x v="2"/>
    <n v="1753215.0600000028"/>
    <x v="2"/>
  </r>
  <r>
    <x v="203"/>
    <x v="3"/>
    <s v="支付采购大米货款"/>
    <x v="2"/>
  </r>
  <r>
    <x v="203"/>
    <x v="4"/>
    <s v="采购成本"/>
    <x v="2"/>
  </r>
  <r>
    <x v="204"/>
    <x v="0"/>
    <n v="10.5"/>
    <x v="2"/>
  </r>
  <r>
    <x v="204"/>
    <x v="1"/>
    <m/>
    <x v="2"/>
  </r>
  <r>
    <x v="204"/>
    <x v="2"/>
    <n v="1753204.5600000028"/>
    <x v="2"/>
  </r>
  <r>
    <x v="204"/>
    <x v="3"/>
    <s v="网银结算手续费"/>
    <x v="2"/>
  </r>
  <r>
    <x v="204"/>
    <x v="4"/>
    <s v="费用"/>
    <x v="2"/>
  </r>
  <r>
    <x v="205"/>
    <x v="0"/>
    <n v="8922.2000000000007"/>
    <x v="2"/>
  </r>
  <r>
    <x v="205"/>
    <x v="1"/>
    <m/>
    <x v="2"/>
  </r>
  <r>
    <x v="205"/>
    <x v="2"/>
    <n v="1744282.3600000029"/>
    <x v="2"/>
  </r>
  <r>
    <x v="205"/>
    <x v="3"/>
    <s v="工资及劳务费"/>
    <x v="2"/>
  </r>
  <r>
    <x v="205"/>
    <x v="4"/>
    <s v="工资及奖金"/>
    <x v="2"/>
  </r>
  <r>
    <x v="205"/>
    <x v="0"/>
    <n v="3795.3"/>
    <x v="2"/>
  </r>
  <r>
    <x v="205"/>
    <x v="1"/>
    <m/>
    <x v="2"/>
  </r>
  <r>
    <x v="205"/>
    <x v="2"/>
    <n v="1740487.0600000028"/>
    <x v="2"/>
  </r>
  <r>
    <x v="205"/>
    <x v="3"/>
    <s v="工资及劳务费"/>
    <x v="2"/>
  </r>
  <r>
    <x v="205"/>
    <x v="4"/>
    <s v="工资及奖金"/>
    <x v="2"/>
  </r>
  <r>
    <x v="205"/>
    <x v="0"/>
    <n v="4200"/>
    <x v="2"/>
  </r>
  <r>
    <x v="205"/>
    <x v="1"/>
    <m/>
    <x v="2"/>
  </r>
  <r>
    <x v="205"/>
    <x v="2"/>
    <n v="1736287.0600000028"/>
    <x v="2"/>
  </r>
  <r>
    <x v="205"/>
    <x v="3"/>
    <s v="工资及劳务费"/>
    <x v="2"/>
  </r>
  <r>
    <x v="205"/>
    <x v="4"/>
    <s v="工资及奖金"/>
    <x v="2"/>
  </r>
  <r>
    <x v="205"/>
    <x v="0"/>
    <n v="31578.9"/>
    <x v="2"/>
  </r>
  <r>
    <x v="205"/>
    <x v="1"/>
    <m/>
    <x v="2"/>
  </r>
  <r>
    <x v="205"/>
    <x v="2"/>
    <n v="1704708.1600000029"/>
    <x v="2"/>
  </r>
  <r>
    <x v="205"/>
    <x v="3"/>
    <s v="工资及劳务费"/>
    <x v="2"/>
  </r>
  <r>
    <x v="205"/>
    <x v="4"/>
    <s v="工资及奖金"/>
    <x v="2"/>
  </r>
  <r>
    <x v="205"/>
    <x v="0"/>
    <n v="1807.5"/>
    <x v="2"/>
  </r>
  <r>
    <x v="205"/>
    <x v="1"/>
    <m/>
    <x v="2"/>
  </r>
  <r>
    <x v="205"/>
    <x v="2"/>
    <n v="1702900.6600000029"/>
    <x v="2"/>
  </r>
  <r>
    <x v="205"/>
    <x v="3"/>
    <s v="费用报销"/>
    <x v="2"/>
  </r>
  <r>
    <x v="205"/>
    <x v="4"/>
    <s v="费用"/>
    <x v="2"/>
  </r>
  <r>
    <x v="205"/>
    <x v="0"/>
    <n v="264.89999999999998"/>
    <x v="2"/>
  </r>
  <r>
    <x v="205"/>
    <x v="1"/>
    <m/>
    <x v="2"/>
  </r>
  <r>
    <x v="205"/>
    <x v="2"/>
    <n v="1702635.760000003"/>
    <x v="2"/>
  </r>
  <r>
    <x v="205"/>
    <x v="3"/>
    <s v="费用报销"/>
    <x v="2"/>
  </r>
  <r>
    <x v="205"/>
    <x v="4"/>
    <s v="费用"/>
    <x v="2"/>
  </r>
  <r>
    <x v="206"/>
    <x v="0"/>
    <n v="28000"/>
    <x v="2"/>
  </r>
  <r>
    <x v="206"/>
    <x v="1"/>
    <m/>
    <x v="2"/>
  </r>
  <r>
    <x v="206"/>
    <x v="2"/>
    <n v="1674635.760000003"/>
    <x v="2"/>
  </r>
  <r>
    <x v="206"/>
    <x v="3"/>
    <s v="捐赠款"/>
    <x v="2"/>
  </r>
  <r>
    <x v="206"/>
    <x v="4"/>
    <s v="费用"/>
    <x v="2"/>
  </r>
  <r>
    <x v="207"/>
    <x v="0"/>
    <n v="135473.75"/>
    <x v="2"/>
  </r>
  <r>
    <x v="207"/>
    <x v="1"/>
    <m/>
    <x v="2"/>
  </r>
  <r>
    <x v="207"/>
    <x v="2"/>
    <n v="1539162.010000003"/>
    <x v="2"/>
  </r>
  <r>
    <x v="207"/>
    <x v="3"/>
    <s v="蔬菜货款"/>
    <x v="2"/>
  </r>
  <r>
    <x v="207"/>
    <x v="4"/>
    <s v="采购成本"/>
    <x v="2"/>
  </r>
  <r>
    <x v="208"/>
    <x v="0"/>
    <n v="10.5"/>
    <x v="2"/>
  </r>
  <r>
    <x v="208"/>
    <x v="1"/>
    <m/>
    <x v="2"/>
  </r>
  <r>
    <x v="208"/>
    <x v="2"/>
    <n v="1539151.510000003"/>
    <x v="2"/>
  </r>
  <r>
    <x v="208"/>
    <x v="3"/>
    <s v="手续费"/>
    <x v="2"/>
  </r>
  <r>
    <x v="208"/>
    <x v="4"/>
    <s v="费用"/>
    <x v="2"/>
  </r>
  <r>
    <x v="209"/>
    <x v="0"/>
    <n v="3304.8"/>
    <x v="2"/>
  </r>
  <r>
    <x v="209"/>
    <x v="1"/>
    <m/>
    <x v="2"/>
  </r>
  <r>
    <x v="209"/>
    <x v="2"/>
    <n v="1535846.710000003"/>
    <x v="2"/>
  </r>
  <r>
    <x v="209"/>
    <x v="3"/>
    <s v="费用报销"/>
    <x v="2"/>
  </r>
  <r>
    <x v="209"/>
    <x v="4"/>
    <s v="费用"/>
    <x v="2"/>
  </r>
  <r>
    <x v="210"/>
    <x v="0"/>
    <m/>
    <x v="2"/>
  </r>
  <r>
    <x v="210"/>
    <x v="1"/>
    <n v="28860.46"/>
    <x v="2"/>
  </r>
  <r>
    <x v="210"/>
    <x v="2"/>
    <n v="1564707.170000003"/>
    <x v="2"/>
  </r>
  <r>
    <x v="210"/>
    <x v="3"/>
    <s v="采购蔬菜费用"/>
    <x v="2"/>
  </r>
  <r>
    <x v="210"/>
    <x v="4"/>
    <s v="销售收入"/>
    <x v="2"/>
  </r>
  <r>
    <x v="210"/>
    <x v="0"/>
    <m/>
    <x v="2"/>
  </r>
  <r>
    <x v="210"/>
    <x v="1"/>
    <n v="15551.96"/>
    <x v="2"/>
  </r>
  <r>
    <x v="210"/>
    <x v="2"/>
    <n v="1580259.1300000029"/>
    <x v="2"/>
  </r>
  <r>
    <x v="210"/>
    <x v="3"/>
    <s v="采购蔬菜费用"/>
    <x v="2"/>
  </r>
  <r>
    <x v="210"/>
    <x v="4"/>
    <s v="销售收入"/>
    <x v="2"/>
  </r>
  <r>
    <x v="211"/>
    <x v="0"/>
    <n v="8269.2900000000009"/>
    <x v="2"/>
  </r>
  <r>
    <x v="211"/>
    <x v="1"/>
    <m/>
    <x v="2"/>
  </r>
  <r>
    <x v="211"/>
    <x v="2"/>
    <n v="1571989.8400000029"/>
    <x v="2"/>
  </r>
  <r>
    <x v="211"/>
    <x v="3"/>
    <s v="税费"/>
    <x v="2"/>
  </r>
  <r>
    <x v="211"/>
    <x v="4"/>
    <s v="个人所得税"/>
    <x v="2"/>
  </r>
  <r>
    <x v="212"/>
    <x v="0"/>
    <n v="500000"/>
    <x v="2"/>
  </r>
  <r>
    <x v="212"/>
    <x v="1"/>
    <m/>
    <x v="2"/>
  </r>
  <r>
    <x v="212"/>
    <x v="2"/>
    <n v="1071989.8400000029"/>
    <x v="2"/>
  </r>
  <r>
    <x v="212"/>
    <x v="3"/>
    <s v="入资款"/>
    <x v="2"/>
  </r>
  <r>
    <x v="212"/>
    <x v="4"/>
    <s v="对外投资"/>
    <x v="2"/>
  </r>
  <r>
    <x v="213"/>
    <x v="0"/>
    <n v="10.5"/>
    <x v="2"/>
  </r>
  <r>
    <x v="213"/>
    <x v="1"/>
    <m/>
    <x v="2"/>
  </r>
  <r>
    <x v="213"/>
    <x v="2"/>
    <n v="1071979.3400000029"/>
    <x v="2"/>
  </r>
  <r>
    <x v="213"/>
    <x v="3"/>
    <s v="手续费"/>
    <x v="2"/>
  </r>
  <r>
    <x v="213"/>
    <x v="4"/>
    <s v="费用"/>
    <x v="2"/>
  </r>
  <r>
    <x v="214"/>
    <x v="0"/>
    <m/>
    <x v="2"/>
  </r>
  <r>
    <x v="214"/>
    <x v="1"/>
    <n v="587556.87"/>
    <x v="2"/>
  </r>
  <r>
    <x v="214"/>
    <x v="2"/>
    <n v="1659536.2100000028"/>
    <x v="2"/>
  </r>
  <r>
    <x v="214"/>
    <x v="3"/>
    <s v="采购蔬菜费"/>
    <x v="2"/>
  </r>
  <r>
    <x v="214"/>
    <x v="4"/>
    <s v="销售收入"/>
    <x v="2"/>
  </r>
  <r>
    <x v="215"/>
    <x v="0"/>
    <n v="4955"/>
    <x v="2"/>
  </r>
  <r>
    <x v="215"/>
    <x v="1"/>
    <m/>
    <x v="2"/>
  </r>
  <r>
    <x v="215"/>
    <x v="2"/>
    <n v="1654581.2100000028"/>
    <x v="2"/>
  </r>
  <r>
    <x v="215"/>
    <x v="3"/>
    <s v="工资"/>
    <x v="2"/>
  </r>
  <r>
    <x v="215"/>
    <x v="4"/>
    <s v="工资及奖金"/>
    <x v="2"/>
  </r>
  <r>
    <x v="215"/>
    <x v="0"/>
    <n v="4955"/>
    <x v="2"/>
  </r>
  <r>
    <x v="215"/>
    <x v="1"/>
    <m/>
    <x v="2"/>
  </r>
  <r>
    <x v="215"/>
    <x v="2"/>
    <n v="1649626.2100000028"/>
    <x v="2"/>
  </r>
  <r>
    <x v="215"/>
    <x v="3"/>
    <s v="工资"/>
    <x v="2"/>
  </r>
  <r>
    <x v="215"/>
    <x v="4"/>
    <s v="工资及奖金"/>
    <x v="2"/>
  </r>
  <r>
    <x v="215"/>
    <x v="0"/>
    <n v="4955"/>
    <x v="2"/>
  </r>
  <r>
    <x v="215"/>
    <x v="1"/>
    <m/>
    <x v="2"/>
  </r>
  <r>
    <x v="215"/>
    <x v="2"/>
    <n v="1644671.2100000028"/>
    <x v="2"/>
  </r>
  <r>
    <x v="215"/>
    <x v="3"/>
    <s v="工资"/>
    <x v="2"/>
  </r>
  <r>
    <x v="215"/>
    <x v="4"/>
    <s v="工资及奖金"/>
    <x v="2"/>
  </r>
  <r>
    <x v="215"/>
    <x v="0"/>
    <n v="164825.79999999999"/>
    <x v="2"/>
  </r>
  <r>
    <x v="215"/>
    <x v="1"/>
    <m/>
    <x v="2"/>
  </r>
  <r>
    <x v="215"/>
    <x v="2"/>
    <n v="1479845.4100000027"/>
    <x v="2"/>
  </r>
  <r>
    <x v="215"/>
    <x v="3"/>
    <s v="蔬菜采购货款及费用报销"/>
    <x v="2"/>
  </r>
  <r>
    <x v="215"/>
    <x v="4"/>
    <s v="采购成本"/>
    <x v="2"/>
  </r>
  <r>
    <x v="215"/>
    <x v="0"/>
    <n v="8666.67"/>
    <x v="2"/>
  </r>
  <r>
    <x v="215"/>
    <x v="1"/>
    <m/>
    <x v="2"/>
  </r>
  <r>
    <x v="215"/>
    <x v="2"/>
    <n v="1471178.7400000028"/>
    <x v="2"/>
  </r>
  <r>
    <x v="215"/>
    <x v="3"/>
    <s v="费用报销"/>
    <x v="2"/>
  </r>
  <r>
    <x v="215"/>
    <x v="4"/>
    <s v="费用"/>
    <x v="2"/>
  </r>
  <r>
    <x v="215"/>
    <x v="0"/>
    <n v="1200"/>
    <x v="2"/>
  </r>
  <r>
    <x v="215"/>
    <x v="1"/>
    <m/>
    <x v="2"/>
  </r>
  <r>
    <x v="215"/>
    <x v="2"/>
    <n v="1469978.7400000028"/>
    <x v="2"/>
  </r>
  <r>
    <x v="215"/>
    <x v="3"/>
    <s v="费用报销"/>
    <x v="2"/>
  </r>
  <r>
    <x v="215"/>
    <x v="4"/>
    <s v="费用"/>
    <x v="2"/>
  </r>
  <r>
    <x v="215"/>
    <x v="0"/>
    <n v="1200"/>
    <x v="2"/>
  </r>
  <r>
    <x v="215"/>
    <x v="1"/>
    <m/>
    <x v="2"/>
  </r>
  <r>
    <x v="215"/>
    <x v="2"/>
    <n v="1468778.7400000028"/>
    <x v="2"/>
  </r>
  <r>
    <x v="215"/>
    <x v="3"/>
    <s v="费用报销"/>
    <x v="2"/>
  </r>
  <r>
    <x v="215"/>
    <x v="4"/>
    <s v="费用"/>
    <x v="2"/>
  </r>
  <r>
    <x v="215"/>
    <x v="0"/>
    <n v="3718.7"/>
    <x v="2"/>
  </r>
  <r>
    <x v="215"/>
    <x v="1"/>
    <m/>
    <x v="2"/>
  </r>
  <r>
    <x v="215"/>
    <x v="2"/>
    <n v="1465060.0400000028"/>
    <x v="2"/>
  </r>
  <r>
    <x v="215"/>
    <x v="3"/>
    <s v="费用报销"/>
    <x v="2"/>
  </r>
  <r>
    <x v="215"/>
    <x v="4"/>
    <s v="费用"/>
    <x v="2"/>
  </r>
  <r>
    <x v="216"/>
    <x v="0"/>
    <n v="61285.25"/>
    <x v="2"/>
  </r>
  <r>
    <x v="216"/>
    <x v="1"/>
    <m/>
    <x v="2"/>
  </r>
  <r>
    <x v="216"/>
    <x v="2"/>
    <n v="1403774.7900000028"/>
    <x v="2"/>
  </r>
  <r>
    <x v="216"/>
    <x v="3"/>
    <s v="工资及劳务费"/>
    <x v="2"/>
  </r>
  <r>
    <x v="216"/>
    <x v="4"/>
    <s v="工资及奖金"/>
    <x v="2"/>
  </r>
  <r>
    <x v="216"/>
    <x v="0"/>
    <n v="19101.48"/>
    <x v="2"/>
  </r>
  <r>
    <x v="216"/>
    <x v="1"/>
    <m/>
    <x v="2"/>
  </r>
  <r>
    <x v="216"/>
    <x v="2"/>
    <n v="1384673.3100000028"/>
    <x v="2"/>
  </r>
  <r>
    <x v="216"/>
    <x v="3"/>
    <s v="工资及劳务费"/>
    <x v="2"/>
  </r>
  <r>
    <x v="216"/>
    <x v="4"/>
    <s v="工资及奖金"/>
    <x v="2"/>
  </r>
  <r>
    <x v="216"/>
    <x v="0"/>
    <n v="8563.9"/>
    <x v="2"/>
  </r>
  <r>
    <x v="216"/>
    <x v="1"/>
    <m/>
    <x v="2"/>
  </r>
  <r>
    <x v="216"/>
    <x v="2"/>
    <n v="1376109.4100000029"/>
    <x v="2"/>
  </r>
  <r>
    <x v="216"/>
    <x v="3"/>
    <s v="工资及劳务费"/>
    <x v="2"/>
  </r>
  <r>
    <x v="216"/>
    <x v="4"/>
    <s v="工资及奖金"/>
    <x v="2"/>
  </r>
  <r>
    <x v="216"/>
    <x v="0"/>
    <n v="3353.6"/>
    <x v="2"/>
  </r>
  <r>
    <x v="216"/>
    <x v="1"/>
    <m/>
    <x v="2"/>
  </r>
  <r>
    <x v="216"/>
    <x v="2"/>
    <n v="1372755.8100000028"/>
    <x v="2"/>
  </r>
  <r>
    <x v="216"/>
    <x v="3"/>
    <s v="工资及劳务费"/>
    <x v="2"/>
  </r>
  <r>
    <x v="216"/>
    <x v="4"/>
    <s v="工资及奖金"/>
    <x v="2"/>
  </r>
  <r>
    <x v="216"/>
    <x v="0"/>
    <m/>
    <x v="2"/>
  </r>
  <r>
    <x v="216"/>
    <x v="1"/>
    <n v="200000"/>
    <x v="2"/>
  </r>
  <r>
    <x v="216"/>
    <x v="2"/>
    <n v="1572755.8100000028"/>
    <x v="2"/>
  </r>
  <r>
    <x v="216"/>
    <x v="3"/>
    <s v="退还购买股权款"/>
    <x v="2"/>
  </r>
  <r>
    <x v="216"/>
    <x v="4"/>
    <s v="往来"/>
    <x v="2"/>
  </r>
  <r>
    <x v="217"/>
    <x v="0"/>
    <n v="90000"/>
    <x v="2"/>
  </r>
  <r>
    <x v="217"/>
    <x v="1"/>
    <m/>
    <x v="2"/>
  </r>
  <r>
    <x v="217"/>
    <x v="2"/>
    <n v="1482755.8100000028"/>
    <x v="2"/>
  </r>
  <r>
    <x v="217"/>
    <x v="3"/>
    <s v="执行会员费"/>
    <x v="2"/>
  </r>
  <r>
    <x v="217"/>
    <x v="4"/>
    <s v="费用"/>
    <x v="2"/>
  </r>
  <r>
    <x v="217"/>
    <x v="0"/>
    <n v="3505.07"/>
    <x v="2"/>
  </r>
  <r>
    <x v="217"/>
    <x v="1"/>
    <m/>
    <x v="2"/>
  </r>
  <r>
    <x v="217"/>
    <x v="2"/>
    <n v="1479250.7400000028"/>
    <x v="2"/>
  </r>
  <r>
    <x v="217"/>
    <x v="3"/>
    <s v="税费"/>
    <x v="2"/>
  </r>
  <r>
    <x v="217"/>
    <x v="4"/>
    <s v="个人所得税"/>
    <x v="2"/>
  </r>
  <r>
    <x v="218"/>
    <x v="0"/>
    <n v="7"/>
    <x v="2"/>
  </r>
  <r>
    <x v="218"/>
    <x v="1"/>
    <m/>
    <x v="2"/>
  </r>
  <r>
    <x v="218"/>
    <x v="2"/>
    <n v="1479243.7400000028"/>
    <x v="2"/>
  </r>
  <r>
    <x v="218"/>
    <x v="3"/>
    <s v="手续费"/>
    <x v="2"/>
  </r>
  <r>
    <x v="218"/>
    <x v="4"/>
    <s v="费用"/>
    <x v="2"/>
  </r>
  <r>
    <x v="219"/>
    <x v="0"/>
    <m/>
    <x v="2"/>
  </r>
  <r>
    <x v="219"/>
    <x v="1"/>
    <n v="722.15"/>
    <x v="2"/>
  </r>
  <r>
    <x v="219"/>
    <x v="2"/>
    <n v="1479965.8900000027"/>
    <x v="2"/>
  </r>
  <r>
    <x v="219"/>
    <x v="3"/>
    <s v="利息"/>
    <x v="2"/>
  </r>
  <r>
    <x v="219"/>
    <x v="4"/>
    <s v="其他收入"/>
    <x v="2"/>
  </r>
  <r>
    <x v="220"/>
    <x v="0"/>
    <m/>
    <x v="2"/>
  </r>
  <r>
    <x v="220"/>
    <x v="1"/>
    <n v="400000"/>
    <x v="2"/>
  </r>
  <r>
    <x v="220"/>
    <x v="2"/>
    <n v="1879965.8900000027"/>
    <x v="2"/>
  </r>
  <r>
    <x v="220"/>
    <x v="3"/>
    <s v="返还购买股权款"/>
    <x v="2"/>
  </r>
  <r>
    <x v="220"/>
    <x v="4"/>
    <s v="往来"/>
    <x v="2"/>
  </r>
  <r>
    <x v="220"/>
    <x v="0"/>
    <m/>
    <x v="2"/>
  </r>
  <r>
    <x v="220"/>
    <x v="1"/>
    <n v="250000"/>
    <x v="2"/>
  </r>
  <r>
    <x v="220"/>
    <x v="2"/>
    <n v="2129965.8900000025"/>
    <x v="2"/>
  </r>
  <r>
    <x v="220"/>
    <x v="3"/>
    <s v="返还购买股权款"/>
    <x v="2"/>
  </r>
  <r>
    <x v="220"/>
    <x v="4"/>
    <s v="往来"/>
    <x v="2"/>
  </r>
  <r>
    <x v="221"/>
    <x v="0"/>
    <n v="14087.75"/>
    <x v="2"/>
  </r>
  <r>
    <x v="221"/>
    <x v="1"/>
    <m/>
    <x v="2"/>
  </r>
  <r>
    <x v="221"/>
    <x v="2"/>
    <n v="2115878.1400000025"/>
    <x v="2"/>
  </r>
  <r>
    <x v="221"/>
    <x v="3"/>
    <s v="工资及劳务费"/>
    <x v="2"/>
  </r>
  <r>
    <x v="221"/>
    <x v="4"/>
    <s v="工资及奖金"/>
    <x v="2"/>
  </r>
  <r>
    <x v="221"/>
    <x v="0"/>
    <n v="8922.2000000000007"/>
    <x v="2"/>
  </r>
  <r>
    <x v="221"/>
    <x v="1"/>
    <m/>
    <x v="2"/>
  </r>
  <r>
    <x v="221"/>
    <x v="2"/>
    <n v="2106955.9400000023"/>
    <x v="2"/>
  </r>
  <r>
    <x v="221"/>
    <x v="3"/>
    <s v="工资及劳务费"/>
    <x v="2"/>
  </r>
  <r>
    <x v="221"/>
    <x v="4"/>
    <s v="工资及奖金"/>
    <x v="2"/>
  </r>
  <r>
    <x v="221"/>
    <x v="0"/>
    <n v="4004.9"/>
    <x v="2"/>
  </r>
  <r>
    <x v="221"/>
    <x v="1"/>
    <m/>
    <x v="2"/>
  </r>
  <r>
    <x v="221"/>
    <x v="2"/>
    <n v="2102951.0400000024"/>
    <x v="2"/>
  </r>
  <r>
    <x v="221"/>
    <x v="3"/>
    <s v="工资及劳务费"/>
    <x v="2"/>
  </r>
  <r>
    <x v="221"/>
    <x v="4"/>
    <s v="工资及奖金"/>
    <x v="2"/>
  </r>
  <r>
    <x v="221"/>
    <x v="0"/>
    <n v="3353.6"/>
    <x v="2"/>
  </r>
  <r>
    <x v="221"/>
    <x v="1"/>
    <m/>
    <x v="2"/>
  </r>
  <r>
    <x v="221"/>
    <x v="2"/>
    <n v="2099597.4400000023"/>
    <x v="2"/>
  </r>
  <r>
    <x v="221"/>
    <x v="3"/>
    <s v="工资及劳务费"/>
    <x v="2"/>
  </r>
  <r>
    <x v="221"/>
    <x v="4"/>
    <s v="工资及奖金"/>
    <x v="2"/>
  </r>
  <r>
    <x v="221"/>
    <x v="0"/>
    <n v="7410"/>
    <x v="2"/>
  </r>
  <r>
    <x v="221"/>
    <x v="1"/>
    <m/>
    <x v="2"/>
  </r>
  <r>
    <x v="221"/>
    <x v="2"/>
    <n v="2092187.4400000023"/>
    <x v="2"/>
  </r>
  <r>
    <x v="221"/>
    <x v="3"/>
    <s v="费用报销"/>
    <x v="2"/>
  </r>
  <r>
    <x v="221"/>
    <x v="4"/>
    <s v="费用"/>
    <x v="2"/>
  </r>
  <r>
    <x v="221"/>
    <x v="0"/>
    <n v="366.9"/>
    <x v="2"/>
  </r>
  <r>
    <x v="221"/>
    <x v="1"/>
    <m/>
    <x v="2"/>
  </r>
  <r>
    <x v="221"/>
    <x v="2"/>
    <n v="2091820.5400000024"/>
    <x v="2"/>
  </r>
  <r>
    <x v="221"/>
    <x v="3"/>
    <s v="费用报销"/>
    <x v="2"/>
  </r>
  <r>
    <x v="221"/>
    <x v="4"/>
    <s v="费用"/>
    <x v="2"/>
  </r>
  <r>
    <x v="221"/>
    <x v="0"/>
    <n v="42477.2"/>
    <x v="2"/>
  </r>
  <r>
    <x v="221"/>
    <x v="1"/>
    <m/>
    <x v="2"/>
  </r>
  <r>
    <x v="221"/>
    <x v="2"/>
    <n v="2049343.3400000024"/>
    <x v="2"/>
  </r>
  <r>
    <x v="221"/>
    <x v="3"/>
    <s v="费用报销"/>
    <x v="2"/>
  </r>
  <r>
    <x v="221"/>
    <x v="4"/>
    <s v="费用"/>
    <x v="2"/>
  </r>
  <r>
    <x v="222"/>
    <x v="0"/>
    <n v="1000000"/>
    <x v="2"/>
  </r>
  <r>
    <x v="222"/>
    <x v="1"/>
    <m/>
    <x v="2"/>
  </r>
  <r>
    <x v="222"/>
    <x v="2"/>
    <n v="1049343.3400000024"/>
    <x v="2"/>
  </r>
  <r>
    <x v="222"/>
    <x v="3"/>
    <s v="入资款"/>
    <x v="2"/>
  </r>
  <r>
    <x v="222"/>
    <x v="4"/>
    <s v="对外投资"/>
    <x v="2"/>
  </r>
  <r>
    <x v="223"/>
    <x v="0"/>
    <n v="14"/>
    <x v="2"/>
  </r>
  <r>
    <x v="223"/>
    <x v="1"/>
    <m/>
    <x v="2"/>
  </r>
  <r>
    <x v="223"/>
    <x v="2"/>
    <n v="1049329.3400000024"/>
    <x v="2"/>
  </r>
  <r>
    <x v="223"/>
    <x v="3"/>
    <s v="手续费"/>
    <x v="2"/>
  </r>
  <r>
    <x v="223"/>
    <x v="4"/>
    <s v="费用"/>
    <x v="2"/>
  </r>
  <r>
    <x v="223"/>
    <x v="0"/>
    <n v="2933"/>
    <x v="2"/>
  </r>
  <r>
    <x v="223"/>
    <x v="1"/>
    <m/>
    <x v="2"/>
  </r>
  <r>
    <x v="223"/>
    <x v="2"/>
    <n v="1046396.3400000024"/>
    <x v="2"/>
  </r>
  <r>
    <x v="223"/>
    <x v="3"/>
    <s v="费用报销"/>
    <x v="2"/>
  </r>
  <r>
    <x v="223"/>
    <x v="4"/>
    <s v="费用"/>
    <x v="2"/>
  </r>
  <r>
    <x v="224"/>
    <x v="0"/>
    <n v="1000"/>
    <x v="2"/>
  </r>
  <r>
    <x v="224"/>
    <x v="1"/>
    <m/>
    <x v="2"/>
  </r>
  <r>
    <x v="224"/>
    <x v="2"/>
    <n v="1045396.3400000024"/>
    <x v="2"/>
  </r>
  <r>
    <x v="224"/>
    <x v="3"/>
    <s v="小龙虾产业分会会费"/>
    <x v="2"/>
  </r>
  <r>
    <x v="224"/>
    <x v="4"/>
    <s v="费用"/>
    <x v="2"/>
  </r>
  <r>
    <x v="225"/>
    <x v="0"/>
    <n v="7075"/>
    <x v="2"/>
  </r>
  <r>
    <x v="225"/>
    <x v="1"/>
    <m/>
    <x v="2"/>
  </r>
  <r>
    <x v="225"/>
    <x v="2"/>
    <n v="1038321.3400000024"/>
    <x v="2"/>
  </r>
  <r>
    <x v="225"/>
    <x v="3"/>
    <s v="个人借款"/>
    <x v="2"/>
  </r>
  <r>
    <x v="225"/>
    <x v="4"/>
    <s v="往来"/>
    <x v="2"/>
  </r>
  <r>
    <x v="226"/>
    <x v="0"/>
    <n v="9413.92"/>
    <x v="2"/>
  </r>
  <r>
    <x v="226"/>
    <x v="1"/>
    <m/>
    <x v="2"/>
  </r>
  <r>
    <x v="226"/>
    <x v="2"/>
    <n v="1028907.4200000024"/>
    <x v="2"/>
  </r>
  <r>
    <x v="226"/>
    <x v="3"/>
    <s v="税费"/>
    <x v="2"/>
  </r>
  <r>
    <x v="226"/>
    <x v="4"/>
    <s v="个人所得税"/>
    <x v="2"/>
  </r>
  <r>
    <x v="227"/>
    <x v="0"/>
    <n v="10000"/>
    <x v="2"/>
  </r>
  <r>
    <x v="227"/>
    <x v="1"/>
    <m/>
    <x v="2"/>
  </r>
  <r>
    <x v="227"/>
    <x v="2"/>
    <n v="1018907.4200000024"/>
    <x v="2"/>
  </r>
  <r>
    <x v="227"/>
    <x v="3"/>
    <s v="代付费用"/>
    <x v="2"/>
  </r>
  <r>
    <x v="227"/>
    <x v="4"/>
    <s v="往来"/>
    <x v="2"/>
  </r>
  <r>
    <x v="228"/>
    <x v="0"/>
    <n v="31578.9"/>
    <x v="2"/>
  </r>
  <r>
    <x v="228"/>
    <x v="1"/>
    <m/>
    <x v="2"/>
  </r>
  <r>
    <x v="228"/>
    <x v="2"/>
    <n v="987328.52000000235"/>
    <x v="2"/>
  </r>
  <r>
    <x v="228"/>
    <x v="3"/>
    <s v="工资及劳务费"/>
    <x v="2"/>
  </r>
  <r>
    <x v="228"/>
    <x v="4"/>
    <s v="工资及奖金"/>
    <x v="2"/>
  </r>
  <r>
    <x v="228"/>
    <x v="0"/>
    <n v="8922.2000000000007"/>
    <x v="2"/>
  </r>
  <r>
    <x v="228"/>
    <x v="1"/>
    <m/>
    <x v="2"/>
  </r>
  <r>
    <x v="228"/>
    <x v="2"/>
    <n v="978406.32000000239"/>
    <x v="2"/>
  </r>
  <r>
    <x v="228"/>
    <x v="3"/>
    <s v="工资及劳务费"/>
    <x v="2"/>
  </r>
  <r>
    <x v="228"/>
    <x v="4"/>
    <s v="工资及奖金"/>
    <x v="2"/>
  </r>
  <r>
    <x v="228"/>
    <x v="0"/>
    <n v="4004.9"/>
    <x v="2"/>
  </r>
  <r>
    <x v="228"/>
    <x v="1"/>
    <m/>
    <x v="2"/>
  </r>
  <r>
    <x v="228"/>
    <x v="2"/>
    <n v="974401.42000000237"/>
    <x v="2"/>
  </r>
  <r>
    <x v="228"/>
    <x v="3"/>
    <s v="工资及劳务费"/>
    <x v="2"/>
  </r>
  <r>
    <x v="228"/>
    <x v="4"/>
    <s v="工资及奖金"/>
    <x v="2"/>
  </r>
  <r>
    <x v="228"/>
    <x v="0"/>
    <n v="3353.6"/>
    <x v="2"/>
  </r>
  <r>
    <x v="228"/>
    <x v="1"/>
    <m/>
    <x v="2"/>
  </r>
  <r>
    <x v="228"/>
    <x v="2"/>
    <n v="971047.82000000239"/>
    <x v="2"/>
  </r>
  <r>
    <x v="228"/>
    <x v="3"/>
    <s v="工资及劳务费"/>
    <x v="2"/>
  </r>
  <r>
    <x v="228"/>
    <x v="4"/>
    <s v="工资及奖金"/>
    <x v="2"/>
  </r>
  <r>
    <x v="228"/>
    <x v="0"/>
    <n v="12953.09"/>
    <x v="2"/>
  </r>
  <r>
    <x v="228"/>
    <x v="1"/>
    <m/>
    <x v="2"/>
  </r>
  <r>
    <x v="228"/>
    <x v="2"/>
    <n v="958094.73000000243"/>
    <x v="2"/>
  </r>
  <r>
    <x v="228"/>
    <x v="3"/>
    <s v="费用报销"/>
    <x v="2"/>
  </r>
  <r>
    <x v="228"/>
    <x v="4"/>
    <s v="费用"/>
    <x v="2"/>
  </r>
  <r>
    <x v="228"/>
    <x v="0"/>
    <n v="296"/>
    <x v="2"/>
  </r>
  <r>
    <x v="228"/>
    <x v="1"/>
    <m/>
    <x v="2"/>
  </r>
  <r>
    <x v="228"/>
    <x v="2"/>
    <n v="957798.73000000243"/>
    <x v="2"/>
  </r>
  <r>
    <x v="228"/>
    <x v="3"/>
    <s v="费用报销"/>
    <x v="2"/>
  </r>
  <r>
    <x v="228"/>
    <x v="4"/>
    <s v="费用"/>
    <x v="2"/>
  </r>
  <r>
    <x v="228"/>
    <x v="0"/>
    <n v="1453"/>
    <x v="2"/>
  </r>
  <r>
    <x v="228"/>
    <x v="1"/>
    <m/>
    <x v="2"/>
  </r>
  <r>
    <x v="228"/>
    <x v="2"/>
    <n v="956345.73000000243"/>
    <x v="2"/>
  </r>
  <r>
    <x v="228"/>
    <x v="3"/>
    <s v="费用报销"/>
    <x v="2"/>
  </r>
  <r>
    <x v="228"/>
    <x v="4"/>
    <s v="费用"/>
    <x v="2"/>
  </r>
  <r>
    <x v="228"/>
    <x v="0"/>
    <m/>
    <x v="2"/>
  </r>
  <r>
    <x v="228"/>
    <x v="1"/>
    <n v="180000"/>
    <x v="2"/>
  </r>
  <r>
    <x v="228"/>
    <x v="2"/>
    <n v="1136345.7300000023"/>
    <x v="2"/>
  </r>
  <r>
    <x v="228"/>
    <x v="3"/>
    <s v="借款"/>
    <x v="2"/>
  </r>
  <r>
    <x v="228"/>
    <x v="4"/>
    <s v="往来"/>
    <x v="2"/>
  </r>
  <r>
    <x v="229"/>
    <x v="0"/>
    <n v="400000"/>
    <x v="2"/>
  </r>
  <r>
    <x v="229"/>
    <x v="1"/>
    <m/>
    <x v="2"/>
  </r>
  <r>
    <x v="229"/>
    <x v="2"/>
    <n v="736345.73000000231"/>
    <x v="2"/>
  </r>
  <r>
    <x v="229"/>
    <x v="3"/>
    <s v="入资款"/>
    <x v="2"/>
  </r>
  <r>
    <x v="229"/>
    <x v="4"/>
    <s v="对外投资"/>
    <x v="2"/>
  </r>
  <r>
    <x v="230"/>
    <x v="0"/>
    <n v="10.5"/>
    <x v="2"/>
  </r>
  <r>
    <x v="230"/>
    <x v="1"/>
    <m/>
    <x v="2"/>
  </r>
  <r>
    <x v="230"/>
    <x v="2"/>
    <n v="736335.23000000231"/>
    <x v="2"/>
  </r>
  <r>
    <x v="230"/>
    <x v="3"/>
    <s v="银行手续费"/>
    <x v="2"/>
  </r>
  <r>
    <x v="230"/>
    <x v="4"/>
    <s v="费用"/>
    <x v="2"/>
  </r>
  <r>
    <x v="231"/>
    <x v="0"/>
    <n v="4005.07"/>
    <x v="2"/>
  </r>
  <r>
    <x v="231"/>
    <x v="1"/>
    <m/>
    <x v="2"/>
  </r>
  <r>
    <x v="231"/>
    <x v="2"/>
    <n v="732330.16000000236"/>
    <x v="2"/>
  </r>
  <r>
    <x v="231"/>
    <x v="3"/>
    <s v="个税"/>
    <x v="2"/>
  </r>
  <r>
    <x v="231"/>
    <x v="4"/>
    <s v="个人所得税"/>
    <x v="2"/>
  </r>
  <r>
    <x v="232"/>
    <x v="0"/>
    <n v="8922.2000000000007"/>
    <x v="2"/>
  </r>
  <r>
    <x v="232"/>
    <x v="1"/>
    <m/>
    <x v="2"/>
  </r>
  <r>
    <x v="232"/>
    <x v="2"/>
    <n v="723407.96000000241"/>
    <x v="2"/>
  </r>
  <r>
    <x v="232"/>
    <x v="3"/>
    <s v="工资"/>
    <x v="2"/>
  </r>
  <r>
    <x v="232"/>
    <x v="4"/>
    <s v="工资及奖金"/>
    <x v="2"/>
  </r>
  <r>
    <x v="232"/>
    <x v="0"/>
    <n v="4004.9"/>
    <x v="2"/>
  </r>
  <r>
    <x v="232"/>
    <x v="1"/>
    <m/>
    <x v="2"/>
  </r>
  <r>
    <x v="232"/>
    <x v="2"/>
    <n v="719403.06000000238"/>
    <x v="2"/>
  </r>
  <r>
    <x v="232"/>
    <x v="3"/>
    <s v="工资"/>
    <x v="2"/>
  </r>
  <r>
    <x v="232"/>
    <x v="4"/>
    <s v="工资及奖金"/>
    <x v="2"/>
  </r>
  <r>
    <x v="232"/>
    <x v="0"/>
    <m/>
    <x v="2"/>
  </r>
  <r>
    <x v="232"/>
    <x v="1"/>
    <n v="43000"/>
    <x v="2"/>
  </r>
  <r>
    <x v="232"/>
    <x v="2"/>
    <n v="762403.06000000238"/>
    <x v="2"/>
  </r>
  <r>
    <x v="232"/>
    <x v="3"/>
    <s v="服务费"/>
    <x v="2"/>
  </r>
  <r>
    <x v="232"/>
    <x v="4"/>
    <s v="销售收入"/>
    <x v="2"/>
  </r>
  <r>
    <x v="233"/>
    <x v="0"/>
    <n v="3353.6"/>
    <x v="2"/>
  </r>
  <r>
    <x v="233"/>
    <x v="1"/>
    <m/>
    <x v="2"/>
  </r>
  <r>
    <x v="233"/>
    <x v="2"/>
    <n v="759049.46000000241"/>
    <x v="2"/>
  </r>
  <r>
    <x v="233"/>
    <x v="3"/>
    <s v="工资及劳务费"/>
    <x v="2"/>
  </r>
  <r>
    <x v="233"/>
    <x v="4"/>
    <s v="工资及奖金"/>
    <x v="2"/>
  </r>
  <r>
    <x v="234"/>
    <x v="0"/>
    <n v="5100"/>
    <x v="2"/>
  </r>
  <r>
    <x v="234"/>
    <x v="1"/>
    <m/>
    <x v="2"/>
  </r>
  <r>
    <x v="234"/>
    <x v="2"/>
    <n v="753949.46000000241"/>
    <x v="2"/>
  </r>
  <r>
    <x v="234"/>
    <x v="3"/>
    <s v="费用报销"/>
    <x v="2"/>
  </r>
  <r>
    <x v="234"/>
    <x v="4"/>
    <s v="费用"/>
    <x v="2"/>
  </r>
  <r>
    <x v="234"/>
    <x v="0"/>
    <n v="471"/>
    <x v="2"/>
  </r>
  <r>
    <x v="234"/>
    <x v="1"/>
    <m/>
    <x v="2"/>
  </r>
  <r>
    <x v="234"/>
    <x v="2"/>
    <n v="753478.46000000241"/>
    <x v="2"/>
  </r>
  <r>
    <x v="234"/>
    <x v="3"/>
    <s v="费用报销"/>
    <x v="2"/>
  </r>
  <r>
    <x v="234"/>
    <x v="4"/>
    <s v="费用"/>
    <x v="2"/>
  </r>
  <r>
    <x v="234"/>
    <x v="0"/>
    <n v="6020"/>
    <x v="2"/>
  </r>
  <r>
    <x v="234"/>
    <x v="1"/>
    <m/>
    <x v="2"/>
  </r>
  <r>
    <x v="234"/>
    <x v="2"/>
    <n v="747458.46000000241"/>
    <x v="2"/>
  </r>
  <r>
    <x v="234"/>
    <x v="3"/>
    <s v="费用报销"/>
    <x v="2"/>
  </r>
  <r>
    <x v="234"/>
    <x v="4"/>
    <s v="费用"/>
    <x v="2"/>
  </r>
  <r>
    <x v="235"/>
    <x v="0"/>
    <n v="3505.07"/>
    <x v="2"/>
  </r>
  <r>
    <x v="235"/>
    <x v="1"/>
    <m/>
    <x v="2"/>
  </r>
  <r>
    <x v="235"/>
    <x v="2"/>
    <n v="743953.39000000246"/>
    <x v="2"/>
  </r>
  <r>
    <x v="235"/>
    <x v="3"/>
    <s v="个税"/>
    <x v="2"/>
  </r>
  <r>
    <x v="235"/>
    <x v="4"/>
    <s v="个人所得税"/>
    <x v="2"/>
  </r>
  <r>
    <x v="236"/>
    <x v="0"/>
    <m/>
    <x v="2"/>
  </r>
  <r>
    <x v="236"/>
    <x v="1"/>
    <n v="500000"/>
    <x v="2"/>
  </r>
  <r>
    <x v="236"/>
    <x v="2"/>
    <n v="1243953.3900000025"/>
    <x v="2"/>
  </r>
  <r>
    <x v="236"/>
    <x v="3"/>
    <s v="入资款"/>
    <x v="2"/>
  </r>
  <r>
    <x v="236"/>
    <x v="4"/>
    <s v="实收资本"/>
    <x v="2"/>
  </r>
  <r>
    <x v="237"/>
    <x v="0"/>
    <n v="500000"/>
    <x v="2"/>
  </r>
  <r>
    <x v="237"/>
    <x v="1"/>
    <m/>
    <x v="2"/>
  </r>
  <r>
    <x v="237"/>
    <x v="2"/>
    <n v="743953.39000000246"/>
    <x v="2"/>
  </r>
  <r>
    <x v="237"/>
    <x v="3"/>
    <s v="入资款"/>
    <x v="2"/>
  </r>
  <r>
    <x v="237"/>
    <x v="4"/>
    <s v="对外投资"/>
    <x v="2"/>
  </r>
  <r>
    <x v="238"/>
    <x v="0"/>
    <n v="10.5"/>
    <x v="2"/>
  </r>
  <r>
    <x v="238"/>
    <x v="1"/>
    <m/>
    <x v="2"/>
  </r>
  <r>
    <x v="238"/>
    <x v="2"/>
    <n v="743942.89000000246"/>
    <x v="2"/>
  </r>
  <r>
    <x v="238"/>
    <x v="3"/>
    <s v="银行手续费"/>
    <x v="2"/>
  </r>
  <r>
    <x v="238"/>
    <x v="4"/>
    <s v="费用"/>
    <x v="2"/>
  </r>
  <r>
    <x v="239"/>
    <x v="0"/>
    <m/>
    <x v="2"/>
  </r>
  <r>
    <x v="239"/>
    <x v="1"/>
    <n v="184.36"/>
    <x v="2"/>
  </r>
  <r>
    <x v="239"/>
    <x v="2"/>
    <n v="744127.25000000244"/>
    <x v="2"/>
  </r>
  <r>
    <x v="239"/>
    <x v="3"/>
    <s v="利息"/>
    <x v="2"/>
  </r>
  <r>
    <x v="239"/>
    <x v="4"/>
    <s v="其他收入"/>
    <x v="2"/>
  </r>
  <r>
    <x v="240"/>
    <x v="0"/>
    <n v="8922.2000000000007"/>
    <x v="2"/>
  </r>
  <r>
    <x v="240"/>
    <x v="1"/>
    <m/>
    <x v="2"/>
  </r>
  <r>
    <x v="240"/>
    <x v="2"/>
    <n v="735205.05000000249"/>
    <x v="2"/>
  </r>
  <r>
    <x v="240"/>
    <x v="3"/>
    <s v="工资"/>
    <x v="2"/>
  </r>
  <r>
    <x v="240"/>
    <x v="4"/>
    <s v="工资及奖金"/>
    <x v="2"/>
  </r>
  <r>
    <x v="240"/>
    <x v="0"/>
    <n v="4004.9"/>
    <x v="2"/>
  </r>
  <r>
    <x v="240"/>
    <x v="1"/>
    <m/>
    <x v="2"/>
  </r>
  <r>
    <x v="240"/>
    <x v="2"/>
    <n v="731200.15000000247"/>
    <x v="2"/>
  </r>
  <r>
    <x v="240"/>
    <x v="3"/>
    <s v="工资"/>
    <x v="2"/>
  </r>
  <r>
    <x v="240"/>
    <x v="4"/>
    <s v="工资及奖金"/>
    <x v="2"/>
  </r>
  <r>
    <x v="241"/>
    <x v="0"/>
    <n v="3353.6"/>
    <x v="2"/>
  </r>
  <r>
    <x v="241"/>
    <x v="1"/>
    <m/>
    <x v="2"/>
  </r>
  <r>
    <x v="241"/>
    <x v="2"/>
    <n v="727846.55000000249"/>
    <x v="2"/>
  </r>
  <r>
    <x v="241"/>
    <x v="3"/>
    <s v="工资及劳务费"/>
    <x v="2"/>
  </r>
  <r>
    <x v="241"/>
    <x v="4"/>
    <s v="工资及奖金"/>
    <x v="2"/>
  </r>
  <r>
    <x v="242"/>
    <x v="0"/>
    <m/>
    <x v="2"/>
  </r>
  <r>
    <x v="242"/>
    <x v="1"/>
    <n v="131592.9"/>
    <x v="2"/>
  </r>
  <r>
    <x v="242"/>
    <x v="2"/>
    <n v="859439.45000000251"/>
    <x v="2"/>
  </r>
  <r>
    <x v="242"/>
    <x v="3"/>
    <s v="货款"/>
    <x v="2"/>
  </r>
  <r>
    <x v="242"/>
    <x v="4"/>
    <s v="销售收入"/>
    <x v="2"/>
  </r>
  <r>
    <x v="243"/>
    <x v="0"/>
    <n v="990"/>
    <x v="2"/>
  </r>
  <r>
    <x v="243"/>
    <x v="1"/>
    <m/>
    <x v="2"/>
  </r>
  <r>
    <x v="243"/>
    <x v="2"/>
    <n v="858449.45000000251"/>
    <x v="2"/>
  </r>
  <r>
    <x v="243"/>
    <x v="3"/>
    <s v="宽带网费"/>
    <x v="2"/>
  </r>
  <r>
    <x v="243"/>
    <x v="4"/>
    <s v="费用"/>
    <x v="2"/>
  </r>
  <r>
    <x v="244"/>
    <x v="0"/>
    <n v="9313.32"/>
    <x v="2"/>
  </r>
  <r>
    <x v="244"/>
    <x v="1"/>
    <m/>
    <x v="2"/>
  </r>
  <r>
    <x v="244"/>
    <x v="2"/>
    <n v="849136.13000000257"/>
    <x v="2"/>
  </r>
  <r>
    <x v="244"/>
    <x v="3"/>
    <s v="个税"/>
    <x v="2"/>
  </r>
  <r>
    <x v="244"/>
    <x v="4"/>
    <s v="个人所得税"/>
    <x v="2"/>
  </r>
  <r>
    <x v="244"/>
    <x v="0"/>
    <n v="8977.5"/>
    <x v="2"/>
  </r>
  <r>
    <x v="244"/>
    <x v="1"/>
    <m/>
    <x v="2"/>
  </r>
  <r>
    <x v="244"/>
    <x v="2"/>
    <n v="840158.63000000257"/>
    <x v="2"/>
  </r>
  <r>
    <x v="244"/>
    <x v="3"/>
    <s v="费用报销"/>
    <x v="2"/>
  </r>
  <r>
    <x v="244"/>
    <x v="4"/>
    <s v="费用"/>
    <x v="2"/>
  </r>
  <r>
    <x v="245"/>
    <x v="0"/>
    <n v="6254.1"/>
    <x v="2"/>
  </r>
  <r>
    <x v="245"/>
    <x v="1"/>
    <m/>
    <x v="2"/>
  </r>
  <r>
    <x v="245"/>
    <x v="2"/>
    <n v="833904.53000000259"/>
    <x v="2"/>
  </r>
  <r>
    <x v="245"/>
    <x v="3"/>
    <s v="费用报销"/>
    <x v="2"/>
  </r>
  <r>
    <x v="245"/>
    <x v="4"/>
    <s v="费用"/>
    <x v="2"/>
  </r>
  <r>
    <x v="245"/>
    <x v="0"/>
    <n v="593.47"/>
    <x v="2"/>
  </r>
  <r>
    <x v="245"/>
    <x v="1"/>
    <m/>
    <x v="2"/>
  </r>
  <r>
    <x v="245"/>
    <x v="2"/>
    <n v="833311.06000000262"/>
    <x v="2"/>
  </r>
  <r>
    <x v="245"/>
    <x v="3"/>
    <s v="费用报销"/>
    <x v="2"/>
  </r>
  <r>
    <x v="245"/>
    <x v="4"/>
    <s v="费用"/>
    <x v="2"/>
  </r>
  <r>
    <x v="245"/>
    <x v="0"/>
    <n v="6182"/>
    <x v="2"/>
  </r>
  <r>
    <x v="245"/>
    <x v="1"/>
    <m/>
    <x v="2"/>
  </r>
  <r>
    <x v="245"/>
    <x v="2"/>
    <n v="827129.06000000262"/>
    <x v="2"/>
  </r>
  <r>
    <x v="245"/>
    <x v="3"/>
    <s v="费用报销"/>
    <x v="2"/>
  </r>
  <r>
    <x v="245"/>
    <x v="4"/>
    <s v="费用"/>
    <x v="2"/>
  </r>
  <r>
    <x v="245"/>
    <x v="0"/>
    <n v="8922.2000000000007"/>
    <x v="2"/>
  </r>
  <r>
    <x v="245"/>
    <x v="1"/>
    <m/>
    <x v="2"/>
  </r>
  <r>
    <x v="245"/>
    <x v="2"/>
    <n v="818206.86000000266"/>
    <x v="2"/>
  </r>
  <r>
    <x v="245"/>
    <x v="3"/>
    <s v="工资及劳务费"/>
    <x v="2"/>
  </r>
  <r>
    <x v="245"/>
    <x v="4"/>
    <s v="工资及奖金"/>
    <x v="2"/>
  </r>
  <r>
    <x v="245"/>
    <x v="0"/>
    <n v="4004.9"/>
    <x v="2"/>
  </r>
  <r>
    <x v="245"/>
    <x v="1"/>
    <m/>
    <x v="2"/>
  </r>
  <r>
    <x v="245"/>
    <x v="2"/>
    <n v="814201.96000000264"/>
    <x v="2"/>
  </r>
  <r>
    <x v="245"/>
    <x v="3"/>
    <s v="工资及劳务费"/>
    <x v="2"/>
  </r>
  <r>
    <x v="245"/>
    <x v="4"/>
    <s v="工资及奖金"/>
    <x v="2"/>
  </r>
  <r>
    <x v="245"/>
    <x v="0"/>
    <n v="2951.2"/>
    <x v="2"/>
  </r>
  <r>
    <x v="245"/>
    <x v="1"/>
    <m/>
    <x v="2"/>
  </r>
  <r>
    <x v="245"/>
    <x v="2"/>
    <n v="811250.76000000269"/>
    <x v="2"/>
  </r>
  <r>
    <x v="245"/>
    <x v="3"/>
    <s v="工资及劳务费"/>
    <x v="2"/>
  </r>
  <r>
    <x v="245"/>
    <x v="4"/>
    <s v="工资及奖金"/>
    <x v="2"/>
  </r>
  <r>
    <x v="246"/>
    <x v="0"/>
    <n v="3073.15"/>
    <x v="2"/>
  </r>
  <r>
    <x v="246"/>
    <x v="1"/>
    <m/>
    <x v="2"/>
  </r>
  <r>
    <x v="246"/>
    <x v="2"/>
    <n v="808177.61000000266"/>
    <x v="2"/>
  </r>
  <r>
    <x v="246"/>
    <x v="3"/>
    <s v="物业管理费"/>
    <x v="2"/>
  </r>
  <r>
    <x v="246"/>
    <x v="4"/>
    <s v="费用"/>
    <x v="2"/>
  </r>
  <r>
    <x v="247"/>
    <x v="0"/>
    <m/>
    <x v="2"/>
  </r>
  <r>
    <x v="247"/>
    <x v="1"/>
    <n v="1000000"/>
    <x v="2"/>
  </r>
  <r>
    <x v="247"/>
    <x v="2"/>
    <n v="1808177.6100000027"/>
    <x v="2"/>
  </r>
  <r>
    <x v="247"/>
    <x v="3"/>
    <s v="入资款"/>
    <x v="2"/>
  </r>
  <r>
    <x v="247"/>
    <x v="4"/>
    <s v="实收资本"/>
    <x v="2"/>
  </r>
  <r>
    <x v="247"/>
    <x v="0"/>
    <n v="8338.68"/>
    <x v="2"/>
  </r>
  <r>
    <x v="247"/>
    <x v="1"/>
    <m/>
    <x v="2"/>
  </r>
  <r>
    <x v="247"/>
    <x v="2"/>
    <n v="1799838.9300000027"/>
    <x v="2"/>
  </r>
  <r>
    <x v="247"/>
    <x v="3"/>
    <s v="个税"/>
    <x v="2"/>
  </r>
  <r>
    <x v="247"/>
    <x v="4"/>
    <s v="个人所得税"/>
    <x v="2"/>
  </r>
  <r>
    <x v="247"/>
    <x v="0"/>
    <n v="50000"/>
    <x v="2"/>
  </r>
  <r>
    <x v="247"/>
    <x v="1"/>
    <m/>
    <x v="2"/>
  </r>
  <r>
    <x v="247"/>
    <x v="2"/>
    <n v="1749838.9300000027"/>
    <x v="2"/>
  </r>
  <r>
    <x v="247"/>
    <x v="3"/>
    <s v="法律顾问费"/>
    <x v="2"/>
  </r>
  <r>
    <x v="247"/>
    <x v="4"/>
    <s v="费用"/>
    <x v="2"/>
  </r>
  <r>
    <x v="248"/>
    <x v="0"/>
    <n v="500000"/>
    <x v="2"/>
  </r>
  <r>
    <x v="248"/>
    <x v="1"/>
    <m/>
    <x v="2"/>
  </r>
  <r>
    <x v="248"/>
    <x v="2"/>
    <n v="1249838.9300000027"/>
    <x v="2"/>
  </r>
  <r>
    <x v="248"/>
    <x v="3"/>
    <s v="入资款"/>
    <x v="2"/>
  </r>
  <r>
    <x v="248"/>
    <x v="4"/>
    <s v="对外投资"/>
    <x v="2"/>
  </r>
  <r>
    <x v="249"/>
    <x v="0"/>
    <n v="10.5"/>
    <x v="2"/>
  </r>
  <r>
    <x v="249"/>
    <x v="1"/>
    <m/>
    <x v="2"/>
  </r>
  <r>
    <x v="249"/>
    <x v="2"/>
    <n v="1249828.4300000027"/>
    <x v="2"/>
  </r>
  <r>
    <x v="249"/>
    <x v="3"/>
    <s v="银行手续费"/>
    <x v="2"/>
  </r>
  <r>
    <x v="249"/>
    <x v="4"/>
    <s v="费用"/>
    <x v="2"/>
  </r>
  <r>
    <x v="250"/>
    <x v="0"/>
    <n v="8855"/>
    <x v="2"/>
  </r>
  <r>
    <x v="250"/>
    <x v="1"/>
    <m/>
    <x v="2"/>
  </r>
  <r>
    <x v="250"/>
    <x v="2"/>
    <n v="1240973.4300000027"/>
    <x v="2"/>
  </r>
  <r>
    <x v="250"/>
    <x v="3"/>
    <s v="工资"/>
    <x v="2"/>
  </r>
  <r>
    <x v="250"/>
    <x v="4"/>
    <s v="工资及奖金"/>
    <x v="2"/>
  </r>
  <r>
    <x v="250"/>
    <x v="0"/>
    <n v="3906.82"/>
    <x v="2"/>
  </r>
  <r>
    <x v="250"/>
    <x v="1"/>
    <m/>
    <x v="2"/>
  </r>
  <r>
    <x v="250"/>
    <x v="2"/>
    <n v="1237066.6100000027"/>
    <x v="2"/>
  </r>
  <r>
    <x v="250"/>
    <x v="3"/>
    <s v="工资"/>
    <x v="2"/>
  </r>
  <r>
    <x v="250"/>
    <x v="4"/>
    <s v="工资及奖金"/>
    <x v="2"/>
  </r>
  <r>
    <x v="250"/>
    <x v="0"/>
    <n v="23995.55"/>
    <x v="2"/>
  </r>
  <r>
    <x v="250"/>
    <x v="1"/>
    <m/>
    <x v="2"/>
  </r>
  <r>
    <x v="250"/>
    <x v="2"/>
    <n v="1213071.0600000026"/>
    <x v="2"/>
  </r>
  <r>
    <x v="250"/>
    <x v="3"/>
    <s v="工资"/>
    <x v="2"/>
  </r>
  <r>
    <x v="250"/>
    <x v="4"/>
    <s v="工资及奖金"/>
    <x v="2"/>
  </r>
  <r>
    <x v="250"/>
    <x v="0"/>
    <n v="4625.5"/>
    <x v="2"/>
  </r>
  <r>
    <x v="250"/>
    <x v="1"/>
    <m/>
    <x v="2"/>
  </r>
  <r>
    <x v="250"/>
    <x v="2"/>
    <n v="1208445.5600000026"/>
    <x v="2"/>
  </r>
  <r>
    <x v="250"/>
    <x v="3"/>
    <s v="费用报销"/>
    <x v="2"/>
  </r>
  <r>
    <x v="250"/>
    <x v="4"/>
    <s v="费用"/>
    <x v="2"/>
  </r>
  <r>
    <x v="250"/>
    <x v="0"/>
    <n v="1478.5"/>
    <x v="2"/>
  </r>
  <r>
    <x v="250"/>
    <x v="1"/>
    <m/>
    <x v="2"/>
  </r>
  <r>
    <x v="250"/>
    <x v="2"/>
    <n v="1206967.0600000026"/>
    <x v="2"/>
  </r>
  <r>
    <x v="250"/>
    <x v="3"/>
    <s v="费用报销"/>
    <x v="2"/>
  </r>
  <r>
    <x v="250"/>
    <x v="4"/>
    <s v="费用"/>
    <x v="2"/>
  </r>
  <r>
    <x v="251"/>
    <x v="0"/>
    <n v="1419.18"/>
    <x v="2"/>
  </r>
  <r>
    <x v="251"/>
    <x v="1"/>
    <m/>
    <x v="2"/>
  </r>
  <r>
    <x v="251"/>
    <x v="2"/>
    <n v="1205547.8800000027"/>
    <x v="2"/>
  </r>
  <r>
    <x v="251"/>
    <x v="3"/>
    <s v="个税"/>
    <x v="2"/>
  </r>
  <r>
    <x v="251"/>
    <x v="4"/>
    <s v="个人所得税"/>
    <x v="2"/>
  </r>
  <r>
    <x v="251"/>
    <x v="0"/>
    <n v="5107.28"/>
    <x v="2"/>
  </r>
  <r>
    <x v="251"/>
    <x v="1"/>
    <m/>
    <x v="2"/>
  </r>
  <r>
    <x v="251"/>
    <x v="2"/>
    <n v="1200440.6000000027"/>
    <x v="2"/>
  </r>
  <r>
    <x v="251"/>
    <x v="3"/>
    <s v="个税"/>
    <x v="2"/>
  </r>
  <r>
    <x v="251"/>
    <x v="4"/>
    <s v="个人所得税"/>
    <x v="2"/>
  </r>
  <r>
    <x v="252"/>
    <x v="0"/>
    <m/>
    <x v="2"/>
  </r>
  <r>
    <x v="252"/>
    <x v="1"/>
    <n v="800000"/>
    <x v="2"/>
  </r>
  <r>
    <x v="252"/>
    <x v="2"/>
    <n v="2000440.6000000027"/>
    <x v="2"/>
  </r>
  <r>
    <x v="252"/>
    <x v="3"/>
    <s v="入资款"/>
    <x v="2"/>
  </r>
  <r>
    <x v="252"/>
    <x v="4"/>
    <s v="实收资本"/>
    <x v="2"/>
  </r>
  <r>
    <x v="253"/>
    <x v="0"/>
    <m/>
    <x v="2"/>
  </r>
  <r>
    <x v="253"/>
    <x v="1"/>
    <n v="305.43"/>
    <x v="2"/>
  </r>
  <r>
    <x v="253"/>
    <x v="2"/>
    <n v="2000746.0300000026"/>
    <x v="2"/>
  </r>
  <r>
    <x v="253"/>
    <x v="3"/>
    <s v="利息"/>
    <x v="2"/>
  </r>
  <r>
    <x v="253"/>
    <x v="4"/>
    <s v="其他收入"/>
    <x v="2"/>
  </r>
  <r>
    <x v="253"/>
    <x v="0"/>
    <m/>
    <x v="2"/>
  </r>
  <r>
    <x v="253"/>
    <x v="1"/>
    <n v="500000"/>
    <x v="2"/>
  </r>
  <r>
    <x v="253"/>
    <x v="2"/>
    <n v="2500746.0300000026"/>
    <x v="2"/>
  </r>
  <r>
    <x v="253"/>
    <x v="3"/>
    <s v="入资款"/>
    <x v="2"/>
  </r>
  <r>
    <x v="253"/>
    <x v="4"/>
    <s v="实收资本"/>
    <x v="2"/>
  </r>
  <r>
    <x v="254"/>
    <x v="0"/>
    <n v="8228.48"/>
    <x v="2"/>
  </r>
  <r>
    <x v="254"/>
    <x v="1"/>
    <m/>
    <x v="2"/>
  </r>
  <r>
    <x v="254"/>
    <x v="2"/>
    <n v="2492517.5500000026"/>
    <x v="2"/>
  </r>
  <r>
    <x v="254"/>
    <x v="3"/>
    <s v="费用报销"/>
    <x v="2"/>
  </r>
  <r>
    <x v="254"/>
    <x v="4"/>
    <s v="费用"/>
    <x v="2"/>
  </r>
  <r>
    <x v="254"/>
    <x v="0"/>
    <n v="278.89999999999998"/>
    <x v="2"/>
  </r>
  <r>
    <x v="254"/>
    <x v="1"/>
    <m/>
    <x v="2"/>
  </r>
  <r>
    <x v="254"/>
    <x v="2"/>
    <n v="2492238.6500000027"/>
    <x v="2"/>
  </r>
  <r>
    <x v="254"/>
    <x v="3"/>
    <s v="费用报销"/>
    <x v="2"/>
  </r>
  <r>
    <x v="254"/>
    <x v="4"/>
    <s v="费用"/>
    <x v="2"/>
  </r>
  <r>
    <x v="254"/>
    <x v="0"/>
    <n v="400"/>
    <x v="2"/>
  </r>
  <r>
    <x v="254"/>
    <x v="1"/>
    <m/>
    <x v="2"/>
  </r>
  <r>
    <x v="254"/>
    <x v="2"/>
    <n v="2491838.6500000027"/>
    <x v="2"/>
  </r>
  <r>
    <x v="254"/>
    <x v="3"/>
    <s v="费用报销"/>
    <x v="2"/>
  </r>
  <r>
    <x v="254"/>
    <x v="4"/>
    <s v="费用"/>
    <x v="2"/>
  </r>
  <r>
    <x v="254"/>
    <x v="0"/>
    <n v="8921"/>
    <x v="2"/>
  </r>
  <r>
    <x v="254"/>
    <x v="1"/>
    <m/>
    <x v="2"/>
  </r>
  <r>
    <x v="254"/>
    <x v="2"/>
    <n v="2482917.6500000027"/>
    <x v="2"/>
  </r>
  <r>
    <x v="254"/>
    <x v="3"/>
    <s v="费用报销"/>
    <x v="2"/>
  </r>
  <r>
    <x v="254"/>
    <x v="4"/>
    <s v="费用"/>
    <x v="2"/>
  </r>
  <r>
    <x v="254"/>
    <x v="0"/>
    <n v="400"/>
    <x v="2"/>
  </r>
  <r>
    <x v="254"/>
    <x v="1"/>
    <m/>
    <x v="2"/>
  </r>
  <r>
    <x v="254"/>
    <x v="2"/>
    <n v="2482517.6500000027"/>
    <x v="2"/>
  </r>
  <r>
    <x v="254"/>
    <x v="3"/>
    <s v="费用报销"/>
    <x v="2"/>
  </r>
  <r>
    <x v="254"/>
    <x v="4"/>
    <s v="费用"/>
    <x v="2"/>
  </r>
  <r>
    <x v="254"/>
    <x v="0"/>
    <n v="14087.75"/>
    <x v="2"/>
  </r>
  <r>
    <x v="254"/>
    <x v="1"/>
    <m/>
    <x v="2"/>
  </r>
  <r>
    <x v="254"/>
    <x v="2"/>
    <n v="2468429.9000000027"/>
    <x v="2"/>
  </r>
  <r>
    <x v="254"/>
    <x v="3"/>
    <s v="工资"/>
    <x v="2"/>
  </r>
  <r>
    <x v="254"/>
    <x v="4"/>
    <s v="工资及奖金"/>
    <x v="2"/>
  </r>
  <r>
    <x v="254"/>
    <x v="0"/>
    <n v="8855"/>
    <x v="2"/>
  </r>
  <r>
    <x v="254"/>
    <x v="1"/>
    <m/>
    <x v="2"/>
  </r>
  <r>
    <x v="254"/>
    <x v="2"/>
    <n v="2459574.9000000027"/>
    <x v="2"/>
  </r>
  <r>
    <x v="254"/>
    <x v="3"/>
    <s v="工资"/>
    <x v="2"/>
  </r>
  <r>
    <x v="254"/>
    <x v="4"/>
    <s v="工资及奖金"/>
    <x v="2"/>
  </r>
  <r>
    <x v="254"/>
    <x v="0"/>
    <n v="4508.22"/>
    <x v="2"/>
  </r>
  <r>
    <x v="254"/>
    <x v="1"/>
    <m/>
    <x v="2"/>
  </r>
  <r>
    <x v="254"/>
    <x v="2"/>
    <n v="2455066.6800000025"/>
    <x v="2"/>
  </r>
  <r>
    <x v="254"/>
    <x v="3"/>
    <s v="工资"/>
    <x v="2"/>
  </r>
  <r>
    <x v="254"/>
    <x v="4"/>
    <s v="工资及奖金"/>
    <x v="2"/>
  </r>
  <r>
    <x v="254"/>
    <x v="0"/>
    <n v="14245.55"/>
    <x v="2"/>
  </r>
  <r>
    <x v="254"/>
    <x v="1"/>
    <m/>
    <x v="2"/>
  </r>
  <r>
    <x v="254"/>
    <x v="2"/>
    <n v="2440821.1300000027"/>
    <x v="2"/>
  </r>
  <r>
    <x v="254"/>
    <x v="3"/>
    <s v="工资"/>
    <x v="2"/>
  </r>
  <r>
    <x v="254"/>
    <x v="4"/>
    <s v="工资及奖金"/>
    <x v="2"/>
  </r>
  <r>
    <x v="254"/>
    <x v="0"/>
    <n v="500000"/>
    <x v="2"/>
  </r>
  <r>
    <x v="254"/>
    <x v="1"/>
    <m/>
    <x v="2"/>
  </r>
  <r>
    <x v="254"/>
    <x v="2"/>
    <n v="1940821.1300000027"/>
    <x v="2"/>
  </r>
  <r>
    <x v="254"/>
    <x v="3"/>
    <s v="入资款"/>
    <x v="2"/>
  </r>
  <r>
    <x v="254"/>
    <x v="4"/>
    <s v="对外投资"/>
    <x v="2"/>
  </r>
  <r>
    <x v="255"/>
    <x v="0"/>
    <n v="10.5"/>
    <x v="2"/>
  </r>
  <r>
    <x v="255"/>
    <x v="1"/>
    <m/>
    <x v="2"/>
  </r>
  <r>
    <x v="255"/>
    <x v="2"/>
    <n v="1940810.6300000027"/>
    <x v="2"/>
  </r>
  <r>
    <x v="255"/>
    <x v="3"/>
    <s v="银行手续费"/>
    <x v="2"/>
  </r>
  <r>
    <x v="255"/>
    <x v="4"/>
    <s v="费用"/>
    <x v="2"/>
  </r>
  <r>
    <x v="256"/>
    <x v="0"/>
    <m/>
    <x v="2"/>
  </r>
  <r>
    <x v="256"/>
    <x v="1"/>
    <n v="5000000"/>
    <x v="2"/>
  </r>
  <r>
    <x v="256"/>
    <x v="2"/>
    <n v="6940810.6300000027"/>
    <x v="2"/>
  </r>
  <r>
    <x v="256"/>
    <x v="3"/>
    <s v="入资款"/>
    <x v="2"/>
  </r>
  <r>
    <x v="256"/>
    <x v="4"/>
    <s v="实收资本"/>
    <x v="2"/>
  </r>
  <r>
    <x v="256"/>
    <x v="0"/>
    <m/>
    <x v="2"/>
  </r>
  <r>
    <x v="256"/>
    <x v="1"/>
    <n v="5000000"/>
    <x v="2"/>
  </r>
  <r>
    <x v="256"/>
    <x v="2"/>
    <n v="11940810.630000003"/>
    <x v="2"/>
  </r>
  <r>
    <x v="256"/>
    <x v="3"/>
    <s v="入资款"/>
    <x v="2"/>
  </r>
  <r>
    <x v="256"/>
    <x v="4"/>
    <s v="实收资本"/>
    <x v="2"/>
  </r>
  <r>
    <x v="257"/>
    <x v="0"/>
    <n v="70"/>
    <x v="2"/>
  </r>
  <r>
    <x v="257"/>
    <x v="1"/>
    <m/>
    <x v="2"/>
  </r>
  <r>
    <x v="257"/>
    <x v="2"/>
    <n v="11940740.630000003"/>
    <x v="2"/>
  </r>
  <r>
    <x v="257"/>
    <x v="3"/>
    <s v="银行手续费"/>
    <x v="2"/>
  </r>
  <r>
    <x v="257"/>
    <x v="4"/>
    <s v="费用"/>
    <x v="2"/>
  </r>
  <r>
    <x v="258"/>
    <x v="0"/>
    <n v="1500000"/>
    <x v="2"/>
  </r>
  <r>
    <x v="258"/>
    <x v="1"/>
    <m/>
    <x v="2"/>
  </r>
  <r>
    <x v="258"/>
    <x v="2"/>
    <n v="10440740.630000003"/>
    <x v="2"/>
  </r>
  <r>
    <x v="258"/>
    <x v="3"/>
    <s v="入资款"/>
    <x v="2"/>
  </r>
  <r>
    <x v="258"/>
    <x v="4"/>
    <s v="对外投资"/>
    <x v="2"/>
  </r>
  <r>
    <x v="259"/>
    <x v="0"/>
    <n v="21"/>
    <x v="2"/>
  </r>
  <r>
    <x v="259"/>
    <x v="1"/>
    <m/>
    <x v="2"/>
  </r>
  <r>
    <x v="259"/>
    <x v="2"/>
    <n v="10440719.630000003"/>
    <x v="2"/>
  </r>
  <r>
    <x v="259"/>
    <x v="3"/>
    <s v="银行手续费"/>
    <x v="2"/>
  </r>
  <r>
    <x v="259"/>
    <x v="4"/>
    <s v="费用"/>
    <x v="2"/>
  </r>
  <r>
    <x v="260"/>
    <x v="0"/>
    <n v="340000"/>
    <x v="2"/>
  </r>
  <r>
    <x v="260"/>
    <x v="1"/>
    <m/>
    <x v="2"/>
  </r>
  <r>
    <x v="260"/>
    <x v="2"/>
    <n v="10100719.630000003"/>
    <x v="2"/>
  </r>
  <r>
    <x v="260"/>
    <x v="3"/>
    <s v="蔬菜货款"/>
    <x v="2"/>
  </r>
  <r>
    <x v="260"/>
    <x v="4"/>
    <s v="采购成本"/>
    <x v="2"/>
  </r>
  <r>
    <x v="261"/>
    <x v="0"/>
    <n v="10.5"/>
    <x v="2"/>
  </r>
  <r>
    <x v="261"/>
    <x v="1"/>
    <m/>
    <x v="2"/>
  </r>
  <r>
    <x v="261"/>
    <x v="2"/>
    <n v="10100709.130000003"/>
    <x v="2"/>
  </r>
  <r>
    <x v="261"/>
    <x v="3"/>
    <s v="银行手续费"/>
    <x v="2"/>
  </r>
  <r>
    <x v="261"/>
    <x v="4"/>
    <s v="费用"/>
    <x v="2"/>
  </r>
  <r>
    <x v="262"/>
    <x v="0"/>
    <n v="4792.28"/>
    <x v="2"/>
  </r>
  <r>
    <x v="262"/>
    <x v="1"/>
    <m/>
    <x v="2"/>
  </r>
  <r>
    <x v="262"/>
    <x v="2"/>
    <n v="10095916.850000003"/>
    <x v="2"/>
  </r>
  <r>
    <x v="262"/>
    <x v="3"/>
    <s v="个税"/>
    <x v="2"/>
  </r>
  <r>
    <x v="262"/>
    <x v="4"/>
    <s v="个人所得税"/>
    <x v="2"/>
  </r>
  <r>
    <x v="263"/>
    <x v="0"/>
    <n v="25"/>
    <x v="2"/>
  </r>
  <r>
    <x v="263"/>
    <x v="1"/>
    <m/>
    <x v="2"/>
  </r>
  <r>
    <x v="263"/>
    <x v="2"/>
    <n v="10095891.850000003"/>
    <x v="2"/>
  </r>
  <r>
    <x v="263"/>
    <x v="3"/>
    <s v="银行手续费"/>
    <x v="2"/>
  </r>
  <r>
    <x v="263"/>
    <x v="4"/>
    <s v="费用"/>
    <x v="2"/>
  </r>
  <r>
    <x v="263"/>
    <x v="0"/>
    <n v="10"/>
    <x v="2"/>
  </r>
  <r>
    <x v="263"/>
    <x v="1"/>
    <m/>
    <x v="2"/>
  </r>
  <r>
    <x v="263"/>
    <x v="2"/>
    <n v="10095881.850000003"/>
    <x v="2"/>
  </r>
  <r>
    <x v="263"/>
    <x v="3"/>
    <s v="银行手续费"/>
    <x v="2"/>
  </r>
  <r>
    <x v="263"/>
    <x v="4"/>
    <s v="费用"/>
    <x v="2"/>
  </r>
  <r>
    <x v="264"/>
    <x v="0"/>
    <n v="4137"/>
    <x v="2"/>
  </r>
  <r>
    <x v="264"/>
    <x v="1"/>
    <m/>
    <x v="2"/>
  </r>
  <r>
    <x v="264"/>
    <x v="2"/>
    <n v="10091744.850000003"/>
    <x v="2"/>
  </r>
  <r>
    <x v="264"/>
    <x v="3"/>
    <s v="费用报销"/>
    <x v="2"/>
  </r>
  <r>
    <x v="264"/>
    <x v="4"/>
    <s v="费用"/>
    <x v="2"/>
  </r>
  <r>
    <x v="264"/>
    <x v="0"/>
    <n v="647.9"/>
    <x v="2"/>
  </r>
  <r>
    <x v="264"/>
    <x v="1"/>
    <m/>
    <x v="2"/>
  </r>
  <r>
    <x v="264"/>
    <x v="2"/>
    <n v="10091096.950000003"/>
    <x v="2"/>
  </r>
  <r>
    <x v="264"/>
    <x v="3"/>
    <s v="费用报销"/>
    <x v="2"/>
  </r>
  <r>
    <x v="264"/>
    <x v="4"/>
    <s v="费用"/>
    <x v="2"/>
  </r>
  <r>
    <x v="264"/>
    <x v="0"/>
    <n v="2942.25"/>
    <x v="2"/>
  </r>
  <r>
    <x v="264"/>
    <x v="1"/>
    <m/>
    <x v="2"/>
  </r>
  <r>
    <x v="264"/>
    <x v="2"/>
    <n v="10088154.700000003"/>
    <x v="2"/>
  </r>
  <r>
    <x v="264"/>
    <x v="3"/>
    <s v="费用报销"/>
    <x v="2"/>
  </r>
  <r>
    <x v="264"/>
    <x v="4"/>
    <s v="费用"/>
    <x v="2"/>
  </r>
  <r>
    <x v="265"/>
    <x v="0"/>
    <n v="7"/>
    <x v="2"/>
  </r>
  <r>
    <x v="265"/>
    <x v="1"/>
    <m/>
    <x v="2"/>
  </r>
  <r>
    <x v="265"/>
    <x v="2"/>
    <n v="10088147.700000003"/>
    <x v="2"/>
  </r>
  <r>
    <x v="265"/>
    <x v="3"/>
    <s v="银行手续费"/>
    <x v="2"/>
  </r>
  <r>
    <x v="265"/>
    <x v="4"/>
    <s v="费用"/>
    <x v="2"/>
  </r>
  <r>
    <x v="266"/>
    <x v="0"/>
    <n v="420"/>
    <x v="2"/>
  </r>
  <r>
    <x v="266"/>
    <x v="1"/>
    <m/>
    <x v="2"/>
  </r>
  <r>
    <x v="266"/>
    <x v="2"/>
    <n v="10087727.700000003"/>
    <x v="2"/>
  </r>
  <r>
    <x v="266"/>
    <x v="3"/>
    <s v="费用报销"/>
    <x v="2"/>
  </r>
  <r>
    <x v="266"/>
    <x v="4"/>
    <s v="费用"/>
    <x v="2"/>
  </r>
  <r>
    <x v="266"/>
    <x v="0"/>
    <n v="420"/>
    <x v="2"/>
  </r>
  <r>
    <x v="266"/>
    <x v="1"/>
    <m/>
    <x v="2"/>
  </r>
  <r>
    <x v="266"/>
    <x v="2"/>
    <n v="10087307.700000003"/>
    <x v="2"/>
  </r>
  <r>
    <x v="266"/>
    <x v="3"/>
    <s v="费用报销"/>
    <x v="2"/>
  </r>
  <r>
    <x v="266"/>
    <x v="4"/>
    <s v="费用"/>
    <x v="2"/>
  </r>
  <r>
    <x v="266"/>
    <x v="0"/>
    <n v="420"/>
    <x v="2"/>
  </r>
  <r>
    <x v="266"/>
    <x v="1"/>
    <m/>
    <x v="2"/>
  </r>
  <r>
    <x v="266"/>
    <x v="2"/>
    <n v="10086887.700000003"/>
    <x v="2"/>
  </r>
  <r>
    <x v="266"/>
    <x v="3"/>
    <s v="费用报销"/>
    <x v="2"/>
  </r>
  <r>
    <x v="266"/>
    <x v="4"/>
    <s v="费用"/>
    <x v="2"/>
  </r>
  <r>
    <x v="266"/>
    <x v="0"/>
    <n v="14087.75"/>
    <x v="2"/>
  </r>
  <r>
    <x v="266"/>
    <x v="1"/>
    <m/>
    <x v="2"/>
  </r>
  <r>
    <x v="266"/>
    <x v="2"/>
    <n v="10072799.950000003"/>
    <x v="2"/>
  </r>
  <r>
    <x v="266"/>
    <x v="3"/>
    <s v="工资"/>
    <x v="2"/>
  </r>
  <r>
    <x v="266"/>
    <x v="4"/>
    <s v="工资及奖金"/>
    <x v="2"/>
  </r>
  <r>
    <x v="266"/>
    <x v="0"/>
    <n v="9155"/>
    <x v="2"/>
  </r>
  <r>
    <x v="266"/>
    <x v="1"/>
    <m/>
    <x v="2"/>
  </r>
  <r>
    <x v="266"/>
    <x v="2"/>
    <n v="10063644.950000003"/>
    <x v="2"/>
  </r>
  <r>
    <x v="266"/>
    <x v="3"/>
    <s v="工资"/>
    <x v="2"/>
  </r>
  <r>
    <x v="266"/>
    <x v="4"/>
    <s v="工资及奖金"/>
    <x v="2"/>
  </r>
  <r>
    <x v="266"/>
    <x v="0"/>
    <n v="4523.22"/>
    <x v="2"/>
  </r>
  <r>
    <x v="266"/>
    <x v="1"/>
    <m/>
    <x v="2"/>
  </r>
  <r>
    <x v="266"/>
    <x v="2"/>
    <n v="10059121.730000002"/>
    <x v="2"/>
  </r>
  <r>
    <x v="266"/>
    <x v="3"/>
    <s v="工资"/>
    <x v="2"/>
  </r>
  <r>
    <x v="266"/>
    <x v="4"/>
    <s v="工资及奖金"/>
    <x v="2"/>
  </r>
  <r>
    <x v="266"/>
    <x v="0"/>
    <n v="14245.55"/>
    <x v="2"/>
  </r>
  <r>
    <x v="266"/>
    <x v="1"/>
    <m/>
    <x v="2"/>
  </r>
  <r>
    <x v="266"/>
    <x v="2"/>
    <n v="10044876.180000002"/>
    <x v="2"/>
  </r>
  <r>
    <x v="266"/>
    <x v="3"/>
    <s v="工资"/>
    <x v="2"/>
  </r>
  <r>
    <x v="266"/>
    <x v="4"/>
    <s v="工资及奖金"/>
    <x v="2"/>
  </r>
  <r>
    <x v="267"/>
    <x v="0"/>
    <n v="400000"/>
    <x v="2"/>
  </r>
  <r>
    <x v="267"/>
    <x v="1"/>
    <m/>
    <x v="2"/>
  </r>
  <r>
    <x v="267"/>
    <x v="2"/>
    <n v="9644876.1800000016"/>
    <x v="2"/>
  </r>
  <r>
    <x v="267"/>
    <x v="3"/>
    <s v="退回入资款"/>
    <x v="2"/>
  </r>
  <r>
    <x v="267"/>
    <x v="4"/>
    <s v="往来"/>
    <x v="2"/>
  </r>
  <r>
    <x v="268"/>
    <x v="0"/>
    <n v="10.5"/>
    <x v="2"/>
  </r>
  <r>
    <x v="268"/>
    <x v="1"/>
    <m/>
    <x v="2"/>
  </r>
  <r>
    <x v="268"/>
    <x v="2"/>
    <n v="9644865.6800000016"/>
    <x v="2"/>
  </r>
  <r>
    <x v="268"/>
    <x v="3"/>
    <s v="银行手续费"/>
    <x v="2"/>
  </r>
  <r>
    <x v="268"/>
    <x v="4"/>
    <s v="费用"/>
    <x v="2"/>
  </r>
  <r>
    <x v="269"/>
    <x v="0"/>
    <n v="3960"/>
    <x v="2"/>
  </r>
  <r>
    <x v="269"/>
    <x v="1"/>
    <m/>
    <x v="2"/>
  </r>
  <r>
    <x v="269"/>
    <x v="2"/>
    <n v="9640905.6800000016"/>
    <x v="2"/>
  </r>
  <r>
    <x v="269"/>
    <x v="3"/>
    <s v="商标申请代理服务费"/>
    <x v="2"/>
  </r>
  <r>
    <x v="269"/>
    <x v="4"/>
    <s v="费用"/>
    <x v="2"/>
  </r>
  <r>
    <x v="269"/>
    <x v="0"/>
    <n v="400000"/>
    <x v="2"/>
  </r>
  <r>
    <x v="269"/>
    <x v="1"/>
    <m/>
    <x v="2"/>
  </r>
  <r>
    <x v="269"/>
    <x v="2"/>
    <n v="9240905.6800000016"/>
    <x v="2"/>
  </r>
  <r>
    <x v="269"/>
    <x v="3"/>
    <s v="品牌设计2018年年度顾问费"/>
    <x v="2"/>
  </r>
  <r>
    <x v="269"/>
    <x v="4"/>
    <s v="费用"/>
    <x v="2"/>
  </r>
  <r>
    <x v="270"/>
    <x v="0"/>
    <n v="10.5"/>
    <x v="2"/>
  </r>
  <r>
    <x v="270"/>
    <x v="1"/>
    <m/>
    <x v="2"/>
  </r>
  <r>
    <x v="270"/>
    <x v="2"/>
    <n v="9240895.1800000016"/>
    <x v="2"/>
  </r>
  <r>
    <x v="270"/>
    <x v="3"/>
    <s v="银行手续费"/>
    <x v="2"/>
  </r>
  <r>
    <x v="270"/>
    <x v="4"/>
    <s v="费用"/>
    <x v="2"/>
  </r>
  <r>
    <x v="270"/>
    <x v="0"/>
    <n v="7339.17"/>
    <x v="2"/>
  </r>
  <r>
    <x v="270"/>
    <x v="1"/>
    <m/>
    <x v="2"/>
  </r>
  <r>
    <x v="270"/>
    <x v="2"/>
    <n v="9233556.0100000016"/>
    <x v="2"/>
  </r>
  <r>
    <x v="270"/>
    <x v="3"/>
    <s v="个税"/>
    <x v="2"/>
  </r>
  <r>
    <x v="270"/>
    <x v="4"/>
    <s v="个人所得税"/>
    <x v="2"/>
  </r>
  <r>
    <x v="270"/>
    <x v="0"/>
    <n v="5000"/>
    <x v="2"/>
  </r>
  <r>
    <x v="270"/>
    <x v="1"/>
    <m/>
    <x v="2"/>
  </r>
  <r>
    <x v="270"/>
    <x v="2"/>
    <n v="9228556.0100000016"/>
    <x v="2"/>
  </r>
  <r>
    <x v="270"/>
    <x v="3"/>
    <s v="备用金"/>
    <x v="2"/>
  </r>
  <r>
    <x v="270"/>
    <x v="4"/>
    <s v="提现"/>
    <x v="2"/>
  </r>
  <r>
    <x v="271"/>
    <x v="0"/>
    <n v="3302.5"/>
    <x v="2"/>
  </r>
  <r>
    <x v="271"/>
    <x v="1"/>
    <m/>
    <x v="2"/>
  </r>
  <r>
    <x v="271"/>
    <x v="2"/>
    <n v="9225253.5100000016"/>
    <x v="2"/>
  </r>
  <r>
    <x v="271"/>
    <x v="3"/>
    <s v="费用报销"/>
    <x v="2"/>
  </r>
  <r>
    <x v="271"/>
    <x v="4"/>
    <s v="费用"/>
    <x v="2"/>
  </r>
  <r>
    <x v="272"/>
    <x v="0"/>
    <n v="33667.75"/>
    <x v="2"/>
  </r>
  <r>
    <x v="272"/>
    <x v="1"/>
    <m/>
    <x v="2"/>
  </r>
  <r>
    <x v="272"/>
    <x v="2"/>
    <n v="9191585.7600000016"/>
    <x v="2"/>
  </r>
  <r>
    <x v="272"/>
    <x v="3"/>
    <s v="工资"/>
    <x v="2"/>
  </r>
  <r>
    <x v="272"/>
    <x v="4"/>
    <s v="工资及奖金"/>
    <x v="2"/>
  </r>
  <r>
    <x v="272"/>
    <x v="0"/>
    <n v="9110"/>
    <x v="2"/>
  </r>
  <r>
    <x v="272"/>
    <x v="1"/>
    <m/>
    <x v="2"/>
  </r>
  <r>
    <x v="272"/>
    <x v="2"/>
    <n v="9182475.7600000016"/>
    <x v="2"/>
  </r>
  <r>
    <x v="272"/>
    <x v="3"/>
    <s v="工资"/>
    <x v="2"/>
  </r>
  <r>
    <x v="272"/>
    <x v="4"/>
    <s v="工资及奖金"/>
    <x v="2"/>
  </r>
  <r>
    <x v="272"/>
    <x v="0"/>
    <n v="4538.22"/>
    <x v="2"/>
  </r>
  <r>
    <x v="272"/>
    <x v="1"/>
    <m/>
    <x v="2"/>
  </r>
  <r>
    <x v="272"/>
    <x v="2"/>
    <n v="9177937.540000001"/>
    <x v="2"/>
  </r>
  <r>
    <x v="272"/>
    <x v="3"/>
    <s v="工资"/>
    <x v="2"/>
  </r>
  <r>
    <x v="272"/>
    <x v="4"/>
    <s v="工资及奖金"/>
    <x v="2"/>
  </r>
  <r>
    <x v="272"/>
    <x v="0"/>
    <n v="15548.66"/>
    <x v="2"/>
  </r>
  <r>
    <x v="272"/>
    <x v="1"/>
    <m/>
    <x v="2"/>
  </r>
  <r>
    <x v="272"/>
    <x v="2"/>
    <n v="9162388.8800000008"/>
    <x v="2"/>
  </r>
  <r>
    <x v="272"/>
    <x v="3"/>
    <s v="工资"/>
    <x v="2"/>
  </r>
  <r>
    <x v="272"/>
    <x v="4"/>
    <s v="工资及奖金"/>
    <x v="2"/>
  </r>
  <r>
    <x v="272"/>
    <x v="0"/>
    <n v="339"/>
    <x v="2"/>
  </r>
  <r>
    <x v="272"/>
    <x v="1"/>
    <m/>
    <x v="2"/>
  </r>
  <r>
    <x v="272"/>
    <x v="2"/>
    <n v="9162049.8800000008"/>
    <x v="2"/>
  </r>
  <r>
    <x v="272"/>
    <x v="3"/>
    <s v="办公室窗帘费"/>
    <x v="2"/>
  </r>
  <r>
    <x v="272"/>
    <x v="4"/>
    <s v="费用"/>
    <x v="2"/>
  </r>
  <r>
    <x v="272"/>
    <x v="0"/>
    <n v="420"/>
    <x v="2"/>
  </r>
  <r>
    <x v="272"/>
    <x v="1"/>
    <m/>
    <x v="2"/>
  </r>
  <r>
    <x v="272"/>
    <x v="2"/>
    <n v="9161629.8800000008"/>
    <x v="2"/>
  </r>
  <r>
    <x v="272"/>
    <x v="3"/>
    <s v="费用报销"/>
    <x v="2"/>
  </r>
  <r>
    <x v="272"/>
    <x v="4"/>
    <s v="费用"/>
    <x v="2"/>
  </r>
  <r>
    <x v="272"/>
    <x v="0"/>
    <n v="10068"/>
    <x v="2"/>
  </r>
  <r>
    <x v="272"/>
    <x v="1"/>
    <m/>
    <x v="2"/>
  </r>
  <r>
    <x v="272"/>
    <x v="2"/>
    <n v="9151561.8800000008"/>
    <x v="2"/>
  </r>
  <r>
    <x v="272"/>
    <x v="3"/>
    <s v="费用报销"/>
    <x v="2"/>
  </r>
  <r>
    <x v="272"/>
    <x v="4"/>
    <s v="费用"/>
    <x v="2"/>
  </r>
  <r>
    <x v="272"/>
    <x v="0"/>
    <n v="939.6"/>
    <x v="2"/>
  </r>
  <r>
    <x v="272"/>
    <x v="1"/>
    <m/>
    <x v="2"/>
  </r>
  <r>
    <x v="272"/>
    <x v="2"/>
    <n v="9150622.2800000012"/>
    <x v="2"/>
  </r>
  <r>
    <x v="272"/>
    <x v="3"/>
    <s v="费用报销"/>
    <x v="2"/>
  </r>
  <r>
    <x v="272"/>
    <x v="4"/>
    <s v="费用"/>
    <x v="2"/>
  </r>
  <r>
    <x v="272"/>
    <x v="0"/>
    <n v="16180.04"/>
    <x v="2"/>
  </r>
  <r>
    <x v="272"/>
    <x v="1"/>
    <m/>
    <x v="2"/>
  </r>
  <r>
    <x v="272"/>
    <x v="2"/>
    <n v="9134442.2400000021"/>
    <x v="2"/>
  </r>
  <r>
    <x v="272"/>
    <x v="3"/>
    <s v="费用报销"/>
    <x v="2"/>
  </r>
  <r>
    <x v="272"/>
    <x v="4"/>
    <s v="费用"/>
    <x v="2"/>
  </r>
  <r>
    <x v="273"/>
    <x v="0"/>
    <n v="5237.99"/>
    <x v="2"/>
  </r>
  <r>
    <x v="273"/>
    <x v="1"/>
    <m/>
    <x v="2"/>
  </r>
  <r>
    <x v="273"/>
    <x v="2"/>
    <n v="9129204.2500000019"/>
    <x v="2"/>
  </r>
  <r>
    <x v="273"/>
    <x v="3"/>
    <s v="个税"/>
    <x v="2"/>
  </r>
  <r>
    <x v="273"/>
    <x v="4"/>
    <s v="个人所得税"/>
    <x v="2"/>
  </r>
  <r>
    <x v="273"/>
    <x v="0"/>
    <n v="575"/>
    <x v="2"/>
  </r>
  <r>
    <x v="273"/>
    <x v="1"/>
    <m/>
    <x v="2"/>
  </r>
  <r>
    <x v="273"/>
    <x v="2"/>
    <n v="9128629.2500000019"/>
    <x v="2"/>
  </r>
  <r>
    <x v="273"/>
    <x v="3"/>
    <s v="印花税"/>
    <x v="2"/>
  </r>
  <r>
    <x v="273"/>
    <x v="4"/>
    <s v="其他税费"/>
    <x v="2"/>
  </r>
  <r>
    <x v="274"/>
    <x v="0"/>
    <n v="150"/>
    <x v="2"/>
  </r>
  <r>
    <x v="274"/>
    <x v="1"/>
    <m/>
    <x v="2"/>
  </r>
  <r>
    <x v="274"/>
    <x v="2"/>
    <n v="9128479.2500000019"/>
    <x v="2"/>
  </r>
  <r>
    <x v="274"/>
    <x v="3"/>
    <s v="费用报销"/>
    <x v="2"/>
  </r>
  <r>
    <x v="274"/>
    <x v="4"/>
    <s v="费用"/>
    <x v="2"/>
  </r>
  <r>
    <x v="275"/>
    <x v="0"/>
    <m/>
    <x v="2"/>
  </r>
  <r>
    <x v="275"/>
    <x v="1"/>
    <n v="800"/>
    <x v="2"/>
  </r>
  <r>
    <x v="275"/>
    <x v="2"/>
    <n v="9129279.2500000019"/>
    <x v="2"/>
  </r>
  <r>
    <x v="275"/>
    <x v="3"/>
    <s v="支付代垫搬运费"/>
    <x v="2"/>
  </r>
  <r>
    <x v="275"/>
    <x v="4"/>
    <s v="往来"/>
    <x v="2"/>
  </r>
  <r>
    <x v="276"/>
    <x v="0"/>
    <n v="1000"/>
    <x v="2"/>
  </r>
  <r>
    <x v="276"/>
    <x v="1"/>
    <m/>
    <x v="2"/>
  </r>
  <r>
    <x v="276"/>
    <x v="2"/>
    <n v="9128279.2500000019"/>
    <x v="2"/>
  </r>
  <r>
    <x v="276"/>
    <x v="3"/>
    <s v="会员年费"/>
    <x v="2"/>
  </r>
  <r>
    <x v="276"/>
    <x v="4"/>
    <s v="费用"/>
    <x v="2"/>
  </r>
  <r>
    <x v="277"/>
    <x v="0"/>
    <m/>
    <x v="2"/>
  </r>
  <r>
    <x v="277"/>
    <x v="1"/>
    <n v="6679.52"/>
    <x v="2"/>
  </r>
  <r>
    <x v="277"/>
    <x v="2"/>
    <n v="9134958.7700000014"/>
    <x v="2"/>
  </r>
  <r>
    <x v="277"/>
    <x v="3"/>
    <s v="利息"/>
    <x v="2"/>
  </r>
  <r>
    <x v="277"/>
    <x v="4"/>
    <s v="其他收入"/>
    <x v="2"/>
  </r>
  <r>
    <x v="278"/>
    <x v="0"/>
    <n v="8588.24"/>
    <x v="2"/>
  </r>
  <r>
    <x v="278"/>
    <x v="1"/>
    <m/>
    <x v="2"/>
  </r>
  <r>
    <x v="278"/>
    <x v="2"/>
    <n v="9126370.5300000012"/>
    <x v="2"/>
  </r>
  <r>
    <x v="278"/>
    <x v="3"/>
    <s v="费用报销"/>
    <x v="2"/>
  </r>
  <r>
    <x v="278"/>
    <x v="4"/>
    <s v="费用"/>
    <x v="2"/>
  </r>
  <r>
    <x v="278"/>
    <x v="0"/>
    <n v="1938.9"/>
    <x v="2"/>
  </r>
  <r>
    <x v="278"/>
    <x v="1"/>
    <m/>
    <x v="2"/>
  </r>
  <r>
    <x v="278"/>
    <x v="2"/>
    <n v="9124431.6300000008"/>
    <x v="2"/>
  </r>
  <r>
    <x v="278"/>
    <x v="3"/>
    <s v="费用报销"/>
    <x v="2"/>
  </r>
  <r>
    <x v="278"/>
    <x v="4"/>
    <s v="费用"/>
    <x v="2"/>
  </r>
  <r>
    <x v="278"/>
    <x v="0"/>
    <n v="3193"/>
    <x v="2"/>
  </r>
  <r>
    <x v="278"/>
    <x v="1"/>
    <m/>
    <x v="2"/>
  </r>
  <r>
    <x v="278"/>
    <x v="2"/>
    <n v="9121238.6300000008"/>
    <x v="2"/>
  </r>
  <r>
    <x v="278"/>
    <x v="3"/>
    <s v="费用报销"/>
    <x v="2"/>
  </r>
  <r>
    <x v="278"/>
    <x v="4"/>
    <s v="费用"/>
    <x v="2"/>
  </r>
  <r>
    <x v="278"/>
    <x v="0"/>
    <n v="27817.75"/>
    <x v="2"/>
  </r>
  <r>
    <x v="278"/>
    <x v="1"/>
    <m/>
    <x v="2"/>
  </r>
  <r>
    <x v="278"/>
    <x v="2"/>
    <n v="9093420.8800000008"/>
    <x v="2"/>
  </r>
  <r>
    <x v="278"/>
    <x v="3"/>
    <s v="工资"/>
    <x v="2"/>
  </r>
  <r>
    <x v="278"/>
    <x v="4"/>
    <s v="工资及奖金"/>
    <x v="2"/>
  </r>
  <r>
    <x v="278"/>
    <x v="0"/>
    <n v="9260"/>
    <x v="2"/>
  </r>
  <r>
    <x v="278"/>
    <x v="1"/>
    <m/>
    <x v="2"/>
  </r>
  <r>
    <x v="278"/>
    <x v="2"/>
    <n v="9084160.8800000008"/>
    <x v="2"/>
  </r>
  <r>
    <x v="278"/>
    <x v="3"/>
    <s v="工资"/>
    <x v="2"/>
  </r>
  <r>
    <x v="278"/>
    <x v="4"/>
    <s v="工资及奖金"/>
    <x v="2"/>
  </r>
  <r>
    <x v="278"/>
    <x v="0"/>
    <n v="4959.3999999999996"/>
    <x v="2"/>
  </r>
  <r>
    <x v="278"/>
    <x v="1"/>
    <m/>
    <x v="2"/>
  </r>
  <r>
    <x v="278"/>
    <x v="2"/>
    <n v="9079201.4800000004"/>
    <x v="2"/>
  </r>
  <r>
    <x v="278"/>
    <x v="3"/>
    <s v="工资"/>
    <x v="2"/>
  </r>
  <r>
    <x v="278"/>
    <x v="4"/>
    <s v="工资及奖金"/>
    <x v="2"/>
  </r>
  <r>
    <x v="278"/>
    <x v="0"/>
    <n v="15548.66"/>
    <x v="2"/>
  </r>
  <r>
    <x v="278"/>
    <x v="1"/>
    <m/>
    <x v="2"/>
  </r>
  <r>
    <x v="278"/>
    <x v="2"/>
    <n v="9063652.8200000003"/>
    <x v="2"/>
  </r>
  <r>
    <x v="278"/>
    <x v="3"/>
    <s v="工资"/>
    <x v="2"/>
  </r>
  <r>
    <x v="278"/>
    <x v="4"/>
    <s v="工资及奖金"/>
    <x v="2"/>
  </r>
  <r>
    <x v="278"/>
    <x v="0"/>
    <n v="14087.75"/>
    <x v="2"/>
  </r>
  <r>
    <x v="278"/>
    <x v="1"/>
    <m/>
    <x v="2"/>
  </r>
  <r>
    <x v="278"/>
    <x v="2"/>
    <n v="9049565.0700000003"/>
    <x v="2"/>
  </r>
  <r>
    <x v="278"/>
    <x v="3"/>
    <s v="补发4-7月工资"/>
    <x v="2"/>
  </r>
  <r>
    <x v="278"/>
    <x v="4"/>
    <s v="工资及奖金"/>
    <x v="2"/>
  </r>
  <r>
    <x v="278"/>
    <x v="0"/>
    <n v="31578.9"/>
    <x v="2"/>
  </r>
  <r>
    <x v="278"/>
    <x v="1"/>
    <m/>
    <x v="2"/>
  </r>
  <r>
    <x v="278"/>
    <x v="2"/>
    <n v="9017986.1699999999"/>
    <x v="2"/>
  </r>
  <r>
    <x v="278"/>
    <x v="3"/>
    <s v="补发4-7月工资"/>
    <x v="2"/>
  </r>
  <r>
    <x v="278"/>
    <x v="4"/>
    <s v="工资及奖金"/>
    <x v="2"/>
  </r>
  <r>
    <x v="279"/>
    <x v="0"/>
    <n v="3840"/>
    <x v="2"/>
  </r>
  <r>
    <x v="279"/>
    <x v="1"/>
    <m/>
    <x v="2"/>
  </r>
  <r>
    <x v="279"/>
    <x v="2"/>
    <n v="9014146.1699999999"/>
    <x v="2"/>
  </r>
  <r>
    <x v="279"/>
    <x v="3"/>
    <s v="费用报销"/>
    <x v="2"/>
  </r>
  <r>
    <x v="279"/>
    <x v="4"/>
    <s v="费用"/>
    <x v="2"/>
  </r>
  <r>
    <x v="280"/>
    <x v="0"/>
    <n v="50"/>
    <x v="2"/>
  </r>
  <r>
    <x v="280"/>
    <x v="1"/>
    <m/>
    <x v="2"/>
  </r>
  <r>
    <x v="280"/>
    <x v="2"/>
    <n v="9014096.1699999999"/>
    <x v="2"/>
  </r>
  <r>
    <x v="280"/>
    <x v="3"/>
    <s v="网上银行服务费"/>
    <x v="2"/>
  </r>
  <r>
    <x v="280"/>
    <x v="4"/>
    <s v="费用"/>
    <x v="2"/>
  </r>
  <r>
    <x v="281"/>
    <x v="0"/>
    <n v="5819.12"/>
    <x v="2"/>
  </r>
  <r>
    <x v="281"/>
    <x v="1"/>
    <m/>
    <x v="2"/>
  </r>
  <r>
    <x v="281"/>
    <x v="2"/>
    <n v="9008277.0500000007"/>
    <x v="2"/>
  </r>
  <r>
    <x v="281"/>
    <x v="3"/>
    <s v="#北京社保"/>
    <x v="2"/>
  </r>
  <r>
    <x v="281"/>
    <x v="4"/>
    <s v="社保"/>
    <x v="2"/>
  </r>
  <r>
    <x v="282"/>
    <x v="0"/>
    <n v="5976"/>
    <x v="2"/>
  </r>
  <r>
    <x v="282"/>
    <x v="1"/>
    <m/>
    <x v="2"/>
  </r>
  <r>
    <x v="282"/>
    <x v="2"/>
    <n v="9002301.0500000007"/>
    <x v="2"/>
  </r>
  <r>
    <x v="282"/>
    <x v="3"/>
    <s v="92102：住房公积金"/>
    <x v="2"/>
  </r>
  <r>
    <x v="282"/>
    <x v="4"/>
    <s v="住房公积金"/>
    <x v="2"/>
  </r>
  <r>
    <x v="283"/>
    <x v="0"/>
    <n v="50"/>
    <x v="2"/>
  </r>
  <r>
    <x v="283"/>
    <x v="1"/>
    <m/>
    <x v="2"/>
  </r>
  <r>
    <x v="283"/>
    <x v="2"/>
    <n v="9002251.0500000007"/>
    <x v="2"/>
  </r>
  <r>
    <x v="283"/>
    <x v="3"/>
    <s v="网上银行服务费"/>
    <x v="2"/>
  </r>
  <r>
    <x v="283"/>
    <x v="4"/>
    <s v="费用"/>
    <x v="2"/>
  </r>
  <r>
    <x v="210"/>
    <x v="0"/>
    <n v="5819.12"/>
    <x v="2"/>
  </r>
  <r>
    <x v="210"/>
    <x v="1"/>
    <m/>
    <x v="2"/>
  </r>
  <r>
    <x v="210"/>
    <x v="2"/>
    <n v="8996431.9300000016"/>
    <x v="2"/>
  </r>
  <r>
    <x v="210"/>
    <x v="3"/>
    <s v="#北京社保"/>
    <x v="2"/>
  </r>
  <r>
    <x v="210"/>
    <x v="4"/>
    <s v="社保"/>
    <x v="2"/>
  </r>
  <r>
    <x v="284"/>
    <x v="0"/>
    <n v="5976"/>
    <x v="2"/>
  </r>
  <r>
    <x v="284"/>
    <x v="1"/>
    <m/>
    <x v="2"/>
  </r>
  <r>
    <x v="284"/>
    <x v="2"/>
    <n v="8990455.9300000016"/>
    <x v="2"/>
  </r>
  <r>
    <x v="284"/>
    <x v="3"/>
    <s v="92102：住房公积金"/>
    <x v="2"/>
  </r>
  <r>
    <x v="284"/>
    <x v="4"/>
    <s v="住房公积金"/>
    <x v="2"/>
  </r>
  <r>
    <x v="285"/>
    <x v="0"/>
    <n v="50"/>
    <x v="2"/>
  </r>
  <r>
    <x v="285"/>
    <x v="1"/>
    <m/>
    <x v="2"/>
  </r>
  <r>
    <x v="285"/>
    <x v="2"/>
    <n v="8990405.9300000016"/>
    <x v="2"/>
  </r>
  <r>
    <x v="285"/>
    <x v="3"/>
    <s v="网上银行服务费"/>
    <x v="2"/>
  </r>
  <r>
    <x v="285"/>
    <x v="4"/>
    <s v="费用"/>
    <x v="2"/>
  </r>
  <r>
    <x v="286"/>
    <x v="0"/>
    <n v="5819.12"/>
    <x v="2"/>
  </r>
  <r>
    <x v="286"/>
    <x v="1"/>
    <m/>
    <x v="2"/>
  </r>
  <r>
    <x v="286"/>
    <x v="2"/>
    <n v="8984586.8100000024"/>
    <x v="2"/>
  </r>
  <r>
    <x v="286"/>
    <x v="3"/>
    <s v="#北京社保"/>
    <x v="2"/>
  </r>
  <r>
    <x v="286"/>
    <x v="4"/>
    <s v="社保"/>
    <x v="2"/>
  </r>
  <r>
    <x v="287"/>
    <x v="0"/>
    <n v="5976"/>
    <x v="2"/>
  </r>
  <r>
    <x v="287"/>
    <x v="1"/>
    <m/>
    <x v="2"/>
  </r>
  <r>
    <x v="287"/>
    <x v="2"/>
    <n v="8978610.8100000024"/>
    <x v="2"/>
  </r>
  <r>
    <x v="287"/>
    <x v="3"/>
    <s v="92102：住房公积金"/>
    <x v="2"/>
  </r>
  <r>
    <x v="287"/>
    <x v="4"/>
    <s v="住房公积金"/>
    <x v="2"/>
  </r>
  <r>
    <x v="219"/>
    <x v="0"/>
    <m/>
    <x v="2"/>
  </r>
  <r>
    <x v="219"/>
    <x v="1"/>
    <n v="103.1"/>
    <x v="2"/>
  </r>
  <r>
    <x v="219"/>
    <x v="2"/>
    <n v="8978713.910000002"/>
    <x v="2"/>
  </r>
  <r>
    <x v="219"/>
    <x v="3"/>
    <s v="活期结算户结息103.10扣税:.00"/>
    <x v="2"/>
  </r>
  <r>
    <x v="219"/>
    <x v="4"/>
    <s v="其他收入"/>
    <x v="2"/>
  </r>
  <r>
    <x v="288"/>
    <x v="0"/>
    <n v="50"/>
    <x v="2"/>
  </r>
  <r>
    <x v="288"/>
    <x v="1"/>
    <m/>
    <x v="2"/>
  </r>
  <r>
    <x v="288"/>
    <x v="2"/>
    <n v="8978663.910000002"/>
    <x v="2"/>
  </r>
  <r>
    <x v="288"/>
    <x v="3"/>
    <s v="网上银行服务费"/>
    <x v="2"/>
  </r>
  <r>
    <x v="288"/>
    <x v="4"/>
    <s v="费用"/>
    <x v="2"/>
  </r>
  <r>
    <x v="289"/>
    <x v="0"/>
    <n v="5819.12"/>
    <x v="2"/>
  </r>
  <r>
    <x v="289"/>
    <x v="1"/>
    <m/>
    <x v="2"/>
  </r>
  <r>
    <x v="289"/>
    <x v="2"/>
    <n v="8972844.7900000028"/>
    <x v="2"/>
  </r>
  <r>
    <x v="289"/>
    <x v="3"/>
    <s v="#北京社保"/>
    <x v="2"/>
  </r>
  <r>
    <x v="289"/>
    <x v="4"/>
    <s v="社保"/>
    <x v="2"/>
  </r>
  <r>
    <x v="226"/>
    <x v="0"/>
    <n v="5976"/>
    <x v="2"/>
  </r>
  <r>
    <x v="226"/>
    <x v="1"/>
    <m/>
    <x v="2"/>
  </r>
  <r>
    <x v="226"/>
    <x v="2"/>
    <n v="8966868.7900000028"/>
    <x v="2"/>
  </r>
  <r>
    <x v="226"/>
    <x v="3"/>
    <s v="92102：住房公积金"/>
    <x v="2"/>
  </r>
  <r>
    <x v="226"/>
    <x v="4"/>
    <s v="住房公积金"/>
    <x v="2"/>
  </r>
  <r>
    <x v="290"/>
    <x v="0"/>
    <n v="50"/>
    <x v="2"/>
  </r>
  <r>
    <x v="290"/>
    <x v="1"/>
    <m/>
    <x v="2"/>
  </r>
  <r>
    <x v="290"/>
    <x v="2"/>
    <n v="8966818.7900000028"/>
    <x v="2"/>
  </r>
  <r>
    <x v="290"/>
    <x v="3"/>
    <s v="网上银行服务费"/>
    <x v="2"/>
  </r>
  <r>
    <x v="290"/>
    <x v="4"/>
    <s v="费用"/>
    <x v="2"/>
  </r>
  <r>
    <x v="291"/>
    <x v="0"/>
    <n v="5819.12"/>
    <x v="2"/>
  </r>
  <r>
    <x v="291"/>
    <x v="1"/>
    <m/>
    <x v="2"/>
  </r>
  <r>
    <x v="291"/>
    <x v="2"/>
    <n v="8960999.6700000037"/>
    <x v="2"/>
  </r>
  <r>
    <x v="291"/>
    <x v="3"/>
    <s v="#北京社保"/>
    <x v="2"/>
  </r>
  <r>
    <x v="291"/>
    <x v="4"/>
    <s v="社保"/>
    <x v="2"/>
  </r>
  <r>
    <x v="292"/>
    <x v="0"/>
    <n v="5976"/>
    <x v="2"/>
  </r>
  <r>
    <x v="292"/>
    <x v="1"/>
    <m/>
    <x v="2"/>
  </r>
  <r>
    <x v="292"/>
    <x v="2"/>
    <n v="8955023.6700000037"/>
    <x v="2"/>
  </r>
  <r>
    <x v="292"/>
    <x v="3"/>
    <s v="委托收款"/>
    <x v="2"/>
  </r>
  <r>
    <x v="292"/>
    <x v="4"/>
    <s v="住房公积金"/>
    <x v="2"/>
  </r>
  <r>
    <x v="293"/>
    <x v="0"/>
    <n v="50"/>
    <x v="2"/>
  </r>
  <r>
    <x v="293"/>
    <x v="1"/>
    <m/>
    <x v="2"/>
  </r>
  <r>
    <x v="293"/>
    <x v="2"/>
    <n v="8954973.6700000037"/>
    <x v="2"/>
  </r>
  <r>
    <x v="293"/>
    <x v="3"/>
    <s v="网上银行服务费"/>
    <x v="2"/>
  </r>
  <r>
    <x v="293"/>
    <x v="4"/>
    <s v="费用"/>
    <x v="2"/>
  </r>
  <r>
    <x v="294"/>
    <x v="0"/>
    <n v="5819.12"/>
    <x v="2"/>
  </r>
  <r>
    <x v="294"/>
    <x v="1"/>
    <m/>
    <x v="2"/>
  </r>
  <r>
    <x v="294"/>
    <x v="2"/>
    <n v="8949154.5500000045"/>
    <x v="2"/>
  </r>
  <r>
    <x v="294"/>
    <x v="3"/>
    <s v="#北京社保"/>
    <x v="2"/>
  </r>
  <r>
    <x v="294"/>
    <x v="4"/>
    <s v="社保"/>
    <x v="2"/>
  </r>
  <r>
    <x v="295"/>
    <x v="0"/>
    <n v="5976"/>
    <x v="2"/>
  </r>
  <r>
    <x v="295"/>
    <x v="1"/>
    <m/>
    <x v="2"/>
  </r>
  <r>
    <x v="295"/>
    <x v="2"/>
    <n v="8943178.5500000045"/>
    <x v="2"/>
  </r>
  <r>
    <x v="295"/>
    <x v="3"/>
    <s v="委托收款"/>
    <x v="2"/>
  </r>
  <r>
    <x v="295"/>
    <x v="4"/>
    <s v="住房公积金"/>
    <x v="2"/>
  </r>
  <r>
    <x v="239"/>
    <x v="0"/>
    <m/>
    <x v="2"/>
  </r>
  <r>
    <x v="239"/>
    <x v="1"/>
    <n v="77.64"/>
    <x v="2"/>
  </r>
  <r>
    <x v="239"/>
    <x v="2"/>
    <n v="8943256.1900000051"/>
    <x v="2"/>
  </r>
  <r>
    <x v="239"/>
    <x v="3"/>
    <s v="活期结算户结息77.64扣税:.00"/>
    <x v="2"/>
  </r>
  <r>
    <x v="239"/>
    <x v="4"/>
    <s v="其他收入"/>
    <x v="2"/>
  </r>
  <r>
    <x v="296"/>
    <x v="0"/>
    <n v="50"/>
    <x v="2"/>
  </r>
  <r>
    <x v="296"/>
    <x v="1"/>
    <m/>
    <x v="2"/>
  </r>
  <r>
    <x v="296"/>
    <x v="2"/>
    <n v="8943206.1900000051"/>
    <x v="2"/>
  </r>
  <r>
    <x v="296"/>
    <x v="3"/>
    <s v="网上银行服务费"/>
    <x v="2"/>
  </r>
  <r>
    <x v="296"/>
    <x v="4"/>
    <s v="费用"/>
    <x v="2"/>
  </r>
  <r>
    <x v="297"/>
    <x v="0"/>
    <n v="7862.12"/>
    <x v="2"/>
  </r>
  <r>
    <x v="297"/>
    <x v="1"/>
    <m/>
    <x v="2"/>
  </r>
  <r>
    <x v="297"/>
    <x v="2"/>
    <n v="8935344.0700000059"/>
    <x v="2"/>
  </r>
  <r>
    <x v="297"/>
    <x v="3"/>
    <s v="#北京社保"/>
    <x v="2"/>
  </r>
  <r>
    <x v="297"/>
    <x v="4"/>
    <s v="社保"/>
    <x v="2"/>
  </r>
  <r>
    <x v="298"/>
    <x v="0"/>
    <n v="6216"/>
    <x v="2"/>
  </r>
  <r>
    <x v="298"/>
    <x v="1"/>
    <m/>
    <x v="2"/>
  </r>
  <r>
    <x v="298"/>
    <x v="2"/>
    <n v="8929128.0700000059"/>
    <x v="2"/>
  </r>
  <r>
    <x v="298"/>
    <x v="3"/>
    <s v="委托收款"/>
    <x v="2"/>
  </r>
  <r>
    <x v="298"/>
    <x v="4"/>
    <s v="住房公积金"/>
    <x v="2"/>
  </r>
  <r>
    <x v="299"/>
    <x v="0"/>
    <n v="50"/>
    <x v="2"/>
  </r>
  <r>
    <x v="299"/>
    <x v="1"/>
    <m/>
    <x v="2"/>
  </r>
  <r>
    <x v="299"/>
    <x v="2"/>
    <n v="8929078.0700000059"/>
    <x v="2"/>
  </r>
  <r>
    <x v="299"/>
    <x v="3"/>
    <s v="网上银行服务费"/>
    <x v="2"/>
  </r>
  <r>
    <x v="299"/>
    <x v="4"/>
    <s v="费用"/>
    <x v="2"/>
  </r>
  <r>
    <x v="300"/>
    <x v="0"/>
    <n v="8126.4"/>
    <x v="2"/>
  </r>
  <r>
    <x v="300"/>
    <x v="1"/>
    <m/>
    <x v="2"/>
  </r>
  <r>
    <x v="300"/>
    <x v="2"/>
    <n v="8920951.6700000055"/>
    <x v="2"/>
  </r>
  <r>
    <x v="300"/>
    <x v="3"/>
    <s v="#北京社保"/>
    <x v="2"/>
  </r>
  <r>
    <x v="300"/>
    <x v="4"/>
    <s v="社保"/>
    <x v="2"/>
  </r>
  <r>
    <x v="249"/>
    <x v="0"/>
    <n v="6216"/>
    <x v="2"/>
  </r>
  <r>
    <x v="249"/>
    <x v="1"/>
    <m/>
    <x v="2"/>
  </r>
  <r>
    <x v="249"/>
    <x v="2"/>
    <n v="8914735.6700000055"/>
    <x v="2"/>
  </r>
  <r>
    <x v="249"/>
    <x v="3"/>
    <s v="委托收款"/>
    <x v="2"/>
  </r>
  <r>
    <x v="249"/>
    <x v="4"/>
    <s v="住房公积金"/>
    <x v="2"/>
  </r>
  <r>
    <x v="301"/>
    <x v="0"/>
    <n v="50"/>
    <x v="2"/>
  </r>
  <r>
    <x v="301"/>
    <x v="1"/>
    <m/>
    <x v="2"/>
  </r>
  <r>
    <x v="301"/>
    <x v="2"/>
    <n v="8914685.6700000055"/>
    <x v="2"/>
  </r>
  <r>
    <x v="301"/>
    <x v="3"/>
    <s v="网上银行服务费"/>
    <x v="2"/>
  </r>
  <r>
    <x v="301"/>
    <x v="4"/>
    <s v="费用"/>
    <x v="2"/>
  </r>
  <r>
    <x v="302"/>
    <x v="0"/>
    <n v="8126.4"/>
    <x v="2"/>
  </r>
  <r>
    <x v="302"/>
    <x v="1"/>
    <m/>
    <x v="2"/>
  </r>
  <r>
    <x v="302"/>
    <x v="2"/>
    <n v="8906559.2700000051"/>
    <x v="2"/>
  </r>
  <r>
    <x v="302"/>
    <x v="3"/>
    <s v="#北京社保"/>
    <x v="2"/>
  </r>
  <r>
    <x v="302"/>
    <x v="4"/>
    <s v="社保"/>
    <x v="2"/>
  </r>
  <r>
    <x v="252"/>
    <x v="0"/>
    <n v="6216"/>
    <x v="2"/>
  </r>
  <r>
    <x v="252"/>
    <x v="1"/>
    <m/>
    <x v="2"/>
  </r>
  <r>
    <x v="252"/>
    <x v="2"/>
    <n v="8900343.2700000051"/>
    <x v="2"/>
  </r>
  <r>
    <x v="252"/>
    <x v="3"/>
    <s v="委托收款"/>
    <x v="2"/>
  </r>
  <r>
    <x v="252"/>
    <x v="4"/>
    <s v="住房公积金"/>
    <x v="2"/>
  </r>
  <r>
    <x v="253"/>
    <x v="0"/>
    <m/>
    <x v="2"/>
  </r>
  <r>
    <x v="253"/>
    <x v="1"/>
    <n v="47.7"/>
    <x v="2"/>
  </r>
  <r>
    <x v="253"/>
    <x v="2"/>
    <n v="8900390.9700000044"/>
    <x v="2"/>
  </r>
  <r>
    <x v="253"/>
    <x v="3"/>
    <s v="活期结算户结息47.70扣税:.00"/>
    <x v="2"/>
  </r>
  <r>
    <x v="253"/>
    <x v="4"/>
    <s v="其他收入"/>
    <x v="2"/>
  </r>
  <r>
    <x v="303"/>
    <x v="0"/>
    <n v="50"/>
    <x v="2"/>
  </r>
  <r>
    <x v="303"/>
    <x v="1"/>
    <m/>
    <x v="2"/>
  </r>
  <r>
    <x v="303"/>
    <x v="2"/>
    <n v="8900340.9700000044"/>
    <x v="2"/>
  </r>
  <r>
    <x v="303"/>
    <x v="3"/>
    <s v="网上银行服务费"/>
    <x v="2"/>
  </r>
  <r>
    <x v="303"/>
    <x v="4"/>
    <s v="费用"/>
    <x v="2"/>
  </r>
  <r>
    <x v="261"/>
    <x v="0"/>
    <n v="8126.4"/>
    <x v="2"/>
  </r>
  <r>
    <x v="261"/>
    <x v="1"/>
    <m/>
    <x v="2"/>
  </r>
  <r>
    <x v="261"/>
    <x v="2"/>
    <n v="8892214.570000004"/>
    <x v="2"/>
  </r>
  <r>
    <x v="261"/>
    <x v="3"/>
    <s v="#北京社保"/>
    <x v="2"/>
  </r>
  <r>
    <x v="261"/>
    <x v="4"/>
    <s v="社保"/>
    <x v="2"/>
  </r>
  <r>
    <x v="262"/>
    <x v="0"/>
    <n v="6216"/>
    <x v="2"/>
  </r>
  <r>
    <x v="262"/>
    <x v="1"/>
    <m/>
    <x v="2"/>
  </r>
  <r>
    <x v="262"/>
    <x v="2"/>
    <n v="8885998.570000004"/>
    <x v="2"/>
  </r>
  <r>
    <x v="262"/>
    <x v="3"/>
    <s v="委托收款"/>
    <x v="2"/>
  </r>
  <r>
    <x v="262"/>
    <x v="4"/>
    <s v="住房公积金"/>
    <x v="2"/>
  </r>
  <r>
    <x v="304"/>
    <x v="0"/>
    <n v="50"/>
    <x v="2"/>
  </r>
  <r>
    <x v="304"/>
    <x v="1"/>
    <m/>
    <x v="2"/>
  </r>
  <r>
    <x v="304"/>
    <x v="2"/>
    <n v="8885948.570000004"/>
    <x v="2"/>
  </r>
  <r>
    <x v="304"/>
    <x v="3"/>
    <s v="网上银行服务费"/>
    <x v="2"/>
  </r>
  <r>
    <x v="304"/>
    <x v="4"/>
    <s v="费用"/>
    <x v="2"/>
  </r>
  <r>
    <x v="271"/>
    <x v="0"/>
    <n v="8126.4"/>
    <x v="2"/>
  </r>
  <r>
    <x v="271"/>
    <x v="1"/>
    <m/>
    <x v="2"/>
  </r>
  <r>
    <x v="271"/>
    <x v="2"/>
    <n v="8877822.1700000037"/>
    <x v="2"/>
  </r>
  <r>
    <x v="271"/>
    <x v="3"/>
    <s v="#北京社保"/>
    <x v="2"/>
  </r>
  <r>
    <x v="271"/>
    <x v="4"/>
    <s v="社保"/>
    <x v="2"/>
  </r>
  <r>
    <x v="305"/>
    <x v="0"/>
    <n v="6216"/>
    <x v="2"/>
  </r>
  <r>
    <x v="305"/>
    <x v="1"/>
    <m/>
    <x v="2"/>
  </r>
  <r>
    <x v="305"/>
    <x v="2"/>
    <n v="8871606.1700000037"/>
    <x v="2"/>
  </r>
  <r>
    <x v="305"/>
    <x v="3"/>
    <s v="委托收款"/>
    <x v="2"/>
  </r>
  <r>
    <x v="305"/>
    <x v="4"/>
    <s v="住房公积金"/>
    <x v="2"/>
  </r>
  <r>
    <x v="273"/>
    <x v="0"/>
    <n v="50"/>
    <x v="2"/>
  </r>
  <r>
    <x v="273"/>
    <x v="1"/>
    <m/>
    <x v="2"/>
  </r>
  <r>
    <x v="273"/>
    <x v="2"/>
    <n v="8871556.1700000037"/>
    <x v="2"/>
  </r>
  <r>
    <x v="273"/>
    <x v="3"/>
    <s v="网上银行服务费"/>
    <x v="2"/>
  </r>
  <r>
    <x v="273"/>
    <x v="4"/>
    <s v="费用"/>
    <x v="2"/>
  </r>
  <r>
    <x v="274"/>
    <x v="0"/>
    <n v="8126.4"/>
    <x v="2"/>
  </r>
  <r>
    <x v="274"/>
    <x v="1"/>
    <m/>
    <x v="2"/>
  </r>
  <r>
    <x v="274"/>
    <x v="2"/>
    <n v="8863429.7700000033"/>
    <x v="2"/>
  </r>
  <r>
    <x v="274"/>
    <x v="3"/>
    <s v="#北京社保"/>
    <x v="2"/>
  </r>
  <r>
    <x v="274"/>
    <x v="4"/>
    <s v="社保"/>
    <x v="2"/>
  </r>
  <r>
    <x v="306"/>
    <x v="0"/>
    <n v="6216"/>
    <x v="2"/>
  </r>
  <r>
    <x v="306"/>
    <x v="1"/>
    <m/>
    <x v="2"/>
  </r>
  <r>
    <x v="306"/>
    <x v="2"/>
    <n v="8857213.7700000033"/>
    <x v="2"/>
  </r>
  <r>
    <x v="306"/>
    <x v="3"/>
    <s v="委托收款"/>
    <x v="2"/>
  </r>
  <r>
    <x v="306"/>
    <x v="4"/>
    <s v="住房公积金"/>
    <x v="2"/>
  </r>
  <r>
    <x v="277"/>
    <x v="0"/>
    <m/>
    <x v="2"/>
  </r>
  <r>
    <x v="277"/>
    <x v="1"/>
    <n v="62.5"/>
    <x v="2"/>
  </r>
  <r>
    <x v="277"/>
    <x v="2"/>
    <n v="8857276.2700000033"/>
    <x v="2"/>
  </r>
  <r>
    <x v="277"/>
    <x v="3"/>
    <s v="活期结算户结息62.50扣税:.00"/>
    <x v="2"/>
  </r>
  <r>
    <x v="277"/>
    <x v="4"/>
    <s v="其他收入"/>
    <x v="2"/>
  </r>
  <r>
    <x v="278"/>
    <x v="0"/>
    <n v="200"/>
    <x v="2"/>
  </r>
  <r>
    <x v="278"/>
    <x v="1"/>
    <m/>
    <x v="2"/>
  </r>
  <r>
    <x v="278"/>
    <x v="2"/>
    <n v="8857076.2700000033"/>
    <x v="2"/>
  </r>
  <r>
    <x v="278"/>
    <x v="3"/>
    <s v="转账"/>
    <x v="2"/>
  </r>
  <r>
    <x v="278"/>
    <x v="4"/>
    <s v="往来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showDrill="0" useAutoFormatting="1" colGrandTotals="0" itemPrintTitles="1" mergeItem="1" createdVersion="6" indent="0" compact="0" compactData="0" gridDropZones="1" multipleFieldFilters="0" chartFormat="3">
  <location ref="A3:D19" firstHeaderRow="1" firstDataRow="2" firstDataCol="2" rowPageCount="1" colPageCount="1"/>
  <pivotFields count="5">
    <pivotField name="季度" axis="axisRow"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axis="axisCol" compact="0" outline="0" subtotalTop="0" showAll="0">
      <items count="6">
        <item x="1"/>
        <item h="1" x="4"/>
        <item h="1" x="3"/>
        <item h="1" x="2"/>
        <item x="0"/>
        <item t="default"/>
      </items>
    </pivotField>
    <pivotField dataField="1" compact="0" outline="0" subtotalTop="0" showAll="0"/>
    <pivotField name="年度" axis="axisPage" compact="0" outline="0" subtotalTop="0" showAll="0">
      <items count="4">
        <item x="0"/>
        <item x="1"/>
        <item x="2"/>
        <item t="default"/>
      </items>
    </pivotField>
    <pivotField name="年份" axis="axisRow" compact="0" outline="0" subtotalTop="0" showAll="0">
      <items count="6">
        <item x="0"/>
        <item x="1"/>
        <item x="2"/>
        <item x="3"/>
        <item x="4"/>
        <item t="default"/>
      </items>
    </pivotField>
  </pivotFields>
  <rowFields count="2">
    <field x="4"/>
    <field x="0"/>
  </rowFields>
  <rowItems count="15">
    <i>
      <x v="1"/>
      <x v="2"/>
    </i>
    <i r="1">
      <x v="3"/>
    </i>
    <i r="1">
      <x v="4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>
      <x v="3"/>
      <x v="1"/>
    </i>
    <i r="1">
      <x v="2"/>
    </i>
    <i r="1">
      <x v="3"/>
    </i>
    <i r="1">
      <x v="4"/>
    </i>
    <i t="default">
      <x v="3"/>
    </i>
    <i t="grand">
      <x/>
    </i>
  </rowItems>
  <colFields count="1">
    <field x="1"/>
  </colFields>
  <colItems count="2">
    <i>
      <x/>
    </i>
    <i>
      <x v="4"/>
    </i>
  </colItems>
  <pageFields count="1">
    <pageField fld="3" hier="-1"/>
  </pageFields>
  <dataFields count="1">
    <dataField name="收支统计" fld="2" baseField="0" baseItem="0" numFmtId="176"/>
  </dataFields>
  <formats count="1">
    <format dxfId="0">
      <pivotArea outline="0" collapsedLevelsAreSubtotals="1" fieldPosition="0"/>
    </format>
  </formats>
  <chartFormats count="2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2370"/>
            <customFilter operator="lessThanOrEqual" val="434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3:F93" totalsRowCount="1" headerRowDxfId="42" dataDxfId="41">
  <autoFilter ref="A3:F92"/>
  <tableColumns count="6">
    <tableColumn id="1" name="交易日期" totalsRowLabel="汇总" dataDxfId="40" totalsRowDxfId="39"/>
    <tableColumn id="2" name="支出" totalsRowFunction="sum" dataDxfId="38" totalsRowDxfId="37"/>
    <tableColumn id="3" name="收入" totalsRowFunction="sum" dataDxfId="36" totalsRowDxfId="35"/>
    <tableColumn id="4" name="账户余额" dataDxfId="34" totalsRowDxfId="33">
      <calculatedColumnFormula>D3+C4-B4</calculatedColumnFormula>
    </tableColumn>
    <tableColumn id="5" name="摘要" dataDxfId="32" totalsRowDxfId="31"/>
    <tableColumn id="6" name="收支分类" dataDxfId="30" totalsRowDxfId="29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3:F351" totalsRowCount="1" headerRowDxfId="28" dataDxfId="27">
  <autoFilter ref="A3:F350"/>
  <tableColumns count="6">
    <tableColumn id="1" name="交易日期" totalsRowLabel="汇总" dataDxfId="26" totalsRowDxfId="25" dataCellStyle="常规 2"/>
    <tableColumn id="2" name="支出" totalsRowFunction="sum" dataDxfId="24" totalsRowDxfId="23"/>
    <tableColumn id="3" name="收入" totalsRowFunction="sum" dataDxfId="22" totalsRowDxfId="21"/>
    <tableColumn id="4" name="账户余额" dataDxfId="20" totalsRowDxfId="19">
      <calculatedColumnFormula>D3+C4-B4</calculatedColumnFormula>
    </tableColumn>
    <tableColumn id="5" name="摘要" dataDxfId="18" totalsRowDxfId="17" dataCellStyle="常规 2"/>
    <tableColumn id="6" name="收支分类" dataDxfId="16" totalsRowDxfId="15" dataCellStyle="常规 2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3:F220" totalsRowCount="1" headerRowDxfId="14" dataDxfId="13">
  <autoFilter ref="A3:F219"/>
  <tableColumns count="6">
    <tableColumn id="1" name="交易日期" totalsRowLabel="汇总" dataDxfId="12" totalsRowDxfId="11" dataCellStyle="常规 2"/>
    <tableColumn id="2" name="支出" totalsRowFunction="sum" dataDxfId="10" totalsRowDxfId="9"/>
    <tableColumn id="3" name="收入" totalsRowFunction="sum" dataDxfId="8" totalsRowDxfId="7"/>
    <tableColumn id="4" name="账户余额" dataDxfId="6" totalsRowDxfId="5">
      <calculatedColumnFormula>D3+C4-B4</calculatedColumnFormula>
    </tableColumn>
    <tableColumn id="5" name="摘要" dataDxfId="4" totalsRowDxfId="3"/>
    <tableColumn id="6" name="收支分类" dataDxfId="2" totalsRow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pane xSplit="1" ySplit="3" topLeftCell="D82" activePane="bottomRight" state="frozen"/>
      <selection pane="topRight" activeCell="B1" sqref="B1"/>
      <selection pane="bottomLeft" activeCell="A4" sqref="A4"/>
      <selection pane="bottomRight" activeCell="D92" sqref="D92"/>
    </sheetView>
  </sheetViews>
  <sheetFormatPr defaultColWidth="0" defaultRowHeight="13.5" zeroHeight="1" x14ac:dyDescent="0.15"/>
  <cols>
    <col min="1" max="1" width="12.125" customWidth="1"/>
    <col min="2" max="2" width="16.5" customWidth="1"/>
    <col min="3" max="3" width="17.875" customWidth="1"/>
    <col min="4" max="4" width="20.875" customWidth="1"/>
    <col min="5" max="5" width="26" customWidth="1"/>
    <col min="6" max="6" width="14.5" customWidth="1"/>
    <col min="7" max="16383" width="9" hidden="1"/>
    <col min="16384" max="16384" width="9" hidden="1" customWidth="1"/>
  </cols>
  <sheetData>
    <row r="1" spans="1:6" ht="24.75" x14ac:dyDescent="0.4">
      <c r="A1" s="47" t="s">
        <v>229</v>
      </c>
      <c r="B1" s="47"/>
      <c r="C1" s="47"/>
      <c r="D1" s="47"/>
      <c r="E1" s="47"/>
      <c r="F1" s="47"/>
    </row>
    <row r="2" spans="1:6" x14ac:dyDescent="0.15">
      <c r="A2" s="2"/>
      <c r="B2" s="2"/>
      <c r="C2" s="2"/>
      <c r="D2" s="2"/>
      <c r="E2" s="2"/>
      <c r="F2" s="2"/>
    </row>
    <row r="3" spans="1:6" x14ac:dyDescent="0.15">
      <c r="A3" s="19" t="s">
        <v>10</v>
      </c>
      <c r="B3" s="19" t="s">
        <v>122</v>
      </c>
      <c r="C3" s="19" t="s">
        <v>121</v>
      </c>
      <c r="D3" s="19" t="s">
        <v>11</v>
      </c>
      <c r="E3" s="19" t="s">
        <v>0</v>
      </c>
      <c r="F3" s="19" t="s">
        <v>230</v>
      </c>
    </row>
    <row r="4" spans="1:6" x14ac:dyDescent="0.15">
      <c r="A4" s="27"/>
      <c r="B4" s="30"/>
      <c r="C4" s="30"/>
      <c r="D4" s="31">
        <v>0</v>
      </c>
      <c r="E4" s="17" t="s">
        <v>231</v>
      </c>
      <c r="F4" s="17" t="s">
        <v>232</v>
      </c>
    </row>
    <row r="5" spans="1:6" x14ac:dyDescent="0.15">
      <c r="A5" s="28">
        <v>42481</v>
      </c>
      <c r="B5" s="32"/>
      <c r="C5" s="32">
        <v>2000000</v>
      </c>
      <c r="D5" s="32">
        <f>D4+C5-B5</f>
        <v>2000000</v>
      </c>
      <c r="E5" s="1" t="s">
        <v>13</v>
      </c>
      <c r="F5" s="1" t="s">
        <v>144</v>
      </c>
    </row>
    <row r="6" spans="1:6" x14ac:dyDescent="0.15">
      <c r="A6" s="28">
        <v>42482</v>
      </c>
      <c r="B6" s="32"/>
      <c r="C6" s="32">
        <v>1000000</v>
      </c>
      <c r="D6" s="32">
        <f t="shared" ref="D6:D69" si="0">D5+C6-B6</f>
        <v>3000000</v>
      </c>
      <c r="E6" s="1" t="s">
        <v>13</v>
      </c>
      <c r="F6" s="1" t="s">
        <v>144</v>
      </c>
    </row>
    <row r="7" spans="1:6" x14ac:dyDescent="0.15">
      <c r="A7" s="28">
        <v>42485</v>
      </c>
      <c r="B7" s="32">
        <v>80</v>
      </c>
      <c r="C7" s="32"/>
      <c r="D7" s="32">
        <f t="shared" si="0"/>
        <v>2999920</v>
      </c>
      <c r="E7" s="1" t="s">
        <v>233</v>
      </c>
      <c r="F7" s="1" t="s">
        <v>254</v>
      </c>
    </row>
    <row r="8" spans="1:6" x14ac:dyDescent="0.15">
      <c r="A8" s="28">
        <v>42486</v>
      </c>
      <c r="B8" s="32"/>
      <c r="C8" s="32">
        <v>800000</v>
      </c>
      <c r="D8" s="32">
        <f t="shared" si="0"/>
        <v>3799920</v>
      </c>
      <c r="E8" s="1" t="s">
        <v>14</v>
      </c>
      <c r="F8" s="1" t="s">
        <v>144</v>
      </c>
    </row>
    <row r="9" spans="1:6" x14ac:dyDescent="0.15">
      <c r="A9" s="28">
        <v>42496</v>
      </c>
      <c r="B9" s="32">
        <v>2000</v>
      </c>
      <c r="C9" s="32"/>
      <c r="D9" s="32">
        <f t="shared" si="0"/>
        <v>3797920</v>
      </c>
      <c r="E9" s="1" t="s">
        <v>15</v>
      </c>
      <c r="F9" s="1" t="s">
        <v>125</v>
      </c>
    </row>
    <row r="10" spans="1:6" x14ac:dyDescent="0.15">
      <c r="A10" s="28">
        <v>42523</v>
      </c>
      <c r="B10" s="32">
        <v>970</v>
      </c>
      <c r="C10" s="32"/>
      <c r="D10" s="32">
        <f t="shared" si="0"/>
        <v>3796950</v>
      </c>
      <c r="E10" s="1" t="s">
        <v>16</v>
      </c>
      <c r="F10" s="1" t="s">
        <v>254</v>
      </c>
    </row>
    <row r="11" spans="1:6" x14ac:dyDescent="0.15">
      <c r="A11" s="28">
        <v>42523</v>
      </c>
      <c r="B11" s="32">
        <v>42.3</v>
      </c>
      <c r="C11" s="32"/>
      <c r="D11" s="32">
        <f t="shared" si="0"/>
        <v>3796907.7</v>
      </c>
      <c r="E11" s="1" t="s">
        <v>17</v>
      </c>
      <c r="F11" s="1" t="s">
        <v>255</v>
      </c>
    </row>
    <row r="12" spans="1:6" x14ac:dyDescent="0.15">
      <c r="A12" s="28">
        <v>42523</v>
      </c>
      <c r="B12" s="32">
        <v>2000</v>
      </c>
      <c r="C12" s="32"/>
      <c r="D12" s="32">
        <f t="shared" si="0"/>
        <v>3794907.7</v>
      </c>
      <c r="E12" s="1" t="s">
        <v>15</v>
      </c>
      <c r="F12" s="1" t="s">
        <v>125</v>
      </c>
    </row>
    <row r="13" spans="1:6" x14ac:dyDescent="0.15">
      <c r="A13" s="28">
        <v>42541</v>
      </c>
      <c r="B13" s="32">
        <v>22850</v>
      </c>
      <c r="C13" s="32"/>
      <c r="D13" s="32">
        <f t="shared" si="0"/>
        <v>3772057.7</v>
      </c>
      <c r="E13" s="1" t="s">
        <v>18</v>
      </c>
      <c r="F13" s="1" t="s">
        <v>256</v>
      </c>
    </row>
    <row r="14" spans="1:6" x14ac:dyDescent="0.15">
      <c r="A14" s="28">
        <v>42542</v>
      </c>
      <c r="B14" s="32"/>
      <c r="C14" s="32">
        <v>1888.53</v>
      </c>
      <c r="D14" s="32">
        <f t="shared" si="0"/>
        <v>3773946.23</v>
      </c>
      <c r="E14" s="1" t="s">
        <v>234</v>
      </c>
      <c r="F14" s="1" t="s">
        <v>142</v>
      </c>
    </row>
    <row r="15" spans="1:6" x14ac:dyDescent="0.15">
      <c r="A15" s="28">
        <v>42557</v>
      </c>
      <c r="B15" s="32">
        <v>91.4</v>
      </c>
      <c r="C15" s="32"/>
      <c r="D15" s="32">
        <f t="shared" si="0"/>
        <v>3773854.83</v>
      </c>
      <c r="E15" s="1" t="s">
        <v>235</v>
      </c>
      <c r="F15" s="1" t="s">
        <v>148</v>
      </c>
    </row>
    <row r="16" spans="1:6" x14ac:dyDescent="0.15">
      <c r="A16" s="28">
        <v>42559</v>
      </c>
      <c r="B16" s="32">
        <v>2000</v>
      </c>
      <c r="C16" s="32"/>
      <c r="D16" s="32">
        <f t="shared" si="0"/>
        <v>3771854.83</v>
      </c>
      <c r="E16" s="1" t="s">
        <v>15</v>
      </c>
      <c r="F16" s="1" t="s">
        <v>125</v>
      </c>
    </row>
    <row r="17" spans="1:6" x14ac:dyDescent="0.15">
      <c r="A17" s="28">
        <v>42559</v>
      </c>
      <c r="B17" s="32">
        <v>1589</v>
      </c>
      <c r="C17" s="32"/>
      <c r="D17" s="32">
        <f t="shared" si="0"/>
        <v>3770265.83</v>
      </c>
      <c r="E17" s="1" t="s">
        <v>19</v>
      </c>
      <c r="F17" s="1" t="s">
        <v>254</v>
      </c>
    </row>
    <row r="18" spans="1:6" x14ac:dyDescent="0.15">
      <c r="A18" s="28">
        <v>42559</v>
      </c>
      <c r="B18" s="32">
        <v>50</v>
      </c>
      <c r="C18" s="32"/>
      <c r="D18" s="32">
        <f t="shared" si="0"/>
        <v>3770215.83</v>
      </c>
      <c r="E18" s="1" t="s">
        <v>17</v>
      </c>
      <c r="F18" s="1" t="s">
        <v>254</v>
      </c>
    </row>
    <row r="19" spans="1:6" x14ac:dyDescent="0.15">
      <c r="A19" s="28">
        <v>42587</v>
      </c>
      <c r="B19" s="32">
        <v>100000</v>
      </c>
      <c r="C19" s="32"/>
      <c r="D19" s="32">
        <f t="shared" si="0"/>
        <v>3670215.83</v>
      </c>
      <c r="E19" s="1" t="s">
        <v>20</v>
      </c>
      <c r="F19" s="1" t="s">
        <v>108</v>
      </c>
    </row>
    <row r="20" spans="1:6" x14ac:dyDescent="0.15">
      <c r="A20" s="28">
        <v>42588</v>
      </c>
      <c r="B20" s="32">
        <v>7</v>
      </c>
      <c r="C20" s="32"/>
      <c r="D20" s="32">
        <f t="shared" si="0"/>
        <v>3670208.83</v>
      </c>
      <c r="E20" s="1" t="s">
        <v>233</v>
      </c>
      <c r="F20" s="1" t="s">
        <v>254</v>
      </c>
    </row>
    <row r="21" spans="1:6" x14ac:dyDescent="0.15">
      <c r="A21" s="28">
        <v>42599</v>
      </c>
      <c r="B21" s="32">
        <v>16825</v>
      </c>
      <c r="C21" s="32"/>
      <c r="D21" s="32">
        <f t="shared" si="0"/>
        <v>3653383.83</v>
      </c>
      <c r="E21" s="1" t="s">
        <v>236</v>
      </c>
      <c r="F21" s="1" t="s">
        <v>129</v>
      </c>
    </row>
    <row r="22" spans="1:6" x14ac:dyDescent="0.15">
      <c r="A22" s="28">
        <v>42601</v>
      </c>
      <c r="B22" s="32">
        <v>2000</v>
      </c>
      <c r="C22" s="32"/>
      <c r="D22" s="32">
        <f t="shared" si="0"/>
        <v>3651383.83</v>
      </c>
      <c r="E22" s="1" t="s">
        <v>15</v>
      </c>
      <c r="F22" s="1" t="s">
        <v>125</v>
      </c>
    </row>
    <row r="23" spans="1:6" x14ac:dyDescent="0.15">
      <c r="A23" s="28">
        <v>42601</v>
      </c>
      <c r="B23" s="32">
        <v>59</v>
      </c>
      <c r="C23" s="32"/>
      <c r="D23" s="32">
        <f t="shared" si="0"/>
        <v>3651324.83</v>
      </c>
      <c r="E23" s="1" t="s">
        <v>22</v>
      </c>
      <c r="F23" s="1" t="s">
        <v>254</v>
      </c>
    </row>
    <row r="24" spans="1:6" x14ac:dyDescent="0.15">
      <c r="A24" s="28">
        <v>42601</v>
      </c>
      <c r="B24" s="32">
        <v>40</v>
      </c>
      <c r="C24" s="32"/>
      <c r="D24" s="32">
        <f t="shared" si="0"/>
        <v>3651284.83</v>
      </c>
      <c r="E24" s="1" t="s">
        <v>17</v>
      </c>
      <c r="F24" s="1" t="s">
        <v>254</v>
      </c>
    </row>
    <row r="25" spans="1:6" x14ac:dyDescent="0.15">
      <c r="A25" s="28">
        <v>42602</v>
      </c>
      <c r="B25" s="32">
        <v>46200</v>
      </c>
      <c r="C25" s="32"/>
      <c r="D25" s="32">
        <f t="shared" si="0"/>
        <v>3605084.83</v>
      </c>
      <c r="E25" s="1" t="s">
        <v>237</v>
      </c>
      <c r="F25" s="1" t="s">
        <v>129</v>
      </c>
    </row>
    <row r="26" spans="1:6" x14ac:dyDescent="0.15">
      <c r="A26" s="28">
        <v>42606</v>
      </c>
      <c r="B26" s="32">
        <v>5000</v>
      </c>
      <c r="C26" s="32"/>
      <c r="D26" s="32">
        <f t="shared" si="0"/>
        <v>3600084.83</v>
      </c>
      <c r="E26" s="1" t="s">
        <v>24</v>
      </c>
      <c r="F26" s="1" t="s">
        <v>129</v>
      </c>
    </row>
    <row r="27" spans="1:6" x14ac:dyDescent="0.15">
      <c r="A27" s="28">
        <v>42614</v>
      </c>
      <c r="B27" s="32"/>
      <c r="C27" s="32">
        <v>21815</v>
      </c>
      <c r="D27" s="32">
        <f t="shared" si="0"/>
        <v>3621899.83</v>
      </c>
      <c r="E27" s="1" t="s">
        <v>238</v>
      </c>
      <c r="F27" s="1" t="s">
        <v>138</v>
      </c>
    </row>
    <row r="28" spans="1:6" x14ac:dyDescent="0.15">
      <c r="A28" s="28">
        <v>42615</v>
      </c>
      <c r="B28" s="32"/>
      <c r="C28" s="32">
        <v>10</v>
      </c>
      <c r="D28" s="32">
        <f t="shared" si="0"/>
        <v>3621909.83</v>
      </c>
      <c r="E28" s="1" t="s">
        <v>239</v>
      </c>
      <c r="F28" s="1" t="s">
        <v>138</v>
      </c>
    </row>
    <row r="29" spans="1:6" x14ac:dyDescent="0.15">
      <c r="A29" s="28">
        <v>42622</v>
      </c>
      <c r="B29" s="32">
        <v>427050</v>
      </c>
      <c r="C29" s="32"/>
      <c r="D29" s="32">
        <f t="shared" si="0"/>
        <v>3194859.83</v>
      </c>
      <c r="E29" s="1" t="s">
        <v>25</v>
      </c>
      <c r="F29" s="1" t="s">
        <v>254</v>
      </c>
    </row>
    <row r="30" spans="1:6" x14ac:dyDescent="0.15">
      <c r="A30" s="28">
        <v>42623</v>
      </c>
      <c r="B30" s="32">
        <v>10.5</v>
      </c>
      <c r="C30" s="32"/>
      <c r="D30" s="32">
        <f t="shared" si="0"/>
        <v>3194849.33</v>
      </c>
      <c r="E30" s="1" t="s">
        <v>233</v>
      </c>
      <c r="F30" s="1" t="s">
        <v>254</v>
      </c>
    </row>
    <row r="31" spans="1:6" x14ac:dyDescent="0.15">
      <c r="A31" s="28">
        <v>42627</v>
      </c>
      <c r="B31" s="32"/>
      <c r="C31" s="32">
        <v>565571.52</v>
      </c>
      <c r="D31" s="32">
        <f t="shared" si="0"/>
        <v>3760420.85</v>
      </c>
      <c r="E31" s="1" t="s">
        <v>240</v>
      </c>
      <c r="F31" s="1" t="s">
        <v>138</v>
      </c>
    </row>
    <row r="32" spans="1:6" x14ac:dyDescent="0.15">
      <c r="A32" s="28">
        <v>42634</v>
      </c>
      <c r="B32" s="32"/>
      <c r="C32" s="32">
        <v>2826.81</v>
      </c>
      <c r="D32" s="32">
        <f t="shared" si="0"/>
        <v>3763247.66</v>
      </c>
      <c r="E32" s="1" t="s">
        <v>234</v>
      </c>
      <c r="F32" s="1" t="s">
        <v>142</v>
      </c>
    </row>
    <row r="33" spans="1:6" x14ac:dyDescent="0.15">
      <c r="A33" s="28">
        <v>42635</v>
      </c>
      <c r="B33" s="32">
        <v>2000</v>
      </c>
      <c r="C33" s="32"/>
      <c r="D33" s="32">
        <f t="shared" si="0"/>
        <v>3761247.66</v>
      </c>
      <c r="E33" s="1" t="s">
        <v>15</v>
      </c>
      <c r="F33" s="1" t="s">
        <v>125</v>
      </c>
    </row>
    <row r="34" spans="1:6" x14ac:dyDescent="0.15">
      <c r="A34" s="28">
        <v>42635</v>
      </c>
      <c r="B34" s="32">
        <v>307.8</v>
      </c>
      <c r="C34" s="32"/>
      <c r="D34" s="32">
        <f t="shared" si="0"/>
        <v>3760939.8600000003</v>
      </c>
      <c r="E34" s="1" t="s">
        <v>241</v>
      </c>
      <c r="F34" s="1" t="s">
        <v>254</v>
      </c>
    </row>
    <row r="35" spans="1:6" x14ac:dyDescent="0.15">
      <c r="A35" s="28">
        <v>42635</v>
      </c>
      <c r="B35" s="32">
        <v>109</v>
      </c>
      <c r="C35" s="32"/>
      <c r="D35" s="32">
        <f t="shared" si="0"/>
        <v>3760830.8600000003</v>
      </c>
      <c r="E35" s="1" t="s">
        <v>26</v>
      </c>
      <c r="F35" s="1" t="s">
        <v>254</v>
      </c>
    </row>
    <row r="36" spans="1:6" x14ac:dyDescent="0.15">
      <c r="A36" s="28">
        <v>42653</v>
      </c>
      <c r="B36" s="32"/>
      <c r="C36" s="32">
        <v>189055.39</v>
      </c>
      <c r="D36" s="32">
        <f t="shared" si="0"/>
        <v>3949886.2500000005</v>
      </c>
      <c r="E36" s="1" t="s">
        <v>240</v>
      </c>
      <c r="F36" s="1" t="s">
        <v>138</v>
      </c>
    </row>
    <row r="37" spans="1:6" x14ac:dyDescent="0.15">
      <c r="A37" s="28">
        <v>42653</v>
      </c>
      <c r="B37" s="32"/>
      <c r="C37" s="32">
        <v>0.2</v>
      </c>
      <c r="D37" s="32">
        <f t="shared" si="0"/>
        <v>3949886.4500000007</v>
      </c>
      <c r="E37" s="1"/>
      <c r="F37" s="1" t="s">
        <v>142</v>
      </c>
    </row>
    <row r="38" spans="1:6" x14ac:dyDescent="0.15">
      <c r="A38" s="28">
        <v>42655</v>
      </c>
      <c r="B38" s="32">
        <v>2706.5</v>
      </c>
      <c r="C38" s="32"/>
      <c r="D38" s="32">
        <f t="shared" si="0"/>
        <v>3947179.9500000007</v>
      </c>
      <c r="E38" s="1" t="s">
        <v>235</v>
      </c>
      <c r="F38" s="1" t="s">
        <v>136</v>
      </c>
    </row>
    <row r="39" spans="1:6" x14ac:dyDescent="0.15">
      <c r="A39" s="28">
        <v>42660</v>
      </c>
      <c r="B39" s="32">
        <v>20000</v>
      </c>
      <c r="C39" s="32"/>
      <c r="D39" s="32">
        <f t="shared" si="0"/>
        <v>3927179.9500000007</v>
      </c>
      <c r="E39" s="1" t="s">
        <v>27</v>
      </c>
      <c r="F39" s="1" t="s">
        <v>108</v>
      </c>
    </row>
    <row r="40" spans="1:6" x14ac:dyDescent="0.15">
      <c r="A40" s="28">
        <v>42667</v>
      </c>
      <c r="B40" s="32">
        <v>203.7</v>
      </c>
      <c r="C40" s="32"/>
      <c r="D40" s="32">
        <f t="shared" si="0"/>
        <v>3926976.2500000005</v>
      </c>
      <c r="E40" s="1" t="s">
        <v>242</v>
      </c>
      <c r="F40" s="1" t="s">
        <v>254</v>
      </c>
    </row>
    <row r="41" spans="1:6" x14ac:dyDescent="0.15">
      <c r="A41" s="28">
        <v>42667</v>
      </c>
      <c r="B41" s="32">
        <v>23</v>
      </c>
      <c r="C41" s="32"/>
      <c r="D41" s="32">
        <f t="shared" si="0"/>
        <v>3926953.2500000005</v>
      </c>
      <c r="E41" s="1" t="s">
        <v>17</v>
      </c>
      <c r="F41" s="1" t="s">
        <v>254</v>
      </c>
    </row>
    <row r="42" spans="1:6" x14ac:dyDescent="0.15">
      <c r="A42" s="28">
        <v>42667</v>
      </c>
      <c r="B42" s="32">
        <v>2400</v>
      </c>
      <c r="C42" s="32"/>
      <c r="D42" s="32">
        <f t="shared" si="0"/>
        <v>3924553.2500000005</v>
      </c>
      <c r="E42" s="1" t="s">
        <v>243</v>
      </c>
      <c r="F42" s="1" t="s">
        <v>4</v>
      </c>
    </row>
    <row r="43" spans="1:6" x14ac:dyDescent="0.15">
      <c r="A43" s="28">
        <v>42671</v>
      </c>
      <c r="B43" s="32">
        <v>4770</v>
      </c>
      <c r="C43" s="32"/>
      <c r="D43" s="32">
        <f t="shared" si="0"/>
        <v>3919783.2500000005</v>
      </c>
      <c r="E43" s="1" t="s">
        <v>28</v>
      </c>
      <c r="F43" s="1" t="s">
        <v>254</v>
      </c>
    </row>
    <row r="44" spans="1:6" x14ac:dyDescent="0.15">
      <c r="A44" s="28">
        <v>42676</v>
      </c>
      <c r="B44" s="32"/>
      <c r="C44" s="32">
        <v>800000</v>
      </c>
      <c r="D44" s="32">
        <f t="shared" si="0"/>
        <v>4719783.25</v>
      </c>
      <c r="E44" s="1" t="s">
        <v>244</v>
      </c>
      <c r="F44" s="1" t="s">
        <v>108</v>
      </c>
    </row>
    <row r="45" spans="1:6" x14ac:dyDescent="0.15">
      <c r="A45" s="28">
        <v>42677</v>
      </c>
      <c r="B45" s="32">
        <v>1722</v>
      </c>
      <c r="C45" s="32"/>
      <c r="D45" s="32">
        <f t="shared" si="0"/>
        <v>4718061.25</v>
      </c>
      <c r="E45" s="1" t="s">
        <v>29</v>
      </c>
      <c r="F45" s="1" t="s">
        <v>127</v>
      </c>
    </row>
    <row r="46" spans="1:6" x14ac:dyDescent="0.15">
      <c r="A46" s="28">
        <v>42678</v>
      </c>
      <c r="B46" s="32">
        <v>4147</v>
      </c>
      <c r="C46" s="32"/>
      <c r="D46" s="32">
        <f t="shared" si="0"/>
        <v>4713914.25</v>
      </c>
      <c r="E46" s="1" t="s">
        <v>30</v>
      </c>
      <c r="F46" s="1" t="s">
        <v>127</v>
      </c>
    </row>
    <row r="47" spans="1:6" x14ac:dyDescent="0.15">
      <c r="A47" s="28">
        <v>42681</v>
      </c>
      <c r="B47" s="32">
        <v>9683</v>
      </c>
      <c r="C47" s="32"/>
      <c r="D47" s="32">
        <f t="shared" si="0"/>
        <v>4704231.25</v>
      </c>
      <c r="E47" s="1" t="s">
        <v>15</v>
      </c>
      <c r="F47" s="1" t="s">
        <v>125</v>
      </c>
    </row>
    <row r="48" spans="1:6" x14ac:dyDescent="0.15">
      <c r="A48" s="28">
        <v>42681</v>
      </c>
      <c r="B48" s="32">
        <v>6786.5</v>
      </c>
      <c r="C48" s="32"/>
      <c r="D48" s="32">
        <f t="shared" si="0"/>
        <v>4697444.75</v>
      </c>
      <c r="E48" s="1" t="s">
        <v>15</v>
      </c>
      <c r="F48" s="1" t="s">
        <v>125</v>
      </c>
    </row>
    <row r="49" spans="1:6" x14ac:dyDescent="0.15">
      <c r="A49" s="28">
        <v>42682</v>
      </c>
      <c r="B49" s="32">
        <v>7082.13</v>
      </c>
      <c r="C49" s="32"/>
      <c r="D49" s="32">
        <f t="shared" si="0"/>
        <v>4690362.62</v>
      </c>
      <c r="E49" s="1" t="s">
        <v>235</v>
      </c>
      <c r="F49" s="1" t="s">
        <v>136</v>
      </c>
    </row>
    <row r="50" spans="1:6" x14ac:dyDescent="0.15">
      <c r="A50" s="28">
        <v>42684</v>
      </c>
      <c r="B50" s="32">
        <v>9961.4</v>
      </c>
      <c r="C50" s="32"/>
      <c r="D50" s="32">
        <f t="shared" si="0"/>
        <v>4680401.22</v>
      </c>
      <c r="E50" s="1" t="s">
        <v>15</v>
      </c>
      <c r="F50" s="1" t="s">
        <v>125</v>
      </c>
    </row>
    <row r="51" spans="1:6" x14ac:dyDescent="0.15">
      <c r="A51" s="28">
        <v>42702</v>
      </c>
      <c r="B51" s="32"/>
      <c r="C51" s="32">
        <v>20000</v>
      </c>
      <c r="D51" s="32">
        <f t="shared" si="0"/>
        <v>4700401.22</v>
      </c>
      <c r="E51" s="1" t="s">
        <v>31</v>
      </c>
      <c r="F51" s="1" t="s">
        <v>108</v>
      </c>
    </row>
    <row r="52" spans="1:6" x14ac:dyDescent="0.15">
      <c r="A52" s="28">
        <v>42703</v>
      </c>
      <c r="B52" s="32">
        <v>497290.29</v>
      </c>
      <c r="C52" s="32"/>
      <c r="D52" s="32">
        <f t="shared" si="0"/>
        <v>4203110.93</v>
      </c>
      <c r="E52" s="1" t="s">
        <v>245</v>
      </c>
      <c r="F52" s="1" t="s">
        <v>129</v>
      </c>
    </row>
    <row r="53" spans="1:6" x14ac:dyDescent="0.15">
      <c r="A53" s="28">
        <v>42703</v>
      </c>
      <c r="B53" s="32">
        <v>6400</v>
      </c>
      <c r="C53" s="32"/>
      <c r="D53" s="32">
        <f t="shared" si="0"/>
        <v>4196710.93</v>
      </c>
      <c r="E53" s="1" t="s">
        <v>32</v>
      </c>
      <c r="F53" s="1" t="s">
        <v>254</v>
      </c>
    </row>
    <row r="54" spans="1:6" x14ac:dyDescent="0.15">
      <c r="A54" s="28">
        <v>42703</v>
      </c>
      <c r="B54" s="32">
        <v>7700</v>
      </c>
      <c r="C54" s="32"/>
      <c r="D54" s="32">
        <f t="shared" si="0"/>
        <v>4189010.9299999997</v>
      </c>
      <c r="E54" s="1" t="s">
        <v>33</v>
      </c>
      <c r="F54" s="1" t="s">
        <v>254</v>
      </c>
    </row>
    <row r="55" spans="1:6" x14ac:dyDescent="0.15">
      <c r="A55" s="28">
        <v>42704</v>
      </c>
      <c r="B55" s="32">
        <v>17.5</v>
      </c>
      <c r="C55" s="32"/>
      <c r="D55" s="32">
        <f t="shared" si="0"/>
        <v>4188993.4299999997</v>
      </c>
      <c r="E55" s="1" t="s">
        <v>233</v>
      </c>
      <c r="F55" s="1" t="s">
        <v>254</v>
      </c>
    </row>
    <row r="56" spans="1:6" x14ac:dyDescent="0.15">
      <c r="A56" s="28">
        <v>42704</v>
      </c>
      <c r="B56" s="32">
        <v>68803.23</v>
      </c>
      <c r="C56" s="32"/>
      <c r="D56" s="32">
        <f t="shared" si="0"/>
        <v>4120190.1999999997</v>
      </c>
      <c r="E56" s="1" t="s">
        <v>245</v>
      </c>
      <c r="F56" s="1" t="s">
        <v>129</v>
      </c>
    </row>
    <row r="57" spans="1:6" x14ac:dyDescent="0.15">
      <c r="A57" s="28">
        <v>42705</v>
      </c>
      <c r="B57" s="32">
        <v>7</v>
      </c>
      <c r="C57" s="32"/>
      <c r="D57" s="32">
        <f t="shared" si="0"/>
        <v>4120183.1999999997</v>
      </c>
      <c r="E57" s="1" t="s">
        <v>233</v>
      </c>
      <c r="F57" s="1" t="s">
        <v>254</v>
      </c>
    </row>
    <row r="58" spans="1:6" x14ac:dyDescent="0.15">
      <c r="A58" s="28">
        <v>42710</v>
      </c>
      <c r="B58" s="32">
        <v>7073.24</v>
      </c>
      <c r="C58" s="32"/>
      <c r="D58" s="32">
        <f t="shared" si="0"/>
        <v>4113109.9599999995</v>
      </c>
      <c r="E58" s="1" t="s">
        <v>15</v>
      </c>
      <c r="F58" s="1" t="s">
        <v>125</v>
      </c>
    </row>
    <row r="59" spans="1:6" x14ac:dyDescent="0.15">
      <c r="A59" s="28">
        <v>42710</v>
      </c>
      <c r="B59" s="32">
        <v>9335</v>
      </c>
      <c r="C59" s="32"/>
      <c r="D59" s="32">
        <f t="shared" si="0"/>
        <v>4103774.9599999995</v>
      </c>
      <c r="E59" s="1" t="s">
        <v>15</v>
      </c>
      <c r="F59" s="1" t="s">
        <v>125</v>
      </c>
    </row>
    <row r="60" spans="1:6" x14ac:dyDescent="0.15">
      <c r="A60" s="28">
        <v>42710</v>
      </c>
      <c r="B60" s="32">
        <v>4536.93</v>
      </c>
      <c r="C60" s="32"/>
      <c r="D60" s="32">
        <f t="shared" si="0"/>
        <v>4099238.0299999993</v>
      </c>
      <c r="E60" s="1" t="s">
        <v>15</v>
      </c>
      <c r="F60" s="1" t="s">
        <v>125</v>
      </c>
    </row>
    <row r="61" spans="1:6" x14ac:dyDescent="0.15">
      <c r="A61" s="28">
        <v>42710</v>
      </c>
      <c r="B61" s="32">
        <v>11926.54</v>
      </c>
      <c r="C61" s="32"/>
      <c r="D61" s="32">
        <f t="shared" si="0"/>
        <v>4087311.4899999993</v>
      </c>
      <c r="E61" s="1" t="s">
        <v>15</v>
      </c>
      <c r="F61" s="1" t="s">
        <v>125</v>
      </c>
    </row>
    <row r="62" spans="1:6" x14ac:dyDescent="0.15">
      <c r="A62" s="28">
        <v>42710</v>
      </c>
      <c r="B62" s="32">
        <v>6246.95</v>
      </c>
      <c r="C62" s="32"/>
      <c r="D62" s="32">
        <f t="shared" si="0"/>
        <v>4081064.5399999991</v>
      </c>
      <c r="E62" s="1" t="s">
        <v>15</v>
      </c>
      <c r="F62" s="1" t="s">
        <v>125</v>
      </c>
    </row>
    <row r="63" spans="1:6" x14ac:dyDescent="0.15">
      <c r="A63" s="28">
        <v>42710</v>
      </c>
      <c r="B63" s="32">
        <v>4263.1400000000003</v>
      </c>
      <c r="C63" s="32"/>
      <c r="D63" s="32">
        <f t="shared" si="0"/>
        <v>4076801.399999999</v>
      </c>
      <c r="E63" s="1" t="s">
        <v>15</v>
      </c>
      <c r="F63" s="1" t="s">
        <v>125</v>
      </c>
    </row>
    <row r="64" spans="1:6" x14ac:dyDescent="0.15">
      <c r="A64" s="28">
        <v>42710</v>
      </c>
      <c r="B64" s="32">
        <v>4829.71</v>
      </c>
      <c r="C64" s="32"/>
      <c r="D64" s="32">
        <f t="shared" si="0"/>
        <v>4071971.689999999</v>
      </c>
      <c r="E64" s="1" t="s">
        <v>15</v>
      </c>
      <c r="F64" s="1" t="s">
        <v>125</v>
      </c>
    </row>
    <row r="65" spans="1:6" x14ac:dyDescent="0.15">
      <c r="A65" s="28">
        <v>42710</v>
      </c>
      <c r="B65" s="32">
        <v>3483</v>
      </c>
      <c r="C65" s="32"/>
      <c r="D65" s="32">
        <f t="shared" si="0"/>
        <v>4068488.689999999</v>
      </c>
      <c r="E65" s="1" t="s">
        <v>29</v>
      </c>
      <c r="F65" s="1" t="s">
        <v>127</v>
      </c>
    </row>
    <row r="66" spans="1:6" x14ac:dyDescent="0.15">
      <c r="A66" s="28">
        <v>42711</v>
      </c>
      <c r="B66" s="32">
        <v>8381</v>
      </c>
      <c r="C66" s="32"/>
      <c r="D66" s="32">
        <f t="shared" si="0"/>
        <v>4060107.689999999</v>
      </c>
      <c r="E66" s="1" t="s">
        <v>30</v>
      </c>
      <c r="F66" s="1" t="s">
        <v>127</v>
      </c>
    </row>
    <row r="67" spans="1:6" x14ac:dyDescent="0.15">
      <c r="A67" s="28">
        <v>42712</v>
      </c>
      <c r="B67" s="32">
        <v>14138.7</v>
      </c>
      <c r="C67" s="32"/>
      <c r="D67" s="32">
        <f t="shared" si="0"/>
        <v>4045968.9899999988</v>
      </c>
      <c r="E67" s="1" t="s">
        <v>34</v>
      </c>
      <c r="F67" s="1" t="s">
        <v>254</v>
      </c>
    </row>
    <row r="68" spans="1:6" x14ac:dyDescent="0.15">
      <c r="A68" s="28">
        <v>42712</v>
      </c>
      <c r="B68" s="32">
        <v>7528.5</v>
      </c>
      <c r="C68" s="32"/>
      <c r="D68" s="32">
        <f t="shared" si="0"/>
        <v>4038440.4899999988</v>
      </c>
      <c r="E68" s="1" t="s">
        <v>35</v>
      </c>
      <c r="F68" s="1" t="s">
        <v>254</v>
      </c>
    </row>
    <row r="69" spans="1:6" x14ac:dyDescent="0.15">
      <c r="A69" s="28">
        <v>42712</v>
      </c>
      <c r="B69" s="32">
        <v>20264</v>
      </c>
      <c r="C69" s="32"/>
      <c r="D69" s="32">
        <f t="shared" si="0"/>
        <v>4018176.4899999988</v>
      </c>
      <c r="E69" s="1" t="s">
        <v>36</v>
      </c>
      <c r="F69" s="1" t="s">
        <v>125</v>
      </c>
    </row>
    <row r="70" spans="1:6" x14ac:dyDescent="0.15">
      <c r="A70" s="28">
        <v>42712</v>
      </c>
      <c r="B70" s="32">
        <v>16037.75</v>
      </c>
      <c r="C70" s="32"/>
      <c r="D70" s="32">
        <f t="shared" ref="D70:D92" si="1">D69+C70-B70</f>
        <v>4002138.7399999988</v>
      </c>
      <c r="E70" s="1" t="s">
        <v>36</v>
      </c>
      <c r="F70" s="1" t="s">
        <v>125</v>
      </c>
    </row>
    <row r="71" spans="1:6" x14ac:dyDescent="0.15">
      <c r="A71" s="28">
        <v>42713</v>
      </c>
      <c r="B71" s="32">
        <v>24712</v>
      </c>
      <c r="C71" s="32"/>
      <c r="D71" s="32">
        <f t="shared" si="1"/>
        <v>3977426.7399999988</v>
      </c>
      <c r="E71" s="1" t="s">
        <v>34</v>
      </c>
      <c r="F71" s="1" t="s">
        <v>254</v>
      </c>
    </row>
    <row r="72" spans="1:6" x14ac:dyDescent="0.15">
      <c r="A72" s="28">
        <v>42713</v>
      </c>
      <c r="B72" s="32">
        <v>25</v>
      </c>
      <c r="C72" s="32"/>
      <c r="D72" s="32">
        <f t="shared" si="1"/>
        <v>3977401.7399999988</v>
      </c>
      <c r="E72" s="1" t="s">
        <v>235</v>
      </c>
      <c r="F72" s="1" t="s">
        <v>148</v>
      </c>
    </row>
    <row r="73" spans="1:6" x14ac:dyDescent="0.15">
      <c r="A73" s="28">
        <v>42713</v>
      </c>
      <c r="B73" s="32">
        <v>6494.03</v>
      </c>
      <c r="C73" s="32"/>
      <c r="D73" s="32">
        <f t="shared" si="1"/>
        <v>3970907.709999999</v>
      </c>
      <c r="E73" s="1" t="s">
        <v>235</v>
      </c>
      <c r="F73" s="1" t="s">
        <v>136</v>
      </c>
    </row>
    <row r="74" spans="1:6" x14ac:dyDescent="0.15">
      <c r="A74" s="28">
        <v>42723</v>
      </c>
      <c r="B74" s="32"/>
      <c r="C74" s="32">
        <v>766</v>
      </c>
      <c r="D74" s="32">
        <f t="shared" si="1"/>
        <v>3971673.709999999</v>
      </c>
      <c r="E74" s="1" t="s">
        <v>246</v>
      </c>
      <c r="F74" s="1" t="s">
        <v>108</v>
      </c>
    </row>
    <row r="75" spans="1:6" x14ac:dyDescent="0.15">
      <c r="A75" s="28">
        <v>42725</v>
      </c>
      <c r="B75" s="32"/>
      <c r="C75" s="32">
        <v>3095.67</v>
      </c>
      <c r="D75" s="32">
        <f t="shared" si="1"/>
        <v>3974769.379999999</v>
      </c>
      <c r="E75" s="1" t="s">
        <v>234</v>
      </c>
      <c r="F75" s="1" t="s">
        <v>142</v>
      </c>
    </row>
    <row r="76" spans="1:6" x14ac:dyDescent="0.15">
      <c r="A76" s="28">
        <v>42726</v>
      </c>
      <c r="B76" s="32">
        <v>7200</v>
      </c>
      <c r="C76" s="32"/>
      <c r="D76" s="32">
        <f t="shared" si="1"/>
        <v>3967569.379999999</v>
      </c>
      <c r="E76" s="1" t="s">
        <v>37</v>
      </c>
      <c r="F76" s="1" t="s">
        <v>254</v>
      </c>
    </row>
    <row r="77" spans="1:6" x14ac:dyDescent="0.15">
      <c r="A77" s="28">
        <v>42726</v>
      </c>
      <c r="B77" s="32">
        <v>14520</v>
      </c>
      <c r="C77" s="32"/>
      <c r="D77" s="32">
        <f t="shared" si="1"/>
        <v>3953049.379999999</v>
      </c>
      <c r="E77" s="1" t="s">
        <v>37</v>
      </c>
      <c r="F77" s="1" t="s">
        <v>254</v>
      </c>
    </row>
    <row r="78" spans="1:6" x14ac:dyDescent="0.15">
      <c r="A78" s="28">
        <v>42726</v>
      </c>
      <c r="B78" s="32">
        <v>1905</v>
      </c>
      <c r="C78" s="32"/>
      <c r="D78" s="32">
        <f t="shared" si="1"/>
        <v>3951144.379999999</v>
      </c>
      <c r="E78" s="1" t="s">
        <v>38</v>
      </c>
      <c r="F78" s="1" t="s">
        <v>254</v>
      </c>
    </row>
    <row r="79" spans="1:6" x14ac:dyDescent="0.15">
      <c r="A79" s="28">
        <v>42726</v>
      </c>
      <c r="B79" s="32">
        <v>1283</v>
      </c>
      <c r="C79" s="32"/>
      <c r="D79" s="32">
        <f t="shared" si="1"/>
        <v>3949861.379999999</v>
      </c>
      <c r="E79" s="1" t="s">
        <v>38</v>
      </c>
      <c r="F79" s="1" t="s">
        <v>254</v>
      </c>
    </row>
    <row r="80" spans="1:6" x14ac:dyDescent="0.15">
      <c r="A80" s="28">
        <v>42732</v>
      </c>
      <c r="B80" s="32"/>
      <c r="C80" s="32">
        <v>479277.21</v>
      </c>
      <c r="D80" s="32">
        <f t="shared" si="1"/>
        <v>4429138.5899999989</v>
      </c>
      <c r="E80" s="1" t="s">
        <v>240</v>
      </c>
      <c r="F80" s="1" t="s">
        <v>138</v>
      </c>
    </row>
    <row r="81" spans="1:6" x14ac:dyDescent="0.15">
      <c r="A81" s="28">
        <v>42733</v>
      </c>
      <c r="B81" s="32"/>
      <c r="C81" s="32">
        <v>231125</v>
      </c>
      <c r="D81" s="32">
        <f t="shared" si="1"/>
        <v>4660263.5899999989</v>
      </c>
      <c r="E81" s="1" t="s">
        <v>240</v>
      </c>
      <c r="F81" s="1" t="s">
        <v>138</v>
      </c>
    </row>
    <row r="82" spans="1:6" x14ac:dyDescent="0.15">
      <c r="A82" s="28">
        <v>42734</v>
      </c>
      <c r="B82" s="32">
        <v>7500</v>
      </c>
      <c r="C82" s="32"/>
      <c r="D82" s="32">
        <f t="shared" si="1"/>
        <v>4652763.5899999989</v>
      </c>
      <c r="E82" s="1" t="s">
        <v>39</v>
      </c>
      <c r="F82" s="1" t="s">
        <v>254</v>
      </c>
    </row>
    <row r="83" spans="1:6" x14ac:dyDescent="0.15">
      <c r="A83" s="28">
        <v>42668</v>
      </c>
      <c r="B83" s="32">
        <v>300</v>
      </c>
      <c r="C83" s="32"/>
      <c r="D83" s="32">
        <f t="shared" si="1"/>
        <v>4652463.5899999989</v>
      </c>
      <c r="E83" s="1" t="s">
        <v>1</v>
      </c>
      <c r="F83" s="1" t="s">
        <v>254</v>
      </c>
    </row>
    <row r="84" spans="1:6" x14ac:dyDescent="0.15">
      <c r="A84" s="28">
        <v>42668</v>
      </c>
      <c r="B84" s="32">
        <v>900</v>
      </c>
      <c r="C84" s="32"/>
      <c r="D84" s="32">
        <f t="shared" si="1"/>
        <v>4651563.5899999989</v>
      </c>
      <c r="E84" s="1" t="s">
        <v>2</v>
      </c>
      <c r="F84" s="1" t="s">
        <v>254</v>
      </c>
    </row>
    <row r="85" spans="1:6" x14ac:dyDescent="0.15">
      <c r="A85" s="28">
        <v>42674</v>
      </c>
      <c r="B85" s="32"/>
      <c r="C85" s="32">
        <v>50000</v>
      </c>
      <c r="D85" s="32">
        <f t="shared" si="1"/>
        <v>4701563.5899999989</v>
      </c>
      <c r="E85" s="1" t="s">
        <v>8</v>
      </c>
      <c r="F85" s="1" t="s">
        <v>108</v>
      </c>
    </row>
    <row r="86" spans="1:6" x14ac:dyDescent="0.15">
      <c r="A86" s="28">
        <v>42674</v>
      </c>
      <c r="B86" s="32"/>
      <c r="C86" s="32">
        <v>21.7</v>
      </c>
      <c r="D86" s="32">
        <f t="shared" si="1"/>
        <v>4701585.2899999991</v>
      </c>
      <c r="E86" s="1" t="s">
        <v>9</v>
      </c>
      <c r="F86" s="1" t="s">
        <v>142</v>
      </c>
    </row>
    <row r="87" spans="1:6" x14ac:dyDescent="0.15">
      <c r="A87" s="28">
        <v>42689</v>
      </c>
      <c r="B87" s="32">
        <v>2400</v>
      </c>
      <c r="C87" s="32"/>
      <c r="D87" s="32">
        <f t="shared" si="1"/>
        <v>4699185.2899999991</v>
      </c>
      <c r="E87" s="1" t="s">
        <v>3</v>
      </c>
      <c r="F87" s="1" t="s">
        <v>4</v>
      </c>
    </row>
    <row r="88" spans="1:6" x14ac:dyDescent="0.15">
      <c r="A88" s="28">
        <v>42708</v>
      </c>
      <c r="B88" s="32">
        <v>50</v>
      </c>
      <c r="C88" s="32"/>
      <c r="D88" s="32">
        <f t="shared" si="1"/>
        <v>4699135.2899999991</v>
      </c>
      <c r="E88" s="1" t="s">
        <v>5</v>
      </c>
      <c r="F88" s="1" t="s">
        <v>254</v>
      </c>
    </row>
    <row r="89" spans="1:6" x14ac:dyDescent="0.15">
      <c r="A89" s="28">
        <v>42719</v>
      </c>
      <c r="B89" s="32">
        <v>8592</v>
      </c>
      <c r="C89" s="32"/>
      <c r="D89" s="32">
        <f t="shared" si="1"/>
        <v>4690543.2899999991</v>
      </c>
      <c r="E89" s="1" t="s">
        <v>3</v>
      </c>
      <c r="F89" s="1" t="s">
        <v>4</v>
      </c>
    </row>
    <row r="90" spans="1:6" x14ac:dyDescent="0.15">
      <c r="A90" s="28">
        <v>42725</v>
      </c>
      <c r="B90" s="32"/>
      <c r="C90" s="32">
        <v>43.28</v>
      </c>
      <c r="D90" s="32">
        <f t="shared" si="1"/>
        <v>4690586.5699999994</v>
      </c>
      <c r="E90" s="1" t="s">
        <v>6</v>
      </c>
      <c r="F90" s="1" t="s">
        <v>142</v>
      </c>
    </row>
    <row r="91" spans="1:6" x14ac:dyDescent="0.15">
      <c r="A91" s="28">
        <v>42731</v>
      </c>
      <c r="B91" s="32">
        <v>50</v>
      </c>
      <c r="C91" s="32"/>
      <c r="D91" s="32">
        <f t="shared" si="1"/>
        <v>4690536.5699999994</v>
      </c>
      <c r="E91" s="1" t="s">
        <v>7</v>
      </c>
      <c r="F91" s="1" t="s">
        <v>254</v>
      </c>
    </row>
    <row r="92" spans="1:6" x14ac:dyDescent="0.15">
      <c r="A92" s="28">
        <v>42735</v>
      </c>
      <c r="B92" s="33">
        <v>20</v>
      </c>
      <c r="C92" s="33"/>
      <c r="D92" s="32">
        <f t="shared" si="1"/>
        <v>4690516.5699999994</v>
      </c>
      <c r="E92" s="1" t="s">
        <v>233</v>
      </c>
      <c r="F92" s="29" t="s">
        <v>254</v>
      </c>
    </row>
    <row r="93" spans="1:6" x14ac:dyDescent="0.15">
      <c r="A93" s="1" t="s">
        <v>257</v>
      </c>
      <c r="B93" s="34">
        <f>SUBTOTAL(109,表1[支出])</f>
        <v>1474979.7399999998</v>
      </c>
      <c r="C93" s="34">
        <f>SUBTOTAL(109,表1[收入])</f>
        <v>6165496.3099999996</v>
      </c>
      <c r="D93" s="34"/>
      <c r="E93" s="1"/>
      <c r="F93" s="1"/>
    </row>
    <row r="94" spans="1:6" hidden="1" x14ac:dyDescent="0.15"/>
  </sheetData>
  <mergeCells count="1">
    <mergeCell ref="A1:F1"/>
  </mergeCells>
  <phoneticPr fontId="1" type="noConversion"/>
  <dataValidations count="1">
    <dataValidation type="list" allowBlank="1" showInputMessage="1" showErrorMessage="1" sqref="F5:F92">
      <formula1>收支分类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workbookViewId="0">
      <pane xSplit="1" ySplit="3" topLeftCell="C333" activePane="bottomRight" state="frozen"/>
      <selection pane="topRight" activeCell="B1" sqref="B1"/>
      <selection pane="bottomLeft" activeCell="A4" sqref="A4"/>
      <selection pane="bottomRight" activeCell="D350" sqref="D350"/>
    </sheetView>
  </sheetViews>
  <sheetFormatPr defaultColWidth="0" defaultRowHeight="12.75" zeroHeight="1" x14ac:dyDescent="0.2"/>
  <cols>
    <col min="1" max="1" width="14.375" style="13" customWidth="1"/>
    <col min="2" max="2" width="13.25" style="13" customWidth="1"/>
    <col min="3" max="3" width="13.375" style="13" customWidth="1"/>
    <col min="4" max="4" width="16.875" style="13" customWidth="1"/>
    <col min="5" max="5" width="23" style="13" bestFit="1" customWidth="1"/>
    <col min="6" max="6" width="12.5" style="13" customWidth="1"/>
    <col min="7" max="16384" width="9" style="13" hidden="1"/>
  </cols>
  <sheetData>
    <row r="1" spans="1:6" s="9" customFormat="1" ht="33.75" customHeight="1" x14ac:dyDescent="0.4">
      <c r="A1" s="47" t="s">
        <v>225</v>
      </c>
      <c r="B1" s="47"/>
      <c r="C1" s="47"/>
      <c r="D1" s="47"/>
      <c r="E1" s="47"/>
      <c r="F1" s="47"/>
    </row>
    <row r="2" spans="1:6" s="9" customFormat="1" ht="2.25" customHeight="1" x14ac:dyDescent="0.15"/>
    <row r="3" spans="1:6" s="10" customFormat="1" ht="16.5" customHeight="1" x14ac:dyDescent="0.15">
      <c r="A3" s="20" t="s">
        <v>10</v>
      </c>
      <c r="B3" s="20" t="s">
        <v>122</v>
      </c>
      <c r="C3" s="20" t="s">
        <v>121</v>
      </c>
      <c r="D3" s="20" t="s">
        <v>11</v>
      </c>
      <c r="E3" s="20" t="s">
        <v>0</v>
      </c>
      <c r="F3" s="20" t="s">
        <v>158</v>
      </c>
    </row>
    <row r="4" spans="1:6" s="11" customFormat="1" ht="15" customHeight="1" x14ac:dyDescent="0.15">
      <c r="A4" s="35">
        <v>42735</v>
      </c>
      <c r="B4" s="36"/>
      <c r="C4" s="36"/>
      <c r="D4" s="36">
        <v>4690516.5699999994</v>
      </c>
      <c r="E4" s="16" t="s">
        <v>199</v>
      </c>
      <c r="F4" s="16" t="s">
        <v>200</v>
      </c>
    </row>
    <row r="5" spans="1:6" s="12" customFormat="1" ht="15" customHeight="1" x14ac:dyDescent="0.15">
      <c r="A5" s="35">
        <v>42741</v>
      </c>
      <c r="B5" s="36">
        <v>9217.0400000000009</v>
      </c>
      <c r="C5" s="36"/>
      <c r="D5" s="36">
        <f>D4+C5-B5</f>
        <v>4681299.5299999993</v>
      </c>
      <c r="E5" s="16" t="s">
        <v>30</v>
      </c>
      <c r="F5" s="16" t="s">
        <v>127</v>
      </c>
    </row>
    <row r="6" spans="1:6" s="12" customFormat="1" ht="15" customHeight="1" x14ac:dyDescent="0.15">
      <c r="A6" s="35">
        <v>42741</v>
      </c>
      <c r="B6" s="36">
        <v>3996.24</v>
      </c>
      <c r="C6" s="36"/>
      <c r="D6" s="36">
        <f t="shared" ref="D6:D69" si="0">D5+C6-B6</f>
        <v>4677303.2899999991</v>
      </c>
      <c r="E6" s="16" t="s">
        <v>29</v>
      </c>
      <c r="F6" s="16" t="s">
        <v>127</v>
      </c>
    </row>
    <row r="7" spans="1:6" s="12" customFormat="1" ht="15" customHeight="1" x14ac:dyDescent="0.15">
      <c r="A7" s="35">
        <v>42744</v>
      </c>
      <c r="B7" s="36"/>
      <c r="C7" s="36">
        <v>0.02</v>
      </c>
      <c r="D7" s="36">
        <f t="shared" si="0"/>
        <v>4677303.3099999987</v>
      </c>
      <c r="E7" s="16" t="s">
        <v>224</v>
      </c>
      <c r="F7" s="16" t="s">
        <v>142</v>
      </c>
    </row>
    <row r="8" spans="1:6" s="12" customFormat="1" ht="15" customHeight="1" x14ac:dyDescent="0.15">
      <c r="A8" s="35">
        <v>42744</v>
      </c>
      <c r="B8" s="36"/>
      <c r="C8" s="36">
        <v>1349.28</v>
      </c>
      <c r="D8" s="36">
        <f t="shared" si="0"/>
        <v>4678652.5899999989</v>
      </c>
      <c r="E8" s="16" t="s">
        <v>48</v>
      </c>
      <c r="F8" s="16" t="s">
        <v>142</v>
      </c>
    </row>
    <row r="9" spans="1:6" s="12" customFormat="1" ht="15" customHeight="1" x14ac:dyDescent="0.15">
      <c r="A9" s="35">
        <v>42744</v>
      </c>
      <c r="B9" s="36">
        <v>16037.75</v>
      </c>
      <c r="C9" s="36"/>
      <c r="D9" s="36">
        <f t="shared" si="0"/>
        <v>4662614.8399999989</v>
      </c>
      <c r="E9" s="16" t="s">
        <v>15</v>
      </c>
      <c r="F9" s="16" t="s">
        <v>248</v>
      </c>
    </row>
    <row r="10" spans="1:6" s="12" customFormat="1" ht="15" customHeight="1" x14ac:dyDescent="0.15">
      <c r="A10" s="35">
        <v>42744</v>
      </c>
      <c r="B10" s="36">
        <v>6608.84</v>
      </c>
      <c r="C10" s="36"/>
      <c r="D10" s="36">
        <f t="shared" si="0"/>
        <v>4656005.9999999991</v>
      </c>
      <c r="E10" s="16" t="s">
        <v>15</v>
      </c>
      <c r="F10" s="16" t="s">
        <v>248</v>
      </c>
    </row>
    <row r="11" spans="1:6" s="12" customFormat="1" ht="15" customHeight="1" x14ac:dyDescent="0.15">
      <c r="A11" s="35">
        <v>42744</v>
      </c>
      <c r="B11" s="36">
        <v>9335</v>
      </c>
      <c r="C11" s="36"/>
      <c r="D11" s="36">
        <f t="shared" si="0"/>
        <v>4646670.9999999991</v>
      </c>
      <c r="E11" s="16" t="s">
        <v>15</v>
      </c>
      <c r="F11" s="16" t="s">
        <v>125</v>
      </c>
    </row>
    <row r="12" spans="1:6" s="12" customFormat="1" ht="15" customHeight="1" x14ac:dyDescent="0.15">
      <c r="A12" s="35">
        <v>42744</v>
      </c>
      <c r="B12" s="36">
        <v>4536.93</v>
      </c>
      <c r="C12" s="36"/>
      <c r="D12" s="36">
        <f t="shared" si="0"/>
        <v>4642134.0699999994</v>
      </c>
      <c r="E12" s="16" t="s">
        <v>15</v>
      </c>
      <c r="F12" s="16" t="s">
        <v>125</v>
      </c>
    </row>
    <row r="13" spans="1:6" s="12" customFormat="1" ht="15" customHeight="1" x14ac:dyDescent="0.15">
      <c r="A13" s="35">
        <v>42744</v>
      </c>
      <c r="B13" s="36">
        <v>13578.06</v>
      </c>
      <c r="C13" s="36"/>
      <c r="D13" s="36">
        <f t="shared" si="0"/>
        <v>4628556.01</v>
      </c>
      <c r="E13" s="16" t="s">
        <v>15</v>
      </c>
      <c r="F13" s="16" t="s">
        <v>125</v>
      </c>
    </row>
    <row r="14" spans="1:6" s="12" customFormat="1" ht="15" customHeight="1" x14ac:dyDescent="0.15">
      <c r="A14" s="35">
        <v>42744</v>
      </c>
      <c r="B14" s="36">
        <v>14167.83</v>
      </c>
      <c r="C14" s="36"/>
      <c r="D14" s="36">
        <f t="shared" si="0"/>
        <v>4614388.18</v>
      </c>
      <c r="E14" s="16" t="s">
        <v>203</v>
      </c>
      <c r="F14" s="16" t="s">
        <v>125</v>
      </c>
    </row>
    <row r="15" spans="1:6" s="12" customFormat="1" ht="15" customHeight="1" x14ac:dyDescent="0.15">
      <c r="A15" s="35">
        <v>42744</v>
      </c>
      <c r="B15" s="36">
        <v>4829.71</v>
      </c>
      <c r="C15" s="36"/>
      <c r="D15" s="36">
        <f t="shared" si="0"/>
        <v>4609558.47</v>
      </c>
      <c r="E15" s="16" t="s">
        <v>203</v>
      </c>
      <c r="F15" s="16" t="s">
        <v>125</v>
      </c>
    </row>
    <row r="16" spans="1:6" s="12" customFormat="1" ht="15" customHeight="1" x14ac:dyDescent="0.15">
      <c r="A16" s="35">
        <v>42745</v>
      </c>
      <c r="B16" s="36">
        <v>9020.33</v>
      </c>
      <c r="C16" s="36"/>
      <c r="D16" s="36">
        <f t="shared" si="0"/>
        <v>4600538.1399999997</v>
      </c>
      <c r="E16" s="16" t="s">
        <v>49</v>
      </c>
      <c r="F16" s="16" t="s">
        <v>136</v>
      </c>
    </row>
    <row r="17" spans="1:6" s="12" customFormat="1" ht="15" customHeight="1" x14ac:dyDescent="0.15">
      <c r="A17" s="35">
        <v>42747</v>
      </c>
      <c r="B17" s="36">
        <v>8100</v>
      </c>
      <c r="C17" s="36"/>
      <c r="D17" s="36">
        <f t="shared" si="0"/>
        <v>4592438.1399999997</v>
      </c>
      <c r="E17" s="16" t="s">
        <v>40</v>
      </c>
      <c r="F17" s="16" t="s">
        <v>129</v>
      </c>
    </row>
    <row r="18" spans="1:6" s="12" customFormat="1" ht="15" customHeight="1" x14ac:dyDescent="0.15">
      <c r="A18" s="35">
        <v>42747</v>
      </c>
      <c r="B18" s="36">
        <v>3304.8</v>
      </c>
      <c r="C18" s="36"/>
      <c r="D18" s="36">
        <f t="shared" si="0"/>
        <v>4589133.34</v>
      </c>
      <c r="E18" s="16" t="s">
        <v>172</v>
      </c>
      <c r="F18" s="16" t="s">
        <v>134</v>
      </c>
    </row>
    <row r="19" spans="1:6" s="12" customFormat="1" ht="15" customHeight="1" x14ac:dyDescent="0.15">
      <c r="A19" s="35">
        <v>42748</v>
      </c>
      <c r="B19" s="36">
        <v>16076</v>
      </c>
      <c r="C19" s="36"/>
      <c r="D19" s="36">
        <f t="shared" si="0"/>
        <v>4573057.34</v>
      </c>
      <c r="E19" s="16" t="s">
        <v>34</v>
      </c>
      <c r="F19" s="16" t="s">
        <v>134</v>
      </c>
    </row>
    <row r="20" spans="1:6" s="12" customFormat="1" ht="15" customHeight="1" x14ac:dyDescent="0.15">
      <c r="A20" s="35">
        <v>42755</v>
      </c>
      <c r="B20" s="36">
        <v>188</v>
      </c>
      <c r="C20" s="36"/>
      <c r="D20" s="36">
        <f t="shared" si="0"/>
        <v>4572869.34</v>
      </c>
      <c r="E20" s="16" t="s">
        <v>201</v>
      </c>
      <c r="F20" s="16" t="s">
        <v>134</v>
      </c>
    </row>
    <row r="21" spans="1:6" s="12" customFormat="1" ht="15" customHeight="1" x14ac:dyDescent="0.15">
      <c r="A21" s="35">
        <v>42755</v>
      </c>
      <c r="B21" s="36">
        <v>1367</v>
      </c>
      <c r="C21" s="36"/>
      <c r="D21" s="36">
        <f t="shared" si="0"/>
        <v>4571502.34</v>
      </c>
      <c r="E21" s="16" t="s">
        <v>201</v>
      </c>
      <c r="F21" s="16" t="s">
        <v>134</v>
      </c>
    </row>
    <row r="22" spans="1:6" s="12" customFormat="1" ht="15" customHeight="1" x14ac:dyDescent="0.15">
      <c r="A22" s="35">
        <v>42755</v>
      </c>
      <c r="B22" s="36">
        <v>8527.6</v>
      </c>
      <c r="C22" s="36"/>
      <c r="D22" s="36">
        <f t="shared" si="0"/>
        <v>4562974.74</v>
      </c>
      <c r="E22" s="16" t="s">
        <v>38</v>
      </c>
      <c r="F22" s="16" t="s">
        <v>134</v>
      </c>
    </row>
    <row r="23" spans="1:6" s="12" customFormat="1" ht="15" customHeight="1" x14ac:dyDescent="0.15">
      <c r="A23" s="35">
        <v>42755</v>
      </c>
      <c r="B23" s="36">
        <v>3213</v>
      </c>
      <c r="C23" s="36"/>
      <c r="D23" s="36">
        <f t="shared" si="0"/>
        <v>4559761.74</v>
      </c>
      <c r="E23" s="16" t="s">
        <v>38</v>
      </c>
      <c r="F23" s="16" t="s">
        <v>134</v>
      </c>
    </row>
    <row r="24" spans="1:6" s="12" customFormat="1" ht="15" customHeight="1" x14ac:dyDescent="0.15">
      <c r="A24" s="35">
        <v>42772</v>
      </c>
      <c r="B24" s="36">
        <v>3483</v>
      </c>
      <c r="C24" s="36"/>
      <c r="D24" s="36">
        <f t="shared" si="0"/>
        <v>4556278.74</v>
      </c>
      <c r="E24" s="16" t="s">
        <v>29</v>
      </c>
      <c r="F24" s="16" t="s">
        <v>127</v>
      </c>
    </row>
    <row r="25" spans="1:6" s="12" customFormat="1" ht="15" customHeight="1" x14ac:dyDescent="0.15">
      <c r="A25" s="35">
        <v>42773</v>
      </c>
      <c r="B25" s="36">
        <v>8381</v>
      </c>
      <c r="C25" s="36"/>
      <c r="D25" s="36">
        <f t="shared" si="0"/>
        <v>4547897.74</v>
      </c>
      <c r="E25" s="16" t="s">
        <v>207</v>
      </c>
      <c r="F25" s="16" t="s">
        <v>127</v>
      </c>
    </row>
    <row r="26" spans="1:6" s="12" customFormat="1" ht="15" customHeight="1" x14ac:dyDescent="0.15">
      <c r="A26" s="35">
        <v>42773</v>
      </c>
      <c r="B26" s="36">
        <v>29747.75</v>
      </c>
      <c r="C26" s="36"/>
      <c r="D26" s="36">
        <f t="shared" si="0"/>
        <v>4518149.99</v>
      </c>
      <c r="E26" s="16" t="s">
        <v>41</v>
      </c>
      <c r="F26" s="16" t="s">
        <v>125</v>
      </c>
    </row>
    <row r="27" spans="1:6" s="12" customFormat="1" ht="15" customHeight="1" x14ac:dyDescent="0.15">
      <c r="A27" s="35">
        <v>42773</v>
      </c>
      <c r="B27" s="36">
        <v>11694.9</v>
      </c>
      <c r="C27" s="36"/>
      <c r="D27" s="36">
        <f t="shared" si="0"/>
        <v>4506455.09</v>
      </c>
      <c r="E27" s="16" t="s">
        <v>208</v>
      </c>
      <c r="F27" s="16" t="s">
        <v>125</v>
      </c>
    </row>
    <row r="28" spans="1:6" s="12" customFormat="1" ht="15" customHeight="1" x14ac:dyDescent="0.15">
      <c r="A28" s="35">
        <v>42773</v>
      </c>
      <c r="B28" s="36">
        <v>14692</v>
      </c>
      <c r="C28" s="36"/>
      <c r="D28" s="36">
        <f t="shared" si="0"/>
        <v>4491763.09</v>
      </c>
      <c r="E28" s="16" t="s">
        <v>208</v>
      </c>
      <c r="F28" s="16" t="s">
        <v>125</v>
      </c>
    </row>
    <row r="29" spans="1:6" s="12" customFormat="1" ht="15" customHeight="1" x14ac:dyDescent="0.15">
      <c r="A29" s="35">
        <v>42773</v>
      </c>
      <c r="B29" s="36">
        <v>6234.43</v>
      </c>
      <c r="C29" s="36"/>
      <c r="D29" s="36">
        <f t="shared" si="0"/>
        <v>4485528.66</v>
      </c>
      <c r="E29" s="16" t="s">
        <v>41</v>
      </c>
      <c r="F29" s="16" t="s">
        <v>125</v>
      </c>
    </row>
    <row r="30" spans="1:6" s="12" customFormat="1" ht="15" customHeight="1" x14ac:dyDescent="0.15">
      <c r="A30" s="35">
        <v>42773</v>
      </c>
      <c r="B30" s="36">
        <v>22330.43</v>
      </c>
      <c r="C30" s="36"/>
      <c r="D30" s="36">
        <f t="shared" si="0"/>
        <v>4463198.2300000004</v>
      </c>
      <c r="E30" s="16" t="s">
        <v>208</v>
      </c>
      <c r="F30" s="16" t="s">
        <v>125</v>
      </c>
    </row>
    <row r="31" spans="1:6" s="12" customFormat="1" ht="15" customHeight="1" x14ac:dyDescent="0.15">
      <c r="A31" s="35">
        <v>42773</v>
      </c>
      <c r="B31" s="36">
        <v>24072.41</v>
      </c>
      <c r="C31" s="36"/>
      <c r="D31" s="36">
        <f t="shared" si="0"/>
        <v>4439125.82</v>
      </c>
      <c r="E31" s="16" t="s">
        <v>208</v>
      </c>
      <c r="F31" s="16" t="s">
        <v>125</v>
      </c>
    </row>
    <row r="32" spans="1:6" s="12" customFormat="1" ht="15" customHeight="1" x14ac:dyDescent="0.15">
      <c r="A32" s="35">
        <v>42773</v>
      </c>
      <c r="B32" s="36">
        <v>4685.46</v>
      </c>
      <c r="C32" s="36"/>
      <c r="D32" s="36">
        <f t="shared" si="0"/>
        <v>4434440.3600000003</v>
      </c>
      <c r="E32" s="16" t="s">
        <v>208</v>
      </c>
      <c r="F32" s="16" t="s">
        <v>125</v>
      </c>
    </row>
    <row r="33" spans="1:6" s="12" customFormat="1" ht="15" customHeight="1" x14ac:dyDescent="0.15">
      <c r="A33" s="35">
        <v>42773</v>
      </c>
      <c r="B33" s="36">
        <v>60</v>
      </c>
      <c r="C33" s="36"/>
      <c r="D33" s="36">
        <f t="shared" si="0"/>
        <v>4434380.3600000003</v>
      </c>
      <c r="E33" s="16" t="s">
        <v>42</v>
      </c>
      <c r="F33" s="16" t="s">
        <v>125</v>
      </c>
    </row>
    <row r="34" spans="1:6" s="12" customFormat="1" ht="15" customHeight="1" x14ac:dyDescent="0.15">
      <c r="A34" s="35">
        <v>42773</v>
      </c>
      <c r="B34" s="36">
        <v>5059.3500000000004</v>
      </c>
      <c r="C34" s="36"/>
      <c r="D34" s="36">
        <f t="shared" si="0"/>
        <v>4429321.0100000007</v>
      </c>
      <c r="E34" s="16" t="s">
        <v>209</v>
      </c>
      <c r="F34" s="16" t="s">
        <v>136</v>
      </c>
    </row>
    <row r="35" spans="1:6" s="12" customFormat="1" ht="15" customHeight="1" x14ac:dyDescent="0.15">
      <c r="A35" s="35">
        <v>42780</v>
      </c>
      <c r="B35" s="36">
        <v>1500</v>
      </c>
      <c r="C35" s="36"/>
      <c r="D35" s="36">
        <f t="shared" si="0"/>
        <v>4427821.0100000007</v>
      </c>
      <c r="E35" s="16" t="s">
        <v>173</v>
      </c>
      <c r="F35" s="16" t="s">
        <v>129</v>
      </c>
    </row>
    <row r="36" spans="1:6" s="12" customFormat="1" ht="15" customHeight="1" x14ac:dyDescent="0.15">
      <c r="A36" s="35">
        <v>42790</v>
      </c>
      <c r="B36" s="36">
        <v>221365.5</v>
      </c>
      <c r="C36" s="36"/>
      <c r="D36" s="36">
        <f t="shared" si="0"/>
        <v>4206455.5100000007</v>
      </c>
      <c r="E36" s="16" t="s">
        <v>210</v>
      </c>
      <c r="F36" s="16" t="s">
        <v>129</v>
      </c>
    </row>
    <row r="37" spans="1:6" s="12" customFormat="1" ht="15" customHeight="1" x14ac:dyDescent="0.15">
      <c r="A37" s="35">
        <v>42790</v>
      </c>
      <c r="B37" s="36">
        <v>13500</v>
      </c>
      <c r="C37" s="36"/>
      <c r="D37" s="36">
        <f t="shared" si="0"/>
        <v>4192955.5100000007</v>
      </c>
      <c r="E37" s="16" t="s">
        <v>43</v>
      </c>
      <c r="F37" s="16" t="s">
        <v>129</v>
      </c>
    </row>
    <row r="38" spans="1:6" s="12" customFormat="1" ht="15" customHeight="1" x14ac:dyDescent="0.15">
      <c r="A38" s="35">
        <v>42791</v>
      </c>
      <c r="B38" s="36">
        <v>10.5</v>
      </c>
      <c r="C38" s="36"/>
      <c r="D38" s="36">
        <f t="shared" si="0"/>
        <v>4192945.0100000007</v>
      </c>
      <c r="E38" s="16" t="s">
        <v>211</v>
      </c>
      <c r="F38" s="16" t="s">
        <v>134</v>
      </c>
    </row>
    <row r="39" spans="1:6" s="12" customFormat="1" ht="15" customHeight="1" x14ac:dyDescent="0.15">
      <c r="A39" s="35">
        <v>42796</v>
      </c>
      <c r="B39" s="36">
        <v>1291.4000000000001</v>
      </c>
      <c r="C39" s="36"/>
      <c r="D39" s="36">
        <f t="shared" si="0"/>
        <v>4191653.6100000008</v>
      </c>
      <c r="E39" s="16" t="s">
        <v>38</v>
      </c>
      <c r="F39" s="16" t="s">
        <v>134</v>
      </c>
    </row>
    <row r="40" spans="1:6" s="12" customFormat="1" ht="15" customHeight="1" x14ac:dyDescent="0.15">
      <c r="A40" s="35">
        <v>42796</v>
      </c>
      <c r="B40" s="36">
        <v>1852</v>
      </c>
      <c r="C40" s="36"/>
      <c r="D40" s="36">
        <f t="shared" si="0"/>
        <v>4189801.6100000008</v>
      </c>
      <c r="E40" s="16" t="s">
        <v>212</v>
      </c>
      <c r="F40" s="16" t="s">
        <v>134</v>
      </c>
    </row>
    <row r="41" spans="1:6" s="12" customFormat="1" ht="15" customHeight="1" x14ac:dyDescent="0.15">
      <c r="A41" s="35">
        <v>42796</v>
      </c>
      <c r="B41" s="36">
        <v>9142.0499999999993</v>
      </c>
      <c r="C41" s="36"/>
      <c r="D41" s="36">
        <f t="shared" si="0"/>
        <v>4180659.560000001</v>
      </c>
      <c r="E41" s="16" t="s">
        <v>38</v>
      </c>
      <c r="F41" s="16" t="s">
        <v>134</v>
      </c>
    </row>
    <row r="42" spans="1:6" s="12" customFormat="1" ht="15" customHeight="1" x14ac:dyDescent="0.15">
      <c r="A42" s="35">
        <v>42796</v>
      </c>
      <c r="B42" s="36">
        <v>3260</v>
      </c>
      <c r="C42" s="36"/>
      <c r="D42" s="36">
        <f t="shared" si="0"/>
        <v>4177399.560000001</v>
      </c>
      <c r="E42" s="16" t="s">
        <v>213</v>
      </c>
      <c r="F42" s="16" t="s">
        <v>134</v>
      </c>
    </row>
    <row r="43" spans="1:6" s="12" customFormat="1" ht="15" customHeight="1" x14ac:dyDescent="0.15">
      <c r="A43" s="35">
        <v>42800</v>
      </c>
      <c r="B43" s="36">
        <v>2100</v>
      </c>
      <c r="C43" s="36"/>
      <c r="D43" s="36">
        <f t="shared" si="0"/>
        <v>4175299.560000001</v>
      </c>
      <c r="E43" s="16" t="s">
        <v>44</v>
      </c>
      <c r="F43" s="16" t="s">
        <v>134</v>
      </c>
    </row>
    <row r="44" spans="1:6" s="12" customFormat="1" ht="15" customHeight="1" x14ac:dyDescent="0.15">
      <c r="A44" s="35">
        <v>42801</v>
      </c>
      <c r="B44" s="36">
        <v>16037.75</v>
      </c>
      <c r="C44" s="36"/>
      <c r="D44" s="36">
        <f t="shared" si="0"/>
        <v>4159261.810000001</v>
      </c>
      <c r="E44" s="16" t="s">
        <v>214</v>
      </c>
      <c r="F44" s="16" t="s">
        <v>125</v>
      </c>
    </row>
    <row r="45" spans="1:6" s="12" customFormat="1" ht="15" customHeight="1" x14ac:dyDescent="0.15">
      <c r="A45" s="35">
        <v>42801</v>
      </c>
      <c r="B45" s="36">
        <v>6608.84</v>
      </c>
      <c r="C45" s="36"/>
      <c r="D45" s="36">
        <f t="shared" si="0"/>
        <v>4152652.9700000011</v>
      </c>
      <c r="E45" s="16" t="s">
        <v>15</v>
      </c>
      <c r="F45" s="16" t="s">
        <v>125</v>
      </c>
    </row>
    <row r="46" spans="1:6" s="12" customFormat="1" ht="15" customHeight="1" x14ac:dyDescent="0.15">
      <c r="A46" s="35">
        <v>42801</v>
      </c>
      <c r="B46" s="36">
        <v>9335</v>
      </c>
      <c r="C46" s="36"/>
      <c r="D46" s="36">
        <f t="shared" si="0"/>
        <v>4143317.9700000011</v>
      </c>
      <c r="E46" s="16" t="s">
        <v>15</v>
      </c>
      <c r="F46" s="16" t="s">
        <v>125</v>
      </c>
    </row>
    <row r="47" spans="1:6" s="12" customFormat="1" ht="15" customHeight="1" x14ac:dyDescent="0.15">
      <c r="A47" s="35">
        <v>42801</v>
      </c>
      <c r="B47" s="36">
        <v>4536.93</v>
      </c>
      <c r="C47" s="36"/>
      <c r="D47" s="36">
        <f t="shared" si="0"/>
        <v>4138781.040000001</v>
      </c>
      <c r="E47" s="16" t="s">
        <v>15</v>
      </c>
      <c r="F47" s="16" t="s">
        <v>125</v>
      </c>
    </row>
    <row r="48" spans="1:6" s="12" customFormat="1" ht="15" customHeight="1" x14ac:dyDescent="0.15">
      <c r="A48" s="35">
        <v>42801</v>
      </c>
      <c r="B48" s="36">
        <v>14169.2</v>
      </c>
      <c r="C48" s="36"/>
      <c r="D48" s="36">
        <f t="shared" si="0"/>
        <v>4124611.8400000008</v>
      </c>
      <c r="E48" s="16" t="s">
        <v>15</v>
      </c>
      <c r="F48" s="16" t="s">
        <v>125</v>
      </c>
    </row>
    <row r="49" spans="1:6" s="12" customFormat="1" ht="15" customHeight="1" x14ac:dyDescent="0.15">
      <c r="A49" s="35">
        <v>42801</v>
      </c>
      <c r="B49" s="36">
        <v>18305.759999999998</v>
      </c>
      <c r="C49" s="36"/>
      <c r="D49" s="36">
        <f t="shared" si="0"/>
        <v>4106306.080000001</v>
      </c>
      <c r="E49" s="16" t="s">
        <v>214</v>
      </c>
      <c r="F49" s="16" t="s">
        <v>125</v>
      </c>
    </row>
    <row r="50" spans="1:6" s="12" customFormat="1" ht="15" customHeight="1" x14ac:dyDescent="0.15">
      <c r="A50" s="35">
        <v>42801</v>
      </c>
      <c r="B50" s="36">
        <v>2499.86</v>
      </c>
      <c r="C50" s="36"/>
      <c r="D50" s="36">
        <f t="shared" si="0"/>
        <v>4103806.2200000011</v>
      </c>
      <c r="E50" s="16" t="s">
        <v>15</v>
      </c>
      <c r="F50" s="16" t="s">
        <v>125</v>
      </c>
    </row>
    <row r="51" spans="1:6" s="12" customFormat="1" ht="15" customHeight="1" x14ac:dyDescent="0.15">
      <c r="A51" s="35">
        <v>42803</v>
      </c>
      <c r="B51" s="36">
        <v>20000</v>
      </c>
      <c r="C51" s="36"/>
      <c r="D51" s="36">
        <f t="shared" si="0"/>
        <v>4083806.2200000011</v>
      </c>
      <c r="E51" s="16" t="s">
        <v>45</v>
      </c>
      <c r="F51" s="16" t="s">
        <v>108</v>
      </c>
    </row>
    <row r="52" spans="1:6" s="12" customFormat="1" ht="15" customHeight="1" x14ac:dyDescent="0.15">
      <c r="A52" s="35">
        <v>42807</v>
      </c>
      <c r="B52" s="36">
        <v>10101.709999999999</v>
      </c>
      <c r="C52" s="36"/>
      <c r="D52" s="36">
        <f t="shared" si="0"/>
        <v>4073704.5100000012</v>
      </c>
      <c r="E52" s="16" t="s">
        <v>209</v>
      </c>
      <c r="F52" s="16" t="s">
        <v>136</v>
      </c>
    </row>
    <row r="53" spans="1:6" s="12" customFormat="1" ht="15" customHeight="1" x14ac:dyDescent="0.15">
      <c r="A53" s="35">
        <v>42809</v>
      </c>
      <c r="B53" s="36"/>
      <c r="C53" s="36">
        <v>225125</v>
      </c>
      <c r="D53" s="36">
        <f t="shared" si="0"/>
        <v>4298829.5100000016</v>
      </c>
      <c r="E53" s="16" t="s">
        <v>174</v>
      </c>
      <c r="F53" s="16" t="s">
        <v>138</v>
      </c>
    </row>
    <row r="54" spans="1:6" s="12" customFormat="1" ht="15" customHeight="1" x14ac:dyDescent="0.15">
      <c r="A54" s="35">
        <v>42810</v>
      </c>
      <c r="B54" s="36"/>
      <c r="C54" s="36">
        <v>554865.62</v>
      </c>
      <c r="D54" s="36">
        <f t="shared" si="0"/>
        <v>4853695.1300000018</v>
      </c>
      <c r="E54" s="16" t="s">
        <v>175</v>
      </c>
      <c r="F54" s="16" t="s">
        <v>138</v>
      </c>
    </row>
    <row r="55" spans="1:6" s="12" customFormat="1" ht="15" customHeight="1" x14ac:dyDescent="0.15">
      <c r="A55" s="35">
        <v>42811</v>
      </c>
      <c r="B55" s="36">
        <v>698778.3</v>
      </c>
      <c r="C55" s="36"/>
      <c r="D55" s="36">
        <f t="shared" si="0"/>
        <v>4154916.8300000019</v>
      </c>
      <c r="E55" s="16" t="s">
        <v>215</v>
      </c>
      <c r="F55" s="16" t="s">
        <v>129</v>
      </c>
    </row>
    <row r="56" spans="1:6" s="12" customFormat="1" ht="15" customHeight="1" x14ac:dyDescent="0.15">
      <c r="A56" s="35">
        <v>42811</v>
      </c>
      <c r="B56" s="36">
        <v>825052.75</v>
      </c>
      <c r="C56" s="36"/>
      <c r="D56" s="36">
        <f t="shared" si="0"/>
        <v>3329864.0800000019</v>
      </c>
      <c r="E56" s="16" t="s">
        <v>215</v>
      </c>
      <c r="F56" s="16" t="s">
        <v>129</v>
      </c>
    </row>
    <row r="57" spans="1:6" s="12" customFormat="1" ht="15" customHeight="1" x14ac:dyDescent="0.15">
      <c r="A57" s="35">
        <v>42812</v>
      </c>
      <c r="B57" s="36">
        <v>28</v>
      </c>
      <c r="C57" s="36"/>
      <c r="D57" s="36">
        <f t="shared" si="0"/>
        <v>3329836.0800000019</v>
      </c>
      <c r="E57" s="16" t="s">
        <v>211</v>
      </c>
      <c r="F57" s="16" t="s">
        <v>134</v>
      </c>
    </row>
    <row r="58" spans="1:6" s="12" customFormat="1" ht="15" customHeight="1" x14ac:dyDescent="0.15">
      <c r="A58" s="35">
        <v>42815</v>
      </c>
      <c r="B58" s="36"/>
      <c r="C58" s="36">
        <v>3141.52</v>
      </c>
      <c r="D58" s="36">
        <f t="shared" si="0"/>
        <v>3332977.600000002</v>
      </c>
      <c r="E58" s="16" t="s">
        <v>50</v>
      </c>
      <c r="F58" s="16" t="s">
        <v>142</v>
      </c>
    </row>
    <row r="59" spans="1:6" s="12" customFormat="1" ht="15" customHeight="1" x14ac:dyDescent="0.15">
      <c r="A59" s="35">
        <v>42815</v>
      </c>
      <c r="B59" s="36">
        <v>8600</v>
      </c>
      <c r="C59" s="36"/>
      <c r="D59" s="36">
        <f t="shared" si="0"/>
        <v>3324377.600000002</v>
      </c>
      <c r="E59" s="16" t="s">
        <v>28</v>
      </c>
      <c r="F59" s="16" t="s">
        <v>134</v>
      </c>
    </row>
    <row r="60" spans="1:6" s="12" customFormat="1" ht="15" customHeight="1" x14ac:dyDescent="0.15">
      <c r="A60" s="35">
        <v>42818</v>
      </c>
      <c r="B60" s="36">
        <v>9432.6200000000008</v>
      </c>
      <c r="C60" s="36"/>
      <c r="D60" s="36">
        <f t="shared" si="0"/>
        <v>3314944.9800000018</v>
      </c>
      <c r="E60" s="16" t="s">
        <v>176</v>
      </c>
      <c r="F60" s="16" t="s">
        <v>134</v>
      </c>
    </row>
    <row r="61" spans="1:6" s="12" customFormat="1" ht="15" customHeight="1" x14ac:dyDescent="0.15">
      <c r="A61" s="35">
        <v>42821</v>
      </c>
      <c r="B61" s="36"/>
      <c r="C61" s="36">
        <v>37730.480000000003</v>
      </c>
      <c r="D61" s="36">
        <f t="shared" si="0"/>
        <v>3352675.4600000018</v>
      </c>
      <c r="E61" s="16" t="s">
        <v>174</v>
      </c>
      <c r="F61" s="16" t="s">
        <v>138</v>
      </c>
    </row>
    <row r="62" spans="1:6" s="12" customFormat="1" ht="15" customHeight="1" x14ac:dyDescent="0.15">
      <c r="A62" s="35">
        <v>42826</v>
      </c>
      <c r="B62" s="36">
        <v>5532</v>
      </c>
      <c r="C62" s="36"/>
      <c r="D62" s="36">
        <f t="shared" si="0"/>
        <v>3347143.4600000018</v>
      </c>
      <c r="E62" s="16" t="s">
        <v>38</v>
      </c>
      <c r="F62" s="16" t="s">
        <v>134</v>
      </c>
    </row>
    <row r="63" spans="1:6" s="12" customFormat="1" ht="15" customHeight="1" x14ac:dyDescent="0.15">
      <c r="A63" s="35">
        <v>42831</v>
      </c>
      <c r="B63" s="36">
        <v>16037.75</v>
      </c>
      <c r="C63" s="36"/>
      <c r="D63" s="36">
        <f t="shared" si="0"/>
        <v>3331105.7100000018</v>
      </c>
      <c r="E63" s="16" t="s">
        <v>15</v>
      </c>
      <c r="F63" s="16" t="s">
        <v>125</v>
      </c>
    </row>
    <row r="64" spans="1:6" ht="15" customHeight="1" x14ac:dyDescent="0.2">
      <c r="A64" s="35">
        <v>42831</v>
      </c>
      <c r="B64" s="36">
        <v>6608.84</v>
      </c>
      <c r="C64" s="36"/>
      <c r="D64" s="36">
        <f t="shared" si="0"/>
        <v>3324496.870000002</v>
      </c>
      <c r="E64" s="16" t="s">
        <v>15</v>
      </c>
      <c r="F64" s="16" t="s">
        <v>125</v>
      </c>
    </row>
    <row r="65" spans="1:6" ht="15" customHeight="1" x14ac:dyDescent="0.2">
      <c r="A65" s="35">
        <v>42831</v>
      </c>
      <c r="B65" s="36">
        <v>9335</v>
      </c>
      <c r="C65" s="36"/>
      <c r="D65" s="36">
        <f t="shared" si="0"/>
        <v>3315161.870000002</v>
      </c>
      <c r="E65" s="16" t="s">
        <v>15</v>
      </c>
      <c r="F65" s="16" t="s">
        <v>125</v>
      </c>
    </row>
    <row r="66" spans="1:6" ht="15" customHeight="1" x14ac:dyDescent="0.2">
      <c r="A66" s="35">
        <v>42831</v>
      </c>
      <c r="B66" s="36">
        <v>4439.93</v>
      </c>
      <c r="C66" s="36"/>
      <c r="D66" s="36">
        <f t="shared" si="0"/>
        <v>3310721.9400000018</v>
      </c>
      <c r="E66" s="16" t="s">
        <v>15</v>
      </c>
      <c r="F66" s="16" t="s">
        <v>125</v>
      </c>
    </row>
    <row r="67" spans="1:6" ht="15" customHeight="1" x14ac:dyDescent="0.2">
      <c r="A67" s="35">
        <v>42831</v>
      </c>
      <c r="B67" s="36">
        <v>14169.2</v>
      </c>
      <c r="C67" s="36"/>
      <c r="D67" s="36">
        <f t="shared" si="0"/>
        <v>3296552.7400000016</v>
      </c>
      <c r="E67" s="16" t="s">
        <v>15</v>
      </c>
      <c r="F67" s="16" t="s">
        <v>125</v>
      </c>
    </row>
    <row r="68" spans="1:6" ht="15" customHeight="1" x14ac:dyDescent="0.2">
      <c r="A68" s="35">
        <v>42831</v>
      </c>
      <c r="B68" s="36">
        <v>19986.8</v>
      </c>
      <c r="C68" s="36"/>
      <c r="D68" s="36">
        <f t="shared" si="0"/>
        <v>3276565.9400000018</v>
      </c>
      <c r="E68" s="16" t="s">
        <v>15</v>
      </c>
      <c r="F68" s="16" t="s">
        <v>125</v>
      </c>
    </row>
    <row r="69" spans="1:6" ht="15" customHeight="1" x14ac:dyDescent="0.2">
      <c r="A69" s="35">
        <v>42831</v>
      </c>
      <c r="B69" s="36">
        <v>5322.54</v>
      </c>
      <c r="C69" s="36"/>
      <c r="D69" s="36">
        <f t="shared" si="0"/>
        <v>3271243.4000000018</v>
      </c>
      <c r="E69" s="16" t="s">
        <v>15</v>
      </c>
      <c r="F69" s="16" t="s">
        <v>125</v>
      </c>
    </row>
    <row r="70" spans="1:6" ht="15" customHeight="1" x14ac:dyDescent="0.2">
      <c r="A70" s="35">
        <v>42831</v>
      </c>
      <c r="B70" s="36">
        <v>3660.36</v>
      </c>
      <c r="C70" s="36"/>
      <c r="D70" s="36">
        <f t="shared" ref="D70:D133" si="1">D69+C70-B70</f>
        <v>3267583.0400000019</v>
      </c>
      <c r="E70" s="16" t="s">
        <v>15</v>
      </c>
      <c r="F70" s="16" t="s">
        <v>125</v>
      </c>
    </row>
    <row r="71" spans="1:6" ht="15" customHeight="1" x14ac:dyDescent="0.2">
      <c r="A71" s="35">
        <v>42831</v>
      </c>
      <c r="B71" s="36">
        <v>2137.38</v>
      </c>
      <c r="C71" s="36"/>
      <c r="D71" s="36">
        <f t="shared" si="1"/>
        <v>3265445.660000002</v>
      </c>
      <c r="E71" s="16" t="s">
        <v>15</v>
      </c>
      <c r="F71" s="16" t="s">
        <v>125</v>
      </c>
    </row>
    <row r="72" spans="1:6" ht="15" customHeight="1" x14ac:dyDescent="0.2">
      <c r="A72" s="35">
        <v>42832</v>
      </c>
      <c r="B72" s="36">
        <v>10659.22</v>
      </c>
      <c r="C72" s="36"/>
      <c r="D72" s="36">
        <f t="shared" si="1"/>
        <v>3254786.4400000018</v>
      </c>
      <c r="E72" s="16" t="s">
        <v>209</v>
      </c>
      <c r="F72" s="16" t="s">
        <v>136</v>
      </c>
    </row>
    <row r="73" spans="1:6" ht="15" customHeight="1" x14ac:dyDescent="0.2">
      <c r="A73" s="35">
        <v>42849</v>
      </c>
      <c r="B73" s="36">
        <v>8745.6</v>
      </c>
      <c r="C73" s="36"/>
      <c r="D73" s="36">
        <f t="shared" si="1"/>
        <v>3246040.8400000017</v>
      </c>
      <c r="E73" s="16" t="s">
        <v>216</v>
      </c>
      <c r="F73" s="16" t="s">
        <v>134</v>
      </c>
    </row>
    <row r="74" spans="1:6" ht="15" customHeight="1" x14ac:dyDescent="0.2">
      <c r="A74" s="35">
        <v>42849</v>
      </c>
      <c r="B74" s="36">
        <v>1160.7</v>
      </c>
      <c r="C74" s="36"/>
      <c r="D74" s="36">
        <f t="shared" si="1"/>
        <v>3244880.1400000015</v>
      </c>
      <c r="E74" s="16" t="s">
        <v>216</v>
      </c>
      <c r="F74" s="16" t="s">
        <v>134</v>
      </c>
    </row>
    <row r="75" spans="1:6" ht="15" customHeight="1" x14ac:dyDescent="0.2">
      <c r="A75" s="35">
        <v>42849</v>
      </c>
      <c r="B75" s="36">
        <v>2748.55</v>
      </c>
      <c r="C75" s="36"/>
      <c r="D75" s="36">
        <f t="shared" si="1"/>
        <v>3242131.5900000017</v>
      </c>
      <c r="E75" s="16" t="s">
        <v>216</v>
      </c>
      <c r="F75" s="16" t="s">
        <v>134</v>
      </c>
    </row>
    <row r="76" spans="1:6" ht="15" customHeight="1" x14ac:dyDescent="0.2">
      <c r="A76" s="35">
        <v>42849</v>
      </c>
      <c r="B76" s="36"/>
      <c r="C76" s="36">
        <v>10994.2</v>
      </c>
      <c r="D76" s="36">
        <f t="shared" si="1"/>
        <v>3253125.7900000019</v>
      </c>
      <c r="E76" s="16" t="s">
        <v>177</v>
      </c>
      <c r="F76" s="16" t="s">
        <v>138</v>
      </c>
    </row>
    <row r="77" spans="1:6" ht="15" customHeight="1" x14ac:dyDescent="0.2">
      <c r="A77" s="35">
        <v>42849</v>
      </c>
      <c r="B77" s="36"/>
      <c r="C77" s="36">
        <v>39625.129999999997</v>
      </c>
      <c r="D77" s="36">
        <f t="shared" si="1"/>
        <v>3292750.9200000018</v>
      </c>
      <c r="E77" s="16" t="s">
        <v>178</v>
      </c>
      <c r="F77" s="16" t="s">
        <v>138</v>
      </c>
    </row>
    <row r="78" spans="1:6" ht="15" customHeight="1" x14ac:dyDescent="0.2">
      <c r="A78" s="35">
        <v>42849</v>
      </c>
      <c r="B78" s="36">
        <v>345480</v>
      </c>
      <c r="C78" s="36"/>
      <c r="D78" s="36">
        <f t="shared" si="1"/>
        <v>2947270.9200000018</v>
      </c>
      <c r="E78" s="16" t="s">
        <v>23</v>
      </c>
      <c r="F78" s="16" t="s">
        <v>129</v>
      </c>
    </row>
    <row r="79" spans="1:6" ht="15" customHeight="1" x14ac:dyDescent="0.2">
      <c r="A79" s="35">
        <v>42850</v>
      </c>
      <c r="B79" s="36">
        <v>10.5</v>
      </c>
      <c r="C79" s="36"/>
      <c r="D79" s="36">
        <f t="shared" si="1"/>
        <v>2947260.4200000018</v>
      </c>
      <c r="E79" s="16" t="s">
        <v>47</v>
      </c>
      <c r="F79" s="16" t="s">
        <v>134</v>
      </c>
    </row>
    <row r="80" spans="1:6" ht="15" customHeight="1" x14ac:dyDescent="0.2">
      <c r="A80" s="35">
        <v>42852</v>
      </c>
      <c r="B80" s="36"/>
      <c r="C80" s="36">
        <v>924125.53</v>
      </c>
      <c r="D80" s="36">
        <f t="shared" si="1"/>
        <v>3871385.950000002</v>
      </c>
      <c r="E80" s="16" t="s">
        <v>217</v>
      </c>
      <c r="F80" s="16" t="s">
        <v>138</v>
      </c>
    </row>
    <row r="81" spans="1:6" ht="15" customHeight="1" x14ac:dyDescent="0.2">
      <c r="A81" s="35">
        <v>42853</v>
      </c>
      <c r="B81" s="36">
        <v>4400</v>
      </c>
      <c r="C81" s="36"/>
      <c r="D81" s="36">
        <f t="shared" si="1"/>
        <v>3866985.950000002</v>
      </c>
      <c r="E81" s="16" t="s">
        <v>218</v>
      </c>
      <c r="F81" s="16" t="s">
        <v>134</v>
      </c>
    </row>
    <row r="82" spans="1:6" ht="15" customHeight="1" x14ac:dyDescent="0.2">
      <c r="A82" s="35">
        <v>42853</v>
      </c>
      <c r="B82" s="36">
        <v>5523</v>
      </c>
      <c r="C82" s="36"/>
      <c r="D82" s="36">
        <f t="shared" si="1"/>
        <v>3861462.950000002</v>
      </c>
      <c r="E82" s="16" t="s">
        <v>38</v>
      </c>
      <c r="F82" s="16" t="s">
        <v>134</v>
      </c>
    </row>
    <row r="83" spans="1:6" ht="15" customHeight="1" x14ac:dyDescent="0.2">
      <c r="A83" s="35">
        <v>42853</v>
      </c>
      <c r="B83" s="36">
        <v>2217</v>
      </c>
      <c r="C83" s="36"/>
      <c r="D83" s="36">
        <f t="shared" si="1"/>
        <v>3859245.950000002</v>
      </c>
      <c r="E83" s="16" t="s">
        <v>38</v>
      </c>
      <c r="F83" s="16" t="s">
        <v>134</v>
      </c>
    </row>
    <row r="84" spans="1:6" ht="15" customHeight="1" x14ac:dyDescent="0.2">
      <c r="A84" s="35">
        <v>42863</v>
      </c>
      <c r="B84" s="36">
        <v>256594</v>
      </c>
      <c r="C84" s="36"/>
      <c r="D84" s="36">
        <f t="shared" si="1"/>
        <v>3602651.950000002</v>
      </c>
      <c r="E84" s="16" t="s">
        <v>53</v>
      </c>
      <c r="F84" s="16" t="s">
        <v>129</v>
      </c>
    </row>
    <row r="85" spans="1:6" ht="15" customHeight="1" x14ac:dyDescent="0.2">
      <c r="A85" s="35">
        <v>42864</v>
      </c>
      <c r="B85" s="36">
        <v>10.5</v>
      </c>
      <c r="C85" s="36"/>
      <c r="D85" s="36">
        <f t="shared" si="1"/>
        <v>3602641.450000002</v>
      </c>
      <c r="E85" s="16" t="s">
        <v>46</v>
      </c>
      <c r="F85" s="16" t="s">
        <v>134</v>
      </c>
    </row>
    <row r="86" spans="1:6" ht="15" customHeight="1" x14ac:dyDescent="0.2">
      <c r="A86" s="35">
        <v>42867</v>
      </c>
      <c r="B86" s="36">
        <v>7573.92</v>
      </c>
      <c r="C86" s="36"/>
      <c r="D86" s="36">
        <f t="shared" si="1"/>
        <v>3595067.5300000021</v>
      </c>
      <c r="E86" s="16" t="s">
        <v>56</v>
      </c>
      <c r="F86" s="16" t="s">
        <v>136</v>
      </c>
    </row>
    <row r="87" spans="1:6" ht="15" customHeight="1" x14ac:dyDescent="0.2">
      <c r="A87" s="35">
        <v>42870</v>
      </c>
      <c r="B87" s="36">
        <v>5994</v>
      </c>
      <c r="C87" s="36"/>
      <c r="D87" s="36">
        <f t="shared" si="1"/>
        <v>3589073.5300000021</v>
      </c>
      <c r="E87" s="16" t="s">
        <v>38</v>
      </c>
      <c r="F87" s="16" t="s">
        <v>134</v>
      </c>
    </row>
    <row r="88" spans="1:6" ht="15" customHeight="1" x14ac:dyDescent="0.2">
      <c r="A88" s="35">
        <v>42870</v>
      </c>
      <c r="B88" s="36">
        <v>1725.3</v>
      </c>
      <c r="C88" s="36"/>
      <c r="D88" s="36">
        <f t="shared" si="1"/>
        <v>3587348.2300000023</v>
      </c>
      <c r="E88" s="16" t="s">
        <v>38</v>
      </c>
      <c r="F88" s="16" t="s">
        <v>134</v>
      </c>
    </row>
    <row r="89" spans="1:6" ht="15" customHeight="1" x14ac:dyDescent="0.2">
      <c r="A89" s="35">
        <v>42877</v>
      </c>
      <c r="B89" s="36">
        <v>6791</v>
      </c>
      <c r="C89" s="36"/>
      <c r="D89" s="36">
        <f t="shared" si="1"/>
        <v>3580557.2300000023</v>
      </c>
      <c r="E89" s="16" t="s">
        <v>179</v>
      </c>
      <c r="F89" s="16" t="s">
        <v>134</v>
      </c>
    </row>
    <row r="90" spans="1:6" ht="15" customHeight="1" x14ac:dyDescent="0.2">
      <c r="A90" s="35">
        <v>42877</v>
      </c>
      <c r="B90" s="36">
        <v>2303</v>
      </c>
      <c r="C90" s="36"/>
      <c r="D90" s="36">
        <f t="shared" si="1"/>
        <v>3578254.2300000023</v>
      </c>
      <c r="E90" s="16" t="s">
        <v>179</v>
      </c>
      <c r="F90" s="16" t="s">
        <v>134</v>
      </c>
    </row>
    <row r="91" spans="1:6" ht="15" customHeight="1" x14ac:dyDescent="0.2">
      <c r="A91" s="35">
        <v>42878</v>
      </c>
      <c r="B91" s="36">
        <v>880</v>
      </c>
      <c r="C91" s="36"/>
      <c r="D91" s="36">
        <f t="shared" si="1"/>
        <v>3577374.2300000023</v>
      </c>
      <c r="E91" s="16" t="s">
        <v>57</v>
      </c>
      <c r="F91" s="16" t="s">
        <v>134</v>
      </c>
    </row>
    <row r="92" spans="1:6" ht="15" customHeight="1" x14ac:dyDescent="0.2">
      <c r="A92" s="35">
        <v>42879</v>
      </c>
      <c r="B92" s="36">
        <v>5490.5</v>
      </c>
      <c r="C92" s="36"/>
      <c r="D92" s="36">
        <f t="shared" si="1"/>
        <v>3571883.7300000023</v>
      </c>
      <c r="E92" s="16" t="s">
        <v>38</v>
      </c>
      <c r="F92" s="16" t="s">
        <v>134</v>
      </c>
    </row>
    <row r="93" spans="1:6" ht="15" customHeight="1" x14ac:dyDescent="0.2">
      <c r="A93" s="35">
        <v>42880</v>
      </c>
      <c r="B93" s="36">
        <v>10.5</v>
      </c>
      <c r="C93" s="36"/>
      <c r="D93" s="36">
        <f t="shared" si="1"/>
        <v>3571873.2300000023</v>
      </c>
      <c r="E93" s="16" t="s">
        <v>58</v>
      </c>
      <c r="F93" s="16" t="s">
        <v>134</v>
      </c>
    </row>
    <row r="94" spans="1:6" ht="15" customHeight="1" x14ac:dyDescent="0.2">
      <c r="A94" s="35">
        <v>42880</v>
      </c>
      <c r="B94" s="36"/>
      <c r="C94" s="36">
        <v>36375.53</v>
      </c>
      <c r="D94" s="36">
        <f t="shared" si="1"/>
        <v>3608248.7600000021</v>
      </c>
      <c r="E94" s="16" t="s">
        <v>180</v>
      </c>
      <c r="F94" s="16" t="s">
        <v>138</v>
      </c>
    </row>
    <row r="95" spans="1:6" ht="15" customHeight="1" x14ac:dyDescent="0.2">
      <c r="A95" s="35">
        <v>42880</v>
      </c>
      <c r="B95" s="36">
        <v>14087.75</v>
      </c>
      <c r="C95" s="36"/>
      <c r="D95" s="36">
        <f t="shared" si="1"/>
        <v>3594161.0100000021</v>
      </c>
      <c r="E95" s="16" t="s">
        <v>15</v>
      </c>
      <c r="F95" s="16" t="s">
        <v>125</v>
      </c>
    </row>
    <row r="96" spans="1:6" ht="15" customHeight="1" x14ac:dyDescent="0.2">
      <c r="A96" s="35">
        <v>42880</v>
      </c>
      <c r="B96" s="36">
        <v>8922.2000000000007</v>
      </c>
      <c r="C96" s="36"/>
      <c r="D96" s="36">
        <f t="shared" si="1"/>
        <v>3585238.8100000019</v>
      </c>
      <c r="E96" s="16" t="s">
        <v>15</v>
      </c>
      <c r="F96" s="16" t="s">
        <v>125</v>
      </c>
    </row>
    <row r="97" spans="1:6" ht="15" customHeight="1" x14ac:dyDescent="0.2">
      <c r="A97" s="35">
        <v>42880</v>
      </c>
      <c r="B97" s="36">
        <v>5737.1</v>
      </c>
      <c r="C97" s="36"/>
      <c r="D97" s="36">
        <f t="shared" si="1"/>
        <v>3579501.7100000018</v>
      </c>
      <c r="E97" s="16" t="s">
        <v>15</v>
      </c>
      <c r="F97" s="16" t="s">
        <v>125</v>
      </c>
    </row>
    <row r="98" spans="1:6" ht="15" customHeight="1" x14ac:dyDescent="0.2">
      <c r="A98" s="35">
        <v>42880</v>
      </c>
      <c r="B98" s="36">
        <v>51.26</v>
      </c>
      <c r="C98" s="36"/>
      <c r="D98" s="36">
        <f t="shared" si="1"/>
        <v>3579450.450000002</v>
      </c>
      <c r="E98" s="16" t="s">
        <v>15</v>
      </c>
      <c r="F98" s="16" t="s">
        <v>125</v>
      </c>
    </row>
    <row r="99" spans="1:6" ht="15" customHeight="1" x14ac:dyDescent="0.2">
      <c r="A99" s="35">
        <v>42880</v>
      </c>
      <c r="B99" s="36">
        <v>8022.78</v>
      </c>
      <c r="C99" s="36"/>
      <c r="D99" s="36">
        <f t="shared" si="1"/>
        <v>3571427.6700000023</v>
      </c>
      <c r="E99" s="16" t="s">
        <v>15</v>
      </c>
      <c r="F99" s="16" t="s">
        <v>125</v>
      </c>
    </row>
    <row r="100" spans="1:6" ht="15" customHeight="1" x14ac:dyDescent="0.2">
      <c r="A100" s="35">
        <v>42880</v>
      </c>
      <c r="B100" s="36">
        <v>2702.34</v>
      </c>
      <c r="C100" s="36"/>
      <c r="D100" s="36">
        <f t="shared" si="1"/>
        <v>3568725.3300000024</v>
      </c>
      <c r="E100" s="16" t="s">
        <v>15</v>
      </c>
      <c r="F100" s="16" t="s">
        <v>125</v>
      </c>
    </row>
    <row r="101" spans="1:6" ht="15" customHeight="1" x14ac:dyDescent="0.2">
      <c r="A101" s="35">
        <v>42880</v>
      </c>
      <c r="B101" s="36">
        <v>2970.95</v>
      </c>
      <c r="C101" s="36"/>
      <c r="D101" s="36">
        <f t="shared" si="1"/>
        <v>3565754.3800000022</v>
      </c>
      <c r="E101" s="16" t="s">
        <v>15</v>
      </c>
      <c r="F101" s="16" t="s">
        <v>125</v>
      </c>
    </row>
    <row r="102" spans="1:6" ht="15" customHeight="1" x14ac:dyDescent="0.2">
      <c r="A102" s="35">
        <v>42880</v>
      </c>
      <c r="B102" s="36">
        <v>9366.34</v>
      </c>
      <c r="C102" s="36"/>
      <c r="D102" s="36">
        <f t="shared" si="1"/>
        <v>3556388.0400000024</v>
      </c>
      <c r="E102" s="16" t="s">
        <v>15</v>
      </c>
      <c r="F102" s="16" t="s">
        <v>125</v>
      </c>
    </row>
    <row r="103" spans="1:6" ht="15" customHeight="1" x14ac:dyDescent="0.2">
      <c r="A103" s="35">
        <v>42880</v>
      </c>
      <c r="B103" s="36">
        <v>16236.8</v>
      </c>
      <c r="C103" s="36"/>
      <c r="D103" s="36">
        <f t="shared" si="1"/>
        <v>3540151.2400000026</v>
      </c>
      <c r="E103" s="16" t="s">
        <v>15</v>
      </c>
      <c r="F103" s="16" t="s">
        <v>125</v>
      </c>
    </row>
    <row r="104" spans="1:6" ht="15" customHeight="1" x14ac:dyDescent="0.2">
      <c r="A104" s="35">
        <v>42883</v>
      </c>
      <c r="B104" s="36">
        <v>10.5</v>
      </c>
      <c r="C104" s="36"/>
      <c r="D104" s="36">
        <f t="shared" si="1"/>
        <v>3540140.7400000026</v>
      </c>
      <c r="E104" s="16" t="s">
        <v>46</v>
      </c>
      <c r="F104" s="16" t="s">
        <v>134</v>
      </c>
    </row>
    <row r="105" spans="1:6" ht="15" customHeight="1" x14ac:dyDescent="0.2">
      <c r="A105" s="35">
        <v>42889</v>
      </c>
      <c r="B105" s="36">
        <v>42810</v>
      </c>
      <c r="C105" s="36"/>
      <c r="D105" s="36">
        <f t="shared" si="1"/>
        <v>3497330.7400000026</v>
      </c>
      <c r="E105" s="16" t="s">
        <v>23</v>
      </c>
      <c r="F105" s="16" t="s">
        <v>129</v>
      </c>
    </row>
    <row r="106" spans="1:6" ht="15" customHeight="1" x14ac:dyDescent="0.2">
      <c r="A106" s="35">
        <v>42889</v>
      </c>
      <c r="B106" s="36">
        <v>42810</v>
      </c>
      <c r="C106" s="36"/>
      <c r="D106" s="36">
        <f t="shared" si="1"/>
        <v>3454520.7400000026</v>
      </c>
      <c r="E106" s="16" t="s">
        <v>23</v>
      </c>
      <c r="F106" s="16" t="s">
        <v>129</v>
      </c>
    </row>
    <row r="107" spans="1:6" ht="15" customHeight="1" x14ac:dyDescent="0.2">
      <c r="A107" s="35">
        <v>42889</v>
      </c>
      <c r="B107" s="36">
        <v>42810</v>
      </c>
      <c r="C107" s="36"/>
      <c r="D107" s="36">
        <f t="shared" si="1"/>
        <v>3411710.7400000026</v>
      </c>
      <c r="E107" s="16" t="s">
        <v>23</v>
      </c>
      <c r="F107" s="16" t="s">
        <v>129</v>
      </c>
    </row>
    <row r="108" spans="1:6" ht="15" customHeight="1" x14ac:dyDescent="0.2">
      <c r="A108" s="35">
        <v>42889</v>
      </c>
      <c r="B108" s="36">
        <v>42810</v>
      </c>
      <c r="C108" s="36"/>
      <c r="D108" s="36">
        <f t="shared" si="1"/>
        <v>3368900.7400000026</v>
      </c>
      <c r="E108" s="16" t="s">
        <v>23</v>
      </c>
      <c r="F108" s="16" t="s">
        <v>129</v>
      </c>
    </row>
    <row r="109" spans="1:6" ht="15" customHeight="1" x14ac:dyDescent="0.2">
      <c r="A109" s="35">
        <v>42892</v>
      </c>
      <c r="B109" s="36">
        <v>330</v>
      </c>
      <c r="C109" s="36"/>
      <c r="D109" s="36">
        <f t="shared" si="1"/>
        <v>3368570.7400000026</v>
      </c>
      <c r="E109" s="16" t="s">
        <v>54</v>
      </c>
      <c r="F109" s="16" t="s">
        <v>134</v>
      </c>
    </row>
    <row r="110" spans="1:6" ht="15" customHeight="1" x14ac:dyDescent="0.2">
      <c r="A110" s="35">
        <v>42895</v>
      </c>
      <c r="B110" s="36">
        <v>9820</v>
      </c>
      <c r="C110" s="36"/>
      <c r="D110" s="36">
        <f t="shared" si="1"/>
        <v>3358750.7400000026</v>
      </c>
      <c r="E110" s="16" t="s">
        <v>55</v>
      </c>
      <c r="F110" s="16" t="s">
        <v>129</v>
      </c>
    </row>
    <row r="111" spans="1:6" ht="15" customHeight="1" x14ac:dyDescent="0.2">
      <c r="A111" s="35">
        <v>42898</v>
      </c>
      <c r="B111" s="36">
        <v>8130.19</v>
      </c>
      <c r="C111" s="36"/>
      <c r="D111" s="36">
        <f t="shared" si="1"/>
        <v>3350620.5500000026</v>
      </c>
      <c r="E111" s="16" t="s">
        <v>59</v>
      </c>
      <c r="F111" s="16" t="s">
        <v>136</v>
      </c>
    </row>
    <row r="112" spans="1:6" ht="15" customHeight="1" x14ac:dyDescent="0.2">
      <c r="A112" s="35">
        <v>42906</v>
      </c>
      <c r="B112" s="36">
        <v>5591</v>
      </c>
      <c r="C112" s="36"/>
      <c r="D112" s="36">
        <f t="shared" si="1"/>
        <v>3345029.5500000026</v>
      </c>
      <c r="E112" s="16" t="s">
        <v>179</v>
      </c>
      <c r="F112" s="16" t="s">
        <v>134</v>
      </c>
    </row>
    <row r="113" spans="1:6" ht="15" customHeight="1" x14ac:dyDescent="0.2">
      <c r="A113" s="35">
        <v>42906</v>
      </c>
      <c r="B113" s="36">
        <v>2772</v>
      </c>
      <c r="C113" s="36"/>
      <c r="D113" s="36">
        <f t="shared" si="1"/>
        <v>3342257.5500000026</v>
      </c>
      <c r="E113" s="16" t="s">
        <v>196</v>
      </c>
      <c r="F113" s="16" t="s">
        <v>134</v>
      </c>
    </row>
    <row r="114" spans="1:6" ht="15" customHeight="1" x14ac:dyDescent="0.2">
      <c r="A114" s="35">
        <v>42906</v>
      </c>
      <c r="B114" s="36">
        <v>1765</v>
      </c>
      <c r="C114" s="36"/>
      <c r="D114" s="36">
        <f t="shared" si="1"/>
        <v>3340492.5500000026</v>
      </c>
      <c r="E114" s="16" t="s">
        <v>38</v>
      </c>
      <c r="F114" s="16" t="s">
        <v>134</v>
      </c>
    </row>
    <row r="115" spans="1:6" ht="15" customHeight="1" x14ac:dyDescent="0.2">
      <c r="A115" s="35">
        <v>42906</v>
      </c>
      <c r="B115" s="36">
        <v>762.5</v>
      </c>
      <c r="C115" s="36"/>
      <c r="D115" s="36">
        <f t="shared" si="1"/>
        <v>3339730.0500000026</v>
      </c>
      <c r="E115" s="16" t="s">
        <v>38</v>
      </c>
      <c r="F115" s="16" t="s">
        <v>134</v>
      </c>
    </row>
    <row r="116" spans="1:6" ht="15" customHeight="1" x14ac:dyDescent="0.2">
      <c r="A116" s="35">
        <v>42906</v>
      </c>
      <c r="B116" s="36">
        <v>16700.5</v>
      </c>
      <c r="C116" s="36"/>
      <c r="D116" s="36">
        <f t="shared" si="1"/>
        <v>3323029.5500000026</v>
      </c>
      <c r="E116" s="16" t="s">
        <v>38</v>
      </c>
      <c r="F116" s="16" t="s">
        <v>134</v>
      </c>
    </row>
    <row r="117" spans="1:6" ht="15" customHeight="1" x14ac:dyDescent="0.2">
      <c r="A117" s="35">
        <v>42906</v>
      </c>
      <c r="B117" s="36">
        <v>804.46</v>
      </c>
      <c r="C117" s="36"/>
      <c r="D117" s="36">
        <f t="shared" si="1"/>
        <v>3322225.0900000026</v>
      </c>
      <c r="E117" s="16" t="s">
        <v>38</v>
      </c>
      <c r="F117" s="16" t="s">
        <v>134</v>
      </c>
    </row>
    <row r="118" spans="1:6" ht="15" customHeight="1" x14ac:dyDescent="0.2">
      <c r="A118" s="35">
        <v>42907</v>
      </c>
      <c r="B118" s="36"/>
      <c r="C118" s="36">
        <v>2331.3200000000002</v>
      </c>
      <c r="D118" s="36">
        <f t="shared" si="1"/>
        <v>3324556.4100000025</v>
      </c>
      <c r="E118" s="16" t="s">
        <v>60</v>
      </c>
      <c r="F118" s="16" t="s">
        <v>142</v>
      </c>
    </row>
    <row r="119" spans="1:6" ht="15" customHeight="1" x14ac:dyDescent="0.2">
      <c r="A119" s="35">
        <v>42912</v>
      </c>
      <c r="B119" s="36">
        <v>14087.75</v>
      </c>
      <c r="C119" s="36"/>
      <c r="D119" s="36">
        <f t="shared" si="1"/>
        <v>3310468.6600000025</v>
      </c>
      <c r="E119" s="16" t="s">
        <v>15</v>
      </c>
      <c r="F119" s="16" t="s">
        <v>125</v>
      </c>
    </row>
    <row r="120" spans="1:6" ht="15" customHeight="1" x14ac:dyDescent="0.2">
      <c r="A120" s="35">
        <v>42912</v>
      </c>
      <c r="B120" s="36">
        <v>8922.2000000000007</v>
      </c>
      <c r="C120" s="36"/>
      <c r="D120" s="36">
        <f t="shared" si="1"/>
        <v>3301546.4600000023</v>
      </c>
      <c r="E120" s="16" t="s">
        <v>15</v>
      </c>
      <c r="F120" s="16" t="s">
        <v>125</v>
      </c>
    </row>
    <row r="121" spans="1:6" ht="15" customHeight="1" x14ac:dyDescent="0.2">
      <c r="A121" s="35">
        <v>42912</v>
      </c>
      <c r="B121" s="36">
        <v>9449.16</v>
      </c>
      <c r="C121" s="36"/>
      <c r="D121" s="36">
        <f t="shared" si="1"/>
        <v>3292097.3000000021</v>
      </c>
      <c r="E121" s="16" t="s">
        <v>15</v>
      </c>
      <c r="F121" s="16" t="s">
        <v>125</v>
      </c>
    </row>
    <row r="122" spans="1:6" ht="15" customHeight="1" x14ac:dyDescent="0.2">
      <c r="A122" s="35">
        <v>42912</v>
      </c>
      <c r="B122" s="36">
        <v>13236.8</v>
      </c>
      <c r="C122" s="36"/>
      <c r="D122" s="36">
        <f t="shared" si="1"/>
        <v>3278860.5000000023</v>
      </c>
      <c r="E122" s="16" t="s">
        <v>15</v>
      </c>
      <c r="F122" s="16" t="s">
        <v>125</v>
      </c>
    </row>
    <row r="123" spans="1:6" ht="15" customHeight="1" x14ac:dyDescent="0.2">
      <c r="A123" s="35">
        <v>42912</v>
      </c>
      <c r="B123" s="36">
        <v>13886.19</v>
      </c>
      <c r="C123" s="36"/>
      <c r="D123" s="36">
        <f t="shared" si="1"/>
        <v>3264974.3100000024</v>
      </c>
      <c r="E123" s="16" t="s">
        <v>15</v>
      </c>
      <c r="F123" s="16" t="s">
        <v>125</v>
      </c>
    </row>
    <row r="124" spans="1:6" ht="15" customHeight="1" x14ac:dyDescent="0.2">
      <c r="A124" s="35">
        <v>42912</v>
      </c>
      <c r="B124" s="36">
        <v>2342.84</v>
      </c>
      <c r="C124" s="36"/>
      <c r="D124" s="36">
        <f t="shared" si="1"/>
        <v>3262631.4700000025</v>
      </c>
      <c r="E124" s="16" t="s">
        <v>15</v>
      </c>
      <c r="F124" s="16" t="s">
        <v>125</v>
      </c>
    </row>
    <row r="125" spans="1:6" ht="15" customHeight="1" x14ac:dyDescent="0.2">
      <c r="A125" s="35">
        <v>42912</v>
      </c>
      <c r="B125" s="36">
        <v>2631.73</v>
      </c>
      <c r="C125" s="36"/>
      <c r="D125" s="36">
        <f t="shared" si="1"/>
        <v>3259999.7400000026</v>
      </c>
      <c r="E125" s="16" t="s">
        <v>15</v>
      </c>
      <c r="F125" s="16" t="s">
        <v>125</v>
      </c>
    </row>
    <row r="126" spans="1:6" ht="15" customHeight="1" x14ac:dyDescent="0.2">
      <c r="A126" s="35">
        <v>42912</v>
      </c>
      <c r="B126" s="36">
        <v>5713</v>
      </c>
      <c r="C126" s="36"/>
      <c r="D126" s="36">
        <f t="shared" si="1"/>
        <v>3254286.7400000026</v>
      </c>
      <c r="E126" s="16" t="s">
        <v>38</v>
      </c>
      <c r="F126" s="16" t="s">
        <v>134</v>
      </c>
    </row>
    <row r="127" spans="1:6" ht="15" customHeight="1" x14ac:dyDescent="0.2">
      <c r="A127" s="35">
        <v>42912</v>
      </c>
      <c r="B127" s="36"/>
      <c r="C127" s="36">
        <v>33450.47</v>
      </c>
      <c r="D127" s="36">
        <f t="shared" si="1"/>
        <v>3287737.2100000028</v>
      </c>
      <c r="E127" s="16" t="s">
        <v>195</v>
      </c>
      <c r="F127" s="16" t="s">
        <v>138</v>
      </c>
    </row>
    <row r="128" spans="1:6" ht="15" customHeight="1" x14ac:dyDescent="0.2">
      <c r="A128" s="35">
        <v>42912</v>
      </c>
      <c r="B128" s="36">
        <v>345</v>
      </c>
      <c r="C128" s="36"/>
      <c r="D128" s="36">
        <f t="shared" si="1"/>
        <v>3287392.2100000028</v>
      </c>
      <c r="E128" s="16" t="s">
        <v>38</v>
      </c>
      <c r="F128" s="16" t="s">
        <v>134</v>
      </c>
    </row>
    <row r="129" spans="1:6" ht="15" customHeight="1" x14ac:dyDescent="0.2">
      <c r="A129" s="35">
        <v>42914</v>
      </c>
      <c r="B129" s="36"/>
      <c r="C129" s="36">
        <v>344983.39</v>
      </c>
      <c r="D129" s="36">
        <f t="shared" si="1"/>
        <v>3632375.6000000029</v>
      </c>
      <c r="E129" s="16" t="s">
        <v>174</v>
      </c>
      <c r="F129" s="16" t="s">
        <v>138</v>
      </c>
    </row>
    <row r="130" spans="1:6" ht="15" customHeight="1" x14ac:dyDescent="0.2">
      <c r="A130" s="35">
        <v>42920</v>
      </c>
      <c r="B130" s="36">
        <v>462.6</v>
      </c>
      <c r="C130" s="36"/>
      <c r="D130" s="36">
        <f t="shared" si="1"/>
        <v>3631913.0000000028</v>
      </c>
      <c r="E130" s="16" t="s">
        <v>165</v>
      </c>
      <c r="F130" s="16" t="s">
        <v>148</v>
      </c>
    </row>
    <row r="131" spans="1:6" ht="15" customHeight="1" x14ac:dyDescent="0.2">
      <c r="A131" s="35">
        <v>42920</v>
      </c>
      <c r="B131" s="36">
        <v>627</v>
      </c>
      <c r="C131" s="36"/>
      <c r="D131" s="36">
        <f t="shared" si="1"/>
        <v>3631286.0000000028</v>
      </c>
      <c r="E131" s="16" t="s">
        <v>165</v>
      </c>
      <c r="F131" s="16" t="s">
        <v>148</v>
      </c>
    </row>
    <row r="132" spans="1:6" ht="15" customHeight="1" x14ac:dyDescent="0.2">
      <c r="A132" s="35">
        <v>42920</v>
      </c>
      <c r="B132" s="36">
        <v>1.5</v>
      </c>
      <c r="C132" s="36"/>
      <c r="D132" s="36">
        <f t="shared" si="1"/>
        <v>3631284.5000000028</v>
      </c>
      <c r="E132" s="16" t="s">
        <v>165</v>
      </c>
      <c r="F132" s="16" t="s">
        <v>148</v>
      </c>
    </row>
    <row r="133" spans="1:6" ht="15" customHeight="1" x14ac:dyDescent="0.2">
      <c r="A133" s="35">
        <v>42922</v>
      </c>
      <c r="B133" s="36">
        <v>10.5</v>
      </c>
      <c r="C133" s="36"/>
      <c r="D133" s="36">
        <f t="shared" si="1"/>
        <v>3631274.0000000028</v>
      </c>
      <c r="E133" s="16" t="s">
        <v>219</v>
      </c>
      <c r="F133" s="16" t="s">
        <v>134</v>
      </c>
    </row>
    <row r="134" spans="1:6" ht="15" customHeight="1" x14ac:dyDescent="0.2">
      <c r="A134" s="35">
        <v>42922</v>
      </c>
      <c r="B134" s="36">
        <v>130753.53</v>
      </c>
      <c r="C134" s="36"/>
      <c r="D134" s="36">
        <f t="shared" ref="D134:D197" si="2">D133+C134-B134</f>
        <v>3500520.470000003</v>
      </c>
      <c r="E134" s="16" t="s">
        <v>67</v>
      </c>
      <c r="F134" s="16" t="s">
        <v>129</v>
      </c>
    </row>
    <row r="135" spans="1:6" ht="15" customHeight="1" x14ac:dyDescent="0.2">
      <c r="A135" s="35">
        <v>42926</v>
      </c>
      <c r="B135" s="36">
        <v>7548</v>
      </c>
      <c r="C135" s="36"/>
      <c r="D135" s="36">
        <f t="shared" si="2"/>
        <v>3492972.470000003</v>
      </c>
      <c r="E135" s="16" t="s">
        <v>68</v>
      </c>
      <c r="F135" s="16" t="s">
        <v>134</v>
      </c>
    </row>
    <row r="136" spans="1:6" ht="15" customHeight="1" x14ac:dyDescent="0.2">
      <c r="A136" s="35">
        <v>42926</v>
      </c>
      <c r="B136" s="36">
        <v>20143.96</v>
      </c>
      <c r="C136" s="36"/>
      <c r="D136" s="36">
        <f t="shared" si="2"/>
        <v>3472828.510000003</v>
      </c>
      <c r="E136" s="16" t="s">
        <v>166</v>
      </c>
      <c r="F136" s="16" t="s">
        <v>136</v>
      </c>
    </row>
    <row r="137" spans="1:6" ht="15" customHeight="1" x14ac:dyDescent="0.2">
      <c r="A137" s="35">
        <v>42926</v>
      </c>
      <c r="B137" s="36"/>
      <c r="C137" s="36">
        <v>330</v>
      </c>
      <c r="D137" s="36">
        <f t="shared" si="2"/>
        <v>3473158.510000003</v>
      </c>
      <c r="E137" s="16"/>
      <c r="F137" s="16" t="s">
        <v>142</v>
      </c>
    </row>
    <row r="138" spans="1:6" ht="15" customHeight="1" x14ac:dyDescent="0.2">
      <c r="A138" s="35">
        <v>42928</v>
      </c>
      <c r="B138" s="36"/>
      <c r="C138" s="36">
        <v>37983.199999999997</v>
      </c>
      <c r="D138" s="36">
        <f t="shared" si="2"/>
        <v>3511141.7100000032</v>
      </c>
      <c r="E138" s="16" t="s">
        <v>69</v>
      </c>
      <c r="F138" s="16" t="s">
        <v>138</v>
      </c>
    </row>
    <row r="139" spans="1:6" ht="15" customHeight="1" x14ac:dyDescent="0.2">
      <c r="A139" s="35">
        <v>42930</v>
      </c>
      <c r="B139" s="36"/>
      <c r="C139" s="36">
        <v>28210</v>
      </c>
      <c r="D139" s="36">
        <f t="shared" si="2"/>
        <v>3539351.7100000032</v>
      </c>
      <c r="E139" s="16" t="s">
        <v>69</v>
      </c>
      <c r="F139" s="16" t="s">
        <v>138</v>
      </c>
    </row>
    <row r="140" spans="1:6" ht="15" customHeight="1" x14ac:dyDescent="0.2">
      <c r="A140" s="35">
        <v>42933</v>
      </c>
      <c r="B140" s="36"/>
      <c r="C140" s="36">
        <v>494756.83</v>
      </c>
      <c r="D140" s="36">
        <f t="shared" si="2"/>
        <v>4034108.5400000033</v>
      </c>
      <c r="E140" s="16" t="s">
        <v>174</v>
      </c>
      <c r="F140" s="16" t="s">
        <v>138</v>
      </c>
    </row>
    <row r="141" spans="1:6" ht="15" customHeight="1" x14ac:dyDescent="0.2">
      <c r="A141" s="35">
        <v>42934</v>
      </c>
      <c r="B141" s="36">
        <v>620000</v>
      </c>
      <c r="C141" s="36"/>
      <c r="D141" s="36">
        <f t="shared" si="2"/>
        <v>3414108.5400000033</v>
      </c>
      <c r="E141" s="16" t="s">
        <v>74</v>
      </c>
      <c r="F141" s="16" t="s">
        <v>108</v>
      </c>
    </row>
    <row r="142" spans="1:6" ht="15" customHeight="1" x14ac:dyDescent="0.2">
      <c r="A142" s="35">
        <v>42935</v>
      </c>
      <c r="B142" s="36">
        <v>14</v>
      </c>
      <c r="C142" s="36"/>
      <c r="D142" s="36">
        <f t="shared" si="2"/>
        <v>3414094.5400000033</v>
      </c>
      <c r="E142" s="16" t="s">
        <v>219</v>
      </c>
      <c r="F142" s="16" t="s">
        <v>134</v>
      </c>
    </row>
    <row r="143" spans="1:6" ht="15" customHeight="1" x14ac:dyDescent="0.2">
      <c r="A143" s="35">
        <v>42935</v>
      </c>
      <c r="B143" s="36">
        <v>1000</v>
      </c>
      <c r="C143" s="36"/>
      <c r="D143" s="36">
        <f t="shared" si="2"/>
        <v>3413094.5400000033</v>
      </c>
      <c r="E143" s="16" t="s">
        <v>194</v>
      </c>
      <c r="F143" s="16" t="s">
        <v>146</v>
      </c>
    </row>
    <row r="144" spans="1:6" ht="15" customHeight="1" x14ac:dyDescent="0.2">
      <c r="A144" s="35">
        <v>42935</v>
      </c>
      <c r="B144" s="36">
        <v>1383</v>
      </c>
      <c r="C144" s="36"/>
      <c r="D144" s="36">
        <f t="shared" si="2"/>
        <v>3411711.5400000033</v>
      </c>
      <c r="E144" s="16" t="s">
        <v>38</v>
      </c>
      <c r="F144" s="16" t="s">
        <v>134</v>
      </c>
    </row>
    <row r="145" spans="1:6" ht="15" customHeight="1" x14ac:dyDescent="0.2">
      <c r="A145" s="35">
        <v>42935</v>
      </c>
      <c r="B145" s="36">
        <v>13960.5</v>
      </c>
      <c r="C145" s="36"/>
      <c r="D145" s="36">
        <f t="shared" si="2"/>
        <v>3397751.0400000033</v>
      </c>
      <c r="E145" s="16" t="s">
        <v>38</v>
      </c>
      <c r="F145" s="16" t="s">
        <v>134</v>
      </c>
    </row>
    <row r="146" spans="1:6" ht="15" customHeight="1" x14ac:dyDescent="0.2">
      <c r="A146" s="35">
        <v>42936</v>
      </c>
      <c r="B146" s="36">
        <v>1000</v>
      </c>
      <c r="C146" s="36"/>
      <c r="D146" s="36">
        <f t="shared" si="2"/>
        <v>3396751.0400000033</v>
      </c>
      <c r="E146" s="16" t="s">
        <v>193</v>
      </c>
      <c r="F146" s="16" t="s">
        <v>146</v>
      </c>
    </row>
    <row r="147" spans="1:6" ht="15" customHeight="1" x14ac:dyDescent="0.2">
      <c r="A147" s="35">
        <v>42940</v>
      </c>
      <c r="B147" s="36">
        <v>1268</v>
      </c>
      <c r="C147" s="36"/>
      <c r="D147" s="36">
        <f t="shared" si="2"/>
        <v>3395483.0400000033</v>
      </c>
      <c r="E147" s="16" t="s">
        <v>192</v>
      </c>
      <c r="F147" s="16" t="s">
        <v>134</v>
      </c>
    </row>
    <row r="148" spans="1:6" ht="15" customHeight="1" x14ac:dyDescent="0.2">
      <c r="A148" s="35">
        <v>42940</v>
      </c>
      <c r="B148" s="36">
        <v>2298</v>
      </c>
      <c r="C148" s="36"/>
      <c r="D148" s="36">
        <f t="shared" si="2"/>
        <v>3393185.0400000033</v>
      </c>
      <c r="E148" s="16" t="s">
        <v>191</v>
      </c>
      <c r="F148" s="16" t="s">
        <v>134</v>
      </c>
    </row>
    <row r="149" spans="1:6" ht="15" customHeight="1" x14ac:dyDescent="0.2">
      <c r="A149" s="35">
        <v>42941</v>
      </c>
      <c r="B149" s="36"/>
      <c r="C149" s="36">
        <v>14261.74</v>
      </c>
      <c r="D149" s="36">
        <f t="shared" si="2"/>
        <v>3407446.7800000035</v>
      </c>
      <c r="E149" s="16" t="s">
        <v>190</v>
      </c>
      <c r="F149" s="16" t="s">
        <v>138</v>
      </c>
    </row>
    <row r="150" spans="1:6" ht="15" customHeight="1" x14ac:dyDescent="0.2">
      <c r="A150" s="35">
        <v>42941</v>
      </c>
      <c r="B150" s="36"/>
      <c r="C150" s="36">
        <v>218804.9</v>
      </c>
      <c r="D150" s="36">
        <f t="shared" si="2"/>
        <v>3626251.6800000034</v>
      </c>
      <c r="E150" s="16" t="s">
        <v>190</v>
      </c>
      <c r="F150" s="16" t="s">
        <v>138</v>
      </c>
    </row>
    <row r="151" spans="1:6" ht="15" customHeight="1" x14ac:dyDescent="0.2">
      <c r="A151" s="35">
        <v>42941</v>
      </c>
      <c r="B151" s="36">
        <v>29882.75</v>
      </c>
      <c r="C151" s="36"/>
      <c r="D151" s="36">
        <f t="shared" si="2"/>
        <v>3596368.9300000034</v>
      </c>
      <c r="E151" s="16" t="s">
        <v>70</v>
      </c>
      <c r="F151" s="16" t="s">
        <v>125</v>
      </c>
    </row>
    <row r="152" spans="1:6" ht="15" customHeight="1" x14ac:dyDescent="0.2">
      <c r="A152" s="35">
        <v>42941</v>
      </c>
      <c r="B152" s="36">
        <v>8922.2000000000007</v>
      </c>
      <c r="C152" s="36"/>
      <c r="D152" s="36">
        <f t="shared" si="2"/>
        <v>3587446.7300000032</v>
      </c>
      <c r="E152" s="16" t="s">
        <v>70</v>
      </c>
      <c r="F152" s="16" t="s">
        <v>125</v>
      </c>
    </row>
    <row r="153" spans="1:6" ht="15" customHeight="1" x14ac:dyDescent="0.2">
      <c r="A153" s="35">
        <v>42941</v>
      </c>
      <c r="B153" s="36">
        <v>24712.26</v>
      </c>
      <c r="C153" s="36"/>
      <c r="D153" s="36">
        <f t="shared" si="2"/>
        <v>3562734.4700000035</v>
      </c>
      <c r="E153" s="16" t="s">
        <v>70</v>
      </c>
      <c r="F153" s="16" t="s">
        <v>125</v>
      </c>
    </row>
    <row r="154" spans="1:6" ht="15" customHeight="1" x14ac:dyDescent="0.2">
      <c r="A154" s="35">
        <v>42941</v>
      </c>
      <c r="B154" s="36">
        <v>26361.8</v>
      </c>
      <c r="C154" s="36"/>
      <c r="D154" s="36">
        <f t="shared" si="2"/>
        <v>3536372.6700000037</v>
      </c>
      <c r="E154" s="16" t="s">
        <v>70</v>
      </c>
      <c r="F154" s="16" t="s">
        <v>125</v>
      </c>
    </row>
    <row r="155" spans="1:6" ht="15" customHeight="1" x14ac:dyDescent="0.2">
      <c r="A155" s="35">
        <v>42941</v>
      </c>
      <c r="B155" s="36">
        <v>3365.53</v>
      </c>
      <c r="C155" s="36"/>
      <c r="D155" s="36">
        <f t="shared" si="2"/>
        <v>3533007.1400000039</v>
      </c>
      <c r="E155" s="16" t="s">
        <v>70</v>
      </c>
      <c r="F155" s="16" t="s">
        <v>125</v>
      </c>
    </row>
    <row r="156" spans="1:6" ht="15" customHeight="1" x14ac:dyDescent="0.2">
      <c r="A156" s="35">
        <v>42941</v>
      </c>
      <c r="B156" s="36">
        <v>866.21</v>
      </c>
      <c r="C156" s="36"/>
      <c r="D156" s="36">
        <f t="shared" si="2"/>
        <v>3532140.9300000039</v>
      </c>
      <c r="E156" s="16" t="s">
        <v>70</v>
      </c>
      <c r="F156" s="16" t="s">
        <v>125</v>
      </c>
    </row>
    <row r="157" spans="1:6" ht="15" customHeight="1" x14ac:dyDescent="0.2">
      <c r="A157" s="35">
        <v>42944</v>
      </c>
      <c r="B157" s="36"/>
      <c r="C157" s="36">
        <v>345504.43</v>
      </c>
      <c r="D157" s="36">
        <f t="shared" si="2"/>
        <v>3877645.3600000041</v>
      </c>
      <c r="E157" s="16" t="s">
        <v>174</v>
      </c>
      <c r="F157" s="16" t="s">
        <v>138</v>
      </c>
    </row>
    <row r="158" spans="1:6" ht="15" customHeight="1" x14ac:dyDescent="0.2">
      <c r="A158" s="35">
        <v>42945</v>
      </c>
      <c r="B158" s="36"/>
      <c r="C158" s="36">
        <v>620000</v>
      </c>
      <c r="D158" s="36">
        <f t="shared" si="2"/>
        <v>4497645.3600000041</v>
      </c>
      <c r="E158" s="16" t="s">
        <v>167</v>
      </c>
      <c r="F158" s="16" t="s">
        <v>108</v>
      </c>
    </row>
    <row r="159" spans="1:6" ht="15" customHeight="1" x14ac:dyDescent="0.2">
      <c r="A159" s="35">
        <v>42949</v>
      </c>
      <c r="B159" s="36">
        <v>10.5</v>
      </c>
      <c r="C159" s="36"/>
      <c r="D159" s="36">
        <f t="shared" si="2"/>
        <v>4497634.8600000041</v>
      </c>
      <c r="E159" s="16" t="s">
        <v>219</v>
      </c>
      <c r="F159" s="16" t="s">
        <v>134</v>
      </c>
    </row>
    <row r="160" spans="1:6" ht="15" customHeight="1" x14ac:dyDescent="0.2">
      <c r="A160" s="35">
        <v>42954</v>
      </c>
      <c r="B160" s="36">
        <v>7542.15</v>
      </c>
      <c r="C160" s="36"/>
      <c r="D160" s="36">
        <f t="shared" si="2"/>
        <v>4490092.7100000037</v>
      </c>
      <c r="E160" s="16" t="s">
        <v>38</v>
      </c>
      <c r="F160" s="16" t="s">
        <v>134</v>
      </c>
    </row>
    <row r="161" spans="1:6" ht="15" customHeight="1" x14ac:dyDescent="0.2">
      <c r="A161" s="35">
        <v>42954</v>
      </c>
      <c r="B161" s="36">
        <v>995.54</v>
      </c>
      <c r="C161" s="36"/>
      <c r="D161" s="36">
        <f t="shared" si="2"/>
        <v>4489097.1700000037</v>
      </c>
      <c r="E161" s="16" t="s">
        <v>38</v>
      </c>
      <c r="F161" s="16" t="s">
        <v>134</v>
      </c>
    </row>
    <row r="162" spans="1:6" ht="15" customHeight="1" x14ac:dyDescent="0.2">
      <c r="A162" s="35">
        <v>42956</v>
      </c>
      <c r="B162" s="36"/>
      <c r="C162" s="36">
        <v>26519</v>
      </c>
      <c r="D162" s="36">
        <f t="shared" si="2"/>
        <v>4515616.1700000037</v>
      </c>
      <c r="E162" s="16" t="s">
        <v>174</v>
      </c>
      <c r="F162" s="16" t="s">
        <v>138</v>
      </c>
    </row>
    <row r="163" spans="1:6" ht="15" customHeight="1" x14ac:dyDescent="0.2">
      <c r="A163" s="35">
        <v>42957</v>
      </c>
      <c r="B163" s="36">
        <v>500000</v>
      </c>
      <c r="C163" s="36"/>
      <c r="D163" s="36">
        <f t="shared" si="2"/>
        <v>4015616.1700000037</v>
      </c>
      <c r="E163" s="16" t="s">
        <v>72</v>
      </c>
      <c r="F163" s="16" t="s">
        <v>108</v>
      </c>
    </row>
    <row r="164" spans="1:6" ht="15" customHeight="1" x14ac:dyDescent="0.2">
      <c r="A164" s="35">
        <v>42958</v>
      </c>
      <c r="B164" s="36">
        <v>10.5</v>
      </c>
      <c r="C164" s="36"/>
      <c r="D164" s="36">
        <f t="shared" si="2"/>
        <v>4015605.6700000037</v>
      </c>
      <c r="E164" s="16" t="s">
        <v>219</v>
      </c>
      <c r="F164" s="16" t="s">
        <v>134</v>
      </c>
    </row>
    <row r="165" spans="1:6" ht="15" customHeight="1" x14ac:dyDescent="0.2">
      <c r="A165" s="35">
        <v>42958</v>
      </c>
      <c r="B165" s="36">
        <v>7534.83</v>
      </c>
      <c r="C165" s="36"/>
      <c r="D165" s="36">
        <f t="shared" si="2"/>
        <v>4008070.8400000036</v>
      </c>
      <c r="E165" s="16" t="s">
        <v>73</v>
      </c>
      <c r="F165" s="16" t="s">
        <v>136</v>
      </c>
    </row>
    <row r="166" spans="1:6" ht="15" customHeight="1" x14ac:dyDescent="0.2">
      <c r="A166" s="35">
        <v>42961</v>
      </c>
      <c r="B166" s="36"/>
      <c r="C166" s="36">
        <v>370818</v>
      </c>
      <c r="D166" s="36">
        <f t="shared" si="2"/>
        <v>4378888.8400000036</v>
      </c>
      <c r="E166" s="16" t="s">
        <v>190</v>
      </c>
      <c r="F166" s="16" t="s">
        <v>138</v>
      </c>
    </row>
    <row r="167" spans="1:6" ht="15" customHeight="1" x14ac:dyDescent="0.2">
      <c r="A167" s="35">
        <v>42963</v>
      </c>
      <c r="B167" s="36">
        <v>423</v>
      </c>
      <c r="C167" s="36"/>
      <c r="D167" s="36">
        <f t="shared" si="2"/>
        <v>4378465.8400000036</v>
      </c>
      <c r="E167" s="16" t="s">
        <v>38</v>
      </c>
      <c r="F167" s="16" t="s">
        <v>134</v>
      </c>
    </row>
    <row r="168" spans="1:6" ht="15" customHeight="1" x14ac:dyDescent="0.2">
      <c r="A168" s="35">
        <v>42963</v>
      </c>
      <c r="B168" s="36">
        <v>8614.0400000000009</v>
      </c>
      <c r="C168" s="36"/>
      <c r="D168" s="36">
        <f t="shared" si="2"/>
        <v>4369851.8000000035</v>
      </c>
      <c r="E168" s="16" t="s">
        <v>38</v>
      </c>
      <c r="F168" s="16" t="s">
        <v>134</v>
      </c>
    </row>
    <row r="169" spans="1:6" ht="15" customHeight="1" x14ac:dyDescent="0.2">
      <c r="A169" s="35">
        <v>42963</v>
      </c>
      <c r="B169" s="36">
        <v>2996</v>
      </c>
      <c r="C169" s="36"/>
      <c r="D169" s="36">
        <f t="shared" si="2"/>
        <v>4366855.8000000035</v>
      </c>
      <c r="E169" s="16" t="s">
        <v>38</v>
      </c>
      <c r="F169" s="16" t="s">
        <v>134</v>
      </c>
    </row>
    <row r="170" spans="1:6" ht="15" customHeight="1" x14ac:dyDescent="0.2">
      <c r="A170" s="35">
        <v>42965</v>
      </c>
      <c r="B170" s="36">
        <v>118484</v>
      </c>
      <c r="C170" s="36"/>
      <c r="D170" s="36">
        <f t="shared" si="2"/>
        <v>4248371.8000000035</v>
      </c>
      <c r="E170" s="16" t="s">
        <v>84</v>
      </c>
      <c r="F170" s="16" t="s">
        <v>129</v>
      </c>
    </row>
    <row r="171" spans="1:6" ht="15" customHeight="1" x14ac:dyDescent="0.2">
      <c r="A171" s="35">
        <v>42966</v>
      </c>
      <c r="B171" s="36">
        <v>10.5</v>
      </c>
      <c r="C171" s="36"/>
      <c r="D171" s="36">
        <f t="shared" si="2"/>
        <v>4248361.3000000035</v>
      </c>
      <c r="E171" s="16" t="s">
        <v>219</v>
      </c>
      <c r="F171" s="16" t="s">
        <v>134</v>
      </c>
    </row>
    <row r="172" spans="1:6" ht="15" customHeight="1" x14ac:dyDescent="0.2">
      <c r="A172" s="35">
        <v>42969</v>
      </c>
      <c r="B172" s="36">
        <v>150</v>
      </c>
      <c r="C172" s="36"/>
      <c r="D172" s="36">
        <f t="shared" si="2"/>
        <v>4248211.3000000035</v>
      </c>
      <c r="E172" s="16" t="s">
        <v>189</v>
      </c>
      <c r="F172" s="16" t="s">
        <v>134</v>
      </c>
    </row>
    <row r="173" spans="1:6" ht="15" customHeight="1" x14ac:dyDescent="0.2">
      <c r="A173" s="35">
        <v>42970</v>
      </c>
      <c r="B173" s="36">
        <v>68440</v>
      </c>
      <c r="C173" s="36"/>
      <c r="D173" s="36">
        <f t="shared" si="2"/>
        <v>4179771.3000000035</v>
      </c>
      <c r="E173" s="16" t="s">
        <v>188</v>
      </c>
      <c r="F173" s="16" t="s">
        <v>129</v>
      </c>
    </row>
    <row r="174" spans="1:6" ht="15" customHeight="1" x14ac:dyDescent="0.2">
      <c r="A174" s="35">
        <v>42971</v>
      </c>
      <c r="B174" s="36">
        <v>7</v>
      </c>
      <c r="C174" s="36"/>
      <c r="D174" s="36">
        <f t="shared" si="2"/>
        <v>4179764.3000000035</v>
      </c>
      <c r="E174" s="16" t="s">
        <v>219</v>
      </c>
      <c r="F174" s="16" t="s">
        <v>134</v>
      </c>
    </row>
    <row r="175" spans="1:6" ht="15" customHeight="1" x14ac:dyDescent="0.2">
      <c r="A175" s="35">
        <v>42971</v>
      </c>
      <c r="B175" s="36">
        <v>277080</v>
      </c>
      <c r="C175" s="36"/>
      <c r="D175" s="36">
        <f t="shared" si="2"/>
        <v>3902684.3000000035</v>
      </c>
      <c r="E175" s="16" t="s">
        <v>23</v>
      </c>
      <c r="F175" s="16" t="s">
        <v>129</v>
      </c>
    </row>
    <row r="176" spans="1:6" ht="15" customHeight="1" x14ac:dyDescent="0.2">
      <c r="A176" s="35">
        <v>42971</v>
      </c>
      <c r="B176" s="36"/>
      <c r="C176" s="36">
        <v>597.29999999999995</v>
      </c>
      <c r="D176" s="36">
        <f t="shared" si="2"/>
        <v>3903281.6000000034</v>
      </c>
      <c r="E176" s="16" t="s">
        <v>187</v>
      </c>
      <c r="F176" s="16" t="s">
        <v>138</v>
      </c>
    </row>
    <row r="177" spans="1:6" ht="15" customHeight="1" x14ac:dyDescent="0.2">
      <c r="A177" s="35">
        <v>42972</v>
      </c>
      <c r="B177" s="36">
        <v>10.5</v>
      </c>
      <c r="C177" s="36"/>
      <c r="D177" s="36">
        <f t="shared" si="2"/>
        <v>3903271.1000000034</v>
      </c>
      <c r="E177" s="16" t="s">
        <v>219</v>
      </c>
      <c r="F177" s="16" t="s">
        <v>134</v>
      </c>
    </row>
    <row r="178" spans="1:6" ht="15" customHeight="1" x14ac:dyDescent="0.2">
      <c r="A178" s="35">
        <v>42972</v>
      </c>
      <c r="B178" s="36">
        <v>14087.75</v>
      </c>
      <c r="C178" s="36"/>
      <c r="D178" s="36">
        <f t="shared" si="2"/>
        <v>3889183.3500000034</v>
      </c>
      <c r="E178" s="16" t="s">
        <v>70</v>
      </c>
      <c r="F178" s="16" t="s">
        <v>125</v>
      </c>
    </row>
    <row r="179" spans="1:6" ht="15" customHeight="1" x14ac:dyDescent="0.2">
      <c r="A179" s="35">
        <v>42972</v>
      </c>
      <c r="B179" s="36">
        <v>8922.2000000000007</v>
      </c>
      <c r="C179" s="36"/>
      <c r="D179" s="36">
        <f t="shared" si="2"/>
        <v>3880261.1500000032</v>
      </c>
      <c r="E179" s="16" t="s">
        <v>70</v>
      </c>
      <c r="F179" s="16" t="s">
        <v>125</v>
      </c>
    </row>
    <row r="180" spans="1:6" ht="15" customHeight="1" x14ac:dyDescent="0.2">
      <c r="A180" s="35">
        <v>42972</v>
      </c>
      <c r="B180" s="36">
        <v>4004.9</v>
      </c>
      <c r="C180" s="36"/>
      <c r="D180" s="36">
        <f t="shared" si="2"/>
        <v>3876256.2500000033</v>
      </c>
      <c r="E180" s="16" t="s">
        <v>70</v>
      </c>
      <c r="F180" s="16" t="s">
        <v>125</v>
      </c>
    </row>
    <row r="181" spans="1:6" ht="15" customHeight="1" x14ac:dyDescent="0.2">
      <c r="A181" s="35">
        <v>42972</v>
      </c>
      <c r="B181" s="36">
        <v>1219.31</v>
      </c>
      <c r="C181" s="36"/>
      <c r="D181" s="36">
        <f t="shared" si="2"/>
        <v>3875036.9400000032</v>
      </c>
      <c r="E181" s="16" t="s">
        <v>70</v>
      </c>
      <c r="F181" s="16" t="s">
        <v>125</v>
      </c>
    </row>
    <row r="182" spans="1:6" ht="15" customHeight="1" x14ac:dyDescent="0.2">
      <c r="A182" s="35">
        <v>42972</v>
      </c>
      <c r="B182" s="36">
        <v>14170</v>
      </c>
      <c r="C182" s="36"/>
      <c r="D182" s="36">
        <f t="shared" si="2"/>
        <v>3860866.9400000032</v>
      </c>
      <c r="E182" s="16" t="s">
        <v>186</v>
      </c>
      <c r="F182" s="16" t="s">
        <v>129</v>
      </c>
    </row>
    <row r="183" spans="1:6" ht="15" customHeight="1" x14ac:dyDescent="0.2">
      <c r="A183" s="35">
        <v>42972</v>
      </c>
      <c r="B183" s="36">
        <v>12531.42</v>
      </c>
      <c r="C183" s="36"/>
      <c r="D183" s="36">
        <f t="shared" si="2"/>
        <v>3848335.5200000033</v>
      </c>
      <c r="E183" s="16" t="s">
        <v>15</v>
      </c>
      <c r="F183" s="16" t="s">
        <v>125</v>
      </c>
    </row>
    <row r="184" spans="1:6" ht="15" customHeight="1" x14ac:dyDescent="0.2">
      <c r="A184" s="35">
        <v>42972</v>
      </c>
      <c r="B184" s="36">
        <v>16198.55</v>
      </c>
      <c r="C184" s="36"/>
      <c r="D184" s="36">
        <f t="shared" si="2"/>
        <v>3832136.9700000035</v>
      </c>
      <c r="E184" s="16" t="s">
        <v>15</v>
      </c>
      <c r="F184" s="16" t="s">
        <v>125</v>
      </c>
    </row>
    <row r="185" spans="1:6" ht="15" customHeight="1" x14ac:dyDescent="0.2">
      <c r="A185" s="35">
        <v>42973</v>
      </c>
      <c r="B185" s="36">
        <v>7</v>
      </c>
      <c r="C185" s="36"/>
      <c r="D185" s="36">
        <f t="shared" si="2"/>
        <v>3832129.9700000035</v>
      </c>
      <c r="E185" s="16" t="s">
        <v>219</v>
      </c>
      <c r="F185" s="16" t="s">
        <v>134</v>
      </c>
    </row>
    <row r="186" spans="1:6" ht="15" customHeight="1" x14ac:dyDescent="0.2">
      <c r="A186" s="35">
        <v>42975</v>
      </c>
      <c r="B186" s="36">
        <v>9998</v>
      </c>
      <c r="C186" s="36"/>
      <c r="D186" s="36">
        <f t="shared" si="2"/>
        <v>3822131.9700000035</v>
      </c>
      <c r="E186" s="16" t="s">
        <v>82</v>
      </c>
      <c r="F186" s="16" t="s">
        <v>134</v>
      </c>
    </row>
    <row r="187" spans="1:6" ht="15" customHeight="1" x14ac:dyDescent="0.2">
      <c r="A187" s="35">
        <v>42976</v>
      </c>
      <c r="B187" s="36">
        <v>3.5</v>
      </c>
      <c r="C187" s="36"/>
      <c r="D187" s="36">
        <f t="shared" si="2"/>
        <v>3822128.4700000035</v>
      </c>
      <c r="E187" s="16" t="s">
        <v>219</v>
      </c>
      <c r="F187" s="16" t="s">
        <v>134</v>
      </c>
    </row>
    <row r="188" spans="1:6" ht="15" customHeight="1" x14ac:dyDescent="0.2">
      <c r="A188" s="35">
        <v>42976</v>
      </c>
      <c r="B188" s="36"/>
      <c r="C188" s="36">
        <v>342695.29</v>
      </c>
      <c r="D188" s="36">
        <f t="shared" si="2"/>
        <v>4164823.7600000035</v>
      </c>
      <c r="E188" s="16" t="s">
        <v>185</v>
      </c>
      <c r="F188" s="16" t="s">
        <v>138</v>
      </c>
    </row>
    <row r="189" spans="1:6" ht="15" customHeight="1" x14ac:dyDescent="0.2">
      <c r="A189" s="35">
        <v>42977</v>
      </c>
      <c r="B189" s="36">
        <v>206581.36</v>
      </c>
      <c r="C189" s="36"/>
      <c r="D189" s="36">
        <f t="shared" si="2"/>
        <v>3958242.4000000036</v>
      </c>
      <c r="E189" s="16" t="s">
        <v>83</v>
      </c>
      <c r="F189" s="16" t="s">
        <v>129</v>
      </c>
    </row>
    <row r="190" spans="1:6" ht="15" customHeight="1" x14ac:dyDescent="0.2">
      <c r="A190" s="35">
        <v>42977</v>
      </c>
      <c r="B190" s="36">
        <v>2937.85</v>
      </c>
      <c r="C190" s="36"/>
      <c r="D190" s="36">
        <f t="shared" si="2"/>
        <v>3955304.5500000035</v>
      </c>
      <c r="E190" s="16" t="s">
        <v>38</v>
      </c>
      <c r="F190" s="16" t="s">
        <v>134</v>
      </c>
    </row>
    <row r="191" spans="1:6" ht="15" customHeight="1" x14ac:dyDescent="0.2">
      <c r="A191" s="35">
        <v>42977</v>
      </c>
      <c r="B191" s="36">
        <v>783.7</v>
      </c>
      <c r="C191" s="36"/>
      <c r="D191" s="36">
        <f t="shared" si="2"/>
        <v>3954520.8500000034</v>
      </c>
      <c r="E191" s="16" t="s">
        <v>38</v>
      </c>
      <c r="F191" s="16" t="s">
        <v>134</v>
      </c>
    </row>
    <row r="192" spans="1:6" ht="15" customHeight="1" x14ac:dyDescent="0.2">
      <c r="A192" s="35">
        <v>42977</v>
      </c>
      <c r="B192" s="36">
        <v>2189</v>
      </c>
      <c r="C192" s="36"/>
      <c r="D192" s="36">
        <f t="shared" si="2"/>
        <v>3952331.8500000034</v>
      </c>
      <c r="E192" s="16" t="s">
        <v>38</v>
      </c>
      <c r="F192" s="16" t="s">
        <v>134</v>
      </c>
    </row>
    <row r="193" spans="1:6" ht="15" customHeight="1" x14ac:dyDescent="0.2">
      <c r="A193" s="35">
        <v>42978</v>
      </c>
      <c r="B193" s="36">
        <v>10.5</v>
      </c>
      <c r="C193" s="36"/>
      <c r="D193" s="36">
        <f t="shared" si="2"/>
        <v>3952321.3500000034</v>
      </c>
      <c r="E193" s="16" t="s">
        <v>219</v>
      </c>
      <c r="F193" s="16" t="s">
        <v>134</v>
      </c>
    </row>
    <row r="194" spans="1:6" ht="15" customHeight="1" x14ac:dyDescent="0.2">
      <c r="A194" s="35">
        <v>42979</v>
      </c>
      <c r="B194" s="36">
        <v>250000</v>
      </c>
      <c r="C194" s="36"/>
      <c r="D194" s="36">
        <f t="shared" si="2"/>
        <v>3702321.3500000034</v>
      </c>
      <c r="E194" s="16" t="s">
        <v>168</v>
      </c>
      <c r="F194" s="16" t="s">
        <v>108</v>
      </c>
    </row>
    <row r="195" spans="1:6" ht="15" customHeight="1" x14ac:dyDescent="0.2">
      <c r="A195" s="35">
        <v>42979</v>
      </c>
      <c r="B195" s="36">
        <v>400000</v>
      </c>
      <c r="C195" s="36"/>
      <c r="D195" s="36">
        <f t="shared" si="2"/>
        <v>3302321.3500000034</v>
      </c>
      <c r="E195" s="16" t="s">
        <v>168</v>
      </c>
      <c r="F195" s="16" t="s">
        <v>108</v>
      </c>
    </row>
    <row r="196" spans="1:6" ht="15" customHeight="1" x14ac:dyDescent="0.2">
      <c r="A196" s="35">
        <v>42980</v>
      </c>
      <c r="B196" s="36">
        <v>21</v>
      </c>
      <c r="C196" s="36"/>
      <c r="D196" s="36">
        <f t="shared" si="2"/>
        <v>3302300.3500000034</v>
      </c>
      <c r="E196" s="16" t="s">
        <v>219</v>
      </c>
      <c r="F196" s="16" t="s">
        <v>134</v>
      </c>
    </row>
    <row r="197" spans="1:6" ht="15" customHeight="1" x14ac:dyDescent="0.2">
      <c r="A197" s="35">
        <v>42982</v>
      </c>
      <c r="B197" s="36"/>
      <c r="C197" s="36">
        <v>1200000</v>
      </c>
      <c r="D197" s="36">
        <f t="shared" si="2"/>
        <v>4502300.3500000034</v>
      </c>
      <c r="E197" s="16" t="s">
        <v>12</v>
      </c>
      <c r="F197" s="16" t="s">
        <v>108</v>
      </c>
    </row>
    <row r="198" spans="1:6" ht="15" customHeight="1" x14ac:dyDescent="0.2">
      <c r="A198" s="35">
        <v>42983</v>
      </c>
      <c r="B198" s="36">
        <v>1200000</v>
      </c>
      <c r="C198" s="36"/>
      <c r="D198" s="36">
        <f t="shared" ref="D198:D261" si="3">D197+C198-B198</f>
        <v>3302300.3500000034</v>
      </c>
      <c r="E198" s="16" t="s">
        <v>80</v>
      </c>
      <c r="F198" s="16" t="s">
        <v>108</v>
      </c>
    </row>
    <row r="199" spans="1:6" ht="15" customHeight="1" x14ac:dyDescent="0.2">
      <c r="A199" s="35">
        <v>42984</v>
      </c>
      <c r="B199" s="36">
        <v>16.8</v>
      </c>
      <c r="C199" s="36"/>
      <c r="D199" s="36">
        <f t="shared" si="3"/>
        <v>3302283.5500000035</v>
      </c>
      <c r="E199" s="16" t="s">
        <v>219</v>
      </c>
      <c r="F199" s="16" t="s">
        <v>134</v>
      </c>
    </row>
    <row r="200" spans="1:6" ht="15" customHeight="1" x14ac:dyDescent="0.2">
      <c r="A200" s="35">
        <v>42985</v>
      </c>
      <c r="B200" s="36">
        <v>7430</v>
      </c>
      <c r="C200" s="36"/>
      <c r="D200" s="36">
        <f t="shared" si="3"/>
        <v>3294853.5500000035</v>
      </c>
      <c r="E200" s="16" t="s">
        <v>56</v>
      </c>
      <c r="F200" s="16" t="s">
        <v>136</v>
      </c>
    </row>
    <row r="201" spans="1:6" ht="15" customHeight="1" x14ac:dyDescent="0.2">
      <c r="A201" s="35">
        <v>42986</v>
      </c>
      <c r="B201" s="36"/>
      <c r="C201" s="36">
        <v>1200000</v>
      </c>
      <c r="D201" s="36">
        <f t="shared" si="3"/>
        <v>4494853.5500000035</v>
      </c>
      <c r="E201" s="16" t="s">
        <v>13</v>
      </c>
      <c r="F201" s="16" t="s">
        <v>144</v>
      </c>
    </row>
    <row r="202" spans="1:6" ht="15" customHeight="1" x14ac:dyDescent="0.2">
      <c r="A202" s="35">
        <v>42990</v>
      </c>
      <c r="B202" s="36"/>
      <c r="C202" s="36">
        <v>13110.28</v>
      </c>
      <c r="D202" s="36">
        <f t="shared" si="3"/>
        <v>4507963.8300000038</v>
      </c>
      <c r="E202" s="16" t="s">
        <v>183</v>
      </c>
      <c r="F202" s="16" t="s">
        <v>138</v>
      </c>
    </row>
    <row r="203" spans="1:6" ht="15" customHeight="1" x14ac:dyDescent="0.2">
      <c r="A203" s="35">
        <v>42999</v>
      </c>
      <c r="B203" s="36"/>
      <c r="C203" s="36">
        <v>2115.64</v>
      </c>
      <c r="D203" s="36">
        <f t="shared" si="3"/>
        <v>4510079.4700000035</v>
      </c>
      <c r="E203" s="16" t="s">
        <v>85</v>
      </c>
      <c r="F203" s="16" t="s">
        <v>142</v>
      </c>
    </row>
    <row r="204" spans="1:6" ht="15" customHeight="1" x14ac:dyDescent="0.2">
      <c r="A204" s="35">
        <v>42999</v>
      </c>
      <c r="B204" s="36">
        <v>40</v>
      </c>
      <c r="C204" s="36"/>
      <c r="D204" s="36">
        <f t="shared" si="3"/>
        <v>4510039.4700000035</v>
      </c>
      <c r="E204" s="16" t="s">
        <v>86</v>
      </c>
      <c r="F204" s="16" t="s">
        <v>134</v>
      </c>
    </row>
    <row r="205" spans="1:6" ht="15" customHeight="1" x14ac:dyDescent="0.2">
      <c r="A205" s="35">
        <v>43000</v>
      </c>
      <c r="B205" s="36">
        <v>5199</v>
      </c>
      <c r="C205" s="36"/>
      <c r="D205" s="36">
        <f t="shared" si="3"/>
        <v>4504840.4700000035</v>
      </c>
      <c r="E205" s="16" t="s">
        <v>87</v>
      </c>
      <c r="F205" s="16" t="s">
        <v>129</v>
      </c>
    </row>
    <row r="206" spans="1:6" ht="15" customHeight="1" x14ac:dyDescent="0.2">
      <c r="A206" s="35">
        <v>43003</v>
      </c>
      <c r="B206" s="36">
        <v>3000</v>
      </c>
      <c r="C206" s="36"/>
      <c r="D206" s="36">
        <f t="shared" si="3"/>
        <v>4501840.4700000035</v>
      </c>
      <c r="E206" s="16" t="s">
        <v>81</v>
      </c>
      <c r="F206" s="16" t="s">
        <v>129</v>
      </c>
    </row>
    <row r="207" spans="1:6" ht="15" customHeight="1" x14ac:dyDescent="0.2">
      <c r="A207" s="35">
        <v>43003</v>
      </c>
      <c r="B207" s="36">
        <v>501</v>
      </c>
      <c r="C207" s="36"/>
      <c r="D207" s="36">
        <f t="shared" si="3"/>
        <v>4501339.4700000035</v>
      </c>
      <c r="E207" s="16" t="s">
        <v>38</v>
      </c>
      <c r="F207" s="16" t="s">
        <v>134</v>
      </c>
    </row>
    <row r="208" spans="1:6" ht="15" customHeight="1" x14ac:dyDescent="0.2">
      <c r="A208" s="35">
        <v>43003</v>
      </c>
      <c r="B208" s="36">
        <v>8113.5</v>
      </c>
      <c r="C208" s="36"/>
      <c r="D208" s="36">
        <f t="shared" si="3"/>
        <v>4493225.9700000035</v>
      </c>
      <c r="E208" s="16" t="s">
        <v>38</v>
      </c>
      <c r="F208" s="16" t="s">
        <v>134</v>
      </c>
    </row>
    <row r="209" spans="1:6" ht="15" customHeight="1" x14ac:dyDescent="0.2">
      <c r="A209" s="35">
        <v>43003</v>
      </c>
      <c r="B209" s="36">
        <v>300</v>
      </c>
      <c r="C209" s="36"/>
      <c r="D209" s="36">
        <f t="shared" si="3"/>
        <v>4492925.9700000035</v>
      </c>
      <c r="E209" s="16" t="s">
        <v>38</v>
      </c>
      <c r="F209" s="16" t="s">
        <v>134</v>
      </c>
    </row>
    <row r="210" spans="1:6" ht="15" customHeight="1" x14ac:dyDescent="0.2">
      <c r="A210" s="35">
        <v>43003</v>
      </c>
      <c r="B210" s="36">
        <v>88</v>
      </c>
      <c r="C210" s="36"/>
      <c r="D210" s="36">
        <f t="shared" si="3"/>
        <v>4492837.9700000035</v>
      </c>
      <c r="E210" s="16" t="s">
        <v>38</v>
      </c>
      <c r="F210" s="16" t="s">
        <v>134</v>
      </c>
    </row>
    <row r="211" spans="1:6" ht="15" customHeight="1" x14ac:dyDescent="0.2">
      <c r="A211" s="35">
        <v>43003</v>
      </c>
      <c r="B211" s="36">
        <v>2197.8000000000002</v>
      </c>
      <c r="C211" s="36"/>
      <c r="D211" s="36">
        <f t="shared" si="3"/>
        <v>4490640.1700000037</v>
      </c>
      <c r="E211" s="16" t="s">
        <v>38</v>
      </c>
      <c r="F211" s="16" t="s">
        <v>134</v>
      </c>
    </row>
    <row r="212" spans="1:6" ht="15" customHeight="1" x14ac:dyDescent="0.2">
      <c r="A212" s="35">
        <v>43003</v>
      </c>
      <c r="B212" s="36">
        <v>14087.75</v>
      </c>
      <c r="C212" s="36"/>
      <c r="D212" s="36">
        <f t="shared" si="3"/>
        <v>4476552.4200000037</v>
      </c>
      <c r="E212" s="16" t="s">
        <v>15</v>
      </c>
      <c r="F212" s="16" t="s">
        <v>125</v>
      </c>
    </row>
    <row r="213" spans="1:6" ht="15" customHeight="1" x14ac:dyDescent="0.2">
      <c r="A213" s="35">
        <v>43003</v>
      </c>
      <c r="B213" s="36">
        <v>8922.2000000000007</v>
      </c>
      <c r="C213" s="36"/>
      <c r="D213" s="36">
        <f t="shared" si="3"/>
        <v>4467630.2200000035</v>
      </c>
      <c r="E213" s="16" t="s">
        <v>15</v>
      </c>
      <c r="F213" s="16" t="s">
        <v>125</v>
      </c>
    </row>
    <row r="214" spans="1:6" ht="15" customHeight="1" x14ac:dyDescent="0.2">
      <c r="A214" s="35">
        <v>43003</v>
      </c>
      <c r="B214" s="36">
        <v>4004.9</v>
      </c>
      <c r="C214" s="36"/>
      <c r="D214" s="36">
        <f t="shared" si="3"/>
        <v>4463625.3200000031</v>
      </c>
      <c r="E214" s="16" t="s">
        <v>15</v>
      </c>
      <c r="F214" s="16" t="s">
        <v>125</v>
      </c>
    </row>
    <row r="215" spans="1:6" ht="15" customHeight="1" x14ac:dyDescent="0.2">
      <c r="A215" s="35">
        <v>43003</v>
      </c>
      <c r="B215" s="36">
        <v>12531.42</v>
      </c>
      <c r="C215" s="36"/>
      <c r="D215" s="36">
        <f t="shared" si="3"/>
        <v>4451093.9000000032</v>
      </c>
      <c r="E215" s="16" t="s">
        <v>15</v>
      </c>
      <c r="F215" s="16" t="s">
        <v>125</v>
      </c>
    </row>
    <row r="216" spans="1:6" ht="15" customHeight="1" x14ac:dyDescent="0.2">
      <c r="A216" s="35">
        <v>43003</v>
      </c>
      <c r="B216" s="36">
        <v>16198.55</v>
      </c>
      <c r="C216" s="36"/>
      <c r="D216" s="36">
        <f t="shared" si="3"/>
        <v>4434895.3500000034</v>
      </c>
      <c r="E216" s="16" t="s">
        <v>15</v>
      </c>
      <c r="F216" s="16" t="s">
        <v>125</v>
      </c>
    </row>
    <row r="217" spans="1:6" ht="15" customHeight="1" x14ac:dyDescent="0.2">
      <c r="A217" s="35">
        <v>43019</v>
      </c>
      <c r="B217" s="36">
        <v>50000</v>
      </c>
      <c r="C217" s="36"/>
      <c r="D217" s="36">
        <f t="shared" si="3"/>
        <v>4384895.3500000034</v>
      </c>
      <c r="E217" s="16" t="s">
        <v>77</v>
      </c>
      <c r="F217" s="16" t="s">
        <v>129</v>
      </c>
    </row>
    <row r="218" spans="1:6" ht="15" customHeight="1" x14ac:dyDescent="0.2">
      <c r="A218" s="35">
        <v>43019</v>
      </c>
      <c r="B218" s="36">
        <v>50000</v>
      </c>
      <c r="C218" s="36"/>
      <c r="D218" s="36">
        <f t="shared" si="3"/>
        <v>4334895.3500000034</v>
      </c>
      <c r="E218" s="16" t="s">
        <v>77</v>
      </c>
      <c r="F218" s="16" t="s">
        <v>129</v>
      </c>
    </row>
    <row r="219" spans="1:6" ht="15" customHeight="1" x14ac:dyDescent="0.2">
      <c r="A219" s="35">
        <v>43020</v>
      </c>
      <c r="B219" s="36">
        <v>23800</v>
      </c>
      <c r="C219" s="36"/>
      <c r="D219" s="36">
        <f t="shared" si="3"/>
        <v>4311095.3500000034</v>
      </c>
      <c r="E219" s="16" t="s">
        <v>78</v>
      </c>
      <c r="F219" s="16" t="s">
        <v>134</v>
      </c>
    </row>
    <row r="220" spans="1:6" ht="15" customHeight="1" x14ac:dyDescent="0.2">
      <c r="A220" s="35">
        <v>43021</v>
      </c>
      <c r="B220" s="36">
        <v>17952.72</v>
      </c>
      <c r="C220" s="36"/>
      <c r="D220" s="36">
        <f t="shared" si="3"/>
        <v>4293142.6300000036</v>
      </c>
      <c r="E220" s="16" t="s">
        <v>56</v>
      </c>
      <c r="F220" s="16" t="s">
        <v>136</v>
      </c>
    </row>
    <row r="221" spans="1:6" s="14" customFormat="1" ht="15" customHeight="1" x14ac:dyDescent="0.2">
      <c r="A221" s="35">
        <v>43025</v>
      </c>
      <c r="B221" s="36">
        <v>30000</v>
      </c>
      <c r="C221" s="36"/>
      <c r="D221" s="36">
        <f t="shared" si="3"/>
        <v>4263142.6300000036</v>
      </c>
      <c r="E221" s="16" t="s">
        <v>79</v>
      </c>
      <c r="F221" s="16" t="s">
        <v>108</v>
      </c>
    </row>
    <row r="222" spans="1:6" ht="15" customHeight="1" x14ac:dyDescent="0.2">
      <c r="A222" s="35">
        <v>43026</v>
      </c>
      <c r="B222" s="36">
        <v>7</v>
      </c>
      <c r="C222" s="36"/>
      <c r="D222" s="36">
        <f t="shared" si="3"/>
        <v>4263135.6300000036</v>
      </c>
      <c r="E222" s="16" t="s">
        <v>219</v>
      </c>
      <c r="F222" s="16" t="s">
        <v>134</v>
      </c>
    </row>
    <row r="223" spans="1:6" ht="15" customHeight="1" x14ac:dyDescent="0.2">
      <c r="A223" s="35">
        <v>43026</v>
      </c>
      <c r="B223" s="36">
        <v>37286</v>
      </c>
      <c r="C223" s="36"/>
      <c r="D223" s="36">
        <f t="shared" si="3"/>
        <v>4225849.6300000036</v>
      </c>
      <c r="E223" s="16" t="s">
        <v>171</v>
      </c>
      <c r="F223" s="16" t="s">
        <v>134</v>
      </c>
    </row>
    <row r="224" spans="1:6" ht="15" customHeight="1" x14ac:dyDescent="0.2">
      <c r="A224" s="35">
        <v>43026</v>
      </c>
      <c r="B224" s="36">
        <v>37286</v>
      </c>
      <c r="C224" s="36"/>
      <c r="D224" s="36">
        <f t="shared" si="3"/>
        <v>4188563.6300000036</v>
      </c>
      <c r="E224" s="16" t="s">
        <v>171</v>
      </c>
      <c r="F224" s="16" t="s">
        <v>134</v>
      </c>
    </row>
    <row r="225" spans="1:6" ht="15" customHeight="1" x14ac:dyDescent="0.2">
      <c r="A225" s="35">
        <v>43033</v>
      </c>
      <c r="B225" s="36">
        <v>31578.9</v>
      </c>
      <c r="C225" s="36"/>
      <c r="D225" s="36">
        <f t="shared" si="3"/>
        <v>4156984.7300000037</v>
      </c>
      <c r="E225" s="16" t="s">
        <v>70</v>
      </c>
      <c r="F225" s="16" t="s">
        <v>125</v>
      </c>
    </row>
    <row r="226" spans="1:6" ht="15" customHeight="1" x14ac:dyDescent="0.2">
      <c r="A226" s="35">
        <v>43033</v>
      </c>
      <c r="B226" s="36">
        <v>8922.2000000000007</v>
      </c>
      <c r="C226" s="36"/>
      <c r="D226" s="36">
        <f t="shared" si="3"/>
        <v>4148062.5300000035</v>
      </c>
      <c r="E226" s="16" t="s">
        <v>70</v>
      </c>
      <c r="F226" s="16" t="s">
        <v>125</v>
      </c>
    </row>
    <row r="227" spans="1:6" ht="15" customHeight="1" x14ac:dyDescent="0.2">
      <c r="A227" s="35">
        <v>43033</v>
      </c>
      <c r="B227" s="36">
        <v>4004.9</v>
      </c>
      <c r="C227" s="36"/>
      <c r="D227" s="36">
        <f t="shared" si="3"/>
        <v>4144057.6300000036</v>
      </c>
      <c r="E227" s="16" t="s">
        <v>70</v>
      </c>
      <c r="F227" s="16" t="s">
        <v>125</v>
      </c>
    </row>
    <row r="228" spans="1:6" ht="15" customHeight="1" x14ac:dyDescent="0.2">
      <c r="A228" s="35">
        <v>43033</v>
      </c>
      <c r="B228" s="36">
        <v>11523.05</v>
      </c>
      <c r="C228" s="36"/>
      <c r="D228" s="36">
        <f t="shared" si="3"/>
        <v>4132534.5800000038</v>
      </c>
      <c r="E228" s="16" t="s">
        <v>70</v>
      </c>
      <c r="F228" s="16" t="s">
        <v>125</v>
      </c>
    </row>
    <row r="229" spans="1:6" ht="15" customHeight="1" x14ac:dyDescent="0.2">
      <c r="A229" s="35">
        <v>43033</v>
      </c>
      <c r="B229" s="36">
        <v>26416.55</v>
      </c>
      <c r="C229" s="36"/>
      <c r="D229" s="36">
        <f t="shared" si="3"/>
        <v>4106118.030000004</v>
      </c>
      <c r="E229" s="16" t="s">
        <v>70</v>
      </c>
      <c r="F229" s="16" t="s">
        <v>125</v>
      </c>
    </row>
    <row r="230" spans="1:6" ht="15" customHeight="1" x14ac:dyDescent="0.2">
      <c r="A230" s="35">
        <v>43033</v>
      </c>
      <c r="B230" s="36">
        <v>2317.2399999999998</v>
      </c>
      <c r="C230" s="36"/>
      <c r="D230" s="36">
        <f t="shared" si="3"/>
        <v>4103800.7900000038</v>
      </c>
      <c r="E230" s="16" t="s">
        <v>70</v>
      </c>
      <c r="F230" s="16" t="s">
        <v>125</v>
      </c>
    </row>
    <row r="231" spans="1:6" ht="15" customHeight="1" x14ac:dyDescent="0.2">
      <c r="A231" s="35">
        <v>43033</v>
      </c>
      <c r="B231" s="36">
        <v>6300</v>
      </c>
      <c r="C231" s="36"/>
      <c r="D231" s="36">
        <f t="shared" si="3"/>
        <v>4097500.7900000038</v>
      </c>
      <c r="E231" s="16" t="s">
        <v>70</v>
      </c>
      <c r="F231" s="16" t="s">
        <v>125</v>
      </c>
    </row>
    <row r="232" spans="1:6" ht="15" customHeight="1" x14ac:dyDescent="0.2">
      <c r="A232" s="35">
        <v>43034</v>
      </c>
      <c r="B232" s="36">
        <v>580000</v>
      </c>
      <c r="C232" s="36"/>
      <c r="D232" s="36">
        <f t="shared" si="3"/>
        <v>3517500.7900000038</v>
      </c>
      <c r="E232" s="16" t="s">
        <v>88</v>
      </c>
      <c r="F232" s="16" t="s">
        <v>129</v>
      </c>
    </row>
    <row r="233" spans="1:6" ht="15" customHeight="1" x14ac:dyDescent="0.2">
      <c r="A233" s="35">
        <v>43034</v>
      </c>
      <c r="B233" s="36">
        <v>420000</v>
      </c>
      <c r="C233" s="36"/>
      <c r="D233" s="36">
        <f t="shared" si="3"/>
        <v>3097500.7900000038</v>
      </c>
      <c r="E233" s="16" t="s">
        <v>89</v>
      </c>
      <c r="F233" s="16" t="s">
        <v>129</v>
      </c>
    </row>
    <row r="234" spans="1:6" ht="15" customHeight="1" x14ac:dyDescent="0.2">
      <c r="A234" s="35">
        <v>43034</v>
      </c>
      <c r="B234" s="36">
        <v>28162.75</v>
      </c>
      <c r="C234" s="36"/>
      <c r="D234" s="36">
        <f t="shared" si="3"/>
        <v>3069338.0400000038</v>
      </c>
      <c r="E234" s="16" t="s">
        <v>90</v>
      </c>
      <c r="F234" s="16" t="s">
        <v>129</v>
      </c>
    </row>
    <row r="235" spans="1:6" ht="15" customHeight="1" x14ac:dyDescent="0.2">
      <c r="A235" s="35">
        <v>43034</v>
      </c>
      <c r="B235" s="36">
        <v>50000</v>
      </c>
      <c r="C235" s="36"/>
      <c r="D235" s="36">
        <f t="shared" si="3"/>
        <v>3019338.0400000038</v>
      </c>
      <c r="E235" s="16" t="s">
        <v>90</v>
      </c>
      <c r="F235" s="16" t="s">
        <v>129</v>
      </c>
    </row>
    <row r="236" spans="1:6" ht="15" customHeight="1" x14ac:dyDescent="0.2">
      <c r="A236" s="35">
        <v>43035</v>
      </c>
      <c r="B236" s="36">
        <v>24.5</v>
      </c>
      <c r="C236" s="36"/>
      <c r="D236" s="36">
        <f t="shared" si="3"/>
        <v>3019313.5400000038</v>
      </c>
      <c r="E236" s="16" t="s">
        <v>219</v>
      </c>
      <c r="F236" s="16" t="s">
        <v>134</v>
      </c>
    </row>
    <row r="237" spans="1:6" ht="15" customHeight="1" x14ac:dyDescent="0.2">
      <c r="A237" s="35">
        <v>43035</v>
      </c>
      <c r="B237" s="36">
        <v>12712.3</v>
      </c>
      <c r="C237" s="36"/>
      <c r="D237" s="36">
        <f t="shared" si="3"/>
        <v>3006601.2400000039</v>
      </c>
      <c r="E237" s="16" t="s">
        <v>38</v>
      </c>
      <c r="F237" s="16" t="s">
        <v>134</v>
      </c>
    </row>
    <row r="238" spans="1:6" ht="15" customHeight="1" x14ac:dyDescent="0.2">
      <c r="A238" s="35">
        <v>43035</v>
      </c>
      <c r="B238" s="36">
        <v>7.2</v>
      </c>
      <c r="C238" s="36"/>
      <c r="D238" s="36">
        <f t="shared" si="3"/>
        <v>3006594.0400000038</v>
      </c>
      <c r="E238" s="16" t="s">
        <v>38</v>
      </c>
      <c r="F238" s="16" t="s">
        <v>134</v>
      </c>
    </row>
    <row r="239" spans="1:6" ht="15" customHeight="1" x14ac:dyDescent="0.2">
      <c r="A239" s="35">
        <v>43041</v>
      </c>
      <c r="B239" s="36"/>
      <c r="C239" s="36">
        <v>500000</v>
      </c>
      <c r="D239" s="36">
        <f t="shared" si="3"/>
        <v>3506594.0400000038</v>
      </c>
      <c r="E239" s="16" t="s">
        <v>91</v>
      </c>
      <c r="F239" s="16" t="s">
        <v>108</v>
      </c>
    </row>
    <row r="240" spans="1:6" ht="15" customHeight="1" x14ac:dyDescent="0.2">
      <c r="A240" s="35">
        <v>43042</v>
      </c>
      <c r="B240" s="36">
        <v>2100</v>
      </c>
      <c r="C240" s="36"/>
      <c r="D240" s="36">
        <f t="shared" si="3"/>
        <v>3504494.0400000038</v>
      </c>
      <c r="E240" s="16" t="s">
        <v>92</v>
      </c>
      <c r="F240" s="16" t="s">
        <v>134</v>
      </c>
    </row>
    <row r="241" spans="1:8" ht="15" customHeight="1" x14ac:dyDescent="0.2">
      <c r="A241" s="35">
        <v>43042</v>
      </c>
      <c r="B241" s="36">
        <v>43621.3</v>
      </c>
      <c r="C241" s="36"/>
      <c r="D241" s="36">
        <f t="shared" si="3"/>
        <v>3460872.7400000039</v>
      </c>
      <c r="E241" s="16" t="s">
        <v>90</v>
      </c>
      <c r="F241" s="16" t="s">
        <v>129</v>
      </c>
    </row>
    <row r="242" spans="1:8" ht="15" customHeight="1" x14ac:dyDescent="0.2">
      <c r="A242" s="35">
        <v>43042</v>
      </c>
      <c r="B242" s="36">
        <v>50000</v>
      </c>
      <c r="C242" s="36"/>
      <c r="D242" s="36">
        <f t="shared" si="3"/>
        <v>3410872.7400000039</v>
      </c>
      <c r="E242" s="16" t="s">
        <v>90</v>
      </c>
      <c r="F242" s="16" t="s">
        <v>129</v>
      </c>
    </row>
    <row r="243" spans="1:8" ht="15" customHeight="1" x14ac:dyDescent="0.2">
      <c r="A243" s="35">
        <v>43053</v>
      </c>
      <c r="B243" s="36">
        <v>4109</v>
      </c>
      <c r="C243" s="36"/>
      <c r="D243" s="36">
        <f t="shared" si="3"/>
        <v>3406763.7400000039</v>
      </c>
      <c r="E243" s="16" t="s">
        <v>38</v>
      </c>
      <c r="F243" s="16" t="s">
        <v>134</v>
      </c>
    </row>
    <row r="244" spans="1:8" ht="15" customHeight="1" x14ac:dyDescent="0.2">
      <c r="A244" s="35">
        <v>43053</v>
      </c>
      <c r="B244" s="36">
        <v>4200.57</v>
      </c>
      <c r="C244" s="36"/>
      <c r="D244" s="36">
        <f t="shared" si="3"/>
        <v>3402563.1700000041</v>
      </c>
      <c r="E244" s="16" t="s">
        <v>97</v>
      </c>
      <c r="F244" s="16" t="s">
        <v>136</v>
      </c>
    </row>
    <row r="245" spans="1:8" ht="15" customHeight="1" x14ac:dyDescent="0.2">
      <c r="A245" s="35">
        <v>43056</v>
      </c>
      <c r="B245" s="36">
        <v>5901</v>
      </c>
      <c r="C245" s="36"/>
      <c r="D245" s="36">
        <f t="shared" si="3"/>
        <v>3396662.1700000041</v>
      </c>
      <c r="E245" s="16" t="s">
        <v>90</v>
      </c>
      <c r="F245" s="16" t="s">
        <v>129</v>
      </c>
    </row>
    <row r="246" spans="1:8" ht="15" customHeight="1" x14ac:dyDescent="0.2">
      <c r="A246" s="35">
        <v>43056</v>
      </c>
      <c r="B246" s="36">
        <v>50000</v>
      </c>
      <c r="C246" s="36"/>
      <c r="D246" s="36">
        <f t="shared" si="3"/>
        <v>3346662.1700000041</v>
      </c>
      <c r="E246" s="16" t="s">
        <v>90</v>
      </c>
      <c r="F246" s="16" t="s">
        <v>129</v>
      </c>
    </row>
    <row r="247" spans="1:8" ht="15" customHeight="1" x14ac:dyDescent="0.2">
      <c r="A247" s="35">
        <v>43056</v>
      </c>
      <c r="B247" s="36">
        <v>50000</v>
      </c>
      <c r="C247" s="36"/>
      <c r="D247" s="36">
        <f t="shared" si="3"/>
        <v>3296662.1700000041</v>
      </c>
      <c r="E247" s="16" t="s">
        <v>90</v>
      </c>
      <c r="F247" s="16" t="s">
        <v>129</v>
      </c>
    </row>
    <row r="248" spans="1:8" ht="15" customHeight="1" x14ac:dyDescent="0.2">
      <c r="A248" s="35">
        <v>43063</v>
      </c>
      <c r="B248" s="36"/>
      <c r="C248" s="36">
        <v>1800</v>
      </c>
      <c r="D248" s="36">
        <f t="shared" si="3"/>
        <v>3298462.1700000041</v>
      </c>
      <c r="E248" s="16" t="s">
        <v>96</v>
      </c>
      <c r="F248" s="16" t="s">
        <v>142</v>
      </c>
      <c r="H248" s="15"/>
    </row>
    <row r="249" spans="1:8" ht="15" customHeight="1" x14ac:dyDescent="0.2">
      <c r="A249" s="35">
        <v>43064</v>
      </c>
      <c r="B249" s="36">
        <v>14087.75</v>
      </c>
      <c r="C249" s="36"/>
      <c r="D249" s="36">
        <f t="shared" si="3"/>
        <v>3284374.4200000041</v>
      </c>
      <c r="E249" s="16" t="s">
        <v>70</v>
      </c>
      <c r="F249" s="16" t="s">
        <v>125</v>
      </c>
    </row>
    <row r="250" spans="1:8" ht="15" customHeight="1" x14ac:dyDescent="0.2">
      <c r="A250" s="35">
        <v>43064</v>
      </c>
      <c r="B250" s="36">
        <v>8922.2000000000007</v>
      </c>
      <c r="C250" s="36"/>
      <c r="D250" s="36">
        <f t="shared" si="3"/>
        <v>3275452.2200000039</v>
      </c>
      <c r="E250" s="16" t="s">
        <v>70</v>
      </c>
      <c r="F250" s="16" t="s">
        <v>125</v>
      </c>
    </row>
    <row r="251" spans="1:8" ht="15" customHeight="1" x14ac:dyDescent="0.2">
      <c r="A251" s="35">
        <v>43064</v>
      </c>
      <c r="B251" s="36">
        <v>4004.9</v>
      </c>
      <c r="C251" s="36"/>
      <c r="D251" s="36">
        <f t="shared" si="3"/>
        <v>3271447.320000004</v>
      </c>
      <c r="E251" s="16" t="s">
        <v>70</v>
      </c>
      <c r="F251" s="16" t="s">
        <v>125</v>
      </c>
    </row>
    <row r="252" spans="1:8" ht="15" customHeight="1" x14ac:dyDescent="0.2">
      <c r="A252" s="35">
        <v>43064</v>
      </c>
      <c r="B252" s="36">
        <v>7330.1</v>
      </c>
      <c r="C252" s="36"/>
      <c r="D252" s="36">
        <f t="shared" si="3"/>
        <v>3264117.2200000039</v>
      </c>
      <c r="E252" s="16" t="s">
        <v>70</v>
      </c>
      <c r="F252" s="16" t="s">
        <v>125</v>
      </c>
    </row>
    <row r="253" spans="1:8" ht="15" customHeight="1" x14ac:dyDescent="0.2">
      <c r="A253" s="35">
        <v>43064</v>
      </c>
      <c r="B253" s="36">
        <v>4955</v>
      </c>
      <c r="C253" s="36"/>
      <c r="D253" s="36">
        <f t="shared" si="3"/>
        <v>3259162.2200000039</v>
      </c>
      <c r="E253" s="16" t="s">
        <v>70</v>
      </c>
      <c r="F253" s="16" t="s">
        <v>125</v>
      </c>
    </row>
    <row r="254" spans="1:8" ht="15" customHeight="1" x14ac:dyDescent="0.2">
      <c r="A254" s="35">
        <v>43064</v>
      </c>
      <c r="B254" s="36">
        <v>4955</v>
      </c>
      <c r="C254" s="36"/>
      <c r="D254" s="36">
        <f t="shared" si="3"/>
        <v>3254207.2200000039</v>
      </c>
      <c r="E254" s="16" t="s">
        <v>70</v>
      </c>
      <c r="F254" s="16" t="s">
        <v>125</v>
      </c>
    </row>
    <row r="255" spans="1:8" ht="15" customHeight="1" x14ac:dyDescent="0.2">
      <c r="A255" s="35">
        <v>43064</v>
      </c>
      <c r="B255" s="36">
        <v>4955</v>
      </c>
      <c r="C255" s="36"/>
      <c r="D255" s="36">
        <f t="shared" si="3"/>
        <v>3249252.2200000039</v>
      </c>
      <c r="E255" s="16" t="s">
        <v>70</v>
      </c>
      <c r="F255" s="16" t="s">
        <v>125</v>
      </c>
    </row>
    <row r="256" spans="1:8" ht="15" customHeight="1" x14ac:dyDescent="0.2">
      <c r="A256" s="35">
        <v>43064</v>
      </c>
      <c r="B256" s="36">
        <v>4955</v>
      </c>
      <c r="C256" s="36"/>
      <c r="D256" s="36">
        <f t="shared" si="3"/>
        <v>3244297.2200000039</v>
      </c>
      <c r="E256" s="16" t="s">
        <v>70</v>
      </c>
      <c r="F256" s="16" t="s">
        <v>125</v>
      </c>
    </row>
    <row r="257" spans="1:8" ht="15" customHeight="1" x14ac:dyDescent="0.2">
      <c r="A257" s="35">
        <v>43064</v>
      </c>
      <c r="B257" s="36">
        <v>4955</v>
      </c>
      <c r="C257" s="36"/>
      <c r="D257" s="36">
        <f t="shared" si="3"/>
        <v>3239342.2200000039</v>
      </c>
      <c r="E257" s="16" t="s">
        <v>70</v>
      </c>
      <c r="F257" s="16" t="s">
        <v>125</v>
      </c>
    </row>
    <row r="258" spans="1:8" ht="15" customHeight="1" x14ac:dyDescent="0.2">
      <c r="A258" s="35">
        <v>43064</v>
      </c>
      <c r="B258" s="36">
        <v>4200</v>
      </c>
      <c r="C258" s="36"/>
      <c r="D258" s="36">
        <f t="shared" si="3"/>
        <v>3235142.2200000039</v>
      </c>
      <c r="E258" s="16" t="s">
        <v>70</v>
      </c>
      <c r="F258" s="16" t="s">
        <v>125</v>
      </c>
    </row>
    <row r="259" spans="1:8" ht="15" customHeight="1" x14ac:dyDescent="0.2">
      <c r="A259" s="35">
        <v>43064</v>
      </c>
      <c r="B259" s="36">
        <v>800</v>
      </c>
      <c r="C259" s="36"/>
      <c r="D259" s="36">
        <f t="shared" si="3"/>
        <v>3234342.2200000039</v>
      </c>
      <c r="E259" s="16" t="s">
        <v>70</v>
      </c>
      <c r="F259" s="16" t="s">
        <v>134</v>
      </c>
    </row>
    <row r="260" spans="1:8" ht="15" customHeight="1" x14ac:dyDescent="0.2">
      <c r="A260" s="35">
        <v>43064</v>
      </c>
      <c r="B260" s="36">
        <v>800</v>
      </c>
      <c r="C260" s="36"/>
      <c r="D260" s="36">
        <f t="shared" si="3"/>
        <v>3233542.2200000039</v>
      </c>
      <c r="E260" s="16" t="s">
        <v>70</v>
      </c>
      <c r="F260" s="16" t="s">
        <v>134</v>
      </c>
    </row>
    <row r="261" spans="1:8" ht="15" customHeight="1" x14ac:dyDescent="0.2">
      <c r="A261" s="35">
        <v>43064</v>
      </c>
      <c r="B261" s="36">
        <v>800</v>
      </c>
      <c r="C261" s="36"/>
      <c r="D261" s="36">
        <f t="shared" si="3"/>
        <v>3232742.2200000039</v>
      </c>
      <c r="E261" s="16" t="s">
        <v>70</v>
      </c>
      <c r="F261" s="16" t="s">
        <v>134</v>
      </c>
    </row>
    <row r="262" spans="1:8" ht="15" customHeight="1" x14ac:dyDescent="0.2">
      <c r="A262" s="35">
        <v>43064</v>
      </c>
      <c r="B262" s="36">
        <v>800</v>
      </c>
      <c r="C262" s="36"/>
      <c r="D262" s="36">
        <f t="shared" ref="D262:D325" si="4">D261+C262-B262</f>
        <v>3231942.2200000039</v>
      </c>
      <c r="E262" s="16" t="s">
        <v>70</v>
      </c>
      <c r="F262" s="16" t="s">
        <v>134</v>
      </c>
    </row>
    <row r="263" spans="1:8" ht="15" customHeight="1" x14ac:dyDescent="0.2">
      <c r="A263" s="35">
        <v>43064</v>
      </c>
      <c r="B263" s="36">
        <v>800</v>
      </c>
      <c r="C263" s="36"/>
      <c r="D263" s="36">
        <f t="shared" si="4"/>
        <v>3231142.2200000039</v>
      </c>
      <c r="E263" s="16" t="s">
        <v>70</v>
      </c>
      <c r="F263" s="16" t="s">
        <v>134</v>
      </c>
      <c r="H263" s="15"/>
    </row>
    <row r="264" spans="1:8" ht="15" customHeight="1" x14ac:dyDescent="0.2">
      <c r="A264" s="35">
        <v>43067</v>
      </c>
      <c r="B264" s="36">
        <v>5646.75</v>
      </c>
      <c r="C264" s="36"/>
      <c r="D264" s="36">
        <f t="shared" si="4"/>
        <v>3225495.4700000039</v>
      </c>
      <c r="E264" s="16" t="s">
        <v>38</v>
      </c>
      <c r="F264" s="16" t="s">
        <v>134</v>
      </c>
    </row>
    <row r="265" spans="1:8" ht="15" customHeight="1" x14ac:dyDescent="0.2">
      <c r="A265" s="35">
        <v>43067</v>
      </c>
      <c r="B265" s="36">
        <v>704</v>
      </c>
      <c r="C265" s="36"/>
      <c r="D265" s="36">
        <f t="shared" si="4"/>
        <v>3224791.4700000039</v>
      </c>
      <c r="E265" s="16" t="s">
        <v>38</v>
      </c>
      <c r="F265" s="16" t="s">
        <v>134</v>
      </c>
    </row>
    <row r="266" spans="1:8" ht="15" customHeight="1" x14ac:dyDescent="0.2">
      <c r="A266" s="35">
        <v>43067</v>
      </c>
      <c r="B266" s="36"/>
      <c r="C266" s="36">
        <v>291318.67</v>
      </c>
      <c r="D266" s="36">
        <f t="shared" si="4"/>
        <v>3516110.1400000039</v>
      </c>
      <c r="E266" s="16" t="s">
        <v>184</v>
      </c>
      <c r="F266" s="16" t="s">
        <v>138</v>
      </c>
    </row>
    <row r="267" spans="1:8" ht="15" customHeight="1" x14ac:dyDescent="0.2">
      <c r="A267" s="35">
        <v>43070</v>
      </c>
      <c r="B267" s="36">
        <v>176216.47</v>
      </c>
      <c r="C267" s="36"/>
      <c r="D267" s="36">
        <f t="shared" si="4"/>
        <v>3339893.6700000037</v>
      </c>
      <c r="E267" s="16" t="s">
        <v>93</v>
      </c>
      <c r="F267" s="16" t="s">
        <v>129</v>
      </c>
    </row>
    <row r="268" spans="1:8" ht="15" customHeight="1" x14ac:dyDescent="0.2">
      <c r="A268" s="35">
        <v>43070</v>
      </c>
      <c r="B268" s="36">
        <v>29000</v>
      </c>
      <c r="C268" s="36"/>
      <c r="D268" s="36">
        <f t="shared" si="4"/>
        <v>3310893.6700000037</v>
      </c>
      <c r="E268" s="16" t="s">
        <v>94</v>
      </c>
      <c r="F268" s="16" t="s">
        <v>134</v>
      </c>
    </row>
    <row r="269" spans="1:8" ht="15" customHeight="1" x14ac:dyDescent="0.2">
      <c r="A269" s="35">
        <v>43071</v>
      </c>
      <c r="B269" s="36">
        <v>10.5</v>
      </c>
      <c r="C269" s="36"/>
      <c r="D269" s="36">
        <f t="shared" si="4"/>
        <v>3310883.1700000037</v>
      </c>
      <c r="E269" s="16" t="s">
        <v>219</v>
      </c>
      <c r="F269" s="16" t="s">
        <v>134</v>
      </c>
    </row>
    <row r="270" spans="1:8" ht="15" customHeight="1" x14ac:dyDescent="0.2">
      <c r="A270" s="35">
        <v>43081</v>
      </c>
      <c r="B270" s="36">
        <v>623</v>
      </c>
      <c r="C270" s="36"/>
      <c r="D270" s="36">
        <f t="shared" si="4"/>
        <v>3310260.1700000037</v>
      </c>
      <c r="E270" s="16" t="s">
        <v>95</v>
      </c>
      <c r="F270" s="16" t="s">
        <v>148</v>
      </c>
    </row>
    <row r="271" spans="1:8" ht="15" customHeight="1" x14ac:dyDescent="0.2">
      <c r="A271" s="35">
        <v>43081</v>
      </c>
      <c r="B271" s="36">
        <v>300</v>
      </c>
      <c r="C271" s="36"/>
      <c r="D271" s="36">
        <f t="shared" si="4"/>
        <v>3309960.1700000037</v>
      </c>
      <c r="E271" s="16" t="s">
        <v>95</v>
      </c>
      <c r="F271" s="16" t="s">
        <v>148</v>
      </c>
    </row>
    <row r="272" spans="1:8" ht="15" customHeight="1" x14ac:dyDescent="0.2">
      <c r="A272" s="35">
        <v>43081</v>
      </c>
      <c r="B272" s="36">
        <v>3833.7</v>
      </c>
      <c r="C272" s="36"/>
      <c r="D272" s="36">
        <f t="shared" si="4"/>
        <v>3306126.4700000035</v>
      </c>
      <c r="E272" s="16" t="s">
        <v>98</v>
      </c>
      <c r="F272" s="16" t="s">
        <v>136</v>
      </c>
    </row>
    <row r="273" spans="1:6" ht="15" customHeight="1" x14ac:dyDescent="0.2">
      <c r="A273" s="35">
        <v>43084</v>
      </c>
      <c r="B273" s="36">
        <v>2133.33</v>
      </c>
      <c r="C273" s="36"/>
      <c r="D273" s="36">
        <f t="shared" si="4"/>
        <v>3303993.1400000034</v>
      </c>
      <c r="E273" s="16" t="s">
        <v>99</v>
      </c>
      <c r="F273" s="16" t="s">
        <v>125</v>
      </c>
    </row>
    <row r="274" spans="1:6" ht="15" customHeight="1" x14ac:dyDescent="0.2">
      <c r="A274" s="35">
        <v>43084</v>
      </c>
      <c r="B274" s="36">
        <v>7733.33</v>
      </c>
      <c r="C274" s="36"/>
      <c r="D274" s="36">
        <f t="shared" si="4"/>
        <v>3296259.8100000033</v>
      </c>
      <c r="E274" s="16" t="s">
        <v>99</v>
      </c>
      <c r="F274" s="16" t="s">
        <v>125</v>
      </c>
    </row>
    <row r="275" spans="1:6" ht="15" customHeight="1" x14ac:dyDescent="0.2">
      <c r="A275" s="35">
        <v>43084</v>
      </c>
      <c r="B275" s="36">
        <v>5866.67</v>
      </c>
      <c r="C275" s="36"/>
      <c r="D275" s="36">
        <f t="shared" si="4"/>
        <v>3290393.1400000034</v>
      </c>
      <c r="E275" s="16" t="s">
        <v>99</v>
      </c>
      <c r="F275" s="16" t="s">
        <v>125</v>
      </c>
    </row>
    <row r="276" spans="1:6" ht="15" customHeight="1" x14ac:dyDescent="0.2">
      <c r="A276" s="35">
        <v>43084</v>
      </c>
      <c r="B276" s="36">
        <v>6800</v>
      </c>
      <c r="C276" s="36"/>
      <c r="D276" s="36">
        <f t="shared" si="4"/>
        <v>3283593.1400000034</v>
      </c>
      <c r="E276" s="16" t="s">
        <v>99</v>
      </c>
      <c r="F276" s="16" t="s">
        <v>125</v>
      </c>
    </row>
    <row r="277" spans="1:6" ht="15" customHeight="1" x14ac:dyDescent="0.2">
      <c r="A277" s="35">
        <v>43084</v>
      </c>
      <c r="B277" s="36">
        <v>7733.33</v>
      </c>
      <c r="C277" s="36"/>
      <c r="D277" s="36">
        <f t="shared" si="4"/>
        <v>3275859.8100000033</v>
      </c>
      <c r="E277" s="16" t="s">
        <v>99</v>
      </c>
      <c r="F277" s="16" t="s">
        <v>125</v>
      </c>
    </row>
    <row r="278" spans="1:6" ht="15" customHeight="1" x14ac:dyDescent="0.2">
      <c r="A278" s="35">
        <v>43084</v>
      </c>
      <c r="B278" s="36">
        <v>800</v>
      </c>
      <c r="C278" s="36"/>
      <c r="D278" s="36">
        <f t="shared" si="4"/>
        <v>3275059.8100000033</v>
      </c>
      <c r="E278" s="16" t="s">
        <v>169</v>
      </c>
      <c r="F278" s="16" t="s">
        <v>134</v>
      </c>
    </row>
    <row r="279" spans="1:6" ht="15" customHeight="1" x14ac:dyDescent="0.2">
      <c r="A279" s="35">
        <v>43084</v>
      </c>
      <c r="B279" s="36">
        <v>800</v>
      </c>
      <c r="C279" s="36"/>
      <c r="D279" s="36">
        <f t="shared" si="4"/>
        <v>3274259.8100000033</v>
      </c>
      <c r="E279" s="16" t="s">
        <v>70</v>
      </c>
      <c r="F279" s="16" t="s">
        <v>134</v>
      </c>
    </row>
    <row r="280" spans="1:6" ht="15" customHeight="1" x14ac:dyDescent="0.2">
      <c r="A280" s="35">
        <v>43084</v>
      </c>
      <c r="B280" s="36">
        <v>800</v>
      </c>
      <c r="C280" s="36"/>
      <c r="D280" s="36">
        <f t="shared" si="4"/>
        <v>3273459.8100000033</v>
      </c>
      <c r="E280" s="16" t="s">
        <v>70</v>
      </c>
      <c r="F280" s="16" t="s">
        <v>134</v>
      </c>
    </row>
    <row r="281" spans="1:6" ht="15" customHeight="1" x14ac:dyDescent="0.2">
      <c r="A281" s="35">
        <v>43084</v>
      </c>
      <c r="B281" s="36">
        <v>800</v>
      </c>
      <c r="C281" s="36"/>
      <c r="D281" s="36">
        <f t="shared" si="4"/>
        <v>3272659.8100000033</v>
      </c>
      <c r="E281" s="16" t="s">
        <v>170</v>
      </c>
      <c r="F281" s="16" t="s">
        <v>134</v>
      </c>
    </row>
    <row r="282" spans="1:6" ht="15" customHeight="1" x14ac:dyDescent="0.2">
      <c r="A282" s="35">
        <v>43087</v>
      </c>
      <c r="B282" s="36"/>
      <c r="C282" s="36">
        <v>192271.35</v>
      </c>
      <c r="D282" s="36">
        <f t="shared" si="4"/>
        <v>3464931.1600000034</v>
      </c>
      <c r="E282" s="16" t="s">
        <v>183</v>
      </c>
      <c r="F282" s="16" t="s">
        <v>138</v>
      </c>
    </row>
    <row r="283" spans="1:6" ht="15" customHeight="1" x14ac:dyDescent="0.2">
      <c r="A283" s="35">
        <v>43087</v>
      </c>
      <c r="B283" s="36"/>
      <c r="C283" s="36">
        <v>378145.25</v>
      </c>
      <c r="D283" s="36">
        <f t="shared" si="4"/>
        <v>3843076.4100000034</v>
      </c>
      <c r="E283" s="16" t="s">
        <v>182</v>
      </c>
      <c r="F283" s="16" t="s">
        <v>138</v>
      </c>
    </row>
    <row r="284" spans="1:6" ht="15" customHeight="1" x14ac:dyDescent="0.2">
      <c r="A284" s="35">
        <v>43088</v>
      </c>
      <c r="B284" s="36">
        <v>800</v>
      </c>
      <c r="C284" s="36"/>
      <c r="D284" s="36">
        <f t="shared" si="4"/>
        <v>3842276.4100000034</v>
      </c>
      <c r="E284" s="16" t="s">
        <v>70</v>
      </c>
      <c r="F284" s="16" t="s">
        <v>134</v>
      </c>
    </row>
    <row r="285" spans="1:6" ht="15" customHeight="1" x14ac:dyDescent="0.2">
      <c r="A285" s="35">
        <v>43088</v>
      </c>
      <c r="B285" s="36">
        <v>7610</v>
      </c>
      <c r="C285" s="36"/>
      <c r="D285" s="36">
        <f t="shared" si="4"/>
        <v>3834666.4100000034</v>
      </c>
      <c r="E285" s="16" t="s">
        <v>70</v>
      </c>
      <c r="F285" s="16" t="s">
        <v>125</v>
      </c>
    </row>
    <row r="286" spans="1:6" ht="15" customHeight="1" x14ac:dyDescent="0.2">
      <c r="A286" s="35">
        <v>43090</v>
      </c>
      <c r="B286" s="36"/>
      <c r="C286" s="36">
        <v>1773.12</v>
      </c>
      <c r="D286" s="36">
        <f t="shared" si="4"/>
        <v>3836439.5300000035</v>
      </c>
      <c r="E286" s="16" t="s">
        <v>85</v>
      </c>
      <c r="F286" s="16" t="s">
        <v>142</v>
      </c>
    </row>
    <row r="287" spans="1:6" ht="15" customHeight="1" x14ac:dyDescent="0.2">
      <c r="A287" s="35">
        <v>43090</v>
      </c>
      <c r="B287" s="36">
        <v>1500000</v>
      </c>
      <c r="C287" s="36"/>
      <c r="D287" s="36">
        <f t="shared" si="4"/>
        <v>2336439.5300000035</v>
      </c>
      <c r="E287" s="16" t="s">
        <v>181</v>
      </c>
      <c r="F287" s="16" t="s">
        <v>153</v>
      </c>
    </row>
    <row r="288" spans="1:6" ht="15" customHeight="1" x14ac:dyDescent="0.2">
      <c r="A288" s="35">
        <v>43091</v>
      </c>
      <c r="B288" s="36">
        <v>21</v>
      </c>
      <c r="C288" s="36"/>
      <c r="D288" s="36">
        <f t="shared" si="4"/>
        <v>2336418.5300000035</v>
      </c>
      <c r="E288" s="16" t="s">
        <v>219</v>
      </c>
      <c r="F288" s="16" t="s">
        <v>134</v>
      </c>
    </row>
    <row r="289" spans="1:6" ht="15" customHeight="1" x14ac:dyDescent="0.2">
      <c r="A289" s="35">
        <v>43091</v>
      </c>
      <c r="B289" s="36"/>
      <c r="C289" s="36">
        <v>500000</v>
      </c>
      <c r="D289" s="36">
        <f t="shared" si="4"/>
        <v>2836418.5300000035</v>
      </c>
      <c r="E289" s="16" t="s">
        <v>101</v>
      </c>
      <c r="F289" s="16" t="s">
        <v>142</v>
      </c>
    </row>
    <row r="290" spans="1:6" ht="15" customHeight="1" x14ac:dyDescent="0.2">
      <c r="A290" s="35">
        <v>43091</v>
      </c>
      <c r="B290" s="36">
        <v>5196</v>
      </c>
      <c r="C290" s="36"/>
      <c r="D290" s="36">
        <f t="shared" si="4"/>
        <v>2831222.5300000035</v>
      </c>
      <c r="E290" s="16" t="s">
        <v>100</v>
      </c>
      <c r="F290" s="16" t="s">
        <v>134</v>
      </c>
    </row>
    <row r="291" spans="1:6" ht="15" customHeight="1" x14ac:dyDescent="0.2">
      <c r="A291" s="35">
        <v>43094</v>
      </c>
      <c r="B291" s="36">
        <v>14087.75</v>
      </c>
      <c r="C291" s="36"/>
      <c r="D291" s="36">
        <f t="shared" si="4"/>
        <v>2817134.7800000035</v>
      </c>
      <c r="E291" s="16" t="s">
        <v>70</v>
      </c>
      <c r="F291" s="16" t="s">
        <v>125</v>
      </c>
    </row>
    <row r="292" spans="1:6" ht="15" customHeight="1" x14ac:dyDescent="0.2">
      <c r="A292" s="35">
        <v>43094</v>
      </c>
      <c r="B292" s="36">
        <v>8922.2000000000007</v>
      </c>
      <c r="C292" s="36"/>
      <c r="D292" s="36">
        <f t="shared" si="4"/>
        <v>2808212.5800000033</v>
      </c>
      <c r="E292" s="16" t="s">
        <v>70</v>
      </c>
      <c r="F292" s="16" t="s">
        <v>125</v>
      </c>
    </row>
    <row r="293" spans="1:6" ht="15" customHeight="1" x14ac:dyDescent="0.2">
      <c r="A293" s="35">
        <v>43094</v>
      </c>
      <c r="B293" s="36">
        <v>3585.69</v>
      </c>
      <c r="C293" s="36"/>
      <c r="D293" s="36">
        <f t="shared" si="4"/>
        <v>2804626.8900000034</v>
      </c>
      <c r="E293" s="16" t="s">
        <v>70</v>
      </c>
      <c r="F293" s="16" t="s">
        <v>125</v>
      </c>
    </row>
    <row r="294" spans="1:6" ht="15" customHeight="1" x14ac:dyDescent="0.2">
      <c r="A294" s="35">
        <v>43094</v>
      </c>
      <c r="B294" s="36">
        <v>4955</v>
      </c>
      <c r="C294" s="36"/>
      <c r="D294" s="36">
        <f t="shared" si="4"/>
        <v>2799671.8900000034</v>
      </c>
      <c r="E294" s="16" t="s">
        <v>70</v>
      </c>
      <c r="F294" s="16" t="s">
        <v>125</v>
      </c>
    </row>
    <row r="295" spans="1:6" ht="15" customHeight="1" x14ac:dyDescent="0.2">
      <c r="A295" s="35">
        <v>43094</v>
      </c>
      <c r="B295" s="36">
        <v>4200</v>
      </c>
      <c r="C295" s="36"/>
      <c r="D295" s="36">
        <f t="shared" si="4"/>
        <v>2795471.8900000034</v>
      </c>
      <c r="E295" s="16" t="s">
        <v>70</v>
      </c>
      <c r="F295" s="16" t="s">
        <v>125</v>
      </c>
    </row>
    <row r="296" spans="1:6" ht="15" customHeight="1" x14ac:dyDescent="0.2">
      <c r="A296" s="35">
        <v>43097</v>
      </c>
      <c r="B296" s="36">
        <v>6160</v>
      </c>
      <c r="C296" s="36"/>
      <c r="D296" s="36">
        <f t="shared" si="4"/>
        <v>2789311.8900000034</v>
      </c>
      <c r="E296" s="16" t="s">
        <v>38</v>
      </c>
      <c r="F296" s="16" t="s">
        <v>125</v>
      </c>
    </row>
    <row r="297" spans="1:6" ht="15" customHeight="1" x14ac:dyDescent="0.2">
      <c r="A297" s="35">
        <v>42739</v>
      </c>
      <c r="B297" s="36">
        <v>50</v>
      </c>
      <c r="C297" s="36"/>
      <c r="D297" s="36">
        <f t="shared" si="4"/>
        <v>2789261.8900000034</v>
      </c>
      <c r="E297" s="16" t="s">
        <v>5</v>
      </c>
      <c r="F297" s="16" t="s">
        <v>134</v>
      </c>
    </row>
    <row r="298" spans="1:6" ht="15" customHeight="1" x14ac:dyDescent="0.2">
      <c r="A298" s="35">
        <v>42744</v>
      </c>
      <c r="B298" s="36">
        <v>257.47000000000003</v>
      </c>
      <c r="C298" s="36"/>
      <c r="D298" s="36">
        <f t="shared" si="4"/>
        <v>2789004.4200000032</v>
      </c>
      <c r="E298" s="16" t="s">
        <v>132</v>
      </c>
      <c r="F298" s="16" t="s">
        <v>134</v>
      </c>
    </row>
    <row r="299" spans="1:6" ht="15" customHeight="1" x14ac:dyDescent="0.2">
      <c r="A299" s="35">
        <v>42751</v>
      </c>
      <c r="B299" s="36">
        <v>7560</v>
      </c>
      <c r="C299" s="36"/>
      <c r="D299" s="36">
        <f t="shared" si="4"/>
        <v>2781444.4200000032</v>
      </c>
      <c r="E299" s="16" t="s">
        <v>3</v>
      </c>
      <c r="F299" s="16" t="s">
        <v>4</v>
      </c>
    </row>
    <row r="300" spans="1:6" ht="15" customHeight="1" x14ac:dyDescent="0.2">
      <c r="A300" s="35">
        <v>42770</v>
      </c>
      <c r="B300" s="36">
        <v>50</v>
      </c>
      <c r="C300" s="36"/>
      <c r="D300" s="36">
        <f t="shared" si="4"/>
        <v>2781394.4200000032</v>
      </c>
      <c r="E300" s="16" t="s">
        <v>5</v>
      </c>
      <c r="F300" s="16" t="s">
        <v>134</v>
      </c>
    </row>
    <row r="301" spans="1:6" ht="15" customHeight="1" x14ac:dyDescent="0.2">
      <c r="A301" s="35">
        <v>42772</v>
      </c>
      <c r="B301" s="36">
        <v>800</v>
      </c>
      <c r="C301" s="36"/>
      <c r="D301" s="36">
        <f t="shared" si="4"/>
        <v>2780594.4200000032</v>
      </c>
      <c r="E301" s="16" t="s">
        <v>132</v>
      </c>
      <c r="F301" s="16" t="s">
        <v>134</v>
      </c>
    </row>
    <row r="302" spans="1:6" ht="15" customHeight="1" x14ac:dyDescent="0.2">
      <c r="A302" s="35">
        <v>42781</v>
      </c>
      <c r="B302" s="36">
        <v>6528</v>
      </c>
      <c r="C302" s="36"/>
      <c r="D302" s="36">
        <f t="shared" si="4"/>
        <v>2774066.4200000032</v>
      </c>
      <c r="E302" s="16" t="s">
        <v>3</v>
      </c>
      <c r="F302" s="16" t="s">
        <v>4</v>
      </c>
    </row>
    <row r="303" spans="1:6" ht="15" customHeight="1" x14ac:dyDescent="0.2">
      <c r="A303" s="35">
        <v>42798</v>
      </c>
      <c r="B303" s="36">
        <v>50</v>
      </c>
      <c r="C303" s="36"/>
      <c r="D303" s="36">
        <f t="shared" si="4"/>
        <v>2774016.4200000032</v>
      </c>
      <c r="E303" s="16" t="s">
        <v>5</v>
      </c>
      <c r="F303" s="16" t="s">
        <v>134</v>
      </c>
    </row>
    <row r="304" spans="1:6" ht="15" customHeight="1" x14ac:dyDescent="0.2">
      <c r="A304" s="35">
        <v>42799</v>
      </c>
      <c r="B304" s="36">
        <v>11864</v>
      </c>
      <c r="C304" s="36"/>
      <c r="D304" s="36">
        <f t="shared" si="4"/>
        <v>2762152.4200000032</v>
      </c>
      <c r="E304" s="16" t="s">
        <v>51</v>
      </c>
      <c r="F304" s="16" t="s">
        <v>127</v>
      </c>
    </row>
    <row r="305" spans="1:6" ht="15" customHeight="1" x14ac:dyDescent="0.2">
      <c r="A305" s="35">
        <v>42801</v>
      </c>
      <c r="B305" s="36">
        <v>800</v>
      </c>
      <c r="C305" s="36"/>
      <c r="D305" s="36">
        <f t="shared" si="4"/>
        <v>2761352.4200000032</v>
      </c>
      <c r="E305" s="16" t="s">
        <v>132</v>
      </c>
      <c r="F305" s="16" t="s">
        <v>134</v>
      </c>
    </row>
    <row r="306" spans="1:6" ht="15" customHeight="1" x14ac:dyDescent="0.2">
      <c r="A306" s="35">
        <v>42809</v>
      </c>
      <c r="B306" s="36">
        <v>6528</v>
      </c>
      <c r="C306" s="36"/>
      <c r="D306" s="36">
        <f t="shared" si="4"/>
        <v>2754824.4200000032</v>
      </c>
      <c r="E306" s="16" t="s">
        <v>3</v>
      </c>
      <c r="F306" s="16" t="s">
        <v>4</v>
      </c>
    </row>
    <row r="307" spans="1:6" ht="15" customHeight="1" x14ac:dyDescent="0.2">
      <c r="A307" s="35">
        <v>42815</v>
      </c>
      <c r="B307" s="36"/>
      <c r="C307" s="36">
        <v>87.12</v>
      </c>
      <c r="D307" s="36">
        <f t="shared" si="4"/>
        <v>2754911.5400000033</v>
      </c>
      <c r="E307" s="16" t="s">
        <v>133</v>
      </c>
      <c r="F307" s="16" t="s">
        <v>142</v>
      </c>
    </row>
    <row r="308" spans="1:6" ht="15" customHeight="1" x14ac:dyDescent="0.2">
      <c r="A308" s="35">
        <v>42829</v>
      </c>
      <c r="B308" s="36">
        <v>50</v>
      </c>
      <c r="C308" s="36"/>
      <c r="D308" s="36">
        <f t="shared" si="4"/>
        <v>2754861.5400000033</v>
      </c>
      <c r="E308" s="16" t="s">
        <v>5</v>
      </c>
      <c r="F308" s="16" t="s">
        <v>134</v>
      </c>
    </row>
    <row r="309" spans="1:6" ht="15" customHeight="1" x14ac:dyDescent="0.2">
      <c r="A309" s="35">
        <v>42830</v>
      </c>
      <c r="B309" s="36">
        <v>15378.8</v>
      </c>
      <c r="C309" s="36"/>
      <c r="D309" s="36">
        <f t="shared" si="4"/>
        <v>2739482.7400000035</v>
      </c>
      <c r="E309" s="16" t="s">
        <v>51</v>
      </c>
      <c r="F309" s="16" t="s">
        <v>127</v>
      </c>
    </row>
    <row r="310" spans="1:6" ht="15" customHeight="1" x14ac:dyDescent="0.2">
      <c r="A310" s="35">
        <v>42831</v>
      </c>
      <c r="B310" s="36">
        <v>800</v>
      </c>
      <c r="C310" s="36"/>
      <c r="D310" s="36">
        <f t="shared" si="4"/>
        <v>2738682.7400000035</v>
      </c>
      <c r="E310" s="16" t="s">
        <v>132</v>
      </c>
      <c r="F310" s="16" t="s">
        <v>134</v>
      </c>
    </row>
    <row r="311" spans="1:6" ht="15" customHeight="1" x14ac:dyDescent="0.2">
      <c r="A311" s="35">
        <v>42842</v>
      </c>
      <c r="B311" s="36">
        <v>8616</v>
      </c>
      <c r="C311" s="36"/>
      <c r="D311" s="36">
        <f t="shared" si="4"/>
        <v>2730066.7400000035</v>
      </c>
      <c r="E311" s="16" t="s">
        <v>3</v>
      </c>
      <c r="F311" s="16" t="s">
        <v>4</v>
      </c>
    </row>
    <row r="312" spans="1:6" ht="15" customHeight="1" x14ac:dyDescent="0.2">
      <c r="A312" s="35">
        <v>42859</v>
      </c>
      <c r="B312" s="36">
        <v>50</v>
      </c>
      <c r="C312" s="36"/>
      <c r="D312" s="36">
        <f t="shared" si="4"/>
        <v>2730016.7400000035</v>
      </c>
      <c r="E312" s="16" t="s">
        <v>5</v>
      </c>
      <c r="F312" s="16" t="s">
        <v>134</v>
      </c>
    </row>
    <row r="313" spans="1:6" ht="15" customHeight="1" x14ac:dyDescent="0.2">
      <c r="A313" s="35">
        <v>42860</v>
      </c>
      <c r="B313" s="36">
        <v>15387.4</v>
      </c>
      <c r="C313" s="36"/>
      <c r="D313" s="36">
        <f t="shared" si="4"/>
        <v>2714629.3400000036</v>
      </c>
      <c r="E313" s="16" t="s">
        <v>51</v>
      </c>
      <c r="F313" s="16" t="s">
        <v>127</v>
      </c>
    </row>
    <row r="314" spans="1:6" ht="15" customHeight="1" x14ac:dyDescent="0.2">
      <c r="A314" s="35">
        <v>42860</v>
      </c>
      <c r="B314" s="36">
        <v>800</v>
      </c>
      <c r="C314" s="36"/>
      <c r="D314" s="36">
        <f t="shared" si="4"/>
        <v>2713829.3400000036</v>
      </c>
      <c r="E314" s="16" t="s">
        <v>61</v>
      </c>
      <c r="F314" s="16" t="s">
        <v>134</v>
      </c>
    </row>
    <row r="315" spans="1:6" ht="15" customHeight="1" x14ac:dyDescent="0.2">
      <c r="A315" s="35">
        <v>42863</v>
      </c>
      <c r="B315" s="36">
        <v>2000</v>
      </c>
      <c r="C315" s="36"/>
      <c r="D315" s="36">
        <f t="shared" si="4"/>
        <v>2711829.3400000036</v>
      </c>
      <c r="E315" s="16" t="s">
        <v>62</v>
      </c>
      <c r="F315" s="16" t="s">
        <v>134</v>
      </c>
    </row>
    <row r="316" spans="1:6" ht="15" customHeight="1" x14ac:dyDescent="0.2">
      <c r="A316" s="35">
        <v>42870</v>
      </c>
      <c r="B316" s="36">
        <v>7056</v>
      </c>
      <c r="C316" s="36"/>
      <c r="D316" s="36">
        <f t="shared" si="4"/>
        <v>2704773.3400000036</v>
      </c>
      <c r="E316" s="16" t="s">
        <v>3</v>
      </c>
      <c r="F316" s="16" t="s">
        <v>4</v>
      </c>
    </row>
    <row r="317" spans="1:6" ht="15" customHeight="1" x14ac:dyDescent="0.2">
      <c r="A317" s="35">
        <v>42880</v>
      </c>
      <c r="B317" s="36">
        <v>400000</v>
      </c>
      <c r="C317" s="36"/>
      <c r="D317" s="36">
        <f t="shared" si="4"/>
        <v>2304773.3400000036</v>
      </c>
      <c r="E317" s="16" t="s">
        <v>63</v>
      </c>
      <c r="F317" s="16" t="s">
        <v>108</v>
      </c>
    </row>
    <row r="318" spans="1:6" ht="15" customHeight="1" x14ac:dyDescent="0.2">
      <c r="A318" s="35">
        <v>42882</v>
      </c>
      <c r="B318" s="36">
        <v>200000</v>
      </c>
      <c r="C318" s="36"/>
      <c r="D318" s="36">
        <f t="shared" si="4"/>
        <v>2104773.3400000036</v>
      </c>
      <c r="E318" s="16" t="s">
        <v>64</v>
      </c>
      <c r="F318" s="16" t="s">
        <v>108</v>
      </c>
    </row>
    <row r="319" spans="1:6" ht="15" customHeight="1" x14ac:dyDescent="0.2">
      <c r="A319" s="35">
        <v>42890</v>
      </c>
      <c r="B319" s="36">
        <v>0.93</v>
      </c>
      <c r="C319" s="36"/>
      <c r="D319" s="36">
        <f t="shared" si="4"/>
        <v>2104772.4100000034</v>
      </c>
      <c r="E319" s="16" t="s">
        <v>65</v>
      </c>
      <c r="F319" s="16" t="s">
        <v>134</v>
      </c>
    </row>
    <row r="320" spans="1:6" ht="15" customHeight="1" x14ac:dyDescent="0.2">
      <c r="A320" s="35">
        <v>42890</v>
      </c>
      <c r="B320" s="36">
        <v>13.97</v>
      </c>
      <c r="C320" s="36"/>
      <c r="D320" s="36">
        <f t="shared" si="4"/>
        <v>2104758.4400000032</v>
      </c>
      <c r="E320" s="16" t="s">
        <v>66</v>
      </c>
      <c r="F320" s="16" t="s">
        <v>134</v>
      </c>
    </row>
    <row r="321" spans="1:6" ht="15" customHeight="1" x14ac:dyDescent="0.2">
      <c r="A321" s="35">
        <v>42890</v>
      </c>
      <c r="B321" s="36">
        <v>50</v>
      </c>
      <c r="C321" s="36"/>
      <c r="D321" s="36">
        <f t="shared" si="4"/>
        <v>2104708.4400000032</v>
      </c>
      <c r="E321" s="16" t="s">
        <v>5</v>
      </c>
      <c r="F321" s="16" t="s">
        <v>134</v>
      </c>
    </row>
    <row r="322" spans="1:6" ht="15" customHeight="1" x14ac:dyDescent="0.2">
      <c r="A322" s="35">
        <v>42891</v>
      </c>
      <c r="B322" s="36">
        <v>11158.4</v>
      </c>
      <c r="C322" s="36"/>
      <c r="D322" s="36">
        <f t="shared" si="4"/>
        <v>2093550.0400000033</v>
      </c>
      <c r="E322" s="16" t="s">
        <v>51</v>
      </c>
      <c r="F322" s="16" t="s">
        <v>127</v>
      </c>
    </row>
    <row r="323" spans="1:6" ht="15" customHeight="1" x14ac:dyDescent="0.2">
      <c r="A323" s="35">
        <v>42912</v>
      </c>
      <c r="B323" s="36">
        <v>800</v>
      </c>
      <c r="C323" s="36"/>
      <c r="D323" s="36">
        <f t="shared" si="4"/>
        <v>2092750.0400000033</v>
      </c>
      <c r="E323" s="16" t="s">
        <v>132</v>
      </c>
      <c r="F323" s="16" t="s">
        <v>134</v>
      </c>
    </row>
    <row r="324" spans="1:6" ht="15" customHeight="1" x14ac:dyDescent="0.2">
      <c r="A324" s="35">
        <v>42901</v>
      </c>
      <c r="B324" s="36">
        <v>6024</v>
      </c>
      <c r="C324" s="36"/>
      <c r="D324" s="36">
        <f t="shared" si="4"/>
        <v>2086726.0400000033</v>
      </c>
      <c r="E324" s="16" t="s">
        <v>3</v>
      </c>
      <c r="F324" s="16" t="s">
        <v>4</v>
      </c>
    </row>
    <row r="325" spans="1:6" ht="15" customHeight="1" x14ac:dyDescent="0.2">
      <c r="A325" s="35">
        <v>42907</v>
      </c>
      <c r="B325" s="36"/>
      <c r="C325" s="36">
        <v>84.68</v>
      </c>
      <c r="D325" s="36">
        <f t="shared" si="4"/>
        <v>2086810.7200000032</v>
      </c>
      <c r="E325" s="16" t="s">
        <v>133</v>
      </c>
      <c r="F325" s="16" t="s">
        <v>142</v>
      </c>
    </row>
    <row r="326" spans="1:6" ht="15" customHeight="1" x14ac:dyDescent="0.2">
      <c r="A326" s="35">
        <v>42920</v>
      </c>
      <c r="B326" s="36">
        <v>50</v>
      </c>
      <c r="C326" s="36"/>
      <c r="D326" s="36">
        <f t="shared" ref="D326:D350" si="5">D325+C326-B326</f>
        <v>2086760.7200000032</v>
      </c>
      <c r="E326" s="16" t="s">
        <v>5</v>
      </c>
      <c r="F326" s="16" t="s">
        <v>134</v>
      </c>
    </row>
    <row r="327" spans="1:6" ht="15" customHeight="1" x14ac:dyDescent="0.2">
      <c r="A327" s="35">
        <v>42920</v>
      </c>
      <c r="B327" s="36">
        <v>800</v>
      </c>
      <c r="C327" s="36"/>
      <c r="D327" s="36">
        <f t="shared" si="5"/>
        <v>2085960.7200000032</v>
      </c>
      <c r="E327" s="16" t="s">
        <v>132</v>
      </c>
      <c r="F327" s="16" t="s">
        <v>134</v>
      </c>
    </row>
    <row r="328" spans="1:6" ht="15" customHeight="1" x14ac:dyDescent="0.2">
      <c r="A328" s="35">
        <v>42921</v>
      </c>
      <c r="B328" s="36">
        <v>9392.4</v>
      </c>
      <c r="C328" s="36"/>
      <c r="D328" s="36">
        <f t="shared" si="5"/>
        <v>2076568.3200000033</v>
      </c>
      <c r="E328" s="16" t="s">
        <v>51</v>
      </c>
      <c r="F328" s="16" t="s">
        <v>127</v>
      </c>
    </row>
    <row r="329" spans="1:6" ht="15" customHeight="1" x14ac:dyDescent="0.2">
      <c r="A329" s="35">
        <v>42933</v>
      </c>
      <c r="B329" s="36">
        <v>6024</v>
      </c>
      <c r="C329" s="36"/>
      <c r="D329" s="36">
        <f t="shared" si="5"/>
        <v>2070544.3200000033</v>
      </c>
      <c r="E329" s="16" t="s">
        <v>3</v>
      </c>
      <c r="F329" s="16" t="s">
        <v>4</v>
      </c>
    </row>
    <row r="330" spans="1:6" ht="15" customHeight="1" x14ac:dyDescent="0.2">
      <c r="A330" s="35">
        <v>42942</v>
      </c>
      <c r="B330" s="36">
        <v>50</v>
      </c>
      <c r="C330" s="36"/>
      <c r="D330" s="36">
        <f t="shared" si="5"/>
        <v>2070494.3200000033</v>
      </c>
      <c r="E330" s="16" t="s">
        <v>71</v>
      </c>
      <c r="F330" s="16" t="s">
        <v>134</v>
      </c>
    </row>
    <row r="331" spans="1:6" ht="15" customHeight="1" x14ac:dyDescent="0.2">
      <c r="A331" s="35">
        <v>42951</v>
      </c>
      <c r="B331" s="36">
        <v>50</v>
      </c>
      <c r="C331" s="36"/>
      <c r="D331" s="36">
        <f t="shared" si="5"/>
        <v>2070444.3200000033</v>
      </c>
      <c r="E331" s="16" t="s">
        <v>5</v>
      </c>
      <c r="F331" s="16" t="s">
        <v>134</v>
      </c>
    </row>
    <row r="332" spans="1:6" ht="15" customHeight="1" x14ac:dyDescent="0.2">
      <c r="A332" s="35">
        <v>42952</v>
      </c>
      <c r="B332" s="36">
        <v>9720.1200000000008</v>
      </c>
      <c r="C332" s="36"/>
      <c r="D332" s="36">
        <f t="shared" si="5"/>
        <v>2060724.2000000032</v>
      </c>
      <c r="E332" s="16" t="s">
        <v>51</v>
      </c>
      <c r="F332" s="16" t="s">
        <v>127</v>
      </c>
    </row>
    <row r="333" spans="1:6" ht="15" customHeight="1" x14ac:dyDescent="0.2">
      <c r="A333" s="35">
        <v>42958</v>
      </c>
      <c r="B333" s="36">
        <v>800</v>
      </c>
      <c r="C333" s="36"/>
      <c r="D333" s="36">
        <f t="shared" si="5"/>
        <v>2059924.2000000032</v>
      </c>
      <c r="E333" s="16" t="s">
        <v>132</v>
      </c>
      <c r="F333" s="16" t="s">
        <v>134</v>
      </c>
    </row>
    <row r="334" spans="1:6" ht="15" customHeight="1" x14ac:dyDescent="0.2">
      <c r="A334" s="35">
        <v>42962</v>
      </c>
      <c r="B334" s="36">
        <v>6024</v>
      </c>
      <c r="C334" s="36"/>
      <c r="D334" s="36">
        <f t="shared" si="5"/>
        <v>2053900.2000000032</v>
      </c>
      <c r="E334" s="16" t="s">
        <v>3</v>
      </c>
      <c r="F334" s="16" t="s">
        <v>4</v>
      </c>
    </row>
    <row r="335" spans="1:6" ht="15" customHeight="1" x14ac:dyDescent="0.2">
      <c r="A335" s="35">
        <v>42982</v>
      </c>
      <c r="B335" s="36">
        <v>50</v>
      </c>
      <c r="C335" s="36"/>
      <c r="D335" s="36">
        <f t="shared" si="5"/>
        <v>2053850.2000000032</v>
      </c>
      <c r="E335" s="16" t="s">
        <v>5</v>
      </c>
      <c r="F335" s="16" t="s">
        <v>134</v>
      </c>
    </row>
    <row r="336" spans="1:6" ht="15" customHeight="1" x14ac:dyDescent="0.2">
      <c r="A336" s="35">
        <v>42983</v>
      </c>
      <c r="B336" s="36">
        <v>9720.1200000000008</v>
      </c>
      <c r="C336" s="36"/>
      <c r="D336" s="36">
        <f t="shared" si="5"/>
        <v>2044130.0800000031</v>
      </c>
      <c r="E336" s="16" t="s">
        <v>51</v>
      </c>
      <c r="F336" s="16" t="s">
        <v>127</v>
      </c>
    </row>
    <row r="337" spans="1:6" ht="15" customHeight="1" x14ac:dyDescent="0.2">
      <c r="A337" s="35">
        <v>42993</v>
      </c>
      <c r="B337" s="36">
        <v>4992</v>
      </c>
      <c r="C337" s="36"/>
      <c r="D337" s="36">
        <f t="shared" si="5"/>
        <v>2039138.0800000031</v>
      </c>
      <c r="E337" s="16" t="s">
        <v>3</v>
      </c>
      <c r="F337" s="16" t="s">
        <v>4</v>
      </c>
    </row>
    <row r="338" spans="1:6" ht="15" customHeight="1" x14ac:dyDescent="0.2">
      <c r="A338" s="35">
        <v>42999</v>
      </c>
      <c r="B338" s="36"/>
      <c r="C338" s="36">
        <v>79.28</v>
      </c>
      <c r="D338" s="36">
        <f t="shared" si="5"/>
        <v>2039217.3600000031</v>
      </c>
      <c r="E338" s="16" t="s">
        <v>75</v>
      </c>
      <c r="F338" s="16" t="s">
        <v>142</v>
      </c>
    </row>
    <row r="339" spans="1:6" ht="15" customHeight="1" x14ac:dyDescent="0.2">
      <c r="A339" s="35">
        <v>42999</v>
      </c>
      <c r="B339" s="36">
        <v>35</v>
      </c>
      <c r="C339" s="36"/>
      <c r="D339" s="36">
        <f t="shared" si="5"/>
        <v>2039182.3600000031</v>
      </c>
      <c r="E339" s="16" t="s">
        <v>76</v>
      </c>
      <c r="F339" s="16" t="s">
        <v>134</v>
      </c>
    </row>
    <row r="340" spans="1:6" ht="15" customHeight="1" x14ac:dyDescent="0.2">
      <c r="A340" s="35">
        <v>43012</v>
      </c>
      <c r="B340" s="36">
        <v>50</v>
      </c>
      <c r="C340" s="36"/>
      <c r="D340" s="36">
        <f t="shared" si="5"/>
        <v>2039132.3600000031</v>
      </c>
      <c r="E340" s="16" t="s">
        <v>5</v>
      </c>
      <c r="F340" s="16" t="s">
        <v>134</v>
      </c>
    </row>
    <row r="341" spans="1:6" ht="15" customHeight="1" x14ac:dyDescent="0.2">
      <c r="A341" s="35">
        <v>43018</v>
      </c>
      <c r="B341" s="36">
        <v>7790.12</v>
      </c>
      <c r="C341" s="36"/>
      <c r="D341" s="36">
        <f t="shared" si="5"/>
        <v>2031342.240000003</v>
      </c>
      <c r="E341" s="16" t="s">
        <v>51</v>
      </c>
      <c r="F341" s="16" t="s">
        <v>127</v>
      </c>
    </row>
    <row r="342" spans="1:6" ht="15" customHeight="1" x14ac:dyDescent="0.2">
      <c r="A342" s="35">
        <v>43024</v>
      </c>
      <c r="B342" s="36">
        <v>4992</v>
      </c>
      <c r="C342" s="36"/>
      <c r="D342" s="36">
        <f t="shared" si="5"/>
        <v>2026350.240000003</v>
      </c>
      <c r="E342" s="16" t="s">
        <v>3</v>
      </c>
      <c r="F342" s="16" t="s">
        <v>4</v>
      </c>
    </row>
    <row r="343" spans="1:6" ht="15" customHeight="1" x14ac:dyDescent="0.2">
      <c r="A343" s="35">
        <v>43043</v>
      </c>
      <c r="B343" s="36">
        <v>50</v>
      </c>
      <c r="C343" s="36"/>
      <c r="D343" s="36">
        <f t="shared" si="5"/>
        <v>2026300.240000003</v>
      </c>
      <c r="E343" s="16" t="s">
        <v>5</v>
      </c>
      <c r="F343" s="16" t="s">
        <v>134</v>
      </c>
    </row>
    <row r="344" spans="1:6" ht="15" customHeight="1" x14ac:dyDescent="0.2">
      <c r="A344" s="35">
        <v>43044</v>
      </c>
      <c r="B344" s="36">
        <v>7739.72</v>
      </c>
      <c r="C344" s="36"/>
      <c r="D344" s="36">
        <f t="shared" si="5"/>
        <v>2018560.520000003</v>
      </c>
      <c r="E344" s="16" t="s">
        <v>51</v>
      </c>
      <c r="F344" s="16" t="s">
        <v>127</v>
      </c>
    </row>
    <row r="345" spans="1:6" ht="15" customHeight="1" x14ac:dyDescent="0.2">
      <c r="A345" s="35">
        <v>43054</v>
      </c>
      <c r="B345" s="36">
        <v>4536</v>
      </c>
      <c r="C345" s="36"/>
      <c r="D345" s="36">
        <f t="shared" si="5"/>
        <v>2014024.520000003</v>
      </c>
      <c r="E345" s="16" t="s">
        <v>3</v>
      </c>
      <c r="F345" s="16" t="s">
        <v>4</v>
      </c>
    </row>
    <row r="346" spans="1:6" ht="15" customHeight="1" x14ac:dyDescent="0.2">
      <c r="A346" s="35">
        <v>43073</v>
      </c>
      <c r="B346" s="36">
        <v>50</v>
      </c>
      <c r="C346" s="36"/>
      <c r="D346" s="36">
        <f t="shared" si="5"/>
        <v>2013974.520000003</v>
      </c>
      <c r="E346" s="16" t="s">
        <v>5</v>
      </c>
      <c r="F346" s="16" t="s">
        <v>134</v>
      </c>
    </row>
    <row r="347" spans="1:6" ht="15" customHeight="1" x14ac:dyDescent="0.2">
      <c r="A347" s="35">
        <v>43075</v>
      </c>
      <c r="B347" s="36">
        <v>5819.12</v>
      </c>
      <c r="C347" s="36"/>
      <c r="D347" s="36">
        <f t="shared" si="5"/>
        <v>2008155.4000000029</v>
      </c>
      <c r="E347" s="16" t="s">
        <v>51</v>
      </c>
      <c r="F347" s="16" t="s">
        <v>127</v>
      </c>
    </row>
    <row r="348" spans="1:6" ht="15" customHeight="1" x14ac:dyDescent="0.2">
      <c r="A348" s="35">
        <v>43084</v>
      </c>
      <c r="B348" s="36">
        <v>3960</v>
      </c>
      <c r="C348" s="36"/>
      <c r="D348" s="36">
        <f t="shared" si="5"/>
        <v>2004195.4000000029</v>
      </c>
      <c r="E348" s="16" t="s">
        <v>3</v>
      </c>
      <c r="F348" s="16" t="s">
        <v>4</v>
      </c>
    </row>
    <row r="349" spans="1:6" ht="15" customHeight="1" x14ac:dyDescent="0.2">
      <c r="A349" s="35">
        <v>43090</v>
      </c>
      <c r="B349" s="36"/>
      <c r="C349" s="36">
        <v>53.73</v>
      </c>
      <c r="D349" s="36">
        <f t="shared" si="5"/>
        <v>2004249.1300000029</v>
      </c>
      <c r="E349" s="16" t="s">
        <v>103</v>
      </c>
      <c r="F349" s="16" t="s">
        <v>142</v>
      </c>
    </row>
    <row r="350" spans="1:6" ht="15" customHeight="1" x14ac:dyDescent="0.2">
      <c r="A350" s="35">
        <v>43100</v>
      </c>
      <c r="B350" s="36">
        <v>7</v>
      </c>
      <c r="C350" s="37"/>
      <c r="D350" s="36">
        <f t="shared" si="5"/>
        <v>2004242.1300000029</v>
      </c>
      <c r="E350" s="16" t="s">
        <v>219</v>
      </c>
      <c r="F350" s="9" t="s">
        <v>135</v>
      </c>
    </row>
    <row r="351" spans="1:6" x14ac:dyDescent="0.2">
      <c r="A351" s="38" t="s">
        <v>257</v>
      </c>
      <c r="B351" s="41">
        <f>SUBTOTAL(109,表2[支出])</f>
        <v>11681691.739999998</v>
      </c>
      <c r="C351" s="41">
        <f>SUBTOTAL(109,表2[收入])</f>
        <v>8995417.299999997</v>
      </c>
      <c r="D351" s="39"/>
      <c r="E351" s="40"/>
      <c r="F351" s="40"/>
    </row>
  </sheetData>
  <mergeCells count="1">
    <mergeCell ref="A1:F1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"/>
  <sheetViews>
    <sheetView workbookViewId="0">
      <pane xSplit="1" ySplit="3" topLeftCell="D198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0" defaultRowHeight="12.75" zeroHeight="1" x14ac:dyDescent="0.2"/>
  <cols>
    <col min="1" max="1" width="14.375" style="8" customWidth="1"/>
    <col min="2" max="2" width="13.5" style="6" customWidth="1"/>
    <col min="3" max="3" width="14.125" style="6" customWidth="1"/>
    <col min="4" max="4" width="20" style="6" customWidth="1"/>
    <col min="5" max="5" width="23.875" style="6" bestFit="1" customWidth="1"/>
    <col min="6" max="6" width="15.875" style="6" customWidth="1"/>
    <col min="7" max="16384" width="9" style="6" hidden="1"/>
  </cols>
  <sheetData>
    <row r="1" spans="1:6" s="3" customFormat="1" ht="33.75" customHeight="1" x14ac:dyDescent="0.4">
      <c r="A1" s="47" t="s">
        <v>226</v>
      </c>
      <c r="B1" s="47"/>
      <c r="C1" s="47"/>
      <c r="D1" s="47"/>
      <c r="E1" s="47"/>
      <c r="F1" s="47"/>
    </row>
    <row r="2" spans="1:6" s="3" customFormat="1" ht="2.25" customHeight="1" x14ac:dyDescent="0.15">
      <c r="A2" s="7"/>
    </row>
    <row r="3" spans="1:6" s="4" customFormat="1" ht="18" customHeight="1" x14ac:dyDescent="0.15">
      <c r="A3" s="19" t="s">
        <v>131</v>
      </c>
      <c r="B3" s="19" t="s">
        <v>52</v>
      </c>
      <c r="C3" s="19" t="s">
        <v>130</v>
      </c>
      <c r="D3" s="19" t="s">
        <v>11</v>
      </c>
      <c r="E3" s="19" t="s">
        <v>0</v>
      </c>
      <c r="F3" s="19" t="s">
        <v>158</v>
      </c>
    </row>
    <row r="4" spans="1:6" s="5" customFormat="1" ht="17.25" customHeight="1" x14ac:dyDescent="0.15">
      <c r="A4" s="35">
        <v>43100</v>
      </c>
      <c r="B4" s="32"/>
      <c r="C4" s="32"/>
      <c r="D4" s="32">
        <v>2004242.1300000029</v>
      </c>
      <c r="E4" s="1" t="s">
        <v>199</v>
      </c>
      <c r="F4" s="1" t="s">
        <v>200</v>
      </c>
    </row>
    <row r="5" spans="1:6" x14ac:dyDescent="0.2">
      <c r="A5" s="35">
        <v>43108</v>
      </c>
      <c r="B5" s="32">
        <v>4121</v>
      </c>
      <c r="C5" s="32"/>
      <c r="D5" s="32">
        <f>D4+C5-B5</f>
        <v>2000121.1300000029</v>
      </c>
      <c r="E5" s="1" t="s">
        <v>38</v>
      </c>
      <c r="F5" s="1" t="s">
        <v>135</v>
      </c>
    </row>
    <row r="6" spans="1:6" x14ac:dyDescent="0.2">
      <c r="A6" s="35">
        <v>43108</v>
      </c>
      <c r="B6" s="32">
        <v>329.2</v>
      </c>
      <c r="C6" s="32"/>
      <c r="D6" s="32">
        <f t="shared" ref="D6:D69" si="0">D5+C6-B6</f>
        <v>1999791.930000003</v>
      </c>
      <c r="E6" s="1" t="s">
        <v>38</v>
      </c>
      <c r="F6" s="1" t="s">
        <v>135</v>
      </c>
    </row>
    <row r="7" spans="1:6" x14ac:dyDescent="0.2">
      <c r="A7" s="35">
        <v>43108</v>
      </c>
      <c r="B7" s="32">
        <v>711</v>
      </c>
      <c r="C7" s="32"/>
      <c r="D7" s="32">
        <f t="shared" si="0"/>
        <v>1999080.930000003</v>
      </c>
      <c r="E7" s="1" t="s">
        <v>201</v>
      </c>
      <c r="F7" s="1" t="s">
        <v>135</v>
      </c>
    </row>
    <row r="8" spans="1:6" x14ac:dyDescent="0.2">
      <c r="A8" s="35">
        <v>43109</v>
      </c>
      <c r="B8" s="32">
        <v>9569.0300000000007</v>
      </c>
      <c r="C8" s="32"/>
      <c r="D8" s="32">
        <f t="shared" si="0"/>
        <v>1989511.9000000029</v>
      </c>
      <c r="E8" s="1" t="s">
        <v>137</v>
      </c>
      <c r="F8" s="1" t="s">
        <v>137</v>
      </c>
    </row>
    <row r="9" spans="1:6" x14ac:dyDescent="0.2">
      <c r="A9" s="35">
        <v>43110</v>
      </c>
      <c r="B9" s="32"/>
      <c r="C9" s="32">
        <v>20000</v>
      </c>
      <c r="D9" s="32">
        <f t="shared" si="0"/>
        <v>2009511.9000000029</v>
      </c>
      <c r="E9" s="1" t="s">
        <v>102</v>
      </c>
      <c r="F9" s="1" t="s">
        <v>143</v>
      </c>
    </row>
    <row r="10" spans="1:6" x14ac:dyDescent="0.2">
      <c r="A10" s="35">
        <v>43111</v>
      </c>
      <c r="B10" s="32">
        <v>215856.84</v>
      </c>
      <c r="C10" s="32"/>
      <c r="D10" s="32">
        <f t="shared" si="0"/>
        <v>1793655.0600000028</v>
      </c>
      <c r="E10" s="1" t="s">
        <v>67</v>
      </c>
      <c r="F10" s="1" t="s">
        <v>120</v>
      </c>
    </row>
    <row r="11" spans="1:6" x14ac:dyDescent="0.2">
      <c r="A11" s="35">
        <v>43111</v>
      </c>
      <c r="B11" s="32">
        <v>40440</v>
      </c>
      <c r="C11" s="32"/>
      <c r="D11" s="32">
        <f t="shared" si="0"/>
        <v>1753215.0600000028</v>
      </c>
      <c r="E11" s="1" t="s">
        <v>23</v>
      </c>
      <c r="F11" s="1" t="s">
        <v>129</v>
      </c>
    </row>
    <row r="12" spans="1:6" x14ac:dyDescent="0.2">
      <c r="A12" s="35">
        <v>43112</v>
      </c>
      <c r="B12" s="32">
        <v>10.5</v>
      </c>
      <c r="C12" s="32"/>
      <c r="D12" s="32">
        <f t="shared" si="0"/>
        <v>1753204.5600000028</v>
      </c>
      <c r="E12" s="1" t="s">
        <v>21</v>
      </c>
      <c r="F12" s="1" t="s">
        <v>134</v>
      </c>
    </row>
    <row r="13" spans="1:6" x14ac:dyDescent="0.2">
      <c r="A13" s="35">
        <v>43125</v>
      </c>
      <c r="B13" s="32">
        <v>8922.2000000000007</v>
      </c>
      <c r="C13" s="32"/>
      <c r="D13" s="32">
        <f t="shared" si="0"/>
        <v>1744282.3600000029</v>
      </c>
      <c r="E13" s="1" t="s">
        <v>70</v>
      </c>
      <c r="F13" s="1" t="s">
        <v>125</v>
      </c>
    </row>
    <row r="14" spans="1:6" x14ac:dyDescent="0.2">
      <c r="A14" s="35">
        <v>43125</v>
      </c>
      <c r="B14" s="32">
        <v>3795.3</v>
      </c>
      <c r="C14" s="32"/>
      <c r="D14" s="32">
        <f t="shared" si="0"/>
        <v>1740487.0600000028</v>
      </c>
      <c r="E14" s="1" t="s">
        <v>99</v>
      </c>
      <c r="F14" s="1" t="s">
        <v>125</v>
      </c>
    </row>
    <row r="15" spans="1:6" x14ac:dyDescent="0.2">
      <c r="A15" s="35">
        <v>43125</v>
      </c>
      <c r="B15" s="32">
        <v>4200</v>
      </c>
      <c r="C15" s="32"/>
      <c r="D15" s="32">
        <f t="shared" si="0"/>
        <v>1736287.0600000028</v>
      </c>
      <c r="E15" s="1" t="s">
        <v>99</v>
      </c>
      <c r="F15" s="1" t="s">
        <v>125</v>
      </c>
    </row>
    <row r="16" spans="1:6" x14ac:dyDescent="0.2">
      <c r="A16" s="35">
        <v>43125</v>
      </c>
      <c r="B16" s="32">
        <v>31578.9</v>
      </c>
      <c r="C16" s="32"/>
      <c r="D16" s="32">
        <f t="shared" si="0"/>
        <v>1704708.1600000029</v>
      </c>
      <c r="E16" s="1" t="s">
        <v>70</v>
      </c>
      <c r="F16" s="1" t="s">
        <v>125</v>
      </c>
    </row>
    <row r="17" spans="1:6" x14ac:dyDescent="0.2">
      <c r="A17" s="35">
        <v>43125</v>
      </c>
      <c r="B17" s="32">
        <v>1807.5</v>
      </c>
      <c r="C17" s="32"/>
      <c r="D17" s="32">
        <f t="shared" si="0"/>
        <v>1702900.6600000029</v>
      </c>
      <c r="E17" s="1" t="s">
        <v>38</v>
      </c>
      <c r="F17" s="1" t="s">
        <v>134</v>
      </c>
    </row>
    <row r="18" spans="1:6" x14ac:dyDescent="0.2">
      <c r="A18" s="35">
        <v>43125</v>
      </c>
      <c r="B18" s="32">
        <v>264.89999999999998</v>
      </c>
      <c r="C18" s="32"/>
      <c r="D18" s="32">
        <f t="shared" si="0"/>
        <v>1702635.760000003</v>
      </c>
      <c r="E18" s="1" t="s">
        <v>38</v>
      </c>
      <c r="F18" s="1" t="s">
        <v>134</v>
      </c>
    </row>
    <row r="19" spans="1:6" x14ac:dyDescent="0.2">
      <c r="A19" s="35">
        <v>43129</v>
      </c>
      <c r="B19" s="32">
        <v>28000</v>
      </c>
      <c r="C19" s="32"/>
      <c r="D19" s="32">
        <f t="shared" si="0"/>
        <v>1674635.760000003</v>
      </c>
      <c r="E19" s="1" t="s">
        <v>145</v>
      </c>
      <c r="F19" s="1" t="s">
        <v>134</v>
      </c>
    </row>
    <row r="20" spans="1:6" x14ac:dyDescent="0.2">
      <c r="A20" s="35">
        <v>43131</v>
      </c>
      <c r="B20" s="32">
        <v>135473.75</v>
      </c>
      <c r="C20" s="32"/>
      <c r="D20" s="32">
        <f t="shared" si="0"/>
        <v>1539162.010000003</v>
      </c>
      <c r="E20" s="1" t="s">
        <v>202</v>
      </c>
      <c r="F20" s="1" t="s">
        <v>129</v>
      </c>
    </row>
    <row r="21" spans="1:6" x14ac:dyDescent="0.2">
      <c r="A21" s="35">
        <v>43132</v>
      </c>
      <c r="B21" s="32">
        <v>10.5</v>
      </c>
      <c r="C21" s="32"/>
      <c r="D21" s="32">
        <f t="shared" si="0"/>
        <v>1539151.510000003</v>
      </c>
      <c r="E21" s="1" t="s">
        <v>220</v>
      </c>
      <c r="F21" s="1" t="s">
        <v>134</v>
      </c>
    </row>
    <row r="22" spans="1:6" x14ac:dyDescent="0.2">
      <c r="A22" s="35">
        <v>43133</v>
      </c>
      <c r="B22" s="32">
        <v>3304.8</v>
      </c>
      <c r="C22" s="32"/>
      <c r="D22" s="32">
        <f t="shared" si="0"/>
        <v>1535846.710000003</v>
      </c>
      <c r="E22" s="1" t="s">
        <v>38</v>
      </c>
      <c r="F22" s="1" t="s">
        <v>134</v>
      </c>
    </row>
    <row r="23" spans="1:6" x14ac:dyDescent="0.2">
      <c r="A23" s="35">
        <v>43136</v>
      </c>
      <c r="B23" s="32"/>
      <c r="C23" s="32">
        <v>28860.46</v>
      </c>
      <c r="D23" s="32">
        <f t="shared" si="0"/>
        <v>1564707.170000003</v>
      </c>
      <c r="E23" s="1" t="s">
        <v>155</v>
      </c>
      <c r="F23" s="1" t="s">
        <v>138</v>
      </c>
    </row>
    <row r="24" spans="1:6" x14ac:dyDescent="0.2">
      <c r="A24" s="35">
        <v>43136</v>
      </c>
      <c r="B24" s="32"/>
      <c r="C24" s="32">
        <v>15551.96</v>
      </c>
      <c r="D24" s="32">
        <f t="shared" si="0"/>
        <v>1580259.1300000029</v>
      </c>
      <c r="E24" s="1" t="s">
        <v>156</v>
      </c>
      <c r="F24" s="1" t="s">
        <v>138</v>
      </c>
    </row>
    <row r="25" spans="1:6" x14ac:dyDescent="0.2">
      <c r="A25" s="35">
        <v>43137</v>
      </c>
      <c r="B25" s="32">
        <v>8269.2900000000009</v>
      </c>
      <c r="C25" s="32"/>
      <c r="D25" s="32">
        <f t="shared" si="0"/>
        <v>1571989.8400000029</v>
      </c>
      <c r="E25" s="1" t="s">
        <v>221</v>
      </c>
      <c r="F25" s="1" t="s">
        <v>147</v>
      </c>
    </row>
    <row r="26" spans="1:6" x14ac:dyDescent="0.2">
      <c r="A26" s="35">
        <v>43138</v>
      </c>
      <c r="B26" s="32">
        <v>500000</v>
      </c>
      <c r="C26" s="32"/>
      <c r="D26" s="32">
        <f t="shared" si="0"/>
        <v>1071989.8400000029</v>
      </c>
      <c r="E26" s="1" t="s">
        <v>14</v>
      </c>
      <c r="F26" s="1" t="s">
        <v>153</v>
      </c>
    </row>
    <row r="27" spans="1:6" x14ac:dyDescent="0.2">
      <c r="A27" s="35">
        <v>43139</v>
      </c>
      <c r="B27" s="32">
        <v>10.5</v>
      </c>
      <c r="C27" s="32"/>
      <c r="D27" s="32">
        <f t="shared" si="0"/>
        <v>1071979.3400000029</v>
      </c>
      <c r="E27" s="1" t="s">
        <v>220</v>
      </c>
      <c r="F27" s="1" t="s">
        <v>134</v>
      </c>
    </row>
    <row r="28" spans="1:6" x14ac:dyDescent="0.2">
      <c r="A28" s="35">
        <v>43140</v>
      </c>
      <c r="B28" s="32"/>
      <c r="C28" s="32">
        <v>587556.87</v>
      </c>
      <c r="D28" s="32">
        <f t="shared" si="0"/>
        <v>1659536.2100000028</v>
      </c>
      <c r="E28" s="1" t="s">
        <v>157</v>
      </c>
      <c r="F28" s="1" t="s">
        <v>138</v>
      </c>
    </row>
    <row r="29" spans="1:6" x14ac:dyDescent="0.2">
      <c r="A29" s="35">
        <v>43143</v>
      </c>
      <c r="B29" s="32">
        <v>4955</v>
      </c>
      <c r="C29" s="32"/>
      <c r="D29" s="32">
        <f t="shared" si="0"/>
        <v>1654581.2100000028</v>
      </c>
      <c r="E29" s="1" t="s">
        <v>15</v>
      </c>
      <c r="F29" s="1" t="s">
        <v>125</v>
      </c>
    </row>
    <row r="30" spans="1:6" x14ac:dyDescent="0.2">
      <c r="A30" s="35">
        <v>43143</v>
      </c>
      <c r="B30" s="32">
        <v>4955</v>
      </c>
      <c r="C30" s="32"/>
      <c r="D30" s="32">
        <f t="shared" si="0"/>
        <v>1649626.2100000028</v>
      </c>
      <c r="E30" s="1" t="s">
        <v>203</v>
      </c>
      <c r="F30" s="1" t="s">
        <v>125</v>
      </c>
    </row>
    <row r="31" spans="1:6" x14ac:dyDescent="0.2">
      <c r="A31" s="35">
        <v>43143</v>
      </c>
      <c r="B31" s="32">
        <v>4955</v>
      </c>
      <c r="C31" s="32"/>
      <c r="D31" s="32">
        <f t="shared" si="0"/>
        <v>1644671.2100000028</v>
      </c>
      <c r="E31" s="1" t="s">
        <v>203</v>
      </c>
      <c r="F31" s="1" t="s">
        <v>125</v>
      </c>
    </row>
    <row r="32" spans="1:6" x14ac:dyDescent="0.2">
      <c r="A32" s="35">
        <v>43143</v>
      </c>
      <c r="B32" s="32">
        <v>164825.79999999999</v>
      </c>
      <c r="C32" s="32"/>
      <c r="D32" s="32">
        <f t="shared" si="0"/>
        <v>1479845.4100000027</v>
      </c>
      <c r="E32" s="1" t="s">
        <v>204</v>
      </c>
      <c r="F32" s="1" t="s">
        <v>129</v>
      </c>
    </row>
    <row r="33" spans="1:6" x14ac:dyDescent="0.2">
      <c r="A33" s="35">
        <v>43143</v>
      </c>
      <c r="B33" s="32">
        <v>8666.67</v>
      </c>
      <c r="C33" s="32"/>
      <c r="D33" s="32">
        <f t="shared" si="0"/>
        <v>1471178.7400000028</v>
      </c>
      <c r="E33" s="1" t="s">
        <v>38</v>
      </c>
      <c r="F33" s="1" t="s">
        <v>134</v>
      </c>
    </row>
    <row r="34" spans="1:6" x14ac:dyDescent="0.2">
      <c r="A34" s="35">
        <v>43143</v>
      </c>
      <c r="B34" s="32">
        <v>1200</v>
      </c>
      <c r="C34" s="32"/>
      <c r="D34" s="32">
        <f t="shared" si="0"/>
        <v>1469978.7400000028</v>
      </c>
      <c r="E34" s="1" t="s">
        <v>205</v>
      </c>
      <c r="F34" s="1" t="s">
        <v>134</v>
      </c>
    </row>
    <row r="35" spans="1:6" x14ac:dyDescent="0.2">
      <c r="A35" s="35">
        <v>43143</v>
      </c>
      <c r="B35" s="32">
        <v>1200</v>
      </c>
      <c r="C35" s="32"/>
      <c r="D35" s="32">
        <f t="shared" si="0"/>
        <v>1468778.7400000028</v>
      </c>
      <c r="E35" s="1" t="s">
        <v>38</v>
      </c>
      <c r="F35" s="1" t="s">
        <v>134</v>
      </c>
    </row>
    <row r="36" spans="1:6" x14ac:dyDescent="0.2">
      <c r="A36" s="35">
        <v>43143</v>
      </c>
      <c r="B36" s="32">
        <v>3718.7</v>
      </c>
      <c r="C36" s="32"/>
      <c r="D36" s="32">
        <f t="shared" si="0"/>
        <v>1465060.0400000028</v>
      </c>
      <c r="E36" s="1" t="s">
        <v>205</v>
      </c>
      <c r="F36" s="1" t="s">
        <v>134</v>
      </c>
    </row>
    <row r="37" spans="1:6" x14ac:dyDescent="0.2">
      <c r="A37" s="35">
        <v>43157</v>
      </c>
      <c r="B37" s="32">
        <v>61285.25</v>
      </c>
      <c r="C37" s="32"/>
      <c r="D37" s="32">
        <f t="shared" si="0"/>
        <v>1403774.7900000028</v>
      </c>
      <c r="E37" s="1" t="s">
        <v>70</v>
      </c>
      <c r="F37" s="1" t="s">
        <v>125</v>
      </c>
    </row>
    <row r="38" spans="1:6" x14ac:dyDescent="0.2">
      <c r="A38" s="35">
        <v>43157</v>
      </c>
      <c r="B38" s="32">
        <v>19101.48</v>
      </c>
      <c r="C38" s="32"/>
      <c r="D38" s="32">
        <f t="shared" si="0"/>
        <v>1384673.3100000028</v>
      </c>
      <c r="E38" s="1" t="s">
        <v>206</v>
      </c>
      <c r="F38" s="1" t="s">
        <v>125</v>
      </c>
    </row>
    <row r="39" spans="1:6" x14ac:dyDescent="0.2">
      <c r="A39" s="35">
        <v>43157</v>
      </c>
      <c r="B39" s="32">
        <v>8563.9</v>
      </c>
      <c r="C39" s="32"/>
      <c r="D39" s="32">
        <f t="shared" si="0"/>
        <v>1376109.4100000029</v>
      </c>
      <c r="E39" s="1" t="s">
        <v>70</v>
      </c>
      <c r="F39" s="1" t="s">
        <v>125</v>
      </c>
    </row>
    <row r="40" spans="1:6" x14ac:dyDescent="0.2">
      <c r="A40" s="35">
        <v>43157</v>
      </c>
      <c r="B40" s="32">
        <v>3353.6</v>
      </c>
      <c r="C40" s="32"/>
      <c r="D40" s="32">
        <f t="shared" si="0"/>
        <v>1372755.8100000028</v>
      </c>
      <c r="E40" s="1" t="s">
        <v>99</v>
      </c>
      <c r="F40" s="1" t="s">
        <v>125</v>
      </c>
    </row>
    <row r="41" spans="1:6" x14ac:dyDescent="0.2">
      <c r="A41" s="35">
        <v>43157</v>
      </c>
      <c r="B41" s="32"/>
      <c r="C41" s="32">
        <v>200000</v>
      </c>
      <c r="D41" s="32">
        <f t="shared" si="0"/>
        <v>1572755.8100000028</v>
      </c>
      <c r="E41" s="1" t="s">
        <v>104</v>
      </c>
      <c r="F41" s="1" t="s">
        <v>108</v>
      </c>
    </row>
    <row r="42" spans="1:6" x14ac:dyDescent="0.2">
      <c r="A42" s="35">
        <v>43167</v>
      </c>
      <c r="B42" s="32">
        <v>90000</v>
      </c>
      <c r="C42" s="32"/>
      <c r="D42" s="32">
        <f t="shared" si="0"/>
        <v>1482755.8100000028</v>
      </c>
      <c r="E42" s="1" t="s">
        <v>154</v>
      </c>
      <c r="F42" s="1" t="s">
        <v>134</v>
      </c>
    </row>
    <row r="43" spans="1:6" x14ac:dyDescent="0.2">
      <c r="A43" s="35">
        <v>43167</v>
      </c>
      <c r="B43" s="32">
        <v>3505.07</v>
      </c>
      <c r="C43" s="32"/>
      <c r="D43" s="32">
        <f t="shared" si="0"/>
        <v>1479250.7400000028</v>
      </c>
      <c r="E43" s="1" t="s">
        <v>222</v>
      </c>
      <c r="F43" s="1" t="s">
        <v>147</v>
      </c>
    </row>
    <row r="44" spans="1:6" x14ac:dyDescent="0.2">
      <c r="A44" s="35">
        <v>43168</v>
      </c>
      <c r="B44" s="32">
        <v>7</v>
      </c>
      <c r="C44" s="32"/>
      <c r="D44" s="32">
        <f t="shared" si="0"/>
        <v>1479243.7400000028</v>
      </c>
      <c r="E44" s="1" t="s">
        <v>220</v>
      </c>
      <c r="F44" s="1" t="s">
        <v>134</v>
      </c>
    </row>
    <row r="45" spans="1:6" x14ac:dyDescent="0.2">
      <c r="A45" s="35">
        <v>43180</v>
      </c>
      <c r="B45" s="32"/>
      <c r="C45" s="32">
        <v>722.15</v>
      </c>
      <c r="D45" s="32">
        <f t="shared" si="0"/>
        <v>1479965.8900000027</v>
      </c>
      <c r="E45" s="1" t="s">
        <v>85</v>
      </c>
      <c r="F45" s="1" t="s">
        <v>142</v>
      </c>
    </row>
    <row r="46" spans="1:6" x14ac:dyDescent="0.2">
      <c r="A46" s="35">
        <v>43181</v>
      </c>
      <c r="B46" s="32"/>
      <c r="C46" s="32">
        <v>400000</v>
      </c>
      <c r="D46" s="32">
        <f t="shared" si="0"/>
        <v>1879965.8900000027</v>
      </c>
      <c r="E46" s="1" t="s">
        <v>159</v>
      </c>
      <c r="F46" s="1" t="s">
        <v>108</v>
      </c>
    </row>
    <row r="47" spans="1:6" x14ac:dyDescent="0.2">
      <c r="A47" s="35">
        <v>43181</v>
      </c>
      <c r="B47" s="32"/>
      <c r="C47" s="32">
        <v>250000</v>
      </c>
      <c r="D47" s="32">
        <f t="shared" si="0"/>
        <v>2129965.8900000025</v>
      </c>
      <c r="E47" s="1" t="s">
        <v>159</v>
      </c>
      <c r="F47" s="1" t="s">
        <v>108</v>
      </c>
    </row>
    <row r="48" spans="1:6" x14ac:dyDescent="0.2">
      <c r="A48" s="35">
        <v>43185</v>
      </c>
      <c r="B48" s="32">
        <v>14087.75</v>
      </c>
      <c r="C48" s="32"/>
      <c r="D48" s="32">
        <f t="shared" si="0"/>
        <v>2115878.1400000025</v>
      </c>
      <c r="E48" s="1" t="s">
        <v>70</v>
      </c>
      <c r="F48" s="1" t="s">
        <v>125</v>
      </c>
    </row>
    <row r="49" spans="1:6" x14ac:dyDescent="0.2">
      <c r="A49" s="35">
        <v>43185</v>
      </c>
      <c r="B49" s="32">
        <v>8922.2000000000007</v>
      </c>
      <c r="C49" s="32"/>
      <c r="D49" s="32">
        <f t="shared" si="0"/>
        <v>2106955.9400000023</v>
      </c>
      <c r="E49" s="1" t="s">
        <v>99</v>
      </c>
      <c r="F49" s="1" t="s">
        <v>125</v>
      </c>
    </row>
    <row r="50" spans="1:6" x14ac:dyDescent="0.2">
      <c r="A50" s="35">
        <v>43185</v>
      </c>
      <c r="B50" s="32">
        <v>4004.9</v>
      </c>
      <c r="C50" s="32"/>
      <c r="D50" s="32">
        <f t="shared" si="0"/>
        <v>2102951.0400000024</v>
      </c>
      <c r="E50" s="1" t="s">
        <v>70</v>
      </c>
      <c r="F50" s="1" t="s">
        <v>125</v>
      </c>
    </row>
    <row r="51" spans="1:6" x14ac:dyDescent="0.2">
      <c r="A51" s="35">
        <v>43185</v>
      </c>
      <c r="B51" s="32">
        <v>3353.6</v>
      </c>
      <c r="C51" s="32"/>
      <c r="D51" s="32">
        <f t="shared" si="0"/>
        <v>2099597.4400000023</v>
      </c>
      <c r="E51" s="1" t="s">
        <v>70</v>
      </c>
      <c r="F51" s="1" t="s">
        <v>125</v>
      </c>
    </row>
    <row r="52" spans="1:6" x14ac:dyDescent="0.2">
      <c r="A52" s="35">
        <v>43185</v>
      </c>
      <c r="B52" s="32">
        <v>7410</v>
      </c>
      <c r="C52" s="32"/>
      <c r="D52" s="32">
        <f t="shared" si="0"/>
        <v>2092187.4400000023</v>
      </c>
      <c r="E52" s="1" t="s">
        <v>201</v>
      </c>
      <c r="F52" s="1" t="s">
        <v>134</v>
      </c>
    </row>
    <row r="53" spans="1:6" x14ac:dyDescent="0.2">
      <c r="A53" s="35">
        <v>43185</v>
      </c>
      <c r="B53" s="32">
        <v>366.9</v>
      </c>
      <c r="C53" s="32"/>
      <c r="D53" s="32">
        <f t="shared" si="0"/>
        <v>2091820.5400000024</v>
      </c>
      <c r="E53" s="1" t="s">
        <v>38</v>
      </c>
      <c r="F53" s="1" t="s">
        <v>134</v>
      </c>
    </row>
    <row r="54" spans="1:6" x14ac:dyDescent="0.2">
      <c r="A54" s="35">
        <v>43185</v>
      </c>
      <c r="B54" s="32">
        <v>42477.2</v>
      </c>
      <c r="C54" s="32"/>
      <c r="D54" s="32">
        <f t="shared" si="0"/>
        <v>2049343.3400000024</v>
      </c>
      <c r="E54" s="1" t="s">
        <v>38</v>
      </c>
      <c r="F54" s="1" t="s">
        <v>134</v>
      </c>
    </row>
    <row r="55" spans="1:6" x14ac:dyDescent="0.2">
      <c r="A55" s="35">
        <v>43187</v>
      </c>
      <c r="B55" s="32">
        <v>1000000</v>
      </c>
      <c r="C55" s="32"/>
      <c r="D55" s="32">
        <f t="shared" si="0"/>
        <v>1049343.3400000024</v>
      </c>
      <c r="E55" s="1" t="s">
        <v>163</v>
      </c>
      <c r="F55" s="1" t="s">
        <v>153</v>
      </c>
    </row>
    <row r="56" spans="1:6" x14ac:dyDescent="0.2">
      <c r="A56" s="35">
        <v>43188</v>
      </c>
      <c r="B56" s="32">
        <v>14</v>
      </c>
      <c r="C56" s="32"/>
      <c r="D56" s="32">
        <f t="shared" si="0"/>
        <v>1049329.3400000024</v>
      </c>
      <c r="E56" s="1" t="s">
        <v>220</v>
      </c>
      <c r="F56" s="1" t="s">
        <v>134</v>
      </c>
    </row>
    <row r="57" spans="1:6" x14ac:dyDescent="0.2">
      <c r="A57" s="35">
        <v>43188</v>
      </c>
      <c r="B57" s="32">
        <v>2933</v>
      </c>
      <c r="C57" s="32"/>
      <c r="D57" s="32">
        <f t="shared" si="0"/>
        <v>1046396.3400000024</v>
      </c>
      <c r="E57" s="1" t="s">
        <v>201</v>
      </c>
      <c r="F57" s="1" t="s">
        <v>134</v>
      </c>
    </row>
    <row r="58" spans="1:6" x14ac:dyDescent="0.2">
      <c r="A58" s="35">
        <v>43193</v>
      </c>
      <c r="B58" s="32">
        <v>1000</v>
      </c>
      <c r="C58" s="32"/>
      <c r="D58" s="32">
        <f t="shared" si="0"/>
        <v>1045396.3400000024</v>
      </c>
      <c r="E58" s="1" t="s">
        <v>105</v>
      </c>
      <c r="F58" s="1" t="s">
        <v>134</v>
      </c>
    </row>
    <row r="59" spans="1:6" x14ac:dyDescent="0.2">
      <c r="A59" s="35">
        <v>43200</v>
      </c>
      <c r="B59" s="32">
        <v>7075</v>
      </c>
      <c r="C59" s="32"/>
      <c r="D59" s="32">
        <f t="shared" si="0"/>
        <v>1038321.3400000024</v>
      </c>
      <c r="E59" s="1" t="s">
        <v>160</v>
      </c>
      <c r="F59" s="1" t="s">
        <v>108</v>
      </c>
    </row>
    <row r="60" spans="1:6" x14ac:dyDescent="0.2">
      <c r="A60" s="35">
        <v>43206</v>
      </c>
      <c r="B60" s="32">
        <v>9413.92</v>
      </c>
      <c r="C60" s="32"/>
      <c r="D60" s="32">
        <f t="shared" si="0"/>
        <v>1028907.4200000024</v>
      </c>
      <c r="E60" s="1" t="s">
        <v>223</v>
      </c>
      <c r="F60" s="1" t="s">
        <v>136</v>
      </c>
    </row>
    <row r="61" spans="1:6" x14ac:dyDescent="0.2">
      <c r="A61" s="35">
        <v>43207</v>
      </c>
      <c r="B61" s="32">
        <v>10000</v>
      </c>
      <c r="C61" s="32"/>
      <c r="D61" s="32">
        <f t="shared" si="0"/>
        <v>1018907.4200000024</v>
      </c>
      <c r="E61" s="1" t="s">
        <v>150</v>
      </c>
      <c r="F61" s="1" t="s">
        <v>108</v>
      </c>
    </row>
    <row r="62" spans="1:6" x14ac:dyDescent="0.2">
      <c r="A62" s="35">
        <v>43215</v>
      </c>
      <c r="B62" s="32">
        <v>31578.9</v>
      </c>
      <c r="C62" s="32"/>
      <c r="D62" s="32">
        <f t="shared" si="0"/>
        <v>987328.52000000235</v>
      </c>
      <c r="E62" s="1" t="s">
        <v>70</v>
      </c>
      <c r="F62" s="1" t="s">
        <v>125</v>
      </c>
    </row>
    <row r="63" spans="1:6" x14ac:dyDescent="0.2">
      <c r="A63" s="35">
        <v>43215</v>
      </c>
      <c r="B63" s="32">
        <v>8922.2000000000007</v>
      </c>
      <c r="C63" s="32"/>
      <c r="D63" s="32">
        <f t="shared" si="0"/>
        <v>978406.32000000239</v>
      </c>
      <c r="E63" s="1" t="s">
        <v>70</v>
      </c>
      <c r="F63" s="1" t="s">
        <v>125</v>
      </c>
    </row>
    <row r="64" spans="1:6" x14ac:dyDescent="0.2">
      <c r="A64" s="35">
        <v>43215</v>
      </c>
      <c r="B64" s="32">
        <v>4004.9</v>
      </c>
      <c r="C64" s="32"/>
      <c r="D64" s="32">
        <f t="shared" si="0"/>
        <v>974401.42000000237</v>
      </c>
      <c r="E64" s="1" t="s">
        <v>70</v>
      </c>
      <c r="F64" s="1" t="s">
        <v>125</v>
      </c>
    </row>
    <row r="65" spans="1:6" x14ac:dyDescent="0.2">
      <c r="A65" s="35">
        <v>43215</v>
      </c>
      <c r="B65" s="32">
        <v>3353.6</v>
      </c>
      <c r="C65" s="32"/>
      <c r="D65" s="32">
        <f t="shared" si="0"/>
        <v>971047.82000000239</v>
      </c>
      <c r="E65" s="1" t="s">
        <v>70</v>
      </c>
      <c r="F65" s="1" t="s">
        <v>125</v>
      </c>
    </row>
    <row r="66" spans="1:6" x14ac:dyDescent="0.2">
      <c r="A66" s="35">
        <v>43215</v>
      </c>
      <c r="B66" s="32">
        <v>12953.09</v>
      </c>
      <c r="C66" s="32"/>
      <c r="D66" s="32">
        <f t="shared" si="0"/>
        <v>958094.73000000243</v>
      </c>
      <c r="E66" s="1" t="s">
        <v>38</v>
      </c>
      <c r="F66" s="1" t="s">
        <v>134</v>
      </c>
    </row>
    <row r="67" spans="1:6" x14ac:dyDescent="0.2">
      <c r="A67" s="35">
        <v>43215</v>
      </c>
      <c r="B67" s="32">
        <v>296</v>
      </c>
      <c r="C67" s="32"/>
      <c r="D67" s="32">
        <f t="shared" si="0"/>
        <v>957798.73000000243</v>
      </c>
      <c r="E67" s="1" t="s">
        <v>38</v>
      </c>
      <c r="F67" s="1" t="s">
        <v>134</v>
      </c>
    </row>
    <row r="68" spans="1:6" x14ac:dyDescent="0.2">
      <c r="A68" s="35">
        <v>43215</v>
      </c>
      <c r="B68" s="32">
        <v>1453</v>
      </c>
      <c r="C68" s="32"/>
      <c r="D68" s="32">
        <f t="shared" si="0"/>
        <v>956345.73000000243</v>
      </c>
      <c r="E68" s="1" t="s">
        <v>38</v>
      </c>
      <c r="F68" s="1" t="s">
        <v>134</v>
      </c>
    </row>
    <row r="69" spans="1:6" x14ac:dyDescent="0.2">
      <c r="A69" s="35">
        <v>43215</v>
      </c>
      <c r="B69" s="32"/>
      <c r="C69" s="32">
        <v>180000</v>
      </c>
      <c r="D69" s="32">
        <f t="shared" si="0"/>
        <v>1136345.7300000023</v>
      </c>
      <c r="E69" s="1" t="s">
        <v>72</v>
      </c>
      <c r="F69" s="1" t="s">
        <v>108</v>
      </c>
    </row>
    <row r="70" spans="1:6" x14ac:dyDescent="0.2">
      <c r="A70" s="35">
        <v>43216</v>
      </c>
      <c r="B70" s="32">
        <v>400000</v>
      </c>
      <c r="C70" s="32"/>
      <c r="D70" s="32">
        <f t="shared" ref="D70:D133" si="1">D69+C70-B70</f>
        <v>736345.73000000231</v>
      </c>
      <c r="E70" s="1" t="s">
        <v>14</v>
      </c>
      <c r="F70" s="1" t="s">
        <v>153</v>
      </c>
    </row>
    <row r="71" spans="1:6" x14ac:dyDescent="0.2">
      <c r="A71" s="35">
        <v>43217</v>
      </c>
      <c r="B71" s="32">
        <v>10.5</v>
      </c>
      <c r="C71" s="32"/>
      <c r="D71" s="32">
        <f t="shared" si="1"/>
        <v>736335.23000000231</v>
      </c>
      <c r="E71" s="1" t="s">
        <v>86</v>
      </c>
      <c r="F71" s="1" t="s">
        <v>134</v>
      </c>
    </row>
    <row r="72" spans="1:6" x14ac:dyDescent="0.2">
      <c r="A72" s="35">
        <v>43230</v>
      </c>
      <c r="B72" s="32">
        <v>4005.07</v>
      </c>
      <c r="C72" s="32"/>
      <c r="D72" s="32">
        <f t="shared" si="1"/>
        <v>732330.16000000236</v>
      </c>
      <c r="E72" s="1" t="s">
        <v>73</v>
      </c>
      <c r="F72" s="1" t="s">
        <v>136</v>
      </c>
    </row>
    <row r="73" spans="1:6" x14ac:dyDescent="0.2">
      <c r="A73" s="35">
        <v>43245</v>
      </c>
      <c r="B73" s="32">
        <v>8922.2000000000007</v>
      </c>
      <c r="C73" s="32"/>
      <c r="D73" s="32">
        <f t="shared" si="1"/>
        <v>723407.96000000241</v>
      </c>
      <c r="E73" s="1" t="s">
        <v>203</v>
      </c>
      <c r="F73" s="1" t="s">
        <v>125</v>
      </c>
    </row>
    <row r="74" spans="1:6" x14ac:dyDescent="0.2">
      <c r="A74" s="35">
        <v>43245</v>
      </c>
      <c r="B74" s="32">
        <v>4004.9</v>
      </c>
      <c r="C74" s="32"/>
      <c r="D74" s="32">
        <f t="shared" si="1"/>
        <v>719403.06000000238</v>
      </c>
      <c r="E74" s="1" t="s">
        <v>203</v>
      </c>
      <c r="F74" s="1" t="s">
        <v>125</v>
      </c>
    </row>
    <row r="75" spans="1:6" x14ac:dyDescent="0.2">
      <c r="A75" s="35">
        <v>43245</v>
      </c>
      <c r="B75" s="32"/>
      <c r="C75" s="32">
        <v>43000</v>
      </c>
      <c r="D75" s="32">
        <f t="shared" si="1"/>
        <v>762403.06000000238</v>
      </c>
      <c r="E75" s="1" t="s">
        <v>161</v>
      </c>
      <c r="F75" s="1" t="s">
        <v>138</v>
      </c>
    </row>
    <row r="76" spans="1:6" x14ac:dyDescent="0.2">
      <c r="A76" s="35">
        <v>43250</v>
      </c>
      <c r="B76" s="32">
        <v>3353.6</v>
      </c>
      <c r="C76" s="32"/>
      <c r="D76" s="32">
        <f t="shared" si="1"/>
        <v>759049.46000000241</v>
      </c>
      <c r="E76" s="1" t="s">
        <v>70</v>
      </c>
      <c r="F76" s="1" t="s">
        <v>125</v>
      </c>
    </row>
    <row r="77" spans="1:6" x14ac:dyDescent="0.2">
      <c r="A77" s="35">
        <v>43251</v>
      </c>
      <c r="B77" s="32">
        <v>5100</v>
      </c>
      <c r="C77" s="32"/>
      <c r="D77" s="32">
        <f t="shared" si="1"/>
        <v>753949.46000000241</v>
      </c>
      <c r="E77" s="1" t="s">
        <v>38</v>
      </c>
      <c r="F77" s="1" t="s">
        <v>134</v>
      </c>
    </row>
    <row r="78" spans="1:6" x14ac:dyDescent="0.2">
      <c r="A78" s="35">
        <v>43251</v>
      </c>
      <c r="B78" s="32">
        <v>471</v>
      </c>
      <c r="C78" s="32"/>
      <c r="D78" s="32">
        <f t="shared" si="1"/>
        <v>753478.46000000241</v>
      </c>
      <c r="E78" s="1" t="s">
        <v>38</v>
      </c>
      <c r="F78" s="1" t="s">
        <v>134</v>
      </c>
    </row>
    <row r="79" spans="1:6" x14ac:dyDescent="0.2">
      <c r="A79" s="35">
        <v>43251</v>
      </c>
      <c r="B79" s="32">
        <v>6020</v>
      </c>
      <c r="C79" s="32"/>
      <c r="D79" s="32">
        <f t="shared" si="1"/>
        <v>747458.46000000241</v>
      </c>
      <c r="E79" s="1" t="s">
        <v>38</v>
      </c>
      <c r="F79" s="1" t="s">
        <v>134</v>
      </c>
    </row>
    <row r="80" spans="1:6" x14ac:dyDescent="0.2">
      <c r="A80" s="35">
        <v>43262</v>
      </c>
      <c r="B80" s="32">
        <v>3505.07</v>
      </c>
      <c r="C80" s="32"/>
      <c r="D80" s="32">
        <f t="shared" si="1"/>
        <v>743953.39000000246</v>
      </c>
      <c r="E80" s="1" t="s">
        <v>73</v>
      </c>
      <c r="F80" s="1" t="s">
        <v>136</v>
      </c>
    </row>
    <row r="81" spans="1:6" x14ac:dyDescent="0.2">
      <c r="A81" s="35">
        <v>43268</v>
      </c>
      <c r="B81" s="32"/>
      <c r="C81" s="32">
        <v>500000</v>
      </c>
      <c r="D81" s="32">
        <f t="shared" si="1"/>
        <v>1243953.3900000025</v>
      </c>
      <c r="E81" s="1" t="s">
        <v>163</v>
      </c>
      <c r="F81" s="1" t="s">
        <v>144</v>
      </c>
    </row>
    <row r="82" spans="1:6" x14ac:dyDescent="0.2">
      <c r="A82" s="35">
        <v>43270</v>
      </c>
      <c r="B82" s="32">
        <v>500000</v>
      </c>
      <c r="C82" s="32"/>
      <c r="D82" s="32">
        <f t="shared" si="1"/>
        <v>743953.39000000246</v>
      </c>
      <c r="E82" s="1" t="s">
        <v>14</v>
      </c>
      <c r="F82" s="1" t="s">
        <v>153</v>
      </c>
    </row>
    <row r="83" spans="1:6" x14ac:dyDescent="0.2">
      <c r="A83" s="35">
        <v>43271</v>
      </c>
      <c r="B83" s="32">
        <v>10.5</v>
      </c>
      <c r="C83" s="32"/>
      <c r="D83" s="32">
        <f t="shared" si="1"/>
        <v>743942.89000000246</v>
      </c>
      <c r="E83" s="1" t="s">
        <v>86</v>
      </c>
      <c r="F83" s="1" t="s">
        <v>134</v>
      </c>
    </row>
    <row r="84" spans="1:6" x14ac:dyDescent="0.2">
      <c r="A84" s="35">
        <v>43272</v>
      </c>
      <c r="B84" s="32"/>
      <c r="C84" s="32">
        <v>184.36</v>
      </c>
      <c r="D84" s="32">
        <f t="shared" si="1"/>
        <v>744127.25000000244</v>
      </c>
      <c r="E84" s="1" t="s">
        <v>85</v>
      </c>
      <c r="F84" s="1" t="s">
        <v>142</v>
      </c>
    </row>
    <row r="85" spans="1:6" x14ac:dyDescent="0.2">
      <c r="A85" s="35">
        <v>43276</v>
      </c>
      <c r="B85" s="32">
        <v>8922.2000000000007</v>
      </c>
      <c r="C85" s="32"/>
      <c r="D85" s="32">
        <f t="shared" si="1"/>
        <v>735205.05000000249</v>
      </c>
      <c r="E85" s="1" t="s">
        <v>15</v>
      </c>
      <c r="F85" s="1" t="s">
        <v>125</v>
      </c>
    </row>
    <row r="86" spans="1:6" x14ac:dyDescent="0.2">
      <c r="A86" s="35">
        <v>43276</v>
      </c>
      <c r="B86" s="32">
        <v>4004.9</v>
      </c>
      <c r="C86" s="32"/>
      <c r="D86" s="32">
        <f t="shared" si="1"/>
        <v>731200.15000000247</v>
      </c>
      <c r="E86" s="1" t="s">
        <v>15</v>
      </c>
      <c r="F86" s="1" t="s">
        <v>125</v>
      </c>
    </row>
    <row r="87" spans="1:6" x14ac:dyDescent="0.2">
      <c r="A87" s="35">
        <v>43277</v>
      </c>
      <c r="B87" s="32">
        <v>3353.6</v>
      </c>
      <c r="C87" s="32"/>
      <c r="D87" s="32">
        <f t="shared" si="1"/>
        <v>727846.55000000249</v>
      </c>
      <c r="E87" s="1" t="s">
        <v>70</v>
      </c>
      <c r="F87" s="1" t="s">
        <v>125</v>
      </c>
    </row>
    <row r="88" spans="1:6" x14ac:dyDescent="0.2">
      <c r="A88" s="35">
        <v>43278</v>
      </c>
      <c r="B88" s="32"/>
      <c r="C88" s="32">
        <v>131592.9</v>
      </c>
      <c r="D88" s="32">
        <f t="shared" si="1"/>
        <v>859439.45000000251</v>
      </c>
      <c r="E88" s="1" t="s">
        <v>69</v>
      </c>
      <c r="F88" s="1" t="s">
        <v>138</v>
      </c>
    </row>
    <row r="89" spans="1:6" x14ac:dyDescent="0.2">
      <c r="A89" s="35">
        <v>43284</v>
      </c>
      <c r="B89" s="32">
        <v>990</v>
      </c>
      <c r="C89" s="32"/>
      <c r="D89" s="32">
        <f t="shared" si="1"/>
        <v>858449.45000000251</v>
      </c>
      <c r="E89" s="1" t="s">
        <v>162</v>
      </c>
      <c r="F89" s="1" t="s">
        <v>134</v>
      </c>
    </row>
    <row r="90" spans="1:6" x14ac:dyDescent="0.2">
      <c r="A90" s="35">
        <v>43291</v>
      </c>
      <c r="B90" s="32">
        <v>9313.32</v>
      </c>
      <c r="C90" s="32"/>
      <c r="D90" s="32">
        <f t="shared" si="1"/>
        <v>849136.13000000257</v>
      </c>
      <c r="E90" s="1" t="s">
        <v>56</v>
      </c>
      <c r="F90" s="1" t="s">
        <v>136</v>
      </c>
    </row>
    <row r="91" spans="1:6" x14ac:dyDescent="0.2">
      <c r="A91" s="35">
        <v>43291</v>
      </c>
      <c r="B91" s="32">
        <v>8977.5</v>
      </c>
      <c r="C91" s="32"/>
      <c r="D91" s="32">
        <f t="shared" si="1"/>
        <v>840158.63000000257</v>
      </c>
      <c r="E91" s="1" t="s">
        <v>38</v>
      </c>
      <c r="F91" s="1" t="s">
        <v>134</v>
      </c>
    </row>
    <row r="92" spans="1:6" x14ac:dyDescent="0.2">
      <c r="A92" s="35">
        <v>43306</v>
      </c>
      <c r="B92" s="32">
        <v>6254.1</v>
      </c>
      <c r="C92" s="32"/>
      <c r="D92" s="32">
        <f t="shared" si="1"/>
        <v>833904.53000000259</v>
      </c>
      <c r="E92" s="1" t="s">
        <v>38</v>
      </c>
      <c r="F92" s="1" t="s">
        <v>134</v>
      </c>
    </row>
    <row r="93" spans="1:6" x14ac:dyDescent="0.2">
      <c r="A93" s="35">
        <v>43306</v>
      </c>
      <c r="B93" s="32">
        <v>593.47</v>
      </c>
      <c r="C93" s="32"/>
      <c r="D93" s="32">
        <f t="shared" si="1"/>
        <v>833311.06000000262</v>
      </c>
      <c r="E93" s="1" t="s">
        <v>38</v>
      </c>
      <c r="F93" s="1" t="s">
        <v>134</v>
      </c>
    </row>
    <row r="94" spans="1:6" x14ac:dyDescent="0.2">
      <c r="A94" s="35">
        <v>43306</v>
      </c>
      <c r="B94" s="32">
        <v>6182</v>
      </c>
      <c r="C94" s="32"/>
      <c r="D94" s="32">
        <f t="shared" si="1"/>
        <v>827129.06000000262</v>
      </c>
      <c r="E94" s="1" t="s">
        <v>38</v>
      </c>
      <c r="F94" s="1" t="s">
        <v>134</v>
      </c>
    </row>
    <row r="95" spans="1:6" x14ac:dyDescent="0.2">
      <c r="A95" s="35">
        <v>43306</v>
      </c>
      <c r="B95" s="32">
        <v>8922.2000000000007</v>
      </c>
      <c r="C95" s="32"/>
      <c r="D95" s="32">
        <f t="shared" si="1"/>
        <v>818206.86000000266</v>
      </c>
      <c r="E95" s="1" t="s">
        <v>70</v>
      </c>
      <c r="F95" s="1" t="s">
        <v>125</v>
      </c>
    </row>
    <row r="96" spans="1:6" x14ac:dyDescent="0.2">
      <c r="A96" s="35">
        <v>43306</v>
      </c>
      <c r="B96" s="32">
        <v>4004.9</v>
      </c>
      <c r="C96" s="32"/>
      <c r="D96" s="32">
        <f t="shared" si="1"/>
        <v>814201.96000000264</v>
      </c>
      <c r="E96" s="1" t="s">
        <v>70</v>
      </c>
      <c r="F96" s="1" t="s">
        <v>125</v>
      </c>
    </row>
    <row r="97" spans="1:6" x14ac:dyDescent="0.2">
      <c r="A97" s="35">
        <v>43306</v>
      </c>
      <c r="B97" s="32">
        <v>2951.2</v>
      </c>
      <c r="C97" s="32"/>
      <c r="D97" s="32">
        <f t="shared" si="1"/>
        <v>811250.76000000269</v>
      </c>
      <c r="E97" s="1" t="s">
        <v>70</v>
      </c>
      <c r="F97" s="1" t="s">
        <v>125</v>
      </c>
    </row>
    <row r="98" spans="1:6" x14ac:dyDescent="0.2">
      <c r="A98" s="35">
        <v>43313</v>
      </c>
      <c r="B98" s="32">
        <v>3073.15</v>
      </c>
      <c r="C98" s="32"/>
      <c r="D98" s="32">
        <f t="shared" si="1"/>
        <v>808177.61000000266</v>
      </c>
      <c r="E98" s="1" t="s">
        <v>106</v>
      </c>
      <c r="F98" s="1" t="s">
        <v>134</v>
      </c>
    </row>
    <row r="99" spans="1:6" x14ac:dyDescent="0.2">
      <c r="A99" s="35">
        <v>43318</v>
      </c>
      <c r="B99" s="32"/>
      <c r="C99" s="32">
        <v>1000000</v>
      </c>
      <c r="D99" s="32">
        <f t="shared" si="1"/>
        <v>1808177.6100000027</v>
      </c>
      <c r="E99" s="1" t="s">
        <v>14</v>
      </c>
      <c r="F99" s="1" t="s">
        <v>144</v>
      </c>
    </row>
    <row r="100" spans="1:6" x14ac:dyDescent="0.2">
      <c r="A100" s="35">
        <v>43318</v>
      </c>
      <c r="B100" s="32">
        <v>8338.68</v>
      </c>
      <c r="C100" s="32"/>
      <c r="D100" s="32">
        <f t="shared" si="1"/>
        <v>1799838.9300000027</v>
      </c>
      <c r="E100" s="1" t="s">
        <v>56</v>
      </c>
      <c r="F100" s="1" t="s">
        <v>136</v>
      </c>
    </row>
    <row r="101" spans="1:6" x14ac:dyDescent="0.2">
      <c r="A101" s="35">
        <v>43318</v>
      </c>
      <c r="B101" s="32">
        <v>50000</v>
      </c>
      <c r="C101" s="32"/>
      <c r="D101" s="32">
        <f t="shared" si="1"/>
        <v>1749838.9300000027</v>
      </c>
      <c r="E101" s="1" t="s">
        <v>107</v>
      </c>
      <c r="F101" s="1" t="s">
        <v>134</v>
      </c>
    </row>
    <row r="102" spans="1:6" x14ac:dyDescent="0.2">
      <c r="A102" s="35">
        <v>43326</v>
      </c>
      <c r="B102" s="32">
        <v>500000</v>
      </c>
      <c r="C102" s="32"/>
      <c r="D102" s="32">
        <f t="shared" si="1"/>
        <v>1249838.9300000027</v>
      </c>
      <c r="E102" s="1" t="s">
        <v>14</v>
      </c>
      <c r="F102" s="1" t="s">
        <v>153</v>
      </c>
    </row>
    <row r="103" spans="1:6" x14ac:dyDescent="0.2">
      <c r="A103" s="35">
        <v>43327</v>
      </c>
      <c r="B103" s="32">
        <v>10.5</v>
      </c>
      <c r="C103" s="32"/>
      <c r="D103" s="32">
        <f t="shared" si="1"/>
        <v>1249828.4300000027</v>
      </c>
      <c r="E103" s="1" t="s">
        <v>86</v>
      </c>
      <c r="F103" s="1" t="s">
        <v>134</v>
      </c>
    </row>
    <row r="104" spans="1:6" x14ac:dyDescent="0.2">
      <c r="A104" s="35">
        <v>43336</v>
      </c>
      <c r="B104" s="32">
        <v>8855</v>
      </c>
      <c r="C104" s="32"/>
      <c r="D104" s="32">
        <f t="shared" si="1"/>
        <v>1240973.4300000027</v>
      </c>
      <c r="E104" s="1" t="s">
        <v>15</v>
      </c>
      <c r="F104" s="1" t="s">
        <v>125</v>
      </c>
    </row>
    <row r="105" spans="1:6" x14ac:dyDescent="0.2">
      <c r="A105" s="35">
        <v>43336</v>
      </c>
      <c r="B105" s="32">
        <v>3906.82</v>
      </c>
      <c r="C105" s="32"/>
      <c r="D105" s="32">
        <f t="shared" si="1"/>
        <v>1237066.6100000027</v>
      </c>
      <c r="E105" s="1" t="s">
        <v>15</v>
      </c>
      <c r="F105" s="1" t="s">
        <v>125</v>
      </c>
    </row>
    <row r="106" spans="1:6" x14ac:dyDescent="0.2">
      <c r="A106" s="35">
        <v>43336</v>
      </c>
      <c r="B106" s="32">
        <v>23995.55</v>
      </c>
      <c r="C106" s="32"/>
      <c r="D106" s="32">
        <f t="shared" si="1"/>
        <v>1213071.0600000026</v>
      </c>
      <c r="E106" s="1" t="s">
        <v>15</v>
      </c>
      <c r="F106" s="1" t="s">
        <v>125</v>
      </c>
    </row>
    <row r="107" spans="1:6" x14ac:dyDescent="0.2">
      <c r="A107" s="35">
        <v>43336</v>
      </c>
      <c r="B107" s="32">
        <v>4625.5</v>
      </c>
      <c r="C107" s="32"/>
      <c r="D107" s="32">
        <f t="shared" si="1"/>
        <v>1208445.5600000026</v>
      </c>
      <c r="E107" s="1" t="s">
        <v>38</v>
      </c>
      <c r="F107" s="1" t="s">
        <v>134</v>
      </c>
    </row>
    <row r="108" spans="1:6" x14ac:dyDescent="0.2">
      <c r="A108" s="35">
        <v>43336</v>
      </c>
      <c r="B108" s="32">
        <v>1478.5</v>
      </c>
      <c r="C108" s="32"/>
      <c r="D108" s="32">
        <f t="shared" si="1"/>
        <v>1206967.0600000026</v>
      </c>
      <c r="E108" s="1" t="s">
        <v>38</v>
      </c>
      <c r="F108" s="1" t="s">
        <v>134</v>
      </c>
    </row>
    <row r="109" spans="1:6" x14ac:dyDescent="0.2">
      <c r="A109" s="35">
        <v>43346</v>
      </c>
      <c r="B109" s="32">
        <v>1419.18</v>
      </c>
      <c r="C109" s="32"/>
      <c r="D109" s="32">
        <f t="shared" si="1"/>
        <v>1205547.8800000027</v>
      </c>
      <c r="E109" s="1" t="s">
        <v>56</v>
      </c>
      <c r="F109" s="1" t="s">
        <v>136</v>
      </c>
    </row>
    <row r="110" spans="1:6" x14ac:dyDescent="0.2">
      <c r="A110" s="35">
        <v>43346</v>
      </c>
      <c r="B110" s="32">
        <v>5107.28</v>
      </c>
      <c r="C110" s="32"/>
      <c r="D110" s="32">
        <f t="shared" si="1"/>
        <v>1200440.6000000027</v>
      </c>
      <c r="E110" s="1" t="s">
        <v>56</v>
      </c>
      <c r="F110" s="1" t="s">
        <v>136</v>
      </c>
    </row>
    <row r="111" spans="1:6" x14ac:dyDescent="0.2">
      <c r="A111" s="35">
        <v>43360</v>
      </c>
      <c r="B111" s="32"/>
      <c r="C111" s="32">
        <v>800000</v>
      </c>
      <c r="D111" s="32">
        <f t="shared" si="1"/>
        <v>2000440.6000000027</v>
      </c>
      <c r="E111" s="1" t="s">
        <v>14</v>
      </c>
      <c r="F111" s="1" t="s">
        <v>144</v>
      </c>
    </row>
    <row r="112" spans="1:6" x14ac:dyDescent="0.2">
      <c r="A112" s="35">
        <v>43364</v>
      </c>
      <c r="B112" s="32"/>
      <c r="C112" s="32">
        <v>305.43</v>
      </c>
      <c r="D112" s="32">
        <f t="shared" si="1"/>
        <v>2000746.0300000026</v>
      </c>
      <c r="E112" s="1" t="s">
        <v>85</v>
      </c>
      <c r="F112" s="1" t="s">
        <v>142</v>
      </c>
    </row>
    <row r="113" spans="1:6" x14ac:dyDescent="0.2">
      <c r="A113" s="35">
        <v>43364</v>
      </c>
      <c r="B113" s="32"/>
      <c r="C113" s="32">
        <v>500000</v>
      </c>
      <c r="D113" s="32">
        <f t="shared" si="1"/>
        <v>2500746.0300000026</v>
      </c>
      <c r="E113" s="1" t="s">
        <v>163</v>
      </c>
      <c r="F113" s="1" t="s">
        <v>144</v>
      </c>
    </row>
    <row r="114" spans="1:6" x14ac:dyDescent="0.2">
      <c r="A114" s="35">
        <v>43368</v>
      </c>
      <c r="B114" s="32">
        <v>8228.48</v>
      </c>
      <c r="C114" s="32"/>
      <c r="D114" s="32">
        <f t="shared" si="1"/>
        <v>2492517.5500000026</v>
      </c>
      <c r="E114" s="1" t="s">
        <v>38</v>
      </c>
      <c r="F114" s="1" t="s">
        <v>134</v>
      </c>
    </row>
    <row r="115" spans="1:6" x14ac:dyDescent="0.2">
      <c r="A115" s="35">
        <v>43368</v>
      </c>
      <c r="B115" s="32">
        <v>278.89999999999998</v>
      </c>
      <c r="C115" s="32"/>
      <c r="D115" s="32">
        <f t="shared" si="1"/>
        <v>2492238.6500000027</v>
      </c>
      <c r="E115" s="1" t="s">
        <v>38</v>
      </c>
      <c r="F115" s="1" t="s">
        <v>134</v>
      </c>
    </row>
    <row r="116" spans="1:6" x14ac:dyDescent="0.2">
      <c r="A116" s="35">
        <v>43368</v>
      </c>
      <c r="B116" s="32">
        <v>400</v>
      </c>
      <c r="C116" s="32"/>
      <c r="D116" s="32">
        <f t="shared" si="1"/>
        <v>2491838.6500000027</v>
      </c>
      <c r="E116" s="1" t="s">
        <v>38</v>
      </c>
      <c r="F116" s="1" t="s">
        <v>134</v>
      </c>
    </row>
    <row r="117" spans="1:6" x14ac:dyDescent="0.2">
      <c r="A117" s="35">
        <v>43368</v>
      </c>
      <c r="B117" s="32">
        <v>8921</v>
      </c>
      <c r="C117" s="32"/>
      <c r="D117" s="32">
        <f t="shared" si="1"/>
        <v>2482917.6500000027</v>
      </c>
      <c r="E117" s="1" t="s">
        <v>38</v>
      </c>
      <c r="F117" s="1" t="s">
        <v>134</v>
      </c>
    </row>
    <row r="118" spans="1:6" x14ac:dyDescent="0.2">
      <c r="A118" s="35">
        <v>43368</v>
      </c>
      <c r="B118" s="32">
        <v>400</v>
      </c>
      <c r="C118" s="32"/>
      <c r="D118" s="32">
        <f t="shared" si="1"/>
        <v>2482517.6500000027</v>
      </c>
      <c r="E118" s="1" t="s">
        <v>38</v>
      </c>
      <c r="F118" s="1" t="s">
        <v>134</v>
      </c>
    </row>
    <row r="119" spans="1:6" x14ac:dyDescent="0.2">
      <c r="A119" s="35">
        <v>43368</v>
      </c>
      <c r="B119" s="32">
        <v>14087.75</v>
      </c>
      <c r="C119" s="32"/>
      <c r="D119" s="32">
        <f t="shared" si="1"/>
        <v>2468429.9000000027</v>
      </c>
      <c r="E119" s="1" t="s">
        <v>15</v>
      </c>
      <c r="F119" s="1" t="s">
        <v>125</v>
      </c>
    </row>
    <row r="120" spans="1:6" x14ac:dyDescent="0.2">
      <c r="A120" s="35">
        <v>43368</v>
      </c>
      <c r="B120" s="32">
        <v>8855</v>
      </c>
      <c r="C120" s="32"/>
      <c r="D120" s="32">
        <f t="shared" si="1"/>
        <v>2459574.9000000027</v>
      </c>
      <c r="E120" s="1" t="s">
        <v>15</v>
      </c>
      <c r="F120" s="1" t="s">
        <v>125</v>
      </c>
    </row>
    <row r="121" spans="1:6" x14ac:dyDescent="0.2">
      <c r="A121" s="35">
        <v>43368</v>
      </c>
      <c r="B121" s="32">
        <v>4508.22</v>
      </c>
      <c r="C121" s="32"/>
      <c r="D121" s="32">
        <f t="shared" si="1"/>
        <v>2455066.6800000025</v>
      </c>
      <c r="E121" s="1" t="s">
        <v>15</v>
      </c>
      <c r="F121" s="1" t="s">
        <v>125</v>
      </c>
    </row>
    <row r="122" spans="1:6" x14ac:dyDescent="0.2">
      <c r="A122" s="35">
        <v>43368</v>
      </c>
      <c r="B122" s="32">
        <v>14245.55</v>
      </c>
      <c r="C122" s="32"/>
      <c r="D122" s="32">
        <f t="shared" si="1"/>
        <v>2440821.1300000027</v>
      </c>
      <c r="E122" s="1" t="s">
        <v>15</v>
      </c>
      <c r="F122" s="1" t="s">
        <v>125</v>
      </c>
    </row>
    <row r="123" spans="1:6" x14ac:dyDescent="0.2">
      <c r="A123" s="35">
        <v>43368</v>
      </c>
      <c r="B123" s="32">
        <v>500000</v>
      </c>
      <c r="C123" s="32"/>
      <c r="D123" s="32">
        <f t="shared" si="1"/>
        <v>1940821.1300000027</v>
      </c>
      <c r="E123" s="1" t="s">
        <v>14</v>
      </c>
      <c r="F123" s="1" t="s">
        <v>153</v>
      </c>
    </row>
    <row r="124" spans="1:6" x14ac:dyDescent="0.2">
      <c r="A124" s="35">
        <v>43369</v>
      </c>
      <c r="B124" s="32">
        <v>10.5</v>
      </c>
      <c r="C124" s="32"/>
      <c r="D124" s="32">
        <f t="shared" si="1"/>
        <v>1940810.6300000027</v>
      </c>
      <c r="E124" s="1" t="s">
        <v>164</v>
      </c>
      <c r="F124" s="1" t="s">
        <v>134</v>
      </c>
    </row>
    <row r="125" spans="1:6" x14ac:dyDescent="0.2">
      <c r="A125" s="35">
        <v>43371</v>
      </c>
      <c r="B125" s="32"/>
      <c r="C125" s="32">
        <v>5000000</v>
      </c>
      <c r="D125" s="32">
        <f t="shared" si="1"/>
        <v>6940810.6300000027</v>
      </c>
      <c r="E125" s="1" t="s">
        <v>14</v>
      </c>
      <c r="F125" s="1" t="s">
        <v>144</v>
      </c>
    </row>
    <row r="126" spans="1:6" x14ac:dyDescent="0.2">
      <c r="A126" s="35">
        <v>43371</v>
      </c>
      <c r="B126" s="32"/>
      <c r="C126" s="32">
        <v>5000000</v>
      </c>
      <c r="D126" s="32">
        <f t="shared" si="1"/>
        <v>11940810.630000003</v>
      </c>
      <c r="E126" s="1" t="s">
        <v>14</v>
      </c>
      <c r="F126" s="1" t="s">
        <v>144</v>
      </c>
    </row>
    <row r="127" spans="1:6" x14ac:dyDescent="0.2">
      <c r="A127" s="35">
        <v>43372</v>
      </c>
      <c r="B127" s="32">
        <v>70</v>
      </c>
      <c r="C127" s="32"/>
      <c r="D127" s="32">
        <f t="shared" si="1"/>
        <v>11940740.630000003</v>
      </c>
      <c r="E127" s="1" t="s">
        <v>86</v>
      </c>
      <c r="F127" s="1" t="s">
        <v>134</v>
      </c>
    </row>
    <row r="128" spans="1:6" x14ac:dyDescent="0.2">
      <c r="A128" s="35">
        <v>43381</v>
      </c>
      <c r="B128" s="32">
        <v>1500000</v>
      </c>
      <c r="C128" s="32"/>
      <c r="D128" s="32">
        <f t="shared" si="1"/>
        <v>10440740.630000003</v>
      </c>
      <c r="E128" s="1" t="s">
        <v>14</v>
      </c>
      <c r="F128" s="1" t="s">
        <v>153</v>
      </c>
    </row>
    <row r="129" spans="1:6" x14ac:dyDescent="0.2">
      <c r="A129" s="35">
        <v>43382</v>
      </c>
      <c r="B129" s="32">
        <v>21</v>
      </c>
      <c r="C129" s="32"/>
      <c r="D129" s="32">
        <f t="shared" si="1"/>
        <v>10440719.630000003</v>
      </c>
      <c r="E129" s="1" t="s">
        <v>86</v>
      </c>
      <c r="F129" s="1" t="s">
        <v>134</v>
      </c>
    </row>
    <row r="130" spans="1:6" x14ac:dyDescent="0.2">
      <c r="A130" s="35">
        <v>43383</v>
      </c>
      <c r="B130" s="32">
        <v>340000</v>
      </c>
      <c r="C130" s="32"/>
      <c r="D130" s="32">
        <f t="shared" si="1"/>
        <v>10100719.630000003</v>
      </c>
      <c r="E130" s="1" t="s">
        <v>67</v>
      </c>
      <c r="F130" s="1" t="s">
        <v>129</v>
      </c>
    </row>
    <row r="131" spans="1:6" x14ac:dyDescent="0.2">
      <c r="A131" s="35">
        <v>43384</v>
      </c>
      <c r="B131" s="32">
        <v>10.5</v>
      </c>
      <c r="C131" s="32"/>
      <c r="D131" s="32">
        <f t="shared" si="1"/>
        <v>10100709.130000003</v>
      </c>
      <c r="E131" s="1" t="s">
        <v>86</v>
      </c>
      <c r="F131" s="1" t="s">
        <v>134</v>
      </c>
    </row>
    <row r="132" spans="1:6" x14ac:dyDescent="0.2">
      <c r="A132" s="35">
        <v>43388</v>
      </c>
      <c r="B132" s="32">
        <v>4792.28</v>
      </c>
      <c r="C132" s="32"/>
      <c r="D132" s="32">
        <f t="shared" si="1"/>
        <v>10095916.850000003</v>
      </c>
      <c r="E132" s="1" t="s">
        <v>56</v>
      </c>
      <c r="F132" s="1" t="s">
        <v>136</v>
      </c>
    </row>
    <row r="133" spans="1:6" x14ac:dyDescent="0.2">
      <c r="A133" s="35">
        <v>43395</v>
      </c>
      <c r="B133" s="32">
        <v>25</v>
      </c>
      <c r="C133" s="32"/>
      <c r="D133" s="32">
        <f t="shared" si="1"/>
        <v>10095891.850000003</v>
      </c>
      <c r="E133" s="1" t="s">
        <v>86</v>
      </c>
      <c r="F133" s="1" t="s">
        <v>134</v>
      </c>
    </row>
    <row r="134" spans="1:6" x14ac:dyDescent="0.2">
      <c r="A134" s="35">
        <v>43395</v>
      </c>
      <c r="B134" s="32">
        <v>10</v>
      </c>
      <c r="C134" s="32"/>
      <c r="D134" s="32">
        <f t="shared" ref="D134:D197" si="2">D133+C134-B134</f>
        <v>10095881.850000003</v>
      </c>
      <c r="E134" s="1" t="s">
        <v>86</v>
      </c>
      <c r="F134" s="1" t="s">
        <v>134</v>
      </c>
    </row>
    <row r="135" spans="1:6" x14ac:dyDescent="0.2">
      <c r="A135" s="35">
        <v>43398</v>
      </c>
      <c r="B135" s="32">
        <v>4137</v>
      </c>
      <c r="C135" s="32"/>
      <c r="D135" s="32">
        <f t="shared" si="2"/>
        <v>10091744.850000003</v>
      </c>
      <c r="E135" s="1" t="s">
        <v>38</v>
      </c>
      <c r="F135" s="1" t="s">
        <v>134</v>
      </c>
    </row>
    <row r="136" spans="1:6" x14ac:dyDescent="0.2">
      <c r="A136" s="35">
        <v>43398</v>
      </c>
      <c r="B136" s="32">
        <v>647.9</v>
      </c>
      <c r="C136" s="32"/>
      <c r="D136" s="32">
        <f t="shared" si="2"/>
        <v>10091096.950000003</v>
      </c>
      <c r="E136" s="1" t="s">
        <v>38</v>
      </c>
      <c r="F136" s="1" t="s">
        <v>134</v>
      </c>
    </row>
    <row r="137" spans="1:6" x14ac:dyDescent="0.2">
      <c r="A137" s="35">
        <v>43398</v>
      </c>
      <c r="B137" s="32">
        <v>2942.25</v>
      </c>
      <c r="C137" s="32"/>
      <c r="D137" s="32">
        <f t="shared" si="2"/>
        <v>10088154.700000003</v>
      </c>
      <c r="E137" s="1" t="s">
        <v>38</v>
      </c>
      <c r="F137" s="1" t="s">
        <v>134</v>
      </c>
    </row>
    <row r="138" spans="1:6" x14ac:dyDescent="0.2">
      <c r="A138" s="35">
        <v>43399</v>
      </c>
      <c r="B138" s="32">
        <v>7</v>
      </c>
      <c r="C138" s="32"/>
      <c r="D138" s="32">
        <f t="shared" si="2"/>
        <v>10088147.700000003</v>
      </c>
      <c r="E138" s="1" t="s">
        <v>86</v>
      </c>
      <c r="F138" s="1" t="s">
        <v>134</v>
      </c>
    </row>
    <row r="139" spans="1:6" x14ac:dyDescent="0.2">
      <c r="A139" s="35">
        <v>43402</v>
      </c>
      <c r="B139" s="32">
        <v>420</v>
      </c>
      <c r="C139" s="32"/>
      <c r="D139" s="32">
        <f t="shared" si="2"/>
        <v>10087727.700000003</v>
      </c>
      <c r="E139" s="1" t="s">
        <v>38</v>
      </c>
      <c r="F139" s="1" t="s">
        <v>134</v>
      </c>
    </row>
    <row r="140" spans="1:6" x14ac:dyDescent="0.2">
      <c r="A140" s="35">
        <v>43402</v>
      </c>
      <c r="B140" s="32">
        <v>420</v>
      </c>
      <c r="C140" s="32"/>
      <c r="D140" s="32">
        <f t="shared" si="2"/>
        <v>10087307.700000003</v>
      </c>
      <c r="E140" s="1" t="s">
        <v>38</v>
      </c>
      <c r="F140" s="1" t="s">
        <v>134</v>
      </c>
    </row>
    <row r="141" spans="1:6" x14ac:dyDescent="0.2">
      <c r="A141" s="35">
        <v>43402</v>
      </c>
      <c r="B141" s="32">
        <v>420</v>
      </c>
      <c r="C141" s="32"/>
      <c r="D141" s="32">
        <f t="shared" si="2"/>
        <v>10086887.700000003</v>
      </c>
      <c r="E141" s="1" t="s">
        <v>38</v>
      </c>
      <c r="F141" s="1" t="s">
        <v>134</v>
      </c>
    </row>
    <row r="142" spans="1:6" x14ac:dyDescent="0.2">
      <c r="A142" s="35">
        <v>43402</v>
      </c>
      <c r="B142" s="32">
        <v>14087.75</v>
      </c>
      <c r="C142" s="32"/>
      <c r="D142" s="32">
        <f t="shared" si="2"/>
        <v>10072799.950000003</v>
      </c>
      <c r="E142" s="1" t="s">
        <v>15</v>
      </c>
      <c r="F142" s="1" t="s">
        <v>125</v>
      </c>
    </row>
    <row r="143" spans="1:6" x14ac:dyDescent="0.2">
      <c r="A143" s="35">
        <v>43402</v>
      </c>
      <c r="B143" s="32">
        <v>9155</v>
      </c>
      <c r="C143" s="32"/>
      <c r="D143" s="32">
        <f t="shared" si="2"/>
        <v>10063644.950000003</v>
      </c>
      <c r="E143" s="1" t="s">
        <v>15</v>
      </c>
      <c r="F143" s="1" t="s">
        <v>125</v>
      </c>
    </row>
    <row r="144" spans="1:6" x14ac:dyDescent="0.2">
      <c r="A144" s="35">
        <v>43402</v>
      </c>
      <c r="B144" s="32">
        <v>4523.22</v>
      </c>
      <c r="C144" s="32"/>
      <c r="D144" s="32">
        <f t="shared" si="2"/>
        <v>10059121.730000002</v>
      </c>
      <c r="E144" s="1" t="s">
        <v>15</v>
      </c>
      <c r="F144" s="1" t="s">
        <v>125</v>
      </c>
    </row>
    <row r="145" spans="1:6" x14ac:dyDescent="0.2">
      <c r="A145" s="35">
        <v>43402</v>
      </c>
      <c r="B145" s="32">
        <v>14245.55</v>
      </c>
      <c r="C145" s="32"/>
      <c r="D145" s="32">
        <f t="shared" si="2"/>
        <v>10044876.180000002</v>
      </c>
      <c r="E145" s="1" t="s">
        <v>15</v>
      </c>
      <c r="F145" s="1" t="s">
        <v>125</v>
      </c>
    </row>
    <row r="146" spans="1:6" x14ac:dyDescent="0.2">
      <c r="A146" s="35">
        <v>43403</v>
      </c>
      <c r="B146" s="32">
        <v>400000</v>
      </c>
      <c r="C146" s="32"/>
      <c r="D146" s="32">
        <f t="shared" si="2"/>
        <v>9644876.1800000016</v>
      </c>
      <c r="E146" s="1" t="s">
        <v>109</v>
      </c>
      <c r="F146" s="1" t="s">
        <v>108</v>
      </c>
    </row>
    <row r="147" spans="1:6" x14ac:dyDescent="0.2">
      <c r="A147" s="35">
        <v>43404</v>
      </c>
      <c r="B147" s="32">
        <v>10.5</v>
      </c>
      <c r="C147" s="32"/>
      <c r="D147" s="32">
        <f t="shared" si="2"/>
        <v>9644865.6800000016</v>
      </c>
      <c r="E147" s="1" t="s">
        <v>86</v>
      </c>
      <c r="F147" s="1" t="s">
        <v>134</v>
      </c>
    </row>
    <row r="148" spans="1:6" x14ac:dyDescent="0.2">
      <c r="A148" s="35">
        <v>43405</v>
      </c>
      <c r="B148" s="32">
        <v>3960</v>
      </c>
      <c r="C148" s="32"/>
      <c r="D148" s="32">
        <f t="shared" si="2"/>
        <v>9640905.6800000016</v>
      </c>
      <c r="E148" s="1" t="s">
        <v>151</v>
      </c>
      <c r="F148" s="1" t="s">
        <v>134</v>
      </c>
    </row>
    <row r="149" spans="1:6" x14ac:dyDescent="0.2">
      <c r="A149" s="35">
        <v>43405</v>
      </c>
      <c r="B149" s="32">
        <v>400000</v>
      </c>
      <c r="C149" s="32"/>
      <c r="D149" s="32">
        <f t="shared" si="2"/>
        <v>9240905.6800000016</v>
      </c>
      <c r="E149" s="1" t="s">
        <v>110</v>
      </c>
      <c r="F149" s="1" t="s">
        <v>134</v>
      </c>
    </row>
    <row r="150" spans="1:6" x14ac:dyDescent="0.2">
      <c r="A150" s="35">
        <v>43406</v>
      </c>
      <c r="B150" s="32">
        <v>10.5</v>
      </c>
      <c r="C150" s="32"/>
      <c r="D150" s="32">
        <f t="shared" si="2"/>
        <v>9240895.1800000016</v>
      </c>
      <c r="E150" s="1" t="s">
        <v>86</v>
      </c>
      <c r="F150" s="1" t="s">
        <v>134</v>
      </c>
    </row>
    <row r="151" spans="1:6" x14ac:dyDescent="0.2">
      <c r="A151" s="35">
        <v>43406</v>
      </c>
      <c r="B151" s="32">
        <v>7339.17</v>
      </c>
      <c r="C151" s="32"/>
      <c r="D151" s="32">
        <f t="shared" si="2"/>
        <v>9233556.0100000016</v>
      </c>
      <c r="E151" s="1" t="s">
        <v>56</v>
      </c>
      <c r="F151" s="1" t="s">
        <v>136</v>
      </c>
    </row>
    <row r="152" spans="1:6" x14ac:dyDescent="0.2">
      <c r="A152" s="35">
        <v>43406</v>
      </c>
      <c r="B152" s="32">
        <v>5000</v>
      </c>
      <c r="C152" s="32"/>
      <c r="D152" s="32">
        <f t="shared" si="2"/>
        <v>9228556.0100000016</v>
      </c>
      <c r="E152" s="1" t="s">
        <v>111</v>
      </c>
      <c r="F152" s="1" t="s">
        <v>149</v>
      </c>
    </row>
    <row r="153" spans="1:6" x14ac:dyDescent="0.2">
      <c r="A153" s="35">
        <v>43409</v>
      </c>
      <c r="B153" s="32">
        <v>3302.5</v>
      </c>
      <c r="C153" s="32"/>
      <c r="D153" s="32">
        <f t="shared" si="2"/>
        <v>9225253.5100000016</v>
      </c>
      <c r="E153" s="1" t="s">
        <v>38</v>
      </c>
      <c r="F153" s="1" t="s">
        <v>134</v>
      </c>
    </row>
    <row r="154" spans="1:6" x14ac:dyDescent="0.2">
      <c r="A154" s="35">
        <v>43430</v>
      </c>
      <c r="B154" s="32">
        <v>33667.75</v>
      </c>
      <c r="C154" s="32"/>
      <c r="D154" s="32">
        <f t="shared" si="2"/>
        <v>9191585.7600000016</v>
      </c>
      <c r="E154" s="1" t="s">
        <v>15</v>
      </c>
      <c r="F154" s="1" t="s">
        <v>125</v>
      </c>
    </row>
    <row r="155" spans="1:6" x14ac:dyDescent="0.2">
      <c r="A155" s="35">
        <v>43430</v>
      </c>
      <c r="B155" s="32">
        <v>9110</v>
      </c>
      <c r="C155" s="32"/>
      <c r="D155" s="32">
        <f t="shared" si="2"/>
        <v>9182475.7600000016</v>
      </c>
      <c r="E155" s="1" t="s">
        <v>15</v>
      </c>
      <c r="F155" s="1" t="s">
        <v>125</v>
      </c>
    </row>
    <row r="156" spans="1:6" x14ac:dyDescent="0.2">
      <c r="A156" s="35">
        <v>43430</v>
      </c>
      <c r="B156" s="32">
        <v>4538.22</v>
      </c>
      <c r="C156" s="32"/>
      <c r="D156" s="32">
        <f t="shared" si="2"/>
        <v>9177937.540000001</v>
      </c>
      <c r="E156" s="1" t="s">
        <v>15</v>
      </c>
      <c r="F156" s="1" t="s">
        <v>125</v>
      </c>
    </row>
    <row r="157" spans="1:6" x14ac:dyDescent="0.2">
      <c r="A157" s="35">
        <v>43430</v>
      </c>
      <c r="B157" s="32">
        <v>15548.66</v>
      </c>
      <c r="C157" s="32"/>
      <c r="D157" s="32">
        <f t="shared" si="2"/>
        <v>9162388.8800000008</v>
      </c>
      <c r="E157" s="1" t="s">
        <v>15</v>
      </c>
      <c r="F157" s="1" t="s">
        <v>125</v>
      </c>
    </row>
    <row r="158" spans="1:6" x14ac:dyDescent="0.2">
      <c r="A158" s="35">
        <v>43430</v>
      </c>
      <c r="B158" s="32">
        <v>339</v>
      </c>
      <c r="C158" s="32"/>
      <c r="D158" s="32">
        <f t="shared" si="2"/>
        <v>9162049.8800000008</v>
      </c>
      <c r="E158" s="1" t="s">
        <v>152</v>
      </c>
      <c r="F158" s="1" t="s">
        <v>134</v>
      </c>
    </row>
    <row r="159" spans="1:6" x14ac:dyDescent="0.2">
      <c r="A159" s="35">
        <v>43430</v>
      </c>
      <c r="B159" s="32">
        <v>420</v>
      </c>
      <c r="C159" s="32"/>
      <c r="D159" s="32">
        <f t="shared" si="2"/>
        <v>9161629.8800000008</v>
      </c>
      <c r="E159" s="1" t="s">
        <v>38</v>
      </c>
      <c r="F159" s="1" t="s">
        <v>134</v>
      </c>
    </row>
    <row r="160" spans="1:6" x14ac:dyDescent="0.2">
      <c r="A160" s="35">
        <v>43430</v>
      </c>
      <c r="B160" s="32">
        <v>10068</v>
      </c>
      <c r="C160" s="32"/>
      <c r="D160" s="32">
        <f t="shared" si="2"/>
        <v>9151561.8800000008</v>
      </c>
      <c r="E160" s="1" t="s">
        <v>38</v>
      </c>
      <c r="F160" s="1" t="s">
        <v>134</v>
      </c>
    </row>
    <row r="161" spans="1:6" x14ac:dyDescent="0.2">
      <c r="A161" s="35">
        <v>43430</v>
      </c>
      <c r="B161" s="32">
        <v>939.6</v>
      </c>
      <c r="C161" s="32"/>
      <c r="D161" s="32">
        <f t="shared" si="2"/>
        <v>9150622.2800000012</v>
      </c>
      <c r="E161" s="1" t="s">
        <v>38</v>
      </c>
      <c r="F161" s="1" t="s">
        <v>134</v>
      </c>
    </row>
    <row r="162" spans="1:6" x14ac:dyDescent="0.2">
      <c r="A162" s="35">
        <v>43430</v>
      </c>
      <c r="B162" s="32">
        <v>16180.04</v>
      </c>
      <c r="C162" s="32"/>
      <c r="D162" s="32">
        <f t="shared" si="2"/>
        <v>9134442.2400000021</v>
      </c>
      <c r="E162" s="1" t="s">
        <v>38</v>
      </c>
      <c r="F162" s="1" t="s">
        <v>134</v>
      </c>
    </row>
    <row r="163" spans="1:6" x14ac:dyDescent="0.2">
      <c r="A163" s="35">
        <v>43438</v>
      </c>
      <c r="B163" s="32">
        <v>5237.99</v>
      </c>
      <c r="C163" s="32"/>
      <c r="D163" s="32">
        <f t="shared" si="2"/>
        <v>9129204.2500000019</v>
      </c>
      <c r="E163" s="1" t="s">
        <v>56</v>
      </c>
      <c r="F163" s="1" t="s">
        <v>136</v>
      </c>
    </row>
    <row r="164" spans="1:6" x14ac:dyDescent="0.2">
      <c r="A164" s="35">
        <v>43438</v>
      </c>
      <c r="B164" s="32">
        <v>575</v>
      </c>
      <c r="C164" s="32"/>
      <c r="D164" s="32">
        <f t="shared" si="2"/>
        <v>9128629.2500000019</v>
      </c>
      <c r="E164" s="1" t="s">
        <v>95</v>
      </c>
      <c r="F164" s="1" t="s">
        <v>148</v>
      </c>
    </row>
    <row r="165" spans="1:6" x14ac:dyDescent="0.2">
      <c r="A165" s="35">
        <v>43440</v>
      </c>
      <c r="B165" s="32">
        <v>150</v>
      </c>
      <c r="C165" s="32"/>
      <c r="D165" s="32">
        <f t="shared" si="2"/>
        <v>9128479.2500000019</v>
      </c>
      <c r="E165" s="1" t="s">
        <v>38</v>
      </c>
      <c r="F165" s="1" t="s">
        <v>134</v>
      </c>
    </row>
    <row r="166" spans="1:6" x14ac:dyDescent="0.2">
      <c r="A166" s="35">
        <v>43445</v>
      </c>
      <c r="B166" s="32"/>
      <c r="C166" s="32">
        <v>800</v>
      </c>
      <c r="D166" s="32">
        <f t="shared" si="2"/>
        <v>9129279.2500000019</v>
      </c>
      <c r="E166" s="1" t="s">
        <v>112</v>
      </c>
      <c r="F166" s="1" t="s">
        <v>108</v>
      </c>
    </row>
    <row r="167" spans="1:6" x14ac:dyDescent="0.2">
      <c r="A167" s="35">
        <v>43452</v>
      </c>
      <c r="B167" s="32">
        <v>1000</v>
      </c>
      <c r="C167" s="32"/>
      <c r="D167" s="32">
        <f t="shared" si="2"/>
        <v>9128279.2500000019</v>
      </c>
      <c r="E167" s="1" t="s">
        <v>113</v>
      </c>
      <c r="F167" s="1" t="s">
        <v>134</v>
      </c>
    </row>
    <row r="168" spans="1:6" x14ac:dyDescent="0.2">
      <c r="A168" s="35">
        <v>43455</v>
      </c>
      <c r="B168" s="32"/>
      <c r="C168" s="32">
        <v>6679.52</v>
      </c>
      <c r="D168" s="32">
        <f t="shared" si="2"/>
        <v>9134958.7700000014</v>
      </c>
      <c r="E168" s="1" t="s">
        <v>85</v>
      </c>
      <c r="F168" s="1" t="s">
        <v>142</v>
      </c>
    </row>
    <row r="169" spans="1:6" x14ac:dyDescent="0.2">
      <c r="A169" s="35">
        <v>43459</v>
      </c>
      <c r="B169" s="32">
        <v>8588.24</v>
      </c>
      <c r="C169" s="32"/>
      <c r="D169" s="32">
        <f t="shared" si="2"/>
        <v>9126370.5300000012</v>
      </c>
      <c r="E169" s="1" t="s">
        <v>38</v>
      </c>
      <c r="F169" s="1" t="s">
        <v>134</v>
      </c>
    </row>
    <row r="170" spans="1:6" x14ac:dyDescent="0.2">
      <c r="A170" s="35">
        <v>43459</v>
      </c>
      <c r="B170" s="32">
        <v>1938.9</v>
      </c>
      <c r="C170" s="32"/>
      <c r="D170" s="32">
        <f t="shared" si="2"/>
        <v>9124431.6300000008</v>
      </c>
      <c r="E170" s="1" t="s">
        <v>38</v>
      </c>
      <c r="F170" s="1" t="s">
        <v>134</v>
      </c>
    </row>
    <row r="171" spans="1:6" x14ac:dyDescent="0.2">
      <c r="A171" s="35">
        <v>43459</v>
      </c>
      <c r="B171" s="32">
        <v>3193</v>
      </c>
      <c r="C171" s="32"/>
      <c r="D171" s="32">
        <f t="shared" si="2"/>
        <v>9121238.6300000008</v>
      </c>
      <c r="E171" s="1" t="s">
        <v>38</v>
      </c>
      <c r="F171" s="1" t="s">
        <v>134</v>
      </c>
    </row>
    <row r="172" spans="1:6" x14ac:dyDescent="0.2">
      <c r="A172" s="35">
        <v>43459</v>
      </c>
      <c r="B172" s="32">
        <v>27817.75</v>
      </c>
      <c r="C172" s="32"/>
      <c r="D172" s="32">
        <f t="shared" si="2"/>
        <v>9093420.8800000008</v>
      </c>
      <c r="E172" s="1" t="s">
        <v>15</v>
      </c>
      <c r="F172" s="1" t="s">
        <v>125</v>
      </c>
    </row>
    <row r="173" spans="1:6" x14ac:dyDescent="0.2">
      <c r="A173" s="35">
        <v>43459</v>
      </c>
      <c r="B173" s="32">
        <v>9260</v>
      </c>
      <c r="C173" s="32"/>
      <c r="D173" s="32">
        <f t="shared" si="2"/>
        <v>9084160.8800000008</v>
      </c>
      <c r="E173" s="1" t="s">
        <v>15</v>
      </c>
      <c r="F173" s="1" t="s">
        <v>125</v>
      </c>
    </row>
    <row r="174" spans="1:6" x14ac:dyDescent="0.2">
      <c r="A174" s="35">
        <v>43459</v>
      </c>
      <c r="B174" s="32">
        <v>4959.3999999999996</v>
      </c>
      <c r="C174" s="32"/>
      <c r="D174" s="32">
        <f t="shared" si="2"/>
        <v>9079201.4800000004</v>
      </c>
      <c r="E174" s="1" t="s">
        <v>15</v>
      </c>
      <c r="F174" s="1" t="s">
        <v>125</v>
      </c>
    </row>
    <row r="175" spans="1:6" x14ac:dyDescent="0.2">
      <c r="A175" s="35">
        <v>43459</v>
      </c>
      <c r="B175" s="32">
        <v>15548.66</v>
      </c>
      <c r="C175" s="32"/>
      <c r="D175" s="32">
        <f t="shared" si="2"/>
        <v>9063652.8200000003</v>
      </c>
      <c r="E175" s="1" t="s">
        <v>15</v>
      </c>
      <c r="F175" s="1" t="s">
        <v>125</v>
      </c>
    </row>
    <row r="176" spans="1:6" x14ac:dyDescent="0.2">
      <c r="A176" s="35">
        <v>43459</v>
      </c>
      <c r="B176" s="32">
        <v>14087.75</v>
      </c>
      <c r="C176" s="32"/>
      <c r="D176" s="32">
        <f t="shared" si="2"/>
        <v>9049565.0700000003</v>
      </c>
      <c r="E176" s="1" t="s">
        <v>114</v>
      </c>
      <c r="F176" s="1" t="s">
        <v>125</v>
      </c>
    </row>
    <row r="177" spans="1:6" x14ac:dyDescent="0.2">
      <c r="A177" s="35">
        <v>43459</v>
      </c>
      <c r="B177" s="32">
        <v>31578.9</v>
      </c>
      <c r="C177" s="32"/>
      <c r="D177" s="32">
        <f t="shared" si="2"/>
        <v>9017986.1699999999</v>
      </c>
      <c r="E177" s="1" t="s">
        <v>114</v>
      </c>
      <c r="F177" s="1" t="s">
        <v>125</v>
      </c>
    </row>
    <row r="178" spans="1:6" x14ac:dyDescent="0.2">
      <c r="A178" s="35">
        <v>43461</v>
      </c>
      <c r="B178" s="32">
        <v>3840</v>
      </c>
      <c r="C178" s="32"/>
      <c r="D178" s="32">
        <f t="shared" si="2"/>
        <v>9014146.1699999999</v>
      </c>
      <c r="E178" s="1" t="s">
        <v>38</v>
      </c>
      <c r="F178" s="1" t="s">
        <v>134</v>
      </c>
    </row>
    <row r="179" spans="1:6" x14ac:dyDescent="0.2">
      <c r="A179" s="35">
        <v>43104</v>
      </c>
      <c r="B179" s="32">
        <v>50</v>
      </c>
      <c r="C179" s="32"/>
      <c r="D179" s="32">
        <f t="shared" si="2"/>
        <v>9014096.1699999999</v>
      </c>
      <c r="E179" s="1" t="s">
        <v>5</v>
      </c>
      <c r="F179" s="1" t="s">
        <v>134</v>
      </c>
    </row>
    <row r="180" spans="1:6" x14ac:dyDescent="0.2">
      <c r="A180" s="35">
        <v>43106</v>
      </c>
      <c r="B180" s="32">
        <v>5819.12</v>
      </c>
      <c r="C180" s="32"/>
      <c r="D180" s="32">
        <f t="shared" si="2"/>
        <v>9008277.0500000007</v>
      </c>
      <c r="E180" s="1" t="s">
        <v>51</v>
      </c>
      <c r="F180" s="1" t="s">
        <v>127</v>
      </c>
    </row>
    <row r="181" spans="1:6" x14ac:dyDescent="0.2">
      <c r="A181" s="35">
        <v>43115</v>
      </c>
      <c r="B181" s="32">
        <v>5976</v>
      </c>
      <c r="C181" s="32"/>
      <c r="D181" s="32">
        <f t="shared" si="2"/>
        <v>9002301.0500000007</v>
      </c>
      <c r="E181" s="1" t="s">
        <v>3</v>
      </c>
      <c r="F181" s="1" t="s">
        <v>4</v>
      </c>
    </row>
    <row r="182" spans="1:6" x14ac:dyDescent="0.2">
      <c r="A182" s="35">
        <v>43135</v>
      </c>
      <c r="B182" s="32">
        <v>50</v>
      </c>
      <c r="C182" s="32"/>
      <c r="D182" s="32">
        <f t="shared" si="2"/>
        <v>9002251.0500000007</v>
      </c>
      <c r="E182" s="1" t="s">
        <v>5</v>
      </c>
      <c r="F182" s="1" t="s">
        <v>134</v>
      </c>
    </row>
    <row r="183" spans="1:6" x14ac:dyDescent="0.2">
      <c r="A183" s="35">
        <v>43136</v>
      </c>
      <c r="B183" s="32">
        <v>5819.12</v>
      </c>
      <c r="C183" s="32"/>
      <c r="D183" s="32">
        <f t="shared" si="2"/>
        <v>8996431.9300000016</v>
      </c>
      <c r="E183" s="1" t="s">
        <v>51</v>
      </c>
      <c r="F183" s="1" t="s">
        <v>127</v>
      </c>
    </row>
    <row r="184" spans="1:6" x14ac:dyDescent="0.2">
      <c r="A184" s="35">
        <v>43153</v>
      </c>
      <c r="B184" s="32">
        <v>5976</v>
      </c>
      <c r="C184" s="32"/>
      <c r="D184" s="32">
        <f t="shared" si="2"/>
        <v>8990455.9300000016</v>
      </c>
      <c r="E184" s="1" t="s">
        <v>3</v>
      </c>
      <c r="F184" s="1" t="s">
        <v>4</v>
      </c>
    </row>
    <row r="185" spans="1:6" x14ac:dyDescent="0.2">
      <c r="A185" s="35">
        <v>43163</v>
      </c>
      <c r="B185" s="32">
        <v>50</v>
      </c>
      <c r="C185" s="32"/>
      <c r="D185" s="32">
        <f t="shared" si="2"/>
        <v>8990405.9300000016</v>
      </c>
      <c r="E185" s="1" t="s">
        <v>5</v>
      </c>
      <c r="F185" s="1" t="s">
        <v>134</v>
      </c>
    </row>
    <row r="186" spans="1:6" x14ac:dyDescent="0.2">
      <c r="A186" s="35">
        <v>43164</v>
      </c>
      <c r="B186" s="32">
        <v>5819.12</v>
      </c>
      <c r="C186" s="32"/>
      <c r="D186" s="32">
        <f t="shared" si="2"/>
        <v>8984586.8100000024</v>
      </c>
      <c r="E186" s="1" t="s">
        <v>51</v>
      </c>
      <c r="F186" s="1" t="s">
        <v>127</v>
      </c>
    </row>
    <row r="187" spans="1:6" x14ac:dyDescent="0.2">
      <c r="A187" s="35">
        <v>43174</v>
      </c>
      <c r="B187" s="32">
        <v>5976</v>
      </c>
      <c r="C187" s="32"/>
      <c r="D187" s="32">
        <f t="shared" si="2"/>
        <v>8978610.8100000024</v>
      </c>
      <c r="E187" s="1" t="s">
        <v>3</v>
      </c>
      <c r="F187" s="1" t="s">
        <v>4</v>
      </c>
    </row>
    <row r="188" spans="1:6" x14ac:dyDescent="0.2">
      <c r="A188" s="35">
        <v>43180</v>
      </c>
      <c r="B188" s="32"/>
      <c r="C188" s="32">
        <v>103.1</v>
      </c>
      <c r="D188" s="32">
        <f t="shared" si="2"/>
        <v>8978713.910000002</v>
      </c>
      <c r="E188" s="1" t="s">
        <v>247</v>
      </c>
      <c r="F188" s="1" t="s">
        <v>142</v>
      </c>
    </row>
    <row r="189" spans="1:6" x14ac:dyDescent="0.2">
      <c r="A189" s="35">
        <v>43194</v>
      </c>
      <c r="B189" s="32">
        <v>50</v>
      </c>
      <c r="C189" s="32"/>
      <c r="D189" s="32">
        <f t="shared" si="2"/>
        <v>8978663.910000002</v>
      </c>
      <c r="E189" s="1" t="s">
        <v>5</v>
      </c>
      <c r="F189" s="1" t="s">
        <v>134</v>
      </c>
    </row>
    <row r="190" spans="1:6" x14ac:dyDescent="0.2">
      <c r="A190" s="35">
        <v>43195</v>
      </c>
      <c r="B190" s="32">
        <v>5819.12</v>
      </c>
      <c r="C190" s="32"/>
      <c r="D190" s="32">
        <f t="shared" si="2"/>
        <v>8972844.7900000028</v>
      </c>
      <c r="E190" s="1" t="s">
        <v>51</v>
      </c>
      <c r="F190" s="1" t="s">
        <v>127</v>
      </c>
    </row>
    <row r="191" spans="1:6" x14ac:dyDescent="0.2">
      <c r="A191" s="35">
        <v>43206</v>
      </c>
      <c r="B191" s="32">
        <v>5976</v>
      </c>
      <c r="C191" s="32"/>
      <c r="D191" s="32">
        <f t="shared" si="2"/>
        <v>8966868.7900000028</v>
      </c>
      <c r="E191" s="1" t="s">
        <v>3</v>
      </c>
      <c r="F191" s="1" t="s">
        <v>4</v>
      </c>
    </row>
    <row r="192" spans="1:6" x14ac:dyDescent="0.2">
      <c r="A192" s="35">
        <v>43224</v>
      </c>
      <c r="B192" s="32">
        <v>50</v>
      </c>
      <c r="C192" s="32"/>
      <c r="D192" s="32">
        <f t="shared" si="2"/>
        <v>8966818.7900000028</v>
      </c>
      <c r="E192" s="1" t="s">
        <v>5</v>
      </c>
      <c r="F192" s="1" t="s">
        <v>134</v>
      </c>
    </row>
    <row r="193" spans="1:6" x14ac:dyDescent="0.2">
      <c r="A193" s="35">
        <v>43225</v>
      </c>
      <c r="B193" s="32">
        <v>5819.12</v>
      </c>
      <c r="C193" s="32"/>
      <c r="D193" s="32">
        <f t="shared" si="2"/>
        <v>8960999.6700000037</v>
      </c>
      <c r="E193" s="1" t="s">
        <v>51</v>
      </c>
      <c r="F193" s="1" t="s">
        <v>127</v>
      </c>
    </row>
    <row r="194" spans="1:6" x14ac:dyDescent="0.2">
      <c r="A194" s="35">
        <v>43235</v>
      </c>
      <c r="B194" s="32">
        <v>5976</v>
      </c>
      <c r="C194" s="32"/>
      <c r="D194" s="32">
        <f t="shared" si="2"/>
        <v>8955023.6700000037</v>
      </c>
      <c r="E194" s="1" t="s">
        <v>115</v>
      </c>
      <c r="F194" s="1" t="s">
        <v>4</v>
      </c>
    </row>
    <row r="195" spans="1:6" x14ac:dyDescent="0.2">
      <c r="A195" s="35">
        <v>43255</v>
      </c>
      <c r="B195" s="32">
        <v>50</v>
      </c>
      <c r="C195" s="32"/>
      <c r="D195" s="32">
        <f t="shared" si="2"/>
        <v>8954973.6700000037</v>
      </c>
      <c r="E195" s="1" t="s">
        <v>5</v>
      </c>
      <c r="F195" s="1" t="s">
        <v>134</v>
      </c>
    </row>
    <row r="196" spans="1:6" x14ac:dyDescent="0.2">
      <c r="A196" s="35">
        <v>43256</v>
      </c>
      <c r="B196" s="32">
        <v>5819.12</v>
      </c>
      <c r="C196" s="32"/>
      <c r="D196" s="32">
        <f t="shared" si="2"/>
        <v>8949154.5500000045</v>
      </c>
      <c r="E196" s="1" t="s">
        <v>51</v>
      </c>
      <c r="F196" s="1" t="s">
        <v>127</v>
      </c>
    </row>
    <row r="197" spans="1:6" x14ac:dyDescent="0.2">
      <c r="A197" s="35">
        <v>43266</v>
      </c>
      <c r="B197" s="32">
        <v>5976</v>
      </c>
      <c r="C197" s="32"/>
      <c r="D197" s="32">
        <f t="shared" si="2"/>
        <v>8943178.5500000045</v>
      </c>
      <c r="E197" s="1" t="s">
        <v>115</v>
      </c>
      <c r="F197" s="1" t="s">
        <v>4</v>
      </c>
    </row>
    <row r="198" spans="1:6" x14ac:dyDescent="0.2">
      <c r="A198" s="35">
        <v>43272</v>
      </c>
      <c r="B198" s="32"/>
      <c r="C198" s="32">
        <v>77.64</v>
      </c>
      <c r="D198" s="32">
        <f t="shared" ref="D198:D219" si="3">D197+C198-B198</f>
        <v>8943256.1900000051</v>
      </c>
      <c r="E198" s="1" t="s">
        <v>116</v>
      </c>
      <c r="F198" s="1" t="s">
        <v>142</v>
      </c>
    </row>
    <row r="199" spans="1:6" x14ac:dyDescent="0.2">
      <c r="A199" s="35">
        <v>43285</v>
      </c>
      <c r="B199" s="32">
        <v>50</v>
      </c>
      <c r="C199" s="32"/>
      <c r="D199" s="32">
        <f t="shared" si="3"/>
        <v>8943206.1900000051</v>
      </c>
      <c r="E199" s="1" t="s">
        <v>5</v>
      </c>
      <c r="F199" s="1" t="s">
        <v>134</v>
      </c>
    </row>
    <row r="200" spans="1:6" x14ac:dyDescent="0.2">
      <c r="A200" s="35">
        <v>43286</v>
      </c>
      <c r="B200" s="32">
        <v>7862.12</v>
      </c>
      <c r="C200" s="32"/>
      <c r="D200" s="32">
        <f t="shared" si="3"/>
        <v>8935344.0700000059</v>
      </c>
      <c r="E200" s="1" t="s">
        <v>51</v>
      </c>
      <c r="F200" s="1" t="s">
        <v>127</v>
      </c>
    </row>
    <row r="201" spans="1:6" x14ac:dyDescent="0.2">
      <c r="A201" s="35">
        <v>43297</v>
      </c>
      <c r="B201" s="32">
        <v>6216</v>
      </c>
      <c r="C201" s="32"/>
      <c r="D201" s="32">
        <f t="shared" si="3"/>
        <v>8929128.0700000059</v>
      </c>
      <c r="E201" s="1" t="s">
        <v>115</v>
      </c>
      <c r="F201" s="1" t="s">
        <v>4</v>
      </c>
    </row>
    <row r="202" spans="1:6" x14ac:dyDescent="0.2">
      <c r="A202" s="35">
        <v>43316</v>
      </c>
      <c r="B202" s="32">
        <v>50</v>
      </c>
      <c r="C202" s="32"/>
      <c r="D202" s="32">
        <f t="shared" si="3"/>
        <v>8929078.0700000059</v>
      </c>
      <c r="E202" s="1" t="s">
        <v>5</v>
      </c>
      <c r="F202" s="1" t="s">
        <v>134</v>
      </c>
    </row>
    <row r="203" spans="1:6" x14ac:dyDescent="0.2">
      <c r="A203" s="35">
        <v>43317</v>
      </c>
      <c r="B203" s="32">
        <v>8126.4</v>
      </c>
      <c r="C203" s="32"/>
      <c r="D203" s="32">
        <f t="shared" si="3"/>
        <v>8920951.6700000055</v>
      </c>
      <c r="E203" s="1" t="s">
        <v>51</v>
      </c>
      <c r="F203" s="1" t="s">
        <v>127</v>
      </c>
    </row>
    <row r="204" spans="1:6" x14ac:dyDescent="0.2">
      <c r="A204" s="35">
        <v>43327</v>
      </c>
      <c r="B204" s="32">
        <v>6216</v>
      </c>
      <c r="C204" s="32"/>
      <c r="D204" s="32">
        <f t="shared" si="3"/>
        <v>8914735.6700000055</v>
      </c>
      <c r="E204" s="1" t="s">
        <v>115</v>
      </c>
      <c r="F204" s="1" t="s">
        <v>4</v>
      </c>
    </row>
    <row r="205" spans="1:6" x14ac:dyDescent="0.2">
      <c r="A205" s="35">
        <v>43347</v>
      </c>
      <c r="B205" s="32">
        <v>50</v>
      </c>
      <c r="C205" s="32"/>
      <c r="D205" s="32">
        <f t="shared" si="3"/>
        <v>8914685.6700000055</v>
      </c>
      <c r="E205" s="1" t="s">
        <v>5</v>
      </c>
      <c r="F205" s="1" t="s">
        <v>134</v>
      </c>
    </row>
    <row r="206" spans="1:6" x14ac:dyDescent="0.2">
      <c r="A206" s="35">
        <v>43348</v>
      </c>
      <c r="B206" s="32">
        <v>8126.4</v>
      </c>
      <c r="C206" s="32"/>
      <c r="D206" s="32">
        <f t="shared" si="3"/>
        <v>8906559.2700000051</v>
      </c>
      <c r="E206" s="1" t="s">
        <v>51</v>
      </c>
      <c r="F206" s="1" t="s">
        <v>127</v>
      </c>
    </row>
    <row r="207" spans="1:6" x14ac:dyDescent="0.2">
      <c r="A207" s="35">
        <v>43360</v>
      </c>
      <c r="B207" s="32">
        <v>6216</v>
      </c>
      <c r="C207" s="32"/>
      <c r="D207" s="32">
        <f t="shared" si="3"/>
        <v>8900343.2700000051</v>
      </c>
      <c r="E207" s="1" t="s">
        <v>115</v>
      </c>
      <c r="F207" s="1" t="s">
        <v>4</v>
      </c>
    </row>
    <row r="208" spans="1:6" x14ac:dyDescent="0.2">
      <c r="A208" s="35">
        <v>43364</v>
      </c>
      <c r="B208" s="32"/>
      <c r="C208" s="32">
        <v>47.7</v>
      </c>
      <c r="D208" s="32">
        <f t="shared" si="3"/>
        <v>8900390.9700000044</v>
      </c>
      <c r="E208" s="1" t="s">
        <v>117</v>
      </c>
      <c r="F208" s="1" t="s">
        <v>142</v>
      </c>
    </row>
    <row r="209" spans="1:6" x14ac:dyDescent="0.2">
      <c r="A209" s="35">
        <v>43377</v>
      </c>
      <c r="B209" s="32">
        <v>50</v>
      </c>
      <c r="C209" s="32"/>
      <c r="D209" s="32">
        <f t="shared" si="3"/>
        <v>8900340.9700000044</v>
      </c>
      <c r="E209" s="1" t="s">
        <v>5</v>
      </c>
      <c r="F209" s="1" t="s">
        <v>134</v>
      </c>
    </row>
    <row r="210" spans="1:6" x14ac:dyDescent="0.2">
      <c r="A210" s="35">
        <v>43384</v>
      </c>
      <c r="B210" s="32">
        <v>8126.4</v>
      </c>
      <c r="C210" s="32"/>
      <c r="D210" s="32">
        <f t="shared" si="3"/>
        <v>8892214.570000004</v>
      </c>
      <c r="E210" s="1" t="s">
        <v>51</v>
      </c>
      <c r="F210" s="1" t="s">
        <v>127</v>
      </c>
    </row>
    <row r="211" spans="1:6" x14ac:dyDescent="0.2">
      <c r="A211" s="35">
        <v>43388</v>
      </c>
      <c r="B211" s="32">
        <v>6216</v>
      </c>
      <c r="C211" s="32"/>
      <c r="D211" s="32">
        <f t="shared" si="3"/>
        <v>8885998.570000004</v>
      </c>
      <c r="E211" s="1" t="s">
        <v>115</v>
      </c>
      <c r="F211" s="1" t="s">
        <v>4</v>
      </c>
    </row>
    <row r="212" spans="1:6" x14ac:dyDescent="0.2">
      <c r="A212" s="35">
        <v>43408</v>
      </c>
      <c r="B212" s="32">
        <v>50</v>
      </c>
      <c r="C212" s="32"/>
      <c r="D212" s="32">
        <f t="shared" si="3"/>
        <v>8885948.570000004</v>
      </c>
      <c r="E212" s="1" t="s">
        <v>5</v>
      </c>
      <c r="F212" s="1" t="s">
        <v>134</v>
      </c>
    </row>
    <row r="213" spans="1:6" x14ac:dyDescent="0.2">
      <c r="A213" s="35">
        <v>43409</v>
      </c>
      <c r="B213" s="32">
        <v>8126.4</v>
      </c>
      <c r="C213" s="32"/>
      <c r="D213" s="32">
        <f t="shared" si="3"/>
        <v>8877822.1700000037</v>
      </c>
      <c r="E213" s="1" t="s">
        <v>51</v>
      </c>
      <c r="F213" s="1" t="s">
        <v>127</v>
      </c>
    </row>
    <row r="214" spans="1:6" x14ac:dyDescent="0.2">
      <c r="A214" s="35">
        <v>43419</v>
      </c>
      <c r="B214" s="32">
        <v>6216</v>
      </c>
      <c r="C214" s="32"/>
      <c r="D214" s="32">
        <f t="shared" si="3"/>
        <v>8871606.1700000037</v>
      </c>
      <c r="E214" s="1" t="s">
        <v>115</v>
      </c>
      <c r="F214" s="1" t="s">
        <v>4</v>
      </c>
    </row>
    <row r="215" spans="1:6" x14ac:dyDescent="0.2">
      <c r="A215" s="35">
        <v>43438</v>
      </c>
      <c r="B215" s="32">
        <v>50</v>
      </c>
      <c r="C215" s="32"/>
      <c r="D215" s="32">
        <f t="shared" si="3"/>
        <v>8871556.1700000037</v>
      </c>
      <c r="E215" s="1" t="s">
        <v>5</v>
      </c>
      <c r="F215" s="1" t="s">
        <v>134</v>
      </c>
    </row>
    <row r="216" spans="1:6" x14ac:dyDescent="0.2">
      <c r="A216" s="35">
        <v>43440</v>
      </c>
      <c r="B216" s="32">
        <v>8126.4</v>
      </c>
      <c r="C216" s="32"/>
      <c r="D216" s="32">
        <f t="shared" si="3"/>
        <v>8863429.7700000033</v>
      </c>
      <c r="E216" s="1" t="s">
        <v>51</v>
      </c>
      <c r="F216" s="1" t="s">
        <v>127</v>
      </c>
    </row>
    <row r="217" spans="1:6" x14ac:dyDescent="0.2">
      <c r="A217" s="35">
        <v>43451</v>
      </c>
      <c r="B217" s="32">
        <v>6216</v>
      </c>
      <c r="C217" s="32"/>
      <c r="D217" s="32">
        <f t="shared" si="3"/>
        <v>8857213.7700000033</v>
      </c>
      <c r="E217" s="1" t="s">
        <v>115</v>
      </c>
      <c r="F217" s="1" t="s">
        <v>4</v>
      </c>
    </row>
    <row r="218" spans="1:6" x14ac:dyDescent="0.2">
      <c r="A218" s="35">
        <v>43455</v>
      </c>
      <c r="B218" s="32"/>
      <c r="C218" s="32">
        <v>62.5</v>
      </c>
      <c r="D218" s="32">
        <f t="shared" si="3"/>
        <v>8857276.2700000033</v>
      </c>
      <c r="E218" s="1" t="s">
        <v>118</v>
      </c>
      <c r="F218" s="1" t="s">
        <v>142</v>
      </c>
    </row>
    <row r="219" spans="1:6" x14ac:dyDescent="0.2">
      <c r="A219" s="35">
        <v>43459</v>
      </c>
      <c r="B219" s="32">
        <v>200</v>
      </c>
      <c r="C219" s="32"/>
      <c r="D219" s="32">
        <f t="shared" si="3"/>
        <v>8857076.2700000033</v>
      </c>
      <c r="E219" s="1" t="s">
        <v>119</v>
      </c>
      <c r="F219" s="1" t="s">
        <v>108</v>
      </c>
    </row>
    <row r="220" spans="1:6" x14ac:dyDescent="0.2">
      <c r="A220" s="38" t="s">
        <v>257</v>
      </c>
      <c r="B220" s="34">
        <f>SUBTOTAL(109,表3[支出])</f>
        <v>7812710.450000003</v>
      </c>
      <c r="C220" s="34">
        <f>SUBTOTAL(109,表3[收入])</f>
        <v>14665544.589999998</v>
      </c>
      <c r="D220" s="1"/>
      <c r="E220" s="1"/>
      <c r="F220" s="1"/>
    </row>
  </sheetData>
  <mergeCells count="1">
    <mergeCell ref="A1:F1"/>
  </mergeCells>
  <phoneticPr fontId="1" type="noConversion"/>
  <dataValidations count="1">
    <dataValidation type="list" allowBlank="1" showInputMessage="1" showErrorMessage="1" sqref="E12">
      <formula1>收支分类</formula1>
    </dataValidation>
  </dataValidations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9"/>
  <sheetViews>
    <sheetView showGridLines="0" tabSelected="1" workbookViewId="0">
      <selection activeCell="B12" sqref="B12"/>
    </sheetView>
  </sheetViews>
  <sheetFormatPr defaultRowHeight="13.5" x14ac:dyDescent="0.15"/>
  <cols>
    <col min="1" max="1" width="3.125" customWidth="1"/>
    <col min="2" max="2" width="14.25" customWidth="1"/>
    <col min="3" max="3" width="15" customWidth="1"/>
    <col min="4" max="4" width="13.5" customWidth="1"/>
    <col min="5" max="5" width="14.125" customWidth="1"/>
    <col min="6" max="6" width="12.625" customWidth="1"/>
    <col min="7" max="7" width="15.25" customWidth="1"/>
    <col min="8" max="8" width="16.875" customWidth="1"/>
    <col min="9" max="9" width="17.125" customWidth="1"/>
    <col min="10" max="10" width="16.875" customWidth="1"/>
  </cols>
  <sheetData>
    <row r="3" spans="2:10" s="18" customFormat="1" ht="36" customHeight="1" x14ac:dyDescent="0.15">
      <c r="B3" s="48" t="s">
        <v>227</v>
      </c>
      <c r="C3" s="48" t="s">
        <v>249</v>
      </c>
      <c r="D3" s="48"/>
      <c r="E3" s="48"/>
      <c r="F3" s="48"/>
      <c r="G3" s="48"/>
      <c r="H3" s="48" t="s">
        <v>228</v>
      </c>
      <c r="I3" s="48"/>
      <c r="J3" s="48"/>
    </row>
    <row r="4" spans="2:10" s="18" customFormat="1" ht="36" customHeight="1" x14ac:dyDescent="0.15">
      <c r="B4" s="48"/>
      <c r="C4" s="21" t="s">
        <v>126</v>
      </c>
      <c r="D4" s="21" t="s">
        <v>128</v>
      </c>
      <c r="E4" s="21" t="s">
        <v>253</v>
      </c>
      <c r="F4" s="21" t="s">
        <v>137</v>
      </c>
      <c r="G4" s="21" t="s">
        <v>141</v>
      </c>
      <c r="H4" s="21" t="s">
        <v>139</v>
      </c>
      <c r="I4" s="21" t="s">
        <v>120</v>
      </c>
      <c r="J4" s="21" t="s">
        <v>140</v>
      </c>
    </row>
    <row r="5" spans="2:10" ht="36" customHeight="1" x14ac:dyDescent="0.15">
      <c r="B5" s="21" t="s">
        <v>197</v>
      </c>
      <c r="C5" s="25">
        <f>SUMIF('2016年'!$F$5:$F$92,分类统计!C4,'2016年'!$B$5:$B$92)</f>
        <v>120944.16</v>
      </c>
      <c r="D5" s="25">
        <f>SUMIF('2016年'!$F$5:$F$92,分类统计!D4,'2016年'!$B$5:$B$92)</f>
        <v>17733</v>
      </c>
      <c r="E5" s="25">
        <f>SUMIF('2016年'!$F$5:$F$92,分类统计!E4,'2016年'!$B$5:$B$92)</f>
        <v>13392</v>
      </c>
      <c r="F5" s="25">
        <f>SUMIF('2016年'!$F$5:$F$92,分类统计!F4,'2016年'!$B$5:$B$92)</f>
        <v>16282.66</v>
      </c>
      <c r="G5" s="26">
        <f>SUM(C5:F5)</f>
        <v>168351.82</v>
      </c>
      <c r="H5" s="25">
        <f>SUMIF('2016年'!$F$5:$F$92,分类统计!H4,'2016年'!$C$5:$C$92)</f>
        <v>1486854.12</v>
      </c>
      <c r="I5" s="25">
        <f>SUMIF('2016年'!$F$5:$F$92,分类统计!I4,'2016年'!$B$5:$B$92)</f>
        <v>634118.52</v>
      </c>
      <c r="J5" s="26">
        <f>H5-I5</f>
        <v>852735.60000000009</v>
      </c>
    </row>
    <row r="6" spans="2:10" ht="36" customHeight="1" x14ac:dyDescent="0.15">
      <c r="B6" s="21" t="s">
        <v>123</v>
      </c>
      <c r="C6" s="25">
        <f>SUMIF('2017年'!$F$5:$F$350,分类统计!C4,'2017年'!$B$5:$B$350)</f>
        <v>909446.62000000011</v>
      </c>
      <c r="D6" s="25">
        <f>SUMIF('2017年'!$F$5:$F$350,分类统计!D4,'2017年'!$B$5:$B$350)</f>
        <v>129047.47999999997</v>
      </c>
      <c r="E6" s="25">
        <f>SUMIF('2017年'!$F$5:$F$350,分类统计!E4,'2017年'!$B$5:$B$350)</f>
        <v>72840</v>
      </c>
      <c r="F6" s="25">
        <f>SUMIF('2017年'!$F$5:$F$350,分类统计!F4,'2017年'!$B$5:$B$350)</f>
        <v>111640.49999999999</v>
      </c>
      <c r="G6" s="26">
        <f>SUM(C6:F6)</f>
        <v>1222974.6000000001</v>
      </c>
      <c r="H6" s="25">
        <f>SUMIF('2017年'!$F$5:$F$350,分类统计!H4,'2017年'!$C$5:$C$350)</f>
        <v>4962271.59</v>
      </c>
      <c r="I6" s="25">
        <f>SUMIF('2017年'!$F$5:$F$350,分类统计!I4,'2017年'!$B$5:$B$350)</f>
        <v>4929039.959999999</v>
      </c>
      <c r="J6" s="26">
        <f>H6-I6</f>
        <v>33231.63000000082</v>
      </c>
    </row>
    <row r="7" spans="2:10" ht="36" customHeight="1" x14ac:dyDescent="0.15">
      <c r="B7" s="21" t="s">
        <v>124</v>
      </c>
      <c r="C7" s="25">
        <f>SUMIF('2018年'!$F$5:$F$219,分类统计!C4,'2018年'!$B$5:$B$219)</f>
        <v>568915.88</v>
      </c>
      <c r="D7" s="25">
        <f>SUMIF('2018年'!$F$5:$F$219,分类统计!D4,'2018年'!$B$5:$B$219)</f>
        <v>83408.84</v>
      </c>
      <c r="E7" s="25">
        <f>SUMIF('2018年'!$F$5:$F$219,分类统计!E4,'2018年'!$B$5:$B$219)</f>
        <v>73152</v>
      </c>
      <c r="F7" s="25">
        <f>SUMIF('2018年'!$F$5:$F$219,分类统计!F4,'2018年'!$B$5:$B$219)</f>
        <v>79815.350000000006</v>
      </c>
      <c r="G7" s="26">
        <f>SUM(C7:F7)</f>
        <v>805292.07</v>
      </c>
      <c r="H7" s="25">
        <f>SUMIF('2018年'!$F$5:$F$219,分类统计!H4,'2018年'!$C$5:$C$219)</f>
        <v>806562.19000000006</v>
      </c>
      <c r="I7" s="25">
        <f>SUMIF('2018年'!$F$5:$F$219,分类统计!I4,'2018年'!$B$5:$B$219)</f>
        <v>896596.3899999999</v>
      </c>
      <c r="J7" s="26">
        <f>H7-I7</f>
        <v>-90034.199999999837</v>
      </c>
    </row>
    <row r="8" spans="2:10" ht="36" customHeight="1" x14ac:dyDescent="0.15">
      <c r="B8" s="21" t="s">
        <v>198</v>
      </c>
      <c r="C8" s="25">
        <f>SUM(C5:C7)</f>
        <v>1599306.6600000001</v>
      </c>
      <c r="D8" s="25">
        <f t="shared" ref="D8:J8" si="0">SUM(D5:D7)</f>
        <v>230189.31999999998</v>
      </c>
      <c r="E8" s="25">
        <f t="shared" si="0"/>
        <v>159384</v>
      </c>
      <c r="F8" s="25">
        <f t="shared" si="0"/>
        <v>207738.51</v>
      </c>
      <c r="G8" s="25">
        <f t="shared" si="0"/>
        <v>2196618.4900000002</v>
      </c>
      <c r="H8" s="25">
        <f t="shared" si="0"/>
        <v>7255687.9000000004</v>
      </c>
      <c r="I8" s="25">
        <f t="shared" si="0"/>
        <v>6459754.8699999982</v>
      </c>
      <c r="J8" s="25">
        <f t="shared" si="0"/>
        <v>795933.03000000108</v>
      </c>
    </row>
    <row r="9" spans="2:10" ht="48.75" customHeight="1" x14ac:dyDescent="0.15">
      <c r="B9" s="21" t="s">
        <v>250</v>
      </c>
      <c r="C9" s="22"/>
      <c r="D9" s="22"/>
      <c r="E9" s="22"/>
      <c r="F9" s="22"/>
      <c r="G9" s="22"/>
      <c r="H9" s="22"/>
      <c r="I9" s="22"/>
      <c r="J9" s="22"/>
    </row>
  </sheetData>
  <mergeCells count="3">
    <mergeCell ref="C3:G3"/>
    <mergeCell ref="B3:B4"/>
    <mergeCell ref="H3:J3"/>
  </mergeCells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>
          <x14:colorSeries rgb="FFFF0000"/>
          <x14:colorNegative rgb="FFD00000"/>
          <x14:colorAxis rgb="FF000000"/>
          <x14:colorMarkers rgb="FF00B050"/>
          <x14:colorFirst rgb="FFD00000"/>
          <x14:colorLast rgb="FFD00000"/>
          <x14:colorHigh rgb="FFD00000"/>
          <x14:colorLow rgb="FFD00000"/>
          <x14:sparklines>
            <x14:sparkline>
              <xm:f>分类统计!C5:C7</xm:f>
              <xm:sqref>C9</xm:sqref>
            </x14:sparkline>
            <x14:sparkline>
              <xm:f>分类统计!D5:D7</xm:f>
              <xm:sqref>D9</xm:sqref>
            </x14:sparkline>
            <x14:sparkline>
              <xm:f>分类统计!E5:E7</xm:f>
              <xm:sqref>E9</xm:sqref>
            </x14:sparkline>
            <x14:sparkline>
              <xm:f>分类统计!F5:F7</xm:f>
              <xm:sqref>F9</xm:sqref>
            </x14:sparkline>
            <x14:sparkline>
              <xm:f>分类统计!G5:G7</xm:f>
              <xm:sqref>G9</xm:sqref>
            </x14:sparkline>
            <x14:sparkline>
              <xm:f>分类统计!H5:H7</xm:f>
              <xm:sqref>H9</xm:sqref>
            </x14:sparkline>
            <x14:sparkline>
              <xm:f>分类统计!I5:I7</xm:f>
              <xm:sqref>I9</xm:sqref>
            </x14:sparkline>
            <x14:sparkline>
              <xm:f>分类统计!J5:J7</xm:f>
              <xm:sqref>J9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16" workbookViewId="0">
      <selection activeCell="N40" sqref="N40"/>
    </sheetView>
  </sheetViews>
  <sheetFormatPr defaultRowHeight="13.5" x14ac:dyDescent="0.15"/>
  <cols>
    <col min="1" max="1" width="12.5" bestFit="1" customWidth="1"/>
    <col min="2" max="2" width="9.25" customWidth="1"/>
    <col min="3" max="3" width="17.25" customWidth="1"/>
    <col min="4" max="4" width="18.25" bestFit="1" customWidth="1"/>
    <col min="5" max="5" width="9.75" bestFit="1" customWidth="1"/>
    <col min="6" max="6" width="5.75" bestFit="1" customWidth="1"/>
    <col min="7" max="7" width="6.25" bestFit="1" customWidth="1"/>
  </cols>
  <sheetData>
    <row r="1" spans="1:4" x14ac:dyDescent="0.15">
      <c r="A1" s="42" t="s">
        <v>269</v>
      </c>
      <c r="B1" t="s">
        <v>259</v>
      </c>
    </row>
    <row r="3" spans="1:4" x14ac:dyDescent="0.15">
      <c r="A3" s="43" t="s">
        <v>270</v>
      </c>
      <c r="B3" s="44"/>
      <c r="C3" s="43" t="s">
        <v>265</v>
      </c>
      <c r="D3" s="44"/>
    </row>
    <row r="4" spans="1:4" x14ac:dyDescent="0.15">
      <c r="A4" s="43" t="s">
        <v>271</v>
      </c>
      <c r="B4" s="43" t="s">
        <v>272</v>
      </c>
      <c r="C4" s="45" t="s">
        <v>121</v>
      </c>
      <c r="D4" s="45" t="s">
        <v>122</v>
      </c>
    </row>
    <row r="5" spans="1:4" x14ac:dyDescent="0.15">
      <c r="A5" s="49" t="s">
        <v>260</v>
      </c>
      <c r="B5" s="45" t="s">
        <v>261</v>
      </c>
      <c r="C5" s="46">
        <v>3801888.53</v>
      </c>
      <c r="D5" s="46">
        <v>27942.3</v>
      </c>
    </row>
    <row r="6" spans="1:4" x14ac:dyDescent="0.15">
      <c r="A6" s="50"/>
      <c r="B6" s="45" t="s">
        <v>262</v>
      </c>
      <c r="C6" s="46">
        <v>590223.33000000007</v>
      </c>
      <c r="D6" s="46">
        <v>603338.70000000007</v>
      </c>
    </row>
    <row r="7" spans="1:4" x14ac:dyDescent="0.15">
      <c r="A7" s="50"/>
      <c r="B7" s="45" t="s">
        <v>263</v>
      </c>
      <c r="C7" s="46">
        <v>1773384.4500000002</v>
      </c>
      <c r="D7" s="46">
        <v>843698.74</v>
      </c>
    </row>
    <row r="8" spans="1:4" x14ac:dyDescent="0.15">
      <c r="A8" s="49" t="s">
        <v>266</v>
      </c>
      <c r="B8" s="50"/>
      <c r="C8" s="46">
        <v>6165496.3099999996</v>
      </c>
      <c r="D8" s="46">
        <v>1474979.7400000002</v>
      </c>
    </row>
    <row r="9" spans="1:4" x14ac:dyDescent="0.15">
      <c r="A9" s="49" t="s">
        <v>123</v>
      </c>
      <c r="B9" s="45" t="s">
        <v>264</v>
      </c>
      <c r="C9" s="46">
        <v>822299.03999999992</v>
      </c>
      <c r="D9" s="46">
        <v>2194540.5000000005</v>
      </c>
    </row>
    <row r="10" spans="1:4" x14ac:dyDescent="0.15">
      <c r="A10" s="50"/>
      <c r="B10" s="45" t="s">
        <v>261</v>
      </c>
      <c r="C10" s="46">
        <v>1391970.25</v>
      </c>
      <c r="D10" s="46">
        <v>1780370.93</v>
      </c>
    </row>
    <row r="11" spans="1:4" x14ac:dyDescent="0.15">
      <c r="A11" s="50"/>
      <c r="B11" s="45" t="s">
        <v>262</v>
      </c>
      <c r="C11" s="46">
        <v>4915785.8899999997</v>
      </c>
      <c r="D11" s="46">
        <v>4160894.5000000005</v>
      </c>
    </row>
    <row r="12" spans="1:4" x14ac:dyDescent="0.15">
      <c r="A12" s="50"/>
      <c r="B12" s="45" t="s">
        <v>263</v>
      </c>
      <c r="C12" s="46">
        <v>1865362.1199999999</v>
      </c>
      <c r="D12" s="46">
        <v>3545885.81</v>
      </c>
    </row>
    <row r="13" spans="1:4" x14ac:dyDescent="0.15">
      <c r="A13" s="49" t="s">
        <v>267</v>
      </c>
      <c r="B13" s="50"/>
      <c r="C13" s="46">
        <v>8995417.2999999989</v>
      </c>
      <c r="D13" s="46">
        <v>11681691.740000002</v>
      </c>
    </row>
    <row r="14" spans="1:4" x14ac:dyDescent="0.15">
      <c r="A14" s="49" t="s">
        <v>124</v>
      </c>
      <c r="B14" s="45" t="s">
        <v>264</v>
      </c>
      <c r="C14" s="46">
        <v>1502794.54</v>
      </c>
      <c r="D14" s="46">
        <v>2496072.5899999994</v>
      </c>
    </row>
    <row r="15" spans="1:4" x14ac:dyDescent="0.15">
      <c r="A15" s="50"/>
      <c r="B15" s="45" t="s">
        <v>261</v>
      </c>
      <c r="C15" s="46">
        <v>854854.9</v>
      </c>
      <c r="D15" s="46">
        <v>1077269.5099999998</v>
      </c>
    </row>
    <row r="16" spans="1:4" x14ac:dyDescent="0.15">
      <c r="A16" s="50"/>
      <c r="B16" s="45" t="s">
        <v>262</v>
      </c>
      <c r="C16" s="46">
        <v>12300353.129999999</v>
      </c>
      <c r="D16" s="46">
        <v>1261917.17</v>
      </c>
    </row>
    <row r="17" spans="1:4" x14ac:dyDescent="0.15">
      <c r="A17" s="50"/>
      <c r="B17" s="45" t="s">
        <v>263</v>
      </c>
      <c r="C17" s="46">
        <v>7542.02</v>
      </c>
      <c r="D17" s="46">
        <v>2977451.1799999997</v>
      </c>
    </row>
    <row r="18" spans="1:4" x14ac:dyDescent="0.15">
      <c r="A18" s="49" t="s">
        <v>268</v>
      </c>
      <c r="B18" s="50"/>
      <c r="C18" s="46">
        <v>14665544.589999998</v>
      </c>
      <c r="D18" s="46">
        <v>7812710.4499999993</v>
      </c>
    </row>
    <row r="19" spans="1:4" x14ac:dyDescent="0.15">
      <c r="A19" s="49" t="s">
        <v>258</v>
      </c>
      <c r="B19" s="50"/>
      <c r="C19" s="46">
        <v>29826458.199999996</v>
      </c>
      <c r="D19" s="46">
        <v>20969381.93</v>
      </c>
    </row>
  </sheetData>
  <mergeCells count="7">
    <mergeCell ref="A18:B18"/>
    <mergeCell ref="A19:B19"/>
    <mergeCell ref="A5:A7"/>
    <mergeCell ref="A8:B8"/>
    <mergeCell ref="A9:A12"/>
    <mergeCell ref="A13:B13"/>
    <mergeCell ref="A14:A17"/>
  </mergeCells>
  <phoneticPr fontId="1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F16"/>
  <sheetViews>
    <sheetView topLeftCell="F1" workbookViewId="0">
      <selection activeCell="F2" sqref="F2"/>
    </sheetView>
  </sheetViews>
  <sheetFormatPr defaultRowHeight="13.5" x14ac:dyDescent="0.15"/>
  <cols>
    <col min="6" max="6" width="11" bestFit="1" customWidth="1"/>
  </cols>
  <sheetData>
    <row r="3" spans="6:6" x14ac:dyDescent="0.15">
      <c r="F3" s="23" t="s">
        <v>251</v>
      </c>
    </row>
    <row r="4" spans="6:6" x14ac:dyDescent="0.15">
      <c r="F4" s="24" t="s">
        <v>127</v>
      </c>
    </row>
    <row r="5" spans="6:6" x14ac:dyDescent="0.15">
      <c r="F5" s="24" t="s">
        <v>4</v>
      </c>
    </row>
    <row r="6" spans="6:6" x14ac:dyDescent="0.15">
      <c r="F6" s="24" t="s">
        <v>136</v>
      </c>
    </row>
    <row r="7" spans="6:6" x14ac:dyDescent="0.15">
      <c r="F7" s="24" t="s">
        <v>138</v>
      </c>
    </row>
    <row r="8" spans="6:6" x14ac:dyDescent="0.15">
      <c r="F8" s="24" t="s">
        <v>142</v>
      </c>
    </row>
    <row r="9" spans="6:6" x14ac:dyDescent="0.15">
      <c r="F9" s="24" t="s">
        <v>129</v>
      </c>
    </row>
    <row r="10" spans="6:6" x14ac:dyDescent="0.15">
      <c r="F10" s="24" t="s">
        <v>134</v>
      </c>
    </row>
    <row r="11" spans="6:6" x14ac:dyDescent="0.15">
      <c r="F11" s="24" t="s">
        <v>148</v>
      </c>
    </row>
    <row r="12" spans="6:6" x14ac:dyDescent="0.15">
      <c r="F12" s="24" t="s">
        <v>146</v>
      </c>
    </row>
    <row r="13" spans="6:6" x14ac:dyDescent="0.15">
      <c r="F13" s="24" t="s">
        <v>144</v>
      </c>
    </row>
    <row r="14" spans="6:6" x14ac:dyDescent="0.15">
      <c r="F14" s="24" t="s">
        <v>153</v>
      </c>
    </row>
    <row r="15" spans="6:6" x14ac:dyDescent="0.15">
      <c r="F15" s="24" t="s">
        <v>108</v>
      </c>
    </row>
    <row r="16" spans="6:6" x14ac:dyDescent="0.15">
      <c r="F16" s="24" t="s">
        <v>252</v>
      </c>
    </row>
  </sheetData>
  <phoneticPr fontId="1" type="noConversion"/>
  <dataValidations count="1">
    <dataValidation type="list" allowBlank="1" showInputMessage="1" showErrorMessage="1" sqref="H3:H12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2016年</vt:lpstr>
      <vt:lpstr>2017年</vt:lpstr>
      <vt:lpstr>2018年</vt:lpstr>
      <vt:lpstr>分类统计</vt:lpstr>
      <vt:lpstr>透视分析</vt:lpstr>
      <vt:lpstr>Sheet3</vt:lpstr>
      <vt:lpstr>收支分类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dc:description/>
  <cp:lastModifiedBy>wuyou</cp:lastModifiedBy>
  <dcterms:created xsi:type="dcterms:W3CDTF">2017-01-17T01:35:18Z</dcterms:created>
  <dcterms:modified xsi:type="dcterms:W3CDTF">2021-01-22T12:31:37Z</dcterms:modified>
</cp:coreProperties>
</file>