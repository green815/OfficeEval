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48AC68A3-021E-43FF-9557-17C685E72192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员工档案" sheetId="15" r:id="rId1"/>
    <sheet name="身份证校对" sheetId="21" r:id="rId2"/>
    <sheet name="校对参数" sheetId="23" r:id="rId3"/>
    <sheet name="社保计算" sheetId="19" r:id="rId4"/>
    <sheet name="社保费率" sheetId="20" r:id="rId5"/>
  </sheets>
  <definedNames>
    <definedName name="_xlnm._FilterDatabase" localSheetId="0" hidden="1">员工档案!$A$2:$Q$122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5" l="1"/>
  <c r="D31" i="15" l="1"/>
  <c r="E44" i="15" l="1"/>
  <c r="E35" i="15"/>
  <c r="E47" i="15"/>
  <c r="E92" i="15"/>
  <c r="E38" i="15"/>
  <c r="E39" i="15"/>
  <c r="E33" i="15"/>
  <c r="E32" i="15"/>
  <c r="E77" i="15"/>
  <c r="E90" i="15"/>
  <c r="E99" i="15"/>
  <c r="E40" i="15"/>
  <c r="E67" i="15"/>
  <c r="E52" i="15"/>
  <c r="E69" i="15"/>
  <c r="E34" i="15"/>
  <c r="E65" i="15"/>
  <c r="E54" i="15"/>
  <c r="E71" i="15"/>
  <c r="E72" i="15"/>
  <c r="E73" i="15"/>
  <c r="E74" i="15"/>
  <c r="E75" i="15"/>
  <c r="E79" i="15"/>
  <c r="E80" i="15"/>
  <c r="E81" i="15"/>
  <c r="E82" i="15"/>
  <c r="E83" i="15"/>
  <c r="E84" i="15"/>
  <c r="E85" i="15"/>
  <c r="E86" i="15"/>
  <c r="E87" i="15"/>
  <c r="E88" i="15"/>
  <c r="E89" i="15"/>
  <c r="E118" i="15"/>
  <c r="E106" i="15"/>
  <c r="E57" i="15"/>
  <c r="E102" i="15"/>
  <c r="E78" i="15"/>
  <c r="E61" i="15"/>
  <c r="E60" i="15"/>
  <c r="E70" i="15"/>
  <c r="E96" i="15"/>
  <c r="E41" i="15"/>
  <c r="E51" i="15"/>
  <c r="E53" i="15"/>
  <c r="E42" i="15"/>
  <c r="E95" i="15"/>
  <c r="E56" i="15"/>
  <c r="E29" i="15"/>
  <c r="E66" i="15"/>
  <c r="E122" i="15"/>
  <c r="E24" i="15"/>
  <c r="E62" i="15"/>
  <c r="E48" i="15"/>
  <c r="E59" i="15"/>
  <c r="E68" i="15"/>
  <c r="E26" i="15"/>
  <c r="E64" i="15"/>
  <c r="E105" i="15"/>
  <c r="E116" i="15"/>
  <c r="E14" i="15"/>
  <c r="E25" i="15"/>
  <c r="E9" i="15"/>
  <c r="E28" i="15"/>
  <c r="E3" i="15"/>
  <c r="E45" i="15"/>
  <c r="E5" i="15"/>
  <c r="E63" i="15"/>
  <c r="E109" i="15"/>
  <c r="E36" i="15"/>
  <c r="E8" i="15"/>
  <c r="E76" i="15"/>
  <c r="E27" i="15"/>
  <c r="E22" i="15"/>
  <c r="E10" i="15"/>
  <c r="E11" i="15"/>
  <c r="E117" i="15"/>
  <c r="E15" i="15"/>
  <c r="E23" i="15"/>
  <c r="E4" i="15"/>
  <c r="E110" i="15"/>
  <c r="E115" i="15"/>
  <c r="E94" i="15"/>
  <c r="E100" i="15"/>
  <c r="E43" i="15"/>
  <c r="E30" i="15"/>
  <c r="E6" i="15"/>
  <c r="E111" i="15"/>
  <c r="E58" i="15"/>
  <c r="E21" i="15"/>
  <c r="E37" i="15"/>
  <c r="E18" i="15"/>
  <c r="E7" i="15"/>
  <c r="E19" i="15"/>
  <c r="E16" i="15"/>
  <c r="E12" i="15"/>
  <c r="E13" i="15"/>
  <c r="E46" i="15"/>
  <c r="E49" i="15"/>
  <c r="E55" i="15"/>
  <c r="E50" i="15"/>
  <c r="E107" i="15"/>
  <c r="E112" i="15"/>
  <c r="E91" i="15"/>
  <c r="E113" i="15"/>
  <c r="E101" i="15"/>
  <c r="E98" i="15"/>
  <c r="E103" i="15"/>
  <c r="E97" i="15"/>
  <c r="E108" i="15"/>
  <c r="E119" i="15"/>
  <c r="E120" i="15"/>
  <c r="E93" i="15"/>
  <c r="E121" i="15"/>
  <c r="E104" i="15"/>
  <c r="E114" i="15"/>
  <c r="E17" i="15"/>
  <c r="E20" i="15"/>
  <c r="D92" i="15"/>
  <c r="D38" i="15"/>
  <c r="D39" i="15"/>
  <c r="D33" i="15"/>
  <c r="D44" i="15"/>
  <c r="D32" i="15"/>
  <c r="D35" i="15"/>
  <c r="D77" i="15"/>
  <c r="D47" i="15"/>
  <c r="D90" i="15"/>
  <c r="D99" i="15"/>
  <c r="D40" i="15"/>
  <c r="D67" i="15"/>
  <c r="D52" i="15"/>
  <c r="D69" i="15"/>
  <c r="D34" i="15"/>
  <c r="D65" i="15"/>
  <c r="D54" i="15"/>
  <c r="D71" i="15"/>
  <c r="D72" i="15"/>
  <c r="D73" i="15"/>
  <c r="D74" i="15"/>
  <c r="D75" i="15"/>
  <c r="D79" i="15"/>
  <c r="D80" i="15"/>
  <c r="D81" i="15"/>
  <c r="D82" i="15"/>
  <c r="D83" i="15"/>
  <c r="D84" i="15"/>
  <c r="D85" i="15"/>
  <c r="D86" i="15"/>
  <c r="D87" i="15"/>
  <c r="D88" i="15"/>
  <c r="D89" i="15"/>
  <c r="D118" i="15"/>
  <c r="D106" i="15"/>
  <c r="D57" i="15"/>
  <c r="D102" i="15"/>
  <c r="D78" i="15"/>
  <c r="D61" i="15"/>
  <c r="D60" i="15"/>
  <c r="D70" i="15"/>
  <c r="D96" i="15"/>
  <c r="D41" i="15"/>
  <c r="D51" i="15"/>
  <c r="D53" i="15"/>
  <c r="D42" i="15"/>
  <c r="D95" i="15"/>
  <c r="D56" i="15"/>
  <c r="D29" i="15"/>
  <c r="D66" i="15"/>
  <c r="D122" i="15"/>
  <c r="D24" i="15"/>
  <c r="D62" i="15"/>
  <c r="D48" i="15"/>
  <c r="D59" i="15"/>
  <c r="D68" i="15"/>
  <c r="D26" i="15"/>
  <c r="D64" i="15"/>
  <c r="D105" i="15"/>
  <c r="D116" i="15"/>
  <c r="D14" i="15"/>
  <c r="D25" i="15"/>
  <c r="D9" i="15"/>
  <c r="D28" i="15"/>
  <c r="D45" i="15"/>
  <c r="D5" i="15"/>
  <c r="D63" i="15"/>
  <c r="D109" i="15"/>
  <c r="D36" i="15"/>
  <c r="D8" i="15"/>
  <c r="D76" i="15"/>
  <c r="D27" i="15"/>
  <c r="D22" i="15"/>
  <c r="D10" i="15"/>
  <c r="D11" i="15"/>
  <c r="D117" i="15"/>
  <c r="D15" i="15"/>
  <c r="D23" i="15"/>
  <c r="D4" i="15"/>
  <c r="D110" i="15"/>
  <c r="D115" i="15"/>
  <c r="D94" i="15"/>
  <c r="D100" i="15"/>
  <c r="D43" i="15"/>
  <c r="D30" i="15"/>
  <c r="D6" i="15"/>
  <c r="D111" i="15"/>
  <c r="D58" i="15"/>
  <c r="D21" i="15"/>
  <c r="D37" i="15"/>
  <c r="D18" i="15"/>
  <c r="D7" i="15"/>
  <c r="D19" i="15"/>
  <c r="D16" i="15"/>
  <c r="D12" i="15"/>
  <c r="D13" i="15"/>
  <c r="D46" i="15"/>
  <c r="D49" i="15"/>
  <c r="D55" i="15"/>
  <c r="D50" i="15"/>
  <c r="D107" i="15"/>
  <c r="D112" i="15"/>
  <c r="D91" i="15"/>
  <c r="D113" i="15"/>
  <c r="D101" i="15"/>
  <c r="D98" i="15"/>
  <c r="D103" i="15"/>
  <c r="D97" i="15"/>
  <c r="D108" i="15"/>
  <c r="D119" i="15"/>
  <c r="D120" i="15"/>
  <c r="D93" i="15"/>
  <c r="D121" i="15"/>
  <c r="D104" i="15"/>
  <c r="D114" i="15"/>
  <c r="D17" i="15"/>
  <c r="D20" i="15"/>
  <c r="E31" i="15" l="1"/>
</calcChain>
</file>

<file path=xl/sharedStrings.xml><?xml version="1.0" encoding="utf-8"?>
<sst xmlns="http://schemas.openxmlformats.org/spreadsheetml/2006/main" count="947" uniqueCount="483">
  <si>
    <t>徐霞客</t>
  </si>
  <si>
    <t>杜学江</t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</si>
  <si>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</si>
  <si>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</si>
  <si>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</si>
  <si>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</si>
  <si>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</si>
  <si>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</si>
  <si>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</si>
  <si>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</si>
  <si>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DF010</t>
  </si>
  <si>
    <t>DF011</t>
  </si>
  <si>
    <t>DF012</t>
  </si>
  <si>
    <t>DF013</t>
  </si>
  <si>
    <t>DF014</t>
  </si>
  <si>
    <t>DF015</t>
  </si>
  <si>
    <t>DF016</t>
  </si>
  <si>
    <t>DF017</t>
  </si>
  <si>
    <t>DF018</t>
  </si>
  <si>
    <t>DF019</t>
  </si>
  <si>
    <t>DF020</t>
  </si>
  <si>
    <t>DF021</t>
  </si>
  <si>
    <t>DF022</t>
  </si>
  <si>
    <t>DF023</t>
  </si>
  <si>
    <t>DF024</t>
  </si>
  <si>
    <t>DF025</t>
  </si>
  <si>
    <t>DF026</t>
  </si>
  <si>
    <t>DF027</t>
  </si>
  <si>
    <t>DF028</t>
  </si>
  <si>
    <t>DF029</t>
  </si>
  <si>
    <t>DF030</t>
  </si>
  <si>
    <t>DF031</t>
  </si>
  <si>
    <t>DF032</t>
  </si>
  <si>
    <t>DF033</t>
  </si>
  <si>
    <t>DF034</t>
  </si>
  <si>
    <t>DF035</t>
  </si>
  <si>
    <t>管理</t>
  </si>
  <si>
    <t>行政</t>
  </si>
  <si>
    <t>研发</t>
  </si>
  <si>
    <t>人事</t>
  </si>
  <si>
    <t>110101197209021144</t>
  </si>
  <si>
    <t>员工编号</t>
    <phoneticPr fontId="2" type="noConversion"/>
  </si>
  <si>
    <t>姓名</t>
    <phoneticPr fontId="2" type="noConversion"/>
  </si>
  <si>
    <t>性别</t>
    <phoneticPr fontId="2" type="noConversion"/>
  </si>
  <si>
    <t>部门</t>
    <phoneticPr fontId="2" type="noConversion"/>
  </si>
  <si>
    <t>职务</t>
    <phoneticPr fontId="2" type="noConversion"/>
  </si>
  <si>
    <t>身份证号</t>
    <phoneticPr fontId="2" type="noConversion"/>
  </si>
  <si>
    <t>出生日期</t>
    <phoneticPr fontId="2" type="noConversion"/>
  </si>
  <si>
    <t>年龄</t>
    <phoneticPr fontId="2" type="noConversion"/>
  </si>
  <si>
    <t>学历</t>
    <phoneticPr fontId="2" type="noConversion"/>
  </si>
  <si>
    <t>入职时间</t>
    <phoneticPr fontId="2" type="noConversion"/>
  </si>
  <si>
    <t>工龄工资</t>
    <phoneticPr fontId="2" type="noConversion"/>
  </si>
  <si>
    <t>DF001</t>
    <phoneticPr fontId="2" type="noConversion"/>
  </si>
  <si>
    <t>总经理</t>
    <phoneticPr fontId="2" type="noConversion"/>
  </si>
  <si>
    <t>文秘</t>
    <phoneticPr fontId="2" type="noConversion"/>
  </si>
  <si>
    <t>员工</t>
    <phoneticPr fontId="2" type="noConversion"/>
  </si>
  <si>
    <t>管理</t>
    <phoneticPr fontId="2" type="noConversion"/>
  </si>
  <si>
    <t>销售经理</t>
    <phoneticPr fontId="2" type="noConversion"/>
  </si>
  <si>
    <t>项目经理</t>
    <phoneticPr fontId="2" type="noConversion"/>
  </si>
  <si>
    <t>刘於义</t>
  </si>
  <si>
    <t>任飞燕</t>
  </si>
  <si>
    <t>万震山</t>
  </si>
  <si>
    <t>林玉龙</t>
  </si>
  <si>
    <t>花剑影</t>
  </si>
  <si>
    <t>杨中慧</t>
  </si>
  <si>
    <t>卓天雄</t>
  </si>
  <si>
    <t>逍遥玲</t>
  </si>
  <si>
    <t>袁冠南</t>
  </si>
  <si>
    <t>常长风</t>
  </si>
  <si>
    <t>萧半和</t>
  </si>
  <si>
    <t>周威信</t>
  </si>
  <si>
    <t>史仲俊</t>
  </si>
  <si>
    <t>丁勉</t>
  </si>
  <si>
    <t>王琪</t>
  </si>
  <si>
    <t>吕小妹</t>
  </si>
  <si>
    <t>李莫愁</t>
  </si>
  <si>
    <t>巴郎星</t>
  </si>
  <si>
    <t>侯建平</t>
  </si>
  <si>
    <t>申志凡</t>
  </si>
  <si>
    <t>吕正平</t>
  </si>
  <si>
    <t>殷仲翔</t>
  </si>
  <si>
    <t>汤祖德</t>
  </si>
  <si>
    <t>兆惠</t>
  </si>
  <si>
    <t>过彦之</t>
  </si>
  <si>
    <t>刘双儿</t>
  </si>
  <si>
    <t>曲非烟</t>
  </si>
  <si>
    <t>王维扬</t>
  </si>
  <si>
    <t>陆乘风</t>
  </si>
  <si>
    <t>赵子昂</t>
  </si>
  <si>
    <t>东方启明</t>
  </si>
  <si>
    <t>刘处玄</t>
  </si>
  <si>
    <t>戚芳</t>
  </si>
  <si>
    <t>王家骏</t>
  </si>
  <si>
    <t>石清露</t>
  </si>
  <si>
    <t>石双英</t>
  </si>
  <si>
    <t>白熊</t>
  </si>
  <si>
    <t>贝人龙</t>
  </si>
  <si>
    <t>尼摩星</t>
  </si>
  <si>
    <t>王进宝</t>
  </si>
  <si>
    <t>吴青烈</t>
  </si>
  <si>
    <t>皮清云</t>
  </si>
  <si>
    <t>白龟寿</t>
  </si>
  <si>
    <t>司徒横</t>
  </si>
  <si>
    <t>冯兰剑</t>
  </si>
  <si>
    <t>安小慧</t>
  </si>
  <si>
    <t>冯难敌</t>
  </si>
  <si>
    <t>安剑清</t>
  </si>
  <si>
    <t>尹章垓</t>
  </si>
  <si>
    <t>孙克通</t>
  </si>
  <si>
    <t>达尔巴</t>
  </si>
  <si>
    <t>石清</t>
  </si>
  <si>
    <t>钟阿四</t>
  </si>
  <si>
    <t>冯辉</t>
  </si>
  <si>
    <t>杨景亭</t>
  </si>
  <si>
    <t>米横野</t>
  </si>
  <si>
    <t>方有德</t>
  </si>
  <si>
    <t>史松</t>
  </si>
  <si>
    <t>于小谦</t>
  </si>
  <si>
    <t>平威</t>
  </si>
  <si>
    <t>平旺先</t>
  </si>
  <si>
    <t>王保保</t>
  </si>
  <si>
    <t>司空玄</t>
  </si>
  <si>
    <t>古笃诚</t>
  </si>
  <si>
    <t>桃红</t>
  </si>
  <si>
    <t>赤温和</t>
  </si>
  <si>
    <t>朱安国</t>
  </si>
  <si>
    <t>成自学</t>
  </si>
  <si>
    <t>孙三观</t>
  </si>
  <si>
    <t>方东白</t>
  </si>
  <si>
    <t>白寒松</t>
  </si>
  <si>
    <t>李万山</t>
  </si>
  <si>
    <t>叶长青</t>
  </si>
  <si>
    <t>邝天雄</t>
  </si>
  <si>
    <t>汤和</t>
  </si>
  <si>
    <t>李可秀</t>
  </si>
  <si>
    <t>凌霜华</t>
  </si>
  <si>
    <t>张三泮</t>
  </si>
  <si>
    <t>史仲猛</t>
  </si>
  <si>
    <t>龙骏</t>
  </si>
  <si>
    <t>陆冠英</t>
  </si>
  <si>
    <t>尹克西</t>
  </si>
  <si>
    <t>沈平平</t>
  </si>
  <si>
    <t>华伯基</t>
  </si>
  <si>
    <t>司徒千钟</t>
  </si>
  <si>
    <t>刘培生</t>
  </si>
  <si>
    <t>沙通天</t>
  </si>
  <si>
    <t>凌退思</t>
  </si>
  <si>
    <t>梅侍画</t>
  </si>
  <si>
    <t>DF036</t>
  </si>
  <si>
    <t>DF037</t>
  </si>
  <si>
    <t>DF038</t>
  </si>
  <si>
    <t>DF039</t>
  </si>
  <si>
    <t>DF040</t>
  </si>
  <si>
    <t>DF041</t>
  </si>
  <si>
    <t>DF042</t>
  </si>
  <si>
    <t>DF043</t>
  </si>
  <si>
    <t>DF044</t>
  </si>
  <si>
    <t>DF045</t>
  </si>
  <si>
    <t>DF046</t>
  </si>
  <si>
    <t>DF047</t>
  </si>
  <si>
    <t>DF048</t>
  </si>
  <si>
    <t>DF049</t>
  </si>
  <si>
    <t>DF050</t>
  </si>
  <si>
    <t>DF051</t>
  </si>
  <si>
    <t>DF052</t>
  </si>
  <si>
    <t>DF053</t>
  </si>
  <si>
    <t>DF054</t>
  </si>
  <si>
    <t>DF055</t>
  </si>
  <si>
    <t>DF056</t>
  </si>
  <si>
    <t>DF057</t>
  </si>
  <si>
    <t>DF058</t>
  </si>
  <si>
    <t>DF059</t>
  </si>
  <si>
    <t>DF060</t>
  </si>
  <si>
    <t>DF061</t>
  </si>
  <si>
    <t>DF062</t>
  </si>
  <si>
    <t>DF063</t>
  </si>
  <si>
    <t>DF064</t>
  </si>
  <si>
    <t>DF065</t>
  </si>
  <si>
    <t>DF066</t>
  </si>
  <si>
    <t>DF067</t>
  </si>
  <si>
    <t>DF068</t>
  </si>
  <si>
    <t>DF069</t>
  </si>
  <si>
    <t>DF070</t>
  </si>
  <si>
    <t>DF071</t>
  </si>
  <si>
    <t>DF072</t>
  </si>
  <si>
    <t>DF073</t>
  </si>
  <si>
    <t>DF074</t>
  </si>
  <si>
    <t>DF075</t>
  </si>
  <si>
    <t>DF076</t>
  </si>
  <si>
    <t>DF077</t>
  </si>
  <si>
    <t>DF078</t>
  </si>
  <si>
    <t>DF079</t>
  </si>
  <si>
    <t>DF080</t>
  </si>
  <si>
    <t>DF081</t>
  </si>
  <si>
    <t>DF082</t>
  </si>
  <si>
    <t>DF083</t>
  </si>
  <si>
    <t>DF084</t>
  </si>
  <si>
    <t>DF085</t>
  </si>
  <si>
    <t>DF086</t>
  </si>
  <si>
    <t>DF087</t>
  </si>
  <si>
    <t>DF088</t>
  </si>
  <si>
    <t>DF089</t>
  </si>
  <si>
    <t>DF090</t>
  </si>
  <si>
    <t>DF091</t>
  </si>
  <si>
    <t>DF092</t>
  </si>
  <si>
    <t>DF093</t>
  </si>
  <si>
    <t>DF094</t>
  </si>
  <si>
    <t>DF095</t>
  </si>
  <si>
    <t>DF096</t>
  </si>
  <si>
    <t>DF097</t>
  </si>
  <si>
    <t>DF098</t>
  </si>
  <si>
    <t>DF099</t>
  </si>
  <si>
    <t>DF100</t>
  </si>
  <si>
    <t>DF101</t>
  </si>
  <si>
    <t>DF102</t>
  </si>
  <si>
    <t>DF103</t>
  </si>
  <si>
    <t>DF104</t>
  </si>
  <si>
    <t>DF105</t>
  </si>
  <si>
    <t>DF106</t>
  </si>
  <si>
    <t>DF107</t>
  </si>
  <si>
    <t>DF108</t>
  </si>
  <si>
    <t>DF109</t>
  </si>
  <si>
    <t>DF110</t>
  </si>
  <si>
    <t>DF111</t>
  </si>
  <si>
    <t>DF112</t>
  </si>
  <si>
    <t>DF113</t>
  </si>
  <si>
    <t>DF114</t>
  </si>
  <si>
    <t>DF115</t>
  </si>
  <si>
    <t>DF116</t>
  </si>
  <si>
    <t>DF117</t>
  </si>
  <si>
    <t>DF118</t>
  </si>
  <si>
    <t>DF119</t>
  </si>
  <si>
    <t>DF120</t>
  </si>
  <si>
    <t>签约工资</t>
    <phoneticPr fontId="2" type="noConversion"/>
  </si>
  <si>
    <t>离职</t>
    <phoneticPr fontId="2" type="noConversion"/>
  </si>
  <si>
    <t>230102195902172412</t>
  </si>
  <si>
    <t>410522197912247211</t>
  </si>
  <si>
    <t>110101197301051012</t>
  </si>
  <si>
    <t>110108198811063741</t>
  </si>
  <si>
    <t>110227198612061545</t>
  </si>
  <si>
    <t>110105199010054517</t>
  </si>
  <si>
    <t>110104198710261727</t>
  </si>
  <si>
    <t>342222199001061236</t>
  </si>
  <si>
    <t>410223198708165563</t>
  </si>
  <si>
    <t>341227198812137018</t>
  </si>
  <si>
    <t>110108198908013724</t>
  </si>
  <si>
    <t>110224199010234811</t>
  </si>
  <si>
    <t>110227198909040059</t>
  </si>
  <si>
    <t>110223196301116380</t>
  </si>
  <si>
    <t>110223196306235661</t>
  </si>
  <si>
    <t>110221199204201621</t>
  </si>
  <si>
    <t>110226199207110014</t>
  </si>
  <si>
    <t>110105198501142912</t>
  </si>
  <si>
    <t>110222198411090866</t>
  </si>
  <si>
    <t>110222198411133563</t>
  </si>
  <si>
    <t>110111198509070332</t>
  </si>
  <si>
    <t>110111198702172242</t>
  </si>
  <si>
    <t>110227197106100324</t>
  </si>
  <si>
    <t>110227197305052740</t>
  </si>
  <si>
    <t>110228197802030047</t>
  </si>
  <si>
    <t>211282199010112425</t>
  </si>
  <si>
    <t>110224197305293828</t>
  </si>
  <si>
    <t>110224198207220064</t>
  </si>
  <si>
    <t>410426197505147520</t>
  </si>
  <si>
    <t>410103196512202502</t>
  </si>
  <si>
    <t>14242119810519102X</t>
  </si>
  <si>
    <t>110111199109152026</t>
  </si>
  <si>
    <t>110108196001150094</t>
  </si>
  <si>
    <t>110108196503180015</t>
  </si>
  <si>
    <t>110108195911302259</t>
  </si>
  <si>
    <t>110108195603177222</t>
  </si>
  <si>
    <t>110106198402063916</t>
  </si>
  <si>
    <t>110103198807011517</t>
  </si>
  <si>
    <t>110101196909301513</t>
  </si>
  <si>
    <t>220502198501061029</t>
  </si>
  <si>
    <t>110111196608123613</t>
  </si>
  <si>
    <t>370682199103020226</t>
  </si>
  <si>
    <t>370111196207062010</t>
  </si>
  <si>
    <t>37250119561121115X</t>
  </si>
  <si>
    <t>410322198903066121</t>
  </si>
  <si>
    <t>130425198703080073</t>
  </si>
  <si>
    <t>140724199001150176</t>
  </si>
  <si>
    <t>23010319720413342X</t>
  </si>
  <si>
    <t>42011219681224151X</t>
  </si>
  <si>
    <t>130824198201174067</t>
  </si>
  <si>
    <t>110102196310112317</t>
  </si>
  <si>
    <t>110108196901258922</t>
  </si>
  <si>
    <t>110103195705211821</t>
  </si>
  <si>
    <t>110104195902280443</t>
  </si>
  <si>
    <t>110101197904244016</t>
  </si>
  <si>
    <t>370285198201241738</t>
  </si>
  <si>
    <t>130822199002021019</t>
  </si>
  <si>
    <t>110228198002143822</t>
  </si>
  <si>
    <t>110228196806224928</t>
  </si>
  <si>
    <t>110108196507306017</t>
  </si>
  <si>
    <t>430304198104120276</t>
  </si>
  <si>
    <t>行政经理</t>
    <phoneticPr fontId="3" type="noConversion"/>
  </si>
  <si>
    <t>财务经理</t>
    <phoneticPr fontId="3" type="noConversion"/>
  </si>
  <si>
    <t>售后</t>
    <phoneticPr fontId="3" type="noConversion"/>
  </si>
  <si>
    <t>研发</t>
    <phoneticPr fontId="3" type="noConversion"/>
  </si>
  <si>
    <t>售后</t>
    <phoneticPr fontId="3" type="noConversion"/>
  </si>
  <si>
    <t>本科</t>
  </si>
  <si>
    <t>本科</t>
    <phoneticPr fontId="2" type="noConversion"/>
  </si>
  <si>
    <t>研发经理</t>
    <phoneticPr fontId="3" type="noConversion"/>
  </si>
  <si>
    <t>大专</t>
  </si>
  <si>
    <t>硕士</t>
  </si>
  <si>
    <t>中专</t>
  </si>
  <si>
    <t>博士</t>
  </si>
  <si>
    <t>本科</t>
    <phoneticPr fontId="3" type="noConversion"/>
  </si>
  <si>
    <t>本科</t>
    <phoneticPr fontId="2" type="noConversion"/>
  </si>
  <si>
    <t>管理</t>
    <phoneticPr fontId="3" type="noConversion"/>
  </si>
  <si>
    <t>员工</t>
    <phoneticPr fontId="3" type="noConversion"/>
  </si>
  <si>
    <t>财务</t>
    <phoneticPr fontId="3" type="noConversion"/>
  </si>
  <si>
    <t>财务</t>
    <phoneticPr fontId="3" type="noConversion"/>
  </si>
  <si>
    <t>人事</t>
    <phoneticPr fontId="3" type="noConversion"/>
  </si>
  <si>
    <t>行政</t>
    <phoneticPr fontId="3" type="noConversion"/>
  </si>
  <si>
    <t>总经理助理</t>
    <phoneticPr fontId="3" type="noConversion"/>
  </si>
  <si>
    <t>项目经理</t>
    <phoneticPr fontId="3" type="noConversion"/>
  </si>
  <si>
    <t>研发经理</t>
    <phoneticPr fontId="3" type="noConversion"/>
  </si>
  <si>
    <t>白振</t>
    <phoneticPr fontId="3" type="noConversion"/>
  </si>
  <si>
    <t>贝锦仪</t>
    <phoneticPr fontId="3" type="noConversion"/>
  </si>
  <si>
    <t>易吉</t>
    <phoneticPr fontId="3" type="noConversion"/>
  </si>
  <si>
    <t>史小翠</t>
    <phoneticPr fontId="3" type="noConversion"/>
  </si>
  <si>
    <t>成璜</t>
    <phoneticPr fontId="3" type="noConversion"/>
  </si>
  <si>
    <t>梅念笙</t>
    <phoneticPr fontId="3" type="noConversion"/>
  </si>
  <si>
    <t>齐自勉</t>
    <phoneticPr fontId="3" type="noConversion"/>
  </si>
  <si>
    <t>菊青</t>
    <phoneticPr fontId="3" type="noConversion"/>
  </si>
  <si>
    <t>吴冲虚</t>
    <phoneticPr fontId="3" type="noConversion"/>
  </si>
  <si>
    <t>史红石</t>
    <phoneticPr fontId="3" type="noConversion"/>
  </si>
  <si>
    <t>凤南天</t>
    <phoneticPr fontId="3" type="noConversion"/>
  </si>
  <si>
    <t>杨康华</t>
    <phoneticPr fontId="3" type="noConversion"/>
  </si>
  <si>
    <t>史叔英</t>
    <phoneticPr fontId="3" type="noConversion"/>
  </si>
  <si>
    <t>陈玄凤</t>
    <phoneticPr fontId="3" type="noConversion"/>
  </si>
  <si>
    <t>王武讷</t>
    <phoneticPr fontId="3" type="noConversion"/>
  </si>
  <si>
    <t>鲁丽坤</t>
    <phoneticPr fontId="3" type="noConversion"/>
  </si>
  <si>
    <t>冯默然</t>
    <phoneticPr fontId="3" type="noConversion"/>
  </si>
  <si>
    <t>福康安</t>
    <phoneticPr fontId="3" type="noConversion"/>
  </si>
  <si>
    <t>史季芳</t>
    <phoneticPr fontId="3" type="noConversion"/>
  </si>
  <si>
    <t>朱丽聪</t>
    <phoneticPr fontId="3" type="noConversion"/>
  </si>
  <si>
    <t>盖一鸣</t>
    <phoneticPr fontId="3" type="noConversion"/>
  </si>
  <si>
    <t>莫大明</t>
    <phoneticPr fontId="3" type="noConversion"/>
  </si>
  <si>
    <t>马钰</t>
    <phoneticPr fontId="3" type="noConversion"/>
  </si>
  <si>
    <t>史孟霜</t>
    <phoneticPr fontId="3" type="noConversion"/>
  </si>
  <si>
    <t>戚长容</t>
    <phoneticPr fontId="3" type="noConversion"/>
  </si>
  <si>
    <t>钟四娘</t>
    <phoneticPr fontId="3" type="noConversion"/>
  </si>
  <si>
    <t>全金发</t>
    <phoneticPr fontId="3" type="noConversion"/>
  </si>
  <si>
    <t>宁中则</t>
    <phoneticPr fontId="3" type="noConversion"/>
  </si>
  <si>
    <t>安奉天</t>
    <phoneticPr fontId="3" type="noConversion"/>
  </si>
  <si>
    <t>项目经理</t>
    <phoneticPr fontId="3" type="noConversion"/>
  </si>
  <si>
    <t>本科</t>
    <phoneticPr fontId="3" type="noConversion"/>
  </si>
  <si>
    <t>大专</t>
    <phoneticPr fontId="3" type="noConversion"/>
  </si>
  <si>
    <t>技术</t>
    <phoneticPr fontId="3" type="noConversion"/>
  </si>
  <si>
    <t>人事经理</t>
    <phoneticPr fontId="2" type="noConversion"/>
  </si>
  <si>
    <t>税务经理</t>
    <phoneticPr fontId="2" type="noConversion"/>
  </si>
  <si>
    <t>技术经理</t>
    <phoneticPr fontId="2" type="noConversion"/>
  </si>
  <si>
    <t>项目经理</t>
    <phoneticPr fontId="2" type="noConversion"/>
  </si>
  <si>
    <t>技术</t>
    <phoneticPr fontId="3" type="noConversion"/>
  </si>
  <si>
    <t>市场</t>
    <phoneticPr fontId="3" type="noConversion"/>
  </si>
  <si>
    <t>项目经理</t>
    <phoneticPr fontId="3" type="noConversion"/>
  </si>
  <si>
    <t>项目经理</t>
    <phoneticPr fontId="3" type="noConversion"/>
  </si>
  <si>
    <t>硕士</t>
    <phoneticPr fontId="3" type="noConversion"/>
  </si>
  <si>
    <t>硕士</t>
    <phoneticPr fontId="2" type="noConversion"/>
  </si>
  <si>
    <t>中专</t>
    <phoneticPr fontId="2" type="noConversion"/>
  </si>
  <si>
    <t>中专</t>
    <phoneticPr fontId="2" type="noConversion"/>
  </si>
  <si>
    <r>
      <rPr>
        <sz val="9"/>
        <color theme="1"/>
        <rFont val="宋体"/>
        <family val="2"/>
        <charset val="134"/>
      </rPr>
      <t>博士</t>
    </r>
    <phoneticPr fontId="2" type="noConversion"/>
  </si>
  <si>
    <r>
      <rPr>
        <sz val="9"/>
        <color theme="1"/>
        <rFont val="宋体"/>
        <family val="2"/>
        <charset val="134"/>
      </rPr>
      <t>硕士</t>
    </r>
    <phoneticPr fontId="2" type="noConversion"/>
  </si>
  <si>
    <r>
      <rPr>
        <sz val="9"/>
        <color theme="1"/>
        <rFont val="宋体"/>
        <family val="2"/>
        <charset val="134"/>
      </rPr>
      <t>本科</t>
    </r>
    <phoneticPr fontId="2" type="noConversion"/>
  </si>
  <si>
    <r>
      <rPr>
        <sz val="9"/>
        <color theme="1"/>
        <rFont val="宋体"/>
        <family val="2"/>
        <charset val="134"/>
      </rPr>
      <t>中专</t>
    </r>
    <phoneticPr fontId="2" type="noConversion"/>
  </si>
  <si>
    <r>
      <rPr>
        <sz val="9"/>
        <color theme="1"/>
        <rFont val="宋体"/>
        <family val="2"/>
        <charset val="134"/>
      </rPr>
      <t>高中</t>
    </r>
    <phoneticPr fontId="2" type="noConversion"/>
  </si>
  <si>
    <t>退休</t>
    <phoneticPr fontId="3" type="noConversion"/>
  </si>
  <si>
    <t>离职或退休时间</t>
    <phoneticPr fontId="2" type="noConversion"/>
  </si>
  <si>
    <t>离职</t>
    <phoneticPr fontId="3" type="noConversion"/>
  </si>
  <si>
    <t>本公司工龄</t>
    <phoneticPr fontId="2" type="noConversion"/>
  </si>
  <si>
    <t>养老</t>
    <phoneticPr fontId="2" type="noConversion"/>
  </si>
  <si>
    <t>失业</t>
    <phoneticPr fontId="2" type="noConversion"/>
  </si>
  <si>
    <t>工伤</t>
    <phoneticPr fontId="2" type="noConversion"/>
  </si>
  <si>
    <t>生育</t>
    <phoneticPr fontId="2" type="noConversion"/>
  </si>
  <si>
    <t>医疗</t>
    <phoneticPr fontId="2" type="noConversion"/>
  </si>
  <si>
    <t>职工基本社会保险月费率表</t>
    <phoneticPr fontId="2" type="noConversion"/>
  </si>
  <si>
    <t>险种</t>
    <phoneticPr fontId="2" type="noConversion"/>
  </si>
  <si>
    <t>工资总额</t>
    <phoneticPr fontId="2" type="noConversion"/>
  </si>
  <si>
    <t>14112619931006001X</t>
  </si>
  <si>
    <t>上年月均奖金</t>
    <phoneticPr fontId="3" type="noConversion"/>
  </si>
  <si>
    <t>员工编号</t>
  </si>
  <si>
    <t>2016年12月社保计算表（仅包含在职员工）</t>
    <phoneticPr fontId="2" type="noConversion"/>
  </si>
  <si>
    <t>注：2015年度全市职工平均工资为85038元，月平均工资为7086元</t>
    <phoneticPr fontId="2" type="noConversion"/>
  </si>
  <si>
    <t>公司负担比例</t>
    <phoneticPr fontId="2" type="noConversion"/>
  </si>
  <si>
    <t>个人负担比例</t>
    <phoneticPr fontId="2" type="noConversion"/>
  </si>
  <si>
    <t>个人额外费用（元）</t>
    <phoneticPr fontId="2" type="noConversion"/>
  </si>
  <si>
    <t>养老公司负担</t>
    <phoneticPr fontId="2" type="noConversion"/>
  </si>
  <si>
    <t>养老个人负担</t>
    <phoneticPr fontId="2" type="noConversion"/>
  </si>
  <si>
    <t>失业公司负担</t>
    <phoneticPr fontId="2" type="noConversion"/>
  </si>
  <si>
    <t>失业个人负担</t>
    <phoneticPr fontId="2" type="noConversion"/>
  </si>
  <si>
    <t>工伤公司负担</t>
    <phoneticPr fontId="2" type="noConversion"/>
  </si>
  <si>
    <t>工伤个人负担</t>
    <phoneticPr fontId="2" type="noConversion"/>
  </si>
  <si>
    <t>生育公司负担</t>
    <phoneticPr fontId="2" type="noConversion"/>
  </si>
  <si>
    <t>生育个人负担</t>
    <phoneticPr fontId="2" type="noConversion"/>
  </si>
  <si>
    <t>医疗公司负担</t>
    <phoneticPr fontId="2" type="noConversion"/>
  </si>
  <si>
    <t>医疗个人负担</t>
    <phoneticPr fontId="2" type="noConversion"/>
  </si>
  <si>
    <t>社保基数</t>
    <phoneticPr fontId="2" type="noConversion"/>
  </si>
  <si>
    <t>第1位</t>
    <phoneticPr fontId="2" type="noConversion"/>
  </si>
  <si>
    <t>第2位</t>
  </si>
  <si>
    <t>第3位</t>
  </si>
  <si>
    <t>第4位</t>
  </si>
  <si>
    <t>第5位</t>
  </si>
  <si>
    <t>第6位</t>
  </si>
  <si>
    <t>第7位</t>
  </si>
  <si>
    <t>第8位</t>
  </si>
  <si>
    <t>第9位</t>
  </si>
  <si>
    <t>第10位</t>
  </si>
  <si>
    <t>第11位</t>
  </si>
  <si>
    <t>第12位</t>
  </si>
  <si>
    <t>第13位</t>
  </si>
  <si>
    <t>第14位</t>
  </si>
  <si>
    <t>第15位</t>
  </si>
  <si>
    <t>第16位</t>
  </si>
  <si>
    <t>第17位</t>
  </si>
  <si>
    <t>第18位</t>
  </si>
  <si>
    <t>校验结果</t>
    <phoneticPr fontId="2" type="noConversion"/>
  </si>
  <si>
    <t>余数</t>
    <phoneticPr fontId="2" type="noConversion"/>
  </si>
  <si>
    <t>X</t>
  </si>
  <si>
    <t>余数与校验码的对应关系</t>
    <phoneticPr fontId="2" type="noConversion"/>
  </si>
  <si>
    <t>校验码</t>
    <phoneticPr fontId="2" type="noConversion"/>
  </si>
  <si>
    <t>校对系数表</t>
    <phoneticPr fontId="2" type="noConversion"/>
  </si>
  <si>
    <t>计算校验码</t>
    <phoneticPr fontId="2" type="noConversion"/>
  </si>
  <si>
    <t>310108197712121136</t>
  </si>
  <si>
    <t>37220819751009051X</t>
  </si>
  <si>
    <t>410205196412278217</t>
  </si>
  <si>
    <t>110102197305120122</t>
  </si>
  <si>
    <t>55101819860731112X</t>
  </si>
  <si>
    <t>372208197310070514</t>
  </si>
  <si>
    <t>110106198504040125</t>
  </si>
  <si>
    <t>370108197202213154</t>
  </si>
  <si>
    <t>420316197409283219</t>
  </si>
  <si>
    <t>327018198310123016</t>
  </si>
  <si>
    <t>110105196410020101</t>
  </si>
  <si>
    <t>110103198111090026</t>
  </si>
  <si>
    <t>210108197912031123</t>
  </si>
  <si>
    <t>302204198508090314</t>
  </si>
  <si>
    <t>110106197809121108</t>
  </si>
  <si>
    <t>110107198010120105</t>
  </si>
  <si>
    <t>412205196612280217</t>
  </si>
  <si>
    <t>11010819750722012X</t>
  </si>
  <si>
    <t>551018198207210127</t>
  </si>
  <si>
    <t>37220619781027051X</t>
  </si>
  <si>
    <t>410205198008078239</t>
  </si>
  <si>
    <t>110104198204140121</t>
  </si>
  <si>
    <t>270108197302283156</t>
  </si>
  <si>
    <t>610008197610020372</t>
  </si>
  <si>
    <t>551018197510120015</t>
  </si>
  <si>
    <t>110105198412090022</t>
  </si>
  <si>
    <t>120108197606031027</t>
  </si>
  <si>
    <t>110104195505130417</t>
  </si>
  <si>
    <t>110223197901313120</t>
  </si>
  <si>
    <t>110108196402161114</t>
  </si>
  <si>
    <t>142201195910080015</t>
  </si>
  <si>
    <t>210802196503020517</t>
  </si>
  <si>
    <t>210722196301050849</t>
  </si>
  <si>
    <t>110102196311193323</t>
  </si>
  <si>
    <t>110102196210010460</t>
  </si>
  <si>
    <t>23010219600915374X</t>
  </si>
  <si>
    <t>110102198112191527</t>
  </si>
  <si>
    <t>110106198807250939</t>
  </si>
  <si>
    <t>110103198903270615</t>
  </si>
  <si>
    <t>412722198811247391</t>
  </si>
  <si>
    <t>11010819630102011X</t>
  </si>
  <si>
    <t>110105198903040126</t>
  </si>
  <si>
    <t>110108197812120129</t>
  </si>
  <si>
    <t>410205197908278231</t>
  </si>
  <si>
    <t>610308198111020379</t>
  </si>
  <si>
    <t>420016198409183216</t>
  </si>
  <si>
    <t>310101198307190322</t>
  </si>
  <si>
    <t>36252219731116002X</t>
  </si>
  <si>
    <t>11022819710609002X</t>
  </si>
  <si>
    <t>37292219841004775X</t>
  </si>
  <si>
    <t>11010119680828353X</t>
  </si>
  <si>
    <t>430105195802172011</t>
  </si>
  <si>
    <t>630102198806100873</t>
  </si>
  <si>
    <t>110102195709062346</t>
  </si>
  <si>
    <t>370785198810213684</t>
  </si>
  <si>
    <t>110102198905240451</t>
  </si>
  <si>
    <t>110106198905174879</t>
  </si>
  <si>
    <t>工作状态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</si>
</sst>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yyyy&quot;年&quot;m&quot;月&quot;;@"/>
    <numFmt numFmtId="178" formatCode="0.00_ "/>
  </numFmts>
  <fonts count="34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9"/>
      <name val="宋体"/>
      <family val="2"/>
      <charset val="134"/>
      <scheme val="minor"/>
    </font>
    <font>
      <b/>
      <sz val="9"/>
      <name val="宋体"/>
      <family val="3"/>
      <charset val="134"/>
      <scheme val="minor"/>
    </font>
    <font>
      <sz val="9"/>
      <name val="Times New Roman"/>
      <family val="1"/>
    </font>
    <font>
      <sz val="9"/>
      <color theme="1"/>
      <name val="宋体"/>
      <family val="2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Cambria"/>
      <family val="1"/>
    </font>
    <font>
      <sz val="9"/>
      <color rgb="FF000000"/>
      <name val="Cambria"/>
      <family val="1"/>
    </font>
    <font>
      <sz val="9"/>
      <name val="Cambria"/>
      <family val="1"/>
    </font>
    <font>
      <b/>
      <sz val="10"/>
      <name val="微软雅黑"/>
      <family val="2"/>
      <charset val="134"/>
    </font>
    <font>
      <b/>
      <sz val="15"/>
      <color theme="3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宋体"/>
      <family val="3"/>
      <charset val="134"/>
      <scheme val="minor"/>
    </font>
    <font>
      <b/>
      <sz val="14"/>
      <color theme="3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sz val="11"/>
      <color rgb="FF0000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rgb="FFC00000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>
      <alignment vertical="center"/>
    </xf>
    <xf numFmtId="0" fontId="13" fillId="0" borderId="0">
      <alignment vertical="center"/>
    </xf>
    <xf numFmtId="0" fontId="23" fillId="0" borderId="3" applyNumberFormat="0" applyFill="0" applyAlignment="0" applyProtection="0">
      <alignment vertical="center"/>
    </xf>
    <xf numFmtId="0" fontId="24" fillId="2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8" fontId="15" fillId="0" borderId="0" xfId="0" applyNumberFormat="1" applyFont="1" applyFill="1" applyBorder="1">
      <alignment vertical="center"/>
    </xf>
    <xf numFmtId="0" fontId="16" fillId="0" borderId="0" xfId="0" applyFont="1" applyAlignment="1">
      <alignment horizontal="center" vertical="center"/>
    </xf>
    <xf numFmtId="10" fontId="15" fillId="0" borderId="0" xfId="0" applyNumberFormat="1" applyFont="1" applyFill="1" applyBorder="1" applyAlignment="1">
      <alignment horizontal="right" vertical="center" indent="1"/>
    </xf>
    <xf numFmtId="178" fontId="15" fillId="0" borderId="0" xfId="0" applyNumberFormat="1" applyFont="1" applyFill="1" applyBorder="1" applyAlignment="1">
      <alignment horizontal="right" vertical="center" indent="1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49" fontId="19" fillId="0" borderId="2" xfId="0" applyNumberFormat="1" applyFont="1" applyFill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center" vertical="center"/>
    </xf>
    <xf numFmtId="49" fontId="21" fillId="0" borderId="2" xfId="0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7" fontId="6" fillId="0" borderId="1" xfId="0" applyNumberFormat="1" applyFon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49" fontId="6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176" fontId="6" fillId="0" borderId="2" xfId="0" applyNumberFormat="1" applyFont="1" applyFill="1" applyBorder="1" applyAlignment="1" applyProtection="1">
      <alignment horizontal="right" vertical="center"/>
      <protection locked="0"/>
    </xf>
    <xf numFmtId="4" fontId="6" fillId="0" borderId="2" xfId="0" applyNumberFormat="1" applyFont="1" applyFill="1" applyBorder="1" applyProtection="1">
      <alignment vertical="center"/>
      <protection locked="0"/>
    </xf>
    <xf numFmtId="4" fontId="9" fillId="0" borderId="2" xfId="0" applyNumberFormat="1" applyFont="1" applyFill="1" applyBorder="1" applyProtection="1">
      <alignment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49" fontId="5" fillId="0" borderId="2" xfId="0" applyNumberFormat="1" applyFont="1" applyFill="1" applyBorder="1" applyAlignment="1" applyProtection="1">
      <alignment horizontal="center" vertical="center"/>
      <protection locked="0"/>
    </xf>
    <xf numFmtId="49" fontId="11" fillId="0" borderId="2" xfId="0" applyNumberFormat="1" applyFont="1" applyFill="1" applyBorder="1" applyAlignment="1" applyProtection="1">
      <alignment horizontal="center" vertical="center"/>
      <protection locked="0"/>
    </xf>
    <xf numFmtId="49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176" fontId="9" fillId="0" borderId="2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2" fillId="0" borderId="0" xfId="0" applyFont="1" applyFill="1" applyProtection="1">
      <alignment vertical="center"/>
      <protection locked="0"/>
    </xf>
    <xf numFmtId="0" fontId="2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76" fontId="6" fillId="0" borderId="2" xfId="0" applyNumberFormat="1" applyFont="1" applyFill="1" applyBorder="1" applyProtection="1">
      <alignment vertical="center"/>
      <protection locked="0"/>
    </xf>
    <xf numFmtId="0" fontId="6" fillId="0" borderId="2" xfId="0" applyFont="1" applyFill="1" applyBorder="1" applyProtection="1">
      <alignment vertical="center"/>
      <protection locked="0"/>
    </xf>
    <xf numFmtId="0" fontId="32" fillId="0" borderId="0" xfId="0" applyFont="1" applyFill="1" applyBorder="1" applyAlignment="1">
      <alignment horizontal="center" vertical="center"/>
    </xf>
    <xf numFmtId="10" fontId="33" fillId="0" borderId="0" xfId="0" applyNumberFormat="1" applyFont="1" applyFill="1" applyBorder="1" applyAlignment="1">
      <alignment horizontal="right" vertical="center" indent="1"/>
    </xf>
    <xf numFmtId="178" fontId="33" fillId="0" borderId="0" xfId="0" applyNumberFormat="1" applyFont="1" applyFill="1" applyBorder="1" applyAlignment="1">
      <alignment horizontal="right" vertical="center" indent="1"/>
    </xf>
    <xf numFmtId="0" fontId="27" fillId="2" borderId="9" xfId="3" applyFont="1" applyBorder="1" applyAlignment="1">
      <alignment horizontal="center" vertical="center"/>
    </xf>
    <xf numFmtId="0" fontId="31" fillId="0" borderId="3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">
    <cellStyle name="60% - 着色 6" xfId="3" builtinId="52"/>
    <cellStyle name="标题 1" xfId="2" builtinId="16"/>
    <cellStyle name="常规" xfId="0" builtinId="0"/>
    <cellStyle name="常规 2" xfId="1" xr:uid="{00000000-0005-0000-0000-000003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78" formatCode="0.00_ 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D8" totalsRowShown="0" dataDxfId="4">
  <tableColumns count="4">
    <tableColumn id="1" xr3:uid="{00000000-0010-0000-0000-000001000000}" name="险种" dataDxfId="3"/>
    <tableColumn id="2" xr3:uid="{00000000-0010-0000-0000-000002000000}" name="公司负担比例" dataDxfId="2"/>
    <tableColumn id="3" xr3:uid="{00000000-0010-0000-0000-000003000000}" name="个人负担比例" dataDxfId="1"/>
    <tableColumn id="4" xr3:uid="{00000000-0010-0000-0000-000004000000}" name="个人额外费用（元）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workbookViewId="0">
      <selection activeCell="C8" sqref="C8"/>
    </sheetView>
  </sheetViews>
  <sheetFormatPr defaultRowHeight="11.25"/>
  <cols>
    <col min="1" max="1" width="9.25" style="29" customWidth="1"/>
    <col min="2" max="2" width="9.75" style="29" customWidth="1"/>
    <col min="3" max="3" width="17" style="29" customWidth="1"/>
    <col min="4" max="4" width="10.625" style="49" customWidth="1"/>
    <col min="5" max="5" width="14" style="49" customWidth="1"/>
    <col min="6" max="6" width="9.875" style="29" customWidth="1"/>
    <col min="7" max="7" width="9" style="29"/>
    <col min="8" max="8" width="13" style="29" bestFit="1" customWidth="1"/>
    <col min="9" max="9" width="8.75" style="29" bestFit="1" customWidth="1"/>
    <col min="10" max="10" width="12.25" style="28" bestFit="1" customWidth="1"/>
    <col min="11" max="11" width="12.875" style="28" customWidth="1"/>
    <col min="12" max="12" width="10.875" style="29" customWidth="1"/>
    <col min="13" max="13" width="10.125" style="61" customWidth="1"/>
    <col min="14" max="15" width="9.75" style="28" bestFit="1" customWidth="1"/>
    <col min="16" max="16" width="13.375" style="28" customWidth="1"/>
    <col min="17" max="17" width="11.5" style="61" customWidth="1"/>
    <col min="18" max="16384" width="9" style="28"/>
  </cols>
  <sheetData>
    <row r="1" spans="1:17" ht="7.5" customHeight="1" thickTop="1">
      <c r="A1" s="24"/>
      <c r="B1" s="25"/>
      <c r="C1" s="24"/>
      <c r="D1" s="44"/>
      <c r="E1" s="45"/>
      <c r="F1" s="26"/>
      <c r="G1" s="25"/>
      <c r="H1" s="25"/>
      <c r="I1" s="27"/>
    </row>
    <row r="2" spans="1:17" ht="27" customHeight="1">
      <c r="A2" s="30" t="s">
        <v>41</v>
      </c>
      <c r="B2" s="31" t="s">
        <v>42</v>
      </c>
      <c r="C2" s="31" t="s">
        <v>46</v>
      </c>
      <c r="D2" s="46" t="s">
        <v>43</v>
      </c>
      <c r="E2" s="46" t="s">
        <v>47</v>
      </c>
      <c r="F2" s="32" t="s">
        <v>48</v>
      </c>
      <c r="G2" s="31" t="s">
        <v>44</v>
      </c>
      <c r="H2" s="31" t="s">
        <v>45</v>
      </c>
      <c r="I2" s="31" t="s">
        <v>49</v>
      </c>
      <c r="J2" s="31" t="s">
        <v>50</v>
      </c>
      <c r="K2" s="33" t="s">
        <v>370</v>
      </c>
      <c r="L2" s="31" t="s">
        <v>482</v>
      </c>
      <c r="M2" s="32" t="s">
        <v>372</v>
      </c>
      <c r="N2" s="31" t="s">
        <v>233</v>
      </c>
      <c r="O2" s="31" t="s">
        <v>51</v>
      </c>
      <c r="P2" s="31" t="s">
        <v>382</v>
      </c>
      <c r="Q2" s="31" t="s">
        <v>380</v>
      </c>
    </row>
    <row r="3" spans="1:17" ht="13.5" customHeight="1">
      <c r="A3" s="34" t="s">
        <v>179</v>
      </c>
      <c r="B3" s="34" t="s">
        <v>108</v>
      </c>
      <c r="C3" s="41"/>
      <c r="D3" s="47" t="str">
        <f t="shared" ref="D3:D34" si="0">IFERROR(IF(ISODD(MID(C3,17,1)),"男","女"),"")</f>
        <v/>
      </c>
      <c r="E3" s="48" t="str">
        <f t="shared" ref="E3:E34" si="1">IFERROR(DATE(MID(C3,7,4),MID(C3,11,2),MID(C3,13,2)),"")</f>
        <v/>
      </c>
      <c r="F3" s="65"/>
      <c r="G3" s="34" t="s">
        <v>351</v>
      </c>
      <c r="H3" s="34" t="s">
        <v>311</v>
      </c>
      <c r="I3" s="34" t="s">
        <v>304</v>
      </c>
      <c r="J3" s="37">
        <v>31164</v>
      </c>
      <c r="K3" s="66">
        <v>40328</v>
      </c>
      <c r="L3" s="34" t="s">
        <v>369</v>
      </c>
      <c r="M3" s="65"/>
      <c r="N3" s="38">
        <v>3900</v>
      </c>
      <c r="O3" s="39"/>
      <c r="P3" s="39"/>
      <c r="Q3" s="39"/>
    </row>
    <row r="4" spans="1:17" ht="13.5" customHeight="1">
      <c r="A4" s="34" t="s">
        <v>194</v>
      </c>
      <c r="B4" s="34" t="s">
        <v>323</v>
      </c>
      <c r="C4" s="41"/>
      <c r="D4" s="47" t="str">
        <f t="shared" si="0"/>
        <v/>
      </c>
      <c r="E4" s="48" t="str">
        <f t="shared" si="1"/>
        <v/>
      </c>
      <c r="F4" s="65"/>
      <c r="G4" s="34" t="s">
        <v>351</v>
      </c>
      <c r="H4" s="34" t="s">
        <v>311</v>
      </c>
      <c r="I4" s="34" t="s">
        <v>304</v>
      </c>
      <c r="J4" s="37">
        <v>31558</v>
      </c>
      <c r="K4" s="66">
        <v>41243</v>
      </c>
      <c r="L4" s="34" t="s">
        <v>369</v>
      </c>
      <c r="M4" s="65"/>
      <c r="N4" s="38">
        <v>4100</v>
      </c>
      <c r="O4" s="39"/>
      <c r="P4" s="39"/>
      <c r="Q4" s="39"/>
    </row>
    <row r="5" spans="1:17" ht="13.5" customHeight="1">
      <c r="A5" s="34" t="s">
        <v>181</v>
      </c>
      <c r="B5" s="34" t="s">
        <v>321</v>
      </c>
      <c r="C5" s="41"/>
      <c r="D5" s="47" t="str">
        <f t="shared" si="0"/>
        <v/>
      </c>
      <c r="E5" s="48" t="str">
        <f t="shared" si="1"/>
        <v/>
      </c>
      <c r="F5" s="65"/>
      <c r="G5" s="34" t="s">
        <v>315</v>
      </c>
      <c r="H5" s="34" t="s">
        <v>311</v>
      </c>
      <c r="I5" s="34" t="s">
        <v>305</v>
      </c>
      <c r="J5" s="37">
        <v>31588</v>
      </c>
      <c r="K5" s="66">
        <v>40632</v>
      </c>
      <c r="L5" s="34" t="s">
        <v>369</v>
      </c>
      <c r="M5" s="65"/>
      <c r="N5" s="38">
        <v>6100</v>
      </c>
      <c r="O5" s="39"/>
      <c r="P5" s="39"/>
      <c r="Q5" s="39"/>
    </row>
    <row r="6" spans="1:17" ht="13.5" customHeight="1">
      <c r="A6" s="34" t="s">
        <v>201</v>
      </c>
      <c r="B6" s="34" t="s">
        <v>122</v>
      </c>
      <c r="C6" s="41"/>
      <c r="D6" s="47" t="str">
        <f t="shared" si="0"/>
        <v/>
      </c>
      <c r="E6" s="48" t="str">
        <f t="shared" si="1"/>
        <v/>
      </c>
      <c r="F6" s="65"/>
      <c r="G6" s="34" t="s">
        <v>351</v>
      </c>
      <c r="H6" s="34" t="s">
        <v>311</v>
      </c>
      <c r="I6" s="34" t="s">
        <v>349</v>
      </c>
      <c r="J6" s="37">
        <v>31982</v>
      </c>
      <c r="K6" s="66">
        <v>41182</v>
      </c>
      <c r="L6" s="34" t="s">
        <v>369</v>
      </c>
      <c r="M6" s="65"/>
      <c r="N6" s="38">
        <v>6100</v>
      </c>
      <c r="O6" s="39"/>
      <c r="P6" s="39"/>
      <c r="Q6" s="39"/>
    </row>
    <row r="7" spans="1:17" ht="13.5" customHeight="1">
      <c r="A7" s="34" t="s">
        <v>207</v>
      </c>
      <c r="B7" s="34" t="s">
        <v>324</v>
      </c>
      <c r="C7" s="41"/>
      <c r="D7" s="47" t="str">
        <f t="shared" si="0"/>
        <v/>
      </c>
      <c r="E7" s="48" t="str">
        <f t="shared" si="1"/>
        <v/>
      </c>
      <c r="F7" s="65"/>
      <c r="G7" s="34" t="s">
        <v>351</v>
      </c>
      <c r="H7" s="34" t="s">
        <v>311</v>
      </c>
      <c r="I7" s="34" t="s">
        <v>307</v>
      </c>
      <c r="J7" s="37">
        <v>32012</v>
      </c>
      <c r="K7" s="66">
        <v>41059</v>
      </c>
      <c r="L7" s="34" t="s">
        <v>369</v>
      </c>
      <c r="M7" s="65"/>
      <c r="N7" s="38">
        <v>12000</v>
      </c>
      <c r="O7" s="39"/>
      <c r="P7" s="39"/>
      <c r="Q7" s="39"/>
    </row>
    <row r="8" spans="1:17" ht="13.5" customHeight="1">
      <c r="A8" s="34" t="s">
        <v>185</v>
      </c>
      <c r="B8" s="34" t="s">
        <v>319</v>
      </c>
      <c r="C8" s="41"/>
      <c r="D8" s="47" t="str">
        <f t="shared" si="0"/>
        <v/>
      </c>
      <c r="E8" s="48" t="str">
        <f t="shared" si="1"/>
        <v/>
      </c>
      <c r="F8" s="65"/>
      <c r="G8" s="34" t="s">
        <v>351</v>
      </c>
      <c r="H8" s="34" t="s">
        <v>359</v>
      </c>
      <c r="I8" s="34" t="s">
        <v>304</v>
      </c>
      <c r="J8" s="37">
        <v>32408</v>
      </c>
      <c r="K8" s="66">
        <v>41333</v>
      </c>
      <c r="L8" s="34" t="s">
        <v>369</v>
      </c>
      <c r="M8" s="65"/>
      <c r="N8" s="38">
        <v>5000</v>
      </c>
      <c r="O8" s="39"/>
      <c r="P8" s="39"/>
      <c r="Q8" s="39"/>
    </row>
    <row r="9" spans="1:17" ht="13.5" customHeight="1">
      <c r="A9" s="34" t="s">
        <v>177</v>
      </c>
      <c r="B9" s="34" t="s">
        <v>106</v>
      </c>
      <c r="C9" s="41"/>
      <c r="D9" s="47" t="str">
        <f t="shared" si="0"/>
        <v/>
      </c>
      <c r="E9" s="48" t="str">
        <f t="shared" si="1"/>
        <v/>
      </c>
      <c r="F9" s="65"/>
      <c r="G9" s="34" t="s">
        <v>314</v>
      </c>
      <c r="H9" s="34" t="s">
        <v>311</v>
      </c>
      <c r="I9" s="34" t="s">
        <v>302</v>
      </c>
      <c r="J9" s="37">
        <v>32802</v>
      </c>
      <c r="K9" s="66">
        <v>41973</v>
      </c>
      <c r="L9" s="34" t="s">
        <v>369</v>
      </c>
      <c r="M9" s="65"/>
      <c r="N9" s="38">
        <v>6100</v>
      </c>
      <c r="O9" s="39"/>
      <c r="P9" s="39"/>
      <c r="Q9" s="39"/>
    </row>
    <row r="10" spans="1:17" ht="13.5" customHeight="1">
      <c r="A10" s="34" t="s">
        <v>189</v>
      </c>
      <c r="B10" s="34" t="s">
        <v>114</v>
      </c>
      <c r="C10" s="43"/>
      <c r="D10" s="47" t="str">
        <f t="shared" si="0"/>
        <v/>
      </c>
      <c r="E10" s="48" t="str">
        <f t="shared" si="1"/>
        <v/>
      </c>
      <c r="F10" s="65"/>
      <c r="G10" s="34" t="s">
        <v>299</v>
      </c>
      <c r="H10" s="34" t="s">
        <v>311</v>
      </c>
      <c r="I10" s="34" t="s">
        <v>307</v>
      </c>
      <c r="J10" s="37">
        <v>32832</v>
      </c>
      <c r="K10" s="66"/>
      <c r="L10" s="34"/>
      <c r="M10" s="65"/>
      <c r="N10" s="38">
        <v>18000</v>
      </c>
      <c r="O10" s="39"/>
      <c r="P10" s="39">
        <v>1458</v>
      </c>
      <c r="Q10" s="39"/>
    </row>
    <row r="11" spans="1:17" ht="13.5" customHeight="1">
      <c r="A11" s="34" t="s">
        <v>190</v>
      </c>
      <c r="B11" s="34" t="s">
        <v>115</v>
      </c>
      <c r="C11" s="43"/>
      <c r="D11" s="47" t="str">
        <f t="shared" si="0"/>
        <v/>
      </c>
      <c r="E11" s="48" t="str">
        <f t="shared" si="1"/>
        <v/>
      </c>
      <c r="F11" s="65"/>
      <c r="G11" s="34" t="s">
        <v>351</v>
      </c>
      <c r="H11" s="34" t="s">
        <v>311</v>
      </c>
      <c r="I11" s="34" t="s">
        <v>304</v>
      </c>
      <c r="J11" s="37">
        <v>32861</v>
      </c>
      <c r="K11" s="66">
        <v>41942</v>
      </c>
      <c r="L11" s="34" t="s">
        <v>369</v>
      </c>
      <c r="M11" s="65"/>
      <c r="N11" s="38">
        <v>3800</v>
      </c>
      <c r="O11" s="39"/>
      <c r="P11" s="39"/>
      <c r="Q11" s="39"/>
    </row>
    <row r="12" spans="1:17" ht="13.5" customHeight="1">
      <c r="A12" s="34" t="s">
        <v>210</v>
      </c>
      <c r="B12" s="34" t="s">
        <v>326</v>
      </c>
      <c r="C12" s="41"/>
      <c r="D12" s="47" t="str">
        <f t="shared" si="0"/>
        <v/>
      </c>
      <c r="E12" s="48" t="str">
        <f t="shared" si="1"/>
        <v/>
      </c>
      <c r="F12" s="65"/>
      <c r="G12" s="34" t="s">
        <v>299</v>
      </c>
      <c r="H12" s="34" t="s">
        <v>311</v>
      </c>
      <c r="I12" s="34" t="s">
        <v>305</v>
      </c>
      <c r="J12" s="37">
        <v>32891</v>
      </c>
      <c r="K12" s="66">
        <v>40451</v>
      </c>
      <c r="L12" s="34" t="s">
        <v>234</v>
      </c>
      <c r="M12" s="65"/>
      <c r="N12" s="38">
        <v>6400</v>
      </c>
      <c r="O12" s="39"/>
      <c r="P12" s="39"/>
      <c r="Q12" s="39"/>
    </row>
    <row r="13" spans="1:17" ht="13.5" customHeight="1">
      <c r="A13" s="34" t="s">
        <v>211</v>
      </c>
      <c r="B13" s="34" t="s">
        <v>128</v>
      </c>
      <c r="C13" s="41"/>
      <c r="D13" s="47" t="str">
        <f t="shared" si="0"/>
        <v/>
      </c>
      <c r="E13" s="48" t="str">
        <f t="shared" si="1"/>
        <v/>
      </c>
      <c r="F13" s="65"/>
      <c r="G13" s="34" t="s">
        <v>351</v>
      </c>
      <c r="H13" s="34" t="s">
        <v>311</v>
      </c>
      <c r="I13" s="34" t="s">
        <v>301</v>
      </c>
      <c r="J13" s="37">
        <v>33286</v>
      </c>
      <c r="K13" s="66">
        <v>42277</v>
      </c>
      <c r="L13" s="34" t="s">
        <v>369</v>
      </c>
      <c r="M13" s="65"/>
      <c r="N13" s="38">
        <v>5900</v>
      </c>
      <c r="O13" s="39"/>
      <c r="P13" s="39"/>
      <c r="Q13" s="39"/>
    </row>
    <row r="14" spans="1:17" ht="13.5" customHeight="1">
      <c r="A14" s="34" t="s">
        <v>175</v>
      </c>
      <c r="B14" s="34" t="s">
        <v>325</v>
      </c>
      <c r="C14" s="42"/>
      <c r="D14" s="47" t="str">
        <f t="shared" si="0"/>
        <v/>
      </c>
      <c r="E14" s="48" t="str">
        <f t="shared" si="1"/>
        <v/>
      </c>
      <c r="F14" s="65"/>
      <c r="G14" s="34" t="s">
        <v>314</v>
      </c>
      <c r="H14" s="34" t="s">
        <v>311</v>
      </c>
      <c r="I14" s="34" t="s">
        <v>301</v>
      </c>
      <c r="J14" s="37">
        <v>33313</v>
      </c>
      <c r="K14" s="66">
        <v>42034</v>
      </c>
      <c r="L14" s="34" t="s">
        <v>369</v>
      </c>
      <c r="M14" s="65"/>
      <c r="N14" s="38">
        <v>5700</v>
      </c>
      <c r="O14" s="39"/>
      <c r="P14" s="39"/>
      <c r="Q14" s="39"/>
    </row>
    <row r="15" spans="1:17" ht="13.5" customHeight="1">
      <c r="A15" s="34" t="s">
        <v>192</v>
      </c>
      <c r="B15" s="34" t="s">
        <v>327</v>
      </c>
      <c r="C15" s="41"/>
      <c r="D15" s="47" t="str">
        <f t="shared" si="0"/>
        <v/>
      </c>
      <c r="E15" s="48" t="str">
        <f t="shared" si="1"/>
        <v/>
      </c>
      <c r="F15" s="65"/>
      <c r="G15" s="34" t="s">
        <v>299</v>
      </c>
      <c r="H15" s="34" t="s">
        <v>311</v>
      </c>
      <c r="I15" s="34" t="s">
        <v>304</v>
      </c>
      <c r="J15" s="37">
        <v>34074</v>
      </c>
      <c r="K15" s="66"/>
      <c r="L15" s="34"/>
      <c r="M15" s="65"/>
      <c r="N15" s="38">
        <v>4200</v>
      </c>
      <c r="O15" s="39"/>
      <c r="P15" s="39">
        <v>340</v>
      </c>
      <c r="Q15" s="39"/>
    </row>
    <row r="16" spans="1:17" ht="13.5" customHeight="1">
      <c r="A16" s="34" t="s">
        <v>209</v>
      </c>
      <c r="B16" s="34" t="s">
        <v>320</v>
      </c>
      <c r="C16" s="41"/>
      <c r="D16" s="47" t="str">
        <f t="shared" si="0"/>
        <v/>
      </c>
      <c r="E16" s="48" t="str">
        <f t="shared" si="1"/>
        <v/>
      </c>
      <c r="F16" s="65"/>
      <c r="G16" s="34" t="s">
        <v>357</v>
      </c>
      <c r="H16" s="34" t="s">
        <v>311</v>
      </c>
      <c r="I16" s="34" t="s">
        <v>363</v>
      </c>
      <c r="J16" s="37">
        <v>34103</v>
      </c>
      <c r="K16" s="66">
        <v>37016</v>
      </c>
      <c r="L16" s="34" t="s">
        <v>371</v>
      </c>
      <c r="M16" s="65"/>
      <c r="N16" s="38">
        <v>3200</v>
      </c>
      <c r="O16" s="39"/>
      <c r="P16" s="39"/>
      <c r="Q16" s="39"/>
    </row>
    <row r="17" spans="1:17" ht="13.5" customHeight="1">
      <c r="A17" s="34" t="s">
        <v>231</v>
      </c>
      <c r="B17" s="34" t="s">
        <v>146</v>
      </c>
      <c r="C17" s="41"/>
      <c r="D17" s="47" t="str">
        <f t="shared" si="0"/>
        <v/>
      </c>
      <c r="E17" s="48" t="str">
        <f t="shared" si="1"/>
        <v/>
      </c>
      <c r="F17" s="65"/>
      <c r="G17" s="34" t="s">
        <v>299</v>
      </c>
      <c r="H17" s="34" t="s">
        <v>311</v>
      </c>
      <c r="I17" s="34" t="s">
        <v>308</v>
      </c>
      <c r="J17" s="37">
        <v>34498</v>
      </c>
      <c r="K17" s="66"/>
      <c r="L17" s="34"/>
      <c r="M17" s="65"/>
      <c r="N17" s="38">
        <v>6000</v>
      </c>
      <c r="O17" s="39"/>
      <c r="P17" s="39">
        <v>486</v>
      </c>
      <c r="Q17" s="39"/>
    </row>
    <row r="18" spans="1:17" ht="13.5" customHeight="1">
      <c r="A18" s="34" t="s">
        <v>206</v>
      </c>
      <c r="B18" s="34" t="s">
        <v>127</v>
      </c>
      <c r="C18" s="41"/>
      <c r="D18" s="47" t="str">
        <f t="shared" si="0"/>
        <v/>
      </c>
      <c r="E18" s="48" t="str">
        <f t="shared" si="1"/>
        <v/>
      </c>
      <c r="F18" s="65"/>
      <c r="G18" s="34" t="s">
        <v>351</v>
      </c>
      <c r="H18" s="34" t="s">
        <v>311</v>
      </c>
      <c r="I18" s="34" t="s">
        <v>350</v>
      </c>
      <c r="J18" s="37">
        <v>34557</v>
      </c>
      <c r="K18" s="66"/>
      <c r="L18" s="34"/>
      <c r="M18" s="65"/>
      <c r="N18" s="38">
        <v>5500</v>
      </c>
      <c r="O18" s="39"/>
      <c r="P18" s="39">
        <v>446</v>
      </c>
      <c r="Q18" s="39"/>
    </row>
    <row r="19" spans="1:17" ht="13.5" customHeight="1">
      <c r="A19" s="34" t="s">
        <v>208</v>
      </c>
      <c r="B19" s="34" t="s">
        <v>322</v>
      </c>
      <c r="C19" s="41"/>
      <c r="D19" s="47" t="str">
        <f t="shared" si="0"/>
        <v/>
      </c>
      <c r="E19" s="48" t="str">
        <f t="shared" si="1"/>
        <v/>
      </c>
      <c r="F19" s="65"/>
      <c r="G19" s="34" t="s">
        <v>357</v>
      </c>
      <c r="H19" s="34" t="s">
        <v>311</v>
      </c>
      <c r="I19" s="34" t="s">
        <v>304</v>
      </c>
      <c r="J19" s="37">
        <v>34587</v>
      </c>
      <c r="K19" s="66"/>
      <c r="L19" s="34"/>
      <c r="M19" s="65"/>
      <c r="N19" s="38">
        <v>4500</v>
      </c>
      <c r="O19" s="39"/>
      <c r="P19" s="39">
        <v>365</v>
      </c>
      <c r="Q19" s="39"/>
    </row>
    <row r="20" spans="1:17" ht="13.5" customHeight="1">
      <c r="A20" s="34" t="s">
        <v>232</v>
      </c>
      <c r="B20" s="34" t="s">
        <v>147</v>
      </c>
      <c r="C20" s="41"/>
      <c r="D20" s="47" t="str">
        <f t="shared" si="0"/>
        <v/>
      </c>
      <c r="E20" s="48" t="str">
        <f t="shared" si="1"/>
        <v/>
      </c>
      <c r="F20" s="65"/>
      <c r="G20" s="34" t="s">
        <v>299</v>
      </c>
      <c r="H20" s="34" t="s">
        <v>311</v>
      </c>
      <c r="I20" s="34" t="s">
        <v>305</v>
      </c>
      <c r="J20" s="37">
        <v>34616</v>
      </c>
      <c r="K20" s="66"/>
      <c r="L20" s="34"/>
      <c r="M20" s="65"/>
      <c r="N20" s="38">
        <v>8400</v>
      </c>
      <c r="O20" s="39"/>
      <c r="P20" s="39">
        <v>680</v>
      </c>
      <c r="Q20" s="39"/>
    </row>
    <row r="21" spans="1:17" ht="13.5" customHeight="1">
      <c r="A21" s="34" t="s">
        <v>204</v>
      </c>
      <c r="B21" s="34" t="s">
        <v>125</v>
      </c>
      <c r="C21" s="41"/>
      <c r="D21" s="47" t="str">
        <f t="shared" si="0"/>
        <v/>
      </c>
      <c r="E21" s="48" t="str">
        <f t="shared" si="1"/>
        <v/>
      </c>
      <c r="F21" s="65"/>
      <c r="G21" s="34" t="s">
        <v>299</v>
      </c>
      <c r="H21" s="34" t="s">
        <v>311</v>
      </c>
      <c r="I21" s="34" t="s">
        <v>306</v>
      </c>
      <c r="J21" s="37">
        <v>34646</v>
      </c>
      <c r="K21" s="66"/>
      <c r="L21" s="34"/>
      <c r="M21" s="65"/>
      <c r="N21" s="38">
        <v>3400</v>
      </c>
      <c r="O21" s="39"/>
      <c r="P21" s="39">
        <v>275</v>
      </c>
      <c r="Q21" s="39"/>
    </row>
    <row r="22" spans="1:17" ht="13.5" customHeight="1">
      <c r="A22" s="34" t="s">
        <v>188</v>
      </c>
      <c r="B22" s="34" t="s">
        <v>113</v>
      </c>
      <c r="C22" s="41"/>
      <c r="D22" s="47" t="str">
        <f t="shared" si="0"/>
        <v/>
      </c>
      <c r="E22" s="48" t="str">
        <f t="shared" si="1"/>
        <v/>
      </c>
      <c r="F22" s="65"/>
      <c r="G22" s="34" t="s">
        <v>351</v>
      </c>
      <c r="H22" s="34" t="s">
        <v>311</v>
      </c>
      <c r="I22" s="34" t="s">
        <v>301</v>
      </c>
      <c r="J22" s="37">
        <v>35040</v>
      </c>
      <c r="K22" s="66"/>
      <c r="L22" s="34"/>
      <c r="M22" s="65"/>
      <c r="N22" s="38">
        <v>5200</v>
      </c>
      <c r="O22" s="39"/>
      <c r="P22" s="39">
        <v>421</v>
      </c>
      <c r="Q22" s="39"/>
    </row>
    <row r="23" spans="1:17" ht="13.5" customHeight="1">
      <c r="A23" s="34" t="s">
        <v>193</v>
      </c>
      <c r="B23" s="34" t="s">
        <v>116</v>
      </c>
      <c r="C23" s="41"/>
      <c r="D23" s="47" t="str">
        <f t="shared" si="0"/>
        <v/>
      </c>
      <c r="E23" s="48" t="str">
        <f t="shared" si="1"/>
        <v/>
      </c>
      <c r="F23" s="65"/>
      <c r="G23" s="34" t="s">
        <v>351</v>
      </c>
      <c r="H23" s="34" t="s">
        <v>311</v>
      </c>
      <c r="I23" s="34" t="s">
        <v>301</v>
      </c>
      <c r="J23" s="37">
        <v>35466</v>
      </c>
      <c r="K23" s="66"/>
      <c r="L23" s="34"/>
      <c r="M23" s="65"/>
      <c r="N23" s="38">
        <v>5800</v>
      </c>
      <c r="O23" s="39"/>
      <c r="P23" s="39">
        <v>470</v>
      </c>
      <c r="Q23" s="39"/>
    </row>
    <row r="24" spans="1:17" ht="13.5" customHeight="1">
      <c r="A24" s="34" t="s">
        <v>166</v>
      </c>
      <c r="B24" s="34" t="s">
        <v>98</v>
      </c>
      <c r="C24" s="41"/>
      <c r="D24" s="47" t="str">
        <f t="shared" si="0"/>
        <v/>
      </c>
      <c r="E24" s="48" t="str">
        <f t="shared" si="1"/>
        <v/>
      </c>
      <c r="F24" s="65"/>
      <c r="G24" s="34" t="s">
        <v>315</v>
      </c>
      <c r="H24" s="34" t="s">
        <v>311</v>
      </c>
      <c r="I24" s="34" t="s">
        <v>304</v>
      </c>
      <c r="J24" s="37">
        <v>35493</v>
      </c>
      <c r="K24" s="66"/>
      <c r="L24" s="34"/>
      <c r="M24" s="65"/>
      <c r="N24" s="38">
        <v>3800</v>
      </c>
      <c r="O24" s="39"/>
      <c r="P24" s="39">
        <v>308</v>
      </c>
      <c r="Q24" s="39"/>
    </row>
    <row r="25" spans="1:17" ht="13.5" customHeight="1">
      <c r="A25" s="34" t="s">
        <v>176</v>
      </c>
      <c r="B25" s="34" t="s">
        <v>105</v>
      </c>
      <c r="C25" s="41"/>
      <c r="D25" s="47" t="str">
        <f t="shared" si="0"/>
        <v/>
      </c>
      <c r="E25" s="48" t="str">
        <f t="shared" si="1"/>
        <v/>
      </c>
      <c r="F25" s="65"/>
      <c r="G25" s="34" t="s">
        <v>315</v>
      </c>
      <c r="H25" s="34" t="s">
        <v>311</v>
      </c>
      <c r="I25" s="34" t="s">
        <v>304</v>
      </c>
      <c r="J25" s="37">
        <v>35523</v>
      </c>
      <c r="K25" s="66"/>
      <c r="L25" s="34"/>
      <c r="M25" s="65"/>
      <c r="N25" s="38">
        <v>4400</v>
      </c>
      <c r="O25" s="39"/>
      <c r="P25" s="39">
        <v>356</v>
      </c>
      <c r="Q25" s="39"/>
    </row>
    <row r="26" spans="1:17" ht="13.5" customHeight="1">
      <c r="A26" s="34" t="s">
        <v>171</v>
      </c>
      <c r="B26" s="34" t="s">
        <v>102</v>
      </c>
      <c r="C26" s="41"/>
      <c r="D26" s="47" t="str">
        <f t="shared" si="0"/>
        <v/>
      </c>
      <c r="E26" s="48" t="str">
        <f t="shared" si="1"/>
        <v/>
      </c>
      <c r="F26" s="65"/>
      <c r="G26" s="34" t="s">
        <v>351</v>
      </c>
      <c r="H26" s="34" t="s">
        <v>311</v>
      </c>
      <c r="I26" s="34" t="s">
        <v>301</v>
      </c>
      <c r="J26" s="37">
        <v>35582</v>
      </c>
      <c r="K26" s="66"/>
      <c r="L26" s="34"/>
      <c r="M26" s="65"/>
      <c r="N26" s="38">
        <v>5300</v>
      </c>
      <c r="O26" s="39"/>
      <c r="P26" s="39">
        <v>429</v>
      </c>
      <c r="Q26" s="39"/>
    </row>
    <row r="27" spans="1:17" ht="13.5" customHeight="1">
      <c r="A27" s="34" t="s">
        <v>187</v>
      </c>
      <c r="B27" s="34" t="s">
        <v>329</v>
      </c>
      <c r="C27" s="42"/>
      <c r="D27" s="47" t="str">
        <f t="shared" si="0"/>
        <v/>
      </c>
      <c r="E27" s="48" t="str">
        <f t="shared" si="1"/>
        <v/>
      </c>
      <c r="F27" s="65"/>
      <c r="G27" s="34" t="s">
        <v>299</v>
      </c>
      <c r="H27" s="34" t="s">
        <v>311</v>
      </c>
      <c r="I27" s="34" t="s">
        <v>309</v>
      </c>
      <c r="J27" s="37">
        <v>35976</v>
      </c>
      <c r="K27" s="66"/>
      <c r="L27" s="34"/>
      <c r="M27" s="65"/>
      <c r="N27" s="38">
        <v>6400</v>
      </c>
      <c r="O27" s="39"/>
      <c r="P27" s="39">
        <v>518</v>
      </c>
      <c r="Q27" s="39"/>
    </row>
    <row r="28" spans="1:17" ht="13.5" customHeight="1">
      <c r="A28" s="34" t="s">
        <v>178</v>
      </c>
      <c r="B28" s="34" t="s">
        <v>107</v>
      </c>
      <c r="C28" s="41"/>
      <c r="D28" s="47" t="str">
        <f t="shared" si="0"/>
        <v/>
      </c>
      <c r="E28" s="48" t="str">
        <f t="shared" si="1"/>
        <v/>
      </c>
      <c r="F28" s="65"/>
      <c r="G28" s="34" t="s">
        <v>299</v>
      </c>
      <c r="H28" s="34" t="s">
        <v>311</v>
      </c>
      <c r="I28" s="34" t="s">
        <v>302</v>
      </c>
      <c r="J28" s="37">
        <v>36767</v>
      </c>
      <c r="K28" s="66"/>
      <c r="L28" s="34"/>
      <c r="M28" s="65"/>
      <c r="N28" s="38">
        <v>6200</v>
      </c>
      <c r="O28" s="39"/>
      <c r="P28" s="39">
        <v>502</v>
      </c>
      <c r="Q28" s="39"/>
    </row>
    <row r="29" spans="1:17" ht="13.5" customHeight="1">
      <c r="A29" s="34" t="s">
        <v>163</v>
      </c>
      <c r="B29" s="34" t="s">
        <v>328</v>
      </c>
      <c r="C29" s="41"/>
      <c r="D29" s="47" t="str">
        <f t="shared" si="0"/>
        <v/>
      </c>
      <c r="E29" s="48" t="str">
        <f t="shared" si="1"/>
        <v/>
      </c>
      <c r="F29" s="65"/>
      <c r="G29" s="34" t="s">
        <v>310</v>
      </c>
      <c r="H29" s="34" t="s">
        <v>297</v>
      </c>
      <c r="I29" s="34" t="s">
        <v>307</v>
      </c>
      <c r="J29" s="37">
        <v>36796</v>
      </c>
      <c r="K29" s="67"/>
      <c r="L29" s="34"/>
      <c r="M29" s="65"/>
      <c r="N29" s="38">
        <v>20000</v>
      </c>
      <c r="O29" s="39"/>
      <c r="P29" s="39">
        <v>1620</v>
      </c>
      <c r="Q29" s="39"/>
    </row>
    <row r="30" spans="1:17" ht="13.5" customHeight="1">
      <c r="A30" s="34" t="s">
        <v>200</v>
      </c>
      <c r="B30" s="34" t="s">
        <v>121</v>
      </c>
      <c r="C30" s="41"/>
      <c r="D30" s="47" t="str">
        <f t="shared" si="0"/>
        <v/>
      </c>
      <c r="E30" s="48" t="str">
        <f t="shared" si="1"/>
        <v/>
      </c>
      <c r="F30" s="65"/>
      <c r="G30" s="34" t="s">
        <v>299</v>
      </c>
      <c r="H30" s="34" t="s">
        <v>311</v>
      </c>
      <c r="I30" s="34" t="s">
        <v>307</v>
      </c>
      <c r="J30" s="37">
        <v>36855</v>
      </c>
      <c r="K30" s="66"/>
      <c r="L30" s="34"/>
      <c r="M30" s="65"/>
      <c r="N30" s="38">
        <v>9500</v>
      </c>
      <c r="O30" s="39"/>
      <c r="P30" s="39">
        <v>770</v>
      </c>
      <c r="Q30" s="39"/>
    </row>
    <row r="31" spans="1:17" ht="13.5" customHeight="1">
      <c r="A31" s="34" t="s">
        <v>52</v>
      </c>
      <c r="B31" s="34" t="s">
        <v>59</v>
      </c>
      <c r="C31" s="35"/>
      <c r="D31" s="47" t="str">
        <f t="shared" si="0"/>
        <v/>
      </c>
      <c r="E31" s="48" t="str">
        <f t="shared" si="1"/>
        <v/>
      </c>
      <c r="F31" s="65"/>
      <c r="G31" s="34" t="s">
        <v>36</v>
      </c>
      <c r="H31" s="34" t="s">
        <v>53</v>
      </c>
      <c r="I31" s="36" t="s">
        <v>364</v>
      </c>
      <c r="J31" s="37">
        <v>36923</v>
      </c>
      <c r="K31" s="66"/>
      <c r="L31" s="34"/>
      <c r="M31" s="65"/>
      <c r="N31" s="38">
        <v>40000</v>
      </c>
      <c r="O31" s="39"/>
      <c r="P31" s="39">
        <v>3240</v>
      </c>
      <c r="Q31" s="39"/>
    </row>
    <row r="32" spans="1:17" ht="13.5" customHeight="1">
      <c r="A32" s="34" t="s">
        <v>7</v>
      </c>
      <c r="B32" s="34" t="s">
        <v>65</v>
      </c>
      <c r="C32" s="35"/>
      <c r="D32" s="47" t="str">
        <f t="shared" si="0"/>
        <v/>
      </c>
      <c r="E32" s="48" t="str">
        <f t="shared" si="1"/>
        <v/>
      </c>
      <c r="F32" s="65"/>
      <c r="G32" s="34" t="s">
        <v>36</v>
      </c>
      <c r="H32" s="34" t="s">
        <v>354</v>
      </c>
      <c r="I32" s="36" t="s">
        <v>365</v>
      </c>
      <c r="J32" s="37">
        <v>36951</v>
      </c>
      <c r="K32" s="67"/>
      <c r="L32" s="34"/>
      <c r="M32" s="65"/>
      <c r="N32" s="38">
        <v>10000</v>
      </c>
      <c r="O32" s="39"/>
      <c r="P32" s="39">
        <v>810</v>
      </c>
      <c r="Q32" s="39"/>
    </row>
    <row r="33" spans="1:17" ht="13.5" customHeight="1">
      <c r="A33" s="34" t="s">
        <v>5</v>
      </c>
      <c r="B33" s="34" t="s">
        <v>63</v>
      </c>
      <c r="C33" s="35"/>
      <c r="D33" s="47" t="str">
        <f t="shared" si="0"/>
        <v/>
      </c>
      <c r="E33" s="48" t="str">
        <f t="shared" si="1"/>
        <v/>
      </c>
      <c r="F33" s="65"/>
      <c r="G33" s="34" t="s">
        <v>39</v>
      </c>
      <c r="H33" s="34" t="s">
        <v>55</v>
      </c>
      <c r="I33" s="36" t="s">
        <v>366</v>
      </c>
      <c r="J33" s="37">
        <v>37043</v>
      </c>
      <c r="K33" s="66"/>
      <c r="L33" s="34"/>
      <c r="M33" s="65"/>
      <c r="N33" s="38">
        <v>5600</v>
      </c>
      <c r="O33" s="39"/>
      <c r="P33" s="39">
        <v>454</v>
      </c>
      <c r="Q33" s="39"/>
    </row>
    <row r="34" spans="1:17" ht="13.5" customHeight="1">
      <c r="A34" s="34" t="s">
        <v>17</v>
      </c>
      <c r="B34" s="34" t="s">
        <v>72</v>
      </c>
      <c r="C34" s="35"/>
      <c r="D34" s="47" t="str">
        <f t="shared" si="0"/>
        <v/>
      </c>
      <c r="E34" s="48" t="str">
        <f t="shared" si="1"/>
        <v/>
      </c>
      <c r="F34" s="65"/>
      <c r="G34" s="34" t="s">
        <v>38</v>
      </c>
      <c r="H34" s="34" t="s">
        <v>58</v>
      </c>
      <c r="I34" s="36" t="s">
        <v>364</v>
      </c>
      <c r="J34" s="37">
        <v>37043</v>
      </c>
      <c r="K34" s="66"/>
      <c r="L34" s="34"/>
      <c r="M34" s="65"/>
      <c r="N34" s="38">
        <v>18000</v>
      </c>
      <c r="O34" s="39"/>
      <c r="P34" s="39">
        <v>1458</v>
      </c>
      <c r="Q34" s="39"/>
    </row>
    <row r="35" spans="1:17" ht="13.5" customHeight="1">
      <c r="A35" s="34" t="s">
        <v>8</v>
      </c>
      <c r="B35" s="34" t="s">
        <v>66</v>
      </c>
      <c r="C35" s="35"/>
      <c r="D35" s="47" t="str">
        <f t="shared" ref="D35:D66" si="2">IFERROR(IF(ISODD(MID(C35,17,1)),"男","女"),"")</f>
        <v/>
      </c>
      <c r="E35" s="48" t="str">
        <f t="shared" ref="E35:E66" si="3">IFERROR(DATE(MID(C35,7,4),MID(C35,11,2),MID(C35,13,2)),"")</f>
        <v/>
      </c>
      <c r="F35" s="65"/>
      <c r="G35" s="34" t="s">
        <v>56</v>
      </c>
      <c r="H35" s="34" t="s">
        <v>57</v>
      </c>
      <c r="I35" s="36" t="s">
        <v>365</v>
      </c>
      <c r="J35" s="37">
        <v>37165</v>
      </c>
      <c r="K35" s="67"/>
      <c r="L35" s="34"/>
      <c r="M35" s="65"/>
      <c r="N35" s="38">
        <v>15000</v>
      </c>
      <c r="O35" s="39"/>
      <c r="P35" s="39">
        <v>1215</v>
      </c>
      <c r="Q35" s="39"/>
    </row>
    <row r="36" spans="1:17" ht="13.5" customHeight="1">
      <c r="A36" s="34" t="s">
        <v>184</v>
      </c>
      <c r="B36" s="34" t="s">
        <v>111</v>
      </c>
      <c r="C36" s="41"/>
      <c r="D36" s="47" t="str">
        <f t="shared" si="2"/>
        <v/>
      </c>
      <c r="E36" s="48" t="str">
        <f t="shared" si="3"/>
        <v/>
      </c>
      <c r="F36" s="65"/>
      <c r="G36" s="34" t="s">
        <v>299</v>
      </c>
      <c r="H36" s="34" t="s">
        <v>311</v>
      </c>
      <c r="I36" s="34" t="s">
        <v>308</v>
      </c>
      <c r="J36" s="37">
        <v>37191</v>
      </c>
      <c r="K36" s="66"/>
      <c r="L36" s="34"/>
      <c r="M36" s="65"/>
      <c r="N36" s="38">
        <v>6200</v>
      </c>
      <c r="O36" s="39"/>
      <c r="P36" s="39">
        <v>502</v>
      </c>
      <c r="Q36" s="39"/>
    </row>
    <row r="37" spans="1:17" ht="13.5" customHeight="1">
      <c r="A37" s="34" t="s">
        <v>205</v>
      </c>
      <c r="B37" s="34" t="s">
        <v>126</v>
      </c>
      <c r="C37" s="41"/>
      <c r="D37" s="47" t="str">
        <f t="shared" si="2"/>
        <v/>
      </c>
      <c r="E37" s="48" t="str">
        <f t="shared" si="3"/>
        <v/>
      </c>
      <c r="F37" s="65"/>
      <c r="G37" s="34" t="s">
        <v>299</v>
      </c>
      <c r="H37" s="34" t="s">
        <v>311</v>
      </c>
      <c r="I37" s="34" t="s">
        <v>305</v>
      </c>
      <c r="J37" s="37">
        <v>37250</v>
      </c>
      <c r="K37" s="66"/>
      <c r="L37" s="34"/>
      <c r="M37" s="65"/>
      <c r="N37" s="38">
        <v>8200</v>
      </c>
      <c r="O37" s="39"/>
      <c r="P37" s="39">
        <v>664</v>
      </c>
      <c r="Q37" s="39"/>
    </row>
    <row r="38" spans="1:17" ht="13.5" customHeight="1">
      <c r="A38" s="34" t="s">
        <v>3</v>
      </c>
      <c r="B38" s="34" t="s">
        <v>61</v>
      </c>
      <c r="C38" s="35"/>
      <c r="D38" s="47" t="str">
        <f t="shared" si="2"/>
        <v/>
      </c>
      <c r="E38" s="48" t="str">
        <f t="shared" si="3"/>
        <v/>
      </c>
      <c r="F38" s="65"/>
      <c r="G38" s="34" t="s">
        <v>36</v>
      </c>
      <c r="H38" s="34" t="s">
        <v>355</v>
      </c>
      <c r="I38" s="36" t="s">
        <v>365</v>
      </c>
      <c r="J38" s="37">
        <v>37803</v>
      </c>
      <c r="K38" s="67"/>
      <c r="L38" s="34"/>
      <c r="M38" s="65"/>
      <c r="N38" s="38">
        <v>12000</v>
      </c>
      <c r="O38" s="39"/>
      <c r="P38" s="39">
        <v>972</v>
      </c>
      <c r="Q38" s="39"/>
    </row>
    <row r="39" spans="1:17" ht="13.5" customHeight="1">
      <c r="A39" s="34" t="s">
        <v>4</v>
      </c>
      <c r="B39" s="34" t="s">
        <v>62</v>
      </c>
      <c r="C39" s="35"/>
      <c r="D39" s="47" t="str">
        <f t="shared" si="2"/>
        <v/>
      </c>
      <c r="E39" s="48" t="str">
        <f t="shared" si="3"/>
        <v/>
      </c>
      <c r="F39" s="65"/>
      <c r="G39" s="34" t="s">
        <v>38</v>
      </c>
      <c r="H39" s="34" t="s">
        <v>55</v>
      </c>
      <c r="I39" s="36" t="s">
        <v>366</v>
      </c>
      <c r="J39" s="37">
        <v>37804</v>
      </c>
      <c r="K39" s="66"/>
      <c r="L39" s="34"/>
      <c r="M39" s="65"/>
      <c r="N39" s="38">
        <v>5600</v>
      </c>
      <c r="O39" s="39"/>
      <c r="P39" s="39">
        <v>454</v>
      </c>
      <c r="Q39" s="39"/>
    </row>
    <row r="40" spans="1:17" ht="13.5" customHeight="1">
      <c r="A40" s="34" t="s">
        <v>13</v>
      </c>
      <c r="B40" s="34" t="s">
        <v>69</v>
      </c>
      <c r="C40" s="35"/>
      <c r="D40" s="47" t="str">
        <f t="shared" si="2"/>
        <v/>
      </c>
      <c r="E40" s="48" t="str">
        <f t="shared" si="3"/>
        <v/>
      </c>
      <c r="F40" s="65"/>
      <c r="G40" s="34" t="s">
        <v>38</v>
      </c>
      <c r="H40" s="34" t="s">
        <v>58</v>
      </c>
      <c r="I40" s="36" t="s">
        <v>365</v>
      </c>
      <c r="J40" s="37">
        <v>37834</v>
      </c>
      <c r="K40" s="66"/>
      <c r="L40" s="34"/>
      <c r="M40" s="65"/>
      <c r="N40" s="38">
        <v>12000</v>
      </c>
      <c r="O40" s="39"/>
      <c r="P40" s="39">
        <v>972</v>
      </c>
      <c r="Q40" s="39"/>
    </row>
    <row r="41" spans="1:17" ht="13.5" customHeight="1">
      <c r="A41" s="34" t="s">
        <v>157</v>
      </c>
      <c r="B41" s="34" t="s">
        <v>93</v>
      </c>
      <c r="C41" s="41"/>
      <c r="D41" s="47" t="str">
        <f t="shared" si="2"/>
        <v/>
      </c>
      <c r="E41" s="48" t="str">
        <f t="shared" si="3"/>
        <v/>
      </c>
      <c r="F41" s="65"/>
      <c r="G41" s="34" t="s">
        <v>299</v>
      </c>
      <c r="H41" s="34" t="s">
        <v>55</v>
      </c>
      <c r="I41" s="34" t="s">
        <v>305</v>
      </c>
      <c r="J41" s="37">
        <v>38010</v>
      </c>
      <c r="K41" s="66"/>
      <c r="L41" s="34"/>
      <c r="M41" s="65"/>
      <c r="N41" s="38">
        <v>8800</v>
      </c>
      <c r="O41" s="39"/>
      <c r="P41" s="39">
        <v>713</v>
      </c>
      <c r="Q41" s="39"/>
    </row>
    <row r="42" spans="1:17" ht="13.5" customHeight="1">
      <c r="A42" s="34" t="s">
        <v>160</v>
      </c>
      <c r="B42" s="34" t="s">
        <v>96</v>
      </c>
      <c r="C42" s="42"/>
      <c r="D42" s="47" t="str">
        <f t="shared" si="2"/>
        <v/>
      </c>
      <c r="E42" s="48" t="str">
        <f t="shared" si="3"/>
        <v/>
      </c>
      <c r="F42" s="65"/>
      <c r="G42" s="34" t="s">
        <v>357</v>
      </c>
      <c r="H42" s="34" t="s">
        <v>311</v>
      </c>
      <c r="I42" s="34" t="s">
        <v>306</v>
      </c>
      <c r="J42" s="37">
        <v>38038</v>
      </c>
      <c r="K42" s="66"/>
      <c r="L42" s="34"/>
      <c r="M42" s="65"/>
      <c r="N42" s="38">
        <v>3400</v>
      </c>
      <c r="O42" s="39"/>
      <c r="P42" s="39">
        <v>275</v>
      </c>
      <c r="Q42" s="39"/>
    </row>
    <row r="43" spans="1:17" ht="13.5" customHeight="1">
      <c r="A43" s="34" t="s">
        <v>199</v>
      </c>
      <c r="B43" s="34" t="s">
        <v>120</v>
      </c>
      <c r="C43" s="41"/>
      <c r="D43" s="47" t="str">
        <f t="shared" si="2"/>
        <v/>
      </c>
      <c r="E43" s="48" t="str">
        <f t="shared" si="3"/>
        <v/>
      </c>
      <c r="F43" s="65"/>
      <c r="G43" s="34" t="s">
        <v>299</v>
      </c>
      <c r="H43" s="34" t="s">
        <v>311</v>
      </c>
      <c r="I43" s="34" t="s">
        <v>304</v>
      </c>
      <c r="J43" s="37">
        <v>38462</v>
      </c>
      <c r="K43" s="66"/>
      <c r="L43" s="34"/>
      <c r="M43" s="65"/>
      <c r="N43" s="38">
        <v>4500</v>
      </c>
      <c r="O43" s="39"/>
      <c r="P43" s="39">
        <v>365</v>
      </c>
      <c r="Q43" s="39"/>
    </row>
    <row r="44" spans="1:17" ht="13.5" customHeight="1">
      <c r="A44" s="34" t="s">
        <v>6</v>
      </c>
      <c r="B44" s="34" t="s">
        <v>64</v>
      </c>
      <c r="C44" s="35"/>
      <c r="D44" s="47" t="str">
        <f t="shared" si="2"/>
        <v/>
      </c>
      <c r="E44" s="48" t="str">
        <f t="shared" si="3"/>
        <v/>
      </c>
      <c r="F44" s="65"/>
      <c r="G44" s="34" t="s">
        <v>38</v>
      </c>
      <c r="H44" s="34" t="s">
        <v>55</v>
      </c>
      <c r="I44" s="36" t="s">
        <v>366</v>
      </c>
      <c r="J44" s="37">
        <v>38596</v>
      </c>
      <c r="K44" s="66"/>
      <c r="L44" s="34"/>
      <c r="M44" s="65"/>
      <c r="N44" s="38">
        <v>6000</v>
      </c>
      <c r="O44" s="39"/>
      <c r="P44" s="39">
        <v>486</v>
      </c>
      <c r="Q44" s="39"/>
    </row>
    <row r="45" spans="1:17" ht="13.5" customHeight="1">
      <c r="A45" s="34" t="s">
        <v>180</v>
      </c>
      <c r="B45" s="34" t="s">
        <v>334</v>
      </c>
      <c r="C45" s="41"/>
      <c r="D45" s="47" t="str">
        <f t="shared" si="2"/>
        <v/>
      </c>
      <c r="E45" s="48" t="str">
        <f t="shared" si="3"/>
        <v/>
      </c>
      <c r="F45" s="65"/>
      <c r="G45" s="34" t="s">
        <v>299</v>
      </c>
      <c r="H45" s="34" t="s">
        <v>311</v>
      </c>
      <c r="I45" s="34" t="s">
        <v>304</v>
      </c>
      <c r="J45" s="37">
        <v>38803</v>
      </c>
      <c r="K45" s="66">
        <v>41554</v>
      </c>
      <c r="L45" s="34" t="s">
        <v>234</v>
      </c>
      <c r="M45" s="65"/>
      <c r="N45" s="38">
        <v>4100</v>
      </c>
      <c r="O45" s="39"/>
      <c r="P45" s="39"/>
      <c r="Q45" s="39"/>
    </row>
    <row r="46" spans="1:17" ht="13.5" customHeight="1">
      <c r="A46" s="34" t="s">
        <v>212</v>
      </c>
      <c r="B46" s="34" t="s">
        <v>129</v>
      </c>
      <c r="C46" s="41"/>
      <c r="D46" s="47" t="str">
        <f t="shared" si="2"/>
        <v/>
      </c>
      <c r="E46" s="48" t="str">
        <f t="shared" si="3"/>
        <v/>
      </c>
      <c r="F46" s="65"/>
      <c r="G46" s="34" t="s">
        <v>299</v>
      </c>
      <c r="H46" s="34" t="s">
        <v>318</v>
      </c>
      <c r="I46" s="34" t="s">
        <v>305</v>
      </c>
      <c r="J46" s="37">
        <v>38833</v>
      </c>
      <c r="K46" s="66">
        <v>40121</v>
      </c>
      <c r="L46" s="34" t="s">
        <v>234</v>
      </c>
      <c r="M46" s="65"/>
      <c r="N46" s="38">
        <v>8500</v>
      </c>
      <c r="O46" s="39"/>
      <c r="P46" s="39"/>
      <c r="Q46" s="39"/>
    </row>
    <row r="47" spans="1:17" ht="13.5" customHeight="1">
      <c r="A47" s="34" t="s">
        <v>10</v>
      </c>
      <c r="B47" s="34" t="s">
        <v>67</v>
      </c>
      <c r="C47" s="35"/>
      <c r="D47" s="47" t="str">
        <f t="shared" si="2"/>
        <v/>
      </c>
      <c r="E47" s="48" t="str">
        <f t="shared" si="3"/>
        <v/>
      </c>
      <c r="F47" s="65"/>
      <c r="G47" s="34" t="s">
        <v>38</v>
      </c>
      <c r="H47" s="34" t="s">
        <v>55</v>
      </c>
      <c r="I47" s="36" t="s">
        <v>366</v>
      </c>
      <c r="J47" s="37">
        <v>38838</v>
      </c>
      <c r="K47" s="66"/>
      <c r="L47" s="34"/>
      <c r="M47" s="65"/>
      <c r="N47" s="38">
        <v>6000</v>
      </c>
      <c r="O47" s="39"/>
      <c r="P47" s="39">
        <v>486</v>
      </c>
      <c r="Q47" s="39"/>
    </row>
    <row r="48" spans="1:17" ht="13.5" customHeight="1">
      <c r="A48" s="34" t="s">
        <v>168</v>
      </c>
      <c r="B48" s="34" t="s">
        <v>100</v>
      </c>
      <c r="C48" s="41"/>
      <c r="D48" s="47" t="str">
        <f t="shared" si="2"/>
        <v/>
      </c>
      <c r="E48" s="48" t="str">
        <f t="shared" si="3"/>
        <v/>
      </c>
      <c r="F48" s="65"/>
      <c r="G48" s="34" t="s">
        <v>351</v>
      </c>
      <c r="H48" s="34" t="s">
        <v>311</v>
      </c>
      <c r="I48" s="34" t="s">
        <v>301</v>
      </c>
      <c r="J48" s="37">
        <v>38886</v>
      </c>
      <c r="K48" s="66"/>
      <c r="L48" s="34"/>
      <c r="M48" s="65"/>
      <c r="N48" s="38">
        <v>5800</v>
      </c>
      <c r="O48" s="39"/>
      <c r="P48" s="39">
        <v>470</v>
      </c>
      <c r="Q48" s="39"/>
    </row>
    <row r="49" spans="1:17" ht="13.5" customHeight="1">
      <c r="A49" s="34" t="s">
        <v>213</v>
      </c>
      <c r="B49" s="34" t="s">
        <v>130</v>
      </c>
      <c r="C49" s="41"/>
      <c r="D49" s="47" t="str">
        <f t="shared" si="2"/>
        <v/>
      </c>
      <c r="E49" s="48" t="str">
        <f t="shared" si="3"/>
        <v/>
      </c>
      <c r="F49" s="65"/>
      <c r="G49" s="34" t="s">
        <v>313</v>
      </c>
      <c r="H49" s="34" t="s">
        <v>311</v>
      </c>
      <c r="I49" s="34" t="s">
        <v>304</v>
      </c>
      <c r="J49" s="37">
        <v>38892</v>
      </c>
      <c r="K49" s="67"/>
      <c r="L49" s="34"/>
      <c r="M49" s="65"/>
      <c r="N49" s="38">
        <v>4000</v>
      </c>
      <c r="O49" s="39"/>
      <c r="P49" s="39">
        <v>324</v>
      </c>
      <c r="Q49" s="39"/>
    </row>
    <row r="50" spans="1:17" ht="13.5" customHeight="1">
      <c r="A50" s="34" t="s">
        <v>215</v>
      </c>
      <c r="B50" s="34" t="s">
        <v>132</v>
      </c>
      <c r="C50" s="41"/>
      <c r="D50" s="47" t="str">
        <f t="shared" si="2"/>
        <v/>
      </c>
      <c r="E50" s="48" t="str">
        <f t="shared" si="3"/>
        <v/>
      </c>
      <c r="F50" s="65"/>
      <c r="G50" s="34" t="s">
        <v>299</v>
      </c>
      <c r="H50" s="34" t="s">
        <v>311</v>
      </c>
      <c r="I50" s="34" t="s">
        <v>308</v>
      </c>
      <c r="J50" s="37">
        <v>38975</v>
      </c>
      <c r="K50" s="66"/>
      <c r="L50" s="34"/>
      <c r="M50" s="65"/>
      <c r="N50" s="38">
        <v>6100</v>
      </c>
      <c r="O50" s="39"/>
      <c r="P50" s="39">
        <v>494</v>
      </c>
      <c r="Q50" s="39"/>
    </row>
    <row r="51" spans="1:17" ht="13.5" customHeight="1">
      <c r="A51" s="34" t="s">
        <v>158</v>
      </c>
      <c r="B51" s="34" t="s">
        <v>94</v>
      </c>
      <c r="C51" s="41"/>
      <c r="D51" s="47" t="str">
        <f t="shared" si="2"/>
        <v/>
      </c>
      <c r="E51" s="48" t="str">
        <f t="shared" si="3"/>
        <v/>
      </c>
      <c r="F51" s="65"/>
      <c r="G51" s="34" t="s">
        <v>313</v>
      </c>
      <c r="H51" s="34" t="s">
        <v>55</v>
      </c>
      <c r="I51" s="34" t="s">
        <v>304</v>
      </c>
      <c r="J51" s="37">
        <v>39005</v>
      </c>
      <c r="K51" s="67"/>
      <c r="L51" s="34"/>
      <c r="M51" s="65"/>
      <c r="N51" s="38">
        <v>3800</v>
      </c>
      <c r="O51" s="39"/>
      <c r="P51" s="39">
        <v>308</v>
      </c>
      <c r="Q51" s="39"/>
    </row>
    <row r="52" spans="1:17" ht="13.5" customHeight="1">
      <c r="A52" s="34" t="s">
        <v>15</v>
      </c>
      <c r="B52" s="34" t="s">
        <v>71</v>
      </c>
      <c r="C52" s="35"/>
      <c r="D52" s="47" t="str">
        <f t="shared" si="2"/>
        <v/>
      </c>
      <c r="E52" s="48" t="str">
        <f t="shared" si="3"/>
        <v/>
      </c>
      <c r="F52" s="65"/>
      <c r="G52" s="34" t="s">
        <v>36</v>
      </c>
      <c r="H52" s="34" t="s">
        <v>352</v>
      </c>
      <c r="I52" s="36" t="s">
        <v>365</v>
      </c>
      <c r="J52" s="37">
        <v>39052</v>
      </c>
      <c r="K52" s="67"/>
      <c r="L52" s="34"/>
      <c r="M52" s="65"/>
      <c r="N52" s="38">
        <v>9500</v>
      </c>
      <c r="O52" s="39"/>
      <c r="P52" s="39">
        <v>770</v>
      </c>
      <c r="Q52" s="39"/>
    </row>
    <row r="53" spans="1:17" ht="13.5" customHeight="1">
      <c r="A53" s="34" t="s">
        <v>159</v>
      </c>
      <c r="B53" s="34" t="s">
        <v>95</v>
      </c>
      <c r="C53" s="42"/>
      <c r="D53" s="47" t="str">
        <f t="shared" si="2"/>
        <v/>
      </c>
      <c r="E53" s="48" t="str">
        <f t="shared" si="3"/>
        <v/>
      </c>
      <c r="F53" s="65"/>
      <c r="G53" s="34" t="s">
        <v>310</v>
      </c>
      <c r="H53" s="34" t="s">
        <v>303</v>
      </c>
      <c r="I53" s="34" t="s">
        <v>361</v>
      </c>
      <c r="J53" s="37">
        <v>39064</v>
      </c>
      <c r="K53" s="67"/>
      <c r="L53" s="34"/>
      <c r="M53" s="65"/>
      <c r="N53" s="38">
        <v>8000</v>
      </c>
      <c r="O53" s="39"/>
      <c r="P53" s="39">
        <v>648</v>
      </c>
      <c r="Q53" s="39"/>
    </row>
    <row r="54" spans="1:17" ht="13.5" customHeight="1">
      <c r="A54" s="34" t="s">
        <v>19</v>
      </c>
      <c r="B54" s="34" t="s">
        <v>74</v>
      </c>
      <c r="C54" s="35"/>
      <c r="D54" s="47" t="str">
        <f t="shared" si="2"/>
        <v/>
      </c>
      <c r="E54" s="48" t="str">
        <f t="shared" si="3"/>
        <v/>
      </c>
      <c r="F54" s="65"/>
      <c r="G54" s="34" t="s">
        <v>37</v>
      </c>
      <c r="H54" s="34" t="s">
        <v>55</v>
      </c>
      <c r="I54" s="36" t="s">
        <v>366</v>
      </c>
      <c r="J54" s="37">
        <v>39083</v>
      </c>
      <c r="K54" s="66"/>
      <c r="L54" s="34"/>
      <c r="M54" s="65"/>
      <c r="N54" s="38">
        <v>4500</v>
      </c>
      <c r="O54" s="39"/>
      <c r="P54" s="39">
        <v>365</v>
      </c>
      <c r="Q54" s="39"/>
    </row>
    <row r="55" spans="1:17" ht="13.5" customHeight="1">
      <c r="A55" s="34" t="s">
        <v>214</v>
      </c>
      <c r="B55" s="34" t="s">
        <v>131</v>
      </c>
      <c r="C55" s="41"/>
      <c r="D55" s="47" t="str">
        <f t="shared" si="2"/>
        <v/>
      </c>
      <c r="E55" s="48" t="str">
        <f t="shared" si="3"/>
        <v/>
      </c>
      <c r="F55" s="65"/>
      <c r="G55" s="34" t="s">
        <v>356</v>
      </c>
      <c r="H55" s="34" t="s">
        <v>348</v>
      </c>
      <c r="I55" s="34" t="s">
        <v>305</v>
      </c>
      <c r="J55" s="37">
        <v>39215</v>
      </c>
      <c r="K55" s="66"/>
      <c r="L55" s="34"/>
      <c r="M55" s="65"/>
      <c r="N55" s="38">
        <v>8300</v>
      </c>
      <c r="O55" s="39"/>
      <c r="P55" s="39">
        <v>672</v>
      </c>
      <c r="Q55" s="39"/>
    </row>
    <row r="56" spans="1:17" ht="13.5" customHeight="1">
      <c r="A56" s="34" t="s">
        <v>162</v>
      </c>
      <c r="B56" s="34" t="s">
        <v>335</v>
      </c>
      <c r="C56" s="41"/>
      <c r="D56" s="47" t="str">
        <f t="shared" si="2"/>
        <v/>
      </c>
      <c r="E56" s="48" t="str">
        <f t="shared" si="3"/>
        <v/>
      </c>
      <c r="F56" s="65"/>
      <c r="G56" s="34" t="s">
        <v>310</v>
      </c>
      <c r="H56" s="34" t="s">
        <v>296</v>
      </c>
      <c r="I56" s="34" t="s">
        <v>307</v>
      </c>
      <c r="J56" s="37">
        <v>39227</v>
      </c>
      <c r="K56" s="67"/>
      <c r="L56" s="34"/>
      <c r="M56" s="65"/>
      <c r="N56" s="38">
        <v>20000</v>
      </c>
      <c r="O56" s="39"/>
      <c r="P56" s="39">
        <v>1620</v>
      </c>
      <c r="Q56" s="39"/>
    </row>
    <row r="57" spans="1:17" ht="13.5" customHeight="1">
      <c r="A57" s="34" t="s">
        <v>150</v>
      </c>
      <c r="B57" s="34" t="s">
        <v>88</v>
      </c>
      <c r="C57" s="41"/>
      <c r="D57" s="47" t="str">
        <f t="shared" si="2"/>
        <v/>
      </c>
      <c r="E57" s="48" t="str">
        <f t="shared" si="3"/>
        <v/>
      </c>
      <c r="F57" s="65"/>
      <c r="G57" s="34" t="s">
        <v>298</v>
      </c>
      <c r="H57" s="34" t="s">
        <v>55</v>
      </c>
      <c r="I57" s="34" t="s">
        <v>304</v>
      </c>
      <c r="J57" s="37">
        <v>39493</v>
      </c>
      <c r="K57" s="66"/>
      <c r="L57" s="34"/>
      <c r="M57" s="65"/>
      <c r="N57" s="38">
        <v>3900</v>
      </c>
      <c r="O57" s="39"/>
      <c r="P57" s="39">
        <v>316</v>
      </c>
      <c r="Q57" s="39"/>
    </row>
    <row r="58" spans="1:17" ht="13.5" customHeight="1">
      <c r="A58" s="34" t="s">
        <v>203</v>
      </c>
      <c r="B58" s="34" t="s">
        <v>124</v>
      </c>
      <c r="C58" s="41"/>
      <c r="D58" s="47" t="str">
        <f t="shared" si="2"/>
        <v/>
      </c>
      <c r="E58" s="48" t="str">
        <f t="shared" si="3"/>
        <v/>
      </c>
      <c r="F58" s="65"/>
      <c r="G58" s="34" t="s">
        <v>299</v>
      </c>
      <c r="H58" s="34" t="s">
        <v>311</v>
      </c>
      <c r="I58" s="34" t="s">
        <v>304</v>
      </c>
      <c r="J58" s="37">
        <v>39522</v>
      </c>
      <c r="K58" s="66"/>
      <c r="L58" s="34"/>
      <c r="M58" s="65"/>
      <c r="N58" s="38">
        <v>4400</v>
      </c>
      <c r="O58" s="39"/>
      <c r="P58" s="39">
        <v>356</v>
      </c>
      <c r="Q58" s="39"/>
    </row>
    <row r="59" spans="1:17" ht="13.5" customHeight="1">
      <c r="A59" s="34" t="s">
        <v>169</v>
      </c>
      <c r="B59" s="34" t="s">
        <v>101</v>
      </c>
      <c r="C59" s="41"/>
      <c r="D59" s="47" t="str">
        <f t="shared" si="2"/>
        <v/>
      </c>
      <c r="E59" s="48" t="str">
        <f t="shared" si="3"/>
        <v/>
      </c>
      <c r="F59" s="65"/>
      <c r="G59" s="34" t="s">
        <v>351</v>
      </c>
      <c r="H59" s="34" t="s">
        <v>311</v>
      </c>
      <c r="I59" s="34" t="s">
        <v>305</v>
      </c>
      <c r="J59" s="37">
        <v>39552</v>
      </c>
      <c r="K59" s="66"/>
      <c r="L59" s="34"/>
      <c r="M59" s="65"/>
      <c r="N59" s="38">
        <v>8100</v>
      </c>
      <c r="O59" s="39"/>
      <c r="P59" s="39">
        <v>656</v>
      </c>
      <c r="Q59" s="39"/>
    </row>
    <row r="60" spans="1:17" ht="13.5" customHeight="1">
      <c r="A60" s="34" t="s">
        <v>154</v>
      </c>
      <c r="B60" s="34" t="s">
        <v>91</v>
      </c>
      <c r="C60" s="41"/>
      <c r="D60" s="47" t="str">
        <f t="shared" si="2"/>
        <v/>
      </c>
      <c r="E60" s="48" t="str">
        <f t="shared" si="3"/>
        <v/>
      </c>
      <c r="F60" s="65"/>
      <c r="G60" s="34" t="s">
        <v>315</v>
      </c>
      <c r="H60" s="34" t="s">
        <v>55</v>
      </c>
      <c r="I60" s="34" t="s">
        <v>307</v>
      </c>
      <c r="J60" s="37">
        <v>39700</v>
      </c>
      <c r="K60" s="66"/>
      <c r="L60" s="34"/>
      <c r="M60" s="65"/>
      <c r="N60" s="38">
        <v>12000</v>
      </c>
      <c r="O60" s="39"/>
      <c r="P60" s="39">
        <v>972</v>
      </c>
      <c r="Q60" s="39"/>
    </row>
    <row r="61" spans="1:17" ht="13.5" customHeight="1">
      <c r="A61" s="34" t="s">
        <v>153</v>
      </c>
      <c r="B61" s="34" t="s">
        <v>338</v>
      </c>
      <c r="C61" s="41"/>
      <c r="D61" s="47" t="str">
        <f t="shared" si="2"/>
        <v/>
      </c>
      <c r="E61" s="48" t="str">
        <f t="shared" si="3"/>
        <v/>
      </c>
      <c r="F61" s="65"/>
      <c r="G61" s="34" t="s">
        <v>312</v>
      </c>
      <c r="H61" s="34" t="s">
        <v>353</v>
      </c>
      <c r="I61" s="34" t="s">
        <v>305</v>
      </c>
      <c r="J61" s="37">
        <v>39729</v>
      </c>
      <c r="K61" s="67"/>
      <c r="L61" s="34"/>
      <c r="M61" s="65"/>
      <c r="N61" s="38">
        <v>7000</v>
      </c>
      <c r="O61" s="39"/>
      <c r="P61" s="39">
        <v>567</v>
      </c>
      <c r="Q61" s="39"/>
    </row>
    <row r="62" spans="1:17" ht="13.5" customHeight="1">
      <c r="A62" s="34" t="s">
        <v>167</v>
      </c>
      <c r="B62" s="34" t="s">
        <v>99</v>
      </c>
      <c r="C62" s="41"/>
      <c r="D62" s="47" t="str">
        <f t="shared" si="2"/>
        <v/>
      </c>
      <c r="E62" s="48" t="str">
        <f t="shared" si="3"/>
        <v/>
      </c>
      <c r="F62" s="65"/>
      <c r="G62" s="34" t="s">
        <v>315</v>
      </c>
      <c r="H62" s="34" t="s">
        <v>311</v>
      </c>
      <c r="I62" s="34" t="s">
        <v>360</v>
      </c>
      <c r="J62" s="37">
        <v>39741</v>
      </c>
      <c r="K62" s="66"/>
      <c r="L62" s="34"/>
      <c r="M62" s="65"/>
      <c r="N62" s="38">
        <v>8000</v>
      </c>
      <c r="O62" s="39"/>
      <c r="P62" s="39">
        <v>648</v>
      </c>
      <c r="Q62" s="39"/>
    </row>
    <row r="63" spans="1:17" ht="13.5" customHeight="1">
      <c r="A63" s="34" t="s">
        <v>182</v>
      </c>
      <c r="B63" s="34" t="s">
        <v>109</v>
      </c>
      <c r="C63" s="41"/>
      <c r="D63" s="47" t="str">
        <f t="shared" si="2"/>
        <v/>
      </c>
      <c r="E63" s="48" t="str">
        <f t="shared" si="3"/>
        <v/>
      </c>
      <c r="F63" s="65"/>
      <c r="G63" s="34" t="s">
        <v>351</v>
      </c>
      <c r="H63" s="34" t="s">
        <v>311</v>
      </c>
      <c r="I63" s="34" t="s">
        <v>305</v>
      </c>
      <c r="J63" s="37">
        <v>39759</v>
      </c>
      <c r="K63" s="66">
        <v>42368</v>
      </c>
      <c r="L63" s="34" t="s">
        <v>234</v>
      </c>
      <c r="M63" s="65"/>
      <c r="N63" s="38">
        <v>8300</v>
      </c>
      <c r="O63" s="39"/>
      <c r="P63" s="39"/>
      <c r="Q63" s="39"/>
    </row>
    <row r="64" spans="1:17" ht="13.5" customHeight="1">
      <c r="A64" s="34" t="s">
        <v>172</v>
      </c>
      <c r="B64" s="34" t="s">
        <v>103</v>
      </c>
      <c r="C64" s="41"/>
      <c r="D64" s="47" t="str">
        <f t="shared" si="2"/>
        <v/>
      </c>
      <c r="E64" s="48" t="str">
        <f t="shared" si="3"/>
        <v/>
      </c>
      <c r="F64" s="65"/>
      <c r="G64" s="34" t="s">
        <v>351</v>
      </c>
      <c r="H64" s="34" t="s">
        <v>311</v>
      </c>
      <c r="I64" s="34" t="s">
        <v>305</v>
      </c>
      <c r="J64" s="37">
        <v>39771</v>
      </c>
      <c r="K64" s="66"/>
      <c r="L64" s="34"/>
      <c r="M64" s="65"/>
      <c r="N64" s="38">
        <v>8700</v>
      </c>
      <c r="O64" s="39"/>
      <c r="P64" s="39">
        <v>705</v>
      </c>
      <c r="Q64" s="39"/>
    </row>
    <row r="65" spans="1:17" ht="13.5" customHeight="1">
      <c r="A65" s="34" t="s">
        <v>18</v>
      </c>
      <c r="B65" s="34" t="s">
        <v>1</v>
      </c>
      <c r="C65" s="35"/>
      <c r="D65" s="47" t="str">
        <f t="shared" si="2"/>
        <v/>
      </c>
      <c r="E65" s="48" t="str">
        <f t="shared" si="3"/>
        <v/>
      </c>
      <c r="F65" s="65"/>
      <c r="G65" s="34" t="s">
        <v>357</v>
      </c>
      <c r="H65" s="34" t="s">
        <v>55</v>
      </c>
      <c r="I65" s="36" t="s">
        <v>367</v>
      </c>
      <c r="J65" s="37">
        <v>39810</v>
      </c>
      <c r="K65" s="66"/>
      <c r="L65" s="34"/>
      <c r="M65" s="65"/>
      <c r="N65" s="38">
        <v>3500</v>
      </c>
      <c r="O65" s="39"/>
      <c r="P65" s="39">
        <v>284</v>
      </c>
      <c r="Q65" s="39"/>
    </row>
    <row r="66" spans="1:17" ht="13.5" customHeight="1">
      <c r="A66" s="34" t="s">
        <v>164</v>
      </c>
      <c r="B66" s="34" t="s">
        <v>97</v>
      </c>
      <c r="C66" s="42"/>
      <c r="D66" s="47" t="str">
        <f t="shared" si="2"/>
        <v/>
      </c>
      <c r="E66" s="48" t="str">
        <f t="shared" si="3"/>
        <v/>
      </c>
      <c r="F66" s="65"/>
      <c r="G66" s="34" t="s">
        <v>357</v>
      </c>
      <c r="H66" s="34" t="s">
        <v>311</v>
      </c>
      <c r="I66" s="34" t="s">
        <v>362</v>
      </c>
      <c r="J66" s="37">
        <v>39816</v>
      </c>
      <c r="K66" s="66"/>
      <c r="L66" s="34"/>
      <c r="M66" s="65"/>
      <c r="N66" s="38">
        <v>3300</v>
      </c>
      <c r="O66" s="39"/>
      <c r="P66" s="39">
        <v>267</v>
      </c>
      <c r="Q66" s="39"/>
    </row>
    <row r="67" spans="1:17" ht="13.5" customHeight="1">
      <c r="A67" s="34" t="s">
        <v>14</v>
      </c>
      <c r="B67" s="34" t="s">
        <v>70</v>
      </c>
      <c r="C67" s="35"/>
      <c r="D67" s="47" t="str">
        <f t="shared" ref="D67:D98" si="4">IFERROR(IF(ISODD(MID(C67,17,1)),"男","女"),"")</f>
        <v/>
      </c>
      <c r="E67" s="48" t="str">
        <f t="shared" ref="E67:E98" si="5">IFERROR(DATE(MID(C67,7,4),MID(C67,11,2),MID(C67,13,2)),"")</f>
        <v/>
      </c>
      <c r="F67" s="65"/>
      <c r="G67" s="34" t="s">
        <v>37</v>
      </c>
      <c r="H67" s="34" t="s">
        <v>55</v>
      </c>
      <c r="I67" s="36" t="s">
        <v>366</v>
      </c>
      <c r="J67" s="37">
        <v>39934</v>
      </c>
      <c r="K67" s="66"/>
      <c r="L67" s="34"/>
      <c r="M67" s="65"/>
      <c r="N67" s="38">
        <v>4700</v>
      </c>
      <c r="O67" s="39"/>
      <c r="P67" s="39">
        <v>381</v>
      </c>
      <c r="Q67" s="39"/>
    </row>
    <row r="68" spans="1:17" ht="13.5" customHeight="1">
      <c r="A68" s="34" t="s">
        <v>170</v>
      </c>
      <c r="B68" s="34" t="s">
        <v>331</v>
      </c>
      <c r="C68" s="41"/>
      <c r="D68" s="47" t="str">
        <f t="shared" si="4"/>
        <v/>
      </c>
      <c r="E68" s="48" t="str">
        <f t="shared" si="5"/>
        <v/>
      </c>
      <c r="F68" s="65"/>
      <c r="G68" s="34" t="s">
        <v>351</v>
      </c>
      <c r="H68" s="34" t="s">
        <v>311</v>
      </c>
      <c r="I68" s="34" t="s">
        <v>304</v>
      </c>
      <c r="J68" s="37">
        <v>39941</v>
      </c>
      <c r="K68" s="66"/>
      <c r="L68" s="34"/>
      <c r="M68" s="65"/>
      <c r="N68" s="38">
        <v>3800</v>
      </c>
      <c r="O68" s="39"/>
      <c r="P68" s="39">
        <v>308</v>
      </c>
      <c r="Q68" s="39"/>
    </row>
    <row r="69" spans="1:17" ht="13.5" customHeight="1">
      <c r="A69" s="34" t="s">
        <v>16</v>
      </c>
      <c r="B69" s="34" t="s">
        <v>0</v>
      </c>
      <c r="C69" s="35"/>
      <c r="D69" s="47" t="str">
        <f t="shared" si="4"/>
        <v/>
      </c>
      <c r="E69" s="48" t="str">
        <f t="shared" si="5"/>
        <v/>
      </c>
      <c r="F69" s="65"/>
      <c r="G69" s="34" t="s">
        <v>38</v>
      </c>
      <c r="H69" s="34" t="s">
        <v>55</v>
      </c>
      <c r="I69" s="36" t="s">
        <v>366</v>
      </c>
      <c r="J69" s="37">
        <v>40210</v>
      </c>
      <c r="K69" s="66"/>
      <c r="L69" s="34"/>
      <c r="M69" s="65"/>
      <c r="N69" s="38">
        <v>6000</v>
      </c>
      <c r="O69" s="39"/>
      <c r="P69" s="39">
        <v>486</v>
      </c>
      <c r="Q69" s="39"/>
    </row>
    <row r="70" spans="1:17" ht="13.5" customHeight="1">
      <c r="A70" s="34" t="s">
        <v>155</v>
      </c>
      <c r="B70" s="34" t="s">
        <v>92</v>
      </c>
      <c r="C70" s="41"/>
      <c r="D70" s="47" t="str">
        <f t="shared" si="4"/>
        <v/>
      </c>
      <c r="E70" s="48" t="str">
        <f t="shared" si="5"/>
        <v/>
      </c>
      <c r="F70" s="65"/>
      <c r="G70" s="34" t="s">
        <v>315</v>
      </c>
      <c r="H70" s="34" t="s">
        <v>55</v>
      </c>
      <c r="I70" s="34" t="s">
        <v>301</v>
      </c>
      <c r="J70" s="37">
        <v>40211</v>
      </c>
      <c r="K70" s="66"/>
      <c r="L70" s="34"/>
      <c r="M70" s="65"/>
      <c r="N70" s="38">
        <v>4700</v>
      </c>
      <c r="O70" s="39"/>
      <c r="P70" s="39">
        <v>381</v>
      </c>
      <c r="Q70" s="39"/>
    </row>
    <row r="71" spans="1:17" ht="13.5" customHeight="1">
      <c r="A71" s="34" t="s">
        <v>20</v>
      </c>
      <c r="B71" s="34" t="s">
        <v>340</v>
      </c>
      <c r="C71" s="35"/>
      <c r="D71" s="47" t="str">
        <f t="shared" si="4"/>
        <v/>
      </c>
      <c r="E71" s="48" t="str">
        <f t="shared" si="5"/>
        <v/>
      </c>
      <c r="F71" s="65"/>
      <c r="G71" s="34" t="s">
        <v>38</v>
      </c>
      <c r="H71" s="34" t="s">
        <v>55</v>
      </c>
      <c r="I71" s="36" t="s">
        <v>365</v>
      </c>
      <c r="J71" s="37">
        <v>40238</v>
      </c>
      <c r="K71" s="66"/>
      <c r="L71" s="34"/>
      <c r="M71" s="65"/>
      <c r="N71" s="38">
        <v>8500</v>
      </c>
      <c r="O71" s="39"/>
      <c r="P71" s="39">
        <v>689</v>
      </c>
      <c r="Q71" s="39"/>
    </row>
    <row r="72" spans="1:17" ht="13.5" customHeight="1">
      <c r="A72" s="34" t="s">
        <v>21</v>
      </c>
      <c r="B72" s="34" t="s">
        <v>332</v>
      </c>
      <c r="C72" s="35"/>
      <c r="D72" s="47" t="str">
        <f t="shared" si="4"/>
        <v/>
      </c>
      <c r="E72" s="48" t="str">
        <f t="shared" si="5"/>
        <v/>
      </c>
      <c r="F72" s="65"/>
      <c r="G72" s="34" t="s">
        <v>38</v>
      </c>
      <c r="H72" s="34" t="s">
        <v>55</v>
      </c>
      <c r="I72" s="36" t="s">
        <v>366</v>
      </c>
      <c r="J72" s="37">
        <v>40239</v>
      </c>
      <c r="K72" s="66"/>
      <c r="L72" s="34"/>
      <c r="M72" s="65"/>
      <c r="N72" s="38">
        <v>6500</v>
      </c>
      <c r="O72" s="39"/>
      <c r="P72" s="39">
        <v>527</v>
      </c>
      <c r="Q72" s="39"/>
    </row>
    <row r="73" spans="1:17" ht="13.5" customHeight="1">
      <c r="A73" s="34" t="s">
        <v>22</v>
      </c>
      <c r="B73" s="34" t="s">
        <v>75</v>
      </c>
      <c r="C73" s="35"/>
      <c r="D73" s="47" t="str">
        <f t="shared" si="4"/>
        <v/>
      </c>
      <c r="E73" s="48" t="str">
        <f t="shared" si="5"/>
        <v/>
      </c>
      <c r="F73" s="65"/>
      <c r="G73" s="34" t="s">
        <v>37</v>
      </c>
      <c r="H73" s="34" t="s">
        <v>55</v>
      </c>
      <c r="I73" s="36" t="s">
        <v>368</v>
      </c>
      <c r="J73" s="37">
        <v>40240</v>
      </c>
      <c r="K73" s="66"/>
      <c r="L73" s="34"/>
      <c r="M73" s="65"/>
      <c r="N73" s="38">
        <v>2500</v>
      </c>
      <c r="O73" s="39"/>
      <c r="P73" s="39">
        <v>203</v>
      </c>
      <c r="Q73" s="39"/>
    </row>
    <row r="74" spans="1:17" ht="13.5" customHeight="1">
      <c r="A74" s="34" t="s">
        <v>23</v>
      </c>
      <c r="B74" s="34" t="s">
        <v>76</v>
      </c>
      <c r="C74" s="35"/>
      <c r="D74" s="47" t="str">
        <f t="shared" si="4"/>
        <v/>
      </c>
      <c r="E74" s="48" t="str">
        <f t="shared" si="5"/>
        <v/>
      </c>
      <c r="F74" s="65"/>
      <c r="G74" s="34" t="s">
        <v>38</v>
      </c>
      <c r="H74" s="34" t="s">
        <v>55</v>
      </c>
      <c r="I74" s="36" t="s">
        <v>366</v>
      </c>
      <c r="J74" s="37">
        <v>40241</v>
      </c>
      <c r="K74" s="66"/>
      <c r="L74" s="34"/>
      <c r="M74" s="65"/>
      <c r="N74" s="38">
        <v>5000</v>
      </c>
      <c r="O74" s="39"/>
      <c r="P74" s="39">
        <v>405</v>
      </c>
      <c r="Q74" s="39"/>
    </row>
    <row r="75" spans="1:17" ht="13.5" customHeight="1">
      <c r="A75" s="34" t="s">
        <v>24</v>
      </c>
      <c r="B75" s="34" t="s">
        <v>330</v>
      </c>
      <c r="C75" s="35"/>
      <c r="D75" s="47" t="str">
        <f t="shared" si="4"/>
        <v/>
      </c>
      <c r="E75" s="48" t="str">
        <f t="shared" si="5"/>
        <v/>
      </c>
      <c r="F75" s="65"/>
      <c r="G75" s="34" t="s">
        <v>357</v>
      </c>
      <c r="H75" s="34" t="s">
        <v>55</v>
      </c>
      <c r="I75" s="36" t="s">
        <v>366</v>
      </c>
      <c r="J75" s="37">
        <v>40242</v>
      </c>
      <c r="K75" s="66"/>
      <c r="L75" s="34"/>
      <c r="M75" s="65"/>
      <c r="N75" s="38">
        <v>5200</v>
      </c>
      <c r="O75" s="39"/>
      <c r="P75" s="39">
        <v>421</v>
      </c>
      <c r="Q75" s="39"/>
    </row>
    <row r="76" spans="1:17" ht="13.5" customHeight="1">
      <c r="A76" s="34" t="s">
        <v>186</v>
      </c>
      <c r="B76" s="34" t="s">
        <v>112</v>
      </c>
      <c r="C76" s="41"/>
      <c r="D76" s="47" t="str">
        <f t="shared" si="4"/>
        <v/>
      </c>
      <c r="E76" s="48" t="str">
        <f t="shared" si="5"/>
        <v/>
      </c>
      <c r="F76" s="65"/>
      <c r="G76" s="34" t="s">
        <v>299</v>
      </c>
      <c r="H76" s="34" t="s">
        <v>311</v>
      </c>
      <c r="I76" s="34" t="s">
        <v>305</v>
      </c>
      <c r="J76" s="37">
        <v>40270</v>
      </c>
      <c r="K76" s="66"/>
      <c r="L76" s="34"/>
      <c r="M76" s="65"/>
      <c r="N76" s="38">
        <v>9200</v>
      </c>
      <c r="O76" s="39"/>
      <c r="P76" s="39">
        <v>745</v>
      </c>
      <c r="Q76" s="39"/>
    </row>
    <row r="77" spans="1:17" ht="13.5" customHeight="1">
      <c r="A77" s="34" t="s">
        <v>9</v>
      </c>
      <c r="B77" s="34" t="s">
        <v>341</v>
      </c>
      <c r="C77" s="35"/>
      <c r="D77" s="47" t="str">
        <f t="shared" si="4"/>
        <v/>
      </c>
      <c r="E77" s="48" t="str">
        <f t="shared" si="5"/>
        <v/>
      </c>
      <c r="F77" s="65"/>
      <c r="G77" s="34" t="s">
        <v>37</v>
      </c>
      <c r="H77" s="34" t="s">
        <v>55</v>
      </c>
      <c r="I77" s="36" t="s">
        <v>366</v>
      </c>
      <c r="J77" s="37">
        <v>40299</v>
      </c>
      <c r="K77" s="66"/>
      <c r="L77" s="34"/>
      <c r="M77" s="65"/>
      <c r="N77" s="38">
        <v>4000</v>
      </c>
      <c r="O77" s="39"/>
      <c r="P77" s="39">
        <v>324</v>
      </c>
      <c r="Q77" s="39"/>
    </row>
    <row r="78" spans="1:17" ht="13.5" customHeight="1">
      <c r="A78" s="34" t="s">
        <v>152</v>
      </c>
      <c r="B78" s="34" t="s">
        <v>90</v>
      </c>
      <c r="C78" s="41"/>
      <c r="D78" s="47" t="str">
        <f t="shared" si="4"/>
        <v/>
      </c>
      <c r="E78" s="48" t="str">
        <f t="shared" si="5"/>
        <v/>
      </c>
      <c r="F78" s="65"/>
      <c r="G78" s="34" t="s">
        <v>300</v>
      </c>
      <c r="H78" s="34" t="s">
        <v>55</v>
      </c>
      <c r="I78" s="34" t="s">
        <v>306</v>
      </c>
      <c r="J78" s="37">
        <v>40329</v>
      </c>
      <c r="K78" s="66"/>
      <c r="L78" s="34"/>
      <c r="M78" s="65"/>
      <c r="N78" s="38">
        <v>3300</v>
      </c>
      <c r="O78" s="39"/>
      <c r="P78" s="39">
        <v>267</v>
      </c>
      <c r="Q78" s="39"/>
    </row>
    <row r="79" spans="1:17" ht="13.5" customHeight="1">
      <c r="A79" s="34" t="s">
        <v>25</v>
      </c>
      <c r="B79" s="34" t="s">
        <v>336</v>
      </c>
      <c r="C79" s="35"/>
      <c r="D79" s="47" t="str">
        <f t="shared" si="4"/>
        <v/>
      </c>
      <c r="E79" s="48" t="str">
        <f t="shared" si="5"/>
        <v/>
      </c>
      <c r="F79" s="65"/>
      <c r="G79" s="34" t="s">
        <v>38</v>
      </c>
      <c r="H79" s="34" t="s">
        <v>55</v>
      </c>
      <c r="I79" s="36" t="s">
        <v>366</v>
      </c>
      <c r="J79" s="37">
        <v>40544</v>
      </c>
      <c r="K79" s="66"/>
      <c r="L79" s="34"/>
      <c r="M79" s="65"/>
      <c r="N79" s="38">
        <v>6300</v>
      </c>
      <c r="O79" s="39"/>
      <c r="P79" s="39">
        <v>510</v>
      </c>
      <c r="Q79" s="39"/>
    </row>
    <row r="80" spans="1:17" ht="13.5" customHeight="1">
      <c r="A80" s="34" t="s">
        <v>26</v>
      </c>
      <c r="B80" s="34" t="s">
        <v>77</v>
      </c>
      <c r="C80" s="35"/>
      <c r="D80" s="47" t="str">
        <f t="shared" si="4"/>
        <v/>
      </c>
      <c r="E80" s="48" t="str">
        <f t="shared" si="5"/>
        <v/>
      </c>
      <c r="F80" s="65"/>
      <c r="G80" s="34" t="s">
        <v>38</v>
      </c>
      <c r="H80" s="34" t="s">
        <v>55</v>
      </c>
      <c r="I80" s="36" t="s">
        <v>366</v>
      </c>
      <c r="J80" s="37">
        <v>40545</v>
      </c>
      <c r="K80" s="66">
        <v>40764</v>
      </c>
      <c r="L80" s="34" t="s">
        <v>371</v>
      </c>
      <c r="M80" s="65"/>
      <c r="N80" s="38">
        <v>6500</v>
      </c>
      <c r="O80" s="39"/>
      <c r="P80" s="39"/>
      <c r="Q80" s="39"/>
    </row>
    <row r="81" spans="1:17" ht="13.5" customHeight="1">
      <c r="A81" s="34" t="s">
        <v>27</v>
      </c>
      <c r="B81" s="34" t="s">
        <v>78</v>
      </c>
      <c r="C81" s="35"/>
      <c r="D81" s="47" t="str">
        <f t="shared" si="4"/>
        <v/>
      </c>
      <c r="E81" s="48" t="str">
        <f t="shared" si="5"/>
        <v/>
      </c>
      <c r="F81" s="65"/>
      <c r="G81" s="34" t="s">
        <v>39</v>
      </c>
      <c r="H81" s="34" t="s">
        <v>55</v>
      </c>
      <c r="I81" s="36" t="s">
        <v>366</v>
      </c>
      <c r="J81" s="37">
        <v>40546</v>
      </c>
      <c r="K81" s="66"/>
      <c r="L81" s="34"/>
      <c r="M81" s="65"/>
      <c r="N81" s="38">
        <v>5100</v>
      </c>
      <c r="O81" s="39"/>
      <c r="P81" s="39">
        <v>413</v>
      </c>
      <c r="Q81" s="39"/>
    </row>
    <row r="82" spans="1:17" ht="13.5" customHeight="1">
      <c r="A82" s="34" t="s">
        <v>28</v>
      </c>
      <c r="B82" s="34" t="s">
        <v>79</v>
      </c>
      <c r="C82" s="35"/>
      <c r="D82" s="47" t="str">
        <f t="shared" si="4"/>
        <v/>
      </c>
      <c r="E82" s="48" t="str">
        <f t="shared" si="5"/>
        <v/>
      </c>
      <c r="F82" s="65"/>
      <c r="G82" s="34" t="s">
        <v>39</v>
      </c>
      <c r="H82" s="34" t="s">
        <v>55</v>
      </c>
      <c r="I82" s="36" t="s">
        <v>366</v>
      </c>
      <c r="J82" s="37">
        <v>40547</v>
      </c>
      <c r="K82" s="66"/>
      <c r="L82" s="34"/>
      <c r="M82" s="65"/>
      <c r="N82" s="38">
        <v>4500</v>
      </c>
      <c r="O82" s="39"/>
      <c r="P82" s="39">
        <v>365</v>
      </c>
      <c r="Q82" s="39"/>
    </row>
    <row r="83" spans="1:17" ht="13.5" customHeight="1">
      <c r="A83" s="34" t="s">
        <v>29</v>
      </c>
      <c r="B83" s="34" t="s">
        <v>80</v>
      </c>
      <c r="C83" s="35"/>
      <c r="D83" s="47" t="str">
        <f t="shared" si="4"/>
        <v/>
      </c>
      <c r="E83" s="48" t="str">
        <f t="shared" si="5"/>
        <v/>
      </c>
      <c r="F83" s="65"/>
      <c r="G83" s="34" t="s">
        <v>38</v>
      </c>
      <c r="H83" s="34" t="s">
        <v>55</v>
      </c>
      <c r="I83" s="36" t="s">
        <v>366</v>
      </c>
      <c r="J83" s="37">
        <v>40548</v>
      </c>
      <c r="K83" s="66"/>
      <c r="L83" s="34"/>
      <c r="M83" s="65"/>
      <c r="N83" s="38">
        <v>6000</v>
      </c>
      <c r="O83" s="39"/>
      <c r="P83" s="39">
        <v>486</v>
      </c>
      <c r="Q83" s="39"/>
    </row>
    <row r="84" spans="1:17" ht="13.5" customHeight="1">
      <c r="A84" s="34" t="s">
        <v>30</v>
      </c>
      <c r="B84" s="34" t="s">
        <v>81</v>
      </c>
      <c r="C84" s="35"/>
      <c r="D84" s="47" t="str">
        <f t="shared" si="4"/>
        <v/>
      </c>
      <c r="E84" s="48" t="str">
        <f t="shared" si="5"/>
        <v/>
      </c>
      <c r="F84" s="65"/>
      <c r="G84" s="34" t="s">
        <v>38</v>
      </c>
      <c r="H84" s="34" t="s">
        <v>55</v>
      </c>
      <c r="I84" s="36" t="s">
        <v>366</v>
      </c>
      <c r="J84" s="37">
        <v>40549</v>
      </c>
      <c r="K84" s="66"/>
      <c r="L84" s="34"/>
      <c r="M84" s="65"/>
      <c r="N84" s="38">
        <v>6500</v>
      </c>
      <c r="O84" s="39"/>
      <c r="P84" s="39">
        <v>527</v>
      </c>
      <c r="Q84" s="39"/>
    </row>
    <row r="85" spans="1:17" ht="13.5" customHeight="1">
      <c r="A85" s="34" t="s">
        <v>31</v>
      </c>
      <c r="B85" s="34" t="s">
        <v>82</v>
      </c>
      <c r="C85" s="35"/>
      <c r="D85" s="47" t="str">
        <f t="shared" si="4"/>
        <v/>
      </c>
      <c r="E85" s="48" t="str">
        <f t="shared" si="5"/>
        <v/>
      </c>
      <c r="F85" s="65"/>
      <c r="G85" s="34" t="s">
        <v>38</v>
      </c>
      <c r="H85" s="34" t="s">
        <v>55</v>
      </c>
      <c r="I85" s="36" t="s">
        <v>366</v>
      </c>
      <c r="J85" s="37">
        <v>40550</v>
      </c>
      <c r="K85" s="66"/>
      <c r="L85" s="34"/>
      <c r="M85" s="65"/>
      <c r="N85" s="38">
        <v>6500</v>
      </c>
      <c r="O85" s="39"/>
      <c r="P85" s="39">
        <v>527</v>
      </c>
      <c r="Q85" s="39"/>
    </row>
    <row r="86" spans="1:17" ht="13.5" customHeight="1">
      <c r="A86" s="34" t="s">
        <v>32</v>
      </c>
      <c r="B86" s="34" t="s">
        <v>83</v>
      </c>
      <c r="C86" s="35"/>
      <c r="D86" s="47" t="str">
        <f t="shared" si="4"/>
        <v/>
      </c>
      <c r="E86" s="48" t="str">
        <f t="shared" si="5"/>
        <v/>
      </c>
      <c r="F86" s="65"/>
      <c r="G86" s="34" t="s">
        <v>38</v>
      </c>
      <c r="H86" s="34" t="s">
        <v>55</v>
      </c>
      <c r="I86" s="36" t="s">
        <v>366</v>
      </c>
      <c r="J86" s="37">
        <v>40551</v>
      </c>
      <c r="K86" s="66"/>
      <c r="L86" s="34"/>
      <c r="M86" s="65"/>
      <c r="N86" s="38">
        <v>6500</v>
      </c>
      <c r="O86" s="39"/>
      <c r="P86" s="39">
        <v>527</v>
      </c>
      <c r="Q86" s="39"/>
    </row>
    <row r="87" spans="1:17" ht="13.5" customHeight="1">
      <c r="A87" s="34" t="s">
        <v>33</v>
      </c>
      <c r="B87" s="34" t="s">
        <v>337</v>
      </c>
      <c r="C87" s="35"/>
      <c r="D87" s="47" t="str">
        <f t="shared" si="4"/>
        <v/>
      </c>
      <c r="E87" s="48" t="str">
        <f t="shared" si="5"/>
        <v/>
      </c>
      <c r="F87" s="65"/>
      <c r="G87" s="34" t="s">
        <v>38</v>
      </c>
      <c r="H87" s="34" t="s">
        <v>55</v>
      </c>
      <c r="I87" s="36" t="s">
        <v>365</v>
      </c>
      <c r="J87" s="37">
        <v>40552</v>
      </c>
      <c r="K87" s="66"/>
      <c r="L87" s="34"/>
      <c r="M87" s="65"/>
      <c r="N87" s="38">
        <v>9000</v>
      </c>
      <c r="O87" s="39"/>
      <c r="P87" s="39">
        <v>729</v>
      </c>
      <c r="Q87" s="39"/>
    </row>
    <row r="88" spans="1:17" ht="13.5" customHeight="1">
      <c r="A88" s="34" t="s">
        <v>34</v>
      </c>
      <c r="B88" s="34" t="s">
        <v>84</v>
      </c>
      <c r="C88" s="35"/>
      <c r="D88" s="47" t="str">
        <f t="shared" si="4"/>
        <v/>
      </c>
      <c r="E88" s="48" t="str">
        <f t="shared" si="5"/>
        <v/>
      </c>
      <c r="F88" s="65"/>
      <c r="G88" s="34" t="s">
        <v>38</v>
      </c>
      <c r="H88" s="34" t="s">
        <v>55</v>
      </c>
      <c r="I88" s="36" t="s">
        <v>366</v>
      </c>
      <c r="J88" s="37">
        <v>40553</v>
      </c>
      <c r="K88" s="66"/>
      <c r="L88" s="34"/>
      <c r="M88" s="65"/>
      <c r="N88" s="38">
        <v>6500</v>
      </c>
      <c r="O88" s="39"/>
      <c r="P88" s="39">
        <v>527</v>
      </c>
      <c r="Q88" s="39"/>
    </row>
    <row r="89" spans="1:17" ht="13.5" customHeight="1">
      <c r="A89" s="34" t="s">
        <v>35</v>
      </c>
      <c r="B89" s="34" t="s">
        <v>85</v>
      </c>
      <c r="C89" s="35"/>
      <c r="D89" s="47" t="str">
        <f t="shared" si="4"/>
        <v/>
      </c>
      <c r="E89" s="48" t="str">
        <f t="shared" si="5"/>
        <v/>
      </c>
      <c r="F89" s="65"/>
      <c r="G89" s="34" t="s">
        <v>38</v>
      </c>
      <c r="H89" s="34" t="s">
        <v>55</v>
      </c>
      <c r="I89" s="36" t="s">
        <v>366</v>
      </c>
      <c r="J89" s="37">
        <v>40554</v>
      </c>
      <c r="K89" s="66"/>
      <c r="L89" s="34"/>
      <c r="M89" s="65"/>
      <c r="N89" s="38">
        <v>5900</v>
      </c>
      <c r="O89" s="39"/>
      <c r="P89" s="39">
        <v>478</v>
      </c>
      <c r="Q89" s="39"/>
    </row>
    <row r="90" spans="1:17" ht="13.5" customHeight="1">
      <c r="A90" s="34" t="s">
        <v>11</v>
      </c>
      <c r="B90" s="34" t="s">
        <v>68</v>
      </c>
      <c r="C90" s="35"/>
      <c r="D90" s="47" t="str">
        <f t="shared" si="4"/>
        <v/>
      </c>
      <c r="E90" s="48" t="str">
        <f t="shared" si="5"/>
        <v/>
      </c>
      <c r="F90" s="65"/>
      <c r="G90" s="34" t="s">
        <v>38</v>
      </c>
      <c r="H90" s="34" t="s">
        <v>55</v>
      </c>
      <c r="I90" s="36" t="s">
        <v>366</v>
      </c>
      <c r="J90" s="37">
        <v>40634</v>
      </c>
      <c r="K90" s="66"/>
      <c r="L90" s="34"/>
      <c r="M90" s="65"/>
      <c r="N90" s="38">
        <v>6500</v>
      </c>
      <c r="O90" s="39"/>
      <c r="P90" s="39">
        <v>527</v>
      </c>
      <c r="Q90" s="39"/>
    </row>
    <row r="91" spans="1:17" ht="13.5" customHeight="1">
      <c r="A91" s="34" t="s">
        <v>218</v>
      </c>
      <c r="B91" s="34" t="s">
        <v>135</v>
      </c>
      <c r="C91" s="41"/>
      <c r="D91" s="47" t="str">
        <f t="shared" si="4"/>
        <v/>
      </c>
      <c r="E91" s="48" t="str">
        <f t="shared" si="5"/>
        <v/>
      </c>
      <c r="F91" s="65"/>
      <c r="G91" s="34" t="s">
        <v>315</v>
      </c>
      <c r="H91" s="34" t="s">
        <v>316</v>
      </c>
      <c r="I91" s="34" t="s">
        <v>305</v>
      </c>
      <c r="J91" s="37">
        <v>40753</v>
      </c>
      <c r="K91" s="66">
        <v>42037</v>
      </c>
      <c r="L91" s="34" t="s">
        <v>234</v>
      </c>
      <c r="M91" s="65"/>
      <c r="N91" s="38">
        <v>8800</v>
      </c>
      <c r="O91" s="39"/>
      <c r="P91" s="39"/>
      <c r="Q91" s="39"/>
    </row>
    <row r="92" spans="1:17" ht="13.5" customHeight="1">
      <c r="A92" s="34" t="s">
        <v>2</v>
      </c>
      <c r="B92" s="34" t="s">
        <v>60</v>
      </c>
      <c r="C92" s="35"/>
      <c r="D92" s="47" t="str">
        <f t="shared" si="4"/>
        <v/>
      </c>
      <c r="E92" s="48" t="str">
        <f t="shared" si="5"/>
        <v/>
      </c>
      <c r="F92" s="65"/>
      <c r="G92" s="34" t="s">
        <v>37</v>
      </c>
      <c r="H92" s="34" t="s">
        <v>54</v>
      </c>
      <c r="I92" s="40" t="s">
        <v>362</v>
      </c>
      <c r="J92" s="37">
        <v>40969</v>
      </c>
      <c r="K92" s="66">
        <v>41733</v>
      </c>
      <c r="L92" s="34" t="s">
        <v>234</v>
      </c>
      <c r="M92" s="65"/>
      <c r="N92" s="38">
        <v>3500</v>
      </c>
      <c r="O92" s="39"/>
      <c r="P92" s="39"/>
      <c r="Q92" s="39"/>
    </row>
    <row r="93" spans="1:17" ht="13.5" customHeight="1">
      <c r="A93" s="34" t="s">
        <v>227</v>
      </c>
      <c r="B93" s="34" t="s">
        <v>142</v>
      </c>
      <c r="C93" s="41"/>
      <c r="D93" s="47" t="str">
        <f t="shared" si="4"/>
        <v/>
      </c>
      <c r="E93" s="48" t="str">
        <f t="shared" si="5"/>
        <v/>
      </c>
      <c r="F93" s="65"/>
      <c r="G93" s="34" t="s">
        <v>299</v>
      </c>
      <c r="H93" s="34" t="s">
        <v>311</v>
      </c>
      <c r="I93" s="34" t="s">
        <v>304</v>
      </c>
      <c r="J93" s="37">
        <v>40970</v>
      </c>
      <c r="K93" s="66"/>
      <c r="L93" s="34"/>
      <c r="M93" s="65"/>
      <c r="N93" s="38">
        <v>4000</v>
      </c>
      <c r="O93" s="39"/>
      <c r="P93" s="39">
        <v>324</v>
      </c>
      <c r="Q93" s="39"/>
    </row>
    <row r="94" spans="1:17" ht="13.5" customHeight="1">
      <c r="A94" s="34" t="s">
        <v>197</v>
      </c>
      <c r="B94" s="34" t="s">
        <v>119</v>
      </c>
      <c r="C94" s="41"/>
      <c r="D94" s="47" t="str">
        <f t="shared" si="4"/>
        <v/>
      </c>
      <c r="E94" s="48" t="str">
        <f t="shared" si="5"/>
        <v/>
      </c>
      <c r="F94" s="65"/>
      <c r="G94" s="34" t="s">
        <v>299</v>
      </c>
      <c r="H94" s="34" t="s">
        <v>311</v>
      </c>
      <c r="I94" s="34" t="s">
        <v>307</v>
      </c>
      <c r="J94" s="37">
        <v>41149</v>
      </c>
      <c r="K94" s="66"/>
      <c r="L94" s="34"/>
      <c r="M94" s="65"/>
      <c r="N94" s="38">
        <v>9300</v>
      </c>
      <c r="O94" s="39"/>
      <c r="P94" s="39">
        <v>753</v>
      </c>
      <c r="Q94" s="39"/>
    </row>
    <row r="95" spans="1:17" ht="13.5" customHeight="1">
      <c r="A95" s="34" t="s">
        <v>161</v>
      </c>
      <c r="B95" s="34" t="s">
        <v>333</v>
      </c>
      <c r="C95" s="41"/>
      <c r="D95" s="47" t="str">
        <f t="shared" si="4"/>
        <v/>
      </c>
      <c r="E95" s="48" t="str">
        <f t="shared" si="5"/>
        <v/>
      </c>
      <c r="F95" s="65"/>
      <c r="G95" s="34" t="s">
        <v>357</v>
      </c>
      <c r="H95" s="34" t="s">
        <v>311</v>
      </c>
      <c r="I95" s="34" t="s">
        <v>308</v>
      </c>
      <c r="J95" s="37">
        <v>41155</v>
      </c>
      <c r="K95" s="66"/>
      <c r="L95" s="34"/>
      <c r="M95" s="65"/>
      <c r="N95" s="38">
        <v>4500</v>
      </c>
      <c r="O95" s="39"/>
      <c r="P95" s="39">
        <v>365</v>
      </c>
      <c r="Q95" s="39"/>
    </row>
    <row r="96" spans="1:17" ht="13.5" customHeight="1">
      <c r="A96" s="34" t="s">
        <v>156</v>
      </c>
      <c r="B96" s="34" t="s">
        <v>342</v>
      </c>
      <c r="C96" s="41"/>
      <c r="D96" s="47" t="str">
        <f t="shared" si="4"/>
        <v/>
      </c>
      <c r="E96" s="48" t="str">
        <f t="shared" si="5"/>
        <v/>
      </c>
      <c r="F96" s="65"/>
      <c r="G96" s="34" t="s">
        <v>313</v>
      </c>
      <c r="H96" s="34" t="s">
        <v>55</v>
      </c>
      <c r="I96" s="34" t="s">
        <v>304</v>
      </c>
      <c r="J96" s="37">
        <v>41178</v>
      </c>
      <c r="K96" s="67"/>
      <c r="L96" s="34"/>
      <c r="M96" s="65"/>
      <c r="N96" s="38">
        <v>4400</v>
      </c>
      <c r="O96" s="39"/>
      <c r="P96" s="39">
        <v>356</v>
      </c>
      <c r="Q96" s="39"/>
    </row>
    <row r="97" spans="1:17" ht="13.5" customHeight="1">
      <c r="A97" s="34" t="s">
        <v>223</v>
      </c>
      <c r="B97" s="34" t="s">
        <v>139</v>
      </c>
      <c r="C97" s="41"/>
      <c r="D97" s="47" t="str">
        <f t="shared" si="4"/>
        <v/>
      </c>
      <c r="E97" s="48" t="str">
        <f t="shared" si="5"/>
        <v/>
      </c>
      <c r="F97" s="65"/>
      <c r="G97" s="34" t="s">
        <v>299</v>
      </c>
      <c r="H97" s="34" t="s">
        <v>311</v>
      </c>
      <c r="I97" s="34" t="s">
        <v>304</v>
      </c>
      <c r="J97" s="37">
        <v>41208</v>
      </c>
      <c r="K97" s="66"/>
      <c r="L97" s="34"/>
      <c r="M97" s="65"/>
      <c r="N97" s="38">
        <v>4300</v>
      </c>
      <c r="O97" s="39"/>
      <c r="P97" s="39">
        <v>348</v>
      </c>
      <c r="Q97" s="39"/>
    </row>
    <row r="98" spans="1:17" ht="13.5" customHeight="1">
      <c r="A98" s="34" t="s">
        <v>221</v>
      </c>
      <c r="B98" s="34" t="s">
        <v>343</v>
      </c>
      <c r="C98" s="41"/>
      <c r="D98" s="47" t="str">
        <f t="shared" si="4"/>
        <v/>
      </c>
      <c r="E98" s="48" t="str">
        <f t="shared" si="5"/>
        <v/>
      </c>
      <c r="F98" s="65"/>
      <c r="G98" s="34" t="s">
        <v>299</v>
      </c>
      <c r="H98" s="34" t="s">
        <v>311</v>
      </c>
      <c r="I98" s="34" t="s">
        <v>305</v>
      </c>
      <c r="J98" s="37">
        <v>41238</v>
      </c>
      <c r="K98" s="66"/>
      <c r="L98" s="34"/>
      <c r="M98" s="65"/>
      <c r="N98" s="38">
        <v>8900</v>
      </c>
      <c r="O98" s="39"/>
      <c r="P98" s="39">
        <v>721</v>
      </c>
      <c r="Q98" s="39"/>
    </row>
    <row r="99" spans="1:17" ht="13.5" customHeight="1">
      <c r="A99" s="34" t="s">
        <v>12</v>
      </c>
      <c r="B99" s="34" t="s">
        <v>339</v>
      </c>
      <c r="C99" s="35"/>
      <c r="D99" s="47" t="str">
        <f t="shared" ref="D99:D122" si="6">IFERROR(IF(ISODD(MID(C99,17,1)),"男","女"),"")</f>
        <v/>
      </c>
      <c r="E99" s="48" t="str">
        <f t="shared" ref="E99:E122" si="7">IFERROR(DATE(MID(C99,7,4),MID(C99,11,2),MID(C99,13,2)),"")</f>
        <v/>
      </c>
      <c r="F99" s="65"/>
      <c r="G99" s="34" t="s">
        <v>357</v>
      </c>
      <c r="H99" s="34" t="s">
        <v>55</v>
      </c>
      <c r="I99" s="40" t="s">
        <v>362</v>
      </c>
      <c r="J99" s="37">
        <v>41275</v>
      </c>
      <c r="K99" s="66"/>
      <c r="L99" s="34"/>
      <c r="M99" s="65"/>
      <c r="N99" s="38">
        <v>3000</v>
      </c>
      <c r="O99" s="39"/>
      <c r="P99" s="39">
        <v>243</v>
      </c>
      <c r="Q99" s="39"/>
    </row>
    <row r="100" spans="1:17" ht="13.5" customHeight="1">
      <c r="A100" s="34" t="s">
        <v>198</v>
      </c>
      <c r="B100" s="34" t="s">
        <v>345</v>
      </c>
      <c r="C100" s="41"/>
      <c r="D100" s="47" t="str">
        <f t="shared" si="6"/>
        <v/>
      </c>
      <c r="E100" s="48" t="str">
        <f t="shared" si="7"/>
        <v/>
      </c>
      <c r="F100" s="65"/>
      <c r="G100" s="34" t="s">
        <v>299</v>
      </c>
      <c r="H100" s="34" t="s">
        <v>311</v>
      </c>
      <c r="I100" s="34" t="s">
        <v>301</v>
      </c>
      <c r="J100" s="37">
        <v>41395</v>
      </c>
      <c r="K100" s="66">
        <v>42490</v>
      </c>
      <c r="L100" s="34" t="s">
        <v>234</v>
      </c>
      <c r="M100" s="65"/>
      <c r="N100" s="38">
        <v>5500</v>
      </c>
      <c r="O100" s="39"/>
      <c r="P100" s="39"/>
      <c r="Q100" s="39"/>
    </row>
    <row r="101" spans="1:17" ht="13.5" customHeight="1">
      <c r="A101" s="34" t="s">
        <v>220</v>
      </c>
      <c r="B101" s="34" t="s">
        <v>137</v>
      </c>
      <c r="C101" s="41"/>
      <c r="D101" s="47" t="str">
        <f t="shared" si="6"/>
        <v/>
      </c>
      <c r="E101" s="48" t="str">
        <f t="shared" si="7"/>
        <v/>
      </c>
      <c r="F101" s="65"/>
      <c r="G101" s="34" t="s">
        <v>299</v>
      </c>
      <c r="H101" s="34" t="s">
        <v>311</v>
      </c>
      <c r="I101" s="34" t="s">
        <v>308</v>
      </c>
      <c r="J101" s="37">
        <v>41396</v>
      </c>
      <c r="K101" s="66"/>
      <c r="L101" s="34"/>
      <c r="M101" s="65"/>
      <c r="N101" s="38">
        <v>6300</v>
      </c>
      <c r="O101" s="39"/>
      <c r="P101" s="39">
        <v>510</v>
      </c>
      <c r="Q101" s="39"/>
    </row>
    <row r="102" spans="1:17" ht="13.5" customHeight="1">
      <c r="A102" s="34" t="s">
        <v>151</v>
      </c>
      <c r="B102" s="34" t="s">
        <v>89</v>
      </c>
      <c r="C102" s="41"/>
      <c r="D102" s="47" t="str">
        <f t="shared" si="6"/>
        <v/>
      </c>
      <c r="E102" s="48" t="str">
        <f t="shared" si="7"/>
        <v/>
      </c>
      <c r="F102" s="65"/>
      <c r="G102" s="34" t="s">
        <v>299</v>
      </c>
      <c r="H102" s="34" t="s">
        <v>55</v>
      </c>
      <c r="I102" s="34" t="s">
        <v>305</v>
      </c>
      <c r="J102" s="37">
        <v>41489</v>
      </c>
      <c r="K102" s="66"/>
      <c r="L102" s="34"/>
      <c r="M102" s="65"/>
      <c r="N102" s="38">
        <v>7500</v>
      </c>
      <c r="O102" s="39"/>
      <c r="P102" s="39">
        <v>608</v>
      </c>
      <c r="Q102" s="39"/>
    </row>
    <row r="103" spans="1:17" ht="13.5" customHeight="1">
      <c r="A103" s="34" t="s">
        <v>222</v>
      </c>
      <c r="B103" s="34" t="s">
        <v>138</v>
      </c>
      <c r="C103" s="41"/>
      <c r="D103" s="47" t="str">
        <f t="shared" si="6"/>
        <v/>
      </c>
      <c r="E103" s="48" t="str">
        <f t="shared" si="7"/>
        <v/>
      </c>
      <c r="F103" s="65"/>
      <c r="G103" s="34" t="s">
        <v>299</v>
      </c>
      <c r="H103" s="34" t="s">
        <v>311</v>
      </c>
      <c r="I103" s="34" t="s">
        <v>302</v>
      </c>
      <c r="J103" s="37">
        <v>41518</v>
      </c>
      <c r="K103" s="66"/>
      <c r="L103" s="34"/>
      <c r="M103" s="65"/>
      <c r="N103" s="38">
        <v>6300</v>
      </c>
      <c r="O103" s="39"/>
      <c r="P103" s="39">
        <v>510</v>
      </c>
      <c r="Q103" s="39"/>
    </row>
    <row r="104" spans="1:17" ht="13.5" customHeight="1">
      <c r="A104" s="34" t="s">
        <v>229</v>
      </c>
      <c r="B104" s="34" t="s">
        <v>144</v>
      </c>
      <c r="C104" s="41"/>
      <c r="D104" s="47" t="str">
        <f t="shared" si="6"/>
        <v/>
      </c>
      <c r="E104" s="48" t="str">
        <f t="shared" si="7"/>
        <v/>
      </c>
      <c r="F104" s="65"/>
      <c r="G104" s="34" t="s">
        <v>299</v>
      </c>
      <c r="H104" s="34" t="s">
        <v>311</v>
      </c>
      <c r="I104" s="34" t="s">
        <v>305</v>
      </c>
      <c r="J104" s="37">
        <v>41521</v>
      </c>
      <c r="K104" s="66"/>
      <c r="L104" s="34"/>
      <c r="M104" s="65"/>
      <c r="N104" s="38">
        <v>7500</v>
      </c>
      <c r="O104" s="39"/>
      <c r="P104" s="39">
        <v>608</v>
      </c>
      <c r="Q104" s="39"/>
    </row>
    <row r="105" spans="1:17" ht="13.5" customHeight="1">
      <c r="A105" s="34" t="s">
        <v>173</v>
      </c>
      <c r="B105" s="34" t="s">
        <v>346</v>
      </c>
      <c r="C105" s="41"/>
      <c r="D105" s="47" t="str">
        <f t="shared" si="6"/>
        <v/>
      </c>
      <c r="E105" s="48" t="str">
        <f t="shared" si="7"/>
        <v/>
      </c>
      <c r="F105" s="65"/>
      <c r="G105" s="34" t="s">
        <v>313</v>
      </c>
      <c r="H105" s="34" t="s">
        <v>311</v>
      </c>
      <c r="I105" s="34" t="s">
        <v>304</v>
      </c>
      <c r="J105" s="37">
        <v>41525</v>
      </c>
      <c r="K105" s="67"/>
      <c r="L105" s="34"/>
      <c r="M105" s="65"/>
      <c r="N105" s="38">
        <v>4000</v>
      </c>
      <c r="O105" s="39"/>
      <c r="P105" s="39">
        <v>324</v>
      </c>
      <c r="Q105" s="39"/>
    </row>
    <row r="106" spans="1:17" ht="13.5" customHeight="1">
      <c r="A106" s="34" t="s">
        <v>149</v>
      </c>
      <c r="B106" s="34" t="s">
        <v>87</v>
      </c>
      <c r="C106" s="41"/>
      <c r="D106" s="47" t="str">
        <f t="shared" si="6"/>
        <v/>
      </c>
      <c r="E106" s="48" t="str">
        <f t="shared" si="7"/>
        <v/>
      </c>
      <c r="F106" s="65"/>
      <c r="G106" s="34" t="s">
        <v>298</v>
      </c>
      <c r="H106" s="34" t="s">
        <v>55</v>
      </c>
      <c r="I106" s="34" t="s">
        <v>304</v>
      </c>
      <c r="J106" s="37">
        <v>41526</v>
      </c>
      <c r="K106" s="66"/>
      <c r="L106" s="34"/>
      <c r="M106" s="65"/>
      <c r="N106" s="38">
        <v>4200</v>
      </c>
      <c r="O106" s="39"/>
      <c r="P106" s="39">
        <v>340</v>
      </c>
      <c r="Q106" s="39"/>
    </row>
    <row r="107" spans="1:17" ht="13.5" customHeight="1">
      <c r="A107" s="34" t="s">
        <v>216</v>
      </c>
      <c r="B107" s="34" t="s">
        <v>133</v>
      </c>
      <c r="C107" s="41"/>
      <c r="D107" s="47" t="str">
        <f t="shared" si="6"/>
        <v/>
      </c>
      <c r="E107" s="48" t="str">
        <f t="shared" si="7"/>
        <v/>
      </c>
      <c r="F107" s="65"/>
      <c r="G107" s="34" t="s">
        <v>299</v>
      </c>
      <c r="H107" s="34" t="s">
        <v>311</v>
      </c>
      <c r="I107" s="34" t="s">
        <v>301</v>
      </c>
      <c r="J107" s="37">
        <v>41630</v>
      </c>
      <c r="K107" s="66"/>
      <c r="L107" s="34"/>
      <c r="M107" s="65"/>
      <c r="N107" s="38">
        <v>5500</v>
      </c>
      <c r="O107" s="39"/>
      <c r="P107" s="39">
        <v>446</v>
      </c>
      <c r="Q107" s="39"/>
    </row>
    <row r="108" spans="1:17" ht="13.5" customHeight="1">
      <c r="A108" s="34" t="s">
        <v>224</v>
      </c>
      <c r="B108" s="34" t="s">
        <v>140</v>
      </c>
      <c r="C108" s="41"/>
      <c r="D108" s="47" t="str">
        <f t="shared" si="6"/>
        <v/>
      </c>
      <c r="E108" s="48" t="str">
        <f t="shared" si="7"/>
        <v/>
      </c>
      <c r="F108" s="65"/>
      <c r="G108" s="34" t="s">
        <v>299</v>
      </c>
      <c r="H108" s="34" t="s">
        <v>311</v>
      </c>
      <c r="I108" s="34" t="s">
        <v>301</v>
      </c>
      <c r="J108" s="37">
        <v>41660</v>
      </c>
      <c r="K108" s="66">
        <v>42704</v>
      </c>
      <c r="L108" s="34" t="s">
        <v>234</v>
      </c>
      <c r="M108" s="65"/>
      <c r="N108" s="38">
        <v>5200</v>
      </c>
      <c r="O108" s="39"/>
      <c r="P108" s="39"/>
      <c r="Q108" s="39"/>
    </row>
    <row r="109" spans="1:17" ht="13.5" customHeight="1">
      <c r="A109" s="34" t="s">
        <v>183</v>
      </c>
      <c r="B109" s="34" t="s">
        <v>110</v>
      </c>
      <c r="C109" s="41"/>
      <c r="D109" s="47" t="str">
        <f t="shared" si="6"/>
        <v/>
      </c>
      <c r="E109" s="48" t="str">
        <f t="shared" si="7"/>
        <v/>
      </c>
      <c r="F109" s="65"/>
      <c r="G109" s="34" t="s">
        <v>299</v>
      </c>
      <c r="H109" s="34" t="s">
        <v>317</v>
      </c>
      <c r="I109" s="34" t="s">
        <v>307</v>
      </c>
      <c r="J109" s="37">
        <v>41689</v>
      </c>
      <c r="K109" s="66"/>
      <c r="L109" s="34"/>
      <c r="M109" s="65"/>
      <c r="N109" s="38">
        <v>11000</v>
      </c>
      <c r="O109" s="39"/>
      <c r="P109" s="39">
        <v>891</v>
      </c>
      <c r="Q109" s="39"/>
    </row>
    <row r="110" spans="1:17" ht="13.5" customHeight="1">
      <c r="A110" s="34" t="s">
        <v>195</v>
      </c>
      <c r="B110" s="34" t="s">
        <v>117</v>
      </c>
      <c r="C110" s="41"/>
      <c r="D110" s="47" t="str">
        <f t="shared" si="6"/>
        <v/>
      </c>
      <c r="E110" s="48" t="str">
        <f t="shared" si="7"/>
        <v/>
      </c>
      <c r="F110" s="65"/>
      <c r="G110" s="34" t="s">
        <v>299</v>
      </c>
      <c r="H110" s="34" t="s">
        <v>311</v>
      </c>
      <c r="I110" s="34" t="s">
        <v>305</v>
      </c>
      <c r="J110" s="37">
        <v>41701</v>
      </c>
      <c r="K110" s="66"/>
      <c r="L110" s="34"/>
      <c r="M110" s="65"/>
      <c r="N110" s="38">
        <v>8500</v>
      </c>
      <c r="O110" s="39"/>
      <c r="P110" s="39">
        <v>689</v>
      </c>
      <c r="Q110" s="39"/>
    </row>
    <row r="111" spans="1:17" ht="13.5" customHeight="1">
      <c r="A111" s="34" t="s">
        <v>202</v>
      </c>
      <c r="B111" s="34" t="s">
        <v>123</v>
      </c>
      <c r="C111" s="41"/>
      <c r="D111" s="47" t="str">
        <f t="shared" si="6"/>
        <v/>
      </c>
      <c r="E111" s="48" t="str">
        <f t="shared" si="7"/>
        <v/>
      </c>
      <c r="F111" s="65"/>
      <c r="G111" s="34" t="s">
        <v>299</v>
      </c>
      <c r="H111" s="34" t="s">
        <v>311</v>
      </c>
      <c r="I111" s="34" t="s">
        <v>304</v>
      </c>
      <c r="J111" s="37">
        <v>41719</v>
      </c>
      <c r="K111" s="66"/>
      <c r="L111" s="34"/>
      <c r="M111" s="65"/>
      <c r="N111" s="38">
        <v>4300</v>
      </c>
      <c r="O111" s="39"/>
      <c r="P111" s="39">
        <v>348</v>
      </c>
      <c r="Q111" s="39"/>
    </row>
    <row r="112" spans="1:17" ht="13.5" customHeight="1">
      <c r="A112" s="34" t="s">
        <v>217</v>
      </c>
      <c r="B112" s="34" t="s">
        <v>134</v>
      </c>
      <c r="C112" s="41"/>
      <c r="D112" s="47" t="str">
        <f t="shared" si="6"/>
        <v/>
      </c>
      <c r="E112" s="48" t="str">
        <f t="shared" si="7"/>
        <v/>
      </c>
      <c r="F112" s="65"/>
      <c r="G112" s="34" t="s">
        <v>299</v>
      </c>
      <c r="H112" s="34" t="s">
        <v>311</v>
      </c>
      <c r="I112" s="34" t="s">
        <v>304</v>
      </c>
      <c r="J112" s="37">
        <v>41748</v>
      </c>
      <c r="K112" s="66"/>
      <c r="L112" s="34"/>
      <c r="M112" s="65"/>
      <c r="N112" s="38">
        <v>4200</v>
      </c>
      <c r="O112" s="39"/>
      <c r="P112" s="39">
        <v>340</v>
      </c>
      <c r="Q112" s="39"/>
    </row>
    <row r="113" spans="1:17" ht="13.5" customHeight="1">
      <c r="A113" s="34" t="s">
        <v>219</v>
      </c>
      <c r="B113" s="34" t="s">
        <v>136</v>
      </c>
      <c r="C113" s="41"/>
      <c r="D113" s="47" t="str">
        <f t="shared" si="6"/>
        <v/>
      </c>
      <c r="E113" s="48" t="str">
        <f t="shared" si="7"/>
        <v/>
      </c>
      <c r="F113" s="65"/>
      <c r="G113" s="34" t="s">
        <v>299</v>
      </c>
      <c r="H113" s="34" t="s">
        <v>311</v>
      </c>
      <c r="I113" s="34" t="s">
        <v>305</v>
      </c>
      <c r="J113" s="37">
        <v>41760</v>
      </c>
      <c r="K113" s="66"/>
      <c r="L113" s="34"/>
      <c r="M113" s="65"/>
      <c r="N113" s="38">
        <v>8300</v>
      </c>
      <c r="O113" s="39"/>
      <c r="P113" s="39">
        <v>672</v>
      </c>
      <c r="Q113" s="39"/>
    </row>
    <row r="114" spans="1:17" ht="13.5" customHeight="1">
      <c r="A114" s="34" t="s">
        <v>230</v>
      </c>
      <c r="B114" s="34" t="s">
        <v>145</v>
      </c>
      <c r="C114" s="41"/>
      <c r="D114" s="47" t="str">
        <f t="shared" si="6"/>
        <v/>
      </c>
      <c r="E114" s="48" t="str">
        <f t="shared" si="7"/>
        <v/>
      </c>
      <c r="F114" s="65"/>
      <c r="G114" s="34" t="s">
        <v>299</v>
      </c>
      <c r="H114" s="34" t="s">
        <v>311</v>
      </c>
      <c r="I114" s="34" t="s">
        <v>305</v>
      </c>
      <c r="J114" s="37">
        <v>41760</v>
      </c>
      <c r="K114" s="66"/>
      <c r="L114" s="34"/>
      <c r="M114" s="65"/>
      <c r="N114" s="38">
        <v>8700</v>
      </c>
      <c r="O114" s="39"/>
      <c r="P114" s="39">
        <v>705</v>
      </c>
      <c r="Q114" s="39"/>
    </row>
    <row r="115" spans="1:17" ht="13.5" customHeight="1">
      <c r="A115" s="34" t="s">
        <v>196</v>
      </c>
      <c r="B115" s="34" t="s">
        <v>118</v>
      </c>
      <c r="C115" s="41"/>
      <c r="D115" s="47" t="str">
        <f t="shared" si="6"/>
        <v/>
      </c>
      <c r="E115" s="48" t="str">
        <f t="shared" si="7"/>
        <v/>
      </c>
      <c r="F115" s="65"/>
      <c r="G115" s="34" t="s">
        <v>299</v>
      </c>
      <c r="H115" s="34" t="s">
        <v>311</v>
      </c>
      <c r="I115" s="34" t="s">
        <v>305</v>
      </c>
      <c r="J115" s="37">
        <v>41778</v>
      </c>
      <c r="K115" s="66"/>
      <c r="L115" s="34"/>
      <c r="M115" s="65"/>
      <c r="N115" s="38">
        <v>8400</v>
      </c>
      <c r="O115" s="39"/>
      <c r="P115" s="39">
        <v>680</v>
      </c>
      <c r="Q115" s="39"/>
    </row>
    <row r="116" spans="1:17" ht="13.5" customHeight="1">
      <c r="A116" s="34" t="s">
        <v>174</v>
      </c>
      <c r="B116" s="34" t="s">
        <v>104</v>
      </c>
      <c r="C116" s="41"/>
      <c r="D116" s="47" t="str">
        <f t="shared" si="6"/>
        <v/>
      </c>
      <c r="E116" s="48" t="str">
        <f t="shared" si="7"/>
        <v/>
      </c>
      <c r="F116" s="65"/>
      <c r="G116" s="34" t="s">
        <v>312</v>
      </c>
      <c r="H116" s="34" t="s">
        <v>311</v>
      </c>
      <c r="I116" s="34" t="s">
        <v>301</v>
      </c>
      <c r="J116" s="37">
        <v>41887</v>
      </c>
      <c r="K116" s="67"/>
      <c r="L116" s="34"/>
      <c r="M116" s="65"/>
      <c r="N116" s="38">
        <v>5000</v>
      </c>
      <c r="O116" s="39"/>
      <c r="P116" s="39">
        <v>405</v>
      </c>
      <c r="Q116" s="39"/>
    </row>
    <row r="117" spans="1:17" ht="13.5" customHeight="1">
      <c r="A117" s="34" t="s">
        <v>191</v>
      </c>
      <c r="B117" s="34" t="s">
        <v>73</v>
      </c>
      <c r="C117" s="41"/>
      <c r="D117" s="47" t="str">
        <f t="shared" si="6"/>
        <v/>
      </c>
      <c r="E117" s="48" t="str">
        <f t="shared" si="7"/>
        <v/>
      </c>
      <c r="F117" s="65"/>
      <c r="G117" s="34" t="s">
        <v>299</v>
      </c>
      <c r="H117" s="34" t="s">
        <v>311</v>
      </c>
      <c r="I117" s="34" t="s">
        <v>301</v>
      </c>
      <c r="J117" s="37">
        <v>41888</v>
      </c>
      <c r="K117" s="66"/>
      <c r="L117" s="34"/>
      <c r="M117" s="65"/>
      <c r="N117" s="38">
        <v>6100</v>
      </c>
      <c r="O117" s="39"/>
      <c r="P117" s="39">
        <v>494</v>
      </c>
      <c r="Q117" s="39"/>
    </row>
    <row r="118" spans="1:17" ht="13.5" customHeight="1">
      <c r="A118" s="34" t="s">
        <v>148</v>
      </c>
      <c r="B118" s="34" t="s">
        <v>86</v>
      </c>
      <c r="C118" s="41"/>
      <c r="D118" s="47" t="str">
        <f t="shared" si="6"/>
        <v/>
      </c>
      <c r="E118" s="48" t="str">
        <f t="shared" si="7"/>
        <v/>
      </c>
      <c r="F118" s="65"/>
      <c r="G118" s="34" t="s">
        <v>357</v>
      </c>
      <c r="H118" s="34" t="s">
        <v>55</v>
      </c>
      <c r="I118" s="34" t="s">
        <v>301</v>
      </c>
      <c r="J118" s="37">
        <v>41889</v>
      </c>
      <c r="K118" s="66"/>
      <c r="L118" s="34"/>
      <c r="M118" s="65"/>
      <c r="N118" s="38">
        <v>4300</v>
      </c>
      <c r="O118" s="39"/>
      <c r="P118" s="39">
        <v>348</v>
      </c>
      <c r="Q118" s="39"/>
    </row>
    <row r="119" spans="1:17" ht="13.5" customHeight="1">
      <c r="A119" s="34" t="s">
        <v>225</v>
      </c>
      <c r="B119" s="34" t="s">
        <v>347</v>
      </c>
      <c r="C119" s="41"/>
      <c r="D119" s="47" t="str">
        <f t="shared" si="6"/>
        <v/>
      </c>
      <c r="E119" s="48" t="str">
        <f t="shared" si="7"/>
        <v/>
      </c>
      <c r="F119" s="65"/>
      <c r="G119" s="34" t="s">
        <v>299</v>
      </c>
      <c r="H119" s="34" t="s">
        <v>311</v>
      </c>
      <c r="I119" s="34" t="s">
        <v>305</v>
      </c>
      <c r="J119" s="37">
        <v>41956</v>
      </c>
      <c r="K119" s="66"/>
      <c r="L119" s="34"/>
      <c r="M119" s="65"/>
      <c r="N119" s="38">
        <v>8000</v>
      </c>
      <c r="O119" s="39"/>
      <c r="P119" s="39">
        <v>648</v>
      </c>
      <c r="Q119" s="39"/>
    </row>
    <row r="120" spans="1:17" ht="13.5" customHeight="1">
      <c r="A120" s="34" t="s">
        <v>226</v>
      </c>
      <c r="B120" s="34" t="s">
        <v>141</v>
      </c>
      <c r="C120" s="41"/>
      <c r="D120" s="47" t="str">
        <f t="shared" si="6"/>
        <v/>
      </c>
      <c r="E120" s="48" t="str">
        <f t="shared" si="7"/>
        <v/>
      </c>
      <c r="F120" s="65"/>
      <c r="G120" s="34" t="s">
        <v>299</v>
      </c>
      <c r="H120" s="34" t="s">
        <v>311</v>
      </c>
      <c r="I120" s="34" t="s">
        <v>301</v>
      </c>
      <c r="J120" s="37">
        <v>42173</v>
      </c>
      <c r="K120" s="66"/>
      <c r="L120" s="34"/>
      <c r="M120" s="65"/>
      <c r="N120" s="38">
        <v>5100</v>
      </c>
      <c r="O120" s="39"/>
      <c r="P120" s="39">
        <v>413</v>
      </c>
      <c r="Q120" s="39"/>
    </row>
    <row r="121" spans="1:17" ht="13.5" customHeight="1">
      <c r="A121" s="34" t="s">
        <v>228</v>
      </c>
      <c r="B121" s="34" t="s">
        <v>143</v>
      </c>
      <c r="C121" s="41"/>
      <c r="D121" s="47" t="str">
        <f t="shared" si="6"/>
        <v/>
      </c>
      <c r="E121" s="48" t="str">
        <f t="shared" si="7"/>
        <v/>
      </c>
      <c r="F121" s="65"/>
      <c r="G121" s="34" t="s">
        <v>299</v>
      </c>
      <c r="H121" s="34" t="s">
        <v>318</v>
      </c>
      <c r="I121" s="34" t="s">
        <v>307</v>
      </c>
      <c r="J121" s="37">
        <v>42202</v>
      </c>
      <c r="K121" s="66"/>
      <c r="L121" s="34"/>
      <c r="M121" s="65"/>
      <c r="N121" s="38">
        <v>11000</v>
      </c>
      <c r="O121" s="39"/>
      <c r="P121" s="39">
        <v>891</v>
      </c>
      <c r="Q121" s="39"/>
    </row>
    <row r="122" spans="1:17" ht="13.5" customHeight="1">
      <c r="A122" s="34" t="s">
        <v>165</v>
      </c>
      <c r="B122" s="34" t="s">
        <v>344</v>
      </c>
      <c r="C122" s="41"/>
      <c r="D122" s="47" t="str">
        <f t="shared" si="6"/>
        <v/>
      </c>
      <c r="E122" s="48" t="str">
        <f t="shared" si="7"/>
        <v/>
      </c>
      <c r="F122" s="65"/>
      <c r="G122" s="34" t="s">
        <v>356</v>
      </c>
      <c r="H122" s="34" t="s">
        <v>358</v>
      </c>
      <c r="I122" s="34" t="s">
        <v>307</v>
      </c>
      <c r="J122" s="37">
        <v>42249</v>
      </c>
      <c r="K122" s="66"/>
      <c r="L122" s="34"/>
      <c r="M122" s="65"/>
      <c r="N122" s="38">
        <v>15000</v>
      </c>
      <c r="O122" s="39"/>
      <c r="P122" s="39">
        <v>1215</v>
      </c>
      <c r="Q122" s="39"/>
    </row>
  </sheetData>
  <sheetProtection password="CF7A" sheet="1" objects="1" scenarios="1" formatCells="0" formatColumns="0" formatRows="0" autoFilter="0"/>
  <autoFilter ref="A2:Q122" xr:uid="{00000000-0009-0000-0000-000000000000}"/>
  <sortState xmlns:xlrd2="http://schemas.microsoft.com/office/spreadsheetml/2017/richdata2" ref="A3:Q122">
    <sortCondition ref="J2"/>
  </sortState>
  <phoneticPr fontId="3" type="noConversion"/>
  <conditionalFormatting sqref="C119:C122 C109:C117">
    <cfRule type="duplicateValues" dxfId="8" priority="11"/>
    <cfRule type="duplicateValues" dxfId="7" priority="12"/>
  </conditionalFormatting>
  <conditionalFormatting sqref="C38:C122">
    <cfRule type="duplicateValues" dxfId="6" priority="15"/>
  </conditionalFormatting>
  <conditionalFormatting sqref="C38:C122">
    <cfRule type="duplicateValues" dxfId="5" priority="1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123"/>
  <sheetViews>
    <sheetView workbookViewId="0">
      <selection activeCell="B3" sqref="B3"/>
    </sheetView>
  </sheetViews>
  <sheetFormatPr defaultRowHeight="13.5"/>
  <cols>
    <col min="1" max="1" width="2.75" customWidth="1"/>
    <col min="2" max="2" width="8" style="1" bestFit="1" customWidth="1"/>
    <col min="3" max="3" width="18.625" style="1" customWidth="1"/>
    <col min="4" max="12" width="5.75" bestFit="1" customWidth="1"/>
    <col min="13" max="21" width="6.75" bestFit="1" customWidth="1"/>
    <col min="22" max="22" width="9.625" bestFit="1" customWidth="1"/>
    <col min="23" max="23" width="10.125" customWidth="1"/>
  </cols>
  <sheetData>
    <row r="2" spans="2:23" ht="16.5">
      <c r="B2" s="15" t="s">
        <v>41</v>
      </c>
      <c r="C2" s="15" t="s">
        <v>46</v>
      </c>
      <c r="D2" s="60" t="s">
        <v>400</v>
      </c>
      <c r="E2" s="60" t="s">
        <v>401</v>
      </c>
      <c r="F2" s="60" t="s">
        <v>402</v>
      </c>
      <c r="G2" s="60" t="s">
        <v>403</v>
      </c>
      <c r="H2" s="60" t="s">
        <v>404</v>
      </c>
      <c r="I2" s="60" t="s">
        <v>405</v>
      </c>
      <c r="J2" s="60" t="s">
        <v>406</v>
      </c>
      <c r="K2" s="60" t="s">
        <v>407</v>
      </c>
      <c r="L2" s="60" t="s">
        <v>408</v>
      </c>
      <c r="M2" s="60" t="s">
        <v>409</v>
      </c>
      <c r="N2" s="60" t="s">
        <v>410</v>
      </c>
      <c r="O2" s="60" t="s">
        <v>411</v>
      </c>
      <c r="P2" s="60" t="s">
        <v>412</v>
      </c>
      <c r="Q2" s="60" t="s">
        <v>413</v>
      </c>
      <c r="R2" s="60" t="s">
        <v>414</v>
      </c>
      <c r="S2" s="60" t="s">
        <v>415</v>
      </c>
      <c r="T2" s="60" t="s">
        <v>416</v>
      </c>
      <c r="U2" s="60" t="s">
        <v>417</v>
      </c>
      <c r="V2" s="60" t="s">
        <v>424</v>
      </c>
      <c r="W2" s="60" t="s">
        <v>418</v>
      </c>
    </row>
    <row r="3" spans="2:23">
      <c r="B3" s="11" t="s">
        <v>52</v>
      </c>
      <c r="C3" s="12" t="s">
        <v>465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</row>
    <row r="4" spans="2:23">
      <c r="B4" s="11" t="s">
        <v>2</v>
      </c>
      <c r="C4" s="12" t="s">
        <v>466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3"/>
    </row>
    <row r="5" spans="2:23">
      <c r="B5" s="11" t="s">
        <v>3</v>
      </c>
      <c r="C5" s="12" t="s">
        <v>425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3"/>
    </row>
    <row r="6" spans="2:23">
      <c r="B6" s="11" t="s">
        <v>4</v>
      </c>
      <c r="C6" s="12" t="s">
        <v>426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3"/>
    </row>
    <row r="7" spans="2:23">
      <c r="B7" s="11" t="s">
        <v>5</v>
      </c>
      <c r="C7" s="12" t="s">
        <v>40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3"/>
    </row>
    <row r="8" spans="2:23">
      <c r="B8" s="11" t="s">
        <v>6</v>
      </c>
      <c r="C8" s="12" t="s">
        <v>467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3"/>
    </row>
    <row r="9" spans="2:23">
      <c r="B9" s="11" t="s">
        <v>7</v>
      </c>
      <c r="C9" s="12" t="s">
        <v>427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3"/>
    </row>
    <row r="10" spans="2:23">
      <c r="B10" s="11" t="s">
        <v>8</v>
      </c>
      <c r="C10" s="12" t="s">
        <v>428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3"/>
    </row>
    <row r="11" spans="2:23">
      <c r="B11" s="11" t="s">
        <v>9</v>
      </c>
      <c r="C11" s="12" t="s">
        <v>429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3"/>
    </row>
    <row r="12" spans="2:23">
      <c r="B12" s="11" t="s">
        <v>10</v>
      </c>
      <c r="C12" s="12" t="s">
        <v>430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3"/>
    </row>
    <row r="13" spans="2:23">
      <c r="B13" s="11" t="s">
        <v>11</v>
      </c>
      <c r="C13" s="12" t="s">
        <v>468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3"/>
    </row>
    <row r="14" spans="2:23">
      <c r="B14" s="11" t="s">
        <v>12</v>
      </c>
      <c r="C14" s="12" t="s">
        <v>431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3"/>
    </row>
    <row r="15" spans="2:23">
      <c r="B15" s="11" t="s">
        <v>13</v>
      </c>
      <c r="C15" s="12" t="s">
        <v>432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3"/>
    </row>
    <row r="16" spans="2:23">
      <c r="B16" s="11" t="s">
        <v>14</v>
      </c>
      <c r="C16" s="12" t="s">
        <v>469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3"/>
    </row>
    <row r="17" spans="2:23">
      <c r="B17" s="11" t="s">
        <v>15</v>
      </c>
      <c r="C17" s="12" t="s">
        <v>433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3"/>
    </row>
    <row r="18" spans="2:23">
      <c r="B18" s="11" t="s">
        <v>16</v>
      </c>
      <c r="C18" s="12" t="s">
        <v>434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3"/>
    </row>
    <row r="19" spans="2:23">
      <c r="B19" s="11" t="s">
        <v>17</v>
      </c>
      <c r="C19" s="12" t="s">
        <v>435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3"/>
    </row>
    <row r="20" spans="2:23">
      <c r="B20" s="11" t="s">
        <v>18</v>
      </c>
      <c r="C20" s="12" t="s">
        <v>436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3"/>
    </row>
    <row r="21" spans="2:23">
      <c r="B21" s="11" t="s">
        <v>19</v>
      </c>
      <c r="C21" s="12" t="s">
        <v>437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3"/>
    </row>
    <row r="22" spans="2:23">
      <c r="B22" s="11" t="s">
        <v>20</v>
      </c>
      <c r="C22" s="12" t="s">
        <v>438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3"/>
    </row>
    <row r="23" spans="2:23">
      <c r="B23" s="11" t="s">
        <v>21</v>
      </c>
      <c r="C23" s="12" t="s">
        <v>439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3"/>
    </row>
    <row r="24" spans="2:23">
      <c r="B24" s="11" t="s">
        <v>22</v>
      </c>
      <c r="C24" s="12" t="s">
        <v>440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3"/>
    </row>
    <row r="25" spans="2:23">
      <c r="B25" s="11" t="s">
        <v>23</v>
      </c>
      <c r="C25" s="12" t="s">
        <v>441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3"/>
    </row>
    <row r="26" spans="2:23">
      <c r="B26" s="11" t="s">
        <v>24</v>
      </c>
      <c r="C26" s="12" t="s">
        <v>442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3"/>
    </row>
    <row r="27" spans="2:23">
      <c r="B27" s="11" t="s">
        <v>25</v>
      </c>
      <c r="C27" s="12" t="s">
        <v>443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3"/>
    </row>
    <row r="28" spans="2:23">
      <c r="B28" s="11" t="s">
        <v>26</v>
      </c>
      <c r="C28" s="12" t="s">
        <v>444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3"/>
    </row>
    <row r="29" spans="2:23">
      <c r="B29" s="11" t="s">
        <v>27</v>
      </c>
      <c r="C29" s="12" t="s">
        <v>445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3"/>
    </row>
    <row r="30" spans="2:23">
      <c r="B30" s="11" t="s">
        <v>28</v>
      </c>
      <c r="C30" s="12" t="s">
        <v>446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3"/>
    </row>
    <row r="31" spans="2:23">
      <c r="B31" s="11" t="s">
        <v>29</v>
      </c>
      <c r="C31" s="12" t="s">
        <v>447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3"/>
    </row>
    <row r="32" spans="2:23">
      <c r="B32" s="11" t="s">
        <v>30</v>
      </c>
      <c r="C32" s="12" t="s">
        <v>448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3"/>
    </row>
    <row r="33" spans="2:23">
      <c r="B33" s="11" t="s">
        <v>31</v>
      </c>
      <c r="C33" s="12" t="s">
        <v>470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3"/>
    </row>
    <row r="34" spans="2:23">
      <c r="B34" s="11" t="s">
        <v>32</v>
      </c>
      <c r="C34" s="12" t="s">
        <v>449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3"/>
    </row>
    <row r="35" spans="2:23">
      <c r="B35" s="11" t="s">
        <v>33</v>
      </c>
      <c r="C35" s="12" t="s">
        <v>450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3"/>
    </row>
    <row r="36" spans="2:23">
      <c r="B36" s="11" t="s">
        <v>34</v>
      </c>
      <c r="C36" s="12" t="s">
        <v>451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3"/>
    </row>
    <row r="37" spans="2:23">
      <c r="B37" s="11" t="s">
        <v>35</v>
      </c>
      <c r="C37" s="12" t="s">
        <v>471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3"/>
    </row>
    <row r="38" spans="2:23">
      <c r="B38" s="11" t="s">
        <v>148</v>
      </c>
      <c r="C38" s="12" t="s">
        <v>250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3"/>
    </row>
    <row r="39" spans="2:23">
      <c r="B39" s="11" t="s">
        <v>149</v>
      </c>
      <c r="C39" s="12" t="s">
        <v>251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3"/>
    </row>
    <row r="40" spans="2:23">
      <c r="B40" s="11" t="s">
        <v>150</v>
      </c>
      <c r="C40" s="12" t="s">
        <v>290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3"/>
    </row>
    <row r="41" spans="2:23">
      <c r="B41" s="11" t="s">
        <v>151</v>
      </c>
      <c r="C41" s="12" t="s">
        <v>291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3"/>
    </row>
    <row r="42" spans="2:23">
      <c r="B42" s="11" t="s">
        <v>152</v>
      </c>
      <c r="C42" s="12" t="s">
        <v>252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3"/>
    </row>
    <row r="43" spans="2:23">
      <c r="B43" s="11" t="s">
        <v>153</v>
      </c>
      <c r="C43" s="12" t="s">
        <v>253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3"/>
    </row>
    <row r="44" spans="2:23">
      <c r="B44" s="11" t="s">
        <v>154</v>
      </c>
      <c r="C44" s="12" t="s">
        <v>254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3"/>
    </row>
    <row r="45" spans="2:23">
      <c r="B45" s="11" t="s">
        <v>155</v>
      </c>
      <c r="C45" s="12" t="s">
        <v>255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3"/>
    </row>
    <row r="46" spans="2:23">
      <c r="B46" s="11" t="s">
        <v>156</v>
      </c>
      <c r="C46" s="12" t="s">
        <v>256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3"/>
    </row>
    <row r="47" spans="2:23">
      <c r="B47" s="11" t="s">
        <v>157</v>
      </c>
      <c r="C47" s="12" t="s">
        <v>257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3"/>
    </row>
    <row r="48" spans="2:23">
      <c r="B48" s="11" t="s">
        <v>158</v>
      </c>
      <c r="C48" s="12" t="s">
        <v>258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3"/>
    </row>
    <row r="49" spans="2:23">
      <c r="B49" s="11" t="s">
        <v>159</v>
      </c>
      <c r="C49" s="13" t="s">
        <v>472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3"/>
    </row>
    <row r="50" spans="2:23">
      <c r="B50" s="11" t="s">
        <v>160</v>
      </c>
      <c r="C50" s="13" t="s">
        <v>473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3"/>
    </row>
    <row r="51" spans="2:23">
      <c r="B51" s="11" t="s">
        <v>161</v>
      </c>
      <c r="C51" s="12" t="s">
        <v>259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3"/>
    </row>
    <row r="52" spans="2:23">
      <c r="B52" s="11" t="s">
        <v>162</v>
      </c>
      <c r="C52" s="12" t="s">
        <v>292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3"/>
    </row>
    <row r="53" spans="2:23">
      <c r="B53" s="11" t="s">
        <v>163</v>
      </c>
      <c r="C53" s="12" t="s">
        <v>293</v>
      </c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3"/>
    </row>
    <row r="54" spans="2:23">
      <c r="B54" s="11" t="s">
        <v>164</v>
      </c>
      <c r="C54" s="13" t="s">
        <v>474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3"/>
    </row>
    <row r="55" spans="2:23">
      <c r="B55" s="11" t="s">
        <v>165</v>
      </c>
      <c r="C55" s="12" t="s">
        <v>260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3"/>
    </row>
    <row r="56" spans="2:23">
      <c r="B56" s="11" t="s">
        <v>166</v>
      </c>
      <c r="C56" s="12" t="s">
        <v>294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3"/>
    </row>
    <row r="57" spans="2:23">
      <c r="B57" s="11" t="s">
        <v>167</v>
      </c>
      <c r="C57" s="12" t="s">
        <v>295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3"/>
    </row>
    <row r="58" spans="2:23">
      <c r="B58" s="11" t="s">
        <v>168</v>
      </c>
      <c r="C58" s="12" t="s">
        <v>261</v>
      </c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3"/>
    </row>
    <row r="59" spans="2:23">
      <c r="B59" s="11" t="s">
        <v>169</v>
      </c>
      <c r="C59" s="12" t="s">
        <v>262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3"/>
    </row>
    <row r="60" spans="2:23">
      <c r="B60" s="11" t="s">
        <v>170</v>
      </c>
      <c r="C60" s="12" t="s">
        <v>263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3"/>
    </row>
    <row r="61" spans="2:23">
      <c r="B61" s="11" t="s">
        <v>171</v>
      </c>
      <c r="C61" s="12" t="s">
        <v>264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3"/>
    </row>
    <row r="62" spans="2:23">
      <c r="B62" s="11" t="s">
        <v>172</v>
      </c>
      <c r="C62" s="12" t="s">
        <v>265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3"/>
    </row>
    <row r="63" spans="2:23">
      <c r="B63" s="11" t="s">
        <v>173</v>
      </c>
      <c r="C63" s="12" t="s">
        <v>381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3"/>
    </row>
    <row r="64" spans="2:23">
      <c r="B64" s="11" t="s">
        <v>174</v>
      </c>
      <c r="C64" s="12" t="s">
        <v>266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3"/>
    </row>
    <row r="65" spans="2:23">
      <c r="B65" s="11" t="s">
        <v>175</v>
      </c>
      <c r="C65" s="13" t="s">
        <v>267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</row>
    <row r="66" spans="2:23">
      <c r="B66" s="11" t="s">
        <v>176</v>
      </c>
      <c r="C66" s="12" t="s">
        <v>268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3"/>
    </row>
    <row r="67" spans="2:23">
      <c r="B67" s="11" t="s">
        <v>177</v>
      </c>
      <c r="C67" s="12" t="s">
        <v>269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3"/>
    </row>
    <row r="68" spans="2:23">
      <c r="B68" s="11" t="s">
        <v>178</v>
      </c>
      <c r="C68" s="12" t="s">
        <v>475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3"/>
    </row>
    <row r="69" spans="2:23">
      <c r="B69" s="11" t="s">
        <v>179</v>
      </c>
      <c r="C69" s="12" t="s">
        <v>452</v>
      </c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3"/>
    </row>
    <row r="70" spans="2:23">
      <c r="B70" s="11" t="s">
        <v>180</v>
      </c>
      <c r="C70" s="12" t="s">
        <v>453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3"/>
    </row>
    <row r="71" spans="2:23">
      <c r="B71" s="11" t="s">
        <v>181</v>
      </c>
      <c r="C71" s="12" t="s">
        <v>270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3"/>
    </row>
    <row r="72" spans="2:23">
      <c r="B72" s="11" t="s">
        <v>182</v>
      </c>
      <c r="C72" s="12" t="s">
        <v>271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3"/>
    </row>
    <row r="73" spans="2:23">
      <c r="B73" s="11" t="s">
        <v>183</v>
      </c>
      <c r="C73" s="12" t="s">
        <v>272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3"/>
    </row>
    <row r="74" spans="2:23">
      <c r="B74" s="11" t="s">
        <v>184</v>
      </c>
      <c r="C74" s="12" t="s">
        <v>273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3"/>
    </row>
    <row r="75" spans="2:23">
      <c r="B75" s="11" t="s">
        <v>185</v>
      </c>
      <c r="C75" s="12" t="s">
        <v>476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3"/>
    </row>
    <row r="76" spans="2:23">
      <c r="B76" s="11" t="s">
        <v>186</v>
      </c>
      <c r="C76" s="12" t="s">
        <v>274</v>
      </c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3"/>
    </row>
    <row r="77" spans="2:23">
      <c r="B77" s="11" t="s">
        <v>187</v>
      </c>
      <c r="C77" s="13" t="s">
        <v>275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3"/>
    </row>
    <row r="78" spans="2:23">
      <c r="B78" s="11" t="s">
        <v>188</v>
      </c>
      <c r="C78" s="12" t="s">
        <v>454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3"/>
    </row>
    <row r="79" spans="2:23">
      <c r="B79" s="11" t="s">
        <v>189</v>
      </c>
      <c r="C79" s="14" t="s">
        <v>235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3"/>
    </row>
    <row r="80" spans="2:23">
      <c r="B80" s="11" t="s">
        <v>190</v>
      </c>
      <c r="C80" s="14" t="s">
        <v>455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3"/>
    </row>
    <row r="81" spans="2:23">
      <c r="B81" s="11" t="s">
        <v>191</v>
      </c>
      <c r="C81" s="12" t="s">
        <v>276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3"/>
    </row>
    <row r="82" spans="2:23">
      <c r="B82" s="11" t="s">
        <v>192</v>
      </c>
      <c r="C82" s="12" t="s">
        <v>277</v>
      </c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3"/>
    </row>
    <row r="83" spans="2:23">
      <c r="B83" s="11" t="s">
        <v>193</v>
      </c>
      <c r="C83" s="12" t="s">
        <v>456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3"/>
    </row>
    <row r="84" spans="2:23">
      <c r="B84" s="11" t="s">
        <v>194</v>
      </c>
      <c r="C84" s="12" t="s">
        <v>278</v>
      </c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3"/>
    </row>
    <row r="85" spans="2:23">
      <c r="B85" s="11" t="s">
        <v>195</v>
      </c>
      <c r="C85" s="12" t="s">
        <v>279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3"/>
    </row>
    <row r="86" spans="2:23">
      <c r="B86" s="11" t="s">
        <v>196</v>
      </c>
      <c r="C86" s="12" t="s">
        <v>477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3"/>
    </row>
    <row r="87" spans="2:23">
      <c r="B87" s="11" t="s">
        <v>197</v>
      </c>
      <c r="C87" s="12" t="s">
        <v>280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3"/>
    </row>
    <row r="88" spans="2:23">
      <c r="B88" s="11" t="s">
        <v>198</v>
      </c>
      <c r="C88" s="12" t="s">
        <v>281</v>
      </c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3"/>
    </row>
    <row r="89" spans="2:23">
      <c r="B89" s="11" t="s">
        <v>199</v>
      </c>
      <c r="C89" s="12" t="s">
        <v>282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3"/>
    </row>
    <row r="90" spans="2:23">
      <c r="B90" s="11" t="s">
        <v>200</v>
      </c>
      <c r="C90" s="12" t="s">
        <v>283</v>
      </c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3"/>
    </row>
    <row r="91" spans="2:23">
      <c r="B91" s="11" t="s">
        <v>201</v>
      </c>
      <c r="C91" s="12" t="s">
        <v>478</v>
      </c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3"/>
    </row>
    <row r="92" spans="2:23">
      <c r="B92" s="11" t="s">
        <v>202</v>
      </c>
      <c r="C92" s="12" t="s">
        <v>479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3"/>
    </row>
    <row r="93" spans="2:23">
      <c r="B93" s="11" t="s">
        <v>203</v>
      </c>
      <c r="C93" s="12" t="s">
        <v>284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3"/>
    </row>
    <row r="94" spans="2:23">
      <c r="B94" s="11" t="s">
        <v>204</v>
      </c>
      <c r="C94" s="12" t="s">
        <v>285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3"/>
    </row>
    <row r="95" spans="2:23">
      <c r="B95" s="11" t="s">
        <v>205</v>
      </c>
      <c r="C95" s="12" t="s">
        <v>286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3"/>
    </row>
    <row r="96" spans="2:23">
      <c r="B96" s="11" t="s">
        <v>206</v>
      </c>
      <c r="C96" s="12" t="s">
        <v>457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3"/>
    </row>
    <row r="97" spans="2:23">
      <c r="B97" s="11" t="s">
        <v>207</v>
      </c>
      <c r="C97" s="12" t="s">
        <v>287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3"/>
    </row>
    <row r="98" spans="2:23">
      <c r="B98" s="11" t="s">
        <v>208</v>
      </c>
      <c r="C98" s="12" t="s">
        <v>458</v>
      </c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3"/>
    </row>
    <row r="99" spans="2:23">
      <c r="B99" s="11" t="s">
        <v>209</v>
      </c>
      <c r="C99" s="12" t="s">
        <v>459</v>
      </c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3"/>
    </row>
    <row r="100" spans="2:23">
      <c r="B100" s="11" t="s">
        <v>210</v>
      </c>
      <c r="C100" s="12" t="s">
        <v>288</v>
      </c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3"/>
    </row>
    <row r="101" spans="2:23">
      <c r="B101" s="11" t="s">
        <v>211</v>
      </c>
      <c r="C101" s="12" t="s">
        <v>460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3"/>
    </row>
    <row r="102" spans="2:23">
      <c r="B102" s="11" t="s">
        <v>212</v>
      </c>
      <c r="C102" s="12" t="s">
        <v>289</v>
      </c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3"/>
    </row>
    <row r="103" spans="2:23">
      <c r="B103" s="11" t="s">
        <v>213</v>
      </c>
      <c r="C103" s="12" t="s">
        <v>236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3"/>
    </row>
    <row r="104" spans="2:23">
      <c r="B104" s="11" t="s">
        <v>214</v>
      </c>
      <c r="C104" s="12" t="s">
        <v>461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3"/>
    </row>
    <row r="105" spans="2:23">
      <c r="B105" s="11" t="s">
        <v>215</v>
      </c>
      <c r="C105" s="12" t="s">
        <v>237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3"/>
    </row>
    <row r="106" spans="2:23">
      <c r="B106" s="11" t="s">
        <v>216</v>
      </c>
      <c r="C106" s="12" t="s">
        <v>462</v>
      </c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3"/>
    </row>
    <row r="107" spans="2:23">
      <c r="B107" s="11" t="s">
        <v>217</v>
      </c>
      <c r="C107" s="12" t="s">
        <v>238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3"/>
    </row>
    <row r="108" spans="2:23">
      <c r="B108" s="11" t="s">
        <v>218</v>
      </c>
      <c r="C108" s="12" t="s">
        <v>239</v>
      </c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3"/>
    </row>
    <row r="109" spans="2:23">
      <c r="B109" s="11" t="s">
        <v>219</v>
      </c>
      <c r="C109" s="12" t="s">
        <v>463</v>
      </c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3"/>
    </row>
    <row r="110" spans="2:23">
      <c r="B110" s="11" t="s">
        <v>220</v>
      </c>
      <c r="C110" s="12" t="s">
        <v>240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3"/>
    </row>
    <row r="111" spans="2:23">
      <c r="B111" s="11" t="s">
        <v>221</v>
      </c>
      <c r="C111" s="12" t="s">
        <v>241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3"/>
    </row>
    <row r="112" spans="2:23">
      <c r="B112" s="11" t="s">
        <v>222</v>
      </c>
      <c r="C112" s="12" t="s">
        <v>242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3"/>
    </row>
    <row r="113" spans="2:23">
      <c r="B113" s="11" t="s">
        <v>223</v>
      </c>
      <c r="C113" s="12" t="s">
        <v>243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3"/>
    </row>
    <row r="114" spans="2:23">
      <c r="B114" s="11" t="s">
        <v>224</v>
      </c>
      <c r="C114" s="12" t="s">
        <v>464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3"/>
    </row>
    <row r="115" spans="2:23">
      <c r="B115" s="11" t="s">
        <v>225</v>
      </c>
      <c r="C115" s="12" t="s">
        <v>244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3"/>
    </row>
    <row r="116" spans="2:23">
      <c r="B116" s="11" t="s">
        <v>226</v>
      </c>
      <c r="C116" s="12" t="s">
        <v>245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3"/>
    </row>
    <row r="117" spans="2:23">
      <c r="B117" s="11" t="s">
        <v>227</v>
      </c>
      <c r="C117" s="12" t="s">
        <v>480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3"/>
    </row>
    <row r="118" spans="2:23">
      <c r="B118" s="11" t="s">
        <v>228</v>
      </c>
      <c r="C118" s="12" t="s">
        <v>481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3"/>
    </row>
    <row r="119" spans="2:23">
      <c r="B119" s="11" t="s">
        <v>229</v>
      </c>
      <c r="C119" s="12" t="s">
        <v>246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3"/>
    </row>
    <row r="120" spans="2:23">
      <c r="B120" s="11" t="s">
        <v>230</v>
      </c>
      <c r="C120" s="12" t="s">
        <v>247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3"/>
    </row>
    <row r="121" spans="2:23">
      <c r="B121" s="11" t="s">
        <v>231</v>
      </c>
      <c r="C121" s="12" t="s">
        <v>248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3"/>
    </row>
    <row r="122" spans="2:23">
      <c r="B122" s="11" t="s">
        <v>232</v>
      </c>
      <c r="C122" s="12" t="s">
        <v>249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3"/>
    </row>
    <row r="123" spans="2:23" ht="15"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</row>
  </sheetData>
  <phoneticPr fontId="2" type="noConversion"/>
  <pageMargins left="0.7" right="0.7" top="0.75" bottom="0.75" header="0.3" footer="0.3"/>
  <pageSetup paperSize="9" orientation="portrait" r:id="rId1"/>
  <ignoredErrors>
    <ignoredError sqref="C3:C1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showGridLines="0" workbookViewId="0">
      <selection activeCell="F8" sqref="F8"/>
    </sheetView>
  </sheetViews>
  <sheetFormatPr defaultRowHeight="13.5"/>
  <cols>
    <col min="1" max="1" width="0.875" customWidth="1"/>
    <col min="2" max="2" width="12.125" customWidth="1"/>
    <col min="3" max="3" width="15.875" customWidth="1"/>
    <col min="4" max="4" width="5.25" customWidth="1"/>
    <col min="5" max="13" width="6.625" bestFit="1" customWidth="1"/>
    <col min="14" max="21" width="7.75" bestFit="1" customWidth="1"/>
  </cols>
  <sheetData>
    <row r="1" spans="1:21" ht="25.5" customHeight="1"/>
    <row r="2" spans="1:21" ht="24.75" customHeight="1" thickBot="1">
      <c r="B2" s="72" t="s">
        <v>421</v>
      </c>
      <c r="C2" s="72"/>
      <c r="D2" s="18"/>
      <c r="E2" s="71" t="s">
        <v>423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1:21" ht="5.25" customHeight="1" thickTop="1"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8.75" customHeight="1">
      <c r="A4" s="16"/>
      <c r="B4" s="50" t="s">
        <v>419</v>
      </c>
      <c r="C4" s="51" t="s">
        <v>422</v>
      </c>
      <c r="D4" s="17"/>
      <c r="E4" s="56" t="s">
        <v>400</v>
      </c>
      <c r="F4" s="57" t="s">
        <v>401</v>
      </c>
      <c r="G4" s="57" t="s">
        <v>402</v>
      </c>
      <c r="H4" s="57" t="s">
        <v>403</v>
      </c>
      <c r="I4" s="57" t="s">
        <v>404</v>
      </c>
      <c r="J4" s="57" t="s">
        <v>405</v>
      </c>
      <c r="K4" s="57" t="s">
        <v>406</v>
      </c>
      <c r="L4" s="57" t="s">
        <v>407</v>
      </c>
      <c r="M4" s="57" t="s">
        <v>408</v>
      </c>
      <c r="N4" s="57" t="s">
        <v>409</v>
      </c>
      <c r="O4" s="57" t="s">
        <v>410</v>
      </c>
      <c r="P4" s="57" t="s">
        <v>411</v>
      </c>
      <c r="Q4" s="57" t="s">
        <v>412</v>
      </c>
      <c r="R4" s="57" t="s">
        <v>413</v>
      </c>
      <c r="S4" s="57" t="s">
        <v>414</v>
      </c>
      <c r="T4" s="57" t="s">
        <v>415</v>
      </c>
      <c r="U4" s="58" t="s">
        <v>416</v>
      </c>
    </row>
    <row r="5" spans="1:21" ht="18.75" customHeight="1">
      <c r="B5" s="52">
        <v>0</v>
      </c>
      <c r="C5" s="53">
        <v>1</v>
      </c>
      <c r="D5" s="17"/>
      <c r="E5" s="21">
        <v>7</v>
      </c>
      <c r="F5" s="22">
        <v>9</v>
      </c>
      <c r="G5" s="22">
        <v>10</v>
      </c>
      <c r="H5" s="22">
        <v>5</v>
      </c>
      <c r="I5" s="22">
        <v>8</v>
      </c>
      <c r="J5" s="22">
        <v>4</v>
      </c>
      <c r="K5" s="22">
        <v>2</v>
      </c>
      <c r="L5" s="22">
        <v>1</v>
      </c>
      <c r="M5" s="22">
        <v>6</v>
      </c>
      <c r="N5" s="22">
        <v>3</v>
      </c>
      <c r="O5" s="22">
        <v>7</v>
      </c>
      <c r="P5" s="22">
        <v>9</v>
      </c>
      <c r="Q5" s="22">
        <v>10</v>
      </c>
      <c r="R5" s="22">
        <v>5</v>
      </c>
      <c r="S5" s="22">
        <v>8</v>
      </c>
      <c r="T5" s="22">
        <v>4</v>
      </c>
      <c r="U5" s="23">
        <v>2</v>
      </c>
    </row>
    <row r="6" spans="1:21" ht="18.75" customHeight="1">
      <c r="B6" s="54">
        <v>1</v>
      </c>
      <c r="C6" s="55">
        <v>0</v>
      </c>
      <c r="D6" s="17"/>
    </row>
    <row r="7" spans="1:21" ht="18.75" customHeight="1">
      <c r="B7" s="52">
        <v>2</v>
      </c>
      <c r="C7" s="53" t="s">
        <v>420</v>
      </c>
      <c r="D7" s="17"/>
    </row>
    <row r="8" spans="1:21" ht="18.75" customHeight="1">
      <c r="B8" s="54">
        <v>3</v>
      </c>
      <c r="C8" s="55">
        <v>9</v>
      </c>
      <c r="D8" s="17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21" ht="18.75" customHeight="1">
      <c r="B9" s="52">
        <v>4</v>
      </c>
      <c r="C9" s="53">
        <v>8</v>
      </c>
      <c r="D9" s="17"/>
      <c r="F9" s="64"/>
      <c r="G9" s="64"/>
      <c r="H9" s="64"/>
    </row>
    <row r="10" spans="1:21" ht="18.75" customHeight="1">
      <c r="B10" s="54">
        <v>5</v>
      </c>
      <c r="C10" s="55">
        <v>7</v>
      </c>
      <c r="D10" s="17"/>
    </row>
    <row r="11" spans="1:21" ht="18.75" customHeight="1">
      <c r="B11" s="52">
        <v>6</v>
      </c>
      <c r="C11" s="53">
        <v>6</v>
      </c>
      <c r="D11" s="17"/>
    </row>
    <row r="12" spans="1:21" ht="18.75" customHeight="1">
      <c r="B12" s="54">
        <v>7</v>
      </c>
      <c r="C12" s="55">
        <v>5</v>
      </c>
      <c r="D12" s="17"/>
    </row>
    <row r="13" spans="1:21" ht="18.75" customHeight="1">
      <c r="B13" s="52">
        <v>8</v>
      </c>
      <c r="C13" s="53">
        <v>4</v>
      </c>
      <c r="D13" s="17"/>
    </row>
    <row r="14" spans="1:21" ht="18.75" customHeight="1">
      <c r="B14" s="54">
        <v>9</v>
      </c>
      <c r="C14" s="55">
        <v>3</v>
      </c>
      <c r="D14" s="17"/>
    </row>
    <row r="15" spans="1:21" ht="18.75" customHeight="1">
      <c r="B15" s="19">
        <v>10</v>
      </c>
      <c r="C15" s="20">
        <v>2</v>
      </c>
      <c r="D15" s="17"/>
    </row>
  </sheetData>
  <mergeCells count="2">
    <mergeCell ref="E2:U2"/>
    <mergeCell ref="B2:C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"/>
  <sheetViews>
    <sheetView topLeftCell="B1" workbookViewId="0">
      <selection activeCell="G13" sqref="G13"/>
    </sheetView>
  </sheetViews>
  <sheetFormatPr defaultRowHeight="13.5"/>
  <cols>
    <col min="1" max="1" width="1.125" hidden="1" customWidth="1"/>
    <col min="2" max="2" width="8.75" style="9" customWidth="1"/>
    <col min="3" max="3" width="7" style="9" customWidth="1"/>
    <col min="4" max="4" width="9.125" style="9" customWidth="1"/>
    <col min="5" max="5" width="9.625" style="9" customWidth="1"/>
    <col min="6" max="6" width="11.125" style="9" customWidth="1"/>
    <col min="7" max="7" width="10.875" style="9" customWidth="1"/>
    <col min="8" max="12" width="10.5" style="9" bestFit="1" customWidth="1"/>
    <col min="13" max="13" width="10.75" style="9" customWidth="1"/>
    <col min="14" max="15" width="10.5" style="9" bestFit="1" customWidth="1"/>
    <col min="16" max="16" width="10" customWidth="1"/>
    <col min="17" max="17" width="11.125" customWidth="1"/>
    <col min="18" max="18" width="10.625" customWidth="1"/>
    <col min="19" max="19" width="9.375" customWidth="1"/>
    <col min="20" max="20" width="10.25" bestFit="1" customWidth="1"/>
  </cols>
  <sheetData>
    <row r="1" spans="2:15" ht="23.25" customHeight="1" thickBot="1">
      <c r="B1" s="72" t="s">
        <v>384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2:15" ht="7.5" customHeight="1" thickTop="1">
      <c r="F2" s="10"/>
      <c r="H2" s="10"/>
      <c r="J2" s="10"/>
      <c r="L2" s="10"/>
      <c r="N2" s="10"/>
    </row>
    <row r="3" spans="2:15" ht="20.25" customHeight="1">
      <c r="B3" s="64" t="s">
        <v>383</v>
      </c>
      <c r="C3" s="64" t="s">
        <v>42</v>
      </c>
      <c r="D3" s="64" t="s">
        <v>380</v>
      </c>
      <c r="E3" s="64" t="s">
        <v>399</v>
      </c>
      <c r="F3" s="64" t="s">
        <v>389</v>
      </c>
      <c r="G3" s="64" t="s">
        <v>390</v>
      </c>
      <c r="H3" s="64" t="s">
        <v>391</v>
      </c>
      <c r="I3" s="64" t="s">
        <v>392</v>
      </c>
      <c r="J3" s="64" t="s">
        <v>393</v>
      </c>
      <c r="K3" s="64" t="s">
        <v>394</v>
      </c>
      <c r="L3" s="64" t="s">
        <v>395</v>
      </c>
      <c r="M3" s="64" t="s">
        <v>396</v>
      </c>
      <c r="N3" s="64" t="s">
        <v>397</v>
      </c>
      <c r="O3" s="64" t="s">
        <v>398</v>
      </c>
    </row>
  </sheetData>
  <mergeCells count="1">
    <mergeCell ref="B1:O1"/>
  </mergeCells>
  <phoneticPr fontId="2" type="noConversion"/>
  <printOptions horizontalCentered="1"/>
  <pageMargins left="0.31496062992125984" right="0.11811023622047245" top="0.74803149606299213" bottom="0.74803149606299213" header="0.31496062992125984" footer="0.31496062992125984"/>
  <pageSetup paperSize="9" scale="8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C8" sqref="C8"/>
    </sheetView>
  </sheetViews>
  <sheetFormatPr defaultColWidth="0" defaultRowHeight="13.5" zeroHeight="1"/>
  <cols>
    <col min="1" max="1" width="11.625" customWidth="1"/>
    <col min="2" max="2" width="14.625" customWidth="1"/>
    <col min="3" max="3" width="14.5" customWidth="1"/>
    <col min="4" max="4" width="20.375" customWidth="1"/>
    <col min="5" max="5" width="9.875" hidden="1" customWidth="1"/>
    <col min="6" max="16384" width="9" hidden="1"/>
  </cols>
  <sheetData>
    <row r="1" spans="1:5" ht="29.25" customHeight="1">
      <c r="A1" s="73" t="s">
        <v>378</v>
      </c>
      <c r="B1" s="73"/>
      <c r="C1" s="73"/>
      <c r="D1" s="73"/>
    </row>
    <row r="2" spans="1:5" ht="5.25" customHeight="1">
      <c r="A2" s="4"/>
      <c r="B2" s="4"/>
      <c r="C2" s="4"/>
      <c r="D2" s="4"/>
    </row>
    <row r="3" spans="1:5" ht="25.5" customHeight="1">
      <c r="A3" s="2" t="s">
        <v>379</v>
      </c>
      <c r="B3" s="8" t="s">
        <v>386</v>
      </c>
      <c r="C3" s="8" t="s">
        <v>387</v>
      </c>
      <c r="D3" s="2" t="s">
        <v>388</v>
      </c>
      <c r="E3" s="2"/>
    </row>
    <row r="4" spans="1:5" ht="19.5" customHeight="1">
      <c r="A4" s="2" t="s">
        <v>373</v>
      </c>
      <c r="B4" s="5">
        <v>0.19</v>
      </c>
      <c r="C4" s="5">
        <v>0.08</v>
      </c>
      <c r="D4" s="6">
        <v>0</v>
      </c>
    </row>
    <row r="5" spans="1:5" ht="19.5" customHeight="1">
      <c r="A5" s="2" t="s">
        <v>374</v>
      </c>
      <c r="B5" s="5">
        <v>8.0000000000000002E-3</v>
      </c>
      <c r="C5" s="5">
        <v>2E-3</v>
      </c>
      <c r="D5" s="6">
        <v>0</v>
      </c>
    </row>
    <row r="6" spans="1:5" ht="19.5" customHeight="1">
      <c r="A6" s="2" t="s">
        <v>375</v>
      </c>
      <c r="B6" s="5">
        <v>2E-3</v>
      </c>
      <c r="C6" s="5">
        <v>0</v>
      </c>
      <c r="D6" s="6">
        <v>0</v>
      </c>
    </row>
    <row r="7" spans="1:5" ht="19.5" customHeight="1">
      <c r="A7" s="2" t="s">
        <v>376</v>
      </c>
      <c r="B7" s="5">
        <v>8.0000000000000002E-3</v>
      </c>
      <c r="C7" s="5">
        <v>0</v>
      </c>
      <c r="D7" s="6">
        <v>0</v>
      </c>
    </row>
    <row r="8" spans="1:5" ht="19.5" customHeight="1">
      <c r="A8" s="68" t="s">
        <v>377</v>
      </c>
      <c r="B8" s="69">
        <v>0.1</v>
      </c>
      <c r="C8" s="69">
        <v>0.02</v>
      </c>
      <c r="D8" s="70">
        <v>3</v>
      </c>
    </row>
    <row r="9" spans="1:5" ht="19.5" customHeight="1">
      <c r="A9" s="2"/>
      <c r="B9" s="5"/>
      <c r="C9" s="5"/>
      <c r="D9" s="3"/>
    </row>
    <row r="10" spans="1:5" ht="15">
      <c r="A10" s="7" t="s">
        <v>385</v>
      </c>
    </row>
    <row r="11" spans="1:5" ht="15">
      <c r="A11" s="7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员工档案</vt:lpstr>
      <vt:lpstr>身份证校对</vt:lpstr>
      <vt:lpstr>校对参数</vt:lpstr>
      <vt:lpstr>社保计算</vt:lpstr>
      <vt:lpstr>社保费率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dc:description>123</dc:description>
  <cp:lastModifiedBy>wuyou</cp:lastModifiedBy>
  <dcterms:created xsi:type="dcterms:W3CDTF">2013-01-31T06:56:58Z</dcterms:created>
  <dcterms:modified xsi:type="dcterms:W3CDTF">2020-11-06T07:01:35Z</dcterms:modified>
</cp:coreProperties>
</file>