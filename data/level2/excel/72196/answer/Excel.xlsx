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-120" yWindow="-120" windowWidth="24240" windowHeight="13140" firstSheet="2" activeTab="4"/>
  </bookViews>
  <sheets>
    <sheet name="辅助" sheetId="5" r:id="rId1"/>
    <sheet name="第六次普查数据" sheetId="1" r:id="rId2"/>
    <sheet name="透视分析" sheetId="3" r:id="rId3"/>
    <sheet name="第五次普查数据" sheetId="2" r:id="rId4"/>
    <sheet name="统计数据" sheetId="4" r:id="rId5"/>
  </sheets>
  <definedNames>
    <definedName name="_xlcn.LinkedTable__2000年1" hidden="1">_2000年[]</definedName>
    <definedName name="_xlcn.LinkedTable_表11" hidden="1">表1[]</definedName>
    <definedName name="ExternalData_1" localSheetId="3" hidden="1">第五次普查数据!$A$1:$B$37</definedName>
  </definedNames>
  <calcPr calcId="162913" fullPrecision="0"/>
  <pivotCaches>
    <pivotCache cacheId="12" r:id="rId6"/>
    <pivotCache cacheId="1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1" name="2010年" connection="LinkedTable_表1"/>
          <x15:modelTable id="_2000年" name="2000年" connection="LinkedTable__2000年"/>
        </x15:modelTables>
        <x15:modelRelationships>
          <x15:modelRelationship fromTable="2000年" fromColumn="地区" toTable="2010年" toColumn="地区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4" l="1"/>
  <c r="D8" i="4"/>
  <c r="D7" i="4"/>
  <c r="D6" i="4"/>
  <c r="C6" i="4"/>
  <c r="D5" i="4"/>
  <c r="C5" i="4"/>
  <c r="D3" i="4"/>
  <c r="D4" i="4"/>
  <c r="C3" i="4"/>
</calcChain>
</file>

<file path=xl/connections.xml><?xml version="1.0" encoding="utf-8"?>
<connections xmlns="http://schemas.openxmlformats.org/spreadsheetml/2006/main">
  <connection id="1" name="LinkedTable__2000年" type="102" refreshedVersion="6" minRefreshableVersion="5">
    <extLst>
      <ext xmlns:x15="http://schemas.microsoft.com/office/spreadsheetml/2010/11/main" uri="{DE250136-89BD-433C-8126-D09CA5730AF9}">
        <x15:connection id="_2000年">
          <x15:rangePr sourceName="_xlcn.LinkedTable__2000年1"/>
        </x15:connection>
      </ext>
    </extLst>
  </connection>
  <connection id="2" name="LinkedTable_表1" type="102" refreshedVersion="6" minRefreshableVersion="5">
    <extLst>
      <ext xmlns:x15="http://schemas.microsoft.com/office/spreadsheetml/2010/11/main" uri="{DE250136-89BD-433C-8126-D09CA5730AF9}">
        <x15:connection id="表1">
          <x15:rangePr sourceName="_xlcn.LinkedTable_表11"/>
        </x15:connection>
      </ext>
    </extLst>
  </connection>
  <connection id="3" keepAlive="1" name="ThisWorkbookDataModel" description="数据模型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keepAlive="1" name="查询 - 2000年" description="与工作簿中“2000年”查询的连接。" type="5" refreshedVersion="6" background="1" saveData="1">
    <dbPr connection="Provider=Microsoft.Mashup.OleDb.1;Data Source=$Workbook$;Location=2000年;Extended Properties=&quot;&quot;" command="SELECT * FROM [2000年]"/>
  </connection>
</connections>
</file>

<file path=xl/sharedStrings.xml><?xml version="1.0" encoding="utf-8"?>
<sst xmlns="http://schemas.openxmlformats.org/spreadsheetml/2006/main" count="173" uniqueCount="59">
  <si>
    <t>地区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</si>
  <si>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</si>
  <si>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</si>
  <si>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</si>
  <si>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</si>
  <si>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</si>
  <si>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</si>
  <si>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</si>
  <si>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</si>
  <si>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</si>
  <si>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</si>
  <si>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</si>
  <si>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</si>
  <si>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</si>
  <si>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</si>
  <si>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</si>
  <si>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</si>
  <si>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</si>
  <si>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</si>
  <si>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</si>
  <si>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</si>
  <si>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</si>
  <si>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</si>
  <si>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</si>
  <si>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</si>
  <si>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</si>
  <si>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</si>
  <si>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</si>
  <si>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</si>
  <si>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</si>
  <si>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</si>
  <si>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</si>
  <si>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香港特别行政区</t>
  </si>
  <si>
    <t>澳门特别行政区</t>
  </si>
  <si>
    <t>台湾地区</t>
  </si>
  <si>
    <t>中国人民解放军现役军人</t>
  </si>
  <si>
    <t>难以确定常住地</t>
  </si>
  <si>
    <t>2010年人口数（万人）</t>
    <phoneticPr fontId="1" type="noConversion"/>
  </si>
  <si>
    <t>2000年人口数（万人）</t>
  </si>
  <si>
    <t>总计</t>
  </si>
  <si>
    <t>人口增长数</t>
  </si>
  <si>
    <t>人口增长率</t>
  </si>
  <si>
    <t>2000年人口数</t>
  </si>
  <si>
    <t>2000年大陆人口比重</t>
  </si>
  <si>
    <t>2010年人口数</t>
  </si>
  <si>
    <t>2010年大陆人口比重</t>
  </si>
  <si>
    <t>统计项目</t>
    <phoneticPr fontId="1" type="noConversion"/>
  </si>
  <si>
    <t>2000年</t>
    <phoneticPr fontId="1" type="noConversion"/>
  </si>
  <si>
    <t>2010年</t>
    <phoneticPr fontId="1" type="noConversion"/>
  </si>
  <si>
    <t>全国总人数（万人）</t>
    <phoneticPr fontId="1" type="noConversion"/>
  </si>
  <si>
    <t>全国总增长数（万人）</t>
    <phoneticPr fontId="1" type="noConversion"/>
  </si>
  <si>
    <t>-</t>
    <phoneticPr fontId="1" type="noConversion"/>
  </si>
  <si>
    <t>大陆人口最多的地区</t>
  </si>
  <si>
    <t>大陆人口最少的地区</t>
  </si>
  <si>
    <t>大陆人口增长率最高的地区</t>
  </si>
  <si>
    <t>-</t>
  </si>
  <si>
    <t>大陆人口增长率最低的地区</t>
  </si>
  <si>
    <t>大陆人口为负增长的地区数</t>
  </si>
  <si>
    <t>注意：1. 第一、二项的总数需要包含港澳台地区；
           2. 进行后5项地区统计时，统计范围不包含港澳台、“中国人民解放军现役军人”以及“难以确定常住地”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</si>
</sst>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_ "/>
    <numFmt numFmtId="177" formatCode="0_ "/>
    <numFmt numFmtId="178" formatCode="0_);[Red]\(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</fills>
  <borders count="4">
    <border>
      <left/>
      <right/>
      <top/>
      <bottom/>
      <diagonal/>
    </border>
    <border>
      <left/>
      <right style="thin">
        <color theme="7" tint="0.39997558519241921"/>
      </right>
      <top/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176" fontId="3" fillId="2" borderId="2" xfId="0" applyNumberFormat="1" applyFont="1" applyFill="1" applyBorder="1" applyAlignment="1">
      <alignment horizontal="right" vertical="center"/>
    </xf>
    <xf numFmtId="176" fontId="3" fillId="2" borderId="3" xfId="0" applyNumberFormat="1" applyFont="1" applyFill="1" applyBorder="1" applyAlignment="1">
      <alignment horizontal="right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177" fontId="3" fillId="2" borderId="3" xfId="0" applyNumberFormat="1" applyFont="1" applyFill="1" applyBorder="1" applyAlignment="1">
      <alignment horizontal="center" vertical="center"/>
    </xf>
    <xf numFmtId="178" fontId="3" fillId="2" borderId="3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22">
    <dxf>
      <numFmt numFmtId="14" formatCode="0.00%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软雅黑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</dxf>
    <dxf>
      <numFmt numFmtId="176" formatCode="#,##0_ "/>
    </dxf>
    <dxf>
      <numFmt numFmtId="14" formatCode="0.00%"/>
    </dxf>
    <dxf>
      <numFmt numFmtId="176" formatCode="#,##0_ "/>
    </dxf>
    <dxf>
      <numFmt numFmtId="176" formatCode="#,##0_ "/>
    </dxf>
    <dxf>
      <numFmt numFmtId="176" formatCode="#,##0_ "/>
    </dxf>
    <dxf>
      <numFmt numFmtId="14" formatCode="0.00%"/>
    </dxf>
    <dxf>
      <numFmt numFmtId="176" formatCode="#,##0_ "/>
    </dxf>
    <dxf>
      <numFmt numFmtId="176" formatCode="#,##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icrosoft" refreshedDate="44296.414807175926" createdVersion="5" refreshedVersion="6" minRefreshableVersion="3" recordCount="0" supportSubquery="1" supportAdvancedDrill="1">
  <cacheSource type="external" connectionId="3"/>
  <cacheFields count="7">
    <cacheField name="[2010年].[地区].[地区]" caption="地区" numFmtId="0" hierarchy="2" level="1">
      <sharedItems count="33">
        <s v="安徽省"/>
        <s v="北京市"/>
        <s v="福建省"/>
        <s v="甘肃省"/>
        <s v="广东省"/>
        <s v="广西壮族自治区"/>
        <s v="贵州省"/>
        <s v="海南省"/>
        <s v="河北省"/>
        <s v="河南省"/>
        <s v="黑龙江省"/>
        <s v="湖北省"/>
        <s v="湖南省"/>
        <s v="吉林省"/>
        <s v="江苏省"/>
        <s v="江西省"/>
        <s v="辽宁省"/>
        <s v="难以确定常住地"/>
        <s v="内蒙古自治区"/>
        <s v="宁夏回族自治区"/>
        <s v="青海省"/>
        <s v="山东省"/>
        <s v="山西省"/>
        <s v="陕西省"/>
        <s v="上海市"/>
        <s v="四川省"/>
        <s v="天津市"/>
        <s v="西藏自治区"/>
        <s v="新疆维吾尔自治区"/>
        <s v="云南省"/>
        <s v="浙江省"/>
        <s v="中国人民解放军现役军人"/>
        <s v="重庆市"/>
      </sharedItems>
    </cacheField>
    <cacheField name="[Measures].[以下项目的总和:2000年人口数（万人）]" caption="以下项目的总和:2000年人口数（万人）" numFmtId="0" hierarchy="11" level="32767"/>
    <cacheField name="[Measures].[2000年人口数（万人） 的总和]" caption="2000年人口数（万人） 的总和" numFmtId="0" hierarchy="5" level="32767"/>
    <cacheField name="[Measures].[以下项目的总和:2010年人口数（万人）]" caption="以下项目的总和:2010年人口数（万人）" numFmtId="0" hierarchy="12" level="32767"/>
    <cacheField name="[Measures].[2010年人口数（万人） 的总和]" caption="2010年人口数（万人） 的总和" numFmtId="0" hierarchy="4" level="32767"/>
    <cacheField name="[Measures].[人口增长数]" caption="人口增长数" numFmtId="0" hierarchy="6" level="32767"/>
    <cacheField name="[Measures].[人口增长率]" caption="人口增长率" numFmtId="0" hierarchy="7" level="32767"/>
  </cacheFields>
  <cacheHierarchies count="13">
    <cacheHierarchy uniqueName="[2000年].[地区]" caption="地区" attribute="1" defaultMemberUniqueName="[2000年].[地区].[All]" allUniqueName="[2000年].[地区].[All]" dimensionUniqueName="[2000年]" displayFolder="" count="0" memberValueDatatype="130" unbalanced="0"/>
    <cacheHierarchy uniqueName="[2000年].[2000年人口数（万人）]" caption="2000年人口数（万人）" attribute="1" defaultMemberUniqueName="[2000年].[2000年人口数（万人）].[All]" allUniqueName="[2000年].[2000年人口数（万人）].[All]" dimensionUniqueName="[2000年]" displayFolder="" count="0" memberValueDatatype="20" unbalanced="0"/>
    <cacheHierarchy uniqueName="[2010年].[地区]" caption="地区" attribute="1" defaultMemberUniqueName="[2010年].[地区].[All]" allUniqueName="[2010年].[地区].[All]" dimensionUniqueName="[2010年]" displayFolder="" count="2" memberValueDatatype="130" unbalanced="0">
      <fieldsUsage count="2">
        <fieldUsage x="-1"/>
        <fieldUsage x="0"/>
      </fieldsUsage>
    </cacheHierarchy>
    <cacheHierarchy uniqueName="[2010年].[2010年人口数（万人）]" caption="2010年人口数（万人）" attribute="1" defaultMemberUniqueName="[2010年].[2010年人口数（万人）].[All]" allUniqueName="[2010年].[2010年人口数（万人）].[All]" dimensionUniqueName="[2010年]" displayFolder="" count="0" memberValueDatatype="20" unbalanced="0"/>
    <cacheHierarchy uniqueName="[Measures].[2010年人口数（万人） 的总和]" caption="2010年人口数（万人） 的总和" measure="1" displayFolder="" measureGroup="2010年" count="0" oneField="1">
      <fieldsUsage count="1">
        <fieldUsage x="4"/>
      </fieldsUsage>
    </cacheHierarchy>
    <cacheHierarchy uniqueName="[Measures].[2000年人口数（万人） 的总和]" caption="2000年人口数（万人） 的总和" measure="1" displayFolder="" measureGroup="2000年" count="0" oneField="1">
      <fieldsUsage count="1">
        <fieldUsage x="2"/>
      </fieldsUsage>
    </cacheHierarchy>
    <cacheHierarchy uniqueName="[Measures].[人口增长数]" caption="人口增长数" measure="1" displayFolder="" measureGroup="2010年" count="0" oneField="1">
      <fieldsUsage count="1">
        <fieldUsage x="5"/>
      </fieldsUsage>
    </cacheHierarchy>
    <cacheHierarchy uniqueName="[Measures].[人口增长率]" caption="人口增长率" measure="1" displayFolder="" measureGroup="2010年" count="0" oneField="1">
      <fieldsUsage count="1">
        <fieldUsage x="6"/>
      </fieldsUsage>
    </cacheHierarchy>
    <cacheHierarchy uniqueName="[Measures].[__XL_Count 表1]" caption="__XL_Count 表1" measure="1" displayFolder="" measureGroup="2010年" count="0" hidden="1"/>
    <cacheHierarchy uniqueName="[Measures].[__XL_Count _2000年]" caption="__XL_Count _2000年" measure="1" displayFolder="" measureGroup="2000年" count="0" hidden="1"/>
    <cacheHierarchy uniqueName="[Measures].[__未定义度量值]" caption="__未定义度量值" measure="1" displayFolder="" count="0" hidden="1"/>
    <cacheHierarchy uniqueName="[Measures].[以下项目的总和:2000年人口数（万人）]" caption="以下项目的总和:2000年人口数（万人）" measure="1" displayFolder="" measureGroup="2000年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以下项目的总和:2010年人口数（万人）]" caption="以下项目的总和:2010年人口数（万人）" measure="1" displayFolder="" measureGroup="2010年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2000年" uniqueName="[2000年]" caption="2000年"/>
    <dimension name="2010年" uniqueName="[2010年]" caption="2010年"/>
    <dimension measure="1" name="Measures" uniqueName="[Measures]" caption="Measures"/>
  </dimensions>
  <measureGroups count="2">
    <measureGroup name="2000年" caption="2000年"/>
    <measureGroup name="2010年" caption="2010年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Microsoft" refreshedDate="44296.414807175926" createdVersion="5" refreshedVersion="6" minRefreshableVersion="3" recordCount="0" supportSubquery="1" supportAdvancedDrill="1">
  <cacheSource type="external" connectionId="3"/>
  <cacheFields count="7">
    <cacheField name="[2010年].[地区].[地区]" caption="地区" numFmtId="0" hierarchy="2" level="1">
      <sharedItems count="33">
        <s v="安徽省"/>
        <s v="北京市"/>
        <s v="福建省"/>
        <s v="甘肃省"/>
        <s v="广东省"/>
        <s v="广西壮族自治区"/>
        <s v="贵州省"/>
        <s v="海南省"/>
        <s v="河北省"/>
        <s v="河南省"/>
        <s v="黑龙江省"/>
        <s v="湖北省"/>
        <s v="湖南省"/>
        <s v="吉林省"/>
        <s v="江苏省"/>
        <s v="江西省"/>
        <s v="辽宁省"/>
        <s v="难以确定常住地"/>
        <s v="内蒙古自治区"/>
        <s v="宁夏回族自治区"/>
        <s v="青海省"/>
        <s v="山东省"/>
        <s v="山西省"/>
        <s v="陕西省"/>
        <s v="上海市"/>
        <s v="四川省"/>
        <s v="天津市"/>
        <s v="西藏自治区"/>
        <s v="新疆维吾尔自治区"/>
        <s v="云南省"/>
        <s v="浙江省"/>
        <s v="中国人民解放军现役军人"/>
        <s v="重庆市"/>
      </sharedItems>
    </cacheField>
    <cacheField name="[Measures].[以下项目的总和:2000年人口数（万人）]" caption="以下项目的总和:2000年人口数（万人）" numFmtId="0" hierarchy="11" level="32767"/>
    <cacheField name="[Measures].[2000年人口数（万人） 的总和]" caption="2000年人口数（万人） 的总和" numFmtId="0" hierarchy="5" level="32767"/>
    <cacheField name="[Measures].[以下项目的总和:2010年人口数（万人）]" caption="以下项目的总和:2010年人口数（万人）" numFmtId="0" hierarchy="12" level="32767"/>
    <cacheField name="[Measures].[2010年人口数（万人） 的总和]" caption="2010年人口数（万人） 的总和" numFmtId="0" hierarchy="4" level="32767"/>
    <cacheField name="[Measures].[人口增长数]" caption="人口增长数" numFmtId="0" hierarchy="6" level="32767"/>
    <cacheField name="[Measures].[人口增长率]" caption="人口增长率" numFmtId="0" hierarchy="7" level="32767"/>
  </cacheFields>
  <cacheHierarchies count="13">
    <cacheHierarchy uniqueName="[2000年].[地区]" caption="地区" attribute="1" defaultMemberUniqueName="[2000年].[地区].[All]" allUniqueName="[2000年].[地区].[All]" dimensionUniqueName="[2000年]" displayFolder="" count="0" memberValueDatatype="130" unbalanced="0"/>
    <cacheHierarchy uniqueName="[2000年].[2000年人口数（万人）]" caption="2000年人口数（万人）" attribute="1" defaultMemberUniqueName="[2000年].[2000年人口数（万人）].[All]" allUniqueName="[2000年].[2000年人口数（万人）].[All]" dimensionUniqueName="[2000年]" displayFolder="" count="0" memberValueDatatype="20" unbalanced="0"/>
    <cacheHierarchy uniqueName="[2010年].[地区]" caption="地区" attribute="1" defaultMemberUniqueName="[2010年].[地区].[All]" allUniqueName="[2010年].[地区].[All]" dimensionUniqueName="[2010年]" displayFolder="" count="2" memberValueDatatype="130" unbalanced="0">
      <fieldsUsage count="2">
        <fieldUsage x="-1"/>
        <fieldUsage x="0"/>
      </fieldsUsage>
    </cacheHierarchy>
    <cacheHierarchy uniqueName="[2010年].[2010年人口数（万人）]" caption="2010年人口数（万人）" attribute="1" defaultMemberUniqueName="[2010年].[2010年人口数（万人）].[All]" allUniqueName="[2010年].[2010年人口数（万人）].[All]" dimensionUniqueName="[2010年]" displayFolder="" count="0" memberValueDatatype="20" unbalanced="0"/>
    <cacheHierarchy uniqueName="[Measures].[2010年人口数（万人） 的总和]" caption="2010年人口数（万人） 的总和" measure="1" displayFolder="" measureGroup="2010年" count="0" oneField="1">
      <fieldsUsage count="1">
        <fieldUsage x="4"/>
      </fieldsUsage>
    </cacheHierarchy>
    <cacheHierarchy uniqueName="[Measures].[2000年人口数（万人） 的总和]" caption="2000年人口数（万人） 的总和" measure="1" displayFolder="" measureGroup="2000年" count="0" oneField="1">
      <fieldsUsage count="1">
        <fieldUsage x="2"/>
      </fieldsUsage>
    </cacheHierarchy>
    <cacheHierarchy uniqueName="[Measures].[人口增长数]" caption="人口增长数" measure="1" displayFolder="" measureGroup="2010年" count="0" oneField="1">
      <fieldsUsage count="1">
        <fieldUsage x="5"/>
      </fieldsUsage>
    </cacheHierarchy>
    <cacheHierarchy uniqueName="[Measures].[人口增长率]" caption="人口增长率" measure="1" displayFolder="" measureGroup="2010年" count="0" oneField="1">
      <fieldsUsage count="1">
        <fieldUsage x="6"/>
      </fieldsUsage>
    </cacheHierarchy>
    <cacheHierarchy uniqueName="[Measures].[__XL_Count 表1]" caption="__XL_Count 表1" measure="1" displayFolder="" measureGroup="2010年" count="0" hidden="1"/>
    <cacheHierarchy uniqueName="[Measures].[__XL_Count _2000年]" caption="__XL_Count _2000年" measure="1" displayFolder="" measureGroup="2000年" count="0" hidden="1"/>
    <cacheHierarchy uniqueName="[Measures].[__未定义度量值]" caption="__未定义度量值" measure="1" displayFolder="" count="0" hidden="1"/>
    <cacheHierarchy uniqueName="[Measures].[以下项目的总和:2000年人口数（万人）]" caption="以下项目的总和:2000年人口数（万人）" measure="1" displayFolder="" measureGroup="2000年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以下项目的总和:2010年人口数（万人）]" caption="以下项目的总和:2010年人口数（万人）" measure="1" displayFolder="" measureGroup="2010年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2000年" uniqueName="[2000年]" caption="2000年"/>
    <dimension name="2010年" uniqueName="[2010年]" caption="2010年"/>
    <dimension measure="1" name="Measures" uniqueName="[Measures]" caption="Measures"/>
  </dimensions>
  <measureGroups count="2">
    <measureGroup name="2000年" caption="2000年"/>
    <measureGroup name="2010年" caption="2010年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3" applyNumberFormats="0" applyBorderFormats="0" applyFontFormats="0" applyPatternFormats="0" applyAlignmentFormats="0" applyWidthHeightFormats="1" dataCaption="值" tag="fc46ae1d-7b99-4938-9877-2b161d2b40b2" updatedVersion="6" minRefreshableVersion="3" useAutoFormatting="1" itemPrintTitles="1" createdVersion="5" indent="0" outline="1" outlineData="1" multipleFieldFilters="0" rowHeaderCaption="地区">
  <location ref="B3:H37" firstHeaderRow="0" firstDataRow="1" firstDataCol="1"/>
  <pivotFields count="7">
    <pivotField axis="axisRow" allDrilled="1" showAll="0" nonAutoSortDefault="1" defaultAttributeDrillState="1">
      <items count="34">
        <item s="1" x="1"/>
        <item s="1" x="26"/>
        <item s="1" x="8"/>
        <item s="1" x="22"/>
        <item s="1" x="18"/>
        <item s="1" x="16"/>
        <item s="1" x="13"/>
        <item s="1" x="10"/>
        <item s="1" x="24"/>
        <item s="1" x="14"/>
        <item s="1" x="30"/>
        <item s="1" x="0"/>
        <item s="1" x="2"/>
        <item s="1" x="15"/>
        <item s="1" x="21"/>
        <item s="1" x="9"/>
        <item s="1" x="11"/>
        <item s="1" x="12"/>
        <item s="1" x="4"/>
        <item s="1" x="5"/>
        <item s="1" x="7"/>
        <item s="1" x="32"/>
        <item s="1" x="25"/>
        <item s="1" x="6"/>
        <item s="1" x="29"/>
        <item s="1" x="27"/>
        <item s="1" x="23"/>
        <item s="1" x="3"/>
        <item s="1" x="20"/>
        <item s="1" x="19"/>
        <item s="1" x="28"/>
        <item s="1" x="31"/>
        <item s="1"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2000年人口数" fld="1" baseField="0" baseItem="0" numFmtId="176"/>
    <dataField name="2000年大陆人口比重" fld="2" subtotal="count" showDataAs="percentOfCol" baseField="0" baseItem="0" numFmtId="10"/>
    <dataField name="2010年人口数" fld="3" baseField="0" baseItem="0" numFmtId="176"/>
    <dataField name="2010年大陆人口比重" fld="4" subtotal="count" showDataAs="percentOfCol" baseField="0" baseItem="0" numFmtId="10"/>
    <dataField fld="5" subtotal="count" baseField="0" baseItem="0" numFmtId="176"/>
    <dataField fld="6" subtotal="count" baseField="0" baseItem="0" numFmtId="10"/>
  </dataFields>
  <formats count="4">
    <format dxfId="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13">
    <pivotHierarchy dragToData="1"/>
    <pivotHierarchy dragToData="1"/>
    <pivotHierarchy dragToData="1"/>
    <pivotHierarchy dragToData="1"/>
    <pivotHierarchy dragToRow="0" dragToCol="0" dragToPage="0" dragToData="1" caption="2010年大陆人口比重"/>
    <pivotHierarchy dragToRow="0" dragToCol="0" dragToPage="0" dragToData="1" caption="2000年大陆人口比重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2000年人口数"/>
    <pivotHierarchy dragToData="1" caption="2010年人口数"/>
  </pivotHierarchies>
  <pivotTableStyleInfo name="PivotStyleMedium20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2010年]"/>
        <x15:activeTabTopLevelEntity name="[2000年]"/>
      </x15:pivotTableUISettings>
    </ext>
  </extLst>
</pivotTableDefinition>
</file>

<file path=xl/pivotTables/pivotTable2.xml><?xml version="1.0" encoding="utf-8"?>
<pivotTableDefinition xmlns="http://schemas.openxmlformats.org/spreadsheetml/2006/main" name="数据透视表1" cacheId="12" applyNumberFormats="0" applyBorderFormats="0" applyFontFormats="0" applyPatternFormats="0" applyAlignmentFormats="0" applyWidthHeightFormats="1" dataCaption="值" tag="fc46ae1d-7b99-4938-9877-2b161d2b40b2" updatedVersion="6" minRefreshableVersion="3" useAutoFormatting="1" itemPrintTitles="1" createdVersion="5" indent="0" outline="1" outlineData="1" multipleFieldFilters="0" rowHeaderCaption="地区">
  <location ref="B3:H37" firstHeaderRow="0" firstDataRow="1" firstDataCol="1"/>
  <pivotFields count="7">
    <pivotField axis="axisRow" allDrilled="1" showAll="0" nonAutoSortDefault="1" defaultAttributeDrillState="1">
      <items count="34">
        <item s="1" x="1"/>
        <item s="1" x="26"/>
        <item s="1" x="8"/>
        <item s="1" x="22"/>
        <item s="1" x="18"/>
        <item s="1" x="16"/>
        <item s="1" x="13"/>
        <item s="1" x="10"/>
        <item s="1" x="24"/>
        <item s="1" x="14"/>
        <item s="1" x="30"/>
        <item s="1" x="0"/>
        <item s="1" x="2"/>
        <item s="1" x="15"/>
        <item s="1" x="21"/>
        <item s="1" x="9"/>
        <item s="1" x="11"/>
        <item s="1" x="12"/>
        <item s="1" x="4"/>
        <item s="1" x="5"/>
        <item s="1" x="7"/>
        <item s="1" x="32"/>
        <item s="1" x="25"/>
        <item s="1" x="6"/>
        <item s="1" x="29"/>
        <item s="1" x="27"/>
        <item s="1" x="23"/>
        <item s="1" x="3"/>
        <item s="1" x="20"/>
        <item s="1" x="19"/>
        <item s="1" x="28"/>
        <item s="1" x="31"/>
        <item s="1"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2000年人口数" fld="1" baseField="0" baseItem="0" numFmtId="176"/>
    <dataField name="2000年大陆人口比重" fld="2" subtotal="count" showDataAs="percentOfCol" baseField="0" baseItem="0" numFmtId="10"/>
    <dataField name="2010年人口数" fld="3" baseField="0" baseItem="0" numFmtId="176"/>
    <dataField name="2010年大陆人口比重" fld="4" subtotal="count" showDataAs="percentOfCol" baseField="0" baseItem="0" numFmtId="10"/>
    <dataField fld="5" subtotal="count" baseField="0" baseItem="0" numFmtId="176"/>
    <dataField fld="6" subtotal="count" baseField="0" baseItem="0" numFmtId="10"/>
  </dataFields>
  <formats count="4">
    <format dxfId="1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13">
    <pivotHierarchy dragToData="1"/>
    <pivotHierarchy dragToData="1"/>
    <pivotHierarchy dragToData="1"/>
    <pivotHierarchy dragToData="1"/>
    <pivotHierarchy dragToRow="0" dragToCol="0" dragToPage="0" dragToData="1" caption="2010年大陆人口比重"/>
    <pivotHierarchy dragToRow="0" dragToCol="0" dragToPage="0" dragToData="1" caption="2000年大陆人口比重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2000年人口数"/>
    <pivotHierarchy dragToData="1" caption="2010年人口数"/>
  </pivotHierarchies>
  <pivotTableStyleInfo name="PivotStyleMedium20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2010年]"/>
        <x15:activeTabTopLevelEntity name="[2000年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地区" tableColumnId="5"/>
      <queryTableField id="2" name="2000年人口数（万人）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表1" displayName="表1" ref="A1:B37" totalsRowShown="0">
  <autoFilter ref="A1:B37"/>
  <tableColumns count="2">
    <tableColumn id="1" name="地区"/>
    <tableColumn id="2" name="2010年人口数（万人）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2" name="_2000年" displayName="_2000年" ref="A1:B37" tableType="queryTable" totalsRowShown="0">
  <autoFilter ref="A1:B37"/>
  <tableColumns count="2">
    <tableColumn id="5" uniqueName="5" name="地区" queryTableFieldId="1" dataDxfId="21"/>
    <tableColumn id="6" uniqueName="6" name="2000年人口数（万人）" queryTableFieldId="2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表1_4" displayName="表1_4" ref="B2:D9" totalsRowShown="0" headerRowDxfId="7" tableBorderDxfId="6">
  <tableColumns count="3">
    <tableColumn id="1" name="统计项目" dataDxfId="5"/>
    <tableColumn id="2" name="2000年"/>
    <tableColumn id="3" name="2010年" dataDxfId="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7"/>
  <sheetViews>
    <sheetView topLeftCell="D1" workbookViewId="0">
      <selection activeCell="D13" sqref="D13"/>
    </sheetView>
  </sheetViews>
  <sheetFormatPr defaultRowHeight="14.25" x14ac:dyDescent="0.2"/>
  <cols>
    <col min="2" max="2" width="23.5" bestFit="1" customWidth="1"/>
    <col min="3" max="3" width="13.375" bestFit="1" customWidth="1"/>
    <col min="4" max="4" width="19.5" bestFit="1" customWidth="1"/>
    <col min="5" max="5" width="13.375" bestFit="1" customWidth="1"/>
    <col min="6" max="6" width="19.5" bestFit="1" customWidth="1"/>
    <col min="7" max="7" width="11" bestFit="1" customWidth="1"/>
    <col min="8" max="8" width="11" customWidth="1"/>
  </cols>
  <sheetData>
    <row r="3" spans="2:8" x14ac:dyDescent="0.2">
      <c r="B3" t="s">
        <v>0</v>
      </c>
      <c r="C3" t="s">
        <v>42</v>
      </c>
      <c r="D3" t="s">
        <v>43</v>
      </c>
      <c r="E3" t="s">
        <v>44</v>
      </c>
      <c r="F3" t="s">
        <v>45</v>
      </c>
      <c r="G3" t="s">
        <v>40</v>
      </c>
      <c r="H3" t="s">
        <v>41</v>
      </c>
    </row>
    <row r="4" spans="2:8" x14ac:dyDescent="0.2">
      <c r="B4" s="3" t="s">
        <v>1</v>
      </c>
      <c r="C4" s="5">
        <v>1382</v>
      </c>
      <c r="D4" s="4">
        <v>1.09177377688947E-2</v>
      </c>
      <c r="E4" s="5">
        <v>1961</v>
      </c>
      <c r="F4" s="4">
        <v>1.46372776604241E-2</v>
      </c>
      <c r="G4" s="5">
        <v>579</v>
      </c>
      <c r="H4" s="4">
        <v>0.41895803183791602</v>
      </c>
    </row>
    <row r="5" spans="2:8" x14ac:dyDescent="0.2">
      <c r="B5" s="3" t="s">
        <v>2</v>
      </c>
      <c r="C5" s="5">
        <v>1001</v>
      </c>
      <c r="D5" s="4">
        <v>7.9078549252269304E-3</v>
      </c>
      <c r="E5" s="5">
        <v>1294</v>
      </c>
      <c r="F5" s="4">
        <v>9.6586625663379905E-3</v>
      </c>
      <c r="G5" s="5">
        <v>293</v>
      </c>
      <c r="H5" s="4">
        <v>0.29270729270729301</v>
      </c>
    </row>
    <row r="6" spans="2:8" x14ac:dyDescent="0.2">
      <c r="B6" s="3" t="s">
        <v>3</v>
      </c>
      <c r="C6" s="5">
        <v>6744</v>
      </c>
      <c r="D6" s="4">
        <v>5.3277296319410999E-2</v>
      </c>
      <c r="E6" s="5">
        <v>7185</v>
      </c>
      <c r="F6" s="4">
        <v>5.36302090719772E-2</v>
      </c>
      <c r="G6" s="5">
        <v>441</v>
      </c>
      <c r="H6" s="4">
        <v>6.5391459074733094E-2</v>
      </c>
    </row>
    <row r="7" spans="2:8" x14ac:dyDescent="0.2">
      <c r="B7" s="3" t="s">
        <v>4</v>
      </c>
      <c r="C7" s="5">
        <v>3297</v>
      </c>
      <c r="D7" s="4">
        <v>2.60461515369362E-2</v>
      </c>
      <c r="E7" s="5">
        <v>3571</v>
      </c>
      <c r="F7" s="4">
        <v>2.6654624439252698E-2</v>
      </c>
      <c r="G7" s="5">
        <v>274</v>
      </c>
      <c r="H7" s="4">
        <v>8.3105853806490798E-2</v>
      </c>
    </row>
    <row r="8" spans="2:8" x14ac:dyDescent="0.2">
      <c r="B8" s="3" t="s">
        <v>5</v>
      </c>
      <c r="C8" s="5">
        <v>2376</v>
      </c>
      <c r="D8" s="4">
        <v>1.8770293009329801E-2</v>
      </c>
      <c r="E8" s="5">
        <v>2471</v>
      </c>
      <c r="F8" s="4">
        <v>1.84440148388108E-2</v>
      </c>
      <c r="G8" s="5">
        <v>95</v>
      </c>
      <c r="H8" s="4">
        <v>3.9983164983165002E-2</v>
      </c>
    </row>
    <row r="9" spans="2:8" x14ac:dyDescent="0.2">
      <c r="B9" s="3" t="s">
        <v>6</v>
      </c>
      <c r="C9" s="5">
        <v>4238</v>
      </c>
      <c r="D9" s="4">
        <v>3.3480009163947798E-2</v>
      </c>
      <c r="E9" s="5">
        <v>4375</v>
      </c>
      <c r="F9" s="4">
        <v>3.26558336381211E-2</v>
      </c>
      <c r="G9" s="5">
        <v>137</v>
      </c>
      <c r="H9" s="4">
        <v>3.2326569136385E-2</v>
      </c>
    </row>
    <row r="10" spans="2:8" x14ac:dyDescent="0.2">
      <c r="B10" s="3" t="s">
        <v>7</v>
      </c>
      <c r="C10" s="5">
        <v>2728</v>
      </c>
      <c r="D10" s="4">
        <v>2.1551077158860201E-2</v>
      </c>
      <c r="E10" s="5">
        <v>2746</v>
      </c>
      <c r="F10" s="4">
        <v>2.0496667238921299E-2</v>
      </c>
      <c r="G10" s="5">
        <v>18</v>
      </c>
      <c r="H10" s="4">
        <v>6.5982404692082096E-3</v>
      </c>
    </row>
    <row r="11" spans="2:8" x14ac:dyDescent="0.2">
      <c r="B11" s="3" t="s">
        <v>8</v>
      </c>
      <c r="C11" s="5">
        <v>3689</v>
      </c>
      <c r="D11" s="4">
        <v>2.91429338852769E-2</v>
      </c>
      <c r="E11" s="5">
        <v>3831</v>
      </c>
      <c r="F11" s="4">
        <v>2.8595313981175301E-2</v>
      </c>
      <c r="G11" s="5">
        <v>142</v>
      </c>
      <c r="H11" s="4">
        <v>3.8492816481431297E-2</v>
      </c>
    </row>
    <row r="12" spans="2:8" x14ac:dyDescent="0.2">
      <c r="B12" s="3" t="s">
        <v>9</v>
      </c>
      <c r="C12" s="5">
        <v>1674</v>
      </c>
      <c r="D12" s="4">
        <v>1.3224524620209699E-2</v>
      </c>
      <c r="E12" s="5">
        <v>2302</v>
      </c>
      <c r="F12" s="4">
        <v>1.7182566636561099E-2</v>
      </c>
      <c r="G12" s="5">
        <v>628</v>
      </c>
      <c r="H12" s="4">
        <v>0.37514934289127799</v>
      </c>
    </row>
    <row r="13" spans="2:8" x14ac:dyDescent="0.2">
      <c r="B13" s="3" t="s">
        <v>10</v>
      </c>
      <c r="C13" s="5">
        <v>7438</v>
      </c>
      <c r="D13" s="4">
        <v>5.8759865068769103E-2</v>
      </c>
      <c r="E13" s="5">
        <v>7866</v>
      </c>
      <c r="F13" s="4">
        <v>5.8713322833705298E-2</v>
      </c>
      <c r="G13" s="5">
        <v>428</v>
      </c>
      <c r="H13" s="4">
        <v>5.7542350094111197E-2</v>
      </c>
    </row>
    <row r="14" spans="2:8" x14ac:dyDescent="0.2">
      <c r="B14" s="3" t="s">
        <v>11</v>
      </c>
      <c r="C14" s="5">
        <v>4677</v>
      </c>
      <c r="D14" s="4">
        <v>3.69480893958904E-2</v>
      </c>
      <c r="E14" s="5">
        <v>5443</v>
      </c>
      <c r="F14" s="4">
        <v>4.0627589141095599E-2</v>
      </c>
      <c r="G14" s="5">
        <v>766</v>
      </c>
      <c r="H14" s="4">
        <v>0.16378020098353699</v>
      </c>
    </row>
    <row r="15" spans="2:8" x14ac:dyDescent="0.2">
      <c r="B15" s="3" t="s">
        <v>12</v>
      </c>
      <c r="C15" s="5">
        <v>5986</v>
      </c>
      <c r="D15" s="4">
        <v>4.7289130451956402E-2</v>
      </c>
      <c r="E15" s="5">
        <v>5950</v>
      </c>
      <c r="F15" s="4">
        <v>4.4411933747844697E-2</v>
      </c>
      <c r="G15" s="5">
        <v>-36</v>
      </c>
      <c r="H15" s="4">
        <v>-6.0140327430671103E-3</v>
      </c>
    </row>
    <row r="16" spans="2:8" x14ac:dyDescent="0.2">
      <c r="B16" s="3" t="s">
        <v>13</v>
      </c>
      <c r="C16" s="5">
        <v>3471</v>
      </c>
      <c r="D16" s="4">
        <v>2.74207437017609E-2</v>
      </c>
      <c r="E16" s="5">
        <v>3689</v>
      </c>
      <c r="F16" s="4">
        <v>2.75353989236637E-2</v>
      </c>
      <c r="G16" s="5">
        <v>218</v>
      </c>
      <c r="H16" s="4">
        <v>6.2806107749927995E-2</v>
      </c>
    </row>
    <row r="17" spans="2:8" x14ac:dyDescent="0.2">
      <c r="B17" s="3" t="s">
        <v>14</v>
      </c>
      <c r="C17" s="5">
        <v>4140</v>
      </c>
      <c r="D17" s="4">
        <v>3.27058135768626E-2</v>
      </c>
      <c r="E17" s="5">
        <v>4457</v>
      </c>
      <c r="F17" s="4">
        <v>3.3267897262881298E-2</v>
      </c>
      <c r="G17" s="5">
        <v>317</v>
      </c>
      <c r="H17" s="4">
        <v>7.6570048309178698E-2</v>
      </c>
    </row>
    <row r="18" spans="2:8" x14ac:dyDescent="0.2">
      <c r="B18" s="3" t="s">
        <v>15</v>
      </c>
      <c r="C18" s="5">
        <v>9079</v>
      </c>
      <c r="D18" s="4">
        <v>7.1723691174960302E-2</v>
      </c>
      <c r="E18" s="5">
        <v>9579</v>
      </c>
      <c r="F18" s="4">
        <v>7.1499481238757101E-2</v>
      </c>
      <c r="G18" s="5">
        <v>500</v>
      </c>
      <c r="H18" s="4">
        <v>5.5072144509307197E-2</v>
      </c>
    </row>
    <row r="19" spans="2:8" x14ac:dyDescent="0.2">
      <c r="B19" s="3" t="s">
        <v>16</v>
      </c>
      <c r="C19" s="5">
        <v>9256</v>
      </c>
      <c r="D19" s="4">
        <v>7.3121983204695706E-2</v>
      </c>
      <c r="E19" s="5">
        <v>9402</v>
      </c>
      <c r="F19" s="4">
        <v>7.01783195121405E-2</v>
      </c>
      <c r="G19" s="5">
        <v>146</v>
      </c>
      <c r="H19" s="4">
        <v>1.5773552290406102E-2</v>
      </c>
    </row>
    <row r="20" spans="2:8" x14ac:dyDescent="0.2">
      <c r="B20" s="3" t="s">
        <v>17</v>
      </c>
      <c r="C20" s="5">
        <v>6028</v>
      </c>
      <c r="D20" s="4">
        <v>4.7620928560707203E-2</v>
      </c>
      <c r="E20" s="5">
        <v>5724</v>
      </c>
      <c r="F20" s="4">
        <v>4.27250266844812E-2</v>
      </c>
      <c r="G20" s="5">
        <v>-304</v>
      </c>
      <c r="H20" s="4">
        <v>-5.0431320504313197E-2</v>
      </c>
    </row>
    <row r="21" spans="2:8" x14ac:dyDescent="0.2">
      <c r="B21" s="3" t="s">
        <v>18</v>
      </c>
      <c r="C21" s="5">
        <v>6440</v>
      </c>
      <c r="D21" s="4">
        <v>5.0875710008453E-2</v>
      </c>
      <c r="E21" s="5">
        <v>6568</v>
      </c>
      <c r="F21" s="4">
        <v>4.90248035051839E-2</v>
      </c>
      <c r="G21" s="5">
        <v>128</v>
      </c>
      <c r="H21" s="4">
        <v>1.9875776397515501E-2</v>
      </c>
    </row>
    <row r="22" spans="2:8" x14ac:dyDescent="0.2">
      <c r="B22" s="3" t="s">
        <v>19</v>
      </c>
      <c r="C22" s="5">
        <v>8642</v>
      </c>
      <c r="D22" s="4">
        <v>6.8271410852958098E-2</v>
      </c>
      <c r="E22" s="5">
        <v>10430</v>
      </c>
      <c r="F22" s="4">
        <v>7.78515073932807E-2</v>
      </c>
      <c r="G22" s="5">
        <v>1788</v>
      </c>
      <c r="H22" s="4">
        <v>0.20689655172413801</v>
      </c>
    </row>
    <row r="23" spans="2:8" x14ac:dyDescent="0.2">
      <c r="B23" s="3" t="s">
        <v>20</v>
      </c>
      <c r="C23" s="5">
        <v>4489</v>
      </c>
      <c r="D23" s="4">
        <v>3.5462897861482198E-2</v>
      </c>
      <c r="E23" s="5">
        <v>4603</v>
      </c>
      <c r="F23" s="4">
        <v>3.43576690825763E-2</v>
      </c>
      <c r="G23" s="5">
        <v>114</v>
      </c>
      <c r="H23" s="4">
        <v>2.5395411004678101E-2</v>
      </c>
    </row>
    <row r="24" spans="2:8" x14ac:dyDescent="0.2">
      <c r="B24" s="3" t="s">
        <v>21</v>
      </c>
      <c r="C24" s="5">
        <v>787</v>
      </c>
      <c r="D24" s="4">
        <v>6.2172645615919996E-3</v>
      </c>
      <c r="E24" s="5">
        <v>867</v>
      </c>
      <c r="F24" s="4">
        <v>6.4714532032573704E-3</v>
      </c>
      <c r="G24" s="5">
        <v>80</v>
      </c>
      <c r="H24" s="4">
        <v>0.10165184243964399</v>
      </c>
    </row>
    <row r="25" spans="2:8" x14ac:dyDescent="0.2">
      <c r="B25" s="3" t="s">
        <v>22</v>
      </c>
      <c r="C25" s="5">
        <v>3090</v>
      </c>
      <c r="D25" s="4">
        <v>2.44108608580931E-2</v>
      </c>
      <c r="E25" s="5">
        <v>2885</v>
      </c>
      <c r="F25" s="4">
        <v>2.1534189724795299E-2</v>
      </c>
      <c r="G25" s="5">
        <v>-205</v>
      </c>
      <c r="H25" s="4">
        <v>-6.6343042071197497E-2</v>
      </c>
    </row>
    <row r="26" spans="2:8" x14ac:dyDescent="0.2">
      <c r="B26" s="3" t="s">
        <v>23</v>
      </c>
      <c r="C26" s="5">
        <v>8329</v>
      </c>
      <c r="D26" s="4">
        <v>6.5798724947267795E-2</v>
      </c>
      <c r="E26" s="5">
        <v>8042</v>
      </c>
      <c r="F26" s="4">
        <v>6.0027020369776002E-2</v>
      </c>
      <c r="G26" s="5">
        <v>-287</v>
      </c>
      <c r="H26" s="4">
        <v>-3.4457918117421001E-2</v>
      </c>
    </row>
    <row r="27" spans="2:8" x14ac:dyDescent="0.2">
      <c r="B27" s="3" t="s">
        <v>24</v>
      </c>
      <c r="C27" s="5">
        <v>3525</v>
      </c>
      <c r="D27" s="4">
        <v>2.7847341270154799E-2</v>
      </c>
      <c r="E27" s="5">
        <v>3475</v>
      </c>
      <c r="F27" s="4">
        <v>2.5938062146850498E-2</v>
      </c>
      <c r="G27" s="5">
        <v>-50</v>
      </c>
      <c r="H27" s="4">
        <v>-1.41843971631206E-2</v>
      </c>
    </row>
    <row r="28" spans="2:8" x14ac:dyDescent="0.2">
      <c r="B28" s="3" t="s">
        <v>25</v>
      </c>
      <c r="C28" s="5">
        <v>4288</v>
      </c>
      <c r="D28" s="4">
        <v>3.3875006912460599E-2</v>
      </c>
      <c r="E28" s="5">
        <v>4597</v>
      </c>
      <c r="F28" s="4">
        <v>3.4312883939301202E-2</v>
      </c>
      <c r="G28" s="5">
        <v>309</v>
      </c>
      <c r="H28" s="4">
        <v>7.2061567164179094E-2</v>
      </c>
    </row>
    <row r="29" spans="2:8" x14ac:dyDescent="0.2">
      <c r="B29" s="3" t="s">
        <v>26</v>
      </c>
      <c r="C29" s="5">
        <v>262</v>
      </c>
      <c r="D29" s="4">
        <v>2.06978820220725E-3</v>
      </c>
      <c r="E29" s="5">
        <v>300</v>
      </c>
      <c r="F29" s="4">
        <v>2.2392571637568802E-3</v>
      </c>
      <c r="G29" s="5">
        <v>38</v>
      </c>
      <c r="H29" s="4">
        <v>0.14503816793893101</v>
      </c>
    </row>
    <row r="30" spans="2:8" x14ac:dyDescent="0.2">
      <c r="B30" s="3" t="s">
        <v>27</v>
      </c>
      <c r="C30" s="5">
        <v>3605</v>
      </c>
      <c r="D30" s="4">
        <v>2.8479337667775301E-2</v>
      </c>
      <c r="E30" s="5">
        <v>3733</v>
      </c>
      <c r="F30" s="4">
        <v>2.7863823307681401E-2</v>
      </c>
      <c r="G30" s="5">
        <v>128</v>
      </c>
      <c r="H30" s="4">
        <v>3.5506241331483897E-2</v>
      </c>
    </row>
    <row r="31" spans="2:8" x14ac:dyDescent="0.2">
      <c r="B31" s="3" t="s">
        <v>28</v>
      </c>
      <c r="C31" s="5">
        <v>2562</v>
      </c>
      <c r="D31" s="4">
        <v>2.0239684633797599E-2</v>
      </c>
      <c r="E31" s="5">
        <v>2558</v>
      </c>
      <c r="F31" s="4">
        <v>1.90933994163003E-2</v>
      </c>
      <c r="G31" s="5">
        <v>-4</v>
      </c>
      <c r="H31" s="4">
        <v>-1.56128024980484E-3</v>
      </c>
    </row>
    <row r="32" spans="2:8" x14ac:dyDescent="0.2">
      <c r="B32" s="3" t="s">
        <v>29</v>
      </c>
      <c r="C32" s="5">
        <v>518</v>
      </c>
      <c r="D32" s="4">
        <v>4.0921766745929504E-3</v>
      </c>
      <c r="E32" s="5">
        <v>563</v>
      </c>
      <c r="F32" s="4">
        <v>4.2023392773170697E-3</v>
      </c>
      <c r="G32" s="5">
        <v>45</v>
      </c>
      <c r="H32" s="4">
        <v>8.6872586872586796E-2</v>
      </c>
    </row>
    <row r="33" spans="2:8" x14ac:dyDescent="0.2">
      <c r="B33" s="3" t="s">
        <v>30</v>
      </c>
      <c r="C33" s="5">
        <v>562</v>
      </c>
      <c r="D33" s="4">
        <v>4.43977469328425E-3</v>
      </c>
      <c r="E33" s="5">
        <v>630</v>
      </c>
      <c r="F33" s="4">
        <v>4.7024400438894403E-3</v>
      </c>
      <c r="G33" s="5">
        <v>68</v>
      </c>
      <c r="H33" s="4">
        <v>0.120996441281139</v>
      </c>
    </row>
    <row r="34" spans="2:8" x14ac:dyDescent="0.2">
      <c r="B34" s="3" t="s">
        <v>31</v>
      </c>
      <c r="C34" s="5">
        <v>1925</v>
      </c>
      <c r="D34" s="4">
        <v>1.52074133177441E-2</v>
      </c>
      <c r="E34" s="5">
        <v>2181</v>
      </c>
      <c r="F34" s="4">
        <v>1.6279399580512499E-2</v>
      </c>
      <c r="G34" s="5">
        <v>256</v>
      </c>
      <c r="H34" s="4">
        <v>0.13298701298701299</v>
      </c>
    </row>
    <row r="35" spans="2:8" x14ac:dyDescent="0.2">
      <c r="B35" s="3" t="s">
        <v>35</v>
      </c>
      <c r="C35" s="5">
        <v>250</v>
      </c>
      <c r="D35" s="4">
        <v>1.9749887425641699E-3</v>
      </c>
      <c r="E35" s="5">
        <v>230</v>
      </c>
      <c r="F35" s="4">
        <v>1.7167638255469399E-3</v>
      </c>
      <c r="G35" s="5">
        <v>-20</v>
      </c>
      <c r="H35" s="4">
        <v>-0.08</v>
      </c>
    </row>
    <row r="36" spans="2:8" x14ac:dyDescent="0.2">
      <c r="B36" s="3" t="s">
        <v>36</v>
      </c>
      <c r="C36" s="5">
        <v>105</v>
      </c>
      <c r="D36" s="4">
        <v>8.2949527187694996E-4</v>
      </c>
      <c r="E36" s="5">
        <v>465</v>
      </c>
      <c r="F36" s="4">
        <v>3.4708486038231602E-3</v>
      </c>
      <c r="G36" s="5">
        <v>360</v>
      </c>
      <c r="H36" s="4">
        <v>3.4285714285714302</v>
      </c>
    </row>
    <row r="37" spans="2:8" x14ac:dyDescent="0.2">
      <c r="B37" s="3" t="s">
        <v>39</v>
      </c>
      <c r="C37" s="5">
        <v>126583</v>
      </c>
      <c r="D37" s="4">
        <v>1</v>
      </c>
      <c r="E37" s="5">
        <v>133973</v>
      </c>
      <c r="F37" s="4">
        <v>1</v>
      </c>
      <c r="G37" s="5">
        <v>7390</v>
      </c>
      <c r="H37" s="4">
        <v>5.8380667230196699E-2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B5" sqref="B5"/>
    </sheetView>
  </sheetViews>
  <sheetFormatPr defaultRowHeight="14.25" x14ac:dyDescent="0.2"/>
  <cols>
    <col min="1" max="1" width="23.5" bestFit="1" customWidth="1"/>
    <col min="2" max="2" width="19.875" customWidth="1"/>
  </cols>
  <sheetData>
    <row r="1" spans="1:2" x14ac:dyDescent="0.2">
      <c r="A1" t="s">
        <v>0</v>
      </c>
      <c r="B1" t="s">
        <v>37</v>
      </c>
    </row>
    <row r="2" spans="1:2" x14ac:dyDescent="0.2">
      <c r="A2" t="s">
        <v>1</v>
      </c>
      <c r="B2">
        <v>1961</v>
      </c>
    </row>
    <row r="3" spans="1:2" x14ac:dyDescent="0.2">
      <c r="A3" t="s">
        <v>2</v>
      </c>
      <c r="B3">
        <v>1294</v>
      </c>
    </row>
    <row r="4" spans="1:2" x14ac:dyDescent="0.2">
      <c r="A4" t="s">
        <v>3</v>
      </c>
      <c r="B4">
        <v>7185</v>
      </c>
    </row>
    <row r="5" spans="1:2" x14ac:dyDescent="0.2">
      <c r="A5" t="s">
        <v>4</v>
      </c>
      <c r="B5">
        <v>3571</v>
      </c>
    </row>
    <row r="6" spans="1:2" x14ac:dyDescent="0.2">
      <c r="A6" t="s">
        <v>5</v>
      </c>
      <c r="B6">
        <v>2471</v>
      </c>
    </row>
    <row r="7" spans="1:2" x14ac:dyDescent="0.2">
      <c r="A7" t="s">
        <v>6</v>
      </c>
      <c r="B7">
        <v>4375</v>
      </c>
    </row>
    <row r="8" spans="1:2" x14ac:dyDescent="0.2">
      <c r="A8" t="s">
        <v>7</v>
      </c>
      <c r="B8">
        <v>2746</v>
      </c>
    </row>
    <row r="9" spans="1:2" x14ac:dyDescent="0.2">
      <c r="A9" t="s">
        <v>8</v>
      </c>
      <c r="B9">
        <v>3831</v>
      </c>
    </row>
    <row r="10" spans="1:2" x14ac:dyDescent="0.2">
      <c r="A10" t="s">
        <v>9</v>
      </c>
      <c r="B10">
        <v>2302</v>
      </c>
    </row>
    <row r="11" spans="1:2" x14ac:dyDescent="0.2">
      <c r="A11" t="s">
        <v>10</v>
      </c>
      <c r="B11">
        <v>7866</v>
      </c>
    </row>
    <row r="12" spans="1:2" x14ac:dyDescent="0.2">
      <c r="A12" t="s">
        <v>11</v>
      </c>
      <c r="B12">
        <v>5443</v>
      </c>
    </row>
    <row r="13" spans="1:2" x14ac:dyDescent="0.2">
      <c r="A13" t="s">
        <v>12</v>
      </c>
      <c r="B13">
        <v>5950</v>
      </c>
    </row>
    <row r="14" spans="1:2" x14ac:dyDescent="0.2">
      <c r="A14" t="s">
        <v>13</v>
      </c>
      <c r="B14">
        <v>3689</v>
      </c>
    </row>
    <row r="15" spans="1:2" x14ac:dyDescent="0.2">
      <c r="A15" t="s">
        <v>14</v>
      </c>
      <c r="B15">
        <v>4457</v>
      </c>
    </row>
    <row r="16" spans="1:2" x14ac:dyDescent="0.2">
      <c r="A16" t="s">
        <v>15</v>
      </c>
      <c r="B16">
        <v>9579</v>
      </c>
    </row>
    <row r="17" spans="1:2" x14ac:dyDescent="0.2">
      <c r="A17" t="s">
        <v>16</v>
      </c>
      <c r="B17">
        <v>9402</v>
      </c>
    </row>
    <row r="18" spans="1:2" x14ac:dyDescent="0.2">
      <c r="A18" t="s">
        <v>17</v>
      </c>
      <c r="B18">
        <v>5724</v>
      </c>
    </row>
    <row r="19" spans="1:2" x14ac:dyDescent="0.2">
      <c r="A19" t="s">
        <v>18</v>
      </c>
      <c r="B19">
        <v>6568</v>
      </c>
    </row>
    <row r="20" spans="1:2" x14ac:dyDescent="0.2">
      <c r="A20" t="s">
        <v>19</v>
      </c>
      <c r="B20">
        <v>10430</v>
      </c>
    </row>
    <row r="21" spans="1:2" x14ac:dyDescent="0.2">
      <c r="A21" t="s">
        <v>20</v>
      </c>
      <c r="B21">
        <v>4603</v>
      </c>
    </row>
    <row r="22" spans="1:2" x14ac:dyDescent="0.2">
      <c r="A22" t="s">
        <v>21</v>
      </c>
      <c r="B22">
        <v>867</v>
      </c>
    </row>
    <row r="23" spans="1:2" x14ac:dyDescent="0.2">
      <c r="A23" t="s">
        <v>22</v>
      </c>
      <c r="B23">
        <v>2885</v>
      </c>
    </row>
    <row r="24" spans="1:2" x14ac:dyDescent="0.2">
      <c r="A24" t="s">
        <v>23</v>
      </c>
      <c r="B24">
        <v>8042</v>
      </c>
    </row>
    <row r="25" spans="1:2" x14ac:dyDescent="0.2">
      <c r="A25" t="s">
        <v>24</v>
      </c>
      <c r="B25">
        <v>3475</v>
      </c>
    </row>
    <row r="26" spans="1:2" x14ac:dyDescent="0.2">
      <c r="A26" t="s">
        <v>25</v>
      </c>
      <c r="B26">
        <v>4597</v>
      </c>
    </row>
    <row r="27" spans="1:2" x14ac:dyDescent="0.2">
      <c r="A27" t="s">
        <v>26</v>
      </c>
      <c r="B27">
        <v>300</v>
      </c>
    </row>
    <row r="28" spans="1:2" x14ac:dyDescent="0.2">
      <c r="A28" t="s">
        <v>27</v>
      </c>
      <c r="B28">
        <v>3733</v>
      </c>
    </row>
    <row r="29" spans="1:2" x14ac:dyDescent="0.2">
      <c r="A29" t="s">
        <v>28</v>
      </c>
      <c r="B29">
        <v>2558</v>
      </c>
    </row>
    <row r="30" spans="1:2" x14ac:dyDescent="0.2">
      <c r="A30" t="s">
        <v>29</v>
      </c>
      <c r="B30">
        <v>563</v>
      </c>
    </row>
    <row r="31" spans="1:2" x14ac:dyDescent="0.2">
      <c r="A31" t="s">
        <v>30</v>
      </c>
      <c r="B31">
        <v>630</v>
      </c>
    </row>
    <row r="32" spans="1:2" x14ac:dyDescent="0.2">
      <c r="A32" t="s">
        <v>31</v>
      </c>
      <c r="B32">
        <v>2181</v>
      </c>
    </row>
    <row r="33" spans="1:2" x14ac:dyDescent="0.2">
      <c r="A33" t="s">
        <v>32</v>
      </c>
      <c r="B33">
        <v>710</v>
      </c>
    </row>
    <row r="34" spans="1:2" x14ac:dyDescent="0.2">
      <c r="A34" t="s">
        <v>33</v>
      </c>
      <c r="B34">
        <v>55</v>
      </c>
    </row>
    <row r="35" spans="1:2" x14ac:dyDescent="0.2">
      <c r="A35" t="s">
        <v>34</v>
      </c>
      <c r="B35">
        <v>2316</v>
      </c>
    </row>
    <row r="36" spans="1:2" x14ac:dyDescent="0.2">
      <c r="A36" t="s">
        <v>35</v>
      </c>
      <c r="B36">
        <v>230</v>
      </c>
    </row>
    <row r="37" spans="1:2" x14ac:dyDescent="0.2">
      <c r="A37" t="s">
        <v>36</v>
      </c>
      <c r="B37">
        <v>465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7"/>
  <sheetViews>
    <sheetView topLeftCell="D1" workbookViewId="0">
      <selection activeCell="D11" sqref="D11"/>
    </sheetView>
  </sheetViews>
  <sheetFormatPr defaultRowHeight="14.25" x14ac:dyDescent="0.2"/>
  <cols>
    <col min="2" max="2" width="23.5" bestFit="1" customWidth="1"/>
    <col min="3" max="3" width="13.375" bestFit="1" customWidth="1"/>
    <col min="4" max="4" width="19.5" bestFit="1" customWidth="1"/>
    <col min="5" max="5" width="13.375" bestFit="1" customWidth="1"/>
    <col min="6" max="6" width="19.5" bestFit="1" customWidth="1"/>
    <col min="7" max="7" width="11" bestFit="1" customWidth="1"/>
    <col min="8" max="8" width="11" customWidth="1"/>
  </cols>
  <sheetData>
    <row r="3" spans="2:8" x14ac:dyDescent="0.2">
      <c r="B3" s="2" t="s">
        <v>0</v>
      </c>
      <c r="C3" t="s">
        <v>42</v>
      </c>
      <c r="D3" t="s">
        <v>43</v>
      </c>
      <c r="E3" t="s">
        <v>44</v>
      </c>
      <c r="F3" t="s">
        <v>45</v>
      </c>
      <c r="G3" t="s">
        <v>40</v>
      </c>
      <c r="H3" t="s">
        <v>41</v>
      </c>
    </row>
    <row r="4" spans="2:8" x14ac:dyDescent="0.2">
      <c r="B4" s="3" t="s">
        <v>1</v>
      </c>
      <c r="C4" s="5">
        <v>1382</v>
      </c>
      <c r="D4" s="4">
        <v>1.09177377688947E-2</v>
      </c>
      <c r="E4" s="5">
        <v>1961</v>
      </c>
      <c r="F4" s="4">
        <v>1.46372776604241E-2</v>
      </c>
      <c r="G4" s="5">
        <v>579</v>
      </c>
      <c r="H4" s="4">
        <v>0.41895803183791602</v>
      </c>
    </row>
    <row r="5" spans="2:8" x14ac:dyDescent="0.2">
      <c r="B5" s="3" t="s">
        <v>2</v>
      </c>
      <c r="C5" s="5">
        <v>1001</v>
      </c>
      <c r="D5" s="4">
        <v>7.9078549252269304E-3</v>
      </c>
      <c r="E5" s="5">
        <v>1294</v>
      </c>
      <c r="F5" s="4">
        <v>9.6586625663379905E-3</v>
      </c>
      <c r="G5" s="5">
        <v>293</v>
      </c>
      <c r="H5" s="4">
        <v>0.29270729270729301</v>
      </c>
    </row>
    <row r="6" spans="2:8" x14ac:dyDescent="0.2">
      <c r="B6" s="3" t="s">
        <v>3</v>
      </c>
      <c r="C6" s="5">
        <v>6744</v>
      </c>
      <c r="D6" s="4">
        <v>5.3277296319410999E-2</v>
      </c>
      <c r="E6" s="5">
        <v>7185</v>
      </c>
      <c r="F6" s="4">
        <v>5.36302090719772E-2</v>
      </c>
      <c r="G6" s="5">
        <v>441</v>
      </c>
      <c r="H6" s="4">
        <v>6.5391459074733094E-2</v>
      </c>
    </row>
    <row r="7" spans="2:8" x14ac:dyDescent="0.2">
      <c r="B7" s="3" t="s">
        <v>4</v>
      </c>
      <c r="C7" s="5">
        <v>3297</v>
      </c>
      <c r="D7" s="4">
        <v>2.60461515369362E-2</v>
      </c>
      <c r="E7" s="5">
        <v>3571</v>
      </c>
      <c r="F7" s="4">
        <v>2.6654624439252698E-2</v>
      </c>
      <c r="G7" s="5">
        <v>274</v>
      </c>
      <c r="H7" s="4">
        <v>8.3105853806490798E-2</v>
      </c>
    </row>
    <row r="8" spans="2:8" x14ac:dyDescent="0.2">
      <c r="B8" s="3" t="s">
        <v>5</v>
      </c>
      <c r="C8" s="5">
        <v>2376</v>
      </c>
      <c r="D8" s="4">
        <v>1.8770293009329801E-2</v>
      </c>
      <c r="E8" s="5">
        <v>2471</v>
      </c>
      <c r="F8" s="4">
        <v>1.84440148388108E-2</v>
      </c>
      <c r="G8" s="5">
        <v>95</v>
      </c>
      <c r="H8" s="4">
        <v>3.9983164983165002E-2</v>
      </c>
    </row>
    <row r="9" spans="2:8" x14ac:dyDescent="0.2">
      <c r="B9" s="3" t="s">
        <v>6</v>
      </c>
      <c r="C9" s="5">
        <v>4238</v>
      </c>
      <c r="D9" s="4">
        <v>3.3480009163947798E-2</v>
      </c>
      <c r="E9" s="5">
        <v>4375</v>
      </c>
      <c r="F9" s="4">
        <v>3.26558336381211E-2</v>
      </c>
      <c r="G9" s="5">
        <v>137</v>
      </c>
      <c r="H9" s="4">
        <v>3.2326569136385E-2</v>
      </c>
    </row>
    <row r="10" spans="2:8" x14ac:dyDescent="0.2">
      <c r="B10" s="3" t="s">
        <v>7</v>
      </c>
      <c r="C10" s="5">
        <v>2728</v>
      </c>
      <c r="D10" s="4">
        <v>2.1551077158860201E-2</v>
      </c>
      <c r="E10" s="5">
        <v>2746</v>
      </c>
      <c r="F10" s="4">
        <v>2.0496667238921299E-2</v>
      </c>
      <c r="G10" s="5">
        <v>18</v>
      </c>
      <c r="H10" s="4">
        <v>6.5982404692082096E-3</v>
      </c>
    </row>
    <row r="11" spans="2:8" x14ac:dyDescent="0.2">
      <c r="B11" s="3" t="s">
        <v>8</v>
      </c>
      <c r="C11" s="5">
        <v>3689</v>
      </c>
      <c r="D11" s="4">
        <v>2.91429338852769E-2</v>
      </c>
      <c r="E11" s="5">
        <v>3831</v>
      </c>
      <c r="F11" s="4">
        <v>2.8595313981175301E-2</v>
      </c>
      <c r="G11" s="5">
        <v>142</v>
      </c>
      <c r="H11" s="4">
        <v>3.8492816481431297E-2</v>
      </c>
    </row>
    <row r="12" spans="2:8" x14ac:dyDescent="0.2">
      <c r="B12" s="3" t="s">
        <v>9</v>
      </c>
      <c r="C12" s="5">
        <v>1674</v>
      </c>
      <c r="D12" s="4">
        <v>1.3224524620209699E-2</v>
      </c>
      <c r="E12" s="5">
        <v>2302</v>
      </c>
      <c r="F12" s="4">
        <v>1.7182566636561099E-2</v>
      </c>
      <c r="G12" s="5">
        <v>628</v>
      </c>
      <c r="H12" s="4">
        <v>0.37514934289127799</v>
      </c>
    </row>
    <row r="13" spans="2:8" x14ac:dyDescent="0.2">
      <c r="B13" s="3" t="s">
        <v>10</v>
      </c>
      <c r="C13" s="5">
        <v>7438</v>
      </c>
      <c r="D13" s="4">
        <v>5.8759865068769103E-2</v>
      </c>
      <c r="E13" s="5">
        <v>7866</v>
      </c>
      <c r="F13" s="4">
        <v>5.8713322833705298E-2</v>
      </c>
      <c r="G13" s="5">
        <v>428</v>
      </c>
      <c r="H13" s="4">
        <v>5.7542350094111197E-2</v>
      </c>
    </row>
    <row r="14" spans="2:8" x14ac:dyDescent="0.2">
      <c r="B14" s="3" t="s">
        <v>11</v>
      </c>
      <c r="C14" s="5">
        <v>4677</v>
      </c>
      <c r="D14" s="4">
        <v>3.69480893958904E-2</v>
      </c>
      <c r="E14" s="5">
        <v>5443</v>
      </c>
      <c r="F14" s="4">
        <v>4.0627589141095599E-2</v>
      </c>
      <c r="G14" s="5">
        <v>766</v>
      </c>
      <c r="H14" s="4">
        <v>0.16378020098353699</v>
      </c>
    </row>
    <row r="15" spans="2:8" x14ac:dyDescent="0.2">
      <c r="B15" s="3" t="s">
        <v>12</v>
      </c>
      <c r="C15" s="5">
        <v>5986</v>
      </c>
      <c r="D15" s="4">
        <v>4.7289130451956402E-2</v>
      </c>
      <c r="E15" s="5">
        <v>5950</v>
      </c>
      <c r="F15" s="4">
        <v>4.4411933747844697E-2</v>
      </c>
      <c r="G15" s="5">
        <v>-36</v>
      </c>
      <c r="H15" s="4">
        <v>-6.0140327430671103E-3</v>
      </c>
    </row>
    <row r="16" spans="2:8" x14ac:dyDescent="0.2">
      <c r="B16" s="3" t="s">
        <v>13</v>
      </c>
      <c r="C16" s="5">
        <v>3471</v>
      </c>
      <c r="D16" s="4">
        <v>2.74207437017609E-2</v>
      </c>
      <c r="E16" s="5">
        <v>3689</v>
      </c>
      <c r="F16" s="4">
        <v>2.75353989236637E-2</v>
      </c>
      <c r="G16" s="5">
        <v>218</v>
      </c>
      <c r="H16" s="4">
        <v>6.2806107749927995E-2</v>
      </c>
    </row>
    <row r="17" spans="2:8" x14ac:dyDescent="0.2">
      <c r="B17" s="3" t="s">
        <v>14</v>
      </c>
      <c r="C17" s="5">
        <v>4140</v>
      </c>
      <c r="D17" s="4">
        <v>3.27058135768626E-2</v>
      </c>
      <c r="E17" s="5">
        <v>4457</v>
      </c>
      <c r="F17" s="4">
        <v>3.3267897262881298E-2</v>
      </c>
      <c r="G17" s="5">
        <v>317</v>
      </c>
      <c r="H17" s="4">
        <v>7.6570048309178698E-2</v>
      </c>
    </row>
    <row r="18" spans="2:8" x14ac:dyDescent="0.2">
      <c r="B18" s="3" t="s">
        <v>15</v>
      </c>
      <c r="C18" s="5">
        <v>9079</v>
      </c>
      <c r="D18" s="4">
        <v>7.1723691174960302E-2</v>
      </c>
      <c r="E18" s="5">
        <v>9579</v>
      </c>
      <c r="F18" s="4">
        <v>7.1499481238757101E-2</v>
      </c>
      <c r="G18" s="5">
        <v>500</v>
      </c>
      <c r="H18" s="4">
        <v>5.5072144509307197E-2</v>
      </c>
    </row>
    <row r="19" spans="2:8" x14ac:dyDescent="0.2">
      <c r="B19" s="3" t="s">
        <v>16</v>
      </c>
      <c r="C19" s="5">
        <v>9256</v>
      </c>
      <c r="D19" s="4">
        <v>7.3121983204695706E-2</v>
      </c>
      <c r="E19" s="5">
        <v>9402</v>
      </c>
      <c r="F19" s="4">
        <v>7.01783195121405E-2</v>
      </c>
      <c r="G19" s="5">
        <v>146</v>
      </c>
      <c r="H19" s="4">
        <v>1.5773552290406102E-2</v>
      </c>
    </row>
    <row r="20" spans="2:8" x14ac:dyDescent="0.2">
      <c r="B20" s="3" t="s">
        <v>17</v>
      </c>
      <c r="C20" s="5">
        <v>6028</v>
      </c>
      <c r="D20" s="4">
        <v>4.7620928560707203E-2</v>
      </c>
      <c r="E20" s="5">
        <v>5724</v>
      </c>
      <c r="F20" s="4">
        <v>4.27250266844812E-2</v>
      </c>
      <c r="G20" s="5">
        <v>-304</v>
      </c>
      <c r="H20" s="4">
        <v>-5.0431320504313197E-2</v>
      </c>
    </row>
    <row r="21" spans="2:8" x14ac:dyDescent="0.2">
      <c r="B21" s="3" t="s">
        <v>18</v>
      </c>
      <c r="C21" s="5">
        <v>6440</v>
      </c>
      <c r="D21" s="4">
        <v>5.0875710008453E-2</v>
      </c>
      <c r="E21" s="5">
        <v>6568</v>
      </c>
      <c r="F21" s="4">
        <v>4.90248035051839E-2</v>
      </c>
      <c r="G21" s="5">
        <v>128</v>
      </c>
      <c r="H21" s="4">
        <v>1.9875776397515501E-2</v>
      </c>
    </row>
    <row r="22" spans="2:8" x14ac:dyDescent="0.2">
      <c r="B22" s="3" t="s">
        <v>19</v>
      </c>
      <c r="C22" s="5">
        <v>8642</v>
      </c>
      <c r="D22" s="4">
        <v>6.8271410852958098E-2</v>
      </c>
      <c r="E22" s="5">
        <v>10430</v>
      </c>
      <c r="F22" s="4">
        <v>7.78515073932807E-2</v>
      </c>
      <c r="G22" s="5">
        <v>1788</v>
      </c>
      <c r="H22" s="4">
        <v>0.20689655172413801</v>
      </c>
    </row>
    <row r="23" spans="2:8" x14ac:dyDescent="0.2">
      <c r="B23" s="3" t="s">
        <v>20</v>
      </c>
      <c r="C23" s="5">
        <v>4489</v>
      </c>
      <c r="D23" s="4">
        <v>3.5462897861482198E-2</v>
      </c>
      <c r="E23" s="5">
        <v>4603</v>
      </c>
      <c r="F23" s="4">
        <v>3.43576690825763E-2</v>
      </c>
      <c r="G23" s="5">
        <v>114</v>
      </c>
      <c r="H23" s="4">
        <v>2.5395411004678101E-2</v>
      </c>
    </row>
    <row r="24" spans="2:8" x14ac:dyDescent="0.2">
      <c r="B24" s="3" t="s">
        <v>21</v>
      </c>
      <c r="C24" s="5">
        <v>787</v>
      </c>
      <c r="D24" s="4">
        <v>6.2172645615919996E-3</v>
      </c>
      <c r="E24" s="5">
        <v>867</v>
      </c>
      <c r="F24" s="4">
        <v>6.4714532032573704E-3</v>
      </c>
      <c r="G24" s="5">
        <v>80</v>
      </c>
      <c r="H24" s="4">
        <v>0.10165184243964399</v>
      </c>
    </row>
    <row r="25" spans="2:8" x14ac:dyDescent="0.2">
      <c r="B25" s="3" t="s">
        <v>22</v>
      </c>
      <c r="C25" s="5">
        <v>3090</v>
      </c>
      <c r="D25" s="4">
        <v>2.44108608580931E-2</v>
      </c>
      <c r="E25" s="5">
        <v>2885</v>
      </c>
      <c r="F25" s="4">
        <v>2.1534189724795299E-2</v>
      </c>
      <c r="G25" s="5">
        <v>-205</v>
      </c>
      <c r="H25" s="4">
        <v>-6.6343042071197497E-2</v>
      </c>
    </row>
    <row r="26" spans="2:8" x14ac:dyDescent="0.2">
      <c r="B26" s="3" t="s">
        <v>23</v>
      </c>
      <c r="C26" s="5">
        <v>8329</v>
      </c>
      <c r="D26" s="4">
        <v>6.5798724947267795E-2</v>
      </c>
      <c r="E26" s="5">
        <v>8042</v>
      </c>
      <c r="F26" s="4">
        <v>6.0027020369776002E-2</v>
      </c>
      <c r="G26" s="5">
        <v>-287</v>
      </c>
      <c r="H26" s="4">
        <v>-3.4457918117421001E-2</v>
      </c>
    </row>
    <row r="27" spans="2:8" x14ac:dyDescent="0.2">
      <c r="B27" s="3" t="s">
        <v>24</v>
      </c>
      <c r="C27" s="5">
        <v>3525</v>
      </c>
      <c r="D27" s="4">
        <v>2.7847341270154799E-2</v>
      </c>
      <c r="E27" s="5">
        <v>3475</v>
      </c>
      <c r="F27" s="4">
        <v>2.5938062146850498E-2</v>
      </c>
      <c r="G27" s="5">
        <v>-50</v>
      </c>
      <c r="H27" s="4">
        <v>-1.41843971631206E-2</v>
      </c>
    </row>
    <row r="28" spans="2:8" x14ac:dyDescent="0.2">
      <c r="B28" s="3" t="s">
        <v>25</v>
      </c>
      <c r="C28" s="5">
        <v>4288</v>
      </c>
      <c r="D28" s="4">
        <v>3.3875006912460599E-2</v>
      </c>
      <c r="E28" s="5">
        <v>4597</v>
      </c>
      <c r="F28" s="4">
        <v>3.4312883939301202E-2</v>
      </c>
      <c r="G28" s="5">
        <v>309</v>
      </c>
      <c r="H28" s="4">
        <v>7.2061567164179094E-2</v>
      </c>
    </row>
    <row r="29" spans="2:8" x14ac:dyDescent="0.2">
      <c r="B29" s="3" t="s">
        <v>26</v>
      </c>
      <c r="C29" s="5">
        <v>262</v>
      </c>
      <c r="D29" s="4">
        <v>2.06978820220725E-3</v>
      </c>
      <c r="E29" s="5">
        <v>300</v>
      </c>
      <c r="F29" s="4">
        <v>2.2392571637568802E-3</v>
      </c>
      <c r="G29" s="5">
        <v>38</v>
      </c>
      <c r="H29" s="4">
        <v>0.14503816793893101</v>
      </c>
    </row>
    <row r="30" spans="2:8" x14ac:dyDescent="0.2">
      <c r="B30" s="3" t="s">
        <v>27</v>
      </c>
      <c r="C30" s="5">
        <v>3605</v>
      </c>
      <c r="D30" s="4">
        <v>2.8479337667775301E-2</v>
      </c>
      <c r="E30" s="5">
        <v>3733</v>
      </c>
      <c r="F30" s="4">
        <v>2.7863823307681401E-2</v>
      </c>
      <c r="G30" s="5">
        <v>128</v>
      </c>
      <c r="H30" s="4">
        <v>3.5506241331483897E-2</v>
      </c>
    </row>
    <row r="31" spans="2:8" x14ac:dyDescent="0.2">
      <c r="B31" s="3" t="s">
        <v>28</v>
      </c>
      <c r="C31" s="5">
        <v>2562</v>
      </c>
      <c r="D31" s="4">
        <v>2.0239684633797599E-2</v>
      </c>
      <c r="E31" s="5">
        <v>2558</v>
      </c>
      <c r="F31" s="4">
        <v>1.90933994163003E-2</v>
      </c>
      <c r="G31" s="5">
        <v>-4</v>
      </c>
      <c r="H31" s="4">
        <v>-1.56128024980484E-3</v>
      </c>
    </row>
    <row r="32" spans="2:8" x14ac:dyDescent="0.2">
      <c r="B32" s="3" t="s">
        <v>29</v>
      </c>
      <c r="C32" s="5">
        <v>518</v>
      </c>
      <c r="D32" s="4">
        <v>4.0921766745929504E-3</v>
      </c>
      <c r="E32" s="5">
        <v>563</v>
      </c>
      <c r="F32" s="4">
        <v>4.2023392773170697E-3</v>
      </c>
      <c r="G32" s="5">
        <v>45</v>
      </c>
      <c r="H32" s="4">
        <v>8.6872586872586796E-2</v>
      </c>
    </row>
    <row r="33" spans="2:8" x14ac:dyDescent="0.2">
      <c r="B33" s="3" t="s">
        <v>30</v>
      </c>
      <c r="C33" s="5">
        <v>562</v>
      </c>
      <c r="D33" s="4">
        <v>4.43977469328425E-3</v>
      </c>
      <c r="E33" s="5">
        <v>630</v>
      </c>
      <c r="F33" s="4">
        <v>4.7024400438894403E-3</v>
      </c>
      <c r="G33" s="5">
        <v>68</v>
      </c>
      <c r="H33" s="4">
        <v>0.120996441281139</v>
      </c>
    </row>
    <row r="34" spans="2:8" x14ac:dyDescent="0.2">
      <c r="B34" s="3" t="s">
        <v>31</v>
      </c>
      <c r="C34" s="5">
        <v>1925</v>
      </c>
      <c r="D34" s="4">
        <v>1.52074133177441E-2</v>
      </c>
      <c r="E34" s="5">
        <v>2181</v>
      </c>
      <c r="F34" s="4">
        <v>1.6279399580512499E-2</v>
      </c>
      <c r="G34" s="5">
        <v>256</v>
      </c>
      <c r="H34" s="4">
        <v>0.13298701298701299</v>
      </c>
    </row>
    <row r="35" spans="2:8" x14ac:dyDescent="0.2">
      <c r="B35" s="3" t="s">
        <v>35</v>
      </c>
      <c r="C35" s="5">
        <v>250</v>
      </c>
      <c r="D35" s="4">
        <v>1.9749887425641699E-3</v>
      </c>
      <c r="E35" s="5">
        <v>230</v>
      </c>
      <c r="F35" s="4">
        <v>1.7167638255469399E-3</v>
      </c>
      <c r="G35" s="5">
        <v>-20</v>
      </c>
      <c r="H35" s="4">
        <v>-0.08</v>
      </c>
    </row>
    <row r="36" spans="2:8" x14ac:dyDescent="0.2">
      <c r="B36" s="3" t="s">
        <v>36</v>
      </c>
      <c r="C36" s="5">
        <v>105</v>
      </c>
      <c r="D36" s="4">
        <v>8.2949527187694996E-4</v>
      </c>
      <c r="E36" s="5">
        <v>465</v>
      </c>
      <c r="F36" s="4">
        <v>3.4708486038231602E-3</v>
      </c>
      <c r="G36" s="5">
        <v>360</v>
      </c>
      <c r="H36" s="4">
        <v>3.4285714285714302</v>
      </c>
    </row>
    <row r="37" spans="2:8" x14ac:dyDescent="0.2">
      <c r="B37" s="3" t="s">
        <v>39</v>
      </c>
      <c r="C37" s="5">
        <v>126583</v>
      </c>
      <c r="D37" s="4">
        <v>1</v>
      </c>
      <c r="E37" s="5">
        <v>133973</v>
      </c>
      <c r="F37" s="4">
        <v>1</v>
      </c>
      <c r="G37" s="5">
        <v>7390</v>
      </c>
      <c r="H37" s="4">
        <v>5.8380667230196699E-2</v>
      </c>
    </row>
  </sheetData>
  <sortState sortMethod="stroke" ref="B3:H37">
    <sortCondition ref="B4" customList=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香港特别行政区,澳门特别行政区,台湾地区,中国人民解放军现役军人,难以确定常住地"/>
  </sortState>
  <phoneticPr fontId="1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22" workbookViewId="0">
      <selection activeCell="B32" sqref="B32"/>
    </sheetView>
  </sheetViews>
  <sheetFormatPr defaultRowHeight="14.25" x14ac:dyDescent="0.2"/>
  <cols>
    <col min="1" max="1" width="23.5" bestFit="1" customWidth="1"/>
    <col min="2" max="2" width="23.625" bestFit="1" customWidth="1"/>
  </cols>
  <sheetData>
    <row r="1" spans="1:2" x14ac:dyDescent="0.2">
      <c r="A1" s="1" t="s">
        <v>0</v>
      </c>
      <c r="B1" s="1" t="s">
        <v>38</v>
      </c>
    </row>
    <row r="2" spans="1:2" x14ac:dyDescent="0.2">
      <c r="A2" s="1" t="s">
        <v>12</v>
      </c>
      <c r="B2" s="1">
        <v>5986</v>
      </c>
    </row>
    <row r="3" spans="1:2" x14ac:dyDescent="0.2">
      <c r="A3" s="1" t="s">
        <v>1</v>
      </c>
      <c r="B3" s="1">
        <v>1382</v>
      </c>
    </row>
    <row r="4" spans="1:2" x14ac:dyDescent="0.2">
      <c r="A4" s="1" t="s">
        <v>13</v>
      </c>
      <c r="B4" s="1">
        <v>3471</v>
      </c>
    </row>
    <row r="5" spans="1:2" x14ac:dyDescent="0.2">
      <c r="A5" s="1" t="s">
        <v>28</v>
      </c>
      <c r="B5" s="1">
        <v>2562</v>
      </c>
    </row>
    <row r="6" spans="1:2" x14ac:dyDescent="0.2">
      <c r="A6" s="1" t="s">
        <v>19</v>
      </c>
      <c r="B6" s="1">
        <v>8642</v>
      </c>
    </row>
    <row r="7" spans="1:2" x14ac:dyDescent="0.2">
      <c r="A7" s="1" t="s">
        <v>20</v>
      </c>
      <c r="B7" s="1">
        <v>4489</v>
      </c>
    </row>
    <row r="8" spans="1:2" x14ac:dyDescent="0.2">
      <c r="A8" s="1" t="s">
        <v>24</v>
      </c>
      <c r="B8" s="1">
        <v>3525</v>
      </c>
    </row>
    <row r="9" spans="1:2" x14ac:dyDescent="0.2">
      <c r="A9" s="1" t="s">
        <v>21</v>
      </c>
      <c r="B9" s="1">
        <v>787</v>
      </c>
    </row>
    <row r="10" spans="1:2" x14ac:dyDescent="0.2">
      <c r="A10" s="1" t="s">
        <v>3</v>
      </c>
      <c r="B10" s="1">
        <v>6744</v>
      </c>
    </row>
    <row r="11" spans="1:2" x14ac:dyDescent="0.2">
      <c r="A11" s="1" t="s">
        <v>16</v>
      </c>
      <c r="B11" s="1">
        <v>9256</v>
      </c>
    </row>
    <row r="12" spans="1:2" x14ac:dyDescent="0.2">
      <c r="A12" s="1" t="s">
        <v>8</v>
      </c>
      <c r="B12" s="1">
        <v>3689</v>
      </c>
    </row>
    <row r="13" spans="1:2" x14ac:dyDescent="0.2">
      <c r="A13" s="1" t="s">
        <v>17</v>
      </c>
      <c r="B13" s="1">
        <v>6028</v>
      </c>
    </row>
    <row r="14" spans="1:2" x14ac:dyDescent="0.2">
      <c r="A14" s="1" t="s">
        <v>18</v>
      </c>
      <c r="B14" s="1">
        <v>6440</v>
      </c>
    </row>
    <row r="15" spans="1:2" x14ac:dyDescent="0.2">
      <c r="A15" s="1" t="s">
        <v>7</v>
      </c>
      <c r="B15" s="1">
        <v>2728</v>
      </c>
    </row>
    <row r="16" spans="1:2" x14ac:dyDescent="0.2">
      <c r="A16" s="1" t="s">
        <v>10</v>
      </c>
      <c r="B16" s="1">
        <v>7438</v>
      </c>
    </row>
    <row r="17" spans="1:2" x14ac:dyDescent="0.2">
      <c r="A17" s="1" t="s">
        <v>14</v>
      </c>
      <c r="B17" s="1">
        <v>4140</v>
      </c>
    </row>
    <row r="18" spans="1:2" x14ac:dyDescent="0.2">
      <c r="A18" s="1" t="s">
        <v>6</v>
      </c>
      <c r="B18" s="1">
        <v>4238</v>
      </c>
    </row>
    <row r="19" spans="1:2" x14ac:dyDescent="0.2">
      <c r="A19" s="1" t="s">
        <v>5</v>
      </c>
      <c r="B19" s="1">
        <v>2376</v>
      </c>
    </row>
    <row r="20" spans="1:2" x14ac:dyDescent="0.2">
      <c r="A20" s="1" t="s">
        <v>30</v>
      </c>
      <c r="B20" s="1">
        <v>562</v>
      </c>
    </row>
    <row r="21" spans="1:2" x14ac:dyDescent="0.2">
      <c r="A21" s="1" t="s">
        <v>29</v>
      </c>
      <c r="B21" s="1">
        <v>518</v>
      </c>
    </row>
    <row r="22" spans="1:2" x14ac:dyDescent="0.2">
      <c r="A22" s="1" t="s">
        <v>15</v>
      </c>
      <c r="B22" s="1">
        <v>9079</v>
      </c>
    </row>
    <row r="23" spans="1:2" x14ac:dyDescent="0.2">
      <c r="A23" s="1" t="s">
        <v>4</v>
      </c>
      <c r="B23" s="1">
        <v>3297</v>
      </c>
    </row>
    <row r="24" spans="1:2" x14ac:dyDescent="0.2">
      <c r="A24" s="1" t="s">
        <v>27</v>
      </c>
      <c r="B24" s="1">
        <v>3605</v>
      </c>
    </row>
    <row r="25" spans="1:2" x14ac:dyDescent="0.2">
      <c r="A25" s="1" t="s">
        <v>9</v>
      </c>
      <c r="B25" s="1">
        <v>1674</v>
      </c>
    </row>
    <row r="26" spans="1:2" x14ac:dyDescent="0.2">
      <c r="A26" s="1" t="s">
        <v>23</v>
      </c>
      <c r="B26" s="1">
        <v>8329</v>
      </c>
    </row>
    <row r="27" spans="1:2" x14ac:dyDescent="0.2">
      <c r="A27" s="1" t="s">
        <v>2</v>
      </c>
      <c r="B27" s="1">
        <v>1001</v>
      </c>
    </row>
    <row r="28" spans="1:2" x14ac:dyDescent="0.2">
      <c r="A28" s="1" t="s">
        <v>26</v>
      </c>
      <c r="B28" s="1">
        <v>262</v>
      </c>
    </row>
    <row r="29" spans="1:2" x14ac:dyDescent="0.2">
      <c r="A29" s="1" t="s">
        <v>31</v>
      </c>
      <c r="B29" s="1">
        <v>1925</v>
      </c>
    </row>
    <row r="30" spans="1:2" x14ac:dyDescent="0.2">
      <c r="A30" s="1" t="s">
        <v>25</v>
      </c>
      <c r="B30" s="1">
        <v>4288</v>
      </c>
    </row>
    <row r="31" spans="1:2" x14ac:dyDescent="0.2">
      <c r="A31" s="1" t="s">
        <v>11</v>
      </c>
      <c r="B31" s="1">
        <v>4677</v>
      </c>
    </row>
    <row r="32" spans="1:2" x14ac:dyDescent="0.2">
      <c r="A32" s="1" t="s">
        <v>22</v>
      </c>
      <c r="B32" s="1">
        <v>3090</v>
      </c>
    </row>
    <row r="33" spans="1:2" x14ac:dyDescent="0.2">
      <c r="A33" s="1" t="s">
        <v>32</v>
      </c>
      <c r="B33" s="1">
        <v>678</v>
      </c>
    </row>
    <row r="34" spans="1:2" x14ac:dyDescent="0.2">
      <c r="A34" s="1" t="s">
        <v>33</v>
      </c>
      <c r="B34" s="1">
        <v>44</v>
      </c>
    </row>
    <row r="35" spans="1:2" x14ac:dyDescent="0.2">
      <c r="A35" s="1" t="s">
        <v>34</v>
      </c>
      <c r="B35" s="1">
        <v>2228</v>
      </c>
    </row>
    <row r="36" spans="1:2" x14ac:dyDescent="0.2">
      <c r="A36" s="1" t="s">
        <v>35</v>
      </c>
      <c r="B36" s="1">
        <v>250</v>
      </c>
    </row>
    <row r="37" spans="1:2" x14ac:dyDescent="0.2">
      <c r="A37" s="1" t="s">
        <v>36</v>
      </c>
      <c r="B37" s="1">
        <v>105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tabSelected="1" workbookViewId="0">
      <selection activeCell="E8" sqref="E8"/>
    </sheetView>
  </sheetViews>
  <sheetFormatPr defaultRowHeight="14.25" x14ac:dyDescent="0.2"/>
  <cols>
    <col min="1" max="1" width="4.625" customWidth="1"/>
    <col min="2" max="2" width="24.5" customWidth="1"/>
    <col min="3" max="3" width="14.375" customWidth="1"/>
    <col min="4" max="4" width="15.75" customWidth="1"/>
    <col min="8" max="8" width="11.5" customWidth="1"/>
  </cols>
  <sheetData>
    <row r="1" spans="2:9" ht="16.5" customHeight="1" x14ac:dyDescent="0.2"/>
    <row r="2" spans="2:9" ht="22.5" customHeight="1" x14ac:dyDescent="0.2">
      <c r="B2" s="6" t="s">
        <v>46</v>
      </c>
      <c r="C2" s="6" t="s">
        <v>47</v>
      </c>
      <c r="D2" s="7" t="s">
        <v>48</v>
      </c>
    </row>
    <row r="3" spans="2:9" ht="22.5" customHeight="1" x14ac:dyDescent="0.2">
      <c r="B3" s="8" t="s">
        <v>49</v>
      </c>
      <c r="C3" s="9">
        <f>SUM(第五次普查数据!B2:B37)</f>
        <v>129533</v>
      </c>
      <c r="D3" s="10">
        <f>SUM(第六次普查数据!B2:B37)</f>
        <v>137054</v>
      </c>
    </row>
    <row r="4" spans="2:9" ht="22.5" customHeight="1" x14ac:dyDescent="0.2">
      <c r="B4" s="11" t="s">
        <v>50</v>
      </c>
      <c r="C4" s="12" t="s">
        <v>51</v>
      </c>
      <c r="D4" s="13">
        <f>D3-C3</f>
        <v>7521</v>
      </c>
    </row>
    <row r="5" spans="2:9" ht="22.5" customHeight="1" x14ac:dyDescent="0.2">
      <c r="B5" s="8" t="s">
        <v>52</v>
      </c>
      <c r="C5" s="14" t="str">
        <f>INDEX(辅助!B4:B34,MATCH(MAX(辅助!C4:C34),辅助!C4:C34,0),0)</f>
        <v>河南省</v>
      </c>
      <c r="D5" s="15" t="str">
        <f>INDEX(辅助!B4:B34,MATCH(MAX(辅助!E4:E34),辅助!E4:E34,0),0)</f>
        <v>广东省</v>
      </c>
    </row>
    <row r="6" spans="2:9" ht="22.5" customHeight="1" x14ac:dyDescent="0.2">
      <c r="B6" s="11" t="s">
        <v>53</v>
      </c>
      <c r="C6" s="16" t="str">
        <f>INDEX(辅助!B4:B34,MATCH(MIN(辅助!C4:C34),辅助!C4:C34,0),0)</f>
        <v>西藏自治区</v>
      </c>
      <c r="D6" s="16" t="str">
        <f>INDEX(辅助!B4:B34,MATCH(MIN(辅助!E4:E34),辅助!E4:E34,0),0)</f>
        <v>西藏自治区</v>
      </c>
    </row>
    <row r="7" spans="2:9" ht="22.5" customHeight="1" x14ac:dyDescent="0.2">
      <c r="B7" s="8" t="s">
        <v>54</v>
      </c>
      <c r="C7" s="17" t="s">
        <v>55</v>
      </c>
      <c r="D7" s="15" t="str">
        <f>INDEX(辅助!B4:B34,MATCH(MAX(辅助!H4:H34),辅助!H4:H34,0),0)</f>
        <v>北京市</v>
      </c>
    </row>
    <row r="8" spans="2:9" ht="22.5" customHeight="1" x14ac:dyDescent="0.2">
      <c r="B8" s="11" t="s">
        <v>56</v>
      </c>
      <c r="C8" s="12" t="s">
        <v>51</v>
      </c>
      <c r="D8" s="18" t="str">
        <f>INDEX(辅助!B4:B34,MATCH(MIN(辅助!H4:H34),辅助!H4:H34,0),0)</f>
        <v>重庆市</v>
      </c>
    </row>
    <row r="9" spans="2:9" ht="24" customHeight="1" x14ac:dyDescent="0.2">
      <c r="B9" s="8" t="s">
        <v>57</v>
      </c>
      <c r="C9" s="19" t="s">
        <v>55</v>
      </c>
      <c r="D9" s="20">
        <f>COUNTIF(辅助!H4:H34,"&lt;0")</f>
        <v>6</v>
      </c>
    </row>
    <row r="11" spans="2:9" ht="39" customHeight="1" x14ac:dyDescent="0.2">
      <c r="B11" s="21" t="s">
        <v>58</v>
      </c>
      <c r="C11" s="21"/>
      <c r="D11" s="21"/>
      <c r="E11" s="21"/>
      <c r="F11" s="21"/>
      <c r="G11" s="21"/>
      <c r="H11" s="21"/>
      <c r="I11" s="21"/>
    </row>
  </sheetData>
  <mergeCells count="1">
    <mergeCell ref="B11:I11"/>
  </mergeCells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��t^�N�Spe�N�N	� �v;`�Tt^�N�Spe�N�N	� �v;`�Tt^�N�Spe�N�N	� �v;`�Tt^�N�Spe�N�N	� �v;`�T�N�S�X�pe�N�S�X�pe�N�S�X��s�N�S�X��s
</file>

<file path=customXml/item3.xml>��h�t^
</file>

<file path=customXml/item4.xml>��t^0W:St^�N�Spe�N�N	�0W:St^�N�Spe�N�N	�
</file>

<file path=customXml/item5.xml>��h�h�t^t^
</file>

<file path=customXml/item6.xml>��h�
</file>

<file path=customXml/item7.xml>��h�t^
</file>

<file path=customXml/item8.xml>��h�0W:St^�N�Spe�N�N	�0W:St^�N�Spe�N�N	�
</file>

<file path=customXml/item9.xml>��
</file>

<file path=customXml/item10.xml>��
</file>

<file path=customXml/item11.xml>��
</file>

<file path=customXml/item12.xml>��
</file>

<file path=customXml/item13.xml>��t^t^0W:St^�N�Spe�N�N	�t^t^0W:St^�N�Spe�N�N	�
</file>

<file path=customXml/item14.xml>��
</file>

<file path=customXml/item15.xml>��
</file>

<file path=customXml/item16.xml>��
</file>

<file path=customXml/item17.xml>��t^t^t^t^0W:St^t^�N�Spe�N�N	�t^t^0W:St^t^�N�Spe�N�N	�t^0W:St^0W:St^0W:St^0W:St^0W:St^0W:St^0W:St^0W:St^0W:St^0W:St^t^t^t^0W:St^t^�N�Spe�N�N	�t^t^0W:St^t^�N�Spe�N�N	�t^0W:St^0W:S�z�p0�z�pt^0W:St^0W:St^0W:St^0W:St^0W:St^0W:St^t^t^�N�Spe�N�N	� �v;`�Tt^�N�Spe�N�N	� �v;`�TlQ_t^�N�Spe�N�N	� �v;`�T<P0W:St^�N�Spe�N�N	�t^�N�Spe�N�N	� �v;`�Tt^�N�Spe�N�N	� �v;`�TlQ_t^�N�Spe�N�N	� �v;`�T<P0W:St^�N�Spe�N�N	�t^t^t^�N�Spe�N�N	� �v;`�Tt^�N�Spe�N�N	� �v;`�TlQ_t^�N�Spe�N�N	� �v;`�T<P�N�S�X�pe�N�S�X�pelQ_�N�S�X�pe<P�N�S�X��s�N�S�X��slQ_�N�S�X��s<P0W:St^�N�Spe�N�N	�t^�N�Spe�N�N	� �v;`�Tt^�N�Spe�N�N	� �v;`�TlQ_t^�N�Spe�N�N	� �v;`�T<P�N�S�X�pe�N�S�X�pelQ_�N�S�X�pe<P�N�S�X��s�N�S�X��slQ_�N�S�X��s<P0W:St^�N�Spe�N�N	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928F401-51C3-4D13-B9B4-D84237F0BB0A}">
  <ds:schemaRefs/>
</ds:datastoreItem>
</file>

<file path=customXml/itemProps2.xml><?xml version="1.0" encoding="utf-8"?>
<ds:datastoreItem xmlns:ds="http://schemas.openxmlformats.org/officeDocument/2006/customXml" ds:itemID="{BADF5BD6-4385-4DD9-A5F0-3D7A705C95D5}">
  <ds:schemaRefs/>
</ds:datastoreItem>
</file>

<file path=customXml/itemProps3.xml><?xml version="1.0" encoding="utf-8"?>
<ds:datastoreItem xmlns:ds="http://schemas.openxmlformats.org/officeDocument/2006/customXml" ds:itemID="{342DBBB7-F8C6-45E5-9D61-8CF050A5DE1A}">
  <ds:schemaRefs/>
</ds:datastoreItem>
</file>

<file path=customXml/itemProps4.xml><?xml version="1.0" encoding="utf-8"?>
<ds:datastoreItem xmlns:ds="http://schemas.openxmlformats.org/officeDocument/2006/customXml" ds:itemID="{D3DB00B2-675B-4410-B721-CDAFC78C21C9}">
  <ds:schemaRefs/>
</ds:datastoreItem>
</file>

<file path=customXml/itemProps5.xml><?xml version="1.0" encoding="utf-8"?>
<ds:datastoreItem xmlns:ds="http://schemas.openxmlformats.org/officeDocument/2006/customXml" ds:itemID="{8EE02D79-14E8-4055-9E43-8101B3189709}">
  <ds:schemaRefs/>
</ds:datastoreItem>
</file>

<file path=customXml/itemProps6.xml><?xml version="1.0" encoding="utf-8"?>
<ds:datastoreItem xmlns:ds="http://schemas.openxmlformats.org/officeDocument/2006/customXml" ds:itemID="{AF53F4FA-7173-4803-8062-A8BE3CFFBAC0}">
  <ds:schemaRefs/>
</ds:datastoreItem>
</file>

<file path=customXml/itemProps7.xml><?xml version="1.0" encoding="utf-8"?>
<ds:datastoreItem xmlns:ds="http://schemas.openxmlformats.org/officeDocument/2006/customXml" ds:itemID="{7A967152-D963-434A-AE6A-B2551F47013A}">
  <ds:schemaRefs/>
</ds:datastoreItem>
</file>

<file path=customXml/itemProps8.xml><?xml version="1.0" encoding="utf-8"?>
<ds:datastoreItem xmlns:ds="http://schemas.openxmlformats.org/officeDocument/2006/customXml" ds:itemID="{6918542D-7040-4433-8BC1-40897CA393A4}">
  <ds:schemaRefs/>
</ds:datastoreItem>
</file>

<file path=customXml/itemProps9.xml><?xml version="1.0" encoding="utf-8"?>
<ds:datastoreItem xmlns:ds="http://schemas.openxmlformats.org/officeDocument/2006/customXml" ds:itemID="{37C8F585-BD9F-426D-A769-1348564D3589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5E3D92AF-41E5-4334-8AE2-C97826E1ACD5}">
  <ds:schemaRefs/>
</ds:datastoreItem>
</file>

<file path=customXml/itemProps11.xml><?xml version="1.0" encoding="utf-8"?>
<ds:datastoreItem xmlns:ds="http://schemas.openxmlformats.org/officeDocument/2006/customXml" ds:itemID="{DA491DFC-A60D-496A-B41B-D28D6C8B8E75}">
  <ds:schemaRefs/>
</ds:datastoreItem>
</file>

<file path=customXml/itemProps12.xml><?xml version="1.0" encoding="utf-8"?>
<ds:datastoreItem xmlns:ds="http://schemas.openxmlformats.org/officeDocument/2006/customXml" ds:itemID="{C9F784F5-2EF9-4431-B40F-2F21DA017B5B}">
  <ds:schemaRefs/>
</ds:datastoreItem>
</file>

<file path=customXml/itemProps13.xml><?xml version="1.0" encoding="utf-8"?>
<ds:datastoreItem xmlns:ds="http://schemas.openxmlformats.org/officeDocument/2006/customXml" ds:itemID="{58FA20CD-1A69-493F-A37E-EBA356BDEA65}">
  <ds:schemaRefs/>
</ds:datastoreItem>
</file>

<file path=customXml/itemProps14.xml><?xml version="1.0" encoding="utf-8"?>
<ds:datastoreItem xmlns:ds="http://schemas.openxmlformats.org/officeDocument/2006/customXml" ds:itemID="{F28B0F6A-098A-46C6-B506-915DA64F374F}">
  <ds:schemaRefs/>
</ds:datastoreItem>
</file>

<file path=customXml/itemProps15.xml><?xml version="1.0" encoding="utf-8"?>
<ds:datastoreItem xmlns:ds="http://schemas.openxmlformats.org/officeDocument/2006/customXml" ds:itemID="{CA907491-C069-4C77-9031-E46D1A8BC7AE}">
  <ds:schemaRefs/>
</ds:datastoreItem>
</file>

<file path=customXml/itemProps16.xml><?xml version="1.0" encoding="utf-8"?>
<ds:datastoreItem xmlns:ds="http://schemas.openxmlformats.org/officeDocument/2006/customXml" ds:itemID="{4C07EC24-4CC8-4632-A345-41B59C2C5E58}">
  <ds:schemaRefs/>
</ds:datastoreItem>
</file>

<file path=customXml/itemProps17.xml><?xml version="1.0" encoding="utf-8"?>
<ds:datastoreItem xmlns:ds="http://schemas.openxmlformats.org/officeDocument/2006/customXml" ds:itemID="{D7043F42-1577-42A6-82FA-3D45B26B2EE2}">
  <ds:schemaRefs/>
</ds:datastoreItem>
</file>

<file path=customXml/itemProps18.xml><?xml version="1.0" encoding="utf-8"?>
<ds:datastoreItem xmlns:ds="http://schemas.openxmlformats.org/officeDocument/2006/customXml" ds:itemID="{7E3D6755-DB88-4296-A7B6-2533B0E2AEA1}">
  <ds:schemaRefs/>
</ds:datastoreItem>
</file>

<file path=customXml/itemProps19.xml><?xml version="1.0" encoding="utf-8"?>
<ds:datastoreItem xmlns:ds="http://schemas.openxmlformats.org/officeDocument/2006/customXml" ds:itemID="{AAC2F000-E075-41D9-9555-1C96DBAAB7B2}">
  <ds:schemaRefs/>
</ds:datastoreItem>
</file>

<file path=customXml/itemProps20.xml><?xml version="1.0" encoding="utf-8"?>
<ds:datastoreItem xmlns:ds="http://schemas.openxmlformats.org/officeDocument/2006/customXml" ds:itemID="{587F55F0-FF07-4703-A14A-8DEAAB212BB5}">
  <ds:schemaRefs/>
</ds:datastoreItem>
</file>

<file path=customXml/itemProps21.xml><?xml version="1.0" encoding="utf-8"?>
<ds:datastoreItem xmlns:ds="http://schemas.openxmlformats.org/officeDocument/2006/customXml" ds:itemID="{302904B6-6A67-4770-8D84-AAADB1E604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辅助</vt:lpstr>
      <vt:lpstr>第六次普查数据</vt:lpstr>
      <vt:lpstr>透视分析</vt:lpstr>
      <vt:lpstr>第五次普查数据</vt:lpstr>
      <vt:lpstr>统计数据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吉燕</dc:creator>
  <cp:lastModifiedBy>Microsoft</cp:lastModifiedBy>
  <dcterms:created xsi:type="dcterms:W3CDTF">2020-06-16T05:29:56Z</dcterms:created>
  <dcterms:modified xsi:type="dcterms:W3CDTF">2021-04-10T02:05:26Z</dcterms:modified>
</cp:coreProperties>
</file>