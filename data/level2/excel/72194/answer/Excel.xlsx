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高校题库制作系统-副本\EndFile\ExtractFile\"/>
    </mc:Choice>
  </mc:AlternateContent>
  <bookViews>
    <workbookView xWindow="915" yWindow="30" windowWidth="14505" windowHeight="12615" firstSheet="1" activeTab="4"/>
  </bookViews>
  <sheets>
    <sheet name="产品基本信息表" sheetId="4" r:id="rId1"/>
    <sheet name="一季度销售情况表" sheetId="5" r:id="rId2"/>
    <sheet name="二季度销售情况表 " sheetId="6" r:id="rId3"/>
    <sheet name="产品销售汇总表" sheetId="7" r:id="rId4"/>
    <sheet name="透视分析" sheetId="8" r:id="rId5"/>
  </sheets>
  <definedNames>
    <definedName name="_xlnm._FilterDatabase" localSheetId="2" hidden="1">'二季度销售情况表 '!$B$1:$F$14</definedName>
    <definedName name="_xlnm._FilterDatabase" localSheetId="1" hidden="1">一季度销售情况表!$B$1:$G$15</definedName>
  </definedNames>
  <calcPr calcId="162913"/>
  <pivotCaches>
    <pivotCache cacheId="0" r:id="rId6"/>
  </pivotCaches>
</workbook>
</file>

<file path=xl/calcChain.xml><?xml version="1.0" encoding="utf-8"?>
<calcChain xmlns="http://schemas.openxmlformats.org/spreadsheetml/2006/main">
  <c r="E3" i="6" l="1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3" i="5"/>
  <c r="E4" i="5"/>
  <c r="E5" i="5"/>
  <c r="E6" i="5"/>
  <c r="E7" i="5"/>
  <c r="G6" i="7" l="1"/>
  <c r="G10" i="7"/>
  <c r="G14" i="7"/>
  <c r="G18" i="7"/>
  <c r="G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" i="7"/>
  <c r="D9" i="7"/>
  <c r="C3" i="7"/>
  <c r="G3" i="7" s="1"/>
  <c r="C4" i="7"/>
  <c r="G4" i="7" s="1"/>
  <c r="C5" i="7"/>
  <c r="G5" i="7" s="1"/>
  <c r="C6" i="7"/>
  <c r="C7" i="7"/>
  <c r="G7" i="7" s="1"/>
  <c r="C8" i="7"/>
  <c r="G8" i="7" s="1"/>
  <c r="C9" i="7"/>
  <c r="G9" i="7" s="1"/>
  <c r="C10" i="7"/>
  <c r="C11" i="7"/>
  <c r="G11" i="7" s="1"/>
  <c r="C12" i="7"/>
  <c r="G12" i="7" s="1"/>
  <c r="C13" i="7"/>
  <c r="G13" i="7" s="1"/>
  <c r="C14" i="7"/>
  <c r="C15" i="7"/>
  <c r="G15" i="7" s="1"/>
  <c r="C16" i="7"/>
  <c r="G16" i="7" s="1"/>
  <c r="C17" i="7"/>
  <c r="G17" i="7" s="1"/>
  <c r="C18" i="7"/>
  <c r="C19" i="7"/>
  <c r="G19" i="7" s="1"/>
  <c r="C20" i="7"/>
  <c r="G20" i="7" s="1"/>
  <c r="C21" i="7"/>
  <c r="G21" i="7" s="1"/>
  <c r="C2" i="7"/>
  <c r="F13" i="6"/>
  <c r="F14" i="6"/>
  <c r="F15" i="6"/>
  <c r="F9" i="7" s="1"/>
  <c r="F16" i="6"/>
  <c r="F17" i="6"/>
  <c r="F18" i="6"/>
  <c r="F10" i="7" s="1"/>
  <c r="F19" i="6"/>
  <c r="F20" i="6"/>
  <c r="F21" i="6"/>
  <c r="F11" i="7" s="1"/>
  <c r="F22" i="6"/>
  <c r="F12" i="7" s="1"/>
  <c r="F23" i="6"/>
  <c r="F24" i="6"/>
  <c r="F25" i="6"/>
  <c r="F26" i="6"/>
  <c r="F13" i="7" s="1"/>
  <c r="F27" i="6"/>
  <c r="F14" i="7" s="1"/>
  <c r="F28" i="6"/>
  <c r="F29" i="6"/>
  <c r="F30" i="6"/>
  <c r="F31" i="6"/>
  <c r="F16" i="7" s="1"/>
  <c r="F32" i="6"/>
  <c r="F33" i="6"/>
  <c r="F34" i="6"/>
  <c r="F17" i="7" s="1"/>
  <c r="F35" i="6"/>
  <c r="F18" i="7" s="1"/>
  <c r="F36" i="6"/>
  <c r="F37" i="6"/>
  <c r="F38" i="6"/>
  <c r="F39" i="6"/>
  <c r="F40" i="6"/>
  <c r="F41" i="6"/>
  <c r="F42" i="6"/>
  <c r="F43" i="6"/>
  <c r="F3" i="6"/>
  <c r="F4" i="6"/>
  <c r="F5" i="6"/>
  <c r="F6" i="6"/>
  <c r="F7" i="6"/>
  <c r="F8" i="6"/>
  <c r="F9" i="6"/>
  <c r="F5" i="7" s="1"/>
  <c r="F10" i="6"/>
  <c r="F6" i="7" s="1"/>
  <c r="F11" i="6"/>
  <c r="F12" i="6"/>
  <c r="F7" i="7" s="1"/>
  <c r="F2" i="6"/>
  <c r="F2" i="7" s="1"/>
  <c r="E2" i="6"/>
  <c r="F3" i="5"/>
  <c r="F4" i="5"/>
  <c r="F5" i="5"/>
  <c r="D20" i="7" s="1"/>
  <c r="F6" i="5"/>
  <c r="F7" i="5"/>
  <c r="F8" i="5"/>
  <c r="F9" i="5"/>
  <c r="F10" i="5"/>
  <c r="F11" i="5"/>
  <c r="D17" i="7" s="1"/>
  <c r="F12" i="5"/>
  <c r="F13" i="5"/>
  <c r="F14" i="5"/>
  <c r="F15" i="5"/>
  <c r="D15" i="7" s="1"/>
  <c r="F16" i="5"/>
  <c r="F17" i="5"/>
  <c r="F18" i="5"/>
  <c r="F19" i="5"/>
  <c r="D13" i="7" s="1"/>
  <c r="F20" i="5"/>
  <c r="F21" i="5"/>
  <c r="D12" i="7" s="1"/>
  <c r="F22" i="5"/>
  <c r="F23" i="5"/>
  <c r="F24" i="5"/>
  <c r="F25" i="5"/>
  <c r="F26" i="5"/>
  <c r="F27" i="5"/>
  <c r="F28" i="5"/>
  <c r="F29" i="5"/>
  <c r="D8" i="7" s="1"/>
  <c r="F30" i="5"/>
  <c r="F31" i="5"/>
  <c r="F32" i="5"/>
  <c r="F33" i="5"/>
  <c r="F34" i="5"/>
  <c r="F35" i="5"/>
  <c r="D6" i="7" s="1"/>
  <c r="F36" i="5"/>
  <c r="F37" i="5"/>
  <c r="D5" i="7" s="1"/>
  <c r="F38" i="5"/>
  <c r="F39" i="5"/>
  <c r="F40" i="5"/>
  <c r="F41" i="5"/>
  <c r="F42" i="5"/>
  <c r="F43" i="5"/>
  <c r="D2" i="7" s="1"/>
  <c r="F44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F2" i="5"/>
  <c r="E2" i="5"/>
  <c r="F21" i="7" l="1"/>
  <c r="F3" i="7"/>
  <c r="F15" i="7"/>
  <c r="F8" i="7"/>
  <c r="H8" i="7" s="1"/>
  <c r="H5" i="7"/>
  <c r="F19" i="7"/>
  <c r="F4" i="7"/>
  <c r="F20" i="7"/>
  <c r="H20" i="7" s="1"/>
  <c r="H2" i="7"/>
  <c r="H6" i="7"/>
  <c r="H13" i="7"/>
  <c r="H15" i="7"/>
  <c r="H17" i="7"/>
  <c r="H9" i="7"/>
  <c r="H12" i="7"/>
  <c r="D14" i="7"/>
  <c r="H14" i="7" s="1"/>
  <c r="D16" i="7"/>
  <c r="H16" i="7" s="1"/>
  <c r="D11" i="7"/>
  <c r="H11" i="7" s="1"/>
  <c r="D4" i="7"/>
  <c r="H4" i="7" s="1"/>
  <c r="D10" i="7"/>
  <c r="H10" i="7" s="1"/>
  <c r="D3" i="7"/>
  <c r="H3" i="7" s="1"/>
  <c r="D7" i="7"/>
  <c r="H7" i="7" s="1"/>
  <c r="D21" i="7"/>
  <c r="H21" i="7" s="1"/>
  <c r="D18" i="7"/>
  <c r="H18" i="7" s="1"/>
  <c r="D19" i="7"/>
  <c r="H19" i="7" l="1"/>
  <c r="I19" i="7"/>
  <c r="I15" i="7"/>
  <c r="I13" i="7"/>
  <c r="I3" i="7"/>
  <c r="I12" i="7"/>
  <c r="I14" i="7"/>
  <c r="I7" i="7"/>
  <c r="I21" i="7"/>
  <c r="I16" i="7"/>
  <c r="I20" i="7"/>
  <c r="I18" i="7"/>
  <c r="I8" i="7"/>
  <c r="I10" i="7"/>
  <c r="I2" i="7"/>
  <c r="I17" i="7"/>
  <c r="I11" i="7"/>
  <c r="I4" i="7"/>
  <c r="I9" i="7"/>
  <c r="I5" i="7"/>
  <c r="I6" i="7"/>
</calcChain>
</file>

<file path=xl/sharedStrings.xml><?xml version="1.0" encoding="utf-8"?>
<sst xmlns="http://schemas.openxmlformats.org/spreadsheetml/2006/main" count="367" uniqueCount="66">
  <si>
    <t>产品型号</t>
    <phoneticPr fontId="2" type="noConversion"/>
  </si>
  <si>
    <t>单价（元）</t>
    <phoneticPr fontId="2" type="noConversion"/>
  </si>
  <si>
    <t>A1</t>
  </si>
  <si>
    <t>A1</t>
    <phoneticPr fontId="2" type="noConversion"/>
  </si>
  <si>
    <t>A2</t>
  </si>
  <si>
    <t>A1</t>
    <phoneticPr fontId="2" type="noConversion"/>
  </si>
  <si>
    <t>B3</t>
  </si>
  <si>
    <t>B3</t>
    <phoneticPr fontId="2" type="noConversion"/>
  </si>
  <si>
    <t>A2</t>
    <phoneticPr fontId="2" type="noConversion"/>
  </si>
  <si>
    <t>T-01</t>
  </si>
  <si>
    <t>T-01</t>
    <phoneticPr fontId="2" type="noConversion"/>
  </si>
  <si>
    <t>T-02</t>
  </si>
  <si>
    <t>T-03</t>
  </si>
  <si>
    <t>T-04</t>
  </si>
  <si>
    <t>T-05</t>
  </si>
  <si>
    <t>T-06</t>
  </si>
  <si>
    <t>T-07</t>
  </si>
  <si>
    <t>T-08</t>
  </si>
  <si>
    <t>U-01</t>
  </si>
  <si>
    <t>U-01</t>
    <phoneticPr fontId="2" type="noConversion"/>
  </si>
  <si>
    <t>U-02</t>
  </si>
  <si>
    <t>U-03</t>
  </si>
  <si>
    <t>U-04</t>
  </si>
  <si>
    <t>U-05</t>
  </si>
  <si>
    <t>U-06</t>
  </si>
  <si>
    <t>U-07</t>
  </si>
  <si>
    <t>P-01</t>
  </si>
  <si>
    <t>P-02</t>
  </si>
  <si>
    <t>P-03</t>
  </si>
  <si>
    <t>P-04</t>
  </si>
  <si>
    <t>P-05</t>
  </si>
  <si>
    <t>产品类别代码</t>
    <phoneticPr fontId="2" type="noConversion"/>
  </si>
  <si>
    <t>产品型号</t>
  </si>
  <si>
    <t>4月</t>
    <phoneticPr fontId="3" type="noConversion"/>
  </si>
  <si>
    <t>5月</t>
    <phoneticPr fontId="3" type="noConversion"/>
  </si>
  <si>
    <t>6月</t>
    <phoneticPr fontId="3" type="noConversion"/>
  </si>
  <si>
    <t>P-01</t>
    <phoneticPr fontId="2" type="noConversion"/>
  </si>
  <si>
    <t>P-02</t>
    <phoneticPr fontId="2" type="noConversion"/>
  </si>
  <si>
    <t>P-03</t>
    <phoneticPr fontId="2" type="noConversion"/>
  </si>
  <si>
    <t>P-04</t>
    <phoneticPr fontId="2" type="noConversion"/>
  </si>
  <si>
    <t>P-05</t>
    <phoneticPr fontId="2" type="noConversion"/>
  </si>
  <si>
    <t>销售量</t>
    <phoneticPr fontId="2" type="noConversion"/>
  </si>
  <si>
    <t>产品类别代码</t>
    <phoneticPr fontId="2" type="noConversion"/>
  </si>
  <si>
    <t>产品型号</t>
    <phoneticPr fontId="2" type="noConversion"/>
  </si>
  <si>
    <t>月份</t>
    <phoneticPr fontId="2" type="noConversion"/>
  </si>
  <si>
    <t>销售量</t>
    <phoneticPr fontId="2" type="noConversion"/>
  </si>
  <si>
    <t>销售额（元）</t>
    <phoneticPr fontId="2" type="noConversion"/>
  </si>
  <si>
    <t>单价</t>
    <phoneticPr fontId="2" type="noConversion"/>
  </si>
  <si>
    <t>单价</t>
    <phoneticPr fontId="3" type="noConversion"/>
  </si>
  <si>
    <t>一季度销量</t>
    <phoneticPr fontId="3" type="noConversion"/>
  </si>
  <si>
    <t>二季度销量</t>
    <phoneticPr fontId="3" type="noConversion"/>
  </si>
  <si>
    <t>一二季度销售总量</t>
    <phoneticPr fontId="3" type="noConversion"/>
  </si>
  <si>
    <t>一季度销售额</t>
    <phoneticPr fontId="3" type="noConversion"/>
  </si>
  <si>
    <t>二季度销售额</t>
    <phoneticPr fontId="3" type="noConversion"/>
  </si>
  <si>
    <t>一二季度销售总额</t>
    <phoneticPr fontId="3" type="noConversion"/>
  </si>
  <si>
    <t>总销售额排名</t>
    <phoneticPr fontId="3" type="noConversion"/>
  </si>
  <si>
    <t>销售额(元）</t>
    <phoneticPr fontId="2" type="noConversion"/>
  </si>
  <si>
    <t>1月</t>
    <phoneticPr fontId="2" type="noConversion"/>
  </si>
  <si>
    <t>3月</t>
    <phoneticPr fontId="2" type="noConversion"/>
  </si>
  <si>
    <t>2月</t>
    <phoneticPr fontId="2" type="noConversion"/>
  </si>
  <si>
    <t>产品类别代码</t>
    <phoneticPr fontId="3" type="noConversion"/>
  </si>
  <si>
    <t>总计</t>
  </si>
  <si>
    <t>产品类别</t>
  </si>
  <si>
    <t>第一季度销售额</t>
  </si>
  <si>
    <t>第二季度销售额</t>
  </si>
  <si>
    <t>两个季度销售总额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</si>
</sst>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6" formatCode="0.00_ "/>
    <numFmt numFmtId="177" formatCode="0_ "/>
    <numFmt numFmtId="178" formatCode="#,##0.00_ "/>
    <numFmt numFmtId="179" formatCode="#,##0_ "/>
    <numFmt numFmtId="180" formatCode="&quot;第&quot;General&quot;名&quot;"/>
    <numFmt numFmtId="181" formatCode="#,##0.00_);[Red]\(#,##0.00\)"/>
  </numFmts>
  <fonts count="12" x14ac:knownFonts="1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1"/>
      <name val="Times New Roman"/>
      <family val="1"/>
    </font>
    <font>
      <sz val="11"/>
      <color theme="1"/>
      <name val="Tahoma"/>
      <family val="2"/>
    </font>
    <font>
      <b/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2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name val="微软雅黑"/>
      <family val="2"/>
      <charset val="134"/>
    </font>
    <font>
      <sz val="12"/>
      <name val="黑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</fills>
  <borders count="13">
    <border>
      <left/>
      <right/>
      <top/>
      <bottom/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/>
      <right/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5" fillId="3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178" fontId="5" fillId="3" borderId="2" xfId="0" applyNumberFormat="1" applyFont="1" applyFill="1" applyBorder="1" applyAlignment="1">
      <alignment vertical="center"/>
    </xf>
    <xf numFmtId="177" fontId="0" fillId="0" borderId="0" xfId="0" applyNumberFormat="1" applyAlignment="1">
      <alignment vertical="center"/>
    </xf>
    <xf numFmtId="178" fontId="5" fillId="0" borderId="0" xfId="0" applyNumberFormat="1" applyFont="1" applyAlignment="1">
      <alignment vertical="center"/>
    </xf>
    <xf numFmtId="178" fontId="5" fillId="3" borderId="0" xfId="0" applyNumberFormat="1" applyFont="1" applyFill="1" applyAlignment="1">
      <alignment vertical="center"/>
    </xf>
    <xf numFmtId="176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178" fontId="5" fillId="0" borderId="1" xfId="0" applyNumberFormat="1" applyFont="1" applyBorder="1" applyAlignment="1">
      <alignment vertical="center"/>
    </xf>
    <xf numFmtId="0" fontId="0" fillId="0" borderId="0" xfId="0" applyAlignment="1">
      <alignment horizontal="left" vertical="center"/>
    </xf>
    <xf numFmtId="10" fontId="0" fillId="0" borderId="0" xfId="0" applyNumberFormat="1" applyAlignment="1">
      <alignment vertical="center"/>
    </xf>
    <xf numFmtId="0" fontId="4" fillId="0" borderId="0" xfId="0" applyFont="1" applyAlignment="1">
      <alignment horizontal="center" vertical="center"/>
    </xf>
    <xf numFmtId="179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179" fontId="7" fillId="5" borderId="6" xfId="0" applyNumberFormat="1" applyFont="1" applyFill="1" applyBorder="1" applyAlignment="1">
      <alignment horizontal="right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79" fontId="7" fillId="0" borderId="6" xfId="0" applyNumberFormat="1" applyFont="1" applyBorder="1" applyAlignment="1">
      <alignment horizontal="right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179" fontId="7" fillId="5" borderId="4" xfId="0" applyNumberFormat="1" applyFont="1" applyFill="1" applyBorder="1" applyAlignment="1">
      <alignment horizontal="right" vertical="center"/>
    </xf>
    <xf numFmtId="0" fontId="6" fillId="6" borderId="10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179" fontId="7" fillId="7" borderId="10" xfId="0" applyNumberFormat="1" applyFont="1" applyFill="1" applyBorder="1" applyAlignment="1">
      <alignment horizontal="center" vertical="center"/>
    </xf>
    <xf numFmtId="179" fontId="7" fillId="7" borderId="11" xfId="0" applyNumberFormat="1" applyFont="1" applyFill="1" applyBorder="1" applyAlignment="1">
      <alignment horizontal="center" vertical="center"/>
    </xf>
    <xf numFmtId="179" fontId="7" fillId="7" borderId="11" xfId="0" applyNumberFormat="1" applyFont="1" applyFill="1" applyBorder="1" applyAlignment="1">
      <alignment horizontal="right" vertical="center"/>
    </xf>
    <xf numFmtId="179" fontId="7" fillId="0" borderId="10" xfId="0" applyNumberFormat="1" applyFont="1" applyBorder="1" applyAlignment="1">
      <alignment horizontal="center" vertical="center"/>
    </xf>
    <xf numFmtId="179" fontId="7" fillId="0" borderId="11" xfId="0" applyNumberFormat="1" applyFont="1" applyBorder="1" applyAlignment="1">
      <alignment horizontal="center" vertical="center"/>
    </xf>
    <xf numFmtId="179" fontId="7" fillId="0" borderId="11" xfId="0" applyNumberFormat="1" applyFont="1" applyBorder="1" applyAlignment="1">
      <alignment horizontal="right" vertical="center"/>
    </xf>
    <xf numFmtId="179" fontId="7" fillId="0" borderId="8" xfId="0" applyNumberFormat="1" applyFont="1" applyBorder="1" applyAlignment="1">
      <alignment horizontal="center" vertical="center"/>
    </xf>
    <xf numFmtId="179" fontId="7" fillId="0" borderId="9" xfId="0" applyNumberFormat="1" applyFont="1" applyBorder="1" applyAlignment="1">
      <alignment horizontal="center" vertical="center"/>
    </xf>
    <xf numFmtId="179" fontId="7" fillId="0" borderId="9" xfId="0" applyNumberFormat="1" applyFont="1" applyBorder="1" applyAlignment="1">
      <alignment horizontal="right" vertical="center"/>
    </xf>
    <xf numFmtId="0" fontId="8" fillId="0" borderId="0" xfId="0" applyFont="1" applyAlignment="1">
      <alignment horizontal="center" vertical="center"/>
    </xf>
    <xf numFmtId="179" fontId="8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9" fillId="2" borderId="2" xfId="0" applyFont="1" applyFill="1" applyBorder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79" fontId="10" fillId="0" borderId="0" xfId="0" applyNumberFormat="1" applyFont="1" applyAlignment="1">
      <alignment horizontal="right"/>
    </xf>
    <xf numFmtId="179" fontId="0" fillId="0" borderId="0" xfId="0" applyNumberFormat="1" applyAlignment="1">
      <alignment horizontal="right" vertical="center"/>
    </xf>
    <xf numFmtId="180" fontId="10" fillId="0" borderId="0" xfId="0" applyNumberFormat="1" applyFont="1" applyAlignment="1">
      <alignment horizontal="center"/>
    </xf>
    <xf numFmtId="181" fontId="6" fillId="4" borderId="6" xfId="0" applyNumberFormat="1" applyFont="1" applyFill="1" applyBorder="1" applyAlignment="1">
      <alignment horizontal="center" vertical="center"/>
    </xf>
    <xf numFmtId="181" fontId="6" fillId="4" borderId="7" xfId="0" applyNumberFormat="1" applyFont="1" applyFill="1" applyBorder="1" applyAlignment="1">
      <alignment horizontal="center" vertical="center"/>
    </xf>
    <xf numFmtId="181" fontId="7" fillId="5" borderId="6" xfId="0" applyNumberFormat="1" applyFont="1" applyFill="1" applyBorder="1" applyAlignment="1">
      <alignment horizontal="right" vertical="center"/>
    </xf>
    <xf numFmtId="181" fontId="7" fillId="0" borderId="6" xfId="0" applyNumberFormat="1" applyFont="1" applyBorder="1" applyAlignment="1">
      <alignment horizontal="right" vertical="center"/>
    </xf>
    <xf numFmtId="181" fontId="7" fillId="5" borderId="4" xfId="0" applyNumberFormat="1" applyFont="1" applyFill="1" applyBorder="1" applyAlignment="1">
      <alignment horizontal="right" vertical="center"/>
    </xf>
    <xf numFmtId="181" fontId="4" fillId="0" borderId="0" xfId="0" applyNumberFormat="1" applyFont="1" applyAlignment="1">
      <alignment vertical="center"/>
    </xf>
    <xf numFmtId="181" fontId="6" fillId="6" borderId="11" xfId="0" applyNumberFormat="1" applyFont="1" applyFill="1" applyBorder="1" applyAlignment="1">
      <alignment horizontal="center" vertical="center"/>
    </xf>
    <xf numFmtId="181" fontId="6" fillId="6" borderId="12" xfId="0" applyNumberFormat="1" applyFont="1" applyFill="1" applyBorder="1" applyAlignment="1">
      <alignment horizontal="center" vertical="center"/>
    </xf>
    <xf numFmtId="181" fontId="7" fillId="7" borderId="11" xfId="0" applyNumberFormat="1" applyFont="1" applyFill="1" applyBorder="1" applyAlignment="1">
      <alignment horizontal="right" vertical="center"/>
    </xf>
    <xf numFmtId="181" fontId="7" fillId="0" borderId="11" xfId="0" applyNumberFormat="1" applyFont="1" applyBorder="1" applyAlignment="1">
      <alignment horizontal="right" vertical="center"/>
    </xf>
    <xf numFmtId="181" fontId="7" fillId="0" borderId="9" xfId="0" applyNumberFormat="1" applyFont="1" applyBorder="1" applyAlignment="1">
      <alignment horizontal="right" vertical="center"/>
    </xf>
    <xf numFmtId="181" fontId="8" fillId="0" borderId="0" xfId="0" applyNumberFormat="1" applyFont="1" applyAlignment="1">
      <alignment vertical="center"/>
    </xf>
    <xf numFmtId="0" fontId="11" fillId="0" borderId="0" xfId="0" pivotButton="1" applyFont="1"/>
    <xf numFmtId="0" fontId="11" fillId="0" borderId="0" xfId="0" applyFont="1"/>
    <xf numFmtId="0" fontId="11" fillId="0" borderId="0" xfId="0" applyFont="1" applyAlignment="1">
      <alignment horizontal="left"/>
    </xf>
    <xf numFmtId="179" fontId="11" fillId="0" borderId="0" xfId="0" applyNumberFormat="1" applyFont="1"/>
  </cellXfs>
  <cellStyles count="1">
    <cellStyle name="常规" xfId="0" builtinId="0"/>
  </cellStyles>
  <dxfs count="19">
    <dxf>
      <font>
        <name val="黑体"/>
        <scheme val="none"/>
      </font>
    </dxf>
    <dxf>
      <font>
        <name val="黑体"/>
        <scheme val="none"/>
      </font>
    </dxf>
    <dxf>
      <font>
        <name val="黑体"/>
        <scheme val="none"/>
      </font>
    </dxf>
    <dxf>
      <font>
        <name val="黑体"/>
        <scheme val="none"/>
      </font>
    </dxf>
    <dxf>
      <font>
        <name val="黑体"/>
        <scheme val="none"/>
      </font>
    </dxf>
    <dxf>
      <font>
        <name val="黑体"/>
        <scheme val="none"/>
      </font>
    </dxf>
    <dxf>
      <numFmt numFmtId="179" formatCode="#,##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scheme val="none"/>
      </font>
      <numFmt numFmtId="180" formatCode="&quot;第&quot;General&quot;名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scheme val="none"/>
      </font>
      <numFmt numFmtId="179" formatCode="#,##0_ 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scheme val="none"/>
      </font>
      <numFmt numFmtId="179" formatCode="#,##0_ 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scheme val="none"/>
      </font>
      <numFmt numFmtId="179" formatCode="#,##0_ 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软雅黑"/>
        <scheme val="none"/>
      </font>
      <alignment horizontal="center" vertical="bottom" textRotation="0" wrapText="0" indent="0" justifyLastLine="0" shrinkToFit="0" readingOrder="0"/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uyou" refreshedDate="44649.71618599537" createdVersion="6" refreshedVersion="6" minRefreshableVersion="3" recordCount="20">
  <cacheSource type="worksheet">
    <worksheetSource name="表1"/>
  </cacheSource>
  <cacheFields count="9">
    <cacheField name="产品类别代码" numFmtId="0">
      <sharedItems count="3">
        <s v="A1"/>
        <s v="B3"/>
        <s v="A2"/>
      </sharedItems>
    </cacheField>
    <cacheField name="产品型号" numFmtId="0">
      <sharedItems count="20">
        <s v="P-01"/>
        <s v="P-02"/>
        <s v="P-03"/>
        <s v="P-04"/>
        <s v="P-05"/>
        <s v="T-01"/>
        <s v="T-02"/>
        <s v="T-03"/>
        <s v="T-04"/>
        <s v="T-05"/>
        <s v="T-06"/>
        <s v="T-07"/>
        <s v="T-08"/>
        <s v="U-01"/>
        <s v="U-02"/>
        <s v="U-03"/>
        <s v="U-04"/>
        <s v="U-05"/>
        <s v="U-06"/>
        <s v="U-07"/>
      </sharedItems>
    </cacheField>
    <cacheField name="一季度销量" numFmtId="0">
      <sharedItems containsSemiMixedTypes="0" containsString="0" containsNumber="1" containsInteger="1" minValue="101" maxValue="658"/>
    </cacheField>
    <cacheField name="一季度销售额" numFmtId="179">
      <sharedItems containsSemiMixedTypes="0" containsString="0" containsNumber="1" containsInteger="1" minValue="92204" maxValue="1642410" count="20">
        <n v="840232"/>
        <n v="448020"/>
        <n v="1642410"/>
        <n v="355738"/>
        <n v="371013"/>
        <n v="357163"/>
        <n v="291824"/>
        <n v="93728"/>
        <n v="286837"/>
        <n v="92204"/>
        <n v="397848"/>
        <n v="225000"/>
        <n v="1241808"/>
        <n v="228500"/>
        <n v="670440"/>
        <n v="107880"/>
        <n v="229642"/>
        <n v="104622"/>
        <n v="191688"/>
        <n v="328192"/>
      </sharedItems>
    </cacheField>
    <cacheField name="二季度销量" numFmtId="0">
      <sharedItems containsSemiMixedTypes="0" containsString="0" containsNumber="1" containsInteger="1" minValue="116" maxValue="667"/>
    </cacheField>
    <cacheField name="二季度销售额" numFmtId="179">
      <sharedItems containsSemiMixedTypes="0" containsString="0" containsNumber="1" containsInteger="1" minValue="51976" maxValue="1785795"/>
    </cacheField>
    <cacheField name="一二季度销售总量" numFmtId="0">
      <sharedItems containsSemiMixedTypes="0" containsString="0" containsNumber="1" containsInteger="1" minValue="303" maxValue="1040"/>
    </cacheField>
    <cacheField name="一二季度销售总额" numFmtId="179">
      <sharedItems containsSemiMixedTypes="0" containsString="0" containsNumber="1" containsInteger="1" minValue="144180" maxValue="3428205"/>
    </cacheField>
    <cacheField name="总销售额排名" numFmtId="180">
      <sharedItems containsSemiMixedTypes="0" containsString="0" containsNumber="1" containsInteger="1" minValue="1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x v="0"/>
    <x v="0"/>
    <n v="508"/>
    <x v="0"/>
    <n v="428"/>
    <n v="707912"/>
    <n v="936"/>
    <n v="1548144"/>
    <n v="3"/>
  </r>
  <r>
    <x v="0"/>
    <x v="1"/>
    <n v="570"/>
    <x v="1"/>
    <n v="383"/>
    <n v="301038"/>
    <n v="953"/>
    <n v="749058"/>
    <n v="8"/>
  </r>
  <r>
    <x v="0"/>
    <x v="2"/>
    <n v="378"/>
    <x v="2"/>
    <n v="411"/>
    <n v="1785795"/>
    <n v="789"/>
    <n v="3428205"/>
    <n v="1"/>
  </r>
  <r>
    <x v="0"/>
    <x v="3"/>
    <n v="166"/>
    <x v="3"/>
    <n v="186"/>
    <n v="398598"/>
    <n v="352"/>
    <n v="754336"/>
    <n v="7"/>
  </r>
  <r>
    <x v="0"/>
    <x v="4"/>
    <n v="437"/>
    <x v="4"/>
    <n v="254"/>
    <n v="215646"/>
    <n v="691"/>
    <n v="586659"/>
    <n v="11"/>
  </r>
  <r>
    <x v="1"/>
    <x v="5"/>
    <n v="577"/>
    <x v="5"/>
    <n v="116"/>
    <n v="71804"/>
    <n v="693"/>
    <n v="428967"/>
    <n v="15"/>
  </r>
  <r>
    <x v="1"/>
    <x v="6"/>
    <n v="488"/>
    <x v="6"/>
    <n v="309"/>
    <n v="184782"/>
    <n v="797"/>
    <n v="476606"/>
    <n v="14"/>
  </r>
  <r>
    <x v="1"/>
    <x v="7"/>
    <n v="101"/>
    <x v="7"/>
    <n v="553"/>
    <n v="513184"/>
    <n v="654"/>
    <n v="606912"/>
    <n v="10"/>
  </r>
  <r>
    <x v="1"/>
    <x v="8"/>
    <n v="373"/>
    <x v="8"/>
    <n v="667"/>
    <n v="512923"/>
    <n v="1040"/>
    <n v="799760"/>
    <n v="6"/>
  </r>
  <r>
    <x v="1"/>
    <x v="9"/>
    <n v="518"/>
    <x v="9"/>
    <n v="292"/>
    <n v="51976"/>
    <n v="810"/>
    <n v="144180"/>
    <n v="20"/>
  </r>
  <r>
    <x v="1"/>
    <x v="10"/>
    <n v="274"/>
    <x v="10"/>
    <n v="180"/>
    <n v="261360"/>
    <n v="454"/>
    <n v="659208"/>
    <n v="9"/>
  </r>
  <r>
    <x v="1"/>
    <x v="11"/>
    <n v="360"/>
    <x v="11"/>
    <n v="497"/>
    <n v="310625"/>
    <n v="857"/>
    <n v="535625"/>
    <n v="13"/>
  </r>
  <r>
    <x v="1"/>
    <x v="12"/>
    <n v="328"/>
    <x v="12"/>
    <n v="307"/>
    <n v="1162302"/>
    <n v="635"/>
    <n v="2404110"/>
    <n v="2"/>
  </r>
  <r>
    <x v="2"/>
    <x v="13"/>
    <n v="250"/>
    <x v="13"/>
    <n v="378"/>
    <n v="345492"/>
    <n v="628"/>
    <n v="573992"/>
    <n v="12"/>
  </r>
  <r>
    <x v="2"/>
    <x v="14"/>
    <n v="555"/>
    <x v="14"/>
    <n v="411"/>
    <n v="496488"/>
    <n v="966"/>
    <n v="1166928"/>
    <n v="4"/>
  </r>
  <r>
    <x v="2"/>
    <x v="15"/>
    <n v="124"/>
    <x v="15"/>
    <n v="179"/>
    <n v="155730"/>
    <n v="303"/>
    <n v="263610"/>
    <n v="19"/>
  </r>
  <r>
    <x v="2"/>
    <x v="16"/>
    <n v="658"/>
    <x v="16"/>
    <n v="362"/>
    <n v="126338"/>
    <n v="1020"/>
    <n v="355980"/>
    <n v="16"/>
  </r>
  <r>
    <x v="2"/>
    <x v="17"/>
    <n v="318"/>
    <x v="17"/>
    <n v="650"/>
    <n v="213850"/>
    <n v="968"/>
    <n v="318472"/>
    <n v="18"/>
  </r>
  <r>
    <x v="2"/>
    <x v="18"/>
    <n v="392"/>
    <x v="18"/>
    <n v="279"/>
    <n v="136431"/>
    <n v="671"/>
    <n v="328119"/>
    <n v="17"/>
  </r>
  <r>
    <x v="2"/>
    <x v="19"/>
    <n v="256"/>
    <x v="19"/>
    <n v="438"/>
    <n v="561516"/>
    <n v="694"/>
    <n v="889708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 rowHeaderCaption="产品类别">
  <location ref="A3:D7" firstHeaderRow="0" firstDataRow="1" firstDataCol="1"/>
  <pivotFields count="9"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dataField="1" numFmtId="179" showAll="0">
      <items count="21">
        <item x="9"/>
        <item x="7"/>
        <item x="17"/>
        <item x="15"/>
        <item x="18"/>
        <item x="11"/>
        <item x="13"/>
        <item x="16"/>
        <item x="8"/>
        <item x="6"/>
        <item x="19"/>
        <item x="3"/>
        <item x="5"/>
        <item x="4"/>
        <item x="10"/>
        <item x="1"/>
        <item x="14"/>
        <item x="0"/>
        <item x="12"/>
        <item x="2"/>
        <item t="default"/>
      </items>
    </pivotField>
    <pivotField showAll="0"/>
    <pivotField dataField="1" numFmtId="179" showAll="0"/>
    <pivotField showAll="0"/>
    <pivotField dataField="1" numFmtId="179" showAll="0"/>
    <pivotField numFmtId="180" showAll="0"/>
  </pivotFields>
  <rowFields count="1">
    <field x="0"/>
  </rowFields>
  <rowItems count="4">
    <i>
      <x/>
    </i>
    <i>
      <x v="2"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第一季度销售额" fld="3" baseField="0" baseItem="0"/>
    <dataField name="第二季度销售额" fld="5" baseField="0" baseItem="0"/>
    <dataField name="两个季度销售总额" fld="7" baseField="0" baseItem="0"/>
  </dataFields>
  <formats count="7">
    <format dxfId="6">
      <pivotArea outline="0" collapsedLevelsAreSubtotals="1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表1" displayName="表1" ref="A1:I21" totalsRowShown="0" headerRowDxfId="16">
  <autoFilter ref="A1:I2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产品类别代码" dataDxfId="15"/>
    <tableColumn id="2" name="产品型号" dataDxfId="14"/>
    <tableColumn id="3" name="一季度销量" dataDxfId="13">
      <calculatedColumnFormula>SUMIFS(一季度销售情况表!$D$2:$D$44,一季度销售情况表!$B$2:$B$44,B2)</calculatedColumnFormula>
    </tableColumn>
    <tableColumn id="4" name="一季度销售额" dataDxfId="12">
      <calculatedColumnFormula>SUMIFS(一季度销售情况表!$F$2:$F$44,一季度销售情况表!$B$2:$B$44,B2)</calculatedColumnFormula>
    </tableColumn>
    <tableColumn id="5" name="二季度销量" dataDxfId="11">
      <calculatedColumnFormula>SUMIFS('二季度销售情况表 '!$D$2:$D$43,'二季度销售情况表 '!$B$2:$B$43,B2)</calculatedColumnFormula>
    </tableColumn>
    <tableColumn id="6" name="二季度销售额" dataDxfId="10">
      <calculatedColumnFormula>SUMIFS('二季度销售情况表 '!$F$2:$F$43,'二季度销售情况表 '!$B$2:$B$43,B2)</calculatedColumnFormula>
    </tableColumn>
    <tableColumn id="7" name="一二季度销售总量" dataDxfId="9">
      <calculatedColumnFormula>SUM(C2,E2)</calculatedColumnFormula>
    </tableColumn>
    <tableColumn id="8" name="一二季度销售总额" dataDxfId="8">
      <calculatedColumnFormula>SUM(D2,F2)</calculatedColumnFormula>
    </tableColumn>
    <tableColumn id="9" name="总销售额排名" dataDxfId="7">
      <calculatedColumnFormula>RANK(H2,$H$2:$H$21,0)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activeCell="E18" sqref="E18"/>
    </sheetView>
  </sheetViews>
  <sheetFormatPr defaultRowHeight="14.25" x14ac:dyDescent="0.15"/>
  <cols>
    <col min="1" max="1" width="15.875" style="5" customWidth="1"/>
    <col min="2" max="2" width="15.75" style="5" customWidth="1"/>
    <col min="3" max="3" width="16.625" style="5" customWidth="1"/>
    <col min="4" max="4" width="10.875" style="5" customWidth="1"/>
    <col min="5" max="5" width="17.125" style="5" customWidth="1"/>
    <col min="6" max="6" width="10.875" style="5" customWidth="1"/>
    <col min="7" max="7" width="17.875" style="5" customWidth="1"/>
    <col min="8" max="8" width="15.375" style="5" customWidth="1"/>
    <col min="9" max="16384" width="9" style="5"/>
  </cols>
  <sheetData>
    <row r="1" spans="1:9" ht="33" customHeight="1" thickBot="1" x14ac:dyDescent="0.2">
      <c r="A1" s="43" t="s">
        <v>31</v>
      </c>
      <c r="B1" s="43" t="s">
        <v>0</v>
      </c>
      <c r="C1" s="43" t="s">
        <v>1</v>
      </c>
    </row>
    <row r="2" spans="1:9" ht="17.25" customHeight="1" x14ac:dyDescent="0.15">
      <c r="A2" s="1" t="s">
        <v>3</v>
      </c>
      <c r="B2" s="1" t="s">
        <v>36</v>
      </c>
      <c r="C2" s="6">
        <v>1654</v>
      </c>
      <c r="F2" s="7"/>
    </row>
    <row r="3" spans="1:9" ht="17.25" customHeight="1" x14ac:dyDescent="0.15">
      <c r="A3" s="2" t="s">
        <v>5</v>
      </c>
      <c r="B3" s="2" t="s">
        <v>37</v>
      </c>
      <c r="C3" s="8">
        <v>786</v>
      </c>
      <c r="F3" s="7"/>
    </row>
    <row r="4" spans="1:9" ht="17.25" customHeight="1" x14ac:dyDescent="0.15">
      <c r="A4" s="3" t="s">
        <v>2</v>
      </c>
      <c r="B4" s="3" t="s">
        <v>38</v>
      </c>
      <c r="C4" s="9">
        <v>4345</v>
      </c>
      <c r="F4" s="7"/>
      <c r="G4" s="10"/>
    </row>
    <row r="5" spans="1:9" ht="17.25" customHeight="1" x14ac:dyDescent="0.15">
      <c r="A5" s="2" t="s">
        <v>2</v>
      </c>
      <c r="B5" s="2" t="s">
        <v>39</v>
      </c>
      <c r="C5" s="8">
        <v>2143</v>
      </c>
      <c r="F5" s="7"/>
    </row>
    <row r="6" spans="1:9" ht="17.25" customHeight="1" x14ac:dyDescent="0.15">
      <c r="A6" s="3" t="s">
        <v>2</v>
      </c>
      <c r="B6" s="3" t="s">
        <v>40</v>
      </c>
      <c r="C6" s="9">
        <v>849</v>
      </c>
    </row>
    <row r="7" spans="1:9" ht="17.25" customHeight="1" x14ac:dyDescent="0.15">
      <c r="A7" s="2" t="s">
        <v>7</v>
      </c>
      <c r="B7" s="2" t="s">
        <v>10</v>
      </c>
      <c r="C7" s="8">
        <v>619</v>
      </c>
    </row>
    <row r="8" spans="1:9" ht="17.25" customHeight="1" x14ac:dyDescent="0.15">
      <c r="A8" s="3" t="s">
        <v>7</v>
      </c>
      <c r="B8" s="3" t="s">
        <v>11</v>
      </c>
      <c r="C8" s="9">
        <v>598</v>
      </c>
    </row>
    <row r="9" spans="1:9" ht="17.25" customHeight="1" x14ac:dyDescent="0.15">
      <c r="A9" s="2" t="s">
        <v>6</v>
      </c>
      <c r="B9" s="2" t="s">
        <v>12</v>
      </c>
      <c r="C9" s="8">
        <v>928</v>
      </c>
    </row>
    <row r="10" spans="1:9" ht="17.25" customHeight="1" x14ac:dyDescent="0.15">
      <c r="A10" s="3" t="s">
        <v>6</v>
      </c>
      <c r="B10" s="3" t="s">
        <v>13</v>
      </c>
      <c r="C10" s="9">
        <v>769</v>
      </c>
    </row>
    <row r="11" spans="1:9" ht="17.25" customHeight="1" x14ac:dyDescent="0.15">
      <c r="A11" s="2" t="s">
        <v>6</v>
      </c>
      <c r="B11" s="2" t="s">
        <v>14</v>
      </c>
      <c r="C11" s="8">
        <v>178</v>
      </c>
      <c r="F11" s="7"/>
    </row>
    <row r="12" spans="1:9" ht="17.25" customHeight="1" x14ac:dyDescent="0.15">
      <c r="A12" s="3" t="s">
        <v>6</v>
      </c>
      <c r="B12" s="3" t="s">
        <v>15</v>
      </c>
      <c r="C12" s="9">
        <v>1452</v>
      </c>
      <c r="D12" s="11"/>
      <c r="E12" s="11"/>
      <c r="F12" s="10"/>
      <c r="I12" s="10"/>
    </row>
    <row r="13" spans="1:9" ht="17.25" customHeight="1" x14ac:dyDescent="0.15">
      <c r="A13" s="2" t="s">
        <v>6</v>
      </c>
      <c r="B13" s="2" t="s">
        <v>16</v>
      </c>
      <c r="C13" s="8">
        <v>625</v>
      </c>
      <c r="F13" s="10"/>
      <c r="I13" s="10"/>
    </row>
    <row r="14" spans="1:9" ht="17.25" customHeight="1" x14ac:dyDescent="0.15">
      <c r="A14" s="3" t="s">
        <v>6</v>
      </c>
      <c r="B14" s="3" t="s">
        <v>17</v>
      </c>
      <c r="C14" s="9">
        <v>3786</v>
      </c>
      <c r="F14" s="10"/>
      <c r="I14" s="10"/>
    </row>
    <row r="15" spans="1:9" ht="17.25" customHeight="1" x14ac:dyDescent="0.15">
      <c r="A15" s="2" t="s">
        <v>8</v>
      </c>
      <c r="B15" s="2" t="s">
        <v>19</v>
      </c>
      <c r="C15" s="8">
        <v>914</v>
      </c>
      <c r="F15" s="10"/>
      <c r="I15" s="10"/>
    </row>
    <row r="16" spans="1:9" ht="17.25" customHeight="1" x14ac:dyDescent="0.15">
      <c r="A16" s="3" t="s">
        <v>8</v>
      </c>
      <c r="B16" s="3" t="s">
        <v>20</v>
      </c>
      <c r="C16" s="9">
        <v>1208</v>
      </c>
      <c r="F16" s="10"/>
      <c r="I16" s="10"/>
    </row>
    <row r="17" spans="1:9" ht="17.25" customHeight="1" x14ac:dyDescent="0.15">
      <c r="A17" s="2" t="s">
        <v>4</v>
      </c>
      <c r="B17" s="2" t="s">
        <v>21</v>
      </c>
      <c r="C17" s="8">
        <v>870</v>
      </c>
      <c r="I17" s="10"/>
    </row>
    <row r="18" spans="1:9" ht="17.25" customHeight="1" x14ac:dyDescent="0.15">
      <c r="A18" s="3" t="s">
        <v>4</v>
      </c>
      <c r="B18" s="3" t="s">
        <v>22</v>
      </c>
      <c r="C18" s="9">
        <v>349</v>
      </c>
    </row>
    <row r="19" spans="1:9" ht="17.25" customHeight="1" x14ac:dyDescent="0.15">
      <c r="A19" s="2" t="s">
        <v>4</v>
      </c>
      <c r="B19" s="2" t="s">
        <v>23</v>
      </c>
      <c r="C19" s="8">
        <v>329</v>
      </c>
    </row>
    <row r="20" spans="1:9" ht="17.25" customHeight="1" x14ac:dyDescent="0.15">
      <c r="A20" s="3" t="s">
        <v>4</v>
      </c>
      <c r="B20" s="3" t="s">
        <v>24</v>
      </c>
      <c r="C20" s="9">
        <v>489</v>
      </c>
    </row>
    <row r="21" spans="1:9" ht="17.25" customHeight="1" thickBot="1" x14ac:dyDescent="0.2">
      <c r="A21" s="4" t="s">
        <v>4</v>
      </c>
      <c r="B21" s="4" t="s">
        <v>25</v>
      </c>
      <c r="C21" s="12">
        <v>1282</v>
      </c>
    </row>
  </sheetData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workbookViewId="0">
      <selection activeCell="E1" sqref="E1:F1048576"/>
    </sheetView>
  </sheetViews>
  <sheetFormatPr defaultRowHeight="15" x14ac:dyDescent="0.15"/>
  <cols>
    <col min="1" max="1" width="14.625" style="15" customWidth="1"/>
    <col min="2" max="2" width="10.25" style="15" customWidth="1"/>
    <col min="3" max="3" width="11.25" style="15" customWidth="1"/>
    <col min="4" max="4" width="13.875" style="17" customWidth="1"/>
    <col min="5" max="5" width="14.5" style="55" customWidth="1"/>
    <col min="6" max="6" width="20.875" style="55" customWidth="1"/>
    <col min="7" max="7" width="17" style="5" customWidth="1"/>
    <col min="8" max="8" width="15.75" style="5" customWidth="1"/>
    <col min="9" max="9" width="8.875" style="5" customWidth="1"/>
    <col min="10" max="16384" width="9" style="5"/>
  </cols>
  <sheetData>
    <row r="1" spans="1:10" ht="24" x14ac:dyDescent="0.15">
      <c r="A1" s="18" t="s">
        <v>31</v>
      </c>
      <c r="B1" s="19" t="s">
        <v>0</v>
      </c>
      <c r="C1" s="19" t="s">
        <v>44</v>
      </c>
      <c r="D1" s="19" t="s">
        <v>41</v>
      </c>
      <c r="E1" s="50" t="s">
        <v>47</v>
      </c>
      <c r="F1" s="51" t="s">
        <v>56</v>
      </c>
      <c r="H1" s="5" ph="1"/>
      <c r="I1" s="5" ph="1"/>
      <c r="J1" s="5" ph="1"/>
    </row>
    <row r="2" spans="1:10" ht="16.5" x14ac:dyDescent="0.15">
      <c r="A2" s="20" t="s">
        <v>4</v>
      </c>
      <c r="B2" s="21" t="s">
        <v>25</v>
      </c>
      <c r="C2" s="21" t="s">
        <v>57</v>
      </c>
      <c r="D2" s="22">
        <v>176</v>
      </c>
      <c r="E2" s="52">
        <f>VLOOKUP(B2,产品基本信息表!$B$2:$C$21,2,0)</f>
        <v>1282</v>
      </c>
      <c r="F2" s="52">
        <f>D2*E2</f>
        <v>225632</v>
      </c>
      <c r="G2" s="14"/>
    </row>
    <row r="3" spans="1:10" ht="16.5" x14ac:dyDescent="0.15">
      <c r="A3" s="23" t="s">
        <v>4</v>
      </c>
      <c r="B3" s="24" t="s">
        <v>25</v>
      </c>
      <c r="C3" s="24" t="s">
        <v>58</v>
      </c>
      <c r="D3" s="25">
        <v>80</v>
      </c>
      <c r="E3" s="53">
        <f>VLOOKUP(B3,产品基本信息表!$B$2:$C$21,2,0)</f>
        <v>1282</v>
      </c>
      <c r="F3" s="53">
        <f t="shared" ref="F3:F44" si="0">D3*E3</f>
        <v>102560</v>
      </c>
      <c r="G3" s="14"/>
    </row>
    <row r="4" spans="1:10" ht="16.5" x14ac:dyDescent="0.15">
      <c r="A4" s="20" t="s">
        <v>4</v>
      </c>
      <c r="B4" s="21" t="s">
        <v>24</v>
      </c>
      <c r="C4" s="21" t="s">
        <v>59</v>
      </c>
      <c r="D4" s="22">
        <v>213</v>
      </c>
      <c r="E4" s="52">
        <f>VLOOKUP(B4,产品基本信息表!$B$2:$C$21,2,0)</f>
        <v>489</v>
      </c>
      <c r="F4" s="52">
        <f t="shared" si="0"/>
        <v>104157</v>
      </c>
      <c r="G4" s="14"/>
    </row>
    <row r="5" spans="1:10" ht="16.5" x14ac:dyDescent="0.15">
      <c r="A5" s="23" t="s">
        <v>4</v>
      </c>
      <c r="B5" s="24" t="s">
        <v>24</v>
      </c>
      <c r="C5" s="24" t="s">
        <v>58</v>
      </c>
      <c r="D5" s="25">
        <v>179</v>
      </c>
      <c r="E5" s="53">
        <f>VLOOKUP(B5,产品基本信息表!$B$2:$C$21,2,0)</f>
        <v>489</v>
      </c>
      <c r="F5" s="53">
        <f t="shared" si="0"/>
        <v>87531</v>
      </c>
      <c r="G5" s="14"/>
    </row>
    <row r="6" spans="1:10" ht="16.5" x14ac:dyDescent="0.15">
      <c r="A6" s="20" t="s">
        <v>4</v>
      </c>
      <c r="B6" s="21" t="s">
        <v>23</v>
      </c>
      <c r="C6" s="21" t="s">
        <v>57</v>
      </c>
      <c r="D6" s="22">
        <v>149</v>
      </c>
      <c r="E6" s="52">
        <f>VLOOKUP(B6,产品基本信息表!$B$2:$C$21,2,0)</f>
        <v>329</v>
      </c>
      <c r="F6" s="52">
        <f t="shared" si="0"/>
        <v>49021</v>
      </c>
      <c r="G6" s="14"/>
    </row>
    <row r="7" spans="1:10" ht="16.5" x14ac:dyDescent="0.15">
      <c r="A7" s="23" t="s">
        <v>4</v>
      </c>
      <c r="B7" s="24" t="s">
        <v>23</v>
      </c>
      <c r="C7" s="24" t="s">
        <v>59</v>
      </c>
      <c r="D7" s="25">
        <v>169</v>
      </c>
      <c r="E7" s="53">
        <f>VLOOKUP(B7,产品基本信息表!$B$2:$C$21,2,0)</f>
        <v>329</v>
      </c>
      <c r="F7" s="53">
        <f t="shared" si="0"/>
        <v>55601</v>
      </c>
      <c r="G7" s="14"/>
    </row>
    <row r="8" spans="1:10" ht="16.5" x14ac:dyDescent="0.15">
      <c r="A8" s="20" t="s">
        <v>4</v>
      </c>
      <c r="B8" s="21" t="s">
        <v>22</v>
      </c>
      <c r="C8" s="21" t="s">
        <v>57</v>
      </c>
      <c r="D8" s="22">
        <v>156</v>
      </c>
      <c r="E8" s="52">
        <f>VLOOKUP(B8,产品基本信息表!$B$2:$C$21,2,0)</f>
        <v>349</v>
      </c>
      <c r="F8" s="52">
        <f t="shared" si="0"/>
        <v>54444</v>
      </c>
      <c r="G8" s="14"/>
    </row>
    <row r="9" spans="1:10" ht="16.5" x14ac:dyDescent="0.15">
      <c r="A9" s="23" t="s">
        <v>4</v>
      </c>
      <c r="B9" s="24" t="s">
        <v>22</v>
      </c>
      <c r="C9" s="24" t="s">
        <v>59</v>
      </c>
      <c r="D9" s="25">
        <v>218</v>
      </c>
      <c r="E9" s="53">
        <f>VLOOKUP(B9,产品基本信息表!$B$2:$C$21,2,0)</f>
        <v>349</v>
      </c>
      <c r="F9" s="53">
        <f t="shared" si="0"/>
        <v>76082</v>
      </c>
      <c r="G9" s="14"/>
    </row>
    <row r="10" spans="1:10" ht="16.5" x14ac:dyDescent="0.15">
      <c r="A10" s="20" t="s">
        <v>4</v>
      </c>
      <c r="B10" s="21" t="s">
        <v>22</v>
      </c>
      <c r="C10" s="21" t="s">
        <v>58</v>
      </c>
      <c r="D10" s="22">
        <v>284</v>
      </c>
      <c r="E10" s="52">
        <f>VLOOKUP(B10,产品基本信息表!$B$2:$C$21,2,0)</f>
        <v>349</v>
      </c>
      <c r="F10" s="52">
        <f t="shared" si="0"/>
        <v>99116</v>
      </c>
      <c r="G10" s="14"/>
    </row>
    <row r="11" spans="1:10" ht="16.5" x14ac:dyDescent="0.15">
      <c r="A11" s="23" t="s">
        <v>4</v>
      </c>
      <c r="B11" s="24" t="s">
        <v>21</v>
      </c>
      <c r="C11" s="24" t="s">
        <v>58</v>
      </c>
      <c r="D11" s="25">
        <v>124</v>
      </c>
      <c r="E11" s="53">
        <f>VLOOKUP(B11,产品基本信息表!$B$2:$C$21,2,0)</f>
        <v>870</v>
      </c>
      <c r="F11" s="53">
        <f t="shared" si="0"/>
        <v>107880</v>
      </c>
      <c r="G11" s="14"/>
    </row>
    <row r="12" spans="1:10" ht="16.5" x14ac:dyDescent="0.15">
      <c r="A12" s="20" t="s">
        <v>8</v>
      </c>
      <c r="B12" s="21" t="s">
        <v>20</v>
      </c>
      <c r="C12" s="21" t="s">
        <v>57</v>
      </c>
      <c r="D12" s="22">
        <v>123</v>
      </c>
      <c r="E12" s="52">
        <f>VLOOKUP(B12,产品基本信息表!$B$2:$C$21,2,0)</f>
        <v>1208</v>
      </c>
      <c r="F12" s="52">
        <f t="shared" si="0"/>
        <v>148584</v>
      </c>
      <c r="G12" s="14"/>
    </row>
    <row r="13" spans="1:10" ht="16.5" x14ac:dyDescent="0.15">
      <c r="A13" s="23" t="s">
        <v>8</v>
      </c>
      <c r="B13" s="24" t="s">
        <v>20</v>
      </c>
      <c r="C13" s="24" t="s">
        <v>59</v>
      </c>
      <c r="D13" s="25">
        <v>190</v>
      </c>
      <c r="E13" s="53">
        <f>VLOOKUP(B13,产品基本信息表!$B$2:$C$21,2,0)</f>
        <v>1208</v>
      </c>
      <c r="F13" s="53">
        <f t="shared" si="0"/>
        <v>229520</v>
      </c>
      <c r="G13" s="14"/>
    </row>
    <row r="14" spans="1:10" ht="16.5" x14ac:dyDescent="0.15">
      <c r="A14" s="20" t="s">
        <v>8</v>
      </c>
      <c r="B14" s="21" t="s">
        <v>20</v>
      </c>
      <c r="C14" s="21" t="s">
        <v>58</v>
      </c>
      <c r="D14" s="22">
        <v>242</v>
      </c>
      <c r="E14" s="52">
        <f>VLOOKUP(B14,产品基本信息表!$B$2:$C$21,2,0)</f>
        <v>1208</v>
      </c>
      <c r="F14" s="52">
        <f t="shared" si="0"/>
        <v>292336</v>
      </c>
      <c r="G14" s="14"/>
    </row>
    <row r="15" spans="1:10" ht="16.5" x14ac:dyDescent="0.15">
      <c r="A15" s="23" t="s">
        <v>8</v>
      </c>
      <c r="B15" s="24" t="s">
        <v>18</v>
      </c>
      <c r="C15" s="24" t="s">
        <v>57</v>
      </c>
      <c r="D15" s="25">
        <v>156</v>
      </c>
      <c r="E15" s="53">
        <f>VLOOKUP(B15,产品基本信息表!$B$2:$C$21,2,0)</f>
        <v>914</v>
      </c>
      <c r="F15" s="53">
        <f t="shared" si="0"/>
        <v>142584</v>
      </c>
      <c r="G15" s="14"/>
    </row>
    <row r="16" spans="1:10" ht="16.5" x14ac:dyDescent="0.15">
      <c r="A16" s="20" t="s">
        <v>8</v>
      </c>
      <c r="B16" s="21" t="s">
        <v>18</v>
      </c>
      <c r="C16" s="21" t="s">
        <v>59</v>
      </c>
      <c r="D16" s="22">
        <v>94</v>
      </c>
      <c r="E16" s="52">
        <f>VLOOKUP(B16,产品基本信息表!$B$2:$C$21,2,0)</f>
        <v>914</v>
      </c>
      <c r="F16" s="52">
        <f t="shared" si="0"/>
        <v>85916</v>
      </c>
    </row>
    <row r="17" spans="1:6" ht="16.5" x14ac:dyDescent="0.15">
      <c r="A17" s="23" t="s">
        <v>6</v>
      </c>
      <c r="B17" s="24" t="s">
        <v>17</v>
      </c>
      <c r="C17" s="24" t="s">
        <v>57</v>
      </c>
      <c r="D17" s="25">
        <v>86</v>
      </c>
      <c r="E17" s="53">
        <f>VLOOKUP(B17,产品基本信息表!$B$2:$C$21,2,0)</f>
        <v>3786</v>
      </c>
      <c r="F17" s="53">
        <f t="shared" si="0"/>
        <v>325596</v>
      </c>
    </row>
    <row r="18" spans="1:6" ht="16.5" x14ac:dyDescent="0.15">
      <c r="A18" s="20" t="s">
        <v>6</v>
      </c>
      <c r="B18" s="21" t="s">
        <v>17</v>
      </c>
      <c r="C18" s="21" t="s">
        <v>59</v>
      </c>
      <c r="D18" s="22">
        <v>242</v>
      </c>
      <c r="E18" s="52">
        <f>VLOOKUP(B18,产品基本信息表!$B$2:$C$21,2,0)</f>
        <v>3786</v>
      </c>
      <c r="F18" s="52">
        <f t="shared" si="0"/>
        <v>916212</v>
      </c>
    </row>
    <row r="19" spans="1:6" ht="16.5" x14ac:dyDescent="0.15">
      <c r="A19" s="23" t="s">
        <v>6</v>
      </c>
      <c r="B19" s="24" t="s">
        <v>16</v>
      </c>
      <c r="C19" s="24" t="s">
        <v>59</v>
      </c>
      <c r="D19" s="25">
        <v>188</v>
      </c>
      <c r="E19" s="53">
        <f>VLOOKUP(B19,产品基本信息表!$B$2:$C$21,2,0)</f>
        <v>625</v>
      </c>
      <c r="F19" s="53">
        <f t="shared" si="0"/>
        <v>117500</v>
      </c>
    </row>
    <row r="20" spans="1:6" ht="16.5" x14ac:dyDescent="0.15">
      <c r="A20" s="20" t="s">
        <v>6</v>
      </c>
      <c r="B20" s="21" t="s">
        <v>16</v>
      </c>
      <c r="C20" s="21" t="s">
        <v>58</v>
      </c>
      <c r="D20" s="22">
        <v>172</v>
      </c>
      <c r="E20" s="52">
        <f>VLOOKUP(B20,产品基本信息表!$B$2:$C$21,2,0)</f>
        <v>625</v>
      </c>
      <c r="F20" s="52">
        <f t="shared" si="0"/>
        <v>107500</v>
      </c>
    </row>
    <row r="21" spans="1:6" ht="16.5" x14ac:dyDescent="0.15">
      <c r="A21" s="23" t="s">
        <v>6</v>
      </c>
      <c r="B21" s="24" t="s">
        <v>15</v>
      </c>
      <c r="C21" s="24" t="s">
        <v>57</v>
      </c>
      <c r="D21" s="25">
        <v>121</v>
      </c>
      <c r="E21" s="53">
        <f>VLOOKUP(B21,产品基本信息表!$B$2:$C$21,2,0)</f>
        <v>1452</v>
      </c>
      <c r="F21" s="53">
        <f t="shared" si="0"/>
        <v>175692</v>
      </c>
    </row>
    <row r="22" spans="1:6" ht="16.5" x14ac:dyDescent="0.15">
      <c r="A22" s="20" t="s">
        <v>6</v>
      </c>
      <c r="B22" s="21" t="s">
        <v>15</v>
      </c>
      <c r="C22" s="21" t="s">
        <v>58</v>
      </c>
      <c r="D22" s="22">
        <v>153</v>
      </c>
      <c r="E22" s="52">
        <f>VLOOKUP(B22,产品基本信息表!$B$2:$C$21,2,0)</f>
        <v>1452</v>
      </c>
      <c r="F22" s="52">
        <f t="shared" si="0"/>
        <v>222156</v>
      </c>
    </row>
    <row r="23" spans="1:6" ht="16.5" x14ac:dyDescent="0.15">
      <c r="A23" s="23" t="s">
        <v>6</v>
      </c>
      <c r="B23" s="24" t="s">
        <v>14</v>
      </c>
      <c r="C23" s="24" t="s">
        <v>57</v>
      </c>
      <c r="D23" s="25">
        <v>165</v>
      </c>
      <c r="E23" s="53">
        <f>VLOOKUP(B23,产品基本信息表!$B$2:$C$21,2,0)</f>
        <v>178</v>
      </c>
      <c r="F23" s="53">
        <f t="shared" si="0"/>
        <v>29370</v>
      </c>
    </row>
    <row r="24" spans="1:6" ht="16.5" x14ac:dyDescent="0.15">
      <c r="A24" s="20" t="s">
        <v>6</v>
      </c>
      <c r="B24" s="21" t="s">
        <v>14</v>
      </c>
      <c r="C24" s="21" t="s">
        <v>59</v>
      </c>
      <c r="D24" s="22">
        <v>176</v>
      </c>
      <c r="E24" s="52">
        <f>VLOOKUP(B24,产品基本信息表!$B$2:$C$21,2,0)</f>
        <v>178</v>
      </c>
      <c r="F24" s="52">
        <f t="shared" si="0"/>
        <v>31328</v>
      </c>
    </row>
    <row r="25" spans="1:6" ht="16.5" x14ac:dyDescent="0.15">
      <c r="A25" s="23" t="s">
        <v>6</v>
      </c>
      <c r="B25" s="24" t="s">
        <v>14</v>
      </c>
      <c r="C25" s="24" t="s">
        <v>58</v>
      </c>
      <c r="D25" s="25">
        <v>177</v>
      </c>
      <c r="E25" s="53">
        <f>VLOOKUP(B25,产品基本信息表!$B$2:$C$21,2,0)</f>
        <v>178</v>
      </c>
      <c r="F25" s="53">
        <f t="shared" si="0"/>
        <v>31506</v>
      </c>
    </row>
    <row r="26" spans="1:6" ht="16.5" x14ac:dyDescent="0.15">
      <c r="A26" s="20" t="s">
        <v>6</v>
      </c>
      <c r="B26" s="21" t="s">
        <v>13</v>
      </c>
      <c r="C26" s="21" t="s">
        <v>57</v>
      </c>
      <c r="D26" s="22">
        <v>95</v>
      </c>
      <c r="E26" s="52">
        <f>VLOOKUP(B26,产品基本信息表!$B$2:$C$21,2,0)</f>
        <v>769</v>
      </c>
      <c r="F26" s="52">
        <f t="shared" si="0"/>
        <v>73055</v>
      </c>
    </row>
    <row r="27" spans="1:6" ht="16.5" x14ac:dyDescent="0.15">
      <c r="A27" s="23" t="s">
        <v>6</v>
      </c>
      <c r="B27" s="24" t="s">
        <v>13</v>
      </c>
      <c r="C27" s="24" t="s">
        <v>59</v>
      </c>
      <c r="D27" s="25">
        <v>278</v>
      </c>
      <c r="E27" s="53">
        <f>VLOOKUP(B27,产品基本信息表!$B$2:$C$21,2,0)</f>
        <v>769</v>
      </c>
      <c r="F27" s="53">
        <f t="shared" si="0"/>
        <v>213782</v>
      </c>
    </row>
    <row r="28" spans="1:6" ht="16.5" x14ac:dyDescent="0.15">
      <c r="A28" s="20" t="s">
        <v>6</v>
      </c>
      <c r="B28" s="21" t="s">
        <v>12</v>
      </c>
      <c r="C28" s="21" t="s">
        <v>58</v>
      </c>
      <c r="D28" s="22">
        <v>101</v>
      </c>
      <c r="E28" s="52">
        <f>VLOOKUP(B28,产品基本信息表!$B$2:$C$21,2,0)</f>
        <v>928</v>
      </c>
      <c r="F28" s="52">
        <f t="shared" si="0"/>
        <v>93728</v>
      </c>
    </row>
    <row r="29" spans="1:6" ht="16.5" x14ac:dyDescent="0.15">
      <c r="A29" s="23" t="s">
        <v>7</v>
      </c>
      <c r="B29" s="24" t="s">
        <v>11</v>
      </c>
      <c r="C29" s="24" t="s">
        <v>57</v>
      </c>
      <c r="D29" s="25">
        <v>89</v>
      </c>
      <c r="E29" s="53">
        <f>VLOOKUP(B29,产品基本信息表!$B$2:$C$21,2,0)</f>
        <v>598</v>
      </c>
      <c r="F29" s="53">
        <f t="shared" si="0"/>
        <v>53222</v>
      </c>
    </row>
    <row r="30" spans="1:6" ht="16.5" x14ac:dyDescent="0.15">
      <c r="A30" s="20" t="s">
        <v>7</v>
      </c>
      <c r="B30" s="21" t="s">
        <v>11</v>
      </c>
      <c r="C30" s="21" t="s">
        <v>59</v>
      </c>
      <c r="D30" s="22">
        <v>187</v>
      </c>
      <c r="E30" s="52">
        <f>VLOOKUP(B30,产品基本信息表!$B$2:$C$21,2,0)</f>
        <v>598</v>
      </c>
      <c r="F30" s="52">
        <f t="shared" si="0"/>
        <v>111826</v>
      </c>
    </row>
    <row r="31" spans="1:6" ht="16.5" x14ac:dyDescent="0.15">
      <c r="A31" s="23" t="s">
        <v>7</v>
      </c>
      <c r="B31" s="24" t="s">
        <v>11</v>
      </c>
      <c r="C31" s="24" t="s">
        <v>58</v>
      </c>
      <c r="D31" s="25">
        <v>212</v>
      </c>
      <c r="E31" s="53">
        <f>VLOOKUP(B31,产品基本信息表!$B$2:$C$21,2,0)</f>
        <v>598</v>
      </c>
      <c r="F31" s="53">
        <f t="shared" si="0"/>
        <v>126776</v>
      </c>
    </row>
    <row r="32" spans="1:6" ht="16.5" x14ac:dyDescent="0.15">
      <c r="A32" s="20" t="s">
        <v>7</v>
      </c>
      <c r="B32" s="21" t="s">
        <v>9</v>
      </c>
      <c r="C32" s="21" t="s">
        <v>57</v>
      </c>
      <c r="D32" s="22">
        <v>97</v>
      </c>
      <c r="E32" s="52">
        <f>VLOOKUP(B32,产品基本信息表!$B$2:$C$21,2,0)</f>
        <v>619</v>
      </c>
      <c r="F32" s="52">
        <f t="shared" si="0"/>
        <v>60043</v>
      </c>
    </row>
    <row r="33" spans="1:6" ht="16.5" x14ac:dyDescent="0.15">
      <c r="A33" s="23" t="s">
        <v>7</v>
      </c>
      <c r="B33" s="24" t="s">
        <v>9</v>
      </c>
      <c r="C33" s="24" t="s">
        <v>59</v>
      </c>
      <c r="D33" s="25">
        <v>272</v>
      </c>
      <c r="E33" s="53">
        <f>VLOOKUP(B33,产品基本信息表!$B$2:$C$21,2,0)</f>
        <v>619</v>
      </c>
      <c r="F33" s="53">
        <f t="shared" si="0"/>
        <v>168368</v>
      </c>
    </row>
    <row r="34" spans="1:6" ht="16.5" x14ac:dyDescent="0.15">
      <c r="A34" s="20" t="s">
        <v>7</v>
      </c>
      <c r="B34" s="21" t="s">
        <v>9</v>
      </c>
      <c r="C34" s="21" t="s">
        <v>58</v>
      </c>
      <c r="D34" s="22">
        <v>208</v>
      </c>
      <c r="E34" s="52">
        <f>VLOOKUP(B34,产品基本信息表!$B$2:$C$21,2,0)</f>
        <v>619</v>
      </c>
      <c r="F34" s="52">
        <f t="shared" si="0"/>
        <v>128752</v>
      </c>
    </row>
    <row r="35" spans="1:6" ht="16.5" x14ac:dyDescent="0.15">
      <c r="A35" s="23" t="s">
        <v>2</v>
      </c>
      <c r="B35" s="24" t="s">
        <v>30</v>
      </c>
      <c r="C35" s="24" t="s">
        <v>59</v>
      </c>
      <c r="D35" s="25">
        <v>179</v>
      </c>
      <c r="E35" s="53">
        <f>VLOOKUP(B35,产品基本信息表!$B$2:$C$21,2,0)</f>
        <v>849</v>
      </c>
      <c r="F35" s="53">
        <f t="shared" si="0"/>
        <v>151971</v>
      </c>
    </row>
    <row r="36" spans="1:6" ht="16.5" x14ac:dyDescent="0.15">
      <c r="A36" s="20" t="s">
        <v>2</v>
      </c>
      <c r="B36" s="21" t="s">
        <v>30</v>
      </c>
      <c r="C36" s="21" t="s">
        <v>58</v>
      </c>
      <c r="D36" s="22">
        <v>258</v>
      </c>
      <c r="E36" s="52">
        <f>VLOOKUP(B36,产品基本信息表!$B$2:$C$21,2,0)</f>
        <v>849</v>
      </c>
      <c r="F36" s="52">
        <f t="shared" si="0"/>
        <v>219042</v>
      </c>
    </row>
    <row r="37" spans="1:6" ht="16.5" x14ac:dyDescent="0.15">
      <c r="A37" s="23" t="s">
        <v>2</v>
      </c>
      <c r="B37" s="24" t="s">
        <v>29</v>
      </c>
      <c r="C37" s="24" t="s">
        <v>57</v>
      </c>
      <c r="D37" s="25">
        <v>166</v>
      </c>
      <c r="E37" s="53">
        <f>VLOOKUP(B37,产品基本信息表!$B$2:$C$21,2,0)</f>
        <v>2143</v>
      </c>
      <c r="F37" s="53">
        <f t="shared" si="0"/>
        <v>355738</v>
      </c>
    </row>
    <row r="38" spans="1:6" ht="16.5" x14ac:dyDescent="0.15">
      <c r="A38" s="20" t="s">
        <v>2</v>
      </c>
      <c r="B38" s="21" t="s">
        <v>28</v>
      </c>
      <c r="C38" s="21" t="s">
        <v>59</v>
      </c>
      <c r="D38" s="22">
        <v>281</v>
      </c>
      <c r="E38" s="52">
        <f>VLOOKUP(B38,产品基本信息表!$B$2:$C$21,2,0)</f>
        <v>4345</v>
      </c>
      <c r="F38" s="52">
        <f t="shared" si="0"/>
        <v>1220945</v>
      </c>
    </row>
    <row r="39" spans="1:6" ht="16.5" x14ac:dyDescent="0.15">
      <c r="A39" s="23" t="s">
        <v>2</v>
      </c>
      <c r="B39" s="24" t="s">
        <v>28</v>
      </c>
      <c r="C39" s="24" t="s">
        <v>58</v>
      </c>
      <c r="D39" s="25">
        <v>97</v>
      </c>
      <c r="E39" s="53">
        <f>VLOOKUP(B39,产品基本信息表!$B$2:$C$21,2,0)</f>
        <v>4345</v>
      </c>
      <c r="F39" s="53">
        <f t="shared" si="0"/>
        <v>421465</v>
      </c>
    </row>
    <row r="40" spans="1:6" ht="16.5" x14ac:dyDescent="0.15">
      <c r="A40" s="20" t="s">
        <v>5</v>
      </c>
      <c r="B40" s="21" t="s">
        <v>27</v>
      </c>
      <c r="C40" s="21" t="s">
        <v>57</v>
      </c>
      <c r="D40" s="22">
        <v>78</v>
      </c>
      <c r="E40" s="52">
        <f>VLOOKUP(B40,产品基本信息表!$B$2:$C$21,2,0)</f>
        <v>786</v>
      </c>
      <c r="F40" s="52">
        <f t="shared" si="0"/>
        <v>61308</v>
      </c>
    </row>
    <row r="41" spans="1:6" ht="16.5" x14ac:dyDescent="0.15">
      <c r="A41" s="23" t="s">
        <v>3</v>
      </c>
      <c r="B41" s="24" t="s">
        <v>27</v>
      </c>
      <c r="C41" s="24" t="s">
        <v>59</v>
      </c>
      <c r="D41" s="25">
        <v>285</v>
      </c>
      <c r="E41" s="53">
        <f>VLOOKUP(B41,产品基本信息表!$B$2:$C$21,2,0)</f>
        <v>786</v>
      </c>
      <c r="F41" s="53">
        <f t="shared" si="0"/>
        <v>224010</v>
      </c>
    </row>
    <row r="42" spans="1:6" ht="16.5" x14ac:dyDescent="0.15">
      <c r="A42" s="20" t="s">
        <v>3</v>
      </c>
      <c r="B42" s="21" t="s">
        <v>27</v>
      </c>
      <c r="C42" s="21" t="s">
        <v>58</v>
      </c>
      <c r="D42" s="22">
        <v>207</v>
      </c>
      <c r="E42" s="52">
        <f>VLOOKUP(B42,产品基本信息表!$B$2:$C$21,2,0)</f>
        <v>786</v>
      </c>
      <c r="F42" s="52">
        <f t="shared" si="0"/>
        <v>162702</v>
      </c>
    </row>
    <row r="43" spans="1:6" ht="16.5" x14ac:dyDescent="0.15">
      <c r="A43" s="23" t="s">
        <v>3</v>
      </c>
      <c r="B43" s="24" t="s">
        <v>26</v>
      </c>
      <c r="C43" s="24" t="s">
        <v>57</v>
      </c>
      <c r="D43" s="25">
        <v>231</v>
      </c>
      <c r="E43" s="53">
        <f>VLOOKUP(B43,产品基本信息表!$B$2:$C$21,2,0)</f>
        <v>1654</v>
      </c>
      <c r="F43" s="53">
        <f t="shared" si="0"/>
        <v>382074</v>
      </c>
    </row>
    <row r="44" spans="1:6" ht="16.5" x14ac:dyDescent="0.15">
      <c r="A44" s="26" t="s">
        <v>3</v>
      </c>
      <c r="B44" s="27" t="s">
        <v>26</v>
      </c>
      <c r="C44" s="27" t="s">
        <v>58</v>
      </c>
      <c r="D44" s="28">
        <v>277</v>
      </c>
      <c r="E44" s="54">
        <f>VLOOKUP(B44,产品基本信息表!$B$2:$C$21,2,0)</f>
        <v>1654</v>
      </c>
      <c r="F44" s="54">
        <f t="shared" si="0"/>
        <v>458158</v>
      </c>
    </row>
    <row r="45" spans="1:6" x14ac:dyDescent="0.15">
      <c r="D45" s="16"/>
    </row>
  </sheetData>
  <sortState ref="A2:E44">
    <sortCondition descending="1" ref="B1"/>
  </sortState>
  <dataConsolidate/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workbookViewId="0">
      <selection activeCell="E1" sqref="E1:F1048576"/>
    </sheetView>
  </sheetViews>
  <sheetFormatPr defaultRowHeight="17.25" x14ac:dyDescent="0.15"/>
  <cols>
    <col min="1" max="1" width="14" style="40" customWidth="1"/>
    <col min="2" max="2" width="10.25" style="40" customWidth="1"/>
    <col min="3" max="3" width="9.625" style="40" customWidth="1"/>
    <col min="4" max="4" width="14" style="42" customWidth="1"/>
    <col min="5" max="5" width="14" style="61" customWidth="1"/>
    <col min="6" max="6" width="18" style="61" customWidth="1"/>
    <col min="7" max="7" width="8.875" style="5" customWidth="1"/>
    <col min="8" max="16384" width="9" style="5"/>
  </cols>
  <sheetData>
    <row r="1" spans="1:10" ht="24" x14ac:dyDescent="0.15">
      <c r="A1" s="29" t="s">
        <v>42</v>
      </c>
      <c r="B1" s="30" t="s">
        <v>43</v>
      </c>
      <c r="C1" s="30" t="s">
        <v>44</v>
      </c>
      <c r="D1" s="30" t="s">
        <v>45</v>
      </c>
      <c r="E1" s="56" t="s">
        <v>48</v>
      </c>
      <c r="F1" s="57" t="s">
        <v>46</v>
      </c>
      <c r="G1" s="5" ph="1"/>
      <c r="H1" s="5" ph="1"/>
      <c r="I1" s="5" ph="1"/>
      <c r="J1" s="5" ph="1"/>
    </row>
    <row r="2" spans="1:10" ht="16.5" x14ac:dyDescent="0.15">
      <c r="A2" s="31" t="s">
        <v>3</v>
      </c>
      <c r="B2" s="32" t="s">
        <v>26</v>
      </c>
      <c r="C2" s="32" t="s">
        <v>34</v>
      </c>
      <c r="D2" s="33">
        <v>202</v>
      </c>
      <c r="E2" s="58">
        <f>VLOOKUP(B2,产品基本信息表!$B$2:$C$21,2,0)</f>
        <v>1654</v>
      </c>
      <c r="F2" s="58">
        <f>D2*E2</f>
        <v>334108</v>
      </c>
    </row>
    <row r="3" spans="1:10" ht="16.5" x14ac:dyDescent="0.15">
      <c r="A3" s="34" t="s">
        <v>3</v>
      </c>
      <c r="B3" s="35" t="s">
        <v>26</v>
      </c>
      <c r="C3" s="35" t="s">
        <v>35</v>
      </c>
      <c r="D3" s="36">
        <v>226</v>
      </c>
      <c r="E3" s="59">
        <f>VLOOKUP(B3,产品基本信息表!$B$2:$C$21,2,0)</f>
        <v>1654</v>
      </c>
      <c r="F3" s="59">
        <f t="shared" ref="F3:F43" si="0">D3*E3</f>
        <v>373804</v>
      </c>
    </row>
    <row r="4" spans="1:10" ht="16.5" x14ac:dyDescent="0.15">
      <c r="A4" s="31" t="s">
        <v>5</v>
      </c>
      <c r="B4" s="32" t="s">
        <v>27</v>
      </c>
      <c r="C4" s="32" t="s">
        <v>33</v>
      </c>
      <c r="D4" s="33">
        <v>93</v>
      </c>
      <c r="E4" s="58">
        <f>VLOOKUP(B4,产品基本信息表!$B$2:$C$21,2,0)</f>
        <v>786</v>
      </c>
      <c r="F4" s="58">
        <f t="shared" si="0"/>
        <v>73098</v>
      </c>
    </row>
    <row r="5" spans="1:10" ht="16.5" x14ac:dyDescent="0.15">
      <c r="A5" s="34" t="s">
        <v>3</v>
      </c>
      <c r="B5" s="35" t="s">
        <v>27</v>
      </c>
      <c r="C5" s="35" t="s">
        <v>34</v>
      </c>
      <c r="D5" s="36">
        <v>173</v>
      </c>
      <c r="E5" s="59">
        <f>VLOOKUP(B5,产品基本信息表!$B$2:$C$21,2,0)</f>
        <v>786</v>
      </c>
      <c r="F5" s="59">
        <f t="shared" si="0"/>
        <v>135978</v>
      </c>
    </row>
    <row r="6" spans="1:10" ht="16.5" x14ac:dyDescent="0.15">
      <c r="A6" s="31" t="s">
        <v>3</v>
      </c>
      <c r="B6" s="32" t="s">
        <v>27</v>
      </c>
      <c r="C6" s="32" t="s">
        <v>35</v>
      </c>
      <c r="D6" s="33">
        <v>117</v>
      </c>
      <c r="E6" s="58">
        <f>VLOOKUP(B6,产品基本信息表!$B$2:$C$21,2,0)</f>
        <v>786</v>
      </c>
      <c r="F6" s="58">
        <f t="shared" si="0"/>
        <v>91962</v>
      </c>
    </row>
    <row r="7" spans="1:10" ht="16.5" x14ac:dyDescent="0.15">
      <c r="A7" s="34" t="s">
        <v>2</v>
      </c>
      <c r="B7" s="35" t="s">
        <v>28</v>
      </c>
      <c r="C7" s="35" t="s">
        <v>33</v>
      </c>
      <c r="D7" s="36">
        <v>221</v>
      </c>
      <c r="E7" s="59">
        <f>VLOOKUP(B7,产品基本信息表!$B$2:$C$21,2,0)</f>
        <v>4345</v>
      </c>
      <c r="F7" s="59">
        <f t="shared" si="0"/>
        <v>960245</v>
      </c>
    </row>
    <row r="8" spans="1:10" ht="16.5" x14ac:dyDescent="0.15">
      <c r="A8" s="31" t="s">
        <v>2</v>
      </c>
      <c r="B8" s="32" t="s">
        <v>28</v>
      </c>
      <c r="C8" s="32" t="s">
        <v>35</v>
      </c>
      <c r="D8" s="33">
        <v>190</v>
      </c>
      <c r="E8" s="58">
        <f>VLOOKUP(B8,产品基本信息表!$B$2:$C$21,2,0)</f>
        <v>4345</v>
      </c>
      <c r="F8" s="58">
        <f t="shared" si="0"/>
        <v>825550</v>
      </c>
    </row>
    <row r="9" spans="1:10" ht="16.5" x14ac:dyDescent="0.15">
      <c r="A9" s="34" t="s">
        <v>2</v>
      </c>
      <c r="B9" s="35" t="s">
        <v>29</v>
      </c>
      <c r="C9" s="35" t="s">
        <v>34</v>
      </c>
      <c r="D9" s="36">
        <v>186</v>
      </c>
      <c r="E9" s="59">
        <f>VLOOKUP(B9,产品基本信息表!$B$2:$C$21,2,0)</f>
        <v>2143</v>
      </c>
      <c r="F9" s="59">
        <f t="shared" si="0"/>
        <v>398598</v>
      </c>
    </row>
    <row r="10" spans="1:10" ht="16.5" x14ac:dyDescent="0.15">
      <c r="A10" s="31" t="s">
        <v>2</v>
      </c>
      <c r="B10" s="32" t="s">
        <v>30</v>
      </c>
      <c r="C10" s="32" t="s">
        <v>33</v>
      </c>
      <c r="D10" s="33">
        <v>134</v>
      </c>
      <c r="E10" s="58">
        <f>VLOOKUP(B10,产品基本信息表!$B$2:$C$21,2,0)</f>
        <v>849</v>
      </c>
      <c r="F10" s="58">
        <f t="shared" si="0"/>
        <v>113766</v>
      </c>
    </row>
    <row r="11" spans="1:10" ht="16.5" x14ac:dyDescent="0.15">
      <c r="A11" s="34" t="s">
        <v>2</v>
      </c>
      <c r="B11" s="35" t="s">
        <v>30</v>
      </c>
      <c r="C11" s="35" t="s">
        <v>35</v>
      </c>
      <c r="D11" s="36">
        <v>120</v>
      </c>
      <c r="E11" s="59">
        <f>VLOOKUP(B11,产品基本信息表!$B$2:$C$21,2,0)</f>
        <v>849</v>
      </c>
      <c r="F11" s="59">
        <f t="shared" si="0"/>
        <v>101880</v>
      </c>
    </row>
    <row r="12" spans="1:10" ht="16.5" x14ac:dyDescent="0.15">
      <c r="A12" s="31" t="s">
        <v>7</v>
      </c>
      <c r="B12" s="32" t="s">
        <v>9</v>
      </c>
      <c r="C12" s="32" t="s">
        <v>34</v>
      </c>
      <c r="D12" s="33">
        <v>116</v>
      </c>
      <c r="E12" s="58">
        <f>VLOOKUP(B12,产品基本信息表!$B$2:$C$21,2,0)</f>
        <v>619</v>
      </c>
      <c r="F12" s="58">
        <f t="shared" si="0"/>
        <v>71804</v>
      </c>
    </row>
    <row r="13" spans="1:10" ht="16.5" x14ac:dyDescent="0.15">
      <c r="A13" s="34" t="s">
        <v>7</v>
      </c>
      <c r="B13" s="35" t="s">
        <v>11</v>
      </c>
      <c r="C13" s="35" t="s">
        <v>33</v>
      </c>
      <c r="D13" s="36">
        <v>115</v>
      </c>
      <c r="E13" s="59">
        <f>VLOOKUP(B13,产品基本信息表!$B$2:$C$21,2,0)</f>
        <v>598</v>
      </c>
      <c r="F13" s="59">
        <f t="shared" si="0"/>
        <v>68770</v>
      </c>
    </row>
    <row r="14" spans="1:10" ht="16.5" x14ac:dyDescent="0.15">
      <c r="A14" s="31" t="s">
        <v>7</v>
      </c>
      <c r="B14" s="32" t="s">
        <v>11</v>
      </c>
      <c r="C14" s="32" t="s">
        <v>35</v>
      </c>
      <c r="D14" s="33">
        <v>194</v>
      </c>
      <c r="E14" s="58">
        <f>VLOOKUP(B14,产品基本信息表!$B$2:$C$21,2,0)</f>
        <v>598</v>
      </c>
      <c r="F14" s="58">
        <f t="shared" si="0"/>
        <v>116012</v>
      </c>
    </row>
    <row r="15" spans="1:10" ht="16.5" x14ac:dyDescent="0.15">
      <c r="A15" s="34" t="s">
        <v>6</v>
      </c>
      <c r="B15" s="35" t="s">
        <v>12</v>
      </c>
      <c r="C15" s="35" t="s">
        <v>33</v>
      </c>
      <c r="D15" s="36">
        <v>78</v>
      </c>
      <c r="E15" s="59">
        <f>VLOOKUP(B15,产品基本信息表!$B$2:$C$21,2,0)</f>
        <v>928</v>
      </c>
      <c r="F15" s="59">
        <f t="shared" si="0"/>
        <v>72384</v>
      </c>
    </row>
    <row r="16" spans="1:10" ht="16.5" x14ac:dyDescent="0.15">
      <c r="A16" s="31" t="s">
        <v>6</v>
      </c>
      <c r="B16" s="32" t="s">
        <v>12</v>
      </c>
      <c r="C16" s="32" t="s">
        <v>34</v>
      </c>
      <c r="D16" s="33">
        <v>206</v>
      </c>
      <c r="E16" s="58">
        <f>VLOOKUP(B16,产品基本信息表!$B$2:$C$21,2,0)</f>
        <v>928</v>
      </c>
      <c r="F16" s="58">
        <f t="shared" si="0"/>
        <v>191168</v>
      </c>
    </row>
    <row r="17" spans="1:6" ht="16.5" x14ac:dyDescent="0.15">
      <c r="A17" s="34" t="s">
        <v>6</v>
      </c>
      <c r="B17" s="35" t="s">
        <v>12</v>
      </c>
      <c r="C17" s="35" t="s">
        <v>35</v>
      </c>
      <c r="D17" s="36">
        <v>269</v>
      </c>
      <c r="E17" s="59">
        <f>VLOOKUP(B17,产品基本信息表!$B$2:$C$21,2,0)</f>
        <v>928</v>
      </c>
      <c r="F17" s="59">
        <f t="shared" si="0"/>
        <v>249632</v>
      </c>
    </row>
    <row r="18" spans="1:6" ht="16.5" x14ac:dyDescent="0.15">
      <c r="A18" s="31" t="s">
        <v>6</v>
      </c>
      <c r="B18" s="32" t="s">
        <v>13</v>
      </c>
      <c r="C18" s="32" t="s">
        <v>33</v>
      </c>
      <c r="D18" s="33">
        <v>129</v>
      </c>
      <c r="E18" s="58">
        <f>VLOOKUP(B18,产品基本信息表!$B$2:$C$21,2,0)</f>
        <v>769</v>
      </c>
      <c r="F18" s="58">
        <f t="shared" si="0"/>
        <v>99201</v>
      </c>
    </row>
    <row r="19" spans="1:6" ht="16.5" x14ac:dyDescent="0.15">
      <c r="A19" s="34" t="s">
        <v>6</v>
      </c>
      <c r="B19" s="35" t="s">
        <v>13</v>
      </c>
      <c r="C19" s="35" t="s">
        <v>34</v>
      </c>
      <c r="D19" s="36">
        <v>289</v>
      </c>
      <c r="E19" s="59">
        <f>VLOOKUP(B19,产品基本信息表!$B$2:$C$21,2,0)</f>
        <v>769</v>
      </c>
      <c r="F19" s="59">
        <f t="shared" si="0"/>
        <v>222241</v>
      </c>
    </row>
    <row r="20" spans="1:6" ht="16.5" x14ac:dyDescent="0.15">
      <c r="A20" s="31" t="s">
        <v>6</v>
      </c>
      <c r="B20" s="32" t="s">
        <v>13</v>
      </c>
      <c r="C20" s="32" t="s">
        <v>35</v>
      </c>
      <c r="D20" s="33">
        <v>249</v>
      </c>
      <c r="E20" s="58">
        <f>VLOOKUP(B20,产品基本信息表!$B$2:$C$21,2,0)</f>
        <v>769</v>
      </c>
      <c r="F20" s="58">
        <f t="shared" si="0"/>
        <v>191481</v>
      </c>
    </row>
    <row r="21" spans="1:6" ht="16.5" x14ac:dyDescent="0.15">
      <c r="A21" s="34" t="s">
        <v>6</v>
      </c>
      <c r="B21" s="35" t="s">
        <v>14</v>
      </c>
      <c r="C21" s="35" t="s">
        <v>34</v>
      </c>
      <c r="D21" s="36">
        <v>292</v>
      </c>
      <c r="E21" s="59">
        <f>VLOOKUP(B21,产品基本信息表!$B$2:$C$21,2,0)</f>
        <v>178</v>
      </c>
      <c r="F21" s="59">
        <f t="shared" si="0"/>
        <v>51976</v>
      </c>
    </row>
    <row r="22" spans="1:6" ht="16.5" x14ac:dyDescent="0.15">
      <c r="A22" s="31" t="s">
        <v>6</v>
      </c>
      <c r="B22" s="32" t="s">
        <v>15</v>
      </c>
      <c r="C22" s="32" t="s">
        <v>33</v>
      </c>
      <c r="D22" s="33">
        <v>89</v>
      </c>
      <c r="E22" s="58">
        <f>VLOOKUP(B22,产品基本信息表!$B$2:$C$21,2,0)</f>
        <v>1452</v>
      </c>
      <c r="F22" s="58">
        <f t="shared" si="0"/>
        <v>129228</v>
      </c>
    </row>
    <row r="23" spans="1:6" ht="16.5" x14ac:dyDescent="0.15">
      <c r="A23" s="34" t="s">
        <v>6</v>
      </c>
      <c r="B23" s="35" t="s">
        <v>15</v>
      </c>
      <c r="C23" s="35" t="s">
        <v>35</v>
      </c>
      <c r="D23" s="36">
        <v>91</v>
      </c>
      <c r="E23" s="59">
        <f>VLOOKUP(B23,产品基本信息表!$B$2:$C$21,2,0)</f>
        <v>1452</v>
      </c>
      <c r="F23" s="59">
        <f t="shared" si="0"/>
        <v>132132</v>
      </c>
    </row>
    <row r="24" spans="1:6" ht="16.5" x14ac:dyDescent="0.15">
      <c r="A24" s="31" t="s">
        <v>6</v>
      </c>
      <c r="B24" s="32" t="s">
        <v>16</v>
      </c>
      <c r="C24" s="32" t="s">
        <v>33</v>
      </c>
      <c r="D24" s="33">
        <v>176</v>
      </c>
      <c r="E24" s="58">
        <f>VLOOKUP(B24,产品基本信息表!$B$2:$C$21,2,0)</f>
        <v>625</v>
      </c>
      <c r="F24" s="58">
        <f t="shared" si="0"/>
        <v>110000</v>
      </c>
    </row>
    <row r="25" spans="1:6" ht="16.5" x14ac:dyDescent="0.15">
      <c r="A25" s="34" t="s">
        <v>6</v>
      </c>
      <c r="B25" s="35" t="s">
        <v>16</v>
      </c>
      <c r="C25" s="35" t="s">
        <v>34</v>
      </c>
      <c r="D25" s="36">
        <v>168</v>
      </c>
      <c r="E25" s="59">
        <f>VLOOKUP(B25,产品基本信息表!$B$2:$C$21,2,0)</f>
        <v>625</v>
      </c>
      <c r="F25" s="59">
        <f t="shared" si="0"/>
        <v>105000</v>
      </c>
    </row>
    <row r="26" spans="1:6" ht="16.5" x14ac:dyDescent="0.15">
      <c r="A26" s="31" t="s">
        <v>6</v>
      </c>
      <c r="B26" s="32" t="s">
        <v>16</v>
      </c>
      <c r="C26" s="32" t="s">
        <v>35</v>
      </c>
      <c r="D26" s="33">
        <v>153</v>
      </c>
      <c r="E26" s="58">
        <f>VLOOKUP(B26,产品基本信息表!$B$2:$C$21,2,0)</f>
        <v>625</v>
      </c>
      <c r="F26" s="58">
        <f t="shared" si="0"/>
        <v>95625</v>
      </c>
    </row>
    <row r="27" spans="1:6" ht="16.5" x14ac:dyDescent="0.15">
      <c r="A27" s="34" t="s">
        <v>6</v>
      </c>
      <c r="B27" s="35" t="s">
        <v>17</v>
      </c>
      <c r="C27" s="35" t="s">
        <v>34</v>
      </c>
      <c r="D27" s="36">
        <v>87</v>
      </c>
      <c r="E27" s="59">
        <f>VLOOKUP(B27,产品基本信息表!$B$2:$C$21,2,0)</f>
        <v>3786</v>
      </c>
      <c r="F27" s="59">
        <f t="shared" si="0"/>
        <v>329382</v>
      </c>
    </row>
    <row r="28" spans="1:6" ht="16.5" x14ac:dyDescent="0.15">
      <c r="A28" s="31" t="s">
        <v>6</v>
      </c>
      <c r="B28" s="32" t="s">
        <v>17</v>
      </c>
      <c r="C28" s="32" t="s">
        <v>35</v>
      </c>
      <c r="D28" s="33">
        <v>220</v>
      </c>
      <c r="E28" s="58">
        <f>VLOOKUP(B28,产品基本信息表!$B$2:$C$21,2,0)</f>
        <v>3786</v>
      </c>
      <c r="F28" s="58">
        <f t="shared" si="0"/>
        <v>832920</v>
      </c>
    </row>
    <row r="29" spans="1:6" ht="16.5" x14ac:dyDescent="0.15">
      <c r="A29" s="34" t="s">
        <v>8</v>
      </c>
      <c r="B29" s="35" t="s">
        <v>18</v>
      </c>
      <c r="C29" s="35" t="s">
        <v>33</v>
      </c>
      <c r="D29" s="36">
        <v>211</v>
      </c>
      <c r="E29" s="59">
        <f>VLOOKUP(B29,产品基本信息表!$B$2:$C$21,2,0)</f>
        <v>914</v>
      </c>
      <c r="F29" s="59">
        <f t="shared" si="0"/>
        <v>192854</v>
      </c>
    </row>
    <row r="30" spans="1:6" ht="16.5" x14ac:dyDescent="0.15">
      <c r="A30" s="31" t="s">
        <v>8</v>
      </c>
      <c r="B30" s="32" t="s">
        <v>18</v>
      </c>
      <c r="C30" s="32" t="s">
        <v>34</v>
      </c>
      <c r="D30" s="33">
        <v>167</v>
      </c>
      <c r="E30" s="58">
        <f>VLOOKUP(B30,产品基本信息表!$B$2:$C$21,2,0)</f>
        <v>914</v>
      </c>
      <c r="F30" s="58">
        <f t="shared" si="0"/>
        <v>152638</v>
      </c>
    </row>
    <row r="31" spans="1:6" ht="16.5" x14ac:dyDescent="0.15">
      <c r="A31" s="34" t="s">
        <v>8</v>
      </c>
      <c r="B31" s="35" t="s">
        <v>20</v>
      </c>
      <c r="C31" s="35" t="s">
        <v>34</v>
      </c>
      <c r="D31" s="36">
        <v>123</v>
      </c>
      <c r="E31" s="59">
        <f>VLOOKUP(B31,产品基本信息表!$B$2:$C$21,2,0)</f>
        <v>1208</v>
      </c>
      <c r="F31" s="59">
        <f t="shared" si="0"/>
        <v>148584</v>
      </c>
    </row>
    <row r="32" spans="1:6" ht="16.5" x14ac:dyDescent="0.15">
      <c r="A32" s="31" t="s">
        <v>8</v>
      </c>
      <c r="B32" s="32" t="s">
        <v>20</v>
      </c>
      <c r="C32" s="32" t="s">
        <v>35</v>
      </c>
      <c r="D32" s="33">
        <v>288</v>
      </c>
      <c r="E32" s="58">
        <f>VLOOKUP(B32,产品基本信息表!$B$2:$C$21,2,0)</f>
        <v>1208</v>
      </c>
      <c r="F32" s="58">
        <f t="shared" si="0"/>
        <v>347904</v>
      </c>
    </row>
    <row r="33" spans="1:6" ht="16.5" x14ac:dyDescent="0.15">
      <c r="A33" s="34" t="s">
        <v>4</v>
      </c>
      <c r="B33" s="35" t="s">
        <v>21</v>
      </c>
      <c r="C33" s="35" t="s">
        <v>33</v>
      </c>
      <c r="D33" s="36">
        <v>99</v>
      </c>
      <c r="E33" s="59">
        <f>VLOOKUP(B33,产品基本信息表!$B$2:$C$21,2,0)</f>
        <v>870</v>
      </c>
      <c r="F33" s="59">
        <f t="shared" si="0"/>
        <v>86130</v>
      </c>
    </row>
    <row r="34" spans="1:6" ht="16.5" x14ac:dyDescent="0.15">
      <c r="A34" s="31" t="s">
        <v>4</v>
      </c>
      <c r="B34" s="32" t="s">
        <v>21</v>
      </c>
      <c r="C34" s="32" t="s">
        <v>35</v>
      </c>
      <c r="D34" s="33">
        <v>80</v>
      </c>
      <c r="E34" s="58">
        <f>VLOOKUP(B34,产品基本信息表!$B$2:$C$21,2,0)</f>
        <v>870</v>
      </c>
      <c r="F34" s="58">
        <f t="shared" si="0"/>
        <v>69600</v>
      </c>
    </row>
    <row r="35" spans="1:6" ht="16.5" x14ac:dyDescent="0.15">
      <c r="A35" s="34" t="s">
        <v>4</v>
      </c>
      <c r="B35" s="35" t="s">
        <v>22</v>
      </c>
      <c r="C35" s="35" t="s">
        <v>33</v>
      </c>
      <c r="D35" s="36">
        <v>165</v>
      </c>
      <c r="E35" s="59">
        <f>VLOOKUP(B35,产品基本信息表!$B$2:$C$21,2,0)</f>
        <v>349</v>
      </c>
      <c r="F35" s="59">
        <f t="shared" si="0"/>
        <v>57585</v>
      </c>
    </row>
    <row r="36" spans="1:6" ht="16.5" x14ac:dyDescent="0.15">
      <c r="A36" s="31" t="s">
        <v>4</v>
      </c>
      <c r="B36" s="32" t="s">
        <v>22</v>
      </c>
      <c r="C36" s="32" t="s">
        <v>34</v>
      </c>
      <c r="D36" s="33">
        <v>197</v>
      </c>
      <c r="E36" s="58">
        <f>VLOOKUP(B36,产品基本信息表!$B$2:$C$21,2,0)</f>
        <v>349</v>
      </c>
      <c r="F36" s="58">
        <f t="shared" si="0"/>
        <v>68753</v>
      </c>
    </row>
    <row r="37" spans="1:6" ht="16.5" x14ac:dyDescent="0.15">
      <c r="A37" s="34" t="s">
        <v>4</v>
      </c>
      <c r="B37" s="35" t="s">
        <v>23</v>
      </c>
      <c r="C37" s="35" t="s">
        <v>33</v>
      </c>
      <c r="D37" s="36">
        <v>201</v>
      </c>
      <c r="E37" s="59">
        <f>VLOOKUP(B37,产品基本信息表!$B$2:$C$21,2,0)</f>
        <v>329</v>
      </c>
      <c r="F37" s="59">
        <f t="shared" si="0"/>
        <v>66129</v>
      </c>
    </row>
    <row r="38" spans="1:6" ht="16.5" x14ac:dyDescent="0.15">
      <c r="A38" s="31" t="s">
        <v>4</v>
      </c>
      <c r="B38" s="32" t="s">
        <v>23</v>
      </c>
      <c r="C38" s="32" t="s">
        <v>34</v>
      </c>
      <c r="D38" s="33">
        <v>187</v>
      </c>
      <c r="E38" s="58">
        <f>VLOOKUP(B38,产品基本信息表!$B$2:$C$21,2,0)</f>
        <v>329</v>
      </c>
      <c r="F38" s="58">
        <f t="shared" si="0"/>
        <v>61523</v>
      </c>
    </row>
    <row r="39" spans="1:6" ht="16.5" x14ac:dyDescent="0.15">
      <c r="A39" s="34" t="s">
        <v>4</v>
      </c>
      <c r="B39" s="35" t="s">
        <v>23</v>
      </c>
      <c r="C39" s="35" t="s">
        <v>35</v>
      </c>
      <c r="D39" s="36">
        <v>262</v>
      </c>
      <c r="E39" s="59">
        <f>VLOOKUP(B39,产品基本信息表!$B$2:$C$21,2,0)</f>
        <v>329</v>
      </c>
      <c r="F39" s="59">
        <f t="shared" si="0"/>
        <v>86198</v>
      </c>
    </row>
    <row r="40" spans="1:6" ht="16.5" x14ac:dyDescent="0.15">
      <c r="A40" s="31" t="s">
        <v>4</v>
      </c>
      <c r="B40" s="32" t="s">
        <v>24</v>
      </c>
      <c r="C40" s="32" t="s">
        <v>34</v>
      </c>
      <c r="D40" s="33">
        <v>92</v>
      </c>
      <c r="E40" s="58">
        <f>VLOOKUP(B40,产品基本信息表!$B$2:$C$21,2,0)</f>
        <v>489</v>
      </c>
      <c r="F40" s="58">
        <f t="shared" si="0"/>
        <v>44988</v>
      </c>
    </row>
    <row r="41" spans="1:6" ht="16.5" x14ac:dyDescent="0.15">
      <c r="A41" s="34" t="s">
        <v>4</v>
      </c>
      <c r="B41" s="35" t="s">
        <v>24</v>
      </c>
      <c r="C41" s="35" t="s">
        <v>35</v>
      </c>
      <c r="D41" s="36">
        <v>187</v>
      </c>
      <c r="E41" s="59">
        <f>VLOOKUP(B41,产品基本信息表!$B$2:$C$21,2,0)</f>
        <v>489</v>
      </c>
      <c r="F41" s="59">
        <f t="shared" si="0"/>
        <v>91443</v>
      </c>
    </row>
    <row r="42" spans="1:6" ht="16.5" x14ac:dyDescent="0.15">
      <c r="A42" s="31" t="s">
        <v>4</v>
      </c>
      <c r="B42" s="32" t="s">
        <v>25</v>
      </c>
      <c r="C42" s="32" t="s">
        <v>33</v>
      </c>
      <c r="D42" s="33">
        <v>186</v>
      </c>
      <c r="E42" s="58">
        <f>VLOOKUP(B42,产品基本信息表!$B$2:$C$21,2,0)</f>
        <v>1282</v>
      </c>
      <c r="F42" s="58">
        <f t="shared" si="0"/>
        <v>238452</v>
      </c>
    </row>
    <row r="43" spans="1:6" ht="16.5" x14ac:dyDescent="0.15">
      <c r="A43" s="37" t="s">
        <v>4</v>
      </c>
      <c r="B43" s="38" t="s">
        <v>25</v>
      </c>
      <c r="C43" s="38" t="s">
        <v>35</v>
      </c>
      <c r="D43" s="39">
        <v>252</v>
      </c>
      <c r="E43" s="60">
        <f>VLOOKUP(B43,产品基本信息表!$B$2:$C$21,2,0)</f>
        <v>1282</v>
      </c>
      <c r="F43" s="60">
        <f t="shared" si="0"/>
        <v>323064</v>
      </c>
    </row>
    <row r="44" spans="1:6" x14ac:dyDescent="0.15">
      <c r="D44" s="41"/>
    </row>
  </sheetData>
  <sortState ref="A2:E43">
    <sortCondition ref="B1"/>
  </sortState>
  <dataConsolidate/>
  <phoneticPr fontId="3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selection activeCell="A2" sqref="A2:I21"/>
    </sheetView>
  </sheetViews>
  <sheetFormatPr defaultRowHeight="14.25" x14ac:dyDescent="0.15"/>
  <cols>
    <col min="1" max="1" width="14" style="5" customWidth="1"/>
    <col min="2" max="2" width="10.25" style="5" customWidth="1"/>
    <col min="3" max="3" width="14" style="5" customWidth="1"/>
    <col min="4" max="4" width="14" style="48" customWidth="1"/>
    <col min="5" max="5" width="12.125" style="5" customWidth="1"/>
    <col min="6" max="6" width="16.125" style="48" bestFit="1" customWidth="1"/>
    <col min="7" max="7" width="18.375" style="5" customWidth="1"/>
    <col min="8" max="8" width="18.375" style="48" customWidth="1"/>
    <col min="9" max="9" width="14" style="5" customWidth="1"/>
    <col min="10" max="10" width="9" style="5"/>
    <col min="11" max="11" width="25.625" style="5" customWidth="1"/>
    <col min="12" max="12" width="10.125" style="5" customWidth="1"/>
    <col min="13" max="15" width="9.625" style="5" customWidth="1"/>
    <col min="16" max="16" width="30.375" style="5" bestFit="1" customWidth="1"/>
    <col min="17" max="17" width="25.625" style="5" bestFit="1" customWidth="1"/>
    <col min="18" max="18" width="35.125" style="5" bestFit="1" customWidth="1"/>
    <col min="19" max="19" width="30.375" style="5" bestFit="1" customWidth="1"/>
    <col min="20" max="16384" width="9" style="5"/>
  </cols>
  <sheetData>
    <row r="1" spans="1:9" s="46" customFormat="1" ht="20.25" customHeight="1" x14ac:dyDescent="0.3">
      <c r="A1" s="45" t="s">
        <v>60</v>
      </c>
      <c r="B1" s="45" t="s">
        <v>32</v>
      </c>
      <c r="C1" s="45" t="s">
        <v>49</v>
      </c>
      <c r="D1" s="47" t="s">
        <v>52</v>
      </c>
      <c r="E1" s="45" t="s">
        <v>50</v>
      </c>
      <c r="F1" s="47" t="s">
        <v>53</v>
      </c>
      <c r="G1" s="45" t="s">
        <v>51</v>
      </c>
      <c r="H1" s="47" t="s">
        <v>54</v>
      </c>
      <c r="I1" s="45" t="s">
        <v>55</v>
      </c>
    </row>
    <row r="2" spans="1:9" ht="17.25" customHeight="1" x14ac:dyDescent="0.3">
      <c r="A2" s="45" t="s">
        <v>2</v>
      </c>
      <c r="B2" s="45" t="s">
        <v>26</v>
      </c>
      <c r="C2" s="44">
        <f>SUMIFS(一季度销售情况表!$D$2:$D$44,一季度销售情况表!$B$2:$B$44,B2)</f>
        <v>508</v>
      </c>
      <c r="D2" s="47">
        <f>SUMIFS(一季度销售情况表!$F$2:$F$44,一季度销售情况表!$B$2:$B$44,B2)</f>
        <v>840232</v>
      </c>
      <c r="E2" s="44">
        <f>SUMIFS('二季度销售情况表 '!$D$2:$D$43,'二季度销售情况表 '!$B$2:$B$43,B2)</f>
        <v>428</v>
      </c>
      <c r="F2" s="47">
        <f>SUMIFS('二季度销售情况表 '!$F$2:$F$43,'二季度销售情况表 '!$B$2:$B$43,B2)</f>
        <v>707912</v>
      </c>
      <c r="G2" s="44">
        <f>SUM(C2,E2)</f>
        <v>936</v>
      </c>
      <c r="H2" s="47">
        <f>SUM(D2,F2)</f>
        <v>1548144</v>
      </c>
      <c r="I2" s="49">
        <f>RANK(H2,$H$2:$H$21,0)</f>
        <v>3</v>
      </c>
    </row>
    <row r="3" spans="1:9" ht="17.25" customHeight="1" x14ac:dyDescent="0.3">
      <c r="A3" s="45" t="s">
        <v>2</v>
      </c>
      <c r="B3" s="45" t="s">
        <v>27</v>
      </c>
      <c r="C3" s="44">
        <f>SUMIFS(一季度销售情况表!$D$2:$D$44,一季度销售情况表!$B$2:$B$44,B3)</f>
        <v>570</v>
      </c>
      <c r="D3" s="47">
        <f>SUMIFS(一季度销售情况表!$F$2:$F$44,一季度销售情况表!$B$2:$B$44,B3)</f>
        <v>448020</v>
      </c>
      <c r="E3" s="44">
        <f>SUMIFS('二季度销售情况表 '!$D$2:$D$43,'二季度销售情况表 '!$B$2:$B$43,B3)</f>
        <v>383</v>
      </c>
      <c r="F3" s="47">
        <f>SUMIFS('二季度销售情况表 '!$F$2:$F$43,'二季度销售情况表 '!$B$2:$B$43,B3)</f>
        <v>301038</v>
      </c>
      <c r="G3" s="44">
        <f t="shared" ref="G3:G21" si="0">SUM(C3,E3)</f>
        <v>953</v>
      </c>
      <c r="H3" s="47">
        <f t="shared" ref="H3:H21" si="1">SUM(D3,F3)</f>
        <v>749058</v>
      </c>
      <c r="I3" s="49">
        <f t="shared" ref="I3:I21" si="2">RANK(H3,$H$2:$H$21,0)</f>
        <v>8</v>
      </c>
    </row>
    <row r="4" spans="1:9" ht="17.25" customHeight="1" x14ac:dyDescent="0.3">
      <c r="A4" s="45" t="s">
        <v>2</v>
      </c>
      <c r="B4" s="45" t="s">
        <v>28</v>
      </c>
      <c r="C4" s="44">
        <f>SUMIFS(一季度销售情况表!$D$2:$D$44,一季度销售情况表!$B$2:$B$44,B4)</f>
        <v>378</v>
      </c>
      <c r="D4" s="47">
        <f>SUMIFS(一季度销售情况表!$F$2:$F$44,一季度销售情况表!$B$2:$B$44,B4)</f>
        <v>1642410</v>
      </c>
      <c r="E4" s="44">
        <f>SUMIFS('二季度销售情况表 '!$D$2:$D$43,'二季度销售情况表 '!$B$2:$B$43,B4)</f>
        <v>411</v>
      </c>
      <c r="F4" s="47">
        <f>SUMIFS('二季度销售情况表 '!$F$2:$F$43,'二季度销售情况表 '!$B$2:$B$43,B4)</f>
        <v>1785795</v>
      </c>
      <c r="G4" s="44">
        <f t="shared" si="0"/>
        <v>789</v>
      </c>
      <c r="H4" s="47">
        <f t="shared" si="1"/>
        <v>3428205</v>
      </c>
      <c r="I4" s="49">
        <f t="shared" si="2"/>
        <v>1</v>
      </c>
    </row>
    <row r="5" spans="1:9" ht="17.25" customHeight="1" x14ac:dyDescent="0.3">
      <c r="A5" s="45" t="s">
        <v>2</v>
      </c>
      <c r="B5" s="45" t="s">
        <v>29</v>
      </c>
      <c r="C5" s="44">
        <f>SUMIFS(一季度销售情况表!$D$2:$D$44,一季度销售情况表!$B$2:$B$44,B5)</f>
        <v>166</v>
      </c>
      <c r="D5" s="47">
        <f>SUMIFS(一季度销售情况表!$F$2:$F$44,一季度销售情况表!$B$2:$B$44,B5)</f>
        <v>355738</v>
      </c>
      <c r="E5" s="44">
        <f>SUMIFS('二季度销售情况表 '!$D$2:$D$43,'二季度销售情况表 '!$B$2:$B$43,B5)</f>
        <v>186</v>
      </c>
      <c r="F5" s="47">
        <f>SUMIFS('二季度销售情况表 '!$F$2:$F$43,'二季度销售情况表 '!$B$2:$B$43,B5)</f>
        <v>398598</v>
      </c>
      <c r="G5" s="44">
        <f t="shared" si="0"/>
        <v>352</v>
      </c>
      <c r="H5" s="47">
        <f t="shared" si="1"/>
        <v>754336</v>
      </c>
      <c r="I5" s="49">
        <f t="shared" si="2"/>
        <v>7</v>
      </c>
    </row>
    <row r="6" spans="1:9" ht="17.25" customHeight="1" x14ac:dyDescent="0.3">
      <c r="A6" s="45" t="s">
        <v>2</v>
      </c>
      <c r="B6" s="45" t="s">
        <v>30</v>
      </c>
      <c r="C6" s="44">
        <f>SUMIFS(一季度销售情况表!$D$2:$D$44,一季度销售情况表!$B$2:$B$44,B6)</f>
        <v>437</v>
      </c>
      <c r="D6" s="47">
        <f>SUMIFS(一季度销售情况表!$F$2:$F$44,一季度销售情况表!$B$2:$B$44,B6)</f>
        <v>371013</v>
      </c>
      <c r="E6" s="44">
        <f>SUMIFS('二季度销售情况表 '!$D$2:$D$43,'二季度销售情况表 '!$B$2:$B$43,B6)</f>
        <v>254</v>
      </c>
      <c r="F6" s="47">
        <f>SUMIFS('二季度销售情况表 '!$F$2:$F$43,'二季度销售情况表 '!$B$2:$B$43,B6)</f>
        <v>215646</v>
      </c>
      <c r="G6" s="44">
        <f t="shared" si="0"/>
        <v>691</v>
      </c>
      <c r="H6" s="47">
        <f t="shared" si="1"/>
        <v>586659</v>
      </c>
      <c r="I6" s="49">
        <f t="shared" si="2"/>
        <v>11</v>
      </c>
    </row>
    <row r="7" spans="1:9" ht="17.25" customHeight="1" x14ac:dyDescent="0.3">
      <c r="A7" s="45" t="s">
        <v>6</v>
      </c>
      <c r="B7" s="45" t="s">
        <v>9</v>
      </c>
      <c r="C7" s="44">
        <f>SUMIFS(一季度销售情况表!$D$2:$D$44,一季度销售情况表!$B$2:$B$44,B7)</f>
        <v>577</v>
      </c>
      <c r="D7" s="47">
        <f>SUMIFS(一季度销售情况表!$F$2:$F$44,一季度销售情况表!$B$2:$B$44,B7)</f>
        <v>357163</v>
      </c>
      <c r="E7" s="44">
        <f>SUMIFS('二季度销售情况表 '!$D$2:$D$43,'二季度销售情况表 '!$B$2:$B$43,B7)</f>
        <v>116</v>
      </c>
      <c r="F7" s="47">
        <f>SUMIFS('二季度销售情况表 '!$F$2:$F$43,'二季度销售情况表 '!$B$2:$B$43,B7)</f>
        <v>71804</v>
      </c>
      <c r="G7" s="44">
        <f t="shared" si="0"/>
        <v>693</v>
      </c>
      <c r="H7" s="47">
        <f t="shared" si="1"/>
        <v>428967</v>
      </c>
      <c r="I7" s="49">
        <f t="shared" si="2"/>
        <v>15</v>
      </c>
    </row>
    <row r="8" spans="1:9" ht="17.25" customHeight="1" x14ac:dyDescent="0.3">
      <c r="A8" s="45" t="s">
        <v>6</v>
      </c>
      <c r="B8" s="45" t="s">
        <v>11</v>
      </c>
      <c r="C8" s="44">
        <f>SUMIFS(一季度销售情况表!$D$2:$D$44,一季度销售情况表!$B$2:$B$44,B8)</f>
        <v>488</v>
      </c>
      <c r="D8" s="47">
        <f>SUMIFS(一季度销售情况表!$F$2:$F$44,一季度销售情况表!$B$2:$B$44,B8)</f>
        <v>291824</v>
      </c>
      <c r="E8" s="44">
        <f>SUMIFS('二季度销售情况表 '!$D$2:$D$43,'二季度销售情况表 '!$B$2:$B$43,B8)</f>
        <v>309</v>
      </c>
      <c r="F8" s="47">
        <f>SUMIFS('二季度销售情况表 '!$F$2:$F$43,'二季度销售情况表 '!$B$2:$B$43,B8)</f>
        <v>184782</v>
      </c>
      <c r="G8" s="44">
        <f t="shared" si="0"/>
        <v>797</v>
      </c>
      <c r="H8" s="47">
        <f t="shared" si="1"/>
        <v>476606</v>
      </c>
      <c r="I8" s="49">
        <f t="shared" si="2"/>
        <v>14</v>
      </c>
    </row>
    <row r="9" spans="1:9" ht="17.25" customHeight="1" x14ac:dyDescent="0.3">
      <c r="A9" s="45" t="s">
        <v>6</v>
      </c>
      <c r="B9" s="45" t="s">
        <v>12</v>
      </c>
      <c r="C9" s="44">
        <f>SUMIFS(一季度销售情况表!$D$2:$D$44,一季度销售情况表!$B$2:$B$44,B9)</f>
        <v>101</v>
      </c>
      <c r="D9" s="47">
        <f>SUMIFS(一季度销售情况表!$F$2:$F$44,一季度销售情况表!$B$2:$B$44,B9)</f>
        <v>93728</v>
      </c>
      <c r="E9" s="44">
        <f>SUMIFS('二季度销售情况表 '!$D$2:$D$43,'二季度销售情况表 '!$B$2:$B$43,B9)</f>
        <v>553</v>
      </c>
      <c r="F9" s="47">
        <f>SUMIFS('二季度销售情况表 '!$F$2:$F$43,'二季度销售情况表 '!$B$2:$B$43,B9)</f>
        <v>513184</v>
      </c>
      <c r="G9" s="44">
        <f t="shared" si="0"/>
        <v>654</v>
      </c>
      <c r="H9" s="47">
        <f t="shared" si="1"/>
        <v>606912</v>
      </c>
      <c r="I9" s="49">
        <f t="shared" si="2"/>
        <v>10</v>
      </c>
    </row>
    <row r="10" spans="1:9" ht="17.25" customHeight="1" x14ac:dyDescent="0.3">
      <c r="A10" s="45" t="s">
        <v>6</v>
      </c>
      <c r="B10" s="45" t="s">
        <v>13</v>
      </c>
      <c r="C10" s="44">
        <f>SUMIFS(一季度销售情况表!$D$2:$D$44,一季度销售情况表!$B$2:$B$44,B10)</f>
        <v>373</v>
      </c>
      <c r="D10" s="47">
        <f>SUMIFS(一季度销售情况表!$F$2:$F$44,一季度销售情况表!$B$2:$B$44,B10)</f>
        <v>286837</v>
      </c>
      <c r="E10" s="44">
        <f>SUMIFS('二季度销售情况表 '!$D$2:$D$43,'二季度销售情况表 '!$B$2:$B$43,B10)</f>
        <v>667</v>
      </c>
      <c r="F10" s="47">
        <f>SUMIFS('二季度销售情况表 '!$F$2:$F$43,'二季度销售情况表 '!$B$2:$B$43,B10)</f>
        <v>512923</v>
      </c>
      <c r="G10" s="44">
        <f t="shared" si="0"/>
        <v>1040</v>
      </c>
      <c r="H10" s="47">
        <f t="shared" si="1"/>
        <v>799760</v>
      </c>
      <c r="I10" s="49">
        <f t="shared" si="2"/>
        <v>6</v>
      </c>
    </row>
    <row r="11" spans="1:9" ht="17.25" customHeight="1" x14ac:dyDescent="0.3">
      <c r="A11" s="45" t="s">
        <v>6</v>
      </c>
      <c r="B11" s="45" t="s">
        <v>14</v>
      </c>
      <c r="C11" s="44">
        <f>SUMIFS(一季度销售情况表!$D$2:$D$44,一季度销售情况表!$B$2:$B$44,B11)</f>
        <v>518</v>
      </c>
      <c r="D11" s="47">
        <f>SUMIFS(一季度销售情况表!$F$2:$F$44,一季度销售情况表!$B$2:$B$44,B11)</f>
        <v>92204</v>
      </c>
      <c r="E11" s="44">
        <f>SUMIFS('二季度销售情况表 '!$D$2:$D$43,'二季度销售情况表 '!$B$2:$B$43,B11)</f>
        <v>292</v>
      </c>
      <c r="F11" s="47">
        <f>SUMIFS('二季度销售情况表 '!$F$2:$F$43,'二季度销售情况表 '!$B$2:$B$43,B11)</f>
        <v>51976</v>
      </c>
      <c r="G11" s="44">
        <f t="shared" si="0"/>
        <v>810</v>
      </c>
      <c r="H11" s="47">
        <f t="shared" si="1"/>
        <v>144180</v>
      </c>
      <c r="I11" s="49">
        <f t="shared" si="2"/>
        <v>20</v>
      </c>
    </row>
    <row r="12" spans="1:9" ht="17.25" customHeight="1" x14ac:dyDescent="0.3">
      <c r="A12" s="45" t="s">
        <v>6</v>
      </c>
      <c r="B12" s="45" t="s">
        <v>15</v>
      </c>
      <c r="C12" s="44">
        <f>SUMIFS(一季度销售情况表!$D$2:$D$44,一季度销售情况表!$B$2:$B$44,B12)</f>
        <v>274</v>
      </c>
      <c r="D12" s="47">
        <f>SUMIFS(一季度销售情况表!$F$2:$F$44,一季度销售情况表!$B$2:$B$44,B12)</f>
        <v>397848</v>
      </c>
      <c r="E12" s="44">
        <f>SUMIFS('二季度销售情况表 '!$D$2:$D$43,'二季度销售情况表 '!$B$2:$B$43,B12)</f>
        <v>180</v>
      </c>
      <c r="F12" s="47">
        <f>SUMIFS('二季度销售情况表 '!$F$2:$F$43,'二季度销售情况表 '!$B$2:$B$43,B12)</f>
        <v>261360</v>
      </c>
      <c r="G12" s="44">
        <f t="shared" si="0"/>
        <v>454</v>
      </c>
      <c r="H12" s="47">
        <f t="shared" si="1"/>
        <v>659208</v>
      </c>
      <c r="I12" s="49">
        <f t="shared" si="2"/>
        <v>9</v>
      </c>
    </row>
    <row r="13" spans="1:9" ht="17.25" customHeight="1" x14ac:dyDescent="0.3">
      <c r="A13" s="45" t="s">
        <v>6</v>
      </c>
      <c r="B13" s="45" t="s">
        <v>16</v>
      </c>
      <c r="C13" s="44">
        <f>SUMIFS(一季度销售情况表!$D$2:$D$44,一季度销售情况表!$B$2:$B$44,B13)</f>
        <v>360</v>
      </c>
      <c r="D13" s="47">
        <f>SUMIFS(一季度销售情况表!$F$2:$F$44,一季度销售情况表!$B$2:$B$44,B13)</f>
        <v>225000</v>
      </c>
      <c r="E13" s="44">
        <f>SUMIFS('二季度销售情况表 '!$D$2:$D$43,'二季度销售情况表 '!$B$2:$B$43,B13)</f>
        <v>497</v>
      </c>
      <c r="F13" s="47">
        <f>SUMIFS('二季度销售情况表 '!$F$2:$F$43,'二季度销售情况表 '!$B$2:$B$43,B13)</f>
        <v>310625</v>
      </c>
      <c r="G13" s="44">
        <f t="shared" si="0"/>
        <v>857</v>
      </c>
      <c r="H13" s="47">
        <f t="shared" si="1"/>
        <v>535625</v>
      </c>
      <c r="I13" s="49">
        <f t="shared" si="2"/>
        <v>13</v>
      </c>
    </row>
    <row r="14" spans="1:9" ht="17.25" customHeight="1" x14ac:dyDescent="0.3">
      <c r="A14" s="45" t="s">
        <v>6</v>
      </c>
      <c r="B14" s="45" t="s">
        <v>17</v>
      </c>
      <c r="C14" s="44">
        <f>SUMIFS(一季度销售情况表!$D$2:$D$44,一季度销售情况表!$B$2:$B$44,B14)</f>
        <v>328</v>
      </c>
      <c r="D14" s="47">
        <f>SUMIFS(一季度销售情况表!$F$2:$F$44,一季度销售情况表!$B$2:$B$44,B14)</f>
        <v>1241808</v>
      </c>
      <c r="E14" s="44">
        <f>SUMIFS('二季度销售情况表 '!$D$2:$D$43,'二季度销售情况表 '!$B$2:$B$43,B14)</f>
        <v>307</v>
      </c>
      <c r="F14" s="47">
        <f>SUMIFS('二季度销售情况表 '!$F$2:$F$43,'二季度销售情况表 '!$B$2:$B$43,B14)</f>
        <v>1162302</v>
      </c>
      <c r="G14" s="44">
        <f t="shared" si="0"/>
        <v>635</v>
      </c>
      <c r="H14" s="47">
        <f t="shared" si="1"/>
        <v>2404110</v>
      </c>
      <c r="I14" s="49">
        <f t="shared" si="2"/>
        <v>2</v>
      </c>
    </row>
    <row r="15" spans="1:9" ht="17.25" customHeight="1" x14ac:dyDescent="0.3">
      <c r="A15" s="45" t="s">
        <v>4</v>
      </c>
      <c r="B15" s="45" t="s">
        <v>18</v>
      </c>
      <c r="C15" s="44">
        <f>SUMIFS(一季度销售情况表!$D$2:$D$44,一季度销售情况表!$B$2:$B$44,B15)</f>
        <v>250</v>
      </c>
      <c r="D15" s="47">
        <f>SUMIFS(一季度销售情况表!$F$2:$F$44,一季度销售情况表!$B$2:$B$44,B15)</f>
        <v>228500</v>
      </c>
      <c r="E15" s="44">
        <f>SUMIFS('二季度销售情况表 '!$D$2:$D$43,'二季度销售情况表 '!$B$2:$B$43,B15)</f>
        <v>378</v>
      </c>
      <c r="F15" s="47">
        <f>SUMIFS('二季度销售情况表 '!$F$2:$F$43,'二季度销售情况表 '!$B$2:$B$43,B15)</f>
        <v>345492</v>
      </c>
      <c r="G15" s="44">
        <f t="shared" si="0"/>
        <v>628</v>
      </c>
      <c r="H15" s="47">
        <f t="shared" si="1"/>
        <v>573992</v>
      </c>
      <c r="I15" s="49">
        <f t="shared" si="2"/>
        <v>12</v>
      </c>
    </row>
    <row r="16" spans="1:9" ht="17.25" customHeight="1" x14ac:dyDescent="0.3">
      <c r="A16" s="45" t="s">
        <v>4</v>
      </c>
      <c r="B16" s="45" t="s">
        <v>20</v>
      </c>
      <c r="C16" s="44">
        <f>SUMIFS(一季度销售情况表!$D$2:$D$44,一季度销售情况表!$B$2:$B$44,B16)</f>
        <v>555</v>
      </c>
      <c r="D16" s="47">
        <f>SUMIFS(一季度销售情况表!$F$2:$F$44,一季度销售情况表!$B$2:$B$44,B16)</f>
        <v>670440</v>
      </c>
      <c r="E16" s="44">
        <f>SUMIFS('二季度销售情况表 '!$D$2:$D$43,'二季度销售情况表 '!$B$2:$B$43,B16)</f>
        <v>411</v>
      </c>
      <c r="F16" s="47">
        <f>SUMIFS('二季度销售情况表 '!$F$2:$F$43,'二季度销售情况表 '!$B$2:$B$43,B16)</f>
        <v>496488</v>
      </c>
      <c r="G16" s="44">
        <f t="shared" si="0"/>
        <v>966</v>
      </c>
      <c r="H16" s="47">
        <f t="shared" si="1"/>
        <v>1166928</v>
      </c>
      <c r="I16" s="49">
        <f t="shared" si="2"/>
        <v>4</v>
      </c>
    </row>
    <row r="17" spans="1:9" ht="17.25" customHeight="1" x14ac:dyDescent="0.3">
      <c r="A17" s="45" t="s">
        <v>4</v>
      </c>
      <c r="B17" s="45" t="s">
        <v>21</v>
      </c>
      <c r="C17" s="44">
        <f>SUMIFS(一季度销售情况表!$D$2:$D$44,一季度销售情况表!$B$2:$B$44,B17)</f>
        <v>124</v>
      </c>
      <c r="D17" s="47">
        <f>SUMIFS(一季度销售情况表!$F$2:$F$44,一季度销售情况表!$B$2:$B$44,B17)</f>
        <v>107880</v>
      </c>
      <c r="E17" s="44">
        <f>SUMIFS('二季度销售情况表 '!$D$2:$D$43,'二季度销售情况表 '!$B$2:$B$43,B17)</f>
        <v>179</v>
      </c>
      <c r="F17" s="47">
        <f>SUMIFS('二季度销售情况表 '!$F$2:$F$43,'二季度销售情况表 '!$B$2:$B$43,B17)</f>
        <v>155730</v>
      </c>
      <c r="G17" s="44">
        <f t="shared" si="0"/>
        <v>303</v>
      </c>
      <c r="H17" s="47">
        <f t="shared" si="1"/>
        <v>263610</v>
      </c>
      <c r="I17" s="49">
        <f t="shared" si="2"/>
        <v>19</v>
      </c>
    </row>
    <row r="18" spans="1:9" ht="17.25" customHeight="1" x14ac:dyDescent="0.3">
      <c r="A18" s="45" t="s">
        <v>4</v>
      </c>
      <c r="B18" s="45" t="s">
        <v>22</v>
      </c>
      <c r="C18" s="44">
        <f>SUMIFS(一季度销售情况表!$D$2:$D$44,一季度销售情况表!$B$2:$B$44,B18)</f>
        <v>658</v>
      </c>
      <c r="D18" s="47">
        <f>SUMIFS(一季度销售情况表!$F$2:$F$44,一季度销售情况表!$B$2:$B$44,B18)</f>
        <v>229642</v>
      </c>
      <c r="E18" s="44">
        <f>SUMIFS('二季度销售情况表 '!$D$2:$D$43,'二季度销售情况表 '!$B$2:$B$43,B18)</f>
        <v>362</v>
      </c>
      <c r="F18" s="47">
        <f>SUMIFS('二季度销售情况表 '!$F$2:$F$43,'二季度销售情况表 '!$B$2:$B$43,B18)</f>
        <v>126338</v>
      </c>
      <c r="G18" s="44">
        <f t="shared" si="0"/>
        <v>1020</v>
      </c>
      <c r="H18" s="47">
        <f t="shared" si="1"/>
        <v>355980</v>
      </c>
      <c r="I18" s="49">
        <f t="shared" si="2"/>
        <v>16</v>
      </c>
    </row>
    <row r="19" spans="1:9" ht="17.25" customHeight="1" x14ac:dyDescent="0.3">
      <c r="A19" s="45" t="s">
        <v>4</v>
      </c>
      <c r="B19" s="45" t="s">
        <v>23</v>
      </c>
      <c r="C19" s="44">
        <f>SUMIFS(一季度销售情况表!$D$2:$D$44,一季度销售情况表!$B$2:$B$44,B19)</f>
        <v>318</v>
      </c>
      <c r="D19" s="47">
        <f>SUMIFS(一季度销售情况表!$F$2:$F$44,一季度销售情况表!$B$2:$B$44,B19)</f>
        <v>104622</v>
      </c>
      <c r="E19" s="44">
        <f>SUMIFS('二季度销售情况表 '!$D$2:$D$43,'二季度销售情况表 '!$B$2:$B$43,B19)</f>
        <v>650</v>
      </c>
      <c r="F19" s="47">
        <f>SUMIFS('二季度销售情况表 '!$F$2:$F$43,'二季度销售情况表 '!$B$2:$B$43,B19)</f>
        <v>213850</v>
      </c>
      <c r="G19" s="44">
        <f t="shared" si="0"/>
        <v>968</v>
      </c>
      <c r="H19" s="47">
        <f t="shared" si="1"/>
        <v>318472</v>
      </c>
      <c r="I19" s="49">
        <f t="shared" si="2"/>
        <v>18</v>
      </c>
    </row>
    <row r="20" spans="1:9" ht="17.25" customHeight="1" x14ac:dyDescent="0.3">
      <c r="A20" s="45" t="s">
        <v>4</v>
      </c>
      <c r="B20" s="45" t="s">
        <v>24</v>
      </c>
      <c r="C20" s="44">
        <f>SUMIFS(一季度销售情况表!$D$2:$D$44,一季度销售情况表!$B$2:$B$44,B20)</f>
        <v>392</v>
      </c>
      <c r="D20" s="47">
        <f>SUMIFS(一季度销售情况表!$F$2:$F$44,一季度销售情况表!$B$2:$B$44,B20)</f>
        <v>191688</v>
      </c>
      <c r="E20" s="44">
        <f>SUMIFS('二季度销售情况表 '!$D$2:$D$43,'二季度销售情况表 '!$B$2:$B$43,B20)</f>
        <v>279</v>
      </c>
      <c r="F20" s="47">
        <f>SUMIFS('二季度销售情况表 '!$F$2:$F$43,'二季度销售情况表 '!$B$2:$B$43,B20)</f>
        <v>136431</v>
      </c>
      <c r="G20" s="44">
        <f t="shared" si="0"/>
        <v>671</v>
      </c>
      <c r="H20" s="47">
        <f t="shared" si="1"/>
        <v>328119</v>
      </c>
      <c r="I20" s="49">
        <f t="shared" si="2"/>
        <v>17</v>
      </c>
    </row>
    <row r="21" spans="1:9" ht="17.25" customHeight="1" x14ac:dyDescent="0.3">
      <c r="A21" s="45" t="s">
        <v>4</v>
      </c>
      <c r="B21" s="45" t="s">
        <v>25</v>
      </c>
      <c r="C21" s="44">
        <f>SUMIFS(一季度销售情况表!$D$2:$D$44,一季度销售情况表!$B$2:$B$44,B21)</f>
        <v>256</v>
      </c>
      <c r="D21" s="47">
        <f>SUMIFS(一季度销售情况表!$F$2:$F$44,一季度销售情况表!$B$2:$B$44,B21)</f>
        <v>328192</v>
      </c>
      <c r="E21" s="44">
        <f>SUMIFS('二季度销售情况表 '!$D$2:$D$43,'二季度销售情况表 '!$B$2:$B$43,B21)</f>
        <v>438</v>
      </c>
      <c r="F21" s="47">
        <f>SUMIFS('二季度销售情况表 '!$F$2:$F$43,'二季度销售情况表 '!$B$2:$B$43,B21)</f>
        <v>561516</v>
      </c>
      <c r="G21" s="44">
        <f t="shared" si="0"/>
        <v>694</v>
      </c>
      <c r="H21" s="47">
        <f t="shared" si="1"/>
        <v>889708</v>
      </c>
      <c r="I21" s="49">
        <f t="shared" si="2"/>
        <v>5</v>
      </c>
    </row>
    <row r="22" spans="1:9" x14ac:dyDescent="0.15">
      <c r="A22" s="13"/>
      <c r="I22" s="46"/>
    </row>
    <row r="23" spans="1:9" x14ac:dyDescent="0.15">
      <c r="A23" s="13"/>
      <c r="I23" s="46"/>
    </row>
  </sheetData>
  <phoneticPr fontId="3" type="noConversion"/>
  <conditionalFormatting sqref="A2:I21">
    <cfRule type="expression" dxfId="18" priority="2">
      <formula>$I2&lt;4</formula>
    </cfRule>
    <cfRule type="expression" dxfId="17" priority="1">
      <formula>$I2&gt;17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3:D7"/>
  <sheetViews>
    <sheetView tabSelected="1" workbookViewId="0">
      <selection activeCell="D16" sqref="D16"/>
    </sheetView>
  </sheetViews>
  <sheetFormatPr defaultRowHeight="14.25" x14ac:dyDescent="0.15"/>
  <cols>
    <col min="1" max="1" width="10.125" bestFit="1" customWidth="1"/>
    <col min="2" max="3" width="23.25" customWidth="1"/>
    <col min="4" max="4" width="28" bestFit="1" customWidth="1"/>
    <col min="5" max="19" width="10.75" bestFit="1" customWidth="1"/>
    <col min="20" max="21" width="13.25" bestFit="1" customWidth="1"/>
    <col min="22" max="22" width="6" customWidth="1"/>
  </cols>
  <sheetData>
    <row r="3" spans="1:4" x14ac:dyDescent="0.15">
      <c r="A3" s="62" t="s">
        <v>62</v>
      </c>
      <c r="B3" s="63" t="s">
        <v>63</v>
      </c>
      <c r="C3" s="63" t="s">
        <v>64</v>
      </c>
      <c r="D3" s="63" t="s">
        <v>65</v>
      </c>
    </row>
    <row r="4" spans="1:4" x14ac:dyDescent="0.15">
      <c r="A4" s="64" t="s">
        <v>2</v>
      </c>
      <c r="B4" s="65">
        <v>3657413</v>
      </c>
      <c r="C4" s="65">
        <v>3408989</v>
      </c>
      <c r="D4" s="65">
        <v>7066402</v>
      </c>
    </row>
    <row r="5" spans="1:4" x14ac:dyDescent="0.15">
      <c r="A5" s="64" t="s">
        <v>6</v>
      </c>
      <c r="B5" s="65">
        <v>2986412</v>
      </c>
      <c r="C5" s="65">
        <v>3068956</v>
      </c>
      <c r="D5" s="65">
        <v>6055368</v>
      </c>
    </row>
    <row r="6" spans="1:4" x14ac:dyDescent="0.15">
      <c r="A6" s="64" t="s">
        <v>4</v>
      </c>
      <c r="B6" s="65">
        <v>1860964</v>
      </c>
      <c r="C6" s="65">
        <v>2035845</v>
      </c>
      <c r="D6" s="65">
        <v>3896809</v>
      </c>
    </row>
    <row r="7" spans="1:4" x14ac:dyDescent="0.15">
      <c r="A7" s="64" t="s">
        <v>61</v>
      </c>
      <c r="B7" s="65">
        <v>8504789</v>
      </c>
      <c r="C7" s="65">
        <v>8513790</v>
      </c>
      <c r="D7" s="65">
        <v>17018579</v>
      </c>
    </row>
  </sheetData>
  <phoneticPr fontId="2" type="noConversion"/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产品基本信息表</vt:lpstr>
      <vt:lpstr>一季度销售情况表</vt:lpstr>
      <vt:lpstr>二季度销售情况表 </vt:lpstr>
      <vt:lpstr>产品销售汇总表</vt:lpstr>
      <vt:lpstr>透视分析</vt:lpstr>
    </vt:vector>
  </TitlesOfParts>
  <Company>Legend (Beijing)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wuyou</cp:lastModifiedBy>
  <dcterms:created xsi:type="dcterms:W3CDTF">2006-09-05T00:03:58Z</dcterms:created>
  <dcterms:modified xsi:type="dcterms:W3CDTF">2022-03-31T08:43:56Z</dcterms:modified>
</cp:coreProperties>
</file>