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xr:revisionPtr revIDLastSave="0" documentId="8_{6068870B-1EA0-4CC2-AB16-11B11F84EDD2}" xr6:coauthVersionLast="45" xr6:coauthVersionMax="45" xr10:uidLastSave="{00000000-0000-0000-0000-000000000000}"/>
  <bookViews>
    <workbookView xWindow="7620" yWindow="2910" windowWidth="11895" windowHeight="11010" xr2:uid="{00000000-000D-0000-FFFF-FFFF00000000}"/>
  </bookViews>
  <sheets>
    <sheet name="费用支出统计" sheetId="14" r:id="rId1"/>
    <sheet name="银行交易明细" sheetId="12" r:id="rId2"/>
    <sheet name="销售情况统计" sheetId="13" r:id="rId3"/>
  </sheets>
  <definedNames>
    <definedName name="_xlnm._FilterDatabase" localSheetId="1" hidden="1">银行交易明细!$A$3:$F$436</definedName>
  </definedNames>
  <calcPr calcId="18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8" i="13" l="1"/>
  <c r="E18" i="13"/>
  <c r="F18" i="13"/>
  <c r="D18" i="13"/>
  <c r="G17" i="13"/>
  <c r="E17" i="13"/>
  <c r="F17" i="13"/>
  <c r="D17" i="13"/>
  <c r="G12" i="13"/>
  <c r="E12" i="13"/>
  <c r="F12" i="13"/>
  <c r="D12" i="13"/>
  <c r="G7" i="13"/>
  <c r="E7" i="13"/>
  <c r="F7" i="13"/>
  <c r="D7" i="13"/>
  <c r="G14" i="13"/>
  <c r="G13" i="13"/>
  <c r="G9" i="13"/>
  <c r="G10" i="13"/>
  <c r="G11" i="13"/>
  <c r="G8" i="13"/>
  <c r="G6" i="13"/>
  <c r="G5" i="13"/>
  <c r="F14" i="13"/>
  <c r="F15" i="13"/>
  <c r="F16" i="13"/>
  <c r="F13" i="13"/>
  <c r="F9" i="13"/>
  <c r="F10" i="13"/>
  <c r="F11" i="13"/>
  <c r="F8" i="13"/>
  <c r="F4" i="13"/>
  <c r="F5" i="13"/>
  <c r="F6" i="13"/>
  <c r="F3" i="13"/>
  <c r="E14" i="13"/>
  <c r="D14" i="13"/>
  <c r="E13" i="13"/>
  <c r="D13" i="13"/>
  <c r="E11" i="13"/>
  <c r="D11" i="13"/>
  <c r="E10" i="13"/>
  <c r="D10" i="13"/>
  <c r="E9" i="13"/>
  <c r="D9" i="13"/>
  <c r="E8" i="13"/>
  <c r="D8" i="13"/>
  <c r="E6" i="13"/>
  <c r="D6" i="13"/>
  <c r="E5" i="13"/>
  <c r="D5" i="13"/>
  <c r="C656" i="12"/>
  <c r="B656" i="12"/>
  <c r="D4" i="12" l="1"/>
  <c r="D5" i="12" s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D118" i="12" s="1"/>
  <c r="D119" i="12" s="1"/>
  <c r="D120" i="12" s="1"/>
  <c r="D121" i="12" s="1"/>
  <c r="D122" i="12" s="1"/>
  <c r="D123" i="12" s="1"/>
  <c r="D124" i="12" s="1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D176" i="12" s="1"/>
  <c r="D177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D213" i="12" s="1"/>
  <c r="D214" i="12" s="1"/>
  <c r="D215" i="12" s="1"/>
  <c r="D216" i="12" s="1"/>
  <c r="D217" i="12" s="1"/>
  <c r="D218" i="12" s="1"/>
  <c r="D219" i="12" s="1"/>
  <c r="D220" i="12" s="1"/>
  <c r="D221" i="12" s="1"/>
  <c r="D222" i="12" s="1"/>
  <c r="D223" i="12" s="1"/>
  <c r="D224" i="12" s="1"/>
  <c r="D225" i="12" s="1"/>
  <c r="D226" i="12" s="1"/>
  <c r="D227" i="12" s="1"/>
  <c r="D228" i="12" s="1"/>
  <c r="D229" i="12" s="1"/>
  <c r="D230" i="12" s="1"/>
  <c r="D231" i="12" s="1"/>
  <c r="D232" i="12" s="1"/>
  <c r="D233" i="12" s="1"/>
  <c r="D234" i="12" s="1"/>
  <c r="D235" i="12" s="1"/>
  <c r="D236" i="12" s="1"/>
  <c r="D237" i="12" s="1"/>
  <c r="D238" i="12" s="1"/>
  <c r="D239" i="12" s="1"/>
  <c r="D240" i="12" s="1"/>
  <c r="D241" i="12" s="1"/>
  <c r="D242" i="12" s="1"/>
  <c r="D243" i="12" s="1"/>
  <c r="D244" i="12" s="1"/>
  <c r="D245" i="12" s="1"/>
  <c r="D246" i="12" s="1"/>
  <c r="D247" i="12" s="1"/>
  <c r="D248" i="12" s="1"/>
  <c r="D249" i="12" s="1"/>
  <c r="D250" i="12" s="1"/>
  <c r="D251" i="12" s="1"/>
  <c r="D252" i="12" s="1"/>
  <c r="D253" i="12" s="1"/>
  <c r="D254" i="12" s="1"/>
  <c r="D255" i="12" s="1"/>
  <c r="D256" i="12" s="1"/>
  <c r="D257" i="12" s="1"/>
  <c r="D258" i="12" s="1"/>
  <c r="D259" i="12" s="1"/>
  <c r="D260" i="12" s="1"/>
  <c r="D261" i="12" s="1"/>
  <c r="D262" i="12" s="1"/>
  <c r="D263" i="12" s="1"/>
  <c r="D264" i="12" s="1"/>
  <c r="D265" i="12" s="1"/>
  <c r="D266" i="12" s="1"/>
  <c r="D267" i="12" s="1"/>
  <c r="D268" i="12" s="1"/>
  <c r="D269" i="12" s="1"/>
  <c r="D270" i="12" s="1"/>
  <c r="D271" i="12" s="1"/>
  <c r="D272" i="12" s="1"/>
  <c r="D273" i="12" s="1"/>
  <c r="D274" i="12" s="1"/>
  <c r="D275" i="12" s="1"/>
  <c r="D276" i="12" s="1"/>
  <c r="D277" i="12" s="1"/>
  <c r="D278" i="12" s="1"/>
  <c r="D279" i="12" s="1"/>
  <c r="D280" i="12" s="1"/>
  <c r="D281" i="12" s="1"/>
  <c r="D282" i="12" s="1"/>
  <c r="D283" i="12" s="1"/>
  <c r="D284" i="12" s="1"/>
  <c r="D285" i="12" s="1"/>
  <c r="D286" i="12" s="1"/>
  <c r="D287" i="12" s="1"/>
  <c r="D288" i="12" s="1"/>
  <c r="D289" i="12" s="1"/>
  <c r="D290" i="12" s="1"/>
  <c r="D291" i="12" s="1"/>
  <c r="D292" i="12" s="1"/>
  <c r="D293" i="12" s="1"/>
  <c r="D294" i="12" s="1"/>
  <c r="D295" i="12" s="1"/>
  <c r="D296" i="12" s="1"/>
  <c r="D297" i="12" s="1"/>
  <c r="D298" i="12" s="1"/>
  <c r="D299" i="12" s="1"/>
  <c r="D300" i="12" s="1"/>
  <c r="D301" i="12" s="1"/>
  <c r="D302" i="12" s="1"/>
  <c r="D303" i="12" s="1"/>
  <c r="D304" i="12" s="1"/>
  <c r="D305" i="12" s="1"/>
  <c r="D306" i="12" s="1"/>
  <c r="D307" i="12" s="1"/>
  <c r="D308" i="12" s="1"/>
  <c r="D309" i="12" s="1"/>
  <c r="D310" i="12" s="1"/>
  <c r="D311" i="12" s="1"/>
  <c r="D312" i="12" s="1"/>
  <c r="D313" i="12" s="1"/>
  <c r="D314" i="12" s="1"/>
  <c r="D315" i="12" s="1"/>
  <c r="D316" i="12" s="1"/>
  <c r="D317" i="12" s="1"/>
  <c r="D318" i="12" s="1"/>
  <c r="D319" i="12" s="1"/>
  <c r="D320" i="12" s="1"/>
  <c r="D321" i="12" s="1"/>
  <c r="D322" i="12" s="1"/>
  <c r="D323" i="12" s="1"/>
  <c r="D324" i="12" s="1"/>
  <c r="D325" i="12" s="1"/>
  <c r="D326" i="12" s="1"/>
  <c r="D327" i="12" s="1"/>
  <c r="D328" i="12" s="1"/>
  <c r="D329" i="12" s="1"/>
  <c r="D330" i="12" s="1"/>
  <c r="D331" i="12" s="1"/>
  <c r="D332" i="12" s="1"/>
  <c r="D333" i="12" s="1"/>
  <c r="D334" i="12" s="1"/>
  <c r="D335" i="12" s="1"/>
  <c r="D336" i="12" s="1"/>
  <c r="D337" i="12" s="1"/>
  <c r="D338" i="12" s="1"/>
  <c r="D339" i="12" s="1"/>
  <c r="D340" i="12" s="1"/>
  <c r="D341" i="12" s="1"/>
  <c r="D342" i="12" s="1"/>
  <c r="D343" i="12" s="1"/>
  <c r="D344" i="12" s="1"/>
  <c r="D345" i="12" s="1"/>
  <c r="D346" i="12" s="1"/>
  <c r="D347" i="12" s="1"/>
  <c r="D348" i="12" s="1"/>
  <c r="D349" i="12" s="1"/>
  <c r="D350" i="12" s="1"/>
  <c r="D351" i="12" s="1"/>
  <c r="D352" i="12" s="1"/>
  <c r="D353" i="12" s="1"/>
  <c r="D354" i="12" s="1"/>
  <c r="D355" i="12" s="1"/>
  <c r="D356" i="12" s="1"/>
  <c r="D357" i="12" s="1"/>
  <c r="D358" i="12" s="1"/>
  <c r="D359" i="12" s="1"/>
  <c r="D360" i="12" s="1"/>
  <c r="D361" i="12" s="1"/>
  <c r="D362" i="12" s="1"/>
  <c r="D363" i="12" s="1"/>
  <c r="D364" i="12" s="1"/>
  <c r="D365" i="12" s="1"/>
  <c r="D366" i="12" s="1"/>
  <c r="D367" i="12" s="1"/>
  <c r="D368" i="12" s="1"/>
  <c r="D369" i="12" s="1"/>
  <c r="D370" i="12" s="1"/>
  <c r="D371" i="12" s="1"/>
  <c r="D372" i="12" s="1"/>
  <c r="D373" i="12" s="1"/>
  <c r="D374" i="12" s="1"/>
  <c r="D375" i="12" s="1"/>
  <c r="D376" i="12" s="1"/>
  <c r="D377" i="12" s="1"/>
  <c r="D378" i="12" s="1"/>
  <c r="D379" i="12" s="1"/>
  <c r="D380" i="12" s="1"/>
  <c r="D381" i="12" s="1"/>
  <c r="D382" i="12" s="1"/>
  <c r="D383" i="12" s="1"/>
  <c r="D384" i="12" s="1"/>
  <c r="D385" i="12" s="1"/>
  <c r="D386" i="12" s="1"/>
  <c r="D387" i="12" s="1"/>
  <c r="D388" i="12" s="1"/>
  <c r="D389" i="12" s="1"/>
  <c r="D390" i="12" s="1"/>
  <c r="D391" i="12" s="1"/>
  <c r="D392" i="12" s="1"/>
  <c r="D393" i="12" s="1"/>
  <c r="D394" i="12" s="1"/>
  <c r="D395" i="12" s="1"/>
  <c r="D396" i="12" s="1"/>
  <c r="D397" i="12" s="1"/>
  <c r="D398" i="12" s="1"/>
  <c r="D399" i="12" s="1"/>
  <c r="D400" i="12" s="1"/>
  <c r="D401" i="12" s="1"/>
  <c r="D402" i="12" s="1"/>
  <c r="D403" i="12" s="1"/>
  <c r="D404" i="12" s="1"/>
  <c r="D405" i="12" s="1"/>
  <c r="D406" i="12" s="1"/>
  <c r="D407" i="12" s="1"/>
  <c r="D408" i="12" s="1"/>
  <c r="D409" i="12" s="1"/>
  <c r="D410" i="12" s="1"/>
  <c r="D411" i="12" s="1"/>
  <c r="D412" i="12" s="1"/>
  <c r="D413" i="12" s="1"/>
  <c r="D414" i="12" s="1"/>
  <c r="D415" i="12" s="1"/>
  <c r="D416" i="12" s="1"/>
  <c r="D417" i="12" s="1"/>
  <c r="D418" i="12" s="1"/>
  <c r="D419" i="12" s="1"/>
  <c r="D420" i="12" s="1"/>
  <c r="D421" i="12" s="1"/>
  <c r="D422" i="12" s="1"/>
  <c r="D423" i="12" s="1"/>
  <c r="D424" i="12" s="1"/>
  <c r="D425" i="12" s="1"/>
  <c r="D426" i="12" s="1"/>
  <c r="D427" i="12" s="1"/>
  <c r="D428" i="12" s="1"/>
  <c r="D429" i="12" s="1"/>
  <c r="D430" i="12" s="1"/>
  <c r="D431" i="12" s="1"/>
  <c r="D432" i="12" s="1"/>
  <c r="D433" i="12" s="1"/>
  <c r="D434" i="12" s="1"/>
  <c r="D435" i="12" s="1"/>
  <c r="D436" i="12" s="1"/>
  <c r="D437" i="12" s="1"/>
  <c r="D438" i="12" s="1"/>
  <c r="D439" i="12" s="1"/>
  <c r="D440" i="12" s="1"/>
  <c r="D441" i="12" s="1"/>
  <c r="D442" i="12" s="1"/>
  <c r="D443" i="12" s="1"/>
  <c r="D444" i="12" s="1"/>
  <c r="D445" i="12" s="1"/>
  <c r="D446" i="12" s="1"/>
  <c r="D447" i="12" s="1"/>
  <c r="D448" i="12" s="1"/>
  <c r="D449" i="12" s="1"/>
  <c r="D450" i="12" s="1"/>
  <c r="D451" i="12" s="1"/>
  <c r="D452" i="12" s="1"/>
  <c r="D453" i="12" s="1"/>
  <c r="D454" i="12" s="1"/>
  <c r="D455" i="12" s="1"/>
  <c r="D456" i="12" s="1"/>
  <c r="D457" i="12" s="1"/>
  <c r="D458" i="12" s="1"/>
  <c r="D459" i="12" s="1"/>
  <c r="D460" i="12" s="1"/>
  <c r="D461" i="12" s="1"/>
  <c r="D462" i="12" s="1"/>
  <c r="D463" i="12" s="1"/>
  <c r="D464" i="12" s="1"/>
  <c r="D465" i="12" s="1"/>
  <c r="D466" i="12" s="1"/>
  <c r="D467" i="12" s="1"/>
  <c r="D468" i="12" s="1"/>
  <c r="D469" i="12" s="1"/>
  <c r="D470" i="12" s="1"/>
  <c r="D471" i="12" s="1"/>
  <c r="D472" i="12" s="1"/>
  <c r="D473" i="12" s="1"/>
  <c r="D474" i="12" s="1"/>
  <c r="D475" i="12" s="1"/>
  <c r="D476" i="12" s="1"/>
  <c r="D477" i="12" s="1"/>
  <c r="D478" i="12" s="1"/>
  <c r="D479" i="12" s="1"/>
  <c r="D480" i="12" s="1"/>
  <c r="D481" i="12" s="1"/>
  <c r="D482" i="12" s="1"/>
  <c r="D483" i="12" s="1"/>
  <c r="D484" i="12" s="1"/>
  <c r="D485" i="12" s="1"/>
  <c r="D486" i="12" s="1"/>
  <c r="D487" i="12" s="1"/>
  <c r="D488" i="12" s="1"/>
  <c r="D489" i="12" s="1"/>
  <c r="D490" i="12" s="1"/>
  <c r="D491" i="12" s="1"/>
  <c r="D492" i="12" s="1"/>
  <c r="D493" i="12" s="1"/>
  <c r="D494" i="12" s="1"/>
  <c r="D495" i="12" s="1"/>
  <c r="D496" i="12" s="1"/>
  <c r="D497" i="12" s="1"/>
  <c r="D498" i="12" s="1"/>
  <c r="D499" i="12" s="1"/>
  <c r="D500" i="12" s="1"/>
  <c r="D501" i="12" s="1"/>
  <c r="D502" i="12" s="1"/>
  <c r="D503" i="12" s="1"/>
  <c r="D504" i="12" s="1"/>
  <c r="D505" i="12" s="1"/>
  <c r="D506" i="12" s="1"/>
  <c r="D507" i="12" s="1"/>
  <c r="D508" i="12" s="1"/>
  <c r="D509" i="12" s="1"/>
  <c r="D510" i="12" s="1"/>
  <c r="D511" i="12" s="1"/>
  <c r="D512" i="12" s="1"/>
  <c r="D513" i="12" s="1"/>
  <c r="D514" i="12" s="1"/>
  <c r="D515" i="12" s="1"/>
  <c r="D516" i="12" s="1"/>
  <c r="D517" i="12" s="1"/>
  <c r="D518" i="12" s="1"/>
  <c r="D519" i="12" s="1"/>
  <c r="D520" i="12" s="1"/>
  <c r="D521" i="12" s="1"/>
  <c r="D522" i="12" s="1"/>
  <c r="D523" i="12" s="1"/>
  <c r="D524" i="12" s="1"/>
  <c r="D525" i="12" s="1"/>
  <c r="D526" i="12" s="1"/>
  <c r="D527" i="12" s="1"/>
  <c r="D528" i="12" s="1"/>
  <c r="D529" i="12" s="1"/>
  <c r="D530" i="12" s="1"/>
  <c r="D531" i="12" s="1"/>
  <c r="D532" i="12" s="1"/>
  <c r="D533" i="12" s="1"/>
  <c r="D534" i="12" s="1"/>
  <c r="D535" i="12" s="1"/>
  <c r="D536" i="12" s="1"/>
  <c r="D537" i="12" s="1"/>
  <c r="D538" i="12" s="1"/>
  <c r="D539" i="12" s="1"/>
  <c r="D540" i="12" s="1"/>
  <c r="D541" i="12" s="1"/>
  <c r="D542" i="12" s="1"/>
  <c r="D543" i="12" s="1"/>
  <c r="D544" i="12" s="1"/>
  <c r="D545" i="12" s="1"/>
  <c r="D546" i="12" s="1"/>
  <c r="D547" i="12" s="1"/>
  <c r="D548" i="12" s="1"/>
  <c r="D549" i="12" s="1"/>
  <c r="D550" i="12" s="1"/>
  <c r="D551" i="12" s="1"/>
  <c r="D552" i="12" s="1"/>
  <c r="D553" i="12" s="1"/>
  <c r="D554" i="12" s="1"/>
  <c r="D555" i="12" s="1"/>
  <c r="D556" i="12" s="1"/>
  <c r="D557" i="12" s="1"/>
  <c r="D558" i="12" s="1"/>
  <c r="D559" i="12" s="1"/>
  <c r="D560" i="12" s="1"/>
  <c r="D561" i="12" s="1"/>
  <c r="D562" i="12" s="1"/>
  <c r="D563" i="12" s="1"/>
  <c r="D564" i="12" s="1"/>
  <c r="D565" i="12" s="1"/>
  <c r="D566" i="12" s="1"/>
  <c r="D567" i="12" s="1"/>
  <c r="D568" i="12" s="1"/>
  <c r="D569" i="12" s="1"/>
  <c r="D570" i="12" s="1"/>
  <c r="D571" i="12" s="1"/>
  <c r="D572" i="12" s="1"/>
  <c r="D573" i="12" s="1"/>
  <c r="D574" i="12" s="1"/>
  <c r="D575" i="12" s="1"/>
  <c r="D576" i="12" s="1"/>
  <c r="D577" i="12" s="1"/>
  <c r="D578" i="12" s="1"/>
  <c r="D579" i="12" s="1"/>
  <c r="D580" i="12" s="1"/>
  <c r="D581" i="12" s="1"/>
  <c r="D582" i="12" s="1"/>
  <c r="D583" i="12" s="1"/>
  <c r="D584" i="12" s="1"/>
  <c r="D585" i="12" s="1"/>
  <c r="D586" i="12" s="1"/>
  <c r="D587" i="12" s="1"/>
  <c r="D588" i="12" s="1"/>
  <c r="D589" i="12" s="1"/>
  <c r="D590" i="12" s="1"/>
  <c r="D591" i="12" s="1"/>
  <c r="D592" i="12" s="1"/>
  <c r="D593" i="12" s="1"/>
  <c r="D594" i="12" s="1"/>
  <c r="D595" i="12" s="1"/>
  <c r="D596" i="12" s="1"/>
  <c r="D597" i="12" s="1"/>
  <c r="D598" i="12" s="1"/>
  <c r="D599" i="12" s="1"/>
  <c r="D600" i="12" s="1"/>
  <c r="D601" i="12" s="1"/>
  <c r="D602" i="12" s="1"/>
  <c r="D603" i="12" s="1"/>
  <c r="D604" i="12" s="1"/>
  <c r="D605" i="12" s="1"/>
  <c r="D606" i="12" s="1"/>
  <c r="D607" i="12" s="1"/>
  <c r="D608" i="12" s="1"/>
  <c r="D609" i="12" s="1"/>
  <c r="D610" i="12" s="1"/>
  <c r="D611" i="12" s="1"/>
  <c r="D612" i="12" s="1"/>
  <c r="D613" i="12" s="1"/>
  <c r="D614" i="12" s="1"/>
  <c r="D615" i="12" s="1"/>
  <c r="D616" i="12" s="1"/>
  <c r="D617" i="12" s="1"/>
  <c r="D618" i="12" s="1"/>
  <c r="D619" i="12" s="1"/>
  <c r="D620" i="12" s="1"/>
  <c r="D621" i="12" s="1"/>
  <c r="D622" i="12" s="1"/>
  <c r="D623" i="12" s="1"/>
  <c r="D624" i="12" s="1"/>
  <c r="D625" i="12" s="1"/>
  <c r="D626" i="12" s="1"/>
  <c r="D627" i="12" s="1"/>
  <c r="D628" i="12" s="1"/>
  <c r="D629" i="12" s="1"/>
  <c r="D630" i="12" s="1"/>
  <c r="D631" i="12" s="1"/>
  <c r="D632" i="12" s="1"/>
  <c r="D633" i="12" s="1"/>
  <c r="D634" i="12" s="1"/>
  <c r="D635" i="12" s="1"/>
  <c r="D636" i="12" s="1"/>
  <c r="D637" i="12" s="1"/>
  <c r="D638" i="12" s="1"/>
  <c r="D639" i="12" s="1"/>
  <c r="D640" i="12" s="1"/>
  <c r="D641" i="12" s="1"/>
  <c r="D642" i="12" s="1"/>
  <c r="D643" i="12" s="1"/>
  <c r="D644" i="12" s="1"/>
  <c r="D645" i="12" s="1"/>
  <c r="D646" i="12" s="1"/>
  <c r="D647" i="12" s="1"/>
  <c r="D648" i="12" s="1"/>
  <c r="D649" i="12" s="1"/>
  <c r="D650" i="12" s="1"/>
  <c r="D651" i="12" s="1"/>
  <c r="D652" i="12" s="1"/>
  <c r="D653" i="12" s="1"/>
  <c r="D654" i="12" s="1"/>
  <c r="D655" i="12" s="1"/>
</calcChain>
</file>

<file path=xl/sharedStrings.xml><?xml version="1.0" encoding="utf-8"?>
<sst xmlns="http://schemas.openxmlformats.org/spreadsheetml/2006/main" count="1375" uniqueCount="217">
  <si>
    <t>摘要</t>
  </si>
  <si>
    <t>微信公众号认证服务费报销</t>
  </si>
  <si>
    <t>搬家费用报销</t>
  </si>
  <si>
    <t>92102：住房公积金</t>
  </si>
  <si>
    <t>住房公积金</t>
  </si>
  <si>
    <t>网上银行服务费</t>
  </si>
  <si>
    <t>活期结算户结息43.28扣税:.00</t>
  </si>
  <si>
    <t>2016.11月账户管理费扣费</t>
  </si>
  <si>
    <t>2016103110381387</t>
  </si>
  <si>
    <t>2016103130020011</t>
  </si>
  <si>
    <t>账户余额</t>
  </si>
  <si>
    <t/>
  </si>
  <si>
    <t>投资款</t>
  </si>
  <si>
    <t>入资款</t>
  </si>
  <si>
    <t>工资</t>
  </si>
  <si>
    <t>税控系统费用</t>
  </si>
  <si>
    <t>交通费</t>
  </si>
  <si>
    <t>上地西里5-8月房租</t>
  </si>
  <si>
    <t>发票打印机</t>
  </si>
  <si>
    <t>房屋租赁保证金(押金)</t>
  </si>
  <si>
    <t>办公费</t>
  </si>
  <si>
    <t>支付采购大米货款</t>
  </si>
  <si>
    <t>采购土豆尾款</t>
  </si>
  <si>
    <t>房租</t>
  </si>
  <si>
    <t>交通费及快递费</t>
  </si>
  <si>
    <t>往来款</t>
  </si>
  <si>
    <t>无线网服务费</t>
  </si>
  <si>
    <t>医保费</t>
  </si>
  <si>
    <t>社会保险费</t>
  </si>
  <si>
    <t>还款</t>
  </si>
  <si>
    <t>采购ERP软件款</t>
  </si>
  <si>
    <t>预付ERP实施服务费</t>
  </si>
  <si>
    <t>各项费用报销</t>
  </si>
  <si>
    <t>报销差旅费</t>
  </si>
  <si>
    <t>10/11月工资</t>
  </si>
  <si>
    <t>商标代理费</t>
  </si>
  <si>
    <t>费用报销</t>
  </si>
  <si>
    <t>购买服务器</t>
  </si>
  <si>
    <t>支付农户收购土豆款</t>
    <phoneticPr fontId="2" type="noConversion"/>
  </si>
  <si>
    <t>上地西里办公室水费</t>
    <phoneticPr fontId="2" type="noConversion"/>
  </si>
  <si>
    <t>购买办公用品</t>
    <phoneticPr fontId="2" type="noConversion"/>
  </si>
  <si>
    <t>首次现金支付员工住房公积金</t>
    <phoneticPr fontId="2" type="noConversion"/>
  </si>
  <si>
    <t>借支备用金</t>
  </si>
  <si>
    <t>工资奖金</t>
  </si>
  <si>
    <t>补发工资</t>
  </si>
  <si>
    <t>油鸡货款</t>
  </si>
  <si>
    <t>电费</t>
  </si>
  <si>
    <t>履约保证金</t>
  </si>
  <si>
    <t>手续费</t>
    <phoneticPr fontId="2" type="noConversion"/>
  </si>
  <si>
    <t>利息收入</t>
    <phoneticPr fontId="2" type="noConversion"/>
  </si>
  <si>
    <t>税金</t>
    <phoneticPr fontId="2" type="noConversion"/>
  </si>
  <si>
    <t>房租押金退回</t>
    <phoneticPr fontId="2" type="noConversion"/>
  </si>
  <si>
    <t>#北京社保</t>
  </si>
  <si>
    <t>支付采购米面油货款</t>
  </si>
  <si>
    <t>支付税控系统服务费</t>
  </si>
  <si>
    <t>2月和3月配送费及仓储费</t>
  </si>
  <si>
    <t>提出贷记:00140683670,汇兑</t>
  </si>
  <si>
    <t>网站设计劳务费</t>
  </si>
  <si>
    <t>退还出资款</t>
  </si>
  <si>
    <t>代为支付履约保证金</t>
  </si>
  <si>
    <t>网银支付手续费</t>
  </si>
  <si>
    <t>网银汇款手续费</t>
  </si>
  <si>
    <t>蔬菜货款</t>
  </si>
  <si>
    <t>购买云数据库</t>
  </si>
  <si>
    <t>货款</t>
  </si>
  <si>
    <t>工资及劳务费</t>
  </si>
  <si>
    <t>2017.06月账户管理费扣费</t>
  </si>
  <si>
    <t>借款</t>
  </si>
  <si>
    <t>活期结算户结息79.28扣税:.00</t>
  </si>
  <si>
    <t>网上企业银行-数字证书费</t>
  </si>
  <si>
    <t>蔬菜采购备用金</t>
  </si>
  <si>
    <t>支付新风设备款</t>
  </si>
  <si>
    <t>库房租赁保证金(押金)</t>
  </si>
  <si>
    <t>款项退回</t>
  </si>
  <si>
    <t>微信小程序的UI美工设计</t>
  </si>
  <si>
    <t>会议服务</t>
  </si>
  <si>
    <t>支付净菜货款</t>
  </si>
  <si>
    <t>支付毛菜货款</t>
  </si>
  <si>
    <t>补足备用金</t>
  </si>
  <si>
    <t>6月份蔬菜货款</t>
  </si>
  <si>
    <t>装修改造费用</t>
  </si>
  <si>
    <t>支付供应商发票返点</t>
  </si>
  <si>
    <t>活期结算户结息53.73扣税:.00</t>
  </si>
  <si>
    <t>往来</t>
  </si>
  <si>
    <t>采购成本</t>
    <phoneticPr fontId="2" type="noConversion"/>
  </si>
  <si>
    <t>收入</t>
  </si>
  <si>
    <t>支出</t>
  </si>
  <si>
    <t>工资及奖金</t>
  </si>
  <si>
    <t>社保</t>
  </si>
  <si>
    <t>采购成本</t>
  </si>
  <si>
    <t>保洁劳务费</t>
  </si>
  <si>
    <t>活期结算户结息</t>
  </si>
  <si>
    <t>费用</t>
  </si>
  <si>
    <t>个人所得税</t>
  </si>
  <si>
    <t>销售收入</t>
  </si>
  <si>
    <t>销售收入</t>
    <phoneticPr fontId="2" type="noConversion"/>
  </si>
  <si>
    <t>毛利润</t>
    <phoneticPr fontId="2" type="noConversion"/>
  </si>
  <si>
    <t>其他收入</t>
  </si>
  <si>
    <t>实收资本</t>
  </si>
  <si>
    <t>其他支出</t>
  </si>
  <si>
    <t>其他税费</t>
  </si>
  <si>
    <t>对外投资</t>
  </si>
  <si>
    <t>货款</t>
    <phoneticPr fontId="2" type="noConversion"/>
  </si>
  <si>
    <t>土豆款</t>
    <phoneticPr fontId="2" type="noConversion"/>
  </si>
  <si>
    <t>8月16日土豆款</t>
    <phoneticPr fontId="2" type="noConversion"/>
  </si>
  <si>
    <t>股份</t>
    <phoneticPr fontId="2" type="noConversion"/>
  </si>
  <si>
    <t>支付货款</t>
    <phoneticPr fontId="2" type="noConversion"/>
  </si>
  <si>
    <t>支付采购大米货款</t>
    <phoneticPr fontId="2" type="noConversion"/>
  </si>
  <si>
    <t>2016年</t>
    <phoneticPr fontId="2" type="noConversion"/>
  </si>
  <si>
    <t>手续费</t>
  </si>
  <si>
    <t>费用</t>
    <phoneticPr fontId="2" type="noConversion"/>
  </si>
  <si>
    <t>年度</t>
    <phoneticPr fontId="2" type="noConversion"/>
  </si>
  <si>
    <t>银行手续费</t>
  </si>
  <si>
    <t>个税</t>
  </si>
  <si>
    <t>利息</t>
  </si>
  <si>
    <t>印花税</t>
  </si>
  <si>
    <t>试打款</t>
  </si>
  <si>
    <t>代垫社保还款</t>
  </si>
  <si>
    <t>税金</t>
  </si>
  <si>
    <t>购买云主机</t>
  </si>
  <si>
    <t>物流仓储费</t>
  </si>
  <si>
    <t>付蔬菜货款</t>
  </si>
  <si>
    <t>利息收入</t>
  </si>
  <si>
    <t>返点</t>
  </si>
  <si>
    <t>付ERP实施服务费尾款</t>
  </si>
  <si>
    <t>采购技术指导书</t>
  </si>
  <si>
    <t>划错款</t>
  </si>
  <si>
    <t>罚款</t>
  </si>
  <si>
    <t>4月份返点</t>
  </si>
  <si>
    <t>退回划错款</t>
  </si>
  <si>
    <t>支付3-5月份粮油货款</t>
  </si>
  <si>
    <t>5月份返点</t>
  </si>
  <si>
    <t>三四五月份的配送费</t>
  </si>
  <si>
    <t>六七八月份的配送费及仓储费</t>
  </si>
  <si>
    <t>5月货款</t>
  </si>
  <si>
    <t>支付5月毛菜货款</t>
  </si>
  <si>
    <t>代付股权购买款</t>
  </si>
  <si>
    <t>8月货款</t>
  </si>
  <si>
    <t>购买笔记本电脑</t>
  </si>
  <si>
    <t>爱为客还借款</t>
  </si>
  <si>
    <t>商标申请服务费</t>
  </si>
  <si>
    <t>退回商标申请服务费</t>
  </si>
  <si>
    <t>6月货款</t>
  </si>
  <si>
    <t>个人劳务费</t>
  </si>
  <si>
    <t>7月货款</t>
  </si>
  <si>
    <t>收回投资款</t>
  </si>
  <si>
    <t>交易日期</t>
    <phoneticPr fontId="2" type="noConversion"/>
  </si>
  <si>
    <t>收支项目</t>
    <phoneticPr fontId="2" type="noConversion"/>
  </si>
  <si>
    <t>季度</t>
    <phoneticPr fontId="2" type="noConversion"/>
  </si>
  <si>
    <t>1季度</t>
    <phoneticPr fontId="2" type="noConversion"/>
  </si>
  <si>
    <t>2季度</t>
  </si>
  <si>
    <t>3季度</t>
  </si>
  <si>
    <t>4季度</t>
  </si>
  <si>
    <t>银鱼公司2016-2018年银行交易明细</t>
    <phoneticPr fontId="2" type="noConversion"/>
  </si>
  <si>
    <t>毛利率</t>
    <phoneticPr fontId="2" type="noConversion"/>
  </si>
  <si>
    <t>2017年</t>
    <phoneticPr fontId="2" type="noConversion"/>
  </si>
  <si>
    <t>2018年</t>
    <phoneticPr fontId="2" type="noConversion"/>
  </si>
  <si>
    <t>2016年总计</t>
    <phoneticPr fontId="2" type="noConversion"/>
  </si>
  <si>
    <t>2017年总计</t>
    <phoneticPr fontId="2" type="noConversion"/>
  </si>
  <si>
    <t>2018年总计</t>
    <phoneticPr fontId="2" type="noConversion"/>
  </si>
  <si>
    <t>三年合计</t>
    <phoneticPr fontId="2" type="noConversion"/>
  </si>
  <si>
    <t>押金退回</t>
  </si>
  <si>
    <t>网银结算手续费</t>
  </si>
  <si>
    <t>捐赠款</t>
  </si>
  <si>
    <t>采购蔬菜费用</t>
  </si>
  <si>
    <t>采购蔬菜费</t>
  </si>
  <si>
    <t>蔬菜采购货款及费用报销</t>
  </si>
  <si>
    <t>退还购买股权款</t>
  </si>
  <si>
    <t>执行会员费</t>
  </si>
  <si>
    <t>返还购买股权款</t>
  </si>
  <si>
    <t>小龙虾产业分会会费</t>
  </si>
  <si>
    <t>个人借款</t>
  </si>
  <si>
    <t>代付费用</t>
  </si>
  <si>
    <t>服务费</t>
  </si>
  <si>
    <t>宽带网费</t>
  </si>
  <si>
    <t>物业管理费</t>
  </si>
  <si>
    <t>法律顾问费</t>
  </si>
  <si>
    <t>退款</t>
  </si>
  <si>
    <t>退回入资款</t>
  </si>
  <si>
    <t>商标申请代理服务费</t>
  </si>
  <si>
    <t>品牌设计2018年年度顾问费</t>
  </si>
  <si>
    <t>备用金</t>
  </si>
  <si>
    <t>提现</t>
  </si>
  <si>
    <t>办公室窗帘费</t>
  </si>
  <si>
    <t>支付代垫搬运费</t>
  </si>
  <si>
    <t>会员年费</t>
  </si>
  <si>
    <t>补发4-7月工资</t>
  </si>
  <si>
    <t>活期结算户结息103.10扣税:.00</t>
  </si>
  <si>
    <t>委托收款</t>
  </si>
  <si>
    <t>活期结算户结息77.64扣税:.00</t>
  </si>
  <si>
    <t>活期结算户结息47.70扣税:.00</t>
  </si>
  <si>
    <t>活期结算户结息62.50扣税:.00</t>
  </si>
  <si>
    <t>转账</t>
  </si>
  <si>
    <t>汇总</t>
  </si>
  <si>
    <t>2016年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</si>
  <si>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</si>
  <si>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</si>
  <si>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</si>
  <si>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</si>
  <si>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</si>
  <si>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</si>
  <si>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</si>
  <si>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</si>
  <si>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</si>
  <si>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2017年</t>
  </si>
  <si>
    <t>1月</t>
  </si>
  <si>
    <t>2月</t>
  </si>
  <si>
    <t>3月</t>
  </si>
  <si>
    <t>2018年</t>
  </si>
  <si>
    <t>2016年 汇总</t>
  </si>
  <si>
    <t>2017年 汇总</t>
  </si>
  <si>
    <t>2018年 汇总</t>
  </si>
  <si>
    <t>支出金额</t>
  </si>
  <si>
    <t>年度</t>
  </si>
  <si>
    <t>月份</t>
  </si>
  <si>
    <t>支出项目</t>
  </si>
  <si>
    <t>为员工支出总计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</si>
</sst>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9" formatCode="yyyy&quot;年&quot;mm&quot;月&quot;dd&quot;日&quot;"/>
  </numFmts>
  <fonts count="13" x14ac:knownFonts="1">
    <font>
      <sz val="11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8"/>
      <color rgb="FF00206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name val="宋体"/>
      <family val="3"/>
      <charset val="134"/>
    </font>
    <font>
      <sz val="9"/>
      <color theme="0"/>
      <name val="宋体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 tint="0.59999389629810485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</borders>
  <cellStyleXfs count="5">
    <xf numFmtId="0" fontId="0" fillId="0" borderId="0">
      <alignment vertical="center"/>
    </xf>
    <xf numFmtId="0" fontId="3" fillId="0" borderId="0"/>
    <xf numFmtId="9" fontId="7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4" fillId="0" borderId="0" xfId="1" applyFont="1"/>
    <xf numFmtId="0" fontId="6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horizontal="centerContinuous"/>
    </xf>
    <xf numFmtId="0" fontId="0" fillId="0" borderId="0" xfId="0" applyAlignment="1">
      <alignment horizontal="centerContinuous" vertical="center"/>
    </xf>
    <xf numFmtId="176" fontId="10" fillId="0" borderId="7" xfId="0" applyNumberFormat="1" applyFont="1" applyBorder="1">
      <alignment vertical="center"/>
    </xf>
    <xf numFmtId="10" fontId="10" fillId="0" borderId="8" xfId="2" applyNumberFormat="1" applyFont="1" applyBorder="1">
      <alignment vertical="center"/>
    </xf>
    <xf numFmtId="0" fontId="11" fillId="2" borderId="5" xfId="3" applyFont="1" applyBorder="1" applyAlignment="1">
      <alignment horizontal="center" vertical="center"/>
    </xf>
    <xf numFmtId="0" fontId="11" fillId="2" borderId="6" xfId="3" applyFont="1" applyBorder="1" applyAlignment="1">
      <alignment horizontal="center" vertical="center"/>
    </xf>
    <xf numFmtId="0" fontId="10" fillId="0" borderId="8" xfId="0" applyFont="1" applyBorder="1">
      <alignment vertical="center"/>
    </xf>
    <xf numFmtId="176" fontId="12" fillId="3" borderId="7" xfId="4" applyNumberFormat="1" applyFont="1" applyBorder="1">
      <alignment vertical="center"/>
    </xf>
    <xf numFmtId="10" fontId="12" fillId="3" borderId="8" xfId="4" applyNumberFormat="1" applyFont="1" applyBorder="1">
      <alignment vertical="center"/>
    </xf>
    <xf numFmtId="0" fontId="11" fillId="2" borderId="9" xfId="3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2" fillId="3" borderId="10" xfId="4" applyFont="1" applyBorder="1" applyAlignment="1">
      <alignment horizontal="center" vertical="center"/>
    </xf>
    <xf numFmtId="0" fontId="11" fillId="2" borderId="11" xfId="3" applyFont="1" applyBorder="1" applyAlignment="1">
      <alignment horizontal="center" vertical="center"/>
    </xf>
    <xf numFmtId="176" fontId="12" fillId="3" borderId="12" xfId="4" applyNumberFormat="1" applyFont="1" applyBorder="1">
      <alignment vertical="center"/>
    </xf>
    <xf numFmtId="10" fontId="12" fillId="3" borderId="13" xfId="4" applyNumberFormat="1" applyFont="1" applyBorder="1">
      <alignment vertical="center"/>
    </xf>
    <xf numFmtId="0" fontId="12" fillId="3" borderId="14" xfId="4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1" fillId="2" borderId="2" xfId="3" applyFont="1" applyBorder="1" applyAlignment="1">
      <alignment horizontal="center" vertical="center"/>
    </xf>
    <xf numFmtId="0" fontId="11" fillId="2" borderId="3" xfId="3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6" fontId="6" fillId="0" borderId="0" xfId="0" applyNumberFormat="1" applyFont="1">
      <alignment vertical="center"/>
    </xf>
    <xf numFmtId="176" fontId="8" fillId="0" borderId="0" xfId="1" applyNumberFormat="1" applyFont="1"/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0" fontId="10" fillId="0" borderId="8" xfId="0" applyNumberFormat="1" applyFont="1" applyBorder="1">
      <alignment vertical="center"/>
    </xf>
    <xf numFmtId="176" fontId="11" fillId="2" borderId="3" xfId="3" applyNumberFormat="1" applyFont="1" applyBorder="1" applyAlignment="1">
      <alignment vertical="center"/>
    </xf>
    <xf numFmtId="10" fontId="11" fillId="2" borderId="4" xfId="3" applyNumberFormat="1" applyFont="1" applyBorder="1" applyAlignment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5">
    <cellStyle name="40% - 着色 6" xfId="4" builtinId="51"/>
    <cellStyle name="百分比" xfId="2" builtinId="5"/>
    <cellStyle name="常规" xfId="0" builtinId="0"/>
    <cellStyle name="常规 2" xfId="1" xr:uid="{00000000-0005-0000-0000-000003000000}"/>
    <cellStyle name="着色 5" xfId="3" builtinId="4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</dxf>
    <dxf>
      <numFmt numFmtId="176" formatCode="#,##0.00_ "/>
    </dxf>
    <dxf>
      <numFmt numFmtId="176" formatCode="#,##0.00_ 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176" formatCode="#,##0.00_ "/>
    </dxf>
    <dxf>
      <numFmt numFmtId="176" formatCode="#,##0.00_ "/>
    </dxf>
    <dxf>
      <numFmt numFmtId="176" formatCode="#,##0.00_ "/>
    </dxf>
    <dxf>
      <numFmt numFmtId="179" formatCode="yyyy&quot;年&quot;mm&quot;月&quot;dd&quot;日&quot;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zh-CN">
                <a:solidFill>
                  <a:schemeClr val="bg1"/>
                </a:solidFill>
              </a:rPr>
              <a:t>销售收入</a:t>
            </a:r>
            <a:r>
              <a:rPr lang="en-US">
                <a:solidFill>
                  <a:schemeClr val="bg1"/>
                </a:solidFill>
              </a:rPr>
              <a:t>/</a:t>
            </a:r>
            <a:r>
              <a:rPr lang="zh-CN">
                <a:solidFill>
                  <a:schemeClr val="bg1"/>
                </a:solidFill>
              </a:rPr>
              <a:t>毛利率对比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836842550878084"/>
          <c:y val="0.23055555555555557"/>
          <c:w val="0.85031295536275298"/>
          <c:h val="0.61261519393409158"/>
        </c:manualLayout>
      </c:layout>
      <c:bubbleChart>
        <c:varyColors val="0"/>
        <c:ser>
          <c:idx val="0"/>
          <c:order val="0"/>
          <c:tx>
            <c:strRef>
              <c:f>销售情况统计!$D$2</c:f>
              <c:strCache>
                <c:ptCount val="1"/>
                <c:pt idx="0">
                  <c:v>销售收入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1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F9-4DE2-90E0-4D285D4ACA01}"/>
              </c:ext>
            </c:extLst>
          </c:dPt>
          <c:dPt>
            <c:idx val="2"/>
            <c:invertIfNegative val="0"/>
            <c:bubble3D val="1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DF9-4DE2-90E0-4D285D4ACA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(销售情况统计!$C$7,销售情况统计!$C$12,销售情况统计!$C$17)</c:f>
              <c:strCache>
                <c:ptCount val="3"/>
                <c:pt idx="0">
                  <c:v>2016年总计</c:v>
                </c:pt>
                <c:pt idx="1">
                  <c:v>2017年总计</c:v>
                </c:pt>
                <c:pt idx="2">
                  <c:v>2018年总计</c:v>
                </c:pt>
              </c:strCache>
            </c:strRef>
          </c:xVal>
          <c:yVal>
            <c:numRef>
              <c:f>(销售情况统计!$D$7,销售情况统计!$D$12,销售情况统计!$D$17)</c:f>
              <c:numCache>
                <c:formatCode>#,##0.00_ </c:formatCode>
                <c:ptCount val="3"/>
                <c:pt idx="0">
                  <c:v>896854.12000000011</c:v>
                </c:pt>
                <c:pt idx="1">
                  <c:v>5552271.5899999999</c:v>
                </c:pt>
                <c:pt idx="2">
                  <c:v>806562.19000000006</c:v>
                </c:pt>
              </c:numCache>
            </c:numRef>
          </c:yVal>
          <c:bubbleSize>
            <c:numRef>
              <c:f>(销售情况统计!$G$7,销售情况统计!$G$12,销售情况统计!$G$17)</c:f>
              <c:numCache>
                <c:formatCode>0.00%</c:formatCode>
                <c:ptCount val="3"/>
                <c:pt idx="0">
                  <c:v>0.29295243690244749</c:v>
                </c:pt>
                <c:pt idx="1">
                  <c:v>7.9828881353406586E-2</c:v>
                </c:pt>
                <c:pt idx="2">
                  <c:v>0.11154229781091043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ADF9-4DE2-90E0-4D285D4ACA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501007840"/>
        <c:axId val="501002920"/>
      </c:bubbleChart>
      <c:valAx>
        <c:axId val="501007840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1002920"/>
        <c:crosses val="autoZero"/>
        <c:crossBetween val="midCat"/>
      </c:valAx>
      <c:valAx>
        <c:axId val="501002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2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1007840"/>
        <c:crosses val="autoZero"/>
        <c:crossBetween val="midCat"/>
        <c:dispUnits>
          <c:builtInUnit val="thousands"/>
          <c:dispUnitsLbl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zh-CN">
                      <a:solidFill>
                        <a:schemeClr val="bg1"/>
                      </a:solidFill>
                    </a:rPr>
                    <a:t>千</a:t>
                  </a:r>
                </a:p>
              </c:rich>
            </c:tx>
            <c:spPr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</c:dispUnitsLbl>
        </c:dispUnits>
      </c:valAx>
      <c:spPr>
        <a:solidFill>
          <a:schemeClr val="bg2">
            <a:lumMod val="2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</xdr:colOff>
      <xdr:row>19</xdr:row>
      <xdr:rowOff>95250</xdr:rowOff>
    </xdr:from>
    <xdr:to>
      <xdr:col>6</xdr:col>
      <xdr:colOff>1123949</xdr:colOff>
      <xdr:row>35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9D10273-2EAF-4DC3-B4B1-DB559E5B3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uyou" refreshedDate="44140.740756712963" createdVersion="6" refreshedVersion="6" minRefreshableVersion="3" recordCount="652" xr:uid="{29C3D664-90BE-4B47-B73C-8C8913A71A19}">
  <cacheSource type="worksheet">
    <worksheetSource name="表1"/>
  </cacheSource>
  <cacheFields count="7">
    <cacheField name="交易日期" numFmtId="179">
      <sharedItems containsSemiMixedTypes="0" containsNonDate="0" containsDate="1" containsString="0" minDate="2016-04-21T00:00:00" maxDate="2018-12-28T00:00:00" count="306">
        <d v="2016-04-21T00:00:00"/>
        <d v="2016-04-22T00:00:00"/>
        <d v="2016-04-25T00:00:00"/>
        <d v="2016-04-26T00:00:00"/>
        <d v="2016-05-06T00:00:00"/>
        <d v="2016-06-02T00:00:00"/>
        <d v="2016-06-20T00:00:00"/>
        <d v="2016-06-21T00:00:00"/>
        <d v="2016-07-06T00:00:00"/>
        <d v="2016-07-08T00:00:00"/>
        <d v="2016-08-05T00:00:00"/>
        <d v="2016-08-06T00:00:00"/>
        <d v="2016-08-17T00:00:00"/>
        <d v="2016-08-19T00:00:00"/>
        <d v="2016-08-20T00:00:00"/>
        <d v="2016-08-24T00:00:00"/>
        <d v="2016-09-01T00:00:00"/>
        <d v="2016-09-02T00:00:00"/>
        <d v="2016-09-09T00:00:00"/>
        <d v="2016-09-10T00:00:00"/>
        <d v="2016-09-14T00:00:00"/>
        <d v="2016-09-21T00:00:00"/>
        <d v="2016-09-22T00:00:00"/>
        <d v="2016-10-10T00:00:00"/>
        <d v="2016-10-12T00:00:00"/>
        <d v="2016-10-17T00:00:00"/>
        <d v="2016-10-24T00:00:00"/>
        <d v="2016-10-28T00:00:00"/>
        <d v="2016-11-02T00:00:00"/>
        <d v="2016-11-03T00:00:00"/>
        <d v="2016-11-04T00:00:00"/>
        <d v="2016-11-07T00:00:00"/>
        <d v="2016-11-08T00:00:00"/>
        <d v="2016-11-10T00:00:00"/>
        <d v="2016-11-28T00:00:00"/>
        <d v="2016-11-29T00:00:00"/>
        <d v="2016-11-30T00:00:00"/>
        <d v="2016-12-01T00:00:00"/>
        <d v="2016-12-06T00:00:00"/>
        <d v="2016-12-07T00:00:00"/>
        <d v="2016-12-08T00:00:00"/>
        <d v="2016-12-09T00:00:00"/>
        <d v="2016-12-19T00:00:00"/>
        <d v="2016-12-21T00:00:00"/>
        <d v="2016-12-22T00:00:00"/>
        <d v="2016-12-28T00:00:00"/>
        <d v="2016-12-29T00:00:00"/>
        <d v="2016-12-30T00:00:00"/>
        <d v="2016-10-25T00:00:00"/>
        <d v="2016-10-31T00:00:00"/>
        <d v="2016-11-15T00:00:00"/>
        <d v="2016-12-04T00:00:00"/>
        <d v="2016-12-15T00:00:00"/>
        <d v="2016-12-27T00:00:00"/>
        <d v="2016-12-31T00:00:00"/>
        <d v="2017-01-06T00:00:00"/>
        <d v="2017-01-09T00:00:00"/>
        <d v="2017-01-10T00:00:00"/>
        <d v="2017-01-12T00:00:00"/>
        <d v="2017-01-13T00:00:00"/>
        <d v="2017-01-20T00:00:00"/>
        <d v="2017-02-06T00:00:00"/>
        <d v="2017-02-07T00:00:00"/>
        <d v="2017-02-14T00:00:00"/>
        <d v="2017-02-24T00:00:00"/>
        <d v="2017-02-25T00:00:00"/>
        <d v="2017-03-02T00:00:00"/>
        <d v="2017-03-06T00:00:00"/>
        <d v="2017-03-07T00:00:00"/>
        <d v="2017-03-09T00:00:00"/>
        <d v="2017-03-13T00:00:00"/>
        <d v="2017-03-15T00:00:00"/>
        <d v="2017-03-16T00:00:00"/>
        <d v="2017-03-17T00:00:00"/>
        <d v="2017-03-18T00:00:00"/>
        <d v="2017-03-21T00:00:00"/>
        <d v="2017-03-24T00:00:00"/>
        <d v="2017-03-27T00:00:00"/>
        <d v="2017-04-01T00:00:00"/>
        <d v="2017-04-06T00:00:00"/>
        <d v="2017-04-07T00:00:00"/>
        <d v="2017-04-24T00:00:00"/>
        <d v="2017-04-25T00:00:00"/>
        <d v="2017-04-27T00:00:00"/>
        <d v="2017-04-28T00:00:00"/>
        <d v="2017-05-08T00:00:00"/>
        <d v="2017-05-09T00:00:00"/>
        <d v="2017-05-12T00:00:00"/>
        <d v="2017-05-15T00:00:00"/>
        <d v="2017-05-22T00:00:00"/>
        <d v="2017-05-23T00:00:00"/>
        <d v="2017-05-24T00:00:00"/>
        <d v="2017-05-25T00:00:00"/>
        <d v="2017-05-28T00:00:00"/>
        <d v="2017-06-03T00:00:00"/>
        <d v="2017-06-06T00:00:00"/>
        <d v="2017-06-09T00:00:00"/>
        <d v="2017-06-12T00:00:00"/>
        <d v="2017-06-20T00:00:00"/>
        <d v="2017-06-21T00:00:00"/>
        <d v="2017-06-26T00:00:00"/>
        <d v="2017-06-28T00:00:00"/>
        <d v="2017-07-04T00:00:00"/>
        <d v="2017-07-06T00:00:00"/>
        <d v="2017-07-10T00:00:00"/>
        <d v="2017-07-12T00:00:00"/>
        <d v="2017-07-14T00:00:00"/>
        <d v="2017-07-17T00:00:00"/>
        <d v="2017-07-18T00:00:00"/>
        <d v="2017-07-19T00:00:00"/>
        <d v="2017-07-20T00:00:00"/>
        <d v="2017-07-24T00:00:00"/>
        <d v="2017-07-25T00:00:00"/>
        <d v="2017-07-28T00:00:00"/>
        <d v="2017-07-29T00:00:00"/>
        <d v="2017-08-02T00:00:00"/>
        <d v="2017-08-07T00:00:00"/>
        <d v="2017-08-09T00:00:00"/>
        <d v="2017-08-10T00:00:00"/>
        <d v="2017-08-11T00:00:00"/>
        <d v="2017-08-14T00:00:00"/>
        <d v="2017-08-16T00:00:00"/>
        <d v="2017-08-18T00:00:00"/>
        <d v="2017-08-19T00:00:00"/>
        <d v="2017-08-22T00:00:00"/>
        <d v="2017-08-23T00:00:00"/>
        <d v="2017-08-24T00:00:00"/>
        <d v="2017-08-25T00:00:00"/>
        <d v="2017-08-26T00:00:00"/>
        <d v="2017-08-28T00:00:00"/>
        <d v="2017-08-29T00:00:00"/>
        <d v="2017-08-30T00:00:00"/>
        <d v="2017-08-31T00:00:00"/>
        <d v="2017-09-01T00:00:00"/>
        <d v="2017-09-02T00:00:00"/>
        <d v="2017-09-04T00:00:00"/>
        <d v="2017-09-05T00:00:00"/>
        <d v="2017-09-06T00:00:00"/>
        <d v="2017-09-07T00:00:00"/>
        <d v="2017-09-08T00:00:00"/>
        <d v="2017-09-12T00:00:00"/>
        <d v="2017-09-21T00:00:00"/>
        <d v="2017-09-22T00:00:00"/>
        <d v="2017-09-25T00:00:00"/>
        <d v="2017-10-11T00:00:00"/>
        <d v="2017-10-12T00:00:00"/>
        <d v="2017-10-13T00:00:00"/>
        <d v="2017-10-17T00:00:00"/>
        <d v="2017-10-18T00:00:00"/>
        <d v="2017-10-25T00:00:00"/>
        <d v="2017-09-26T00:00:00"/>
        <d v="2017-10-26T00:00:00"/>
        <d v="2017-10-27T00:00:00"/>
        <d v="2017-11-02T00:00:00"/>
        <d v="2017-11-03T00:00:00"/>
        <d v="2017-11-14T00:00:00"/>
        <d v="2017-11-17T00:00:00"/>
        <d v="2017-11-24T00:00:00"/>
        <d v="2017-11-25T00:00:00"/>
        <d v="2017-11-28T00:00:00"/>
        <d v="2017-12-01T00:00:00"/>
        <d v="2017-12-02T00:00:00"/>
        <d v="2017-12-12T00:00:00"/>
        <d v="2017-12-15T00:00:00"/>
        <d v="2017-12-18T00:00:00"/>
        <d v="2017-12-19T00:00:00"/>
        <d v="2017-12-21T00:00:00"/>
        <d v="2017-12-22T00:00:00"/>
        <d v="2017-12-25T00:00:00"/>
        <d v="2017-12-28T00:00:00"/>
        <d v="2017-01-04T00:00:00"/>
        <d v="2017-01-16T00:00:00"/>
        <d v="2017-02-04T00:00:00"/>
        <d v="2017-02-15T00:00:00"/>
        <d v="2017-03-04T00:00:00"/>
        <d v="2017-03-05T00:00:00"/>
        <d v="2017-04-04T00:00:00"/>
        <d v="2017-04-05T00:00:00"/>
        <d v="2017-04-17T00:00:00"/>
        <d v="2017-05-04T00:00:00"/>
        <d v="2017-05-05T00:00:00"/>
        <d v="2017-05-27T00:00:00"/>
        <d v="2017-06-04T00:00:00"/>
        <d v="2017-06-05T00:00:00"/>
        <d v="2017-06-15T00:00:00"/>
        <d v="2017-07-05T00:00:00"/>
        <d v="2017-07-26T00:00:00"/>
        <d v="2017-08-04T00:00:00"/>
        <d v="2017-08-05T00:00:00"/>
        <d v="2017-08-15T00:00:00"/>
        <d v="2017-09-15T00:00:00"/>
        <d v="2017-10-04T00:00:00"/>
        <d v="2017-10-10T00:00:00"/>
        <d v="2017-10-16T00:00:00"/>
        <d v="2017-11-04T00:00:00"/>
        <d v="2017-11-05T00:00:00"/>
        <d v="2017-11-15T00:00:00"/>
        <d v="2017-12-04T00:00:00"/>
        <d v="2017-12-06T00:00:00"/>
        <d v="2018-01-08T00:00:00"/>
        <d v="2018-01-09T00:00:00"/>
        <d v="2018-01-10T00:00:00"/>
        <d v="2018-01-11T00:00:00"/>
        <d v="2018-01-12T00:00:00"/>
        <d v="2018-01-25T00:00:00"/>
        <d v="2018-01-29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26T00:00:00"/>
        <d v="2018-03-08T00:00:00"/>
        <d v="2018-03-09T00:00:00"/>
        <d v="2018-03-21T00:00:00"/>
        <d v="2018-03-22T00:00:00"/>
        <d v="2018-03-26T00:00:00"/>
        <d v="2018-03-28T00:00:00"/>
        <d v="2018-03-29T00:00:00"/>
        <d v="2018-04-03T00:00:00"/>
        <d v="2018-04-10T00:00:00"/>
        <d v="2018-04-16T00:00:00"/>
        <d v="2018-04-17T00:00:00"/>
        <d v="2018-04-25T00:00:00"/>
        <d v="2018-04-26T00:00:00"/>
        <d v="2018-04-27T00:00:00"/>
        <d v="2018-05-10T00:00:00"/>
        <d v="2018-05-25T00:00:00"/>
        <d v="2018-05-30T00:00:00"/>
        <d v="2018-05-31T00:00:00"/>
        <d v="2018-06-11T00:00:00"/>
        <d v="2018-06-17T00:00:00"/>
        <d v="2018-06-19T00:00:00"/>
        <d v="2018-06-20T00:00:00"/>
        <d v="2018-06-21T00:00:00"/>
        <d v="2018-06-25T00:00:00"/>
        <d v="2018-06-26T00:00:00"/>
        <d v="2018-06-27T00:00:00"/>
        <d v="2018-07-03T00:00:00"/>
        <d v="2018-07-10T00:00:00"/>
        <d v="2018-07-25T00:00:00"/>
        <d v="2018-08-01T00:00:00"/>
        <d v="2018-08-06T00:00:00"/>
        <d v="2018-08-14T00:00:00"/>
        <d v="2018-08-15T00:00:00"/>
        <d v="2018-08-24T00:00:00"/>
        <d v="2018-09-03T00:00:00"/>
        <d v="2018-09-17T00:00:00"/>
        <d v="2018-09-21T00:00:00"/>
        <d v="2018-09-25T00:00:00"/>
        <d v="2018-09-26T00:00:00"/>
        <d v="2018-09-28T00:00:00"/>
        <d v="2018-09-29T00:00:00"/>
        <d v="2018-10-08T00:00:00"/>
        <d v="2018-10-09T00:00:00"/>
        <d v="2018-06-18T00:00:00"/>
        <d v="2018-10-11T00:00:00"/>
        <d v="2018-10-15T00:00:00"/>
        <d v="2018-10-22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26T00:00:00"/>
        <d v="2018-12-04T00:00:00"/>
        <d v="2018-12-06T00:00:00"/>
        <d v="2018-12-11T00:00:00"/>
        <d v="2018-12-18T00:00:00"/>
        <d v="2018-12-21T00:00:00"/>
        <d v="2018-12-25T00:00:00"/>
        <d v="2018-12-27T00:00:00"/>
        <d v="2018-01-04T00:00:00"/>
        <d v="2018-01-06T00:00:00"/>
        <d v="2018-01-15T00:00:00"/>
        <d v="2018-02-04T00:00:00"/>
        <d v="2018-02-22T00:00:00"/>
        <d v="2018-03-04T00:00:00"/>
        <d v="2018-03-05T00:00:00"/>
        <d v="2018-03-15T00:00:00"/>
        <d v="2018-04-04T00:00:00"/>
        <d v="2018-04-05T00:00:00"/>
        <d v="2018-05-04T00:00:00"/>
        <d v="2018-05-05T00:00:00"/>
        <d v="2018-05-15T00:00:00"/>
        <d v="2018-06-04T00:00:00"/>
        <d v="2018-06-05T00:00:00"/>
        <d v="2018-06-15T00:00:00"/>
        <d v="2018-07-04T00:00:00"/>
        <d v="2018-07-05T00:00:00"/>
        <d v="2018-07-16T00:00:00"/>
        <d v="2018-08-04T00:00:00"/>
        <d v="2018-08-05T00:00:00"/>
        <d v="2018-09-04T00:00:00"/>
        <d v="2018-09-05T00:00:00"/>
        <d v="2018-10-04T00:00:00"/>
        <d v="2018-11-04T00:00:00"/>
        <d v="2018-11-15T00:00:00"/>
        <d v="2018-12-17T00:00:00"/>
      </sharedItems>
      <fieldGroup par="6" base="0">
        <rangePr groupBy="months" startDate="2016-04-21T00:00:00" endDate="2018-12-28T00:00:00"/>
        <groupItems count="14">
          <s v="&lt;2016/4/2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8/12/28"/>
        </groupItems>
      </fieldGroup>
    </cacheField>
    <cacheField name="收入" numFmtId="176">
      <sharedItems containsString="0" containsBlank="1" containsNumber="1" minValue="0.02" maxValue="5000000"/>
    </cacheField>
    <cacheField name="支出" numFmtId="176">
      <sharedItems containsString="0" containsBlank="1" containsNumber="1" minValue="0.93" maxValue="2000000"/>
    </cacheField>
    <cacheField name="账户余额" numFmtId="176">
      <sharedItems containsSemiMixedTypes="0" containsString="0" containsNumber="1" minValue="539410.06000000064" maxValue="11760817.629999999"/>
    </cacheField>
    <cacheField name="摘要" numFmtId="0">
      <sharedItems containsBlank="1"/>
    </cacheField>
    <cacheField name="收支项目" numFmtId="0">
      <sharedItems count="14">
        <s v="实收资本"/>
        <s v="费用"/>
        <s v="工资及奖金"/>
        <s v="其他收入"/>
        <s v="其他税费"/>
        <s v="往来"/>
        <s v="采购成本"/>
        <s v="销售收入"/>
        <s v="住房公积金"/>
        <s v="社保"/>
        <s v="个人所得税"/>
        <s v="其他支出"/>
        <s v="对外投资"/>
        <s v="提现"/>
      </sharedItems>
    </cacheField>
    <cacheField name="年" numFmtId="0" databaseField="0">
      <fieldGroup base="0">
        <rangePr groupBy="years" startDate="2016-04-21T00:00:00" endDate="2018-12-28T00:00:00"/>
        <groupItems count="5">
          <s v="&lt;2016/4/21"/>
          <s v="2016年"/>
          <s v="2017年"/>
          <s v="2018年"/>
          <s v="&gt;2018/12/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2">
  <r>
    <x v="0"/>
    <n v="2000000"/>
    <m/>
    <n v="2000000"/>
    <s v="投资款"/>
    <x v="0"/>
  </r>
  <r>
    <x v="1"/>
    <n v="1000000"/>
    <m/>
    <n v="3000000"/>
    <s v="投资款"/>
    <x v="0"/>
  </r>
  <r>
    <x v="2"/>
    <m/>
    <n v="80"/>
    <n v="2999920"/>
    <s v="手续费"/>
    <x v="1"/>
  </r>
  <r>
    <x v="3"/>
    <n v="800000"/>
    <m/>
    <n v="3799920"/>
    <s v="入资款"/>
    <x v="0"/>
  </r>
  <r>
    <x v="4"/>
    <m/>
    <n v="2000"/>
    <n v="3797920"/>
    <s v="工资"/>
    <x v="2"/>
  </r>
  <r>
    <x v="5"/>
    <m/>
    <n v="970"/>
    <n v="3796950"/>
    <s v="税控系统费用"/>
    <x v="1"/>
  </r>
  <r>
    <x v="5"/>
    <m/>
    <n v="42.3"/>
    <n v="3796907.7"/>
    <s v="交通费"/>
    <x v="1"/>
  </r>
  <r>
    <x v="5"/>
    <m/>
    <n v="2000"/>
    <n v="3794907.7"/>
    <s v="工资"/>
    <x v="2"/>
  </r>
  <r>
    <x v="6"/>
    <m/>
    <n v="22850"/>
    <n v="3772057.7"/>
    <s v="上地西里5-8月房租"/>
    <x v="1"/>
  </r>
  <r>
    <x v="7"/>
    <n v="1888.53"/>
    <m/>
    <n v="3773946.23"/>
    <s v="利息收入"/>
    <x v="3"/>
  </r>
  <r>
    <x v="8"/>
    <m/>
    <n v="91.4"/>
    <n v="3773854.83"/>
    <s v="税金"/>
    <x v="4"/>
  </r>
  <r>
    <x v="9"/>
    <m/>
    <n v="2000"/>
    <n v="3771854.83"/>
    <s v="工资"/>
    <x v="2"/>
  </r>
  <r>
    <x v="9"/>
    <m/>
    <n v="1589"/>
    <n v="3770265.83"/>
    <s v="发票打印机"/>
    <x v="1"/>
  </r>
  <r>
    <x v="9"/>
    <m/>
    <n v="50"/>
    <n v="3770215.83"/>
    <s v="交通费"/>
    <x v="1"/>
  </r>
  <r>
    <x v="10"/>
    <m/>
    <n v="100000"/>
    <n v="3670215.83"/>
    <s v="房屋租赁保证金(押金)"/>
    <x v="5"/>
  </r>
  <r>
    <x v="11"/>
    <m/>
    <n v="7"/>
    <n v="3670208.83"/>
    <s v="手续费"/>
    <x v="1"/>
  </r>
  <r>
    <x v="12"/>
    <m/>
    <n v="16825"/>
    <n v="3653383.83"/>
    <s v="支付农户收购土豆款"/>
    <x v="6"/>
  </r>
  <r>
    <x v="13"/>
    <m/>
    <n v="2000"/>
    <n v="3651383.83"/>
    <s v="工资"/>
    <x v="2"/>
  </r>
  <r>
    <x v="13"/>
    <m/>
    <n v="59"/>
    <n v="3651324.83"/>
    <s v="办公费"/>
    <x v="1"/>
  </r>
  <r>
    <x v="13"/>
    <m/>
    <n v="40"/>
    <n v="3651284.83"/>
    <s v="交通费"/>
    <x v="1"/>
  </r>
  <r>
    <x v="14"/>
    <m/>
    <n v="46200"/>
    <n v="3605084.83"/>
    <s v="支付采购大米货款"/>
    <x v="6"/>
  </r>
  <r>
    <x v="15"/>
    <m/>
    <n v="5000"/>
    <n v="3600084.83"/>
    <s v="采购土豆尾款"/>
    <x v="6"/>
  </r>
  <r>
    <x v="16"/>
    <n v="21815"/>
    <m/>
    <n v="3621899.83"/>
    <s v="土豆款"/>
    <x v="7"/>
  </r>
  <r>
    <x v="17"/>
    <n v="10"/>
    <m/>
    <n v="3621909.83"/>
    <s v="8月16日土豆款"/>
    <x v="7"/>
  </r>
  <r>
    <x v="18"/>
    <m/>
    <n v="427050"/>
    <n v="3194859.83"/>
    <s v="房租"/>
    <x v="1"/>
  </r>
  <r>
    <x v="19"/>
    <m/>
    <n v="10.5"/>
    <n v="3194849.33"/>
    <s v="手续费"/>
    <x v="1"/>
  </r>
  <r>
    <x v="20"/>
    <n v="75571.520000000004"/>
    <m/>
    <n v="3270420.85"/>
    <s v="货款"/>
    <x v="7"/>
  </r>
  <r>
    <x v="21"/>
    <n v="2826.81"/>
    <m/>
    <n v="3273247.66"/>
    <s v="利息收入"/>
    <x v="3"/>
  </r>
  <r>
    <x v="22"/>
    <m/>
    <n v="2000"/>
    <n v="3271247.66"/>
    <s v="工资"/>
    <x v="2"/>
  </r>
  <r>
    <x v="22"/>
    <m/>
    <n v="307.8"/>
    <n v="3270939.8600000003"/>
    <s v="上地西里办公室水费"/>
    <x v="1"/>
  </r>
  <r>
    <x v="22"/>
    <m/>
    <n v="109"/>
    <n v="3270830.8600000003"/>
    <s v="交通费及快递费"/>
    <x v="1"/>
  </r>
  <r>
    <x v="23"/>
    <n v="189055.39"/>
    <m/>
    <n v="3459886.2500000005"/>
    <s v="货款"/>
    <x v="7"/>
  </r>
  <r>
    <x v="23"/>
    <n v="0.2"/>
    <m/>
    <n v="3459886.4500000007"/>
    <m/>
    <x v="3"/>
  </r>
  <r>
    <x v="24"/>
    <m/>
    <n v="2706.5"/>
    <n v="3457179.9500000007"/>
    <s v="税金"/>
    <x v="4"/>
  </r>
  <r>
    <x v="25"/>
    <m/>
    <n v="20000"/>
    <n v="3437179.9500000007"/>
    <s v="往来款"/>
    <x v="5"/>
  </r>
  <r>
    <x v="26"/>
    <m/>
    <n v="203.7"/>
    <n v="3436976.2500000005"/>
    <s v="购买办公用品"/>
    <x v="1"/>
  </r>
  <r>
    <x v="26"/>
    <m/>
    <n v="23"/>
    <n v="3436953.2500000005"/>
    <s v="交通费"/>
    <x v="1"/>
  </r>
  <r>
    <x v="26"/>
    <m/>
    <n v="2400"/>
    <n v="3434553.2500000005"/>
    <s v="首次现金支付员工住房公积金"/>
    <x v="8"/>
  </r>
  <r>
    <x v="27"/>
    <m/>
    <n v="4770"/>
    <n v="3429783.2500000005"/>
    <s v="无线网服务费"/>
    <x v="1"/>
  </r>
  <r>
    <x v="28"/>
    <n v="800000"/>
    <m/>
    <n v="4229783.25"/>
    <s v="股份"/>
    <x v="5"/>
  </r>
  <r>
    <x v="29"/>
    <m/>
    <n v="1722"/>
    <n v="4228061.25"/>
    <s v="医保费"/>
    <x v="9"/>
  </r>
  <r>
    <x v="30"/>
    <m/>
    <n v="4147"/>
    <n v="4223914.25"/>
    <s v="社会保险费"/>
    <x v="9"/>
  </r>
  <r>
    <x v="31"/>
    <m/>
    <n v="9683"/>
    <n v="4214231.25"/>
    <s v="工资"/>
    <x v="2"/>
  </r>
  <r>
    <x v="31"/>
    <m/>
    <n v="6786.5"/>
    <n v="4207444.75"/>
    <s v="工资"/>
    <x v="2"/>
  </r>
  <r>
    <x v="32"/>
    <m/>
    <n v="7082.13"/>
    <n v="4200362.62"/>
    <s v="税金"/>
    <x v="10"/>
  </r>
  <r>
    <x v="33"/>
    <m/>
    <n v="9961.4"/>
    <n v="4190401.22"/>
    <s v="工资"/>
    <x v="2"/>
  </r>
  <r>
    <x v="34"/>
    <n v="20000"/>
    <m/>
    <n v="4210401.2200000007"/>
    <s v="还款"/>
    <x v="5"/>
  </r>
  <r>
    <x v="35"/>
    <m/>
    <n v="497290.29"/>
    <n v="3713110.9300000006"/>
    <s v="支付货款"/>
    <x v="6"/>
  </r>
  <r>
    <x v="35"/>
    <m/>
    <n v="6400"/>
    <n v="3706710.9300000006"/>
    <s v="采购ERP软件款"/>
    <x v="1"/>
  </r>
  <r>
    <x v="35"/>
    <m/>
    <n v="7700"/>
    <n v="3699010.9300000006"/>
    <s v="预付ERP实施服务费"/>
    <x v="1"/>
  </r>
  <r>
    <x v="36"/>
    <m/>
    <n v="17.5"/>
    <n v="3698993.4300000006"/>
    <s v="手续费"/>
    <x v="1"/>
  </r>
  <r>
    <x v="36"/>
    <m/>
    <n v="68803.23"/>
    <n v="3630190.2000000007"/>
    <s v="支付货款"/>
    <x v="6"/>
  </r>
  <r>
    <x v="37"/>
    <m/>
    <n v="7"/>
    <n v="3630183.2000000007"/>
    <s v="手续费"/>
    <x v="1"/>
  </r>
  <r>
    <x v="38"/>
    <m/>
    <n v="7073.24"/>
    <n v="3623109.9600000004"/>
    <s v="工资"/>
    <x v="2"/>
  </r>
  <r>
    <x v="38"/>
    <m/>
    <n v="9335"/>
    <n v="3613774.9600000004"/>
    <s v="工资"/>
    <x v="2"/>
  </r>
  <r>
    <x v="38"/>
    <m/>
    <n v="4536.93"/>
    <n v="3609238.0300000003"/>
    <s v="工资"/>
    <x v="2"/>
  </r>
  <r>
    <x v="38"/>
    <m/>
    <n v="11926.54"/>
    <n v="3597311.49"/>
    <s v="工资"/>
    <x v="2"/>
  </r>
  <r>
    <x v="38"/>
    <m/>
    <n v="6246.95"/>
    <n v="3591064.54"/>
    <s v="工资"/>
    <x v="2"/>
  </r>
  <r>
    <x v="38"/>
    <m/>
    <n v="4263.1400000000003"/>
    <n v="3586801.4"/>
    <s v="工资"/>
    <x v="2"/>
  </r>
  <r>
    <x v="38"/>
    <m/>
    <n v="4829.71"/>
    <n v="3581971.69"/>
    <s v="工资"/>
    <x v="2"/>
  </r>
  <r>
    <x v="38"/>
    <m/>
    <n v="3483"/>
    <n v="3578488.69"/>
    <s v="医保费"/>
    <x v="9"/>
  </r>
  <r>
    <x v="39"/>
    <m/>
    <n v="8381"/>
    <n v="3570107.69"/>
    <s v="社会保险费"/>
    <x v="9"/>
  </r>
  <r>
    <x v="40"/>
    <m/>
    <n v="14138.7"/>
    <n v="3555968.9899999998"/>
    <s v="各项费用报销"/>
    <x v="1"/>
  </r>
  <r>
    <x v="40"/>
    <m/>
    <n v="7528.5"/>
    <n v="3548440.4899999998"/>
    <s v="报销差旅费"/>
    <x v="1"/>
  </r>
  <r>
    <x v="40"/>
    <m/>
    <n v="20264"/>
    <n v="3528176.4899999998"/>
    <s v="10/11月工资"/>
    <x v="2"/>
  </r>
  <r>
    <x v="40"/>
    <m/>
    <n v="16037.75"/>
    <n v="3512138.7399999998"/>
    <s v="10/11月工资"/>
    <x v="2"/>
  </r>
  <r>
    <x v="41"/>
    <m/>
    <n v="24712"/>
    <n v="3487426.7399999998"/>
    <s v="各项费用报销"/>
    <x v="1"/>
  </r>
  <r>
    <x v="41"/>
    <m/>
    <n v="25"/>
    <n v="3487401.7399999998"/>
    <s v="税金"/>
    <x v="4"/>
  </r>
  <r>
    <x v="41"/>
    <m/>
    <n v="6494.03"/>
    <n v="3480907.71"/>
    <s v="税金"/>
    <x v="10"/>
  </r>
  <r>
    <x v="42"/>
    <n v="766"/>
    <m/>
    <n v="3481673.71"/>
    <s v="房租押金退回"/>
    <x v="5"/>
  </r>
  <r>
    <x v="43"/>
    <n v="3095.67"/>
    <m/>
    <n v="3484769.38"/>
    <s v="利息收入"/>
    <x v="3"/>
  </r>
  <r>
    <x v="44"/>
    <m/>
    <n v="7200"/>
    <n v="3477569.38"/>
    <s v="商标代理费"/>
    <x v="1"/>
  </r>
  <r>
    <x v="44"/>
    <m/>
    <n v="14520"/>
    <n v="3463049.38"/>
    <s v="商标代理费"/>
    <x v="1"/>
  </r>
  <r>
    <x v="44"/>
    <m/>
    <n v="1905"/>
    <n v="3461144.38"/>
    <s v="费用报销"/>
    <x v="1"/>
  </r>
  <r>
    <x v="44"/>
    <m/>
    <n v="1283"/>
    <n v="3459861.38"/>
    <s v="费用报销"/>
    <x v="1"/>
  </r>
  <r>
    <x v="45"/>
    <n v="379277.21"/>
    <m/>
    <n v="3839138.59"/>
    <s v="货款"/>
    <x v="7"/>
  </r>
  <r>
    <x v="46"/>
    <n v="231125"/>
    <m/>
    <n v="4070263.59"/>
    <s v="货款"/>
    <x v="7"/>
  </r>
  <r>
    <x v="47"/>
    <m/>
    <n v="7500"/>
    <n v="4062763.59"/>
    <s v="购买服务器"/>
    <x v="1"/>
  </r>
  <r>
    <x v="48"/>
    <m/>
    <n v="300"/>
    <n v="4062463.59"/>
    <s v="微信公众号认证服务费报销"/>
    <x v="1"/>
  </r>
  <r>
    <x v="48"/>
    <m/>
    <n v="900"/>
    <n v="4061563.59"/>
    <s v="搬家费用报销"/>
    <x v="1"/>
  </r>
  <r>
    <x v="49"/>
    <n v="50000"/>
    <m/>
    <n v="4111563.59"/>
    <s v="2016103110381387"/>
    <x v="5"/>
  </r>
  <r>
    <x v="49"/>
    <n v="21.7"/>
    <m/>
    <n v="4111585.29"/>
    <s v="2016103130020011"/>
    <x v="3"/>
  </r>
  <r>
    <x v="50"/>
    <m/>
    <n v="2400"/>
    <n v="4109185.29"/>
    <s v="92102：住房公积金"/>
    <x v="8"/>
  </r>
  <r>
    <x v="51"/>
    <m/>
    <n v="50"/>
    <n v="4109135.29"/>
    <s v="网上银行服务费"/>
    <x v="1"/>
  </r>
  <r>
    <x v="52"/>
    <m/>
    <n v="8592"/>
    <n v="4100543.29"/>
    <s v="92102：住房公积金"/>
    <x v="8"/>
  </r>
  <r>
    <x v="43"/>
    <n v="43.28"/>
    <m/>
    <n v="4100586.57"/>
    <s v="活期结算户结息43.28扣税:.00"/>
    <x v="3"/>
  </r>
  <r>
    <x v="53"/>
    <m/>
    <n v="50"/>
    <n v="4100536.57"/>
    <s v="2016.11月账户管理费扣费"/>
    <x v="1"/>
  </r>
  <r>
    <x v="54"/>
    <m/>
    <n v="20"/>
    <n v="4100516.57"/>
    <s v="手续费"/>
    <x v="1"/>
  </r>
  <r>
    <x v="55"/>
    <m/>
    <n v="9217.0400000000009"/>
    <n v="4091299.53"/>
    <s v="社会保险费"/>
    <x v="9"/>
  </r>
  <r>
    <x v="55"/>
    <m/>
    <n v="3996.24"/>
    <n v="4087303.2899999996"/>
    <s v="医保费"/>
    <x v="9"/>
  </r>
  <r>
    <x v="56"/>
    <n v="0.02"/>
    <m/>
    <n v="4087303.3099999996"/>
    <s v="试打款"/>
    <x v="3"/>
  </r>
  <r>
    <x v="56"/>
    <n v="1349.28"/>
    <m/>
    <n v="4088652.5899999994"/>
    <s v="代垫社保还款"/>
    <x v="3"/>
  </r>
  <r>
    <x v="56"/>
    <m/>
    <n v="16037.75"/>
    <n v="4072614.8399999994"/>
    <s v="工资"/>
    <x v="2"/>
  </r>
  <r>
    <x v="56"/>
    <m/>
    <n v="6608.84"/>
    <n v="4066005.9999999995"/>
    <s v="工资"/>
    <x v="2"/>
  </r>
  <r>
    <x v="56"/>
    <m/>
    <n v="9335"/>
    <n v="4056670.9999999995"/>
    <s v="工资"/>
    <x v="2"/>
  </r>
  <r>
    <x v="56"/>
    <m/>
    <n v="4536.93"/>
    <n v="4052134.0699999994"/>
    <s v="工资"/>
    <x v="2"/>
  </r>
  <r>
    <x v="56"/>
    <m/>
    <n v="13578.06"/>
    <n v="4038556.0099999993"/>
    <s v="工资"/>
    <x v="2"/>
  </r>
  <r>
    <x v="56"/>
    <m/>
    <n v="14167.83"/>
    <n v="4024388.1799999992"/>
    <s v="工资"/>
    <x v="2"/>
  </r>
  <r>
    <x v="56"/>
    <m/>
    <n v="4829.71"/>
    <n v="4019558.4699999993"/>
    <s v="工资"/>
    <x v="2"/>
  </r>
  <r>
    <x v="57"/>
    <m/>
    <n v="9020.33"/>
    <n v="4010538.1399999992"/>
    <s v="税金"/>
    <x v="10"/>
  </r>
  <r>
    <x v="58"/>
    <m/>
    <n v="8100"/>
    <n v="4002438.1399999992"/>
    <s v="借支备用金"/>
    <x v="6"/>
  </r>
  <r>
    <x v="58"/>
    <m/>
    <n v="3304.8"/>
    <n v="3999133.3399999994"/>
    <s v="购买云主机"/>
    <x v="1"/>
  </r>
  <r>
    <x v="59"/>
    <m/>
    <n v="16076"/>
    <n v="3983057.3399999994"/>
    <s v="各项费用报销"/>
    <x v="1"/>
  </r>
  <r>
    <x v="60"/>
    <m/>
    <n v="188"/>
    <n v="3982869.3399999994"/>
    <s v="费用报销"/>
    <x v="1"/>
  </r>
  <r>
    <x v="60"/>
    <m/>
    <n v="1367"/>
    <n v="3981502.3399999994"/>
    <s v="费用报销"/>
    <x v="1"/>
  </r>
  <r>
    <x v="60"/>
    <m/>
    <n v="8527.6"/>
    <n v="3972974.7399999993"/>
    <s v="费用报销"/>
    <x v="1"/>
  </r>
  <r>
    <x v="60"/>
    <m/>
    <n v="3213"/>
    <n v="3969761.7399999993"/>
    <s v="费用报销"/>
    <x v="1"/>
  </r>
  <r>
    <x v="61"/>
    <m/>
    <n v="3483"/>
    <n v="3966278.7399999993"/>
    <s v="医保费"/>
    <x v="9"/>
  </r>
  <r>
    <x v="62"/>
    <m/>
    <n v="8381"/>
    <n v="3957897.7399999993"/>
    <s v="社会保险费"/>
    <x v="9"/>
  </r>
  <r>
    <x v="62"/>
    <m/>
    <n v="29747.75"/>
    <n v="3928149.9899999993"/>
    <s v="工资奖金"/>
    <x v="2"/>
  </r>
  <r>
    <x v="62"/>
    <m/>
    <n v="11694.9"/>
    <n v="3916455.0899999994"/>
    <s v="工资奖金"/>
    <x v="2"/>
  </r>
  <r>
    <x v="62"/>
    <m/>
    <n v="14692"/>
    <n v="3901763.0899999994"/>
    <s v="工资奖金"/>
    <x v="2"/>
  </r>
  <r>
    <x v="62"/>
    <m/>
    <n v="6234.43"/>
    <n v="3895528.6599999992"/>
    <s v="工资奖金"/>
    <x v="2"/>
  </r>
  <r>
    <x v="62"/>
    <m/>
    <n v="22330.43"/>
    <n v="3873198.2299999991"/>
    <s v="工资奖金"/>
    <x v="2"/>
  </r>
  <r>
    <x v="62"/>
    <m/>
    <n v="24072.41"/>
    <n v="3849125.8199999989"/>
    <s v="工资奖金"/>
    <x v="2"/>
  </r>
  <r>
    <x v="62"/>
    <m/>
    <n v="4685.46"/>
    <n v="3844440.3599999989"/>
    <s v="工资奖金"/>
    <x v="2"/>
  </r>
  <r>
    <x v="62"/>
    <m/>
    <n v="60"/>
    <n v="3844380.3599999989"/>
    <s v="补发工资"/>
    <x v="2"/>
  </r>
  <r>
    <x v="62"/>
    <m/>
    <n v="5059.3500000000004"/>
    <n v="3839321.0099999988"/>
    <s v="税金"/>
    <x v="10"/>
  </r>
  <r>
    <x v="63"/>
    <m/>
    <n v="1500"/>
    <n v="3837821.0099999988"/>
    <s v="物流仓储费"/>
    <x v="6"/>
  </r>
  <r>
    <x v="64"/>
    <m/>
    <n v="221365.5"/>
    <n v="3616455.5099999988"/>
    <s v="支付采购大米货款"/>
    <x v="6"/>
  </r>
  <r>
    <x v="64"/>
    <m/>
    <n v="13500"/>
    <n v="3602955.5099999988"/>
    <s v="油鸡货款"/>
    <x v="6"/>
  </r>
  <r>
    <x v="65"/>
    <m/>
    <n v="10.5"/>
    <n v="3602945.0099999988"/>
    <s v="手续费"/>
    <x v="1"/>
  </r>
  <r>
    <x v="66"/>
    <m/>
    <n v="1291.4000000000001"/>
    <n v="3601653.6099999989"/>
    <s v="费用报销"/>
    <x v="1"/>
  </r>
  <r>
    <x v="66"/>
    <m/>
    <n v="1852"/>
    <n v="3599801.6099999989"/>
    <s v="费用报销"/>
    <x v="1"/>
  </r>
  <r>
    <x v="66"/>
    <m/>
    <n v="9142.0499999999993"/>
    <n v="3590659.5599999991"/>
    <s v="费用报销"/>
    <x v="1"/>
  </r>
  <r>
    <x v="66"/>
    <m/>
    <n v="3260"/>
    <n v="3587399.5599999991"/>
    <s v="各项费用报销"/>
    <x v="1"/>
  </r>
  <r>
    <x v="67"/>
    <m/>
    <n v="2100"/>
    <n v="3585299.5599999991"/>
    <s v="电费"/>
    <x v="1"/>
  </r>
  <r>
    <x v="68"/>
    <m/>
    <n v="16037.75"/>
    <n v="3569261.8099999991"/>
    <s v="工资"/>
    <x v="2"/>
  </r>
  <r>
    <x v="68"/>
    <m/>
    <n v="6608.84"/>
    <n v="3562652.9699999993"/>
    <s v="工资"/>
    <x v="2"/>
  </r>
  <r>
    <x v="68"/>
    <m/>
    <n v="9335"/>
    <n v="3553317.9699999993"/>
    <s v="工资"/>
    <x v="2"/>
  </r>
  <r>
    <x v="68"/>
    <m/>
    <n v="4536.93"/>
    <n v="3548781.0399999991"/>
    <s v="工资"/>
    <x v="2"/>
  </r>
  <r>
    <x v="68"/>
    <m/>
    <n v="14169.2"/>
    <n v="3534611.8399999989"/>
    <s v="工资"/>
    <x v="2"/>
  </r>
  <r>
    <x v="68"/>
    <m/>
    <n v="18305.759999999998"/>
    <n v="3516306.0799999991"/>
    <s v="工资"/>
    <x v="2"/>
  </r>
  <r>
    <x v="68"/>
    <m/>
    <n v="2499.86"/>
    <n v="3513806.2199999993"/>
    <s v="工资"/>
    <x v="2"/>
  </r>
  <r>
    <x v="69"/>
    <m/>
    <n v="20000"/>
    <n v="3493806.2199999993"/>
    <s v="履约保证金"/>
    <x v="5"/>
  </r>
  <r>
    <x v="70"/>
    <m/>
    <n v="10101.709999999999"/>
    <n v="3483704.5099999993"/>
    <s v="税金"/>
    <x v="10"/>
  </r>
  <r>
    <x v="71"/>
    <n v="695125"/>
    <m/>
    <n v="4178829.5099999993"/>
    <s v="货款"/>
    <x v="7"/>
  </r>
  <r>
    <x v="72"/>
    <n v="554865.62"/>
    <m/>
    <n v="4733695.129999999"/>
    <s v="货款"/>
    <x v="7"/>
  </r>
  <r>
    <x v="73"/>
    <m/>
    <n v="698778.3"/>
    <n v="4034916.8299999991"/>
    <s v="付蔬菜货款"/>
    <x v="6"/>
  </r>
  <r>
    <x v="73"/>
    <m/>
    <n v="225052.75"/>
    <n v="3809864.0799999991"/>
    <s v="付蔬菜货款"/>
    <x v="6"/>
  </r>
  <r>
    <x v="74"/>
    <m/>
    <n v="28"/>
    <n v="3809836.0799999991"/>
    <s v="手续费"/>
    <x v="1"/>
  </r>
  <r>
    <x v="75"/>
    <n v="3141.52"/>
    <m/>
    <n v="3812977.5999999992"/>
    <s v="利息收入"/>
    <x v="3"/>
  </r>
  <r>
    <x v="75"/>
    <m/>
    <n v="8600"/>
    <n v="3804377.5999999992"/>
    <s v="无线网服务费"/>
    <x v="1"/>
  </r>
  <r>
    <x v="76"/>
    <m/>
    <n v="9432.6200000000008"/>
    <n v="3794944.9799999991"/>
    <s v="返点"/>
    <x v="1"/>
  </r>
  <r>
    <x v="77"/>
    <n v="37730.480000000003"/>
    <m/>
    <n v="3832675.459999999"/>
    <s v="货款"/>
    <x v="7"/>
  </r>
  <r>
    <x v="78"/>
    <m/>
    <n v="5532"/>
    <n v="3827143.459999999"/>
    <s v="费用报销"/>
    <x v="1"/>
  </r>
  <r>
    <x v="79"/>
    <m/>
    <n v="16037.75"/>
    <n v="3811105.709999999"/>
    <s v="工资"/>
    <x v="2"/>
  </r>
  <r>
    <x v="79"/>
    <m/>
    <n v="6608.84"/>
    <n v="3804496.8699999992"/>
    <s v="工资"/>
    <x v="2"/>
  </r>
  <r>
    <x v="79"/>
    <m/>
    <n v="9335"/>
    <n v="3795161.8699999992"/>
    <s v="工资"/>
    <x v="2"/>
  </r>
  <r>
    <x v="79"/>
    <m/>
    <n v="4439.93"/>
    <n v="3790721.939999999"/>
    <s v="工资"/>
    <x v="2"/>
  </r>
  <r>
    <x v="79"/>
    <m/>
    <n v="14169.2"/>
    <n v="3776552.7399999988"/>
    <s v="工资"/>
    <x v="2"/>
  </r>
  <r>
    <x v="79"/>
    <m/>
    <n v="19986.8"/>
    <n v="3756565.939999999"/>
    <s v="工资"/>
    <x v="2"/>
  </r>
  <r>
    <x v="79"/>
    <m/>
    <n v="5322.54"/>
    <n v="3751243.399999999"/>
    <s v="工资"/>
    <x v="2"/>
  </r>
  <r>
    <x v="79"/>
    <m/>
    <n v="3660.36"/>
    <n v="3747583.0399999991"/>
    <s v="工资"/>
    <x v="2"/>
  </r>
  <r>
    <x v="79"/>
    <m/>
    <n v="2137.38"/>
    <n v="3745445.6599999992"/>
    <s v="工资"/>
    <x v="2"/>
  </r>
  <r>
    <x v="80"/>
    <m/>
    <n v="10659.22"/>
    <n v="3734786.439999999"/>
    <s v="税金"/>
    <x v="10"/>
  </r>
  <r>
    <x v="81"/>
    <m/>
    <n v="8745.6"/>
    <n v="3726040.8399999989"/>
    <s v="返点"/>
    <x v="1"/>
  </r>
  <r>
    <x v="81"/>
    <m/>
    <n v="1160.7"/>
    <n v="3724880.1399999987"/>
    <s v="返点"/>
    <x v="1"/>
  </r>
  <r>
    <x v="81"/>
    <m/>
    <n v="2748.55"/>
    <n v="3722131.5899999989"/>
    <s v="返点"/>
    <x v="1"/>
  </r>
  <r>
    <x v="81"/>
    <n v="10994.2"/>
    <m/>
    <n v="3733125.7899999991"/>
    <s v="货款"/>
    <x v="7"/>
  </r>
  <r>
    <x v="81"/>
    <n v="139625.13"/>
    <m/>
    <n v="3872750.919999999"/>
    <s v="货款"/>
    <x v="7"/>
  </r>
  <r>
    <x v="81"/>
    <m/>
    <n v="345480"/>
    <n v="3527270.919999999"/>
    <s v="支付采购大米货款"/>
    <x v="6"/>
  </r>
  <r>
    <x v="82"/>
    <m/>
    <n v="10.5"/>
    <n v="3527260.419999999"/>
    <s v="手续费"/>
    <x v="1"/>
  </r>
  <r>
    <x v="83"/>
    <n v="944125.53"/>
    <m/>
    <n v="4471385.9499999993"/>
    <s v="货款"/>
    <x v="7"/>
  </r>
  <r>
    <x v="84"/>
    <m/>
    <n v="4400"/>
    <n v="4466985.9499999993"/>
    <s v="付ERP实施服务费尾款"/>
    <x v="1"/>
  </r>
  <r>
    <x v="84"/>
    <m/>
    <n v="5523"/>
    <n v="4461462.9499999993"/>
    <s v="费用报销"/>
    <x v="1"/>
  </r>
  <r>
    <x v="84"/>
    <m/>
    <n v="2217"/>
    <n v="4459245.9499999993"/>
    <s v="费用报销"/>
    <x v="1"/>
  </r>
  <r>
    <x v="85"/>
    <m/>
    <n v="856594"/>
    <n v="3602651.9499999993"/>
    <s v="支付采购米面油货款"/>
    <x v="6"/>
  </r>
  <r>
    <x v="86"/>
    <m/>
    <n v="10.5"/>
    <n v="3602641.4499999993"/>
    <s v="手续费"/>
    <x v="1"/>
  </r>
  <r>
    <x v="87"/>
    <m/>
    <n v="7573.92"/>
    <n v="3595067.5299999993"/>
    <s v="个税"/>
    <x v="10"/>
  </r>
  <r>
    <x v="88"/>
    <m/>
    <n v="5994"/>
    <n v="3589073.5299999993"/>
    <s v="费用报销"/>
    <x v="1"/>
  </r>
  <r>
    <x v="88"/>
    <m/>
    <n v="1725.3"/>
    <n v="3587348.2299999995"/>
    <s v="费用报销"/>
    <x v="1"/>
  </r>
  <r>
    <x v="89"/>
    <m/>
    <n v="6791"/>
    <n v="3580557.2299999995"/>
    <s v="返点"/>
    <x v="1"/>
  </r>
  <r>
    <x v="89"/>
    <m/>
    <n v="2303"/>
    <n v="3578254.2299999995"/>
    <s v="返点"/>
    <x v="1"/>
  </r>
  <r>
    <x v="90"/>
    <m/>
    <n v="880"/>
    <n v="3577374.2299999995"/>
    <s v="采购技术指导书"/>
    <x v="1"/>
  </r>
  <r>
    <x v="91"/>
    <m/>
    <n v="5490.5"/>
    <n v="3571883.7299999995"/>
    <s v="费用报销"/>
    <x v="1"/>
  </r>
  <r>
    <x v="92"/>
    <m/>
    <n v="10.5"/>
    <n v="3571873.2299999995"/>
    <s v="手续费"/>
    <x v="1"/>
  </r>
  <r>
    <x v="92"/>
    <n v="36375.53"/>
    <m/>
    <n v="3608248.7599999993"/>
    <s v="货款"/>
    <x v="7"/>
  </r>
  <r>
    <x v="92"/>
    <m/>
    <n v="14087.75"/>
    <n v="3594161.0099999993"/>
    <s v="工资"/>
    <x v="2"/>
  </r>
  <r>
    <x v="92"/>
    <m/>
    <n v="8922.2000000000007"/>
    <n v="3585238.8099999991"/>
    <s v="工资"/>
    <x v="2"/>
  </r>
  <r>
    <x v="92"/>
    <m/>
    <n v="5737.1"/>
    <n v="3579501.709999999"/>
    <s v="工资"/>
    <x v="2"/>
  </r>
  <r>
    <x v="92"/>
    <m/>
    <n v="51.26"/>
    <n v="3579450.4499999993"/>
    <s v="工资"/>
    <x v="2"/>
  </r>
  <r>
    <x v="92"/>
    <m/>
    <n v="8022.78"/>
    <n v="3571427.6699999995"/>
    <s v="工资"/>
    <x v="2"/>
  </r>
  <r>
    <x v="92"/>
    <m/>
    <n v="2702.34"/>
    <n v="3568725.3299999996"/>
    <s v="工资"/>
    <x v="2"/>
  </r>
  <r>
    <x v="92"/>
    <m/>
    <n v="2970.95"/>
    <n v="3565754.3799999994"/>
    <s v="工资"/>
    <x v="2"/>
  </r>
  <r>
    <x v="92"/>
    <m/>
    <n v="9366.34"/>
    <n v="3556388.0399999996"/>
    <s v="工资"/>
    <x v="2"/>
  </r>
  <r>
    <x v="92"/>
    <m/>
    <n v="16236.8"/>
    <n v="3540151.2399999998"/>
    <s v="工资"/>
    <x v="2"/>
  </r>
  <r>
    <x v="93"/>
    <m/>
    <n v="10.5"/>
    <n v="3540140.7399999998"/>
    <s v="手续费"/>
    <x v="1"/>
  </r>
  <r>
    <x v="94"/>
    <m/>
    <n v="42810"/>
    <n v="3497330.7399999998"/>
    <s v="支付采购大米货款"/>
    <x v="6"/>
  </r>
  <r>
    <x v="94"/>
    <m/>
    <n v="42810"/>
    <n v="3454520.7399999998"/>
    <s v="支付采购大米货款"/>
    <x v="6"/>
  </r>
  <r>
    <x v="94"/>
    <m/>
    <n v="42810"/>
    <n v="3411710.7399999998"/>
    <s v="支付采购大米货款"/>
    <x v="6"/>
  </r>
  <r>
    <x v="94"/>
    <m/>
    <n v="42810"/>
    <n v="3368900.7399999998"/>
    <s v="支付采购大米货款"/>
    <x v="6"/>
  </r>
  <r>
    <x v="95"/>
    <m/>
    <n v="330"/>
    <n v="3368570.7399999998"/>
    <s v="支付税控系统服务费"/>
    <x v="1"/>
  </r>
  <r>
    <x v="96"/>
    <m/>
    <n v="9820"/>
    <n v="3358750.7399999998"/>
    <s v="2月和3月配送费及仓储费"/>
    <x v="6"/>
  </r>
  <r>
    <x v="97"/>
    <m/>
    <n v="8130.19"/>
    <n v="3350620.55"/>
    <s v="个税"/>
    <x v="10"/>
  </r>
  <r>
    <x v="98"/>
    <m/>
    <n v="5591"/>
    <n v="3345029.55"/>
    <s v="返点"/>
    <x v="1"/>
  </r>
  <r>
    <x v="98"/>
    <m/>
    <n v="2772"/>
    <n v="3342257.55"/>
    <s v="返点"/>
    <x v="1"/>
  </r>
  <r>
    <x v="98"/>
    <m/>
    <n v="1765"/>
    <n v="3340492.55"/>
    <s v="费用报销"/>
    <x v="1"/>
  </r>
  <r>
    <x v="98"/>
    <m/>
    <n v="762.5"/>
    <n v="3339730.05"/>
    <s v="费用报销"/>
    <x v="1"/>
  </r>
  <r>
    <x v="98"/>
    <m/>
    <n v="16700.5"/>
    <n v="3323029.55"/>
    <s v="费用报销"/>
    <x v="1"/>
  </r>
  <r>
    <x v="98"/>
    <m/>
    <n v="804.46"/>
    <n v="3322225.09"/>
    <s v="费用报销"/>
    <x v="1"/>
  </r>
  <r>
    <x v="99"/>
    <n v="2331.3200000000002"/>
    <m/>
    <n v="3324556.4099999997"/>
    <s v="利息收入"/>
    <x v="3"/>
  </r>
  <r>
    <x v="100"/>
    <m/>
    <n v="14087.75"/>
    <n v="3310468.6599999997"/>
    <s v="工资"/>
    <x v="2"/>
  </r>
  <r>
    <x v="100"/>
    <m/>
    <n v="8922.2000000000007"/>
    <n v="3301546.4599999995"/>
    <s v="工资"/>
    <x v="2"/>
  </r>
  <r>
    <x v="100"/>
    <m/>
    <n v="9449.16"/>
    <n v="3292097.2999999993"/>
    <s v="工资"/>
    <x v="2"/>
  </r>
  <r>
    <x v="100"/>
    <m/>
    <n v="13236.8"/>
    <n v="3278860.4999999995"/>
    <s v="工资"/>
    <x v="2"/>
  </r>
  <r>
    <x v="100"/>
    <m/>
    <n v="13886.19"/>
    <n v="3264974.3099999996"/>
    <s v="工资"/>
    <x v="2"/>
  </r>
  <r>
    <x v="100"/>
    <m/>
    <n v="2342.84"/>
    <n v="3262631.4699999997"/>
    <s v="工资"/>
    <x v="2"/>
  </r>
  <r>
    <x v="100"/>
    <m/>
    <n v="2631.73"/>
    <n v="3259999.7399999998"/>
    <s v="工资"/>
    <x v="2"/>
  </r>
  <r>
    <x v="100"/>
    <m/>
    <n v="5713"/>
    <n v="3254286.7399999998"/>
    <s v="费用报销"/>
    <x v="1"/>
  </r>
  <r>
    <x v="100"/>
    <n v="33450.47"/>
    <m/>
    <n v="3287737.21"/>
    <s v="货款"/>
    <x v="7"/>
  </r>
  <r>
    <x v="100"/>
    <m/>
    <n v="345"/>
    <n v="3287392.21"/>
    <s v="费用报销"/>
    <x v="1"/>
  </r>
  <r>
    <x v="101"/>
    <n v="344983.39"/>
    <m/>
    <n v="3632375.6"/>
    <s v="货款"/>
    <x v="7"/>
  </r>
  <r>
    <x v="102"/>
    <m/>
    <n v="462.6"/>
    <n v="3631913"/>
    <s v="印花税"/>
    <x v="4"/>
  </r>
  <r>
    <x v="102"/>
    <m/>
    <n v="627"/>
    <n v="3631286"/>
    <s v="印花税"/>
    <x v="4"/>
  </r>
  <r>
    <x v="102"/>
    <m/>
    <n v="1.5"/>
    <n v="3631284.5"/>
    <s v="印花税"/>
    <x v="4"/>
  </r>
  <r>
    <x v="103"/>
    <m/>
    <n v="10.5"/>
    <n v="3631274"/>
    <s v="手续费"/>
    <x v="1"/>
  </r>
  <r>
    <x v="103"/>
    <m/>
    <n v="130753.53"/>
    <n v="3500520.47"/>
    <s v="蔬菜货款"/>
    <x v="6"/>
  </r>
  <r>
    <x v="104"/>
    <m/>
    <n v="7548"/>
    <n v="3492972.47"/>
    <s v="购买云数据库"/>
    <x v="1"/>
  </r>
  <r>
    <x v="104"/>
    <m/>
    <n v="20143.96"/>
    <n v="3472828.5100000002"/>
    <s v="个税"/>
    <x v="10"/>
  </r>
  <r>
    <x v="104"/>
    <n v="330"/>
    <m/>
    <n v="3473158.5100000002"/>
    <m/>
    <x v="3"/>
  </r>
  <r>
    <x v="105"/>
    <n v="37983.199999999997"/>
    <m/>
    <n v="3511141.7100000004"/>
    <s v="货款"/>
    <x v="7"/>
  </r>
  <r>
    <x v="106"/>
    <n v="28210"/>
    <m/>
    <n v="3539351.7100000004"/>
    <s v="货款"/>
    <x v="7"/>
  </r>
  <r>
    <x v="107"/>
    <n v="494756.83"/>
    <m/>
    <n v="4034108.5400000005"/>
    <s v="货款"/>
    <x v="7"/>
  </r>
  <r>
    <x v="108"/>
    <m/>
    <n v="620000"/>
    <n v="3414108.5400000005"/>
    <s v="划错款"/>
    <x v="5"/>
  </r>
  <r>
    <x v="109"/>
    <m/>
    <n v="14"/>
    <n v="3414094.5400000005"/>
    <s v="手续费"/>
    <x v="1"/>
  </r>
  <r>
    <x v="109"/>
    <m/>
    <n v="1000"/>
    <n v="3413094.5400000005"/>
    <s v="罚款"/>
    <x v="11"/>
  </r>
  <r>
    <x v="109"/>
    <m/>
    <n v="1383"/>
    <n v="3411711.5400000005"/>
    <s v="费用报销"/>
    <x v="1"/>
  </r>
  <r>
    <x v="109"/>
    <m/>
    <n v="13960.5"/>
    <n v="3397751.0400000005"/>
    <s v="费用报销"/>
    <x v="1"/>
  </r>
  <r>
    <x v="110"/>
    <m/>
    <n v="1000"/>
    <n v="3396751.0400000005"/>
    <s v="罚款"/>
    <x v="11"/>
  </r>
  <r>
    <x v="111"/>
    <m/>
    <n v="1268"/>
    <n v="3395483.0400000005"/>
    <s v="4月份返点"/>
    <x v="1"/>
  </r>
  <r>
    <x v="111"/>
    <m/>
    <n v="2298"/>
    <n v="3393185.0400000005"/>
    <s v="4月份返点"/>
    <x v="1"/>
  </r>
  <r>
    <x v="112"/>
    <n v="14261.74"/>
    <m/>
    <n v="3407446.7800000007"/>
    <s v="货款"/>
    <x v="7"/>
  </r>
  <r>
    <x v="112"/>
    <n v="218804.9"/>
    <m/>
    <n v="3626251.6800000006"/>
    <s v="货款"/>
    <x v="7"/>
  </r>
  <r>
    <x v="112"/>
    <m/>
    <n v="29882.75"/>
    <n v="3596368.9300000006"/>
    <s v="工资及劳务费"/>
    <x v="2"/>
  </r>
  <r>
    <x v="112"/>
    <m/>
    <n v="8922.2000000000007"/>
    <n v="3587446.7300000004"/>
    <s v="工资及劳务费"/>
    <x v="2"/>
  </r>
  <r>
    <x v="112"/>
    <m/>
    <n v="24712.26"/>
    <n v="3562734.4700000007"/>
    <s v="工资及劳务费"/>
    <x v="2"/>
  </r>
  <r>
    <x v="112"/>
    <m/>
    <n v="26361.8"/>
    <n v="3536372.6700000009"/>
    <s v="工资及劳务费"/>
    <x v="2"/>
  </r>
  <r>
    <x v="112"/>
    <m/>
    <n v="3365.53"/>
    <n v="3533007.1400000011"/>
    <s v="工资及劳务费"/>
    <x v="2"/>
  </r>
  <r>
    <x v="112"/>
    <m/>
    <n v="866.21"/>
    <n v="3532140.9300000011"/>
    <s v="工资及劳务费"/>
    <x v="2"/>
  </r>
  <r>
    <x v="113"/>
    <n v="345504.43"/>
    <m/>
    <n v="3877645.3600000013"/>
    <s v="货款"/>
    <x v="7"/>
  </r>
  <r>
    <x v="114"/>
    <n v="620000"/>
    <m/>
    <n v="4497645.3600000013"/>
    <s v="退回划错款"/>
    <x v="5"/>
  </r>
  <r>
    <x v="115"/>
    <m/>
    <n v="10.5"/>
    <n v="4497634.8600000013"/>
    <s v="手续费"/>
    <x v="1"/>
  </r>
  <r>
    <x v="116"/>
    <m/>
    <n v="7542.15"/>
    <n v="4490092.7100000009"/>
    <s v="费用报销"/>
    <x v="1"/>
  </r>
  <r>
    <x v="116"/>
    <m/>
    <n v="995.54"/>
    <n v="4489097.1700000009"/>
    <s v="费用报销"/>
    <x v="1"/>
  </r>
  <r>
    <x v="117"/>
    <n v="26519"/>
    <m/>
    <n v="4515616.1700000009"/>
    <s v="货款"/>
    <x v="7"/>
  </r>
  <r>
    <x v="118"/>
    <m/>
    <n v="500000"/>
    <n v="4015616.1700000009"/>
    <s v="借款"/>
    <x v="5"/>
  </r>
  <r>
    <x v="119"/>
    <m/>
    <n v="10.5"/>
    <n v="4015605.6700000009"/>
    <s v="手续费"/>
    <x v="1"/>
  </r>
  <r>
    <x v="119"/>
    <m/>
    <n v="7534.83"/>
    <n v="4008070.8400000008"/>
    <s v="个税"/>
    <x v="10"/>
  </r>
  <r>
    <x v="120"/>
    <n v="370818"/>
    <m/>
    <n v="4378888.8400000008"/>
    <s v="货款"/>
    <x v="7"/>
  </r>
  <r>
    <x v="121"/>
    <m/>
    <n v="423"/>
    <n v="4378465.8400000008"/>
    <s v="费用报销"/>
    <x v="1"/>
  </r>
  <r>
    <x v="121"/>
    <m/>
    <n v="8614.0400000000009"/>
    <n v="4369851.8000000007"/>
    <s v="费用报销"/>
    <x v="1"/>
  </r>
  <r>
    <x v="121"/>
    <m/>
    <n v="2996"/>
    <n v="4366855.8000000007"/>
    <s v="费用报销"/>
    <x v="1"/>
  </r>
  <r>
    <x v="122"/>
    <m/>
    <n v="298484"/>
    <n v="4068371.8000000007"/>
    <s v="支付3-5月份粮油货款"/>
    <x v="6"/>
  </r>
  <r>
    <x v="123"/>
    <m/>
    <n v="10.5"/>
    <n v="4068361.3000000007"/>
    <s v="手续费"/>
    <x v="1"/>
  </r>
  <r>
    <x v="124"/>
    <m/>
    <n v="150"/>
    <n v="4068211.3000000007"/>
    <s v="5月份返点"/>
    <x v="1"/>
  </r>
  <r>
    <x v="125"/>
    <m/>
    <n v="68440"/>
    <n v="3999771.3000000007"/>
    <s v="三四五月份的配送费"/>
    <x v="6"/>
  </r>
  <r>
    <x v="126"/>
    <m/>
    <n v="7"/>
    <n v="3999764.3000000007"/>
    <s v="手续费"/>
    <x v="1"/>
  </r>
  <r>
    <x v="126"/>
    <m/>
    <n v="277080"/>
    <n v="3722684.3000000007"/>
    <s v="支付采购大米货款"/>
    <x v="6"/>
  </r>
  <r>
    <x v="126"/>
    <n v="597.29999999999995"/>
    <m/>
    <n v="3723281.6000000006"/>
    <s v="货款"/>
    <x v="7"/>
  </r>
  <r>
    <x v="127"/>
    <m/>
    <n v="10.5"/>
    <n v="3723271.1000000006"/>
    <s v="手续费"/>
    <x v="1"/>
  </r>
  <r>
    <x v="127"/>
    <m/>
    <n v="14087.75"/>
    <n v="3709183.3500000006"/>
    <s v="工资及劳务费"/>
    <x v="2"/>
  </r>
  <r>
    <x v="127"/>
    <m/>
    <n v="8922.2000000000007"/>
    <n v="3700261.1500000004"/>
    <s v="工资及劳务费"/>
    <x v="2"/>
  </r>
  <r>
    <x v="127"/>
    <m/>
    <n v="4004.9"/>
    <n v="3696256.2500000005"/>
    <s v="工资及劳务费"/>
    <x v="2"/>
  </r>
  <r>
    <x v="127"/>
    <m/>
    <n v="1219.31"/>
    <n v="3695036.9400000004"/>
    <s v="工资及劳务费"/>
    <x v="2"/>
  </r>
  <r>
    <x v="127"/>
    <m/>
    <n v="14170"/>
    <n v="3680866.9400000004"/>
    <s v="六七八月份的配送费及仓储费"/>
    <x v="6"/>
  </r>
  <r>
    <x v="127"/>
    <m/>
    <n v="12531.42"/>
    <n v="3668335.5200000005"/>
    <s v="工资"/>
    <x v="2"/>
  </r>
  <r>
    <x v="127"/>
    <m/>
    <n v="16198.55"/>
    <n v="3652136.9700000007"/>
    <s v="工资"/>
    <x v="2"/>
  </r>
  <r>
    <x v="128"/>
    <m/>
    <n v="7"/>
    <n v="3652129.9700000007"/>
    <s v="手续费"/>
    <x v="1"/>
  </r>
  <r>
    <x v="129"/>
    <m/>
    <n v="9998"/>
    <n v="3642131.9700000007"/>
    <s v="会议服务"/>
    <x v="1"/>
  </r>
  <r>
    <x v="130"/>
    <m/>
    <n v="3.5"/>
    <n v="3642128.4700000007"/>
    <s v="手续费"/>
    <x v="1"/>
  </r>
  <r>
    <x v="130"/>
    <n v="142695.29"/>
    <m/>
    <n v="3784823.7600000007"/>
    <s v="5月货款"/>
    <x v="7"/>
  </r>
  <r>
    <x v="131"/>
    <m/>
    <n v="206581.36"/>
    <n v="3578242.4000000008"/>
    <s v="支付5月毛菜货款"/>
    <x v="6"/>
  </r>
  <r>
    <x v="131"/>
    <m/>
    <n v="2937.85"/>
    <n v="3575304.5500000007"/>
    <s v="费用报销"/>
    <x v="1"/>
  </r>
  <r>
    <x v="131"/>
    <m/>
    <n v="783.7"/>
    <n v="3574520.8500000006"/>
    <s v="费用报销"/>
    <x v="1"/>
  </r>
  <r>
    <x v="131"/>
    <m/>
    <n v="2189"/>
    <n v="3572331.8500000006"/>
    <s v="费用报销"/>
    <x v="1"/>
  </r>
  <r>
    <x v="132"/>
    <m/>
    <n v="10.5"/>
    <n v="3572321.3500000006"/>
    <s v="手续费"/>
    <x v="1"/>
  </r>
  <r>
    <x v="133"/>
    <m/>
    <n v="250000"/>
    <n v="3322321.3500000006"/>
    <s v="代付股权购买款"/>
    <x v="5"/>
  </r>
  <r>
    <x v="133"/>
    <m/>
    <n v="400000"/>
    <n v="2922321.3500000006"/>
    <s v="代付股权购买款"/>
    <x v="5"/>
  </r>
  <r>
    <x v="134"/>
    <m/>
    <n v="21"/>
    <n v="2922300.3500000006"/>
    <s v="手续费"/>
    <x v="1"/>
  </r>
  <r>
    <x v="135"/>
    <n v="1200000"/>
    <m/>
    <n v="4122300.3500000006"/>
    <s v=""/>
    <x v="5"/>
  </r>
  <r>
    <x v="136"/>
    <m/>
    <n v="1200000"/>
    <n v="2922300.3500000006"/>
    <s v="款项退回"/>
    <x v="5"/>
  </r>
  <r>
    <x v="137"/>
    <m/>
    <n v="16.8"/>
    <n v="2922283.5500000007"/>
    <s v="手续费"/>
    <x v="1"/>
  </r>
  <r>
    <x v="138"/>
    <m/>
    <n v="7430"/>
    <n v="2914853.5500000007"/>
    <s v="个税"/>
    <x v="10"/>
  </r>
  <r>
    <x v="139"/>
    <n v="1200000"/>
    <m/>
    <n v="4114853.5500000007"/>
    <s v="投资款"/>
    <x v="0"/>
  </r>
  <r>
    <x v="140"/>
    <n v="13110.28"/>
    <m/>
    <n v="4127963.8300000005"/>
    <s v="8月货款"/>
    <x v="7"/>
  </r>
  <r>
    <x v="141"/>
    <n v="2115.64"/>
    <m/>
    <n v="4130079.4700000007"/>
    <s v="利息"/>
    <x v="3"/>
  </r>
  <r>
    <x v="141"/>
    <m/>
    <n v="40"/>
    <n v="4130039.4700000007"/>
    <s v="银行手续费"/>
    <x v="1"/>
  </r>
  <r>
    <x v="142"/>
    <m/>
    <n v="5199"/>
    <n v="4124840.4700000007"/>
    <s v="购买笔记本电脑"/>
    <x v="6"/>
  </r>
  <r>
    <x v="143"/>
    <m/>
    <n v="3000"/>
    <n v="4121840.4700000007"/>
    <s v="微信小程序的UI美工设计"/>
    <x v="6"/>
  </r>
  <r>
    <x v="143"/>
    <m/>
    <n v="501"/>
    <n v="4121339.4700000007"/>
    <s v="费用报销"/>
    <x v="1"/>
  </r>
  <r>
    <x v="143"/>
    <m/>
    <n v="8113.5"/>
    <n v="4113225.9700000007"/>
    <s v="费用报销"/>
    <x v="1"/>
  </r>
  <r>
    <x v="143"/>
    <m/>
    <n v="300"/>
    <n v="4112925.9700000007"/>
    <s v="费用报销"/>
    <x v="1"/>
  </r>
  <r>
    <x v="143"/>
    <m/>
    <n v="88"/>
    <n v="4112837.9700000007"/>
    <s v="费用报销"/>
    <x v="1"/>
  </r>
  <r>
    <x v="143"/>
    <m/>
    <n v="2197.8000000000002"/>
    <n v="4110640.1700000009"/>
    <s v="费用报销"/>
    <x v="1"/>
  </r>
  <r>
    <x v="143"/>
    <m/>
    <n v="14087.75"/>
    <n v="4096552.4200000009"/>
    <s v="工资"/>
    <x v="2"/>
  </r>
  <r>
    <x v="143"/>
    <m/>
    <n v="8922.2000000000007"/>
    <n v="4087630.2200000007"/>
    <s v="工资"/>
    <x v="2"/>
  </r>
  <r>
    <x v="143"/>
    <m/>
    <n v="4004.9"/>
    <n v="4083625.3200000008"/>
    <s v="工资"/>
    <x v="2"/>
  </r>
  <r>
    <x v="143"/>
    <m/>
    <n v="12531.42"/>
    <n v="4071093.9000000008"/>
    <s v="工资"/>
    <x v="2"/>
  </r>
  <r>
    <x v="143"/>
    <m/>
    <n v="16198.55"/>
    <n v="4054895.350000001"/>
    <s v="工资"/>
    <x v="2"/>
  </r>
  <r>
    <x v="144"/>
    <m/>
    <n v="50000"/>
    <n v="4004895.350000001"/>
    <s v="蔬菜采购备用金"/>
    <x v="6"/>
  </r>
  <r>
    <x v="144"/>
    <m/>
    <n v="50000"/>
    <n v="3954895.350000001"/>
    <s v="蔬菜采购备用金"/>
    <x v="6"/>
  </r>
  <r>
    <x v="145"/>
    <m/>
    <n v="23800"/>
    <n v="3931095.350000001"/>
    <s v="支付新风设备款"/>
    <x v="1"/>
  </r>
  <r>
    <x v="146"/>
    <m/>
    <n v="17952.72"/>
    <n v="3913142.6300000008"/>
    <s v="个税"/>
    <x v="10"/>
  </r>
  <r>
    <x v="147"/>
    <m/>
    <n v="30000"/>
    <n v="3883142.6300000008"/>
    <s v="库房租赁保证金(押金)"/>
    <x v="5"/>
  </r>
  <r>
    <x v="148"/>
    <m/>
    <n v="7"/>
    <n v="3883135.6300000008"/>
    <s v="手续费"/>
    <x v="1"/>
  </r>
  <r>
    <x v="148"/>
    <m/>
    <n v="37286"/>
    <n v="3845849.6300000008"/>
    <s v="房租"/>
    <x v="1"/>
  </r>
  <r>
    <x v="148"/>
    <m/>
    <n v="37286"/>
    <n v="3808563.6300000008"/>
    <s v="房租"/>
    <x v="1"/>
  </r>
  <r>
    <x v="149"/>
    <m/>
    <n v="31578.9"/>
    <n v="3776984.7300000009"/>
    <s v="工资及劳务费"/>
    <x v="2"/>
  </r>
  <r>
    <x v="149"/>
    <m/>
    <n v="8922.2000000000007"/>
    <n v="3768062.5300000007"/>
    <s v="工资及劳务费"/>
    <x v="2"/>
  </r>
  <r>
    <x v="149"/>
    <m/>
    <n v="4004.9"/>
    <n v="3764057.6300000008"/>
    <s v="工资及劳务费"/>
    <x v="2"/>
  </r>
  <r>
    <x v="149"/>
    <m/>
    <n v="11523.05"/>
    <n v="3752534.580000001"/>
    <s v="工资及劳务费"/>
    <x v="2"/>
  </r>
  <r>
    <x v="149"/>
    <m/>
    <n v="26416.55"/>
    <n v="3726118.0300000012"/>
    <s v="工资及劳务费"/>
    <x v="2"/>
  </r>
  <r>
    <x v="149"/>
    <m/>
    <n v="2317.2399999999998"/>
    <n v="3723800.790000001"/>
    <s v="工资及劳务费"/>
    <x v="2"/>
  </r>
  <r>
    <x v="149"/>
    <m/>
    <n v="6300"/>
    <n v="3717500.790000001"/>
    <s v="工资及劳务费"/>
    <x v="2"/>
  </r>
  <r>
    <x v="150"/>
    <m/>
    <n v="580000"/>
    <n v="3137500.790000001"/>
    <s v="支付净菜货款"/>
    <x v="6"/>
  </r>
  <r>
    <x v="151"/>
    <m/>
    <n v="420000"/>
    <n v="2717500.790000001"/>
    <s v="支付毛菜货款"/>
    <x v="6"/>
  </r>
  <r>
    <x v="151"/>
    <m/>
    <n v="28162.75"/>
    <n v="2689338.040000001"/>
    <s v="补足备用金"/>
    <x v="6"/>
  </r>
  <r>
    <x v="151"/>
    <m/>
    <n v="50000"/>
    <n v="2639338.040000001"/>
    <s v="补足备用金"/>
    <x v="6"/>
  </r>
  <r>
    <x v="152"/>
    <m/>
    <n v="24.5"/>
    <n v="2639313.540000001"/>
    <s v="手续费"/>
    <x v="1"/>
  </r>
  <r>
    <x v="152"/>
    <m/>
    <n v="12712.3"/>
    <n v="2626601.2400000012"/>
    <s v="费用报销"/>
    <x v="1"/>
  </r>
  <r>
    <x v="152"/>
    <m/>
    <n v="7.2"/>
    <n v="2626594.040000001"/>
    <s v="费用报销"/>
    <x v="1"/>
  </r>
  <r>
    <x v="153"/>
    <n v="500000"/>
    <m/>
    <n v="3126594.040000001"/>
    <s v="爱为客还借款"/>
    <x v="5"/>
  </r>
  <r>
    <x v="154"/>
    <m/>
    <n v="2100"/>
    <n v="3124494.040000001"/>
    <s v="商标申请服务费"/>
    <x v="1"/>
  </r>
  <r>
    <x v="154"/>
    <m/>
    <n v="43621.3"/>
    <n v="3080872.7400000012"/>
    <s v="补足备用金"/>
    <x v="6"/>
  </r>
  <r>
    <x v="154"/>
    <m/>
    <n v="50000"/>
    <n v="3030872.7400000012"/>
    <s v="补足备用金"/>
    <x v="6"/>
  </r>
  <r>
    <x v="155"/>
    <m/>
    <n v="4109"/>
    <n v="3026763.7400000012"/>
    <s v="费用报销"/>
    <x v="1"/>
  </r>
  <r>
    <x v="155"/>
    <m/>
    <n v="4200.57"/>
    <n v="3022563.1700000013"/>
    <s v="个税"/>
    <x v="10"/>
  </r>
  <r>
    <x v="156"/>
    <m/>
    <n v="5901"/>
    <n v="3016662.1700000013"/>
    <s v="补足备用金"/>
    <x v="6"/>
  </r>
  <r>
    <x v="156"/>
    <m/>
    <n v="50000"/>
    <n v="2966662.1700000013"/>
    <s v="补足备用金"/>
    <x v="6"/>
  </r>
  <r>
    <x v="156"/>
    <m/>
    <n v="50000"/>
    <n v="2916662.1700000013"/>
    <s v="补足备用金"/>
    <x v="6"/>
  </r>
  <r>
    <x v="157"/>
    <n v="1800"/>
    <m/>
    <n v="2918462.1700000013"/>
    <s v="退回商标申请服务费"/>
    <x v="3"/>
  </r>
  <r>
    <x v="158"/>
    <m/>
    <n v="14087.75"/>
    <n v="2904374.4200000013"/>
    <s v="工资及劳务费"/>
    <x v="2"/>
  </r>
  <r>
    <x v="158"/>
    <m/>
    <n v="8922.2000000000007"/>
    <n v="2895452.2200000011"/>
    <s v="工资及劳务费"/>
    <x v="2"/>
  </r>
  <r>
    <x v="158"/>
    <m/>
    <n v="4004.9"/>
    <n v="2891447.3200000012"/>
    <s v="工资及劳务费"/>
    <x v="2"/>
  </r>
  <r>
    <x v="158"/>
    <m/>
    <n v="7330.1"/>
    <n v="2884117.2200000011"/>
    <s v="工资及劳务费"/>
    <x v="2"/>
  </r>
  <r>
    <x v="158"/>
    <m/>
    <n v="4955"/>
    <n v="2879162.2200000011"/>
    <s v="工资及劳务费"/>
    <x v="2"/>
  </r>
  <r>
    <x v="158"/>
    <m/>
    <n v="4955"/>
    <n v="2874207.2200000011"/>
    <s v="工资及劳务费"/>
    <x v="2"/>
  </r>
  <r>
    <x v="158"/>
    <m/>
    <n v="4955"/>
    <n v="2869252.2200000011"/>
    <s v="工资及劳务费"/>
    <x v="2"/>
  </r>
  <r>
    <x v="158"/>
    <m/>
    <n v="4955"/>
    <n v="2864297.2200000011"/>
    <s v="工资及劳务费"/>
    <x v="2"/>
  </r>
  <r>
    <x v="158"/>
    <m/>
    <n v="4955"/>
    <n v="2859342.2200000011"/>
    <s v="工资及劳务费"/>
    <x v="2"/>
  </r>
  <r>
    <x v="158"/>
    <m/>
    <n v="4200"/>
    <n v="2855142.2200000011"/>
    <s v="工资及劳务费"/>
    <x v="2"/>
  </r>
  <r>
    <x v="158"/>
    <m/>
    <n v="800"/>
    <n v="2854342.2200000011"/>
    <s v="工资及劳务费"/>
    <x v="1"/>
  </r>
  <r>
    <x v="158"/>
    <m/>
    <n v="800"/>
    <n v="2853542.2200000011"/>
    <s v="工资及劳务费"/>
    <x v="1"/>
  </r>
  <r>
    <x v="158"/>
    <m/>
    <n v="800"/>
    <n v="2852742.2200000011"/>
    <s v="工资及劳务费"/>
    <x v="1"/>
  </r>
  <r>
    <x v="158"/>
    <m/>
    <n v="800"/>
    <n v="2851942.2200000011"/>
    <s v="工资及劳务费"/>
    <x v="1"/>
  </r>
  <r>
    <x v="158"/>
    <m/>
    <n v="800"/>
    <n v="2851142.2200000011"/>
    <s v="工资及劳务费"/>
    <x v="1"/>
  </r>
  <r>
    <x v="159"/>
    <m/>
    <n v="5646.75"/>
    <n v="2845495.4700000011"/>
    <s v="费用报销"/>
    <x v="1"/>
  </r>
  <r>
    <x v="159"/>
    <m/>
    <n v="704"/>
    <n v="2844791.4700000011"/>
    <s v="费用报销"/>
    <x v="1"/>
  </r>
  <r>
    <x v="159"/>
    <n v="291318.67"/>
    <m/>
    <n v="3136110.1400000011"/>
    <s v="6月货款"/>
    <x v="7"/>
  </r>
  <r>
    <x v="160"/>
    <m/>
    <n v="176216.47"/>
    <n v="2959893.6700000009"/>
    <s v="6月份蔬菜货款"/>
    <x v="6"/>
  </r>
  <r>
    <x v="160"/>
    <m/>
    <n v="29000"/>
    <n v="2930893.6700000009"/>
    <s v="装修改造费用"/>
    <x v="1"/>
  </r>
  <r>
    <x v="161"/>
    <m/>
    <n v="10.5"/>
    <n v="2930883.1700000009"/>
    <s v="手续费"/>
    <x v="1"/>
  </r>
  <r>
    <x v="162"/>
    <m/>
    <n v="623"/>
    <n v="2930260.1700000009"/>
    <s v="印花税"/>
    <x v="4"/>
  </r>
  <r>
    <x v="162"/>
    <m/>
    <n v="300"/>
    <n v="2929960.1700000009"/>
    <s v="印花税"/>
    <x v="4"/>
  </r>
  <r>
    <x v="162"/>
    <m/>
    <n v="3833.7"/>
    <n v="2926126.4700000007"/>
    <s v="个税"/>
    <x v="10"/>
  </r>
  <r>
    <x v="163"/>
    <m/>
    <n v="2133.33"/>
    <n v="2923993.1400000006"/>
    <s v="工资及劳务费"/>
    <x v="2"/>
  </r>
  <r>
    <x v="163"/>
    <m/>
    <n v="7733.33"/>
    <n v="2916259.8100000005"/>
    <s v="工资及劳务费"/>
    <x v="2"/>
  </r>
  <r>
    <x v="163"/>
    <m/>
    <n v="5866.67"/>
    <n v="2910393.1400000006"/>
    <s v="工资及劳务费"/>
    <x v="2"/>
  </r>
  <r>
    <x v="163"/>
    <m/>
    <n v="6800"/>
    <n v="2903593.1400000006"/>
    <s v="工资及劳务费"/>
    <x v="2"/>
  </r>
  <r>
    <x v="163"/>
    <m/>
    <n v="7733.33"/>
    <n v="2895859.8100000005"/>
    <s v="工资及劳务费"/>
    <x v="2"/>
  </r>
  <r>
    <x v="163"/>
    <m/>
    <n v="800"/>
    <n v="2895059.8100000005"/>
    <s v="个人劳务费"/>
    <x v="1"/>
  </r>
  <r>
    <x v="163"/>
    <m/>
    <n v="800"/>
    <n v="2894259.8100000005"/>
    <s v="工资及劳务费"/>
    <x v="1"/>
  </r>
  <r>
    <x v="163"/>
    <m/>
    <n v="800"/>
    <n v="2893459.8100000005"/>
    <s v="工资及劳务费"/>
    <x v="1"/>
  </r>
  <r>
    <x v="163"/>
    <m/>
    <n v="800"/>
    <n v="2892659.8100000005"/>
    <s v="个人劳务费"/>
    <x v="1"/>
  </r>
  <r>
    <x v="164"/>
    <n v="392271.35"/>
    <m/>
    <n v="3284931.1600000006"/>
    <s v="8月货款"/>
    <x v="7"/>
  </r>
  <r>
    <x v="164"/>
    <n v="378145.25"/>
    <m/>
    <n v="3663076.4100000006"/>
    <s v="7月货款"/>
    <x v="7"/>
  </r>
  <r>
    <x v="165"/>
    <m/>
    <n v="800"/>
    <n v="3662276.4100000006"/>
    <s v="工资及劳务费"/>
    <x v="1"/>
  </r>
  <r>
    <x v="165"/>
    <m/>
    <n v="7610"/>
    <n v="3654666.4100000006"/>
    <s v="工资及劳务费"/>
    <x v="2"/>
  </r>
  <r>
    <x v="166"/>
    <n v="1773.12"/>
    <m/>
    <n v="3656439.5300000007"/>
    <s v="利息"/>
    <x v="3"/>
  </r>
  <r>
    <x v="166"/>
    <m/>
    <n v="1500000"/>
    <n v="2156439.5300000007"/>
    <s v="入资款"/>
    <x v="12"/>
  </r>
  <r>
    <x v="167"/>
    <m/>
    <n v="21"/>
    <n v="2156418.5300000007"/>
    <s v="手续费"/>
    <x v="1"/>
  </r>
  <r>
    <x v="167"/>
    <n v="500000"/>
    <m/>
    <n v="2656418.5300000007"/>
    <s v="收回投资款"/>
    <x v="3"/>
  </r>
  <r>
    <x v="167"/>
    <m/>
    <n v="5196"/>
    <n v="2651222.5300000007"/>
    <s v="支付供应商发票返点"/>
    <x v="1"/>
  </r>
  <r>
    <x v="168"/>
    <m/>
    <n v="14087.75"/>
    <n v="2637134.7800000007"/>
    <s v="工资及劳务费"/>
    <x v="2"/>
  </r>
  <r>
    <x v="168"/>
    <m/>
    <n v="8922.2000000000007"/>
    <n v="2628212.5800000005"/>
    <s v="工资及劳务费"/>
    <x v="2"/>
  </r>
  <r>
    <x v="168"/>
    <m/>
    <n v="3585.69"/>
    <n v="2624626.8900000006"/>
    <s v="工资及劳务费"/>
    <x v="2"/>
  </r>
  <r>
    <x v="168"/>
    <m/>
    <n v="4955"/>
    <n v="2619671.8900000006"/>
    <s v="工资及劳务费"/>
    <x v="2"/>
  </r>
  <r>
    <x v="168"/>
    <m/>
    <n v="4200"/>
    <n v="2615471.8900000006"/>
    <s v="工资及劳务费"/>
    <x v="2"/>
  </r>
  <r>
    <x v="169"/>
    <m/>
    <n v="6160"/>
    <n v="2609311.8900000006"/>
    <s v="费用报销"/>
    <x v="2"/>
  </r>
  <r>
    <x v="170"/>
    <m/>
    <n v="50"/>
    <n v="2609261.8900000006"/>
    <s v="网上银行服务费"/>
    <x v="1"/>
  </r>
  <r>
    <x v="56"/>
    <m/>
    <n v="257.47000000000003"/>
    <n v="2609004.4200000004"/>
    <s v="保洁劳务费"/>
    <x v="1"/>
  </r>
  <r>
    <x v="171"/>
    <m/>
    <n v="7560"/>
    <n v="2601444.4200000004"/>
    <s v="92102：住房公积金"/>
    <x v="8"/>
  </r>
  <r>
    <x v="172"/>
    <m/>
    <n v="50"/>
    <n v="2601394.4200000004"/>
    <s v="网上银行服务费"/>
    <x v="1"/>
  </r>
  <r>
    <x v="61"/>
    <m/>
    <n v="800"/>
    <n v="2600594.4200000004"/>
    <s v="保洁劳务费"/>
    <x v="1"/>
  </r>
  <r>
    <x v="173"/>
    <m/>
    <n v="6528"/>
    <n v="2594066.4200000004"/>
    <s v="92102：住房公积金"/>
    <x v="8"/>
  </r>
  <r>
    <x v="174"/>
    <m/>
    <n v="50"/>
    <n v="2594016.4200000004"/>
    <s v="网上银行服务费"/>
    <x v="1"/>
  </r>
  <r>
    <x v="175"/>
    <m/>
    <n v="11864"/>
    <n v="2582152.4200000004"/>
    <s v="#北京社保"/>
    <x v="9"/>
  </r>
  <r>
    <x v="68"/>
    <m/>
    <n v="800"/>
    <n v="2581352.4200000004"/>
    <s v="保洁劳务费"/>
    <x v="1"/>
  </r>
  <r>
    <x v="71"/>
    <m/>
    <n v="6528"/>
    <n v="2574824.4200000004"/>
    <s v="92102：住房公积金"/>
    <x v="8"/>
  </r>
  <r>
    <x v="75"/>
    <n v="87.12"/>
    <m/>
    <n v="2574911.5400000005"/>
    <s v="活期结算户结息"/>
    <x v="3"/>
  </r>
  <r>
    <x v="176"/>
    <m/>
    <n v="50"/>
    <n v="2574861.5400000005"/>
    <s v="网上银行服务费"/>
    <x v="1"/>
  </r>
  <r>
    <x v="177"/>
    <m/>
    <n v="15378.8"/>
    <n v="2559482.7400000007"/>
    <s v="#北京社保"/>
    <x v="9"/>
  </r>
  <r>
    <x v="79"/>
    <m/>
    <n v="800"/>
    <n v="2558682.7400000007"/>
    <s v="保洁劳务费"/>
    <x v="1"/>
  </r>
  <r>
    <x v="178"/>
    <m/>
    <n v="8616"/>
    <n v="2550066.7400000007"/>
    <s v="92102：住房公积金"/>
    <x v="8"/>
  </r>
  <r>
    <x v="179"/>
    <m/>
    <n v="50"/>
    <n v="2550016.7400000007"/>
    <s v="网上银行服务费"/>
    <x v="1"/>
  </r>
  <r>
    <x v="180"/>
    <m/>
    <n v="15387.4"/>
    <n v="2534629.3400000008"/>
    <s v="#北京社保"/>
    <x v="9"/>
  </r>
  <r>
    <x v="180"/>
    <m/>
    <n v="800"/>
    <n v="2533829.3400000008"/>
    <s v="提出贷记:00140683670,汇兑"/>
    <x v="1"/>
  </r>
  <r>
    <x v="85"/>
    <m/>
    <n v="2000"/>
    <n v="2531829.3400000008"/>
    <s v="网站设计劳务费"/>
    <x v="1"/>
  </r>
  <r>
    <x v="88"/>
    <m/>
    <n v="7056"/>
    <n v="2524773.3400000008"/>
    <s v="92102：住房公积金"/>
    <x v="8"/>
  </r>
  <r>
    <x v="92"/>
    <m/>
    <n v="400000"/>
    <n v="2124773.3400000008"/>
    <s v="退还出资款"/>
    <x v="5"/>
  </r>
  <r>
    <x v="181"/>
    <m/>
    <n v="200000"/>
    <n v="1924773.3400000008"/>
    <s v="代为支付履约保证金"/>
    <x v="5"/>
  </r>
  <r>
    <x v="182"/>
    <m/>
    <n v="0.93"/>
    <n v="1924772.4100000008"/>
    <s v="网银支付手续费"/>
    <x v="1"/>
  </r>
  <r>
    <x v="182"/>
    <m/>
    <n v="13.97"/>
    <n v="1924758.4400000009"/>
    <s v="网银汇款手续费"/>
    <x v="1"/>
  </r>
  <r>
    <x v="182"/>
    <m/>
    <n v="50"/>
    <n v="1924708.4400000009"/>
    <s v="网上银行服务费"/>
    <x v="1"/>
  </r>
  <r>
    <x v="183"/>
    <m/>
    <n v="11158.4"/>
    <n v="1913550.040000001"/>
    <s v="#北京社保"/>
    <x v="9"/>
  </r>
  <r>
    <x v="100"/>
    <m/>
    <n v="800"/>
    <n v="1912750.040000001"/>
    <s v="保洁劳务费"/>
    <x v="1"/>
  </r>
  <r>
    <x v="184"/>
    <m/>
    <n v="6024"/>
    <n v="1906726.040000001"/>
    <s v="92102：住房公积金"/>
    <x v="8"/>
  </r>
  <r>
    <x v="99"/>
    <n v="84.68"/>
    <m/>
    <n v="1906810.7200000009"/>
    <s v="活期结算户结息"/>
    <x v="3"/>
  </r>
  <r>
    <x v="102"/>
    <m/>
    <n v="50"/>
    <n v="1906760.7200000009"/>
    <s v="网上银行服务费"/>
    <x v="1"/>
  </r>
  <r>
    <x v="102"/>
    <m/>
    <n v="800"/>
    <n v="1905960.7200000009"/>
    <s v="保洁劳务费"/>
    <x v="1"/>
  </r>
  <r>
    <x v="185"/>
    <m/>
    <n v="9392.4"/>
    <n v="1896568.320000001"/>
    <s v="#北京社保"/>
    <x v="9"/>
  </r>
  <r>
    <x v="107"/>
    <m/>
    <n v="6024"/>
    <n v="1890544.320000001"/>
    <s v="92102：住房公积金"/>
    <x v="8"/>
  </r>
  <r>
    <x v="186"/>
    <m/>
    <n v="50"/>
    <n v="1890494.320000001"/>
    <s v="2017.06月账户管理费扣费"/>
    <x v="1"/>
  </r>
  <r>
    <x v="187"/>
    <m/>
    <n v="50"/>
    <n v="1890444.320000001"/>
    <s v="网上银行服务费"/>
    <x v="1"/>
  </r>
  <r>
    <x v="188"/>
    <m/>
    <n v="9720.1200000000008"/>
    <n v="1880724.2000000009"/>
    <s v="#北京社保"/>
    <x v="9"/>
  </r>
  <r>
    <x v="119"/>
    <m/>
    <n v="800"/>
    <n v="1879924.2000000009"/>
    <s v="保洁劳务费"/>
    <x v="1"/>
  </r>
  <r>
    <x v="189"/>
    <m/>
    <n v="6024"/>
    <n v="1873900.2000000009"/>
    <s v="92102：住房公积金"/>
    <x v="8"/>
  </r>
  <r>
    <x v="135"/>
    <m/>
    <n v="50"/>
    <n v="1873850.2000000009"/>
    <s v="网上银行服务费"/>
    <x v="1"/>
  </r>
  <r>
    <x v="136"/>
    <m/>
    <n v="9720.1200000000008"/>
    <n v="1864130.0800000008"/>
    <s v="#北京社保"/>
    <x v="9"/>
  </r>
  <r>
    <x v="190"/>
    <m/>
    <n v="4992"/>
    <n v="1859138.0800000008"/>
    <s v="92102：住房公积金"/>
    <x v="8"/>
  </r>
  <r>
    <x v="141"/>
    <n v="79.28"/>
    <m/>
    <n v="1859217.3600000008"/>
    <s v="活期结算户结息79.28扣税:.00"/>
    <x v="3"/>
  </r>
  <r>
    <x v="141"/>
    <m/>
    <n v="35"/>
    <n v="1859182.3600000008"/>
    <s v="网上企业银行-数字证书费"/>
    <x v="1"/>
  </r>
  <r>
    <x v="191"/>
    <m/>
    <n v="50"/>
    <n v="1859132.3600000008"/>
    <s v="网上银行服务费"/>
    <x v="1"/>
  </r>
  <r>
    <x v="192"/>
    <m/>
    <n v="7790.12"/>
    <n v="1851342.2400000007"/>
    <s v="#北京社保"/>
    <x v="9"/>
  </r>
  <r>
    <x v="193"/>
    <m/>
    <n v="4992"/>
    <n v="1846350.2400000007"/>
    <s v="92102：住房公积金"/>
    <x v="8"/>
  </r>
  <r>
    <x v="194"/>
    <m/>
    <n v="50"/>
    <n v="1846300.2400000007"/>
    <s v="网上银行服务费"/>
    <x v="1"/>
  </r>
  <r>
    <x v="195"/>
    <m/>
    <n v="7739.72"/>
    <n v="1838560.5200000007"/>
    <s v="#北京社保"/>
    <x v="9"/>
  </r>
  <r>
    <x v="196"/>
    <m/>
    <n v="4536"/>
    <n v="1834024.5200000007"/>
    <s v="92102：住房公积金"/>
    <x v="8"/>
  </r>
  <r>
    <x v="197"/>
    <m/>
    <n v="50"/>
    <n v="1833974.5200000007"/>
    <s v="网上银行服务费"/>
    <x v="1"/>
  </r>
  <r>
    <x v="198"/>
    <m/>
    <n v="5819.12"/>
    <n v="1828155.4000000006"/>
    <s v="#北京社保"/>
    <x v="9"/>
  </r>
  <r>
    <x v="163"/>
    <m/>
    <n v="3960"/>
    <n v="1824195.4000000006"/>
    <s v="92102：住房公积金"/>
    <x v="8"/>
  </r>
  <r>
    <x v="166"/>
    <n v="53.73"/>
    <m/>
    <n v="1824249.1300000006"/>
    <s v="活期结算户结息53.73扣税:.00"/>
    <x v="3"/>
  </r>
  <r>
    <x v="199"/>
    <m/>
    <n v="4121"/>
    <n v="1820128.1300000006"/>
    <s v="费用报销"/>
    <x v="1"/>
  </r>
  <r>
    <x v="199"/>
    <m/>
    <n v="329.2"/>
    <n v="1819798.9300000006"/>
    <s v="费用报销"/>
    <x v="1"/>
  </r>
  <r>
    <x v="199"/>
    <m/>
    <n v="711"/>
    <n v="1819087.9300000006"/>
    <s v="费用报销"/>
    <x v="1"/>
  </r>
  <r>
    <x v="200"/>
    <m/>
    <n v="9569.0300000000007"/>
    <n v="1809518.9000000006"/>
    <s v="个人所得税"/>
    <x v="10"/>
  </r>
  <r>
    <x v="201"/>
    <n v="20000"/>
    <m/>
    <n v="1829518.9000000006"/>
    <s v="押金退回"/>
    <x v="3"/>
  </r>
  <r>
    <x v="202"/>
    <m/>
    <n v="215856.84"/>
    <n v="1613662.0600000005"/>
    <s v="蔬菜货款"/>
    <x v="6"/>
  </r>
  <r>
    <x v="202"/>
    <m/>
    <n v="40440"/>
    <n v="1573222.0600000005"/>
    <s v="支付采购大米货款"/>
    <x v="6"/>
  </r>
  <r>
    <x v="203"/>
    <m/>
    <n v="10.5"/>
    <n v="1573211.5600000005"/>
    <s v="网银结算手续费"/>
    <x v="1"/>
  </r>
  <r>
    <x v="204"/>
    <m/>
    <n v="8922.2000000000007"/>
    <n v="1564289.3600000006"/>
    <s v="工资及劳务费"/>
    <x v="2"/>
  </r>
  <r>
    <x v="204"/>
    <m/>
    <n v="3795.3"/>
    <n v="1560494.0600000005"/>
    <s v="工资及劳务费"/>
    <x v="2"/>
  </r>
  <r>
    <x v="204"/>
    <m/>
    <n v="4200"/>
    <n v="1556294.0600000005"/>
    <s v="工资及劳务费"/>
    <x v="2"/>
  </r>
  <r>
    <x v="204"/>
    <m/>
    <n v="31578.9"/>
    <n v="1524715.1600000006"/>
    <s v="工资及劳务费"/>
    <x v="2"/>
  </r>
  <r>
    <x v="204"/>
    <m/>
    <n v="1807.5"/>
    <n v="1522907.6600000006"/>
    <s v="费用报销"/>
    <x v="1"/>
  </r>
  <r>
    <x v="204"/>
    <m/>
    <n v="264.89999999999998"/>
    <n v="1522642.7600000007"/>
    <s v="费用报销"/>
    <x v="1"/>
  </r>
  <r>
    <x v="205"/>
    <m/>
    <n v="28000"/>
    <n v="1494642.7600000007"/>
    <s v="捐赠款"/>
    <x v="1"/>
  </r>
  <r>
    <x v="206"/>
    <m/>
    <n v="135473.75"/>
    <n v="1359169.0100000007"/>
    <s v="蔬菜货款"/>
    <x v="6"/>
  </r>
  <r>
    <x v="207"/>
    <m/>
    <n v="10.5"/>
    <n v="1359158.5100000007"/>
    <m/>
    <x v="1"/>
  </r>
  <r>
    <x v="208"/>
    <m/>
    <n v="3304.8"/>
    <n v="1355853.7100000007"/>
    <s v="费用报销"/>
    <x v="1"/>
  </r>
  <r>
    <x v="209"/>
    <n v="28860.46"/>
    <m/>
    <n v="1384714.1700000006"/>
    <s v="采购蔬菜费用"/>
    <x v="7"/>
  </r>
  <r>
    <x v="209"/>
    <n v="15551.96"/>
    <m/>
    <n v="1400266.1300000006"/>
    <s v="采购蔬菜费用"/>
    <x v="7"/>
  </r>
  <r>
    <x v="210"/>
    <m/>
    <n v="8269.2900000000009"/>
    <n v="1391996.8400000005"/>
    <m/>
    <x v="10"/>
  </r>
  <r>
    <x v="211"/>
    <m/>
    <n v="500000"/>
    <n v="891996.84000000055"/>
    <s v="入资款"/>
    <x v="12"/>
  </r>
  <r>
    <x v="212"/>
    <m/>
    <n v="10.5"/>
    <n v="891986.34000000055"/>
    <m/>
    <x v="1"/>
  </r>
  <r>
    <x v="213"/>
    <n v="587556.87"/>
    <m/>
    <n v="1479543.2100000004"/>
    <s v="采购蔬菜费"/>
    <x v="7"/>
  </r>
  <r>
    <x v="214"/>
    <m/>
    <n v="4955"/>
    <n v="1474588.2100000004"/>
    <s v="工资"/>
    <x v="2"/>
  </r>
  <r>
    <x v="214"/>
    <m/>
    <n v="4955"/>
    <n v="1469633.2100000004"/>
    <s v="工资"/>
    <x v="2"/>
  </r>
  <r>
    <x v="214"/>
    <m/>
    <n v="4955"/>
    <n v="1464678.2100000004"/>
    <s v="工资"/>
    <x v="2"/>
  </r>
  <r>
    <x v="214"/>
    <m/>
    <n v="164825.79999999999"/>
    <n v="1299852.4100000004"/>
    <s v="蔬菜采购货款及费用报销"/>
    <x v="6"/>
  </r>
  <r>
    <x v="214"/>
    <m/>
    <n v="8666.67"/>
    <n v="1291185.7400000005"/>
    <s v="费用报销"/>
    <x v="1"/>
  </r>
  <r>
    <x v="214"/>
    <m/>
    <n v="1200"/>
    <n v="1289985.7400000005"/>
    <s v="费用报销"/>
    <x v="1"/>
  </r>
  <r>
    <x v="214"/>
    <m/>
    <n v="1200"/>
    <n v="1288785.7400000005"/>
    <s v="费用报销"/>
    <x v="1"/>
  </r>
  <r>
    <x v="214"/>
    <m/>
    <n v="3718.7"/>
    <n v="1285067.0400000005"/>
    <s v="费用报销"/>
    <x v="1"/>
  </r>
  <r>
    <x v="215"/>
    <m/>
    <n v="61285.25"/>
    <n v="1223781.7900000005"/>
    <s v="工资及劳务费"/>
    <x v="2"/>
  </r>
  <r>
    <x v="215"/>
    <m/>
    <n v="19101.48"/>
    <n v="1204680.3100000005"/>
    <s v="工资及劳务费"/>
    <x v="2"/>
  </r>
  <r>
    <x v="215"/>
    <m/>
    <n v="8563.9"/>
    <n v="1196116.4100000006"/>
    <s v="工资及劳务费"/>
    <x v="2"/>
  </r>
  <r>
    <x v="215"/>
    <m/>
    <n v="3353.6"/>
    <n v="1192762.8100000005"/>
    <s v="工资及劳务费"/>
    <x v="2"/>
  </r>
  <r>
    <x v="215"/>
    <n v="200000"/>
    <m/>
    <n v="1392762.8100000005"/>
    <s v="退还购买股权款"/>
    <x v="5"/>
  </r>
  <r>
    <x v="216"/>
    <m/>
    <n v="90000"/>
    <n v="1302762.8100000005"/>
    <s v="执行会员费"/>
    <x v="1"/>
  </r>
  <r>
    <x v="216"/>
    <m/>
    <n v="3505.07"/>
    <n v="1299257.7400000005"/>
    <m/>
    <x v="10"/>
  </r>
  <r>
    <x v="217"/>
    <m/>
    <n v="7"/>
    <n v="1299250.7400000005"/>
    <m/>
    <x v="1"/>
  </r>
  <r>
    <x v="218"/>
    <n v="722.15"/>
    <m/>
    <n v="1299972.8900000004"/>
    <m/>
    <x v="3"/>
  </r>
  <r>
    <x v="219"/>
    <n v="400000"/>
    <m/>
    <n v="1699972.8900000004"/>
    <s v="返还购买股权款"/>
    <x v="5"/>
  </r>
  <r>
    <x v="219"/>
    <n v="250000"/>
    <m/>
    <n v="1949972.8900000004"/>
    <s v="返还购买股权款"/>
    <x v="5"/>
  </r>
  <r>
    <x v="220"/>
    <m/>
    <n v="14087.75"/>
    <n v="1935885.1400000004"/>
    <s v="工资及劳务费"/>
    <x v="2"/>
  </r>
  <r>
    <x v="220"/>
    <m/>
    <n v="8922.2000000000007"/>
    <n v="1926962.9400000004"/>
    <s v="工资及劳务费"/>
    <x v="2"/>
  </r>
  <r>
    <x v="220"/>
    <m/>
    <n v="4004.9"/>
    <n v="1922958.0400000005"/>
    <s v="工资及劳务费"/>
    <x v="2"/>
  </r>
  <r>
    <x v="220"/>
    <m/>
    <n v="3353.6"/>
    <n v="1919604.4400000004"/>
    <s v="工资及劳务费"/>
    <x v="2"/>
  </r>
  <r>
    <x v="220"/>
    <m/>
    <n v="7410"/>
    <n v="1912194.4400000004"/>
    <s v="费用报销"/>
    <x v="1"/>
  </r>
  <r>
    <x v="220"/>
    <m/>
    <n v="366.9"/>
    <n v="1911827.5400000005"/>
    <s v="费用报销"/>
    <x v="1"/>
  </r>
  <r>
    <x v="220"/>
    <m/>
    <n v="42477.2"/>
    <n v="1869350.3400000005"/>
    <s v="费用报销"/>
    <x v="1"/>
  </r>
  <r>
    <x v="221"/>
    <m/>
    <n v="1000000"/>
    <n v="869350.34000000055"/>
    <s v="入资款"/>
    <x v="12"/>
  </r>
  <r>
    <x v="222"/>
    <m/>
    <n v="14"/>
    <n v="869336.34000000055"/>
    <m/>
    <x v="1"/>
  </r>
  <r>
    <x v="222"/>
    <m/>
    <n v="2933"/>
    <n v="866403.34000000055"/>
    <s v="费用报销"/>
    <x v="1"/>
  </r>
  <r>
    <x v="223"/>
    <m/>
    <n v="1000"/>
    <n v="865403.34000000055"/>
    <s v="小龙虾产业分会会费"/>
    <x v="1"/>
  </r>
  <r>
    <x v="224"/>
    <m/>
    <n v="7075"/>
    <n v="858328.34000000055"/>
    <s v="个人借款"/>
    <x v="5"/>
  </r>
  <r>
    <x v="225"/>
    <m/>
    <n v="9413.92"/>
    <n v="848914.42000000051"/>
    <m/>
    <x v="10"/>
  </r>
  <r>
    <x v="226"/>
    <m/>
    <n v="10000"/>
    <n v="838914.42000000051"/>
    <s v="代付费用"/>
    <x v="5"/>
  </r>
  <r>
    <x v="227"/>
    <m/>
    <n v="31578.9"/>
    <n v="807335.52000000048"/>
    <s v="工资及劳务费"/>
    <x v="2"/>
  </r>
  <r>
    <x v="227"/>
    <m/>
    <n v="8922.2000000000007"/>
    <n v="798413.32000000053"/>
    <s v="工资及劳务费"/>
    <x v="2"/>
  </r>
  <r>
    <x v="227"/>
    <m/>
    <n v="4004.9"/>
    <n v="794408.42000000051"/>
    <s v="工资及劳务费"/>
    <x v="2"/>
  </r>
  <r>
    <x v="227"/>
    <m/>
    <n v="3353.6"/>
    <n v="791054.82000000053"/>
    <s v="工资及劳务费"/>
    <x v="2"/>
  </r>
  <r>
    <x v="227"/>
    <m/>
    <n v="12953.09"/>
    <n v="778101.73000000056"/>
    <s v="费用报销"/>
    <x v="1"/>
  </r>
  <r>
    <x v="227"/>
    <m/>
    <n v="296"/>
    <n v="777805.73000000056"/>
    <s v="费用报销"/>
    <x v="1"/>
  </r>
  <r>
    <x v="227"/>
    <m/>
    <n v="1453"/>
    <n v="776352.73000000056"/>
    <s v="费用报销"/>
    <x v="1"/>
  </r>
  <r>
    <x v="227"/>
    <n v="180000"/>
    <m/>
    <n v="956352.73000000056"/>
    <s v="借款"/>
    <x v="5"/>
  </r>
  <r>
    <x v="228"/>
    <m/>
    <n v="400000"/>
    <n v="556352.73000000056"/>
    <s v="入资款"/>
    <x v="12"/>
  </r>
  <r>
    <x v="229"/>
    <m/>
    <n v="10.5"/>
    <n v="556342.23000000056"/>
    <s v="银行手续费"/>
    <x v="1"/>
  </r>
  <r>
    <x v="230"/>
    <m/>
    <n v="4005.07"/>
    <n v="552337.16000000061"/>
    <s v="个税"/>
    <x v="10"/>
  </r>
  <r>
    <x v="231"/>
    <m/>
    <n v="8922.2000000000007"/>
    <n v="543414.96000000066"/>
    <s v="工资"/>
    <x v="2"/>
  </r>
  <r>
    <x v="231"/>
    <m/>
    <n v="4004.9"/>
    <n v="539410.06000000064"/>
    <s v="工资"/>
    <x v="2"/>
  </r>
  <r>
    <x v="231"/>
    <n v="43000"/>
    <m/>
    <n v="582410.06000000064"/>
    <s v="服务费"/>
    <x v="7"/>
  </r>
  <r>
    <x v="232"/>
    <m/>
    <n v="3353.6"/>
    <n v="579056.46000000066"/>
    <s v="工资及劳务费"/>
    <x v="2"/>
  </r>
  <r>
    <x v="233"/>
    <m/>
    <n v="5100"/>
    <n v="573956.46000000066"/>
    <s v="费用报销"/>
    <x v="1"/>
  </r>
  <r>
    <x v="233"/>
    <m/>
    <n v="471"/>
    <n v="573485.46000000066"/>
    <s v="费用报销"/>
    <x v="1"/>
  </r>
  <r>
    <x v="233"/>
    <m/>
    <n v="6020"/>
    <n v="567465.46000000066"/>
    <s v="费用报销"/>
    <x v="1"/>
  </r>
  <r>
    <x v="234"/>
    <m/>
    <n v="3505.07"/>
    <n v="563960.39000000071"/>
    <s v="个税"/>
    <x v="10"/>
  </r>
  <r>
    <x v="235"/>
    <n v="500000"/>
    <m/>
    <n v="1063960.3900000006"/>
    <s v="入资款"/>
    <x v="0"/>
  </r>
  <r>
    <x v="236"/>
    <m/>
    <n v="500000"/>
    <n v="563960.3900000006"/>
    <s v="入资款"/>
    <x v="12"/>
  </r>
  <r>
    <x v="237"/>
    <m/>
    <n v="10.5"/>
    <n v="563949.8900000006"/>
    <s v="银行手续费"/>
    <x v="1"/>
  </r>
  <r>
    <x v="238"/>
    <n v="184.36"/>
    <m/>
    <n v="564134.25000000058"/>
    <s v="利息"/>
    <x v="3"/>
  </r>
  <r>
    <x v="239"/>
    <m/>
    <n v="8922.2000000000007"/>
    <n v="555212.05000000063"/>
    <s v="工资"/>
    <x v="2"/>
  </r>
  <r>
    <x v="239"/>
    <m/>
    <n v="4004.9"/>
    <n v="551207.15000000061"/>
    <s v="工资"/>
    <x v="2"/>
  </r>
  <r>
    <x v="240"/>
    <m/>
    <n v="3353.6"/>
    <n v="547853.55000000063"/>
    <s v="工资及劳务费"/>
    <x v="2"/>
  </r>
  <r>
    <x v="241"/>
    <n v="131592.9"/>
    <m/>
    <n v="679446.45000000065"/>
    <s v="货款"/>
    <x v="7"/>
  </r>
  <r>
    <x v="242"/>
    <m/>
    <n v="990"/>
    <n v="678456.45000000065"/>
    <s v="宽带网费"/>
    <x v="1"/>
  </r>
  <r>
    <x v="243"/>
    <m/>
    <n v="9313.32"/>
    <n v="669143.1300000007"/>
    <s v="个税"/>
    <x v="10"/>
  </r>
  <r>
    <x v="243"/>
    <m/>
    <n v="8977.5"/>
    <n v="660165.6300000007"/>
    <s v="费用报销"/>
    <x v="1"/>
  </r>
  <r>
    <x v="244"/>
    <m/>
    <n v="6254.1"/>
    <n v="653911.53000000073"/>
    <s v="费用报销"/>
    <x v="1"/>
  </r>
  <r>
    <x v="244"/>
    <m/>
    <n v="593.47"/>
    <n v="653318.06000000075"/>
    <s v="费用报销"/>
    <x v="1"/>
  </r>
  <r>
    <x v="244"/>
    <m/>
    <n v="6182"/>
    <n v="647136.06000000075"/>
    <s v="费用报销"/>
    <x v="1"/>
  </r>
  <r>
    <x v="244"/>
    <m/>
    <n v="8922.2000000000007"/>
    <n v="638213.8600000008"/>
    <s v="工资及劳务费"/>
    <x v="2"/>
  </r>
  <r>
    <x v="244"/>
    <m/>
    <n v="4004.9"/>
    <n v="634208.96000000078"/>
    <s v="工资及劳务费"/>
    <x v="2"/>
  </r>
  <r>
    <x v="244"/>
    <m/>
    <n v="2951.2"/>
    <n v="631257.76000000082"/>
    <s v="工资及劳务费"/>
    <x v="2"/>
  </r>
  <r>
    <x v="245"/>
    <m/>
    <n v="3073.15"/>
    <n v="628184.6100000008"/>
    <s v="物业管理费"/>
    <x v="1"/>
  </r>
  <r>
    <x v="246"/>
    <n v="1000000"/>
    <m/>
    <n v="1628184.6100000008"/>
    <s v="入资款"/>
    <x v="0"/>
  </r>
  <r>
    <x v="246"/>
    <m/>
    <n v="8338.68"/>
    <n v="1619845.9300000009"/>
    <s v="个税"/>
    <x v="10"/>
  </r>
  <r>
    <x v="246"/>
    <m/>
    <n v="50000"/>
    <n v="1569845.9300000009"/>
    <s v="法律顾问费"/>
    <x v="1"/>
  </r>
  <r>
    <x v="247"/>
    <m/>
    <n v="500000"/>
    <n v="1069845.9300000009"/>
    <s v="入资款"/>
    <x v="12"/>
  </r>
  <r>
    <x v="248"/>
    <m/>
    <n v="10.5"/>
    <n v="1069835.4300000009"/>
    <s v="银行手续费"/>
    <x v="1"/>
  </r>
  <r>
    <x v="249"/>
    <m/>
    <n v="8855"/>
    <n v="1060980.4300000009"/>
    <s v="工资"/>
    <x v="2"/>
  </r>
  <r>
    <x v="249"/>
    <m/>
    <n v="3906.82"/>
    <n v="1057073.6100000008"/>
    <s v="工资"/>
    <x v="2"/>
  </r>
  <r>
    <x v="249"/>
    <m/>
    <n v="23995.55"/>
    <n v="1033078.0600000008"/>
    <s v="工资"/>
    <x v="2"/>
  </r>
  <r>
    <x v="249"/>
    <m/>
    <n v="4625.5"/>
    <n v="1028452.5600000008"/>
    <s v="费用报销"/>
    <x v="1"/>
  </r>
  <r>
    <x v="249"/>
    <m/>
    <n v="1478.5"/>
    <n v="1026974.0600000008"/>
    <s v="费用报销"/>
    <x v="1"/>
  </r>
  <r>
    <x v="250"/>
    <m/>
    <n v="1419.18"/>
    <n v="1025554.8800000007"/>
    <s v="个税"/>
    <x v="10"/>
  </r>
  <r>
    <x v="250"/>
    <m/>
    <n v="5107.28"/>
    <n v="1020447.6000000007"/>
    <s v="个税"/>
    <x v="10"/>
  </r>
  <r>
    <x v="251"/>
    <n v="800000"/>
    <m/>
    <n v="1820447.6000000006"/>
    <s v="入资款"/>
    <x v="0"/>
  </r>
  <r>
    <x v="252"/>
    <n v="305.43"/>
    <m/>
    <n v="1820753.0300000005"/>
    <s v="利息"/>
    <x v="3"/>
  </r>
  <r>
    <x v="252"/>
    <n v="500000"/>
    <m/>
    <n v="2320753.0300000003"/>
    <s v="入资款"/>
    <x v="0"/>
  </r>
  <r>
    <x v="252"/>
    <n v="5000000"/>
    <m/>
    <n v="7320753.0300000003"/>
    <s v="往来"/>
    <x v="5"/>
  </r>
  <r>
    <x v="253"/>
    <m/>
    <n v="8228.48"/>
    <n v="7312524.5499999998"/>
    <s v="费用报销"/>
    <x v="1"/>
  </r>
  <r>
    <x v="253"/>
    <m/>
    <n v="278.89999999999998"/>
    <n v="7312245.6499999994"/>
    <s v="费用报销"/>
    <x v="1"/>
  </r>
  <r>
    <x v="253"/>
    <m/>
    <n v="400"/>
    <n v="7311845.6499999994"/>
    <s v="费用报销"/>
    <x v="1"/>
  </r>
  <r>
    <x v="253"/>
    <m/>
    <n v="8921"/>
    <n v="7302924.6499999994"/>
    <s v="费用报销"/>
    <x v="1"/>
  </r>
  <r>
    <x v="253"/>
    <m/>
    <n v="400"/>
    <n v="7302524.6499999994"/>
    <s v="费用报销"/>
    <x v="1"/>
  </r>
  <r>
    <x v="253"/>
    <m/>
    <n v="14087.75"/>
    <n v="7288436.8999999994"/>
    <s v="工资"/>
    <x v="2"/>
  </r>
  <r>
    <x v="253"/>
    <m/>
    <n v="8855"/>
    <n v="7279581.8999999994"/>
    <s v="工资"/>
    <x v="2"/>
  </r>
  <r>
    <x v="253"/>
    <m/>
    <n v="4508.22"/>
    <n v="7275073.6799999997"/>
    <s v="工资"/>
    <x v="2"/>
  </r>
  <r>
    <x v="253"/>
    <m/>
    <n v="14245.55"/>
    <n v="7260828.1299999999"/>
    <s v="工资"/>
    <x v="2"/>
  </r>
  <r>
    <x v="253"/>
    <m/>
    <n v="500000"/>
    <n v="6760828.1299999999"/>
    <s v="入资款"/>
    <x v="12"/>
  </r>
  <r>
    <x v="254"/>
    <m/>
    <n v="10.5"/>
    <n v="6760817.6299999999"/>
    <s v="银行手续费"/>
    <x v="1"/>
  </r>
  <r>
    <x v="255"/>
    <m/>
    <n v="1000000"/>
    <n v="5760817.6299999999"/>
    <s v="退款"/>
    <x v="5"/>
  </r>
  <r>
    <x v="255"/>
    <m/>
    <n v="2000000"/>
    <n v="3760817.63"/>
    <s v="退款"/>
    <x v="5"/>
  </r>
  <r>
    <x v="255"/>
    <m/>
    <n v="2000000"/>
    <n v="1760817.63"/>
    <s v="退款"/>
    <x v="5"/>
  </r>
  <r>
    <x v="255"/>
    <n v="5000000"/>
    <m/>
    <n v="6760817.6299999999"/>
    <s v="入资款"/>
    <x v="0"/>
  </r>
  <r>
    <x v="255"/>
    <n v="5000000"/>
    <m/>
    <n v="11760817.629999999"/>
    <s v="入资款"/>
    <x v="0"/>
  </r>
  <r>
    <x v="256"/>
    <m/>
    <n v="70"/>
    <n v="11760747.629999999"/>
    <s v="银行手续费"/>
    <x v="1"/>
  </r>
  <r>
    <x v="257"/>
    <m/>
    <n v="1500000"/>
    <n v="10260747.629999999"/>
    <s v="入资款"/>
    <x v="12"/>
  </r>
  <r>
    <x v="258"/>
    <m/>
    <n v="21"/>
    <n v="10260726.629999999"/>
    <s v="银行手续费"/>
    <x v="1"/>
  </r>
  <r>
    <x v="259"/>
    <m/>
    <n v="160000"/>
    <n v="10100726.629999999"/>
    <s v="蔬菜货款"/>
    <x v="6"/>
  </r>
  <r>
    <x v="260"/>
    <m/>
    <n v="10.5"/>
    <n v="10100716.129999999"/>
    <s v="银行手续费"/>
    <x v="1"/>
  </r>
  <r>
    <x v="261"/>
    <m/>
    <n v="4792.28"/>
    <n v="10095923.85"/>
    <s v="个税"/>
    <x v="10"/>
  </r>
  <r>
    <x v="262"/>
    <m/>
    <n v="25"/>
    <n v="10095898.85"/>
    <s v="银行手续费"/>
    <x v="1"/>
  </r>
  <r>
    <x v="262"/>
    <m/>
    <n v="10"/>
    <n v="10095888.85"/>
    <s v="银行手续费"/>
    <x v="1"/>
  </r>
  <r>
    <x v="263"/>
    <m/>
    <n v="4137"/>
    <n v="10091751.85"/>
    <s v="费用报销"/>
    <x v="1"/>
  </r>
  <r>
    <x v="263"/>
    <m/>
    <n v="647.9"/>
    <n v="10091103.949999999"/>
    <s v="费用报销"/>
    <x v="1"/>
  </r>
  <r>
    <x v="263"/>
    <m/>
    <n v="2942.25"/>
    <n v="10088161.699999999"/>
    <s v="费用报销"/>
    <x v="1"/>
  </r>
  <r>
    <x v="264"/>
    <m/>
    <n v="7"/>
    <n v="10088154.699999999"/>
    <s v="银行手续费"/>
    <x v="1"/>
  </r>
  <r>
    <x v="265"/>
    <m/>
    <n v="420"/>
    <n v="10087734.699999999"/>
    <s v="费用报销"/>
    <x v="1"/>
  </r>
  <r>
    <x v="265"/>
    <m/>
    <n v="420"/>
    <n v="10087314.699999999"/>
    <s v="费用报销"/>
    <x v="1"/>
  </r>
  <r>
    <x v="265"/>
    <m/>
    <n v="420"/>
    <n v="10086894.699999999"/>
    <s v="费用报销"/>
    <x v="1"/>
  </r>
  <r>
    <x v="265"/>
    <m/>
    <n v="14087.75"/>
    <n v="10072806.949999999"/>
    <s v="工资"/>
    <x v="2"/>
  </r>
  <r>
    <x v="265"/>
    <m/>
    <n v="9155"/>
    <n v="10063651.949999999"/>
    <s v="工资"/>
    <x v="2"/>
  </r>
  <r>
    <x v="265"/>
    <m/>
    <n v="4523.22"/>
    <n v="10059128.729999999"/>
    <s v="工资"/>
    <x v="2"/>
  </r>
  <r>
    <x v="265"/>
    <m/>
    <n v="14245.55"/>
    <n v="10044883.179999998"/>
    <s v="工资"/>
    <x v="2"/>
  </r>
  <r>
    <x v="266"/>
    <m/>
    <n v="400000"/>
    <n v="9644883.1799999978"/>
    <s v="退回入资款"/>
    <x v="5"/>
  </r>
  <r>
    <x v="267"/>
    <m/>
    <n v="10.5"/>
    <n v="9644872.6799999978"/>
    <s v="银行手续费"/>
    <x v="1"/>
  </r>
  <r>
    <x v="268"/>
    <m/>
    <n v="3960"/>
    <n v="9640912.6799999978"/>
    <s v="商标申请代理服务费"/>
    <x v="1"/>
  </r>
  <r>
    <x v="268"/>
    <m/>
    <n v="400000"/>
    <n v="9240912.6799999978"/>
    <s v="品牌设计2018年年度顾问费"/>
    <x v="1"/>
  </r>
  <r>
    <x v="269"/>
    <m/>
    <n v="10.5"/>
    <n v="9240902.1799999978"/>
    <s v="银行手续费"/>
    <x v="1"/>
  </r>
  <r>
    <x v="269"/>
    <m/>
    <n v="7339.17"/>
    <n v="9233563.0099999979"/>
    <s v="个税"/>
    <x v="10"/>
  </r>
  <r>
    <x v="269"/>
    <m/>
    <n v="5000"/>
    <n v="9228563.0099999979"/>
    <s v="备用金"/>
    <x v="13"/>
  </r>
  <r>
    <x v="270"/>
    <m/>
    <n v="3302.5"/>
    <n v="9225260.5099999979"/>
    <s v="费用报销"/>
    <x v="1"/>
  </r>
  <r>
    <x v="271"/>
    <m/>
    <n v="33667.75"/>
    <n v="9191592.7599999979"/>
    <s v="工资"/>
    <x v="2"/>
  </r>
  <r>
    <x v="271"/>
    <m/>
    <n v="9110"/>
    <n v="9182482.7599999979"/>
    <s v="工资"/>
    <x v="2"/>
  </r>
  <r>
    <x v="271"/>
    <m/>
    <n v="4538.22"/>
    <n v="9177944.5399999972"/>
    <s v="工资"/>
    <x v="2"/>
  </r>
  <r>
    <x v="271"/>
    <m/>
    <n v="15548.66"/>
    <n v="9162395.8799999971"/>
    <s v="工资"/>
    <x v="2"/>
  </r>
  <r>
    <x v="271"/>
    <m/>
    <n v="339"/>
    <n v="9162056.8799999971"/>
    <s v="办公室窗帘费"/>
    <x v="1"/>
  </r>
  <r>
    <x v="271"/>
    <m/>
    <n v="420"/>
    <n v="9161636.8799999971"/>
    <s v="费用报销"/>
    <x v="1"/>
  </r>
  <r>
    <x v="271"/>
    <m/>
    <n v="10068"/>
    <n v="9151568.8799999971"/>
    <s v="费用报销"/>
    <x v="1"/>
  </r>
  <r>
    <x v="271"/>
    <m/>
    <n v="939.6"/>
    <n v="9150629.2799999975"/>
    <s v="费用报销"/>
    <x v="1"/>
  </r>
  <r>
    <x v="271"/>
    <m/>
    <n v="16180.04"/>
    <n v="9134449.2399999984"/>
    <s v="费用报销"/>
    <x v="1"/>
  </r>
  <r>
    <x v="272"/>
    <m/>
    <n v="5237.99"/>
    <n v="9129211.2499999981"/>
    <s v="个税"/>
    <x v="10"/>
  </r>
  <r>
    <x v="272"/>
    <m/>
    <n v="575"/>
    <n v="9128636.2499999981"/>
    <s v="印花税"/>
    <x v="4"/>
  </r>
  <r>
    <x v="273"/>
    <m/>
    <n v="150"/>
    <n v="9128486.2499999981"/>
    <s v="费用报销"/>
    <x v="1"/>
  </r>
  <r>
    <x v="274"/>
    <n v="800"/>
    <m/>
    <n v="9129286.2499999981"/>
    <s v="支付代垫搬运费"/>
    <x v="5"/>
  </r>
  <r>
    <x v="275"/>
    <m/>
    <n v="1000"/>
    <n v="9128286.2499999981"/>
    <s v="会员年费"/>
    <x v="1"/>
  </r>
  <r>
    <x v="276"/>
    <n v="6679.52"/>
    <m/>
    <n v="9134965.7699999977"/>
    <s v="利息"/>
    <x v="3"/>
  </r>
  <r>
    <x v="277"/>
    <m/>
    <n v="8588.24"/>
    <n v="9126377.5299999975"/>
    <s v="费用报销"/>
    <x v="1"/>
  </r>
  <r>
    <x v="277"/>
    <m/>
    <n v="1938.9"/>
    <n v="9124438.6299999971"/>
    <s v="费用报销"/>
    <x v="1"/>
  </r>
  <r>
    <x v="277"/>
    <m/>
    <n v="3193"/>
    <n v="9121245.6299999971"/>
    <s v="费用报销"/>
    <x v="1"/>
  </r>
  <r>
    <x v="277"/>
    <m/>
    <n v="27817.75"/>
    <n v="9093427.8799999971"/>
    <s v="工资"/>
    <x v="2"/>
  </r>
  <r>
    <x v="277"/>
    <m/>
    <n v="9260"/>
    <n v="9084167.8799999971"/>
    <s v="工资"/>
    <x v="2"/>
  </r>
  <r>
    <x v="277"/>
    <m/>
    <n v="4959.3999999999996"/>
    <n v="9079208.4799999967"/>
    <s v="工资"/>
    <x v="2"/>
  </r>
  <r>
    <x v="277"/>
    <m/>
    <n v="15548.66"/>
    <n v="9063659.8199999966"/>
    <s v="工资"/>
    <x v="2"/>
  </r>
  <r>
    <x v="277"/>
    <m/>
    <n v="14087.75"/>
    <n v="9049572.0699999966"/>
    <s v="补发4-7月工资"/>
    <x v="2"/>
  </r>
  <r>
    <x v="277"/>
    <m/>
    <n v="31578.9"/>
    <n v="9017993.1699999962"/>
    <s v="补发4-7月工资"/>
    <x v="2"/>
  </r>
  <r>
    <x v="278"/>
    <m/>
    <n v="3840"/>
    <n v="9014153.1699999962"/>
    <s v="费用报销"/>
    <x v="1"/>
  </r>
  <r>
    <x v="279"/>
    <m/>
    <n v="50"/>
    <n v="9014103.1699999962"/>
    <s v="网上银行服务费"/>
    <x v="1"/>
  </r>
  <r>
    <x v="280"/>
    <m/>
    <n v="5819.12"/>
    <n v="9008284.049999997"/>
    <s v="#北京社保"/>
    <x v="9"/>
  </r>
  <r>
    <x v="281"/>
    <m/>
    <n v="5976"/>
    <n v="9002308.049999997"/>
    <s v="92102：住房公积金"/>
    <x v="8"/>
  </r>
  <r>
    <x v="282"/>
    <m/>
    <n v="50"/>
    <n v="9002258.049999997"/>
    <s v="网上银行服务费"/>
    <x v="1"/>
  </r>
  <r>
    <x v="209"/>
    <m/>
    <n v="5819.12"/>
    <n v="8996438.9299999978"/>
    <s v="#北京社保"/>
    <x v="9"/>
  </r>
  <r>
    <x v="283"/>
    <m/>
    <n v="5976"/>
    <n v="8990462.9299999978"/>
    <s v="92102：住房公积金"/>
    <x v="8"/>
  </r>
  <r>
    <x v="284"/>
    <m/>
    <n v="50"/>
    <n v="8990412.9299999978"/>
    <s v="网上银行服务费"/>
    <x v="1"/>
  </r>
  <r>
    <x v="285"/>
    <m/>
    <n v="5819.12"/>
    <n v="8984593.8099999987"/>
    <s v="#北京社保"/>
    <x v="9"/>
  </r>
  <r>
    <x v="286"/>
    <m/>
    <n v="5976"/>
    <n v="8978617.8099999987"/>
    <s v="92102：住房公积金"/>
    <x v="8"/>
  </r>
  <r>
    <x v="218"/>
    <n v="103.1"/>
    <m/>
    <n v="8978720.9099999983"/>
    <s v="活期结算户结息103.10扣税:.00"/>
    <x v="3"/>
  </r>
  <r>
    <x v="287"/>
    <m/>
    <n v="50"/>
    <n v="8978670.9099999983"/>
    <s v="网上银行服务费"/>
    <x v="1"/>
  </r>
  <r>
    <x v="288"/>
    <m/>
    <n v="5819.12"/>
    <n v="8972851.7899999991"/>
    <s v="#北京社保"/>
    <x v="9"/>
  </r>
  <r>
    <x v="225"/>
    <m/>
    <n v="5976"/>
    <n v="8966875.7899999991"/>
    <s v="92102：住房公积金"/>
    <x v="8"/>
  </r>
  <r>
    <x v="289"/>
    <m/>
    <n v="50"/>
    <n v="8966825.7899999991"/>
    <s v="网上银行服务费"/>
    <x v="1"/>
  </r>
  <r>
    <x v="290"/>
    <m/>
    <n v="5819.12"/>
    <n v="8961006.6699999999"/>
    <s v="#北京社保"/>
    <x v="9"/>
  </r>
  <r>
    <x v="291"/>
    <m/>
    <n v="5976"/>
    <n v="8955030.6699999999"/>
    <s v="委托收款"/>
    <x v="8"/>
  </r>
  <r>
    <x v="292"/>
    <m/>
    <n v="50"/>
    <n v="8954980.6699999999"/>
    <s v="网上银行服务费"/>
    <x v="1"/>
  </r>
  <r>
    <x v="293"/>
    <m/>
    <n v="5819.12"/>
    <n v="8949161.5500000007"/>
    <s v="#北京社保"/>
    <x v="9"/>
  </r>
  <r>
    <x v="294"/>
    <m/>
    <n v="5976"/>
    <n v="8943185.5500000007"/>
    <s v="委托收款"/>
    <x v="8"/>
  </r>
  <r>
    <x v="238"/>
    <n v="77.64"/>
    <m/>
    <n v="8943263.1900000013"/>
    <s v="活期结算户结息77.64扣税:.00"/>
    <x v="3"/>
  </r>
  <r>
    <x v="295"/>
    <m/>
    <n v="50"/>
    <n v="8943213.1900000013"/>
    <s v="网上银行服务费"/>
    <x v="1"/>
  </r>
  <r>
    <x v="296"/>
    <m/>
    <n v="7862.12"/>
    <n v="8935351.0700000022"/>
    <s v="#北京社保"/>
    <x v="9"/>
  </r>
  <r>
    <x v="297"/>
    <m/>
    <n v="6216"/>
    <n v="8929135.0700000022"/>
    <s v="委托收款"/>
    <x v="8"/>
  </r>
  <r>
    <x v="298"/>
    <m/>
    <n v="50"/>
    <n v="8929085.0700000022"/>
    <s v="网上银行服务费"/>
    <x v="1"/>
  </r>
  <r>
    <x v="299"/>
    <m/>
    <n v="8126.4"/>
    <n v="8920958.6700000018"/>
    <s v="#北京社保"/>
    <x v="9"/>
  </r>
  <r>
    <x v="248"/>
    <m/>
    <n v="6216"/>
    <n v="8914742.6700000018"/>
    <s v="委托收款"/>
    <x v="8"/>
  </r>
  <r>
    <x v="300"/>
    <m/>
    <n v="50"/>
    <n v="8914692.6700000018"/>
    <s v="网上银行服务费"/>
    <x v="1"/>
  </r>
  <r>
    <x v="301"/>
    <m/>
    <n v="8126.4"/>
    <n v="8906566.2700000014"/>
    <s v="#北京社保"/>
    <x v="9"/>
  </r>
  <r>
    <x v="251"/>
    <m/>
    <n v="6216"/>
    <n v="8900350.2700000014"/>
    <s v="委托收款"/>
    <x v="8"/>
  </r>
  <r>
    <x v="252"/>
    <n v="47.7"/>
    <m/>
    <n v="8900397.9700000007"/>
    <s v="活期结算户结息47.70扣税:.00"/>
    <x v="3"/>
  </r>
  <r>
    <x v="302"/>
    <m/>
    <n v="50"/>
    <n v="8900347.9700000007"/>
    <s v="网上银行服务费"/>
    <x v="1"/>
  </r>
  <r>
    <x v="260"/>
    <m/>
    <n v="8126.4"/>
    <n v="8892221.5700000003"/>
    <s v="#北京社保"/>
    <x v="9"/>
  </r>
  <r>
    <x v="261"/>
    <m/>
    <n v="6216"/>
    <n v="8886005.5700000003"/>
    <s v="委托收款"/>
    <x v="8"/>
  </r>
  <r>
    <x v="303"/>
    <m/>
    <n v="50"/>
    <n v="8885955.5700000003"/>
    <s v="网上银行服务费"/>
    <x v="1"/>
  </r>
  <r>
    <x v="270"/>
    <m/>
    <n v="8126.4"/>
    <n v="8877829.1699999999"/>
    <s v="#北京社保"/>
    <x v="9"/>
  </r>
  <r>
    <x v="304"/>
    <m/>
    <n v="6216"/>
    <n v="8871613.1699999999"/>
    <s v="委托收款"/>
    <x v="8"/>
  </r>
  <r>
    <x v="272"/>
    <m/>
    <n v="50"/>
    <n v="8871563.1699999999"/>
    <s v="网上银行服务费"/>
    <x v="1"/>
  </r>
  <r>
    <x v="273"/>
    <m/>
    <n v="8126.4"/>
    <n v="8863436.7699999996"/>
    <s v="#北京社保"/>
    <x v="9"/>
  </r>
  <r>
    <x v="305"/>
    <m/>
    <n v="6216"/>
    <n v="8857220.7699999996"/>
    <s v="委托收款"/>
    <x v="8"/>
  </r>
  <r>
    <x v="276"/>
    <n v="62.5"/>
    <m/>
    <n v="8857283.2699999996"/>
    <s v="活期结算户结息62.50扣税:.00"/>
    <x v="3"/>
  </r>
  <r>
    <x v="277"/>
    <m/>
    <n v="200"/>
    <n v="8857083.2699999996"/>
    <s v="转账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D131E-1125-4EBC-855F-133E3FED8BA4}" name="数据透视表1" cacheId="5" applyNumberFormats="0" applyBorderFormats="0" applyFontFormats="0" applyPatternFormats="0" applyAlignmentFormats="0" applyWidthHeightFormats="1" dataCaption="值" grandTotalCaption="为员工支出总计" missingCaption="0" updatedVersion="6" minRefreshableVersion="3" useAutoFormatting="1" itemPrintTitles="1" mergeItem="1" createdVersion="6" indent="0" compact="0" compactData="0" gridDropZones="1" multipleFieldFilters="0">
  <location ref="A3:G40" firstHeaderRow="1" firstDataRow="2" firstDataCol="2"/>
  <pivotFields count="7">
    <pivotField name="月份" axis="axisRow" compact="0" numFmtId="179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ubtotalTop="0" showAll="0"/>
    <pivotField dataField="1" compact="0" outline="0" subtotalTop="0" showAll="0"/>
    <pivotField compact="0" numFmtId="176" outline="0" subtotalTop="0" showAll="0"/>
    <pivotField compact="0" outline="0" subtotalTop="0" showAll="0"/>
    <pivotField name="支出项目" axis="axisCol" compact="0" outline="0" subtotalTop="0" showAll="0">
      <items count="15">
        <item h="1" x="3"/>
        <item h="1" x="6"/>
        <item h="1" x="12"/>
        <item h="1" x="1"/>
        <item x="2"/>
        <item h="1" x="4"/>
        <item h="1" x="11"/>
        <item x="9"/>
        <item h="1" x="0"/>
        <item h="1" x="13"/>
        <item h="1" x="5"/>
        <item h="1" x="7"/>
        <item x="8"/>
        <item x="10"/>
        <item t="default"/>
      </items>
    </pivotField>
    <pivotField name="年度" axis="axisRow" compact="0" outline="0" subtotalTop="0" showAll="0">
      <items count="6">
        <item x="0"/>
        <item x="1"/>
        <item x="2"/>
        <item x="3"/>
        <item x="4"/>
        <item t="default"/>
      </items>
    </pivotField>
  </pivotFields>
  <rowFields count="2">
    <field x="6"/>
    <field x="0"/>
  </rowFields>
  <rowItems count="36">
    <i>
      <x v="1"/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3"/>
    </i>
    <i t="grand">
      <x/>
    </i>
  </rowItems>
  <colFields count="1">
    <field x="5"/>
  </colFields>
  <colItems count="5">
    <i>
      <x v="4"/>
    </i>
    <i>
      <x v="7"/>
    </i>
    <i>
      <x v="12"/>
    </i>
    <i>
      <x v="13"/>
    </i>
    <i t="grand">
      <x/>
    </i>
  </colItems>
  <dataFields count="1">
    <dataField name="支出金额" fld="2" baseField="0" baseItem="5" numFmtId="176"/>
  </dataField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15329-ED40-405F-A7C8-A030ED091C22}" name="表1" displayName="表1" ref="A3:F656" totalsRowCount="1" headerRowDxfId="4">
  <autoFilter ref="A3:F655" xr:uid="{2F06EDB1-653B-4577-8D17-E26E5ACF505B}"/>
  <tableColumns count="6">
    <tableColumn id="1" xr3:uid="{F7E64CBB-E148-4ACE-8032-C4FA7C2737B2}" name="交易日期" totalsRowLabel="汇总" dataDxfId="8" totalsRowDxfId="3"/>
    <tableColumn id="2" xr3:uid="{93D23258-A34B-4D43-89ED-36FA0761EAB1}" name="收入" totalsRowFunction="sum" dataDxfId="7" totalsRowDxfId="2"/>
    <tableColumn id="3" xr3:uid="{17618BBE-47ED-4F65-98F5-D604DE0F1014}" name="支出" totalsRowFunction="sum" dataDxfId="6" totalsRowDxfId="1"/>
    <tableColumn id="4" xr3:uid="{04ED836C-659D-4F4B-BABF-F1CB6CFA5564}" name="账户余额" dataDxfId="5" totalsRowDxfId="0">
      <calculatedColumnFormula>D3+B4-C4</calculatedColumnFormula>
    </tableColumn>
    <tableColumn id="5" xr3:uid="{EBCA4926-22EC-4E0C-AA48-B85369A90CE5}" name="摘要"/>
    <tableColumn id="6" xr3:uid="{C15BBAC8-6209-4BAA-ADF4-64EFACE270CF}" name="收支项目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37D4-34A5-418E-BC83-3C1A7A319819}">
  <dimension ref="A3:G40"/>
  <sheetViews>
    <sheetView tabSelected="1" workbookViewId="0">
      <selection activeCell="B44" sqref="B44"/>
    </sheetView>
  </sheetViews>
  <sheetFormatPr defaultRowHeight="13.5" x14ac:dyDescent="0.15"/>
  <cols>
    <col min="1" max="1" width="13.125" bestFit="1" customWidth="1"/>
    <col min="2" max="2" width="13.75" bestFit="1" customWidth="1"/>
    <col min="3" max="7" width="17" bestFit="1" customWidth="1"/>
    <col min="8" max="16" width="13.75" bestFit="1" customWidth="1"/>
    <col min="17" max="17" width="14.5" bestFit="1" customWidth="1"/>
  </cols>
  <sheetData>
    <row r="3" spans="1:7" x14ac:dyDescent="0.15">
      <c r="A3" s="34" t="s">
        <v>212</v>
      </c>
      <c r="B3" s="30"/>
      <c r="C3" s="34" t="s">
        <v>215</v>
      </c>
      <c r="D3" s="30"/>
      <c r="E3" s="30"/>
      <c r="F3" s="30"/>
      <c r="G3" s="30"/>
    </row>
    <row r="4" spans="1:7" x14ac:dyDescent="0.15">
      <c r="A4" s="34" t="s">
        <v>213</v>
      </c>
      <c r="B4" s="34" t="s">
        <v>214</v>
      </c>
      <c r="C4" s="38" t="s">
        <v>87</v>
      </c>
      <c r="D4" s="38" t="s">
        <v>88</v>
      </c>
      <c r="E4" s="38" t="s">
        <v>4</v>
      </c>
      <c r="F4" s="38" t="s">
        <v>93</v>
      </c>
      <c r="G4" s="38" t="s">
        <v>216</v>
      </c>
    </row>
    <row r="5" spans="1:7" x14ac:dyDescent="0.15">
      <c r="A5" s="36" t="s">
        <v>194</v>
      </c>
      <c r="B5" s="37" t="s">
        <v>196</v>
      </c>
      <c r="C5" s="29">
        <v>2000</v>
      </c>
      <c r="D5" s="29">
        <v>0</v>
      </c>
      <c r="E5" s="29">
        <v>0</v>
      </c>
      <c r="F5" s="29">
        <v>0</v>
      </c>
      <c r="G5" s="29">
        <v>2000</v>
      </c>
    </row>
    <row r="6" spans="1:7" x14ac:dyDescent="0.15">
      <c r="A6" s="35"/>
      <c r="B6" s="37" t="s">
        <v>197</v>
      </c>
      <c r="C6" s="29">
        <v>2000</v>
      </c>
      <c r="D6" s="29">
        <v>0</v>
      </c>
      <c r="E6" s="29">
        <v>0</v>
      </c>
      <c r="F6" s="29">
        <v>0</v>
      </c>
      <c r="G6" s="29">
        <v>2000</v>
      </c>
    </row>
    <row r="7" spans="1:7" x14ac:dyDescent="0.15">
      <c r="A7" s="35"/>
      <c r="B7" s="37" t="s">
        <v>198</v>
      </c>
      <c r="C7" s="29">
        <v>2000</v>
      </c>
      <c r="D7" s="29">
        <v>0</v>
      </c>
      <c r="E7" s="29">
        <v>0</v>
      </c>
      <c r="F7" s="29">
        <v>0</v>
      </c>
      <c r="G7" s="29">
        <v>2000</v>
      </c>
    </row>
    <row r="8" spans="1:7" x14ac:dyDescent="0.15">
      <c r="A8" s="35"/>
      <c r="B8" s="37" t="s">
        <v>199</v>
      </c>
      <c r="C8" s="29">
        <v>2000</v>
      </c>
      <c r="D8" s="29">
        <v>0</v>
      </c>
      <c r="E8" s="29">
        <v>0</v>
      </c>
      <c r="F8" s="29">
        <v>0</v>
      </c>
      <c r="G8" s="29">
        <v>2000</v>
      </c>
    </row>
    <row r="9" spans="1:7" x14ac:dyDescent="0.15">
      <c r="A9" s="35"/>
      <c r="B9" s="37" t="s">
        <v>200</v>
      </c>
      <c r="C9" s="29">
        <v>2000</v>
      </c>
      <c r="D9" s="29">
        <v>0</v>
      </c>
      <c r="E9" s="29">
        <v>0</v>
      </c>
      <c r="F9" s="29">
        <v>0</v>
      </c>
      <c r="G9" s="29">
        <v>2000</v>
      </c>
    </row>
    <row r="10" spans="1:7" x14ac:dyDescent="0.15">
      <c r="A10" s="35"/>
      <c r="B10" s="37" t="s">
        <v>201</v>
      </c>
      <c r="C10" s="29">
        <v>0</v>
      </c>
      <c r="D10" s="29">
        <v>0</v>
      </c>
      <c r="E10" s="29">
        <v>2400</v>
      </c>
      <c r="F10" s="29">
        <v>0</v>
      </c>
      <c r="G10" s="29">
        <v>2400</v>
      </c>
    </row>
    <row r="11" spans="1:7" x14ac:dyDescent="0.15">
      <c r="A11" s="35"/>
      <c r="B11" s="37" t="s">
        <v>202</v>
      </c>
      <c r="C11" s="29">
        <v>26430.9</v>
      </c>
      <c r="D11" s="29">
        <v>5869</v>
      </c>
      <c r="E11" s="29">
        <v>2400</v>
      </c>
      <c r="F11" s="29">
        <v>7082.13</v>
      </c>
      <c r="G11" s="29">
        <v>41782.03</v>
      </c>
    </row>
    <row r="12" spans="1:7" x14ac:dyDescent="0.15">
      <c r="A12" s="35"/>
      <c r="B12" s="37" t="s">
        <v>203</v>
      </c>
      <c r="C12" s="29">
        <v>84513.26</v>
      </c>
      <c r="D12" s="29">
        <v>11864</v>
      </c>
      <c r="E12" s="29">
        <v>8592</v>
      </c>
      <c r="F12" s="29">
        <v>6494.03</v>
      </c>
      <c r="G12" s="29">
        <v>111463.29</v>
      </c>
    </row>
    <row r="13" spans="1:7" x14ac:dyDescent="0.15">
      <c r="A13" s="36" t="s">
        <v>209</v>
      </c>
      <c r="B13" s="35"/>
      <c r="C13" s="29">
        <v>120944.16</v>
      </c>
      <c r="D13" s="29">
        <v>17733</v>
      </c>
      <c r="E13" s="29">
        <v>13392</v>
      </c>
      <c r="F13" s="29">
        <v>13576.16</v>
      </c>
      <c r="G13" s="29">
        <v>165645.32</v>
      </c>
    </row>
    <row r="14" spans="1:7" x14ac:dyDescent="0.15">
      <c r="A14" s="36" t="s">
        <v>204</v>
      </c>
      <c r="B14" s="37" t="s">
        <v>205</v>
      </c>
      <c r="C14" s="29">
        <v>69094.12000000001</v>
      </c>
      <c r="D14" s="29">
        <v>13213.28</v>
      </c>
      <c r="E14" s="29">
        <v>7560</v>
      </c>
      <c r="F14" s="29">
        <v>9020.33</v>
      </c>
      <c r="G14" s="29">
        <v>98887.73000000001</v>
      </c>
    </row>
    <row r="15" spans="1:7" x14ac:dyDescent="0.15">
      <c r="A15" s="35"/>
      <c r="B15" s="37" t="s">
        <v>206</v>
      </c>
      <c r="C15" s="29">
        <v>113517.38000000002</v>
      </c>
      <c r="D15" s="29">
        <v>11864</v>
      </c>
      <c r="E15" s="29">
        <v>6528</v>
      </c>
      <c r="F15" s="29">
        <v>5059.3500000000004</v>
      </c>
      <c r="G15" s="29">
        <v>136968.73000000001</v>
      </c>
    </row>
    <row r="16" spans="1:7" x14ac:dyDescent="0.15">
      <c r="A16" s="35"/>
      <c r="B16" s="37" t="s">
        <v>207</v>
      </c>
      <c r="C16" s="29">
        <v>71493.34</v>
      </c>
      <c r="D16" s="29">
        <v>11864</v>
      </c>
      <c r="E16" s="29">
        <v>6528</v>
      </c>
      <c r="F16" s="29">
        <v>10101.709999999999</v>
      </c>
      <c r="G16" s="29">
        <v>99987.049999999988</v>
      </c>
    </row>
    <row r="17" spans="1:7" x14ac:dyDescent="0.15">
      <c r="A17" s="35"/>
      <c r="B17" s="37" t="s">
        <v>195</v>
      </c>
      <c r="C17" s="29">
        <v>81697.8</v>
      </c>
      <c r="D17" s="29">
        <v>15378.8</v>
      </c>
      <c r="E17" s="29">
        <v>8616</v>
      </c>
      <c r="F17" s="29">
        <v>10659.22</v>
      </c>
      <c r="G17" s="29">
        <v>116351.82</v>
      </c>
    </row>
    <row r="18" spans="1:7" x14ac:dyDescent="0.15">
      <c r="A18" s="35"/>
      <c r="B18" s="37" t="s">
        <v>196</v>
      </c>
      <c r="C18" s="29">
        <v>68097.52</v>
      </c>
      <c r="D18" s="29">
        <v>15387.4</v>
      </c>
      <c r="E18" s="29">
        <v>7056</v>
      </c>
      <c r="F18" s="29">
        <v>7573.92</v>
      </c>
      <c r="G18" s="29">
        <v>98114.84</v>
      </c>
    </row>
    <row r="19" spans="1:7" x14ac:dyDescent="0.15">
      <c r="A19" s="35"/>
      <c r="B19" s="37" t="s">
        <v>197</v>
      </c>
      <c r="C19" s="29">
        <v>64556.670000000006</v>
      </c>
      <c r="D19" s="29">
        <v>11158.4</v>
      </c>
      <c r="E19" s="29">
        <v>6024</v>
      </c>
      <c r="F19" s="29">
        <v>8130.19</v>
      </c>
      <c r="G19" s="29">
        <v>89869.260000000009</v>
      </c>
    </row>
    <row r="20" spans="1:7" x14ac:dyDescent="0.15">
      <c r="A20" s="35"/>
      <c r="B20" s="37" t="s">
        <v>198</v>
      </c>
      <c r="C20" s="29">
        <v>94110.75</v>
      </c>
      <c r="D20" s="29">
        <v>9392.4</v>
      </c>
      <c r="E20" s="29">
        <v>6024</v>
      </c>
      <c r="F20" s="29">
        <v>20143.96</v>
      </c>
      <c r="G20" s="29">
        <v>129671.10999999999</v>
      </c>
    </row>
    <row r="21" spans="1:7" x14ac:dyDescent="0.15">
      <c r="A21" s="35"/>
      <c r="B21" s="37" t="s">
        <v>199</v>
      </c>
      <c r="C21" s="29">
        <v>56964.130000000005</v>
      </c>
      <c r="D21" s="29">
        <v>9720.1200000000008</v>
      </c>
      <c r="E21" s="29">
        <v>6024</v>
      </c>
      <c r="F21" s="29">
        <v>7534.83</v>
      </c>
      <c r="G21" s="29">
        <v>80243.08</v>
      </c>
    </row>
    <row r="22" spans="1:7" x14ac:dyDescent="0.15">
      <c r="A22" s="35"/>
      <c r="B22" s="37" t="s">
        <v>200</v>
      </c>
      <c r="C22" s="29">
        <v>55744.820000000007</v>
      </c>
      <c r="D22" s="29">
        <v>9720.1200000000008</v>
      </c>
      <c r="E22" s="29">
        <v>4992</v>
      </c>
      <c r="F22" s="29">
        <v>7430</v>
      </c>
      <c r="G22" s="29">
        <v>77886.94</v>
      </c>
    </row>
    <row r="23" spans="1:7" x14ac:dyDescent="0.15">
      <c r="A23" s="35"/>
      <c r="B23" s="37" t="s">
        <v>201</v>
      </c>
      <c r="C23" s="29">
        <v>91062.84</v>
      </c>
      <c r="D23" s="29">
        <v>7790.12</v>
      </c>
      <c r="E23" s="29">
        <v>4992</v>
      </c>
      <c r="F23" s="29">
        <v>17952.72</v>
      </c>
      <c r="G23" s="29">
        <v>121797.68</v>
      </c>
    </row>
    <row r="24" spans="1:7" x14ac:dyDescent="0.15">
      <c r="A24" s="35"/>
      <c r="B24" s="37" t="s">
        <v>202</v>
      </c>
      <c r="C24" s="29">
        <v>63319.95</v>
      </c>
      <c r="D24" s="29">
        <v>7739.72</v>
      </c>
      <c r="E24" s="29">
        <v>4536</v>
      </c>
      <c r="F24" s="29">
        <v>4200.57</v>
      </c>
      <c r="G24" s="29">
        <v>79796.239999999991</v>
      </c>
    </row>
    <row r="25" spans="1:7" x14ac:dyDescent="0.15">
      <c r="A25" s="35"/>
      <c r="B25" s="37" t="s">
        <v>203</v>
      </c>
      <c r="C25" s="29">
        <v>79787.3</v>
      </c>
      <c r="D25" s="29">
        <v>5819.12</v>
      </c>
      <c r="E25" s="29">
        <v>3960</v>
      </c>
      <c r="F25" s="29">
        <v>3833.7</v>
      </c>
      <c r="G25" s="29">
        <v>93400.12</v>
      </c>
    </row>
    <row r="26" spans="1:7" x14ac:dyDescent="0.15">
      <c r="A26" s="36" t="s">
        <v>210</v>
      </c>
      <c r="B26" s="35"/>
      <c r="C26" s="29">
        <v>909446.62</v>
      </c>
      <c r="D26" s="29">
        <v>129047.47999999997</v>
      </c>
      <c r="E26" s="29">
        <v>72840</v>
      </c>
      <c r="F26" s="29">
        <v>111640.49999999999</v>
      </c>
      <c r="G26" s="29">
        <v>1222974.6000000001</v>
      </c>
    </row>
    <row r="27" spans="1:7" x14ac:dyDescent="0.15">
      <c r="A27" s="36" t="s">
        <v>208</v>
      </c>
      <c r="B27" s="37" t="s">
        <v>205</v>
      </c>
      <c r="C27" s="29">
        <v>48496.400000000009</v>
      </c>
      <c r="D27" s="29">
        <v>5819.12</v>
      </c>
      <c r="E27" s="29">
        <v>5976</v>
      </c>
      <c r="F27" s="29">
        <v>9569.0300000000007</v>
      </c>
      <c r="G27" s="29">
        <v>69860.550000000017</v>
      </c>
    </row>
    <row r="28" spans="1:7" x14ac:dyDescent="0.15">
      <c r="A28" s="35"/>
      <c r="B28" s="37" t="s">
        <v>206</v>
      </c>
      <c r="C28" s="29">
        <v>107169.23</v>
      </c>
      <c r="D28" s="29">
        <v>5819.12</v>
      </c>
      <c r="E28" s="29">
        <v>5976</v>
      </c>
      <c r="F28" s="29">
        <v>8269.2900000000009</v>
      </c>
      <c r="G28" s="29">
        <v>127233.63999999998</v>
      </c>
    </row>
    <row r="29" spans="1:7" x14ac:dyDescent="0.15">
      <c r="A29" s="35"/>
      <c r="B29" s="37" t="s">
        <v>207</v>
      </c>
      <c r="C29" s="29">
        <v>30368.45</v>
      </c>
      <c r="D29" s="29">
        <v>5819.12</v>
      </c>
      <c r="E29" s="29">
        <v>5976</v>
      </c>
      <c r="F29" s="29">
        <v>3505.07</v>
      </c>
      <c r="G29" s="29">
        <v>45668.639999999999</v>
      </c>
    </row>
    <row r="30" spans="1:7" x14ac:dyDescent="0.15">
      <c r="A30" s="35"/>
      <c r="B30" s="37" t="s">
        <v>195</v>
      </c>
      <c r="C30" s="29">
        <v>47859.600000000006</v>
      </c>
      <c r="D30" s="29">
        <v>5819.12</v>
      </c>
      <c r="E30" s="29">
        <v>5976</v>
      </c>
      <c r="F30" s="29">
        <v>9413.92</v>
      </c>
      <c r="G30" s="29">
        <v>69068.640000000014</v>
      </c>
    </row>
    <row r="31" spans="1:7" x14ac:dyDescent="0.15">
      <c r="A31" s="35"/>
      <c r="B31" s="37" t="s">
        <v>196</v>
      </c>
      <c r="C31" s="29">
        <v>16280.7</v>
      </c>
      <c r="D31" s="29">
        <v>5819.12</v>
      </c>
      <c r="E31" s="29">
        <v>5976</v>
      </c>
      <c r="F31" s="29">
        <v>4005.07</v>
      </c>
      <c r="G31" s="29">
        <v>32080.89</v>
      </c>
    </row>
    <row r="32" spans="1:7" x14ac:dyDescent="0.15">
      <c r="A32" s="35"/>
      <c r="B32" s="37" t="s">
        <v>197</v>
      </c>
      <c r="C32" s="29">
        <v>16280.7</v>
      </c>
      <c r="D32" s="29">
        <v>5819.12</v>
      </c>
      <c r="E32" s="29">
        <v>5976</v>
      </c>
      <c r="F32" s="29">
        <v>3505.07</v>
      </c>
      <c r="G32" s="29">
        <v>31580.89</v>
      </c>
    </row>
    <row r="33" spans="1:7" x14ac:dyDescent="0.15">
      <c r="A33" s="35"/>
      <c r="B33" s="37" t="s">
        <v>198</v>
      </c>
      <c r="C33" s="29">
        <v>15878.300000000001</v>
      </c>
      <c r="D33" s="29">
        <v>7862.12</v>
      </c>
      <c r="E33" s="29">
        <v>6216</v>
      </c>
      <c r="F33" s="29">
        <v>9313.32</v>
      </c>
      <c r="G33" s="29">
        <v>39269.740000000005</v>
      </c>
    </row>
    <row r="34" spans="1:7" x14ac:dyDescent="0.15">
      <c r="A34" s="35"/>
      <c r="B34" s="37" t="s">
        <v>199</v>
      </c>
      <c r="C34" s="29">
        <v>36757.369999999995</v>
      </c>
      <c r="D34" s="29">
        <v>8126.4</v>
      </c>
      <c r="E34" s="29">
        <v>6216</v>
      </c>
      <c r="F34" s="29">
        <v>8338.68</v>
      </c>
      <c r="G34" s="29">
        <v>59438.45</v>
      </c>
    </row>
    <row r="35" spans="1:7" x14ac:dyDescent="0.15">
      <c r="A35" s="35"/>
      <c r="B35" s="37" t="s">
        <v>200</v>
      </c>
      <c r="C35" s="29">
        <v>41696.520000000004</v>
      </c>
      <c r="D35" s="29">
        <v>8126.4</v>
      </c>
      <c r="E35" s="29">
        <v>6216</v>
      </c>
      <c r="F35" s="29">
        <v>6526.46</v>
      </c>
      <c r="G35" s="29">
        <v>62565.380000000005</v>
      </c>
    </row>
    <row r="36" spans="1:7" x14ac:dyDescent="0.15">
      <c r="A36" s="35"/>
      <c r="B36" s="37" t="s">
        <v>201</v>
      </c>
      <c r="C36" s="29">
        <v>42011.520000000004</v>
      </c>
      <c r="D36" s="29">
        <v>8126.4</v>
      </c>
      <c r="E36" s="29">
        <v>6216</v>
      </c>
      <c r="F36" s="29">
        <v>4792.28</v>
      </c>
      <c r="G36" s="29">
        <v>61146.200000000004</v>
      </c>
    </row>
    <row r="37" spans="1:7" x14ac:dyDescent="0.15">
      <c r="A37" s="35"/>
      <c r="B37" s="37" t="s">
        <v>202</v>
      </c>
      <c r="C37" s="29">
        <v>62864.630000000005</v>
      </c>
      <c r="D37" s="29">
        <v>8126.4</v>
      </c>
      <c r="E37" s="29">
        <v>6216</v>
      </c>
      <c r="F37" s="29">
        <v>7339.17</v>
      </c>
      <c r="G37" s="29">
        <v>84546.2</v>
      </c>
    </row>
    <row r="38" spans="1:7" x14ac:dyDescent="0.15">
      <c r="A38" s="35"/>
      <c r="B38" s="37" t="s">
        <v>203</v>
      </c>
      <c r="C38" s="29">
        <v>103252.45999999999</v>
      </c>
      <c r="D38" s="29">
        <v>8126.4</v>
      </c>
      <c r="E38" s="29">
        <v>6216</v>
      </c>
      <c r="F38" s="29">
        <v>5237.99</v>
      </c>
      <c r="G38" s="29">
        <v>122832.84999999999</v>
      </c>
    </row>
    <row r="39" spans="1:7" x14ac:dyDescent="0.15">
      <c r="A39" s="36" t="s">
        <v>211</v>
      </c>
      <c r="B39" s="35"/>
      <c r="C39" s="29">
        <v>568915.88</v>
      </c>
      <c r="D39" s="29">
        <v>83408.84</v>
      </c>
      <c r="E39" s="29">
        <v>73152</v>
      </c>
      <c r="F39" s="29">
        <v>79815.350000000006</v>
      </c>
      <c r="G39" s="29">
        <v>805292.07</v>
      </c>
    </row>
    <row r="40" spans="1:7" x14ac:dyDescent="0.15">
      <c r="A40" s="36" t="s">
        <v>216</v>
      </c>
      <c r="B40" s="35"/>
      <c r="C40" s="29">
        <v>1599306.6599999997</v>
      </c>
      <c r="D40" s="29">
        <v>230189.31999999992</v>
      </c>
      <c r="E40" s="29">
        <v>159384</v>
      </c>
      <c r="F40" s="29">
        <v>205032.01000000004</v>
      </c>
      <c r="G40" s="29">
        <v>2193911.9899999993</v>
      </c>
    </row>
  </sheetData>
  <mergeCells count="7">
    <mergeCell ref="A14:A25"/>
    <mergeCell ref="A26:B26"/>
    <mergeCell ref="A27:A38"/>
    <mergeCell ref="A39:B39"/>
    <mergeCell ref="A40:B40"/>
    <mergeCell ref="A5:A12"/>
    <mergeCell ref="A13:B1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6"/>
  <sheetViews>
    <sheetView workbookViewId="0">
      <pane ySplit="3" topLeftCell="A4" activePane="bottomLeft" state="frozen"/>
      <selection pane="bottomLeft" activeCell="A4" sqref="A4"/>
    </sheetView>
  </sheetViews>
  <sheetFormatPr defaultColWidth="0" defaultRowHeight="13.5" zeroHeight="1" x14ac:dyDescent="0.15"/>
  <cols>
    <col min="1" max="1" width="18.5" customWidth="1"/>
    <col min="2" max="2" width="19.625" customWidth="1"/>
    <col min="3" max="3" width="20" customWidth="1"/>
    <col min="4" max="4" width="16.125" bestFit="1" customWidth="1"/>
    <col min="5" max="5" width="30.375" bestFit="1" customWidth="1"/>
    <col min="6" max="6" width="11" bestFit="1" customWidth="1"/>
    <col min="7" max="9" width="9" hidden="1"/>
    <col min="10" max="10" width="14.875" hidden="1"/>
    <col min="14" max="16384" width="9" hidden="1"/>
  </cols>
  <sheetData>
    <row r="1" spans="1:6" ht="24.75" x14ac:dyDescent="0.4">
      <c r="A1" s="5" t="s">
        <v>153</v>
      </c>
      <c r="B1" s="5"/>
      <c r="C1" s="5"/>
      <c r="D1" s="5"/>
      <c r="E1" s="5"/>
      <c r="F1" s="6"/>
    </row>
    <row r="2" spans="1:6" ht="3" customHeight="1" x14ac:dyDescent="0.15">
      <c r="A2" s="1"/>
      <c r="B2" s="1"/>
      <c r="C2" s="1"/>
      <c r="D2" s="1"/>
      <c r="E2" s="1"/>
    </row>
    <row r="3" spans="1:6" x14ac:dyDescent="0.15">
      <c r="A3" s="3" t="s">
        <v>146</v>
      </c>
      <c r="B3" s="3" t="s">
        <v>85</v>
      </c>
      <c r="C3" s="4" t="s">
        <v>86</v>
      </c>
      <c r="D3" s="3" t="s">
        <v>10</v>
      </c>
      <c r="E3" s="4" t="s">
        <v>0</v>
      </c>
      <c r="F3" s="4" t="s">
        <v>147</v>
      </c>
    </row>
    <row r="4" spans="1:6" x14ac:dyDescent="0.15">
      <c r="A4" s="25">
        <v>42481</v>
      </c>
      <c r="B4" s="27">
        <v>2000000</v>
      </c>
      <c r="C4" s="27"/>
      <c r="D4" s="27">
        <f>B4-C4</f>
        <v>2000000</v>
      </c>
      <c r="E4" s="2" t="s">
        <v>12</v>
      </c>
      <c r="F4" s="2" t="s">
        <v>98</v>
      </c>
    </row>
    <row r="5" spans="1:6" x14ac:dyDescent="0.15">
      <c r="A5" s="25">
        <v>42482</v>
      </c>
      <c r="B5" s="27">
        <v>1000000</v>
      </c>
      <c r="C5" s="27"/>
      <c r="D5" s="27">
        <f>D4+B5-C5</f>
        <v>3000000</v>
      </c>
      <c r="E5" s="2" t="s">
        <v>12</v>
      </c>
      <c r="F5" s="2" t="s">
        <v>98</v>
      </c>
    </row>
    <row r="6" spans="1:6" ht="12.75" customHeight="1" x14ac:dyDescent="0.15">
      <c r="A6" s="25">
        <v>42485</v>
      </c>
      <c r="B6" s="27"/>
      <c r="C6" s="27">
        <v>80</v>
      </c>
      <c r="D6" s="27">
        <f t="shared" ref="D6:D69" si="0">D5+B6-C6</f>
        <v>2999920</v>
      </c>
      <c r="E6" s="2" t="s">
        <v>48</v>
      </c>
      <c r="F6" s="2" t="s">
        <v>110</v>
      </c>
    </row>
    <row r="7" spans="1:6" x14ac:dyDescent="0.15">
      <c r="A7" s="25">
        <v>42486</v>
      </c>
      <c r="B7" s="27">
        <v>800000</v>
      </c>
      <c r="C7" s="27"/>
      <c r="D7" s="27">
        <f t="shared" si="0"/>
        <v>3799920</v>
      </c>
      <c r="E7" s="2" t="s">
        <v>13</v>
      </c>
      <c r="F7" s="2" t="s">
        <v>98</v>
      </c>
    </row>
    <row r="8" spans="1:6" x14ac:dyDescent="0.15">
      <c r="A8" s="25">
        <v>42496</v>
      </c>
      <c r="B8" s="27"/>
      <c r="C8" s="27">
        <v>2000</v>
      </c>
      <c r="D8" s="27">
        <f t="shared" si="0"/>
        <v>3797920</v>
      </c>
      <c r="E8" s="2" t="s">
        <v>14</v>
      </c>
      <c r="F8" s="2" t="s">
        <v>87</v>
      </c>
    </row>
    <row r="9" spans="1:6" x14ac:dyDescent="0.15">
      <c r="A9" s="25">
        <v>42523</v>
      </c>
      <c r="B9" s="27"/>
      <c r="C9" s="27">
        <v>970</v>
      </c>
      <c r="D9" s="27">
        <f t="shared" si="0"/>
        <v>3796950</v>
      </c>
      <c r="E9" s="2" t="s">
        <v>15</v>
      </c>
      <c r="F9" s="2" t="s">
        <v>110</v>
      </c>
    </row>
    <row r="10" spans="1:6" x14ac:dyDescent="0.15">
      <c r="A10" s="25">
        <v>42523</v>
      </c>
      <c r="B10" s="27"/>
      <c r="C10" s="27">
        <v>42.3</v>
      </c>
      <c r="D10" s="27">
        <f t="shared" si="0"/>
        <v>3796907.7</v>
      </c>
      <c r="E10" s="2" t="s">
        <v>16</v>
      </c>
      <c r="F10" s="2" t="s">
        <v>110</v>
      </c>
    </row>
    <row r="11" spans="1:6" x14ac:dyDescent="0.15">
      <c r="A11" s="25">
        <v>42523</v>
      </c>
      <c r="B11" s="27"/>
      <c r="C11" s="27">
        <v>2000</v>
      </c>
      <c r="D11" s="27">
        <f t="shared" si="0"/>
        <v>3794907.7</v>
      </c>
      <c r="E11" s="2" t="s">
        <v>14</v>
      </c>
      <c r="F11" s="2" t="s">
        <v>87</v>
      </c>
    </row>
    <row r="12" spans="1:6" x14ac:dyDescent="0.15">
      <c r="A12" s="25">
        <v>42541</v>
      </c>
      <c r="B12" s="27"/>
      <c r="C12" s="27">
        <v>22850</v>
      </c>
      <c r="D12" s="27">
        <f t="shared" si="0"/>
        <v>3772057.7</v>
      </c>
      <c r="E12" s="2" t="s">
        <v>17</v>
      </c>
      <c r="F12" s="2" t="s">
        <v>110</v>
      </c>
    </row>
    <row r="13" spans="1:6" x14ac:dyDescent="0.15">
      <c r="A13" s="25">
        <v>42542</v>
      </c>
      <c r="B13" s="27">
        <v>1888.53</v>
      </c>
      <c r="C13" s="27"/>
      <c r="D13" s="27">
        <f t="shared" si="0"/>
        <v>3773946.23</v>
      </c>
      <c r="E13" s="2" t="s">
        <v>49</v>
      </c>
      <c r="F13" s="2" t="s">
        <v>97</v>
      </c>
    </row>
    <row r="14" spans="1:6" x14ac:dyDescent="0.15">
      <c r="A14" s="25">
        <v>42557</v>
      </c>
      <c r="B14" s="27"/>
      <c r="C14" s="27">
        <v>91.4</v>
      </c>
      <c r="D14" s="27">
        <f t="shared" si="0"/>
        <v>3773854.83</v>
      </c>
      <c r="E14" s="2" t="s">
        <v>50</v>
      </c>
      <c r="F14" s="2" t="s">
        <v>100</v>
      </c>
    </row>
    <row r="15" spans="1:6" x14ac:dyDescent="0.15">
      <c r="A15" s="25">
        <v>42559</v>
      </c>
      <c r="B15" s="27"/>
      <c r="C15" s="27">
        <v>2000</v>
      </c>
      <c r="D15" s="27">
        <f t="shared" si="0"/>
        <v>3771854.83</v>
      </c>
      <c r="E15" s="2" t="s">
        <v>14</v>
      </c>
      <c r="F15" s="2" t="s">
        <v>87</v>
      </c>
    </row>
    <row r="16" spans="1:6" x14ac:dyDescent="0.15">
      <c r="A16" s="25">
        <v>42559</v>
      </c>
      <c r="B16" s="27"/>
      <c r="C16" s="27">
        <v>1589</v>
      </c>
      <c r="D16" s="27">
        <f t="shared" si="0"/>
        <v>3770265.83</v>
      </c>
      <c r="E16" s="2" t="s">
        <v>18</v>
      </c>
      <c r="F16" s="2" t="s">
        <v>110</v>
      </c>
    </row>
    <row r="17" spans="1:13" x14ac:dyDescent="0.15">
      <c r="A17" s="25">
        <v>42559</v>
      </c>
      <c r="B17" s="27"/>
      <c r="C17" s="27">
        <v>50</v>
      </c>
      <c r="D17" s="27">
        <f t="shared" si="0"/>
        <v>3770215.83</v>
      </c>
      <c r="E17" s="2" t="s">
        <v>16</v>
      </c>
      <c r="F17" s="2" t="s">
        <v>110</v>
      </c>
    </row>
    <row r="18" spans="1:13" x14ac:dyDescent="0.15">
      <c r="A18" s="25">
        <v>42587</v>
      </c>
      <c r="B18" s="27"/>
      <c r="C18" s="27">
        <v>100000</v>
      </c>
      <c r="D18" s="27">
        <f t="shared" si="0"/>
        <v>3670215.83</v>
      </c>
      <c r="E18" s="2" t="s">
        <v>19</v>
      </c>
      <c r="F18" s="2" t="s">
        <v>83</v>
      </c>
      <c r="K18" s="2"/>
    </row>
    <row r="19" spans="1:13" x14ac:dyDescent="0.15">
      <c r="A19" s="25">
        <v>42588</v>
      </c>
      <c r="B19" s="27"/>
      <c r="C19" s="27">
        <v>7</v>
      </c>
      <c r="D19" s="27">
        <f t="shared" si="0"/>
        <v>3670208.83</v>
      </c>
      <c r="E19" s="2" t="s">
        <v>48</v>
      </c>
      <c r="F19" s="2" t="s">
        <v>110</v>
      </c>
    </row>
    <row r="20" spans="1:13" x14ac:dyDescent="0.15">
      <c r="A20" s="25">
        <v>42599</v>
      </c>
      <c r="B20" s="27"/>
      <c r="C20" s="27">
        <v>16825</v>
      </c>
      <c r="D20" s="27">
        <f t="shared" si="0"/>
        <v>3653383.83</v>
      </c>
      <c r="E20" s="2" t="s">
        <v>38</v>
      </c>
      <c r="F20" s="2" t="s">
        <v>89</v>
      </c>
    </row>
    <row r="21" spans="1:13" x14ac:dyDescent="0.15">
      <c r="A21" s="25">
        <v>42601</v>
      </c>
      <c r="B21" s="27"/>
      <c r="C21" s="27">
        <v>2000</v>
      </c>
      <c r="D21" s="27">
        <f t="shared" si="0"/>
        <v>3651383.83</v>
      </c>
      <c r="E21" s="2" t="s">
        <v>14</v>
      </c>
      <c r="F21" s="2" t="s">
        <v>87</v>
      </c>
    </row>
    <row r="22" spans="1:13" x14ac:dyDescent="0.15">
      <c r="A22" s="25">
        <v>42601</v>
      </c>
      <c r="B22" s="27"/>
      <c r="C22" s="27">
        <v>59</v>
      </c>
      <c r="D22" s="27">
        <f t="shared" si="0"/>
        <v>3651324.83</v>
      </c>
      <c r="E22" s="2" t="s">
        <v>20</v>
      </c>
      <c r="F22" s="2" t="s">
        <v>110</v>
      </c>
      <c r="M22" s="2"/>
    </row>
    <row r="23" spans="1:13" x14ac:dyDescent="0.15">
      <c r="A23" s="25">
        <v>42601</v>
      </c>
      <c r="B23" s="27"/>
      <c r="C23" s="27">
        <v>40</v>
      </c>
      <c r="D23" s="27">
        <f t="shared" si="0"/>
        <v>3651284.83</v>
      </c>
      <c r="E23" s="2" t="s">
        <v>16</v>
      </c>
      <c r="F23" s="2" t="s">
        <v>110</v>
      </c>
    </row>
    <row r="24" spans="1:13" x14ac:dyDescent="0.15">
      <c r="A24" s="25">
        <v>42602</v>
      </c>
      <c r="B24" s="27"/>
      <c r="C24" s="27">
        <v>46200</v>
      </c>
      <c r="D24" s="27">
        <f t="shared" si="0"/>
        <v>3605084.83</v>
      </c>
      <c r="E24" s="2" t="s">
        <v>107</v>
      </c>
      <c r="F24" s="2" t="s">
        <v>89</v>
      </c>
    </row>
    <row r="25" spans="1:13" x14ac:dyDescent="0.15">
      <c r="A25" s="25">
        <v>42606</v>
      </c>
      <c r="B25" s="27"/>
      <c r="C25" s="27">
        <v>5000</v>
      </c>
      <c r="D25" s="27">
        <f t="shared" si="0"/>
        <v>3600084.83</v>
      </c>
      <c r="E25" s="2" t="s">
        <v>22</v>
      </c>
      <c r="F25" s="2" t="s">
        <v>89</v>
      </c>
    </row>
    <row r="26" spans="1:13" x14ac:dyDescent="0.15">
      <c r="A26" s="25">
        <v>42614</v>
      </c>
      <c r="B26" s="27">
        <v>21815</v>
      </c>
      <c r="C26" s="27"/>
      <c r="D26" s="27">
        <f t="shared" si="0"/>
        <v>3621899.83</v>
      </c>
      <c r="E26" s="2" t="s">
        <v>103</v>
      </c>
      <c r="F26" s="2" t="s">
        <v>94</v>
      </c>
    </row>
    <row r="27" spans="1:13" x14ac:dyDescent="0.15">
      <c r="A27" s="25">
        <v>42615</v>
      </c>
      <c r="B27" s="27">
        <v>10</v>
      </c>
      <c r="C27" s="27"/>
      <c r="D27" s="27">
        <f t="shared" si="0"/>
        <v>3621909.83</v>
      </c>
      <c r="E27" s="2" t="s">
        <v>104</v>
      </c>
      <c r="F27" s="2" t="s">
        <v>94</v>
      </c>
    </row>
    <row r="28" spans="1:13" x14ac:dyDescent="0.15">
      <c r="A28" s="25">
        <v>42622</v>
      </c>
      <c r="B28" s="27"/>
      <c r="C28" s="27">
        <v>427050</v>
      </c>
      <c r="D28" s="27">
        <f t="shared" si="0"/>
        <v>3194859.83</v>
      </c>
      <c r="E28" s="2" t="s">
        <v>23</v>
      </c>
      <c r="F28" s="2" t="s">
        <v>110</v>
      </c>
    </row>
    <row r="29" spans="1:13" x14ac:dyDescent="0.15">
      <c r="A29" s="25">
        <v>42623</v>
      </c>
      <c r="B29" s="27"/>
      <c r="C29" s="27">
        <v>10.5</v>
      </c>
      <c r="D29" s="27">
        <f t="shared" si="0"/>
        <v>3194849.33</v>
      </c>
      <c r="E29" s="2" t="s">
        <v>48</v>
      </c>
      <c r="F29" s="2" t="s">
        <v>110</v>
      </c>
    </row>
    <row r="30" spans="1:13" x14ac:dyDescent="0.15">
      <c r="A30" s="25">
        <v>42627</v>
      </c>
      <c r="B30" s="27">
        <v>75571.520000000004</v>
      </c>
      <c r="C30" s="27"/>
      <c r="D30" s="27">
        <f t="shared" si="0"/>
        <v>3270420.85</v>
      </c>
      <c r="E30" s="2" t="s">
        <v>102</v>
      </c>
      <c r="F30" s="2" t="s">
        <v>94</v>
      </c>
    </row>
    <row r="31" spans="1:13" x14ac:dyDescent="0.15">
      <c r="A31" s="25">
        <v>42634</v>
      </c>
      <c r="B31" s="27">
        <v>2826.81</v>
      </c>
      <c r="C31" s="27"/>
      <c r="D31" s="27">
        <f t="shared" si="0"/>
        <v>3273247.66</v>
      </c>
      <c r="E31" s="2" t="s">
        <v>49</v>
      </c>
      <c r="F31" s="2" t="s">
        <v>97</v>
      </c>
    </row>
    <row r="32" spans="1:13" x14ac:dyDescent="0.15">
      <c r="A32" s="25">
        <v>42635</v>
      </c>
      <c r="B32" s="27"/>
      <c r="C32" s="27">
        <v>2000</v>
      </c>
      <c r="D32" s="27">
        <f t="shared" si="0"/>
        <v>3271247.66</v>
      </c>
      <c r="E32" s="2" t="s">
        <v>14</v>
      </c>
      <c r="F32" s="2" t="s">
        <v>87</v>
      </c>
    </row>
    <row r="33" spans="1:6" x14ac:dyDescent="0.15">
      <c r="A33" s="25">
        <v>42635</v>
      </c>
      <c r="B33" s="27"/>
      <c r="C33" s="27">
        <v>307.8</v>
      </c>
      <c r="D33" s="27">
        <f t="shared" si="0"/>
        <v>3270939.8600000003</v>
      </c>
      <c r="E33" s="2" t="s">
        <v>39</v>
      </c>
      <c r="F33" s="2" t="s">
        <v>110</v>
      </c>
    </row>
    <row r="34" spans="1:6" x14ac:dyDescent="0.15">
      <c r="A34" s="25">
        <v>42635</v>
      </c>
      <c r="B34" s="27"/>
      <c r="C34" s="27">
        <v>109</v>
      </c>
      <c r="D34" s="27">
        <f t="shared" si="0"/>
        <v>3270830.8600000003</v>
      </c>
      <c r="E34" s="2" t="s">
        <v>24</v>
      </c>
      <c r="F34" s="2" t="s">
        <v>110</v>
      </c>
    </row>
    <row r="35" spans="1:6" x14ac:dyDescent="0.15">
      <c r="A35" s="25">
        <v>42653</v>
      </c>
      <c r="B35" s="27">
        <v>189055.39</v>
      </c>
      <c r="C35" s="27"/>
      <c r="D35" s="27">
        <f t="shared" si="0"/>
        <v>3459886.2500000005</v>
      </c>
      <c r="E35" s="2" t="s">
        <v>102</v>
      </c>
      <c r="F35" s="2" t="s">
        <v>94</v>
      </c>
    </row>
    <row r="36" spans="1:6" x14ac:dyDescent="0.15">
      <c r="A36" s="25">
        <v>42653</v>
      </c>
      <c r="B36" s="27">
        <v>0.2</v>
      </c>
      <c r="C36" s="27"/>
      <c r="D36" s="27">
        <f t="shared" si="0"/>
        <v>3459886.4500000007</v>
      </c>
      <c r="E36" s="2"/>
      <c r="F36" s="2" t="s">
        <v>97</v>
      </c>
    </row>
    <row r="37" spans="1:6" x14ac:dyDescent="0.15">
      <c r="A37" s="25">
        <v>42655</v>
      </c>
      <c r="B37" s="27"/>
      <c r="C37" s="27">
        <v>2706.5</v>
      </c>
      <c r="D37" s="27">
        <f t="shared" si="0"/>
        <v>3457179.9500000007</v>
      </c>
      <c r="E37" s="2" t="s">
        <v>50</v>
      </c>
      <c r="F37" s="2" t="s">
        <v>100</v>
      </c>
    </row>
    <row r="38" spans="1:6" x14ac:dyDescent="0.15">
      <c r="A38" s="25">
        <v>42660</v>
      </c>
      <c r="B38" s="27"/>
      <c r="C38" s="27">
        <v>20000</v>
      </c>
      <c r="D38" s="27">
        <f t="shared" si="0"/>
        <v>3437179.9500000007</v>
      </c>
      <c r="E38" s="2" t="s">
        <v>25</v>
      </c>
      <c r="F38" s="2" t="s">
        <v>83</v>
      </c>
    </row>
    <row r="39" spans="1:6" x14ac:dyDescent="0.15">
      <c r="A39" s="25">
        <v>42667</v>
      </c>
      <c r="B39" s="27"/>
      <c r="C39" s="27">
        <v>203.7</v>
      </c>
      <c r="D39" s="27">
        <f t="shared" si="0"/>
        <v>3436976.2500000005</v>
      </c>
      <c r="E39" s="2" t="s">
        <v>40</v>
      </c>
      <c r="F39" s="2" t="s">
        <v>110</v>
      </c>
    </row>
    <row r="40" spans="1:6" x14ac:dyDescent="0.15">
      <c r="A40" s="25">
        <v>42667</v>
      </c>
      <c r="B40" s="27"/>
      <c r="C40" s="27">
        <v>23</v>
      </c>
      <c r="D40" s="27">
        <f t="shared" si="0"/>
        <v>3436953.2500000005</v>
      </c>
      <c r="E40" s="2" t="s">
        <v>16</v>
      </c>
      <c r="F40" s="2" t="s">
        <v>110</v>
      </c>
    </row>
    <row r="41" spans="1:6" x14ac:dyDescent="0.15">
      <c r="A41" s="25">
        <v>42667</v>
      </c>
      <c r="B41" s="27"/>
      <c r="C41" s="27">
        <v>2400</v>
      </c>
      <c r="D41" s="27">
        <f t="shared" si="0"/>
        <v>3434553.2500000005</v>
      </c>
      <c r="E41" s="2" t="s">
        <v>41</v>
      </c>
      <c r="F41" s="2" t="s">
        <v>4</v>
      </c>
    </row>
    <row r="42" spans="1:6" x14ac:dyDescent="0.15">
      <c r="A42" s="25">
        <v>42671</v>
      </c>
      <c r="B42" s="27"/>
      <c r="C42" s="27">
        <v>4770</v>
      </c>
      <c r="D42" s="27">
        <f t="shared" si="0"/>
        <v>3429783.2500000005</v>
      </c>
      <c r="E42" s="2" t="s">
        <v>26</v>
      </c>
      <c r="F42" s="2" t="s">
        <v>110</v>
      </c>
    </row>
    <row r="43" spans="1:6" x14ac:dyDescent="0.15">
      <c r="A43" s="25">
        <v>42676</v>
      </c>
      <c r="B43" s="27">
        <v>800000</v>
      </c>
      <c r="C43" s="27"/>
      <c r="D43" s="27">
        <f t="shared" si="0"/>
        <v>4229783.25</v>
      </c>
      <c r="E43" s="2" t="s">
        <v>105</v>
      </c>
      <c r="F43" s="2" t="s">
        <v>83</v>
      </c>
    </row>
    <row r="44" spans="1:6" x14ac:dyDescent="0.15">
      <c r="A44" s="25">
        <v>42677</v>
      </c>
      <c r="B44" s="27"/>
      <c r="C44" s="27">
        <v>1722</v>
      </c>
      <c r="D44" s="27">
        <f t="shared" si="0"/>
        <v>4228061.25</v>
      </c>
      <c r="E44" s="2" t="s">
        <v>27</v>
      </c>
      <c r="F44" s="2" t="s">
        <v>88</v>
      </c>
    </row>
    <row r="45" spans="1:6" x14ac:dyDescent="0.15">
      <c r="A45" s="25">
        <v>42678</v>
      </c>
      <c r="B45" s="27"/>
      <c r="C45" s="27">
        <v>4147</v>
      </c>
      <c r="D45" s="27">
        <f t="shared" si="0"/>
        <v>4223914.25</v>
      </c>
      <c r="E45" s="2" t="s">
        <v>28</v>
      </c>
      <c r="F45" s="2" t="s">
        <v>88</v>
      </c>
    </row>
    <row r="46" spans="1:6" x14ac:dyDescent="0.15">
      <c r="A46" s="25">
        <v>42681</v>
      </c>
      <c r="B46" s="27"/>
      <c r="C46" s="27">
        <v>9683</v>
      </c>
      <c r="D46" s="27">
        <f t="shared" si="0"/>
        <v>4214231.25</v>
      </c>
      <c r="E46" s="2" t="s">
        <v>14</v>
      </c>
      <c r="F46" s="2" t="s">
        <v>87</v>
      </c>
    </row>
    <row r="47" spans="1:6" x14ac:dyDescent="0.15">
      <c r="A47" s="25">
        <v>42681</v>
      </c>
      <c r="B47" s="27"/>
      <c r="C47" s="27">
        <v>6786.5</v>
      </c>
      <c r="D47" s="27">
        <f t="shared" si="0"/>
        <v>4207444.75</v>
      </c>
      <c r="E47" s="2" t="s">
        <v>14</v>
      </c>
      <c r="F47" s="2" t="s">
        <v>87</v>
      </c>
    </row>
    <row r="48" spans="1:6" x14ac:dyDescent="0.15">
      <c r="A48" s="25">
        <v>42682</v>
      </c>
      <c r="B48" s="27"/>
      <c r="C48" s="27">
        <v>7082.13</v>
      </c>
      <c r="D48" s="27">
        <f t="shared" si="0"/>
        <v>4200362.62</v>
      </c>
      <c r="E48" s="2" t="s">
        <v>50</v>
      </c>
      <c r="F48" s="2" t="s">
        <v>93</v>
      </c>
    </row>
    <row r="49" spans="1:6" x14ac:dyDescent="0.15">
      <c r="A49" s="25">
        <v>42684</v>
      </c>
      <c r="B49" s="27"/>
      <c r="C49" s="27">
        <v>9961.4</v>
      </c>
      <c r="D49" s="27">
        <f t="shared" si="0"/>
        <v>4190401.22</v>
      </c>
      <c r="E49" s="2" t="s">
        <v>14</v>
      </c>
      <c r="F49" s="2" t="s">
        <v>87</v>
      </c>
    </row>
    <row r="50" spans="1:6" x14ac:dyDescent="0.15">
      <c r="A50" s="25">
        <v>42702</v>
      </c>
      <c r="B50" s="27">
        <v>20000</v>
      </c>
      <c r="C50" s="27"/>
      <c r="D50" s="27">
        <f t="shared" si="0"/>
        <v>4210401.2200000007</v>
      </c>
      <c r="E50" s="2" t="s">
        <v>29</v>
      </c>
      <c r="F50" s="2" t="s">
        <v>83</v>
      </c>
    </row>
    <row r="51" spans="1:6" x14ac:dyDescent="0.15">
      <c r="A51" s="25">
        <v>42703</v>
      </c>
      <c r="B51" s="27"/>
      <c r="C51" s="27">
        <v>497290.29</v>
      </c>
      <c r="D51" s="27">
        <f t="shared" si="0"/>
        <v>3713110.9300000006</v>
      </c>
      <c r="E51" s="2" t="s">
        <v>106</v>
      </c>
      <c r="F51" s="2" t="s">
        <v>89</v>
      </c>
    </row>
    <row r="52" spans="1:6" x14ac:dyDescent="0.15">
      <c r="A52" s="25">
        <v>42703</v>
      </c>
      <c r="B52" s="27"/>
      <c r="C52" s="27">
        <v>6400</v>
      </c>
      <c r="D52" s="27">
        <f t="shared" si="0"/>
        <v>3706710.9300000006</v>
      </c>
      <c r="E52" s="2" t="s">
        <v>30</v>
      </c>
      <c r="F52" s="2" t="s">
        <v>110</v>
      </c>
    </row>
    <row r="53" spans="1:6" x14ac:dyDescent="0.15">
      <c r="A53" s="25">
        <v>42703</v>
      </c>
      <c r="B53" s="27"/>
      <c r="C53" s="27">
        <v>7700</v>
      </c>
      <c r="D53" s="27">
        <f t="shared" si="0"/>
        <v>3699010.9300000006</v>
      </c>
      <c r="E53" s="2" t="s">
        <v>31</v>
      </c>
      <c r="F53" s="2" t="s">
        <v>110</v>
      </c>
    </row>
    <row r="54" spans="1:6" x14ac:dyDescent="0.15">
      <c r="A54" s="25">
        <v>42704</v>
      </c>
      <c r="B54" s="27"/>
      <c r="C54" s="27">
        <v>17.5</v>
      </c>
      <c r="D54" s="27">
        <f t="shared" si="0"/>
        <v>3698993.4300000006</v>
      </c>
      <c r="E54" s="2" t="s">
        <v>48</v>
      </c>
      <c r="F54" s="2" t="s">
        <v>110</v>
      </c>
    </row>
    <row r="55" spans="1:6" x14ac:dyDescent="0.15">
      <c r="A55" s="25">
        <v>42704</v>
      </c>
      <c r="B55" s="27"/>
      <c r="C55" s="27">
        <v>68803.23</v>
      </c>
      <c r="D55" s="27">
        <f t="shared" si="0"/>
        <v>3630190.2000000007</v>
      </c>
      <c r="E55" s="2" t="s">
        <v>106</v>
      </c>
      <c r="F55" s="2" t="s">
        <v>89</v>
      </c>
    </row>
    <row r="56" spans="1:6" x14ac:dyDescent="0.15">
      <c r="A56" s="25">
        <v>42705</v>
      </c>
      <c r="B56" s="27"/>
      <c r="C56" s="27">
        <v>7</v>
      </c>
      <c r="D56" s="27">
        <f t="shared" si="0"/>
        <v>3630183.2000000007</v>
      </c>
      <c r="E56" s="2" t="s">
        <v>48</v>
      </c>
      <c r="F56" s="2" t="s">
        <v>110</v>
      </c>
    </row>
    <row r="57" spans="1:6" x14ac:dyDescent="0.15">
      <c r="A57" s="25">
        <v>42710</v>
      </c>
      <c r="B57" s="27"/>
      <c r="C57" s="27">
        <v>7073.24</v>
      </c>
      <c r="D57" s="27">
        <f t="shared" si="0"/>
        <v>3623109.9600000004</v>
      </c>
      <c r="E57" s="2" t="s">
        <v>14</v>
      </c>
      <c r="F57" s="2" t="s">
        <v>87</v>
      </c>
    </row>
    <row r="58" spans="1:6" x14ac:dyDescent="0.15">
      <c r="A58" s="25">
        <v>42710</v>
      </c>
      <c r="B58" s="27"/>
      <c r="C58" s="27">
        <v>9335</v>
      </c>
      <c r="D58" s="27">
        <f t="shared" si="0"/>
        <v>3613774.9600000004</v>
      </c>
      <c r="E58" s="2" t="s">
        <v>14</v>
      </c>
      <c r="F58" s="2" t="s">
        <v>87</v>
      </c>
    </row>
    <row r="59" spans="1:6" x14ac:dyDescent="0.15">
      <c r="A59" s="25">
        <v>42710</v>
      </c>
      <c r="B59" s="27"/>
      <c r="C59" s="27">
        <v>4536.93</v>
      </c>
      <c r="D59" s="27">
        <f t="shared" si="0"/>
        <v>3609238.0300000003</v>
      </c>
      <c r="E59" s="2" t="s">
        <v>14</v>
      </c>
      <c r="F59" s="2" t="s">
        <v>87</v>
      </c>
    </row>
    <row r="60" spans="1:6" x14ac:dyDescent="0.15">
      <c r="A60" s="25">
        <v>42710</v>
      </c>
      <c r="B60" s="27"/>
      <c r="C60" s="27">
        <v>11926.54</v>
      </c>
      <c r="D60" s="27">
        <f t="shared" si="0"/>
        <v>3597311.49</v>
      </c>
      <c r="E60" s="2" t="s">
        <v>14</v>
      </c>
      <c r="F60" s="2" t="s">
        <v>87</v>
      </c>
    </row>
    <row r="61" spans="1:6" x14ac:dyDescent="0.15">
      <c r="A61" s="25">
        <v>42710</v>
      </c>
      <c r="B61" s="27"/>
      <c r="C61" s="27">
        <v>6246.95</v>
      </c>
      <c r="D61" s="27">
        <f t="shared" si="0"/>
        <v>3591064.54</v>
      </c>
      <c r="E61" s="2" t="s">
        <v>14</v>
      </c>
      <c r="F61" s="2" t="s">
        <v>87</v>
      </c>
    </row>
    <row r="62" spans="1:6" x14ac:dyDescent="0.15">
      <c r="A62" s="25">
        <v>42710</v>
      </c>
      <c r="B62" s="27"/>
      <c r="C62" s="27">
        <v>4263.1400000000003</v>
      </c>
      <c r="D62" s="27">
        <f t="shared" si="0"/>
        <v>3586801.4</v>
      </c>
      <c r="E62" s="2" t="s">
        <v>14</v>
      </c>
      <c r="F62" s="2" t="s">
        <v>87</v>
      </c>
    </row>
    <row r="63" spans="1:6" x14ac:dyDescent="0.15">
      <c r="A63" s="25">
        <v>42710</v>
      </c>
      <c r="B63" s="27"/>
      <c r="C63" s="27">
        <v>4829.71</v>
      </c>
      <c r="D63" s="27">
        <f t="shared" si="0"/>
        <v>3581971.69</v>
      </c>
      <c r="E63" s="2" t="s">
        <v>14</v>
      </c>
      <c r="F63" s="2" t="s">
        <v>87</v>
      </c>
    </row>
    <row r="64" spans="1:6" x14ac:dyDescent="0.15">
      <c r="A64" s="25">
        <v>42710</v>
      </c>
      <c r="B64" s="27"/>
      <c r="C64" s="27">
        <v>3483</v>
      </c>
      <c r="D64" s="27">
        <f t="shared" si="0"/>
        <v>3578488.69</v>
      </c>
      <c r="E64" s="2" t="s">
        <v>27</v>
      </c>
      <c r="F64" s="2" t="s">
        <v>88</v>
      </c>
    </row>
    <row r="65" spans="1:6" x14ac:dyDescent="0.15">
      <c r="A65" s="25">
        <v>42711</v>
      </c>
      <c r="B65" s="27"/>
      <c r="C65" s="27">
        <v>8381</v>
      </c>
      <c r="D65" s="27">
        <f t="shared" si="0"/>
        <v>3570107.69</v>
      </c>
      <c r="E65" s="2" t="s">
        <v>28</v>
      </c>
      <c r="F65" s="2" t="s">
        <v>88</v>
      </c>
    </row>
    <row r="66" spans="1:6" x14ac:dyDescent="0.15">
      <c r="A66" s="25">
        <v>42712</v>
      </c>
      <c r="B66" s="27"/>
      <c r="C66" s="27">
        <v>14138.7</v>
      </c>
      <c r="D66" s="27">
        <f t="shared" si="0"/>
        <v>3555968.9899999998</v>
      </c>
      <c r="E66" s="2" t="s">
        <v>32</v>
      </c>
      <c r="F66" s="2" t="s">
        <v>110</v>
      </c>
    </row>
    <row r="67" spans="1:6" x14ac:dyDescent="0.15">
      <c r="A67" s="25">
        <v>42712</v>
      </c>
      <c r="B67" s="27"/>
      <c r="C67" s="27">
        <v>7528.5</v>
      </c>
      <c r="D67" s="27">
        <f t="shared" si="0"/>
        <v>3548440.4899999998</v>
      </c>
      <c r="E67" s="2" t="s">
        <v>33</v>
      </c>
      <c r="F67" s="2" t="s">
        <v>110</v>
      </c>
    </row>
    <row r="68" spans="1:6" x14ac:dyDescent="0.15">
      <c r="A68" s="25">
        <v>42712</v>
      </c>
      <c r="B68" s="27"/>
      <c r="C68" s="27">
        <v>20264</v>
      </c>
      <c r="D68" s="27">
        <f t="shared" si="0"/>
        <v>3528176.4899999998</v>
      </c>
      <c r="E68" s="2" t="s">
        <v>34</v>
      </c>
      <c r="F68" s="2" t="s">
        <v>87</v>
      </c>
    </row>
    <row r="69" spans="1:6" x14ac:dyDescent="0.15">
      <c r="A69" s="25">
        <v>42712</v>
      </c>
      <c r="B69" s="27"/>
      <c r="C69" s="27">
        <v>16037.75</v>
      </c>
      <c r="D69" s="27">
        <f t="shared" si="0"/>
        <v>3512138.7399999998</v>
      </c>
      <c r="E69" s="2" t="s">
        <v>34</v>
      </c>
      <c r="F69" s="2" t="s">
        <v>87</v>
      </c>
    </row>
    <row r="70" spans="1:6" x14ac:dyDescent="0.15">
      <c r="A70" s="25">
        <v>42713</v>
      </c>
      <c r="B70" s="27"/>
      <c r="C70" s="27">
        <v>24712</v>
      </c>
      <c r="D70" s="27">
        <f t="shared" ref="D70:D133" si="1">D69+B70-C70</f>
        <v>3487426.7399999998</v>
      </c>
      <c r="E70" s="2" t="s">
        <v>32</v>
      </c>
      <c r="F70" s="2" t="s">
        <v>110</v>
      </c>
    </row>
    <row r="71" spans="1:6" x14ac:dyDescent="0.15">
      <c r="A71" s="25">
        <v>42713</v>
      </c>
      <c r="B71" s="27"/>
      <c r="C71" s="27">
        <v>25</v>
      </c>
      <c r="D71" s="27">
        <f t="shared" si="1"/>
        <v>3487401.7399999998</v>
      </c>
      <c r="E71" s="2" t="s">
        <v>50</v>
      </c>
      <c r="F71" s="2" t="s">
        <v>100</v>
      </c>
    </row>
    <row r="72" spans="1:6" x14ac:dyDescent="0.15">
      <c r="A72" s="25">
        <v>42713</v>
      </c>
      <c r="B72" s="27"/>
      <c r="C72" s="27">
        <v>6494.03</v>
      </c>
      <c r="D72" s="27">
        <f t="shared" si="1"/>
        <v>3480907.71</v>
      </c>
      <c r="E72" s="2" t="s">
        <v>50</v>
      </c>
      <c r="F72" s="2" t="s">
        <v>93</v>
      </c>
    </row>
    <row r="73" spans="1:6" x14ac:dyDescent="0.15">
      <c r="A73" s="25">
        <v>42723</v>
      </c>
      <c r="B73" s="27">
        <v>766</v>
      </c>
      <c r="C73" s="27"/>
      <c r="D73" s="27">
        <f t="shared" si="1"/>
        <v>3481673.71</v>
      </c>
      <c r="E73" s="2" t="s">
        <v>51</v>
      </c>
      <c r="F73" s="2" t="s">
        <v>83</v>
      </c>
    </row>
    <row r="74" spans="1:6" x14ac:dyDescent="0.15">
      <c r="A74" s="25">
        <v>42725</v>
      </c>
      <c r="B74" s="27">
        <v>3095.67</v>
      </c>
      <c r="C74" s="27"/>
      <c r="D74" s="27">
        <f t="shared" si="1"/>
        <v>3484769.38</v>
      </c>
      <c r="E74" s="2" t="s">
        <v>49</v>
      </c>
      <c r="F74" s="2" t="s">
        <v>97</v>
      </c>
    </row>
    <row r="75" spans="1:6" x14ac:dyDescent="0.15">
      <c r="A75" s="25">
        <v>42726</v>
      </c>
      <c r="B75" s="27"/>
      <c r="C75" s="27">
        <v>7200</v>
      </c>
      <c r="D75" s="27">
        <f t="shared" si="1"/>
        <v>3477569.38</v>
      </c>
      <c r="E75" s="2" t="s">
        <v>35</v>
      </c>
      <c r="F75" s="2" t="s">
        <v>110</v>
      </c>
    </row>
    <row r="76" spans="1:6" x14ac:dyDescent="0.15">
      <c r="A76" s="25">
        <v>42726</v>
      </c>
      <c r="B76" s="27"/>
      <c r="C76" s="27">
        <v>14520</v>
      </c>
      <c r="D76" s="27">
        <f t="shared" si="1"/>
        <v>3463049.38</v>
      </c>
      <c r="E76" s="2" t="s">
        <v>35</v>
      </c>
      <c r="F76" s="2" t="s">
        <v>110</v>
      </c>
    </row>
    <row r="77" spans="1:6" x14ac:dyDescent="0.15">
      <c r="A77" s="25">
        <v>42726</v>
      </c>
      <c r="B77" s="27"/>
      <c r="C77" s="27">
        <v>1905</v>
      </c>
      <c r="D77" s="27">
        <f t="shared" si="1"/>
        <v>3461144.38</v>
      </c>
      <c r="E77" s="2" t="s">
        <v>36</v>
      </c>
      <c r="F77" s="2" t="s">
        <v>110</v>
      </c>
    </row>
    <row r="78" spans="1:6" x14ac:dyDescent="0.15">
      <c r="A78" s="25">
        <v>42726</v>
      </c>
      <c r="B78" s="27"/>
      <c r="C78" s="27">
        <v>1283</v>
      </c>
      <c r="D78" s="27">
        <f t="shared" si="1"/>
        <v>3459861.38</v>
      </c>
      <c r="E78" s="2" t="s">
        <v>36</v>
      </c>
      <c r="F78" s="2" t="s">
        <v>110</v>
      </c>
    </row>
    <row r="79" spans="1:6" x14ac:dyDescent="0.15">
      <c r="A79" s="25">
        <v>42732</v>
      </c>
      <c r="B79" s="27">
        <v>379277.21</v>
      </c>
      <c r="C79" s="27"/>
      <c r="D79" s="27">
        <f t="shared" si="1"/>
        <v>3839138.59</v>
      </c>
      <c r="E79" s="2" t="s">
        <v>102</v>
      </c>
      <c r="F79" s="2" t="s">
        <v>94</v>
      </c>
    </row>
    <row r="80" spans="1:6" x14ac:dyDescent="0.15">
      <c r="A80" s="25">
        <v>42733</v>
      </c>
      <c r="B80" s="27">
        <v>231125</v>
      </c>
      <c r="C80" s="27"/>
      <c r="D80" s="27">
        <f t="shared" si="1"/>
        <v>4070263.59</v>
      </c>
      <c r="E80" s="2" t="s">
        <v>102</v>
      </c>
      <c r="F80" s="2" t="s">
        <v>94</v>
      </c>
    </row>
    <row r="81" spans="1:6" x14ac:dyDescent="0.15">
      <c r="A81" s="25">
        <v>42734</v>
      </c>
      <c r="B81" s="27"/>
      <c r="C81" s="27">
        <v>7500</v>
      </c>
      <c r="D81" s="27">
        <f t="shared" si="1"/>
        <v>4062763.59</v>
      </c>
      <c r="E81" s="2" t="s">
        <v>37</v>
      </c>
      <c r="F81" s="2" t="s">
        <v>110</v>
      </c>
    </row>
    <row r="82" spans="1:6" x14ac:dyDescent="0.15">
      <c r="A82" s="25">
        <v>42668</v>
      </c>
      <c r="B82" s="27"/>
      <c r="C82" s="27">
        <v>300</v>
      </c>
      <c r="D82" s="27">
        <f t="shared" si="1"/>
        <v>4062463.59</v>
      </c>
      <c r="E82" s="2" t="s">
        <v>1</v>
      </c>
      <c r="F82" s="2" t="s">
        <v>110</v>
      </c>
    </row>
    <row r="83" spans="1:6" x14ac:dyDescent="0.15">
      <c r="A83" s="25">
        <v>42668</v>
      </c>
      <c r="B83" s="27"/>
      <c r="C83" s="27">
        <v>900</v>
      </c>
      <c r="D83" s="27">
        <f t="shared" si="1"/>
        <v>4061563.59</v>
      </c>
      <c r="E83" s="2" t="s">
        <v>2</v>
      </c>
      <c r="F83" s="2" t="s">
        <v>110</v>
      </c>
    </row>
    <row r="84" spans="1:6" x14ac:dyDescent="0.15">
      <c r="A84" s="25">
        <v>42674</v>
      </c>
      <c r="B84" s="27">
        <v>50000</v>
      </c>
      <c r="C84" s="27"/>
      <c r="D84" s="27">
        <f t="shared" si="1"/>
        <v>4111563.59</v>
      </c>
      <c r="E84" s="2" t="s">
        <v>8</v>
      </c>
      <c r="F84" s="2" t="s">
        <v>83</v>
      </c>
    </row>
    <row r="85" spans="1:6" x14ac:dyDescent="0.15">
      <c r="A85" s="25">
        <v>42674</v>
      </c>
      <c r="B85" s="27">
        <v>21.7</v>
      </c>
      <c r="C85" s="27"/>
      <c r="D85" s="27">
        <f t="shared" si="1"/>
        <v>4111585.29</v>
      </c>
      <c r="E85" s="2" t="s">
        <v>9</v>
      </c>
      <c r="F85" s="2" t="s">
        <v>97</v>
      </c>
    </row>
    <row r="86" spans="1:6" x14ac:dyDescent="0.15">
      <c r="A86" s="25">
        <v>42689</v>
      </c>
      <c r="B86" s="27"/>
      <c r="C86" s="27">
        <v>2400</v>
      </c>
      <c r="D86" s="27">
        <f t="shared" si="1"/>
        <v>4109185.29</v>
      </c>
      <c r="E86" s="2" t="s">
        <v>3</v>
      </c>
      <c r="F86" s="2" t="s">
        <v>4</v>
      </c>
    </row>
    <row r="87" spans="1:6" x14ac:dyDescent="0.15">
      <c r="A87" s="25">
        <v>42708</v>
      </c>
      <c r="B87" s="27"/>
      <c r="C87" s="27">
        <v>50</v>
      </c>
      <c r="D87" s="27">
        <f t="shared" si="1"/>
        <v>4109135.29</v>
      </c>
      <c r="E87" s="2" t="s">
        <v>5</v>
      </c>
      <c r="F87" s="2" t="s">
        <v>110</v>
      </c>
    </row>
    <row r="88" spans="1:6" x14ac:dyDescent="0.15">
      <c r="A88" s="25">
        <v>42719</v>
      </c>
      <c r="B88" s="27"/>
      <c r="C88" s="27">
        <v>8592</v>
      </c>
      <c r="D88" s="27">
        <f t="shared" si="1"/>
        <v>4100543.29</v>
      </c>
      <c r="E88" s="2" t="s">
        <v>3</v>
      </c>
      <c r="F88" s="2" t="s">
        <v>4</v>
      </c>
    </row>
    <row r="89" spans="1:6" x14ac:dyDescent="0.15">
      <c r="A89" s="25">
        <v>42725</v>
      </c>
      <c r="B89" s="27">
        <v>43.28</v>
      </c>
      <c r="C89" s="27"/>
      <c r="D89" s="27">
        <f t="shared" si="1"/>
        <v>4100586.57</v>
      </c>
      <c r="E89" s="2" t="s">
        <v>6</v>
      </c>
      <c r="F89" s="2" t="s">
        <v>97</v>
      </c>
    </row>
    <row r="90" spans="1:6" x14ac:dyDescent="0.15">
      <c r="A90" s="25">
        <v>42731</v>
      </c>
      <c r="B90" s="27"/>
      <c r="C90" s="27">
        <v>50</v>
      </c>
      <c r="D90" s="27">
        <f t="shared" si="1"/>
        <v>4100536.57</v>
      </c>
      <c r="E90" s="2" t="s">
        <v>7</v>
      </c>
      <c r="F90" s="2" t="s">
        <v>110</v>
      </c>
    </row>
    <row r="91" spans="1:6" x14ac:dyDescent="0.15">
      <c r="A91" s="25">
        <v>42735</v>
      </c>
      <c r="B91" s="28"/>
      <c r="C91" s="28">
        <v>20</v>
      </c>
      <c r="D91" s="27">
        <f t="shared" si="1"/>
        <v>4100516.57</v>
      </c>
      <c r="E91" s="2" t="s">
        <v>48</v>
      </c>
      <c r="F91" s="2" t="s">
        <v>110</v>
      </c>
    </row>
    <row r="92" spans="1:6" x14ac:dyDescent="0.15">
      <c r="A92" s="25">
        <v>42741</v>
      </c>
      <c r="B92" s="27"/>
      <c r="C92" s="27">
        <v>9217.0400000000009</v>
      </c>
      <c r="D92" s="27">
        <f t="shared" si="1"/>
        <v>4091299.53</v>
      </c>
      <c r="E92" s="2" t="s">
        <v>28</v>
      </c>
      <c r="F92" s="2" t="s">
        <v>88</v>
      </c>
    </row>
    <row r="93" spans="1:6" x14ac:dyDescent="0.15">
      <c r="A93" s="25">
        <v>42741</v>
      </c>
      <c r="B93" s="27"/>
      <c r="C93" s="27">
        <v>3996.24</v>
      </c>
      <c r="D93" s="27">
        <f t="shared" si="1"/>
        <v>4087303.2899999996</v>
      </c>
      <c r="E93" s="2" t="s">
        <v>27</v>
      </c>
      <c r="F93" s="2" t="s">
        <v>88</v>
      </c>
    </row>
    <row r="94" spans="1:6" x14ac:dyDescent="0.15">
      <c r="A94" s="25">
        <v>42744</v>
      </c>
      <c r="B94" s="27">
        <v>0.02</v>
      </c>
      <c r="C94" s="27"/>
      <c r="D94" s="27">
        <f t="shared" si="1"/>
        <v>4087303.3099999996</v>
      </c>
      <c r="E94" s="2" t="s">
        <v>116</v>
      </c>
      <c r="F94" s="2" t="s">
        <v>97</v>
      </c>
    </row>
    <row r="95" spans="1:6" x14ac:dyDescent="0.15">
      <c r="A95" s="25">
        <v>42744</v>
      </c>
      <c r="B95" s="27">
        <v>1349.28</v>
      </c>
      <c r="C95" s="27"/>
      <c r="D95" s="27">
        <f t="shared" si="1"/>
        <v>4088652.5899999994</v>
      </c>
      <c r="E95" s="2" t="s">
        <v>117</v>
      </c>
      <c r="F95" s="2" t="s">
        <v>97</v>
      </c>
    </row>
    <row r="96" spans="1:6" x14ac:dyDescent="0.15">
      <c r="A96" s="25">
        <v>42744</v>
      </c>
      <c r="B96" s="27"/>
      <c r="C96" s="27">
        <v>16037.75</v>
      </c>
      <c r="D96" s="27">
        <f t="shared" si="1"/>
        <v>4072614.8399999994</v>
      </c>
      <c r="E96" s="2" t="s">
        <v>14</v>
      </c>
      <c r="F96" s="2" t="s">
        <v>87</v>
      </c>
    </row>
    <row r="97" spans="1:6" x14ac:dyDescent="0.15">
      <c r="A97" s="25">
        <v>42744</v>
      </c>
      <c r="B97" s="27"/>
      <c r="C97" s="27">
        <v>6608.84</v>
      </c>
      <c r="D97" s="27">
        <f t="shared" si="1"/>
        <v>4066005.9999999995</v>
      </c>
      <c r="E97" s="2" t="s">
        <v>14</v>
      </c>
      <c r="F97" s="2" t="s">
        <v>87</v>
      </c>
    </row>
    <row r="98" spans="1:6" x14ac:dyDescent="0.15">
      <c r="A98" s="25">
        <v>42744</v>
      </c>
      <c r="B98" s="27"/>
      <c r="C98" s="27">
        <v>9335</v>
      </c>
      <c r="D98" s="27">
        <f t="shared" si="1"/>
        <v>4056670.9999999995</v>
      </c>
      <c r="E98" s="2" t="s">
        <v>14</v>
      </c>
      <c r="F98" s="2" t="s">
        <v>87</v>
      </c>
    </row>
    <row r="99" spans="1:6" x14ac:dyDescent="0.15">
      <c r="A99" s="25">
        <v>42744</v>
      </c>
      <c r="B99" s="27"/>
      <c r="C99" s="27">
        <v>4536.93</v>
      </c>
      <c r="D99" s="27">
        <f t="shared" si="1"/>
        <v>4052134.0699999994</v>
      </c>
      <c r="E99" s="2" t="s">
        <v>14</v>
      </c>
      <c r="F99" s="2" t="s">
        <v>87</v>
      </c>
    </row>
    <row r="100" spans="1:6" x14ac:dyDescent="0.15">
      <c r="A100" s="25">
        <v>42744</v>
      </c>
      <c r="B100" s="27"/>
      <c r="C100" s="27">
        <v>13578.06</v>
      </c>
      <c r="D100" s="27">
        <f t="shared" si="1"/>
        <v>4038556.0099999993</v>
      </c>
      <c r="E100" s="2" t="s">
        <v>14</v>
      </c>
      <c r="F100" s="2" t="s">
        <v>87</v>
      </c>
    </row>
    <row r="101" spans="1:6" x14ac:dyDescent="0.15">
      <c r="A101" s="25">
        <v>42744</v>
      </c>
      <c r="B101" s="27"/>
      <c r="C101" s="27">
        <v>14167.83</v>
      </c>
      <c r="D101" s="27">
        <f t="shared" si="1"/>
        <v>4024388.1799999992</v>
      </c>
      <c r="E101" s="2" t="s">
        <v>14</v>
      </c>
      <c r="F101" s="2" t="s">
        <v>87</v>
      </c>
    </row>
    <row r="102" spans="1:6" x14ac:dyDescent="0.15">
      <c r="A102" s="25">
        <v>42744</v>
      </c>
      <c r="B102" s="27"/>
      <c r="C102" s="27">
        <v>4829.71</v>
      </c>
      <c r="D102" s="27">
        <f t="shared" si="1"/>
        <v>4019558.4699999993</v>
      </c>
      <c r="E102" s="2" t="s">
        <v>14</v>
      </c>
      <c r="F102" s="2" t="s">
        <v>87</v>
      </c>
    </row>
    <row r="103" spans="1:6" x14ac:dyDescent="0.15">
      <c r="A103" s="25">
        <v>42745</v>
      </c>
      <c r="B103" s="27"/>
      <c r="C103" s="27">
        <v>9020.33</v>
      </c>
      <c r="D103" s="27">
        <f t="shared" si="1"/>
        <v>4010538.1399999992</v>
      </c>
      <c r="E103" s="2" t="s">
        <v>118</v>
      </c>
      <c r="F103" s="2" t="s">
        <v>93</v>
      </c>
    </row>
    <row r="104" spans="1:6" x14ac:dyDescent="0.15">
      <c r="A104" s="25">
        <v>42747</v>
      </c>
      <c r="B104" s="27"/>
      <c r="C104" s="27">
        <v>8100</v>
      </c>
      <c r="D104" s="27">
        <f t="shared" si="1"/>
        <v>4002438.1399999992</v>
      </c>
      <c r="E104" s="2" t="s">
        <v>42</v>
      </c>
      <c r="F104" s="2" t="s">
        <v>89</v>
      </c>
    </row>
    <row r="105" spans="1:6" x14ac:dyDescent="0.15">
      <c r="A105" s="25">
        <v>42747</v>
      </c>
      <c r="B105" s="27"/>
      <c r="C105" s="27">
        <v>3304.8</v>
      </c>
      <c r="D105" s="27">
        <f t="shared" si="1"/>
        <v>3999133.3399999994</v>
      </c>
      <c r="E105" s="2" t="s">
        <v>119</v>
      </c>
      <c r="F105" s="2" t="s">
        <v>92</v>
      </c>
    </row>
    <row r="106" spans="1:6" x14ac:dyDescent="0.15">
      <c r="A106" s="25">
        <v>42748</v>
      </c>
      <c r="B106" s="27"/>
      <c r="C106" s="27">
        <v>16076</v>
      </c>
      <c r="D106" s="27">
        <f t="shared" si="1"/>
        <v>3983057.3399999994</v>
      </c>
      <c r="E106" s="2" t="s">
        <v>32</v>
      </c>
      <c r="F106" s="2" t="s">
        <v>92</v>
      </c>
    </row>
    <row r="107" spans="1:6" x14ac:dyDescent="0.15">
      <c r="A107" s="25">
        <v>42755</v>
      </c>
      <c r="B107" s="27"/>
      <c r="C107" s="27">
        <v>188</v>
      </c>
      <c r="D107" s="27">
        <f t="shared" si="1"/>
        <v>3982869.3399999994</v>
      </c>
      <c r="E107" s="2" t="s">
        <v>36</v>
      </c>
      <c r="F107" s="2" t="s">
        <v>92</v>
      </c>
    </row>
    <row r="108" spans="1:6" x14ac:dyDescent="0.15">
      <c r="A108" s="25">
        <v>42755</v>
      </c>
      <c r="B108" s="27"/>
      <c r="C108" s="27">
        <v>1367</v>
      </c>
      <c r="D108" s="27">
        <f t="shared" si="1"/>
        <v>3981502.3399999994</v>
      </c>
      <c r="E108" s="2" t="s">
        <v>36</v>
      </c>
      <c r="F108" s="2" t="s">
        <v>92</v>
      </c>
    </row>
    <row r="109" spans="1:6" x14ac:dyDescent="0.15">
      <c r="A109" s="25">
        <v>42755</v>
      </c>
      <c r="B109" s="27"/>
      <c r="C109" s="27">
        <v>8527.6</v>
      </c>
      <c r="D109" s="27">
        <f t="shared" si="1"/>
        <v>3972974.7399999993</v>
      </c>
      <c r="E109" s="2" t="s">
        <v>36</v>
      </c>
      <c r="F109" s="2" t="s">
        <v>92</v>
      </c>
    </row>
    <row r="110" spans="1:6" x14ac:dyDescent="0.15">
      <c r="A110" s="25">
        <v>42755</v>
      </c>
      <c r="B110" s="27"/>
      <c r="C110" s="27">
        <v>3213</v>
      </c>
      <c r="D110" s="27">
        <f t="shared" si="1"/>
        <v>3969761.7399999993</v>
      </c>
      <c r="E110" s="2" t="s">
        <v>36</v>
      </c>
      <c r="F110" s="2" t="s">
        <v>92</v>
      </c>
    </row>
    <row r="111" spans="1:6" x14ac:dyDescent="0.15">
      <c r="A111" s="25">
        <v>42772</v>
      </c>
      <c r="B111" s="27"/>
      <c r="C111" s="27">
        <v>3483</v>
      </c>
      <c r="D111" s="27">
        <f t="shared" si="1"/>
        <v>3966278.7399999993</v>
      </c>
      <c r="E111" s="2" t="s">
        <v>27</v>
      </c>
      <c r="F111" s="2" t="s">
        <v>88</v>
      </c>
    </row>
    <row r="112" spans="1:6" x14ac:dyDescent="0.15">
      <c r="A112" s="25">
        <v>42773</v>
      </c>
      <c r="B112" s="27"/>
      <c r="C112" s="27">
        <v>8381</v>
      </c>
      <c r="D112" s="27">
        <f t="shared" si="1"/>
        <v>3957897.7399999993</v>
      </c>
      <c r="E112" s="2" t="s">
        <v>28</v>
      </c>
      <c r="F112" s="2" t="s">
        <v>88</v>
      </c>
    </row>
    <row r="113" spans="1:6" x14ac:dyDescent="0.15">
      <c r="A113" s="25">
        <v>42773</v>
      </c>
      <c r="B113" s="27"/>
      <c r="C113" s="27">
        <v>29747.75</v>
      </c>
      <c r="D113" s="27">
        <f t="shared" si="1"/>
        <v>3928149.9899999993</v>
      </c>
      <c r="E113" s="2" t="s">
        <v>43</v>
      </c>
      <c r="F113" s="2" t="s">
        <v>87</v>
      </c>
    </row>
    <row r="114" spans="1:6" x14ac:dyDescent="0.15">
      <c r="A114" s="25">
        <v>42773</v>
      </c>
      <c r="B114" s="27"/>
      <c r="C114" s="27">
        <v>11694.9</v>
      </c>
      <c r="D114" s="27">
        <f t="shared" si="1"/>
        <v>3916455.0899999994</v>
      </c>
      <c r="E114" s="2" t="s">
        <v>43</v>
      </c>
      <c r="F114" s="2" t="s">
        <v>87</v>
      </c>
    </row>
    <row r="115" spans="1:6" x14ac:dyDescent="0.15">
      <c r="A115" s="25">
        <v>42773</v>
      </c>
      <c r="B115" s="27"/>
      <c r="C115" s="27">
        <v>14692</v>
      </c>
      <c r="D115" s="27">
        <f t="shared" si="1"/>
        <v>3901763.0899999994</v>
      </c>
      <c r="E115" s="2" t="s">
        <v>43</v>
      </c>
      <c r="F115" s="2" t="s">
        <v>87</v>
      </c>
    </row>
    <row r="116" spans="1:6" x14ac:dyDescent="0.15">
      <c r="A116" s="25">
        <v>42773</v>
      </c>
      <c r="B116" s="27"/>
      <c r="C116" s="27">
        <v>6234.43</v>
      </c>
      <c r="D116" s="27">
        <f t="shared" si="1"/>
        <v>3895528.6599999992</v>
      </c>
      <c r="E116" s="2" t="s">
        <v>43</v>
      </c>
      <c r="F116" s="2" t="s">
        <v>87</v>
      </c>
    </row>
    <row r="117" spans="1:6" x14ac:dyDescent="0.15">
      <c r="A117" s="25">
        <v>42773</v>
      </c>
      <c r="B117" s="27"/>
      <c r="C117" s="27">
        <v>22330.43</v>
      </c>
      <c r="D117" s="27">
        <f t="shared" si="1"/>
        <v>3873198.2299999991</v>
      </c>
      <c r="E117" s="2" t="s">
        <v>43</v>
      </c>
      <c r="F117" s="2" t="s">
        <v>87</v>
      </c>
    </row>
    <row r="118" spans="1:6" x14ac:dyDescent="0.15">
      <c r="A118" s="25">
        <v>42773</v>
      </c>
      <c r="B118" s="27"/>
      <c r="C118" s="27">
        <v>24072.41</v>
      </c>
      <c r="D118" s="27">
        <f t="shared" si="1"/>
        <v>3849125.8199999989</v>
      </c>
      <c r="E118" s="2" t="s">
        <v>43</v>
      </c>
      <c r="F118" s="2" t="s">
        <v>87</v>
      </c>
    </row>
    <row r="119" spans="1:6" x14ac:dyDescent="0.15">
      <c r="A119" s="25">
        <v>42773</v>
      </c>
      <c r="B119" s="27"/>
      <c r="C119" s="27">
        <v>4685.46</v>
      </c>
      <c r="D119" s="27">
        <f t="shared" si="1"/>
        <v>3844440.3599999989</v>
      </c>
      <c r="E119" s="2" t="s">
        <v>43</v>
      </c>
      <c r="F119" s="2" t="s">
        <v>87</v>
      </c>
    </row>
    <row r="120" spans="1:6" x14ac:dyDescent="0.15">
      <c r="A120" s="25">
        <v>42773</v>
      </c>
      <c r="B120" s="27"/>
      <c r="C120" s="27">
        <v>60</v>
      </c>
      <c r="D120" s="27">
        <f t="shared" si="1"/>
        <v>3844380.3599999989</v>
      </c>
      <c r="E120" s="2" t="s">
        <v>44</v>
      </c>
      <c r="F120" s="2" t="s">
        <v>87</v>
      </c>
    </row>
    <row r="121" spans="1:6" x14ac:dyDescent="0.15">
      <c r="A121" s="25">
        <v>42773</v>
      </c>
      <c r="B121" s="27"/>
      <c r="C121" s="27">
        <v>5059.3500000000004</v>
      </c>
      <c r="D121" s="27">
        <f t="shared" si="1"/>
        <v>3839321.0099999988</v>
      </c>
      <c r="E121" s="2" t="s">
        <v>118</v>
      </c>
      <c r="F121" s="2" t="s">
        <v>93</v>
      </c>
    </row>
    <row r="122" spans="1:6" x14ac:dyDescent="0.15">
      <c r="A122" s="25">
        <v>42780</v>
      </c>
      <c r="B122" s="27"/>
      <c r="C122" s="27">
        <v>1500</v>
      </c>
      <c r="D122" s="27">
        <f t="shared" si="1"/>
        <v>3837821.0099999988</v>
      </c>
      <c r="E122" s="2" t="s">
        <v>120</v>
      </c>
      <c r="F122" s="2" t="s">
        <v>89</v>
      </c>
    </row>
    <row r="123" spans="1:6" x14ac:dyDescent="0.15">
      <c r="A123" s="25">
        <v>42790</v>
      </c>
      <c r="B123" s="27"/>
      <c r="C123" s="27">
        <v>221365.5</v>
      </c>
      <c r="D123" s="27">
        <f t="shared" si="1"/>
        <v>3616455.5099999988</v>
      </c>
      <c r="E123" s="2" t="s">
        <v>21</v>
      </c>
      <c r="F123" s="2" t="s">
        <v>89</v>
      </c>
    </row>
    <row r="124" spans="1:6" x14ac:dyDescent="0.15">
      <c r="A124" s="25">
        <v>42790</v>
      </c>
      <c r="B124" s="27"/>
      <c r="C124" s="27">
        <v>13500</v>
      </c>
      <c r="D124" s="27">
        <f t="shared" si="1"/>
        <v>3602955.5099999988</v>
      </c>
      <c r="E124" s="2" t="s">
        <v>45</v>
      </c>
      <c r="F124" s="2" t="s">
        <v>89</v>
      </c>
    </row>
    <row r="125" spans="1:6" x14ac:dyDescent="0.15">
      <c r="A125" s="25">
        <v>42791</v>
      </c>
      <c r="B125" s="27"/>
      <c r="C125" s="27">
        <v>10.5</v>
      </c>
      <c r="D125" s="27">
        <f t="shared" si="1"/>
        <v>3602945.0099999988</v>
      </c>
      <c r="E125" s="2" t="s">
        <v>109</v>
      </c>
      <c r="F125" s="2" t="s">
        <v>92</v>
      </c>
    </row>
    <row r="126" spans="1:6" x14ac:dyDescent="0.15">
      <c r="A126" s="25">
        <v>42796</v>
      </c>
      <c r="B126" s="27"/>
      <c r="C126" s="27">
        <v>1291.4000000000001</v>
      </c>
      <c r="D126" s="27">
        <f t="shared" si="1"/>
        <v>3601653.6099999989</v>
      </c>
      <c r="E126" s="2" t="s">
        <v>36</v>
      </c>
      <c r="F126" s="2" t="s">
        <v>92</v>
      </c>
    </row>
    <row r="127" spans="1:6" x14ac:dyDescent="0.15">
      <c r="A127" s="25">
        <v>42796</v>
      </c>
      <c r="B127" s="27"/>
      <c r="C127" s="27">
        <v>1852</v>
      </c>
      <c r="D127" s="27">
        <f t="shared" si="1"/>
        <v>3599801.6099999989</v>
      </c>
      <c r="E127" s="2" t="s">
        <v>36</v>
      </c>
      <c r="F127" s="2" t="s">
        <v>92</v>
      </c>
    </row>
    <row r="128" spans="1:6" x14ac:dyDescent="0.15">
      <c r="A128" s="25">
        <v>42796</v>
      </c>
      <c r="B128" s="27"/>
      <c r="C128" s="27">
        <v>9142.0499999999993</v>
      </c>
      <c r="D128" s="27">
        <f t="shared" si="1"/>
        <v>3590659.5599999991</v>
      </c>
      <c r="E128" s="2" t="s">
        <v>36</v>
      </c>
      <c r="F128" s="2" t="s">
        <v>92</v>
      </c>
    </row>
    <row r="129" spans="1:6" x14ac:dyDescent="0.15">
      <c r="A129" s="25">
        <v>42796</v>
      </c>
      <c r="B129" s="27"/>
      <c r="C129" s="27">
        <v>3260</v>
      </c>
      <c r="D129" s="27">
        <f t="shared" si="1"/>
        <v>3587399.5599999991</v>
      </c>
      <c r="E129" s="2" t="s">
        <v>32</v>
      </c>
      <c r="F129" s="2" t="s">
        <v>92</v>
      </c>
    </row>
    <row r="130" spans="1:6" x14ac:dyDescent="0.15">
      <c r="A130" s="25">
        <v>42800</v>
      </c>
      <c r="B130" s="27"/>
      <c r="C130" s="27">
        <v>2100</v>
      </c>
      <c r="D130" s="27">
        <f t="shared" si="1"/>
        <v>3585299.5599999991</v>
      </c>
      <c r="E130" s="2" t="s">
        <v>46</v>
      </c>
      <c r="F130" s="2" t="s">
        <v>92</v>
      </c>
    </row>
    <row r="131" spans="1:6" x14ac:dyDescent="0.15">
      <c r="A131" s="25">
        <v>42801</v>
      </c>
      <c r="B131" s="27"/>
      <c r="C131" s="27">
        <v>16037.75</v>
      </c>
      <c r="D131" s="27">
        <f t="shared" si="1"/>
        <v>3569261.8099999991</v>
      </c>
      <c r="E131" s="2" t="s">
        <v>14</v>
      </c>
      <c r="F131" s="2" t="s">
        <v>87</v>
      </c>
    </row>
    <row r="132" spans="1:6" x14ac:dyDescent="0.15">
      <c r="A132" s="25">
        <v>42801</v>
      </c>
      <c r="B132" s="27"/>
      <c r="C132" s="27">
        <v>6608.84</v>
      </c>
      <c r="D132" s="27">
        <f t="shared" si="1"/>
        <v>3562652.9699999993</v>
      </c>
      <c r="E132" s="2" t="s">
        <v>14</v>
      </c>
      <c r="F132" s="2" t="s">
        <v>87</v>
      </c>
    </row>
    <row r="133" spans="1:6" x14ac:dyDescent="0.15">
      <c r="A133" s="25">
        <v>42801</v>
      </c>
      <c r="B133" s="27"/>
      <c r="C133" s="27">
        <v>9335</v>
      </c>
      <c r="D133" s="27">
        <f t="shared" si="1"/>
        <v>3553317.9699999993</v>
      </c>
      <c r="E133" s="2" t="s">
        <v>14</v>
      </c>
      <c r="F133" s="2" t="s">
        <v>87</v>
      </c>
    </row>
    <row r="134" spans="1:6" x14ac:dyDescent="0.15">
      <c r="A134" s="25">
        <v>42801</v>
      </c>
      <c r="B134" s="27"/>
      <c r="C134" s="27">
        <v>4536.93</v>
      </c>
      <c r="D134" s="27">
        <f t="shared" ref="D134:D197" si="2">D133+B134-C134</f>
        <v>3548781.0399999991</v>
      </c>
      <c r="E134" s="2" t="s">
        <v>14</v>
      </c>
      <c r="F134" s="2" t="s">
        <v>87</v>
      </c>
    </row>
    <row r="135" spans="1:6" x14ac:dyDescent="0.15">
      <c r="A135" s="25">
        <v>42801</v>
      </c>
      <c r="B135" s="27"/>
      <c r="C135" s="27">
        <v>14169.2</v>
      </c>
      <c r="D135" s="27">
        <f t="shared" si="2"/>
        <v>3534611.8399999989</v>
      </c>
      <c r="E135" s="2" t="s">
        <v>14</v>
      </c>
      <c r="F135" s="2" t="s">
        <v>87</v>
      </c>
    </row>
    <row r="136" spans="1:6" x14ac:dyDescent="0.15">
      <c r="A136" s="25">
        <v>42801</v>
      </c>
      <c r="B136" s="27"/>
      <c r="C136" s="27">
        <v>18305.759999999998</v>
      </c>
      <c r="D136" s="27">
        <f t="shared" si="2"/>
        <v>3516306.0799999991</v>
      </c>
      <c r="E136" s="2" t="s">
        <v>14</v>
      </c>
      <c r="F136" s="2" t="s">
        <v>87</v>
      </c>
    </row>
    <row r="137" spans="1:6" x14ac:dyDescent="0.15">
      <c r="A137" s="25">
        <v>42801</v>
      </c>
      <c r="B137" s="27"/>
      <c r="C137" s="27">
        <v>2499.86</v>
      </c>
      <c r="D137" s="27">
        <f t="shared" si="2"/>
        <v>3513806.2199999993</v>
      </c>
      <c r="E137" s="2" t="s">
        <v>14</v>
      </c>
      <c r="F137" s="2" t="s">
        <v>87</v>
      </c>
    </row>
    <row r="138" spans="1:6" x14ac:dyDescent="0.15">
      <c r="A138" s="25">
        <v>42803</v>
      </c>
      <c r="B138" s="27"/>
      <c r="C138" s="27">
        <v>20000</v>
      </c>
      <c r="D138" s="27">
        <f t="shared" si="2"/>
        <v>3493806.2199999993</v>
      </c>
      <c r="E138" s="2" t="s">
        <v>47</v>
      </c>
      <c r="F138" s="2" t="s">
        <v>83</v>
      </c>
    </row>
    <row r="139" spans="1:6" x14ac:dyDescent="0.15">
      <c r="A139" s="25">
        <v>42807</v>
      </c>
      <c r="B139" s="27"/>
      <c r="C139" s="27">
        <v>10101.709999999999</v>
      </c>
      <c r="D139" s="27">
        <f t="shared" si="2"/>
        <v>3483704.5099999993</v>
      </c>
      <c r="E139" s="2" t="s">
        <v>118</v>
      </c>
      <c r="F139" s="2" t="s">
        <v>93</v>
      </c>
    </row>
    <row r="140" spans="1:6" x14ac:dyDescent="0.15">
      <c r="A140" s="25">
        <v>42809</v>
      </c>
      <c r="B140" s="27">
        <v>695125</v>
      </c>
      <c r="C140" s="27"/>
      <c r="D140" s="27">
        <f t="shared" si="2"/>
        <v>4178829.5099999993</v>
      </c>
      <c r="E140" s="2" t="s">
        <v>64</v>
      </c>
      <c r="F140" s="2" t="s">
        <v>94</v>
      </c>
    </row>
    <row r="141" spans="1:6" x14ac:dyDescent="0.15">
      <c r="A141" s="25">
        <v>42810</v>
      </c>
      <c r="B141" s="27">
        <v>554865.62</v>
      </c>
      <c r="C141" s="27"/>
      <c r="D141" s="27">
        <f t="shared" si="2"/>
        <v>4733695.129999999</v>
      </c>
      <c r="E141" s="2" t="s">
        <v>64</v>
      </c>
      <c r="F141" s="2" t="s">
        <v>94</v>
      </c>
    </row>
    <row r="142" spans="1:6" x14ac:dyDescent="0.15">
      <c r="A142" s="25">
        <v>42811</v>
      </c>
      <c r="B142" s="27"/>
      <c r="C142" s="27">
        <v>698778.3</v>
      </c>
      <c r="D142" s="27">
        <f t="shared" si="2"/>
        <v>4034916.8299999991</v>
      </c>
      <c r="E142" s="2" t="s">
        <v>121</v>
      </c>
      <c r="F142" s="2" t="s">
        <v>89</v>
      </c>
    </row>
    <row r="143" spans="1:6" x14ac:dyDescent="0.15">
      <c r="A143" s="25">
        <v>42811</v>
      </c>
      <c r="B143" s="27"/>
      <c r="C143" s="27">
        <v>225052.75</v>
      </c>
      <c r="D143" s="27">
        <f t="shared" si="2"/>
        <v>3809864.0799999991</v>
      </c>
      <c r="E143" s="2" t="s">
        <v>121</v>
      </c>
      <c r="F143" s="2" t="s">
        <v>89</v>
      </c>
    </row>
    <row r="144" spans="1:6" x14ac:dyDescent="0.15">
      <c r="A144" s="25">
        <v>42812</v>
      </c>
      <c r="B144" s="27"/>
      <c r="C144" s="27">
        <v>28</v>
      </c>
      <c r="D144" s="27">
        <f t="shared" si="2"/>
        <v>3809836.0799999991</v>
      </c>
      <c r="E144" s="2" t="s">
        <v>109</v>
      </c>
      <c r="F144" s="2" t="s">
        <v>92</v>
      </c>
    </row>
    <row r="145" spans="1:6" x14ac:dyDescent="0.15">
      <c r="A145" s="25">
        <v>42815</v>
      </c>
      <c r="B145" s="27">
        <v>3141.52</v>
      </c>
      <c r="C145" s="27"/>
      <c r="D145" s="27">
        <f t="shared" si="2"/>
        <v>3812977.5999999992</v>
      </c>
      <c r="E145" s="2" t="s">
        <v>122</v>
      </c>
      <c r="F145" s="2" t="s">
        <v>97</v>
      </c>
    </row>
    <row r="146" spans="1:6" x14ac:dyDescent="0.15">
      <c r="A146" s="25">
        <v>42815</v>
      </c>
      <c r="B146" s="27"/>
      <c r="C146" s="27">
        <v>8600</v>
      </c>
      <c r="D146" s="27">
        <f t="shared" si="2"/>
        <v>3804377.5999999992</v>
      </c>
      <c r="E146" s="2" t="s">
        <v>26</v>
      </c>
      <c r="F146" s="2" t="s">
        <v>92</v>
      </c>
    </row>
    <row r="147" spans="1:6" x14ac:dyDescent="0.15">
      <c r="A147" s="25">
        <v>42818</v>
      </c>
      <c r="B147" s="27"/>
      <c r="C147" s="27">
        <v>9432.6200000000008</v>
      </c>
      <c r="D147" s="27">
        <f t="shared" si="2"/>
        <v>3794944.9799999991</v>
      </c>
      <c r="E147" s="2" t="s">
        <v>123</v>
      </c>
      <c r="F147" s="2" t="s">
        <v>92</v>
      </c>
    </row>
    <row r="148" spans="1:6" x14ac:dyDescent="0.15">
      <c r="A148" s="25">
        <v>42821</v>
      </c>
      <c r="B148" s="27">
        <v>37730.480000000003</v>
      </c>
      <c r="C148" s="27"/>
      <c r="D148" s="27">
        <f t="shared" si="2"/>
        <v>3832675.459999999</v>
      </c>
      <c r="E148" s="2" t="s">
        <v>64</v>
      </c>
      <c r="F148" s="2" t="s">
        <v>94</v>
      </c>
    </row>
    <row r="149" spans="1:6" x14ac:dyDescent="0.15">
      <c r="A149" s="25">
        <v>42826</v>
      </c>
      <c r="B149" s="27"/>
      <c r="C149" s="27">
        <v>5532</v>
      </c>
      <c r="D149" s="27">
        <f t="shared" si="2"/>
        <v>3827143.459999999</v>
      </c>
      <c r="E149" s="2" t="s">
        <v>36</v>
      </c>
      <c r="F149" s="2" t="s">
        <v>92</v>
      </c>
    </row>
    <row r="150" spans="1:6" x14ac:dyDescent="0.15">
      <c r="A150" s="25">
        <v>42831</v>
      </c>
      <c r="B150" s="27"/>
      <c r="C150" s="27">
        <v>16037.75</v>
      </c>
      <c r="D150" s="27">
        <f t="shared" si="2"/>
        <v>3811105.709999999</v>
      </c>
      <c r="E150" s="2" t="s">
        <v>14</v>
      </c>
      <c r="F150" s="2" t="s">
        <v>87</v>
      </c>
    </row>
    <row r="151" spans="1:6" x14ac:dyDescent="0.15">
      <c r="A151" s="25">
        <v>42831</v>
      </c>
      <c r="B151" s="27"/>
      <c r="C151" s="27">
        <v>6608.84</v>
      </c>
      <c r="D151" s="27">
        <f t="shared" si="2"/>
        <v>3804496.8699999992</v>
      </c>
      <c r="E151" s="2" t="s">
        <v>14</v>
      </c>
      <c r="F151" s="2" t="s">
        <v>87</v>
      </c>
    </row>
    <row r="152" spans="1:6" x14ac:dyDescent="0.15">
      <c r="A152" s="25">
        <v>42831</v>
      </c>
      <c r="B152" s="27"/>
      <c r="C152" s="27">
        <v>9335</v>
      </c>
      <c r="D152" s="27">
        <f t="shared" si="2"/>
        <v>3795161.8699999992</v>
      </c>
      <c r="E152" s="2" t="s">
        <v>14</v>
      </c>
      <c r="F152" s="2" t="s">
        <v>87</v>
      </c>
    </row>
    <row r="153" spans="1:6" x14ac:dyDescent="0.15">
      <c r="A153" s="25">
        <v>42831</v>
      </c>
      <c r="B153" s="27"/>
      <c r="C153" s="27">
        <v>4439.93</v>
      </c>
      <c r="D153" s="27">
        <f t="shared" si="2"/>
        <v>3790721.939999999</v>
      </c>
      <c r="E153" s="2" t="s">
        <v>14</v>
      </c>
      <c r="F153" s="2" t="s">
        <v>87</v>
      </c>
    </row>
    <row r="154" spans="1:6" x14ac:dyDescent="0.15">
      <c r="A154" s="25">
        <v>42831</v>
      </c>
      <c r="B154" s="27"/>
      <c r="C154" s="27">
        <v>14169.2</v>
      </c>
      <c r="D154" s="27">
        <f t="shared" si="2"/>
        <v>3776552.7399999988</v>
      </c>
      <c r="E154" s="2" t="s">
        <v>14</v>
      </c>
      <c r="F154" s="2" t="s">
        <v>87</v>
      </c>
    </row>
    <row r="155" spans="1:6" x14ac:dyDescent="0.15">
      <c r="A155" s="25">
        <v>42831</v>
      </c>
      <c r="B155" s="27"/>
      <c r="C155" s="27">
        <v>19986.8</v>
      </c>
      <c r="D155" s="27">
        <f t="shared" si="2"/>
        <v>3756565.939999999</v>
      </c>
      <c r="E155" s="2" t="s">
        <v>14</v>
      </c>
      <c r="F155" s="2" t="s">
        <v>87</v>
      </c>
    </row>
    <row r="156" spans="1:6" x14ac:dyDescent="0.15">
      <c r="A156" s="25">
        <v>42831</v>
      </c>
      <c r="B156" s="27"/>
      <c r="C156" s="27">
        <v>5322.54</v>
      </c>
      <c r="D156" s="27">
        <f t="shared" si="2"/>
        <v>3751243.399999999</v>
      </c>
      <c r="E156" s="2" t="s">
        <v>14</v>
      </c>
      <c r="F156" s="2" t="s">
        <v>87</v>
      </c>
    </row>
    <row r="157" spans="1:6" x14ac:dyDescent="0.15">
      <c r="A157" s="25">
        <v>42831</v>
      </c>
      <c r="B157" s="27"/>
      <c r="C157" s="27">
        <v>3660.36</v>
      </c>
      <c r="D157" s="27">
        <f t="shared" si="2"/>
        <v>3747583.0399999991</v>
      </c>
      <c r="E157" s="2" t="s">
        <v>14</v>
      </c>
      <c r="F157" s="2" t="s">
        <v>87</v>
      </c>
    </row>
    <row r="158" spans="1:6" x14ac:dyDescent="0.15">
      <c r="A158" s="25">
        <v>42831</v>
      </c>
      <c r="B158" s="27"/>
      <c r="C158" s="27">
        <v>2137.38</v>
      </c>
      <c r="D158" s="27">
        <f t="shared" si="2"/>
        <v>3745445.6599999992</v>
      </c>
      <c r="E158" s="2" t="s">
        <v>14</v>
      </c>
      <c r="F158" s="2" t="s">
        <v>87</v>
      </c>
    </row>
    <row r="159" spans="1:6" x14ac:dyDescent="0.15">
      <c r="A159" s="25">
        <v>42832</v>
      </c>
      <c r="B159" s="27"/>
      <c r="C159" s="27">
        <v>10659.22</v>
      </c>
      <c r="D159" s="27">
        <f t="shared" si="2"/>
        <v>3734786.439999999</v>
      </c>
      <c r="E159" s="2" t="s">
        <v>118</v>
      </c>
      <c r="F159" s="2" t="s">
        <v>93</v>
      </c>
    </row>
    <row r="160" spans="1:6" x14ac:dyDescent="0.15">
      <c r="A160" s="25">
        <v>42849</v>
      </c>
      <c r="B160" s="27"/>
      <c r="C160" s="27">
        <v>8745.6</v>
      </c>
      <c r="D160" s="27">
        <f t="shared" si="2"/>
        <v>3726040.8399999989</v>
      </c>
      <c r="E160" s="2" t="s">
        <v>123</v>
      </c>
      <c r="F160" s="2" t="s">
        <v>92</v>
      </c>
    </row>
    <row r="161" spans="1:6" x14ac:dyDescent="0.15">
      <c r="A161" s="25">
        <v>42849</v>
      </c>
      <c r="B161" s="27"/>
      <c r="C161" s="27">
        <v>1160.7</v>
      </c>
      <c r="D161" s="27">
        <f t="shared" si="2"/>
        <v>3724880.1399999987</v>
      </c>
      <c r="E161" s="2" t="s">
        <v>123</v>
      </c>
      <c r="F161" s="2" t="s">
        <v>92</v>
      </c>
    </row>
    <row r="162" spans="1:6" x14ac:dyDescent="0.15">
      <c r="A162" s="25">
        <v>42849</v>
      </c>
      <c r="B162" s="27"/>
      <c r="C162" s="27">
        <v>2748.55</v>
      </c>
      <c r="D162" s="27">
        <f t="shared" si="2"/>
        <v>3722131.5899999989</v>
      </c>
      <c r="E162" s="2" t="s">
        <v>123</v>
      </c>
      <c r="F162" s="2" t="s">
        <v>92</v>
      </c>
    </row>
    <row r="163" spans="1:6" x14ac:dyDescent="0.15">
      <c r="A163" s="25">
        <v>42849</v>
      </c>
      <c r="B163" s="27">
        <v>10994.2</v>
      </c>
      <c r="C163" s="27"/>
      <c r="D163" s="27">
        <f t="shared" si="2"/>
        <v>3733125.7899999991</v>
      </c>
      <c r="E163" s="2" t="s">
        <v>64</v>
      </c>
      <c r="F163" s="2" t="s">
        <v>94</v>
      </c>
    </row>
    <row r="164" spans="1:6" x14ac:dyDescent="0.15">
      <c r="A164" s="25">
        <v>42849</v>
      </c>
      <c r="B164" s="27">
        <v>139625.13</v>
      </c>
      <c r="C164" s="27"/>
      <c r="D164" s="27">
        <f t="shared" si="2"/>
        <v>3872750.919999999</v>
      </c>
      <c r="E164" s="2" t="s">
        <v>64</v>
      </c>
      <c r="F164" s="2" t="s">
        <v>94</v>
      </c>
    </row>
    <row r="165" spans="1:6" x14ac:dyDescent="0.15">
      <c r="A165" s="25">
        <v>42849</v>
      </c>
      <c r="B165" s="27"/>
      <c r="C165" s="27">
        <v>345480</v>
      </c>
      <c r="D165" s="27">
        <f t="shared" si="2"/>
        <v>3527270.919999999</v>
      </c>
      <c r="E165" s="2" t="s">
        <v>21</v>
      </c>
      <c r="F165" s="2" t="s">
        <v>89</v>
      </c>
    </row>
    <row r="166" spans="1:6" x14ac:dyDescent="0.15">
      <c r="A166" s="25">
        <v>42850</v>
      </c>
      <c r="B166" s="27"/>
      <c r="C166" s="27">
        <v>10.5</v>
      </c>
      <c r="D166" s="27">
        <f t="shared" si="2"/>
        <v>3527260.419999999</v>
      </c>
      <c r="E166" s="2" t="s">
        <v>109</v>
      </c>
      <c r="F166" s="2" t="s">
        <v>92</v>
      </c>
    </row>
    <row r="167" spans="1:6" x14ac:dyDescent="0.15">
      <c r="A167" s="25">
        <v>42852</v>
      </c>
      <c r="B167" s="27">
        <v>944125.53</v>
      </c>
      <c r="C167" s="27"/>
      <c r="D167" s="27">
        <f t="shared" si="2"/>
        <v>4471385.9499999993</v>
      </c>
      <c r="E167" s="2" t="s">
        <v>64</v>
      </c>
      <c r="F167" s="2" t="s">
        <v>94</v>
      </c>
    </row>
    <row r="168" spans="1:6" x14ac:dyDescent="0.15">
      <c r="A168" s="25">
        <v>42853</v>
      </c>
      <c r="B168" s="27"/>
      <c r="C168" s="27">
        <v>4400</v>
      </c>
      <c r="D168" s="27">
        <f t="shared" si="2"/>
        <v>4466985.9499999993</v>
      </c>
      <c r="E168" s="2" t="s">
        <v>124</v>
      </c>
      <c r="F168" s="2" t="s">
        <v>92</v>
      </c>
    </row>
    <row r="169" spans="1:6" x14ac:dyDescent="0.15">
      <c r="A169" s="25">
        <v>42853</v>
      </c>
      <c r="B169" s="27"/>
      <c r="C169" s="27">
        <v>5523</v>
      </c>
      <c r="D169" s="27">
        <f t="shared" si="2"/>
        <v>4461462.9499999993</v>
      </c>
      <c r="E169" s="2" t="s">
        <v>36</v>
      </c>
      <c r="F169" s="2" t="s">
        <v>92</v>
      </c>
    </row>
    <row r="170" spans="1:6" x14ac:dyDescent="0.15">
      <c r="A170" s="25">
        <v>42853</v>
      </c>
      <c r="B170" s="27"/>
      <c r="C170" s="27">
        <v>2217</v>
      </c>
      <c r="D170" s="27">
        <f t="shared" si="2"/>
        <v>4459245.9499999993</v>
      </c>
      <c r="E170" s="2" t="s">
        <v>36</v>
      </c>
      <c r="F170" s="2" t="s">
        <v>92</v>
      </c>
    </row>
    <row r="171" spans="1:6" x14ac:dyDescent="0.15">
      <c r="A171" s="25">
        <v>42863</v>
      </c>
      <c r="B171" s="27"/>
      <c r="C171" s="27">
        <v>856594</v>
      </c>
      <c r="D171" s="27">
        <f t="shared" si="2"/>
        <v>3602651.9499999993</v>
      </c>
      <c r="E171" s="2" t="s">
        <v>53</v>
      </c>
      <c r="F171" s="2" t="s">
        <v>89</v>
      </c>
    </row>
    <row r="172" spans="1:6" x14ac:dyDescent="0.15">
      <c r="A172" s="25">
        <v>42864</v>
      </c>
      <c r="B172" s="27"/>
      <c r="C172" s="27">
        <v>10.5</v>
      </c>
      <c r="D172" s="27">
        <f t="shared" si="2"/>
        <v>3602641.4499999993</v>
      </c>
      <c r="E172" s="2" t="s">
        <v>109</v>
      </c>
      <c r="F172" s="2" t="s">
        <v>92</v>
      </c>
    </row>
    <row r="173" spans="1:6" x14ac:dyDescent="0.15">
      <c r="A173" s="25">
        <v>42867</v>
      </c>
      <c r="B173" s="27"/>
      <c r="C173" s="27">
        <v>7573.92</v>
      </c>
      <c r="D173" s="27">
        <f t="shared" si="2"/>
        <v>3595067.5299999993</v>
      </c>
      <c r="E173" s="2" t="s">
        <v>113</v>
      </c>
      <c r="F173" s="2" t="s">
        <v>93</v>
      </c>
    </row>
    <row r="174" spans="1:6" x14ac:dyDescent="0.15">
      <c r="A174" s="25">
        <v>42870</v>
      </c>
      <c r="B174" s="27"/>
      <c r="C174" s="27">
        <v>5994</v>
      </c>
      <c r="D174" s="27">
        <f t="shared" si="2"/>
        <v>3589073.5299999993</v>
      </c>
      <c r="E174" s="2" t="s">
        <v>36</v>
      </c>
      <c r="F174" s="2" t="s">
        <v>92</v>
      </c>
    </row>
    <row r="175" spans="1:6" x14ac:dyDescent="0.15">
      <c r="A175" s="25">
        <v>42870</v>
      </c>
      <c r="B175" s="27"/>
      <c r="C175" s="27">
        <v>1725.3</v>
      </c>
      <c r="D175" s="27">
        <f t="shared" si="2"/>
        <v>3587348.2299999995</v>
      </c>
      <c r="E175" s="2" t="s">
        <v>36</v>
      </c>
      <c r="F175" s="2" t="s">
        <v>92</v>
      </c>
    </row>
    <row r="176" spans="1:6" x14ac:dyDescent="0.15">
      <c r="A176" s="25">
        <v>42877</v>
      </c>
      <c r="B176" s="27"/>
      <c r="C176" s="27">
        <v>6791</v>
      </c>
      <c r="D176" s="27">
        <f t="shared" si="2"/>
        <v>3580557.2299999995</v>
      </c>
      <c r="E176" s="2" t="s">
        <v>123</v>
      </c>
      <c r="F176" s="2" t="s">
        <v>92</v>
      </c>
    </row>
    <row r="177" spans="1:6" x14ac:dyDescent="0.15">
      <c r="A177" s="25">
        <v>42877</v>
      </c>
      <c r="B177" s="27"/>
      <c r="C177" s="27">
        <v>2303</v>
      </c>
      <c r="D177" s="27">
        <f t="shared" si="2"/>
        <v>3578254.2299999995</v>
      </c>
      <c r="E177" s="2" t="s">
        <v>123</v>
      </c>
      <c r="F177" s="2" t="s">
        <v>92</v>
      </c>
    </row>
    <row r="178" spans="1:6" x14ac:dyDescent="0.15">
      <c r="A178" s="25">
        <v>42878</v>
      </c>
      <c r="B178" s="27"/>
      <c r="C178" s="27">
        <v>880</v>
      </c>
      <c r="D178" s="27">
        <f t="shared" si="2"/>
        <v>3577374.2299999995</v>
      </c>
      <c r="E178" s="2" t="s">
        <v>125</v>
      </c>
      <c r="F178" s="2" t="s">
        <v>92</v>
      </c>
    </row>
    <row r="179" spans="1:6" x14ac:dyDescent="0.15">
      <c r="A179" s="25">
        <v>42879</v>
      </c>
      <c r="B179" s="27"/>
      <c r="C179" s="27">
        <v>5490.5</v>
      </c>
      <c r="D179" s="27">
        <f t="shared" si="2"/>
        <v>3571883.7299999995</v>
      </c>
      <c r="E179" s="2" t="s">
        <v>36</v>
      </c>
      <c r="F179" s="2" t="s">
        <v>92</v>
      </c>
    </row>
    <row r="180" spans="1:6" x14ac:dyDescent="0.15">
      <c r="A180" s="25">
        <v>42880</v>
      </c>
      <c r="B180" s="27"/>
      <c r="C180" s="27">
        <v>10.5</v>
      </c>
      <c r="D180" s="27">
        <f t="shared" si="2"/>
        <v>3571873.2299999995</v>
      </c>
      <c r="E180" s="2" t="s">
        <v>109</v>
      </c>
      <c r="F180" s="2" t="s">
        <v>92</v>
      </c>
    </row>
    <row r="181" spans="1:6" x14ac:dyDescent="0.15">
      <c r="A181" s="25">
        <v>42880</v>
      </c>
      <c r="B181" s="27">
        <v>36375.53</v>
      </c>
      <c r="C181" s="27"/>
      <c r="D181" s="27">
        <f t="shared" si="2"/>
        <v>3608248.7599999993</v>
      </c>
      <c r="E181" s="2" t="s">
        <v>64</v>
      </c>
      <c r="F181" s="2" t="s">
        <v>94</v>
      </c>
    </row>
    <row r="182" spans="1:6" x14ac:dyDescent="0.15">
      <c r="A182" s="25">
        <v>42880</v>
      </c>
      <c r="B182" s="27"/>
      <c r="C182" s="27">
        <v>14087.75</v>
      </c>
      <c r="D182" s="27">
        <f t="shared" si="2"/>
        <v>3594161.0099999993</v>
      </c>
      <c r="E182" s="2" t="s">
        <v>14</v>
      </c>
      <c r="F182" s="2" t="s">
        <v>87</v>
      </c>
    </row>
    <row r="183" spans="1:6" x14ac:dyDescent="0.15">
      <c r="A183" s="25">
        <v>42880</v>
      </c>
      <c r="B183" s="27"/>
      <c r="C183" s="27">
        <v>8922.2000000000007</v>
      </c>
      <c r="D183" s="27">
        <f t="shared" si="2"/>
        <v>3585238.8099999991</v>
      </c>
      <c r="E183" s="2" t="s">
        <v>14</v>
      </c>
      <c r="F183" s="2" t="s">
        <v>87</v>
      </c>
    </row>
    <row r="184" spans="1:6" x14ac:dyDescent="0.15">
      <c r="A184" s="25">
        <v>42880</v>
      </c>
      <c r="B184" s="27"/>
      <c r="C184" s="27">
        <v>5737.1</v>
      </c>
      <c r="D184" s="27">
        <f t="shared" si="2"/>
        <v>3579501.709999999</v>
      </c>
      <c r="E184" s="2" t="s">
        <v>14</v>
      </c>
      <c r="F184" s="2" t="s">
        <v>87</v>
      </c>
    </row>
    <row r="185" spans="1:6" x14ac:dyDescent="0.15">
      <c r="A185" s="25">
        <v>42880</v>
      </c>
      <c r="B185" s="27"/>
      <c r="C185" s="27">
        <v>51.26</v>
      </c>
      <c r="D185" s="27">
        <f t="shared" si="2"/>
        <v>3579450.4499999993</v>
      </c>
      <c r="E185" s="2" t="s">
        <v>14</v>
      </c>
      <c r="F185" s="2" t="s">
        <v>87</v>
      </c>
    </row>
    <row r="186" spans="1:6" x14ac:dyDescent="0.15">
      <c r="A186" s="25">
        <v>42880</v>
      </c>
      <c r="B186" s="27"/>
      <c r="C186" s="27">
        <v>8022.78</v>
      </c>
      <c r="D186" s="27">
        <f t="shared" si="2"/>
        <v>3571427.6699999995</v>
      </c>
      <c r="E186" s="2" t="s">
        <v>14</v>
      </c>
      <c r="F186" s="2" t="s">
        <v>87</v>
      </c>
    </row>
    <row r="187" spans="1:6" x14ac:dyDescent="0.15">
      <c r="A187" s="25">
        <v>42880</v>
      </c>
      <c r="B187" s="27"/>
      <c r="C187" s="27">
        <v>2702.34</v>
      </c>
      <c r="D187" s="27">
        <f t="shared" si="2"/>
        <v>3568725.3299999996</v>
      </c>
      <c r="E187" s="2" t="s">
        <v>14</v>
      </c>
      <c r="F187" s="2" t="s">
        <v>87</v>
      </c>
    </row>
    <row r="188" spans="1:6" x14ac:dyDescent="0.15">
      <c r="A188" s="25">
        <v>42880</v>
      </c>
      <c r="B188" s="27"/>
      <c r="C188" s="27">
        <v>2970.95</v>
      </c>
      <c r="D188" s="27">
        <f t="shared" si="2"/>
        <v>3565754.3799999994</v>
      </c>
      <c r="E188" s="2" t="s">
        <v>14</v>
      </c>
      <c r="F188" s="2" t="s">
        <v>87</v>
      </c>
    </row>
    <row r="189" spans="1:6" x14ac:dyDescent="0.15">
      <c r="A189" s="25">
        <v>42880</v>
      </c>
      <c r="B189" s="27"/>
      <c r="C189" s="27">
        <v>9366.34</v>
      </c>
      <c r="D189" s="27">
        <f t="shared" si="2"/>
        <v>3556388.0399999996</v>
      </c>
      <c r="E189" s="2" t="s">
        <v>14</v>
      </c>
      <c r="F189" s="2" t="s">
        <v>87</v>
      </c>
    </row>
    <row r="190" spans="1:6" x14ac:dyDescent="0.15">
      <c r="A190" s="25">
        <v>42880</v>
      </c>
      <c r="B190" s="27"/>
      <c r="C190" s="27">
        <v>16236.8</v>
      </c>
      <c r="D190" s="27">
        <f t="shared" si="2"/>
        <v>3540151.2399999998</v>
      </c>
      <c r="E190" s="2" t="s">
        <v>14</v>
      </c>
      <c r="F190" s="2" t="s">
        <v>87</v>
      </c>
    </row>
    <row r="191" spans="1:6" x14ac:dyDescent="0.15">
      <c r="A191" s="25">
        <v>42883</v>
      </c>
      <c r="B191" s="27"/>
      <c r="C191" s="27">
        <v>10.5</v>
      </c>
      <c r="D191" s="27">
        <f t="shared" si="2"/>
        <v>3540140.7399999998</v>
      </c>
      <c r="E191" s="2" t="s">
        <v>109</v>
      </c>
      <c r="F191" s="2" t="s">
        <v>92</v>
      </c>
    </row>
    <row r="192" spans="1:6" x14ac:dyDescent="0.15">
      <c r="A192" s="25">
        <v>42889</v>
      </c>
      <c r="B192" s="27"/>
      <c r="C192" s="27">
        <v>42810</v>
      </c>
      <c r="D192" s="27">
        <f t="shared" si="2"/>
        <v>3497330.7399999998</v>
      </c>
      <c r="E192" s="2" t="s">
        <v>21</v>
      </c>
      <c r="F192" s="2" t="s">
        <v>89</v>
      </c>
    </row>
    <row r="193" spans="1:6" x14ac:dyDescent="0.15">
      <c r="A193" s="25">
        <v>42889</v>
      </c>
      <c r="B193" s="27"/>
      <c r="C193" s="27">
        <v>42810</v>
      </c>
      <c r="D193" s="27">
        <f t="shared" si="2"/>
        <v>3454520.7399999998</v>
      </c>
      <c r="E193" s="2" t="s">
        <v>21</v>
      </c>
      <c r="F193" s="2" t="s">
        <v>89</v>
      </c>
    </row>
    <row r="194" spans="1:6" x14ac:dyDescent="0.15">
      <c r="A194" s="25">
        <v>42889</v>
      </c>
      <c r="B194" s="27"/>
      <c r="C194" s="27">
        <v>42810</v>
      </c>
      <c r="D194" s="27">
        <f t="shared" si="2"/>
        <v>3411710.7399999998</v>
      </c>
      <c r="E194" s="2" t="s">
        <v>21</v>
      </c>
      <c r="F194" s="2" t="s">
        <v>89</v>
      </c>
    </row>
    <row r="195" spans="1:6" x14ac:dyDescent="0.15">
      <c r="A195" s="25">
        <v>42889</v>
      </c>
      <c r="B195" s="27"/>
      <c r="C195" s="27">
        <v>42810</v>
      </c>
      <c r="D195" s="27">
        <f t="shared" si="2"/>
        <v>3368900.7399999998</v>
      </c>
      <c r="E195" s="2" t="s">
        <v>21</v>
      </c>
      <c r="F195" s="2" t="s">
        <v>89</v>
      </c>
    </row>
    <row r="196" spans="1:6" x14ac:dyDescent="0.15">
      <c r="A196" s="25">
        <v>42892</v>
      </c>
      <c r="B196" s="27"/>
      <c r="C196" s="27">
        <v>330</v>
      </c>
      <c r="D196" s="27">
        <f t="shared" si="2"/>
        <v>3368570.7399999998</v>
      </c>
      <c r="E196" s="2" t="s">
        <v>54</v>
      </c>
      <c r="F196" s="2" t="s">
        <v>92</v>
      </c>
    </row>
    <row r="197" spans="1:6" x14ac:dyDescent="0.15">
      <c r="A197" s="25">
        <v>42895</v>
      </c>
      <c r="B197" s="27"/>
      <c r="C197" s="27">
        <v>9820</v>
      </c>
      <c r="D197" s="27">
        <f t="shared" si="2"/>
        <v>3358750.7399999998</v>
      </c>
      <c r="E197" s="2" t="s">
        <v>55</v>
      </c>
      <c r="F197" s="2" t="s">
        <v>89</v>
      </c>
    </row>
    <row r="198" spans="1:6" x14ac:dyDescent="0.15">
      <c r="A198" s="25">
        <v>42898</v>
      </c>
      <c r="B198" s="27"/>
      <c r="C198" s="27">
        <v>8130.19</v>
      </c>
      <c r="D198" s="27">
        <f t="shared" ref="D198:D261" si="3">D197+B198-C198</f>
        <v>3350620.55</v>
      </c>
      <c r="E198" s="2" t="s">
        <v>113</v>
      </c>
      <c r="F198" s="2" t="s">
        <v>93</v>
      </c>
    </row>
    <row r="199" spans="1:6" x14ac:dyDescent="0.15">
      <c r="A199" s="25">
        <v>42906</v>
      </c>
      <c r="B199" s="27"/>
      <c r="C199" s="27">
        <v>5591</v>
      </c>
      <c r="D199" s="27">
        <f t="shared" si="3"/>
        <v>3345029.55</v>
      </c>
      <c r="E199" s="2" t="s">
        <v>123</v>
      </c>
      <c r="F199" s="2" t="s">
        <v>92</v>
      </c>
    </row>
    <row r="200" spans="1:6" x14ac:dyDescent="0.15">
      <c r="A200" s="25">
        <v>42906</v>
      </c>
      <c r="B200" s="27"/>
      <c r="C200" s="27">
        <v>2772</v>
      </c>
      <c r="D200" s="27">
        <f t="shared" si="3"/>
        <v>3342257.55</v>
      </c>
      <c r="E200" s="2" t="s">
        <v>123</v>
      </c>
      <c r="F200" s="2" t="s">
        <v>92</v>
      </c>
    </row>
    <row r="201" spans="1:6" x14ac:dyDescent="0.15">
      <c r="A201" s="25">
        <v>42906</v>
      </c>
      <c r="B201" s="27"/>
      <c r="C201" s="27">
        <v>1765</v>
      </c>
      <c r="D201" s="27">
        <f t="shared" si="3"/>
        <v>3340492.55</v>
      </c>
      <c r="E201" s="2" t="s">
        <v>36</v>
      </c>
      <c r="F201" s="2" t="s">
        <v>92</v>
      </c>
    </row>
    <row r="202" spans="1:6" x14ac:dyDescent="0.15">
      <c r="A202" s="25">
        <v>42906</v>
      </c>
      <c r="B202" s="27"/>
      <c r="C202" s="27">
        <v>762.5</v>
      </c>
      <c r="D202" s="27">
        <f t="shared" si="3"/>
        <v>3339730.05</v>
      </c>
      <c r="E202" s="2" t="s">
        <v>36</v>
      </c>
      <c r="F202" s="2" t="s">
        <v>92</v>
      </c>
    </row>
    <row r="203" spans="1:6" x14ac:dyDescent="0.15">
      <c r="A203" s="25">
        <v>42906</v>
      </c>
      <c r="B203" s="27"/>
      <c r="C203" s="27">
        <v>16700.5</v>
      </c>
      <c r="D203" s="27">
        <f t="shared" si="3"/>
        <v>3323029.55</v>
      </c>
      <c r="E203" s="2" t="s">
        <v>36</v>
      </c>
      <c r="F203" s="2" t="s">
        <v>92</v>
      </c>
    </row>
    <row r="204" spans="1:6" x14ac:dyDescent="0.15">
      <c r="A204" s="25">
        <v>42906</v>
      </c>
      <c r="B204" s="27"/>
      <c r="C204" s="27">
        <v>804.46</v>
      </c>
      <c r="D204" s="27">
        <f t="shared" si="3"/>
        <v>3322225.09</v>
      </c>
      <c r="E204" s="2" t="s">
        <v>36</v>
      </c>
      <c r="F204" s="2" t="s">
        <v>92</v>
      </c>
    </row>
    <row r="205" spans="1:6" x14ac:dyDescent="0.15">
      <c r="A205" s="25">
        <v>42907</v>
      </c>
      <c r="B205" s="27">
        <v>2331.3200000000002</v>
      </c>
      <c r="C205" s="27"/>
      <c r="D205" s="27">
        <f t="shared" si="3"/>
        <v>3324556.4099999997</v>
      </c>
      <c r="E205" s="2" t="s">
        <v>122</v>
      </c>
      <c r="F205" s="2" t="s">
        <v>97</v>
      </c>
    </row>
    <row r="206" spans="1:6" x14ac:dyDescent="0.15">
      <c r="A206" s="25">
        <v>42912</v>
      </c>
      <c r="B206" s="27"/>
      <c r="C206" s="27">
        <v>14087.75</v>
      </c>
      <c r="D206" s="27">
        <f t="shared" si="3"/>
        <v>3310468.6599999997</v>
      </c>
      <c r="E206" s="2" t="s">
        <v>14</v>
      </c>
      <c r="F206" s="2" t="s">
        <v>87</v>
      </c>
    </row>
    <row r="207" spans="1:6" x14ac:dyDescent="0.15">
      <c r="A207" s="25">
        <v>42912</v>
      </c>
      <c r="B207" s="27"/>
      <c r="C207" s="27">
        <v>8922.2000000000007</v>
      </c>
      <c r="D207" s="27">
        <f t="shared" si="3"/>
        <v>3301546.4599999995</v>
      </c>
      <c r="E207" s="2" t="s">
        <v>14</v>
      </c>
      <c r="F207" s="2" t="s">
        <v>87</v>
      </c>
    </row>
    <row r="208" spans="1:6" x14ac:dyDescent="0.15">
      <c r="A208" s="25">
        <v>42912</v>
      </c>
      <c r="B208" s="27"/>
      <c r="C208" s="27">
        <v>9449.16</v>
      </c>
      <c r="D208" s="27">
        <f t="shared" si="3"/>
        <v>3292097.2999999993</v>
      </c>
      <c r="E208" s="2" t="s">
        <v>14</v>
      </c>
      <c r="F208" s="2" t="s">
        <v>87</v>
      </c>
    </row>
    <row r="209" spans="1:6" x14ac:dyDescent="0.15">
      <c r="A209" s="25">
        <v>42912</v>
      </c>
      <c r="B209" s="27"/>
      <c r="C209" s="27">
        <v>13236.8</v>
      </c>
      <c r="D209" s="27">
        <f t="shared" si="3"/>
        <v>3278860.4999999995</v>
      </c>
      <c r="E209" s="2" t="s">
        <v>14</v>
      </c>
      <c r="F209" s="2" t="s">
        <v>87</v>
      </c>
    </row>
    <row r="210" spans="1:6" x14ac:dyDescent="0.15">
      <c r="A210" s="25">
        <v>42912</v>
      </c>
      <c r="B210" s="27"/>
      <c r="C210" s="27">
        <v>13886.19</v>
      </c>
      <c r="D210" s="27">
        <f t="shared" si="3"/>
        <v>3264974.3099999996</v>
      </c>
      <c r="E210" s="2" t="s">
        <v>14</v>
      </c>
      <c r="F210" s="2" t="s">
        <v>87</v>
      </c>
    </row>
    <row r="211" spans="1:6" x14ac:dyDescent="0.15">
      <c r="A211" s="25">
        <v>42912</v>
      </c>
      <c r="B211" s="27"/>
      <c r="C211" s="27">
        <v>2342.84</v>
      </c>
      <c r="D211" s="27">
        <f t="shared" si="3"/>
        <v>3262631.4699999997</v>
      </c>
      <c r="E211" s="2" t="s">
        <v>14</v>
      </c>
      <c r="F211" s="2" t="s">
        <v>87</v>
      </c>
    </row>
    <row r="212" spans="1:6" x14ac:dyDescent="0.15">
      <c r="A212" s="25">
        <v>42912</v>
      </c>
      <c r="B212" s="27"/>
      <c r="C212" s="27">
        <v>2631.73</v>
      </c>
      <c r="D212" s="27">
        <f t="shared" si="3"/>
        <v>3259999.7399999998</v>
      </c>
      <c r="E212" s="2" t="s">
        <v>14</v>
      </c>
      <c r="F212" s="2" t="s">
        <v>87</v>
      </c>
    </row>
    <row r="213" spans="1:6" x14ac:dyDescent="0.15">
      <c r="A213" s="25">
        <v>42912</v>
      </c>
      <c r="B213" s="27"/>
      <c r="C213" s="27">
        <v>5713</v>
      </c>
      <c r="D213" s="27">
        <f t="shared" si="3"/>
        <v>3254286.7399999998</v>
      </c>
      <c r="E213" s="2" t="s">
        <v>36</v>
      </c>
      <c r="F213" s="2" t="s">
        <v>92</v>
      </c>
    </row>
    <row r="214" spans="1:6" x14ac:dyDescent="0.15">
      <c r="A214" s="25">
        <v>42912</v>
      </c>
      <c r="B214" s="27">
        <v>33450.47</v>
      </c>
      <c r="C214" s="27"/>
      <c r="D214" s="27">
        <f t="shared" si="3"/>
        <v>3287737.21</v>
      </c>
      <c r="E214" s="2" t="s">
        <v>64</v>
      </c>
      <c r="F214" s="2" t="s">
        <v>94</v>
      </c>
    </row>
    <row r="215" spans="1:6" x14ac:dyDescent="0.15">
      <c r="A215" s="25">
        <v>42912</v>
      </c>
      <c r="B215" s="27"/>
      <c r="C215" s="27">
        <v>345</v>
      </c>
      <c r="D215" s="27">
        <f t="shared" si="3"/>
        <v>3287392.21</v>
      </c>
      <c r="E215" s="2" t="s">
        <v>36</v>
      </c>
      <c r="F215" s="2" t="s">
        <v>92</v>
      </c>
    </row>
    <row r="216" spans="1:6" x14ac:dyDescent="0.15">
      <c r="A216" s="25">
        <v>42914</v>
      </c>
      <c r="B216" s="27">
        <v>344983.39</v>
      </c>
      <c r="C216" s="27"/>
      <c r="D216" s="27">
        <f t="shared" si="3"/>
        <v>3632375.6</v>
      </c>
      <c r="E216" s="2" t="s">
        <v>64</v>
      </c>
      <c r="F216" s="2" t="s">
        <v>94</v>
      </c>
    </row>
    <row r="217" spans="1:6" x14ac:dyDescent="0.15">
      <c r="A217" s="25">
        <v>42920</v>
      </c>
      <c r="B217" s="27"/>
      <c r="C217" s="27">
        <v>462.6</v>
      </c>
      <c r="D217" s="27">
        <f t="shared" si="3"/>
        <v>3631913</v>
      </c>
      <c r="E217" s="2" t="s">
        <v>115</v>
      </c>
      <c r="F217" s="2" t="s">
        <v>100</v>
      </c>
    </row>
    <row r="218" spans="1:6" x14ac:dyDescent="0.15">
      <c r="A218" s="25">
        <v>42920</v>
      </c>
      <c r="B218" s="27"/>
      <c r="C218" s="27">
        <v>627</v>
      </c>
      <c r="D218" s="27">
        <f t="shared" si="3"/>
        <v>3631286</v>
      </c>
      <c r="E218" s="2" t="s">
        <v>115</v>
      </c>
      <c r="F218" s="2" t="s">
        <v>100</v>
      </c>
    </row>
    <row r="219" spans="1:6" x14ac:dyDescent="0.15">
      <c r="A219" s="25">
        <v>42920</v>
      </c>
      <c r="B219" s="27"/>
      <c r="C219" s="27">
        <v>1.5</v>
      </c>
      <c r="D219" s="27">
        <f t="shared" si="3"/>
        <v>3631284.5</v>
      </c>
      <c r="E219" s="2" t="s">
        <v>115</v>
      </c>
      <c r="F219" s="2" t="s">
        <v>100</v>
      </c>
    </row>
    <row r="220" spans="1:6" x14ac:dyDescent="0.15">
      <c r="A220" s="25">
        <v>42922</v>
      </c>
      <c r="B220" s="27"/>
      <c r="C220" s="27">
        <v>10.5</v>
      </c>
      <c r="D220" s="27">
        <f t="shared" si="3"/>
        <v>3631274</v>
      </c>
      <c r="E220" s="2" t="s">
        <v>109</v>
      </c>
      <c r="F220" s="2" t="s">
        <v>92</v>
      </c>
    </row>
    <row r="221" spans="1:6" x14ac:dyDescent="0.15">
      <c r="A221" s="25">
        <v>42922</v>
      </c>
      <c r="B221" s="27"/>
      <c r="C221" s="27">
        <v>130753.53</v>
      </c>
      <c r="D221" s="27">
        <f t="shared" si="3"/>
        <v>3500520.47</v>
      </c>
      <c r="E221" s="2" t="s">
        <v>62</v>
      </c>
      <c r="F221" s="2" t="s">
        <v>89</v>
      </c>
    </row>
    <row r="222" spans="1:6" x14ac:dyDescent="0.15">
      <c r="A222" s="25">
        <v>42926</v>
      </c>
      <c r="B222" s="27"/>
      <c r="C222" s="27">
        <v>7548</v>
      </c>
      <c r="D222" s="27">
        <f t="shared" si="3"/>
        <v>3492972.47</v>
      </c>
      <c r="E222" s="2" t="s">
        <v>63</v>
      </c>
      <c r="F222" s="2" t="s">
        <v>92</v>
      </c>
    </row>
    <row r="223" spans="1:6" x14ac:dyDescent="0.15">
      <c r="A223" s="25">
        <v>42926</v>
      </c>
      <c r="B223" s="27"/>
      <c r="C223" s="27">
        <v>20143.96</v>
      </c>
      <c r="D223" s="27">
        <f t="shared" si="3"/>
        <v>3472828.5100000002</v>
      </c>
      <c r="E223" s="2" t="s">
        <v>113</v>
      </c>
      <c r="F223" s="2" t="s">
        <v>93</v>
      </c>
    </row>
    <row r="224" spans="1:6" x14ac:dyDescent="0.15">
      <c r="A224" s="25">
        <v>42926</v>
      </c>
      <c r="B224" s="27">
        <v>330</v>
      </c>
      <c r="C224" s="27"/>
      <c r="D224" s="27">
        <f t="shared" si="3"/>
        <v>3473158.5100000002</v>
      </c>
      <c r="E224" s="2"/>
      <c r="F224" s="2" t="s">
        <v>97</v>
      </c>
    </row>
    <row r="225" spans="1:6" x14ac:dyDescent="0.15">
      <c r="A225" s="25">
        <v>42928</v>
      </c>
      <c r="B225" s="27">
        <v>37983.199999999997</v>
      </c>
      <c r="C225" s="27"/>
      <c r="D225" s="27">
        <f t="shared" si="3"/>
        <v>3511141.7100000004</v>
      </c>
      <c r="E225" s="2" t="s">
        <v>64</v>
      </c>
      <c r="F225" s="2" t="s">
        <v>94</v>
      </c>
    </row>
    <row r="226" spans="1:6" x14ac:dyDescent="0.15">
      <c r="A226" s="25">
        <v>42930</v>
      </c>
      <c r="B226" s="27">
        <v>28210</v>
      </c>
      <c r="C226" s="27"/>
      <c r="D226" s="27">
        <f t="shared" si="3"/>
        <v>3539351.7100000004</v>
      </c>
      <c r="E226" s="2" t="s">
        <v>64</v>
      </c>
      <c r="F226" s="2" t="s">
        <v>94</v>
      </c>
    </row>
    <row r="227" spans="1:6" x14ac:dyDescent="0.15">
      <c r="A227" s="25">
        <v>42933</v>
      </c>
      <c r="B227" s="27">
        <v>494756.83</v>
      </c>
      <c r="C227" s="27"/>
      <c r="D227" s="27">
        <f t="shared" si="3"/>
        <v>4034108.5400000005</v>
      </c>
      <c r="E227" s="2" t="s">
        <v>64</v>
      </c>
      <c r="F227" s="2" t="s">
        <v>94</v>
      </c>
    </row>
    <row r="228" spans="1:6" x14ac:dyDescent="0.15">
      <c r="A228" s="25">
        <v>42934</v>
      </c>
      <c r="B228" s="27"/>
      <c r="C228" s="27">
        <v>620000</v>
      </c>
      <c r="D228" s="27">
        <f t="shared" si="3"/>
        <v>3414108.5400000005</v>
      </c>
      <c r="E228" s="2" t="s">
        <v>126</v>
      </c>
      <c r="F228" s="2" t="s">
        <v>83</v>
      </c>
    </row>
    <row r="229" spans="1:6" x14ac:dyDescent="0.15">
      <c r="A229" s="25">
        <v>42935</v>
      </c>
      <c r="B229" s="27"/>
      <c r="C229" s="27">
        <v>14</v>
      </c>
      <c r="D229" s="27">
        <f t="shared" si="3"/>
        <v>3414094.5400000005</v>
      </c>
      <c r="E229" s="2" t="s">
        <v>109</v>
      </c>
      <c r="F229" s="2" t="s">
        <v>92</v>
      </c>
    </row>
    <row r="230" spans="1:6" x14ac:dyDescent="0.15">
      <c r="A230" s="25">
        <v>42935</v>
      </c>
      <c r="B230" s="27"/>
      <c r="C230" s="27">
        <v>1000</v>
      </c>
      <c r="D230" s="27">
        <f t="shared" si="3"/>
        <v>3413094.5400000005</v>
      </c>
      <c r="E230" s="2" t="s">
        <v>127</v>
      </c>
      <c r="F230" s="2" t="s">
        <v>99</v>
      </c>
    </row>
    <row r="231" spans="1:6" x14ac:dyDescent="0.15">
      <c r="A231" s="25">
        <v>42935</v>
      </c>
      <c r="B231" s="27"/>
      <c r="C231" s="27">
        <v>1383</v>
      </c>
      <c r="D231" s="27">
        <f t="shared" si="3"/>
        <v>3411711.5400000005</v>
      </c>
      <c r="E231" s="2" t="s">
        <v>36</v>
      </c>
      <c r="F231" s="2" t="s">
        <v>92</v>
      </c>
    </row>
    <row r="232" spans="1:6" x14ac:dyDescent="0.15">
      <c r="A232" s="25">
        <v>42935</v>
      </c>
      <c r="B232" s="27"/>
      <c r="C232" s="27">
        <v>13960.5</v>
      </c>
      <c r="D232" s="27">
        <f t="shared" si="3"/>
        <v>3397751.0400000005</v>
      </c>
      <c r="E232" s="2" t="s">
        <v>36</v>
      </c>
      <c r="F232" s="2" t="s">
        <v>92</v>
      </c>
    </row>
    <row r="233" spans="1:6" x14ac:dyDescent="0.15">
      <c r="A233" s="25">
        <v>42936</v>
      </c>
      <c r="B233" s="27"/>
      <c r="C233" s="27">
        <v>1000</v>
      </c>
      <c r="D233" s="27">
        <f t="shared" si="3"/>
        <v>3396751.0400000005</v>
      </c>
      <c r="E233" s="2" t="s">
        <v>127</v>
      </c>
      <c r="F233" s="2" t="s">
        <v>99</v>
      </c>
    </row>
    <row r="234" spans="1:6" x14ac:dyDescent="0.15">
      <c r="A234" s="25">
        <v>42940</v>
      </c>
      <c r="B234" s="27"/>
      <c r="C234" s="27">
        <v>1268</v>
      </c>
      <c r="D234" s="27">
        <f t="shared" si="3"/>
        <v>3395483.0400000005</v>
      </c>
      <c r="E234" s="2" t="s">
        <v>128</v>
      </c>
      <c r="F234" s="2" t="s">
        <v>92</v>
      </c>
    </row>
    <row r="235" spans="1:6" x14ac:dyDescent="0.15">
      <c r="A235" s="25">
        <v>42940</v>
      </c>
      <c r="B235" s="27"/>
      <c r="C235" s="27">
        <v>2298</v>
      </c>
      <c r="D235" s="27">
        <f t="shared" si="3"/>
        <v>3393185.0400000005</v>
      </c>
      <c r="E235" s="2" t="s">
        <v>128</v>
      </c>
      <c r="F235" s="2" t="s">
        <v>92</v>
      </c>
    </row>
    <row r="236" spans="1:6" x14ac:dyDescent="0.15">
      <c r="A236" s="25">
        <v>42941</v>
      </c>
      <c r="B236" s="27">
        <v>14261.74</v>
      </c>
      <c r="C236" s="27"/>
      <c r="D236" s="27">
        <f t="shared" si="3"/>
        <v>3407446.7800000007</v>
      </c>
      <c r="E236" s="2" t="s">
        <v>64</v>
      </c>
      <c r="F236" s="2" t="s">
        <v>94</v>
      </c>
    </row>
    <row r="237" spans="1:6" x14ac:dyDescent="0.15">
      <c r="A237" s="25">
        <v>42941</v>
      </c>
      <c r="B237" s="27">
        <v>218804.9</v>
      </c>
      <c r="C237" s="27"/>
      <c r="D237" s="27">
        <f t="shared" si="3"/>
        <v>3626251.6800000006</v>
      </c>
      <c r="E237" s="2" t="s">
        <v>64</v>
      </c>
      <c r="F237" s="2" t="s">
        <v>94</v>
      </c>
    </row>
    <row r="238" spans="1:6" x14ac:dyDescent="0.15">
      <c r="A238" s="25">
        <v>42941</v>
      </c>
      <c r="B238" s="27"/>
      <c r="C238" s="27">
        <v>29882.75</v>
      </c>
      <c r="D238" s="27">
        <f t="shared" si="3"/>
        <v>3596368.9300000006</v>
      </c>
      <c r="E238" s="2" t="s">
        <v>65</v>
      </c>
      <c r="F238" s="2" t="s">
        <v>87</v>
      </c>
    </row>
    <row r="239" spans="1:6" x14ac:dyDescent="0.15">
      <c r="A239" s="25">
        <v>42941</v>
      </c>
      <c r="B239" s="27"/>
      <c r="C239" s="27">
        <v>8922.2000000000007</v>
      </c>
      <c r="D239" s="27">
        <f t="shared" si="3"/>
        <v>3587446.7300000004</v>
      </c>
      <c r="E239" s="2" t="s">
        <v>65</v>
      </c>
      <c r="F239" s="2" t="s">
        <v>87</v>
      </c>
    </row>
    <row r="240" spans="1:6" x14ac:dyDescent="0.15">
      <c r="A240" s="25">
        <v>42941</v>
      </c>
      <c r="B240" s="27"/>
      <c r="C240" s="27">
        <v>24712.26</v>
      </c>
      <c r="D240" s="27">
        <f t="shared" si="3"/>
        <v>3562734.4700000007</v>
      </c>
      <c r="E240" s="2" t="s">
        <v>65</v>
      </c>
      <c r="F240" s="2" t="s">
        <v>87</v>
      </c>
    </row>
    <row r="241" spans="1:6" x14ac:dyDescent="0.15">
      <c r="A241" s="25">
        <v>42941</v>
      </c>
      <c r="B241" s="27"/>
      <c r="C241" s="27">
        <v>26361.8</v>
      </c>
      <c r="D241" s="27">
        <f t="shared" si="3"/>
        <v>3536372.6700000009</v>
      </c>
      <c r="E241" s="2" t="s">
        <v>65</v>
      </c>
      <c r="F241" s="2" t="s">
        <v>87</v>
      </c>
    </row>
    <row r="242" spans="1:6" x14ac:dyDescent="0.15">
      <c r="A242" s="25">
        <v>42941</v>
      </c>
      <c r="B242" s="27"/>
      <c r="C242" s="27">
        <v>3365.53</v>
      </c>
      <c r="D242" s="27">
        <f t="shared" si="3"/>
        <v>3533007.1400000011</v>
      </c>
      <c r="E242" s="2" t="s">
        <v>65</v>
      </c>
      <c r="F242" s="2" t="s">
        <v>87</v>
      </c>
    </row>
    <row r="243" spans="1:6" x14ac:dyDescent="0.15">
      <c r="A243" s="25">
        <v>42941</v>
      </c>
      <c r="B243" s="27"/>
      <c r="C243" s="27">
        <v>866.21</v>
      </c>
      <c r="D243" s="27">
        <f t="shared" si="3"/>
        <v>3532140.9300000011</v>
      </c>
      <c r="E243" s="2" t="s">
        <v>65</v>
      </c>
      <c r="F243" s="2" t="s">
        <v>87</v>
      </c>
    </row>
    <row r="244" spans="1:6" x14ac:dyDescent="0.15">
      <c r="A244" s="25">
        <v>42944</v>
      </c>
      <c r="B244" s="27">
        <v>345504.43</v>
      </c>
      <c r="C244" s="27"/>
      <c r="D244" s="27">
        <f t="shared" si="3"/>
        <v>3877645.3600000013</v>
      </c>
      <c r="E244" s="2" t="s">
        <v>64</v>
      </c>
      <c r="F244" s="2" t="s">
        <v>94</v>
      </c>
    </row>
    <row r="245" spans="1:6" x14ac:dyDescent="0.15">
      <c r="A245" s="25">
        <v>42945</v>
      </c>
      <c r="B245" s="27">
        <v>620000</v>
      </c>
      <c r="C245" s="27"/>
      <c r="D245" s="27">
        <f t="shared" si="3"/>
        <v>4497645.3600000013</v>
      </c>
      <c r="E245" s="2" t="s">
        <v>129</v>
      </c>
      <c r="F245" s="2" t="s">
        <v>83</v>
      </c>
    </row>
    <row r="246" spans="1:6" x14ac:dyDescent="0.15">
      <c r="A246" s="25">
        <v>42949</v>
      </c>
      <c r="B246" s="27"/>
      <c r="C246" s="27">
        <v>10.5</v>
      </c>
      <c r="D246" s="27">
        <f t="shared" si="3"/>
        <v>4497634.8600000013</v>
      </c>
      <c r="E246" s="2" t="s">
        <v>109</v>
      </c>
      <c r="F246" s="2" t="s">
        <v>92</v>
      </c>
    </row>
    <row r="247" spans="1:6" x14ac:dyDescent="0.15">
      <c r="A247" s="25">
        <v>42954</v>
      </c>
      <c r="B247" s="27"/>
      <c r="C247" s="27">
        <v>7542.15</v>
      </c>
      <c r="D247" s="27">
        <f t="shared" si="3"/>
        <v>4490092.7100000009</v>
      </c>
      <c r="E247" s="2" t="s">
        <v>36</v>
      </c>
      <c r="F247" s="2" t="s">
        <v>92</v>
      </c>
    </row>
    <row r="248" spans="1:6" x14ac:dyDescent="0.15">
      <c r="A248" s="25">
        <v>42954</v>
      </c>
      <c r="B248" s="27"/>
      <c r="C248" s="27">
        <v>995.54</v>
      </c>
      <c r="D248" s="27">
        <f t="shared" si="3"/>
        <v>4489097.1700000009</v>
      </c>
      <c r="E248" s="2" t="s">
        <v>36</v>
      </c>
      <c r="F248" s="2" t="s">
        <v>92</v>
      </c>
    </row>
    <row r="249" spans="1:6" x14ac:dyDescent="0.15">
      <c r="A249" s="25">
        <v>42956</v>
      </c>
      <c r="B249" s="27">
        <v>26519</v>
      </c>
      <c r="C249" s="27"/>
      <c r="D249" s="27">
        <f t="shared" si="3"/>
        <v>4515616.1700000009</v>
      </c>
      <c r="E249" s="2" t="s">
        <v>64</v>
      </c>
      <c r="F249" s="2" t="s">
        <v>94</v>
      </c>
    </row>
    <row r="250" spans="1:6" x14ac:dyDescent="0.15">
      <c r="A250" s="25">
        <v>42957</v>
      </c>
      <c r="B250" s="27"/>
      <c r="C250" s="27">
        <v>500000</v>
      </c>
      <c r="D250" s="27">
        <f t="shared" si="3"/>
        <v>4015616.1700000009</v>
      </c>
      <c r="E250" s="2" t="s">
        <v>67</v>
      </c>
      <c r="F250" s="2" t="s">
        <v>83</v>
      </c>
    </row>
    <row r="251" spans="1:6" x14ac:dyDescent="0.15">
      <c r="A251" s="25">
        <v>42958</v>
      </c>
      <c r="B251" s="27"/>
      <c r="C251" s="27">
        <v>10.5</v>
      </c>
      <c r="D251" s="27">
        <f t="shared" si="3"/>
        <v>4015605.6700000009</v>
      </c>
      <c r="E251" s="2" t="s">
        <v>109</v>
      </c>
      <c r="F251" s="2" t="s">
        <v>92</v>
      </c>
    </row>
    <row r="252" spans="1:6" x14ac:dyDescent="0.15">
      <c r="A252" s="25">
        <v>42958</v>
      </c>
      <c r="B252" s="27"/>
      <c r="C252" s="27">
        <v>7534.83</v>
      </c>
      <c r="D252" s="27">
        <f t="shared" si="3"/>
        <v>4008070.8400000008</v>
      </c>
      <c r="E252" s="2" t="s">
        <v>113</v>
      </c>
      <c r="F252" s="2" t="s">
        <v>93</v>
      </c>
    </row>
    <row r="253" spans="1:6" x14ac:dyDescent="0.15">
      <c r="A253" s="25">
        <v>42961</v>
      </c>
      <c r="B253" s="27">
        <v>370818</v>
      </c>
      <c r="C253" s="27"/>
      <c r="D253" s="27">
        <f t="shared" si="3"/>
        <v>4378888.8400000008</v>
      </c>
      <c r="E253" s="2" t="s">
        <v>64</v>
      </c>
      <c r="F253" s="2" t="s">
        <v>94</v>
      </c>
    </row>
    <row r="254" spans="1:6" x14ac:dyDescent="0.15">
      <c r="A254" s="25">
        <v>42963</v>
      </c>
      <c r="B254" s="27"/>
      <c r="C254" s="27">
        <v>423</v>
      </c>
      <c r="D254" s="27">
        <f t="shared" si="3"/>
        <v>4378465.8400000008</v>
      </c>
      <c r="E254" s="2" t="s">
        <v>36</v>
      </c>
      <c r="F254" s="2" t="s">
        <v>92</v>
      </c>
    </row>
    <row r="255" spans="1:6" x14ac:dyDescent="0.15">
      <c r="A255" s="25">
        <v>42963</v>
      </c>
      <c r="B255" s="27"/>
      <c r="C255" s="27">
        <v>8614.0400000000009</v>
      </c>
      <c r="D255" s="27">
        <f t="shared" si="3"/>
        <v>4369851.8000000007</v>
      </c>
      <c r="E255" s="2" t="s">
        <v>36</v>
      </c>
      <c r="F255" s="2" t="s">
        <v>92</v>
      </c>
    </row>
    <row r="256" spans="1:6" x14ac:dyDescent="0.15">
      <c r="A256" s="25">
        <v>42963</v>
      </c>
      <c r="B256" s="27"/>
      <c r="C256" s="27">
        <v>2996</v>
      </c>
      <c r="D256" s="27">
        <f t="shared" si="3"/>
        <v>4366855.8000000007</v>
      </c>
      <c r="E256" s="2" t="s">
        <v>36</v>
      </c>
      <c r="F256" s="2" t="s">
        <v>92</v>
      </c>
    </row>
    <row r="257" spans="1:6" x14ac:dyDescent="0.15">
      <c r="A257" s="25">
        <v>42965</v>
      </c>
      <c r="B257" s="27"/>
      <c r="C257" s="27">
        <v>298484</v>
      </c>
      <c r="D257" s="27">
        <f t="shared" si="3"/>
        <v>4068371.8000000007</v>
      </c>
      <c r="E257" s="2" t="s">
        <v>130</v>
      </c>
      <c r="F257" s="2" t="s">
        <v>89</v>
      </c>
    </row>
    <row r="258" spans="1:6" x14ac:dyDescent="0.15">
      <c r="A258" s="25">
        <v>42966</v>
      </c>
      <c r="B258" s="27"/>
      <c r="C258" s="27">
        <v>10.5</v>
      </c>
      <c r="D258" s="27">
        <f t="shared" si="3"/>
        <v>4068361.3000000007</v>
      </c>
      <c r="E258" s="2" t="s">
        <v>109</v>
      </c>
      <c r="F258" s="2" t="s">
        <v>92</v>
      </c>
    </row>
    <row r="259" spans="1:6" x14ac:dyDescent="0.15">
      <c r="A259" s="25">
        <v>42969</v>
      </c>
      <c r="B259" s="27"/>
      <c r="C259" s="27">
        <v>150</v>
      </c>
      <c r="D259" s="27">
        <f t="shared" si="3"/>
        <v>4068211.3000000007</v>
      </c>
      <c r="E259" s="2" t="s">
        <v>131</v>
      </c>
      <c r="F259" s="2" t="s">
        <v>92</v>
      </c>
    </row>
    <row r="260" spans="1:6" x14ac:dyDescent="0.15">
      <c r="A260" s="25">
        <v>42970</v>
      </c>
      <c r="B260" s="27"/>
      <c r="C260" s="27">
        <v>68440</v>
      </c>
      <c r="D260" s="27">
        <f t="shared" si="3"/>
        <v>3999771.3000000007</v>
      </c>
      <c r="E260" s="2" t="s">
        <v>132</v>
      </c>
      <c r="F260" s="2" t="s">
        <v>89</v>
      </c>
    </row>
    <row r="261" spans="1:6" x14ac:dyDescent="0.15">
      <c r="A261" s="25">
        <v>42971</v>
      </c>
      <c r="B261" s="27"/>
      <c r="C261" s="27">
        <v>7</v>
      </c>
      <c r="D261" s="27">
        <f t="shared" si="3"/>
        <v>3999764.3000000007</v>
      </c>
      <c r="E261" s="2" t="s">
        <v>109</v>
      </c>
      <c r="F261" s="2" t="s">
        <v>92</v>
      </c>
    </row>
    <row r="262" spans="1:6" x14ac:dyDescent="0.15">
      <c r="A262" s="25">
        <v>42971</v>
      </c>
      <c r="B262" s="27"/>
      <c r="C262" s="27">
        <v>277080</v>
      </c>
      <c r="D262" s="27">
        <f t="shared" ref="D262:D325" si="4">D261+B262-C262</f>
        <v>3722684.3000000007</v>
      </c>
      <c r="E262" s="2" t="s">
        <v>21</v>
      </c>
      <c r="F262" s="2" t="s">
        <v>89</v>
      </c>
    </row>
    <row r="263" spans="1:6" x14ac:dyDescent="0.15">
      <c r="A263" s="25">
        <v>42971</v>
      </c>
      <c r="B263" s="27">
        <v>597.29999999999995</v>
      </c>
      <c r="C263" s="27"/>
      <c r="D263" s="27">
        <f t="shared" si="4"/>
        <v>3723281.6000000006</v>
      </c>
      <c r="E263" s="2" t="s">
        <v>64</v>
      </c>
      <c r="F263" s="2" t="s">
        <v>94</v>
      </c>
    </row>
    <row r="264" spans="1:6" x14ac:dyDescent="0.15">
      <c r="A264" s="25">
        <v>42972</v>
      </c>
      <c r="B264" s="27"/>
      <c r="C264" s="27">
        <v>10.5</v>
      </c>
      <c r="D264" s="27">
        <f t="shared" si="4"/>
        <v>3723271.1000000006</v>
      </c>
      <c r="E264" s="2" t="s">
        <v>109</v>
      </c>
      <c r="F264" s="2" t="s">
        <v>92</v>
      </c>
    </row>
    <row r="265" spans="1:6" x14ac:dyDescent="0.15">
      <c r="A265" s="25">
        <v>42972</v>
      </c>
      <c r="B265" s="27"/>
      <c r="C265" s="27">
        <v>14087.75</v>
      </c>
      <c r="D265" s="27">
        <f t="shared" si="4"/>
        <v>3709183.3500000006</v>
      </c>
      <c r="E265" s="2" t="s">
        <v>65</v>
      </c>
      <c r="F265" s="2" t="s">
        <v>87</v>
      </c>
    </row>
    <row r="266" spans="1:6" x14ac:dyDescent="0.15">
      <c r="A266" s="25">
        <v>42972</v>
      </c>
      <c r="B266" s="27"/>
      <c r="C266" s="27">
        <v>8922.2000000000007</v>
      </c>
      <c r="D266" s="27">
        <f t="shared" si="4"/>
        <v>3700261.1500000004</v>
      </c>
      <c r="E266" s="2" t="s">
        <v>65</v>
      </c>
      <c r="F266" s="2" t="s">
        <v>87</v>
      </c>
    </row>
    <row r="267" spans="1:6" x14ac:dyDescent="0.15">
      <c r="A267" s="25">
        <v>42972</v>
      </c>
      <c r="B267" s="27"/>
      <c r="C267" s="27">
        <v>4004.9</v>
      </c>
      <c r="D267" s="27">
        <f t="shared" si="4"/>
        <v>3696256.2500000005</v>
      </c>
      <c r="E267" s="2" t="s">
        <v>65</v>
      </c>
      <c r="F267" s="2" t="s">
        <v>87</v>
      </c>
    </row>
    <row r="268" spans="1:6" x14ac:dyDescent="0.15">
      <c r="A268" s="25">
        <v>42972</v>
      </c>
      <c r="B268" s="27"/>
      <c r="C268" s="27">
        <v>1219.31</v>
      </c>
      <c r="D268" s="27">
        <f t="shared" si="4"/>
        <v>3695036.9400000004</v>
      </c>
      <c r="E268" s="2" t="s">
        <v>65</v>
      </c>
      <c r="F268" s="2" t="s">
        <v>87</v>
      </c>
    </row>
    <row r="269" spans="1:6" x14ac:dyDescent="0.15">
      <c r="A269" s="25">
        <v>42972</v>
      </c>
      <c r="B269" s="27"/>
      <c r="C269" s="27">
        <v>14170</v>
      </c>
      <c r="D269" s="27">
        <f t="shared" si="4"/>
        <v>3680866.9400000004</v>
      </c>
      <c r="E269" s="2" t="s">
        <v>133</v>
      </c>
      <c r="F269" s="2" t="s">
        <v>89</v>
      </c>
    </row>
    <row r="270" spans="1:6" x14ac:dyDescent="0.15">
      <c r="A270" s="25">
        <v>42972</v>
      </c>
      <c r="B270" s="27"/>
      <c r="C270" s="27">
        <v>12531.42</v>
      </c>
      <c r="D270" s="27">
        <f t="shared" si="4"/>
        <v>3668335.5200000005</v>
      </c>
      <c r="E270" s="2" t="s">
        <v>14</v>
      </c>
      <c r="F270" s="2" t="s">
        <v>87</v>
      </c>
    </row>
    <row r="271" spans="1:6" x14ac:dyDescent="0.15">
      <c r="A271" s="25">
        <v>42972</v>
      </c>
      <c r="B271" s="27"/>
      <c r="C271" s="27">
        <v>16198.55</v>
      </c>
      <c r="D271" s="27">
        <f t="shared" si="4"/>
        <v>3652136.9700000007</v>
      </c>
      <c r="E271" s="2" t="s">
        <v>14</v>
      </c>
      <c r="F271" s="2" t="s">
        <v>87</v>
      </c>
    </row>
    <row r="272" spans="1:6" x14ac:dyDescent="0.15">
      <c r="A272" s="25">
        <v>42973</v>
      </c>
      <c r="B272" s="27"/>
      <c r="C272" s="27">
        <v>7</v>
      </c>
      <c r="D272" s="27">
        <f t="shared" si="4"/>
        <v>3652129.9700000007</v>
      </c>
      <c r="E272" s="2" t="s">
        <v>109</v>
      </c>
      <c r="F272" s="2" t="s">
        <v>92</v>
      </c>
    </row>
    <row r="273" spans="1:6" x14ac:dyDescent="0.15">
      <c r="A273" s="25">
        <v>42975</v>
      </c>
      <c r="B273" s="27"/>
      <c r="C273" s="27">
        <v>9998</v>
      </c>
      <c r="D273" s="27">
        <f t="shared" si="4"/>
        <v>3642131.9700000007</v>
      </c>
      <c r="E273" s="2" t="s">
        <v>75</v>
      </c>
      <c r="F273" s="2" t="s">
        <v>92</v>
      </c>
    </row>
    <row r="274" spans="1:6" x14ac:dyDescent="0.15">
      <c r="A274" s="25">
        <v>42976</v>
      </c>
      <c r="B274" s="27"/>
      <c r="C274" s="27">
        <v>3.5</v>
      </c>
      <c r="D274" s="27">
        <f t="shared" si="4"/>
        <v>3642128.4700000007</v>
      </c>
      <c r="E274" s="2" t="s">
        <v>109</v>
      </c>
      <c r="F274" s="2" t="s">
        <v>92</v>
      </c>
    </row>
    <row r="275" spans="1:6" x14ac:dyDescent="0.15">
      <c r="A275" s="25">
        <v>42976</v>
      </c>
      <c r="B275" s="27">
        <v>142695.29</v>
      </c>
      <c r="C275" s="27"/>
      <c r="D275" s="27">
        <f t="shared" si="4"/>
        <v>3784823.7600000007</v>
      </c>
      <c r="E275" s="2" t="s">
        <v>134</v>
      </c>
      <c r="F275" s="2" t="s">
        <v>94</v>
      </c>
    </row>
    <row r="276" spans="1:6" x14ac:dyDescent="0.15">
      <c r="A276" s="25">
        <v>42977</v>
      </c>
      <c r="B276" s="27"/>
      <c r="C276" s="27">
        <v>206581.36</v>
      </c>
      <c r="D276" s="27">
        <f t="shared" si="4"/>
        <v>3578242.4000000008</v>
      </c>
      <c r="E276" s="2" t="s">
        <v>135</v>
      </c>
      <c r="F276" s="2" t="s">
        <v>89</v>
      </c>
    </row>
    <row r="277" spans="1:6" x14ac:dyDescent="0.15">
      <c r="A277" s="25">
        <v>42977</v>
      </c>
      <c r="B277" s="27"/>
      <c r="C277" s="27">
        <v>2937.85</v>
      </c>
      <c r="D277" s="27">
        <f t="shared" si="4"/>
        <v>3575304.5500000007</v>
      </c>
      <c r="E277" s="2" t="s">
        <v>36</v>
      </c>
      <c r="F277" s="2" t="s">
        <v>92</v>
      </c>
    </row>
    <row r="278" spans="1:6" x14ac:dyDescent="0.15">
      <c r="A278" s="25">
        <v>42977</v>
      </c>
      <c r="B278" s="27"/>
      <c r="C278" s="27">
        <v>783.7</v>
      </c>
      <c r="D278" s="27">
        <f t="shared" si="4"/>
        <v>3574520.8500000006</v>
      </c>
      <c r="E278" s="2" t="s">
        <v>36</v>
      </c>
      <c r="F278" s="2" t="s">
        <v>92</v>
      </c>
    </row>
    <row r="279" spans="1:6" x14ac:dyDescent="0.15">
      <c r="A279" s="25">
        <v>42977</v>
      </c>
      <c r="B279" s="27"/>
      <c r="C279" s="27">
        <v>2189</v>
      </c>
      <c r="D279" s="27">
        <f t="shared" si="4"/>
        <v>3572331.8500000006</v>
      </c>
      <c r="E279" s="2" t="s">
        <v>36</v>
      </c>
      <c r="F279" s="2" t="s">
        <v>92</v>
      </c>
    </row>
    <row r="280" spans="1:6" x14ac:dyDescent="0.15">
      <c r="A280" s="25">
        <v>42978</v>
      </c>
      <c r="B280" s="27"/>
      <c r="C280" s="27">
        <v>10.5</v>
      </c>
      <c r="D280" s="27">
        <f t="shared" si="4"/>
        <v>3572321.3500000006</v>
      </c>
      <c r="E280" s="2" t="s">
        <v>109</v>
      </c>
      <c r="F280" s="2" t="s">
        <v>92</v>
      </c>
    </row>
    <row r="281" spans="1:6" x14ac:dyDescent="0.15">
      <c r="A281" s="25">
        <v>42979</v>
      </c>
      <c r="B281" s="27"/>
      <c r="C281" s="27">
        <v>250000</v>
      </c>
      <c r="D281" s="27">
        <f t="shared" si="4"/>
        <v>3322321.3500000006</v>
      </c>
      <c r="E281" s="2" t="s">
        <v>136</v>
      </c>
      <c r="F281" s="2" t="s">
        <v>83</v>
      </c>
    </row>
    <row r="282" spans="1:6" x14ac:dyDescent="0.15">
      <c r="A282" s="25">
        <v>42979</v>
      </c>
      <c r="B282" s="27"/>
      <c r="C282" s="27">
        <v>400000</v>
      </c>
      <c r="D282" s="27">
        <f t="shared" si="4"/>
        <v>2922321.3500000006</v>
      </c>
      <c r="E282" s="2" t="s">
        <v>136</v>
      </c>
      <c r="F282" s="2" t="s">
        <v>83</v>
      </c>
    </row>
    <row r="283" spans="1:6" x14ac:dyDescent="0.15">
      <c r="A283" s="25">
        <v>42980</v>
      </c>
      <c r="B283" s="27"/>
      <c r="C283" s="27">
        <v>21</v>
      </c>
      <c r="D283" s="27">
        <f t="shared" si="4"/>
        <v>2922300.3500000006</v>
      </c>
      <c r="E283" s="2" t="s">
        <v>109</v>
      </c>
      <c r="F283" s="2" t="s">
        <v>92</v>
      </c>
    </row>
    <row r="284" spans="1:6" x14ac:dyDescent="0.15">
      <c r="A284" s="25">
        <v>42982</v>
      </c>
      <c r="B284" s="27">
        <v>1200000</v>
      </c>
      <c r="C284" s="27"/>
      <c r="D284" s="27">
        <f t="shared" si="4"/>
        <v>4122300.3500000006</v>
      </c>
      <c r="E284" s="2" t="s">
        <v>11</v>
      </c>
      <c r="F284" s="2" t="s">
        <v>83</v>
      </c>
    </row>
    <row r="285" spans="1:6" x14ac:dyDescent="0.15">
      <c r="A285" s="25">
        <v>42983</v>
      </c>
      <c r="B285" s="27"/>
      <c r="C285" s="27">
        <v>1200000</v>
      </c>
      <c r="D285" s="27">
        <f t="shared" si="4"/>
        <v>2922300.3500000006</v>
      </c>
      <c r="E285" s="2" t="s">
        <v>73</v>
      </c>
      <c r="F285" s="2" t="s">
        <v>83</v>
      </c>
    </row>
    <row r="286" spans="1:6" x14ac:dyDescent="0.15">
      <c r="A286" s="25">
        <v>42984</v>
      </c>
      <c r="B286" s="27"/>
      <c r="C286" s="27">
        <v>16.8</v>
      </c>
      <c r="D286" s="27">
        <f t="shared" si="4"/>
        <v>2922283.5500000007</v>
      </c>
      <c r="E286" s="2" t="s">
        <v>109</v>
      </c>
      <c r="F286" s="2" t="s">
        <v>92</v>
      </c>
    </row>
    <row r="287" spans="1:6" x14ac:dyDescent="0.15">
      <c r="A287" s="25">
        <v>42985</v>
      </c>
      <c r="B287" s="27"/>
      <c r="C287" s="27">
        <v>7430</v>
      </c>
      <c r="D287" s="27">
        <f t="shared" si="4"/>
        <v>2914853.5500000007</v>
      </c>
      <c r="E287" s="2" t="s">
        <v>113</v>
      </c>
      <c r="F287" s="2" t="s">
        <v>93</v>
      </c>
    </row>
    <row r="288" spans="1:6" x14ac:dyDescent="0.15">
      <c r="A288" s="25">
        <v>42986</v>
      </c>
      <c r="B288" s="27">
        <v>1200000</v>
      </c>
      <c r="C288" s="27"/>
      <c r="D288" s="27">
        <f t="shared" si="4"/>
        <v>4114853.5500000007</v>
      </c>
      <c r="E288" s="2" t="s">
        <v>12</v>
      </c>
      <c r="F288" s="2" t="s">
        <v>98</v>
      </c>
    </row>
    <row r="289" spans="1:6" x14ac:dyDescent="0.15">
      <c r="A289" s="25">
        <v>42990</v>
      </c>
      <c r="B289" s="27">
        <v>13110.28</v>
      </c>
      <c r="C289" s="27"/>
      <c r="D289" s="27">
        <f t="shared" si="4"/>
        <v>4127963.8300000005</v>
      </c>
      <c r="E289" s="2" t="s">
        <v>137</v>
      </c>
      <c r="F289" s="2" t="s">
        <v>94</v>
      </c>
    </row>
    <row r="290" spans="1:6" x14ac:dyDescent="0.15">
      <c r="A290" s="25">
        <v>42999</v>
      </c>
      <c r="B290" s="27">
        <v>2115.64</v>
      </c>
      <c r="C290" s="27"/>
      <c r="D290" s="27">
        <f t="shared" si="4"/>
        <v>4130079.4700000007</v>
      </c>
      <c r="E290" s="2" t="s">
        <v>114</v>
      </c>
      <c r="F290" s="2" t="s">
        <v>97</v>
      </c>
    </row>
    <row r="291" spans="1:6" x14ac:dyDescent="0.15">
      <c r="A291" s="25">
        <v>42999</v>
      </c>
      <c r="B291" s="27"/>
      <c r="C291" s="27">
        <v>40</v>
      </c>
      <c r="D291" s="27">
        <f t="shared" si="4"/>
        <v>4130039.4700000007</v>
      </c>
      <c r="E291" s="2" t="s">
        <v>112</v>
      </c>
      <c r="F291" s="2" t="s">
        <v>92</v>
      </c>
    </row>
    <row r="292" spans="1:6" x14ac:dyDescent="0.15">
      <c r="A292" s="25">
        <v>43000</v>
      </c>
      <c r="B292" s="27"/>
      <c r="C292" s="27">
        <v>5199</v>
      </c>
      <c r="D292" s="27">
        <f t="shared" si="4"/>
        <v>4124840.4700000007</v>
      </c>
      <c r="E292" s="2" t="s">
        <v>138</v>
      </c>
      <c r="F292" s="2" t="s">
        <v>89</v>
      </c>
    </row>
    <row r="293" spans="1:6" x14ac:dyDescent="0.15">
      <c r="A293" s="25">
        <v>43003</v>
      </c>
      <c r="B293" s="27"/>
      <c r="C293" s="27">
        <v>3000</v>
      </c>
      <c r="D293" s="27">
        <f t="shared" si="4"/>
        <v>4121840.4700000007</v>
      </c>
      <c r="E293" s="2" t="s">
        <v>74</v>
      </c>
      <c r="F293" s="2" t="s">
        <v>89</v>
      </c>
    </row>
    <row r="294" spans="1:6" x14ac:dyDescent="0.15">
      <c r="A294" s="25">
        <v>43003</v>
      </c>
      <c r="B294" s="27"/>
      <c r="C294" s="27">
        <v>501</v>
      </c>
      <c r="D294" s="27">
        <f t="shared" si="4"/>
        <v>4121339.4700000007</v>
      </c>
      <c r="E294" s="2" t="s">
        <v>36</v>
      </c>
      <c r="F294" s="2" t="s">
        <v>92</v>
      </c>
    </row>
    <row r="295" spans="1:6" x14ac:dyDescent="0.15">
      <c r="A295" s="25">
        <v>43003</v>
      </c>
      <c r="B295" s="27"/>
      <c r="C295" s="27">
        <v>8113.5</v>
      </c>
      <c r="D295" s="27">
        <f t="shared" si="4"/>
        <v>4113225.9700000007</v>
      </c>
      <c r="E295" s="2" t="s">
        <v>36</v>
      </c>
      <c r="F295" s="2" t="s">
        <v>92</v>
      </c>
    </row>
    <row r="296" spans="1:6" x14ac:dyDescent="0.15">
      <c r="A296" s="25">
        <v>43003</v>
      </c>
      <c r="B296" s="27"/>
      <c r="C296" s="27">
        <v>300</v>
      </c>
      <c r="D296" s="27">
        <f t="shared" si="4"/>
        <v>4112925.9700000007</v>
      </c>
      <c r="E296" s="2" t="s">
        <v>36</v>
      </c>
      <c r="F296" s="2" t="s">
        <v>92</v>
      </c>
    </row>
    <row r="297" spans="1:6" x14ac:dyDescent="0.15">
      <c r="A297" s="25">
        <v>43003</v>
      </c>
      <c r="B297" s="27"/>
      <c r="C297" s="27">
        <v>88</v>
      </c>
      <c r="D297" s="27">
        <f t="shared" si="4"/>
        <v>4112837.9700000007</v>
      </c>
      <c r="E297" s="2" t="s">
        <v>36</v>
      </c>
      <c r="F297" s="2" t="s">
        <v>92</v>
      </c>
    </row>
    <row r="298" spans="1:6" x14ac:dyDescent="0.15">
      <c r="A298" s="25">
        <v>43003</v>
      </c>
      <c r="B298" s="27"/>
      <c r="C298" s="27">
        <v>2197.8000000000002</v>
      </c>
      <c r="D298" s="27">
        <f t="shared" si="4"/>
        <v>4110640.1700000009</v>
      </c>
      <c r="E298" s="2" t="s">
        <v>36</v>
      </c>
      <c r="F298" s="2" t="s">
        <v>92</v>
      </c>
    </row>
    <row r="299" spans="1:6" x14ac:dyDescent="0.15">
      <c r="A299" s="25">
        <v>43003</v>
      </c>
      <c r="B299" s="27"/>
      <c r="C299" s="27">
        <v>14087.75</v>
      </c>
      <c r="D299" s="27">
        <f t="shared" si="4"/>
        <v>4096552.4200000009</v>
      </c>
      <c r="E299" s="2" t="s">
        <v>14</v>
      </c>
      <c r="F299" s="2" t="s">
        <v>87</v>
      </c>
    </row>
    <row r="300" spans="1:6" x14ac:dyDescent="0.15">
      <c r="A300" s="25">
        <v>43003</v>
      </c>
      <c r="B300" s="27"/>
      <c r="C300" s="27">
        <v>8922.2000000000007</v>
      </c>
      <c r="D300" s="27">
        <f t="shared" si="4"/>
        <v>4087630.2200000007</v>
      </c>
      <c r="E300" s="2" t="s">
        <v>14</v>
      </c>
      <c r="F300" s="2" t="s">
        <v>87</v>
      </c>
    </row>
    <row r="301" spans="1:6" x14ac:dyDescent="0.15">
      <c r="A301" s="25">
        <v>43003</v>
      </c>
      <c r="B301" s="27"/>
      <c r="C301" s="27">
        <v>4004.9</v>
      </c>
      <c r="D301" s="27">
        <f t="shared" si="4"/>
        <v>4083625.3200000008</v>
      </c>
      <c r="E301" s="2" t="s">
        <v>14</v>
      </c>
      <c r="F301" s="2" t="s">
        <v>87</v>
      </c>
    </row>
    <row r="302" spans="1:6" x14ac:dyDescent="0.15">
      <c r="A302" s="25">
        <v>43003</v>
      </c>
      <c r="B302" s="27"/>
      <c r="C302" s="27">
        <v>12531.42</v>
      </c>
      <c r="D302" s="27">
        <f t="shared" si="4"/>
        <v>4071093.9000000008</v>
      </c>
      <c r="E302" s="2" t="s">
        <v>14</v>
      </c>
      <c r="F302" s="2" t="s">
        <v>87</v>
      </c>
    </row>
    <row r="303" spans="1:6" x14ac:dyDescent="0.15">
      <c r="A303" s="25">
        <v>43003</v>
      </c>
      <c r="B303" s="27"/>
      <c r="C303" s="27">
        <v>16198.55</v>
      </c>
      <c r="D303" s="27">
        <f t="shared" si="4"/>
        <v>4054895.350000001</v>
      </c>
      <c r="E303" s="2" t="s">
        <v>14</v>
      </c>
      <c r="F303" s="2" t="s">
        <v>87</v>
      </c>
    </row>
    <row r="304" spans="1:6" x14ac:dyDescent="0.15">
      <c r="A304" s="25">
        <v>43019</v>
      </c>
      <c r="B304" s="27"/>
      <c r="C304" s="27">
        <v>50000</v>
      </c>
      <c r="D304" s="27">
        <f t="shared" si="4"/>
        <v>4004895.350000001</v>
      </c>
      <c r="E304" s="2" t="s">
        <v>70</v>
      </c>
      <c r="F304" s="2" t="s">
        <v>89</v>
      </c>
    </row>
    <row r="305" spans="1:6" x14ac:dyDescent="0.15">
      <c r="A305" s="25">
        <v>43019</v>
      </c>
      <c r="B305" s="27"/>
      <c r="C305" s="27">
        <v>50000</v>
      </c>
      <c r="D305" s="27">
        <f t="shared" si="4"/>
        <v>3954895.350000001</v>
      </c>
      <c r="E305" s="2" t="s">
        <v>70</v>
      </c>
      <c r="F305" s="2" t="s">
        <v>89</v>
      </c>
    </row>
    <row r="306" spans="1:6" x14ac:dyDescent="0.15">
      <c r="A306" s="25">
        <v>43020</v>
      </c>
      <c r="B306" s="27"/>
      <c r="C306" s="27">
        <v>23800</v>
      </c>
      <c r="D306" s="27">
        <f t="shared" si="4"/>
        <v>3931095.350000001</v>
      </c>
      <c r="E306" s="2" t="s">
        <v>71</v>
      </c>
      <c r="F306" s="2" t="s">
        <v>92</v>
      </c>
    </row>
    <row r="307" spans="1:6" x14ac:dyDescent="0.15">
      <c r="A307" s="25">
        <v>43021</v>
      </c>
      <c r="B307" s="27"/>
      <c r="C307" s="27">
        <v>17952.72</v>
      </c>
      <c r="D307" s="27">
        <f t="shared" si="4"/>
        <v>3913142.6300000008</v>
      </c>
      <c r="E307" s="2" t="s">
        <v>113</v>
      </c>
      <c r="F307" s="2" t="s">
        <v>93</v>
      </c>
    </row>
    <row r="308" spans="1:6" x14ac:dyDescent="0.15">
      <c r="A308" s="25">
        <v>43025</v>
      </c>
      <c r="B308" s="27"/>
      <c r="C308" s="27">
        <v>30000</v>
      </c>
      <c r="D308" s="27">
        <f t="shared" si="4"/>
        <v>3883142.6300000008</v>
      </c>
      <c r="E308" s="2" t="s">
        <v>72</v>
      </c>
      <c r="F308" s="2" t="s">
        <v>83</v>
      </c>
    </row>
    <row r="309" spans="1:6" x14ac:dyDescent="0.15">
      <c r="A309" s="25">
        <v>43026</v>
      </c>
      <c r="B309" s="27"/>
      <c r="C309" s="27">
        <v>7</v>
      </c>
      <c r="D309" s="27">
        <f t="shared" si="4"/>
        <v>3883135.6300000008</v>
      </c>
      <c r="E309" s="2" t="s">
        <v>109</v>
      </c>
      <c r="F309" s="2" t="s">
        <v>92</v>
      </c>
    </row>
    <row r="310" spans="1:6" x14ac:dyDescent="0.15">
      <c r="A310" s="25">
        <v>43026</v>
      </c>
      <c r="B310" s="27"/>
      <c r="C310" s="27">
        <v>37286</v>
      </c>
      <c r="D310" s="27">
        <f t="shared" si="4"/>
        <v>3845849.6300000008</v>
      </c>
      <c r="E310" s="2" t="s">
        <v>23</v>
      </c>
      <c r="F310" s="2" t="s">
        <v>92</v>
      </c>
    </row>
    <row r="311" spans="1:6" x14ac:dyDescent="0.15">
      <c r="A311" s="25">
        <v>43026</v>
      </c>
      <c r="B311" s="27"/>
      <c r="C311" s="27">
        <v>37286</v>
      </c>
      <c r="D311" s="27">
        <f t="shared" si="4"/>
        <v>3808563.6300000008</v>
      </c>
      <c r="E311" s="2" t="s">
        <v>23</v>
      </c>
      <c r="F311" s="2" t="s">
        <v>92</v>
      </c>
    </row>
    <row r="312" spans="1:6" x14ac:dyDescent="0.15">
      <c r="A312" s="25">
        <v>43033</v>
      </c>
      <c r="B312" s="27"/>
      <c r="C312" s="27">
        <v>31578.9</v>
      </c>
      <c r="D312" s="27">
        <f t="shared" si="4"/>
        <v>3776984.7300000009</v>
      </c>
      <c r="E312" s="2" t="s">
        <v>65</v>
      </c>
      <c r="F312" s="2" t="s">
        <v>87</v>
      </c>
    </row>
    <row r="313" spans="1:6" x14ac:dyDescent="0.15">
      <c r="A313" s="25">
        <v>43033</v>
      </c>
      <c r="B313" s="27"/>
      <c r="C313" s="27">
        <v>8922.2000000000007</v>
      </c>
      <c r="D313" s="27">
        <f t="shared" si="4"/>
        <v>3768062.5300000007</v>
      </c>
      <c r="E313" s="2" t="s">
        <v>65</v>
      </c>
      <c r="F313" s="2" t="s">
        <v>87</v>
      </c>
    </row>
    <row r="314" spans="1:6" x14ac:dyDescent="0.15">
      <c r="A314" s="25">
        <v>43033</v>
      </c>
      <c r="B314" s="27"/>
      <c r="C314" s="27">
        <v>4004.9</v>
      </c>
      <c r="D314" s="27">
        <f t="shared" si="4"/>
        <v>3764057.6300000008</v>
      </c>
      <c r="E314" s="2" t="s">
        <v>65</v>
      </c>
      <c r="F314" s="2" t="s">
        <v>87</v>
      </c>
    </row>
    <row r="315" spans="1:6" x14ac:dyDescent="0.15">
      <c r="A315" s="25">
        <v>43033</v>
      </c>
      <c r="B315" s="27"/>
      <c r="C315" s="27">
        <v>11523.05</v>
      </c>
      <c r="D315" s="27">
        <f t="shared" si="4"/>
        <v>3752534.580000001</v>
      </c>
      <c r="E315" s="2" t="s">
        <v>65</v>
      </c>
      <c r="F315" s="2" t="s">
        <v>87</v>
      </c>
    </row>
    <row r="316" spans="1:6" x14ac:dyDescent="0.15">
      <c r="A316" s="25">
        <v>43033</v>
      </c>
      <c r="B316" s="27"/>
      <c r="C316" s="27">
        <v>26416.55</v>
      </c>
      <c r="D316" s="27">
        <f t="shared" si="4"/>
        <v>3726118.0300000012</v>
      </c>
      <c r="E316" s="2" t="s">
        <v>65</v>
      </c>
      <c r="F316" s="2" t="s">
        <v>87</v>
      </c>
    </row>
    <row r="317" spans="1:6" x14ac:dyDescent="0.15">
      <c r="A317" s="25">
        <v>43033</v>
      </c>
      <c r="B317" s="27"/>
      <c r="C317" s="27">
        <v>2317.2399999999998</v>
      </c>
      <c r="D317" s="27">
        <f t="shared" si="4"/>
        <v>3723800.790000001</v>
      </c>
      <c r="E317" s="2" t="s">
        <v>65</v>
      </c>
      <c r="F317" s="2" t="s">
        <v>87</v>
      </c>
    </row>
    <row r="318" spans="1:6" x14ac:dyDescent="0.15">
      <c r="A318" s="25">
        <v>43033</v>
      </c>
      <c r="B318" s="27"/>
      <c r="C318" s="27">
        <v>6300</v>
      </c>
      <c r="D318" s="27">
        <f t="shared" si="4"/>
        <v>3717500.790000001</v>
      </c>
      <c r="E318" s="2" t="s">
        <v>65</v>
      </c>
      <c r="F318" s="2" t="s">
        <v>87</v>
      </c>
    </row>
    <row r="319" spans="1:6" x14ac:dyDescent="0.15">
      <c r="A319" s="25">
        <v>43004</v>
      </c>
      <c r="B319" s="27"/>
      <c r="C319" s="27">
        <v>580000</v>
      </c>
      <c r="D319" s="27">
        <f t="shared" si="4"/>
        <v>3137500.790000001</v>
      </c>
      <c r="E319" s="2" t="s">
        <v>76</v>
      </c>
      <c r="F319" s="2" t="s">
        <v>89</v>
      </c>
    </row>
    <row r="320" spans="1:6" x14ac:dyDescent="0.15">
      <c r="A320" s="25">
        <v>43034</v>
      </c>
      <c r="B320" s="27"/>
      <c r="C320" s="27">
        <v>420000</v>
      </c>
      <c r="D320" s="27">
        <f t="shared" si="4"/>
        <v>2717500.790000001</v>
      </c>
      <c r="E320" s="2" t="s">
        <v>77</v>
      </c>
      <c r="F320" s="2" t="s">
        <v>89</v>
      </c>
    </row>
    <row r="321" spans="1:6" x14ac:dyDescent="0.15">
      <c r="A321" s="25">
        <v>43034</v>
      </c>
      <c r="B321" s="27"/>
      <c r="C321" s="27">
        <v>28162.75</v>
      </c>
      <c r="D321" s="27">
        <f t="shared" si="4"/>
        <v>2689338.040000001</v>
      </c>
      <c r="E321" s="2" t="s">
        <v>78</v>
      </c>
      <c r="F321" s="2" t="s">
        <v>89</v>
      </c>
    </row>
    <row r="322" spans="1:6" x14ac:dyDescent="0.15">
      <c r="A322" s="25">
        <v>43034</v>
      </c>
      <c r="B322" s="27"/>
      <c r="C322" s="27">
        <v>50000</v>
      </c>
      <c r="D322" s="27">
        <f t="shared" si="4"/>
        <v>2639338.040000001</v>
      </c>
      <c r="E322" s="2" t="s">
        <v>78</v>
      </c>
      <c r="F322" s="2" t="s">
        <v>89</v>
      </c>
    </row>
    <row r="323" spans="1:6" x14ac:dyDescent="0.15">
      <c r="A323" s="25">
        <v>43035</v>
      </c>
      <c r="B323" s="27"/>
      <c r="C323" s="27">
        <v>24.5</v>
      </c>
      <c r="D323" s="27">
        <f t="shared" si="4"/>
        <v>2639313.540000001</v>
      </c>
      <c r="E323" s="2" t="s">
        <v>109</v>
      </c>
      <c r="F323" s="2" t="s">
        <v>92</v>
      </c>
    </row>
    <row r="324" spans="1:6" x14ac:dyDescent="0.15">
      <c r="A324" s="25">
        <v>43035</v>
      </c>
      <c r="B324" s="27"/>
      <c r="C324" s="27">
        <v>12712.3</v>
      </c>
      <c r="D324" s="27">
        <f t="shared" si="4"/>
        <v>2626601.2400000012</v>
      </c>
      <c r="E324" s="2" t="s">
        <v>36</v>
      </c>
      <c r="F324" s="2" t="s">
        <v>92</v>
      </c>
    </row>
    <row r="325" spans="1:6" x14ac:dyDescent="0.15">
      <c r="A325" s="25">
        <v>43035</v>
      </c>
      <c r="B325" s="27"/>
      <c r="C325" s="27">
        <v>7.2</v>
      </c>
      <c r="D325" s="27">
        <f t="shared" si="4"/>
        <v>2626594.040000001</v>
      </c>
      <c r="E325" s="2" t="s">
        <v>36</v>
      </c>
      <c r="F325" s="2" t="s">
        <v>92</v>
      </c>
    </row>
    <row r="326" spans="1:6" x14ac:dyDescent="0.15">
      <c r="A326" s="25">
        <v>43041</v>
      </c>
      <c r="B326" s="27">
        <v>500000</v>
      </c>
      <c r="C326" s="27"/>
      <c r="D326" s="27">
        <f t="shared" ref="D326:D389" si="5">D325+B326-C326</f>
        <v>3126594.040000001</v>
      </c>
      <c r="E326" s="2" t="s">
        <v>139</v>
      </c>
      <c r="F326" s="2" t="s">
        <v>83</v>
      </c>
    </row>
    <row r="327" spans="1:6" x14ac:dyDescent="0.15">
      <c r="A327" s="25">
        <v>43042</v>
      </c>
      <c r="B327" s="27"/>
      <c r="C327" s="27">
        <v>2100</v>
      </c>
      <c r="D327" s="27">
        <f t="shared" si="5"/>
        <v>3124494.040000001</v>
      </c>
      <c r="E327" s="2" t="s">
        <v>140</v>
      </c>
      <c r="F327" s="2" t="s">
        <v>92</v>
      </c>
    </row>
    <row r="328" spans="1:6" x14ac:dyDescent="0.15">
      <c r="A328" s="25">
        <v>43042</v>
      </c>
      <c r="B328" s="27"/>
      <c r="C328" s="27">
        <v>43621.3</v>
      </c>
      <c r="D328" s="27">
        <f t="shared" si="5"/>
        <v>3080872.7400000012</v>
      </c>
      <c r="E328" s="2" t="s">
        <v>78</v>
      </c>
      <c r="F328" s="2" t="s">
        <v>89</v>
      </c>
    </row>
    <row r="329" spans="1:6" x14ac:dyDescent="0.15">
      <c r="A329" s="25">
        <v>43042</v>
      </c>
      <c r="B329" s="27"/>
      <c r="C329" s="27">
        <v>50000</v>
      </c>
      <c r="D329" s="27">
        <f t="shared" si="5"/>
        <v>3030872.7400000012</v>
      </c>
      <c r="E329" s="2" t="s">
        <v>78</v>
      </c>
      <c r="F329" s="2" t="s">
        <v>89</v>
      </c>
    </row>
    <row r="330" spans="1:6" x14ac:dyDescent="0.15">
      <c r="A330" s="25">
        <v>43053</v>
      </c>
      <c r="B330" s="27"/>
      <c r="C330" s="27">
        <v>4109</v>
      </c>
      <c r="D330" s="27">
        <f t="shared" si="5"/>
        <v>3026763.7400000012</v>
      </c>
      <c r="E330" s="2" t="s">
        <v>36</v>
      </c>
      <c r="F330" s="2" t="s">
        <v>92</v>
      </c>
    </row>
    <row r="331" spans="1:6" x14ac:dyDescent="0.15">
      <c r="A331" s="25">
        <v>43053</v>
      </c>
      <c r="B331" s="27"/>
      <c r="C331" s="27">
        <v>4200.57</v>
      </c>
      <c r="D331" s="27">
        <f t="shared" si="5"/>
        <v>3022563.1700000013</v>
      </c>
      <c r="E331" s="2" t="s">
        <v>113</v>
      </c>
      <c r="F331" s="2" t="s">
        <v>93</v>
      </c>
    </row>
    <row r="332" spans="1:6" x14ac:dyDescent="0.15">
      <c r="A332" s="25">
        <v>43056</v>
      </c>
      <c r="B332" s="27"/>
      <c r="C332" s="27">
        <v>5901</v>
      </c>
      <c r="D332" s="27">
        <f t="shared" si="5"/>
        <v>3016662.1700000013</v>
      </c>
      <c r="E332" s="2" t="s">
        <v>78</v>
      </c>
      <c r="F332" s="2" t="s">
        <v>89</v>
      </c>
    </row>
    <row r="333" spans="1:6" x14ac:dyDescent="0.15">
      <c r="A333" s="25">
        <v>43056</v>
      </c>
      <c r="B333" s="27"/>
      <c r="C333" s="27">
        <v>50000</v>
      </c>
      <c r="D333" s="27">
        <f t="shared" si="5"/>
        <v>2966662.1700000013</v>
      </c>
      <c r="E333" s="2" t="s">
        <v>78</v>
      </c>
      <c r="F333" s="2" t="s">
        <v>89</v>
      </c>
    </row>
    <row r="334" spans="1:6" x14ac:dyDescent="0.15">
      <c r="A334" s="25">
        <v>43056</v>
      </c>
      <c r="B334" s="27"/>
      <c r="C334" s="27">
        <v>50000</v>
      </c>
      <c r="D334" s="27">
        <f t="shared" si="5"/>
        <v>2916662.1700000013</v>
      </c>
      <c r="E334" s="2" t="s">
        <v>78</v>
      </c>
      <c r="F334" s="2" t="s">
        <v>89</v>
      </c>
    </row>
    <row r="335" spans="1:6" x14ac:dyDescent="0.15">
      <c r="A335" s="25">
        <v>43063</v>
      </c>
      <c r="B335" s="27">
        <v>1800</v>
      </c>
      <c r="C335" s="27"/>
      <c r="D335" s="27">
        <f t="shared" si="5"/>
        <v>2918462.1700000013</v>
      </c>
      <c r="E335" s="2" t="s">
        <v>141</v>
      </c>
      <c r="F335" s="2" t="s">
        <v>97</v>
      </c>
    </row>
    <row r="336" spans="1:6" x14ac:dyDescent="0.15">
      <c r="A336" s="25">
        <v>43064</v>
      </c>
      <c r="B336" s="27"/>
      <c r="C336" s="27">
        <v>14087.75</v>
      </c>
      <c r="D336" s="27">
        <f t="shared" si="5"/>
        <v>2904374.4200000013</v>
      </c>
      <c r="E336" s="2" t="s">
        <v>65</v>
      </c>
      <c r="F336" s="2" t="s">
        <v>87</v>
      </c>
    </row>
    <row r="337" spans="1:6" x14ac:dyDescent="0.15">
      <c r="A337" s="25">
        <v>43064</v>
      </c>
      <c r="B337" s="27"/>
      <c r="C337" s="27">
        <v>8922.2000000000007</v>
      </c>
      <c r="D337" s="27">
        <f t="shared" si="5"/>
        <v>2895452.2200000011</v>
      </c>
      <c r="E337" s="2" t="s">
        <v>65</v>
      </c>
      <c r="F337" s="2" t="s">
        <v>87</v>
      </c>
    </row>
    <row r="338" spans="1:6" x14ac:dyDescent="0.15">
      <c r="A338" s="25">
        <v>43064</v>
      </c>
      <c r="B338" s="27"/>
      <c r="C338" s="27">
        <v>4004.9</v>
      </c>
      <c r="D338" s="27">
        <f t="shared" si="5"/>
        <v>2891447.3200000012</v>
      </c>
      <c r="E338" s="2" t="s">
        <v>65</v>
      </c>
      <c r="F338" s="2" t="s">
        <v>87</v>
      </c>
    </row>
    <row r="339" spans="1:6" x14ac:dyDescent="0.15">
      <c r="A339" s="25">
        <v>43064</v>
      </c>
      <c r="B339" s="27"/>
      <c r="C339" s="27">
        <v>7330.1</v>
      </c>
      <c r="D339" s="27">
        <f t="shared" si="5"/>
        <v>2884117.2200000011</v>
      </c>
      <c r="E339" s="2" t="s">
        <v>65</v>
      </c>
      <c r="F339" s="2" t="s">
        <v>87</v>
      </c>
    </row>
    <row r="340" spans="1:6" x14ac:dyDescent="0.15">
      <c r="A340" s="25">
        <v>43064</v>
      </c>
      <c r="B340" s="27"/>
      <c r="C340" s="27">
        <v>4955</v>
      </c>
      <c r="D340" s="27">
        <f t="shared" si="5"/>
        <v>2879162.2200000011</v>
      </c>
      <c r="E340" s="2" t="s">
        <v>65</v>
      </c>
      <c r="F340" s="2" t="s">
        <v>87</v>
      </c>
    </row>
    <row r="341" spans="1:6" x14ac:dyDescent="0.15">
      <c r="A341" s="25">
        <v>43064</v>
      </c>
      <c r="B341" s="27"/>
      <c r="C341" s="27">
        <v>4955</v>
      </c>
      <c r="D341" s="27">
        <f t="shared" si="5"/>
        <v>2874207.2200000011</v>
      </c>
      <c r="E341" s="2" t="s">
        <v>65</v>
      </c>
      <c r="F341" s="2" t="s">
        <v>87</v>
      </c>
    </row>
    <row r="342" spans="1:6" x14ac:dyDescent="0.15">
      <c r="A342" s="25">
        <v>43064</v>
      </c>
      <c r="B342" s="27"/>
      <c r="C342" s="27">
        <v>4955</v>
      </c>
      <c r="D342" s="27">
        <f t="shared" si="5"/>
        <v>2869252.2200000011</v>
      </c>
      <c r="E342" s="2" t="s">
        <v>65</v>
      </c>
      <c r="F342" s="2" t="s">
        <v>87</v>
      </c>
    </row>
    <row r="343" spans="1:6" x14ac:dyDescent="0.15">
      <c r="A343" s="25">
        <v>43064</v>
      </c>
      <c r="B343" s="27"/>
      <c r="C343" s="27">
        <v>4955</v>
      </c>
      <c r="D343" s="27">
        <f t="shared" si="5"/>
        <v>2864297.2200000011</v>
      </c>
      <c r="E343" s="2" t="s">
        <v>65</v>
      </c>
      <c r="F343" s="2" t="s">
        <v>87</v>
      </c>
    </row>
    <row r="344" spans="1:6" x14ac:dyDescent="0.15">
      <c r="A344" s="25">
        <v>43064</v>
      </c>
      <c r="B344" s="27"/>
      <c r="C344" s="27">
        <v>4955</v>
      </c>
      <c r="D344" s="27">
        <f t="shared" si="5"/>
        <v>2859342.2200000011</v>
      </c>
      <c r="E344" s="2" t="s">
        <v>65</v>
      </c>
      <c r="F344" s="2" t="s">
        <v>87</v>
      </c>
    </row>
    <row r="345" spans="1:6" x14ac:dyDescent="0.15">
      <c r="A345" s="25">
        <v>43064</v>
      </c>
      <c r="B345" s="27"/>
      <c r="C345" s="27">
        <v>4200</v>
      </c>
      <c r="D345" s="27">
        <f t="shared" si="5"/>
        <v>2855142.2200000011</v>
      </c>
      <c r="E345" s="2" t="s">
        <v>65</v>
      </c>
      <c r="F345" s="2" t="s">
        <v>87</v>
      </c>
    </row>
    <row r="346" spans="1:6" x14ac:dyDescent="0.15">
      <c r="A346" s="25">
        <v>43064</v>
      </c>
      <c r="B346" s="27"/>
      <c r="C346" s="27">
        <v>800</v>
      </c>
      <c r="D346" s="27">
        <f t="shared" si="5"/>
        <v>2854342.2200000011</v>
      </c>
      <c r="E346" s="2" t="s">
        <v>65</v>
      </c>
      <c r="F346" s="2" t="s">
        <v>92</v>
      </c>
    </row>
    <row r="347" spans="1:6" x14ac:dyDescent="0.15">
      <c r="A347" s="25">
        <v>43064</v>
      </c>
      <c r="B347" s="27"/>
      <c r="C347" s="27">
        <v>800</v>
      </c>
      <c r="D347" s="27">
        <f t="shared" si="5"/>
        <v>2853542.2200000011</v>
      </c>
      <c r="E347" s="2" t="s">
        <v>65</v>
      </c>
      <c r="F347" s="2" t="s">
        <v>92</v>
      </c>
    </row>
    <row r="348" spans="1:6" x14ac:dyDescent="0.15">
      <c r="A348" s="25">
        <v>43064</v>
      </c>
      <c r="B348" s="27"/>
      <c r="C348" s="27">
        <v>800</v>
      </c>
      <c r="D348" s="27">
        <f t="shared" si="5"/>
        <v>2852742.2200000011</v>
      </c>
      <c r="E348" s="2" t="s">
        <v>65</v>
      </c>
      <c r="F348" s="2" t="s">
        <v>92</v>
      </c>
    </row>
    <row r="349" spans="1:6" x14ac:dyDescent="0.15">
      <c r="A349" s="25">
        <v>43064</v>
      </c>
      <c r="B349" s="27"/>
      <c r="C349" s="27">
        <v>800</v>
      </c>
      <c r="D349" s="27">
        <f t="shared" si="5"/>
        <v>2851942.2200000011</v>
      </c>
      <c r="E349" s="2" t="s">
        <v>65</v>
      </c>
      <c r="F349" s="2" t="s">
        <v>92</v>
      </c>
    </row>
    <row r="350" spans="1:6" x14ac:dyDescent="0.15">
      <c r="A350" s="25">
        <v>43064</v>
      </c>
      <c r="B350" s="27"/>
      <c r="C350" s="27">
        <v>800</v>
      </c>
      <c r="D350" s="27">
        <f t="shared" si="5"/>
        <v>2851142.2200000011</v>
      </c>
      <c r="E350" s="2" t="s">
        <v>65</v>
      </c>
      <c r="F350" s="2" t="s">
        <v>92</v>
      </c>
    </row>
    <row r="351" spans="1:6" x14ac:dyDescent="0.15">
      <c r="A351" s="25">
        <v>43067</v>
      </c>
      <c r="B351" s="27"/>
      <c r="C351" s="27">
        <v>5646.75</v>
      </c>
      <c r="D351" s="27">
        <f t="shared" si="5"/>
        <v>2845495.4700000011</v>
      </c>
      <c r="E351" s="2" t="s">
        <v>36</v>
      </c>
      <c r="F351" s="2" t="s">
        <v>92</v>
      </c>
    </row>
    <row r="352" spans="1:6" x14ac:dyDescent="0.15">
      <c r="A352" s="25">
        <v>43067</v>
      </c>
      <c r="B352" s="27"/>
      <c r="C352" s="27">
        <v>704</v>
      </c>
      <c r="D352" s="27">
        <f t="shared" si="5"/>
        <v>2844791.4700000011</v>
      </c>
      <c r="E352" s="2" t="s">
        <v>36</v>
      </c>
      <c r="F352" s="2" t="s">
        <v>92</v>
      </c>
    </row>
    <row r="353" spans="1:6" x14ac:dyDescent="0.15">
      <c r="A353" s="25">
        <v>43067</v>
      </c>
      <c r="B353" s="27">
        <v>291318.67</v>
      </c>
      <c r="C353" s="27"/>
      <c r="D353" s="27">
        <f t="shared" si="5"/>
        <v>3136110.1400000011</v>
      </c>
      <c r="E353" s="2" t="s">
        <v>142</v>
      </c>
      <c r="F353" s="2" t="s">
        <v>94</v>
      </c>
    </row>
    <row r="354" spans="1:6" x14ac:dyDescent="0.15">
      <c r="A354" s="25">
        <v>43070</v>
      </c>
      <c r="B354" s="27"/>
      <c r="C354" s="27">
        <v>176216.47</v>
      </c>
      <c r="D354" s="27">
        <f t="shared" si="5"/>
        <v>2959893.6700000009</v>
      </c>
      <c r="E354" s="2" t="s">
        <v>79</v>
      </c>
      <c r="F354" s="2" t="s">
        <v>89</v>
      </c>
    </row>
    <row r="355" spans="1:6" x14ac:dyDescent="0.15">
      <c r="A355" s="25">
        <v>43070</v>
      </c>
      <c r="B355" s="27"/>
      <c r="C355" s="27">
        <v>29000</v>
      </c>
      <c r="D355" s="27">
        <f t="shared" si="5"/>
        <v>2930893.6700000009</v>
      </c>
      <c r="E355" s="2" t="s">
        <v>80</v>
      </c>
      <c r="F355" s="2" t="s">
        <v>92</v>
      </c>
    </row>
    <row r="356" spans="1:6" x14ac:dyDescent="0.15">
      <c r="A356" s="25">
        <v>43071</v>
      </c>
      <c r="B356" s="27"/>
      <c r="C356" s="27">
        <v>10.5</v>
      </c>
      <c r="D356" s="27">
        <f t="shared" si="5"/>
        <v>2930883.1700000009</v>
      </c>
      <c r="E356" s="2" t="s">
        <v>109</v>
      </c>
      <c r="F356" s="2" t="s">
        <v>92</v>
      </c>
    </row>
    <row r="357" spans="1:6" x14ac:dyDescent="0.15">
      <c r="A357" s="25">
        <v>43081</v>
      </c>
      <c r="B357" s="27"/>
      <c r="C357" s="27">
        <v>623</v>
      </c>
      <c r="D357" s="27">
        <f t="shared" si="5"/>
        <v>2930260.1700000009</v>
      </c>
      <c r="E357" s="2" t="s">
        <v>115</v>
      </c>
      <c r="F357" s="2" t="s">
        <v>100</v>
      </c>
    </row>
    <row r="358" spans="1:6" x14ac:dyDescent="0.15">
      <c r="A358" s="25">
        <v>43081</v>
      </c>
      <c r="B358" s="27"/>
      <c r="C358" s="27">
        <v>300</v>
      </c>
      <c r="D358" s="27">
        <f t="shared" si="5"/>
        <v>2929960.1700000009</v>
      </c>
      <c r="E358" s="2" t="s">
        <v>115</v>
      </c>
      <c r="F358" s="2" t="s">
        <v>100</v>
      </c>
    </row>
    <row r="359" spans="1:6" x14ac:dyDescent="0.15">
      <c r="A359" s="25">
        <v>43081</v>
      </c>
      <c r="B359" s="27"/>
      <c r="C359" s="27">
        <v>3833.7</v>
      </c>
      <c r="D359" s="27">
        <f t="shared" si="5"/>
        <v>2926126.4700000007</v>
      </c>
      <c r="E359" s="2" t="s">
        <v>113</v>
      </c>
      <c r="F359" s="2" t="s">
        <v>93</v>
      </c>
    </row>
    <row r="360" spans="1:6" x14ac:dyDescent="0.15">
      <c r="A360" s="25">
        <v>43084</v>
      </c>
      <c r="B360" s="27"/>
      <c r="C360" s="27">
        <v>2133.33</v>
      </c>
      <c r="D360" s="27">
        <f t="shared" si="5"/>
        <v>2923993.1400000006</v>
      </c>
      <c r="E360" s="2" t="s">
        <v>65</v>
      </c>
      <c r="F360" s="2" t="s">
        <v>87</v>
      </c>
    </row>
    <row r="361" spans="1:6" x14ac:dyDescent="0.15">
      <c r="A361" s="25">
        <v>43084</v>
      </c>
      <c r="B361" s="27"/>
      <c r="C361" s="27">
        <v>7733.33</v>
      </c>
      <c r="D361" s="27">
        <f t="shared" si="5"/>
        <v>2916259.8100000005</v>
      </c>
      <c r="E361" s="2" t="s">
        <v>65</v>
      </c>
      <c r="F361" s="2" t="s">
        <v>87</v>
      </c>
    </row>
    <row r="362" spans="1:6" x14ac:dyDescent="0.15">
      <c r="A362" s="25">
        <v>43084</v>
      </c>
      <c r="B362" s="27"/>
      <c r="C362" s="27">
        <v>5866.67</v>
      </c>
      <c r="D362" s="27">
        <f t="shared" si="5"/>
        <v>2910393.1400000006</v>
      </c>
      <c r="E362" s="2" t="s">
        <v>65</v>
      </c>
      <c r="F362" s="2" t="s">
        <v>87</v>
      </c>
    </row>
    <row r="363" spans="1:6" x14ac:dyDescent="0.15">
      <c r="A363" s="25">
        <v>43084</v>
      </c>
      <c r="B363" s="27"/>
      <c r="C363" s="27">
        <v>6800</v>
      </c>
      <c r="D363" s="27">
        <f t="shared" si="5"/>
        <v>2903593.1400000006</v>
      </c>
      <c r="E363" s="2" t="s">
        <v>65</v>
      </c>
      <c r="F363" s="2" t="s">
        <v>87</v>
      </c>
    </row>
    <row r="364" spans="1:6" x14ac:dyDescent="0.15">
      <c r="A364" s="25">
        <v>43084</v>
      </c>
      <c r="B364" s="27"/>
      <c r="C364" s="27">
        <v>7733.33</v>
      </c>
      <c r="D364" s="27">
        <f t="shared" si="5"/>
        <v>2895859.8100000005</v>
      </c>
      <c r="E364" s="2" t="s">
        <v>65</v>
      </c>
      <c r="F364" s="2" t="s">
        <v>87</v>
      </c>
    </row>
    <row r="365" spans="1:6" x14ac:dyDescent="0.15">
      <c r="A365" s="25">
        <v>43084</v>
      </c>
      <c r="B365" s="27"/>
      <c r="C365" s="27">
        <v>800</v>
      </c>
      <c r="D365" s="27">
        <f t="shared" si="5"/>
        <v>2895059.8100000005</v>
      </c>
      <c r="E365" s="2" t="s">
        <v>143</v>
      </c>
      <c r="F365" s="2" t="s">
        <v>92</v>
      </c>
    </row>
    <row r="366" spans="1:6" x14ac:dyDescent="0.15">
      <c r="A366" s="25">
        <v>43084</v>
      </c>
      <c r="B366" s="27"/>
      <c r="C366" s="27">
        <v>800</v>
      </c>
      <c r="D366" s="27">
        <f t="shared" si="5"/>
        <v>2894259.8100000005</v>
      </c>
      <c r="E366" s="2" t="s">
        <v>65</v>
      </c>
      <c r="F366" s="2" t="s">
        <v>92</v>
      </c>
    </row>
    <row r="367" spans="1:6" x14ac:dyDescent="0.15">
      <c r="A367" s="25">
        <v>43084</v>
      </c>
      <c r="B367" s="27"/>
      <c r="C367" s="27">
        <v>800</v>
      </c>
      <c r="D367" s="27">
        <f t="shared" si="5"/>
        <v>2893459.8100000005</v>
      </c>
      <c r="E367" s="2" t="s">
        <v>65</v>
      </c>
      <c r="F367" s="2" t="s">
        <v>92</v>
      </c>
    </row>
    <row r="368" spans="1:6" x14ac:dyDescent="0.15">
      <c r="A368" s="25">
        <v>43084</v>
      </c>
      <c r="B368" s="27"/>
      <c r="C368" s="27">
        <v>800</v>
      </c>
      <c r="D368" s="27">
        <f t="shared" si="5"/>
        <v>2892659.8100000005</v>
      </c>
      <c r="E368" s="2" t="s">
        <v>143</v>
      </c>
      <c r="F368" s="2" t="s">
        <v>92</v>
      </c>
    </row>
    <row r="369" spans="1:6" x14ac:dyDescent="0.15">
      <c r="A369" s="25">
        <v>43087</v>
      </c>
      <c r="B369" s="27">
        <v>392271.35</v>
      </c>
      <c r="C369" s="27"/>
      <c r="D369" s="27">
        <f t="shared" si="5"/>
        <v>3284931.1600000006</v>
      </c>
      <c r="E369" s="2" t="s">
        <v>137</v>
      </c>
      <c r="F369" s="2" t="s">
        <v>94</v>
      </c>
    </row>
    <row r="370" spans="1:6" x14ac:dyDescent="0.15">
      <c r="A370" s="25">
        <v>43087</v>
      </c>
      <c r="B370" s="27">
        <v>378145.25</v>
      </c>
      <c r="C370" s="27"/>
      <c r="D370" s="27">
        <f t="shared" si="5"/>
        <v>3663076.4100000006</v>
      </c>
      <c r="E370" s="2" t="s">
        <v>144</v>
      </c>
      <c r="F370" s="2" t="s">
        <v>94</v>
      </c>
    </row>
    <row r="371" spans="1:6" x14ac:dyDescent="0.15">
      <c r="A371" s="25">
        <v>43088</v>
      </c>
      <c r="B371" s="27"/>
      <c r="C371" s="27">
        <v>800</v>
      </c>
      <c r="D371" s="27">
        <f t="shared" si="5"/>
        <v>3662276.4100000006</v>
      </c>
      <c r="E371" s="2" t="s">
        <v>65</v>
      </c>
      <c r="F371" s="2" t="s">
        <v>92</v>
      </c>
    </row>
    <row r="372" spans="1:6" x14ac:dyDescent="0.15">
      <c r="A372" s="25">
        <v>43088</v>
      </c>
      <c r="B372" s="27"/>
      <c r="C372" s="27">
        <v>7610</v>
      </c>
      <c r="D372" s="27">
        <f t="shared" si="5"/>
        <v>3654666.4100000006</v>
      </c>
      <c r="E372" s="2" t="s">
        <v>65</v>
      </c>
      <c r="F372" s="2" t="s">
        <v>87</v>
      </c>
    </row>
    <row r="373" spans="1:6" x14ac:dyDescent="0.15">
      <c r="A373" s="25">
        <v>43090</v>
      </c>
      <c r="B373" s="27">
        <v>1773.12</v>
      </c>
      <c r="C373" s="27"/>
      <c r="D373" s="27">
        <f t="shared" si="5"/>
        <v>3656439.5300000007</v>
      </c>
      <c r="E373" s="2" t="s">
        <v>114</v>
      </c>
      <c r="F373" s="2" t="s">
        <v>97</v>
      </c>
    </row>
    <row r="374" spans="1:6" x14ac:dyDescent="0.15">
      <c r="A374" s="25">
        <v>43090</v>
      </c>
      <c r="B374" s="27"/>
      <c r="C374" s="27">
        <v>1500000</v>
      </c>
      <c r="D374" s="27">
        <f t="shared" si="5"/>
        <v>2156439.5300000007</v>
      </c>
      <c r="E374" s="2" t="s">
        <v>13</v>
      </c>
      <c r="F374" s="2" t="s">
        <v>101</v>
      </c>
    </row>
    <row r="375" spans="1:6" x14ac:dyDescent="0.15">
      <c r="A375" s="25">
        <v>43091</v>
      </c>
      <c r="B375" s="27"/>
      <c r="C375" s="27">
        <v>21</v>
      </c>
      <c r="D375" s="27">
        <f t="shared" si="5"/>
        <v>2156418.5300000007</v>
      </c>
      <c r="E375" s="2" t="s">
        <v>109</v>
      </c>
      <c r="F375" s="2" t="s">
        <v>92</v>
      </c>
    </row>
    <row r="376" spans="1:6" x14ac:dyDescent="0.15">
      <c r="A376" s="25">
        <v>43091</v>
      </c>
      <c r="B376" s="27">
        <v>500000</v>
      </c>
      <c r="C376" s="27"/>
      <c r="D376" s="27">
        <f t="shared" si="5"/>
        <v>2656418.5300000007</v>
      </c>
      <c r="E376" s="2" t="s">
        <v>145</v>
      </c>
      <c r="F376" s="2" t="s">
        <v>97</v>
      </c>
    </row>
    <row r="377" spans="1:6" x14ac:dyDescent="0.15">
      <c r="A377" s="25">
        <v>43091</v>
      </c>
      <c r="B377" s="27"/>
      <c r="C377" s="27">
        <v>5196</v>
      </c>
      <c r="D377" s="27">
        <f t="shared" si="5"/>
        <v>2651222.5300000007</v>
      </c>
      <c r="E377" s="2" t="s">
        <v>81</v>
      </c>
      <c r="F377" s="2" t="s">
        <v>92</v>
      </c>
    </row>
    <row r="378" spans="1:6" x14ac:dyDescent="0.15">
      <c r="A378" s="25">
        <v>43094</v>
      </c>
      <c r="B378" s="27"/>
      <c r="C378" s="27">
        <v>14087.75</v>
      </c>
      <c r="D378" s="27">
        <f t="shared" si="5"/>
        <v>2637134.7800000007</v>
      </c>
      <c r="E378" s="2" t="s">
        <v>65</v>
      </c>
      <c r="F378" s="2" t="s">
        <v>87</v>
      </c>
    </row>
    <row r="379" spans="1:6" x14ac:dyDescent="0.15">
      <c r="A379" s="25">
        <v>43094</v>
      </c>
      <c r="B379" s="27"/>
      <c r="C379" s="27">
        <v>8922.2000000000007</v>
      </c>
      <c r="D379" s="27">
        <f t="shared" si="5"/>
        <v>2628212.5800000005</v>
      </c>
      <c r="E379" s="2" t="s">
        <v>65</v>
      </c>
      <c r="F379" s="2" t="s">
        <v>87</v>
      </c>
    </row>
    <row r="380" spans="1:6" x14ac:dyDescent="0.15">
      <c r="A380" s="25">
        <v>43094</v>
      </c>
      <c r="B380" s="27"/>
      <c r="C380" s="27">
        <v>3585.69</v>
      </c>
      <c r="D380" s="27">
        <f t="shared" si="5"/>
        <v>2624626.8900000006</v>
      </c>
      <c r="E380" s="2" t="s">
        <v>65</v>
      </c>
      <c r="F380" s="2" t="s">
        <v>87</v>
      </c>
    </row>
    <row r="381" spans="1:6" x14ac:dyDescent="0.15">
      <c r="A381" s="25">
        <v>43094</v>
      </c>
      <c r="B381" s="27"/>
      <c r="C381" s="27">
        <v>4955</v>
      </c>
      <c r="D381" s="27">
        <f t="shared" si="5"/>
        <v>2619671.8900000006</v>
      </c>
      <c r="E381" s="2" t="s">
        <v>65</v>
      </c>
      <c r="F381" s="2" t="s">
        <v>87</v>
      </c>
    </row>
    <row r="382" spans="1:6" x14ac:dyDescent="0.15">
      <c r="A382" s="25">
        <v>43094</v>
      </c>
      <c r="B382" s="27"/>
      <c r="C382" s="27">
        <v>4200</v>
      </c>
      <c r="D382" s="27">
        <f t="shared" si="5"/>
        <v>2615471.8900000006</v>
      </c>
      <c r="E382" s="2" t="s">
        <v>65</v>
      </c>
      <c r="F382" s="2" t="s">
        <v>87</v>
      </c>
    </row>
    <row r="383" spans="1:6" x14ac:dyDescent="0.15">
      <c r="A383" s="25">
        <v>43097</v>
      </c>
      <c r="B383" s="27"/>
      <c r="C383" s="27">
        <v>6160</v>
      </c>
      <c r="D383" s="27">
        <f t="shared" si="5"/>
        <v>2609311.8900000006</v>
      </c>
      <c r="E383" s="2" t="s">
        <v>36</v>
      </c>
      <c r="F383" s="2" t="s">
        <v>87</v>
      </c>
    </row>
    <row r="384" spans="1:6" x14ac:dyDescent="0.15">
      <c r="A384" s="25">
        <v>42739</v>
      </c>
      <c r="B384" s="27"/>
      <c r="C384" s="27">
        <v>50</v>
      </c>
      <c r="D384" s="27">
        <f t="shared" si="5"/>
        <v>2609261.8900000006</v>
      </c>
      <c r="E384" s="2" t="s">
        <v>5</v>
      </c>
      <c r="F384" s="2" t="s">
        <v>92</v>
      </c>
    </row>
    <row r="385" spans="1:6" x14ac:dyDescent="0.15">
      <c r="A385" s="25">
        <v>42744</v>
      </c>
      <c r="B385" s="27"/>
      <c r="C385" s="27">
        <v>257.47000000000003</v>
      </c>
      <c r="D385" s="27">
        <f t="shared" si="5"/>
        <v>2609004.4200000004</v>
      </c>
      <c r="E385" s="2" t="s">
        <v>90</v>
      </c>
      <c r="F385" s="2" t="s">
        <v>92</v>
      </c>
    </row>
    <row r="386" spans="1:6" x14ac:dyDescent="0.15">
      <c r="A386" s="25">
        <v>42751</v>
      </c>
      <c r="B386" s="27"/>
      <c r="C386" s="27">
        <v>7560</v>
      </c>
      <c r="D386" s="27">
        <f t="shared" si="5"/>
        <v>2601444.4200000004</v>
      </c>
      <c r="E386" s="2" t="s">
        <v>3</v>
      </c>
      <c r="F386" s="2" t="s">
        <v>4</v>
      </c>
    </row>
    <row r="387" spans="1:6" x14ac:dyDescent="0.15">
      <c r="A387" s="25">
        <v>42770</v>
      </c>
      <c r="B387" s="27"/>
      <c r="C387" s="27">
        <v>50</v>
      </c>
      <c r="D387" s="27">
        <f t="shared" si="5"/>
        <v>2601394.4200000004</v>
      </c>
      <c r="E387" s="2" t="s">
        <v>5</v>
      </c>
      <c r="F387" s="2" t="s">
        <v>92</v>
      </c>
    </row>
    <row r="388" spans="1:6" x14ac:dyDescent="0.15">
      <c r="A388" s="25">
        <v>42772</v>
      </c>
      <c r="B388" s="27"/>
      <c r="C388" s="27">
        <v>800</v>
      </c>
      <c r="D388" s="27">
        <f t="shared" si="5"/>
        <v>2600594.4200000004</v>
      </c>
      <c r="E388" s="2" t="s">
        <v>90</v>
      </c>
      <c r="F388" s="2" t="s">
        <v>92</v>
      </c>
    </row>
    <row r="389" spans="1:6" x14ac:dyDescent="0.15">
      <c r="A389" s="25">
        <v>42781</v>
      </c>
      <c r="B389" s="27"/>
      <c r="C389" s="27">
        <v>6528</v>
      </c>
      <c r="D389" s="27">
        <f t="shared" si="5"/>
        <v>2594066.4200000004</v>
      </c>
      <c r="E389" s="2" t="s">
        <v>3</v>
      </c>
      <c r="F389" s="2" t="s">
        <v>4</v>
      </c>
    </row>
    <row r="390" spans="1:6" x14ac:dyDescent="0.15">
      <c r="A390" s="25">
        <v>42798</v>
      </c>
      <c r="B390" s="27"/>
      <c r="C390" s="27">
        <v>50</v>
      </c>
      <c r="D390" s="27">
        <f t="shared" ref="D390:D453" si="6">D389+B390-C390</f>
        <v>2594016.4200000004</v>
      </c>
      <c r="E390" s="2" t="s">
        <v>5</v>
      </c>
      <c r="F390" s="2" t="s">
        <v>92</v>
      </c>
    </row>
    <row r="391" spans="1:6" x14ac:dyDescent="0.15">
      <c r="A391" s="25">
        <v>42799</v>
      </c>
      <c r="B391" s="27"/>
      <c r="C391" s="27">
        <v>11864</v>
      </c>
      <c r="D391" s="27">
        <f t="shared" si="6"/>
        <v>2582152.4200000004</v>
      </c>
      <c r="E391" s="2" t="s">
        <v>52</v>
      </c>
      <c r="F391" s="2" t="s">
        <v>88</v>
      </c>
    </row>
    <row r="392" spans="1:6" x14ac:dyDescent="0.15">
      <c r="A392" s="25">
        <v>42801</v>
      </c>
      <c r="B392" s="27"/>
      <c r="C392" s="27">
        <v>800</v>
      </c>
      <c r="D392" s="27">
        <f t="shared" si="6"/>
        <v>2581352.4200000004</v>
      </c>
      <c r="E392" s="2" t="s">
        <v>90</v>
      </c>
      <c r="F392" s="2" t="s">
        <v>92</v>
      </c>
    </row>
    <row r="393" spans="1:6" x14ac:dyDescent="0.15">
      <c r="A393" s="25">
        <v>42809</v>
      </c>
      <c r="B393" s="27"/>
      <c r="C393" s="27">
        <v>6528</v>
      </c>
      <c r="D393" s="27">
        <f t="shared" si="6"/>
        <v>2574824.4200000004</v>
      </c>
      <c r="E393" s="2" t="s">
        <v>3</v>
      </c>
      <c r="F393" s="2" t="s">
        <v>4</v>
      </c>
    </row>
    <row r="394" spans="1:6" x14ac:dyDescent="0.15">
      <c r="A394" s="25">
        <v>42815</v>
      </c>
      <c r="B394" s="27">
        <v>87.12</v>
      </c>
      <c r="C394" s="27"/>
      <c r="D394" s="27">
        <f t="shared" si="6"/>
        <v>2574911.5400000005</v>
      </c>
      <c r="E394" s="2" t="s">
        <v>91</v>
      </c>
      <c r="F394" s="2" t="s">
        <v>97</v>
      </c>
    </row>
    <row r="395" spans="1:6" x14ac:dyDescent="0.15">
      <c r="A395" s="25">
        <v>42829</v>
      </c>
      <c r="B395" s="27"/>
      <c r="C395" s="27">
        <v>50</v>
      </c>
      <c r="D395" s="27">
        <f t="shared" si="6"/>
        <v>2574861.5400000005</v>
      </c>
      <c r="E395" s="2" t="s">
        <v>5</v>
      </c>
      <c r="F395" s="2" t="s">
        <v>92</v>
      </c>
    </row>
    <row r="396" spans="1:6" x14ac:dyDescent="0.15">
      <c r="A396" s="25">
        <v>42830</v>
      </c>
      <c r="B396" s="27"/>
      <c r="C396" s="27">
        <v>15378.8</v>
      </c>
      <c r="D396" s="27">
        <f t="shared" si="6"/>
        <v>2559482.7400000007</v>
      </c>
      <c r="E396" s="2" t="s">
        <v>52</v>
      </c>
      <c r="F396" s="2" t="s">
        <v>88</v>
      </c>
    </row>
    <row r="397" spans="1:6" x14ac:dyDescent="0.15">
      <c r="A397" s="25">
        <v>42831</v>
      </c>
      <c r="B397" s="27"/>
      <c r="C397" s="27">
        <v>800</v>
      </c>
      <c r="D397" s="27">
        <f t="shared" si="6"/>
        <v>2558682.7400000007</v>
      </c>
      <c r="E397" s="2" t="s">
        <v>90</v>
      </c>
      <c r="F397" s="2" t="s">
        <v>92</v>
      </c>
    </row>
    <row r="398" spans="1:6" x14ac:dyDescent="0.15">
      <c r="A398" s="25">
        <v>42842</v>
      </c>
      <c r="B398" s="27"/>
      <c r="C398" s="27">
        <v>8616</v>
      </c>
      <c r="D398" s="27">
        <f t="shared" si="6"/>
        <v>2550066.7400000007</v>
      </c>
      <c r="E398" s="2" t="s">
        <v>3</v>
      </c>
      <c r="F398" s="2" t="s">
        <v>4</v>
      </c>
    </row>
    <row r="399" spans="1:6" x14ac:dyDescent="0.15">
      <c r="A399" s="25">
        <v>42859</v>
      </c>
      <c r="B399" s="27"/>
      <c r="C399" s="27">
        <v>50</v>
      </c>
      <c r="D399" s="27">
        <f t="shared" si="6"/>
        <v>2550016.7400000007</v>
      </c>
      <c r="E399" s="2" t="s">
        <v>5</v>
      </c>
      <c r="F399" s="2" t="s">
        <v>92</v>
      </c>
    </row>
    <row r="400" spans="1:6" x14ac:dyDescent="0.15">
      <c r="A400" s="25">
        <v>42860</v>
      </c>
      <c r="B400" s="27"/>
      <c r="C400" s="27">
        <v>15387.4</v>
      </c>
      <c r="D400" s="27">
        <f t="shared" si="6"/>
        <v>2534629.3400000008</v>
      </c>
      <c r="E400" s="2" t="s">
        <v>52</v>
      </c>
      <c r="F400" s="2" t="s">
        <v>88</v>
      </c>
    </row>
    <row r="401" spans="1:6" x14ac:dyDescent="0.15">
      <c r="A401" s="25">
        <v>42860</v>
      </c>
      <c r="B401" s="27"/>
      <c r="C401" s="27">
        <v>800</v>
      </c>
      <c r="D401" s="27">
        <f t="shared" si="6"/>
        <v>2533829.3400000008</v>
      </c>
      <c r="E401" s="2" t="s">
        <v>56</v>
      </c>
      <c r="F401" s="2" t="s">
        <v>92</v>
      </c>
    </row>
    <row r="402" spans="1:6" x14ac:dyDescent="0.15">
      <c r="A402" s="25">
        <v>42863</v>
      </c>
      <c r="B402" s="27"/>
      <c r="C402" s="27">
        <v>2000</v>
      </c>
      <c r="D402" s="27">
        <f t="shared" si="6"/>
        <v>2531829.3400000008</v>
      </c>
      <c r="E402" s="2" t="s">
        <v>57</v>
      </c>
      <c r="F402" s="2" t="s">
        <v>92</v>
      </c>
    </row>
    <row r="403" spans="1:6" x14ac:dyDescent="0.15">
      <c r="A403" s="25">
        <v>42870</v>
      </c>
      <c r="B403" s="27"/>
      <c r="C403" s="27">
        <v>7056</v>
      </c>
      <c r="D403" s="27">
        <f t="shared" si="6"/>
        <v>2524773.3400000008</v>
      </c>
      <c r="E403" s="2" t="s">
        <v>3</v>
      </c>
      <c r="F403" s="2" t="s">
        <v>4</v>
      </c>
    </row>
    <row r="404" spans="1:6" x14ac:dyDescent="0.15">
      <c r="A404" s="25">
        <v>42880</v>
      </c>
      <c r="B404" s="27"/>
      <c r="C404" s="27">
        <v>400000</v>
      </c>
      <c r="D404" s="27">
        <f t="shared" si="6"/>
        <v>2124773.3400000008</v>
      </c>
      <c r="E404" s="2" t="s">
        <v>58</v>
      </c>
      <c r="F404" s="2" t="s">
        <v>83</v>
      </c>
    </row>
    <row r="405" spans="1:6" x14ac:dyDescent="0.15">
      <c r="A405" s="25">
        <v>42882</v>
      </c>
      <c r="B405" s="27"/>
      <c r="C405" s="27">
        <v>200000</v>
      </c>
      <c r="D405" s="27">
        <f t="shared" si="6"/>
        <v>1924773.3400000008</v>
      </c>
      <c r="E405" s="2" t="s">
        <v>59</v>
      </c>
      <c r="F405" s="2" t="s">
        <v>83</v>
      </c>
    </row>
    <row r="406" spans="1:6" x14ac:dyDescent="0.15">
      <c r="A406" s="25">
        <v>42890</v>
      </c>
      <c r="B406" s="27"/>
      <c r="C406" s="27">
        <v>0.93</v>
      </c>
      <c r="D406" s="27">
        <f t="shared" si="6"/>
        <v>1924772.4100000008</v>
      </c>
      <c r="E406" s="2" t="s">
        <v>60</v>
      </c>
      <c r="F406" s="2" t="s">
        <v>92</v>
      </c>
    </row>
    <row r="407" spans="1:6" x14ac:dyDescent="0.15">
      <c r="A407" s="25">
        <v>42890</v>
      </c>
      <c r="B407" s="27"/>
      <c r="C407" s="27">
        <v>13.97</v>
      </c>
      <c r="D407" s="27">
        <f t="shared" si="6"/>
        <v>1924758.4400000009</v>
      </c>
      <c r="E407" s="2" t="s">
        <v>61</v>
      </c>
      <c r="F407" s="2" t="s">
        <v>92</v>
      </c>
    </row>
    <row r="408" spans="1:6" x14ac:dyDescent="0.15">
      <c r="A408" s="25">
        <v>42890</v>
      </c>
      <c r="B408" s="27"/>
      <c r="C408" s="27">
        <v>50</v>
      </c>
      <c r="D408" s="27">
        <f t="shared" si="6"/>
        <v>1924708.4400000009</v>
      </c>
      <c r="E408" s="2" t="s">
        <v>5</v>
      </c>
      <c r="F408" s="2" t="s">
        <v>92</v>
      </c>
    </row>
    <row r="409" spans="1:6" x14ac:dyDescent="0.15">
      <c r="A409" s="25">
        <v>42891</v>
      </c>
      <c r="B409" s="27"/>
      <c r="C409" s="27">
        <v>11158.4</v>
      </c>
      <c r="D409" s="27">
        <f t="shared" si="6"/>
        <v>1913550.040000001</v>
      </c>
      <c r="E409" s="2" t="s">
        <v>52</v>
      </c>
      <c r="F409" s="2" t="s">
        <v>88</v>
      </c>
    </row>
    <row r="410" spans="1:6" x14ac:dyDescent="0.15">
      <c r="A410" s="25">
        <v>42912</v>
      </c>
      <c r="B410" s="27"/>
      <c r="C410" s="27">
        <v>800</v>
      </c>
      <c r="D410" s="27">
        <f t="shared" si="6"/>
        <v>1912750.040000001</v>
      </c>
      <c r="E410" s="2" t="s">
        <v>90</v>
      </c>
      <c r="F410" s="2" t="s">
        <v>92</v>
      </c>
    </row>
    <row r="411" spans="1:6" x14ac:dyDescent="0.15">
      <c r="A411" s="25">
        <v>42901</v>
      </c>
      <c r="B411" s="27"/>
      <c r="C411" s="27">
        <v>6024</v>
      </c>
      <c r="D411" s="27">
        <f t="shared" si="6"/>
        <v>1906726.040000001</v>
      </c>
      <c r="E411" s="2" t="s">
        <v>3</v>
      </c>
      <c r="F411" s="2" t="s">
        <v>4</v>
      </c>
    </row>
    <row r="412" spans="1:6" x14ac:dyDescent="0.15">
      <c r="A412" s="25">
        <v>42907</v>
      </c>
      <c r="B412" s="27">
        <v>84.68</v>
      </c>
      <c r="C412" s="27"/>
      <c r="D412" s="27">
        <f t="shared" si="6"/>
        <v>1906810.7200000009</v>
      </c>
      <c r="E412" s="2" t="s">
        <v>91</v>
      </c>
      <c r="F412" s="2" t="s">
        <v>97</v>
      </c>
    </row>
    <row r="413" spans="1:6" x14ac:dyDescent="0.15">
      <c r="A413" s="25">
        <v>42920</v>
      </c>
      <c r="B413" s="27"/>
      <c r="C413" s="27">
        <v>50</v>
      </c>
      <c r="D413" s="27">
        <f t="shared" si="6"/>
        <v>1906760.7200000009</v>
      </c>
      <c r="E413" s="2" t="s">
        <v>5</v>
      </c>
      <c r="F413" s="2" t="s">
        <v>92</v>
      </c>
    </row>
    <row r="414" spans="1:6" x14ac:dyDescent="0.15">
      <c r="A414" s="25">
        <v>42920</v>
      </c>
      <c r="B414" s="27"/>
      <c r="C414" s="27">
        <v>800</v>
      </c>
      <c r="D414" s="27">
        <f t="shared" si="6"/>
        <v>1905960.7200000009</v>
      </c>
      <c r="E414" s="2" t="s">
        <v>90</v>
      </c>
      <c r="F414" s="2" t="s">
        <v>92</v>
      </c>
    </row>
    <row r="415" spans="1:6" x14ac:dyDescent="0.15">
      <c r="A415" s="25">
        <v>42921</v>
      </c>
      <c r="B415" s="27"/>
      <c r="C415" s="27">
        <v>9392.4</v>
      </c>
      <c r="D415" s="27">
        <f t="shared" si="6"/>
        <v>1896568.320000001</v>
      </c>
      <c r="E415" s="2" t="s">
        <v>52</v>
      </c>
      <c r="F415" s="2" t="s">
        <v>88</v>
      </c>
    </row>
    <row r="416" spans="1:6" x14ac:dyDescent="0.15">
      <c r="A416" s="25">
        <v>42933</v>
      </c>
      <c r="B416" s="27"/>
      <c r="C416" s="27">
        <v>6024</v>
      </c>
      <c r="D416" s="27">
        <f t="shared" si="6"/>
        <v>1890544.320000001</v>
      </c>
      <c r="E416" s="2" t="s">
        <v>3</v>
      </c>
      <c r="F416" s="2" t="s">
        <v>4</v>
      </c>
    </row>
    <row r="417" spans="1:6" x14ac:dyDescent="0.15">
      <c r="A417" s="25">
        <v>42942</v>
      </c>
      <c r="B417" s="27"/>
      <c r="C417" s="27">
        <v>50</v>
      </c>
      <c r="D417" s="27">
        <f t="shared" si="6"/>
        <v>1890494.320000001</v>
      </c>
      <c r="E417" s="2" t="s">
        <v>66</v>
      </c>
      <c r="F417" s="2" t="s">
        <v>92</v>
      </c>
    </row>
    <row r="418" spans="1:6" x14ac:dyDescent="0.15">
      <c r="A418" s="25">
        <v>42951</v>
      </c>
      <c r="B418" s="27"/>
      <c r="C418" s="27">
        <v>50</v>
      </c>
      <c r="D418" s="27">
        <f t="shared" si="6"/>
        <v>1890444.320000001</v>
      </c>
      <c r="E418" s="2" t="s">
        <v>5</v>
      </c>
      <c r="F418" s="2" t="s">
        <v>92</v>
      </c>
    </row>
    <row r="419" spans="1:6" x14ac:dyDescent="0.15">
      <c r="A419" s="25">
        <v>42952</v>
      </c>
      <c r="B419" s="27"/>
      <c r="C419" s="27">
        <v>9720.1200000000008</v>
      </c>
      <c r="D419" s="27">
        <f t="shared" si="6"/>
        <v>1880724.2000000009</v>
      </c>
      <c r="E419" s="2" t="s">
        <v>52</v>
      </c>
      <c r="F419" s="2" t="s">
        <v>88</v>
      </c>
    </row>
    <row r="420" spans="1:6" x14ac:dyDescent="0.15">
      <c r="A420" s="25">
        <v>42958</v>
      </c>
      <c r="B420" s="27"/>
      <c r="C420" s="27">
        <v>800</v>
      </c>
      <c r="D420" s="27">
        <f t="shared" si="6"/>
        <v>1879924.2000000009</v>
      </c>
      <c r="E420" s="2" t="s">
        <v>90</v>
      </c>
      <c r="F420" s="2" t="s">
        <v>92</v>
      </c>
    </row>
    <row r="421" spans="1:6" x14ac:dyDescent="0.15">
      <c r="A421" s="25">
        <v>42962</v>
      </c>
      <c r="B421" s="27"/>
      <c r="C421" s="27">
        <v>6024</v>
      </c>
      <c r="D421" s="27">
        <f t="shared" si="6"/>
        <v>1873900.2000000009</v>
      </c>
      <c r="E421" s="2" t="s">
        <v>3</v>
      </c>
      <c r="F421" s="2" t="s">
        <v>4</v>
      </c>
    </row>
    <row r="422" spans="1:6" x14ac:dyDescent="0.15">
      <c r="A422" s="25">
        <v>42982</v>
      </c>
      <c r="B422" s="27"/>
      <c r="C422" s="27">
        <v>50</v>
      </c>
      <c r="D422" s="27">
        <f t="shared" si="6"/>
        <v>1873850.2000000009</v>
      </c>
      <c r="E422" s="2" t="s">
        <v>5</v>
      </c>
      <c r="F422" s="2" t="s">
        <v>92</v>
      </c>
    </row>
    <row r="423" spans="1:6" x14ac:dyDescent="0.15">
      <c r="A423" s="25">
        <v>42983</v>
      </c>
      <c r="B423" s="27"/>
      <c r="C423" s="27">
        <v>9720.1200000000008</v>
      </c>
      <c r="D423" s="27">
        <f t="shared" si="6"/>
        <v>1864130.0800000008</v>
      </c>
      <c r="E423" s="2" t="s">
        <v>52</v>
      </c>
      <c r="F423" s="2" t="s">
        <v>88</v>
      </c>
    </row>
    <row r="424" spans="1:6" x14ac:dyDescent="0.15">
      <c r="A424" s="25">
        <v>42993</v>
      </c>
      <c r="B424" s="27"/>
      <c r="C424" s="27">
        <v>4992</v>
      </c>
      <c r="D424" s="27">
        <f t="shared" si="6"/>
        <v>1859138.0800000008</v>
      </c>
      <c r="E424" s="2" t="s">
        <v>3</v>
      </c>
      <c r="F424" s="2" t="s">
        <v>4</v>
      </c>
    </row>
    <row r="425" spans="1:6" x14ac:dyDescent="0.15">
      <c r="A425" s="25">
        <v>42999</v>
      </c>
      <c r="B425" s="27">
        <v>79.28</v>
      </c>
      <c r="C425" s="27"/>
      <c r="D425" s="27">
        <f t="shared" si="6"/>
        <v>1859217.3600000008</v>
      </c>
      <c r="E425" s="2" t="s">
        <v>68</v>
      </c>
      <c r="F425" s="2" t="s">
        <v>97</v>
      </c>
    </row>
    <row r="426" spans="1:6" x14ac:dyDescent="0.15">
      <c r="A426" s="25">
        <v>42999</v>
      </c>
      <c r="B426" s="27"/>
      <c r="C426" s="27">
        <v>35</v>
      </c>
      <c r="D426" s="27">
        <f t="shared" si="6"/>
        <v>1859182.3600000008</v>
      </c>
      <c r="E426" s="2" t="s">
        <v>69</v>
      </c>
      <c r="F426" s="2" t="s">
        <v>92</v>
      </c>
    </row>
    <row r="427" spans="1:6" x14ac:dyDescent="0.15">
      <c r="A427" s="25">
        <v>43012</v>
      </c>
      <c r="B427" s="27"/>
      <c r="C427" s="27">
        <v>50</v>
      </c>
      <c r="D427" s="27">
        <f t="shared" si="6"/>
        <v>1859132.3600000008</v>
      </c>
      <c r="E427" s="2" t="s">
        <v>5</v>
      </c>
      <c r="F427" s="2" t="s">
        <v>92</v>
      </c>
    </row>
    <row r="428" spans="1:6" x14ac:dyDescent="0.15">
      <c r="A428" s="25">
        <v>43018</v>
      </c>
      <c r="B428" s="27"/>
      <c r="C428" s="27">
        <v>7790.12</v>
      </c>
      <c r="D428" s="27">
        <f t="shared" si="6"/>
        <v>1851342.2400000007</v>
      </c>
      <c r="E428" s="2" t="s">
        <v>52</v>
      </c>
      <c r="F428" s="2" t="s">
        <v>88</v>
      </c>
    </row>
    <row r="429" spans="1:6" x14ac:dyDescent="0.15">
      <c r="A429" s="25">
        <v>43024</v>
      </c>
      <c r="B429" s="27"/>
      <c r="C429" s="27">
        <v>4992</v>
      </c>
      <c r="D429" s="27">
        <f t="shared" si="6"/>
        <v>1846350.2400000007</v>
      </c>
      <c r="E429" s="2" t="s">
        <v>3</v>
      </c>
      <c r="F429" s="2" t="s">
        <v>4</v>
      </c>
    </row>
    <row r="430" spans="1:6" x14ac:dyDescent="0.15">
      <c r="A430" s="25">
        <v>43043</v>
      </c>
      <c r="B430" s="27"/>
      <c r="C430" s="27">
        <v>50</v>
      </c>
      <c r="D430" s="27">
        <f t="shared" si="6"/>
        <v>1846300.2400000007</v>
      </c>
      <c r="E430" s="2" t="s">
        <v>5</v>
      </c>
      <c r="F430" s="2" t="s">
        <v>92</v>
      </c>
    </row>
    <row r="431" spans="1:6" x14ac:dyDescent="0.15">
      <c r="A431" s="25">
        <v>43044</v>
      </c>
      <c r="B431" s="27"/>
      <c r="C431" s="27">
        <v>7739.72</v>
      </c>
      <c r="D431" s="27">
        <f t="shared" si="6"/>
        <v>1838560.5200000007</v>
      </c>
      <c r="E431" s="2" t="s">
        <v>52</v>
      </c>
      <c r="F431" s="2" t="s">
        <v>88</v>
      </c>
    </row>
    <row r="432" spans="1:6" x14ac:dyDescent="0.15">
      <c r="A432" s="25">
        <v>43054</v>
      </c>
      <c r="B432" s="27"/>
      <c r="C432" s="27">
        <v>4536</v>
      </c>
      <c r="D432" s="27">
        <f t="shared" si="6"/>
        <v>1834024.5200000007</v>
      </c>
      <c r="E432" s="2" t="s">
        <v>3</v>
      </c>
      <c r="F432" s="2" t="s">
        <v>4</v>
      </c>
    </row>
    <row r="433" spans="1:6" x14ac:dyDescent="0.15">
      <c r="A433" s="25">
        <v>43073</v>
      </c>
      <c r="B433" s="27"/>
      <c r="C433" s="27">
        <v>50</v>
      </c>
      <c r="D433" s="27">
        <f t="shared" si="6"/>
        <v>1833974.5200000007</v>
      </c>
      <c r="E433" s="2" t="s">
        <v>5</v>
      </c>
      <c r="F433" s="2" t="s">
        <v>92</v>
      </c>
    </row>
    <row r="434" spans="1:6" x14ac:dyDescent="0.15">
      <c r="A434" s="25">
        <v>43075</v>
      </c>
      <c r="B434" s="27"/>
      <c r="C434" s="27">
        <v>5819.12</v>
      </c>
      <c r="D434" s="27">
        <f t="shared" si="6"/>
        <v>1828155.4000000006</v>
      </c>
      <c r="E434" s="2" t="s">
        <v>52</v>
      </c>
      <c r="F434" s="2" t="s">
        <v>88</v>
      </c>
    </row>
    <row r="435" spans="1:6" x14ac:dyDescent="0.15">
      <c r="A435" s="25">
        <v>43084</v>
      </c>
      <c r="B435" s="27"/>
      <c r="C435" s="27">
        <v>3960</v>
      </c>
      <c r="D435" s="27">
        <f t="shared" si="6"/>
        <v>1824195.4000000006</v>
      </c>
      <c r="E435" s="2" t="s">
        <v>3</v>
      </c>
      <c r="F435" s="2" t="s">
        <v>4</v>
      </c>
    </row>
    <row r="436" spans="1:6" x14ac:dyDescent="0.15">
      <c r="A436" s="25">
        <v>43090</v>
      </c>
      <c r="B436" s="27">
        <v>53.73</v>
      </c>
      <c r="C436" s="27"/>
      <c r="D436" s="27">
        <f t="shared" si="6"/>
        <v>1824249.1300000006</v>
      </c>
      <c r="E436" s="2" t="s">
        <v>82</v>
      </c>
      <c r="F436" s="2" t="s">
        <v>97</v>
      </c>
    </row>
    <row r="437" spans="1:6" x14ac:dyDescent="0.15">
      <c r="A437" s="26">
        <v>43108</v>
      </c>
      <c r="B437" s="29"/>
      <c r="C437" s="29">
        <v>4121</v>
      </c>
      <c r="D437" s="27">
        <f t="shared" si="6"/>
        <v>1820128.1300000006</v>
      </c>
      <c r="E437" t="s">
        <v>36</v>
      </c>
      <c r="F437" t="s">
        <v>92</v>
      </c>
    </row>
    <row r="438" spans="1:6" x14ac:dyDescent="0.15">
      <c r="A438" s="26">
        <v>43108</v>
      </c>
      <c r="B438" s="29"/>
      <c r="C438" s="29">
        <v>329.2</v>
      </c>
      <c r="D438" s="27">
        <f t="shared" si="6"/>
        <v>1819798.9300000006</v>
      </c>
      <c r="E438" t="s">
        <v>36</v>
      </c>
      <c r="F438" t="s">
        <v>92</v>
      </c>
    </row>
    <row r="439" spans="1:6" x14ac:dyDescent="0.15">
      <c r="A439" s="26">
        <v>43108</v>
      </c>
      <c r="B439" s="29"/>
      <c r="C439" s="29">
        <v>711</v>
      </c>
      <c r="D439" s="27">
        <f t="shared" si="6"/>
        <v>1819087.9300000006</v>
      </c>
      <c r="E439" t="s">
        <v>36</v>
      </c>
      <c r="F439" t="s">
        <v>92</v>
      </c>
    </row>
    <row r="440" spans="1:6" x14ac:dyDescent="0.15">
      <c r="A440" s="26">
        <v>43109</v>
      </c>
      <c r="B440" s="29"/>
      <c r="C440" s="29">
        <v>9569.0300000000007</v>
      </c>
      <c r="D440" s="27">
        <f t="shared" si="6"/>
        <v>1809518.9000000006</v>
      </c>
      <c r="E440" t="s">
        <v>93</v>
      </c>
      <c r="F440" t="s">
        <v>93</v>
      </c>
    </row>
    <row r="441" spans="1:6" x14ac:dyDescent="0.15">
      <c r="A441" s="26">
        <v>43110</v>
      </c>
      <c r="B441" s="29">
        <v>20000</v>
      </c>
      <c r="C441" s="29"/>
      <c r="D441" s="27">
        <f t="shared" si="6"/>
        <v>1829518.9000000006</v>
      </c>
      <c r="E441" t="s">
        <v>161</v>
      </c>
      <c r="F441" t="s">
        <v>97</v>
      </c>
    </row>
    <row r="442" spans="1:6" x14ac:dyDescent="0.15">
      <c r="A442" s="26">
        <v>43111</v>
      </c>
      <c r="B442" s="29"/>
      <c r="C442" s="29">
        <v>215856.84</v>
      </c>
      <c r="D442" s="27">
        <f t="shared" si="6"/>
        <v>1613662.0600000005</v>
      </c>
      <c r="E442" t="s">
        <v>62</v>
      </c>
      <c r="F442" t="s">
        <v>89</v>
      </c>
    </row>
    <row r="443" spans="1:6" x14ac:dyDescent="0.15">
      <c r="A443" s="26">
        <v>43111</v>
      </c>
      <c r="B443" s="29"/>
      <c r="C443" s="29">
        <v>40440</v>
      </c>
      <c r="D443" s="27">
        <f t="shared" si="6"/>
        <v>1573222.0600000005</v>
      </c>
      <c r="E443" t="s">
        <v>21</v>
      </c>
      <c r="F443" t="s">
        <v>89</v>
      </c>
    </row>
    <row r="444" spans="1:6" x14ac:dyDescent="0.15">
      <c r="A444" s="26">
        <v>43112</v>
      </c>
      <c r="B444" s="29"/>
      <c r="C444" s="29">
        <v>10.5</v>
      </c>
      <c r="D444" s="27">
        <f t="shared" si="6"/>
        <v>1573211.5600000005</v>
      </c>
      <c r="E444" t="s">
        <v>162</v>
      </c>
      <c r="F444" t="s">
        <v>92</v>
      </c>
    </row>
    <row r="445" spans="1:6" x14ac:dyDescent="0.15">
      <c r="A445" s="26">
        <v>43125</v>
      </c>
      <c r="B445" s="29"/>
      <c r="C445" s="29">
        <v>8922.2000000000007</v>
      </c>
      <c r="D445" s="27">
        <f t="shared" si="6"/>
        <v>1564289.3600000006</v>
      </c>
      <c r="E445" t="s">
        <v>65</v>
      </c>
      <c r="F445" t="s">
        <v>87</v>
      </c>
    </row>
    <row r="446" spans="1:6" x14ac:dyDescent="0.15">
      <c r="A446" s="26">
        <v>43125</v>
      </c>
      <c r="B446" s="29"/>
      <c r="C446" s="29">
        <v>3795.3</v>
      </c>
      <c r="D446" s="27">
        <f t="shared" si="6"/>
        <v>1560494.0600000005</v>
      </c>
      <c r="E446" t="s">
        <v>65</v>
      </c>
      <c r="F446" t="s">
        <v>87</v>
      </c>
    </row>
    <row r="447" spans="1:6" x14ac:dyDescent="0.15">
      <c r="A447" s="26">
        <v>43125</v>
      </c>
      <c r="B447" s="29"/>
      <c r="C447" s="29">
        <v>4200</v>
      </c>
      <c r="D447" s="27">
        <f t="shared" si="6"/>
        <v>1556294.0600000005</v>
      </c>
      <c r="E447" t="s">
        <v>65</v>
      </c>
      <c r="F447" t="s">
        <v>87</v>
      </c>
    </row>
    <row r="448" spans="1:6" x14ac:dyDescent="0.15">
      <c r="A448" s="26">
        <v>43125</v>
      </c>
      <c r="B448" s="29"/>
      <c r="C448" s="29">
        <v>31578.9</v>
      </c>
      <c r="D448" s="27">
        <f t="shared" si="6"/>
        <v>1524715.1600000006</v>
      </c>
      <c r="E448" t="s">
        <v>65</v>
      </c>
      <c r="F448" t="s">
        <v>87</v>
      </c>
    </row>
    <row r="449" spans="1:6" x14ac:dyDescent="0.15">
      <c r="A449" s="26">
        <v>43125</v>
      </c>
      <c r="B449" s="29"/>
      <c r="C449" s="29">
        <v>1807.5</v>
      </c>
      <c r="D449" s="27">
        <f t="shared" si="6"/>
        <v>1522907.6600000006</v>
      </c>
      <c r="E449" t="s">
        <v>36</v>
      </c>
      <c r="F449" t="s">
        <v>92</v>
      </c>
    </row>
    <row r="450" spans="1:6" x14ac:dyDescent="0.15">
      <c r="A450" s="26">
        <v>43125</v>
      </c>
      <c r="B450" s="29"/>
      <c r="C450" s="29">
        <v>264.89999999999998</v>
      </c>
      <c r="D450" s="27">
        <f t="shared" si="6"/>
        <v>1522642.7600000007</v>
      </c>
      <c r="E450" t="s">
        <v>36</v>
      </c>
      <c r="F450" t="s">
        <v>92</v>
      </c>
    </row>
    <row r="451" spans="1:6" x14ac:dyDescent="0.15">
      <c r="A451" s="26">
        <v>43129</v>
      </c>
      <c r="B451" s="29"/>
      <c r="C451" s="29">
        <v>28000</v>
      </c>
      <c r="D451" s="27">
        <f t="shared" si="6"/>
        <v>1494642.7600000007</v>
      </c>
      <c r="E451" t="s">
        <v>163</v>
      </c>
      <c r="F451" t="s">
        <v>92</v>
      </c>
    </row>
    <row r="452" spans="1:6" x14ac:dyDescent="0.15">
      <c r="A452" s="26">
        <v>43131</v>
      </c>
      <c r="B452" s="29"/>
      <c r="C452" s="29">
        <v>135473.75</v>
      </c>
      <c r="D452" s="27">
        <f t="shared" si="6"/>
        <v>1359169.0100000007</v>
      </c>
      <c r="E452" t="s">
        <v>62</v>
      </c>
      <c r="F452" t="s">
        <v>89</v>
      </c>
    </row>
    <row r="453" spans="1:6" x14ac:dyDescent="0.15">
      <c r="A453" s="26">
        <v>43132</v>
      </c>
      <c r="B453" s="29"/>
      <c r="C453" s="29">
        <v>10.5</v>
      </c>
      <c r="D453" s="27">
        <f t="shared" si="6"/>
        <v>1359158.5100000007</v>
      </c>
      <c r="F453" t="s">
        <v>92</v>
      </c>
    </row>
    <row r="454" spans="1:6" x14ac:dyDescent="0.15">
      <c r="A454" s="26">
        <v>43133</v>
      </c>
      <c r="B454" s="29"/>
      <c r="C454" s="29">
        <v>3304.8</v>
      </c>
      <c r="D454" s="27">
        <f t="shared" ref="D454:D517" si="7">D453+B454-C454</f>
        <v>1355853.7100000007</v>
      </c>
      <c r="E454" t="s">
        <v>36</v>
      </c>
      <c r="F454" t="s">
        <v>92</v>
      </c>
    </row>
    <row r="455" spans="1:6" x14ac:dyDescent="0.15">
      <c r="A455" s="26">
        <v>43136</v>
      </c>
      <c r="B455" s="29">
        <v>28860.46</v>
      </c>
      <c r="C455" s="29"/>
      <c r="D455" s="27">
        <f t="shared" si="7"/>
        <v>1384714.1700000006</v>
      </c>
      <c r="E455" t="s">
        <v>164</v>
      </c>
      <c r="F455" t="s">
        <v>94</v>
      </c>
    </row>
    <row r="456" spans="1:6" x14ac:dyDescent="0.15">
      <c r="A456" s="26">
        <v>43136</v>
      </c>
      <c r="B456" s="29">
        <v>15551.96</v>
      </c>
      <c r="C456" s="29"/>
      <c r="D456" s="27">
        <f t="shared" si="7"/>
        <v>1400266.1300000006</v>
      </c>
      <c r="E456" t="s">
        <v>164</v>
      </c>
      <c r="F456" t="s">
        <v>94</v>
      </c>
    </row>
    <row r="457" spans="1:6" x14ac:dyDescent="0.15">
      <c r="A457" s="26">
        <v>43137</v>
      </c>
      <c r="B457" s="29"/>
      <c r="C457" s="29">
        <v>8269.2900000000009</v>
      </c>
      <c r="D457" s="27">
        <f t="shared" si="7"/>
        <v>1391996.8400000005</v>
      </c>
      <c r="F457" t="s">
        <v>93</v>
      </c>
    </row>
    <row r="458" spans="1:6" x14ac:dyDescent="0.15">
      <c r="A458" s="26">
        <v>43138</v>
      </c>
      <c r="B458" s="29"/>
      <c r="C458" s="29">
        <v>500000</v>
      </c>
      <c r="D458" s="27">
        <f t="shared" si="7"/>
        <v>891996.84000000055</v>
      </c>
      <c r="E458" t="s">
        <v>13</v>
      </c>
      <c r="F458" t="s">
        <v>101</v>
      </c>
    </row>
    <row r="459" spans="1:6" x14ac:dyDescent="0.15">
      <c r="A459" s="26">
        <v>43139</v>
      </c>
      <c r="B459" s="29"/>
      <c r="C459" s="29">
        <v>10.5</v>
      </c>
      <c r="D459" s="27">
        <f t="shared" si="7"/>
        <v>891986.34000000055</v>
      </c>
      <c r="F459" t="s">
        <v>92</v>
      </c>
    </row>
    <row r="460" spans="1:6" x14ac:dyDescent="0.15">
      <c r="A460" s="26">
        <v>43140</v>
      </c>
      <c r="B460" s="29">
        <v>587556.87</v>
      </c>
      <c r="C460" s="29"/>
      <c r="D460" s="27">
        <f t="shared" si="7"/>
        <v>1479543.2100000004</v>
      </c>
      <c r="E460" t="s">
        <v>165</v>
      </c>
      <c r="F460" t="s">
        <v>94</v>
      </c>
    </row>
    <row r="461" spans="1:6" x14ac:dyDescent="0.15">
      <c r="A461" s="26">
        <v>43143</v>
      </c>
      <c r="B461" s="29"/>
      <c r="C461" s="29">
        <v>4955</v>
      </c>
      <c r="D461" s="27">
        <f t="shared" si="7"/>
        <v>1474588.2100000004</v>
      </c>
      <c r="E461" t="s">
        <v>14</v>
      </c>
      <c r="F461" t="s">
        <v>87</v>
      </c>
    </row>
    <row r="462" spans="1:6" x14ac:dyDescent="0.15">
      <c r="A462" s="26">
        <v>43143</v>
      </c>
      <c r="B462" s="29"/>
      <c r="C462" s="29">
        <v>4955</v>
      </c>
      <c r="D462" s="27">
        <f t="shared" si="7"/>
        <v>1469633.2100000004</v>
      </c>
      <c r="E462" t="s">
        <v>14</v>
      </c>
      <c r="F462" t="s">
        <v>87</v>
      </c>
    </row>
    <row r="463" spans="1:6" x14ac:dyDescent="0.15">
      <c r="A463" s="26">
        <v>43143</v>
      </c>
      <c r="B463" s="29"/>
      <c r="C463" s="29">
        <v>4955</v>
      </c>
      <c r="D463" s="27">
        <f t="shared" si="7"/>
        <v>1464678.2100000004</v>
      </c>
      <c r="E463" t="s">
        <v>14</v>
      </c>
      <c r="F463" t="s">
        <v>87</v>
      </c>
    </row>
    <row r="464" spans="1:6" x14ac:dyDescent="0.15">
      <c r="A464" s="26">
        <v>43143</v>
      </c>
      <c r="B464" s="29"/>
      <c r="C464" s="29">
        <v>164825.79999999999</v>
      </c>
      <c r="D464" s="27">
        <f t="shared" si="7"/>
        <v>1299852.4100000004</v>
      </c>
      <c r="E464" t="s">
        <v>166</v>
      </c>
      <c r="F464" t="s">
        <v>89</v>
      </c>
    </row>
    <row r="465" spans="1:6" x14ac:dyDescent="0.15">
      <c r="A465" s="26">
        <v>43143</v>
      </c>
      <c r="B465" s="29"/>
      <c r="C465" s="29">
        <v>8666.67</v>
      </c>
      <c r="D465" s="27">
        <f t="shared" si="7"/>
        <v>1291185.7400000005</v>
      </c>
      <c r="E465" t="s">
        <v>36</v>
      </c>
      <c r="F465" t="s">
        <v>92</v>
      </c>
    </row>
    <row r="466" spans="1:6" x14ac:dyDescent="0.15">
      <c r="A466" s="26">
        <v>43143</v>
      </c>
      <c r="B466" s="29"/>
      <c r="C466" s="29">
        <v>1200</v>
      </c>
      <c r="D466" s="27">
        <f t="shared" si="7"/>
        <v>1289985.7400000005</v>
      </c>
      <c r="E466" t="s">
        <v>36</v>
      </c>
      <c r="F466" t="s">
        <v>92</v>
      </c>
    </row>
    <row r="467" spans="1:6" x14ac:dyDescent="0.15">
      <c r="A467" s="26">
        <v>43143</v>
      </c>
      <c r="B467" s="29"/>
      <c r="C467" s="29">
        <v>1200</v>
      </c>
      <c r="D467" s="27">
        <f t="shared" si="7"/>
        <v>1288785.7400000005</v>
      </c>
      <c r="E467" t="s">
        <v>36</v>
      </c>
      <c r="F467" t="s">
        <v>92</v>
      </c>
    </row>
    <row r="468" spans="1:6" x14ac:dyDescent="0.15">
      <c r="A468" s="26">
        <v>43143</v>
      </c>
      <c r="B468" s="29"/>
      <c r="C468" s="29">
        <v>3718.7</v>
      </c>
      <c r="D468" s="27">
        <f t="shared" si="7"/>
        <v>1285067.0400000005</v>
      </c>
      <c r="E468" t="s">
        <v>36</v>
      </c>
      <c r="F468" t="s">
        <v>92</v>
      </c>
    </row>
    <row r="469" spans="1:6" x14ac:dyDescent="0.15">
      <c r="A469" s="26">
        <v>43157</v>
      </c>
      <c r="B469" s="29"/>
      <c r="C469" s="29">
        <v>61285.25</v>
      </c>
      <c r="D469" s="27">
        <f t="shared" si="7"/>
        <v>1223781.7900000005</v>
      </c>
      <c r="E469" t="s">
        <v>65</v>
      </c>
      <c r="F469" t="s">
        <v>87</v>
      </c>
    </row>
    <row r="470" spans="1:6" x14ac:dyDescent="0.15">
      <c r="A470" s="26">
        <v>43157</v>
      </c>
      <c r="B470" s="29"/>
      <c r="C470" s="29">
        <v>19101.48</v>
      </c>
      <c r="D470" s="27">
        <f t="shared" si="7"/>
        <v>1204680.3100000005</v>
      </c>
      <c r="E470" t="s">
        <v>65</v>
      </c>
      <c r="F470" t="s">
        <v>87</v>
      </c>
    </row>
    <row r="471" spans="1:6" x14ac:dyDescent="0.15">
      <c r="A471" s="26">
        <v>43157</v>
      </c>
      <c r="B471" s="29"/>
      <c r="C471" s="29">
        <v>8563.9</v>
      </c>
      <c r="D471" s="27">
        <f t="shared" si="7"/>
        <v>1196116.4100000006</v>
      </c>
      <c r="E471" t="s">
        <v>65</v>
      </c>
      <c r="F471" t="s">
        <v>87</v>
      </c>
    </row>
    <row r="472" spans="1:6" x14ac:dyDescent="0.15">
      <c r="A472" s="26">
        <v>43157</v>
      </c>
      <c r="B472" s="29"/>
      <c r="C472" s="29">
        <v>3353.6</v>
      </c>
      <c r="D472" s="27">
        <f t="shared" si="7"/>
        <v>1192762.8100000005</v>
      </c>
      <c r="E472" t="s">
        <v>65</v>
      </c>
      <c r="F472" t="s">
        <v>87</v>
      </c>
    </row>
    <row r="473" spans="1:6" x14ac:dyDescent="0.15">
      <c r="A473" s="26">
        <v>43157</v>
      </c>
      <c r="B473" s="29">
        <v>200000</v>
      </c>
      <c r="C473" s="29"/>
      <c r="D473" s="27">
        <f t="shared" si="7"/>
        <v>1392762.8100000005</v>
      </c>
      <c r="E473" t="s">
        <v>167</v>
      </c>
      <c r="F473" t="s">
        <v>83</v>
      </c>
    </row>
    <row r="474" spans="1:6" x14ac:dyDescent="0.15">
      <c r="A474" s="26">
        <v>43167</v>
      </c>
      <c r="B474" s="29"/>
      <c r="C474" s="29">
        <v>90000</v>
      </c>
      <c r="D474" s="27">
        <f t="shared" si="7"/>
        <v>1302762.8100000005</v>
      </c>
      <c r="E474" t="s">
        <v>168</v>
      </c>
      <c r="F474" t="s">
        <v>92</v>
      </c>
    </row>
    <row r="475" spans="1:6" x14ac:dyDescent="0.15">
      <c r="A475" s="26">
        <v>43167</v>
      </c>
      <c r="B475" s="29"/>
      <c r="C475" s="29">
        <v>3505.07</v>
      </c>
      <c r="D475" s="27">
        <f t="shared" si="7"/>
        <v>1299257.7400000005</v>
      </c>
      <c r="F475" t="s">
        <v>93</v>
      </c>
    </row>
    <row r="476" spans="1:6" x14ac:dyDescent="0.15">
      <c r="A476" s="26">
        <v>43168</v>
      </c>
      <c r="B476" s="29"/>
      <c r="C476" s="29">
        <v>7</v>
      </c>
      <c r="D476" s="27">
        <f t="shared" si="7"/>
        <v>1299250.7400000005</v>
      </c>
      <c r="F476" t="s">
        <v>92</v>
      </c>
    </row>
    <row r="477" spans="1:6" x14ac:dyDescent="0.15">
      <c r="A477" s="26">
        <v>43180</v>
      </c>
      <c r="B477" s="29">
        <v>722.15</v>
      </c>
      <c r="C477" s="29"/>
      <c r="D477" s="27">
        <f t="shared" si="7"/>
        <v>1299972.8900000004</v>
      </c>
      <c r="F477" t="s">
        <v>97</v>
      </c>
    </row>
    <row r="478" spans="1:6" x14ac:dyDescent="0.15">
      <c r="A478" s="26">
        <v>43181</v>
      </c>
      <c r="B478" s="29">
        <v>400000</v>
      </c>
      <c r="C478" s="29"/>
      <c r="D478" s="27">
        <f t="shared" si="7"/>
        <v>1699972.8900000004</v>
      </c>
      <c r="E478" t="s">
        <v>169</v>
      </c>
      <c r="F478" t="s">
        <v>83</v>
      </c>
    </row>
    <row r="479" spans="1:6" x14ac:dyDescent="0.15">
      <c r="A479" s="26">
        <v>43181</v>
      </c>
      <c r="B479" s="29">
        <v>250000</v>
      </c>
      <c r="C479" s="29"/>
      <c r="D479" s="27">
        <f t="shared" si="7"/>
        <v>1949972.8900000004</v>
      </c>
      <c r="E479" t="s">
        <v>169</v>
      </c>
      <c r="F479" t="s">
        <v>83</v>
      </c>
    </row>
    <row r="480" spans="1:6" x14ac:dyDescent="0.15">
      <c r="A480" s="26">
        <v>43185</v>
      </c>
      <c r="B480" s="29"/>
      <c r="C480" s="29">
        <v>14087.75</v>
      </c>
      <c r="D480" s="27">
        <f t="shared" si="7"/>
        <v>1935885.1400000004</v>
      </c>
      <c r="E480" t="s">
        <v>65</v>
      </c>
      <c r="F480" t="s">
        <v>87</v>
      </c>
    </row>
    <row r="481" spans="1:6" x14ac:dyDescent="0.15">
      <c r="A481" s="26">
        <v>43185</v>
      </c>
      <c r="B481" s="29"/>
      <c r="C481" s="29">
        <v>8922.2000000000007</v>
      </c>
      <c r="D481" s="27">
        <f t="shared" si="7"/>
        <v>1926962.9400000004</v>
      </c>
      <c r="E481" t="s">
        <v>65</v>
      </c>
      <c r="F481" t="s">
        <v>87</v>
      </c>
    </row>
    <row r="482" spans="1:6" x14ac:dyDescent="0.15">
      <c r="A482" s="26">
        <v>43185</v>
      </c>
      <c r="B482" s="29"/>
      <c r="C482" s="29">
        <v>4004.9</v>
      </c>
      <c r="D482" s="27">
        <f t="shared" si="7"/>
        <v>1922958.0400000005</v>
      </c>
      <c r="E482" t="s">
        <v>65</v>
      </c>
      <c r="F482" t="s">
        <v>87</v>
      </c>
    </row>
    <row r="483" spans="1:6" x14ac:dyDescent="0.15">
      <c r="A483" s="26">
        <v>43185</v>
      </c>
      <c r="B483" s="29"/>
      <c r="C483" s="29">
        <v>3353.6</v>
      </c>
      <c r="D483" s="27">
        <f t="shared" si="7"/>
        <v>1919604.4400000004</v>
      </c>
      <c r="E483" t="s">
        <v>65</v>
      </c>
      <c r="F483" t="s">
        <v>87</v>
      </c>
    </row>
    <row r="484" spans="1:6" x14ac:dyDescent="0.15">
      <c r="A484" s="26">
        <v>43185</v>
      </c>
      <c r="B484" s="29"/>
      <c r="C484" s="29">
        <v>7410</v>
      </c>
      <c r="D484" s="27">
        <f t="shared" si="7"/>
        <v>1912194.4400000004</v>
      </c>
      <c r="E484" t="s">
        <v>36</v>
      </c>
      <c r="F484" t="s">
        <v>92</v>
      </c>
    </row>
    <row r="485" spans="1:6" x14ac:dyDescent="0.15">
      <c r="A485" s="26">
        <v>43185</v>
      </c>
      <c r="B485" s="29"/>
      <c r="C485" s="29">
        <v>366.9</v>
      </c>
      <c r="D485" s="27">
        <f t="shared" si="7"/>
        <v>1911827.5400000005</v>
      </c>
      <c r="E485" t="s">
        <v>36</v>
      </c>
      <c r="F485" t="s">
        <v>92</v>
      </c>
    </row>
    <row r="486" spans="1:6" x14ac:dyDescent="0.15">
      <c r="A486" s="26">
        <v>43185</v>
      </c>
      <c r="B486" s="29"/>
      <c r="C486" s="29">
        <v>42477.2</v>
      </c>
      <c r="D486" s="27">
        <f t="shared" si="7"/>
        <v>1869350.3400000005</v>
      </c>
      <c r="E486" t="s">
        <v>36</v>
      </c>
      <c r="F486" t="s">
        <v>92</v>
      </c>
    </row>
    <row r="487" spans="1:6" x14ac:dyDescent="0.15">
      <c r="A487" s="26">
        <v>43187</v>
      </c>
      <c r="B487" s="29"/>
      <c r="C487" s="29">
        <v>1000000</v>
      </c>
      <c r="D487" s="27">
        <f t="shared" si="7"/>
        <v>869350.34000000055</v>
      </c>
      <c r="E487" t="s">
        <v>13</v>
      </c>
      <c r="F487" t="s">
        <v>101</v>
      </c>
    </row>
    <row r="488" spans="1:6" x14ac:dyDescent="0.15">
      <c r="A488" s="26">
        <v>43188</v>
      </c>
      <c r="B488" s="29"/>
      <c r="C488" s="29">
        <v>14</v>
      </c>
      <c r="D488" s="27">
        <f t="shared" si="7"/>
        <v>869336.34000000055</v>
      </c>
      <c r="F488" t="s">
        <v>92</v>
      </c>
    </row>
    <row r="489" spans="1:6" x14ac:dyDescent="0.15">
      <c r="A489" s="26">
        <v>43188</v>
      </c>
      <c r="B489" s="29"/>
      <c r="C489" s="29">
        <v>2933</v>
      </c>
      <c r="D489" s="27">
        <f t="shared" si="7"/>
        <v>866403.34000000055</v>
      </c>
      <c r="E489" t="s">
        <v>36</v>
      </c>
      <c r="F489" t="s">
        <v>92</v>
      </c>
    </row>
    <row r="490" spans="1:6" x14ac:dyDescent="0.15">
      <c r="A490" s="26">
        <v>43193</v>
      </c>
      <c r="B490" s="29"/>
      <c r="C490" s="29">
        <v>1000</v>
      </c>
      <c r="D490" s="27">
        <f t="shared" si="7"/>
        <v>865403.34000000055</v>
      </c>
      <c r="E490" t="s">
        <v>170</v>
      </c>
      <c r="F490" t="s">
        <v>92</v>
      </c>
    </row>
    <row r="491" spans="1:6" x14ac:dyDescent="0.15">
      <c r="A491" s="26">
        <v>43200</v>
      </c>
      <c r="B491" s="29"/>
      <c r="C491" s="29">
        <v>7075</v>
      </c>
      <c r="D491" s="27">
        <f t="shared" si="7"/>
        <v>858328.34000000055</v>
      </c>
      <c r="E491" t="s">
        <v>171</v>
      </c>
      <c r="F491" t="s">
        <v>83</v>
      </c>
    </row>
    <row r="492" spans="1:6" x14ac:dyDescent="0.15">
      <c r="A492" s="26">
        <v>43206</v>
      </c>
      <c r="B492" s="29"/>
      <c r="C492" s="29">
        <v>9413.92</v>
      </c>
      <c r="D492" s="27">
        <f t="shared" si="7"/>
        <v>848914.42000000051</v>
      </c>
      <c r="F492" t="s">
        <v>93</v>
      </c>
    </row>
    <row r="493" spans="1:6" x14ac:dyDescent="0.15">
      <c r="A493" s="26">
        <v>43207</v>
      </c>
      <c r="B493" s="29"/>
      <c r="C493" s="29">
        <v>10000</v>
      </c>
      <c r="D493" s="27">
        <f t="shared" si="7"/>
        <v>838914.42000000051</v>
      </c>
      <c r="E493" t="s">
        <v>172</v>
      </c>
      <c r="F493" t="s">
        <v>83</v>
      </c>
    </row>
    <row r="494" spans="1:6" x14ac:dyDescent="0.15">
      <c r="A494" s="26">
        <v>43215</v>
      </c>
      <c r="B494" s="29"/>
      <c r="C494" s="29">
        <v>31578.9</v>
      </c>
      <c r="D494" s="27">
        <f t="shared" si="7"/>
        <v>807335.52000000048</v>
      </c>
      <c r="E494" t="s">
        <v>65</v>
      </c>
      <c r="F494" t="s">
        <v>87</v>
      </c>
    </row>
    <row r="495" spans="1:6" x14ac:dyDescent="0.15">
      <c r="A495" s="26">
        <v>43215</v>
      </c>
      <c r="B495" s="29"/>
      <c r="C495" s="29">
        <v>8922.2000000000007</v>
      </c>
      <c r="D495" s="27">
        <f t="shared" si="7"/>
        <v>798413.32000000053</v>
      </c>
      <c r="E495" t="s">
        <v>65</v>
      </c>
      <c r="F495" t="s">
        <v>87</v>
      </c>
    </row>
    <row r="496" spans="1:6" x14ac:dyDescent="0.15">
      <c r="A496" s="26">
        <v>43215</v>
      </c>
      <c r="B496" s="29"/>
      <c r="C496" s="29">
        <v>4004.9</v>
      </c>
      <c r="D496" s="27">
        <f t="shared" si="7"/>
        <v>794408.42000000051</v>
      </c>
      <c r="E496" t="s">
        <v>65</v>
      </c>
      <c r="F496" t="s">
        <v>87</v>
      </c>
    </row>
    <row r="497" spans="1:6" x14ac:dyDescent="0.15">
      <c r="A497" s="26">
        <v>43215</v>
      </c>
      <c r="B497" s="29"/>
      <c r="C497" s="29">
        <v>3353.6</v>
      </c>
      <c r="D497" s="27">
        <f t="shared" si="7"/>
        <v>791054.82000000053</v>
      </c>
      <c r="E497" t="s">
        <v>65</v>
      </c>
      <c r="F497" t="s">
        <v>87</v>
      </c>
    </row>
    <row r="498" spans="1:6" x14ac:dyDescent="0.15">
      <c r="A498" s="26">
        <v>43215</v>
      </c>
      <c r="B498" s="29"/>
      <c r="C498" s="29">
        <v>12953.09</v>
      </c>
      <c r="D498" s="27">
        <f t="shared" si="7"/>
        <v>778101.73000000056</v>
      </c>
      <c r="E498" t="s">
        <v>36</v>
      </c>
      <c r="F498" t="s">
        <v>92</v>
      </c>
    </row>
    <row r="499" spans="1:6" x14ac:dyDescent="0.15">
      <c r="A499" s="26">
        <v>43215</v>
      </c>
      <c r="B499" s="29"/>
      <c r="C499" s="29">
        <v>296</v>
      </c>
      <c r="D499" s="27">
        <f t="shared" si="7"/>
        <v>777805.73000000056</v>
      </c>
      <c r="E499" t="s">
        <v>36</v>
      </c>
      <c r="F499" t="s">
        <v>92</v>
      </c>
    </row>
    <row r="500" spans="1:6" x14ac:dyDescent="0.15">
      <c r="A500" s="26">
        <v>43215</v>
      </c>
      <c r="B500" s="29"/>
      <c r="C500" s="29">
        <v>1453</v>
      </c>
      <c r="D500" s="27">
        <f t="shared" si="7"/>
        <v>776352.73000000056</v>
      </c>
      <c r="E500" t="s">
        <v>36</v>
      </c>
      <c r="F500" t="s">
        <v>92</v>
      </c>
    </row>
    <row r="501" spans="1:6" x14ac:dyDescent="0.15">
      <c r="A501" s="26">
        <v>43215</v>
      </c>
      <c r="B501" s="29">
        <v>180000</v>
      </c>
      <c r="C501" s="29"/>
      <c r="D501" s="27">
        <f t="shared" si="7"/>
        <v>956352.73000000056</v>
      </c>
      <c r="E501" t="s">
        <v>67</v>
      </c>
      <c r="F501" t="s">
        <v>83</v>
      </c>
    </row>
    <row r="502" spans="1:6" x14ac:dyDescent="0.15">
      <c r="A502" s="26">
        <v>43216</v>
      </c>
      <c r="B502" s="29"/>
      <c r="C502" s="29">
        <v>400000</v>
      </c>
      <c r="D502" s="27">
        <f t="shared" si="7"/>
        <v>556352.73000000056</v>
      </c>
      <c r="E502" t="s">
        <v>13</v>
      </c>
      <c r="F502" t="s">
        <v>101</v>
      </c>
    </row>
    <row r="503" spans="1:6" x14ac:dyDescent="0.15">
      <c r="A503" s="26">
        <v>43217</v>
      </c>
      <c r="B503" s="29"/>
      <c r="C503" s="29">
        <v>10.5</v>
      </c>
      <c r="D503" s="27">
        <f t="shared" si="7"/>
        <v>556342.23000000056</v>
      </c>
      <c r="E503" t="s">
        <v>112</v>
      </c>
      <c r="F503" t="s">
        <v>92</v>
      </c>
    </row>
    <row r="504" spans="1:6" x14ac:dyDescent="0.15">
      <c r="A504" s="26">
        <v>43230</v>
      </c>
      <c r="B504" s="29"/>
      <c r="C504" s="29">
        <v>4005.07</v>
      </c>
      <c r="D504" s="27">
        <f t="shared" si="7"/>
        <v>552337.16000000061</v>
      </c>
      <c r="E504" t="s">
        <v>113</v>
      </c>
      <c r="F504" t="s">
        <v>93</v>
      </c>
    </row>
    <row r="505" spans="1:6" x14ac:dyDescent="0.15">
      <c r="A505" s="26">
        <v>43245</v>
      </c>
      <c r="B505" s="29"/>
      <c r="C505" s="29">
        <v>8922.2000000000007</v>
      </c>
      <c r="D505" s="27">
        <f t="shared" si="7"/>
        <v>543414.96000000066</v>
      </c>
      <c r="E505" t="s">
        <v>14</v>
      </c>
      <c r="F505" t="s">
        <v>87</v>
      </c>
    </row>
    <row r="506" spans="1:6" x14ac:dyDescent="0.15">
      <c r="A506" s="26">
        <v>43245</v>
      </c>
      <c r="B506" s="29"/>
      <c r="C506" s="29">
        <v>4004.9</v>
      </c>
      <c r="D506" s="27">
        <f t="shared" si="7"/>
        <v>539410.06000000064</v>
      </c>
      <c r="E506" t="s">
        <v>14</v>
      </c>
      <c r="F506" t="s">
        <v>87</v>
      </c>
    </row>
    <row r="507" spans="1:6" x14ac:dyDescent="0.15">
      <c r="A507" s="26">
        <v>43245</v>
      </c>
      <c r="B507" s="29">
        <v>43000</v>
      </c>
      <c r="C507" s="29"/>
      <c r="D507" s="27">
        <f t="shared" si="7"/>
        <v>582410.06000000064</v>
      </c>
      <c r="E507" t="s">
        <v>173</v>
      </c>
      <c r="F507" t="s">
        <v>94</v>
      </c>
    </row>
    <row r="508" spans="1:6" x14ac:dyDescent="0.15">
      <c r="A508" s="26">
        <v>43250</v>
      </c>
      <c r="B508" s="29"/>
      <c r="C508" s="29">
        <v>3353.6</v>
      </c>
      <c r="D508" s="27">
        <f t="shared" si="7"/>
        <v>579056.46000000066</v>
      </c>
      <c r="E508" t="s">
        <v>65</v>
      </c>
      <c r="F508" t="s">
        <v>87</v>
      </c>
    </row>
    <row r="509" spans="1:6" x14ac:dyDescent="0.15">
      <c r="A509" s="26">
        <v>43251</v>
      </c>
      <c r="B509" s="29"/>
      <c r="C509" s="29">
        <v>5100</v>
      </c>
      <c r="D509" s="27">
        <f t="shared" si="7"/>
        <v>573956.46000000066</v>
      </c>
      <c r="E509" t="s">
        <v>36</v>
      </c>
      <c r="F509" t="s">
        <v>92</v>
      </c>
    </row>
    <row r="510" spans="1:6" x14ac:dyDescent="0.15">
      <c r="A510" s="26">
        <v>43251</v>
      </c>
      <c r="B510" s="29"/>
      <c r="C510" s="29">
        <v>471</v>
      </c>
      <c r="D510" s="27">
        <f t="shared" si="7"/>
        <v>573485.46000000066</v>
      </c>
      <c r="E510" t="s">
        <v>36</v>
      </c>
      <c r="F510" t="s">
        <v>92</v>
      </c>
    </row>
    <row r="511" spans="1:6" x14ac:dyDescent="0.15">
      <c r="A511" s="26">
        <v>43251</v>
      </c>
      <c r="B511" s="29"/>
      <c r="C511" s="29">
        <v>6020</v>
      </c>
      <c r="D511" s="27">
        <f t="shared" si="7"/>
        <v>567465.46000000066</v>
      </c>
      <c r="E511" t="s">
        <v>36</v>
      </c>
      <c r="F511" t="s">
        <v>92</v>
      </c>
    </row>
    <row r="512" spans="1:6" x14ac:dyDescent="0.15">
      <c r="A512" s="26">
        <v>43262</v>
      </c>
      <c r="B512" s="29"/>
      <c r="C512" s="29">
        <v>3505.07</v>
      </c>
      <c r="D512" s="27">
        <f t="shared" si="7"/>
        <v>563960.39000000071</v>
      </c>
      <c r="E512" t="s">
        <v>113</v>
      </c>
      <c r="F512" t="s">
        <v>93</v>
      </c>
    </row>
    <row r="513" spans="1:6" x14ac:dyDescent="0.15">
      <c r="A513" s="26">
        <v>43268</v>
      </c>
      <c r="B513" s="29">
        <v>500000</v>
      </c>
      <c r="C513" s="29"/>
      <c r="D513" s="27">
        <f t="shared" si="7"/>
        <v>1063960.3900000006</v>
      </c>
      <c r="E513" t="s">
        <v>13</v>
      </c>
      <c r="F513" t="s">
        <v>98</v>
      </c>
    </row>
    <row r="514" spans="1:6" x14ac:dyDescent="0.15">
      <c r="A514" s="26">
        <v>43270</v>
      </c>
      <c r="B514" s="29"/>
      <c r="C514" s="29">
        <v>500000</v>
      </c>
      <c r="D514" s="27">
        <f t="shared" si="7"/>
        <v>563960.3900000006</v>
      </c>
      <c r="E514" t="s">
        <v>13</v>
      </c>
      <c r="F514" t="s">
        <v>101</v>
      </c>
    </row>
    <row r="515" spans="1:6" x14ac:dyDescent="0.15">
      <c r="A515" s="26">
        <v>43271</v>
      </c>
      <c r="B515" s="29"/>
      <c r="C515" s="29">
        <v>10.5</v>
      </c>
      <c r="D515" s="27">
        <f t="shared" si="7"/>
        <v>563949.8900000006</v>
      </c>
      <c r="E515" t="s">
        <v>112</v>
      </c>
      <c r="F515" t="s">
        <v>92</v>
      </c>
    </row>
    <row r="516" spans="1:6" x14ac:dyDescent="0.15">
      <c r="A516" s="26">
        <v>43272</v>
      </c>
      <c r="B516" s="29">
        <v>184.36</v>
      </c>
      <c r="C516" s="29"/>
      <c r="D516" s="27">
        <f t="shared" si="7"/>
        <v>564134.25000000058</v>
      </c>
      <c r="E516" t="s">
        <v>114</v>
      </c>
      <c r="F516" t="s">
        <v>97</v>
      </c>
    </row>
    <row r="517" spans="1:6" x14ac:dyDescent="0.15">
      <c r="A517" s="26">
        <v>43276</v>
      </c>
      <c r="B517" s="29"/>
      <c r="C517" s="29">
        <v>8922.2000000000007</v>
      </c>
      <c r="D517" s="27">
        <f t="shared" si="7"/>
        <v>555212.05000000063</v>
      </c>
      <c r="E517" t="s">
        <v>14</v>
      </c>
      <c r="F517" t="s">
        <v>87</v>
      </c>
    </row>
    <row r="518" spans="1:6" x14ac:dyDescent="0.15">
      <c r="A518" s="26">
        <v>43276</v>
      </c>
      <c r="B518" s="29"/>
      <c r="C518" s="29">
        <v>4004.9</v>
      </c>
      <c r="D518" s="27">
        <f t="shared" ref="D518:D581" si="8">D517+B518-C518</f>
        <v>551207.15000000061</v>
      </c>
      <c r="E518" t="s">
        <v>14</v>
      </c>
      <c r="F518" t="s">
        <v>87</v>
      </c>
    </row>
    <row r="519" spans="1:6" x14ac:dyDescent="0.15">
      <c r="A519" s="26">
        <v>43277</v>
      </c>
      <c r="B519" s="29"/>
      <c r="C519" s="29">
        <v>3353.6</v>
      </c>
      <c r="D519" s="27">
        <f t="shared" si="8"/>
        <v>547853.55000000063</v>
      </c>
      <c r="E519" t="s">
        <v>65</v>
      </c>
      <c r="F519" t="s">
        <v>87</v>
      </c>
    </row>
    <row r="520" spans="1:6" x14ac:dyDescent="0.15">
      <c r="A520" s="26">
        <v>43278</v>
      </c>
      <c r="B520" s="29">
        <v>131592.9</v>
      </c>
      <c r="C520" s="29"/>
      <c r="D520" s="27">
        <f t="shared" si="8"/>
        <v>679446.45000000065</v>
      </c>
      <c r="E520" t="s">
        <v>64</v>
      </c>
      <c r="F520" t="s">
        <v>94</v>
      </c>
    </row>
    <row r="521" spans="1:6" x14ac:dyDescent="0.15">
      <c r="A521" s="26">
        <v>43284</v>
      </c>
      <c r="B521" s="29"/>
      <c r="C521" s="29">
        <v>990</v>
      </c>
      <c r="D521" s="27">
        <f t="shared" si="8"/>
        <v>678456.45000000065</v>
      </c>
      <c r="E521" t="s">
        <v>174</v>
      </c>
      <c r="F521" t="s">
        <v>92</v>
      </c>
    </row>
    <row r="522" spans="1:6" x14ac:dyDescent="0.15">
      <c r="A522" s="26">
        <v>43291</v>
      </c>
      <c r="B522" s="29"/>
      <c r="C522" s="29">
        <v>9313.32</v>
      </c>
      <c r="D522" s="27">
        <f t="shared" si="8"/>
        <v>669143.1300000007</v>
      </c>
      <c r="E522" t="s">
        <v>113</v>
      </c>
      <c r="F522" t="s">
        <v>93</v>
      </c>
    </row>
    <row r="523" spans="1:6" x14ac:dyDescent="0.15">
      <c r="A523" s="26">
        <v>43291</v>
      </c>
      <c r="B523" s="29"/>
      <c r="C523" s="29">
        <v>8977.5</v>
      </c>
      <c r="D523" s="27">
        <f t="shared" si="8"/>
        <v>660165.6300000007</v>
      </c>
      <c r="E523" t="s">
        <v>36</v>
      </c>
      <c r="F523" t="s">
        <v>92</v>
      </c>
    </row>
    <row r="524" spans="1:6" x14ac:dyDescent="0.15">
      <c r="A524" s="26">
        <v>43306</v>
      </c>
      <c r="B524" s="29"/>
      <c r="C524" s="29">
        <v>6254.1</v>
      </c>
      <c r="D524" s="27">
        <f t="shared" si="8"/>
        <v>653911.53000000073</v>
      </c>
      <c r="E524" t="s">
        <v>36</v>
      </c>
      <c r="F524" t="s">
        <v>92</v>
      </c>
    </row>
    <row r="525" spans="1:6" x14ac:dyDescent="0.15">
      <c r="A525" s="26">
        <v>43306</v>
      </c>
      <c r="B525" s="29"/>
      <c r="C525" s="29">
        <v>593.47</v>
      </c>
      <c r="D525" s="27">
        <f t="shared" si="8"/>
        <v>653318.06000000075</v>
      </c>
      <c r="E525" t="s">
        <v>36</v>
      </c>
      <c r="F525" t="s">
        <v>92</v>
      </c>
    </row>
    <row r="526" spans="1:6" x14ac:dyDescent="0.15">
      <c r="A526" s="26">
        <v>43306</v>
      </c>
      <c r="B526" s="29"/>
      <c r="C526" s="29">
        <v>6182</v>
      </c>
      <c r="D526" s="27">
        <f t="shared" si="8"/>
        <v>647136.06000000075</v>
      </c>
      <c r="E526" t="s">
        <v>36</v>
      </c>
      <c r="F526" t="s">
        <v>92</v>
      </c>
    </row>
    <row r="527" spans="1:6" x14ac:dyDescent="0.15">
      <c r="A527" s="26">
        <v>43306</v>
      </c>
      <c r="B527" s="29"/>
      <c r="C527" s="29">
        <v>8922.2000000000007</v>
      </c>
      <c r="D527" s="27">
        <f t="shared" si="8"/>
        <v>638213.8600000008</v>
      </c>
      <c r="E527" t="s">
        <v>65</v>
      </c>
      <c r="F527" t="s">
        <v>87</v>
      </c>
    </row>
    <row r="528" spans="1:6" x14ac:dyDescent="0.15">
      <c r="A528" s="26">
        <v>43306</v>
      </c>
      <c r="B528" s="29"/>
      <c r="C528" s="29">
        <v>4004.9</v>
      </c>
      <c r="D528" s="27">
        <f t="shared" si="8"/>
        <v>634208.96000000078</v>
      </c>
      <c r="E528" t="s">
        <v>65</v>
      </c>
      <c r="F528" t="s">
        <v>87</v>
      </c>
    </row>
    <row r="529" spans="1:6" x14ac:dyDescent="0.15">
      <c r="A529" s="26">
        <v>43306</v>
      </c>
      <c r="B529" s="29"/>
      <c r="C529" s="29">
        <v>2951.2</v>
      </c>
      <c r="D529" s="27">
        <f t="shared" si="8"/>
        <v>631257.76000000082</v>
      </c>
      <c r="E529" t="s">
        <v>65</v>
      </c>
      <c r="F529" t="s">
        <v>87</v>
      </c>
    </row>
    <row r="530" spans="1:6" x14ac:dyDescent="0.15">
      <c r="A530" s="26">
        <v>43313</v>
      </c>
      <c r="B530" s="29"/>
      <c r="C530" s="29">
        <v>3073.15</v>
      </c>
      <c r="D530" s="27">
        <f t="shared" si="8"/>
        <v>628184.6100000008</v>
      </c>
      <c r="E530" t="s">
        <v>175</v>
      </c>
      <c r="F530" t="s">
        <v>92</v>
      </c>
    </row>
    <row r="531" spans="1:6" x14ac:dyDescent="0.15">
      <c r="A531" s="26">
        <v>43318</v>
      </c>
      <c r="B531" s="29">
        <v>1000000</v>
      </c>
      <c r="C531" s="29"/>
      <c r="D531" s="27">
        <f t="shared" si="8"/>
        <v>1628184.6100000008</v>
      </c>
      <c r="E531" t="s">
        <v>13</v>
      </c>
      <c r="F531" t="s">
        <v>98</v>
      </c>
    </row>
    <row r="532" spans="1:6" x14ac:dyDescent="0.15">
      <c r="A532" s="26">
        <v>43318</v>
      </c>
      <c r="B532" s="29"/>
      <c r="C532" s="29">
        <v>8338.68</v>
      </c>
      <c r="D532" s="27">
        <f t="shared" si="8"/>
        <v>1619845.9300000009</v>
      </c>
      <c r="E532" t="s">
        <v>113</v>
      </c>
      <c r="F532" t="s">
        <v>93</v>
      </c>
    </row>
    <row r="533" spans="1:6" x14ac:dyDescent="0.15">
      <c r="A533" s="26">
        <v>43318</v>
      </c>
      <c r="B533" s="29"/>
      <c r="C533" s="29">
        <v>50000</v>
      </c>
      <c r="D533" s="27">
        <f t="shared" si="8"/>
        <v>1569845.9300000009</v>
      </c>
      <c r="E533" t="s">
        <v>176</v>
      </c>
      <c r="F533" t="s">
        <v>92</v>
      </c>
    </row>
    <row r="534" spans="1:6" x14ac:dyDescent="0.15">
      <c r="A534" s="26">
        <v>43326</v>
      </c>
      <c r="B534" s="29"/>
      <c r="C534" s="29">
        <v>500000</v>
      </c>
      <c r="D534" s="27">
        <f t="shared" si="8"/>
        <v>1069845.9300000009</v>
      </c>
      <c r="E534" t="s">
        <v>13</v>
      </c>
      <c r="F534" t="s">
        <v>101</v>
      </c>
    </row>
    <row r="535" spans="1:6" x14ac:dyDescent="0.15">
      <c r="A535" s="26">
        <v>43327</v>
      </c>
      <c r="B535" s="29"/>
      <c r="C535" s="29">
        <v>10.5</v>
      </c>
      <c r="D535" s="27">
        <f t="shared" si="8"/>
        <v>1069835.4300000009</v>
      </c>
      <c r="E535" t="s">
        <v>112</v>
      </c>
      <c r="F535" t="s">
        <v>92</v>
      </c>
    </row>
    <row r="536" spans="1:6" x14ac:dyDescent="0.15">
      <c r="A536" s="26">
        <v>43336</v>
      </c>
      <c r="B536" s="29"/>
      <c r="C536" s="29">
        <v>8855</v>
      </c>
      <c r="D536" s="27">
        <f t="shared" si="8"/>
        <v>1060980.4300000009</v>
      </c>
      <c r="E536" t="s">
        <v>14</v>
      </c>
      <c r="F536" t="s">
        <v>87</v>
      </c>
    </row>
    <row r="537" spans="1:6" x14ac:dyDescent="0.15">
      <c r="A537" s="26">
        <v>43336</v>
      </c>
      <c r="B537" s="29"/>
      <c r="C537" s="29">
        <v>3906.82</v>
      </c>
      <c r="D537" s="27">
        <f t="shared" si="8"/>
        <v>1057073.6100000008</v>
      </c>
      <c r="E537" t="s">
        <v>14</v>
      </c>
      <c r="F537" t="s">
        <v>87</v>
      </c>
    </row>
    <row r="538" spans="1:6" x14ac:dyDescent="0.15">
      <c r="A538" s="26">
        <v>43336</v>
      </c>
      <c r="B538" s="29"/>
      <c r="C538" s="29">
        <v>23995.55</v>
      </c>
      <c r="D538" s="27">
        <f t="shared" si="8"/>
        <v>1033078.0600000008</v>
      </c>
      <c r="E538" t="s">
        <v>14</v>
      </c>
      <c r="F538" t="s">
        <v>87</v>
      </c>
    </row>
    <row r="539" spans="1:6" x14ac:dyDescent="0.15">
      <c r="A539" s="26">
        <v>43336</v>
      </c>
      <c r="B539" s="29"/>
      <c r="C539" s="29">
        <v>4625.5</v>
      </c>
      <c r="D539" s="27">
        <f t="shared" si="8"/>
        <v>1028452.5600000008</v>
      </c>
      <c r="E539" t="s">
        <v>36</v>
      </c>
      <c r="F539" t="s">
        <v>92</v>
      </c>
    </row>
    <row r="540" spans="1:6" x14ac:dyDescent="0.15">
      <c r="A540" s="26">
        <v>43336</v>
      </c>
      <c r="B540" s="29"/>
      <c r="C540" s="29">
        <v>1478.5</v>
      </c>
      <c r="D540" s="27">
        <f t="shared" si="8"/>
        <v>1026974.0600000008</v>
      </c>
      <c r="E540" t="s">
        <v>36</v>
      </c>
      <c r="F540" t="s">
        <v>92</v>
      </c>
    </row>
    <row r="541" spans="1:6" x14ac:dyDescent="0.15">
      <c r="A541" s="26">
        <v>43346</v>
      </c>
      <c r="B541" s="29"/>
      <c r="C541" s="29">
        <v>1419.18</v>
      </c>
      <c r="D541" s="27">
        <f t="shared" si="8"/>
        <v>1025554.8800000007</v>
      </c>
      <c r="E541" t="s">
        <v>113</v>
      </c>
      <c r="F541" t="s">
        <v>93</v>
      </c>
    </row>
    <row r="542" spans="1:6" x14ac:dyDescent="0.15">
      <c r="A542" s="26">
        <v>43346</v>
      </c>
      <c r="B542" s="29"/>
      <c r="C542" s="29">
        <v>5107.28</v>
      </c>
      <c r="D542" s="27">
        <f t="shared" si="8"/>
        <v>1020447.6000000007</v>
      </c>
      <c r="E542" t="s">
        <v>113</v>
      </c>
      <c r="F542" t="s">
        <v>93</v>
      </c>
    </row>
    <row r="543" spans="1:6" x14ac:dyDescent="0.15">
      <c r="A543" s="26">
        <v>43360</v>
      </c>
      <c r="B543" s="29">
        <v>800000</v>
      </c>
      <c r="C543" s="29"/>
      <c r="D543" s="27">
        <f t="shared" si="8"/>
        <v>1820447.6000000006</v>
      </c>
      <c r="E543" t="s">
        <v>13</v>
      </c>
      <c r="F543" t="s">
        <v>98</v>
      </c>
    </row>
    <row r="544" spans="1:6" x14ac:dyDescent="0.15">
      <c r="A544" s="26">
        <v>43364</v>
      </c>
      <c r="B544" s="29">
        <v>305.43</v>
      </c>
      <c r="C544" s="29"/>
      <c r="D544" s="27">
        <f t="shared" si="8"/>
        <v>1820753.0300000005</v>
      </c>
      <c r="E544" t="s">
        <v>114</v>
      </c>
      <c r="F544" t="s">
        <v>97</v>
      </c>
    </row>
    <row r="545" spans="1:6" x14ac:dyDescent="0.15">
      <c r="A545" s="26">
        <v>43364</v>
      </c>
      <c r="B545" s="29">
        <v>500000</v>
      </c>
      <c r="C545" s="29"/>
      <c r="D545" s="27">
        <f t="shared" si="8"/>
        <v>2320753.0300000003</v>
      </c>
      <c r="E545" t="s">
        <v>13</v>
      </c>
      <c r="F545" t="s">
        <v>98</v>
      </c>
    </row>
    <row r="546" spans="1:6" x14ac:dyDescent="0.15">
      <c r="A546" s="26">
        <v>43364</v>
      </c>
      <c r="B546" s="29">
        <v>5000000</v>
      </c>
      <c r="C546" s="29"/>
      <c r="D546" s="27">
        <f t="shared" si="8"/>
        <v>7320753.0300000003</v>
      </c>
      <c r="E546" t="s">
        <v>83</v>
      </c>
      <c r="F546" t="s">
        <v>83</v>
      </c>
    </row>
    <row r="547" spans="1:6" x14ac:dyDescent="0.15">
      <c r="A547" s="26">
        <v>43368</v>
      </c>
      <c r="B547" s="29"/>
      <c r="C547" s="29">
        <v>8228.48</v>
      </c>
      <c r="D547" s="27">
        <f t="shared" si="8"/>
        <v>7312524.5499999998</v>
      </c>
      <c r="E547" t="s">
        <v>36</v>
      </c>
      <c r="F547" t="s">
        <v>92</v>
      </c>
    </row>
    <row r="548" spans="1:6" x14ac:dyDescent="0.15">
      <c r="A548" s="26">
        <v>43368</v>
      </c>
      <c r="B548" s="29"/>
      <c r="C548" s="29">
        <v>278.89999999999998</v>
      </c>
      <c r="D548" s="27">
        <f t="shared" si="8"/>
        <v>7312245.6499999994</v>
      </c>
      <c r="E548" t="s">
        <v>36</v>
      </c>
      <c r="F548" t="s">
        <v>92</v>
      </c>
    </row>
    <row r="549" spans="1:6" x14ac:dyDescent="0.15">
      <c r="A549" s="26">
        <v>43368</v>
      </c>
      <c r="B549" s="29"/>
      <c r="C549" s="29">
        <v>400</v>
      </c>
      <c r="D549" s="27">
        <f t="shared" si="8"/>
        <v>7311845.6499999994</v>
      </c>
      <c r="E549" t="s">
        <v>36</v>
      </c>
      <c r="F549" t="s">
        <v>92</v>
      </c>
    </row>
    <row r="550" spans="1:6" x14ac:dyDescent="0.15">
      <c r="A550" s="26">
        <v>43368</v>
      </c>
      <c r="B550" s="29"/>
      <c r="C550" s="29">
        <v>8921</v>
      </c>
      <c r="D550" s="27">
        <f t="shared" si="8"/>
        <v>7302924.6499999994</v>
      </c>
      <c r="E550" t="s">
        <v>36</v>
      </c>
      <c r="F550" t="s">
        <v>92</v>
      </c>
    </row>
    <row r="551" spans="1:6" x14ac:dyDescent="0.15">
      <c r="A551" s="26">
        <v>43368</v>
      </c>
      <c r="B551" s="29"/>
      <c r="C551" s="29">
        <v>400</v>
      </c>
      <c r="D551" s="27">
        <f t="shared" si="8"/>
        <v>7302524.6499999994</v>
      </c>
      <c r="E551" t="s">
        <v>36</v>
      </c>
      <c r="F551" t="s">
        <v>92</v>
      </c>
    </row>
    <row r="552" spans="1:6" x14ac:dyDescent="0.15">
      <c r="A552" s="26">
        <v>43368</v>
      </c>
      <c r="B552" s="29"/>
      <c r="C552" s="29">
        <v>14087.75</v>
      </c>
      <c r="D552" s="27">
        <f t="shared" si="8"/>
        <v>7288436.8999999994</v>
      </c>
      <c r="E552" t="s">
        <v>14</v>
      </c>
      <c r="F552" t="s">
        <v>87</v>
      </c>
    </row>
    <row r="553" spans="1:6" x14ac:dyDescent="0.15">
      <c r="A553" s="26">
        <v>43368</v>
      </c>
      <c r="B553" s="29"/>
      <c r="C553" s="29">
        <v>8855</v>
      </c>
      <c r="D553" s="27">
        <f t="shared" si="8"/>
        <v>7279581.8999999994</v>
      </c>
      <c r="E553" t="s">
        <v>14</v>
      </c>
      <c r="F553" t="s">
        <v>87</v>
      </c>
    </row>
    <row r="554" spans="1:6" x14ac:dyDescent="0.15">
      <c r="A554" s="26">
        <v>43368</v>
      </c>
      <c r="B554" s="29"/>
      <c r="C554" s="29">
        <v>4508.22</v>
      </c>
      <c r="D554" s="27">
        <f t="shared" si="8"/>
        <v>7275073.6799999997</v>
      </c>
      <c r="E554" t="s">
        <v>14</v>
      </c>
      <c r="F554" t="s">
        <v>87</v>
      </c>
    </row>
    <row r="555" spans="1:6" x14ac:dyDescent="0.15">
      <c r="A555" s="26">
        <v>43368</v>
      </c>
      <c r="B555" s="29"/>
      <c r="C555" s="29">
        <v>14245.55</v>
      </c>
      <c r="D555" s="27">
        <f t="shared" si="8"/>
        <v>7260828.1299999999</v>
      </c>
      <c r="E555" t="s">
        <v>14</v>
      </c>
      <c r="F555" t="s">
        <v>87</v>
      </c>
    </row>
    <row r="556" spans="1:6" x14ac:dyDescent="0.15">
      <c r="A556" s="26">
        <v>43368</v>
      </c>
      <c r="B556" s="29"/>
      <c r="C556" s="29">
        <v>500000</v>
      </c>
      <c r="D556" s="27">
        <f t="shared" si="8"/>
        <v>6760828.1299999999</v>
      </c>
      <c r="E556" t="s">
        <v>13</v>
      </c>
      <c r="F556" t="s">
        <v>101</v>
      </c>
    </row>
    <row r="557" spans="1:6" x14ac:dyDescent="0.15">
      <c r="A557" s="26">
        <v>43369</v>
      </c>
      <c r="B557" s="29"/>
      <c r="C557" s="29">
        <v>10.5</v>
      </c>
      <c r="D557" s="27">
        <f t="shared" si="8"/>
        <v>6760817.6299999999</v>
      </c>
      <c r="E557" t="s">
        <v>112</v>
      </c>
      <c r="F557" t="s">
        <v>92</v>
      </c>
    </row>
    <row r="558" spans="1:6" x14ac:dyDescent="0.15">
      <c r="A558" s="26">
        <v>43371</v>
      </c>
      <c r="B558" s="29"/>
      <c r="C558" s="29">
        <v>1000000</v>
      </c>
      <c r="D558" s="27">
        <f t="shared" si="8"/>
        <v>5760817.6299999999</v>
      </c>
      <c r="E558" t="s">
        <v>177</v>
      </c>
      <c r="F558" t="s">
        <v>83</v>
      </c>
    </row>
    <row r="559" spans="1:6" x14ac:dyDescent="0.15">
      <c r="A559" s="26">
        <v>43371</v>
      </c>
      <c r="B559" s="29"/>
      <c r="C559" s="29">
        <v>2000000</v>
      </c>
      <c r="D559" s="27">
        <f t="shared" si="8"/>
        <v>3760817.63</v>
      </c>
      <c r="E559" t="s">
        <v>177</v>
      </c>
      <c r="F559" t="s">
        <v>83</v>
      </c>
    </row>
    <row r="560" spans="1:6" x14ac:dyDescent="0.15">
      <c r="A560" s="26">
        <v>43371</v>
      </c>
      <c r="B560" s="29"/>
      <c r="C560" s="29">
        <v>2000000</v>
      </c>
      <c r="D560" s="27">
        <f t="shared" si="8"/>
        <v>1760817.63</v>
      </c>
      <c r="E560" t="s">
        <v>177</v>
      </c>
      <c r="F560" t="s">
        <v>83</v>
      </c>
    </row>
    <row r="561" spans="1:6" x14ac:dyDescent="0.15">
      <c r="A561" s="26">
        <v>43371</v>
      </c>
      <c r="B561" s="29">
        <v>5000000</v>
      </c>
      <c r="C561" s="29"/>
      <c r="D561" s="27">
        <f t="shared" si="8"/>
        <v>6760817.6299999999</v>
      </c>
      <c r="E561" t="s">
        <v>13</v>
      </c>
      <c r="F561" t="s">
        <v>98</v>
      </c>
    </row>
    <row r="562" spans="1:6" x14ac:dyDescent="0.15">
      <c r="A562" s="26">
        <v>43371</v>
      </c>
      <c r="B562" s="29">
        <v>5000000</v>
      </c>
      <c r="C562" s="29"/>
      <c r="D562" s="27">
        <f t="shared" si="8"/>
        <v>11760817.629999999</v>
      </c>
      <c r="E562" t="s">
        <v>13</v>
      </c>
      <c r="F562" t="s">
        <v>98</v>
      </c>
    </row>
    <row r="563" spans="1:6" x14ac:dyDescent="0.15">
      <c r="A563" s="26">
        <v>43372</v>
      </c>
      <c r="B563" s="29"/>
      <c r="C563" s="29">
        <v>70</v>
      </c>
      <c r="D563" s="27">
        <f t="shared" si="8"/>
        <v>11760747.629999999</v>
      </c>
      <c r="E563" t="s">
        <v>112</v>
      </c>
      <c r="F563" t="s">
        <v>92</v>
      </c>
    </row>
    <row r="564" spans="1:6" x14ac:dyDescent="0.15">
      <c r="A564" s="26">
        <v>43381</v>
      </c>
      <c r="B564" s="29"/>
      <c r="C564" s="29">
        <v>1500000</v>
      </c>
      <c r="D564" s="27">
        <f t="shared" si="8"/>
        <v>10260747.629999999</v>
      </c>
      <c r="E564" t="s">
        <v>13</v>
      </c>
      <c r="F564" t="s">
        <v>101</v>
      </c>
    </row>
    <row r="565" spans="1:6" x14ac:dyDescent="0.15">
      <c r="A565" s="26">
        <v>43382</v>
      </c>
      <c r="B565" s="29"/>
      <c r="C565" s="29">
        <v>21</v>
      </c>
      <c r="D565" s="27">
        <f t="shared" si="8"/>
        <v>10260726.629999999</v>
      </c>
      <c r="E565" t="s">
        <v>112</v>
      </c>
      <c r="F565" t="s">
        <v>92</v>
      </c>
    </row>
    <row r="566" spans="1:6" x14ac:dyDescent="0.15">
      <c r="A566" s="26">
        <v>43269</v>
      </c>
      <c r="B566" s="29"/>
      <c r="C566" s="29">
        <v>160000</v>
      </c>
      <c r="D566" s="27">
        <f t="shared" si="8"/>
        <v>10100726.629999999</v>
      </c>
      <c r="E566" t="s">
        <v>62</v>
      </c>
      <c r="F566" t="s">
        <v>89</v>
      </c>
    </row>
    <row r="567" spans="1:6" x14ac:dyDescent="0.15">
      <c r="A567" s="26">
        <v>43384</v>
      </c>
      <c r="B567" s="29"/>
      <c r="C567" s="29">
        <v>10.5</v>
      </c>
      <c r="D567" s="27">
        <f t="shared" si="8"/>
        <v>10100716.129999999</v>
      </c>
      <c r="E567" t="s">
        <v>112</v>
      </c>
      <c r="F567" t="s">
        <v>92</v>
      </c>
    </row>
    <row r="568" spans="1:6" x14ac:dyDescent="0.15">
      <c r="A568" s="26">
        <v>43388</v>
      </c>
      <c r="B568" s="29"/>
      <c r="C568" s="29">
        <v>4792.28</v>
      </c>
      <c r="D568" s="27">
        <f t="shared" si="8"/>
        <v>10095923.85</v>
      </c>
      <c r="E568" t="s">
        <v>113</v>
      </c>
      <c r="F568" t="s">
        <v>93</v>
      </c>
    </row>
    <row r="569" spans="1:6" x14ac:dyDescent="0.15">
      <c r="A569" s="26">
        <v>43395</v>
      </c>
      <c r="B569" s="29"/>
      <c r="C569" s="29">
        <v>25</v>
      </c>
      <c r="D569" s="27">
        <f t="shared" si="8"/>
        <v>10095898.85</v>
      </c>
      <c r="E569" t="s">
        <v>112</v>
      </c>
      <c r="F569" t="s">
        <v>92</v>
      </c>
    </row>
    <row r="570" spans="1:6" x14ac:dyDescent="0.15">
      <c r="A570" s="26">
        <v>43395</v>
      </c>
      <c r="B570" s="29"/>
      <c r="C570" s="29">
        <v>10</v>
      </c>
      <c r="D570" s="27">
        <f t="shared" si="8"/>
        <v>10095888.85</v>
      </c>
      <c r="E570" t="s">
        <v>112</v>
      </c>
      <c r="F570" t="s">
        <v>92</v>
      </c>
    </row>
    <row r="571" spans="1:6" x14ac:dyDescent="0.15">
      <c r="A571" s="26">
        <v>43398</v>
      </c>
      <c r="B571" s="29"/>
      <c r="C571" s="29">
        <v>4137</v>
      </c>
      <c r="D571" s="27">
        <f t="shared" si="8"/>
        <v>10091751.85</v>
      </c>
      <c r="E571" t="s">
        <v>36</v>
      </c>
      <c r="F571" t="s">
        <v>92</v>
      </c>
    </row>
    <row r="572" spans="1:6" x14ac:dyDescent="0.15">
      <c r="A572" s="26">
        <v>43398</v>
      </c>
      <c r="B572" s="29"/>
      <c r="C572" s="29">
        <v>647.9</v>
      </c>
      <c r="D572" s="27">
        <f t="shared" si="8"/>
        <v>10091103.949999999</v>
      </c>
      <c r="E572" t="s">
        <v>36</v>
      </c>
      <c r="F572" t="s">
        <v>92</v>
      </c>
    </row>
    <row r="573" spans="1:6" x14ac:dyDescent="0.15">
      <c r="A573" s="26">
        <v>43398</v>
      </c>
      <c r="B573" s="29"/>
      <c r="C573" s="29">
        <v>2942.25</v>
      </c>
      <c r="D573" s="27">
        <f t="shared" si="8"/>
        <v>10088161.699999999</v>
      </c>
      <c r="E573" t="s">
        <v>36</v>
      </c>
      <c r="F573" t="s">
        <v>92</v>
      </c>
    </row>
    <row r="574" spans="1:6" x14ac:dyDescent="0.15">
      <c r="A574" s="26">
        <v>43399</v>
      </c>
      <c r="B574" s="29"/>
      <c r="C574" s="29">
        <v>7</v>
      </c>
      <c r="D574" s="27">
        <f t="shared" si="8"/>
        <v>10088154.699999999</v>
      </c>
      <c r="E574" t="s">
        <v>112</v>
      </c>
      <c r="F574" t="s">
        <v>92</v>
      </c>
    </row>
    <row r="575" spans="1:6" x14ac:dyDescent="0.15">
      <c r="A575" s="26">
        <v>43402</v>
      </c>
      <c r="B575" s="29"/>
      <c r="C575" s="29">
        <v>420</v>
      </c>
      <c r="D575" s="27">
        <f t="shared" si="8"/>
        <v>10087734.699999999</v>
      </c>
      <c r="E575" t="s">
        <v>36</v>
      </c>
      <c r="F575" t="s">
        <v>92</v>
      </c>
    </row>
    <row r="576" spans="1:6" x14ac:dyDescent="0.15">
      <c r="A576" s="26">
        <v>43402</v>
      </c>
      <c r="B576" s="29"/>
      <c r="C576" s="29">
        <v>420</v>
      </c>
      <c r="D576" s="27">
        <f t="shared" si="8"/>
        <v>10087314.699999999</v>
      </c>
      <c r="E576" t="s">
        <v>36</v>
      </c>
      <c r="F576" t="s">
        <v>92</v>
      </c>
    </row>
    <row r="577" spans="1:6" x14ac:dyDescent="0.15">
      <c r="A577" s="26">
        <v>43402</v>
      </c>
      <c r="B577" s="29"/>
      <c r="C577" s="29">
        <v>420</v>
      </c>
      <c r="D577" s="27">
        <f t="shared" si="8"/>
        <v>10086894.699999999</v>
      </c>
      <c r="E577" t="s">
        <v>36</v>
      </c>
      <c r="F577" t="s">
        <v>92</v>
      </c>
    </row>
    <row r="578" spans="1:6" x14ac:dyDescent="0.15">
      <c r="A578" s="26">
        <v>43402</v>
      </c>
      <c r="B578" s="29"/>
      <c r="C578" s="29">
        <v>14087.75</v>
      </c>
      <c r="D578" s="27">
        <f t="shared" si="8"/>
        <v>10072806.949999999</v>
      </c>
      <c r="E578" t="s">
        <v>14</v>
      </c>
      <c r="F578" t="s">
        <v>87</v>
      </c>
    </row>
    <row r="579" spans="1:6" x14ac:dyDescent="0.15">
      <c r="A579" s="26">
        <v>43402</v>
      </c>
      <c r="B579" s="29"/>
      <c r="C579" s="29">
        <v>9155</v>
      </c>
      <c r="D579" s="27">
        <f t="shared" si="8"/>
        <v>10063651.949999999</v>
      </c>
      <c r="E579" t="s">
        <v>14</v>
      </c>
      <c r="F579" t="s">
        <v>87</v>
      </c>
    </row>
    <row r="580" spans="1:6" x14ac:dyDescent="0.15">
      <c r="A580" s="26">
        <v>43402</v>
      </c>
      <c r="B580" s="29"/>
      <c r="C580" s="29">
        <v>4523.22</v>
      </c>
      <c r="D580" s="27">
        <f t="shared" si="8"/>
        <v>10059128.729999999</v>
      </c>
      <c r="E580" t="s">
        <v>14</v>
      </c>
      <c r="F580" t="s">
        <v>87</v>
      </c>
    </row>
    <row r="581" spans="1:6" x14ac:dyDescent="0.15">
      <c r="A581" s="26">
        <v>43402</v>
      </c>
      <c r="B581" s="29"/>
      <c r="C581" s="29">
        <v>14245.55</v>
      </c>
      <c r="D581" s="27">
        <f t="shared" si="8"/>
        <v>10044883.179999998</v>
      </c>
      <c r="E581" t="s">
        <v>14</v>
      </c>
      <c r="F581" t="s">
        <v>87</v>
      </c>
    </row>
    <row r="582" spans="1:6" x14ac:dyDescent="0.15">
      <c r="A582" s="26">
        <v>43403</v>
      </c>
      <c r="B582" s="29"/>
      <c r="C582" s="29">
        <v>400000</v>
      </c>
      <c r="D582" s="27">
        <f t="shared" ref="D582:D645" si="9">D581+B582-C582</f>
        <v>9644883.1799999978</v>
      </c>
      <c r="E582" t="s">
        <v>178</v>
      </c>
      <c r="F582" t="s">
        <v>83</v>
      </c>
    </row>
    <row r="583" spans="1:6" x14ac:dyDescent="0.15">
      <c r="A583" s="26">
        <v>43404</v>
      </c>
      <c r="B583" s="29"/>
      <c r="C583" s="29">
        <v>10.5</v>
      </c>
      <c r="D583" s="27">
        <f t="shared" si="9"/>
        <v>9644872.6799999978</v>
      </c>
      <c r="E583" t="s">
        <v>112</v>
      </c>
      <c r="F583" t="s">
        <v>92</v>
      </c>
    </row>
    <row r="584" spans="1:6" x14ac:dyDescent="0.15">
      <c r="A584" s="26">
        <v>43405</v>
      </c>
      <c r="B584" s="29"/>
      <c r="C584" s="29">
        <v>3960</v>
      </c>
      <c r="D584" s="27">
        <f t="shared" si="9"/>
        <v>9640912.6799999978</v>
      </c>
      <c r="E584" t="s">
        <v>179</v>
      </c>
      <c r="F584" t="s">
        <v>92</v>
      </c>
    </row>
    <row r="585" spans="1:6" x14ac:dyDescent="0.15">
      <c r="A585" s="26">
        <v>43405</v>
      </c>
      <c r="B585" s="29"/>
      <c r="C585" s="29">
        <v>400000</v>
      </c>
      <c r="D585" s="27">
        <f t="shared" si="9"/>
        <v>9240912.6799999978</v>
      </c>
      <c r="E585" t="s">
        <v>180</v>
      </c>
      <c r="F585" t="s">
        <v>92</v>
      </c>
    </row>
    <row r="586" spans="1:6" x14ac:dyDescent="0.15">
      <c r="A586" s="26">
        <v>43406</v>
      </c>
      <c r="B586" s="29"/>
      <c r="C586" s="29">
        <v>10.5</v>
      </c>
      <c r="D586" s="27">
        <f t="shared" si="9"/>
        <v>9240902.1799999978</v>
      </c>
      <c r="E586" t="s">
        <v>112</v>
      </c>
      <c r="F586" t="s">
        <v>92</v>
      </c>
    </row>
    <row r="587" spans="1:6" x14ac:dyDescent="0.15">
      <c r="A587" s="26">
        <v>43406</v>
      </c>
      <c r="B587" s="29"/>
      <c r="C587" s="29">
        <v>7339.17</v>
      </c>
      <c r="D587" s="27">
        <f t="shared" si="9"/>
        <v>9233563.0099999979</v>
      </c>
      <c r="E587" t="s">
        <v>113</v>
      </c>
      <c r="F587" t="s">
        <v>93</v>
      </c>
    </row>
    <row r="588" spans="1:6" x14ac:dyDescent="0.15">
      <c r="A588" s="26">
        <v>43406</v>
      </c>
      <c r="B588" s="29"/>
      <c r="C588" s="29">
        <v>5000</v>
      </c>
      <c r="D588" s="27">
        <f t="shared" si="9"/>
        <v>9228563.0099999979</v>
      </c>
      <c r="E588" t="s">
        <v>181</v>
      </c>
      <c r="F588" t="s">
        <v>182</v>
      </c>
    </row>
    <row r="589" spans="1:6" x14ac:dyDescent="0.15">
      <c r="A589" s="26">
        <v>43409</v>
      </c>
      <c r="B589" s="29"/>
      <c r="C589" s="29">
        <v>3302.5</v>
      </c>
      <c r="D589" s="27">
        <f t="shared" si="9"/>
        <v>9225260.5099999979</v>
      </c>
      <c r="E589" t="s">
        <v>36</v>
      </c>
      <c r="F589" t="s">
        <v>92</v>
      </c>
    </row>
    <row r="590" spans="1:6" x14ac:dyDescent="0.15">
      <c r="A590" s="26">
        <v>43430</v>
      </c>
      <c r="B590" s="29"/>
      <c r="C590" s="29">
        <v>33667.75</v>
      </c>
      <c r="D590" s="27">
        <f t="shared" si="9"/>
        <v>9191592.7599999979</v>
      </c>
      <c r="E590" t="s">
        <v>14</v>
      </c>
      <c r="F590" t="s">
        <v>87</v>
      </c>
    </row>
    <row r="591" spans="1:6" x14ac:dyDescent="0.15">
      <c r="A591" s="26">
        <v>43430</v>
      </c>
      <c r="B591" s="29"/>
      <c r="C591" s="29">
        <v>9110</v>
      </c>
      <c r="D591" s="27">
        <f t="shared" si="9"/>
        <v>9182482.7599999979</v>
      </c>
      <c r="E591" t="s">
        <v>14</v>
      </c>
      <c r="F591" t="s">
        <v>87</v>
      </c>
    </row>
    <row r="592" spans="1:6" x14ac:dyDescent="0.15">
      <c r="A592" s="26">
        <v>43430</v>
      </c>
      <c r="B592" s="29"/>
      <c r="C592" s="29">
        <v>4538.22</v>
      </c>
      <c r="D592" s="27">
        <f t="shared" si="9"/>
        <v>9177944.5399999972</v>
      </c>
      <c r="E592" t="s">
        <v>14</v>
      </c>
      <c r="F592" t="s">
        <v>87</v>
      </c>
    </row>
    <row r="593" spans="1:6" x14ac:dyDescent="0.15">
      <c r="A593" s="26">
        <v>43430</v>
      </c>
      <c r="B593" s="29"/>
      <c r="C593" s="29">
        <v>15548.66</v>
      </c>
      <c r="D593" s="27">
        <f t="shared" si="9"/>
        <v>9162395.8799999971</v>
      </c>
      <c r="E593" t="s">
        <v>14</v>
      </c>
      <c r="F593" t="s">
        <v>87</v>
      </c>
    </row>
    <row r="594" spans="1:6" x14ac:dyDescent="0.15">
      <c r="A594" s="26">
        <v>43430</v>
      </c>
      <c r="B594" s="29"/>
      <c r="C594" s="29">
        <v>339</v>
      </c>
      <c r="D594" s="27">
        <f t="shared" si="9"/>
        <v>9162056.8799999971</v>
      </c>
      <c r="E594" t="s">
        <v>183</v>
      </c>
      <c r="F594" t="s">
        <v>92</v>
      </c>
    </row>
    <row r="595" spans="1:6" x14ac:dyDescent="0.15">
      <c r="A595" s="26">
        <v>43430</v>
      </c>
      <c r="B595" s="29"/>
      <c r="C595" s="29">
        <v>420</v>
      </c>
      <c r="D595" s="27">
        <f t="shared" si="9"/>
        <v>9161636.8799999971</v>
      </c>
      <c r="E595" t="s">
        <v>36</v>
      </c>
      <c r="F595" t="s">
        <v>92</v>
      </c>
    </row>
    <row r="596" spans="1:6" x14ac:dyDescent="0.15">
      <c r="A596" s="26">
        <v>43430</v>
      </c>
      <c r="B596" s="29"/>
      <c r="C596" s="29">
        <v>10068</v>
      </c>
      <c r="D596" s="27">
        <f t="shared" si="9"/>
        <v>9151568.8799999971</v>
      </c>
      <c r="E596" t="s">
        <v>36</v>
      </c>
      <c r="F596" t="s">
        <v>92</v>
      </c>
    </row>
    <row r="597" spans="1:6" x14ac:dyDescent="0.15">
      <c r="A597" s="26">
        <v>43430</v>
      </c>
      <c r="B597" s="29"/>
      <c r="C597" s="29">
        <v>939.6</v>
      </c>
      <c r="D597" s="27">
        <f t="shared" si="9"/>
        <v>9150629.2799999975</v>
      </c>
      <c r="E597" t="s">
        <v>36</v>
      </c>
      <c r="F597" t="s">
        <v>92</v>
      </c>
    </row>
    <row r="598" spans="1:6" x14ac:dyDescent="0.15">
      <c r="A598" s="26">
        <v>43430</v>
      </c>
      <c r="B598" s="29"/>
      <c r="C598" s="29">
        <v>16180.04</v>
      </c>
      <c r="D598" s="27">
        <f t="shared" si="9"/>
        <v>9134449.2399999984</v>
      </c>
      <c r="E598" t="s">
        <v>36</v>
      </c>
      <c r="F598" t="s">
        <v>92</v>
      </c>
    </row>
    <row r="599" spans="1:6" x14ac:dyDescent="0.15">
      <c r="A599" s="26">
        <v>43438</v>
      </c>
      <c r="B599" s="29"/>
      <c r="C599" s="29">
        <v>5237.99</v>
      </c>
      <c r="D599" s="27">
        <f t="shared" si="9"/>
        <v>9129211.2499999981</v>
      </c>
      <c r="E599" t="s">
        <v>113</v>
      </c>
      <c r="F599" t="s">
        <v>93</v>
      </c>
    </row>
    <row r="600" spans="1:6" x14ac:dyDescent="0.15">
      <c r="A600" s="26">
        <v>43438</v>
      </c>
      <c r="B600" s="29"/>
      <c r="C600" s="29">
        <v>575</v>
      </c>
      <c r="D600" s="27">
        <f t="shared" si="9"/>
        <v>9128636.2499999981</v>
      </c>
      <c r="E600" t="s">
        <v>115</v>
      </c>
      <c r="F600" t="s">
        <v>100</v>
      </c>
    </row>
    <row r="601" spans="1:6" x14ac:dyDescent="0.15">
      <c r="A601" s="26">
        <v>43440</v>
      </c>
      <c r="B601" s="29"/>
      <c r="C601" s="29">
        <v>150</v>
      </c>
      <c r="D601" s="27">
        <f t="shared" si="9"/>
        <v>9128486.2499999981</v>
      </c>
      <c r="E601" t="s">
        <v>36</v>
      </c>
      <c r="F601" t="s">
        <v>92</v>
      </c>
    </row>
    <row r="602" spans="1:6" x14ac:dyDescent="0.15">
      <c r="A602" s="26">
        <v>43445</v>
      </c>
      <c r="B602" s="29">
        <v>800</v>
      </c>
      <c r="C602" s="29"/>
      <c r="D602" s="27">
        <f t="shared" si="9"/>
        <v>9129286.2499999981</v>
      </c>
      <c r="E602" t="s">
        <v>184</v>
      </c>
      <c r="F602" t="s">
        <v>83</v>
      </c>
    </row>
    <row r="603" spans="1:6" x14ac:dyDescent="0.15">
      <c r="A603" s="26">
        <v>43452</v>
      </c>
      <c r="B603" s="29"/>
      <c r="C603" s="29">
        <v>1000</v>
      </c>
      <c r="D603" s="27">
        <f t="shared" si="9"/>
        <v>9128286.2499999981</v>
      </c>
      <c r="E603" t="s">
        <v>185</v>
      </c>
      <c r="F603" t="s">
        <v>92</v>
      </c>
    </row>
    <row r="604" spans="1:6" x14ac:dyDescent="0.15">
      <c r="A604" s="26">
        <v>43455</v>
      </c>
      <c r="B604" s="29">
        <v>6679.52</v>
      </c>
      <c r="C604" s="29"/>
      <c r="D604" s="27">
        <f t="shared" si="9"/>
        <v>9134965.7699999977</v>
      </c>
      <c r="E604" t="s">
        <v>114</v>
      </c>
      <c r="F604" t="s">
        <v>97</v>
      </c>
    </row>
    <row r="605" spans="1:6" x14ac:dyDescent="0.15">
      <c r="A605" s="26">
        <v>43459</v>
      </c>
      <c r="B605" s="29"/>
      <c r="C605" s="29">
        <v>8588.24</v>
      </c>
      <c r="D605" s="27">
        <f t="shared" si="9"/>
        <v>9126377.5299999975</v>
      </c>
      <c r="E605" t="s">
        <v>36</v>
      </c>
      <c r="F605" t="s">
        <v>92</v>
      </c>
    </row>
    <row r="606" spans="1:6" x14ac:dyDescent="0.15">
      <c r="A606" s="26">
        <v>43459</v>
      </c>
      <c r="B606" s="29"/>
      <c r="C606" s="29">
        <v>1938.9</v>
      </c>
      <c r="D606" s="27">
        <f t="shared" si="9"/>
        <v>9124438.6299999971</v>
      </c>
      <c r="E606" t="s">
        <v>36</v>
      </c>
      <c r="F606" t="s">
        <v>92</v>
      </c>
    </row>
    <row r="607" spans="1:6" x14ac:dyDescent="0.15">
      <c r="A607" s="26">
        <v>43459</v>
      </c>
      <c r="B607" s="29"/>
      <c r="C607" s="29">
        <v>3193</v>
      </c>
      <c r="D607" s="27">
        <f t="shared" si="9"/>
        <v>9121245.6299999971</v>
      </c>
      <c r="E607" t="s">
        <v>36</v>
      </c>
      <c r="F607" t="s">
        <v>92</v>
      </c>
    </row>
    <row r="608" spans="1:6" x14ac:dyDescent="0.15">
      <c r="A608" s="26">
        <v>43459</v>
      </c>
      <c r="B608" s="29"/>
      <c r="C608" s="29">
        <v>27817.75</v>
      </c>
      <c r="D608" s="27">
        <f t="shared" si="9"/>
        <v>9093427.8799999971</v>
      </c>
      <c r="E608" t="s">
        <v>14</v>
      </c>
      <c r="F608" t="s">
        <v>87</v>
      </c>
    </row>
    <row r="609" spans="1:6" x14ac:dyDescent="0.15">
      <c r="A609" s="26">
        <v>43459</v>
      </c>
      <c r="B609" s="29"/>
      <c r="C609" s="29">
        <v>9260</v>
      </c>
      <c r="D609" s="27">
        <f t="shared" si="9"/>
        <v>9084167.8799999971</v>
      </c>
      <c r="E609" t="s">
        <v>14</v>
      </c>
      <c r="F609" t="s">
        <v>87</v>
      </c>
    </row>
    <row r="610" spans="1:6" x14ac:dyDescent="0.15">
      <c r="A610" s="26">
        <v>43459</v>
      </c>
      <c r="B610" s="29"/>
      <c r="C610" s="29">
        <v>4959.3999999999996</v>
      </c>
      <c r="D610" s="27">
        <f t="shared" si="9"/>
        <v>9079208.4799999967</v>
      </c>
      <c r="E610" t="s">
        <v>14</v>
      </c>
      <c r="F610" t="s">
        <v>87</v>
      </c>
    </row>
    <row r="611" spans="1:6" x14ac:dyDescent="0.15">
      <c r="A611" s="26">
        <v>43459</v>
      </c>
      <c r="B611" s="29"/>
      <c r="C611" s="29">
        <v>15548.66</v>
      </c>
      <c r="D611" s="27">
        <f t="shared" si="9"/>
        <v>9063659.8199999966</v>
      </c>
      <c r="E611" t="s">
        <v>14</v>
      </c>
      <c r="F611" t="s">
        <v>87</v>
      </c>
    </row>
    <row r="612" spans="1:6" x14ac:dyDescent="0.15">
      <c r="A612" s="26">
        <v>43459</v>
      </c>
      <c r="B612" s="29"/>
      <c r="C612" s="29">
        <v>14087.75</v>
      </c>
      <c r="D612" s="27">
        <f t="shared" si="9"/>
        <v>9049572.0699999966</v>
      </c>
      <c r="E612" t="s">
        <v>186</v>
      </c>
      <c r="F612" t="s">
        <v>87</v>
      </c>
    </row>
    <row r="613" spans="1:6" x14ac:dyDescent="0.15">
      <c r="A613" s="26">
        <v>43459</v>
      </c>
      <c r="B613" s="29"/>
      <c r="C613" s="29">
        <v>31578.9</v>
      </c>
      <c r="D613" s="27">
        <f t="shared" si="9"/>
        <v>9017993.1699999962</v>
      </c>
      <c r="E613" t="s">
        <v>186</v>
      </c>
      <c r="F613" t="s">
        <v>87</v>
      </c>
    </row>
    <row r="614" spans="1:6" x14ac:dyDescent="0.15">
      <c r="A614" s="26">
        <v>43461</v>
      </c>
      <c r="B614" s="29"/>
      <c r="C614" s="29">
        <v>3840</v>
      </c>
      <c r="D614" s="27">
        <f t="shared" si="9"/>
        <v>9014153.1699999962</v>
      </c>
      <c r="E614" t="s">
        <v>36</v>
      </c>
      <c r="F614" t="s">
        <v>92</v>
      </c>
    </row>
    <row r="615" spans="1:6" x14ac:dyDescent="0.15">
      <c r="A615" s="26">
        <v>43104</v>
      </c>
      <c r="B615" s="29"/>
      <c r="C615" s="29">
        <v>50</v>
      </c>
      <c r="D615" s="27">
        <f t="shared" si="9"/>
        <v>9014103.1699999962</v>
      </c>
      <c r="E615" t="s">
        <v>5</v>
      </c>
      <c r="F615" t="s">
        <v>92</v>
      </c>
    </row>
    <row r="616" spans="1:6" x14ac:dyDescent="0.15">
      <c r="A616" s="26">
        <v>43106</v>
      </c>
      <c r="B616" s="29"/>
      <c r="C616" s="29">
        <v>5819.12</v>
      </c>
      <c r="D616" s="27">
        <f t="shared" si="9"/>
        <v>9008284.049999997</v>
      </c>
      <c r="E616" t="s">
        <v>52</v>
      </c>
      <c r="F616" t="s">
        <v>88</v>
      </c>
    </row>
    <row r="617" spans="1:6" x14ac:dyDescent="0.15">
      <c r="A617" s="26">
        <v>43115</v>
      </c>
      <c r="B617" s="29"/>
      <c r="C617" s="29">
        <v>5976</v>
      </c>
      <c r="D617" s="27">
        <f t="shared" si="9"/>
        <v>9002308.049999997</v>
      </c>
      <c r="E617" t="s">
        <v>3</v>
      </c>
      <c r="F617" t="s">
        <v>4</v>
      </c>
    </row>
    <row r="618" spans="1:6" x14ac:dyDescent="0.15">
      <c r="A618" s="26">
        <v>43135</v>
      </c>
      <c r="B618" s="29"/>
      <c r="C618" s="29">
        <v>50</v>
      </c>
      <c r="D618" s="27">
        <f t="shared" si="9"/>
        <v>9002258.049999997</v>
      </c>
      <c r="E618" t="s">
        <v>5</v>
      </c>
      <c r="F618" t="s">
        <v>92</v>
      </c>
    </row>
    <row r="619" spans="1:6" x14ac:dyDescent="0.15">
      <c r="A619" s="26">
        <v>43136</v>
      </c>
      <c r="B619" s="29"/>
      <c r="C619" s="29">
        <v>5819.12</v>
      </c>
      <c r="D619" s="27">
        <f t="shared" si="9"/>
        <v>8996438.9299999978</v>
      </c>
      <c r="E619" t="s">
        <v>52</v>
      </c>
      <c r="F619" t="s">
        <v>88</v>
      </c>
    </row>
    <row r="620" spans="1:6" x14ac:dyDescent="0.15">
      <c r="A620" s="26">
        <v>43153</v>
      </c>
      <c r="B620" s="29"/>
      <c r="C620" s="29">
        <v>5976</v>
      </c>
      <c r="D620" s="27">
        <f t="shared" si="9"/>
        <v>8990462.9299999978</v>
      </c>
      <c r="E620" t="s">
        <v>3</v>
      </c>
      <c r="F620" t="s">
        <v>4</v>
      </c>
    </row>
    <row r="621" spans="1:6" x14ac:dyDescent="0.15">
      <c r="A621" s="26">
        <v>43163</v>
      </c>
      <c r="B621" s="29"/>
      <c r="C621" s="29">
        <v>50</v>
      </c>
      <c r="D621" s="27">
        <f t="shared" si="9"/>
        <v>8990412.9299999978</v>
      </c>
      <c r="E621" t="s">
        <v>5</v>
      </c>
      <c r="F621" t="s">
        <v>92</v>
      </c>
    </row>
    <row r="622" spans="1:6" x14ac:dyDescent="0.15">
      <c r="A622" s="26">
        <v>43164</v>
      </c>
      <c r="B622" s="29"/>
      <c r="C622" s="29">
        <v>5819.12</v>
      </c>
      <c r="D622" s="27">
        <f t="shared" si="9"/>
        <v>8984593.8099999987</v>
      </c>
      <c r="E622" t="s">
        <v>52</v>
      </c>
      <c r="F622" t="s">
        <v>88</v>
      </c>
    </row>
    <row r="623" spans="1:6" x14ac:dyDescent="0.15">
      <c r="A623" s="26">
        <v>43174</v>
      </c>
      <c r="B623" s="29"/>
      <c r="C623" s="29">
        <v>5976</v>
      </c>
      <c r="D623" s="27">
        <f t="shared" si="9"/>
        <v>8978617.8099999987</v>
      </c>
      <c r="E623" t="s">
        <v>3</v>
      </c>
      <c r="F623" t="s">
        <v>4</v>
      </c>
    </row>
    <row r="624" spans="1:6" x14ac:dyDescent="0.15">
      <c r="A624" s="26">
        <v>43180</v>
      </c>
      <c r="B624" s="29">
        <v>103.1</v>
      </c>
      <c r="C624" s="29"/>
      <c r="D624" s="27">
        <f t="shared" si="9"/>
        <v>8978720.9099999983</v>
      </c>
      <c r="E624" t="s">
        <v>187</v>
      </c>
      <c r="F624" t="s">
        <v>97</v>
      </c>
    </row>
    <row r="625" spans="1:6" x14ac:dyDescent="0.15">
      <c r="A625" s="26">
        <v>43194</v>
      </c>
      <c r="B625" s="29"/>
      <c r="C625" s="29">
        <v>50</v>
      </c>
      <c r="D625" s="27">
        <f t="shared" si="9"/>
        <v>8978670.9099999983</v>
      </c>
      <c r="E625" t="s">
        <v>5</v>
      </c>
      <c r="F625" t="s">
        <v>92</v>
      </c>
    </row>
    <row r="626" spans="1:6" x14ac:dyDescent="0.15">
      <c r="A626" s="26">
        <v>43195</v>
      </c>
      <c r="B626" s="29"/>
      <c r="C626" s="29">
        <v>5819.12</v>
      </c>
      <c r="D626" s="27">
        <f t="shared" si="9"/>
        <v>8972851.7899999991</v>
      </c>
      <c r="E626" t="s">
        <v>52</v>
      </c>
      <c r="F626" t="s">
        <v>88</v>
      </c>
    </row>
    <row r="627" spans="1:6" x14ac:dyDescent="0.15">
      <c r="A627" s="26">
        <v>43206</v>
      </c>
      <c r="B627" s="29"/>
      <c r="C627" s="29">
        <v>5976</v>
      </c>
      <c r="D627" s="27">
        <f t="shared" si="9"/>
        <v>8966875.7899999991</v>
      </c>
      <c r="E627" t="s">
        <v>3</v>
      </c>
      <c r="F627" t="s">
        <v>4</v>
      </c>
    </row>
    <row r="628" spans="1:6" x14ac:dyDescent="0.15">
      <c r="A628" s="26">
        <v>43224</v>
      </c>
      <c r="B628" s="29"/>
      <c r="C628" s="29">
        <v>50</v>
      </c>
      <c r="D628" s="27">
        <f t="shared" si="9"/>
        <v>8966825.7899999991</v>
      </c>
      <c r="E628" t="s">
        <v>5</v>
      </c>
      <c r="F628" t="s">
        <v>92</v>
      </c>
    </row>
    <row r="629" spans="1:6" x14ac:dyDescent="0.15">
      <c r="A629" s="26">
        <v>43225</v>
      </c>
      <c r="B629" s="29"/>
      <c r="C629" s="29">
        <v>5819.12</v>
      </c>
      <c r="D629" s="27">
        <f t="shared" si="9"/>
        <v>8961006.6699999999</v>
      </c>
      <c r="E629" t="s">
        <v>52</v>
      </c>
      <c r="F629" t="s">
        <v>88</v>
      </c>
    </row>
    <row r="630" spans="1:6" x14ac:dyDescent="0.15">
      <c r="A630" s="26">
        <v>43235</v>
      </c>
      <c r="B630" s="29"/>
      <c r="C630" s="29">
        <v>5976</v>
      </c>
      <c r="D630" s="27">
        <f t="shared" si="9"/>
        <v>8955030.6699999999</v>
      </c>
      <c r="E630" t="s">
        <v>188</v>
      </c>
      <c r="F630" t="s">
        <v>4</v>
      </c>
    </row>
    <row r="631" spans="1:6" x14ac:dyDescent="0.15">
      <c r="A631" s="26">
        <v>43255</v>
      </c>
      <c r="B631" s="29"/>
      <c r="C631" s="29">
        <v>50</v>
      </c>
      <c r="D631" s="27">
        <f t="shared" si="9"/>
        <v>8954980.6699999999</v>
      </c>
      <c r="E631" t="s">
        <v>5</v>
      </c>
      <c r="F631" t="s">
        <v>92</v>
      </c>
    </row>
    <row r="632" spans="1:6" x14ac:dyDescent="0.15">
      <c r="A632" s="26">
        <v>43256</v>
      </c>
      <c r="B632" s="29"/>
      <c r="C632" s="29">
        <v>5819.12</v>
      </c>
      <c r="D632" s="27">
        <f t="shared" si="9"/>
        <v>8949161.5500000007</v>
      </c>
      <c r="E632" t="s">
        <v>52</v>
      </c>
      <c r="F632" t="s">
        <v>88</v>
      </c>
    </row>
    <row r="633" spans="1:6" x14ac:dyDescent="0.15">
      <c r="A633" s="26">
        <v>43266</v>
      </c>
      <c r="B633" s="29"/>
      <c r="C633" s="29">
        <v>5976</v>
      </c>
      <c r="D633" s="27">
        <f t="shared" si="9"/>
        <v>8943185.5500000007</v>
      </c>
      <c r="E633" t="s">
        <v>188</v>
      </c>
      <c r="F633" t="s">
        <v>4</v>
      </c>
    </row>
    <row r="634" spans="1:6" x14ac:dyDescent="0.15">
      <c r="A634" s="26">
        <v>43272</v>
      </c>
      <c r="B634" s="29">
        <v>77.64</v>
      </c>
      <c r="C634" s="29"/>
      <c r="D634" s="27">
        <f t="shared" si="9"/>
        <v>8943263.1900000013</v>
      </c>
      <c r="E634" t="s">
        <v>189</v>
      </c>
      <c r="F634" t="s">
        <v>97</v>
      </c>
    </row>
    <row r="635" spans="1:6" x14ac:dyDescent="0.15">
      <c r="A635" s="26">
        <v>43285</v>
      </c>
      <c r="B635" s="29"/>
      <c r="C635" s="29">
        <v>50</v>
      </c>
      <c r="D635" s="27">
        <f t="shared" si="9"/>
        <v>8943213.1900000013</v>
      </c>
      <c r="E635" t="s">
        <v>5</v>
      </c>
      <c r="F635" t="s">
        <v>92</v>
      </c>
    </row>
    <row r="636" spans="1:6" x14ac:dyDescent="0.15">
      <c r="A636" s="26">
        <v>43286</v>
      </c>
      <c r="B636" s="29"/>
      <c r="C636" s="29">
        <v>7862.12</v>
      </c>
      <c r="D636" s="27">
        <f t="shared" si="9"/>
        <v>8935351.0700000022</v>
      </c>
      <c r="E636" t="s">
        <v>52</v>
      </c>
      <c r="F636" t="s">
        <v>88</v>
      </c>
    </row>
    <row r="637" spans="1:6" x14ac:dyDescent="0.15">
      <c r="A637" s="26">
        <v>43297</v>
      </c>
      <c r="B637" s="29"/>
      <c r="C637" s="29">
        <v>6216</v>
      </c>
      <c r="D637" s="27">
        <f t="shared" si="9"/>
        <v>8929135.0700000022</v>
      </c>
      <c r="E637" t="s">
        <v>188</v>
      </c>
      <c r="F637" t="s">
        <v>4</v>
      </c>
    </row>
    <row r="638" spans="1:6" x14ac:dyDescent="0.15">
      <c r="A638" s="26">
        <v>43316</v>
      </c>
      <c r="B638" s="29"/>
      <c r="C638" s="29">
        <v>50</v>
      </c>
      <c r="D638" s="27">
        <f t="shared" si="9"/>
        <v>8929085.0700000022</v>
      </c>
      <c r="E638" t="s">
        <v>5</v>
      </c>
      <c r="F638" t="s">
        <v>92</v>
      </c>
    </row>
    <row r="639" spans="1:6" x14ac:dyDescent="0.15">
      <c r="A639" s="26">
        <v>43317</v>
      </c>
      <c r="B639" s="29"/>
      <c r="C639" s="29">
        <v>8126.4</v>
      </c>
      <c r="D639" s="27">
        <f t="shared" si="9"/>
        <v>8920958.6700000018</v>
      </c>
      <c r="E639" t="s">
        <v>52</v>
      </c>
      <c r="F639" t="s">
        <v>88</v>
      </c>
    </row>
    <row r="640" spans="1:6" x14ac:dyDescent="0.15">
      <c r="A640" s="26">
        <v>43327</v>
      </c>
      <c r="B640" s="29"/>
      <c r="C640" s="29">
        <v>6216</v>
      </c>
      <c r="D640" s="27">
        <f t="shared" si="9"/>
        <v>8914742.6700000018</v>
      </c>
      <c r="E640" t="s">
        <v>188</v>
      </c>
      <c r="F640" t="s">
        <v>4</v>
      </c>
    </row>
    <row r="641" spans="1:6" x14ac:dyDescent="0.15">
      <c r="A641" s="26">
        <v>43347</v>
      </c>
      <c r="B641" s="29"/>
      <c r="C641" s="29">
        <v>50</v>
      </c>
      <c r="D641" s="27">
        <f t="shared" si="9"/>
        <v>8914692.6700000018</v>
      </c>
      <c r="E641" t="s">
        <v>5</v>
      </c>
      <c r="F641" t="s">
        <v>92</v>
      </c>
    </row>
    <row r="642" spans="1:6" x14ac:dyDescent="0.15">
      <c r="A642" s="26">
        <v>43348</v>
      </c>
      <c r="B642" s="29"/>
      <c r="C642" s="29">
        <v>8126.4</v>
      </c>
      <c r="D642" s="27">
        <f t="shared" si="9"/>
        <v>8906566.2700000014</v>
      </c>
      <c r="E642" t="s">
        <v>52</v>
      </c>
      <c r="F642" t="s">
        <v>88</v>
      </c>
    </row>
    <row r="643" spans="1:6" x14ac:dyDescent="0.15">
      <c r="A643" s="26">
        <v>43360</v>
      </c>
      <c r="B643" s="29"/>
      <c r="C643" s="29">
        <v>6216</v>
      </c>
      <c r="D643" s="27">
        <f t="shared" si="9"/>
        <v>8900350.2700000014</v>
      </c>
      <c r="E643" t="s">
        <v>188</v>
      </c>
      <c r="F643" t="s">
        <v>4</v>
      </c>
    </row>
    <row r="644" spans="1:6" x14ac:dyDescent="0.15">
      <c r="A644" s="26">
        <v>43364</v>
      </c>
      <c r="B644" s="29">
        <v>47.7</v>
      </c>
      <c r="C644" s="29"/>
      <c r="D644" s="27">
        <f t="shared" si="9"/>
        <v>8900397.9700000007</v>
      </c>
      <c r="E644" t="s">
        <v>190</v>
      </c>
      <c r="F644" t="s">
        <v>97</v>
      </c>
    </row>
    <row r="645" spans="1:6" x14ac:dyDescent="0.15">
      <c r="A645" s="26">
        <v>43377</v>
      </c>
      <c r="B645" s="29"/>
      <c r="C645" s="29">
        <v>50</v>
      </c>
      <c r="D645" s="27">
        <f t="shared" si="9"/>
        <v>8900347.9700000007</v>
      </c>
      <c r="E645" t="s">
        <v>5</v>
      </c>
      <c r="F645" t="s">
        <v>92</v>
      </c>
    </row>
    <row r="646" spans="1:6" x14ac:dyDescent="0.15">
      <c r="A646" s="26">
        <v>43384</v>
      </c>
      <c r="B646" s="29"/>
      <c r="C646" s="29">
        <v>8126.4</v>
      </c>
      <c r="D646" s="27">
        <f t="shared" ref="D646:D655" si="10">D645+B646-C646</f>
        <v>8892221.5700000003</v>
      </c>
      <c r="E646" t="s">
        <v>52</v>
      </c>
      <c r="F646" t="s">
        <v>88</v>
      </c>
    </row>
    <row r="647" spans="1:6" x14ac:dyDescent="0.15">
      <c r="A647" s="26">
        <v>43388</v>
      </c>
      <c r="B647" s="29"/>
      <c r="C647" s="29">
        <v>6216</v>
      </c>
      <c r="D647" s="27">
        <f t="shared" si="10"/>
        <v>8886005.5700000003</v>
      </c>
      <c r="E647" t="s">
        <v>188</v>
      </c>
      <c r="F647" t="s">
        <v>4</v>
      </c>
    </row>
    <row r="648" spans="1:6" x14ac:dyDescent="0.15">
      <c r="A648" s="26">
        <v>43408</v>
      </c>
      <c r="B648" s="29"/>
      <c r="C648" s="29">
        <v>50</v>
      </c>
      <c r="D648" s="27">
        <f t="shared" si="10"/>
        <v>8885955.5700000003</v>
      </c>
      <c r="E648" t="s">
        <v>5</v>
      </c>
      <c r="F648" t="s">
        <v>92</v>
      </c>
    </row>
    <row r="649" spans="1:6" x14ac:dyDescent="0.15">
      <c r="A649" s="26">
        <v>43409</v>
      </c>
      <c r="B649" s="29"/>
      <c r="C649" s="29">
        <v>8126.4</v>
      </c>
      <c r="D649" s="27">
        <f t="shared" si="10"/>
        <v>8877829.1699999999</v>
      </c>
      <c r="E649" t="s">
        <v>52</v>
      </c>
      <c r="F649" t="s">
        <v>88</v>
      </c>
    </row>
    <row r="650" spans="1:6" x14ac:dyDescent="0.15">
      <c r="A650" s="26">
        <v>43419</v>
      </c>
      <c r="B650" s="29"/>
      <c r="C650" s="29">
        <v>6216</v>
      </c>
      <c r="D650" s="27">
        <f t="shared" si="10"/>
        <v>8871613.1699999999</v>
      </c>
      <c r="E650" t="s">
        <v>188</v>
      </c>
      <c r="F650" t="s">
        <v>4</v>
      </c>
    </row>
    <row r="651" spans="1:6" x14ac:dyDescent="0.15">
      <c r="A651" s="26">
        <v>43438</v>
      </c>
      <c r="B651" s="29"/>
      <c r="C651" s="29">
        <v>50</v>
      </c>
      <c r="D651" s="27">
        <f t="shared" si="10"/>
        <v>8871563.1699999999</v>
      </c>
      <c r="E651" t="s">
        <v>5</v>
      </c>
      <c r="F651" t="s">
        <v>92</v>
      </c>
    </row>
    <row r="652" spans="1:6" x14ac:dyDescent="0.15">
      <c r="A652" s="26">
        <v>43440</v>
      </c>
      <c r="B652" s="29"/>
      <c r="C652" s="29">
        <v>8126.4</v>
      </c>
      <c r="D652" s="27">
        <f t="shared" si="10"/>
        <v>8863436.7699999996</v>
      </c>
      <c r="E652" t="s">
        <v>52</v>
      </c>
      <c r="F652" t="s">
        <v>88</v>
      </c>
    </row>
    <row r="653" spans="1:6" x14ac:dyDescent="0.15">
      <c r="A653" s="26">
        <v>43451</v>
      </c>
      <c r="B653" s="29"/>
      <c r="C653" s="29">
        <v>6216</v>
      </c>
      <c r="D653" s="27">
        <f t="shared" si="10"/>
        <v>8857220.7699999996</v>
      </c>
      <c r="E653" t="s">
        <v>188</v>
      </c>
      <c r="F653" t="s">
        <v>4</v>
      </c>
    </row>
    <row r="654" spans="1:6" x14ac:dyDescent="0.15">
      <c r="A654" s="26">
        <v>43455</v>
      </c>
      <c r="B654" s="29">
        <v>62.5</v>
      </c>
      <c r="C654" s="29"/>
      <c r="D654" s="27">
        <f t="shared" si="10"/>
        <v>8857283.2699999996</v>
      </c>
      <c r="E654" t="s">
        <v>191</v>
      </c>
      <c r="F654" t="s">
        <v>97</v>
      </c>
    </row>
    <row r="655" spans="1:6" x14ac:dyDescent="0.15">
      <c r="A655" s="26">
        <v>43459</v>
      </c>
      <c r="B655" s="29"/>
      <c r="C655" s="29">
        <v>200</v>
      </c>
      <c r="D655" s="27">
        <f t="shared" si="10"/>
        <v>8857083.2699999996</v>
      </c>
      <c r="E655" t="s">
        <v>192</v>
      </c>
      <c r="F655" t="s">
        <v>83</v>
      </c>
    </row>
    <row r="656" spans="1:6" x14ac:dyDescent="0.15">
      <c r="A656" s="30" t="s">
        <v>193</v>
      </c>
      <c r="B656" s="29">
        <f>SUBTOTAL(109,表1[收入])</f>
        <v>34826458.200000003</v>
      </c>
      <c r="C656" s="29">
        <f>SUBTOTAL(109,表1[支出])</f>
        <v>25969374.929999992</v>
      </c>
      <c r="D656" s="2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8"/>
  <sheetViews>
    <sheetView topLeftCell="A13" workbookViewId="0">
      <selection activeCell="K29" sqref="K29"/>
    </sheetView>
  </sheetViews>
  <sheetFormatPr defaultRowHeight="13.5" x14ac:dyDescent="0.15"/>
  <cols>
    <col min="1" max="1" width="2.625" customWidth="1"/>
    <col min="3" max="3" width="12.125" customWidth="1"/>
    <col min="4" max="4" width="15.625" customWidth="1"/>
    <col min="5" max="5" width="16.375" customWidth="1"/>
    <col min="6" max="6" width="15.5" customWidth="1"/>
    <col min="7" max="7" width="16.5" customWidth="1"/>
    <col min="8" max="8" width="12.25" customWidth="1"/>
  </cols>
  <sheetData>
    <row r="2" spans="2:7" ht="21" customHeight="1" x14ac:dyDescent="0.15">
      <c r="B2" s="17" t="s">
        <v>111</v>
      </c>
      <c r="C2" s="14" t="s">
        <v>148</v>
      </c>
      <c r="D2" s="9" t="s">
        <v>95</v>
      </c>
      <c r="E2" s="9" t="s">
        <v>84</v>
      </c>
      <c r="F2" s="9" t="s">
        <v>96</v>
      </c>
      <c r="G2" s="10" t="s">
        <v>154</v>
      </c>
    </row>
    <row r="3" spans="2:7" ht="18" customHeight="1" x14ac:dyDescent="0.15">
      <c r="B3" s="21" t="s">
        <v>108</v>
      </c>
      <c r="C3" s="15" t="s">
        <v>149</v>
      </c>
      <c r="D3" s="7">
        <v>0</v>
      </c>
      <c r="E3" s="7">
        <v>0</v>
      </c>
      <c r="F3" s="7">
        <f>D3-E3</f>
        <v>0</v>
      </c>
      <c r="G3" s="11"/>
    </row>
    <row r="4" spans="2:7" ht="18" customHeight="1" x14ac:dyDescent="0.15">
      <c r="B4" s="21"/>
      <c r="C4" s="15" t="s">
        <v>150</v>
      </c>
      <c r="D4" s="7">
        <v>0</v>
      </c>
      <c r="E4" s="7">
        <v>0</v>
      </c>
      <c r="F4" s="7">
        <f t="shared" ref="F4:F6" si="0">D4-E4</f>
        <v>0</v>
      </c>
      <c r="G4" s="8"/>
    </row>
    <row r="5" spans="2:7" ht="18" customHeight="1" x14ac:dyDescent="0.15">
      <c r="B5" s="21"/>
      <c r="C5" s="15" t="s">
        <v>151</v>
      </c>
      <c r="D5" s="7">
        <f>SUMIFS(银行交易明细!B$4:B$655,银行交易明细!$F$4:$F$655,D$2,银行交易明细!$A$4:$A$655,"&gt;=2016/7/1",银行交易明细!$A$4:$A$655,"&lt;2016/10/1")</f>
        <v>97396.52</v>
      </c>
      <c r="E5" s="7">
        <f>SUMIFS(银行交易明细!C$4:C$655,银行交易明细!$F$4:$F$655,E$2,银行交易明细!$A$4:$A$655,"&gt;=2016/7/1",银行交易明细!$A$4:$A$655,"&lt;2016/10/1")</f>
        <v>68025</v>
      </c>
      <c r="F5" s="7">
        <f t="shared" si="0"/>
        <v>29371.520000000004</v>
      </c>
      <c r="G5" s="8">
        <f>F5/D5</f>
        <v>0.30156642146967882</v>
      </c>
    </row>
    <row r="6" spans="2:7" ht="18" customHeight="1" x14ac:dyDescent="0.15">
      <c r="B6" s="21"/>
      <c r="C6" s="15" t="s">
        <v>152</v>
      </c>
      <c r="D6" s="7">
        <f>SUMIFS(银行交易明细!B$4:B$655,银行交易明细!$F$4:$F$655,D$2,银行交易明细!$A$4:$A$655,"&gt;=2016/10/1",银行交易明细!$A$4:$A$655,"&lt;2017/1/1")</f>
        <v>799457.60000000009</v>
      </c>
      <c r="E6" s="7">
        <f>SUMIFS(银行交易明细!C$4:C$655,银行交易明细!$F$4:$F$655,E$2,银行交易明细!$A$4:$A$655,"&gt;=2016/10/1",银行交易明细!$A$4:$A$655,"&lt;2017/1/1")</f>
        <v>566093.52</v>
      </c>
      <c r="F6" s="7">
        <f t="shared" si="0"/>
        <v>233364.08000000007</v>
      </c>
      <c r="G6" s="8">
        <f>F6/D6</f>
        <v>0.29190301024094339</v>
      </c>
    </row>
    <row r="7" spans="2:7" ht="18" customHeight="1" x14ac:dyDescent="0.15">
      <c r="B7" s="21"/>
      <c r="C7" s="16" t="s">
        <v>157</v>
      </c>
      <c r="D7" s="12">
        <f>SUM(D3:D6)</f>
        <v>896854.12000000011</v>
      </c>
      <c r="E7" s="12">
        <f t="shared" ref="E7:F7" si="1">SUM(E3:E6)</f>
        <v>634118.52</v>
      </c>
      <c r="F7" s="12">
        <f t="shared" si="1"/>
        <v>262735.60000000009</v>
      </c>
      <c r="G7" s="13">
        <f>F7/D7</f>
        <v>0.29295243690244749</v>
      </c>
    </row>
    <row r="8" spans="2:7" ht="18" customHeight="1" x14ac:dyDescent="0.15">
      <c r="B8" s="21" t="s">
        <v>155</v>
      </c>
      <c r="C8" s="15" t="s">
        <v>149</v>
      </c>
      <c r="D8" s="7">
        <f>SUMIFS(银行交易明细!B$4:B$655,银行交易明细!$F$4:$F$655,D$2,银行交易明细!$A$4:$A$655,"&gt;=2017/1/1",银行交易明细!$A$4:$A$655,"&lt;2017/4/1")</f>
        <v>1287721.1000000001</v>
      </c>
      <c r="E8" s="7">
        <f>SUMIFS(银行交易明细!C$4:C$655,银行交易明细!$F$4:$F$655,E$2,银行交易明细!$A$4:$A$655,"&gt;=2017/1/1",银行交易明细!$A$4:$A$655,"&lt;2017/4/1")</f>
        <v>1168296.55</v>
      </c>
      <c r="F8" s="7">
        <f>D8-E8</f>
        <v>119424.55000000005</v>
      </c>
      <c r="G8" s="31">
        <f>F8/D8</f>
        <v>9.2741005796985104E-2</v>
      </c>
    </row>
    <row r="9" spans="2:7" ht="18" customHeight="1" x14ac:dyDescent="0.15">
      <c r="B9" s="21"/>
      <c r="C9" s="15" t="s">
        <v>150</v>
      </c>
      <c r="D9" s="7">
        <f>SUMIFS(银行交易明细!B$4:B$655,银行交易明细!$F$4:$F$655,D$2,银行交易明细!$A$4:$A$655,"&gt;=2017/4/1",银行交易明细!$A$4:$A$655,"&lt;2017/7/1")</f>
        <v>1509554.25</v>
      </c>
      <c r="E9" s="7">
        <f>SUMIFS(银行交易明细!C$4:C$655,银行交易明细!$F$4:$F$655,E$2,银行交易明细!$A$4:$A$655,"&gt;=2017/4/1",银行交易明细!$A$4:$A$655,"&lt;2017/7/1")</f>
        <v>1383134</v>
      </c>
      <c r="F9" s="7">
        <f t="shared" ref="F9:F11" si="2">D9-E9</f>
        <v>126420.25</v>
      </c>
      <c r="G9" s="31">
        <f t="shared" ref="G9:G11" si="3">F9/D9</f>
        <v>8.3746741794804652E-2</v>
      </c>
    </row>
    <row r="10" spans="2:7" ht="18" customHeight="1" x14ac:dyDescent="0.15">
      <c r="B10" s="21"/>
      <c r="C10" s="15" t="s">
        <v>151</v>
      </c>
      <c r="D10" s="7">
        <f>SUMIFS(银行交易明细!B$4:B$655,银行交易明细!$F$4:$F$655,D$2,银行交易明细!$A$4:$A$655,"&gt;=2017/7/1",银行交易明细!$A$4:$A$655,"&lt;2017/10/1")</f>
        <v>1693260.9700000002</v>
      </c>
      <c r="E10" s="7">
        <f>SUMIFS(银行交易明细!C$4:C$655,银行交易明细!$F$4:$F$655,E$2,银行交易明细!$A$4:$A$655,"&gt;=2017/7/1",银行交易明细!$A$4:$A$655,"&lt;2017/10/1")</f>
        <v>1583707.8900000001</v>
      </c>
      <c r="F10" s="7">
        <f t="shared" si="2"/>
        <v>109553.08000000007</v>
      </c>
      <c r="G10" s="31">
        <f t="shared" si="3"/>
        <v>6.4699465670669809E-2</v>
      </c>
    </row>
    <row r="11" spans="2:7" ht="18" customHeight="1" x14ac:dyDescent="0.15">
      <c r="B11" s="21"/>
      <c r="C11" s="15" t="s">
        <v>152</v>
      </c>
      <c r="D11" s="7">
        <f>SUMIFS(银行交易明细!B$4:B$655,银行交易明细!$F$4:$F$655,D$2,银行交易明细!$A$4:$A$655,"&gt;=2017/10/1",银行交易明细!$A$4:$A$655,"&lt;2018/1/1")</f>
        <v>1061735.27</v>
      </c>
      <c r="E11" s="7">
        <f>SUMIFS(银行交易明细!C$4:C$655,银行交易明细!$F$4:$F$655,E$2,银行交易明细!$A$4:$A$655,"&gt;=2017/10/1",银行交易明细!$A$4:$A$655,"&lt;2018/1/1")</f>
        <v>973901.52</v>
      </c>
      <c r="F11" s="7">
        <f t="shared" si="2"/>
        <v>87833.75</v>
      </c>
      <c r="G11" s="31">
        <f t="shared" si="3"/>
        <v>8.272660095392706E-2</v>
      </c>
    </row>
    <row r="12" spans="2:7" ht="18" customHeight="1" x14ac:dyDescent="0.15">
      <c r="B12" s="21"/>
      <c r="C12" s="16" t="s">
        <v>158</v>
      </c>
      <c r="D12" s="12">
        <f>SUM(D8:D11)</f>
        <v>5552271.5899999999</v>
      </c>
      <c r="E12" s="12">
        <f t="shared" ref="E12:F12" si="4">SUM(E8:E11)</f>
        <v>5109039.96</v>
      </c>
      <c r="F12" s="12">
        <f t="shared" si="4"/>
        <v>443231.63000000012</v>
      </c>
      <c r="G12" s="13">
        <f>F12/D12</f>
        <v>7.9828881353406586E-2</v>
      </c>
    </row>
    <row r="13" spans="2:7" ht="18" customHeight="1" x14ac:dyDescent="0.15">
      <c r="B13" s="21" t="s">
        <v>156</v>
      </c>
      <c r="C13" s="15" t="s">
        <v>149</v>
      </c>
      <c r="D13" s="7">
        <f>SUMIFS(银行交易明细!B$4:B$655,银行交易明细!$F$4:$F$655,D$2,银行交易明细!$A$4:$A$655,"&gt;=2018/1/1",银行交易明细!$A$4:$A$655,"&lt;2018/4/1")</f>
        <v>631969.29</v>
      </c>
      <c r="E13" s="7">
        <f>SUMIFS(银行交易明细!C$4:C$655,银行交易明细!$F$4:$F$655,E$2,银行交易明细!$A$4:$A$655,"&gt;=2018/1/1",银行交易明细!$A$4:$A$655,"&lt;2018/4/1")</f>
        <v>556596.3899999999</v>
      </c>
      <c r="F13" s="7">
        <f>D13-E13</f>
        <v>75372.90000000014</v>
      </c>
      <c r="G13" s="8">
        <f>F13/D13</f>
        <v>0.11926671310246759</v>
      </c>
    </row>
    <row r="14" spans="2:7" ht="18" customHeight="1" x14ac:dyDescent="0.15">
      <c r="B14" s="21"/>
      <c r="C14" s="15" t="s">
        <v>150</v>
      </c>
      <c r="D14" s="7">
        <f>SUMIFS(银行交易明细!B$4:B$655,银行交易明细!$F$4:$F$655,D$2,银行交易明细!$A$4:$A$655,"&gt;=2018/4/1",银行交易明细!$A$4:$A$655,"&lt;2018/7/1")</f>
        <v>174592.9</v>
      </c>
      <c r="E14" s="7">
        <f>SUMIFS(银行交易明细!C$4:C$655,银行交易明细!$F$4:$F$655,E$2,银行交易明细!$A$4:$A$655,"&gt;=2018/4/1",银行交易明细!$A$4:$A$655,"&lt;2018/7/1")</f>
        <v>160000</v>
      </c>
      <c r="F14" s="7">
        <f t="shared" ref="F14:F16" si="5">D14-E14</f>
        <v>14592.899999999994</v>
      </c>
      <c r="G14" s="8">
        <f>F14/D14</f>
        <v>8.3582436628293566E-2</v>
      </c>
    </row>
    <row r="15" spans="2:7" ht="18" customHeight="1" x14ac:dyDescent="0.15">
      <c r="B15" s="21"/>
      <c r="C15" s="15" t="s">
        <v>151</v>
      </c>
      <c r="D15" s="7">
        <v>0</v>
      </c>
      <c r="E15" s="7">
        <v>0</v>
      </c>
      <c r="F15" s="7">
        <f t="shared" si="5"/>
        <v>0</v>
      </c>
      <c r="G15" s="11"/>
    </row>
    <row r="16" spans="2:7" ht="18" customHeight="1" x14ac:dyDescent="0.15">
      <c r="B16" s="21"/>
      <c r="C16" s="15" t="s">
        <v>152</v>
      </c>
      <c r="D16" s="7">
        <v>0</v>
      </c>
      <c r="E16" s="7">
        <v>0</v>
      </c>
      <c r="F16" s="7">
        <f t="shared" si="5"/>
        <v>0</v>
      </c>
      <c r="G16" s="11"/>
    </row>
    <row r="17" spans="2:7" ht="18" customHeight="1" x14ac:dyDescent="0.15">
      <c r="B17" s="22"/>
      <c r="C17" s="20" t="s">
        <v>159</v>
      </c>
      <c r="D17" s="18">
        <f>SUM(D13:D16)</f>
        <v>806562.19000000006</v>
      </c>
      <c r="E17" s="18">
        <f t="shared" ref="E17:F17" si="6">SUM(E13:E16)</f>
        <v>716596.3899999999</v>
      </c>
      <c r="F17" s="18">
        <f t="shared" si="6"/>
        <v>89965.800000000134</v>
      </c>
      <c r="G17" s="19">
        <f>F17/D17</f>
        <v>0.11154229781091043</v>
      </c>
    </row>
    <row r="18" spans="2:7" ht="23.25" customHeight="1" x14ac:dyDescent="0.15">
      <c r="B18" s="23" t="s">
        <v>160</v>
      </c>
      <c r="C18" s="24"/>
      <c r="D18" s="32">
        <f>D7+D12+D17</f>
        <v>7255687.9000000004</v>
      </c>
      <c r="E18" s="32">
        <f t="shared" ref="E18:F18" si="7">E7+E12+E17</f>
        <v>6459754.8700000001</v>
      </c>
      <c r="F18" s="32">
        <f t="shared" si="7"/>
        <v>795933.03000000038</v>
      </c>
      <c r="G18" s="33">
        <f>F18/D18</f>
        <v>0.10969780411861435</v>
      </c>
    </row>
  </sheetData>
  <mergeCells count="4">
    <mergeCell ref="B3:B7"/>
    <mergeCell ref="B8:B12"/>
    <mergeCell ref="B13:B17"/>
    <mergeCell ref="B18:C1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费用支出统计</vt:lpstr>
      <vt:lpstr>银行交易明细</vt:lpstr>
      <vt:lpstr>销售情况统计</vt:lpstr>
    </vt:vector>
  </TitlesOfParts>
  <Company>BaiDu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wuyou</cp:lastModifiedBy>
  <dcterms:created xsi:type="dcterms:W3CDTF">2017-01-17T01:35:18Z</dcterms:created>
  <dcterms:modified xsi:type="dcterms:W3CDTF">2020-11-05T09:51:02Z</dcterms:modified>
</cp:coreProperties>
</file>