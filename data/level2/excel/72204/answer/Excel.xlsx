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20" yWindow="615" windowWidth="18705" windowHeight="11970" tabRatio="880" firstSheet="1" activeTab="4"/>
  </bookViews>
  <sheets>
    <sheet name="第1周" sheetId="19" r:id="rId1"/>
    <sheet name="第2周" sheetId="12" r:id="rId2"/>
    <sheet name="第3周" sheetId="13" r:id="rId3"/>
    <sheet name="第4周" sheetId="15" r:id="rId4"/>
    <sheet name="数据透视" sheetId="22" r:id="rId5"/>
    <sheet name="月销售合计" sheetId="20" r:id="rId6"/>
    <sheet name="品种目录" sheetId="21" r:id="rId7"/>
  </sheets>
  <definedNames>
    <definedName name="_xlnm._FilterDatabase" localSheetId="0" hidden="1">第1周!$A$1:$H$106</definedName>
    <definedName name="_xlnm._FilterDatabase" localSheetId="2" hidden="1">第3周!$A$1:$H$98</definedName>
    <definedName name="_xlnm._FilterDatabase" localSheetId="3" hidden="1">第4周!$A$1:$H$114</definedName>
    <definedName name="_xlnm._FilterDatabase" localSheetId="5" hidden="1">月销售合计!$A$1:$I$152</definedName>
    <definedName name="第1周">第1周!$A$1:$H$106</definedName>
    <definedName name="第2周">第2周!$A$1:$H$147</definedName>
    <definedName name="第3周">第3周!$A$1:$H$98</definedName>
    <definedName name="第4周">第4周!$A$1:$H$114</definedName>
    <definedName name="蔬菜主要品种目录" localSheetId="6">品种目录!$A$1:$D$921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0" l="1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2" i="20"/>
  <c r="G3" i="15"/>
  <c r="H3" i="15" s="1"/>
  <c r="G4" i="15"/>
  <c r="H4" i="15" s="1"/>
  <c r="G5" i="15"/>
  <c r="H5" i="15" s="1"/>
  <c r="G6" i="15"/>
  <c r="H6" i="15" s="1"/>
  <c r="G7" i="15"/>
  <c r="H7" i="15" s="1"/>
  <c r="G8" i="15"/>
  <c r="H8" i="15" s="1"/>
  <c r="G9" i="15"/>
  <c r="H9" i="15" s="1"/>
  <c r="G10" i="15"/>
  <c r="H10" i="15" s="1"/>
  <c r="G11" i="15"/>
  <c r="H11" i="15" s="1"/>
  <c r="G12" i="15"/>
  <c r="H12" i="15" s="1"/>
  <c r="G13" i="15"/>
  <c r="H13" i="15" s="1"/>
  <c r="G14" i="15"/>
  <c r="H14" i="15" s="1"/>
  <c r="G15" i="15"/>
  <c r="H15" i="15" s="1"/>
  <c r="G16" i="15"/>
  <c r="H16" i="15" s="1"/>
  <c r="G17" i="15"/>
  <c r="H17" i="15" s="1"/>
  <c r="G18" i="15"/>
  <c r="H18" i="15" s="1"/>
  <c r="G19" i="15"/>
  <c r="H19" i="15" s="1"/>
  <c r="G20" i="15"/>
  <c r="H20" i="15" s="1"/>
  <c r="G21" i="15"/>
  <c r="H21" i="15" s="1"/>
  <c r="G22" i="15"/>
  <c r="H22" i="15" s="1"/>
  <c r="G23" i="15"/>
  <c r="H23" i="15" s="1"/>
  <c r="G24" i="15"/>
  <c r="H24" i="15" s="1"/>
  <c r="G25" i="15"/>
  <c r="H25" i="15" s="1"/>
  <c r="G26" i="15"/>
  <c r="H26" i="15" s="1"/>
  <c r="G27" i="15"/>
  <c r="H27" i="15" s="1"/>
  <c r="G28" i="15"/>
  <c r="H28" i="15" s="1"/>
  <c r="G29" i="15"/>
  <c r="H29" i="15" s="1"/>
  <c r="G30" i="15"/>
  <c r="H30" i="15" s="1"/>
  <c r="G31" i="15"/>
  <c r="H31" i="15" s="1"/>
  <c r="G32" i="15"/>
  <c r="H32" i="15" s="1"/>
  <c r="G33" i="15"/>
  <c r="H33" i="15" s="1"/>
  <c r="G34" i="15"/>
  <c r="H34" i="15" s="1"/>
  <c r="G35" i="15"/>
  <c r="H35" i="15" s="1"/>
  <c r="G36" i="15"/>
  <c r="H36" i="15" s="1"/>
  <c r="G37" i="15"/>
  <c r="H37" i="15" s="1"/>
  <c r="G38" i="15"/>
  <c r="H38" i="15" s="1"/>
  <c r="G39" i="15"/>
  <c r="H39" i="15" s="1"/>
  <c r="G40" i="15"/>
  <c r="H40" i="15" s="1"/>
  <c r="G41" i="15"/>
  <c r="H41" i="15" s="1"/>
  <c r="G42" i="15"/>
  <c r="H42" i="15" s="1"/>
  <c r="G43" i="15"/>
  <c r="H43" i="15" s="1"/>
  <c r="G44" i="15"/>
  <c r="H44" i="15" s="1"/>
  <c r="G45" i="15"/>
  <c r="H45" i="15" s="1"/>
  <c r="G46" i="15"/>
  <c r="H46" i="15" s="1"/>
  <c r="G47" i="15"/>
  <c r="H47" i="15" s="1"/>
  <c r="G48" i="15"/>
  <c r="H48" i="15" s="1"/>
  <c r="G49" i="15"/>
  <c r="H49" i="15" s="1"/>
  <c r="G50" i="15"/>
  <c r="H50" i="15" s="1"/>
  <c r="G51" i="15"/>
  <c r="H51" i="15" s="1"/>
  <c r="G52" i="15"/>
  <c r="H52" i="15" s="1"/>
  <c r="G53" i="15"/>
  <c r="H53" i="15" s="1"/>
  <c r="G54" i="15"/>
  <c r="H54" i="15" s="1"/>
  <c r="G55" i="15"/>
  <c r="H55" i="15" s="1"/>
  <c r="G56" i="15"/>
  <c r="H56" i="15" s="1"/>
  <c r="G57" i="15"/>
  <c r="H57" i="15" s="1"/>
  <c r="G58" i="15"/>
  <c r="H58" i="15" s="1"/>
  <c r="G59" i="15"/>
  <c r="H59" i="15" s="1"/>
  <c r="G60" i="15"/>
  <c r="H60" i="15" s="1"/>
  <c r="G61" i="15"/>
  <c r="H61" i="15" s="1"/>
  <c r="G62" i="15"/>
  <c r="H62" i="15" s="1"/>
  <c r="G63" i="15"/>
  <c r="H63" i="15" s="1"/>
  <c r="G64" i="15"/>
  <c r="H64" i="15" s="1"/>
  <c r="G65" i="15"/>
  <c r="H65" i="15" s="1"/>
  <c r="G66" i="15"/>
  <c r="H66" i="15" s="1"/>
  <c r="G67" i="15"/>
  <c r="H67" i="15" s="1"/>
  <c r="G68" i="15"/>
  <c r="H68" i="15" s="1"/>
  <c r="G69" i="15"/>
  <c r="H69" i="15" s="1"/>
  <c r="G70" i="15"/>
  <c r="H70" i="15" s="1"/>
  <c r="G71" i="15"/>
  <c r="H71" i="15" s="1"/>
  <c r="G72" i="15"/>
  <c r="H72" i="15" s="1"/>
  <c r="G73" i="15"/>
  <c r="H73" i="15" s="1"/>
  <c r="G74" i="15"/>
  <c r="H74" i="15" s="1"/>
  <c r="G75" i="15"/>
  <c r="H75" i="15" s="1"/>
  <c r="G76" i="15"/>
  <c r="H76" i="15" s="1"/>
  <c r="G77" i="15"/>
  <c r="H77" i="15" s="1"/>
  <c r="G78" i="15"/>
  <c r="H78" i="15" s="1"/>
  <c r="G79" i="15"/>
  <c r="H79" i="15" s="1"/>
  <c r="G80" i="15"/>
  <c r="H80" i="15" s="1"/>
  <c r="G81" i="15"/>
  <c r="H81" i="15" s="1"/>
  <c r="G82" i="15"/>
  <c r="H82" i="15" s="1"/>
  <c r="G83" i="15"/>
  <c r="H83" i="15" s="1"/>
  <c r="G84" i="15"/>
  <c r="H84" i="15" s="1"/>
  <c r="G85" i="15"/>
  <c r="H85" i="15" s="1"/>
  <c r="G86" i="15"/>
  <c r="H86" i="15" s="1"/>
  <c r="G87" i="15"/>
  <c r="H87" i="15" s="1"/>
  <c r="G88" i="15"/>
  <c r="H88" i="15" s="1"/>
  <c r="G89" i="15"/>
  <c r="H89" i="15" s="1"/>
  <c r="G90" i="15"/>
  <c r="H90" i="15" s="1"/>
  <c r="G91" i="15"/>
  <c r="H91" i="15" s="1"/>
  <c r="G92" i="15"/>
  <c r="H92" i="15" s="1"/>
  <c r="G93" i="15"/>
  <c r="H93" i="15" s="1"/>
  <c r="G94" i="15"/>
  <c r="H94" i="15" s="1"/>
  <c r="G95" i="15"/>
  <c r="H95" i="15" s="1"/>
  <c r="G96" i="15"/>
  <c r="H96" i="15" s="1"/>
  <c r="G97" i="15"/>
  <c r="H97" i="15" s="1"/>
  <c r="G98" i="15"/>
  <c r="H98" i="15" s="1"/>
  <c r="G99" i="15"/>
  <c r="H99" i="15" s="1"/>
  <c r="G100" i="15"/>
  <c r="H100" i="15" s="1"/>
  <c r="G101" i="15"/>
  <c r="H101" i="15" s="1"/>
  <c r="G102" i="15"/>
  <c r="H102" i="15" s="1"/>
  <c r="G103" i="15"/>
  <c r="H103" i="15" s="1"/>
  <c r="G104" i="15"/>
  <c r="H104" i="15" s="1"/>
  <c r="G105" i="15"/>
  <c r="H105" i="15" s="1"/>
  <c r="G106" i="15"/>
  <c r="H106" i="15" s="1"/>
  <c r="G107" i="15"/>
  <c r="H107" i="15" s="1"/>
  <c r="G108" i="15"/>
  <c r="H108" i="15" s="1"/>
  <c r="G109" i="15"/>
  <c r="H109" i="15" s="1"/>
  <c r="G110" i="15"/>
  <c r="H110" i="15" s="1"/>
  <c r="G111" i="15"/>
  <c r="H111" i="15" s="1"/>
  <c r="G112" i="15"/>
  <c r="H112" i="15" s="1"/>
  <c r="G113" i="15"/>
  <c r="H113" i="15" s="1"/>
  <c r="G114" i="15"/>
  <c r="H114" i="15" s="1"/>
  <c r="H2" i="15"/>
  <c r="G2" i="15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G16" i="13"/>
  <c r="H16" i="13"/>
  <c r="G17" i="13"/>
  <c r="H17" i="13"/>
  <c r="G18" i="13"/>
  <c r="H18" i="13"/>
  <c r="G19" i="13"/>
  <c r="H19" i="13"/>
  <c r="G20" i="13"/>
  <c r="H20" i="13"/>
  <c r="G21" i="13"/>
  <c r="H21" i="13"/>
  <c r="G22" i="13"/>
  <c r="H22" i="13"/>
  <c r="G23" i="13"/>
  <c r="H23" i="13"/>
  <c r="G24" i="13"/>
  <c r="H24" i="13"/>
  <c r="G25" i="13"/>
  <c r="H25" i="13"/>
  <c r="G26" i="13"/>
  <c r="H26" i="13"/>
  <c r="G27" i="13"/>
  <c r="H27" i="13"/>
  <c r="G28" i="13"/>
  <c r="H28" i="13"/>
  <c r="G29" i="13"/>
  <c r="H29" i="13"/>
  <c r="G30" i="13"/>
  <c r="H30" i="13"/>
  <c r="G31" i="13"/>
  <c r="H31" i="13"/>
  <c r="G32" i="13"/>
  <c r="H32" i="13"/>
  <c r="G33" i="13"/>
  <c r="H33" i="13"/>
  <c r="G34" i="13"/>
  <c r="H34" i="13"/>
  <c r="G35" i="13"/>
  <c r="H35" i="13"/>
  <c r="G36" i="13"/>
  <c r="H36" i="13"/>
  <c r="G37" i="13"/>
  <c r="H37" i="13"/>
  <c r="G38" i="13"/>
  <c r="H38" i="13"/>
  <c r="G39" i="13"/>
  <c r="H39" i="13"/>
  <c r="G40" i="13"/>
  <c r="H40" i="13"/>
  <c r="G41" i="13"/>
  <c r="H41" i="13"/>
  <c r="G42" i="13"/>
  <c r="H42" i="13"/>
  <c r="G43" i="13"/>
  <c r="H43" i="13"/>
  <c r="G44" i="13"/>
  <c r="H44" i="13"/>
  <c r="G45" i="13"/>
  <c r="H45" i="13"/>
  <c r="G46" i="13"/>
  <c r="H46" i="13"/>
  <c r="G47" i="13"/>
  <c r="H47" i="13"/>
  <c r="G48" i="13"/>
  <c r="H48" i="13"/>
  <c r="G49" i="13"/>
  <c r="H49" i="13"/>
  <c r="G50" i="13"/>
  <c r="H50" i="13"/>
  <c r="G51" i="13"/>
  <c r="H51" i="13"/>
  <c r="G52" i="13"/>
  <c r="H52" i="13"/>
  <c r="G53" i="13"/>
  <c r="H53" i="13"/>
  <c r="G54" i="13"/>
  <c r="H54" i="13"/>
  <c r="G55" i="13"/>
  <c r="H55" i="13"/>
  <c r="G56" i="13"/>
  <c r="H56" i="13"/>
  <c r="G57" i="13"/>
  <c r="H57" i="13"/>
  <c r="G58" i="13"/>
  <c r="H58" i="13"/>
  <c r="G59" i="13"/>
  <c r="H59" i="13"/>
  <c r="G60" i="13"/>
  <c r="H60" i="13"/>
  <c r="G61" i="13"/>
  <c r="H61" i="13"/>
  <c r="G62" i="13"/>
  <c r="H62" i="13"/>
  <c r="G63" i="13"/>
  <c r="H63" i="13"/>
  <c r="G64" i="13"/>
  <c r="H64" i="13"/>
  <c r="G65" i="13"/>
  <c r="H65" i="13"/>
  <c r="G66" i="13"/>
  <c r="H66" i="13"/>
  <c r="G67" i="13"/>
  <c r="H67" i="13"/>
  <c r="G68" i="13"/>
  <c r="H68" i="13"/>
  <c r="G69" i="13"/>
  <c r="H69" i="13"/>
  <c r="G70" i="13"/>
  <c r="H70" i="13"/>
  <c r="G71" i="13"/>
  <c r="H71" i="13"/>
  <c r="G72" i="13"/>
  <c r="H72" i="13"/>
  <c r="G73" i="13"/>
  <c r="H73" i="13"/>
  <c r="G74" i="13"/>
  <c r="H74" i="13"/>
  <c r="G75" i="13"/>
  <c r="H75" i="13"/>
  <c r="G76" i="13"/>
  <c r="H76" i="13"/>
  <c r="G77" i="13"/>
  <c r="H77" i="13"/>
  <c r="G78" i="13"/>
  <c r="H78" i="13"/>
  <c r="G79" i="13"/>
  <c r="H79" i="13"/>
  <c r="G80" i="13"/>
  <c r="H80" i="13"/>
  <c r="G81" i="13"/>
  <c r="H81" i="13"/>
  <c r="G82" i="13"/>
  <c r="H82" i="13"/>
  <c r="G83" i="13"/>
  <c r="H83" i="13"/>
  <c r="G84" i="13"/>
  <c r="H84" i="13"/>
  <c r="G85" i="13"/>
  <c r="H85" i="13"/>
  <c r="G86" i="13"/>
  <c r="H86" i="13"/>
  <c r="G87" i="13"/>
  <c r="H87" i="13"/>
  <c r="G88" i="13"/>
  <c r="H88" i="13"/>
  <c r="G89" i="13"/>
  <c r="H89" i="13"/>
  <c r="G90" i="13"/>
  <c r="H90" i="13"/>
  <c r="G91" i="13"/>
  <c r="H91" i="13"/>
  <c r="G92" i="13"/>
  <c r="H92" i="13"/>
  <c r="G93" i="13"/>
  <c r="H93" i="13"/>
  <c r="G94" i="13"/>
  <c r="H94" i="13"/>
  <c r="G95" i="13"/>
  <c r="H95" i="13"/>
  <c r="G96" i="13"/>
  <c r="H96" i="13"/>
  <c r="G97" i="13"/>
  <c r="H97" i="13"/>
  <c r="G98" i="13"/>
  <c r="H98" i="13"/>
  <c r="H2" i="13"/>
  <c r="G2" i="13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H36" i="12" s="1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G54" i="12"/>
  <c r="H54" i="12" s="1"/>
  <c r="G55" i="12"/>
  <c r="H55" i="12" s="1"/>
  <c r="G56" i="12"/>
  <c r="H56" i="12" s="1"/>
  <c r="G57" i="12"/>
  <c r="H57" i="12" s="1"/>
  <c r="G58" i="12"/>
  <c r="H58" i="12" s="1"/>
  <c r="G59" i="12"/>
  <c r="H59" i="12" s="1"/>
  <c r="G60" i="12"/>
  <c r="H60" i="12" s="1"/>
  <c r="G61" i="12"/>
  <c r="H61" i="12" s="1"/>
  <c r="G62" i="12"/>
  <c r="H62" i="12" s="1"/>
  <c r="G63" i="12"/>
  <c r="H63" i="12" s="1"/>
  <c r="G64" i="12"/>
  <c r="H64" i="12" s="1"/>
  <c r="G65" i="12"/>
  <c r="H65" i="12" s="1"/>
  <c r="G66" i="12"/>
  <c r="H66" i="12" s="1"/>
  <c r="G67" i="12"/>
  <c r="H67" i="12" s="1"/>
  <c r="G68" i="12"/>
  <c r="H68" i="12" s="1"/>
  <c r="G69" i="12"/>
  <c r="H69" i="12" s="1"/>
  <c r="G70" i="12"/>
  <c r="H70" i="12" s="1"/>
  <c r="G71" i="12"/>
  <c r="H71" i="12" s="1"/>
  <c r="G72" i="12"/>
  <c r="H72" i="12" s="1"/>
  <c r="G73" i="12"/>
  <c r="H73" i="12" s="1"/>
  <c r="G74" i="12"/>
  <c r="H74" i="12" s="1"/>
  <c r="G75" i="12"/>
  <c r="H75" i="12" s="1"/>
  <c r="G76" i="12"/>
  <c r="H76" i="12" s="1"/>
  <c r="G77" i="12"/>
  <c r="H77" i="12" s="1"/>
  <c r="G78" i="12"/>
  <c r="H78" i="12" s="1"/>
  <c r="G79" i="12"/>
  <c r="H79" i="12" s="1"/>
  <c r="G80" i="12"/>
  <c r="H80" i="12" s="1"/>
  <c r="G81" i="12"/>
  <c r="H81" i="12" s="1"/>
  <c r="G82" i="12"/>
  <c r="H82" i="12" s="1"/>
  <c r="G83" i="12"/>
  <c r="H83" i="12" s="1"/>
  <c r="G84" i="12"/>
  <c r="H84" i="12" s="1"/>
  <c r="G85" i="12"/>
  <c r="H85" i="12" s="1"/>
  <c r="G86" i="12"/>
  <c r="H86" i="12" s="1"/>
  <c r="G87" i="12"/>
  <c r="H87" i="12" s="1"/>
  <c r="G88" i="12"/>
  <c r="H88" i="12" s="1"/>
  <c r="G89" i="12"/>
  <c r="H89" i="12" s="1"/>
  <c r="G90" i="12"/>
  <c r="H90" i="12" s="1"/>
  <c r="G91" i="12"/>
  <c r="H91" i="12" s="1"/>
  <c r="G92" i="12"/>
  <c r="H92" i="12" s="1"/>
  <c r="G93" i="12"/>
  <c r="H93" i="12" s="1"/>
  <c r="G94" i="12"/>
  <c r="H94" i="12" s="1"/>
  <c r="G95" i="12"/>
  <c r="H95" i="12" s="1"/>
  <c r="G96" i="12"/>
  <c r="H96" i="12" s="1"/>
  <c r="G97" i="12"/>
  <c r="H97" i="12" s="1"/>
  <c r="G98" i="12"/>
  <c r="H98" i="12" s="1"/>
  <c r="G99" i="12"/>
  <c r="H99" i="12" s="1"/>
  <c r="G100" i="12"/>
  <c r="H100" i="12" s="1"/>
  <c r="G101" i="12"/>
  <c r="H101" i="12" s="1"/>
  <c r="G102" i="12"/>
  <c r="H102" i="12" s="1"/>
  <c r="G103" i="12"/>
  <c r="H103" i="12" s="1"/>
  <c r="G104" i="12"/>
  <c r="H104" i="12" s="1"/>
  <c r="G105" i="12"/>
  <c r="H105" i="12" s="1"/>
  <c r="G106" i="12"/>
  <c r="H106" i="12" s="1"/>
  <c r="G107" i="12"/>
  <c r="H107" i="12" s="1"/>
  <c r="G108" i="12"/>
  <c r="H108" i="12" s="1"/>
  <c r="G109" i="12"/>
  <c r="H109" i="12" s="1"/>
  <c r="G110" i="12"/>
  <c r="H110" i="12" s="1"/>
  <c r="G111" i="12"/>
  <c r="H111" i="12" s="1"/>
  <c r="G112" i="12"/>
  <c r="H112" i="12" s="1"/>
  <c r="G113" i="12"/>
  <c r="H113" i="12" s="1"/>
  <c r="G114" i="12"/>
  <c r="H114" i="12" s="1"/>
  <c r="G115" i="12"/>
  <c r="H115" i="12" s="1"/>
  <c r="G116" i="12"/>
  <c r="H116" i="12" s="1"/>
  <c r="G117" i="12"/>
  <c r="H117" i="12" s="1"/>
  <c r="G118" i="12"/>
  <c r="H118" i="12" s="1"/>
  <c r="G119" i="12"/>
  <c r="H119" i="12" s="1"/>
  <c r="G120" i="12"/>
  <c r="H120" i="12" s="1"/>
  <c r="G121" i="12"/>
  <c r="H121" i="12" s="1"/>
  <c r="G122" i="12"/>
  <c r="H122" i="12" s="1"/>
  <c r="G123" i="12"/>
  <c r="H123" i="12" s="1"/>
  <c r="G124" i="12"/>
  <c r="H124" i="12" s="1"/>
  <c r="G125" i="12"/>
  <c r="H125" i="12" s="1"/>
  <c r="G126" i="12"/>
  <c r="H126" i="12" s="1"/>
  <c r="G127" i="12"/>
  <c r="H127" i="12" s="1"/>
  <c r="G128" i="12"/>
  <c r="H128" i="12" s="1"/>
  <c r="G129" i="12"/>
  <c r="H129" i="12" s="1"/>
  <c r="G130" i="12"/>
  <c r="H130" i="12" s="1"/>
  <c r="G131" i="12"/>
  <c r="H131" i="12" s="1"/>
  <c r="G132" i="12"/>
  <c r="H132" i="12" s="1"/>
  <c r="G133" i="12"/>
  <c r="H133" i="12" s="1"/>
  <c r="G134" i="12"/>
  <c r="H134" i="12" s="1"/>
  <c r="G135" i="12"/>
  <c r="H135" i="12" s="1"/>
  <c r="G136" i="12"/>
  <c r="H136" i="12" s="1"/>
  <c r="G137" i="12"/>
  <c r="H137" i="12" s="1"/>
  <c r="G138" i="12"/>
  <c r="H138" i="12" s="1"/>
  <c r="G139" i="12"/>
  <c r="H139" i="12" s="1"/>
  <c r="G140" i="12"/>
  <c r="H140" i="12" s="1"/>
  <c r="G141" i="12"/>
  <c r="H141" i="12" s="1"/>
  <c r="G142" i="12"/>
  <c r="H142" i="12" s="1"/>
  <c r="G143" i="12"/>
  <c r="H143" i="12" s="1"/>
  <c r="G144" i="12"/>
  <c r="H144" i="12" s="1"/>
  <c r="G145" i="12"/>
  <c r="H145" i="12" s="1"/>
  <c r="G146" i="12"/>
  <c r="H146" i="12" s="1"/>
  <c r="G147" i="12"/>
  <c r="H147" i="12" s="1"/>
  <c r="H2" i="12"/>
  <c r="G2" i="12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2" i="19"/>
</calcChain>
</file>

<file path=xl/connections.xml><?xml version="1.0" encoding="utf-8"?>
<connections xmlns="http://schemas.openxmlformats.org/spreadsheetml/2006/main">
  <connection id="1" name="蔬菜主要品种目录" type="6" refreshedVersion="6" background="1" saveData="1">
    <textPr codePage="936" sourceFile="C:\高校题库制作系统-副本\startfile\ExtractFile\蔬菜主要品种目录.txt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<sst xmlns="http://schemas.openxmlformats.org/spreadsheetml/2006/main" count="4368" uniqueCount="2228">
  <si>
    <t>白萝卜</t>
  </si>
  <si>
    <t>菜花</t>
  </si>
  <si>
    <t>大白菜</t>
  </si>
  <si>
    <t>大蒜</t>
  </si>
  <si>
    <t>冬笋</t>
  </si>
  <si>
    <t>荷兰豆</t>
  </si>
  <si>
    <t>胡萝卜</t>
  </si>
  <si>
    <t>黄豆芽</t>
  </si>
  <si>
    <t>黄瓜</t>
  </si>
  <si>
    <t>豇豆</t>
  </si>
  <si>
    <t>莲藕</t>
  </si>
  <si>
    <t>绿豆芽</t>
  </si>
  <si>
    <t>青笋</t>
  </si>
  <si>
    <t>蒜苗</t>
  </si>
  <si>
    <t>土豆</t>
  </si>
  <si>
    <t>西葫芦</t>
  </si>
  <si>
    <t>西兰花</t>
  </si>
  <si>
    <t>西芹</t>
  </si>
  <si>
    <t>香芹</t>
  </si>
  <si>
    <t>圆白菜</t>
  </si>
  <si>
    <t>长茄子</t>
  </si>
  <si>
    <t>冬瓜</t>
  </si>
  <si>
    <t>鹌鹑蛋</t>
  </si>
  <si>
    <t>白玉菇</t>
  </si>
  <si>
    <t>菠菜</t>
  </si>
  <si>
    <t>菜心</t>
  </si>
  <si>
    <t>茶树菇</t>
  </si>
  <si>
    <t>地耳</t>
  </si>
  <si>
    <t>盖菜</t>
  </si>
  <si>
    <t>海白菜</t>
  </si>
  <si>
    <t>海带结</t>
  </si>
  <si>
    <t>海带片</t>
  </si>
  <si>
    <t>海带丝</t>
  </si>
  <si>
    <t>蒿子秆</t>
  </si>
  <si>
    <t>红薯</t>
  </si>
  <si>
    <t>红苋菜</t>
  </si>
  <si>
    <t>红线椒</t>
  </si>
  <si>
    <t>红圆椒</t>
  </si>
  <si>
    <t>花叶生菜</t>
  </si>
  <si>
    <t>茴香</t>
  </si>
  <si>
    <t>鸡毛菜</t>
  </si>
  <si>
    <t>鸡腿菇</t>
  </si>
  <si>
    <t>茭白</t>
  </si>
  <si>
    <t>芥兰</t>
  </si>
  <si>
    <t>金针菇</t>
  </si>
  <si>
    <t>空心菜</t>
  </si>
  <si>
    <t>苦菊</t>
  </si>
  <si>
    <t>辣白菜</t>
  </si>
  <si>
    <t>罗汉笋</t>
  </si>
  <si>
    <t>毛豆</t>
  </si>
  <si>
    <t>美人椒</t>
  </si>
  <si>
    <t>木耳菜</t>
  </si>
  <si>
    <t>青豆</t>
  </si>
  <si>
    <t>青杭椒</t>
  </si>
  <si>
    <t>青蒜</t>
  </si>
  <si>
    <t>山药</t>
  </si>
  <si>
    <t>生姜</t>
  </si>
  <si>
    <t>素海蜇丝</t>
  </si>
  <si>
    <t>酸菜</t>
  </si>
  <si>
    <t>茼蒿</t>
  </si>
  <si>
    <t>西红柿</t>
  </si>
  <si>
    <t>鲜蘑</t>
  </si>
  <si>
    <t>香菜</t>
  </si>
  <si>
    <t>香葱</t>
  </si>
  <si>
    <t>香菇</t>
  </si>
  <si>
    <t>小白菜</t>
  </si>
  <si>
    <t>蟹味菇</t>
  </si>
  <si>
    <t>樱桃萝卜</t>
  </si>
  <si>
    <t>油菜</t>
  </si>
  <si>
    <t>油麦菜</t>
  </si>
  <si>
    <t>圆生菜</t>
  </si>
  <si>
    <t>榨菜</t>
  </si>
  <si>
    <t>紫皮洋葱</t>
  </si>
  <si>
    <t>紫薯</t>
  </si>
  <si>
    <t>海带块</t>
  </si>
  <si>
    <t>海蜇丝</t>
  </si>
  <si>
    <t>干豆结</t>
  </si>
  <si>
    <t>干烤麸</t>
  </si>
  <si>
    <t>白山药</t>
    <phoneticPr fontId="3" type="noConversion"/>
  </si>
  <si>
    <t>薄荷叶</t>
    <phoneticPr fontId="3" type="noConversion"/>
  </si>
  <si>
    <t>穿心莲</t>
    <phoneticPr fontId="3" type="noConversion"/>
  </si>
  <si>
    <t>海带头</t>
    <phoneticPr fontId="4" type="noConversion"/>
  </si>
  <si>
    <t>荷兰黄瓜</t>
    <phoneticPr fontId="4" type="noConversion"/>
  </si>
  <si>
    <t>黄椒</t>
    <phoneticPr fontId="3" type="noConversion"/>
  </si>
  <si>
    <t>凉瓜</t>
    <phoneticPr fontId="3" type="noConversion"/>
  </si>
  <si>
    <t>芦笋</t>
    <phoneticPr fontId="3" type="noConversion"/>
  </si>
  <si>
    <t>魔芋</t>
    <phoneticPr fontId="3" type="noConversion"/>
  </si>
  <si>
    <t>奶白菜</t>
    <phoneticPr fontId="3" type="noConversion"/>
  </si>
  <si>
    <t>青尖椒</t>
    <phoneticPr fontId="4" type="noConversion"/>
  </si>
  <si>
    <t>青萝卜</t>
    <phoneticPr fontId="3" type="noConversion"/>
  </si>
  <si>
    <t>秋葵</t>
    <phoneticPr fontId="3" type="noConversion"/>
  </si>
  <si>
    <t>散菜花</t>
    <phoneticPr fontId="4" type="noConversion"/>
  </si>
  <si>
    <t>杏鲍菇根</t>
    <phoneticPr fontId="3" type="noConversion"/>
  </si>
  <si>
    <t>菊花菜</t>
    <phoneticPr fontId="6" type="noConversion"/>
  </si>
  <si>
    <t>杏鲍菇根</t>
    <phoneticPr fontId="6" type="noConversion"/>
  </si>
  <si>
    <t>丝瓜</t>
    <phoneticPr fontId="6" type="noConversion"/>
  </si>
  <si>
    <t>酸菜</t>
    <phoneticPr fontId="6" type="noConversion"/>
  </si>
  <si>
    <t>穿心莲</t>
    <phoneticPr fontId="3" type="noConversion"/>
  </si>
  <si>
    <t>豆角</t>
    <phoneticPr fontId="3" type="noConversion"/>
  </si>
  <si>
    <t>海带头</t>
    <phoneticPr fontId="4" type="noConversion"/>
  </si>
  <si>
    <t>杭椒</t>
    <phoneticPr fontId="3" type="noConversion"/>
  </si>
  <si>
    <t>黄椒</t>
    <phoneticPr fontId="3" type="noConversion"/>
  </si>
  <si>
    <t>金瓜</t>
    <phoneticPr fontId="3" type="noConversion"/>
  </si>
  <si>
    <t>苦瓜</t>
    <phoneticPr fontId="4" type="noConversion"/>
  </si>
  <si>
    <t>秋葵</t>
    <phoneticPr fontId="3" type="noConversion"/>
  </si>
  <si>
    <t>丝瓜</t>
    <phoneticPr fontId="4" type="noConversion"/>
  </si>
  <si>
    <t>咸蛋黄</t>
    <phoneticPr fontId="3" type="noConversion"/>
  </si>
  <si>
    <t>杏鲍菇根</t>
    <phoneticPr fontId="3" type="noConversion"/>
  </si>
  <si>
    <t>一部销量</t>
    <phoneticPr fontId="1" type="noConversion"/>
  </si>
  <si>
    <t>二部销量</t>
    <phoneticPr fontId="1" type="noConversion"/>
  </si>
  <si>
    <t>三部销量</t>
    <phoneticPr fontId="1" type="noConversion"/>
  </si>
  <si>
    <t>四部销量</t>
    <phoneticPr fontId="1" type="noConversion"/>
  </si>
  <si>
    <t>单价
（元/斤）</t>
    <phoneticPr fontId="6" type="noConversion"/>
  </si>
  <si>
    <t>本周销量合计（斤）</t>
    <phoneticPr fontId="1" type="noConversion"/>
  </si>
  <si>
    <t>蒜苔</t>
  </si>
  <si>
    <t>雪里蕻</t>
  </si>
  <si>
    <t>玉米</t>
    <phoneticPr fontId="3" type="noConversion"/>
  </si>
  <si>
    <t>娃娃菜</t>
    <phoneticPr fontId="3" type="noConversion"/>
  </si>
  <si>
    <t>黄瓜</t>
    <phoneticPr fontId="3" type="noConversion"/>
  </si>
  <si>
    <t>黄瓜</t>
    <phoneticPr fontId="3" type="noConversion"/>
  </si>
  <si>
    <t>彩椒</t>
    <phoneticPr fontId="3" type="noConversion"/>
  </si>
  <si>
    <t>青椒</t>
    <phoneticPr fontId="3" type="noConversion"/>
  </si>
  <si>
    <t>青圆椒</t>
    <phoneticPr fontId="3" type="noConversion"/>
  </si>
  <si>
    <t>红椒</t>
    <phoneticPr fontId="3" type="noConversion"/>
  </si>
  <si>
    <t>苋菜</t>
    <phoneticPr fontId="3" type="noConversion"/>
  </si>
  <si>
    <t>黄豆芽</t>
    <phoneticPr fontId="3" type="noConversion"/>
  </si>
  <si>
    <t>鸡汁脆笋</t>
    <phoneticPr fontId="3" type="noConversion"/>
  </si>
  <si>
    <t>笋</t>
    <phoneticPr fontId="3" type="noConversion"/>
  </si>
  <si>
    <t>竹笋</t>
    <phoneticPr fontId="3" type="noConversion"/>
  </si>
  <si>
    <t>尖椒</t>
    <phoneticPr fontId="4" type="noConversion"/>
  </si>
  <si>
    <t>圣女果</t>
    <phoneticPr fontId="3" type="noConversion"/>
  </si>
  <si>
    <t>小白菜</t>
    <phoneticPr fontId="3" type="noConversion"/>
  </si>
  <si>
    <t>豌豆</t>
    <phoneticPr fontId="3" type="noConversion"/>
  </si>
  <si>
    <t>大葱</t>
    <phoneticPr fontId="3" type="noConversion"/>
  </si>
  <si>
    <t>鲜花生</t>
    <phoneticPr fontId="4" type="noConversion"/>
  </si>
  <si>
    <t>鲜蘑</t>
    <phoneticPr fontId="3" type="noConversion"/>
  </si>
  <si>
    <t>鲜蘑</t>
    <phoneticPr fontId="3" type="noConversion"/>
  </si>
  <si>
    <t>辣椒</t>
    <phoneticPr fontId="3" type="noConversion"/>
  </si>
  <si>
    <t>芋头</t>
    <phoneticPr fontId="3" type="noConversion"/>
  </si>
  <si>
    <t>杏鲍菇</t>
    <phoneticPr fontId="3" type="noConversion"/>
  </si>
  <si>
    <t>樱桃萝卜</t>
    <phoneticPr fontId="3" type="noConversion"/>
  </si>
  <si>
    <t>鱼酸菜</t>
    <phoneticPr fontId="3" type="noConversion"/>
  </si>
  <si>
    <t>玉米粒</t>
    <phoneticPr fontId="3" type="noConversion"/>
  </si>
  <si>
    <t>圆茄子</t>
    <phoneticPr fontId="3" type="noConversion"/>
  </si>
  <si>
    <t>圆生菜</t>
    <phoneticPr fontId="3" type="noConversion"/>
  </si>
  <si>
    <t>长毛山药</t>
    <phoneticPr fontId="3" type="noConversion"/>
  </si>
  <si>
    <t>铁棍山药</t>
    <phoneticPr fontId="3" type="noConversion"/>
  </si>
  <si>
    <t>豌豆尖</t>
    <phoneticPr fontId="3" type="noConversion"/>
  </si>
  <si>
    <t>菊花菜</t>
    <phoneticPr fontId="3" type="noConversion"/>
  </si>
  <si>
    <t>尖椒</t>
    <phoneticPr fontId="1" type="noConversion"/>
  </si>
  <si>
    <t>线椒</t>
    <phoneticPr fontId="3" type="noConversion"/>
  </si>
  <si>
    <t>花叶生菜</t>
    <phoneticPr fontId="3" type="noConversion"/>
  </si>
  <si>
    <t>美人椒</t>
    <phoneticPr fontId="3" type="noConversion"/>
  </si>
  <si>
    <t>生姜</t>
    <phoneticPr fontId="3" type="noConversion"/>
  </si>
  <si>
    <t>紫甘蓝</t>
    <phoneticPr fontId="3" type="noConversion"/>
  </si>
  <si>
    <t>紫皮洋葱</t>
    <phoneticPr fontId="3" type="noConversion"/>
  </si>
  <si>
    <t>紫薯</t>
    <phoneticPr fontId="3" type="noConversion"/>
  </si>
  <si>
    <t>海带结</t>
    <phoneticPr fontId="3" type="noConversion"/>
  </si>
  <si>
    <t>竹笋</t>
    <phoneticPr fontId="1" type="noConversion"/>
  </si>
  <si>
    <t>青豆</t>
    <phoneticPr fontId="3" type="noConversion"/>
  </si>
  <si>
    <t>青蒜</t>
    <phoneticPr fontId="3" type="noConversion"/>
  </si>
  <si>
    <t>青笋</t>
    <phoneticPr fontId="3" type="noConversion"/>
  </si>
  <si>
    <t>豆角</t>
    <phoneticPr fontId="1" type="noConversion"/>
  </si>
  <si>
    <t>天目笋</t>
    <phoneticPr fontId="3" type="noConversion"/>
  </si>
  <si>
    <t>豌豆</t>
    <phoneticPr fontId="1" type="noConversion"/>
  </si>
  <si>
    <t>金瓜</t>
    <phoneticPr fontId="1" type="noConversion"/>
  </si>
  <si>
    <t>油菜</t>
    <phoneticPr fontId="1" type="noConversion"/>
  </si>
  <si>
    <t>绿苋菜</t>
    <phoneticPr fontId="1" type="noConversion"/>
  </si>
  <si>
    <t>红杭椒</t>
    <phoneticPr fontId="1" type="noConversion"/>
  </si>
  <si>
    <t>奶白菜</t>
    <phoneticPr fontId="3" type="noConversion"/>
  </si>
  <si>
    <t>青圆椒</t>
    <phoneticPr fontId="1" type="noConversion"/>
  </si>
  <si>
    <t>金瓜</t>
    <phoneticPr fontId="6" type="noConversion"/>
  </si>
  <si>
    <t>大白菜</t>
    <phoneticPr fontId="3" type="noConversion"/>
  </si>
  <si>
    <t>大蒜</t>
    <phoneticPr fontId="4" type="noConversion"/>
  </si>
  <si>
    <t>地耳</t>
    <phoneticPr fontId="3" type="noConversion"/>
  </si>
  <si>
    <t>冬笋</t>
    <phoneticPr fontId="3" type="noConversion"/>
  </si>
  <si>
    <t>盖菜</t>
    <phoneticPr fontId="3" type="noConversion"/>
  </si>
  <si>
    <t>蒿子秆</t>
    <phoneticPr fontId="3" type="noConversion"/>
  </si>
  <si>
    <t>红杭椒</t>
    <phoneticPr fontId="3" type="noConversion"/>
  </si>
  <si>
    <t>红苋菜</t>
    <phoneticPr fontId="3" type="noConversion"/>
  </si>
  <si>
    <t>胡萝卜</t>
    <phoneticPr fontId="4" type="noConversion"/>
  </si>
  <si>
    <t>鸡腿菇</t>
    <phoneticPr fontId="3" type="noConversion"/>
  </si>
  <si>
    <t>豇豆</t>
    <phoneticPr fontId="3" type="noConversion"/>
  </si>
  <si>
    <t>金针菇</t>
    <phoneticPr fontId="3" type="noConversion"/>
  </si>
  <si>
    <t>莲藕</t>
    <phoneticPr fontId="4" type="noConversion"/>
  </si>
  <si>
    <t>罗汉笋</t>
    <phoneticPr fontId="3" type="noConversion"/>
  </si>
  <si>
    <t>美人椒</t>
    <phoneticPr fontId="3" type="noConversion"/>
  </si>
  <si>
    <t>青豆</t>
    <phoneticPr fontId="3" type="noConversion"/>
  </si>
  <si>
    <t>青杭椒</t>
    <phoneticPr fontId="3" type="noConversion"/>
  </si>
  <si>
    <t>青蒜</t>
    <phoneticPr fontId="3" type="noConversion"/>
  </si>
  <si>
    <t>青线椒</t>
    <phoneticPr fontId="3" type="noConversion"/>
  </si>
  <si>
    <t>青圆椒</t>
    <phoneticPr fontId="4" type="noConversion"/>
  </si>
  <si>
    <t>散娃娃菜</t>
    <phoneticPr fontId="3" type="noConversion"/>
  </si>
  <si>
    <t>山药</t>
    <phoneticPr fontId="3" type="noConversion"/>
  </si>
  <si>
    <t>豌豆粒</t>
    <phoneticPr fontId="3" type="noConversion"/>
  </si>
  <si>
    <t>西红柿</t>
    <phoneticPr fontId="3" type="noConversion"/>
  </si>
  <si>
    <t>香菜</t>
    <phoneticPr fontId="3" type="noConversion"/>
  </si>
  <si>
    <t>香葱</t>
    <phoneticPr fontId="3" type="noConversion"/>
  </si>
  <si>
    <t>香芹</t>
    <phoneticPr fontId="3" type="noConversion"/>
  </si>
  <si>
    <t>小米辣</t>
    <phoneticPr fontId="3" type="noConversion"/>
  </si>
  <si>
    <t>蟹味菇</t>
    <phoneticPr fontId="3" type="noConversion"/>
  </si>
  <si>
    <t>雪里蕻</t>
    <phoneticPr fontId="3" type="noConversion"/>
  </si>
  <si>
    <t>洋葱</t>
    <phoneticPr fontId="3" type="noConversion"/>
  </si>
  <si>
    <t>鱼酸菜</t>
    <phoneticPr fontId="3" type="noConversion"/>
  </si>
  <si>
    <t>玉米粒</t>
    <phoneticPr fontId="3" type="noConversion"/>
  </si>
  <si>
    <t>销售总额（元）</t>
    <phoneticPr fontId="6" type="noConversion"/>
  </si>
  <si>
    <t>单价
（元/斤）</t>
    <phoneticPr fontId="6" type="noConversion"/>
  </si>
  <si>
    <t>一部销量</t>
    <phoneticPr fontId="1" type="noConversion"/>
  </si>
  <si>
    <t>二部销量</t>
    <phoneticPr fontId="1" type="noConversion"/>
  </si>
  <si>
    <t>三部销量</t>
    <phoneticPr fontId="1" type="noConversion"/>
  </si>
  <si>
    <t>四部销量</t>
    <phoneticPr fontId="1" type="noConversion"/>
  </si>
  <si>
    <t>本周销量合计（斤）</t>
    <phoneticPr fontId="1" type="noConversion"/>
  </si>
  <si>
    <t>百合</t>
    <phoneticPr fontId="3" type="noConversion"/>
  </si>
  <si>
    <t>菜花</t>
    <phoneticPr fontId="3" type="noConversion"/>
  </si>
  <si>
    <t>菜心</t>
    <phoneticPr fontId="3" type="noConversion"/>
  </si>
  <si>
    <t>茶树菇</t>
    <phoneticPr fontId="4" type="noConversion"/>
  </si>
  <si>
    <t>虫草花</t>
    <phoneticPr fontId="3" type="noConversion"/>
  </si>
  <si>
    <t>大白菜</t>
    <phoneticPr fontId="3" type="noConversion"/>
  </si>
  <si>
    <t>大葱</t>
    <phoneticPr fontId="3" type="noConversion"/>
  </si>
  <si>
    <t>法香</t>
    <phoneticPr fontId="3" type="noConversion"/>
  </si>
  <si>
    <t>盖菜</t>
    <phoneticPr fontId="3" type="noConversion"/>
  </si>
  <si>
    <t>干烤麸</t>
    <phoneticPr fontId="3" type="noConversion"/>
  </si>
  <si>
    <t>海带</t>
    <phoneticPr fontId="3" type="noConversion"/>
  </si>
  <si>
    <t>海带片</t>
    <phoneticPr fontId="4" type="noConversion"/>
  </si>
  <si>
    <t>韩国辣白菜</t>
    <phoneticPr fontId="4" type="noConversion"/>
  </si>
  <si>
    <t>杭椒</t>
    <phoneticPr fontId="3" type="noConversion"/>
  </si>
  <si>
    <t>荷兰黄瓜</t>
    <phoneticPr fontId="3" type="noConversion"/>
  </si>
  <si>
    <t>红椒</t>
    <phoneticPr fontId="3" type="noConversion"/>
  </si>
  <si>
    <t>红薯</t>
    <phoneticPr fontId="3" type="noConversion"/>
  </si>
  <si>
    <t>花叶生菜</t>
    <phoneticPr fontId="3" type="noConversion"/>
  </si>
  <si>
    <t>鸡毛菜</t>
    <phoneticPr fontId="3" type="noConversion"/>
  </si>
  <si>
    <t>鸡汁脆笋</t>
    <phoneticPr fontId="4" type="noConversion"/>
  </si>
  <si>
    <t>豇豆</t>
    <phoneticPr fontId="3" type="noConversion"/>
  </si>
  <si>
    <t>芥兰笋</t>
    <phoneticPr fontId="3" type="noConversion"/>
  </si>
  <si>
    <t>金针菇</t>
    <phoneticPr fontId="3" type="noConversion"/>
  </si>
  <si>
    <t>菊花菜</t>
    <phoneticPr fontId="3" type="noConversion"/>
  </si>
  <si>
    <t>蕨菜</t>
    <phoneticPr fontId="3" type="noConversion"/>
  </si>
  <si>
    <t>空心菜</t>
    <phoneticPr fontId="3" type="noConversion"/>
  </si>
  <si>
    <t>口蘑</t>
    <phoneticPr fontId="3" type="noConversion"/>
  </si>
  <si>
    <t>苦瓜</t>
    <phoneticPr fontId="3" type="noConversion"/>
  </si>
  <si>
    <t>快菜</t>
    <phoneticPr fontId="3" type="noConversion"/>
  </si>
  <si>
    <t>辣白菜</t>
    <phoneticPr fontId="3" type="noConversion"/>
  </si>
  <si>
    <t>莲藕</t>
    <phoneticPr fontId="4" type="noConversion"/>
  </si>
  <si>
    <t>萝卜</t>
    <phoneticPr fontId="3" type="noConversion"/>
  </si>
  <si>
    <t>绿豆芽</t>
    <phoneticPr fontId="3" type="noConversion"/>
  </si>
  <si>
    <t>毛豆</t>
    <phoneticPr fontId="3" type="noConversion"/>
  </si>
  <si>
    <t>南瓜</t>
    <phoneticPr fontId="4" type="noConversion"/>
  </si>
  <si>
    <t>泡藕带</t>
    <phoneticPr fontId="3" type="noConversion"/>
  </si>
  <si>
    <t>皮蛋</t>
    <phoneticPr fontId="3" type="noConversion"/>
  </si>
  <si>
    <t>芹菜</t>
    <phoneticPr fontId="3" type="noConversion"/>
  </si>
  <si>
    <t>青笋</t>
    <phoneticPr fontId="3" type="noConversion"/>
  </si>
  <si>
    <t>青圆椒</t>
    <phoneticPr fontId="3" type="noConversion"/>
  </si>
  <si>
    <t>山药</t>
    <phoneticPr fontId="3" type="noConversion"/>
  </si>
  <si>
    <t>圣女果</t>
    <phoneticPr fontId="3" type="noConversion"/>
  </si>
  <si>
    <t>丝瓜</t>
    <phoneticPr fontId="3" type="noConversion"/>
  </si>
  <si>
    <t>素海蜇丝</t>
    <phoneticPr fontId="3" type="noConversion"/>
  </si>
  <si>
    <t>酸菜</t>
    <phoneticPr fontId="3" type="noConversion"/>
  </si>
  <si>
    <t>蒜苔</t>
    <phoneticPr fontId="3" type="noConversion"/>
  </si>
  <si>
    <t>笋</t>
    <phoneticPr fontId="3" type="noConversion"/>
  </si>
  <si>
    <t>铁棍山药</t>
    <phoneticPr fontId="3" type="noConversion"/>
  </si>
  <si>
    <t>茼蒿</t>
    <phoneticPr fontId="3" type="noConversion"/>
  </si>
  <si>
    <t>土豆</t>
    <phoneticPr fontId="3" type="noConversion"/>
  </si>
  <si>
    <t>娃娃菜</t>
    <phoneticPr fontId="3" type="noConversion"/>
  </si>
  <si>
    <t>外婆菜</t>
    <phoneticPr fontId="3" type="noConversion"/>
  </si>
  <si>
    <t>豌豆</t>
    <phoneticPr fontId="3" type="noConversion"/>
  </si>
  <si>
    <t>西红柿</t>
    <phoneticPr fontId="3" type="noConversion"/>
  </si>
  <si>
    <t>西葫芦</t>
    <phoneticPr fontId="3" type="noConversion"/>
  </si>
  <si>
    <t>西兰花</t>
    <phoneticPr fontId="3" type="noConversion"/>
  </si>
  <si>
    <t>西芹</t>
    <phoneticPr fontId="3" type="noConversion"/>
  </si>
  <si>
    <t>鲜花生</t>
    <phoneticPr fontId="3" type="noConversion"/>
  </si>
  <si>
    <t>咸菜</t>
    <phoneticPr fontId="3" type="noConversion"/>
  </si>
  <si>
    <t>苋菜</t>
    <phoneticPr fontId="3" type="noConversion"/>
  </si>
  <si>
    <t>线椒</t>
    <phoneticPr fontId="3" type="noConversion"/>
  </si>
  <si>
    <t>香菜</t>
    <phoneticPr fontId="3" type="noConversion"/>
  </si>
  <si>
    <t>香椿苗</t>
    <phoneticPr fontId="3" type="noConversion"/>
  </si>
  <si>
    <t>香葱</t>
    <phoneticPr fontId="3" type="noConversion"/>
  </si>
  <si>
    <t>香菇</t>
    <phoneticPr fontId="3" type="noConversion"/>
  </si>
  <si>
    <t>香芹</t>
    <phoneticPr fontId="3" type="noConversion"/>
  </si>
  <si>
    <t>小米椒</t>
    <phoneticPr fontId="3" type="noConversion"/>
  </si>
  <si>
    <t>小米辣</t>
    <phoneticPr fontId="3" type="noConversion"/>
  </si>
  <si>
    <t>蟹味菇</t>
    <phoneticPr fontId="3" type="noConversion"/>
  </si>
  <si>
    <t>心里美萝卜</t>
    <phoneticPr fontId="3" type="noConversion"/>
  </si>
  <si>
    <t>杏鲍菇根</t>
    <phoneticPr fontId="3" type="noConversion"/>
  </si>
  <si>
    <t>雪里蕻</t>
    <phoneticPr fontId="3" type="noConversion"/>
  </si>
  <si>
    <t>洋葱</t>
    <phoneticPr fontId="3" type="noConversion"/>
  </si>
  <si>
    <t>樱桃萝卜</t>
    <phoneticPr fontId="3" type="noConversion"/>
  </si>
  <si>
    <t>油菜</t>
    <phoneticPr fontId="3" type="noConversion"/>
  </si>
  <si>
    <t>油麦菜</t>
    <phoneticPr fontId="3" type="noConversion"/>
  </si>
  <si>
    <t>玉米</t>
    <phoneticPr fontId="3" type="noConversion"/>
  </si>
  <si>
    <t>玉米粒</t>
    <phoneticPr fontId="3" type="noConversion"/>
  </si>
  <si>
    <t>芋头</t>
    <phoneticPr fontId="3" type="noConversion"/>
  </si>
  <si>
    <t>圆白菜</t>
    <phoneticPr fontId="3" type="noConversion"/>
  </si>
  <si>
    <t>榨菜</t>
    <phoneticPr fontId="3" type="noConversion"/>
  </si>
  <si>
    <t>长毛山药</t>
    <phoneticPr fontId="3" type="noConversion"/>
  </si>
  <si>
    <t>长茄子</t>
    <phoneticPr fontId="3" type="noConversion"/>
  </si>
  <si>
    <t>芝麻菜</t>
    <phoneticPr fontId="3" type="noConversion"/>
  </si>
  <si>
    <t>竹笋</t>
    <phoneticPr fontId="3" type="noConversion"/>
  </si>
  <si>
    <t>紫甘蓝</t>
    <phoneticPr fontId="3" type="noConversion"/>
  </si>
  <si>
    <t>紫皮洋葱</t>
    <phoneticPr fontId="3" type="noConversion"/>
  </si>
  <si>
    <t>紫薯</t>
    <phoneticPr fontId="3" type="noConversion"/>
  </si>
  <si>
    <t>单价
（元/斤）</t>
    <phoneticPr fontId="6" type="noConversion"/>
  </si>
  <si>
    <t>一部销量</t>
    <phoneticPr fontId="1" type="noConversion"/>
  </si>
  <si>
    <t>二部销量</t>
    <phoneticPr fontId="1" type="noConversion"/>
  </si>
  <si>
    <t>三部销量</t>
    <phoneticPr fontId="1" type="noConversion"/>
  </si>
  <si>
    <t>四部销量</t>
    <phoneticPr fontId="1" type="noConversion"/>
  </si>
  <si>
    <t>本周销量合计（斤）</t>
    <phoneticPr fontId="1" type="noConversion"/>
  </si>
  <si>
    <t>白玉菇</t>
    <phoneticPr fontId="3" type="noConversion"/>
  </si>
  <si>
    <t>菜花</t>
    <phoneticPr fontId="3" type="noConversion"/>
  </si>
  <si>
    <t>菜心</t>
    <phoneticPr fontId="3" type="noConversion"/>
  </si>
  <si>
    <t>大葱</t>
    <phoneticPr fontId="3" type="noConversion"/>
  </si>
  <si>
    <t>冬瓜</t>
    <phoneticPr fontId="3" type="noConversion"/>
  </si>
  <si>
    <t>海带头</t>
    <phoneticPr fontId="1" type="noConversion"/>
  </si>
  <si>
    <t>荷兰豆</t>
    <phoneticPr fontId="3" type="noConversion"/>
  </si>
  <si>
    <t>黄豆芽</t>
    <phoneticPr fontId="4" type="noConversion"/>
  </si>
  <si>
    <t>黄瓜干</t>
    <phoneticPr fontId="4" type="noConversion"/>
  </si>
  <si>
    <t>黄椒</t>
    <phoneticPr fontId="3" type="noConversion"/>
  </si>
  <si>
    <t>尖椒</t>
    <phoneticPr fontId="3" type="noConversion"/>
  </si>
  <si>
    <t>苦瓜</t>
    <phoneticPr fontId="3" type="noConversion"/>
  </si>
  <si>
    <t>快菜</t>
    <phoneticPr fontId="3" type="noConversion"/>
  </si>
  <si>
    <t>凉瓜</t>
    <phoneticPr fontId="1" type="noConversion"/>
  </si>
  <si>
    <t>木耳菜</t>
    <phoneticPr fontId="1" type="noConversion"/>
  </si>
  <si>
    <t>奶白菜</t>
    <phoneticPr fontId="3" type="noConversion"/>
  </si>
  <si>
    <t>青尖椒</t>
    <phoneticPr fontId="3" type="noConversion"/>
  </si>
  <si>
    <t>青萝卜</t>
    <phoneticPr fontId="3" type="noConversion"/>
  </si>
  <si>
    <t>青小米椒</t>
    <phoneticPr fontId="3" type="noConversion"/>
  </si>
  <si>
    <t>情人草</t>
    <phoneticPr fontId="3" type="noConversion"/>
  </si>
  <si>
    <t>秋葵</t>
    <phoneticPr fontId="3" type="noConversion"/>
  </si>
  <si>
    <t>生姜</t>
    <phoneticPr fontId="1" type="noConversion"/>
  </si>
  <si>
    <t>湿海带</t>
    <phoneticPr fontId="3" type="noConversion"/>
  </si>
  <si>
    <t>素海蜇丝</t>
    <phoneticPr fontId="3" type="noConversion"/>
  </si>
  <si>
    <t>蒜仔</t>
    <phoneticPr fontId="3" type="noConversion"/>
  </si>
  <si>
    <t>茼蒿</t>
    <phoneticPr fontId="4" type="noConversion"/>
  </si>
  <si>
    <t>土豆</t>
    <phoneticPr fontId="3" type="noConversion"/>
  </si>
  <si>
    <t>娃娃菜</t>
    <phoneticPr fontId="3" type="noConversion"/>
  </si>
  <si>
    <t>西芹</t>
    <phoneticPr fontId="4" type="noConversion"/>
  </si>
  <si>
    <t>鲜花生</t>
    <phoneticPr fontId="3" type="noConversion"/>
  </si>
  <si>
    <t>香菇</t>
    <phoneticPr fontId="3" type="noConversion"/>
  </si>
  <si>
    <t>心里美</t>
    <phoneticPr fontId="3" type="noConversion"/>
  </si>
  <si>
    <t>杏鲍菇</t>
    <phoneticPr fontId="3" type="noConversion"/>
  </si>
  <si>
    <t>樱桃萝卜</t>
    <phoneticPr fontId="3" type="noConversion"/>
  </si>
  <si>
    <t>油菜</t>
    <phoneticPr fontId="3" type="noConversion"/>
  </si>
  <si>
    <t>玉米</t>
    <phoneticPr fontId="3" type="noConversion"/>
  </si>
  <si>
    <t>芋头</t>
    <phoneticPr fontId="3" type="noConversion"/>
  </si>
  <si>
    <t>圆白菜</t>
    <phoneticPr fontId="3" type="noConversion"/>
  </si>
  <si>
    <t>圆茄子</t>
    <phoneticPr fontId="3" type="noConversion"/>
  </si>
  <si>
    <t>圆生菜</t>
    <phoneticPr fontId="3" type="noConversion"/>
  </si>
  <si>
    <t>榨菜</t>
    <phoneticPr fontId="3" type="noConversion"/>
  </si>
  <si>
    <t>长茄子</t>
    <phoneticPr fontId="3" type="noConversion"/>
  </si>
  <si>
    <t>紫皮洋葱</t>
    <phoneticPr fontId="3" type="noConversion"/>
  </si>
  <si>
    <t>菠菜</t>
    <phoneticPr fontId="3" type="noConversion"/>
  </si>
  <si>
    <t>茴香</t>
    <phoneticPr fontId="3" type="noConversion"/>
  </si>
  <si>
    <t>苦瓜</t>
    <phoneticPr fontId="3" type="noConversion"/>
  </si>
  <si>
    <t>辣白菜</t>
    <phoneticPr fontId="3" type="noConversion"/>
  </si>
  <si>
    <t>南瓜</t>
    <phoneticPr fontId="3" type="noConversion"/>
  </si>
  <si>
    <t>丝瓜</t>
    <phoneticPr fontId="3" type="noConversion"/>
  </si>
  <si>
    <t>素海蜇丝</t>
    <phoneticPr fontId="3" type="noConversion"/>
  </si>
  <si>
    <t>紫甘蓝</t>
    <phoneticPr fontId="3" type="noConversion"/>
  </si>
  <si>
    <t>长茄子</t>
    <phoneticPr fontId="3" type="noConversion"/>
  </si>
  <si>
    <t>榨菜</t>
    <phoneticPr fontId="3" type="noConversion"/>
  </si>
  <si>
    <t>圆茄子</t>
    <phoneticPr fontId="3" type="noConversion"/>
  </si>
  <si>
    <t>圆白菜</t>
    <phoneticPr fontId="3" type="noConversion"/>
  </si>
  <si>
    <t>芋头</t>
    <phoneticPr fontId="4" type="noConversion"/>
  </si>
  <si>
    <t>玉米粒</t>
    <phoneticPr fontId="3" type="noConversion"/>
  </si>
  <si>
    <t>玉米</t>
    <phoneticPr fontId="3" type="noConversion"/>
  </si>
  <si>
    <t>油麦菜</t>
    <phoneticPr fontId="3" type="noConversion"/>
  </si>
  <si>
    <t>心里美萝卜</t>
    <phoneticPr fontId="1" type="noConversion"/>
  </si>
  <si>
    <t>小米辣</t>
    <phoneticPr fontId="3" type="noConversion"/>
  </si>
  <si>
    <t>香菇</t>
    <phoneticPr fontId="3" type="noConversion"/>
  </si>
  <si>
    <t>香椿苗</t>
    <phoneticPr fontId="3" type="noConversion"/>
  </si>
  <si>
    <t>西芹</t>
    <phoneticPr fontId="4" type="noConversion"/>
  </si>
  <si>
    <t>豌豆尖</t>
    <phoneticPr fontId="4" type="noConversion"/>
  </si>
  <si>
    <t>娃娃菜</t>
    <phoneticPr fontId="4" type="noConversion"/>
  </si>
  <si>
    <t>生姜</t>
    <phoneticPr fontId="3" type="noConversion"/>
  </si>
  <si>
    <t>青线椒</t>
    <phoneticPr fontId="3" type="noConversion"/>
  </si>
  <si>
    <t>青杭椒</t>
    <phoneticPr fontId="3" type="noConversion"/>
  </si>
  <si>
    <t>美人椒</t>
    <phoneticPr fontId="4" type="noConversion"/>
  </si>
  <si>
    <t>毛豆</t>
    <phoneticPr fontId="1" type="noConversion"/>
  </si>
  <si>
    <t>绿豆芽</t>
    <phoneticPr fontId="3" type="noConversion"/>
  </si>
  <si>
    <t>苦菊</t>
    <phoneticPr fontId="1" type="noConversion"/>
  </si>
  <si>
    <t>空心菜</t>
    <phoneticPr fontId="3" type="noConversion"/>
  </si>
  <si>
    <t>金针菇</t>
    <phoneticPr fontId="3" type="noConversion"/>
  </si>
  <si>
    <t>金瓜</t>
    <phoneticPr fontId="3" type="noConversion"/>
  </si>
  <si>
    <t>芥兰</t>
    <phoneticPr fontId="3" type="noConversion"/>
  </si>
  <si>
    <t>茭白</t>
    <phoneticPr fontId="3" type="noConversion"/>
  </si>
  <si>
    <t>鸡腿菇</t>
    <phoneticPr fontId="3" type="noConversion"/>
  </si>
  <si>
    <t>鸡毛菜</t>
    <phoneticPr fontId="4" type="noConversion"/>
  </si>
  <si>
    <t>花叶生菜</t>
    <phoneticPr fontId="3" type="noConversion"/>
  </si>
  <si>
    <t>胡萝卜</t>
    <phoneticPr fontId="3" type="noConversion"/>
  </si>
  <si>
    <t>红圆椒</t>
    <phoneticPr fontId="1" type="noConversion"/>
  </si>
  <si>
    <t>红线椒</t>
    <phoneticPr fontId="3" type="noConversion"/>
  </si>
  <si>
    <t>红薯</t>
    <phoneticPr fontId="3" type="noConversion"/>
  </si>
  <si>
    <t>荷兰黄瓜</t>
    <phoneticPr fontId="3" type="noConversion"/>
  </si>
  <si>
    <t>荷兰豆</t>
    <phoneticPr fontId="4" type="noConversion"/>
  </si>
  <si>
    <t>海带丝</t>
    <phoneticPr fontId="3" type="noConversion"/>
  </si>
  <si>
    <t>海带结</t>
    <phoneticPr fontId="3" type="noConversion"/>
  </si>
  <si>
    <t>海带</t>
    <phoneticPr fontId="3" type="noConversion"/>
  </si>
  <si>
    <t>干豆结</t>
    <phoneticPr fontId="4" type="noConversion"/>
  </si>
  <si>
    <t>法香</t>
    <phoneticPr fontId="3" type="noConversion"/>
  </si>
  <si>
    <t>冬瓜</t>
    <phoneticPr fontId="3" type="noConversion"/>
  </si>
  <si>
    <t>大蒜</t>
    <phoneticPr fontId="3" type="noConversion"/>
  </si>
  <si>
    <t>虫草花</t>
    <phoneticPr fontId="3" type="noConversion"/>
  </si>
  <si>
    <t>茶树菇</t>
    <phoneticPr fontId="3" type="noConversion"/>
  </si>
  <si>
    <t>菜心</t>
    <phoneticPr fontId="3" type="noConversion"/>
  </si>
  <si>
    <t>百合</t>
    <phoneticPr fontId="3" type="noConversion"/>
  </si>
  <si>
    <t>白玉菇</t>
    <phoneticPr fontId="3" type="noConversion"/>
  </si>
  <si>
    <t>销售总额（元）</t>
    <phoneticPr fontId="6" type="noConversion"/>
  </si>
  <si>
    <t>销售总额（元）</t>
    <phoneticPr fontId="6" type="noConversion"/>
  </si>
  <si>
    <t>名称</t>
    <phoneticPr fontId="6" type="noConversion"/>
  </si>
  <si>
    <t>西红柿</t>
    <phoneticPr fontId="4" type="noConversion"/>
  </si>
  <si>
    <t>一部销量</t>
  </si>
  <si>
    <t>二部销量</t>
  </si>
  <si>
    <t>三部销量</t>
  </si>
  <si>
    <t>四部销量</t>
  </si>
  <si>
    <t>大葱</t>
  </si>
  <si>
    <t>韩国辣白菜</t>
  </si>
  <si>
    <t>杭椒</t>
  </si>
  <si>
    <t>尖椒</t>
  </si>
  <si>
    <t>芥兰笋</t>
  </si>
  <si>
    <t>金瓜</t>
  </si>
  <si>
    <t>娃娃菜</t>
  </si>
  <si>
    <t>豌豆尖</t>
  </si>
  <si>
    <t>白山药</t>
  </si>
  <si>
    <t>百合</t>
  </si>
  <si>
    <t>薄荷叶</t>
  </si>
  <si>
    <t>彩椒</t>
  </si>
  <si>
    <t>虫草花</t>
  </si>
  <si>
    <t>穿心莲</t>
  </si>
  <si>
    <t>豆角</t>
  </si>
  <si>
    <t>法香</t>
  </si>
  <si>
    <t>海带</t>
  </si>
  <si>
    <t>海带头</t>
  </si>
  <si>
    <t>红杭椒</t>
  </si>
  <si>
    <t>荷兰黄瓜</t>
  </si>
  <si>
    <t>红椒</t>
  </si>
  <si>
    <t>黄瓜干</t>
  </si>
  <si>
    <t>黄椒</t>
  </si>
  <si>
    <t>鸡汁脆笋</t>
  </si>
  <si>
    <t>菊花菜</t>
  </si>
  <si>
    <t>蕨菜</t>
  </si>
  <si>
    <t>口蘑</t>
  </si>
  <si>
    <t>苦瓜</t>
  </si>
  <si>
    <t>辣椒</t>
  </si>
  <si>
    <t>快菜</t>
  </si>
  <si>
    <t>凉瓜</t>
  </si>
  <si>
    <t>芦笋</t>
  </si>
  <si>
    <t>萝卜</t>
  </si>
  <si>
    <t>绿苋菜</t>
  </si>
  <si>
    <t>魔芋</t>
  </si>
  <si>
    <t>奶白菜</t>
  </si>
  <si>
    <t>南瓜</t>
  </si>
  <si>
    <t>皮蛋</t>
  </si>
  <si>
    <t>芹菜</t>
  </si>
  <si>
    <t>青椒</t>
  </si>
  <si>
    <t>青尖椒</t>
  </si>
  <si>
    <t>青萝卜</t>
  </si>
  <si>
    <t>青线椒</t>
  </si>
  <si>
    <t>青小米椒</t>
  </si>
  <si>
    <t>青圆椒</t>
  </si>
  <si>
    <t>秋葵</t>
  </si>
  <si>
    <t>散娃娃菜</t>
  </si>
  <si>
    <t>圣女果</t>
  </si>
  <si>
    <t>湿海带</t>
  </si>
  <si>
    <t>丝瓜</t>
  </si>
  <si>
    <t>笋</t>
  </si>
  <si>
    <t>铁棍山药</t>
  </si>
  <si>
    <t>蒜仔</t>
  </si>
  <si>
    <t>外婆菜</t>
  </si>
  <si>
    <t>豌豆</t>
  </si>
  <si>
    <t>豌豆粒</t>
  </si>
  <si>
    <t>鲜花生</t>
  </si>
  <si>
    <t>咸蛋黄</t>
  </si>
  <si>
    <t>苋菜</t>
  </si>
  <si>
    <t>线椒</t>
  </si>
  <si>
    <t>香椿苗</t>
  </si>
  <si>
    <t>小米椒</t>
  </si>
  <si>
    <t>小米辣</t>
  </si>
  <si>
    <t>心里美萝卜</t>
  </si>
  <si>
    <t>心里美</t>
  </si>
  <si>
    <t>杏鲍菇</t>
  </si>
  <si>
    <t>杏鲍菇根</t>
  </si>
  <si>
    <t>洋葱</t>
  </si>
  <si>
    <t>鱼酸菜</t>
  </si>
  <si>
    <t>玉米</t>
  </si>
  <si>
    <t>玉米粒</t>
  </si>
  <si>
    <t>芋头</t>
  </si>
  <si>
    <t>圆茄子</t>
  </si>
  <si>
    <t>长毛山药</t>
  </si>
  <si>
    <t>竹笋</t>
  </si>
  <si>
    <t>紫甘蓝</t>
  </si>
  <si>
    <t>名称</t>
  </si>
  <si>
    <t>平均单价</t>
    <phoneticPr fontId="1" type="noConversion"/>
  </si>
  <si>
    <t>月销量</t>
  </si>
  <si>
    <t>月销售额</t>
  </si>
  <si>
    <t>类别</t>
  </si>
  <si>
    <t>编号</t>
  </si>
  <si>
    <t>品种</t>
  </si>
  <si>
    <t>根菜类</t>
  </si>
  <si>
    <t>葖</t>
  </si>
  <si>
    <t>芦菔</t>
  </si>
  <si>
    <t>莱菔</t>
  </si>
  <si>
    <t>红萝卜</t>
  </si>
  <si>
    <t>黄萝卜</t>
  </si>
  <si>
    <t>丁香萝卜</t>
  </si>
  <si>
    <t>药性萝卜</t>
  </si>
  <si>
    <t>番萝卜</t>
  </si>
  <si>
    <t>芜菁</t>
  </si>
  <si>
    <t>蔓菁</t>
  </si>
  <si>
    <t>圆根</t>
  </si>
  <si>
    <t>盘菜</t>
  </si>
  <si>
    <t>芜菁甘蓝</t>
  </si>
  <si>
    <t>洋蔓菁</t>
  </si>
  <si>
    <t>洋疙瘩</t>
  </si>
  <si>
    <t>洋大头菜</t>
  </si>
  <si>
    <t>根菾菜</t>
  </si>
  <si>
    <t>红菜头</t>
  </si>
  <si>
    <t>紫菜头</t>
  </si>
  <si>
    <t>美洲防风</t>
  </si>
  <si>
    <t>欧防风芹菜萝卜</t>
  </si>
  <si>
    <t>蒲芹萝卜</t>
  </si>
  <si>
    <t>牛蒡</t>
  </si>
  <si>
    <t>东洋萝卜</t>
  </si>
  <si>
    <t>蝙蝠刺</t>
  </si>
  <si>
    <t>大力子</t>
  </si>
  <si>
    <t>根芹菜</t>
  </si>
  <si>
    <t>根洋芹菜</t>
  </si>
  <si>
    <t>球根塘蒿</t>
  </si>
  <si>
    <t>婆罗门参</t>
  </si>
  <si>
    <t>西洋牛蒡</t>
  </si>
  <si>
    <t>蒜叶婆罗门参</t>
  </si>
  <si>
    <t>山葵</t>
  </si>
  <si>
    <t>黑婆罗门参</t>
  </si>
  <si>
    <t>菊牛蒡</t>
  </si>
  <si>
    <t>鸦葱</t>
  </si>
  <si>
    <t>马铃薯</t>
  </si>
  <si>
    <t>薯芋类</t>
  </si>
  <si>
    <t>山药蛋</t>
  </si>
  <si>
    <t>洋芋</t>
  </si>
  <si>
    <t>地蛋</t>
  </si>
  <si>
    <t>荷兰薯</t>
  </si>
  <si>
    <t>爪哇薯</t>
  </si>
  <si>
    <t>姜</t>
  </si>
  <si>
    <t>黄姜</t>
  </si>
  <si>
    <t>芋</t>
  </si>
  <si>
    <t>芋艿</t>
  </si>
  <si>
    <t>毛芋</t>
  </si>
  <si>
    <t>磨芋</t>
  </si>
  <si>
    <t>蒟蒻</t>
  </si>
  <si>
    <t>薯蓣</t>
  </si>
  <si>
    <t>白苕</t>
  </si>
  <si>
    <t>脚板苕</t>
  </si>
  <si>
    <t>山薯</t>
  </si>
  <si>
    <t>大薯</t>
  </si>
  <si>
    <t>佛掌薯</t>
  </si>
  <si>
    <t>甘薯</t>
  </si>
  <si>
    <t>白薯</t>
  </si>
  <si>
    <t>地瓜</t>
  </si>
  <si>
    <t>番薯</t>
  </si>
  <si>
    <t>豆薯</t>
  </si>
  <si>
    <t>凉薯</t>
  </si>
  <si>
    <t>沙葛</t>
  </si>
  <si>
    <t>新罗葛</t>
  </si>
  <si>
    <t>葛</t>
  </si>
  <si>
    <t>菊芋</t>
  </si>
  <si>
    <t>洋姜</t>
  </si>
  <si>
    <t>鬼子姜</t>
  </si>
  <si>
    <t>菜用土圞儿</t>
  </si>
  <si>
    <t>香芋</t>
  </si>
  <si>
    <t>美洲土圞儿</t>
  </si>
  <si>
    <t>蕉藕</t>
  </si>
  <si>
    <t>蕉芋</t>
  </si>
  <si>
    <t>姜芋</t>
  </si>
  <si>
    <t>食用美人蕉</t>
  </si>
  <si>
    <t>食用莲蕉</t>
  </si>
  <si>
    <t>草石蚕</t>
  </si>
  <si>
    <t>螺丝菜</t>
  </si>
  <si>
    <t>宝塔菜</t>
  </si>
  <si>
    <t>甘露儿</t>
  </si>
  <si>
    <t>地蚕</t>
  </si>
  <si>
    <t>韭菜</t>
  </si>
  <si>
    <t>韭</t>
  </si>
  <si>
    <t>葱蒜类</t>
  </si>
  <si>
    <t>草钟乳</t>
  </si>
  <si>
    <t>起阳草</t>
  </si>
  <si>
    <t>懒人菜</t>
  </si>
  <si>
    <t>韭黄</t>
  </si>
  <si>
    <t>木葱</t>
  </si>
  <si>
    <t>汉葱</t>
  </si>
  <si>
    <t>葱头</t>
  </si>
  <si>
    <t>圆葱</t>
  </si>
  <si>
    <t>胡蒜</t>
  </si>
  <si>
    <t>蒜</t>
  </si>
  <si>
    <t>蒜薹</t>
  </si>
  <si>
    <t>蒜黄</t>
  </si>
  <si>
    <t>分葱</t>
  </si>
  <si>
    <t>四季葱</t>
  </si>
  <si>
    <t>菜葱</t>
  </si>
  <si>
    <t>冬葱</t>
  </si>
  <si>
    <t>胡葱</t>
  </si>
  <si>
    <t>蒜头葱</t>
  </si>
  <si>
    <t>瓣子葱</t>
  </si>
  <si>
    <t>火葱</t>
  </si>
  <si>
    <t>肉葱</t>
  </si>
  <si>
    <t>细香葱</t>
  </si>
  <si>
    <t>蝦夷葱</t>
  </si>
  <si>
    <t>韭葱</t>
  </si>
  <si>
    <t>扁葱</t>
  </si>
  <si>
    <t>扁叶葱</t>
  </si>
  <si>
    <t>洋蒜苗</t>
  </si>
  <si>
    <t>楼葱</t>
  </si>
  <si>
    <t>龙爪葱</t>
  </si>
  <si>
    <t>龙角葱</t>
  </si>
  <si>
    <t>蕹</t>
  </si>
  <si>
    <t>藠头</t>
  </si>
  <si>
    <t>藠子</t>
  </si>
  <si>
    <t>莱芝</t>
  </si>
  <si>
    <t>白菜类</t>
  </si>
  <si>
    <t>结球白菜</t>
  </si>
  <si>
    <t>黄芽菜</t>
  </si>
  <si>
    <t>包心白菜</t>
  </si>
  <si>
    <t>普通白菜</t>
  </si>
  <si>
    <t>白菜</t>
  </si>
  <si>
    <t>乌塌菜</t>
  </si>
  <si>
    <t>榻菜</t>
  </si>
  <si>
    <t>塌棵菜</t>
  </si>
  <si>
    <t>榻地菘</t>
  </si>
  <si>
    <t>黑菜</t>
  </si>
  <si>
    <t>菜薹</t>
  </si>
  <si>
    <t>菜苔</t>
  </si>
  <si>
    <t>绿菜薹</t>
  </si>
  <si>
    <t>绿菜苔</t>
  </si>
  <si>
    <t>菜尖</t>
  </si>
  <si>
    <t>薹菜</t>
  </si>
  <si>
    <t>苔菜</t>
  </si>
  <si>
    <t>红菜薹</t>
  </si>
  <si>
    <t>紫菜薹</t>
  </si>
  <si>
    <t>红菜苔</t>
  </si>
  <si>
    <t>茎芥</t>
  </si>
  <si>
    <t>芥菜类</t>
  </si>
  <si>
    <t>茎瘤芥</t>
  </si>
  <si>
    <t>青菜头</t>
  </si>
  <si>
    <t>菜头</t>
  </si>
  <si>
    <t>包包菜</t>
  </si>
  <si>
    <t>羊角菜</t>
  </si>
  <si>
    <t>抱子芥</t>
  </si>
  <si>
    <t>儿菜</t>
  </si>
  <si>
    <t>笋子芥</t>
  </si>
  <si>
    <t>棒菜</t>
  </si>
  <si>
    <t>叶芥</t>
  </si>
  <si>
    <t>青菜</t>
  </si>
  <si>
    <t>苦菜</t>
  </si>
  <si>
    <t>春菜</t>
  </si>
  <si>
    <t>辣菜</t>
  </si>
  <si>
    <t>雪里红</t>
  </si>
  <si>
    <t>根芥</t>
  </si>
  <si>
    <t>辣疙瘩</t>
  </si>
  <si>
    <t>冲菜</t>
  </si>
  <si>
    <t>芥头</t>
  </si>
  <si>
    <t>大头菜</t>
  </si>
  <si>
    <t>疙瘩菜</t>
  </si>
  <si>
    <t>薹芥</t>
  </si>
  <si>
    <t>苔芥</t>
  </si>
  <si>
    <t>结球甘蓝</t>
  </si>
  <si>
    <t>甘蓝类</t>
  </si>
  <si>
    <t>洋白菜</t>
  </si>
  <si>
    <t>卷心菜</t>
  </si>
  <si>
    <t>包心菜</t>
  </si>
  <si>
    <t>椰菜</t>
  </si>
  <si>
    <t>莲花白</t>
  </si>
  <si>
    <t>包包白</t>
  </si>
  <si>
    <t>茴子白</t>
  </si>
  <si>
    <t>球茎甘蓝</t>
  </si>
  <si>
    <t>苤蓝</t>
  </si>
  <si>
    <t>菘</t>
  </si>
  <si>
    <t>玉蔓菁</t>
  </si>
  <si>
    <t>芥蓝头</t>
  </si>
  <si>
    <t>擘蓝</t>
  </si>
  <si>
    <t>花椰菜</t>
  </si>
  <si>
    <t>花菜</t>
  </si>
  <si>
    <t>青花菜</t>
  </si>
  <si>
    <t>木立花椰菜</t>
  </si>
  <si>
    <t>意大利花椰菜</t>
  </si>
  <si>
    <t>嫩茎花椰菜</t>
  </si>
  <si>
    <t>绿菜花</t>
  </si>
  <si>
    <t>芥蓝</t>
  </si>
  <si>
    <t>白花芥蓝</t>
  </si>
  <si>
    <t>抱子甘蓝</t>
  </si>
  <si>
    <t>芽甘蓝</t>
  </si>
  <si>
    <t>子持甘蓝</t>
  </si>
  <si>
    <t>羽衣甘蓝</t>
  </si>
  <si>
    <t>绿叶甘蓝</t>
  </si>
  <si>
    <t>菜用羽衣甘蓝</t>
  </si>
  <si>
    <t>叶牡丹</t>
  </si>
  <si>
    <t>花包菜</t>
  </si>
  <si>
    <t>叶菜类</t>
  </si>
  <si>
    <t>菠稜菜</t>
  </si>
  <si>
    <t>赤根菜</t>
  </si>
  <si>
    <t>波斯草</t>
  </si>
  <si>
    <t>莴苣</t>
  </si>
  <si>
    <t>千金菜</t>
  </si>
  <si>
    <t>莴笋</t>
  </si>
  <si>
    <t>生菜</t>
  </si>
  <si>
    <t>莴苣笋</t>
  </si>
  <si>
    <t>莴菜</t>
  </si>
  <si>
    <t>莜麦菜</t>
  </si>
  <si>
    <t>芹</t>
  </si>
  <si>
    <t>药芹</t>
  </si>
  <si>
    <t>苦堇</t>
  </si>
  <si>
    <t>堇葵</t>
  </si>
  <si>
    <t>堇菜</t>
  </si>
  <si>
    <t>旱芹</t>
  </si>
  <si>
    <t>蕹菜</t>
  </si>
  <si>
    <t>竹叶菜</t>
  </si>
  <si>
    <t>通菜</t>
  </si>
  <si>
    <t>藤藤菜</t>
  </si>
  <si>
    <t>蓊菜</t>
  </si>
  <si>
    <t>米苋</t>
  </si>
  <si>
    <t>赤苋</t>
  </si>
  <si>
    <t>刺苋</t>
  </si>
  <si>
    <t>青香苋</t>
  </si>
  <si>
    <t>苋</t>
  </si>
  <si>
    <t>叶菾菜</t>
  </si>
  <si>
    <t>莙荙菜</t>
  </si>
  <si>
    <t>牛皮菜</t>
  </si>
  <si>
    <t>厚皮菜</t>
  </si>
  <si>
    <t>光菜</t>
  </si>
  <si>
    <t>叶甜菜</t>
  </si>
  <si>
    <t>菊苣</t>
  </si>
  <si>
    <t>欧洲菊苣</t>
  </si>
  <si>
    <t>苞菜</t>
  </si>
  <si>
    <t>吉康菜</t>
  </si>
  <si>
    <t>法国莒荬菜</t>
  </si>
  <si>
    <t>冬寒菜</t>
  </si>
  <si>
    <t>冬苋菜</t>
  </si>
  <si>
    <t>冬葵</t>
  </si>
  <si>
    <t>葵菜</t>
  </si>
  <si>
    <t>滑肠菜</t>
  </si>
  <si>
    <t>落葵</t>
  </si>
  <si>
    <t>软浆叶</t>
  </si>
  <si>
    <t>软姜子</t>
  </si>
  <si>
    <t>染浆叶</t>
  </si>
  <si>
    <t>胭脂豆</t>
  </si>
  <si>
    <t>豆腐菜</t>
  </si>
  <si>
    <t>藤菜</t>
  </si>
  <si>
    <t>紫果菜</t>
  </si>
  <si>
    <t>大叶茼蒿</t>
  </si>
  <si>
    <t>蓬蒿</t>
  </si>
  <si>
    <t>春菊</t>
  </si>
  <si>
    <t>芫荽</t>
  </si>
  <si>
    <t>胡荽</t>
  </si>
  <si>
    <t>香荽</t>
  </si>
  <si>
    <t>香丝菜</t>
  </si>
  <si>
    <t>结球茴香</t>
  </si>
  <si>
    <t>鲜茎茴香</t>
  </si>
  <si>
    <t>甜茴香</t>
  </si>
  <si>
    <t>菊花脑</t>
  </si>
  <si>
    <t>菊花叶</t>
  </si>
  <si>
    <t>黄菊籽</t>
  </si>
  <si>
    <t>路边黄</t>
  </si>
  <si>
    <t>黄菊仔</t>
  </si>
  <si>
    <t>荠菜</t>
  </si>
  <si>
    <t>护生草</t>
  </si>
  <si>
    <t>菱角菜</t>
  </si>
  <si>
    <t>地米草</t>
  </si>
  <si>
    <t>扇子草</t>
  </si>
  <si>
    <t>菜苜蓿</t>
  </si>
  <si>
    <t>草头</t>
  </si>
  <si>
    <t>金花菜</t>
  </si>
  <si>
    <t>黄花苜蓿</t>
  </si>
  <si>
    <t>刺苜蓿</t>
  </si>
  <si>
    <t>南苜蓿</t>
  </si>
  <si>
    <t>黄花草子</t>
  </si>
  <si>
    <t>番杏</t>
  </si>
  <si>
    <t>新西兰菠菜</t>
  </si>
  <si>
    <t>夏菠菜</t>
  </si>
  <si>
    <t>白番苋</t>
  </si>
  <si>
    <t>海滨莴苣</t>
  </si>
  <si>
    <t>宾菜</t>
  </si>
  <si>
    <t>蔓菜</t>
  </si>
  <si>
    <t>苦苣</t>
  </si>
  <si>
    <t>花苣</t>
  </si>
  <si>
    <t>紫背天葵</t>
  </si>
  <si>
    <t>血皮菜</t>
  </si>
  <si>
    <t>紫背菜</t>
  </si>
  <si>
    <t>红凤菜</t>
  </si>
  <si>
    <t>观音苋</t>
  </si>
  <si>
    <t>双色三七草</t>
  </si>
  <si>
    <t>罗勒</t>
  </si>
  <si>
    <t>毛罗勒</t>
  </si>
  <si>
    <t>九层塔</t>
  </si>
  <si>
    <t>零陵香</t>
  </si>
  <si>
    <t>兰香草</t>
  </si>
  <si>
    <t>光明子</t>
  </si>
  <si>
    <t>省头草</t>
  </si>
  <si>
    <t>马齿苋</t>
  </si>
  <si>
    <t>马齿菜</t>
  </si>
  <si>
    <t>长命菜</t>
  </si>
  <si>
    <t>五行草</t>
  </si>
  <si>
    <t>瓜子菜</t>
  </si>
  <si>
    <t>马蛇子菜</t>
  </si>
  <si>
    <t>紫苏</t>
  </si>
  <si>
    <t>荏</t>
  </si>
  <si>
    <t>赤苏</t>
  </si>
  <si>
    <t>白苏</t>
  </si>
  <si>
    <t>香苏</t>
  </si>
  <si>
    <t>苏叶</t>
  </si>
  <si>
    <t>桂荏</t>
  </si>
  <si>
    <t>回回苏</t>
  </si>
  <si>
    <t>榆钱菠菜</t>
  </si>
  <si>
    <t>食用滨藜</t>
  </si>
  <si>
    <t>洋菠菜</t>
  </si>
  <si>
    <t>山菠菜</t>
  </si>
  <si>
    <t>山菠薐草</t>
  </si>
  <si>
    <t>薄荷</t>
  </si>
  <si>
    <t>山野薄荷</t>
  </si>
  <si>
    <t>蕃荷菜</t>
  </si>
  <si>
    <t>莳萝</t>
  </si>
  <si>
    <t>土茴香</t>
  </si>
  <si>
    <t>草茴香</t>
  </si>
  <si>
    <t>小茴香</t>
  </si>
  <si>
    <t>鸭儿芹</t>
  </si>
  <si>
    <t>鸭脚板</t>
  </si>
  <si>
    <t>三叶芹</t>
  </si>
  <si>
    <t>山芹菜</t>
  </si>
  <si>
    <t>野蜀葵</t>
  </si>
  <si>
    <t>三蜀葵</t>
  </si>
  <si>
    <t>水芹菜</t>
  </si>
  <si>
    <t>蕺菜</t>
  </si>
  <si>
    <t>鱼腥草</t>
  </si>
  <si>
    <t>蕺儿根</t>
  </si>
  <si>
    <t>侧耳根</t>
  </si>
  <si>
    <t>狗帖耳</t>
  </si>
  <si>
    <t>鱼鳞草</t>
  </si>
  <si>
    <t>菹菜</t>
  </si>
  <si>
    <t>蒲公英</t>
  </si>
  <si>
    <t>黄花苗</t>
  </si>
  <si>
    <t>黄花地丁</t>
  </si>
  <si>
    <t>婆婆丁</t>
  </si>
  <si>
    <t>蒲公草</t>
  </si>
  <si>
    <t>马兰</t>
  </si>
  <si>
    <t>马兰头</t>
  </si>
  <si>
    <t>红梗菜</t>
  </si>
  <si>
    <t>紫菊</t>
  </si>
  <si>
    <t>田边菊</t>
  </si>
  <si>
    <t>马兰菊</t>
  </si>
  <si>
    <t>鸡儿肠</t>
  </si>
  <si>
    <t>竹节草</t>
  </si>
  <si>
    <t>香芹菜</t>
  </si>
  <si>
    <t>荷兰芹</t>
  </si>
  <si>
    <t>洋芫荽</t>
  </si>
  <si>
    <t>欧芹</t>
  </si>
  <si>
    <t>法国香菜</t>
  </si>
  <si>
    <t>旱芹菜</t>
  </si>
  <si>
    <t>珍珠菜</t>
  </si>
  <si>
    <t>角菜</t>
  </si>
  <si>
    <t>白苞蒿</t>
  </si>
  <si>
    <t>珍珠花菜</t>
  </si>
  <si>
    <t>甜菜子</t>
  </si>
  <si>
    <t>鸭脚艾</t>
  </si>
  <si>
    <t>乳白艾</t>
  </si>
  <si>
    <t>瓜类</t>
  </si>
  <si>
    <t>王瓜</t>
  </si>
  <si>
    <t>胡瓜</t>
  </si>
  <si>
    <t>东瓜</t>
  </si>
  <si>
    <t>节瓜</t>
  </si>
  <si>
    <t>毛瓜</t>
  </si>
  <si>
    <t>中国南瓜</t>
  </si>
  <si>
    <t>倭瓜</t>
  </si>
  <si>
    <t>番瓜</t>
  </si>
  <si>
    <t>饭瓜</t>
  </si>
  <si>
    <t>笋瓜</t>
  </si>
  <si>
    <t>印度南瓜</t>
  </si>
  <si>
    <t>玉瓜</t>
  </si>
  <si>
    <t>北瓜</t>
  </si>
  <si>
    <t>美洲南瓜</t>
  </si>
  <si>
    <t>蔓瓜</t>
  </si>
  <si>
    <t>香瓜</t>
  </si>
  <si>
    <t>越瓜</t>
  </si>
  <si>
    <t>白瓜</t>
  </si>
  <si>
    <t>脆瓜</t>
  </si>
  <si>
    <t>酥瓜</t>
  </si>
  <si>
    <t>梢瓜</t>
  </si>
  <si>
    <t>菜瓜</t>
  </si>
  <si>
    <t>蛇甜瓜</t>
  </si>
  <si>
    <t>老羊瓜</t>
  </si>
  <si>
    <t>酱瓜</t>
  </si>
  <si>
    <t>圆筒丝瓜</t>
  </si>
  <si>
    <t>蛮瓜</t>
  </si>
  <si>
    <t>水瓜</t>
  </si>
  <si>
    <t>棱角丝瓜</t>
  </si>
  <si>
    <t>胜瓜</t>
  </si>
  <si>
    <t>瓠瓜</t>
  </si>
  <si>
    <t>扁蒲</t>
  </si>
  <si>
    <t>葫芦</t>
  </si>
  <si>
    <t>蒲瓜</t>
  </si>
  <si>
    <t>夜开花</t>
  </si>
  <si>
    <t>瓠子</t>
  </si>
  <si>
    <t>佛手瓜</t>
  </si>
  <si>
    <t>洋丝瓜</t>
  </si>
  <si>
    <t>合掌瓜</t>
  </si>
  <si>
    <t>菜肴梨</t>
  </si>
  <si>
    <t>瓦瓜</t>
  </si>
  <si>
    <t>万年瓜</t>
  </si>
  <si>
    <t>拳头瓜</t>
  </si>
  <si>
    <t>蛇瓜</t>
  </si>
  <si>
    <t>蛇豆</t>
  </si>
  <si>
    <t>蛇丝瓜</t>
  </si>
  <si>
    <t>大豆角</t>
  </si>
  <si>
    <t>番茄</t>
  </si>
  <si>
    <t>茄果类</t>
  </si>
  <si>
    <t>番柿</t>
  </si>
  <si>
    <t>柿子</t>
  </si>
  <si>
    <t>洋柿子</t>
  </si>
  <si>
    <t>茄子</t>
  </si>
  <si>
    <t>落苏</t>
  </si>
  <si>
    <t>海椒</t>
  </si>
  <si>
    <t>辣子</t>
  </si>
  <si>
    <t>辣角</t>
  </si>
  <si>
    <t>番椒</t>
  </si>
  <si>
    <t>大椒</t>
  </si>
  <si>
    <t>灯笼椒</t>
  </si>
  <si>
    <t>柿子椒</t>
  </si>
  <si>
    <t>彩色甜椒</t>
  </si>
  <si>
    <t>甜椒</t>
  </si>
  <si>
    <t>酸浆</t>
  </si>
  <si>
    <t>红姑娘</t>
  </si>
  <si>
    <t>洋姑娘</t>
  </si>
  <si>
    <t>灯笼草</t>
  </si>
  <si>
    <t>洛神珠</t>
  </si>
  <si>
    <t>菜豆</t>
  </si>
  <si>
    <t>豆类</t>
  </si>
  <si>
    <t>四季豆</t>
  </si>
  <si>
    <t>芸豆</t>
  </si>
  <si>
    <t>芸扁豆</t>
  </si>
  <si>
    <t>敏豆</t>
  </si>
  <si>
    <t>玉豆</t>
  </si>
  <si>
    <t>油豆</t>
  </si>
  <si>
    <t>长豆角</t>
  </si>
  <si>
    <t>长豇豆</t>
  </si>
  <si>
    <t>带豆</t>
  </si>
  <si>
    <t>裙带豆</t>
  </si>
  <si>
    <t>菜用大豆</t>
  </si>
  <si>
    <t>枝豆</t>
  </si>
  <si>
    <t>青斑豆</t>
  </si>
  <si>
    <t>麻豆</t>
  </si>
  <si>
    <t>青小豆</t>
  </si>
  <si>
    <t>淮豆</t>
  </si>
  <si>
    <t>留豆</t>
  </si>
  <si>
    <t>金豆</t>
  </si>
  <si>
    <t>麦豆</t>
  </si>
  <si>
    <t>回回豆</t>
  </si>
  <si>
    <t>甜豌豆</t>
  </si>
  <si>
    <t>蚕豆</t>
  </si>
  <si>
    <t>胡豆</t>
  </si>
  <si>
    <t>佛豆</t>
  </si>
  <si>
    <t>寒豆</t>
  </si>
  <si>
    <t>罗汉豆</t>
  </si>
  <si>
    <t>扁豆</t>
  </si>
  <si>
    <t>峨眉豆</t>
  </si>
  <si>
    <t>沿篱豆</t>
  </si>
  <si>
    <t>眉豆</t>
  </si>
  <si>
    <t>肉豆</t>
  </si>
  <si>
    <t>龙爪豆</t>
  </si>
  <si>
    <t>莱豆</t>
  </si>
  <si>
    <t>金甲豆</t>
  </si>
  <si>
    <t>科马豆</t>
  </si>
  <si>
    <t>荷豆</t>
  </si>
  <si>
    <t>雪豆</t>
  </si>
  <si>
    <t>洋扁豆</t>
  </si>
  <si>
    <t>白豆</t>
  </si>
  <si>
    <t>状元豆</t>
  </si>
  <si>
    <t>棉豆</t>
  </si>
  <si>
    <t>荷包豆</t>
  </si>
  <si>
    <t>刀豆</t>
  </si>
  <si>
    <t>大刀豆</t>
  </si>
  <si>
    <t>关刀豆</t>
  </si>
  <si>
    <t>洋刀豆</t>
  </si>
  <si>
    <t>多花菜豆</t>
  </si>
  <si>
    <t>红花菜豆</t>
  </si>
  <si>
    <t>大白芸豆</t>
  </si>
  <si>
    <t>大花芸豆</t>
  </si>
  <si>
    <t>看花豆</t>
  </si>
  <si>
    <t>四棱豆</t>
  </si>
  <si>
    <t>翼豆</t>
  </si>
  <si>
    <t>翅豆</t>
  </si>
  <si>
    <t>四角豆</t>
  </si>
  <si>
    <t>杨桃豆</t>
  </si>
  <si>
    <t>热带大豆</t>
  </si>
  <si>
    <t>四稔豆</t>
  </si>
  <si>
    <t>藜豆</t>
  </si>
  <si>
    <t>黧豆</t>
  </si>
  <si>
    <t>黎豆</t>
  </si>
  <si>
    <t>猫猫豆</t>
  </si>
  <si>
    <t>毛毛豆</t>
  </si>
  <si>
    <t>毛胡豆</t>
  </si>
  <si>
    <t>毛狗豆</t>
  </si>
  <si>
    <t>小狗豆</t>
  </si>
  <si>
    <t>狸豆</t>
  </si>
  <si>
    <t>八升豆</t>
  </si>
  <si>
    <t>狗爪豆</t>
  </si>
  <si>
    <t>水生蔬菜</t>
  </si>
  <si>
    <t>莲</t>
  </si>
  <si>
    <t>藕</t>
  </si>
  <si>
    <t>荷</t>
  </si>
  <si>
    <t>茭瓜</t>
  </si>
  <si>
    <t>茭笋</t>
  </si>
  <si>
    <t>菰首</t>
  </si>
  <si>
    <t>慈姑</t>
  </si>
  <si>
    <t>剪刀草</t>
  </si>
  <si>
    <t>燕尾草</t>
  </si>
  <si>
    <t>水芹</t>
  </si>
  <si>
    <t>刀芹</t>
  </si>
  <si>
    <t>楚葵</t>
  </si>
  <si>
    <t>蜀芹</t>
  </si>
  <si>
    <t>紫堇</t>
  </si>
  <si>
    <t>蕲</t>
  </si>
  <si>
    <t>荸荠</t>
  </si>
  <si>
    <t>马蹄</t>
  </si>
  <si>
    <t>地栗</t>
  </si>
  <si>
    <t>乌芋</t>
  </si>
  <si>
    <t>凫茈</t>
  </si>
  <si>
    <t>菱</t>
  </si>
  <si>
    <t>菱角</t>
  </si>
  <si>
    <t>龙角</t>
  </si>
  <si>
    <t>水栗</t>
  </si>
  <si>
    <t>豆瓣菜</t>
  </si>
  <si>
    <t>西洋菜</t>
  </si>
  <si>
    <t>水田芥</t>
  </si>
  <si>
    <t>水蔊菜</t>
  </si>
  <si>
    <t>芡实</t>
  </si>
  <si>
    <t>鸡头米</t>
  </si>
  <si>
    <t>鸡头</t>
  </si>
  <si>
    <t>水底黄蜂</t>
  </si>
  <si>
    <t>莼菜</t>
  </si>
  <si>
    <t>马蹄草</t>
  </si>
  <si>
    <t>水葵</t>
  </si>
  <si>
    <t>水荷叶</t>
  </si>
  <si>
    <t>湖菜</t>
  </si>
  <si>
    <t>露葵</t>
  </si>
  <si>
    <t>蒲菜</t>
  </si>
  <si>
    <t>香蒲</t>
  </si>
  <si>
    <t>甘蒲</t>
  </si>
  <si>
    <t>江白菜</t>
  </si>
  <si>
    <t>昆布</t>
  </si>
  <si>
    <t>紫菜</t>
  </si>
  <si>
    <t>笋用竹</t>
  </si>
  <si>
    <t>多年生及杂类蔬菜</t>
  </si>
  <si>
    <t>石刁柏</t>
  </si>
  <si>
    <t>龙须菜</t>
  </si>
  <si>
    <t>黄花菜</t>
  </si>
  <si>
    <t>萱草</t>
  </si>
  <si>
    <t>金针菜</t>
  </si>
  <si>
    <t>夜合</t>
  </si>
  <si>
    <t>中篷花</t>
  </si>
  <si>
    <t>香椿</t>
  </si>
  <si>
    <t>香椿树</t>
  </si>
  <si>
    <t>红椿</t>
  </si>
  <si>
    <t>椿花</t>
  </si>
  <si>
    <t>椿甜树</t>
  </si>
  <si>
    <t>枸杞</t>
  </si>
  <si>
    <t>枸杞菜</t>
  </si>
  <si>
    <t>枸杞头</t>
  </si>
  <si>
    <t>枸杞芽</t>
  </si>
  <si>
    <t>蘘荷</t>
  </si>
  <si>
    <t>阳霍</t>
  </si>
  <si>
    <t>野姜</t>
  </si>
  <si>
    <t>蘘草</t>
  </si>
  <si>
    <t>茗荷</t>
  </si>
  <si>
    <t>苴蓴</t>
  </si>
  <si>
    <t>菜蓟</t>
  </si>
  <si>
    <t>朝鲜蓟</t>
  </si>
  <si>
    <t>洋蓟</t>
  </si>
  <si>
    <t>荷兰百合</t>
  </si>
  <si>
    <t>法国百合</t>
  </si>
  <si>
    <t>辣根</t>
  </si>
  <si>
    <t>西洋山萮菜</t>
  </si>
  <si>
    <t>山葵萝卜</t>
  </si>
  <si>
    <t>食用大黄</t>
  </si>
  <si>
    <t>原叶大黄</t>
  </si>
  <si>
    <t>圆叶大黄</t>
  </si>
  <si>
    <t>黄秋葵</t>
  </si>
  <si>
    <t>羊角豆</t>
  </si>
  <si>
    <t>桔梗</t>
  </si>
  <si>
    <t>地参</t>
  </si>
  <si>
    <t>四叶菜</t>
  </si>
  <si>
    <t>绿花根</t>
  </si>
  <si>
    <t>铃铛花</t>
  </si>
  <si>
    <t>沙油菜</t>
  </si>
  <si>
    <t>梗草</t>
  </si>
  <si>
    <t>道拉基</t>
  </si>
  <si>
    <t>蕨</t>
  </si>
  <si>
    <t>蕨苔</t>
  </si>
  <si>
    <t>龙头菜</t>
  </si>
  <si>
    <t>蕨儿菜</t>
  </si>
  <si>
    <t>鹿蕨菜</t>
  </si>
  <si>
    <t>乾苔</t>
  </si>
  <si>
    <t>发菜</t>
  </si>
  <si>
    <t>头发菜</t>
  </si>
  <si>
    <t>石发</t>
  </si>
  <si>
    <t>蒌蒿</t>
  </si>
  <si>
    <t>芦蒿</t>
  </si>
  <si>
    <t>水蒿</t>
  </si>
  <si>
    <t>香艾蒿</t>
  </si>
  <si>
    <t>小艾</t>
  </si>
  <si>
    <t>水艾</t>
  </si>
  <si>
    <t>薇菜</t>
  </si>
  <si>
    <t>野豌豆</t>
  </si>
  <si>
    <t>大巢菜</t>
  </si>
  <si>
    <t>斑矛架</t>
  </si>
  <si>
    <t>野苕子</t>
  </si>
  <si>
    <t>车前草</t>
  </si>
  <si>
    <t>车轮菜</t>
  </si>
  <si>
    <t>牛舌菜</t>
  </si>
  <si>
    <t>蛤蟆衣</t>
  </si>
  <si>
    <t>食用菊</t>
  </si>
  <si>
    <t>甘菊</t>
  </si>
  <si>
    <t>臭菊</t>
  </si>
  <si>
    <t>玉米笋</t>
  </si>
  <si>
    <t>玉笋</t>
  </si>
  <si>
    <t>多穗玉米</t>
  </si>
  <si>
    <t>珍珠笋</t>
  </si>
  <si>
    <t>番麦笋</t>
  </si>
  <si>
    <t>嫩玉米</t>
  </si>
  <si>
    <t>菜苞谷</t>
  </si>
  <si>
    <t>青玉谷</t>
  </si>
  <si>
    <t>御麦</t>
  </si>
  <si>
    <t>糯玉米</t>
  </si>
  <si>
    <t>中国玉米</t>
  </si>
  <si>
    <t>糯苞谷</t>
  </si>
  <si>
    <t>甜玉米</t>
  </si>
  <si>
    <t>甜苞谷</t>
  </si>
  <si>
    <t>甜玉蜀黍</t>
  </si>
  <si>
    <t>菜玉米</t>
  </si>
  <si>
    <t>食用菌</t>
  </si>
  <si>
    <t>香蕈</t>
  </si>
  <si>
    <t>冬菇</t>
  </si>
  <si>
    <t>花菇</t>
  </si>
  <si>
    <t>双孢蘑菇</t>
  </si>
  <si>
    <t>蘑菇</t>
  </si>
  <si>
    <t>白蘑菇</t>
  </si>
  <si>
    <t>双孢菇</t>
  </si>
  <si>
    <t>洋菇</t>
  </si>
  <si>
    <t>褐蘑菇</t>
  </si>
  <si>
    <t>棕色蘑菇</t>
  </si>
  <si>
    <t>糙皮侧耳</t>
  </si>
  <si>
    <t>平菇</t>
  </si>
  <si>
    <t>北风菌</t>
  </si>
  <si>
    <t>青蘑</t>
  </si>
  <si>
    <t>桐子菌</t>
  </si>
  <si>
    <t>草菇</t>
  </si>
  <si>
    <t>兰花菇</t>
  </si>
  <si>
    <t>美味包脚菇</t>
  </si>
  <si>
    <t>秆菇</t>
  </si>
  <si>
    <t>麻菇</t>
  </si>
  <si>
    <t>中国蘑菇</t>
  </si>
  <si>
    <t>毛柄金钱菇</t>
  </si>
  <si>
    <t>朴菇</t>
  </si>
  <si>
    <t>朴菰</t>
  </si>
  <si>
    <t>黑木耳</t>
  </si>
  <si>
    <t>木耳</t>
  </si>
  <si>
    <t>光木耳</t>
  </si>
  <si>
    <t>云耳</t>
  </si>
  <si>
    <t>银耳</t>
  </si>
  <si>
    <t>白木耳</t>
  </si>
  <si>
    <t>雪耳</t>
  </si>
  <si>
    <t>猴头菇</t>
  </si>
  <si>
    <t>猴头蘑</t>
  </si>
  <si>
    <t>刺猬菌</t>
  </si>
  <si>
    <t>毛头鬼伞</t>
  </si>
  <si>
    <t>鸡腿蘑</t>
  </si>
  <si>
    <t>姬松茸</t>
  </si>
  <si>
    <t>巴西蘑菇</t>
  </si>
  <si>
    <t>巴氏蘑菇</t>
  </si>
  <si>
    <t>茶薪菇</t>
  </si>
  <si>
    <t>杨树菇</t>
  </si>
  <si>
    <t>柱状田头菇</t>
  </si>
  <si>
    <t>柳环菌</t>
  </si>
  <si>
    <t>真姬菇</t>
  </si>
  <si>
    <t>玉蕈</t>
  </si>
  <si>
    <t>斑玉蕈</t>
  </si>
  <si>
    <t>胶玉蘑</t>
  </si>
  <si>
    <t>鸿喜菇</t>
  </si>
  <si>
    <t>海鲜菇</t>
  </si>
  <si>
    <t>灰树花</t>
  </si>
  <si>
    <t>贝叶多孔菌</t>
  </si>
  <si>
    <t>云蕈</t>
  </si>
  <si>
    <t>栗蘑</t>
  </si>
  <si>
    <t>舞茸</t>
  </si>
  <si>
    <t>莲花菌</t>
  </si>
  <si>
    <t>千佛菌</t>
  </si>
  <si>
    <t>滑菇</t>
  </si>
  <si>
    <t>珍珠菇</t>
  </si>
  <si>
    <t>光帽鳞伞</t>
  </si>
  <si>
    <t>滑子蘑</t>
  </si>
  <si>
    <t>刺芹侧耳</t>
  </si>
  <si>
    <t>雪茸</t>
  </si>
  <si>
    <t>干贝菇</t>
  </si>
  <si>
    <t>白灵侧耳</t>
  </si>
  <si>
    <t>白灵菇</t>
  </si>
  <si>
    <t>阿魏侧耳</t>
  </si>
  <si>
    <t>阿魏菇</t>
  </si>
  <si>
    <t>盖襄侧耳</t>
  </si>
  <si>
    <t>台湾平菇</t>
  </si>
  <si>
    <t>鲍鱼菇</t>
  </si>
  <si>
    <t>毛木耳</t>
  </si>
  <si>
    <t>竹荪</t>
  </si>
  <si>
    <t>长裙竹荪</t>
  </si>
  <si>
    <t>短裙竹荪</t>
  </si>
  <si>
    <t>棘托竹荪</t>
  </si>
  <si>
    <t>肺形侧耳</t>
  </si>
  <si>
    <t>姬菇</t>
  </si>
  <si>
    <t>秀珍菇</t>
  </si>
  <si>
    <t>小平菇</t>
  </si>
  <si>
    <t>金顶侧耳</t>
  </si>
  <si>
    <t>榆黄蘑</t>
  </si>
  <si>
    <t>玉皇菇</t>
  </si>
  <si>
    <t>大球盖菇</t>
  </si>
  <si>
    <t>长根菇</t>
  </si>
  <si>
    <t>大杯蕈</t>
  </si>
  <si>
    <t>猪肚菇</t>
  </si>
  <si>
    <t>洛巴伊口蘑</t>
  </si>
  <si>
    <t>金福菇</t>
  </si>
  <si>
    <t>北冬虫夏草</t>
  </si>
  <si>
    <t>蛹虫草</t>
  </si>
  <si>
    <t>牛肝菌</t>
  </si>
  <si>
    <t>松茸</t>
  </si>
  <si>
    <t>鸡枞</t>
  </si>
  <si>
    <t>羊肚菌</t>
  </si>
  <si>
    <t>榛蘑</t>
  </si>
  <si>
    <t>蜜环菌</t>
  </si>
  <si>
    <t>鸡油菌</t>
  </si>
  <si>
    <t>红菇</t>
  </si>
  <si>
    <t>蒙古口蘑</t>
  </si>
  <si>
    <t>青冈菌</t>
  </si>
  <si>
    <t>离褶伞</t>
  </si>
  <si>
    <t>一窝鸡</t>
  </si>
  <si>
    <t>芽苗菜</t>
  </si>
  <si>
    <t>绿豆芽幼芽</t>
  </si>
  <si>
    <t>黄豆幼芽</t>
  </si>
  <si>
    <t>黑豆芽</t>
  </si>
  <si>
    <t>黑豆幼芽</t>
  </si>
  <si>
    <t>青豆芽</t>
  </si>
  <si>
    <t>青豆幼芽</t>
  </si>
  <si>
    <t>红豆芽</t>
  </si>
  <si>
    <t>红豆幼芽</t>
  </si>
  <si>
    <t>蚕豆芽</t>
  </si>
  <si>
    <t>蚕豆幼芽</t>
  </si>
  <si>
    <t>红小豆苗</t>
  </si>
  <si>
    <t>红小豆幼芽</t>
  </si>
  <si>
    <t>豌豆苗</t>
  </si>
  <si>
    <t>豌豆幼芽</t>
  </si>
  <si>
    <t>花生芽</t>
  </si>
  <si>
    <t>花生幼芽</t>
  </si>
  <si>
    <t>苜蓿芽</t>
  </si>
  <si>
    <t>苜蓿幼芽或幼苗</t>
  </si>
  <si>
    <t>小扁豆芽</t>
  </si>
  <si>
    <t>小扁豆幼芽或幼苗</t>
  </si>
  <si>
    <t>萝卜芽</t>
  </si>
  <si>
    <t>萝卜芽幼苗</t>
  </si>
  <si>
    <t>菘蓝芽</t>
  </si>
  <si>
    <t>菘蓝幼芽或幼苗</t>
  </si>
  <si>
    <t>沙芥芽</t>
  </si>
  <si>
    <t>沙芥幼芽或幼苗</t>
  </si>
  <si>
    <t>芥菜芽</t>
  </si>
  <si>
    <t>芥菜幼芽或幼苗</t>
  </si>
  <si>
    <t>芥蓝芽</t>
  </si>
  <si>
    <t>芥蓝幼芽或幼苗</t>
  </si>
  <si>
    <t>白菜芽</t>
  </si>
  <si>
    <t>白菜幼芽或幼苗</t>
  </si>
  <si>
    <t>独行菜芽</t>
  </si>
  <si>
    <t>独行菜幼苗</t>
  </si>
  <si>
    <t>香椿幼苗</t>
  </si>
  <si>
    <t>向日葵芽</t>
  </si>
  <si>
    <t>向日葵幼芽</t>
  </si>
  <si>
    <t>荞麦芽</t>
  </si>
  <si>
    <t>荞麦幼苗</t>
  </si>
  <si>
    <t>胡椒芽</t>
  </si>
  <si>
    <t>胡椒幼芽或幼苗</t>
  </si>
  <si>
    <t>紫苏芽</t>
  </si>
  <si>
    <t>紫苏幼芽或幼苗</t>
  </si>
  <si>
    <t>水芹芽</t>
  </si>
  <si>
    <t>水芹幼苗</t>
  </si>
  <si>
    <t>小麦苗</t>
  </si>
  <si>
    <t>小麦幼苗</t>
  </si>
  <si>
    <t>胡麻芽</t>
  </si>
  <si>
    <t>胡麻幼芽或幼苗</t>
  </si>
  <si>
    <t>蕹菜芽</t>
  </si>
  <si>
    <t>蕹菜幼苗</t>
  </si>
  <si>
    <t>芝麻芽</t>
  </si>
  <si>
    <t>芝麻幼芽或幼苗</t>
  </si>
  <si>
    <t>黄秋葵芽</t>
  </si>
  <si>
    <t>黄秋葵幼苗</t>
  </si>
  <si>
    <t>花椒脑</t>
  </si>
  <si>
    <t>花椒嫩芽</t>
  </si>
  <si>
    <t>芽球菊苣</t>
  </si>
  <si>
    <t>菊苣芽球</t>
  </si>
  <si>
    <t>苦苣芽</t>
  </si>
  <si>
    <t>苦苣幼芽或幼苗</t>
  </si>
  <si>
    <t>佛手瓜稍</t>
  </si>
  <si>
    <t>佛手瓜幼稍</t>
  </si>
  <si>
    <t>辣椒尖</t>
  </si>
  <si>
    <t>辣椒幼稍</t>
  </si>
  <si>
    <t>豌豆幼稍</t>
  </si>
  <si>
    <t>草芽</t>
  </si>
  <si>
    <t>草芽幼嫩假茎</t>
  </si>
  <si>
    <t>黄花菜幼嫩假茎</t>
  </si>
  <si>
    <t>碧玉笋</t>
  </si>
  <si>
    <t>其他</t>
  </si>
  <si>
    <t>总计</t>
  </si>
  <si>
    <t>月销售额（元）</t>
  </si>
  <si>
    <t>月销量（斤）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</si>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</sst>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_ "/>
    <numFmt numFmtId="177" formatCode="#,##0.00_ "/>
    <numFmt numFmtId="178" formatCode="0.0000_ "/>
    <numFmt numFmtId="179" formatCode="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>
      <alignment vertical="center"/>
    </xf>
  </cellStyleXfs>
  <cellXfs count="19">
    <xf numFmtId="0" fontId="0" fillId="0" borderId="0" xfId="0"/>
    <xf numFmtId="0" fontId="0" fillId="0" borderId="0" xfId="0" applyFill="1"/>
    <xf numFmtId="0" fontId="5" fillId="0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right"/>
    </xf>
    <xf numFmtId="177" fontId="8" fillId="0" borderId="1" xfId="0" applyNumberFormat="1" applyFont="1" applyBorder="1" applyAlignment="1">
      <alignment horizontal="right"/>
    </xf>
    <xf numFmtId="178" fontId="10" fillId="0" borderId="1" xfId="0" applyNumberFormat="1" applyFont="1" applyFill="1" applyBorder="1" applyAlignment="1">
      <alignment horizontal="right" vertical="center"/>
    </xf>
    <xf numFmtId="179" fontId="8" fillId="0" borderId="1" xfId="0" applyNumberFormat="1" applyFont="1" applyFill="1" applyBorder="1" applyAlignment="1">
      <alignment horizontal="right"/>
    </xf>
    <xf numFmtId="178" fontId="0" fillId="0" borderId="0" xfId="0" applyNumberFormat="1"/>
    <xf numFmtId="179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</cellXfs>
  <cellStyles count="3">
    <cellStyle name="常规" xfId="0" builtinId="0"/>
    <cellStyle name="常规 2" xfId="1"/>
    <cellStyle name="常规 3" xfId="2"/>
  </cellStyles>
  <dxfs count="10">
    <dxf>
      <numFmt numFmtId="177" formatCode="#,##0.00_ "/>
    </dxf>
    <dxf>
      <numFmt numFmtId="177" formatCode="#,##0.00_ "/>
    </dxf>
    <dxf>
      <numFmt numFmtId="176" formatCode="#,##0_ "/>
    </dxf>
    <dxf>
      <numFmt numFmtId="179" formatCode="0_ "/>
    </dxf>
    <dxf>
      <numFmt numFmtId="179" formatCode="0_ "/>
    </dxf>
    <dxf>
      <numFmt numFmtId="179" formatCode="0_ "/>
    </dxf>
    <dxf>
      <numFmt numFmtId="179" formatCode="0_ "/>
    </dxf>
    <dxf>
      <numFmt numFmtId="178" formatCode="0.0000_ "/>
    </dxf>
    <dxf>
      <numFmt numFmtId="0" formatCode="General"/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293.604234953702" createdVersion="6" refreshedVersion="6" minRefreshableVersion="3" recordCount="151">
  <cacheSource type="worksheet">
    <worksheetSource name="表1" r:id="rId2"/>
  </cacheSource>
  <cacheFields count="9">
    <cacheField name="名称" numFmtId="0">
      <sharedItems count="151">
        <s v="鹌鹑蛋"/>
        <s v="白萝卜"/>
        <s v="白山药"/>
        <s v="白玉菇"/>
        <s v="百合"/>
        <s v="薄荷叶"/>
        <s v="菠菜"/>
        <s v="彩椒"/>
        <s v="菜花"/>
        <s v="菜心"/>
        <s v="茶树菇"/>
        <s v="虫草花"/>
        <s v="穿心莲"/>
        <s v="大白菜"/>
        <s v="大葱"/>
        <s v="大蒜"/>
        <s v="地耳"/>
        <s v="冬瓜"/>
        <s v="冬笋"/>
        <s v="豆角"/>
        <s v="法香"/>
        <s v="盖菜"/>
        <s v="干豆结"/>
        <s v="干烤麸"/>
        <s v="海白菜"/>
        <s v="海带"/>
        <s v="海带结"/>
        <s v="海带片"/>
        <s v="海带丝"/>
        <s v="海带头"/>
        <s v="海蜇丝"/>
        <s v="韩国辣白菜"/>
        <s v="杭椒"/>
        <s v="蒿子秆"/>
        <s v="荷兰豆"/>
        <s v="荷兰黄瓜"/>
        <s v="红杭椒"/>
        <s v="红椒"/>
        <s v="红薯"/>
        <s v="红苋菜"/>
        <s v="红线椒"/>
        <s v="红圆椒"/>
        <s v="胡萝卜"/>
        <s v="花叶生菜"/>
        <s v="黄豆芽"/>
        <s v="黄瓜"/>
        <s v="黄瓜干"/>
        <s v="黄椒"/>
        <s v="茴香"/>
        <s v="鸡毛菜"/>
        <s v="鸡腿菇"/>
        <s v="鸡汁脆笋"/>
        <s v="尖椒"/>
        <s v="豇豆"/>
        <s v="茭白"/>
        <s v="芥兰"/>
        <s v="芥兰笋"/>
        <s v="金瓜"/>
        <s v="金针菇"/>
        <s v="菊花菜"/>
        <s v="蕨菜"/>
        <s v="空心菜"/>
        <s v="苦瓜"/>
        <s v="苦菊"/>
        <s v="快菜"/>
        <s v="辣白菜"/>
        <s v="辣椒"/>
        <s v="莲藕"/>
        <s v="凉瓜"/>
        <s v="芦笋"/>
        <s v="罗汉笋"/>
        <s v="萝卜"/>
        <s v="绿豆芽"/>
        <s v="毛豆"/>
        <s v="美人椒"/>
        <s v="木耳菜"/>
        <s v="奶白菜"/>
        <s v="南瓜"/>
        <s v="皮蛋"/>
        <s v="芹菜"/>
        <s v="青豆"/>
        <s v="青杭椒"/>
        <s v="青尖椒"/>
        <s v="青椒"/>
        <s v="青萝卜"/>
        <s v="青蒜"/>
        <s v="青笋"/>
        <s v="青线椒"/>
        <s v="青小米椒"/>
        <s v="青圆椒"/>
        <s v="秋葵"/>
        <s v="散娃娃菜"/>
        <s v="山药"/>
        <s v="生姜"/>
        <s v="圣女果"/>
        <s v="湿海带"/>
        <s v="丝瓜"/>
        <s v="素海蜇丝"/>
        <s v="酸菜"/>
        <s v="蒜苗"/>
        <s v="蒜苔"/>
        <s v="蒜仔"/>
        <s v="笋"/>
        <s v="铁棍山药"/>
        <s v="茼蒿"/>
        <s v="土豆"/>
        <s v="娃娃菜"/>
        <s v="外婆菜"/>
        <s v="豌豆"/>
        <s v="豌豆尖"/>
        <s v="豌豆粒"/>
        <s v="西红柿"/>
        <s v="西葫芦"/>
        <s v="西兰花"/>
        <s v="西芹"/>
        <s v="鲜花生"/>
        <s v="鲜蘑"/>
        <s v="咸蛋黄"/>
        <s v="苋菜"/>
        <s v="线椒"/>
        <s v="香菜"/>
        <s v="香椿苗"/>
        <s v="香葱"/>
        <s v="香菇"/>
        <s v="香芹"/>
        <s v="小白菜"/>
        <s v="小米辣"/>
        <s v="蟹味菇"/>
        <s v="心里美"/>
        <s v="心里美萝卜"/>
        <s v="杏鲍菇"/>
        <s v="杏鲍菇根"/>
        <s v="雪里蕻"/>
        <s v="洋葱"/>
        <s v="樱桃萝卜"/>
        <s v="油菜"/>
        <s v="油麦菜"/>
        <s v="鱼酸菜"/>
        <s v="玉米"/>
        <s v="玉米粒"/>
        <s v="芋头"/>
        <s v="圆白菜"/>
        <s v="圆茄子"/>
        <s v="圆生菜"/>
        <s v="榨菜"/>
        <s v="长毛山药"/>
        <s v="长茄子"/>
        <s v="竹笋"/>
        <s v="紫甘蓝"/>
        <s v="紫皮洋葱"/>
        <s v="紫薯"/>
      </sharedItems>
    </cacheField>
    <cacheField name="类别" numFmtId="0">
      <sharedItems count="15">
        <s v="其他"/>
        <s v="根菜类"/>
        <s v="薯芋类"/>
        <s v="食用菌"/>
        <s v="多年生及杂类蔬菜"/>
        <s v="叶菜类"/>
        <s v="茄果类"/>
        <s v="甘蓝类"/>
        <s v="白菜类"/>
        <s v="葱蒜类"/>
        <s v="瓜类"/>
        <s v="豆类"/>
        <s v="芥菜类"/>
        <s v="水生蔬菜"/>
        <s v="芽苗菜"/>
      </sharedItems>
    </cacheField>
    <cacheField name="平均单价" numFmtId="178">
      <sharedItems containsSemiMixedTypes="0" containsString="0" containsNumber="1" minValue="0.64999999999999991" maxValue="221"/>
    </cacheField>
    <cacheField name="一部销量" numFmtId="179">
      <sharedItems containsSemiMixedTypes="0" containsString="0" containsNumber="1" minValue="0" maxValue="1075"/>
    </cacheField>
    <cacheField name="二部销量" numFmtId="179">
      <sharedItems containsSemiMixedTypes="0" containsString="0" containsNumber="1" minValue="0" maxValue="4494"/>
    </cacheField>
    <cacheField name="三部销量" numFmtId="179">
      <sharedItems containsSemiMixedTypes="0" containsString="0" containsNumber="1" minValue="0" maxValue="1195"/>
    </cacheField>
    <cacheField name="四部销量" numFmtId="179">
      <sharedItems containsSemiMixedTypes="0" containsString="0" containsNumber="1" minValue="0" maxValue="675"/>
    </cacheField>
    <cacheField name="月销量" numFmtId="176">
      <sharedItems containsSemiMixedTypes="0" containsString="0" containsNumber="1" minValue="0.8" maxValue="7439"/>
    </cacheField>
    <cacheField name="月销售额" numFmtId="177">
      <sharedItems containsSemiMixedTypes="0" containsString="0" containsNumber="1" minValue="2" maxValue="16281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x v="0"/>
    <n v="8.6750000000000007"/>
    <n v="0"/>
    <n v="0"/>
    <n v="0"/>
    <n v="21"/>
    <n v="21"/>
    <n v="182.17500000000001"/>
  </r>
  <r>
    <x v="1"/>
    <x v="1"/>
    <n v="0.64999999999999991"/>
    <n v="0"/>
    <n v="6"/>
    <n v="4"/>
    <n v="0"/>
    <n v="10"/>
    <n v="6.4999999999999991"/>
  </r>
  <r>
    <x v="2"/>
    <x v="2"/>
    <n v="1.95"/>
    <n v="0"/>
    <n v="0"/>
    <n v="5"/>
    <n v="0"/>
    <n v="5"/>
    <n v="9.75"/>
  </r>
  <r>
    <x v="3"/>
    <x v="3"/>
    <n v="4.45"/>
    <n v="0"/>
    <n v="2"/>
    <n v="9.75"/>
    <n v="0"/>
    <n v="11.75"/>
    <n v="52.287500000000001"/>
  </r>
  <r>
    <x v="4"/>
    <x v="4"/>
    <n v="29.64"/>
    <n v="0"/>
    <n v="0"/>
    <n v="1.8"/>
    <n v="1.44"/>
    <n v="3.24"/>
    <n v="96.033600000000007"/>
  </r>
  <r>
    <x v="5"/>
    <x v="5"/>
    <n v="6.5"/>
    <n v="0"/>
    <n v="3"/>
    <n v="0"/>
    <n v="0"/>
    <n v="3"/>
    <n v="19.5"/>
  </r>
  <r>
    <x v="6"/>
    <x v="5"/>
    <n v="2.9849471830985914"/>
    <n v="370"/>
    <n v="315"/>
    <n v="187"/>
    <n v="264"/>
    <n v="1136"/>
    <n v="3390.9"/>
  </r>
  <r>
    <x v="7"/>
    <x v="6"/>
    <n v="3.9"/>
    <n v="0"/>
    <n v="1.2"/>
    <n v="0"/>
    <n v="0"/>
    <n v="1.2"/>
    <n v="4.68"/>
  </r>
  <r>
    <x v="8"/>
    <x v="7"/>
    <n v="1.6166666666666667"/>
    <n v="0"/>
    <n v="60"/>
    <n v="0"/>
    <n v="0"/>
    <n v="60"/>
    <n v="97"/>
  </r>
  <r>
    <x v="9"/>
    <x v="8"/>
    <n v="3.2667582417582417"/>
    <n v="0"/>
    <n v="63"/>
    <n v="75"/>
    <n v="44"/>
    <n v="182"/>
    <n v="594.54999999999995"/>
  </r>
  <r>
    <x v="10"/>
    <x v="3"/>
    <n v="8.4635416666666661"/>
    <n v="90"/>
    <n v="0"/>
    <n v="6"/>
    <n v="0"/>
    <n v="96"/>
    <n v="812.5"/>
  </r>
  <r>
    <x v="11"/>
    <x v="3"/>
    <n v="13"/>
    <n v="0"/>
    <n v="0"/>
    <n v="1.5"/>
    <n v="0"/>
    <n v="1.5"/>
    <n v="19.5"/>
  </r>
  <r>
    <x v="12"/>
    <x v="0"/>
    <n v="2.1086000000000005"/>
    <n v="0"/>
    <n v="4"/>
    <n v="6"/>
    <n v="0"/>
    <n v="10"/>
    <n v="21.086000000000006"/>
  </r>
  <r>
    <x v="13"/>
    <x v="8"/>
    <n v="0.76141304347826089"/>
    <n v="80"/>
    <n v="50"/>
    <n v="330"/>
    <n v="0"/>
    <n v="460"/>
    <n v="350.25"/>
  </r>
  <r>
    <x v="14"/>
    <x v="9"/>
    <n v="1.9303353658536584"/>
    <n v="54"/>
    <n v="184"/>
    <n v="80"/>
    <n v="10"/>
    <n v="328"/>
    <n v="633.15"/>
  </r>
  <r>
    <x v="15"/>
    <x v="9"/>
    <n v="6.5749999999999993"/>
    <n v="0"/>
    <n v="2"/>
    <n v="2"/>
    <n v="0"/>
    <n v="4"/>
    <n v="26.299999999999997"/>
  </r>
  <r>
    <x v="16"/>
    <x v="3"/>
    <n v="2.95"/>
    <n v="124"/>
    <n v="72"/>
    <n v="127"/>
    <n v="0"/>
    <n v="323"/>
    <n v="952.85"/>
  </r>
  <r>
    <x v="17"/>
    <x v="10"/>
    <n v="0.71762114537444921"/>
    <n v="60"/>
    <n v="113"/>
    <n v="182"/>
    <n v="99"/>
    <n v="454"/>
    <n v="325.79999999999995"/>
  </r>
  <r>
    <x v="18"/>
    <x v="4"/>
    <n v="5.2249999999999996"/>
    <n v="0"/>
    <n v="64"/>
    <n v="8"/>
    <n v="24"/>
    <n v="96"/>
    <n v="501.59999999999997"/>
  </r>
  <r>
    <x v="19"/>
    <x v="11"/>
    <n v="2.5609999999999999"/>
    <n v="0"/>
    <n v="3"/>
    <n v="0"/>
    <n v="0"/>
    <n v="3"/>
    <n v="7.6829999999999998"/>
  </r>
  <r>
    <x v="20"/>
    <x v="5"/>
    <n v="7.8"/>
    <n v="0"/>
    <n v="1"/>
    <n v="0"/>
    <n v="0"/>
    <n v="1"/>
    <n v="7.8"/>
  </r>
  <r>
    <x v="21"/>
    <x v="12"/>
    <n v="3.0833333333333335"/>
    <n v="0"/>
    <n v="0"/>
    <n v="90"/>
    <n v="0"/>
    <n v="90"/>
    <n v="277.5"/>
  </r>
  <r>
    <x v="22"/>
    <x v="0"/>
    <n v="6.5"/>
    <n v="0"/>
    <n v="0"/>
    <n v="0"/>
    <n v="6"/>
    <n v="6"/>
    <n v="39"/>
  </r>
  <r>
    <x v="23"/>
    <x v="0"/>
    <n v="9.75"/>
    <n v="0"/>
    <n v="0"/>
    <n v="0"/>
    <n v="8"/>
    <n v="8"/>
    <n v="78"/>
  </r>
  <r>
    <x v="24"/>
    <x v="13"/>
    <n v="4.5"/>
    <n v="0"/>
    <n v="10"/>
    <n v="0"/>
    <n v="0"/>
    <n v="10"/>
    <n v="45"/>
  </r>
  <r>
    <x v="25"/>
    <x v="13"/>
    <n v="3.9000000000000004"/>
    <n v="0"/>
    <n v="36"/>
    <n v="0"/>
    <n v="0"/>
    <n v="36"/>
    <n v="140.4"/>
  </r>
  <r>
    <x v="26"/>
    <x v="13"/>
    <n v="3.7898648648648647"/>
    <n v="0"/>
    <n v="74"/>
    <n v="0"/>
    <n v="0"/>
    <n v="74"/>
    <n v="280.45"/>
  </r>
  <r>
    <x v="27"/>
    <x v="13"/>
    <n v="3.4568965517241379"/>
    <n v="0"/>
    <n v="151.5"/>
    <n v="0"/>
    <n v="22.5"/>
    <n v="174"/>
    <n v="601.5"/>
  </r>
  <r>
    <x v="28"/>
    <x v="13"/>
    <n v="2.5323803434417247"/>
    <n v="30"/>
    <n v="879.5"/>
    <n v="195"/>
    <n v="264"/>
    <n v="1368.5"/>
    <n v="3465.5625"/>
  </r>
  <r>
    <x v="29"/>
    <x v="13"/>
    <n v="3.5499999999999994"/>
    <n v="0"/>
    <n v="30"/>
    <n v="20"/>
    <n v="26"/>
    <n v="76"/>
    <n v="269.79999999999995"/>
  </r>
  <r>
    <x v="30"/>
    <x v="0"/>
    <n v="4.7190000000000003"/>
    <n v="0"/>
    <n v="80"/>
    <n v="0"/>
    <n v="10"/>
    <n v="90"/>
    <n v="424.71000000000004"/>
  </r>
  <r>
    <x v="31"/>
    <x v="0"/>
    <n v="3.9"/>
    <n v="10"/>
    <n v="0"/>
    <n v="0"/>
    <n v="0"/>
    <n v="10"/>
    <n v="39"/>
  </r>
  <r>
    <x v="32"/>
    <x v="6"/>
    <n v="2.6"/>
    <n v="0"/>
    <n v="19"/>
    <n v="4"/>
    <n v="0"/>
    <n v="23"/>
    <n v="59.800000000000004"/>
  </r>
  <r>
    <x v="33"/>
    <x v="5"/>
    <n v="2.7212918660287082"/>
    <n v="40"/>
    <n v="170.8"/>
    <n v="40"/>
    <n v="0"/>
    <n v="250.8"/>
    <n v="682.5"/>
  </r>
  <r>
    <x v="34"/>
    <x v="11"/>
    <n v="6.4679487179487181"/>
    <n v="0"/>
    <n v="39"/>
    <n v="0"/>
    <n v="0"/>
    <n v="39"/>
    <n v="252.25"/>
  </r>
  <r>
    <x v="35"/>
    <x v="10"/>
    <n v="3.4637931034482756"/>
    <n v="0"/>
    <n v="22"/>
    <n v="34"/>
    <n v="2"/>
    <n v="58"/>
    <n v="200.89999999999998"/>
  </r>
  <r>
    <x v="36"/>
    <x v="6"/>
    <n v="8.25"/>
    <n v="0"/>
    <n v="7"/>
    <n v="0"/>
    <n v="0"/>
    <n v="7"/>
    <n v="57.75"/>
  </r>
  <r>
    <x v="37"/>
    <x v="6"/>
    <n v="5.75"/>
    <n v="5"/>
    <n v="63"/>
    <n v="5"/>
    <n v="0"/>
    <n v="73"/>
    <n v="419.75"/>
  </r>
  <r>
    <x v="38"/>
    <x v="2"/>
    <n v="4.1922997946611913"/>
    <n v="0"/>
    <n v="187"/>
    <n v="300"/>
    <n v="0"/>
    <n v="487"/>
    <n v="2041.65"/>
  </r>
  <r>
    <x v="39"/>
    <x v="5"/>
    <n v="3.9909090909090907"/>
    <n v="0"/>
    <n v="21"/>
    <n v="7"/>
    <n v="5"/>
    <n v="33"/>
    <n v="131.69999999999999"/>
  </r>
  <r>
    <x v="40"/>
    <x v="6"/>
    <n v="3.4419928825622779"/>
    <n v="25"/>
    <n v="227"/>
    <n v="6"/>
    <n v="23"/>
    <n v="281"/>
    <n v="967.2"/>
  </r>
  <r>
    <x v="41"/>
    <x v="6"/>
    <n v="5.4850000000000003"/>
    <n v="5"/>
    <n v="0"/>
    <n v="20"/>
    <n v="0"/>
    <n v="25"/>
    <n v="137.125"/>
  </r>
  <r>
    <x v="42"/>
    <x v="1"/>
    <n v="1.1031249999999999"/>
    <n v="0"/>
    <n v="4"/>
    <n v="4"/>
    <n v="0"/>
    <n v="8"/>
    <n v="8.8249999999999993"/>
  </r>
  <r>
    <x v="43"/>
    <x v="5"/>
    <n v="3.0712890625"/>
    <n v="15"/>
    <n v="200"/>
    <n v="22"/>
    <n v="19"/>
    <n v="256"/>
    <n v="786.25"/>
  </r>
  <r>
    <x v="44"/>
    <x v="14"/>
    <n v="1.2749999999999999"/>
    <n v="20"/>
    <n v="1050"/>
    <n v="127"/>
    <n v="128"/>
    <n v="1325"/>
    <n v="1689.3749999999998"/>
  </r>
  <r>
    <x v="45"/>
    <x v="10"/>
    <n v="2.1456592512208355"/>
    <n v="310"/>
    <n v="1234"/>
    <n v="124"/>
    <n v="175"/>
    <n v="1843"/>
    <n v="3954.45"/>
  </r>
  <r>
    <x v="46"/>
    <x v="0"/>
    <n v="221"/>
    <n v="0"/>
    <n v="0"/>
    <n v="2"/>
    <n v="0"/>
    <n v="2"/>
    <n v="442"/>
  </r>
  <r>
    <x v="47"/>
    <x v="6"/>
    <n v="4.5566176470588236"/>
    <n v="4"/>
    <n v="1.8"/>
    <n v="1"/>
    <n v="0"/>
    <n v="6.8"/>
    <n v="30.984999999999999"/>
  </r>
  <r>
    <x v="48"/>
    <x v="5"/>
    <n v="3.18963133640553"/>
    <n v="40"/>
    <n v="195"/>
    <n v="167"/>
    <n v="32"/>
    <n v="434"/>
    <n v="1384.3"/>
  </r>
  <r>
    <x v="49"/>
    <x v="8"/>
    <n v="3.4144999999999999"/>
    <n v="0"/>
    <n v="97"/>
    <n v="33"/>
    <n v="20"/>
    <n v="150"/>
    <n v="512.17499999999995"/>
  </r>
  <r>
    <x v="50"/>
    <x v="3"/>
    <n v="6.8863636363636367"/>
    <n v="0"/>
    <n v="11"/>
    <n v="0"/>
    <n v="0"/>
    <n v="11"/>
    <n v="75.75"/>
  </r>
  <r>
    <x v="51"/>
    <x v="0"/>
    <n v="11.699999999999998"/>
    <n v="0"/>
    <n v="0"/>
    <n v="3"/>
    <n v="0"/>
    <n v="3"/>
    <n v="35.099999999999994"/>
  </r>
  <r>
    <x v="52"/>
    <x v="6"/>
    <n v="2.8998717948717951"/>
    <n v="0"/>
    <n v="194"/>
    <n v="1"/>
    <n v="0"/>
    <n v="195"/>
    <n v="565.47500000000002"/>
  </r>
  <r>
    <x v="53"/>
    <x v="11"/>
    <n v="2.8958823529411766"/>
    <n v="20"/>
    <n v="150"/>
    <n v="0"/>
    <n v="0"/>
    <n v="170"/>
    <n v="492.3"/>
  </r>
  <r>
    <x v="54"/>
    <x v="13"/>
    <n v="5.5113636363636367"/>
    <n v="0"/>
    <n v="0"/>
    <n v="42"/>
    <n v="2"/>
    <n v="44"/>
    <n v="242.5"/>
  </r>
  <r>
    <x v="55"/>
    <x v="7"/>
    <n v="2.4566532258064515"/>
    <n v="0"/>
    <n v="71"/>
    <n v="33"/>
    <n v="20"/>
    <n v="124"/>
    <n v="304.625"/>
  </r>
  <r>
    <x v="56"/>
    <x v="0"/>
    <n v="2.6"/>
    <n v="0"/>
    <n v="0"/>
    <n v="4"/>
    <n v="0"/>
    <n v="4"/>
    <n v="10.4"/>
  </r>
  <r>
    <x v="57"/>
    <x v="10"/>
    <n v="2.8325581395348838"/>
    <n v="0"/>
    <n v="109"/>
    <n v="28.6"/>
    <n v="0"/>
    <n v="137.6"/>
    <n v="389.76"/>
  </r>
  <r>
    <x v="58"/>
    <x v="3"/>
    <n v="3.9725199543899659"/>
    <n v="105.5"/>
    <n v="259"/>
    <n v="24"/>
    <n v="50"/>
    <n v="438.5"/>
    <n v="1741.95"/>
  </r>
  <r>
    <x v="59"/>
    <x v="5"/>
    <n v="32.5"/>
    <n v="0"/>
    <n v="0"/>
    <n v="1"/>
    <n v="0"/>
    <n v="1"/>
    <n v="32.5"/>
  </r>
  <r>
    <x v="60"/>
    <x v="4"/>
    <n v="6.5"/>
    <n v="0"/>
    <n v="0"/>
    <n v="7.8"/>
    <n v="0"/>
    <n v="7.8"/>
    <n v="50.699999999999996"/>
  </r>
  <r>
    <x v="61"/>
    <x v="5"/>
    <n v="2.4676056338028167"/>
    <n v="0"/>
    <n v="53"/>
    <n v="5"/>
    <n v="13"/>
    <n v="71"/>
    <n v="175.2"/>
  </r>
  <r>
    <x v="62"/>
    <x v="10"/>
    <n v="2.0166666666666666"/>
    <n v="80"/>
    <n v="125"/>
    <n v="75"/>
    <n v="20"/>
    <n v="300"/>
    <n v="605"/>
  </r>
  <r>
    <x v="63"/>
    <x v="12"/>
    <n v="3.8086538461538457"/>
    <n v="57"/>
    <n v="200"/>
    <n v="3"/>
    <n v="0"/>
    <n v="260"/>
    <n v="990.24999999999989"/>
  </r>
  <r>
    <x v="64"/>
    <x v="8"/>
    <n v="1.8928571428571428"/>
    <n v="0"/>
    <n v="0"/>
    <n v="140"/>
    <n v="0"/>
    <n v="140"/>
    <n v="265"/>
  </r>
  <r>
    <x v="65"/>
    <x v="0"/>
    <n v="4.5"/>
    <n v="50"/>
    <n v="26"/>
    <n v="0"/>
    <n v="12"/>
    <n v="88"/>
    <n v="396"/>
  </r>
  <r>
    <x v="66"/>
    <x v="6"/>
    <n v="11"/>
    <n v="0"/>
    <n v="1"/>
    <n v="0.5"/>
    <n v="0"/>
    <n v="1.5"/>
    <n v="16.5"/>
  </r>
  <r>
    <x v="67"/>
    <x v="13"/>
    <n v="4.45"/>
    <n v="0"/>
    <n v="21"/>
    <n v="0"/>
    <n v="0"/>
    <n v="21"/>
    <n v="93.45"/>
  </r>
  <r>
    <x v="68"/>
    <x v="10"/>
    <n v="4.333333333333333"/>
    <n v="0"/>
    <n v="0"/>
    <n v="12"/>
    <n v="0"/>
    <n v="12"/>
    <n v="52"/>
  </r>
  <r>
    <x v="69"/>
    <x v="4"/>
    <n v="17.333333333333332"/>
    <n v="0"/>
    <n v="2"/>
    <n v="1"/>
    <n v="0"/>
    <n v="3"/>
    <n v="52"/>
  </r>
  <r>
    <x v="70"/>
    <x v="0"/>
    <n v="5.5"/>
    <n v="0"/>
    <n v="200"/>
    <n v="0"/>
    <n v="0"/>
    <n v="200"/>
    <n v="1100"/>
  </r>
  <r>
    <x v="71"/>
    <x v="1"/>
    <n v="2.2749999999999999"/>
    <n v="12"/>
    <n v="0"/>
    <n v="0"/>
    <n v="0"/>
    <n v="12"/>
    <n v="27.299999999999997"/>
  </r>
  <r>
    <x v="72"/>
    <x v="14"/>
    <n v="1.35"/>
    <n v="340"/>
    <n v="1080"/>
    <n v="302"/>
    <n v="323"/>
    <n v="2045"/>
    <n v="2760.75"/>
  </r>
  <r>
    <x v="73"/>
    <x v="11"/>
    <n v="3"/>
    <n v="30"/>
    <n v="92"/>
    <n v="0"/>
    <n v="0"/>
    <n v="122"/>
    <n v="366"/>
  </r>
  <r>
    <x v="74"/>
    <x v="6"/>
    <n v="7.9744897959183669"/>
    <n v="0"/>
    <n v="45"/>
    <n v="4"/>
    <n v="0"/>
    <n v="49"/>
    <n v="390.75"/>
  </r>
  <r>
    <x v="75"/>
    <x v="5"/>
    <n v="2"/>
    <n v="0"/>
    <n v="0"/>
    <n v="0"/>
    <n v="24"/>
    <n v="24"/>
    <n v="48"/>
  </r>
  <r>
    <x v="76"/>
    <x v="8"/>
    <n v="3.9018571428571431"/>
    <n v="0"/>
    <n v="2"/>
    <n v="12"/>
    <n v="0"/>
    <n v="14"/>
    <n v="54.626000000000005"/>
  </r>
  <r>
    <x v="77"/>
    <x v="10"/>
    <n v="1.8735294117647057"/>
    <n v="0"/>
    <n v="4"/>
    <n v="132"/>
    <n v="0"/>
    <n v="136"/>
    <n v="254.79999999999998"/>
  </r>
  <r>
    <x v="78"/>
    <x v="0"/>
    <n v="10.4"/>
    <n v="0"/>
    <n v="0"/>
    <n v="2"/>
    <n v="0"/>
    <n v="2"/>
    <n v="20.8"/>
  </r>
  <r>
    <x v="79"/>
    <x v="5"/>
    <n v="1.05"/>
    <n v="0"/>
    <n v="6"/>
    <n v="0"/>
    <n v="0"/>
    <n v="6"/>
    <n v="6.3000000000000007"/>
  </r>
  <r>
    <x v="80"/>
    <x v="11"/>
    <n v="6.4"/>
    <n v="61.5"/>
    <n v="16.5"/>
    <n v="19.2"/>
    <n v="16"/>
    <n v="113.2"/>
    <n v="724.48"/>
  </r>
  <r>
    <x v="81"/>
    <x v="6"/>
    <n v="3.4375"/>
    <n v="21"/>
    <n v="42"/>
    <n v="1"/>
    <n v="0"/>
    <n v="64"/>
    <n v="220"/>
  </r>
  <r>
    <x v="82"/>
    <x v="0"/>
    <n v="1.75"/>
    <n v="205"/>
    <n v="150"/>
    <n v="95"/>
    <n v="85"/>
    <n v="535"/>
    <n v="936.25"/>
  </r>
  <r>
    <x v="83"/>
    <x v="6"/>
    <n v="2.5"/>
    <n v="10"/>
    <n v="78"/>
    <n v="0"/>
    <n v="6"/>
    <n v="94"/>
    <n v="235"/>
  </r>
  <r>
    <x v="84"/>
    <x v="0"/>
    <n v="1.5920289855072463"/>
    <n v="0"/>
    <n v="3.2"/>
    <n v="3.7"/>
    <n v="0"/>
    <n v="6.9"/>
    <n v="10.984999999999999"/>
  </r>
  <r>
    <x v="85"/>
    <x v="9"/>
    <n v="2.9645785876993167"/>
    <n v="51"/>
    <n v="187"/>
    <n v="124"/>
    <n v="77"/>
    <n v="439"/>
    <n v="1301.45"/>
  </r>
  <r>
    <x v="86"/>
    <x v="5"/>
    <n v="1.1915760869565217"/>
    <n v="0"/>
    <n v="27.2"/>
    <n v="28"/>
    <n v="0"/>
    <n v="55.2"/>
    <n v="65.775000000000006"/>
  </r>
  <r>
    <x v="87"/>
    <x v="6"/>
    <n v="2.5"/>
    <n v="25"/>
    <n v="86"/>
    <n v="6"/>
    <n v="11"/>
    <n v="128"/>
    <n v="320"/>
  </r>
  <r>
    <x v="88"/>
    <x v="0"/>
    <n v="9.1"/>
    <n v="0"/>
    <n v="0"/>
    <n v="6"/>
    <n v="0"/>
    <n v="6"/>
    <n v="54.599999999999994"/>
  </r>
  <r>
    <x v="89"/>
    <x v="6"/>
    <n v="1.4105939716312057"/>
    <n v="130"/>
    <n v="545"/>
    <n v="311"/>
    <n v="142"/>
    <n v="1128"/>
    <n v="1591.15"/>
  </r>
  <r>
    <x v="90"/>
    <x v="4"/>
    <n v="7.7115736040609146"/>
    <n v="0"/>
    <n v="5"/>
    <n v="14.7"/>
    <n v="0"/>
    <n v="19.7"/>
    <n v="151.91800000000001"/>
  </r>
  <r>
    <x v="91"/>
    <x v="0"/>
    <n v="1.75"/>
    <n v="140"/>
    <n v="240"/>
    <n v="50"/>
    <n v="35"/>
    <n v="465"/>
    <n v="813.75"/>
  </r>
  <r>
    <x v="92"/>
    <x v="2"/>
    <n v="4.8628318584070795"/>
    <n v="64"/>
    <n v="193"/>
    <n v="47"/>
    <n v="35"/>
    <n v="339"/>
    <n v="1648.5"/>
  </r>
  <r>
    <x v="93"/>
    <x v="2"/>
    <n v="2.8141700404858305"/>
    <n v="77"/>
    <n v="109"/>
    <n v="23"/>
    <n v="38"/>
    <n v="247"/>
    <n v="695.10000000000014"/>
  </r>
  <r>
    <x v="94"/>
    <x v="6"/>
    <n v="2.6000000000000005"/>
    <n v="0"/>
    <n v="0"/>
    <n v="13"/>
    <n v="0"/>
    <n v="13"/>
    <n v="33.800000000000004"/>
  </r>
  <r>
    <x v="95"/>
    <x v="0"/>
    <n v="3.6"/>
    <n v="0"/>
    <n v="0"/>
    <n v="40"/>
    <n v="0"/>
    <n v="40"/>
    <n v="144"/>
  </r>
  <r>
    <x v="96"/>
    <x v="10"/>
    <n v="2.6736666666666671"/>
    <n v="0"/>
    <n v="154"/>
    <n v="45"/>
    <n v="26"/>
    <n v="225"/>
    <n v="601.57500000000005"/>
  </r>
  <r>
    <x v="97"/>
    <x v="0"/>
    <n v="6"/>
    <n v="0"/>
    <n v="353"/>
    <n v="0"/>
    <n v="42.5"/>
    <n v="395.5"/>
    <n v="2373"/>
  </r>
  <r>
    <x v="98"/>
    <x v="0"/>
    <n v="1.9000000000000001"/>
    <n v="99"/>
    <n v="408"/>
    <n v="40"/>
    <n v="176"/>
    <n v="723"/>
    <n v="1373.7"/>
  </r>
  <r>
    <x v="99"/>
    <x v="9"/>
    <n v="1.5"/>
    <n v="0"/>
    <n v="25"/>
    <n v="0"/>
    <n v="0"/>
    <n v="25"/>
    <n v="37.5"/>
  </r>
  <r>
    <x v="100"/>
    <x v="9"/>
    <n v="5.33"/>
    <n v="0"/>
    <n v="4"/>
    <n v="0"/>
    <n v="0"/>
    <n v="4"/>
    <n v="21.32"/>
  </r>
  <r>
    <x v="101"/>
    <x v="0"/>
    <n v="8.19"/>
    <n v="0"/>
    <n v="0"/>
    <n v="12"/>
    <n v="0"/>
    <n v="12"/>
    <n v="98.28"/>
  </r>
  <r>
    <x v="102"/>
    <x v="0"/>
    <n v="2.6"/>
    <n v="0"/>
    <n v="0"/>
    <n v="3"/>
    <n v="0"/>
    <n v="3"/>
    <n v="7.8000000000000007"/>
  </r>
  <r>
    <x v="103"/>
    <x v="2"/>
    <n v="5.2"/>
    <n v="0"/>
    <n v="0"/>
    <n v="3"/>
    <n v="0"/>
    <n v="3"/>
    <n v="15.600000000000001"/>
  </r>
  <r>
    <x v="104"/>
    <x v="5"/>
    <n v="4"/>
    <n v="0"/>
    <n v="10"/>
    <n v="0"/>
    <n v="0"/>
    <n v="10"/>
    <n v="40"/>
  </r>
  <r>
    <x v="105"/>
    <x v="2"/>
    <n v="1.3341517857142857"/>
    <n v="60"/>
    <n v="118"/>
    <n v="46"/>
    <n v="0"/>
    <n v="224"/>
    <n v="298.85000000000002"/>
  </r>
  <r>
    <x v="106"/>
    <x v="12"/>
    <n v="1.8214194861358433"/>
    <n v="410"/>
    <n v="788.8"/>
    <n v="234.39999999999998"/>
    <n v="139.19999999999999"/>
    <n v="1572.3999999999999"/>
    <n v="2863.9999999999995"/>
  </r>
  <r>
    <x v="107"/>
    <x v="0"/>
    <n v="5.85"/>
    <n v="2.5"/>
    <n v="2.5"/>
    <n v="0"/>
    <n v="0"/>
    <n v="5"/>
    <n v="29.25"/>
  </r>
  <r>
    <x v="108"/>
    <x v="11"/>
    <n v="6.4"/>
    <n v="0"/>
    <n v="88.8"/>
    <n v="0"/>
    <n v="0"/>
    <n v="88.8"/>
    <n v="568.32000000000005"/>
  </r>
  <r>
    <x v="109"/>
    <x v="14"/>
    <n v="8.6300000000000008"/>
    <n v="0"/>
    <n v="2"/>
    <n v="3.2"/>
    <n v="0"/>
    <n v="5.2"/>
    <n v="44.876000000000005"/>
  </r>
  <r>
    <x v="110"/>
    <x v="0"/>
    <n v="6.4"/>
    <n v="0"/>
    <n v="0"/>
    <n v="0"/>
    <n v="50"/>
    <n v="50"/>
    <n v="320"/>
  </r>
  <r>
    <x v="111"/>
    <x v="6"/>
    <n v="2.1887283236994222"/>
    <n v="1075"/>
    <n v="4494"/>
    <n v="1195"/>
    <n v="675"/>
    <n v="7439"/>
    <n v="16281.95"/>
  </r>
  <r>
    <x v="112"/>
    <x v="10"/>
    <n v="1.95"/>
    <n v="0"/>
    <n v="16"/>
    <n v="70"/>
    <n v="0"/>
    <n v="86"/>
    <n v="167.7"/>
  </r>
  <r>
    <x v="113"/>
    <x v="7"/>
    <n v="2.2280487804878049"/>
    <n v="6"/>
    <n v="35"/>
    <n v="0"/>
    <n v="0"/>
    <n v="41"/>
    <n v="91.35"/>
  </r>
  <r>
    <x v="114"/>
    <x v="0"/>
    <n v="1.55"/>
    <n v="0"/>
    <n v="0"/>
    <n v="12"/>
    <n v="0"/>
    <n v="12"/>
    <n v="18.600000000000001"/>
  </r>
  <r>
    <x v="115"/>
    <x v="0"/>
    <n v="4.0999999999999996"/>
    <n v="40"/>
    <n v="88"/>
    <n v="0"/>
    <n v="0"/>
    <n v="128"/>
    <n v="524.79999999999995"/>
  </r>
  <r>
    <x v="116"/>
    <x v="3"/>
    <n v="5.2498366013071891"/>
    <n v="167"/>
    <n v="113"/>
    <n v="0"/>
    <n v="26"/>
    <n v="306"/>
    <n v="1606.4499999999998"/>
  </r>
  <r>
    <x v="117"/>
    <x v="0"/>
    <n v="24.375"/>
    <n v="0"/>
    <n v="0"/>
    <n v="0.8"/>
    <n v="0"/>
    <n v="0.8"/>
    <n v="19.5"/>
  </r>
  <r>
    <x v="118"/>
    <x v="5"/>
    <n v="3.3"/>
    <n v="0"/>
    <n v="2"/>
    <n v="2"/>
    <n v="0"/>
    <n v="4"/>
    <n v="13.2"/>
  </r>
  <r>
    <x v="119"/>
    <x v="6"/>
    <n v="3.1488372093023256"/>
    <n v="25"/>
    <n v="173"/>
    <n v="2"/>
    <n v="15"/>
    <n v="215"/>
    <n v="677"/>
  </r>
  <r>
    <x v="120"/>
    <x v="5"/>
    <n v="4.7126436781609193"/>
    <n v="50"/>
    <n v="222"/>
    <n v="37"/>
    <n v="39"/>
    <n v="348"/>
    <n v="1640"/>
  </r>
  <r>
    <x v="121"/>
    <x v="14"/>
    <n v="10.4"/>
    <n v="0"/>
    <n v="0"/>
    <n v="1"/>
    <n v="0"/>
    <n v="1"/>
    <n v="10.4"/>
  </r>
  <r>
    <x v="122"/>
    <x v="9"/>
    <n v="3.0992514970059881"/>
    <n v="55"/>
    <n v="206"/>
    <n v="41"/>
    <n v="32"/>
    <n v="334"/>
    <n v="1035.1500000000001"/>
  </r>
  <r>
    <x v="123"/>
    <x v="3"/>
    <n v="4.8183108587650807"/>
    <n v="65"/>
    <n v="1257"/>
    <n v="41"/>
    <n v="46"/>
    <n v="1409"/>
    <n v="6788.9999999999991"/>
  </r>
  <r>
    <x v="124"/>
    <x v="5"/>
    <n v="2.5341463414634147"/>
    <n v="0"/>
    <n v="24"/>
    <n v="12"/>
    <n v="5"/>
    <n v="41"/>
    <n v="103.9"/>
  </r>
  <r>
    <x v="125"/>
    <x v="8"/>
    <n v="1.7922862678614677"/>
    <n v="0"/>
    <n v="554.79999999999995"/>
    <n v="11"/>
    <n v="260"/>
    <n v="825.8"/>
    <n v="1480.07"/>
  </r>
  <r>
    <x v="126"/>
    <x v="6"/>
    <n v="8.375"/>
    <n v="0"/>
    <n v="1"/>
    <n v="7"/>
    <n v="0"/>
    <n v="8"/>
    <n v="67"/>
  </r>
  <r>
    <x v="127"/>
    <x v="3"/>
    <n v="4.45"/>
    <n v="0"/>
    <n v="1"/>
    <n v="6"/>
    <n v="0"/>
    <n v="7"/>
    <n v="31.15"/>
  </r>
  <r>
    <x v="128"/>
    <x v="0"/>
    <n v="1.2"/>
    <n v="0"/>
    <n v="0"/>
    <n v="3.8"/>
    <n v="0"/>
    <n v="3.8"/>
    <n v="4.5599999999999996"/>
  </r>
  <r>
    <x v="129"/>
    <x v="1"/>
    <n v="2.3872727272727272"/>
    <n v="0"/>
    <n v="11"/>
    <n v="0"/>
    <n v="0"/>
    <n v="11"/>
    <n v="26.259999999999998"/>
  </r>
  <r>
    <x v="130"/>
    <x v="3"/>
    <n v="3.3570175438596497"/>
    <n v="0"/>
    <n v="173"/>
    <n v="55"/>
    <n v="0"/>
    <n v="228"/>
    <n v="765.40000000000009"/>
  </r>
  <r>
    <x v="131"/>
    <x v="3"/>
    <n v="2.3321839080459772"/>
    <n v="0"/>
    <n v="0"/>
    <n v="55"/>
    <n v="380"/>
    <n v="435"/>
    <n v="1014.5"/>
  </r>
  <r>
    <x v="132"/>
    <x v="12"/>
    <n v="2.0499999999999998"/>
    <n v="80"/>
    <n v="19"/>
    <n v="64"/>
    <n v="0"/>
    <n v="163"/>
    <n v="334.15"/>
  </r>
  <r>
    <x v="133"/>
    <x v="9"/>
    <n v="1"/>
    <n v="0"/>
    <n v="0"/>
    <n v="2"/>
    <n v="0"/>
    <n v="2"/>
    <n v="2"/>
  </r>
  <r>
    <x v="134"/>
    <x v="1"/>
    <n v="5.138127090301003"/>
    <n v="0"/>
    <n v="35.799999999999997"/>
    <n v="24"/>
    <n v="0"/>
    <n v="59.8"/>
    <n v="307.26"/>
  </r>
  <r>
    <x v="135"/>
    <x v="8"/>
    <n v="2.0493556347683026"/>
    <n v="260"/>
    <n v="2959"/>
    <n v="108"/>
    <n v="320"/>
    <n v="3647"/>
    <n v="7473.9999999999991"/>
  </r>
  <r>
    <x v="136"/>
    <x v="5"/>
    <n v="1.8681455633100699"/>
    <n v="244"/>
    <n v="505"/>
    <n v="170"/>
    <n v="84"/>
    <n v="1003"/>
    <n v="1873.75"/>
  </r>
  <r>
    <x v="137"/>
    <x v="0"/>
    <n v="4.4249999999999998"/>
    <n v="92"/>
    <n v="308.5"/>
    <n v="30"/>
    <n v="52"/>
    <n v="482.5"/>
    <n v="2135.0625"/>
  </r>
  <r>
    <x v="138"/>
    <x v="4"/>
    <n v="1.5249999999999999"/>
    <n v="0"/>
    <n v="15"/>
    <n v="0"/>
    <n v="250"/>
    <n v="265"/>
    <n v="404.125"/>
  </r>
  <r>
    <x v="139"/>
    <x v="4"/>
    <n v="6.8500000000000005"/>
    <n v="46"/>
    <n v="228"/>
    <n v="32.1"/>
    <n v="66"/>
    <n v="372.1"/>
    <n v="2548.8850000000002"/>
  </r>
  <r>
    <x v="140"/>
    <x v="2"/>
    <n v="3.0629441624365477"/>
    <n v="0"/>
    <n v="185"/>
    <n v="2"/>
    <n v="10"/>
    <n v="197"/>
    <n v="603.39999999999986"/>
  </r>
  <r>
    <x v="141"/>
    <x v="7"/>
    <n v="1.0046930342384888"/>
    <n v="149.5"/>
    <n v="870.5"/>
    <n v="510"/>
    <n v="164"/>
    <n v="1694"/>
    <n v="1701.9499999999998"/>
  </r>
  <r>
    <x v="142"/>
    <x v="6"/>
    <n v="1.6351851851851851"/>
    <n v="90"/>
    <n v="160"/>
    <n v="100"/>
    <n v="190"/>
    <n v="540"/>
    <n v="883"/>
  </r>
  <r>
    <x v="143"/>
    <x v="5"/>
    <n v="1.7594235033259424"/>
    <n v="207"/>
    <n v="889"/>
    <n v="163"/>
    <n v="94"/>
    <n v="1353"/>
    <n v="2380.5"/>
  </r>
  <r>
    <x v="144"/>
    <x v="0"/>
    <n v="2.75"/>
    <n v="0"/>
    <n v="36"/>
    <n v="0"/>
    <n v="25"/>
    <n v="61"/>
    <n v="167.75"/>
  </r>
  <r>
    <x v="145"/>
    <x v="2"/>
    <n v="1.7289999999999999"/>
    <n v="0"/>
    <n v="0"/>
    <n v="5"/>
    <n v="0"/>
    <n v="5"/>
    <n v="8.6449999999999996"/>
  </r>
  <r>
    <x v="146"/>
    <x v="6"/>
    <n v="1.2"/>
    <n v="40"/>
    <n v="446"/>
    <n v="43"/>
    <n v="220"/>
    <n v="749"/>
    <n v="898.8"/>
  </r>
  <r>
    <x v="147"/>
    <x v="4"/>
    <n v="5.574226804123712"/>
    <n v="0"/>
    <n v="194"/>
    <n v="0"/>
    <n v="0"/>
    <n v="194"/>
    <n v="1081.4000000000001"/>
  </r>
  <r>
    <x v="148"/>
    <x v="7"/>
    <n v="0.92002262443438909"/>
    <n v="25"/>
    <n v="161"/>
    <n v="13"/>
    <n v="22"/>
    <n v="221"/>
    <n v="203.32499999999999"/>
  </r>
  <r>
    <x v="149"/>
    <x v="9"/>
    <n v="1.3"/>
    <n v="60"/>
    <n v="22"/>
    <n v="4"/>
    <n v="0"/>
    <n v="86"/>
    <n v="111.80000000000001"/>
  </r>
  <r>
    <x v="150"/>
    <x v="2"/>
    <n v="4.7892857142857146"/>
    <n v="76"/>
    <n v="174"/>
    <n v="25"/>
    <n v="5"/>
    <n v="280"/>
    <n v="13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rowHeaderCaption="类别">
  <location ref="A3:C39" firstHeaderRow="0" firstDataRow="1" firstDataCol="1"/>
  <pivotFields count="9">
    <pivotField axis="axisRow" showAll="0" sortType="descending">
      <items count="152"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6">
        <item sd="0" x="8"/>
        <item sd="0" x="9"/>
        <item sd="0" x="11"/>
        <item sd="0" x="4"/>
        <item sd="0" x="7"/>
        <item sd="0" x="1"/>
        <item sd="0" x="10"/>
        <item sd="0" x="12"/>
        <item sd="0" x="0"/>
        <item x="6"/>
        <item sd="0" x="3"/>
        <item sd="0" x="2"/>
        <item sd="0" x="13"/>
        <item sd="0" x="1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8" showAll="0"/>
    <pivotField numFmtId="179" showAll="0"/>
    <pivotField numFmtId="179" showAll="0"/>
    <pivotField numFmtId="179" showAll="0"/>
    <pivotField numFmtId="179" showAll="0"/>
    <pivotField dataField="1" numFmtId="176" showAll="0"/>
    <pivotField dataField="1" numFmtId="177" showAll="0"/>
  </pivotFields>
  <rowFields count="2">
    <field x="1"/>
    <field x="0"/>
  </rowFields>
  <rowItems count="36">
    <i>
      <x v="9"/>
    </i>
    <i r="1">
      <x v="39"/>
    </i>
    <i r="1">
      <x v="61"/>
    </i>
    <i r="1">
      <x v="110"/>
    </i>
    <i r="1">
      <x v="4"/>
    </i>
    <i r="1">
      <x v="8"/>
    </i>
    <i r="1">
      <x v="31"/>
    </i>
    <i r="1">
      <x v="98"/>
    </i>
    <i r="1">
      <x v="113"/>
    </i>
    <i r="1">
      <x v="76"/>
    </i>
    <i r="1">
      <x v="63"/>
    </i>
    <i r="1">
      <x v="67"/>
    </i>
    <i r="1">
      <x v="69"/>
    </i>
    <i r="1">
      <x v="109"/>
    </i>
    <i r="1">
      <x v="24"/>
    </i>
    <i r="1">
      <x v="118"/>
    </i>
    <i r="1">
      <x v="114"/>
    </i>
    <i r="1">
      <x v="56"/>
    </i>
    <i r="1">
      <x v="103"/>
    </i>
    <i r="1">
      <x v="84"/>
    </i>
    <i r="1">
      <x v="143"/>
    </i>
    <i>
      <x v="10"/>
    </i>
    <i>
      <x v="14"/>
    </i>
    <i>
      <x v="8"/>
    </i>
    <i>
      <x/>
    </i>
    <i>
      <x v="11"/>
    </i>
    <i>
      <x v="6"/>
    </i>
    <i>
      <x v="12"/>
    </i>
    <i>
      <x v="3"/>
    </i>
    <i>
      <x v="13"/>
    </i>
    <i>
      <x v="7"/>
    </i>
    <i>
      <x v="1"/>
    </i>
    <i>
      <x v="2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月销售额（元）" fld="8" baseField="0" baseItem="0"/>
    <dataField name="月销量（斤）" fld="7" baseField="0" baseItem="0"/>
  </dataFields>
  <formats count="1">
    <format dxfId="9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蔬菜主要品种目录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表1" displayName="表1" ref="A1:I152" totalsRowShown="0">
  <autoFilter ref="A1:I152"/>
  <tableColumns count="9">
    <tableColumn id="1" name="名称"/>
    <tableColumn id="2" name="类别" dataDxfId="8">
      <calculatedColumnFormula>IFERROR(VLOOKUP(A2,品种目录!$B$2:$D$919,3,0),"其他")</calculatedColumnFormula>
    </tableColumn>
    <tableColumn id="3" name="平均单价" dataDxfId="7">
      <calculatedColumnFormula>I2/H2</calculatedColumnFormula>
    </tableColumn>
    <tableColumn id="4" name="一部销量" dataDxfId="6"/>
    <tableColumn id="5" name="二部销量" dataDxfId="5"/>
    <tableColumn id="6" name="三部销量" dataDxfId="4"/>
    <tableColumn id="7" name="四部销量" dataDxfId="3"/>
    <tableColumn id="8" name="月销量" dataDxfId="2"/>
    <tableColumn id="9" name="月销售额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&#39640;&#26657;&#39064;&#24211;&#21046;&#20316;&#31995;&#32479;-&#21103;&#26412;\StartFile\ExtractFile\Excel.xlsx" TargetMode="External"/><Relationship Id="rId2" Type="http://schemas.openxmlformats.org/officeDocument/2006/relationships/externalLinkPath" Target="file:///C:\&#39640;&#26657;&#39064;&#24211;&#21046;&#20316;&#31995;&#32479;-&#21103;&#26412;\StartFile\ExtractFile\Excel.xlsx" TargetMode="External"/><Relationship Id="rId1" Type="http://schemas.openxmlformats.org/officeDocument/2006/relationships/externalLinkPath" Target="file:///C:\&#39640;&#26657;&#39064;&#24211;&#21046;&#20316;&#31995;&#32479;-&#21103;&#26412;\StartFile\ExtractFile\Excel.xlsx" TargetMode="External"/><Relationship Id="rId5" Type="http://schemas.openxmlformats.org/officeDocument/2006/relationships/table" Target="../tables/table1.xml"/><Relationship Id="rId4" Type="http://schemas.openxmlformats.org/officeDocument/2006/relationships/externalLinkPath" Target="file:///C:\&#39640;&#26657;&#39064;&#24211;&#21046;&#20316;&#31995;&#32479;-&#21103;&#26412;\StartFile\ExtractFile\Excel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selection sqref="A1:H106"/>
    </sheetView>
  </sheetViews>
  <sheetFormatPr defaultRowHeight="14.25" x14ac:dyDescent="0.2"/>
  <cols>
    <col min="1" max="1" width="10.75" style="2" customWidth="1"/>
    <col min="2" max="2" width="10.5" style="2" customWidth="1"/>
    <col min="3" max="6" width="10.625" style="1" customWidth="1"/>
    <col min="7" max="7" width="16.75" style="1" customWidth="1"/>
    <col min="8" max="8" width="19.75" customWidth="1"/>
  </cols>
  <sheetData>
    <row r="1" spans="1:8" ht="30" x14ac:dyDescent="0.2">
      <c r="A1" s="3" t="s">
        <v>407</v>
      </c>
      <c r="B1" s="4" t="s">
        <v>112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113</v>
      </c>
      <c r="H1" s="4" t="s">
        <v>205</v>
      </c>
    </row>
    <row r="2" spans="1:8" ht="16.5" x14ac:dyDescent="0.3">
      <c r="A2" s="5" t="s">
        <v>1</v>
      </c>
      <c r="B2" s="9">
        <v>1.45</v>
      </c>
      <c r="C2" s="10">
        <v>0</v>
      </c>
      <c r="D2" s="10">
        <v>40</v>
      </c>
      <c r="E2" s="10">
        <v>0</v>
      </c>
      <c r="F2" s="10">
        <v>0</v>
      </c>
      <c r="G2" s="7">
        <f>SUM(C2:F2)</f>
        <v>40</v>
      </c>
      <c r="H2" s="8">
        <f>G2*B2</f>
        <v>58</v>
      </c>
    </row>
    <row r="3" spans="1:8" ht="16.5" x14ac:dyDescent="0.3">
      <c r="A3" s="5" t="s">
        <v>25</v>
      </c>
      <c r="B3" s="9">
        <v>3.75</v>
      </c>
      <c r="C3" s="10">
        <v>0</v>
      </c>
      <c r="D3" s="10">
        <v>46</v>
      </c>
      <c r="E3" s="10">
        <v>22</v>
      </c>
      <c r="F3" s="10">
        <v>30</v>
      </c>
      <c r="G3" s="7">
        <f t="shared" ref="G3:G66" si="0">SUM(C3:F3)</f>
        <v>98</v>
      </c>
      <c r="H3" s="8">
        <f t="shared" ref="H3:H66" si="1">G3*B3</f>
        <v>367.5</v>
      </c>
    </row>
    <row r="4" spans="1:8" ht="16.5" x14ac:dyDescent="0.3">
      <c r="A4" s="5" t="s">
        <v>26</v>
      </c>
      <c r="B4" s="9">
        <v>8.625</v>
      </c>
      <c r="C4" s="10">
        <v>30</v>
      </c>
      <c r="D4" s="10">
        <v>0</v>
      </c>
      <c r="E4" s="10">
        <v>0</v>
      </c>
      <c r="F4" s="10">
        <v>0</v>
      </c>
      <c r="G4" s="7">
        <f t="shared" si="0"/>
        <v>30</v>
      </c>
      <c r="H4" s="8">
        <f t="shared" si="1"/>
        <v>258.75</v>
      </c>
    </row>
    <row r="5" spans="1:8" ht="16.5" x14ac:dyDescent="0.3">
      <c r="A5" s="5" t="s">
        <v>2</v>
      </c>
      <c r="B5" s="9">
        <v>0.5</v>
      </c>
      <c r="C5" s="10">
        <v>0</v>
      </c>
      <c r="D5" s="10">
        <v>50</v>
      </c>
      <c r="E5" s="10">
        <v>0</v>
      </c>
      <c r="F5" s="10">
        <v>0</v>
      </c>
      <c r="G5" s="7">
        <f t="shared" si="0"/>
        <v>50</v>
      </c>
      <c r="H5" s="8">
        <f t="shared" si="1"/>
        <v>25</v>
      </c>
    </row>
    <row r="6" spans="1:8" ht="16.5" x14ac:dyDescent="0.3">
      <c r="A6" s="5" t="s">
        <v>133</v>
      </c>
      <c r="B6" s="9">
        <v>2.2999999999999998</v>
      </c>
      <c r="C6" s="10">
        <v>10</v>
      </c>
      <c r="D6" s="10">
        <v>30</v>
      </c>
      <c r="E6" s="10">
        <v>0</v>
      </c>
      <c r="F6" s="10">
        <v>0</v>
      </c>
      <c r="G6" s="7">
        <f t="shared" si="0"/>
        <v>40</v>
      </c>
      <c r="H6" s="8">
        <f t="shared" si="1"/>
        <v>92</v>
      </c>
    </row>
    <row r="7" spans="1:8" ht="16.5" x14ac:dyDescent="0.3">
      <c r="A7" s="5" t="s">
        <v>3</v>
      </c>
      <c r="B7" s="9">
        <v>6.8</v>
      </c>
      <c r="C7" s="10">
        <v>0</v>
      </c>
      <c r="D7" s="10">
        <v>2</v>
      </c>
      <c r="E7" s="10">
        <v>0</v>
      </c>
      <c r="F7" s="10">
        <v>0</v>
      </c>
      <c r="G7" s="7">
        <f t="shared" si="0"/>
        <v>2</v>
      </c>
      <c r="H7" s="8">
        <f t="shared" si="1"/>
        <v>13.6</v>
      </c>
    </row>
    <row r="8" spans="1:8" ht="16.5" x14ac:dyDescent="0.3">
      <c r="A8" s="5" t="s">
        <v>4</v>
      </c>
      <c r="B8" s="9">
        <v>5.0999999999999996</v>
      </c>
      <c r="C8" s="10">
        <v>0</v>
      </c>
      <c r="D8" s="10">
        <v>64</v>
      </c>
      <c r="E8" s="10">
        <v>0</v>
      </c>
      <c r="F8" s="10">
        <v>8</v>
      </c>
      <c r="G8" s="7">
        <f t="shared" si="0"/>
        <v>72</v>
      </c>
      <c r="H8" s="8">
        <f t="shared" si="1"/>
        <v>367.2</v>
      </c>
    </row>
    <row r="9" spans="1:8" ht="16.5" x14ac:dyDescent="0.3">
      <c r="A9" s="5" t="s">
        <v>100</v>
      </c>
      <c r="B9" s="9">
        <v>2.6</v>
      </c>
      <c r="C9" s="10">
        <v>0</v>
      </c>
      <c r="D9" s="10">
        <v>13</v>
      </c>
      <c r="E9" s="10">
        <v>4</v>
      </c>
      <c r="F9" s="10">
        <v>0</v>
      </c>
      <c r="G9" s="7">
        <f t="shared" si="0"/>
        <v>17</v>
      </c>
      <c r="H9" s="8">
        <f t="shared" si="1"/>
        <v>44.2</v>
      </c>
    </row>
    <row r="10" spans="1:8" ht="16.5" x14ac:dyDescent="0.3">
      <c r="A10" s="5" t="s">
        <v>119</v>
      </c>
      <c r="B10" s="9">
        <v>1.2749999999999999</v>
      </c>
      <c r="C10" s="10">
        <v>0</v>
      </c>
      <c r="D10" s="10">
        <v>160</v>
      </c>
      <c r="E10" s="10">
        <v>16</v>
      </c>
      <c r="F10" s="10">
        <v>0</v>
      </c>
      <c r="G10" s="7">
        <f t="shared" si="0"/>
        <v>176</v>
      </c>
      <c r="H10" s="8">
        <f t="shared" si="1"/>
        <v>224.39999999999998</v>
      </c>
    </row>
    <row r="11" spans="1:8" ht="16.5" x14ac:dyDescent="0.3">
      <c r="A11" s="5" t="s">
        <v>129</v>
      </c>
      <c r="B11" s="9">
        <v>1.2749999999999999</v>
      </c>
      <c r="C11" s="10">
        <v>0</v>
      </c>
      <c r="D11" s="10">
        <v>20</v>
      </c>
      <c r="E11" s="10">
        <v>1</v>
      </c>
      <c r="F11" s="10">
        <v>0</v>
      </c>
      <c r="G11" s="7">
        <f t="shared" si="0"/>
        <v>21</v>
      </c>
      <c r="H11" s="8">
        <f t="shared" si="1"/>
        <v>26.774999999999999</v>
      </c>
    </row>
    <row r="12" spans="1:8" ht="16.5" x14ac:dyDescent="0.3">
      <c r="A12" s="5" t="s">
        <v>102</v>
      </c>
      <c r="B12" s="9">
        <v>1.95</v>
      </c>
      <c r="C12" s="10">
        <v>0</v>
      </c>
      <c r="D12" s="10">
        <v>32</v>
      </c>
      <c r="E12" s="10">
        <v>0</v>
      </c>
      <c r="F12" s="10">
        <v>0</v>
      </c>
      <c r="G12" s="7">
        <f t="shared" si="0"/>
        <v>32</v>
      </c>
      <c r="H12" s="8">
        <f t="shared" si="1"/>
        <v>62.4</v>
      </c>
    </row>
    <row r="13" spans="1:8" ht="16.5" x14ac:dyDescent="0.3">
      <c r="A13" s="5" t="s">
        <v>14</v>
      </c>
      <c r="B13" s="9">
        <v>1.175</v>
      </c>
      <c r="C13" s="10">
        <v>0</v>
      </c>
      <c r="D13" s="10">
        <v>80</v>
      </c>
      <c r="E13" s="10">
        <v>40</v>
      </c>
      <c r="F13" s="10">
        <v>0</v>
      </c>
      <c r="G13" s="7">
        <f t="shared" si="0"/>
        <v>120</v>
      </c>
      <c r="H13" s="8">
        <f t="shared" si="1"/>
        <v>141</v>
      </c>
    </row>
    <row r="14" spans="1:8" ht="16.5" x14ac:dyDescent="0.3">
      <c r="A14" s="5" t="s">
        <v>117</v>
      </c>
      <c r="B14" s="9">
        <v>1.85</v>
      </c>
      <c r="C14" s="10">
        <v>60</v>
      </c>
      <c r="D14" s="10">
        <v>300.8</v>
      </c>
      <c r="E14" s="10">
        <v>8</v>
      </c>
      <c r="F14" s="10">
        <v>50.4</v>
      </c>
      <c r="G14" s="7">
        <f t="shared" si="0"/>
        <v>419.2</v>
      </c>
      <c r="H14" s="8">
        <f t="shared" si="1"/>
        <v>775.52</v>
      </c>
    </row>
    <row r="15" spans="1:8" ht="16.5" x14ac:dyDescent="0.3">
      <c r="A15" s="5" t="s">
        <v>147</v>
      </c>
      <c r="B15" s="9">
        <v>10.634</v>
      </c>
      <c r="C15" s="10">
        <v>0</v>
      </c>
      <c r="D15" s="10">
        <v>2</v>
      </c>
      <c r="E15" s="10">
        <v>2</v>
      </c>
      <c r="F15" s="10">
        <v>0</v>
      </c>
      <c r="G15" s="7">
        <f t="shared" si="0"/>
        <v>4</v>
      </c>
      <c r="H15" s="8">
        <f t="shared" si="1"/>
        <v>42.536000000000001</v>
      </c>
    </row>
    <row r="16" spans="1:8" ht="16.5" x14ac:dyDescent="0.3">
      <c r="A16" s="5" t="s">
        <v>65</v>
      </c>
      <c r="B16" s="9">
        <v>1.5</v>
      </c>
      <c r="C16" s="10">
        <v>0</v>
      </c>
      <c r="D16" s="10">
        <v>270</v>
      </c>
      <c r="E16" s="10">
        <v>6</v>
      </c>
      <c r="F16" s="10">
        <v>100</v>
      </c>
      <c r="G16" s="7">
        <f t="shared" si="0"/>
        <v>376</v>
      </c>
      <c r="H16" s="8">
        <f t="shared" si="1"/>
        <v>564</v>
      </c>
    </row>
    <row r="17" spans="1:8" ht="16.5" x14ac:dyDescent="0.3">
      <c r="A17" s="5" t="s">
        <v>68</v>
      </c>
      <c r="B17" s="9">
        <v>2.3499999999999996</v>
      </c>
      <c r="C17" s="10">
        <v>260</v>
      </c>
      <c r="D17" s="10">
        <v>1058</v>
      </c>
      <c r="E17" s="10">
        <v>108</v>
      </c>
      <c r="F17" s="10">
        <v>0</v>
      </c>
      <c r="G17" s="7">
        <f t="shared" si="0"/>
        <v>1426</v>
      </c>
      <c r="H17" s="8">
        <f t="shared" si="1"/>
        <v>3351.0999999999995</v>
      </c>
    </row>
    <row r="18" spans="1:8" ht="16.5" x14ac:dyDescent="0.3">
      <c r="A18" s="5" t="s">
        <v>22</v>
      </c>
      <c r="B18" s="9">
        <v>8.6750000000000007</v>
      </c>
      <c r="C18" s="10">
        <v>0</v>
      </c>
      <c r="D18" s="10">
        <v>0</v>
      </c>
      <c r="E18" s="10">
        <v>0</v>
      </c>
      <c r="F18" s="10">
        <v>8</v>
      </c>
      <c r="G18" s="7">
        <f t="shared" si="0"/>
        <v>8</v>
      </c>
      <c r="H18" s="8">
        <f t="shared" si="1"/>
        <v>69.400000000000006</v>
      </c>
    </row>
    <row r="19" spans="1:8" ht="16.5" x14ac:dyDescent="0.3">
      <c r="A19" s="5" t="s">
        <v>23</v>
      </c>
      <c r="B19" s="9">
        <v>4.45</v>
      </c>
      <c r="C19" s="10">
        <v>0</v>
      </c>
      <c r="D19" s="10">
        <v>0.5</v>
      </c>
      <c r="E19" s="10">
        <v>4.5</v>
      </c>
      <c r="F19" s="10">
        <v>0</v>
      </c>
      <c r="G19" s="7">
        <f t="shared" si="0"/>
        <v>5</v>
      </c>
      <c r="H19" s="8">
        <f t="shared" si="1"/>
        <v>22.25</v>
      </c>
    </row>
    <row r="20" spans="1:8" ht="16.5" x14ac:dyDescent="0.3">
      <c r="A20" s="5" t="s">
        <v>24</v>
      </c>
      <c r="B20" s="9">
        <v>2.9000000000000004</v>
      </c>
      <c r="C20" s="10">
        <v>120</v>
      </c>
      <c r="D20" s="10">
        <v>32</v>
      </c>
      <c r="E20" s="10">
        <v>2</v>
      </c>
      <c r="F20" s="10">
        <v>42</v>
      </c>
      <c r="G20" s="7">
        <f t="shared" si="0"/>
        <v>196</v>
      </c>
      <c r="H20" s="8">
        <f t="shared" si="1"/>
        <v>568.40000000000009</v>
      </c>
    </row>
    <row r="21" spans="1:8" ht="16.5" x14ac:dyDescent="0.3">
      <c r="A21" s="6" t="s">
        <v>120</v>
      </c>
      <c r="B21" s="9">
        <v>3.9</v>
      </c>
      <c r="C21" s="10">
        <v>0</v>
      </c>
      <c r="D21" s="10">
        <v>1.2</v>
      </c>
      <c r="E21" s="10">
        <v>0</v>
      </c>
      <c r="F21" s="10">
        <v>0</v>
      </c>
      <c r="G21" s="7">
        <f t="shared" si="0"/>
        <v>1.2</v>
      </c>
      <c r="H21" s="8">
        <f t="shared" si="1"/>
        <v>4.68</v>
      </c>
    </row>
    <row r="22" spans="1:8" ht="16.5" x14ac:dyDescent="0.3">
      <c r="A22" s="5" t="s">
        <v>97</v>
      </c>
      <c r="B22" s="9">
        <v>2.6</v>
      </c>
      <c r="C22" s="10">
        <v>0</v>
      </c>
      <c r="D22" s="10">
        <v>1</v>
      </c>
      <c r="E22" s="10">
        <v>0</v>
      </c>
      <c r="F22" s="10">
        <v>0</v>
      </c>
      <c r="G22" s="7">
        <f t="shared" si="0"/>
        <v>1</v>
      </c>
      <c r="H22" s="8">
        <f t="shared" si="1"/>
        <v>2.6</v>
      </c>
    </row>
    <row r="23" spans="1:8" ht="16.5" x14ac:dyDescent="0.3">
      <c r="A23" s="5" t="s">
        <v>27</v>
      </c>
      <c r="B23" s="9">
        <v>2.95</v>
      </c>
      <c r="C23" s="10">
        <v>24</v>
      </c>
      <c r="D23" s="10">
        <v>20</v>
      </c>
      <c r="E23" s="10">
        <v>65</v>
      </c>
      <c r="F23" s="10">
        <v>0</v>
      </c>
      <c r="G23" s="7">
        <f t="shared" si="0"/>
        <v>109</v>
      </c>
      <c r="H23" s="8">
        <f t="shared" si="1"/>
        <v>321.55</v>
      </c>
    </row>
    <row r="24" spans="1:8" ht="16.5" x14ac:dyDescent="0.3">
      <c r="A24" s="5" t="s">
        <v>98</v>
      </c>
      <c r="B24" s="9">
        <v>2.5609999999999999</v>
      </c>
      <c r="C24" s="10">
        <v>0</v>
      </c>
      <c r="D24" s="10">
        <v>3</v>
      </c>
      <c r="E24" s="10">
        <v>0</v>
      </c>
      <c r="F24" s="10">
        <v>0</v>
      </c>
      <c r="G24" s="7">
        <f t="shared" si="0"/>
        <v>3</v>
      </c>
      <c r="H24" s="8">
        <f t="shared" si="1"/>
        <v>7.6829999999999998</v>
      </c>
    </row>
    <row r="25" spans="1:8" ht="16.5" x14ac:dyDescent="0.3">
      <c r="A25" s="5" t="s">
        <v>28</v>
      </c>
      <c r="B25" s="9">
        <v>3.25</v>
      </c>
      <c r="C25" s="10">
        <v>0</v>
      </c>
      <c r="D25" s="10">
        <v>0</v>
      </c>
      <c r="E25" s="10">
        <v>30</v>
      </c>
      <c r="F25" s="10">
        <v>0</v>
      </c>
      <c r="G25" s="7">
        <f t="shared" si="0"/>
        <v>30</v>
      </c>
      <c r="H25" s="8">
        <f t="shared" si="1"/>
        <v>97.5</v>
      </c>
    </row>
    <row r="26" spans="1:8" ht="16.5" x14ac:dyDescent="0.3">
      <c r="A26" s="5" t="s">
        <v>157</v>
      </c>
      <c r="B26" s="9">
        <v>3.875</v>
      </c>
      <c r="C26" s="10">
        <v>0</v>
      </c>
      <c r="D26" s="10">
        <v>20</v>
      </c>
      <c r="E26" s="10">
        <v>0</v>
      </c>
      <c r="F26" s="10">
        <v>0</v>
      </c>
      <c r="G26" s="7">
        <f t="shared" si="0"/>
        <v>20</v>
      </c>
      <c r="H26" s="8">
        <f t="shared" si="1"/>
        <v>77.5</v>
      </c>
    </row>
    <row r="27" spans="1:8" ht="16.5" x14ac:dyDescent="0.3">
      <c r="A27" s="5" t="s">
        <v>31</v>
      </c>
      <c r="B27" s="9">
        <v>3.55</v>
      </c>
      <c r="C27" s="10">
        <v>0</v>
      </c>
      <c r="D27" s="10">
        <v>50</v>
      </c>
      <c r="E27" s="10">
        <v>0</v>
      </c>
      <c r="F27" s="10">
        <v>0</v>
      </c>
      <c r="G27" s="7">
        <f t="shared" si="0"/>
        <v>50</v>
      </c>
      <c r="H27" s="8">
        <f t="shared" si="1"/>
        <v>177.5</v>
      </c>
    </row>
    <row r="28" spans="1:8" ht="16.5" x14ac:dyDescent="0.3">
      <c r="A28" s="5" t="s">
        <v>32</v>
      </c>
      <c r="B28" s="9">
        <v>2.625</v>
      </c>
      <c r="C28" s="10">
        <v>0</v>
      </c>
      <c r="D28" s="10">
        <v>300</v>
      </c>
      <c r="E28" s="10">
        <v>50</v>
      </c>
      <c r="F28" s="10">
        <v>58</v>
      </c>
      <c r="G28" s="7">
        <f t="shared" si="0"/>
        <v>408</v>
      </c>
      <c r="H28" s="8">
        <f t="shared" si="1"/>
        <v>1071</v>
      </c>
    </row>
    <row r="29" spans="1:8" ht="16.5" x14ac:dyDescent="0.3">
      <c r="A29" s="5" t="s">
        <v>99</v>
      </c>
      <c r="B29" s="9">
        <v>3.55</v>
      </c>
      <c r="C29" s="10">
        <v>0</v>
      </c>
      <c r="D29" s="10">
        <v>30</v>
      </c>
      <c r="E29" s="10">
        <v>0</v>
      </c>
      <c r="F29" s="10">
        <v>14</v>
      </c>
      <c r="G29" s="7">
        <f t="shared" si="0"/>
        <v>44</v>
      </c>
      <c r="H29" s="8">
        <f t="shared" si="1"/>
        <v>156.19999999999999</v>
      </c>
    </row>
    <row r="30" spans="1:8" ht="16.5" x14ac:dyDescent="0.3">
      <c r="A30" s="6" t="s">
        <v>75</v>
      </c>
      <c r="B30" s="9">
        <v>4.7190000000000003</v>
      </c>
      <c r="C30" s="10">
        <v>0</v>
      </c>
      <c r="D30" s="10">
        <v>80</v>
      </c>
      <c r="E30" s="10">
        <v>0</v>
      </c>
      <c r="F30" s="10">
        <v>10</v>
      </c>
      <c r="G30" s="7">
        <f t="shared" si="0"/>
        <v>90</v>
      </c>
      <c r="H30" s="8">
        <f t="shared" si="1"/>
        <v>424.71000000000004</v>
      </c>
    </row>
    <row r="31" spans="1:8" ht="16.5" x14ac:dyDescent="0.3">
      <c r="A31" s="5" t="s">
        <v>33</v>
      </c>
      <c r="B31" s="9">
        <v>1.9249999999999998</v>
      </c>
      <c r="C31" s="10">
        <v>0</v>
      </c>
      <c r="D31" s="10">
        <v>30</v>
      </c>
      <c r="E31" s="10">
        <v>0</v>
      </c>
      <c r="F31" s="10">
        <v>0</v>
      </c>
      <c r="G31" s="7">
        <f t="shared" si="0"/>
        <v>30</v>
      </c>
      <c r="H31" s="8">
        <f t="shared" si="1"/>
        <v>57.749999999999993</v>
      </c>
    </row>
    <row r="32" spans="1:8" ht="16.5" x14ac:dyDescent="0.3">
      <c r="A32" s="5" t="s">
        <v>5</v>
      </c>
      <c r="B32" s="9">
        <v>6.25</v>
      </c>
      <c r="C32" s="10">
        <v>0</v>
      </c>
      <c r="D32" s="10">
        <v>32</v>
      </c>
      <c r="E32" s="10">
        <v>0</v>
      </c>
      <c r="F32" s="10">
        <v>0</v>
      </c>
      <c r="G32" s="7">
        <f t="shared" si="0"/>
        <v>32</v>
      </c>
      <c r="H32" s="8">
        <f t="shared" si="1"/>
        <v>200</v>
      </c>
    </row>
    <row r="33" spans="1:8" ht="16.5" x14ac:dyDescent="0.3">
      <c r="A33" s="5" t="s">
        <v>82</v>
      </c>
      <c r="B33" s="9">
        <v>3.3</v>
      </c>
      <c r="C33" s="10">
        <v>0</v>
      </c>
      <c r="D33" s="10">
        <v>8</v>
      </c>
      <c r="E33" s="10">
        <v>30</v>
      </c>
      <c r="F33" s="10">
        <v>0</v>
      </c>
      <c r="G33" s="7">
        <f t="shared" si="0"/>
        <v>38</v>
      </c>
      <c r="H33" s="8">
        <f t="shared" si="1"/>
        <v>125.39999999999999</v>
      </c>
    </row>
    <row r="34" spans="1:8" ht="16.5" x14ac:dyDescent="0.3">
      <c r="A34" s="5" t="s">
        <v>123</v>
      </c>
      <c r="B34" s="9">
        <v>5.75</v>
      </c>
      <c r="C34" s="10">
        <v>5</v>
      </c>
      <c r="D34" s="10">
        <v>63</v>
      </c>
      <c r="E34" s="10">
        <v>5</v>
      </c>
      <c r="F34" s="10">
        <v>0</v>
      </c>
      <c r="G34" s="7">
        <f t="shared" si="0"/>
        <v>73</v>
      </c>
      <c r="H34" s="8">
        <f t="shared" si="1"/>
        <v>419.75</v>
      </c>
    </row>
    <row r="35" spans="1:8" ht="16.5" x14ac:dyDescent="0.3">
      <c r="A35" s="5" t="s">
        <v>34</v>
      </c>
      <c r="B35" s="9">
        <v>5.15</v>
      </c>
      <c r="C35" s="10">
        <v>0</v>
      </c>
      <c r="D35" s="10">
        <v>20</v>
      </c>
      <c r="E35" s="10">
        <v>50</v>
      </c>
      <c r="F35" s="10">
        <v>0</v>
      </c>
      <c r="G35" s="7">
        <f t="shared" si="0"/>
        <v>70</v>
      </c>
      <c r="H35" s="8">
        <f t="shared" si="1"/>
        <v>360.5</v>
      </c>
    </row>
    <row r="36" spans="1:8" ht="16.5" x14ac:dyDescent="0.3">
      <c r="A36" s="5" t="s">
        <v>6</v>
      </c>
      <c r="B36" s="9">
        <v>1.2749999999999999</v>
      </c>
      <c r="C36" s="10">
        <v>0</v>
      </c>
      <c r="D36" s="10">
        <v>0</v>
      </c>
      <c r="E36" s="10">
        <v>1</v>
      </c>
      <c r="F36" s="10">
        <v>0</v>
      </c>
      <c r="G36" s="7">
        <f t="shared" si="0"/>
        <v>1</v>
      </c>
      <c r="H36" s="8">
        <f t="shared" si="1"/>
        <v>1.2749999999999999</v>
      </c>
    </row>
    <row r="37" spans="1:8" ht="16.5" x14ac:dyDescent="0.3">
      <c r="A37" s="5" t="s">
        <v>151</v>
      </c>
      <c r="B37" s="9">
        <v>3.25</v>
      </c>
      <c r="C37" s="10">
        <v>5</v>
      </c>
      <c r="D37" s="10">
        <v>56</v>
      </c>
      <c r="E37" s="10">
        <v>8</v>
      </c>
      <c r="F37" s="10">
        <v>7</v>
      </c>
      <c r="G37" s="7">
        <f t="shared" si="0"/>
        <v>76</v>
      </c>
      <c r="H37" s="8">
        <f t="shared" si="1"/>
        <v>247</v>
      </c>
    </row>
    <row r="38" spans="1:8" ht="16.5" x14ac:dyDescent="0.3">
      <c r="A38" s="5" t="s">
        <v>125</v>
      </c>
      <c r="B38" s="9">
        <v>1.2749999999999999</v>
      </c>
      <c r="C38" s="10">
        <v>0</v>
      </c>
      <c r="D38" s="10">
        <v>300</v>
      </c>
      <c r="E38" s="10">
        <v>30</v>
      </c>
      <c r="F38" s="10">
        <v>64</v>
      </c>
      <c r="G38" s="7">
        <f t="shared" si="0"/>
        <v>394</v>
      </c>
      <c r="H38" s="8">
        <f t="shared" si="1"/>
        <v>502.34999999999997</v>
      </c>
    </row>
    <row r="39" spans="1:8" ht="16.5" x14ac:dyDescent="0.3">
      <c r="A39" s="5" t="s">
        <v>101</v>
      </c>
      <c r="B39" s="9">
        <v>4.5750000000000002</v>
      </c>
      <c r="C39" s="10">
        <v>0</v>
      </c>
      <c r="D39" s="10">
        <v>1.8</v>
      </c>
      <c r="E39" s="10">
        <v>0</v>
      </c>
      <c r="F39" s="10">
        <v>0</v>
      </c>
      <c r="G39" s="7">
        <f t="shared" si="0"/>
        <v>1.8</v>
      </c>
      <c r="H39" s="8">
        <f t="shared" si="1"/>
        <v>8.2350000000000012</v>
      </c>
    </row>
    <row r="40" spans="1:8" ht="16.5" x14ac:dyDescent="0.3">
      <c r="A40" s="5" t="s">
        <v>39</v>
      </c>
      <c r="B40" s="9">
        <v>2.95</v>
      </c>
      <c r="C40" s="10">
        <v>0</v>
      </c>
      <c r="D40" s="10">
        <v>90</v>
      </c>
      <c r="E40" s="10">
        <v>34</v>
      </c>
      <c r="F40" s="10">
        <v>15</v>
      </c>
      <c r="G40" s="7">
        <f t="shared" si="0"/>
        <v>139</v>
      </c>
      <c r="H40" s="8">
        <f t="shared" si="1"/>
        <v>410.05</v>
      </c>
    </row>
    <row r="41" spans="1:8" ht="16.5" x14ac:dyDescent="0.3">
      <c r="A41" s="5" t="s">
        <v>40</v>
      </c>
      <c r="B41" s="9">
        <v>2.8250000000000002</v>
      </c>
      <c r="C41" s="10">
        <v>0</v>
      </c>
      <c r="D41" s="10">
        <v>31</v>
      </c>
      <c r="E41" s="10">
        <v>4</v>
      </c>
      <c r="F41" s="10">
        <v>20</v>
      </c>
      <c r="G41" s="7">
        <f t="shared" si="0"/>
        <v>55</v>
      </c>
      <c r="H41" s="8">
        <f t="shared" si="1"/>
        <v>155.375</v>
      </c>
    </row>
    <row r="42" spans="1:8" ht="16.5" x14ac:dyDescent="0.3">
      <c r="A42" s="5" t="s">
        <v>41</v>
      </c>
      <c r="B42" s="9">
        <v>7</v>
      </c>
      <c r="C42" s="10">
        <v>0</v>
      </c>
      <c r="D42" s="10">
        <v>6</v>
      </c>
      <c r="E42" s="10">
        <v>0</v>
      </c>
      <c r="F42" s="10">
        <v>0</v>
      </c>
      <c r="G42" s="7">
        <f t="shared" si="0"/>
        <v>6</v>
      </c>
      <c r="H42" s="8">
        <f t="shared" si="1"/>
        <v>42</v>
      </c>
    </row>
    <row r="43" spans="1:8" ht="16.5" x14ac:dyDescent="0.3">
      <c r="A43" s="5" t="s">
        <v>126</v>
      </c>
      <c r="B43" s="9">
        <v>11.7</v>
      </c>
      <c r="C43" s="10">
        <v>0</v>
      </c>
      <c r="D43" s="10">
        <v>0</v>
      </c>
      <c r="E43" s="10">
        <v>3</v>
      </c>
      <c r="F43" s="10">
        <v>0</v>
      </c>
      <c r="G43" s="7">
        <f t="shared" si="0"/>
        <v>3</v>
      </c>
      <c r="H43" s="8">
        <f t="shared" si="1"/>
        <v>35.099999999999994</v>
      </c>
    </row>
    <row r="44" spans="1:8" ht="16.5" x14ac:dyDescent="0.3">
      <c r="A44" s="5" t="s">
        <v>9</v>
      </c>
      <c r="B44" s="9">
        <v>2.9</v>
      </c>
      <c r="C44" s="10">
        <v>0</v>
      </c>
      <c r="D44" s="10">
        <v>107</v>
      </c>
      <c r="E44" s="10">
        <v>0</v>
      </c>
      <c r="F44" s="10">
        <v>0</v>
      </c>
      <c r="G44" s="7">
        <f t="shared" si="0"/>
        <v>107</v>
      </c>
      <c r="H44" s="8">
        <f t="shared" si="1"/>
        <v>310.3</v>
      </c>
    </row>
    <row r="45" spans="1:8" ht="16.5" x14ac:dyDescent="0.3">
      <c r="A45" s="5" t="s">
        <v>42</v>
      </c>
      <c r="B45" s="9">
        <v>5.5</v>
      </c>
      <c r="C45" s="10">
        <v>0</v>
      </c>
      <c r="D45" s="10">
        <v>0</v>
      </c>
      <c r="E45" s="10">
        <v>10</v>
      </c>
      <c r="F45" s="10">
        <v>0</v>
      </c>
      <c r="G45" s="7">
        <f t="shared" si="0"/>
        <v>10</v>
      </c>
      <c r="H45" s="8">
        <f t="shared" si="1"/>
        <v>55</v>
      </c>
    </row>
    <row r="46" spans="1:8" ht="16.5" x14ac:dyDescent="0.3">
      <c r="A46" s="5" t="s">
        <v>43</v>
      </c>
      <c r="B46" s="9">
        <v>2.35</v>
      </c>
      <c r="C46" s="10">
        <v>0</v>
      </c>
      <c r="D46" s="10">
        <v>24</v>
      </c>
      <c r="E46" s="10">
        <v>0</v>
      </c>
      <c r="F46" s="10">
        <v>0</v>
      </c>
      <c r="G46" s="7">
        <f t="shared" si="0"/>
        <v>24</v>
      </c>
      <c r="H46" s="8">
        <f t="shared" si="1"/>
        <v>56.400000000000006</v>
      </c>
    </row>
    <row r="47" spans="1:8" ht="16.5" x14ac:dyDescent="0.3">
      <c r="A47" s="5" t="s">
        <v>44</v>
      </c>
      <c r="B47" s="9">
        <v>5.0999999999999996</v>
      </c>
      <c r="C47" s="10">
        <v>38</v>
      </c>
      <c r="D47" s="10">
        <v>70</v>
      </c>
      <c r="E47" s="10">
        <v>0</v>
      </c>
      <c r="F47" s="10">
        <v>15</v>
      </c>
      <c r="G47" s="7">
        <f t="shared" si="0"/>
        <v>123</v>
      </c>
      <c r="H47" s="8">
        <f t="shared" si="1"/>
        <v>627.29999999999995</v>
      </c>
    </row>
    <row r="48" spans="1:8" ht="16.5" x14ac:dyDescent="0.3">
      <c r="A48" s="6" t="s">
        <v>148</v>
      </c>
      <c r="B48" s="9">
        <v>32.5</v>
      </c>
      <c r="C48" s="10">
        <v>0</v>
      </c>
      <c r="D48" s="10">
        <v>0</v>
      </c>
      <c r="E48" s="10">
        <v>1</v>
      </c>
      <c r="F48" s="10">
        <v>0</v>
      </c>
      <c r="G48" s="7">
        <f t="shared" si="0"/>
        <v>1</v>
      </c>
      <c r="H48" s="8">
        <f t="shared" si="1"/>
        <v>32.5</v>
      </c>
    </row>
    <row r="49" spans="1:8" ht="16.5" x14ac:dyDescent="0.3">
      <c r="A49" s="5" t="s">
        <v>45</v>
      </c>
      <c r="B49" s="9">
        <v>2.0499999999999998</v>
      </c>
      <c r="C49" s="10">
        <v>0</v>
      </c>
      <c r="D49" s="10">
        <v>20</v>
      </c>
      <c r="E49" s="10">
        <v>2</v>
      </c>
      <c r="F49" s="10">
        <v>0</v>
      </c>
      <c r="G49" s="7">
        <f t="shared" si="0"/>
        <v>22</v>
      </c>
      <c r="H49" s="8">
        <f t="shared" si="1"/>
        <v>45.099999999999994</v>
      </c>
    </row>
    <row r="50" spans="1:8" ht="16.5" x14ac:dyDescent="0.3">
      <c r="A50" s="5" t="s">
        <v>103</v>
      </c>
      <c r="B50" s="9">
        <v>2.75</v>
      </c>
      <c r="C50" s="10">
        <v>0</v>
      </c>
      <c r="D50" s="10">
        <v>30</v>
      </c>
      <c r="E50" s="10">
        <v>10</v>
      </c>
      <c r="F50" s="10">
        <v>0</v>
      </c>
      <c r="G50" s="7">
        <f t="shared" si="0"/>
        <v>40</v>
      </c>
      <c r="H50" s="8">
        <f t="shared" si="1"/>
        <v>110</v>
      </c>
    </row>
    <row r="51" spans="1:8" ht="16.5" x14ac:dyDescent="0.3">
      <c r="A51" s="5" t="s">
        <v>46</v>
      </c>
      <c r="B51" s="9">
        <v>3.75</v>
      </c>
      <c r="C51" s="10">
        <v>0</v>
      </c>
      <c r="D51" s="10">
        <v>112</v>
      </c>
      <c r="E51" s="10">
        <v>0</v>
      </c>
      <c r="F51" s="10">
        <v>0</v>
      </c>
      <c r="G51" s="7">
        <f t="shared" si="0"/>
        <v>112</v>
      </c>
      <c r="H51" s="8">
        <f t="shared" si="1"/>
        <v>420</v>
      </c>
    </row>
    <row r="52" spans="1:8" ht="16.5" x14ac:dyDescent="0.3">
      <c r="A52" s="5" t="s">
        <v>137</v>
      </c>
      <c r="B52" s="9">
        <v>11</v>
      </c>
      <c r="C52" s="10">
        <v>0</v>
      </c>
      <c r="D52" s="10">
        <v>1</v>
      </c>
      <c r="E52" s="10">
        <v>0.5</v>
      </c>
      <c r="F52" s="10">
        <v>0</v>
      </c>
      <c r="G52" s="7">
        <f t="shared" si="0"/>
        <v>1.5</v>
      </c>
      <c r="H52" s="8">
        <f t="shared" si="1"/>
        <v>16.5</v>
      </c>
    </row>
    <row r="53" spans="1:8" ht="16.5" x14ac:dyDescent="0.3">
      <c r="A53" s="5" t="s">
        <v>11</v>
      </c>
      <c r="B53" s="9">
        <v>1.35</v>
      </c>
      <c r="C53" s="10">
        <v>0</v>
      </c>
      <c r="D53" s="10">
        <v>558</v>
      </c>
      <c r="E53" s="10">
        <v>98</v>
      </c>
      <c r="F53" s="10">
        <v>116</v>
      </c>
      <c r="G53" s="7">
        <f t="shared" si="0"/>
        <v>772</v>
      </c>
      <c r="H53" s="8">
        <f t="shared" si="1"/>
        <v>1042.2</v>
      </c>
    </row>
    <row r="54" spans="1:8" ht="16.5" x14ac:dyDescent="0.3">
      <c r="A54" s="5" t="s">
        <v>49</v>
      </c>
      <c r="B54" s="9">
        <v>3</v>
      </c>
      <c r="C54" s="10">
        <v>30</v>
      </c>
      <c r="D54" s="10">
        <v>40</v>
      </c>
      <c r="E54" s="10">
        <v>0</v>
      </c>
      <c r="F54" s="10">
        <v>0</v>
      </c>
      <c r="G54" s="7">
        <f t="shared" si="0"/>
        <v>70</v>
      </c>
      <c r="H54" s="8">
        <f t="shared" si="1"/>
        <v>210</v>
      </c>
    </row>
    <row r="55" spans="1:8" ht="16.5" x14ac:dyDescent="0.3">
      <c r="A55" s="5" t="s">
        <v>152</v>
      </c>
      <c r="B55" s="9">
        <v>10.5</v>
      </c>
      <c r="C55" s="10">
        <v>0</v>
      </c>
      <c r="D55" s="10">
        <v>13</v>
      </c>
      <c r="E55" s="10">
        <v>0</v>
      </c>
      <c r="F55" s="10">
        <v>0</v>
      </c>
      <c r="G55" s="7">
        <f t="shared" si="0"/>
        <v>13</v>
      </c>
      <c r="H55" s="8">
        <f t="shared" si="1"/>
        <v>136.5</v>
      </c>
    </row>
    <row r="56" spans="1:8" ht="16.5" x14ac:dyDescent="0.3">
      <c r="A56" s="5" t="s">
        <v>51</v>
      </c>
      <c r="B56" s="9">
        <v>2</v>
      </c>
      <c r="C56" s="10">
        <v>0</v>
      </c>
      <c r="D56" s="10">
        <v>0</v>
      </c>
      <c r="E56" s="10">
        <v>0</v>
      </c>
      <c r="F56" s="10">
        <v>24</v>
      </c>
      <c r="G56" s="7">
        <f t="shared" si="0"/>
        <v>24</v>
      </c>
      <c r="H56" s="8">
        <f t="shared" si="1"/>
        <v>48</v>
      </c>
    </row>
    <row r="57" spans="1:8" ht="16.5" x14ac:dyDescent="0.3">
      <c r="A57" s="5" t="s">
        <v>159</v>
      </c>
      <c r="B57" s="9">
        <v>6.4</v>
      </c>
      <c r="C57" s="10">
        <v>9.5</v>
      </c>
      <c r="D57" s="10">
        <v>0</v>
      </c>
      <c r="E57" s="10">
        <v>9.6</v>
      </c>
      <c r="F57" s="10">
        <v>0</v>
      </c>
      <c r="G57" s="7">
        <f t="shared" si="0"/>
        <v>19.100000000000001</v>
      </c>
      <c r="H57" s="8">
        <f t="shared" si="1"/>
        <v>122.24000000000001</v>
      </c>
    </row>
    <row r="58" spans="1:8" ht="16.5" x14ac:dyDescent="0.3">
      <c r="A58" s="5" t="s">
        <v>121</v>
      </c>
      <c r="B58" s="9">
        <v>2.5</v>
      </c>
      <c r="C58" s="10">
        <v>10</v>
      </c>
      <c r="D58" s="10">
        <v>78</v>
      </c>
      <c r="E58" s="10">
        <v>0</v>
      </c>
      <c r="F58" s="10">
        <v>6</v>
      </c>
      <c r="G58" s="7">
        <f t="shared" si="0"/>
        <v>94</v>
      </c>
      <c r="H58" s="8">
        <f t="shared" si="1"/>
        <v>235</v>
      </c>
    </row>
    <row r="59" spans="1:8" ht="16.5" x14ac:dyDescent="0.3">
      <c r="A59" s="5" t="s">
        <v>160</v>
      </c>
      <c r="B59" s="9">
        <v>3.55</v>
      </c>
      <c r="C59" s="10">
        <v>16</v>
      </c>
      <c r="D59" s="10">
        <v>84</v>
      </c>
      <c r="E59" s="10">
        <v>22</v>
      </c>
      <c r="F59" s="10">
        <v>22</v>
      </c>
      <c r="G59" s="7">
        <f t="shared" si="0"/>
        <v>144</v>
      </c>
      <c r="H59" s="8">
        <f t="shared" si="1"/>
        <v>511.2</v>
      </c>
    </row>
    <row r="60" spans="1:8" ht="16.5" x14ac:dyDescent="0.3">
      <c r="A60" s="5" t="s">
        <v>161</v>
      </c>
      <c r="B60" s="9">
        <v>1.125</v>
      </c>
      <c r="C60" s="10">
        <v>0</v>
      </c>
      <c r="D60" s="10">
        <v>8.1999999999999993</v>
      </c>
      <c r="E60" s="10">
        <v>20</v>
      </c>
      <c r="F60" s="10">
        <v>0</v>
      </c>
      <c r="G60" s="7">
        <f t="shared" si="0"/>
        <v>28.2</v>
      </c>
      <c r="H60" s="8">
        <f t="shared" si="1"/>
        <v>31.724999999999998</v>
      </c>
    </row>
    <row r="61" spans="1:8" ht="16.5" x14ac:dyDescent="0.3">
      <c r="A61" s="5" t="s">
        <v>122</v>
      </c>
      <c r="B61" s="9">
        <v>1.35</v>
      </c>
      <c r="C61" s="10">
        <v>50</v>
      </c>
      <c r="D61" s="10">
        <v>226</v>
      </c>
      <c r="E61" s="10">
        <v>105</v>
      </c>
      <c r="F61" s="10">
        <v>49</v>
      </c>
      <c r="G61" s="7">
        <f t="shared" si="0"/>
        <v>430</v>
      </c>
      <c r="H61" s="8">
        <f t="shared" si="1"/>
        <v>580.5</v>
      </c>
    </row>
    <row r="62" spans="1:8" ht="16.5" x14ac:dyDescent="0.3">
      <c r="A62" s="5" t="s">
        <v>104</v>
      </c>
      <c r="B62" s="9">
        <v>9.9710000000000001</v>
      </c>
      <c r="C62" s="10">
        <v>0</v>
      </c>
      <c r="D62" s="10">
        <v>3</v>
      </c>
      <c r="E62" s="10">
        <v>5</v>
      </c>
      <c r="F62" s="10">
        <v>0</v>
      </c>
      <c r="G62" s="7">
        <f t="shared" si="0"/>
        <v>8</v>
      </c>
      <c r="H62" s="8">
        <f t="shared" si="1"/>
        <v>79.768000000000001</v>
      </c>
    </row>
    <row r="63" spans="1:8" ht="16.5" x14ac:dyDescent="0.3">
      <c r="A63" s="5" t="s">
        <v>55</v>
      </c>
      <c r="B63" s="9">
        <v>5</v>
      </c>
      <c r="C63" s="10">
        <v>24</v>
      </c>
      <c r="D63" s="10">
        <v>56</v>
      </c>
      <c r="E63" s="10">
        <v>28</v>
      </c>
      <c r="F63" s="10">
        <v>15</v>
      </c>
      <c r="G63" s="7">
        <f t="shared" si="0"/>
        <v>123</v>
      </c>
      <c r="H63" s="8">
        <f t="shared" si="1"/>
        <v>615</v>
      </c>
    </row>
    <row r="64" spans="1:8" ht="16.5" x14ac:dyDescent="0.3">
      <c r="A64" s="5" t="s">
        <v>153</v>
      </c>
      <c r="B64" s="9">
        <v>3.2</v>
      </c>
      <c r="C64" s="10">
        <v>10</v>
      </c>
      <c r="D64" s="10">
        <v>31</v>
      </c>
      <c r="E64" s="10">
        <v>5</v>
      </c>
      <c r="F64" s="10">
        <v>10</v>
      </c>
      <c r="G64" s="7">
        <f t="shared" si="0"/>
        <v>56</v>
      </c>
      <c r="H64" s="8">
        <f t="shared" si="1"/>
        <v>179.20000000000002</v>
      </c>
    </row>
    <row r="65" spans="1:8" ht="16.5" x14ac:dyDescent="0.3">
      <c r="A65" s="5" t="s">
        <v>130</v>
      </c>
      <c r="B65" s="9">
        <v>2.6</v>
      </c>
      <c r="C65" s="10">
        <v>0</v>
      </c>
      <c r="D65" s="10">
        <v>0</v>
      </c>
      <c r="E65" s="10">
        <v>13</v>
      </c>
      <c r="F65" s="10">
        <v>0</v>
      </c>
      <c r="G65" s="7">
        <f t="shared" si="0"/>
        <v>13</v>
      </c>
      <c r="H65" s="8">
        <f t="shared" si="1"/>
        <v>33.800000000000004</v>
      </c>
    </row>
    <row r="66" spans="1:8" ht="16.5" x14ac:dyDescent="0.3">
      <c r="A66" s="5" t="s">
        <v>105</v>
      </c>
      <c r="B66" s="9">
        <v>2.625</v>
      </c>
      <c r="C66" s="10">
        <v>0</v>
      </c>
      <c r="D66" s="10">
        <v>152</v>
      </c>
      <c r="E66" s="10">
        <v>45</v>
      </c>
      <c r="F66" s="10">
        <v>10</v>
      </c>
      <c r="G66" s="7">
        <f t="shared" si="0"/>
        <v>207</v>
      </c>
      <c r="H66" s="8">
        <f t="shared" si="1"/>
        <v>543.375</v>
      </c>
    </row>
    <row r="67" spans="1:8" ht="16.5" x14ac:dyDescent="0.3">
      <c r="A67" s="5" t="s">
        <v>57</v>
      </c>
      <c r="B67" s="9">
        <v>6</v>
      </c>
      <c r="C67" s="10">
        <v>0</v>
      </c>
      <c r="D67" s="10">
        <v>90</v>
      </c>
      <c r="E67" s="10">
        <v>0</v>
      </c>
      <c r="F67" s="10">
        <v>0</v>
      </c>
      <c r="G67" s="7">
        <f t="shared" ref="G67:G106" si="2">SUM(C67:F67)</f>
        <v>90</v>
      </c>
      <c r="H67" s="8">
        <f t="shared" ref="H67:H106" si="3">G67*B67</f>
        <v>540</v>
      </c>
    </row>
    <row r="68" spans="1:8" ht="16.5" x14ac:dyDescent="0.3">
      <c r="A68" s="5" t="s">
        <v>13</v>
      </c>
      <c r="B68" s="9">
        <v>1.5249999999999999</v>
      </c>
      <c r="C68" s="10">
        <v>0</v>
      </c>
      <c r="D68" s="10">
        <v>20</v>
      </c>
      <c r="E68" s="10">
        <v>0</v>
      </c>
      <c r="F68" s="10">
        <v>0</v>
      </c>
      <c r="G68" s="7">
        <f t="shared" si="2"/>
        <v>20</v>
      </c>
      <c r="H68" s="8">
        <f t="shared" si="3"/>
        <v>30.5</v>
      </c>
    </row>
    <row r="69" spans="1:8" ht="16.5" x14ac:dyDescent="0.3">
      <c r="A69" s="6" t="s">
        <v>114</v>
      </c>
      <c r="B69" s="9">
        <v>5.33</v>
      </c>
      <c r="C69" s="10">
        <v>0</v>
      </c>
      <c r="D69" s="10">
        <v>4</v>
      </c>
      <c r="E69" s="10">
        <v>0</v>
      </c>
      <c r="F69" s="10">
        <v>0</v>
      </c>
      <c r="G69" s="7">
        <f t="shared" si="2"/>
        <v>4</v>
      </c>
      <c r="H69" s="8">
        <f t="shared" si="3"/>
        <v>21.32</v>
      </c>
    </row>
    <row r="70" spans="1:8" ht="16.5" x14ac:dyDescent="0.3">
      <c r="A70" s="5" t="s">
        <v>127</v>
      </c>
      <c r="B70" s="9">
        <v>2.6</v>
      </c>
      <c r="C70" s="10">
        <v>0</v>
      </c>
      <c r="D70" s="10">
        <v>0</v>
      </c>
      <c r="E70" s="10">
        <v>3</v>
      </c>
      <c r="F70" s="10">
        <v>0</v>
      </c>
      <c r="G70" s="7">
        <f t="shared" si="2"/>
        <v>3</v>
      </c>
      <c r="H70" s="8">
        <f t="shared" si="3"/>
        <v>7.8000000000000007</v>
      </c>
    </row>
    <row r="71" spans="1:8" ht="16.5" x14ac:dyDescent="0.3">
      <c r="A71" s="6" t="s">
        <v>146</v>
      </c>
      <c r="B71" s="9">
        <v>5.2</v>
      </c>
      <c r="C71" s="10">
        <v>0</v>
      </c>
      <c r="D71" s="10">
        <v>0</v>
      </c>
      <c r="E71" s="10">
        <v>3</v>
      </c>
      <c r="F71" s="10">
        <v>0</v>
      </c>
      <c r="G71" s="7">
        <f t="shared" si="2"/>
        <v>3</v>
      </c>
      <c r="H71" s="8">
        <f t="shared" si="3"/>
        <v>15.600000000000001</v>
      </c>
    </row>
    <row r="72" spans="1:8" ht="16.5" x14ac:dyDescent="0.3">
      <c r="A72" s="5" t="s">
        <v>59</v>
      </c>
      <c r="B72" s="9">
        <v>4</v>
      </c>
      <c r="C72" s="10">
        <v>0</v>
      </c>
      <c r="D72" s="10">
        <v>10</v>
      </c>
      <c r="E72" s="10">
        <v>0</v>
      </c>
      <c r="F72" s="10">
        <v>0</v>
      </c>
      <c r="G72" s="7">
        <f t="shared" si="2"/>
        <v>10</v>
      </c>
      <c r="H72" s="8">
        <f t="shared" si="3"/>
        <v>40</v>
      </c>
    </row>
    <row r="73" spans="1:8" ht="16.5" x14ac:dyDescent="0.3">
      <c r="A73" s="5" t="s">
        <v>132</v>
      </c>
      <c r="B73" s="9">
        <v>6.4</v>
      </c>
      <c r="C73" s="10">
        <v>0</v>
      </c>
      <c r="D73" s="10">
        <v>16.8</v>
      </c>
      <c r="E73" s="10">
        <v>0</v>
      </c>
      <c r="F73" s="10">
        <v>0</v>
      </c>
      <c r="G73" s="7">
        <f t="shared" si="2"/>
        <v>16.8</v>
      </c>
      <c r="H73" s="8">
        <f t="shared" si="3"/>
        <v>107.52000000000001</v>
      </c>
    </row>
    <row r="74" spans="1:8" ht="16.5" x14ac:dyDescent="0.3">
      <c r="A74" s="5" t="s">
        <v>60</v>
      </c>
      <c r="B74" s="9">
        <v>2.0249999999999999</v>
      </c>
      <c r="C74" s="10">
        <v>360</v>
      </c>
      <c r="D74" s="10">
        <v>1198</v>
      </c>
      <c r="E74" s="10">
        <v>140</v>
      </c>
      <c r="F74" s="10">
        <v>170</v>
      </c>
      <c r="G74" s="7">
        <f t="shared" si="2"/>
        <v>1868</v>
      </c>
      <c r="H74" s="8">
        <f t="shared" si="3"/>
        <v>3782.7</v>
      </c>
    </row>
    <row r="75" spans="1:8" ht="16.5" x14ac:dyDescent="0.3">
      <c r="A75" s="5" t="s">
        <v>15</v>
      </c>
      <c r="B75" s="9">
        <v>1.9500000000000002</v>
      </c>
      <c r="C75" s="10">
        <v>0</v>
      </c>
      <c r="D75" s="10">
        <v>16</v>
      </c>
      <c r="E75" s="10">
        <v>0</v>
      </c>
      <c r="F75" s="10">
        <v>0</v>
      </c>
      <c r="G75" s="7">
        <f t="shared" si="2"/>
        <v>16</v>
      </c>
      <c r="H75" s="8">
        <f t="shared" si="3"/>
        <v>31.200000000000003</v>
      </c>
    </row>
    <row r="76" spans="1:8" ht="16.5" x14ac:dyDescent="0.3">
      <c r="A76" s="5" t="s">
        <v>16</v>
      </c>
      <c r="B76" s="9">
        <v>2.1</v>
      </c>
      <c r="C76" s="10">
        <v>0</v>
      </c>
      <c r="D76" s="10">
        <v>20</v>
      </c>
      <c r="E76" s="10">
        <v>0</v>
      </c>
      <c r="F76" s="10">
        <v>0</v>
      </c>
      <c r="G76" s="7">
        <f t="shared" si="2"/>
        <v>20</v>
      </c>
      <c r="H76" s="8">
        <f t="shared" si="3"/>
        <v>42</v>
      </c>
    </row>
    <row r="77" spans="1:8" ht="16.5" x14ac:dyDescent="0.3">
      <c r="A77" s="5" t="s">
        <v>17</v>
      </c>
      <c r="B77" s="9">
        <v>1.175</v>
      </c>
      <c r="C77" s="10">
        <v>0</v>
      </c>
      <c r="D77" s="10">
        <v>0</v>
      </c>
      <c r="E77" s="10">
        <v>6</v>
      </c>
      <c r="F77" s="10">
        <v>0</v>
      </c>
      <c r="G77" s="7">
        <f t="shared" si="2"/>
        <v>6</v>
      </c>
      <c r="H77" s="8">
        <f t="shared" si="3"/>
        <v>7.0500000000000007</v>
      </c>
    </row>
    <row r="78" spans="1:8" ht="16.5" x14ac:dyDescent="0.3">
      <c r="A78" s="5" t="s">
        <v>134</v>
      </c>
      <c r="B78" s="9">
        <v>4.0999999999999996</v>
      </c>
      <c r="C78" s="10">
        <v>40</v>
      </c>
      <c r="D78" s="10">
        <v>40</v>
      </c>
      <c r="E78" s="10">
        <v>0</v>
      </c>
      <c r="F78" s="10">
        <v>0</v>
      </c>
      <c r="G78" s="7">
        <f t="shared" si="2"/>
        <v>80</v>
      </c>
      <c r="H78" s="8">
        <f t="shared" si="3"/>
        <v>328</v>
      </c>
    </row>
    <row r="79" spans="1:8" ht="16.5" x14ac:dyDescent="0.3">
      <c r="A79" s="5" t="s">
        <v>136</v>
      </c>
      <c r="B79" s="9">
        <v>4.8499999999999996</v>
      </c>
      <c r="C79" s="10">
        <v>42</v>
      </c>
      <c r="D79" s="10">
        <v>32</v>
      </c>
      <c r="E79" s="10">
        <v>0</v>
      </c>
      <c r="F79" s="10">
        <v>0</v>
      </c>
      <c r="G79" s="7">
        <f t="shared" si="2"/>
        <v>74</v>
      </c>
      <c r="H79" s="8">
        <f t="shared" si="3"/>
        <v>358.9</v>
      </c>
    </row>
    <row r="80" spans="1:8" ht="16.5" x14ac:dyDescent="0.3">
      <c r="A80" s="5" t="s">
        <v>106</v>
      </c>
      <c r="B80" s="9">
        <v>24.375</v>
      </c>
      <c r="C80" s="10">
        <v>0</v>
      </c>
      <c r="D80" s="10">
        <v>0</v>
      </c>
      <c r="E80" s="10">
        <v>0.8</v>
      </c>
      <c r="F80" s="10">
        <v>0</v>
      </c>
      <c r="G80" s="7">
        <f t="shared" si="2"/>
        <v>0.8</v>
      </c>
      <c r="H80" s="8">
        <f t="shared" si="3"/>
        <v>19.5</v>
      </c>
    </row>
    <row r="81" spans="1:8" ht="16.5" x14ac:dyDescent="0.3">
      <c r="A81" s="5" t="s">
        <v>124</v>
      </c>
      <c r="B81" s="9">
        <v>2.75</v>
      </c>
      <c r="C81" s="10">
        <v>0</v>
      </c>
      <c r="D81" s="10">
        <v>2</v>
      </c>
      <c r="E81" s="10">
        <v>0</v>
      </c>
      <c r="F81" s="10">
        <v>0</v>
      </c>
      <c r="G81" s="7">
        <f t="shared" si="2"/>
        <v>2</v>
      </c>
      <c r="H81" s="8">
        <f t="shared" si="3"/>
        <v>5.5</v>
      </c>
    </row>
    <row r="82" spans="1:8" ht="16.5" x14ac:dyDescent="0.3">
      <c r="A82" s="5" t="s">
        <v>150</v>
      </c>
      <c r="B82" s="9">
        <v>4</v>
      </c>
      <c r="C82" s="10">
        <v>10</v>
      </c>
      <c r="D82" s="10">
        <v>76</v>
      </c>
      <c r="E82" s="10">
        <v>0</v>
      </c>
      <c r="F82" s="10">
        <v>7</v>
      </c>
      <c r="G82" s="7">
        <f t="shared" si="2"/>
        <v>93</v>
      </c>
      <c r="H82" s="8">
        <f t="shared" si="3"/>
        <v>372</v>
      </c>
    </row>
    <row r="83" spans="1:8" ht="16.5" x14ac:dyDescent="0.3">
      <c r="A83" s="5" t="s">
        <v>62</v>
      </c>
      <c r="B83" s="9">
        <v>3.5</v>
      </c>
      <c r="C83" s="10">
        <v>10</v>
      </c>
      <c r="D83" s="10">
        <v>42</v>
      </c>
      <c r="E83" s="10">
        <v>5</v>
      </c>
      <c r="F83" s="10">
        <v>14</v>
      </c>
      <c r="G83" s="7">
        <f t="shared" si="2"/>
        <v>71</v>
      </c>
      <c r="H83" s="8">
        <f t="shared" si="3"/>
        <v>248.5</v>
      </c>
    </row>
    <row r="84" spans="1:8" ht="16.5" x14ac:dyDescent="0.3">
      <c r="A84" s="5" t="s">
        <v>63</v>
      </c>
      <c r="B84" s="9">
        <v>3.35</v>
      </c>
      <c r="C84" s="10">
        <v>15</v>
      </c>
      <c r="D84" s="10">
        <v>46</v>
      </c>
      <c r="E84" s="10">
        <v>6</v>
      </c>
      <c r="F84" s="10">
        <v>10</v>
      </c>
      <c r="G84" s="7">
        <f t="shared" si="2"/>
        <v>77</v>
      </c>
      <c r="H84" s="8">
        <f t="shared" si="3"/>
        <v>257.95</v>
      </c>
    </row>
    <row r="85" spans="1:8" ht="16.5" x14ac:dyDescent="0.3">
      <c r="A85" s="5" t="s">
        <v>64</v>
      </c>
      <c r="B85" s="9">
        <v>4.3499999999999996</v>
      </c>
      <c r="C85" s="10">
        <v>20</v>
      </c>
      <c r="D85" s="10">
        <v>380</v>
      </c>
      <c r="E85" s="10">
        <v>5</v>
      </c>
      <c r="F85" s="10">
        <v>16</v>
      </c>
      <c r="G85" s="7">
        <f t="shared" si="2"/>
        <v>421</v>
      </c>
      <c r="H85" s="8">
        <f t="shared" si="3"/>
        <v>1831.35</v>
      </c>
    </row>
    <row r="86" spans="1:8" ht="16.5" x14ac:dyDescent="0.3">
      <c r="A86" s="5" t="s">
        <v>18</v>
      </c>
      <c r="B86" s="9">
        <v>2.5</v>
      </c>
      <c r="C86" s="10">
        <v>0</v>
      </c>
      <c r="D86" s="10">
        <v>20</v>
      </c>
      <c r="E86" s="10">
        <v>2</v>
      </c>
      <c r="F86" s="10">
        <v>0</v>
      </c>
      <c r="G86" s="7">
        <f t="shared" si="2"/>
        <v>22</v>
      </c>
      <c r="H86" s="8">
        <f t="shared" si="3"/>
        <v>55</v>
      </c>
    </row>
    <row r="87" spans="1:8" ht="16.5" x14ac:dyDescent="0.3">
      <c r="A87" s="5" t="s">
        <v>66</v>
      </c>
      <c r="B87" s="9">
        <v>4.45</v>
      </c>
      <c r="C87" s="10">
        <v>0</v>
      </c>
      <c r="D87" s="10">
        <v>0</v>
      </c>
      <c r="E87" s="10">
        <v>0.75</v>
      </c>
      <c r="F87" s="10">
        <v>0</v>
      </c>
      <c r="G87" s="7">
        <f t="shared" si="2"/>
        <v>0.75</v>
      </c>
      <c r="H87" s="8">
        <f t="shared" si="3"/>
        <v>3.3375000000000004</v>
      </c>
    </row>
    <row r="88" spans="1:8" ht="16.5" x14ac:dyDescent="0.3">
      <c r="A88" s="5" t="s">
        <v>139</v>
      </c>
      <c r="B88" s="9">
        <v>2.5500000000000003</v>
      </c>
      <c r="C88" s="10">
        <v>0</v>
      </c>
      <c r="D88" s="10">
        <v>90</v>
      </c>
      <c r="E88" s="10">
        <v>18</v>
      </c>
      <c r="F88" s="10">
        <v>0</v>
      </c>
      <c r="G88" s="7">
        <f t="shared" si="2"/>
        <v>108</v>
      </c>
      <c r="H88" s="8">
        <f t="shared" si="3"/>
        <v>275.40000000000003</v>
      </c>
    </row>
    <row r="89" spans="1:8" ht="16.5" x14ac:dyDescent="0.3">
      <c r="A89" s="5" t="s">
        <v>107</v>
      </c>
      <c r="B89" s="9">
        <v>2.35</v>
      </c>
      <c r="C89" s="10">
        <v>0</v>
      </c>
      <c r="D89" s="10">
        <v>0</v>
      </c>
      <c r="E89" s="10">
        <v>15</v>
      </c>
      <c r="F89" s="10">
        <v>110</v>
      </c>
      <c r="G89" s="7">
        <f t="shared" si="2"/>
        <v>125</v>
      </c>
      <c r="H89" s="8">
        <f t="shared" si="3"/>
        <v>293.75</v>
      </c>
    </row>
    <row r="90" spans="1:8" ht="16.5" x14ac:dyDescent="0.3">
      <c r="A90" s="5" t="s">
        <v>115</v>
      </c>
      <c r="B90" s="9">
        <v>2.0499999999999998</v>
      </c>
      <c r="C90" s="10">
        <v>40</v>
      </c>
      <c r="D90" s="10">
        <v>16</v>
      </c>
      <c r="E90" s="10">
        <v>24</v>
      </c>
      <c r="F90" s="10">
        <v>0</v>
      </c>
      <c r="G90" s="7">
        <f t="shared" si="2"/>
        <v>80</v>
      </c>
      <c r="H90" s="8">
        <f t="shared" si="3"/>
        <v>164</v>
      </c>
    </row>
    <row r="91" spans="1:8" ht="16.5" x14ac:dyDescent="0.3">
      <c r="A91" s="5" t="s">
        <v>140</v>
      </c>
      <c r="B91" s="9">
        <v>5</v>
      </c>
      <c r="C91" s="10">
        <v>0</v>
      </c>
      <c r="D91" s="10">
        <v>10</v>
      </c>
      <c r="E91" s="10">
        <v>16</v>
      </c>
      <c r="F91" s="10">
        <v>0</v>
      </c>
      <c r="G91" s="7">
        <f t="shared" si="2"/>
        <v>26</v>
      </c>
      <c r="H91" s="8">
        <f t="shared" si="3"/>
        <v>130</v>
      </c>
    </row>
    <row r="92" spans="1:8" ht="16.5" x14ac:dyDescent="0.3">
      <c r="A92" s="5" t="s">
        <v>69</v>
      </c>
      <c r="B92" s="9">
        <v>1.55</v>
      </c>
      <c r="C92" s="10">
        <v>60</v>
      </c>
      <c r="D92" s="10">
        <v>190</v>
      </c>
      <c r="E92" s="10">
        <v>21</v>
      </c>
      <c r="F92" s="10">
        <v>16</v>
      </c>
      <c r="G92" s="7">
        <f t="shared" si="2"/>
        <v>287</v>
      </c>
      <c r="H92" s="8">
        <f t="shared" si="3"/>
        <v>444.85</v>
      </c>
    </row>
    <row r="93" spans="1:8" ht="16.5" x14ac:dyDescent="0.3">
      <c r="A93" s="5" t="s">
        <v>141</v>
      </c>
      <c r="B93" s="9">
        <v>4.4249999999999998</v>
      </c>
      <c r="C93" s="10">
        <v>0</v>
      </c>
      <c r="D93" s="10">
        <v>82</v>
      </c>
      <c r="E93" s="10">
        <v>0</v>
      </c>
      <c r="F93" s="10">
        <v>0</v>
      </c>
      <c r="G93" s="7">
        <f t="shared" si="2"/>
        <v>82</v>
      </c>
      <c r="H93" s="8">
        <f t="shared" si="3"/>
        <v>362.84999999999997</v>
      </c>
    </row>
    <row r="94" spans="1:8" ht="16.5" x14ac:dyDescent="0.3">
      <c r="A94" s="5" t="s">
        <v>116</v>
      </c>
      <c r="B94" s="9">
        <v>1.5249999999999999</v>
      </c>
      <c r="C94" s="10">
        <v>0</v>
      </c>
      <c r="D94" s="10">
        <v>0</v>
      </c>
      <c r="E94" s="10">
        <v>0</v>
      </c>
      <c r="F94" s="10">
        <v>80</v>
      </c>
      <c r="G94" s="7">
        <f t="shared" si="2"/>
        <v>80</v>
      </c>
      <c r="H94" s="8">
        <f t="shared" si="3"/>
        <v>122</v>
      </c>
    </row>
    <row r="95" spans="1:8" ht="16.5" x14ac:dyDescent="0.3">
      <c r="A95" s="5" t="s">
        <v>142</v>
      </c>
      <c r="B95" s="9">
        <v>6.85</v>
      </c>
      <c r="C95" s="10">
        <v>10</v>
      </c>
      <c r="D95" s="10">
        <v>80</v>
      </c>
      <c r="E95" s="10">
        <v>7.8</v>
      </c>
      <c r="F95" s="10">
        <v>0</v>
      </c>
      <c r="G95" s="7">
        <f t="shared" si="2"/>
        <v>97.8</v>
      </c>
      <c r="H95" s="8">
        <f t="shared" si="3"/>
        <v>669.93</v>
      </c>
    </row>
    <row r="96" spans="1:8" ht="16.5" x14ac:dyDescent="0.3">
      <c r="A96" s="5" t="s">
        <v>138</v>
      </c>
      <c r="B96" s="9">
        <v>2.9749999999999996</v>
      </c>
      <c r="C96" s="10">
        <v>0</v>
      </c>
      <c r="D96" s="10">
        <v>72</v>
      </c>
      <c r="E96" s="10">
        <v>0</v>
      </c>
      <c r="F96" s="10">
        <v>10</v>
      </c>
      <c r="G96" s="7">
        <f t="shared" si="2"/>
        <v>82</v>
      </c>
      <c r="H96" s="8">
        <f t="shared" si="3"/>
        <v>243.94999999999996</v>
      </c>
    </row>
    <row r="97" spans="1:8" ht="16.5" x14ac:dyDescent="0.3">
      <c r="A97" s="5" t="s">
        <v>19</v>
      </c>
      <c r="B97" s="9">
        <v>0.75</v>
      </c>
      <c r="C97" s="10">
        <v>0</v>
      </c>
      <c r="D97" s="10">
        <v>386</v>
      </c>
      <c r="E97" s="10">
        <v>0</v>
      </c>
      <c r="F97" s="10">
        <v>0</v>
      </c>
      <c r="G97" s="7">
        <f t="shared" si="2"/>
        <v>386</v>
      </c>
      <c r="H97" s="8">
        <f t="shared" si="3"/>
        <v>289.5</v>
      </c>
    </row>
    <row r="98" spans="1:8" ht="16.5" x14ac:dyDescent="0.3">
      <c r="A98" s="5" t="s">
        <v>143</v>
      </c>
      <c r="B98" s="9">
        <v>1.35</v>
      </c>
      <c r="C98" s="10">
        <v>0</v>
      </c>
      <c r="D98" s="10">
        <v>30</v>
      </c>
      <c r="E98" s="10">
        <v>0</v>
      </c>
      <c r="F98" s="10">
        <v>0</v>
      </c>
      <c r="G98" s="7">
        <f t="shared" si="2"/>
        <v>30</v>
      </c>
      <c r="H98" s="8">
        <f t="shared" si="3"/>
        <v>40.5</v>
      </c>
    </row>
    <row r="99" spans="1:8" ht="16.5" x14ac:dyDescent="0.3">
      <c r="A99" s="5" t="s">
        <v>144</v>
      </c>
      <c r="B99" s="9">
        <v>1.5</v>
      </c>
      <c r="C99" s="10">
        <v>62</v>
      </c>
      <c r="D99" s="10">
        <v>390</v>
      </c>
      <c r="E99" s="10">
        <v>0</v>
      </c>
      <c r="F99" s="10">
        <v>23</v>
      </c>
      <c r="G99" s="7">
        <f t="shared" si="2"/>
        <v>475</v>
      </c>
      <c r="H99" s="8">
        <f t="shared" si="3"/>
        <v>712.5</v>
      </c>
    </row>
    <row r="100" spans="1:8" ht="16.5" x14ac:dyDescent="0.3">
      <c r="A100" s="5" t="s">
        <v>71</v>
      </c>
      <c r="B100" s="9">
        <v>2.75</v>
      </c>
      <c r="C100" s="10">
        <v>0</v>
      </c>
      <c r="D100" s="10">
        <v>20</v>
      </c>
      <c r="E100" s="10">
        <v>0</v>
      </c>
      <c r="F100" s="10">
        <v>8</v>
      </c>
      <c r="G100" s="7">
        <f t="shared" si="2"/>
        <v>28</v>
      </c>
      <c r="H100" s="8">
        <f t="shared" si="3"/>
        <v>77</v>
      </c>
    </row>
    <row r="101" spans="1:8" ht="16.5" x14ac:dyDescent="0.3">
      <c r="A101" s="5" t="s">
        <v>145</v>
      </c>
      <c r="B101" s="9">
        <v>1.7290000000000001</v>
      </c>
      <c r="C101" s="10">
        <v>0</v>
      </c>
      <c r="D101" s="10">
        <v>0</v>
      </c>
      <c r="E101" s="10">
        <v>5</v>
      </c>
      <c r="F101" s="10">
        <v>0</v>
      </c>
      <c r="G101" s="7">
        <f t="shared" si="2"/>
        <v>5</v>
      </c>
      <c r="H101" s="8">
        <f t="shared" si="3"/>
        <v>8.6449999999999996</v>
      </c>
    </row>
    <row r="102" spans="1:8" ht="16.5" x14ac:dyDescent="0.3">
      <c r="A102" s="5" t="s">
        <v>20</v>
      </c>
      <c r="B102" s="9">
        <v>1.2</v>
      </c>
      <c r="C102" s="10">
        <v>0</v>
      </c>
      <c r="D102" s="10">
        <v>246</v>
      </c>
      <c r="E102" s="10">
        <v>1</v>
      </c>
      <c r="F102" s="10">
        <v>0</v>
      </c>
      <c r="G102" s="7">
        <f t="shared" si="2"/>
        <v>247</v>
      </c>
      <c r="H102" s="8">
        <f t="shared" si="3"/>
        <v>296.39999999999998</v>
      </c>
    </row>
    <row r="103" spans="1:8" ht="16.5" x14ac:dyDescent="0.3">
      <c r="A103" s="5" t="s">
        <v>128</v>
      </c>
      <c r="B103" s="9">
        <v>5.5</v>
      </c>
      <c r="C103" s="10">
        <v>0</v>
      </c>
      <c r="D103" s="10">
        <v>190</v>
      </c>
      <c r="E103" s="10">
        <v>0</v>
      </c>
      <c r="F103" s="10">
        <v>0</v>
      </c>
      <c r="G103" s="7">
        <f t="shared" si="2"/>
        <v>190</v>
      </c>
      <c r="H103" s="8">
        <f t="shared" si="3"/>
        <v>1045</v>
      </c>
    </row>
    <row r="104" spans="1:8" ht="16.5" x14ac:dyDescent="0.3">
      <c r="A104" s="5" t="s">
        <v>154</v>
      </c>
      <c r="B104" s="9">
        <v>1.0249999999999999</v>
      </c>
      <c r="C104" s="10">
        <v>5</v>
      </c>
      <c r="D104" s="10">
        <v>60</v>
      </c>
      <c r="E104" s="10">
        <v>0</v>
      </c>
      <c r="F104" s="10">
        <v>4</v>
      </c>
      <c r="G104" s="7">
        <f t="shared" si="2"/>
        <v>69</v>
      </c>
      <c r="H104" s="8">
        <f t="shared" si="3"/>
        <v>70.724999999999994</v>
      </c>
    </row>
    <row r="105" spans="1:8" ht="16.5" x14ac:dyDescent="0.3">
      <c r="A105" s="5" t="s">
        <v>155</v>
      </c>
      <c r="B105" s="9">
        <v>1.3</v>
      </c>
      <c r="C105" s="10">
        <v>15</v>
      </c>
      <c r="D105" s="10">
        <v>22</v>
      </c>
      <c r="E105" s="10">
        <v>4</v>
      </c>
      <c r="F105" s="10">
        <v>0</v>
      </c>
      <c r="G105" s="7">
        <f t="shared" si="2"/>
        <v>41</v>
      </c>
      <c r="H105" s="8">
        <f t="shared" si="3"/>
        <v>53.300000000000004</v>
      </c>
    </row>
    <row r="106" spans="1:8" ht="16.5" x14ac:dyDescent="0.3">
      <c r="A106" s="5" t="s">
        <v>156</v>
      </c>
      <c r="B106" s="9">
        <v>5.5</v>
      </c>
      <c r="C106" s="10">
        <v>20</v>
      </c>
      <c r="D106" s="10">
        <v>56</v>
      </c>
      <c r="E106" s="10">
        <v>0</v>
      </c>
      <c r="F106" s="10">
        <v>0</v>
      </c>
      <c r="G106" s="7">
        <f t="shared" si="2"/>
        <v>76</v>
      </c>
      <c r="H106" s="8">
        <f t="shared" si="3"/>
        <v>418</v>
      </c>
    </row>
  </sheetData>
  <dataConsolidate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activeCell="D23" sqref="D23"/>
    </sheetView>
  </sheetViews>
  <sheetFormatPr defaultRowHeight="14.25" x14ac:dyDescent="0.2"/>
  <cols>
    <col min="1" max="1" width="10.75" customWidth="1"/>
    <col min="2" max="2" width="10.5" customWidth="1"/>
    <col min="3" max="6" width="10.625" customWidth="1"/>
    <col min="7" max="7" width="16.75" customWidth="1"/>
    <col min="8" max="8" width="19.75" customWidth="1"/>
  </cols>
  <sheetData>
    <row r="1" spans="1:8" ht="30" x14ac:dyDescent="0.2">
      <c r="A1" s="3" t="s">
        <v>407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210</v>
      </c>
      <c r="G1" s="4" t="s">
        <v>211</v>
      </c>
      <c r="H1" s="4" t="s">
        <v>405</v>
      </c>
    </row>
    <row r="2" spans="1:8" ht="16.5" x14ac:dyDescent="0.3">
      <c r="A2" s="5" t="s">
        <v>22</v>
      </c>
      <c r="B2" s="9">
        <v>8.6750000000000007</v>
      </c>
      <c r="C2" s="10">
        <v>0</v>
      </c>
      <c r="D2" s="10">
        <v>0</v>
      </c>
      <c r="E2" s="10">
        <v>0</v>
      </c>
      <c r="F2" s="10">
        <v>8</v>
      </c>
      <c r="G2" s="7">
        <f>SUM(C2:F2)</f>
        <v>8</v>
      </c>
      <c r="H2" s="8">
        <f>G2*B2</f>
        <v>69.400000000000006</v>
      </c>
    </row>
    <row r="3" spans="1:8" ht="16.5" x14ac:dyDescent="0.3">
      <c r="A3" s="5" t="s">
        <v>0</v>
      </c>
      <c r="B3" s="9">
        <v>0.64999999999999991</v>
      </c>
      <c r="C3" s="10">
        <v>0</v>
      </c>
      <c r="D3" s="10">
        <v>6</v>
      </c>
      <c r="E3" s="10">
        <v>4</v>
      </c>
      <c r="F3" s="10">
        <v>0</v>
      </c>
      <c r="G3" s="7">
        <f t="shared" ref="G3:G66" si="0">SUM(C3:F3)</f>
        <v>10</v>
      </c>
      <c r="H3" s="8">
        <f t="shared" ref="H3:H66" si="1">G3*B3</f>
        <v>6.4999999999999991</v>
      </c>
    </row>
    <row r="4" spans="1:8" ht="16.5" x14ac:dyDescent="0.3">
      <c r="A4" s="5" t="s">
        <v>78</v>
      </c>
      <c r="B4" s="9">
        <v>1.95</v>
      </c>
      <c r="C4" s="10">
        <v>0</v>
      </c>
      <c r="D4" s="10">
        <v>0</v>
      </c>
      <c r="E4" s="10">
        <v>5</v>
      </c>
      <c r="F4" s="10">
        <v>0</v>
      </c>
      <c r="G4" s="7">
        <f t="shared" si="0"/>
        <v>5</v>
      </c>
      <c r="H4" s="8">
        <f t="shared" si="1"/>
        <v>9.75</v>
      </c>
    </row>
    <row r="5" spans="1:8" ht="16.5" x14ac:dyDescent="0.3">
      <c r="A5" s="5" t="s">
        <v>23</v>
      </c>
      <c r="B5" s="9">
        <v>4.45</v>
      </c>
      <c r="C5" s="10">
        <v>0</v>
      </c>
      <c r="D5" s="10">
        <v>0</v>
      </c>
      <c r="E5" s="10">
        <v>2.5</v>
      </c>
      <c r="F5" s="10">
        <v>0</v>
      </c>
      <c r="G5" s="7">
        <f t="shared" si="0"/>
        <v>2.5</v>
      </c>
      <c r="H5" s="8">
        <f t="shared" si="1"/>
        <v>11.125</v>
      </c>
    </row>
    <row r="6" spans="1:8" ht="16.5" x14ac:dyDescent="0.3">
      <c r="A6" s="5" t="s">
        <v>212</v>
      </c>
      <c r="B6" s="9">
        <v>29.64</v>
      </c>
      <c r="C6" s="10">
        <v>0</v>
      </c>
      <c r="D6" s="10">
        <v>0</v>
      </c>
      <c r="E6" s="10">
        <v>1.8</v>
      </c>
      <c r="F6" s="10">
        <v>0</v>
      </c>
      <c r="G6" s="7">
        <f t="shared" si="0"/>
        <v>1.8</v>
      </c>
      <c r="H6" s="8">
        <f t="shared" si="1"/>
        <v>53.352000000000004</v>
      </c>
    </row>
    <row r="7" spans="1:8" ht="16.5" x14ac:dyDescent="0.3">
      <c r="A7" s="5" t="s">
        <v>79</v>
      </c>
      <c r="B7" s="9">
        <v>6.5</v>
      </c>
      <c r="C7" s="10">
        <v>0</v>
      </c>
      <c r="D7" s="10">
        <v>2</v>
      </c>
      <c r="E7" s="10">
        <v>0</v>
      </c>
      <c r="F7" s="10">
        <v>0</v>
      </c>
      <c r="G7" s="7">
        <f t="shared" si="0"/>
        <v>2</v>
      </c>
      <c r="H7" s="8">
        <f t="shared" si="1"/>
        <v>13</v>
      </c>
    </row>
    <row r="8" spans="1:8" ht="16.5" x14ac:dyDescent="0.3">
      <c r="A8" s="5" t="s">
        <v>24</v>
      </c>
      <c r="B8" s="9">
        <v>3.55</v>
      </c>
      <c r="C8" s="10">
        <v>100</v>
      </c>
      <c r="D8" s="10">
        <v>130</v>
      </c>
      <c r="E8" s="10">
        <v>63</v>
      </c>
      <c r="F8" s="10">
        <v>42</v>
      </c>
      <c r="G8" s="7">
        <f t="shared" si="0"/>
        <v>335</v>
      </c>
      <c r="H8" s="8">
        <f t="shared" si="1"/>
        <v>1189.25</v>
      </c>
    </row>
    <row r="9" spans="1:8" ht="16.5" x14ac:dyDescent="0.3">
      <c r="A9" s="5" t="s">
        <v>213</v>
      </c>
      <c r="B9" s="9">
        <v>1.55</v>
      </c>
      <c r="C9" s="10">
        <v>0</v>
      </c>
      <c r="D9" s="10">
        <v>0</v>
      </c>
      <c r="E9" s="10">
        <v>0</v>
      </c>
      <c r="F9" s="10">
        <v>0</v>
      </c>
      <c r="G9" s="7">
        <f t="shared" si="0"/>
        <v>0</v>
      </c>
      <c r="H9" s="8">
        <f t="shared" si="1"/>
        <v>0</v>
      </c>
    </row>
    <row r="10" spans="1:8" ht="16.5" x14ac:dyDescent="0.3">
      <c r="A10" s="5" t="s">
        <v>214</v>
      </c>
      <c r="B10" s="9">
        <v>3.3</v>
      </c>
      <c r="C10" s="10">
        <v>0</v>
      </c>
      <c r="D10" s="10">
        <v>15</v>
      </c>
      <c r="E10" s="10">
        <v>0</v>
      </c>
      <c r="F10" s="10">
        <v>0</v>
      </c>
      <c r="G10" s="7">
        <f t="shared" si="0"/>
        <v>15</v>
      </c>
      <c r="H10" s="8">
        <f t="shared" si="1"/>
        <v>49.5</v>
      </c>
    </row>
    <row r="11" spans="1:8" ht="16.5" x14ac:dyDescent="0.3">
      <c r="A11" s="5" t="s">
        <v>215</v>
      </c>
      <c r="B11" s="9">
        <v>8.625</v>
      </c>
      <c r="C11" s="10">
        <v>0</v>
      </c>
      <c r="D11" s="10">
        <v>0</v>
      </c>
      <c r="E11" s="10">
        <v>4</v>
      </c>
      <c r="F11" s="10">
        <v>0</v>
      </c>
      <c r="G11" s="7">
        <f t="shared" si="0"/>
        <v>4</v>
      </c>
      <c r="H11" s="8">
        <f t="shared" si="1"/>
        <v>34.5</v>
      </c>
    </row>
    <row r="12" spans="1:8" ht="16.5" x14ac:dyDescent="0.3">
      <c r="A12" s="5" t="s">
        <v>216</v>
      </c>
      <c r="B12" s="9">
        <v>13</v>
      </c>
      <c r="C12" s="10">
        <v>0</v>
      </c>
      <c r="D12" s="10">
        <v>0</v>
      </c>
      <c r="E12" s="10">
        <v>1</v>
      </c>
      <c r="F12" s="10">
        <v>0</v>
      </c>
      <c r="G12" s="7">
        <f t="shared" si="0"/>
        <v>1</v>
      </c>
      <c r="H12" s="8">
        <f t="shared" si="1"/>
        <v>13</v>
      </c>
    </row>
    <row r="13" spans="1:8" ht="16.5" x14ac:dyDescent="0.3">
      <c r="A13" s="5" t="s">
        <v>80</v>
      </c>
      <c r="B13" s="9">
        <v>2.0540000000000003</v>
      </c>
      <c r="C13" s="10">
        <v>0</v>
      </c>
      <c r="D13" s="10">
        <v>3</v>
      </c>
      <c r="E13" s="10">
        <v>6</v>
      </c>
      <c r="F13" s="10">
        <v>0</v>
      </c>
      <c r="G13" s="7">
        <f t="shared" si="0"/>
        <v>9</v>
      </c>
      <c r="H13" s="8">
        <f t="shared" si="1"/>
        <v>18.486000000000004</v>
      </c>
    </row>
    <row r="14" spans="1:8" ht="16.5" x14ac:dyDescent="0.3">
      <c r="A14" s="5" t="s">
        <v>217</v>
      </c>
      <c r="B14" s="9">
        <v>0.72499999999999998</v>
      </c>
      <c r="C14" s="10">
        <v>80</v>
      </c>
      <c r="D14" s="10">
        <v>0</v>
      </c>
      <c r="E14" s="10">
        <v>170</v>
      </c>
      <c r="F14" s="10">
        <v>0</v>
      </c>
      <c r="G14" s="7">
        <f t="shared" si="0"/>
        <v>250</v>
      </c>
      <c r="H14" s="8">
        <f t="shared" si="1"/>
        <v>181.25</v>
      </c>
    </row>
    <row r="15" spans="1:8" ht="16.5" x14ac:dyDescent="0.3">
      <c r="A15" s="5" t="s">
        <v>218</v>
      </c>
      <c r="B15" s="9">
        <v>2.2000000000000002</v>
      </c>
      <c r="C15" s="10">
        <v>10</v>
      </c>
      <c r="D15" s="10">
        <v>74</v>
      </c>
      <c r="E15" s="10">
        <v>30</v>
      </c>
      <c r="F15" s="10">
        <v>5</v>
      </c>
      <c r="G15" s="7">
        <f t="shared" si="0"/>
        <v>119</v>
      </c>
      <c r="H15" s="8">
        <f t="shared" si="1"/>
        <v>261.8</v>
      </c>
    </row>
    <row r="16" spans="1:8" ht="16.5" x14ac:dyDescent="0.3">
      <c r="A16" s="5" t="s">
        <v>3</v>
      </c>
      <c r="B16" s="9">
        <v>6.6</v>
      </c>
      <c r="C16" s="10">
        <v>0</v>
      </c>
      <c r="D16" s="10">
        <v>0</v>
      </c>
      <c r="E16" s="10">
        <v>0</v>
      </c>
      <c r="F16" s="10">
        <v>0</v>
      </c>
      <c r="G16" s="7">
        <f t="shared" si="0"/>
        <v>0</v>
      </c>
      <c r="H16" s="8">
        <f t="shared" si="1"/>
        <v>0</v>
      </c>
    </row>
    <row r="17" spans="1:8" ht="16.5" x14ac:dyDescent="0.3">
      <c r="A17" s="5" t="s">
        <v>27</v>
      </c>
      <c r="B17" s="9">
        <v>2.95</v>
      </c>
      <c r="C17" s="10">
        <v>30</v>
      </c>
      <c r="D17" s="10">
        <v>15</v>
      </c>
      <c r="E17" s="10">
        <v>0</v>
      </c>
      <c r="F17" s="10">
        <v>0</v>
      </c>
      <c r="G17" s="7">
        <f t="shared" si="0"/>
        <v>45</v>
      </c>
      <c r="H17" s="8">
        <f t="shared" si="1"/>
        <v>132.75</v>
      </c>
    </row>
    <row r="18" spans="1:8" ht="16.5" x14ac:dyDescent="0.3">
      <c r="A18" s="5" t="s">
        <v>21</v>
      </c>
      <c r="B18" s="9">
        <v>0.85</v>
      </c>
      <c r="C18" s="10">
        <v>0</v>
      </c>
      <c r="D18" s="10">
        <v>0</v>
      </c>
      <c r="E18" s="10">
        <v>0</v>
      </c>
      <c r="F18" s="10">
        <v>0</v>
      </c>
      <c r="G18" s="7">
        <f t="shared" si="0"/>
        <v>0</v>
      </c>
      <c r="H18" s="8">
        <f t="shared" si="1"/>
        <v>0</v>
      </c>
    </row>
    <row r="19" spans="1:8" ht="16.5" x14ac:dyDescent="0.3">
      <c r="A19" s="5" t="s">
        <v>4</v>
      </c>
      <c r="B19" s="9">
        <v>5.6</v>
      </c>
      <c r="C19" s="10">
        <v>0</v>
      </c>
      <c r="D19" s="10">
        <v>0</v>
      </c>
      <c r="E19" s="10">
        <v>8</v>
      </c>
      <c r="F19" s="10">
        <v>12</v>
      </c>
      <c r="G19" s="7">
        <f t="shared" si="0"/>
        <v>20</v>
      </c>
      <c r="H19" s="8">
        <f t="shared" si="1"/>
        <v>112</v>
      </c>
    </row>
    <row r="20" spans="1:8" ht="16.5" x14ac:dyDescent="0.3">
      <c r="A20" s="5" t="s">
        <v>162</v>
      </c>
      <c r="B20" s="9">
        <v>3.15</v>
      </c>
      <c r="C20" s="10">
        <v>0</v>
      </c>
      <c r="D20" s="10">
        <v>0</v>
      </c>
      <c r="E20" s="10">
        <v>0</v>
      </c>
      <c r="F20" s="10">
        <v>0</v>
      </c>
      <c r="G20" s="7">
        <f t="shared" si="0"/>
        <v>0</v>
      </c>
      <c r="H20" s="8">
        <f t="shared" si="1"/>
        <v>0</v>
      </c>
    </row>
    <row r="21" spans="1:8" ht="16.5" x14ac:dyDescent="0.3">
      <c r="A21" s="6" t="s">
        <v>219</v>
      </c>
      <c r="B21" s="9">
        <v>0</v>
      </c>
      <c r="C21" s="10">
        <v>0</v>
      </c>
      <c r="D21" s="10">
        <v>0</v>
      </c>
      <c r="E21" s="10">
        <v>0</v>
      </c>
      <c r="F21" s="10">
        <v>0</v>
      </c>
      <c r="G21" s="7">
        <f t="shared" si="0"/>
        <v>0</v>
      </c>
      <c r="H21" s="8">
        <f t="shared" si="1"/>
        <v>0</v>
      </c>
    </row>
    <row r="22" spans="1:8" ht="16.5" x14ac:dyDescent="0.3">
      <c r="A22" s="5" t="s">
        <v>220</v>
      </c>
      <c r="B22" s="9">
        <v>3</v>
      </c>
      <c r="C22" s="10">
        <v>0</v>
      </c>
      <c r="D22" s="10">
        <v>0</v>
      </c>
      <c r="E22" s="10">
        <v>60</v>
      </c>
      <c r="F22" s="10">
        <v>0</v>
      </c>
      <c r="G22" s="7">
        <f t="shared" si="0"/>
        <v>60</v>
      </c>
      <c r="H22" s="8">
        <f t="shared" si="1"/>
        <v>180</v>
      </c>
    </row>
    <row r="23" spans="1:8" ht="16.5" x14ac:dyDescent="0.3">
      <c r="A23" s="5" t="s">
        <v>76</v>
      </c>
      <c r="B23" s="9">
        <v>0</v>
      </c>
      <c r="C23" s="10">
        <v>0</v>
      </c>
      <c r="D23" s="10">
        <v>0</v>
      </c>
      <c r="E23" s="10">
        <v>0</v>
      </c>
      <c r="F23" s="10">
        <v>0</v>
      </c>
      <c r="G23" s="7">
        <f t="shared" si="0"/>
        <v>0</v>
      </c>
      <c r="H23" s="8">
        <f t="shared" si="1"/>
        <v>0</v>
      </c>
    </row>
    <row r="24" spans="1:8" ht="16.5" x14ac:dyDescent="0.3">
      <c r="A24" s="5" t="s">
        <v>221</v>
      </c>
      <c r="B24" s="9">
        <v>0</v>
      </c>
      <c r="C24" s="10">
        <v>0</v>
      </c>
      <c r="D24" s="10">
        <v>0</v>
      </c>
      <c r="E24" s="10">
        <v>0</v>
      </c>
      <c r="F24" s="10">
        <v>0</v>
      </c>
      <c r="G24" s="7">
        <f t="shared" si="0"/>
        <v>0</v>
      </c>
      <c r="H24" s="8">
        <f t="shared" si="1"/>
        <v>0</v>
      </c>
    </row>
    <row r="25" spans="1:8" ht="16.5" x14ac:dyDescent="0.3">
      <c r="A25" s="5" t="s">
        <v>29</v>
      </c>
      <c r="B25" s="9">
        <v>5.85</v>
      </c>
      <c r="C25" s="10">
        <v>0</v>
      </c>
      <c r="D25" s="10">
        <v>0</v>
      </c>
      <c r="E25" s="10">
        <v>0</v>
      </c>
      <c r="F25" s="10">
        <v>0</v>
      </c>
      <c r="G25" s="7">
        <f t="shared" si="0"/>
        <v>0</v>
      </c>
      <c r="H25" s="8">
        <f t="shared" si="1"/>
        <v>0</v>
      </c>
    </row>
    <row r="26" spans="1:8" ht="16.5" x14ac:dyDescent="0.3">
      <c r="A26" s="5" t="s">
        <v>222</v>
      </c>
      <c r="B26" s="9">
        <v>3.6</v>
      </c>
      <c r="C26" s="10">
        <v>0</v>
      </c>
      <c r="D26" s="10">
        <v>0</v>
      </c>
      <c r="E26" s="10">
        <v>0</v>
      </c>
      <c r="F26" s="10">
        <v>0</v>
      </c>
      <c r="G26" s="7">
        <f t="shared" si="0"/>
        <v>0</v>
      </c>
      <c r="H26" s="8">
        <f t="shared" si="1"/>
        <v>0</v>
      </c>
    </row>
    <row r="27" spans="1:8" ht="16.5" x14ac:dyDescent="0.3">
      <c r="A27" s="5" t="s">
        <v>30</v>
      </c>
      <c r="B27" s="9">
        <v>3.875</v>
      </c>
      <c r="C27" s="10">
        <v>0</v>
      </c>
      <c r="D27" s="10">
        <v>16</v>
      </c>
      <c r="E27" s="10">
        <v>0</v>
      </c>
      <c r="F27" s="10">
        <v>0</v>
      </c>
      <c r="G27" s="7">
        <f t="shared" si="0"/>
        <v>16</v>
      </c>
      <c r="H27" s="8">
        <f t="shared" si="1"/>
        <v>62</v>
      </c>
    </row>
    <row r="28" spans="1:8" ht="16.5" x14ac:dyDescent="0.3">
      <c r="A28" s="5" t="s">
        <v>74</v>
      </c>
      <c r="B28" s="9">
        <v>0</v>
      </c>
      <c r="C28" s="10">
        <v>0</v>
      </c>
      <c r="D28" s="10">
        <v>0</v>
      </c>
      <c r="E28" s="10">
        <v>0</v>
      </c>
      <c r="F28" s="10">
        <v>0</v>
      </c>
      <c r="G28" s="7">
        <f t="shared" si="0"/>
        <v>0</v>
      </c>
      <c r="H28" s="8">
        <f t="shared" si="1"/>
        <v>0</v>
      </c>
    </row>
    <row r="29" spans="1:8" ht="16.5" x14ac:dyDescent="0.3">
      <c r="A29" s="5" t="s">
        <v>223</v>
      </c>
      <c r="B29" s="9">
        <v>3.55</v>
      </c>
      <c r="C29" s="10">
        <v>0</v>
      </c>
      <c r="D29" s="10">
        <v>70</v>
      </c>
      <c r="E29" s="10">
        <v>0</v>
      </c>
      <c r="F29" s="10">
        <v>0</v>
      </c>
      <c r="G29" s="7">
        <f t="shared" si="0"/>
        <v>70</v>
      </c>
      <c r="H29" s="8">
        <f t="shared" si="1"/>
        <v>248.5</v>
      </c>
    </row>
    <row r="30" spans="1:8" ht="16.5" x14ac:dyDescent="0.3">
      <c r="A30" s="6" t="s">
        <v>32</v>
      </c>
      <c r="B30" s="9">
        <v>2.625</v>
      </c>
      <c r="C30" s="10">
        <v>30</v>
      </c>
      <c r="D30" s="10">
        <v>225.5</v>
      </c>
      <c r="E30" s="10">
        <v>30</v>
      </c>
      <c r="F30" s="10">
        <v>58</v>
      </c>
      <c r="G30" s="7">
        <f t="shared" si="0"/>
        <v>343.5</v>
      </c>
      <c r="H30" s="8">
        <f t="shared" si="1"/>
        <v>901.6875</v>
      </c>
    </row>
    <row r="31" spans="1:8" ht="16.5" x14ac:dyDescent="0.3">
      <c r="A31" s="5" t="s">
        <v>81</v>
      </c>
      <c r="B31" s="9">
        <v>3.55</v>
      </c>
      <c r="C31" s="10">
        <v>0</v>
      </c>
      <c r="D31" s="10">
        <v>0</v>
      </c>
      <c r="E31" s="10">
        <v>20</v>
      </c>
      <c r="F31" s="10">
        <v>12</v>
      </c>
      <c r="G31" s="7">
        <f t="shared" si="0"/>
        <v>32</v>
      </c>
      <c r="H31" s="8">
        <f t="shared" si="1"/>
        <v>113.6</v>
      </c>
    </row>
    <row r="32" spans="1:8" ht="16.5" x14ac:dyDescent="0.3">
      <c r="A32" s="5" t="s">
        <v>75</v>
      </c>
      <c r="B32" s="9">
        <v>0</v>
      </c>
      <c r="C32" s="10">
        <v>0</v>
      </c>
      <c r="D32" s="10">
        <v>0</v>
      </c>
      <c r="E32" s="10">
        <v>0</v>
      </c>
      <c r="F32" s="10">
        <v>0</v>
      </c>
      <c r="G32" s="7">
        <f t="shared" si="0"/>
        <v>0</v>
      </c>
      <c r="H32" s="8">
        <f t="shared" si="1"/>
        <v>0</v>
      </c>
    </row>
    <row r="33" spans="1:8" ht="16.5" x14ac:dyDescent="0.3">
      <c r="A33" s="5" t="s">
        <v>224</v>
      </c>
      <c r="B33" s="9">
        <v>3.9</v>
      </c>
      <c r="C33" s="10">
        <v>10</v>
      </c>
      <c r="D33" s="10">
        <v>0</v>
      </c>
      <c r="E33" s="10">
        <v>0</v>
      </c>
      <c r="F33" s="10">
        <v>0</v>
      </c>
      <c r="G33" s="7">
        <f t="shared" si="0"/>
        <v>10</v>
      </c>
      <c r="H33" s="8">
        <f t="shared" si="1"/>
        <v>39</v>
      </c>
    </row>
    <row r="34" spans="1:8" ht="16.5" x14ac:dyDescent="0.3">
      <c r="A34" s="5" t="s">
        <v>225</v>
      </c>
      <c r="B34" s="9">
        <v>2.6</v>
      </c>
      <c r="C34" s="10">
        <v>0</v>
      </c>
      <c r="D34" s="10">
        <v>6</v>
      </c>
      <c r="E34" s="10">
        <v>0</v>
      </c>
      <c r="F34" s="10">
        <v>0</v>
      </c>
      <c r="G34" s="7">
        <f t="shared" si="0"/>
        <v>6</v>
      </c>
      <c r="H34" s="8">
        <f t="shared" si="1"/>
        <v>15.600000000000001</v>
      </c>
    </row>
    <row r="35" spans="1:8" ht="16.5" x14ac:dyDescent="0.3">
      <c r="A35" s="5" t="s">
        <v>33</v>
      </c>
      <c r="B35" s="9">
        <v>2.75</v>
      </c>
      <c r="C35" s="10">
        <v>0</v>
      </c>
      <c r="D35" s="10">
        <v>60</v>
      </c>
      <c r="E35" s="10">
        <v>0</v>
      </c>
      <c r="F35" s="10">
        <v>0</v>
      </c>
      <c r="G35" s="7">
        <f t="shared" si="0"/>
        <v>60</v>
      </c>
      <c r="H35" s="8">
        <f t="shared" si="1"/>
        <v>165</v>
      </c>
    </row>
    <row r="36" spans="1:8" ht="16.5" x14ac:dyDescent="0.3">
      <c r="A36" s="5" t="s">
        <v>5</v>
      </c>
      <c r="B36" s="9">
        <v>6.25</v>
      </c>
      <c r="C36" s="10">
        <v>0</v>
      </c>
      <c r="D36" s="10">
        <v>0</v>
      </c>
      <c r="E36" s="10">
        <v>0</v>
      </c>
      <c r="F36" s="10">
        <v>0</v>
      </c>
      <c r="G36" s="7">
        <f t="shared" si="0"/>
        <v>0</v>
      </c>
      <c r="H36" s="8">
        <f t="shared" si="1"/>
        <v>0</v>
      </c>
    </row>
    <row r="37" spans="1:8" ht="16.5" x14ac:dyDescent="0.3">
      <c r="A37" s="5" t="s">
        <v>226</v>
      </c>
      <c r="B37" s="9">
        <v>3.7</v>
      </c>
      <c r="C37" s="10">
        <v>0</v>
      </c>
      <c r="D37" s="10">
        <v>6</v>
      </c>
      <c r="E37" s="10">
        <v>0</v>
      </c>
      <c r="F37" s="10">
        <v>0</v>
      </c>
      <c r="G37" s="7">
        <f t="shared" si="0"/>
        <v>6</v>
      </c>
      <c r="H37" s="8">
        <f t="shared" si="1"/>
        <v>22.200000000000003</v>
      </c>
    </row>
    <row r="38" spans="1:8" ht="16.5" x14ac:dyDescent="0.3">
      <c r="A38" s="5" t="s">
        <v>227</v>
      </c>
      <c r="B38" s="9">
        <v>0</v>
      </c>
      <c r="C38" s="10">
        <v>0</v>
      </c>
      <c r="D38" s="10">
        <v>0</v>
      </c>
      <c r="E38" s="10">
        <v>0</v>
      </c>
      <c r="F38" s="10">
        <v>0</v>
      </c>
      <c r="G38" s="7">
        <f t="shared" si="0"/>
        <v>0</v>
      </c>
      <c r="H38" s="8">
        <f t="shared" si="1"/>
        <v>0</v>
      </c>
    </row>
    <row r="39" spans="1:8" ht="16.5" x14ac:dyDescent="0.3">
      <c r="A39" s="5" t="s">
        <v>228</v>
      </c>
      <c r="B39" s="9">
        <v>5.15</v>
      </c>
      <c r="C39" s="10">
        <v>0</v>
      </c>
      <c r="D39" s="10">
        <v>26</v>
      </c>
      <c r="E39" s="10">
        <v>90</v>
      </c>
      <c r="F39" s="10">
        <v>0</v>
      </c>
      <c r="G39" s="7">
        <f t="shared" si="0"/>
        <v>116</v>
      </c>
      <c r="H39" s="8">
        <f t="shared" si="1"/>
        <v>597.40000000000009</v>
      </c>
    </row>
    <row r="40" spans="1:8" ht="16.5" x14ac:dyDescent="0.3">
      <c r="A40" s="5" t="s">
        <v>36</v>
      </c>
      <c r="B40" s="9">
        <v>4</v>
      </c>
      <c r="C40" s="10">
        <v>15</v>
      </c>
      <c r="D40" s="10">
        <v>88</v>
      </c>
      <c r="E40" s="10">
        <v>0</v>
      </c>
      <c r="F40" s="10">
        <v>7</v>
      </c>
      <c r="G40" s="7">
        <f t="shared" si="0"/>
        <v>110</v>
      </c>
      <c r="H40" s="8">
        <f t="shared" si="1"/>
        <v>440</v>
      </c>
    </row>
    <row r="41" spans="1:8" ht="16.5" x14ac:dyDescent="0.3">
      <c r="A41" s="5" t="s">
        <v>37</v>
      </c>
      <c r="B41" s="9">
        <v>5.0750000000000002</v>
      </c>
      <c r="C41" s="10">
        <v>5</v>
      </c>
      <c r="D41" s="10">
        <v>0</v>
      </c>
      <c r="E41" s="10">
        <v>0</v>
      </c>
      <c r="F41" s="10">
        <v>0</v>
      </c>
      <c r="G41" s="7">
        <f t="shared" si="0"/>
        <v>5</v>
      </c>
      <c r="H41" s="8">
        <f t="shared" si="1"/>
        <v>25.375</v>
      </c>
    </row>
    <row r="42" spans="1:8" ht="16.5" x14ac:dyDescent="0.3">
      <c r="A42" s="5" t="s">
        <v>6</v>
      </c>
      <c r="B42" s="9">
        <v>1.1499999999999999</v>
      </c>
      <c r="C42" s="10">
        <v>0</v>
      </c>
      <c r="D42" s="10">
        <v>2</v>
      </c>
      <c r="E42" s="10">
        <v>0</v>
      </c>
      <c r="F42" s="10">
        <v>0</v>
      </c>
      <c r="G42" s="7">
        <f t="shared" si="0"/>
        <v>2</v>
      </c>
      <c r="H42" s="8">
        <f t="shared" si="1"/>
        <v>2.2999999999999998</v>
      </c>
    </row>
    <row r="43" spans="1:8" ht="16.5" x14ac:dyDescent="0.3">
      <c r="A43" s="5" t="s">
        <v>229</v>
      </c>
      <c r="B43" s="9">
        <v>2.7</v>
      </c>
      <c r="C43" s="10">
        <v>5</v>
      </c>
      <c r="D43" s="10">
        <v>52</v>
      </c>
      <c r="E43" s="10">
        <v>10</v>
      </c>
      <c r="F43" s="10">
        <v>4</v>
      </c>
      <c r="G43" s="7">
        <f t="shared" si="0"/>
        <v>71</v>
      </c>
      <c r="H43" s="8">
        <f t="shared" si="1"/>
        <v>191.70000000000002</v>
      </c>
    </row>
    <row r="44" spans="1:8" ht="16.5" x14ac:dyDescent="0.3">
      <c r="A44" s="5" t="s">
        <v>7</v>
      </c>
      <c r="B44" s="9">
        <v>1.2749999999999999</v>
      </c>
      <c r="C44" s="10">
        <v>0</v>
      </c>
      <c r="D44" s="10">
        <v>430</v>
      </c>
      <c r="E44" s="10">
        <v>35</v>
      </c>
      <c r="F44" s="10">
        <v>64</v>
      </c>
      <c r="G44" s="7">
        <f t="shared" si="0"/>
        <v>529</v>
      </c>
      <c r="H44" s="8">
        <f t="shared" si="1"/>
        <v>674.47499999999991</v>
      </c>
    </row>
    <row r="45" spans="1:8" ht="16.5" x14ac:dyDescent="0.3">
      <c r="A45" s="5" t="s">
        <v>8</v>
      </c>
      <c r="B45" s="9">
        <v>2.25</v>
      </c>
      <c r="C45" s="10">
        <v>0</v>
      </c>
      <c r="D45" s="10">
        <v>60</v>
      </c>
      <c r="E45" s="10">
        <v>0</v>
      </c>
      <c r="F45" s="10">
        <v>0</v>
      </c>
      <c r="G45" s="7">
        <f t="shared" si="0"/>
        <v>60</v>
      </c>
      <c r="H45" s="8">
        <f t="shared" si="1"/>
        <v>135</v>
      </c>
    </row>
    <row r="46" spans="1:8" ht="16.5" x14ac:dyDescent="0.3">
      <c r="A46" s="5" t="s">
        <v>83</v>
      </c>
      <c r="B46" s="9">
        <v>4.55</v>
      </c>
      <c r="C46" s="10">
        <v>4</v>
      </c>
      <c r="D46" s="10">
        <v>0</v>
      </c>
      <c r="E46" s="10">
        <v>1</v>
      </c>
      <c r="F46" s="10">
        <v>0</v>
      </c>
      <c r="G46" s="7">
        <f t="shared" si="0"/>
        <v>5</v>
      </c>
      <c r="H46" s="8">
        <f t="shared" si="1"/>
        <v>22.75</v>
      </c>
    </row>
    <row r="47" spans="1:8" ht="16.5" x14ac:dyDescent="0.3">
      <c r="A47" s="5" t="s">
        <v>39</v>
      </c>
      <c r="B47" s="9">
        <v>3.3499999999999996</v>
      </c>
      <c r="C47" s="10">
        <v>20</v>
      </c>
      <c r="D47" s="10">
        <v>80</v>
      </c>
      <c r="E47" s="10">
        <v>64</v>
      </c>
      <c r="F47" s="10">
        <v>6</v>
      </c>
      <c r="G47" s="7">
        <f t="shared" si="0"/>
        <v>170</v>
      </c>
      <c r="H47" s="8">
        <f t="shared" si="1"/>
        <v>569.49999999999989</v>
      </c>
    </row>
    <row r="48" spans="1:8" ht="16.5" x14ac:dyDescent="0.3">
      <c r="A48" s="6" t="s">
        <v>230</v>
      </c>
      <c r="B48" s="9">
        <v>3.0750000000000002</v>
      </c>
      <c r="C48" s="10">
        <v>0</v>
      </c>
      <c r="D48" s="10">
        <v>46</v>
      </c>
      <c r="E48" s="10">
        <v>8</v>
      </c>
      <c r="F48" s="10">
        <v>0</v>
      </c>
      <c r="G48" s="7">
        <f t="shared" si="0"/>
        <v>54</v>
      </c>
      <c r="H48" s="8">
        <f t="shared" si="1"/>
        <v>166.05</v>
      </c>
    </row>
    <row r="49" spans="1:8" ht="16.5" x14ac:dyDescent="0.3">
      <c r="A49" s="5" t="s">
        <v>41</v>
      </c>
      <c r="B49" s="9">
        <v>6.75</v>
      </c>
      <c r="C49" s="10">
        <v>0</v>
      </c>
      <c r="D49" s="10">
        <v>0</v>
      </c>
      <c r="E49" s="10">
        <v>0</v>
      </c>
      <c r="F49" s="10">
        <v>0</v>
      </c>
      <c r="G49" s="7">
        <f t="shared" si="0"/>
        <v>0</v>
      </c>
      <c r="H49" s="8">
        <f t="shared" si="1"/>
        <v>0</v>
      </c>
    </row>
    <row r="50" spans="1:8" ht="16.5" x14ac:dyDescent="0.3">
      <c r="A50" s="5" t="s">
        <v>231</v>
      </c>
      <c r="B50" s="9">
        <v>0</v>
      </c>
      <c r="C50" s="10">
        <v>0</v>
      </c>
      <c r="D50" s="10">
        <v>0</v>
      </c>
      <c r="E50" s="10">
        <v>0</v>
      </c>
      <c r="F50" s="10">
        <v>0</v>
      </c>
      <c r="G50" s="7">
        <f t="shared" si="0"/>
        <v>0</v>
      </c>
      <c r="H50" s="8">
        <f t="shared" si="1"/>
        <v>0</v>
      </c>
    </row>
    <row r="51" spans="1:8" ht="16.5" x14ac:dyDescent="0.3">
      <c r="A51" s="5" t="s">
        <v>149</v>
      </c>
      <c r="B51" s="9">
        <v>2.8250000000000002</v>
      </c>
      <c r="C51" s="10">
        <v>0</v>
      </c>
      <c r="D51" s="10">
        <v>60</v>
      </c>
      <c r="E51" s="10">
        <v>0</v>
      </c>
      <c r="F51" s="10">
        <v>0</v>
      </c>
      <c r="G51" s="7">
        <f t="shared" si="0"/>
        <v>60</v>
      </c>
      <c r="H51" s="8">
        <f t="shared" si="1"/>
        <v>169.5</v>
      </c>
    </row>
    <row r="52" spans="1:8" ht="16.5" x14ac:dyDescent="0.3">
      <c r="A52" s="5" t="s">
        <v>232</v>
      </c>
      <c r="B52" s="9">
        <v>3</v>
      </c>
      <c r="C52" s="10">
        <v>20</v>
      </c>
      <c r="D52" s="10">
        <v>23</v>
      </c>
      <c r="E52" s="10">
        <v>0</v>
      </c>
      <c r="F52" s="10">
        <v>0</v>
      </c>
      <c r="G52" s="7">
        <f t="shared" si="0"/>
        <v>43</v>
      </c>
      <c r="H52" s="8">
        <f t="shared" si="1"/>
        <v>129</v>
      </c>
    </row>
    <row r="53" spans="1:8" ht="16.5" x14ac:dyDescent="0.3">
      <c r="A53" s="5" t="s">
        <v>42</v>
      </c>
      <c r="B53" s="9">
        <v>5.5</v>
      </c>
      <c r="C53" s="10">
        <v>0</v>
      </c>
      <c r="D53" s="10">
        <v>0</v>
      </c>
      <c r="E53" s="10">
        <v>26</v>
      </c>
      <c r="F53" s="10">
        <v>0</v>
      </c>
      <c r="G53" s="7">
        <f t="shared" si="0"/>
        <v>26</v>
      </c>
      <c r="H53" s="8">
        <f t="shared" si="1"/>
        <v>143</v>
      </c>
    </row>
    <row r="54" spans="1:8" ht="16.5" x14ac:dyDescent="0.3">
      <c r="A54" s="5" t="s">
        <v>43</v>
      </c>
      <c r="B54" s="9">
        <v>2.625</v>
      </c>
      <c r="C54" s="10">
        <v>0</v>
      </c>
      <c r="D54" s="10">
        <v>10</v>
      </c>
      <c r="E54" s="10">
        <v>3</v>
      </c>
      <c r="F54" s="10">
        <v>20</v>
      </c>
      <c r="G54" s="7">
        <f t="shared" si="0"/>
        <v>33</v>
      </c>
      <c r="H54" s="8">
        <f t="shared" si="1"/>
        <v>86.625</v>
      </c>
    </row>
    <row r="55" spans="1:8" ht="16.5" x14ac:dyDescent="0.3">
      <c r="A55" s="5" t="s">
        <v>233</v>
      </c>
      <c r="B55" s="9">
        <v>2.6</v>
      </c>
      <c r="C55" s="10">
        <v>0</v>
      </c>
      <c r="D55" s="10">
        <v>0</v>
      </c>
      <c r="E55" s="10">
        <v>4</v>
      </c>
      <c r="F55" s="10">
        <v>0</v>
      </c>
      <c r="G55" s="7">
        <f t="shared" si="0"/>
        <v>4</v>
      </c>
      <c r="H55" s="8">
        <f t="shared" si="1"/>
        <v>10.4</v>
      </c>
    </row>
    <row r="56" spans="1:8" ht="16.5" x14ac:dyDescent="0.3">
      <c r="A56" s="5" t="s">
        <v>165</v>
      </c>
      <c r="B56" s="9">
        <v>3.1</v>
      </c>
      <c r="C56" s="10">
        <v>0</v>
      </c>
      <c r="D56" s="10">
        <v>40</v>
      </c>
      <c r="E56" s="10">
        <v>3.6</v>
      </c>
      <c r="F56" s="10">
        <v>0</v>
      </c>
      <c r="G56" s="7">
        <f t="shared" si="0"/>
        <v>43.6</v>
      </c>
      <c r="H56" s="8">
        <f t="shared" si="1"/>
        <v>135.16</v>
      </c>
    </row>
    <row r="57" spans="1:8" ht="16.5" x14ac:dyDescent="0.3">
      <c r="A57" s="5" t="s">
        <v>234</v>
      </c>
      <c r="B57" s="9">
        <v>3.6</v>
      </c>
      <c r="C57" s="10">
        <v>25</v>
      </c>
      <c r="D57" s="10">
        <v>50</v>
      </c>
      <c r="E57" s="10">
        <v>14</v>
      </c>
      <c r="F57" s="10">
        <v>15</v>
      </c>
      <c r="G57" s="7">
        <f t="shared" si="0"/>
        <v>104</v>
      </c>
      <c r="H57" s="8">
        <f t="shared" si="1"/>
        <v>374.40000000000003</v>
      </c>
    </row>
    <row r="58" spans="1:8" ht="16.5" x14ac:dyDescent="0.3">
      <c r="A58" s="5" t="s">
        <v>235</v>
      </c>
      <c r="B58" s="9">
        <v>3</v>
      </c>
      <c r="C58" s="10">
        <v>0</v>
      </c>
      <c r="D58" s="10">
        <v>0</v>
      </c>
      <c r="E58" s="10">
        <v>0</v>
      </c>
      <c r="F58" s="10">
        <v>0</v>
      </c>
      <c r="G58" s="7">
        <f t="shared" si="0"/>
        <v>0</v>
      </c>
      <c r="H58" s="8">
        <f t="shared" si="1"/>
        <v>0</v>
      </c>
    </row>
    <row r="59" spans="1:8" ht="16.5" x14ac:dyDescent="0.3">
      <c r="A59" s="5" t="s">
        <v>236</v>
      </c>
      <c r="B59" s="9">
        <v>6.5</v>
      </c>
      <c r="C59" s="10">
        <v>0</v>
      </c>
      <c r="D59" s="10">
        <v>0</v>
      </c>
      <c r="E59" s="10">
        <v>7.8</v>
      </c>
      <c r="F59" s="10">
        <v>0</v>
      </c>
      <c r="G59" s="7">
        <f t="shared" si="0"/>
        <v>7.8</v>
      </c>
      <c r="H59" s="8">
        <f t="shared" si="1"/>
        <v>50.699999999999996</v>
      </c>
    </row>
    <row r="60" spans="1:8" ht="16.5" x14ac:dyDescent="0.3">
      <c r="A60" s="5" t="s">
        <v>237</v>
      </c>
      <c r="B60" s="9">
        <v>2.8</v>
      </c>
      <c r="C60" s="10">
        <v>0</v>
      </c>
      <c r="D60" s="10">
        <v>21</v>
      </c>
      <c r="E60" s="10">
        <v>0</v>
      </c>
      <c r="F60" s="10">
        <v>11</v>
      </c>
      <c r="G60" s="7">
        <f t="shared" si="0"/>
        <v>32</v>
      </c>
      <c r="H60" s="8">
        <f t="shared" si="1"/>
        <v>89.6</v>
      </c>
    </row>
    <row r="61" spans="1:8" ht="16.5" x14ac:dyDescent="0.3">
      <c r="A61" s="5" t="s">
        <v>238</v>
      </c>
      <c r="B61" s="9">
        <v>0</v>
      </c>
      <c r="C61" s="10">
        <v>0</v>
      </c>
      <c r="D61" s="10">
        <v>0</v>
      </c>
      <c r="E61" s="10">
        <v>0</v>
      </c>
      <c r="F61" s="10">
        <v>0</v>
      </c>
      <c r="G61" s="7">
        <f t="shared" si="0"/>
        <v>0</v>
      </c>
      <c r="H61" s="8">
        <f t="shared" si="1"/>
        <v>0</v>
      </c>
    </row>
    <row r="62" spans="1:8" ht="16.5" x14ac:dyDescent="0.3">
      <c r="A62" s="5" t="s">
        <v>239</v>
      </c>
      <c r="B62" s="9">
        <v>2.1</v>
      </c>
      <c r="C62" s="10">
        <v>0</v>
      </c>
      <c r="D62" s="10">
        <v>0</v>
      </c>
      <c r="E62" s="10">
        <v>0</v>
      </c>
      <c r="F62" s="10">
        <v>0</v>
      </c>
      <c r="G62" s="7">
        <f t="shared" si="0"/>
        <v>0</v>
      </c>
      <c r="H62" s="8">
        <f t="shared" si="1"/>
        <v>0</v>
      </c>
    </row>
    <row r="63" spans="1:8" ht="16.5" x14ac:dyDescent="0.3">
      <c r="A63" s="5" t="s">
        <v>46</v>
      </c>
      <c r="B63" s="9">
        <v>4.0999999999999996</v>
      </c>
      <c r="C63" s="10">
        <v>0</v>
      </c>
      <c r="D63" s="10">
        <v>86</v>
      </c>
      <c r="E63" s="10">
        <v>0</v>
      </c>
      <c r="F63" s="10">
        <v>0</v>
      </c>
      <c r="G63" s="7">
        <f t="shared" si="0"/>
        <v>86</v>
      </c>
      <c r="H63" s="8">
        <f t="shared" si="1"/>
        <v>352.59999999999997</v>
      </c>
    </row>
    <row r="64" spans="1:8" ht="16.5" x14ac:dyDescent="0.3">
      <c r="A64" s="5" t="s">
        <v>240</v>
      </c>
      <c r="B64" s="9">
        <v>1.5</v>
      </c>
      <c r="C64" s="10">
        <v>0</v>
      </c>
      <c r="D64" s="10">
        <v>0</v>
      </c>
      <c r="E64" s="10">
        <v>90</v>
      </c>
      <c r="F64" s="10">
        <v>0</v>
      </c>
      <c r="G64" s="7">
        <f t="shared" si="0"/>
        <v>90</v>
      </c>
      <c r="H64" s="8">
        <f t="shared" si="1"/>
        <v>135</v>
      </c>
    </row>
    <row r="65" spans="1:8" ht="16.5" x14ac:dyDescent="0.3">
      <c r="A65" s="5" t="s">
        <v>241</v>
      </c>
      <c r="B65" s="9">
        <v>4.5</v>
      </c>
      <c r="C65" s="10">
        <v>0</v>
      </c>
      <c r="D65" s="10">
        <v>6</v>
      </c>
      <c r="E65" s="10">
        <v>0</v>
      </c>
      <c r="F65" s="10">
        <v>12</v>
      </c>
      <c r="G65" s="7">
        <f t="shared" si="0"/>
        <v>18</v>
      </c>
      <c r="H65" s="8">
        <f t="shared" si="1"/>
        <v>81</v>
      </c>
    </row>
    <row r="66" spans="1:8" ht="16.5" x14ac:dyDescent="0.3">
      <c r="A66" s="5" t="s">
        <v>242</v>
      </c>
      <c r="B66" s="9">
        <v>5.45</v>
      </c>
      <c r="C66" s="10">
        <v>0</v>
      </c>
      <c r="D66" s="10">
        <v>0</v>
      </c>
      <c r="E66" s="10">
        <v>0</v>
      </c>
      <c r="F66" s="10">
        <v>0</v>
      </c>
      <c r="G66" s="7">
        <f t="shared" si="0"/>
        <v>0</v>
      </c>
      <c r="H66" s="8">
        <f t="shared" si="1"/>
        <v>0</v>
      </c>
    </row>
    <row r="67" spans="1:8" ht="16.5" x14ac:dyDescent="0.3">
      <c r="A67" s="5" t="s">
        <v>84</v>
      </c>
      <c r="B67" s="9">
        <v>5.2</v>
      </c>
      <c r="C67" s="10">
        <v>0</v>
      </c>
      <c r="D67" s="10">
        <v>0</v>
      </c>
      <c r="E67" s="10">
        <v>8</v>
      </c>
      <c r="F67" s="10">
        <v>0</v>
      </c>
      <c r="G67" s="7">
        <f t="shared" ref="G67:G130" si="2">SUM(C67:F67)</f>
        <v>8</v>
      </c>
      <c r="H67" s="8">
        <f t="shared" ref="H67:H130" si="3">G67*B67</f>
        <v>41.6</v>
      </c>
    </row>
    <row r="68" spans="1:8" ht="16.5" x14ac:dyDescent="0.3">
      <c r="A68" s="5" t="s">
        <v>85</v>
      </c>
      <c r="B68" s="9">
        <v>15.6</v>
      </c>
      <c r="C68" s="10">
        <v>0</v>
      </c>
      <c r="D68" s="10">
        <v>0</v>
      </c>
      <c r="E68" s="10">
        <v>1</v>
      </c>
      <c r="F68" s="10">
        <v>0</v>
      </c>
      <c r="G68" s="7">
        <f t="shared" si="2"/>
        <v>1</v>
      </c>
      <c r="H68" s="8">
        <f t="shared" si="3"/>
        <v>15.6</v>
      </c>
    </row>
    <row r="69" spans="1:8" ht="16.5" x14ac:dyDescent="0.3">
      <c r="A69" s="6" t="s">
        <v>48</v>
      </c>
      <c r="B69" s="9">
        <v>5.5</v>
      </c>
      <c r="C69" s="10">
        <v>0</v>
      </c>
      <c r="D69" s="10">
        <v>200</v>
      </c>
      <c r="E69" s="10">
        <v>0</v>
      </c>
      <c r="F69" s="10">
        <v>0</v>
      </c>
      <c r="G69" s="7">
        <f t="shared" si="2"/>
        <v>200</v>
      </c>
      <c r="H69" s="8">
        <f t="shared" si="3"/>
        <v>1100</v>
      </c>
    </row>
    <row r="70" spans="1:8" ht="16.5" x14ac:dyDescent="0.3">
      <c r="A70" s="5" t="s">
        <v>243</v>
      </c>
      <c r="B70" s="9">
        <v>2.2749999999999999</v>
      </c>
      <c r="C70" s="10">
        <v>12</v>
      </c>
      <c r="D70" s="10">
        <v>0</v>
      </c>
      <c r="E70" s="10">
        <v>0</v>
      </c>
      <c r="F70" s="10">
        <v>0</v>
      </c>
      <c r="G70" s="7">
        <f t="shared" si="2"/>
        <v>12</v>
      </c>
      <c r="H70" s="8">
        <f t="shared" si="3"/>
        <v>27.299999999999997</v>
      </c>
    </row>
    <row r="71" spans="1:8" ht="16.5" x14ac:dyDescent="0.3">
      <c r="A71" s="6" t="s">
        <v>244</v>
      </c>
      <c r="B71" s="9">
        <v>1.35</v>
      </c>
      <c r="C71" s="10">
        <v>100</v>
      </c>
      <c r="D71" s="10">
        <v>230</v>
      </c>
      <c r="E71" s="10">
        <v>120</v>
      </c>
      <c r="F71" s="10">
        <v>91</v>
      </c>
      <c r="G71" s="7">
        <f t="shared" si="2"/>
        <v>541</v>
      </c>
      <c r="H71" s="8">
        <f t="shared" si="3"/>
        <v>730.35</v>
      </c>
    </row>
    <row r="72" spans="1:8" ht="16.5" x14ac:dyDescent="0.3">
      <c r="A72" s="5" t="s">
        <v>167</v>
      </c>
      <c r="B72" s="9">
        <v>3.4449999999999998</v>
      </c>
      <c r="C72" s="10">
        <v>0</v>
      </c>
      <c r="D72" s="10">
        <v>0</v>
      </c>
      <c r="E72" s="10">
        <v>0</v>
      </c>
      <c r="F72" s="10">
        <v>0</v>
      </c>
      <c r="G72" s="7">
        <f t="shared" si="2"/>
        <v>0</v>
      </c>
      <c r="H72" s="8">
        <f t="shared" si="3"/>
        <v>0</v>
      </c>
    </row>
    <row r="73" spans="1:8" ht="16.5" x14ac:dyDescent="0.3">
      <c r="A73" s="5" t="s">
        <v>245</v>
      </c>
      <c r="B73" s="9">
        <v>3</v>
      </c>
      <c r="C73" s="10">
        <v>0</v>
      </c>
      <c r="D73" s="10">
        <v>32</v>
      </c>
      <c r="E73" s="10">
        <v>0</v>
      </c>
      <c r="F73" s="10">
        <v>0</v>
      </c>
      <c r="G73" s="7">
        <f t="shared" si="2"/>
        <v>32</v>
      </c>
      <c r="H73" s="8">
        <f t="shared" si="3"/>
        <v>96</v>
      </c>
    </row>
    <row r="74" spans="1:8" ht="16.5" x14ac:dyDescent="0.3">
      <c r="A74" s="5" t="s">
        <v>50</v>
      </c>
      <c r="B74" s="9">
        <v>8.5</v>
      </c>
      <c r="C74" s="10">
        <v>0</v>
      </c>
      <c r="D74" s="10">
        <v>9</v>
      </c>
      <c r="E74" s="10">
        <v>4</v>
      </c>
      <c r="F74" s="10">
        <v>0</v>
      </c>
      <c r="G74" s="7">
        <f t="shared" si="2"/>
        <v>13</v>
      </c>
      <c r="H74" s="8">
        <f t="shared" si="3"/>
        <v>110.5</v>
      </c>
    </row>
    <row r="75" spans="1:8" ht="16.5" x14ac:dyDescent="0.3">
      <c r="A75" s="5" t="s">
        <v>86</v>
      </c>
      <c r="B75" s="9">
        <v>1.95</v>
      </c>
      <c r="C75" s="10">
        <v>0</v>
      </c>
      <c r="D75" s="10">
        <v>0</v>
      </c>
      <c r="E75" s="10">
        <v>0</v>
      </c>
      <c r="F75" s="10">
        <v>0</v>
      </c>
      <c r="G75" s="7">
        <f t="shared" si="2"/>
        <v>0</v>
      </c>
      <c r="H75" s="8">
        <f t="shared" si="3"/>
        <v>0</v>
      </c>
    </row>
    <row r="76" spans="1:8" ht="16.5" x14ac:dyDescent="0.3">
      <c r="A76" s="5" t="s">
        <v>51</v>
      </c>
      <c r="B76" s="9">
        <v>2.0750000000000002</v>
      </c>
      <c r="C76" s="10">
        <v>0</v>
      </c>
      <c r="D76" s="10">
        <v>0</v>
      </c>
      <c r="E76" s="10">
        <v>0</v>
      </c>
      <c r="F76" s="10">
        <v>0</v>
      </c>
      <c r="G76" s="7">
        <f t="shared" si="2"/>
        <v>0</v>
      </c>
      <c r="H76" s="8">
        <f t="shared" si="3"/>
        <v>0</v>
      </c>
    </row>
    <row r="77" spans="1:8" ht="16.5" x14ac:dyDescent="0.3">
      <c r="A77" s="5" t="s">
        <v>87</v>
      </c>
      <c r="B77" s="9">
        <v>2.6</v>
      </c>
      <c r="C77" s="10">
        <v>0</v>
      </c>
      <c r="D77" s="10">
        <v>0</v>
      </c>
      <c r="E77" s="10">
        <v>4</v>
      </c>
      <c r="F77" s="10">
        <v>0</v>
      </c>
      <c r="G77" s="7">
        <f t="shared" si="2"/>
        <v>4</v>
      </c>
      <c r="H77" s="8">
        <f t="shared" si="3"/>
        <v>10.4</v>
      </c>
    </row>
    <row r="78" spans="1:8" ht="16.5" x14ac:dyDescent="0.3">
      <c r="A78" s="5" t="s">
        <v>246</v>
      </c>
      <c r="B78" s="9">
        <v>1.95</v>
      </c>
      <c r="C78" s="10">
        <v>0</v>
      </c>
      <c r="D78" s="10">
        <v>4</v>
      </c>
      <c r="E78" s="10">
        <v>80</v>
      </c>
      <c r="F78" s="10">
        <v>0</v>
      </c>
      <c r="G78" s="7">
        <f t="shared" si="2"/>
        <v>84</v>
      </c>
      <c r="H78" s="8">
        <f t="shared" si="3"/>
        <v>163.79999999999998</v>
      </c>
    </row>
    <row r="79" spans="1:8" ht="16.5" x14ac:dyDescent="0.3">
      <c r="A79" s="5" t="s">
        <v>247</v>
      </c>
      <c r="B79" s="9">
        <v>0</v>
      </c>
      <c r="C79" s="10">
        <v>0</v>
      </c>
      <c r="D79" s="10">
        <v>0</v>
      </c>
      <c r="E79" s="10">
        <v>0</v>
      </c>
      <c r="F79" s="10">
        <v>0</v>
      </c>
      <c r="G79" s="7">
        <f t="shared" si="2"/>
        <v>0</v>
      </c>
      <c r="H79" s="8">
        <f t="shared" si="3"/>
        <v>0</v>
      </c>
    </row>
    <row r="80" spans="1:8" ht="16.5" x14ac:dyDescent="0.3">
      <c r="A80" s="5" t="s">
        <v>248</v>
      </c>
      <c r="B80" s="9">
        <v>10.4</v>
      </c>
      <c r="C80" s="10">
        <v>0</v>
      </c>
      <c r="D80" s="10">
        <v>0</v>
      </c>
      <c r="E80" s="10">
        <v>2</v>
      </c>
      <c r="F80" s="10">
        <v>0</v>
      </c>
      <c r="G80" s="7">
        <f t="shared" si="2"/>
        <v>2</v>
      </c>
      <c r="H80" s="8">
        <f t="shared" si="3"/>
        <v>20.8</v>
      </c>
    </row>
    <row r="81" spans="1:8" ht="16.5" x14ac:dyDescent="0.3">
      <c r="A81" s="5" t="s">
        <v>249</v>
      </c>
      <c r="B81" s="9">
        <v>1.05</v>
      </c>
      <c r="C81" s="10">
        <v>0</v>
      </c>
      <c r="D81" s="10">
        <v>6</v>
      </c>
      <c r="E81" s="10">
        <v>0</v>
      </c>
      <c r="F81" s="10">
        <v>0</v>
      </c>
      <c r="G81" s="7">
        <f t="shared" si="2"/>
        <v>6</v>
      </c>
      <c r="H81" s="8">
        <f t="shared" si="3"/>
        <v>6.3000000000000007</v>
      </c>
    </row>
    <row r="82" spans="1:8" ht="16.5" x14ac:dyDescent="0.3">
      <c r="A82" s="5" t="s">
        <v>52</v>
      </c>
      <c r="B82" s="9">
        <v>6.4</v>
      </c>
      <c r="C82" s="10">
        <v>32</v>
      </c>
      <c r="D82" s="10">
        <v>0</v>
      </c>
      <c r="E82" s="10">
        <v>4.8</v>
      </c>
      <c r="F82" s="10">
        <v>16</v>
      </c>
      <c r="G82" s="7">
        <f t="shared" si="2"/>
        <v>52.8</v>
      </c>
      <c r="H82" s="8">
        <f t="shared" si="3"/>
        <v>337.92</v>
      </c>
    </row>
    <row r="83" spans="1:8" ht="16.5" x14ac:dyDescent="0.3">
      <c r="A83" s="5" t="s">
        <v>53</v>
      </c>
      <c r="B83" s="9">
        <v>3.4000000000000004</v>
      </c>
      <c r="C83" s="10">
        <v>0</v>
      </c>
      <c r="D83" s="10">
        <v>20</v>
      </c>
      <c r="E83" s="10">
        <v>0</v>
      </c>
      <c r="F83" s="10">
        <v>0</v>
      </c>
      <c r="G83" s="7">
        <f t="shared" si="2"/>
        <v>20</v>
      </c>
      <c r="H83" s="8">
        <f t="shared" si="3"/>
        <v>68</v>
      </c>
    </row>
    <row r="84" spans="1:8" ht="16.5" x14ac:dyDescent="0.3">
      <c r="A84" s="5" t="s">
        <v>88</v>
      </c>
      <c r="B84" s="9">
        <v>1.4</v>
      </c>
      <c r="C84" s="10">
        <v>0</v>
      </c>
      <c r="D84" s="10">
        <v>0</v>
      </c>
      <c r="E84" s="10">
        <v>0</v>
      </c>
      <c r="F84" s="10">
        <v>0</v>
      </c>
      <c r="G84" s="7">
        <f t="shared" si="2"/>
        <v>0</v>
      </c>
      <c r="H84" s="8">
        <f t="shared" si="3"/>
        <v>0</v>
      </c>
    </row>
    <row r="85" spans="1:8" ht="16.5" x14ac:dyDescent="0.3">
      <c r="A85" s="5" t="s">
        <v>89</v>
      </c>
      <c r="B85" s="9">
        <v>1.56</v>
      </c>
      <c r="C85" s="10">
        <v>0</v>
      </c>
      <c r="D85" s="10">
        <v>3.2</v>
      </c>
      <c r="E85" s="10">
        <v>2</v>
      </c>
      <c r="F85" s="10">
        <v>0</v>
      </c>
      <c r="G85" s="7">
        <f t="shared" si="2"/>
        <v>5.2</v>
      </c>
      <c r="H85" s="8">
        <f t="shared" si="3"/>
        <v>8.1120000000000001</v>
      </c>
    </row>
    <row r="86" spans="1:8" ht="16.5" x14ac:dyDescent="0.3">
      <c r="A86" s="5" t="s">
        <v>54</v>
      </c>
      <c r="B86" s="9">
        <v>2.75</v>
      </c>
      <c r="C86" s="10">
        <v>10</v>
      </c>
      <c r="D86" s="10">
        <v>54</v>
      </c>
      <c r="E86" s="10">
        <v>41</v>
      </c>
      <c r="F86" s="10">
        <v>20</v>
      </c>
      <c r="G86" s="7">
        <f t="shared" si="2"/>
        <v>125</v>
      </c>
      <c r="H86" s="8">
        <f t="shared" si="3"/>
        <v>343.75</v>
      </c>
    </row>
    <row r="87" spans="1:8" ht="16.5" x14ac:dyDescent="0.3">
      <c r="A87" s="5" t="s">
        <v>250</v>
      </c>
      <c r="B87" s="9">
        <v>1.35</v>
      </c>
      <c r="C87" s="10">
        <v>0</v>
      </c>
      <c r="D87" s="10">
        <v>0</v>
      </c>
      <c r="E87" s="10">
        <v>3</v>
      </c>
      <c r="F87" s="10">
        <v>0</v>
      </c>
      <c r="G87" s="7">
        <f t="shared" si="2"/>
        <v>3</v>
      </c>
      <c r="H87" s="8">
        <f t="shared" si="3"/>
        <v>4.0500000000000007</v>
      </c>
    </row>
    <row r="88" spans="1:8" ht="16.5" x14ac:dyDescent="0.3">
      <c r="A88" s="5" t="s">
        <v>251</v>
      </c>
      <c r="B88" s="9">
        <v>1.1499999999999999</v>
      </c>
      <c r="C88" s="10">
        <v>40</v>
      </c>
      <c r="D88" s="10">
        <v>262</v>
      </c>
      <c r="E88" s="10">
        <v>40</v>
      </c>
      <c r="F88" s="10">
        <v>34</v>
      </c>
      <c r="G88" s="7">
        <f t="shared" si="2"/>
        <v>376</v>
      </c>
      <c r="H88" s="8">
        <f t="shared" si="3"/>
        <v>432.4</v>
      </c>
    </row>
    <row r="89" spans="1:8" ht="16.5" x14ac:dyDescent="0.3">
      <c r="A89" s="5" t="s">
        <v>90</v>
      </c>
      <c r="B89" s="9">
        <v>5.5250000000000004</v>
      </c>
      <c r="C89" s="10">
        <v>0</v>
      </c>
      <c r="D89" s="10">
        <v>0</v>
      </c>
      <c r="E89" s="10">
        <v>4</v>
      </c>
      <c r="F89" s="10">
        <v>0</v>
      </c>
      <c r="G89" s="7">
        <f t="shared" si="2"/>
        <v>4</v>
      </c>
      <c r="H89" s="8">
        <f t="shared" si="3"/>
        <v>22.1</v>
      </c>
    </row>
    <row r="90" spans="1:8" ht="16.5" x14ac:dyDescent="0.3">
      <c r="A90" s="5" t="s">
        <v>252</v>
      </c>
      <c r="B90" s="9">
        <v>5</v>
      </c>
      <c r="C90" s="10">
        <v>20</v>
      </c>
      <c r="D90" s="10">
        <v>50</v>
      </c>
      <c r="E90" s="10">
        <v>2</v>
      </c>
      <c r="F90" s="10">
        <v>12</v>
      </c>
      <c r="G90" s="7">
        <f t="shared" si="2"/>
        <v>84</v>
      </c>
      <c r="H90" s="8">
        <f t="shared" si="3"/>
        <v>420</v>
      </c>
    </row>
    <row r="91" spans="1:8" ht="16.5" x14ac:dyDescent="0.3">
      <c r="A91" s="5" t="s">
        <v>56</v>
      </c>
      <c r="B91" s="9">
        <v>3.2</v>
      </c>
      <c r="C91" s="10">
        <v>15</v>
      </c>
      <c r="D91" s="10">
        <v>32</v>
      </c>
      <c r="E91" s="10">
        <v>1</v>
      </c>
      <c r="F91" s="10">
        <v>10</v>
      </c>
      <c r="G91" s="7">
        <f t="shared" si="2"/>
        <v>58</v>
      </c>
      <c r="H91" s="8">
        <f t="shared" si="3"/>
        <v>185.60000000000002</v>
      </c>
    </row>
    <row r="92" spans="1:8" ht="16.5" x14ac:dyDescent="0.3">
      <c r="A92" s="5" t="s">
        <v>253</v>
      </c>
      <c r="B92" s="9">
        <v>0</v>
      </c>
      <c r="C92" s="10">
        <v>0</v>
      </c>
      <c r="D92" s="10">
        <v>0</v>
      </c>
      <c r="E92" s="10">
        <v>0</v>
      </c>
      <c r="F92" s="10">
        <v>0</v>
      </c>
      <c r="G92" s="7">
        <f t="shared" si="2"/>
        <v>0</v>
      </c>
      <c r="H92" s="8">
        <f t="shared" si="3"/>
        <v>0</v>
      </c>
    </row>
    <row r="93" spans="1:8" ht="16.5" x14ac:dyDescent="0.3">
      <c r="A93" s="5" t="s">
        <v>254</v>
      </c>
      <c r="B93" s="9">
        <v>3.25</v>
      </c>
      <c r="C93" s="10">
        <v>0</v>
      </c>
      <c r="D93" s="10">
        <v>0</v>
      </c>
      <c r="E93" s="10">
        <v>0</v>
      </c>
      <c r="F93" s="10">
        <v>16</v>
      </c>
      <c r="G93" s="7">
        <f t="shared" si="2"/>
        <v>16</v>
      </c>
      <c r="H93" s="8">
        <f t="shared" si="3"/>
        <v>52</v>
      </c>
    </row>
    <row r="94" spans="1:8" ht="16.5" x14ac:dyDescent="0.3">
      <c r="A94" s="5" t="s">
        <v>255</v>
      </c>
      <c r="B94" s="9">
        <v>6</v>
      </c>
      <c r="C94" s="10">
        <v>0</v>
      </c>
      <c r="D94" s="10">
        <v>0</v>
      </c>
      <c r="E94" s="10">
        <v>0</v>
      </c>
      <c r="F94" s="10">
        <v>10</v>
      </c>
      <c r="G94" s="7">
        <f t="shared" si="2"/>
        <v>10</v>
      </c>
      <c r="H94" s="8">
        <f t="shared" si="3"/>
        <v>60</v>
      </c>
    </row>
    <row r="95" spans="1:8" ht="16.5" x14ac:dyDescent="0.3">
      <c r="A95" s="5" t="s">
        <v>256</v>
      </c>
      <c r="B95" s="9">
        <v>1.9</v>
      </c>
      <c r="C95" s="10">
        <v>60</v>
      </c>
      <c r="D95" s="10">
        <v>154</v>
      </c>
      <c r="E95" s="10">
        <v>20</v>
      </c>
      <c r="F95" s="10">
        <v>76</v>
      </c>
      <c r="G95" s="7">
        <f t="shared" si="2"/>
        <v>310</v>
      </c>
      <c r="H95" s="8">
        <f t="shared" si="3"/>
        <v>589</v>
      </c>
    </row>
    <row r="96" spans="1:8" ht="16.5" x14ac:dyDescent="0.3">
      <c r="A96" s="5" t="s">
        <v>13</v>
      </c>
      <c r="B96" s="9">
        <v>1.4</v>
      </c>
      <c r="C96" s="10">
        <v>0</v>
      </c>
      <c r="D96" s="10">
        <v>5</v>
      </c>
      <c r="E96" s="10">
        <v>0</v>
      </c>
      <c r="F96" s="10">
        <v>0</v>
      </c>
      <c r="G96" s="7">
        <f t="shared" si="2"/>
        <v>5</v>
      </c>
      <c r="H96" s="8">
        <f t="shared" si="3"/>
        <v>7</v>
      </c>
    </row>
    <row r="97" spans="1:8" ht="16.5" x14ac:dyDescent="0.3">
      <c r="A97" s="5" t="s">
        <v>257</v>
      </c>
      <c r="B97" s="9">
        <v>0</v>
      </c>
      <c r="C97" s="10">
        <v>0</v>
      </c>
      <c r="D97" s="10">
        <v>0</v>
      </c>
      <c r="E97" s="10">
        <v>0</v>
      </c>
      <c r="F97" s="10">
        <v>0</v>
      </c>
      <c r="G97" s="7">
        <f t="shared" si="2"/>
        <v>0</v>
      </c>
      <c r="H97" s="8">
        <f t="shared" si="3"/>
        <v>0</v>
      </c>
    </row>
    <row r="98" spans="1:8" ht="16.5" x14ac:dyDescent="0.3">
      <c r="A98" s="5" t="s">
        <v>258</v>
      </c>
      <c r="B98" s="9">
        <v>0</v>
      </c>
      <c r="C98" s="10">
        <v>0</v>
      </c>
      <c r="D98" s="10">
        <v>0</v>
      </c>
      <c r="E98" s="10">
        <v>0</v>
      </c>
      <c r="F98" s="10">
        <v>0</v>
      </c>
      <c r="G98" s="7">
        <f t="shared" si="2"/>
        <v>0</v>
      </c>
      <c r="H98" s="8">
        <f t="shared" si="3"/>
        <v>0</v>
      </c>
    </row>
    <row r="99" spans="1:8" ht="16.5" x14ac:dyDescent="0.3">
      <c r="A99" s="5" t="s">
        <v>163</v>
      </c>
      <c r="B99" s="9">
        <v>0</v>
      </c>
      <c r="C99" s="10">
        <v>0</v>
      </c>
      <c r="D99" s="10">
        <v>0</v>
      </c>
      <c r="E99" s="10">
        <v>0</v>
      </c>
      <c r="F99" s="10">
        <v>0</v>
      </c>
      <c r="G99" s="7">
        <f t="shared" si="2"/>
        <v>0</v>
      </c>
      <c r="H99" s="8">
        <f t="shared" si="3"/>
        <v>0</v>
      </c>
    </row>
    <row r="100" spans="1:8" ht="16.5" x14ac:dyDescent="0.3">
      <c r="A100" s="5" t="s">
        <v>259</v>
      </c>
      <c r="B100" s="9">
        <v>0</v>
      </c>
      <c r="C100" s="10">
        <v>0</v>
      </c>
      <c r="D100" s="10">
        <v>0</v>
      </c>
      <c r="E100" s="10">
        <v>0</v>
      </c>
      <c r="F100" s="10">
        <v>0</v>
      </c>
      <c r="G100" s="7">
        <f t="shared" si="2"/>
        <v>0</v>
      </c>
      <c r="H100" s="8">
        <f t="shared" si="3"/>
        <v>0</v>
      </c>
    </row>
    <row r="101" spans="1:8" ht="16.5" x14ac:dyDescent="0.3">
      <c r="A101" s="5" t="s">
        <v>260</v>
      </c>
      <c r="B101" s="9">
        <v>4</v>
      </c>
      <c r="C101" s="10">
        <v>0</v>
      </c>
      <c r="D101" s="10">
        <v>0</v>
      </c>
      <c r="E101" s="10">
        <v>0</v>
      </c>
      <c r="F101" s="10">
        <v>0</v>
      </c>
      <c r="G101" s="7">
        <f t="shared" si="2"/>
        <v>0</v>
      </c>
      <c r="H101" s="8">
        <f t="shared" si="3"/>
        <v>0</v>
      </c>
    </row>
    <row r="102" spans="1:8" ht="16.5" x14ac:dyDescent="0.3">
      <c r="A102" s="5" t="s">
        <v>261</v>
      </c>
      <c r="B102" s="9">
        <v>1.125</v>
      </c>
      <c r="C102" s="10">
        <v>60</v>
      </c>
      <c r="D102" s="10">
        <v>0</v>
      </c>
      <c r="E102" s="10">
        <v>6</v>
      </c>
      <c r="F102" s="10">
        <v>0</v>
      </c>
      <c r="G102" s="7">
        <f t="shared" si="2"/>
        <v>66</v>
      </c>
      <c r="H102" s="8">
        <f t="shared" si="3"/>
        <v>74.25</v>
      </c>
    </row>
    <row r="103" spans="1:8" ht="16.5" x14ac:dyDescent="0.3">
      <c r="A103" s="5" t="s">
        <v>262</v>
      </c>
      <c r="B103" s="9">
        <v>1.75</v>
      </c>
      <c r="C103" s="10">
        <v>190</v>
      </c>
      <c r="D103" s="10">
        <v>250</v>
      </c>
      <c r="E103" s="10">
        <v>113.2</v>
      </c>
      <c r="F103" s="10">
        <v>44.4</v>
      </c>
      <c r="G103" s="7">
        <f t="shared" si="2"/>
        <v>597.6</v>
      </c>
      <c r="H103" s="8">
        <f t="shared" si="3"/>
        <v>1045.8</v>
      </c>
    </row>
    <row r="104" spans="1:8" ht="16.5" x14ac:dyDescent="0.3">
      <c r="A104" s="5" t="s">
        <v>263</v>
      </c>
      <c r="B104" s="9">
        <v>5.85</v>
      </c>
      <c r="C104" s="10">
        <v>2.5</v>
      </c>
      <c r="D104" s="10">
        <v>2.5</v>
      </c>
      <c r="E104" s="10">
        <v>0</v>
      </c>
      <c r="F104" s="10">
        <v>0</v>
      </c>
      <c r="G104" s="7">
        <f t="shared" si="2"/>
        <v>5</v>
      </c>
      <c r="H104" s="8">
        <f t="shared" si="3"/>
        <v>29.25</v>
      </c>
    </row>
    <row r="105" spans="1:8" ht="16.5" x14ac:dyDescent="0.3">
      <c r="A105" s="5" t="s">
        <v>264</v>
      </c>
      <c r="B105" s="9">
        <v>6.4</v>
      </c>
      <c r="C105" s="10">
        <v>0</v>
      </c>
      <c r="D105" s="10">
        <v>26</v>
      </c>
      <c r="E105" s="10">
        <v>0</v>
      </c>
      <c r="F105" s="10">
        <v>0</v>
      </c>
      <c r="G105" s="7">
        <f t="shared" si="2"/>
        <v>26</v>
      </c>
      <c r="H105" s="8">
        <f t="shared" si="3"/>
        <v>166.4</v>
      </c>
    </row>
    <row r="106" spans="1:8" ht="16.5" x14ac:dyDescent="0.3">
      <c r="A106" s="5" t="s">
        <v>147</v>
      </c>
      <c r="B106" s="9">
        <v>0</v>
      </c>
      <c r="C106" s="10">
        <v>0</v>
      </c>
      <c r="D106" s="10">
        <v>0</v>
      </c>
      <c r="E106" s="10">
        <v>0</v>
      </c>
      <c r="F106" s="10">
        <v>0</v>
      </c>
      <c r="G106" s="7">
        <f t="shared" si="2"/>
        <v>0</v>
      </c>
      <c r="H106" s="8">
        <f t="shared" si="3"/>
        <v>0</v>
      </c>
    </row>
    <row r="107" spans="1:8" ht="16.5" x14ac:dyDescent="0.3">
      <c r="A107" s="5" t="s">
        <v>265</v>
      </c>
      <c r="B107" s="9">
        <v>2.0249999999999999</v>
      </c>
      <c r="C107" s="10">
        <v>230</v>
      </c>
      <c r="D107" s="10">
        <v>1242</v>
      </c>
      <c r="E107" s="10">
        <v>312</v>
      </c>
      <c r="F107" s="10">
        <v>170</v>
      </c>
      <c r="G107" s="7">
        <f t="shared" si="2"/>
        <v>1954</v>
      </c>
      <c r="H107" s="8">
        <f t="shared" si="3"/>
        <v>3956.85</v>
      </c>
    </row>
    <row r="108" spans="1:8" ht="16.5" x14ac:dyDescent="0.3">
      <c r="A108" s="5" t="s">
        <v>266</v>
      </c>
      <c r="B108" s="9">
        <v>1.9500000000000002</v>
      </c>
      <c r="C108" s="10">
        <v>0</v>
      </c>
      <c r="D108" s="10">
        <v>0</v>
      </c>
      <c r="E108" s="10">
        <v>70</v>
      </c>
      <c r="F108" s="10">
        <v>0</v>
      </c>
      <c r="G108" s="7">
        <f t="shared" si="2"/>
        <v>70</v>
      </c>
      <c r="H108" s="8">
        <f t="shared" si="3"/>
        <v>136.5</v>
      </c>
    </row>
    <row r="109" spans="1:8" ht="16.5" x14ac:dyDescent="0.3">
      <c r="A109" s="5" t="s">
        <v>267</v>
      </c>
      <c r="B109" s="9">
        <v>2.35</v>
      </c>
      <c r="C109" s="10">
        <v>6</v>
      </c>
      <c r="D109" s="10">
        <v>0</v>
      </c>
      <c r="E109" s="10">
        <v>0</v>
      </c>
      <c r="F109" s="10">
        <v>0</v>
      </c>
      <c r="G109" s="7">
        <f t="shared" si="2"/>
        <v>6</v>
      </c>
      <c r="H109" s="8">
        <f t="shared" si="3"/>
        <v>14.100000000000001</v>
      </c>
    </row>
    <row r="110" spans="1:8" ht="16.5" x14ac:dyDescent="0.3">
      <c r="A110" s="5" t="s">
        <v>268</v>
      </c>
      <c r="B110" s="9">
        <v>1.625</v>
      </c>
      <c r="C110" s="10">
        <v>0</v>
      </c>
      <c r="D110" s="10">
        <v>0</v>
      </c>
      <c r="E110" s="10">
        <v>0</v>
      </c>
      <c r="F110" s="10">
        <v>0</v>
      </c>
      <c r="G110" s="7">
        <f t="shared" si="2"/>
        <v>0</v>
      </c>
      <c r="H110" s="8">
        <f t="shared" si="3"/>
        <v>0</v>
      </c>
    </row>
    <row r="111" spans="1:8" ht="16.5" x14ac:dyDescent="0.3">
      <c r="A111" s="5" t="s">
        <v>269</v>
      </c>
      <c r="B111" s="9">
        <v>4.0999999999999996</v>
      </c>
      <c r="C111" s="10">
        <v>0</v>
      </c>
      <c r="D111" s="10">
        <v>28</v>
      </c>
      <c r="E111" s="10">
        <v>0</v>
      </c>
      <c r="F111" s="10">
        <v>0</v>
      </c>
      <c r="G111" s="7">
        <f t="shared" si="2"/>
        <v>28</v>
      </c>
      <c r="H111" s="8">
        <f t="shared" si="3"/>
        <v>114.79999999999998</v>
      </c>
    </row>
    <row r="112" spans="1:8" ht="16.5" x14ac:dyDescent="0.3">
      <c r="A112" s="5" t="s">
        <v>135</v>
      </c>
      <c r="B112" s="9">
        <v>5.0999999999999996</v>
      </c>
      <c r="C112" s="10">
        <v>75</v>
      </c>
      <c r="D112" s="10">
        <v>30</v>
      </c>
      <c r="E112" s="10">
        <v>0</v>
      </c>
      <c r="F112" s="10">
        <v>8</v>
      </c>
      <c r="G112" s="7">
        <f t="shared" si="2"/>
        <v>113</v>
      </c>
      <c r="H112" s="8">
        <f t="shared" si="3"/>
        <v>576.29999999999995</v>
      </c>
    </row>
    <row r="113" spans="1:8" ht="16.5" x14ac:dyDescent="0.3">
      <c r="A113" s="5" t="s">
        <v>270</v>
      </c>
      <c r="B113" s="9">
        <v>1.65</v>
      </c>
      <c r="C113" s="10">
        <v>0</v>
      </c>
      <c r="D113" s="10">
        <v>0</v>
      </c>
      <c r="E113" s="10">
        <v>0</v>
      </c>
      <c r="F113" s="10">
        <v>0</v>
      </c>
      <c r="G113" s="7">
        <f t="shared" si="2"/>
        <v>0</v>
      </c>
      <c r="H113" s="8">
        <f t="shared" si="3"/>
        <v>0</v>
      </c>
    </row>
    <row r="114" spans="1:8" ht="16.5" x14ac:dyDescent="0.3">
      <c r="A114" s="5" t="s">
        <v>271</v>
      </c>
      <c r="B114" s="9">
        <v>3.85</v>
      </c>
      <c r="C114" s="10">
        <v>0</v>
      </c>
      <c r="D114" s="10">
        <v>0</v>
      </c>
      <c r="E114" s="10">
        <v>2</v>
      </c>
      <c r="F114" s="10">
        <v>0</v>
      </c>
      <c r="G114" s="7">
        <f t="shared" si="2"/>
        <v>2</v>
      </c>
      <c r="H114" s="8">
        <f t="shared" si="3"/>
        <v>7.7</v>
      </c>
    </row>
    <row r="115" spans="1:8" ht="16.5" x14ac:dyDescent="0.3">
      <c r="A115" s="5" t="s">
        <v>272</v>
      </c>
      <c r="B115" s="9">
        <v>2.5</v>
      </c>
      <c r="C115" s="10">
        <v>15</v>
      </c>
      <c r="D115" s="10">
        <v>97</v>
      </c>
      <c r="E115" s="10">
        <v>2</v>
      </c>
      <c r="F115" s="10">
        <v>8</v>
      </c>
      <c r="G115" s="7">
        <f t="shared" si="2"/>
        <v>122</v>
      </c>
      <c r="H115" s="8">
        <f t="shared" si="3"/>
        <v>305</v>
      </c>
    </row>
    <row r="116" spans="1:8" ht="16.5" x14ac:dyDescent="0.3">
      <c r="A116" s="5" t="s">
        <v>273</v>
      </c>
      <c r="B116" s="9">
        <v>4.5</v>
      </c>
      <c r="C116" s="10">
        <v>10</v>
      </c>
      <c r="D116" s="10">
        <v>59</v>
      </c>
      <c r="E116" s="10">
        <v>10</v>
      </c>
      <c r="F116" s="10">
        <v>7</v>
      </c>
      <c r="G116" s="7">
        <f t="shared" si="2"/>
        <v>86</v>
      </c>
      <c r="H116" s="8">
        <f t="shared" si="3"/>
        <v>387</v>
      </c>
    </row>
    <row r="117" spans="1:8" ht="16.5" x14ac:dyDescent="0.3">
      <c r="A117" s="5" t="s">
        <v>274</v>
      </c>
      <c r="B117" s="9">
        <v>0</v>
      </c>
      <c r="C117" s="10">
        <v>0</v>
      </c>
      <c r="D117" s="10">
        <v>0</v>
      </c>
      <c r="E117" s="10">
        <v>0</v>
      </c>
      <c r="F117" s="10">
        <v>0</v>
      </c>
      <c r="G117" s="7">
        <f t="shared" si="2"/>
        <v>0</v>
      </c>
      <c r="H117" s="8">
        <f t="shared" si="3"/>
        <v>0</v>
      </c>
    </row>
    <row r="118" spans="1:8" ht="16.5" x14ac:dyDescent="0.3">
      <c r="A118" s="5" t="s">
        <v>275</v>
      </c>
      <c r="B118" s="9">
        <v>3.35</v>
      </c>
      <c r="C118" s="10">
        <v>10</v>
      </c>
      <c r="D118" s="10">
        <v>60</v>
      </c>
      <c r="E118" s="10">
        <v>12</v>
      </c>
      <c r="F118" s="10">
        <v>6</v>
      </c>
      <c r="G118" s="7">
        <f t="shared" si="2"/>
        <v>88</v>
      </c>
      <c r="H118" s="8">
        <f t="shared" si="3"/>
        <v>294.8</v>
      </c>
    </row>
    <row r="119" spans="1:8" ht="16.5" x14ac:dyDescent="0.3">
      <c r="A119" s="5" t="s">
        <v>276</v>
      </c>
      <c r="B119" s="9">
        <v>4.5999999999999996</v>
      </c>
      <c r="C119" s="10">
        <v>10</v>
      </c>
      <c r="D119" s="10">
        <v>356</v>
      </c>
      <c r="E119" s="10">
        <v>13</v>
      </c>
      <c r="F119" s="10">
        <v>11</v>
      </c>
      <c r="G119" s="7">
        <f t="shared" si="2"/>
        <v>390</v>
      </c>
      <c r="H119" s="8">
        <f t="shared" si="3"/>
        <v>1793.9999999999998</v>
      </c>
    </row>
    <row r="120" spans="1:8" ht="16.5" x14ac:dyDescent="0.3">
      <c r="A120" s="5" t="s">
        <v>277</v>
      </c>
      <c r="B120" s="9">
        <v>2.5</v>
      </c>
      <c r="C120" s="10">
        <v>0</v>
      </c>
      <c r="D120" s="10">
        <v>4</v>
      </c>
      <c r="E120" s="10">
        <v>6</v>
      </c>
      <c r="F120" s="10">
        <v>5</v>
      </c>
      <c r="G120" s="7">
        <f t="shared" si="2"/>
        <v>15</v>
      </c>
      <c r="H120" s="8">
        <f t="shared" si="3"/>
        <v>37.5</v>
      </c>
    </row>
    <row r="121" spans="1:8" ht="16.5" x14ac:dyDescent="0.3">
      <c r="A121" s="5" t="s">
        <v>131</v>
      </c>
      <c r="B121" s="9">
        <v>1.8</v>
      </c>
      <c r="C121" s="10">
        <v>0</v>
      </c>
      <c r="D121" s="10">
        <v>140</v>
      </c>
      <c r="E121" s="10">
        <v>0</v>
      </c>
      <c r="F121" s="10">
        <v>70</v>
      </c>
      <c r="G121" s="7">
        <f t="shared" si="2"/>
        <v>210</v>
      </c>
      <c r="H121" s="8">
        <f t="shared" si="3"/>
        <v>378</v>
      </c>
    </row>
    <row r="122" spans="1:8" ht="16.5" x14ac:dyDescent="0.3">
      <c r="A122" s="5" t="s">
        <v>278</v>
      </c>
      <c r="B122" s="9">
        <v>0</v>
      </c>
      <c r="C122" s="10">
        <v>0</v>
      </c>
      <c r="D122" s="10">
        <v>0</v>
      </c>
      <c r="E122" s="10">
        <v>0</v>
      </c>
      <c r="F122" s="10">
        <v>0</v>
      </c>
      <c r="G122" s="7">
        <f t="shared" si="2"/>
        <v>0</v>
      </c>
      <c r="H122" s="8">
        <f t="shared" si="3"/>
        <v>0</v>
      </c>
    </row>
    <row r="123" spans="1:8" ht="16.5" x14ac:dyDescent="0.3">
      <c r="A123" s="5" t="s">
        <v>279</v>
      </c>
      <c r="B123" s="9">
        <v>11</v>
      </c>
      <c r="C123" s="10">
        <v>0</v>
      </c>
      <c r="D123" s="10">
        <v>1</v>
      </c>
      <c r="E123" s="10">
        <v>0</v>
      </c>
      <c r="F123" s="10">
        <v>0</v>
      </c>
      <c r="G123" s="7">
        <f t="shared" si="2"/>
        <v>1</v>
      </c>
      <c r="H123" s="8">
        <f t="shared" si="3"/>
        <v>11</v>
      </c>
    </row>
    <row r="124" spans="1:8" ht="16.5" x14ac:dyDescent="0.3">
      <c r="A124" s="5" t="s">
        <v>280</v>
      </c>
      <c r="B124" s="9">
        <v>4.45</v>
      </c>
      <c r="C124" s="10">
        <v>0</v>
      </c>
      <c r="D124" s="10">
        <v>0</v>
      </c>
      <c r="E124" s="10">
        <v>2.5</v>
      </c>
      <c r="F124" s="10">
        <v>0</v>
      </c>
      <c r="G124" s="7">
        <f t="shared" si="2"/>
        <v>2.5</v>
      </c>
      <c r="H124" s="8">
        <f t="shared" si="3"/>
        <v>11.125</v>
      </c>
    </row>
    <row r="125" spans="1:8" ht="16.5" x14ac:dyDescent="0.3">
      <c r="A125" s="5" t="s">
        <v>281</v>
      </c>
      <c r="B125" s="9">
        <v>2.86</v>
      </c>
      <c r="C125" s="10">
        <v>0</v>
      </c>
      <c r="D125" s="10">
        <v>7</v>
      </c>
      <c r="E125" s="10">
        <v>0</v>
      </c>
      <c r="F125" s="10">
        <v>0</v>
      </c>
      <c r="G125" s="7">
        <f t="shared" si="2"/>
        <v>7</v>
      </c>
      <c r="H125" s="8">
        <f t="shared" si="3"/>
        <v>20.02</v>
      </c>
    </row>
    <row r="126" spans="1:8" ht="16.5" x14ac:dyDescent="0.3">
      <c r="A126" s="5" t="s">
        <v>139</v>
      </c>
      <c r="B126" s="9">
        <v>1.7</v>
      </c>
      <c r="C126" s="10">
        <v>0</v>
      </c>
      <c r="D126" s="10">
        <v>8</v>
      </c>
      <c r="E126" s="10">
        <v>2</v>
      </c>
      <c r="F126" s="10">
        <v>0</v>
      </c>
      <c r="G126" s="7">
        <f t="shared" si="2"/>
        <v>10</v>
      </c>
      <c r="H126" s="8">
        <f t="shared" si="3"/>
        <v>17</v>
      </c>
    </row>
    <row r="127" spans="1:8" ht="16.5" x14ac:dyDescent="0.3">
      <c r="A127" s="5" t="s">
        <v>282</v>
      </c>
      <c r="B127" s="9">
        <v>2.3250000000000002</v>
      </c>
      <c r="C127" s="10">
        <v>0</v>
      </c>
      <c r="D127" s="10">
        <v>0</v>
      </c>
      <c r="E127" s="10">
        <v>40</v>
      </c>
      <c r="F127" s="10">
        <v>110</v>
      </c>
      <c r="G127" s="7">
        <f t="shared" si="2"/>
        <v>150</v>
      </c>
      <c r="H127" s="8">
        <f t="shared" si="3"/>
        <v>348.75</v>
      </c>
    </row>
    <row r="128" spans="1:8" ht="16.5" x14ac:dyDescent="0.3">
      <c r="A128" s="5" t="s">
        <v>283</v>
      </c>
      <c r="B128" s="9">
        <v>2.0499999999999998</v>
      </c>
      <c r="C128" s="10">
        <v>20</v>
      </c>
      <c r="D128" s="10">
        <v>3</v>
      </c>
      <c r="E128" s="10">
        <v>20</v>
      </c>
      <c r="F128" s="10">
        <v>0</v>
      </c>
      <c r="G128" s="7">
        <f t="shared" si="2"/>
        <v>43</v>
      </c>
      <c r="H128" s="8">
        <f t="shared" si="3"/>
        <v>88.149999999999991</v>
      </c>
    </row>
    <row r="129" spans="1:8" ht="16.5" x14ac:dyDescent="0.3">
      <c r="A129" s="5" t="s">
        <v>284</v>
      </c>
      <c r="B129" s="9">
        <v>1</v>
      </c>
      <c r="C129" s="10">
        <v>0</v>
      </c>
      <c r="D129" s="10">
        <v>0</v>
      </c>
      <c r="E129" s="10">
        <v>0</v>
      </c>
      <c r="F129" s="10">
        <v>0</v>
      </c>
      <c r="G129" s="7">
        <f t="shared" si="2"/>
        <v>0</v>
      </c>
      <c r="H129" s="8">
        <f t="shared" si="3"/>
        <v>0</v>
      </c>
    </row>
    <row r="130" spans="1:8" ht="16.5" x14ac:dyDescent="0.3">
      <c r="A130" s="5" t="s">
        <v>285</v>
      </c>
      <c r="B130" s="9">
        <v>5.3250000000000002</v>
      </c>
      <c r="C130" s="10">
        <v>0</v>
      </c>
      <c r="D130" s="10">
        <v>12</v>
      </c>
      <c r="E130" s="10">
        <v>0</v>
      </c>
      <c r="F130" s="10">
        <v>0</v>
      </c>
      <c r="G130" s="7">
        <f t="shared" si="2"/>
        <v>12</v>
      </c>
      <c r="H130" s="8">
        <f t="shared" si="3"/>
        <v>63.900000000000006</v>
      </c>
    </row>
    <row r="131" spans="1:8" ht="16.5" x14ac:dyDescent="0.3">
      <c r="A131" s="5" t="s">
        <v>286</v>
      </c>
      <c r="B131" s="9">
        <v>1.5</v>
      </c>
      <c r="C131" s="10">
        <v>0</v>
      </c>
      <c r="D131" s="10">
        <v>525</v>
      </c>
      <c r="E131" s="10">
        <v>0</v>
      </c>
      <c r="F131" s="10">
        <v>180</v>
      </c>
      <c r="G131" s="7">
        <f t="shared" ref="G131:G147" si="4">SUM(C131:F131)</f>
        <v>705</v>
      </c>
      <c r="H131" s="8">
        <f t="shared" ref="H131:H147" si="5">G131*B131</f>
        <v>1057.5</v>
      </c>
    </row>
    <row r="132" spans="1:8" ht="16.5" x14ac:dyDescent="0.3">
      <c r="A132" s="5" t="s">
        <v>287</v>
      </c>
      <c r="B132" s="9">
        <v>1.65</v>
      </c>
      <c r="C132" s="10">
        <v>100</v>
      </c>
      <c r="D132" s="10">
        <v>100</v>
      </c>
      <c r="E132" s="10">
        <v>50</v>
      </c>
      <c r="F132" s="10">
        <v>16</v>
      </c>
      <c r="G132" s="7">
        <f t="shared" si="4"/>
        <v>266</v>
      </c>
      <c r="H132" s="8">
        <f t="shared" si="5"/>
        <v>438.9</v>
      </c>
    </row>
    <row r="133" spans="1:8" ht="16.5" x14ac:dyDescent="0.3">
      <c r="A133" s="5" t="s">
        <v>141</v>
      </c>
      <c r="B133" s="9">
        <v>4.4249999999999998</v>
      </c>
      <c r="C133" s="10">
        <v>24</v>
      </c>
      <c r="D133" s="10">
        <v>103</v>
      </c>
      <c r="E133" s="10">
        <v>30</v>
      </c>
      <c r="F133" s="10">
        <v>22</v>
      </c>
      <c r="G133" s="7">
        <f t="shared" si="4"/>
        <v>179</v>
      </c>
      <c r="H133" s="8">
        <f t="shared" si="5"/>
        <v>792.07499999999993</v>
      </c>
    </row>
    <row r="134" spans="1:8" ht="16.5" x14ac:dyDescent="0.3">
      <c r="A134" s="5" t="s">
        <v>288</v>
      </c>
      <c r="B134" s="9">
        <v>1.5249999999999999</v>
      </c>
      <c r="C134" s="10">
        <v>0</v>
      </c>
      <c r="D134" s="10">
        <v>0</v>
      </c>
      <c r="E134" s="10">
        <v>0</v>
      </c>
      <c r="F134" s="10">
        <v>36</v>
      </c>
      <c r="G134" s="7">
        <f t="shared" si="4"/>
        <v>36</v>
      </c>
      <c r="H134" s="8">
        <f t="shared" si="5"/>
        <v>54.9</v>
      </c>
    </row>
    <row r="135" spans="1:8" ht="16.5" x14ac:dyDescent="0.3">
      <c r="A135" s="5" t="s">
        <v>289</v>
      </c>
      <c r="B135" s="9">
        <v>6.85</v>
      </c>
      <c r="C135" s="10">
        <v>26</v>
      </c>
      <c r="D135" s="10">
        <v>70</v>
      </c>
      <c r="E135" s="10">
        <v>5.2</v>
      </c>
      <c r="F135" s="10">
        <v>16</v>
      </c>
      <c r="G135" s="7">
        <f t="shared" si="4"/>
        <v>117.2</v>
      </c>
      <c r="H135" s="8">
        <f t="shared" si="5"/>
        <v>802.81999999999994</v>
      </c>
    </row>
    <row r="136" spans="1:8" ht="16.5" x14ac:dyDescent="0.3">
      <c r="A136" s="5" t="s">
        <v>290</v>
      </c>
      <c r="B136" s="9">
        <v>2.9749999999999996</v>
      </c>
      <c r="C136" s="10">
        <v>0</v>
      </c>
      <c r="D136" s="10">
        <v>80</v>
      </c>
      <c r="E136" s="10">
        <v>2</v>
      </c>
      <c r="F136" s="10">
        <v>0</v>
      </c>
      <c r="G136" s="7">
        <f t="shared" si="4"/>
        <v>82</v>
      </c>
      <c r="H136" s="8">
        <f t="shared" si="5"/>
        <v>243.94999999999996</v>
      </c>
    </row>
    <row r="137" spans="1:8" ht="16.5" x14ac:dyDescent="0.3">
      <c r="A137" s="5" t="s">
        <v>291</v>
      </c>
      <c r="B137" s="9">
        <v>0.85000000000000009</v>
      </c>
      <c r="C137" s="10">
        <v>60</v>
      </c>
      <c r="D137" s="10">
        <v>0</v>
      </c>
      <c r="E137" s="10">
        <v>110</v>
      </c>
      <c r="F137" s="10">
        <v>20</v>
      </c>
      <c r="G137" s="7">
        <f t="shared" si="4"/>
        <v>190</v>
      </c>
      <c r="H137" s="8">
        <f t="shared" si="5"/>
        <v>161.50000000000003</v>
      </c>
    </row>
    <row r="138" spans="1:8" ht="16.5" x14ac:dyDescent="0.3">
      <c r="A138" s="5" t="s">
        <v>143</v>
      </c>
      <c r="B138" s="9">
        <v>1.25</v>
      </c>
      <c r="C138" s="10">
        <v>0</v>
      </c>
      <c r="D138" s="10">
        <v>10</v>
      </c>
      <c r="E138" s="10">
        <v>0</v>
      </c>
      <c r="F138" s="10">
        <v>0</v>
      </c>
      <c r="G138" s="7">
        <f t="shared" si="4"/>
        <v>10</v>
      </c>
      <c r="H138" s="8">
        <f t="shared" si="5"/>
        <v>12.5</v>
      </c>
    </row>
    <row r="139" spans="1:8" ht="16.5" x14ac:dyDescent="0.3">
      <c r="A139" s="5" t="s">
        <v>144</v>
      </c>
      <c r="B139" s="9">
        <v>2</v>
      </c>
      <c r="C139" s="10">
        <v>60</v>
      </c>
      <c r="D139" s="10">
        <v>172</v>
      </c>
      <c r="E139" s="10">
        <v>42</v>
      </c>
      <c r="F139" s="10">
        <v>20</v>
      </c>
      <c r="G139" s="7">
        <f t="shared" si="4"/>
        <v>294</v>
      </c>
      <c r="H139" s="8">
        <f t="shared" si="5"/>
        <v>588</v>
      </c>
    </row>
    <row r="140" spans="1:8" ht="16.5" x14ac:dyDescent="0.3">
      <c r="A140" s="5" t="s">
        <v>292</v>
      </c>
      <c r="B140" s="9">
        <v>2.75</v>
      </c>
      <c r="C140" s="10">
        <v>0</v>
      </c>
      <c r="D140" s="10">
        <v>0</v>
      </c>
      <c r="E140" s="10">
        <v>0</v>
      </c>
      <c r="F140" s="10">
        <v>6</v>
      </c>
      <c r="G140" s="7">
        <f t="shared" si="4"/>
        <v>6</v>
      </c>
      <c r="H140" s="8">
        <f t="shared" si="5"/>
        <v>16.5</v>
      </c>
    </row>
    <row r="141" spans="1:8" ht="16.5" x14ac:dyDescent="0.3">
      <c r="A141" s="5" t="s">
        <v>293</v>
      </c>
      <c r="B141" s="9">
        <v>0</v>
      </c>
      <c r="C141" s="10">
        <v>0</v>
      </c>
      <c r="D141" s="10">
        <v>0</v>
      </c>
      <c r="E141" s="10">
        <v>0</v>
      </c>
      <c r="F141" s="10">
        <v>0</v>
      </c>
      <c r="G141" s="7">
        <f t="shared" si="4"/>
        <v>0</v>
      </c>
      <c r="H141" s="8">
        <f t="shared" si="5"/>
        <v>0</v>
      </c>
    </row>
    <row r="142" spans="1:8" ht="16.5" x14ac:dyDescent="0.3">
      <c r="A142" s="5" t="s">
        <v>294</v>
      </c>
      <c r="B142" s="9">
        <v>1.2</v>
      </c>
      <c r="C142" s="10">
        <v>0</v>
      </c>
      <c r="D142" s="10">
        <v>0</v>
      </c>
      <c r="E142" s="10">
        <v>24</v>
      </c>
      <c r="F142" s="10">
        <v>85</v>
      </c>
      <c r="G142" s="7">
        <f t="shared" si="4"/>
        <v>109</v>
      </c>
      <c r="H142" s="8">
        <f t="shared" si="5"/>
        <v>130.79999999999998</v>
      </c>
    </row>
    <row r="143" spans="1:8" ht="16.5" x14ac:dyDescent="0.3">
      <c r="A143" s="5" t="s">
        <v>295</v>
      </c>
      <c r="B143" s="9">
        <v>0</v>
      </c>
      <c r="C143" s="10">
        <v>0</v>
      </c>
      <c r="D143" s="10">
        <v>0</v>
      </c>
      <c r="E143" s="10">
        <v>0</v>
      </c>
      <c r="F143" s="10">
        <v>0</v>
      </c>
      <c r="G143" s="7">
        <f t="shared" si="4"/>
        <v>0</v>
      </c>
      <c r="H143" s="8">
        <f t="shared" si="5"/>
        <v>0</v>
      </c>
    </row>
    <row r="144" spans="1:8" ht="16.5" x14ac:dyDescent="0.3">
      <c r="A144" s="5" t="s">
        <v>296</v>
      </c>
      <c r="B144" s="9">
        <v>0</v>
      </c>
      <c r="C144" s="10">
        <v>0</v>
      </c>
      <c r="D144" s="10">
        <v>0</v>
      </c>
      <c r="E144" s="10">
        <v>0</v>
      </c>
      <c r="F144" s="10">
        <v>0</v>
      </c>
      <c r="G144" s="7">
        <f t="shared" si="4"/>
        <v>0</v>
      </c>
      <c r="H144" s="8">
        <f t="shared" si="5"/>
        <v>0</v>
      </c>
    </row>
    <row r="145" spans="1:8" ht="16.5" x14ac:dyDescent="0.3">
      <c r="A145" s="5" t="s">
        <v>297</v>
      </c>
      <c r="B145" s="9">
        <v>0.92500000000000004</v>
      </c>
      <c r="C145" s="10">
        <v>5</v>
      </c>
      <c r="D145" s="10">
        <v>55</v>
      </c>
      <c r="E145" s="10">
        <v>8</v>
      </c>
      <c r="F145" s="10">
        <v>4</v>
      </c>
      <c r="G145" s="7">
        <f t="shared" si="4"/>
        <v>72</v>
      </c>
      <c r="H145" s="8">
        <f t="shared" si="5"/>
        <v>66.600000000000009</v>
      </c>
    </row>
    <row r="146" spans="1:8" ht="16.5" x14ac:dyDescent="0.3">
      <c r="A146" s="5" t="s">
        <v>298</v>
      </c>
      <c r="B146" s="9">
        <v>1.3</v>
      </c>
      <c r="C146" s="10">
        <v>15</v>
      </c>
      <c r="D146" s="10">
        <v>0</v>
      </c>
      <c r="E146" s="10">
        <v>0</v>
      </c>
      <c r="F146" s="10">
        <v>0</v>
      </c>
      <c r="G146" s="7">
        <f t="shared" si="4"/>
        <v>15</v>
      </c>
      <c r="H146" s="8">
        <f t="shared" si="5"/>
        <v>19.5</v>
      </c>
    </row>
    <row r="147" spans="1:8" ht="16.5" x14ac:dyDescent="0.3">
      <c r="A147" s="5" t="s">
        <v>299</v>
      </c>
      <c r="B147" s="9">
        <v>5.5</v>
      </c>
      <c r="C147" s="10">
        <v>26</v>
      </c>
      <c r="D147" s="10">
        <v>38</v>
      </c>
      <c r="E147" s="10">
        <v>0</v>
      </c>
      <c r="F147" s="10">
        <v>0</v>
      </c>
      <c r="G147" s="7">
        <f t="shared" si="4"/>
        <v>64</v>
      </c>
      <c r="H147" s="8">
        <f t="shared" si="5"/>
        <v>352</v>
      </c>
    </row>
  </sheetData>
  <sortState ref="A4:H152">
    <sortCondition ref="A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>
      <selection activeCell="B5" sqref="A1:H98"/>
    </sheetView>
  </sheetViews>
  <sheetFormatPr defaultRowHeight="14.25" x14ac:dyDescent="0.2"/>
  <cols>
    <col min="1" max="1" width="10.75" customWidth="1"/>
    <col min="2" max="2" width="10.5" customWidth="1"/>
    <col min="3" max="6" width="10.625" customWidth="1"/>
    <col min="7" max="7" width="16.75" customWidth="1"/>
    <col min="8" max="8" width="19.75" customWidth="1"/>
  </cols>
  <sheetData>
    <row r="1" spans="1:8" ht="30" x14ac:dyDescent="0.2">
      <c r="A1" s="3" t="s">
        <v>407</v>
      </c>
      <c r="B1" s="4" t="s">
        <v>300</v>
      </c>
      <c r="C1" s="4" t="s">
        <v>301</v>
      </c>
      <c r="D1" s="4" t="s">
        <v>302</v>
      </c>
      <c r="E1" s="4" t="s">
        <v>303</v>
      </c>
      <c r="F1" s="4" t="s">
        <v>304</v>
      </c>
      <c r="G1" s="4" t="s">
        <v>305</v>
      </c>
      <c r="H1" s="4" t="s">
        <v>406</v>
      </c>
    </row>
    <row r="2" spans="1:8" ht="16.5" x14ac:dyDescent="0.3">
      <c r="A2" s="5" t="s">
        <v>73</v>
      </c>
      <c r="B2" s="9">
        <v>4.2</v>
      </c>
      <c r="C2" s="10">
        <v>5</v>
      </c>
      <c r="D2" s="10">
        <v>50</v>
      </c>
      <c r="E2" s="10">
        <v>0</v>
      </c>
      <c r="F2" s="10">
        <v>0</v>
      </c>
      <c r="G2" s="7">
        <f>SUM(C2:F2)</f>
        <v>55</v>
      </c>
      <c r="H2" s="8">
        <f>G2*B2</f>
        <v>231</v>
      </c>
    </row>
    <row r="3" spans="1:8" ht="16.5" x14ac:dyDescent="0.3">
      <c r="A3" s="5" t="s">
        <v>72</v>
      </c>
      <c r="B3" s="9">
        <v>1.3</v>
      </c>
      <c r="C3" s="10">
        <v>15</v>
      </c>
      <c r="D3" s="10">
        <v>0</v>
      </c>
      <c r="E3" s="10">
        <v>0</v>
      </c>
      <c r="F3" s="10">
        <v>0</v>
      </c>
      <c r="G3" s="7">
        <f t="shared" ref="G3:G66" si="0">SUM(C3:F3)</f>
        <v>15</v>
      </c>
      <c r="H3" s="8">
        <f t="shared" ref="H3:H66" si="1">G3*B3</f>
        <v>19.5</v>
      </c>
    </row>
    <row r="4" spans="1:8" ht="16.5" x14ac:dyDescent="0.3">
      <c r="A4" s="5" t="s">
        <v>356</v>
      </c>
      <c r="B4" s="9">
        <v>0.82499999999999996</v>
      </c>
      <c r="C4" s="10">
        <v>5</v>
      </c>
      <c r="D4" s="10">
        <v>26</v>
      </c>
      <c r="E4" s="10">
        <v>0</v>
      </c>
      <c r="F4" s="10">
        <v>4</v>
      </c>
      <c r="G4" s="7">
        <f t="shared" si="0"/>
        <v>35</v>
      </c>
      <c r="H4" s="8">
        <f t="shared" si="1"/>
        <v>28.875</v>
      </c>
    </row>
    <row r="5" spans="1:8" ht="16.5" x14ac:dyDescent="0.3">
      <c r="A5" s="5" t="s">
        <v>158</v>
      </c>
      <c r="B5" s="9">
        <v>9.1</v>
      </c>
      <c r="C5" s="10">
        <v>0</v>
      </c>
      <c r="D5" s="10">
        <v>4</v>
      </c>
      <c r="E5" s="10">
        <v>0</v>
      </c>
      <c r="F5" s="10">
        <v>0</v>
      </c>
      <c r="G5" s="7">
        <f t="shared" si="0"/>
        <v>4</v>
      </c>
      <c r="H5" s="8">
        <f t="shared" si="1"/>
        <v>36.4</v>
      </c>
    </row>
    <row r="6" spans="1:8" ht="16.5" x14ac:dyDescent="0.3">
      <c r="A6" s="5" t="s">
        <v>357</v>
      </c>
      <c r="B6" s="9">
        <v>1.2</v>
      </c>
      <c r="C6" s="10">
        <v>0</v>
      </c>
      <c r="D6" s="10">
        <v>0</v>
      </c>
      <c r="E6" s="10">
        <v>3</v>
      </c>
      <c r="F6" s="10">
        <v>80</v>
      </c>
      <c r="G6" s="7">
        <f t="shared" si="0"/>
        <v>83</v>
      </c>
      <c r="H6" s="8">
        <f t="shared" si="1"/>
        <v>99.6</v>
      </c>
    </row>
    <row r="7" spans="1:8" ht="16.5" x14ac:dyDescent="0.3">
      <c r="A7" s="5" t="s">
        <v>358</v>
      </c>
      <c r="B7" s="9">
        <v>2.75</v>
      </c>
      <c r="C7" s="10">
        <v>0</v>
      </c>
      <c r="D7" s="10">
        <v>16</v>
      </c>
      <c r="E7" s="10">
        <v>0</v>
      </c>
      <c r="F7" s="10">
        <v>11</v>
      </c>
      <c r="G7" s="7">
        <f t="shared" si="0"/>
        <v>27</v>
      </c>
      <c r="H7" s="8">
        <f t="shared" si="1"/>
        <v>74.25</v>
      </c>
    </row>
    <row r="8" spans="1:8" ht="16.5" x14ac:dyDescent="0.3">
      <c r="A8" s="5" t="s">
        <v>70</v>
      </c>
      <c r="B8" s="9">
        <v>2</v>
      </c>
      <c r="C8" s="10">
        <v>50</v>
      </c>
      <c r="D8" s="10">
        <v>212</v>
      </c>
      <c r="E8" s="10">
        <v>86</v>
      </c>
      <c r="F8" s="10">
        <v>16</v>
      </c>
      <c r="G8" s="7">
        <f t="shared" si="0"/>
        <v>364</v>
      </c>
      <c r="H8" s="8">
        <f t="shared" si="1"/>
        <v>728</v>
      </c>
    </row>
    <row r="9" spans="1:8" ht="16.5" x14ac:dyDescent="0.3">
      <c r="A9" s="5" t="s">
        <v>359</v>
      </c>
      <c r="B9" s="9">
        <v>1.25</v>
      </c>
      <c r="C9" s="10">
        <v>0</v>
      </c>
      <c r="D9" s="10">
        <v>0</v>
      </c>
      <c r="E9" s="10">
        <v>0</v>
      </c>
      <c r="F9" s="10">
        <v>90</v>
      </c>
      <c r="G9" s="7">
        <f t="shared" si="0"/>
        <v>90</v>
      </c>
      <c r="H9" s="8">
        <f t="shared" si="1"/>
        <v>112.5</v>
      </c>
    </row>
    <row r="10" spans="1:8" ht="16.5" x14ac:dyDescent="0.3">
      <c r="A10" s="5" t="s">
        <v>360</v>
      </c>
      <c r="B10" s="9">
        <v>0.9</v>
      </c>
      <c r="C10" s="10">
        <v>0</v>
      </c>
      <c r="D10" s="10">
        <v>40</v>
      </c>
      <c r="E10" s="10">
        <v>80</v>
      </c>
      <c r="F10" s="10">
        <v>19</v>
      </c>
      <c r="G10" s="7">
        <f t="shared" si="0"/>
        <v>139</v>
      </c>
      <c r="H10" s="8">
        <f t="shared" si="1"/>
        <v>125.10000000000001</v>
      </c>
    </row>
    <row r="11" spans="1:8" ht="16.5" x14ac:dyDescent="0.3">
      <c r="A11" s="5" t="s">
        <v>361</v>
      </c>
      <c r="B11" s="9">
        <v>3.5</v>
      </c>
      <c r="C11" s="10">
        <v>0</v>
      </c>
      <c r="D11" s="10">
        <v>13</v>
      </c>
      <c r="E11" s="10">
        <v>0</v>
      </c>
      <c r="F11" s="10">
        <v>0</v>
      </c>
      <c r="G11" s="7">
        <f t="shared" si="0"/>
        <v>13</v>
      </c>
      <c r="H11" s="8">
        <f t="shared" si="1"/>
        <v>45.5</v>
      </c>
    </row>
    <row r="12" spans="1:8" ht="16.5" x14ac:dyDescent="0.3">
      <c r="A12" s="5" t="s">
        <v>362</v>
      </c>
      <c r="B12" s="9">
        <v>6.85</v>
      </c>
      <c r="C12" s="10">
        <v>10</v>
      </c>
      <c r="D12" s="10">
        <v>48</v>
      </c>
      <c r="E12" s="10">
        <v>9.1</v>
      </c>
      <c r="F12" s="10">
        <v>0</v>
      </c>
      <c r="G12" s="7">
        <f t="shared" si="0"/>
        <v>67.099999999999994</v>
      </c>
      <c r="H12" s="8">
        <f t="shared" si="1"/>
        <v>459.63499999999993</v>
      </c>
    </row>
    <row r="13" spans="1:8" ht="16.5" x14ac:dyDescent="0.3">
      <c r="A13" s="5" t="s">
        <v>363</v>
      </c>
      <c r="B13" s="9">
        <v>1.5249999999999999</v>
      </c>
      <c r="C13" s="10">
        <v>0</v>
      </c>
      <c r="D13" s="10">
        <v>0</v>
      </c>
      <c r="E13" s="10">
        <v>0</v>
      </c>
      <c r="F13" s="10">
        <v>54</v>
      </c>
      <c r="G13" s="7">
        <f t="shared" si="0"/>
        <v>54</v>
      </c>
      <c r="H13" s="8">
        <f t="shared" si="1"/>
        <v>82.35</v>
      </c>
    </row>
    <row r="14" spans="1:8" ht="16.5" x14ac:dyDescent="0.3">
      <c r="A14" s="5" t="s">
        <v>203</v>
      </c>
      <c r="B14" s="9">
        <v>4.4249999999999998</v>
      </c>
      <c r="C14" s="10">
        <v>20</v>
      </c>
      <c r="D14" s="10">
        <v>75.5</v>
      </c>
      <c r="E14" s="10">
        <v>0</v>
      </c>
      <c r="F14" s="10">
        <v>6</v>
      </c>
      <c r="G14" s="7">
        <f t="shared" si="0"/>
        <v>101.5</v>
      </c>
      <c r="H14" s="8">
        <f t="shared" si="1"/>
        <v>449.13749999999999</v>
      </c>
    </row>
    <row r="15" spans="1:8" ht="16.5" x14ac:dyDescent="0.3">
      <c r="A15" s="5" t="s">
        <v>364</v>
      </c>
      <c r="B15" s="9">
        <v>1.65</v>
      </c>
      <c r="C15" s="10">
        <v>24</v>
      </c>
      <c r="D15" s="10">
        <v>105</v>
      </c>
      <c r="E15" s="10">
        <v>64</v>
      </c>
      <c r="F15" s="10">
        <v>32</v>
      </c>
      <c r="G15" s="7">
        <f t="shared" si="0"/>
        <v>225</v>
      </c>
      <c r="H15" s="8">
        <f t="shared" si="1"/>
        <v>371.25</v>
      </c>
    </row>
    <row r="16" spans="1:8" ht="16.5" x14ac:dyDescent="0.3">
      <c r="A16" s="5" t="s">
        <v>166</v>
      </c>
      <c r="B16" s="9">
        <v>1.65</v>
      </c>
      <c r="C16" s="10">
        <v>0</v>
      </c>
      <c r="D16" s="10">
        <v>671</v>
      </c>
      <c r="E16" s="10">
        <v>0</v>
      </c>
      <c r="F16" s="10">
        <v>140</v>
      </c>
      <c r="G16" s="7">
        <f t="shared" si="0"/>
        <v>811</v>
      </c>
      <c r="H16" s="8">
        <f t="shared" si="1"/>
        <v>1338.1499999999999</v>
      </c>
    </row>
    <row r="17" spans="1:8" ht="16.5" x14ac:dyDescent="0.3">
      <c r="A17" s="5" t="s">
        <v>67</v>
      </c>
      <c r="B17" s="9">
        <v>5.2</v>
      </c>
      <c r="C17" s="10">
        <v>0</v>
      </c>
      <c r="D17" s="10">
        <v>13.8</v>
      </c>
      <c r="E17" s="10">
        <v>8</v>
      </c>
      <c r="F17" s="10">
        <v>0</v>
      </c>
      <c r="G17" s="7">
        <f t="shared" si="0"/>
        <v>21.8</v>
      </c>
      <c r="H17" s="8">
        <f t="shared" si="1"/>
        <v>113.36000000000001</v>
      </c>
    </row>
    <row r="18" spans="1:8" ht="16.5" x14ac:dyDescent="0.3">
      <c r="A18" s="5" t="s">
        <v>115</v>
      </c>
      <c r="B18" s="9">
        <v>2.0499999999999998</v>
      </c>
      <c r="C18" s="10">
        <v>20</v>
      </c>
      <c r="D18" s="10">
        <v>0</v>
      </c>
      <c r="E18" s="10">
        <v>20</v>
      </c>
      <c r="F18" s="10">
        <v>0</v>
      </c>
      <c r="G18" s="7">
        <f t="shared" si="0"/>
        <v>40</v>
      </c>
      <c r="H18" s="8">
        <f t="shared" si="1"/>
        <v>82</v>
      </c>
    </row>
    <row r="19" spans="1:8" ht="16.5" x14ac:dyDescent="0.3">
      <c r="A19" s="5" t="s">
        <v>92</v>
      </c>
      <c r="B19" s="9">
        <v>2.3250000000000002</v>
      </c>
      <c r="C19" s="10">
        <v>0</v>
      </c>
      <c r="D19" s="10">
        <v>0</v>
      </c>
      <c r="E19" s="10">
        <v>0</v>
      </c>
      <c r="F19" s="10">
        <v>105</v>
      </c>
      <c r="G19" s="7">
        <f t="shared" si="0"/>
        <v>105</v>
      </c>
      <c r="H19" s="8">
        <f t="shared" si="1"/>
        <v>244.12500000000003</v>
      </c>
    </row>
    <row r="20" spans="1:8" ht="16.5" x14ac:dyDescent="0.3">
      <c r="A20" s="5" t="s">
        <v>365</v>
      </c>
      <c r="B20" s="9">
        <v>1.56</v>
      </c>
      <c r="C20" s="10">
        <v>0</v>
      </c>
      <c r="D20" s="10">
        <v>4</v>
      </c>
      <c r="E20" s="10">
        <v>0</v>
      </c>
      <c r="F20" s="10">
        <v>0</v>
      </c>
      <c r="G20" s="7">
        <f t="shared" si="0"/>
        <v>4</v>
      </c>
      <c r="H20" s="8">
        <f t="shared" si="1"/>
        <v>6.24</v>
      </c>
    </row>
    <row r="21" spans="1:8" ht="16.5" x14ac:dyDescent="0.3">
      <c r="A21" s="6" t="s">
        <v>200</v>
      </c>
      <c r="B21" s="9">
        <v>4.45</v>
      </c>
      <c r="C21" s="10">
        <v>0</v>
      </c>
      <c r="D21" s="10">
        <v>1</v>
      </c>
      <c r="E21" s="10">
        <v>1.5</v>
      </c>
      <c r="F21" s="10">
        <v>0</v>
      </c>
      <c r="G21" s="7">
        <f t="shared" si="0"/>
        <v>2.5</v>
      </c>
      <c r="H21" s="8">
        <f t="shared" si="1"/>
        <v>11.125</v>
      </c>
    </row>
    <row r="22" spans="1:8" ht="16.5" x14ac:dyDescent="0.3">
      <c r="A22" s="5" t="s">
        <v>366</v>
      </c>
      <c r="B22" s="9">
        <v>8</v>
      </c>
      <c r="C22" s="10">
        <v>0</v>
      </c>
      <c r="D22" s="10">
        <v>0</v>
      </c>
      <c r="E22" s="10">
        <v>1</v>
      </c>
      <c r="F22" s="10">
        <v>0</v>
      </c>
      <c r="G22" s="7">
        <f t="shared" si="0"/>
        <v>1</v>
      </c>
      <c r="H22" s="8">
        <f t="shared" si="1"/>
        <v>8</v>
      </c>
    </row>
    <row r="23" spans="1:8" ht="16.5" x14ac:dyDescent="0.3">
      <c r="A23" s="5" t="s">
        <v>65</v>
      </c>
      <c r="B23" s="9">
        <v>2.15</v>
      </c>
      <c r="C23" s="10">
        <v>0</v>
      </c>
      <c r="D23" s="10">
        <v>124.8</v>
      </c>
      <c r="E23" s="10">
        <v>0</v>
      </c>
      <c r="F23" s="10">
        <v>65</v>
      </c>
      <c r="G23" s="7">
        <f t="shared" si="0"/>
        <v>189.8</v>
      </c>
      <c r="H23" s="8">
        <f t="shared" si="1"/>
        <v>408.07</v>
      </c>
    </row>
    <row r="24" spans="1:8" ht="16.5" x14ac:dyDescent="0.3">
      <c r="A24" s="5" t="s">
        <v>367</v>
      </c>
      <c r="B24" s="9">
        <v>4.5999999999999996</v>
      </c>
      <c r="C24" s="10">
        <v>10</v>
      </c>
      <c r="D24" s="10">
        <v>212</v>
      </c>
      <c r="E24" s="10">
        <v>8</v>
      </c>
      <c r="F24" s="10">
        <v>9</v>
      </c>
      <c r="G24" s="7">
        <f t="shared" si="0"/>
        <v>239</v>
      </c>
      <c r="H24" s="8">
        <f t="shared" si="1"/>
        <v>1099.3999999999999</v>
      </c>
    </row>
    <row r="25" spans="1:8" ht="16.5" x14ac:dyDescent="0.3">
      <c r="A25" s="5" t="s">
        <v>63</v>
      </c>
      <c r="B25" s="9">
        <v>2.8</v>
      </c>
      <c r="C25" s="10">
        <v>10</v>
      </c>
      <c r="D25" s="10">
        <v>48</v>
      </c>
      <c r="E25" s="10">
        <v>13</v>
      </c>
      <c r="F25" s="10">
        <v>6</v>
      </c>
      <c r="G25" s="7">
        <f t="shared" si="0"/>
        <v>77</v>
      </c>
      <c r="H25" s="8">
        <f t="shared" si="1"/>
        <v>215.6</v>
      </c>
    </row>
    <row r="26" spans="1:8" ht="16.5" x14ac:dyDescent="0.3">
      <c r="A26" s="5" t="s">
        <v>368</v>
      </c>
      <c r="B26" s="9">
        <v>10.4</v>
      </c>
      <c r="C26" s="10">
        <v>0</v>
      </c>
      <c r="D26" s="10">
        <v>0</v>
      </c>
      <c r="E26" s="10">
        <v>1</v>
      </c>
      <c r="F26" s="10">
        <v>0</v>
      </c>
      <c r="G26" s="7">
        <f t="shared" si="0"/>
        <v>1</v>
      </c>
      <c r="H26" s="8">
        <f t="shared" si="1"/>
        <v>10.4</v>
      </c>
    </row>
    <row r="27" spans="1:8" ht="16.5" x14ac:dyDescent="0.3">
      <c r="A27" s="5" t="s">
        <v>62</v>
      </c>
      <c r="B27" s="9">
        <v>3.5</v>
      </c>
      <c r="C27" s="10">
        <v>10</v>
      </c>
      <c r="D27" s="10">
        <v>51</v>
      </c>
      <c r="E27" s="10">
        <v>10</v>
      </c>
      <c r="F27" s="10">
        <v>8</v>
      </c>
      <c r="G27" s="7">
        <f t="shared" si="0"/>
        <v>79</v>
      </c>
      <c r="H27" s="8">
        <f t="shared" si="1"/>
        <v>276.5</v>
      </c>
    </row>
    <row r="28" spans="1:8" ht="16.5" x14ac:dyDescent="0.3">
      <c r="A28" s="5" t="s">
        <v>61</v>
      </c>
      <c r="B28" s="9">
        <v>5.0999999999999996</v>
      </c>
      <c r="C28" s="10">
        <v>0</v>
      </c>
      <c r="D28" s="10">
        <v>12</v>
      </c>
      <c r="E28" s="10">
        <v>0</v>
      </c>
      <c r="F28" s="10">
        <v>8</v>
      </c>
      <c r="G28" s="7">
        <f t="shared" si="0"/>
        <v>20</v>
      </c>
      <c r="H28" s="8">
        <f t="shared" si="1"/>
        <v>102</v>
      </c>
    </row>
    <row r="29" spans="1:8" ht="16.5" x14ac:dyDescent="0.3">
      <c r="A29" s="5" t="s">
        <v>369</v>
      </c>
      <c r="B29" s="9">
        <v>1.925</v>
      </c>
      <c r="C29" s="10">
        <v>0</v>
      </c>
      <c r="D29" s="10">
        <v>0</v>
      </c>
      <c r="E29" s="10">
        <v>4</v>
      </c>
      <c r="F29" s="10">
        <v>0</v>
      </c>
      <c r="G29" s="7">
        <f t="shared" si="0"/>
        <v>4</v>
      </c>
      <c r="H29" s="8">
        <f t="shared" si="1"/>
        <v>7.7</v>
      </c>
    </row>
    <row r="30" spans="1:8" ht="16.5" x14ac:dyDescent="0.3">
      <c r="A30" s="5" t="s">
        <v>408</v>
      </c>
      <c r="B30" s="9">
        <v>3.2</v>
      </c>
      <c r="C30" s="10">
        <v>250</v>
      </c>
      <c r="D30" s="10">
        <v>974</v>
      </c>
      <c r="E30" s="10">
        <v>288</v>
      </c>
      <c r="F30" s="10">
        <v>210</v>
      </c>
      <c r="G30" s="7">
        <f t="shared" si="0"/>
        <v>1722</v>
      </c>
      <c r="H30" s="8">
        <f t="shared" si="1"/>
        <v>5510.4000000000005</v>
      </c>
    </row>
    <row r="31" spans="1:8" ht="16.5" x14ac:dyDescent="0.3">
      <c r="A31" s="5" t="s">
        <v>370</v>
      </c>
      <c r="B31" s="9">
        <v>1.95</v>
      </c>
      <c r="C31" s="10">
        <v>0</v>
      </c>
      <c r="D31" s="10">
        <v>0</v>
      </c>
      <c r="E31" s="10">
        <v>1.2</v>
      </c>
      <c r="F31" s="10">
        <v>0</v>
      </c>
      <c r="G31" s="7">
        <f t="shared" si="0"/>
        <v>1.2</v>
      </c>
      <c r="H31" s="8">
        <f t="shared" si="1"/>
        <v>2.34</v>
      </c>
    </row>
    <row r="32" spans="1:8" ht="16.5" x14ac:dyDescent="0.3">
      <c r="A32" s="5" t="s">
        <v>164</v>
      </c>
      <c r="B32" s="9">
        <v>6.4</v>
      </c>
      <c r="C32" s="10">
        <v>0</v>
      </c>
      <c r="D32" s="10">
        <v>46</v>
      </c>
      <c r="E32" s="10">
        <v>0</v>
      </c>
      <c r="F32" s="10">
        <v>0</v>
      </c>
      <c r="G32" s="7">
        <f t="shared" si="0"/>
        <v>46</v>
      </c>
      <c r="H32" s="8">
        <f t="shared" si="1"/>
        <v>294.40000000000003</v>
      </c>
    </row>
    <row r="33" spans="1:8" ht="16.5" x14ac:dyDescent="0.3">
      <c r="A33" s="5" t="s">
        <v>371</v>
      </c>
      <c r="B33" s="9">
        <v>1.75</v>
      </c>
      <c r="C33" s="10">
        <v>160</v>
      </c>
      <c r="D33" s="10">
        <v>238</v>
      </c>
      <c r="E33" s="10">
        <v>100</v>
      </c>
      <c r="F33" s="10">
        <v>30</v>
      </c>
      <c r="G33" s="7">
        <f t="shared" si="0"/>
        <v>528</v>
      </c>
      <c r="H33" s="8">
        <f t="shared" si="1"/>
        <v>924</v>
      </c>
    </row>
    <row r="34" spans="1:8" ht="16.5" x14ac:dyDescent="0.3">
      <c r="A34" s="5" t="s">
        <v>332</v>
      </c>
      <c r="B34" s="9">
        <v>2.2000000000000002</v>
      </c>
      <c r="C34" s="10">
        <v>0</v>
      </c>
      <c r="D34" s="10">
        <v>23</v>
      </c>
      <c r="E34" s="10">
        <v>0</v>
      </c>
      <c r="F34" s="10">
        <v>0</v>
      </c>
      <c r="G34" s="7">
        <f t="shared" si="0"/>
        <v>23</v>
      </c>
      <c r="H34" s="8">
        <f t="shared" si="1"/>
        <v>50.6</v>
      </c>
    </row>
    <row r="35" spans="1:8" ht="16.5" x14ac:dyDescent="0.3">
      <c r="A35" s="5" t="s">
        <v>58</v>
      </c>
      <c r="B35" s="9">
        <v>1.9</v>
      </c>
      <c r="C35" s="10">
        <v>39</v>
      </c>
      <c r="D35" s="10">
        <v>134</v>
      </c>
      <c r="E35" s="10">
        <v>20</v>
      </c>
      <c r="F35" s="10">
        <v>60</v>
      </c>
      <c r="G35" s="7">
        <f t="shared" si="0"/>
        <v>253</v>
      </c>
      <c r="H35" s="8">
        <f t="shared" si="1"/>
        <v>480.7</v>
      </c>
    </row>
    <row r="36" spans="1:8" ht="16.5" x14ac:dyDescent="0.3">
      <c r="A36" s="5" t="s">
        <v>355</v>
      </c>
      <c r="B36" s="9">
        <v>6</v>
      </c>
      <c r="C36" s="10">
        <v>0</v>
      </c>
      <c r="D36" s="10">
        <v>182</v>
      </c>
      <c r="E36" s="10">
        <v>0</v>
      </c>
      <c r="F36" s="10">
        <v>10</v>
      </c>
      <c r="G36" s="7">
        <f t="shared" si="0"/>
        <v>192</v>
      </c>
      <c r="H36" s="8">
        <f t="shared" si="1"/>
        <v>1152</v>
      </c>
    </row>
    <row r="37" spans="1:8" ht="16.5" x14ac:dyDescent="0.3">
      <c r="A37" s="5" t="s">
        <v>354</v>
      </c>
      <c r="B37" s="9">
        <v>3.1</v>
      </c>
      <c r="C37" s="10">
        <v>0</v>
      </c>
      <c r="D37" s="10">
        <v>2</v>
      </c>
      <c r="E37" s="10">
        <v>0</v>
      </c>
      <c r="F37" s="10">
        <v>0</v>
      </c>
      <c r="G37" s="7">
        <f t="shared" si="0"/>
        <v>2</v>
      </c>
      <c r="H37" s="8">
        <f t="shared" si="1"/>
        <v>6.2</v>
      </c>
    </row>
    <row r="38" spans="1:8" ht="16.5" x14ac:dyDescent="0.3">
      <c r="A38" s="5" t="s">
        <v>372</v>
      </c>
      <c r="B38" s="9">
        <v>3.1</v>
      </c>
      <c r="C38" s="10">
        <v>22</v>
      </c>
      <c r="D38" s="10">
        <v>20</v>
      </c>
      <c r="E38" s="10">
        <v>1</v>
      </c>
      <c r="F38" s="10">
        <v>8</v>
      </c>
      <c r="G38" s="7">
        <f t="shared" si="0"/>
        <v>51</v>
      </c>
      <c r="H38" s="8">
        <f t="shared" si="1"/>
        <v>158.1</v>
      </c>
    </row>
    <row r="39" spans="1:8" ht="16.5" x14ac:dyDescent="0.3">
      <c r="A39" s="5" t="s">
        <v>55</v>
      </c>
      <c r="B39" s="9">
        <v>5</v>
      </c>
      <c r="C39" s="10">
        <v>5</v>
      </c>
      <c r="D39" s="10">
        <v>77</v>
      </c>
      <c r="E39" s="10">
        <v>11</v>
      </c>
      <c r="F39" s="10">
        <v>8</v>
      </c>
      <c r="G39" s="7">
        <f t="shared" si="0"/>
        <v>101</v>
      </c>
      <c r="H39" s="8">
        <f t="shared" si="1"/>
        <v>505</v>
      </c>
    </row>
    <row r="40" spans="1:8" ht="16.5" x14ac:dyDescent="0.3">
      <c r="A40" s="5" t="s">
        <v>90</v>
      </c>
      <c r="B40" s="9">
        <v>6.5</v>
      </c>
      <c r="C40" s="10">
        <v>0</v>
      </c>
      <c r="D40" s="10">
        <v>2</v>
      </c>
      <c r="E40" s="10">
        <v>5</v>
      </c>
      <c r="F40" s="10">
        <v>0</v>
      </c>
      <c r="G40" s="7">
        <f t="shared" si="0"/>
        <v>7</v>
      </c>
      <c r="H40" s="8">
        <f t="shared" si="1"/>
        <v>45.5</v>
      </c>
    </row>
    <row r="41" spans="1:8" ht="16.5" x14ac:dyDescent="0.3">
      <c r="A41" s="5" t="s">
        <v>170</v>
      </c>
      <c r="B41" s="9">
        <v>1.25</v>
      </c>
      <c r="C41" s="10">
        <v>0</v>
      </c>
      <c r="D41" s="10">
        <v>42</v>
      </c>
      <c r="E41" s="10">
        <v>61</v>
      </c>
      <c r="F41" s="10">
        <v>34</v>
      </c>
      <c r="G41" s="7">
        <f t="shared" si="0"/>
        <v>137</v>
      </c>
      <c r="H41" s="8">
        <f t="shared" si="1"/>
        <v>171.25</v>
      </c>
    </row>
    <row r="42" spans="1:8" ht="16.5" x14ac:dyDescent="0.3">
      <c r="A42" s="5" t="s">
        <v>373</v>
      </c>
      <c r="B42" s="9">
        <v>2.5</v>
      </c>
      <c r="C42" s="10">
        <v>10</v>
      </c>
      <c r="D42" s="10">
        <v>51</v>
      </c>
      <c r="E42" s="10">
        <v>6</v>
      </c>
      <c r="F42" s="10">
        <v>6</v>
      </c>
      <c r="G42" s="7">
        <f t="shared" si="0"/>
        <v>73</v>
      </c>
      <c r="H42" s="8">
        <f t="shared" si="1"/>
        <v>182.5</v>
      </c>
    </row>
    <row r="43" spans="1:8" ht="16.5" x14ac:dyDescent="0.3">
      <c r="A43" s="5" t="s">
        <v>12</v>
      </c>
      <c r="B43" s="9">
        <v>1.25</v>
      </c>
      <c r="C43" s="10">
        <v>0</v>
      </c>
      <c r="D43" s="10">
        <v>19</v>
      </c>
      <c r="E43" s="10">
        <v>5</v>
      </c>
      <c r="F43" s="10">
        <v>0</v>
      </c>
      <c r="G43" s="7">
        <f t="shared" si="0"/>
        <v>24</v>
      </c>
      <c r="H43" s="8">
        <f t="shared" si="1"/>
        <v>30</v>
      </c>
    </row>
    <row r="44" spans="1:8" ht="16.5" x14ac:dyDescent="0.3">
      <c r="A44" s="5" t="s">
        <v>54</v>
      </c>
      <c r="B44" s="9">
        <v>2.5999999999999996</v>
      </c>
      <c r="C44" s="10">
        <v>10</v>
      </c>
      <c r="D44" s="10">
        <v>19</v>
      </c>
      <c r="E44" s="10">
        <v>31</v>
      </c>
      <c r="F44" s="10">
        <v>20</v>
      </c>
      <c r="G44" s="7">
        <f t="shared" si="0"/>
        <v>80</v>
      </c>
      <c r="H44" s="8">
        <f t="shared" si="1"/>
        <v>207.99999999999997</v>
      </c>
    </row>
    <row r="45" spans="1:8" ht="16.5" x14ac:dyDescent="0.3">
      <c r="A45" s="5" t="s">
        <v>374</v>
      </c>
      <c r="B45" s="9">
        <v>3.4000000000000004</v>
      </c>
      <c r="C45" s="10">
        <v>6</v>
      </c>
      <c r="D45" s="10">
        <v>22</v>
      </c>
      <c r="E45" s="10">
        <v>0</v>
      </c>
      <c r="F45" s="10">
        <v>0</v>
      </c>
      <c r="G45" s="7">
        <f t="shared" si="0"/>
        <v>28</v>
      </c>
      <c r="H45" s="8">
        <f t="shared" si="1"/>
        <v>95.200000000000017</v>
      </c>
    </row>
    <row r="46" spans="1:8" ht="16.5" x14ac:dyDescent="0.3">
      <c r="A46" s="5" t="s">
        <v>52</v>
      </c>
      <c r="B46" s="9">
        <v>6.4</v>
      </c>
      <c r="C46" s="10">
        <v>10</v>
      </c>
      <c r="D46" s="10">
        <v>0</v>
      </c>
      <c r="E46" s="10">
        <v>4.8</v>
      </c>
      <c r="F46" s="10">
        <v>0</v>
      </c>
      <c r="G46" s="7">
        <f t="shared" si="0"/>
        <v>14.8</v>
      </c>
      <c r="H46" s="8">
        <f t="shared" si="1"/>
        <v>94.720000000000013</v>
      </c>
    </row>
    <row r="47" spans="1:8" ht="16.5" x14ac:dyDescent="0.3">
      <c r="A47" s="6" t="s">
        <v>353</v>
      </c>
      <c r="B47" s="9">
        <v>1.75</v>
      </c>
      <c r="C47" s="10">
        <v>0</v>
      </c>
      <c r="D47" s="10">
        <v>0</v>
      </c>
      <c r="E47" s="10">
        <v>52</v>
      </c>
      <c r="F47" s="10">
        <v>0</v>
      </c>
      <c r="G47" s="7">
        <f t="shared" si="0"/>
        <v>52</v>
      </c>
      <c r="H47" s="8">
        <f t="shared" si="1"/>
        <v>91</v>
      </c>
    </row>
    <row r="48" spans="1:8" ht="16.5" x14ac:dyDescent="0.3">
      <c r="A48" s="5" t="s">
        <v>169</v>
      </c>
      <c r="B48" s="9">
        <v>2.1709999999999998</v>
      </c>
      <c r="C48" s="10">
        <v>0</v>
      </c>
      <c r="D48" s="10">
        <v>2</v>
      </c>
      <c r="E48" s="10">
        <v>4</v>
      </c>
      <c r="F48" s="10">
        <v>0</v>
      </c>
      <c r="G48" s="7">
        <f t="shared" si="0"/>
        <v>6</v>
      </c>
      <c r="H48" s="8">
        <f t="shared" si="1"/>
        <v>13.026</v>
      </c>
    </row>
    <row r="49" spans="1:8" ht="16.5" x14ac:dyDescent="0.3">
      <c r="A49" s="5" t="s">
        <v>375</v>
      </c>
      <c r="B49" s="9">
        <v>6.25</v>
      </c>
      <c r="C49" s="10">
        <v>0</v>
      </c>
      <c r="D49" s="10">
        <v>12</v>
      </c>
      <c r="E49" s="10">
        <v>0</v>
      </c>
      <c r="F49" s="10">
        <v>0</v>
      </c>
      <c r="G49" s="7">
        <f t="shared" si="0"/>
        <v>12</v>
      </c>
      <c r="H49" s="8">
        <f t="shared" si="1"/>
        <v>75</v>
      </c>
    </row>
    <row r="50" spans="1:8" ht="16.5" x14ac:dyDescent="0.3">
      <c r="A50" s="5" t="s">
        <v>376</v>
      </c>
      <c r="B50" s="9">
        <v>3</v>
      </c>
      <c r="C50" s="10">
        <v>0</v>
      </c>
      <c r="D50" s="10">
        <v>10</v>
      </c>
      <c r="E50" s="10">
        <v>0</v>
      </c>
      <c r="F50" s="10">
        <v>0</v>
      </c>
      <c r="G50" s="7">
        <f t="shared" si="0"/>
        <v>10</v>
      </c>
      <c r="H50" s="8">
        <f t="shared" si="1"/>
        <v>30</v>
      </c>
    </row>
    <row r="51" spans="1:8" ht="16.5" x14ac:dyDescent="0.3">
      <c r="A51" s="5" t="s">
        <v>377</v>
      </c>
      <c r="B51" s="9">
        <v>1.35</v>
      </c>
      <c r="C51" s="10">
        <v>240</v>
      </c>
      <c r="D51" s="10">
        <v>292</v>
      </c>
      <c r="E51" s="10">
        <v>84</v>
      </c>
      <c r="F51" s="10">
        <v>116</v>
      </c>
      <c r="G51" s="7">
        <f t="shared" si="0"/>
        <v>732</v>
      </c>
      <c r="H51" s="8">
        <f t="shared" si="1"/>
        <v>988.2</v>
      </c>
    </row>
    <row r="52" spans="1:8" ht="16.5" x14ac:dyDescent="0.3">
      <c r="A52" s="5" t="s">
        <v>85</v>
      </c>
      <c r="B52" s="9">
        <v>18.2</v>
      </c>
      <c r="C52" s="10">
        <v>0</v>
      </c>
      <c r="D52" s="10">
        <v>2</v>
      </c>
      <c r="E52" s="10">
        <v>0</v>
      </c>
      <c r="F52" s="10">
        <v>0</v>
      </c>
      <c r="G52" s="7">
        <f t="shared" si="0"/>
        <v>2</v>
      </c>
      <c r="H52" s="8">
        <f t="shared" si="1"/>
        <v>36.4</v>
      </c>
    </row>
    <row r="53" spans="1:8" ht="16.5" x14ac:dyDescent="0.3">
      <c r="A53" s="5" t="s">
        <v>10</v>
      </c>
      <c r="B53" s="9">
        <v>5.45</v>
      </c>
      <c r="C53" s="10">
        <v>0</v>
      </c>
      <c r="D53" s="10">
        <v>11</v>
      </c>
      <c r="E53" s="10">
        <v>0</v>
      </c>
      <c r="F53" s="10">
        <v>0</v>
      </c>
      <c r="G53" s="7">
        <f t="shared" si="0"/>
        <v>11</v>
      </c>
      <c r="H53" s="8">
        <f t="shared" si="1"/>
        <v>59.95</v>
      </c>
    </row>
    <row r="54" spans="1:8" ht="16.5" x14ac:dyDescent="0.3">
      <c r="A54" s="5" t="s">
        <v>352</v>
      </c>
      <c r="B54" s="9">
        <v>4.5</v>
      </c>
      <c r="C54" s="10">
        <v>20</v>
      </c>
      <c r="D54" s="10">
        <v>20</v>
      </c>
      <c r="E54" s="10">
        <v>0</v>
      </c>
      <c r="F54" s="10">
        <v>0</v>
      </c>
      <c r="G54" s="7">
        <f t="shared" si="0"/>
        <v>40</v>
      </c>
      <c r="H54" s="8">
        <f t="shared" si="1"/>
        <v>180</v>
      </c>
    </row>
    <row r="55" spans="1:8" ht="16.5" x14ac:dyDescent="0.3">
      <c r="A55" s="5" t="s">
        <v>378</v>
      </c>
      <c r="B55" s="9">
        <v>3.45</v>
      </c>
      <c r="C55" s="10">
        <v>32</v>
      </c>
      <c r="D55" s="10">
        <v>2</v>
      </c>
      <c r="E55" s="10">
        <v>3</v>
      </c>
      <c r="F55" s="10">
        <v>0</v>
      </c>
      <c r="G55" s="7">
        <f t="shared" si="0"/>
        <v>37</v>
      </c>
      <c r="H55" s="8">
        <f t="shared" si="1"/>
        <v>127.65</v>
      </c>
    </row>
    <row r="56" spans="1:8" ht="16.5" x14ac:dyDescent="0.3">
      <c r="A56" s="5" t="s">
        <v>351</v>
      </c>
      <c r="B56" s="9">
        <v>1.95</v>
      </c>
      <c r="C56" s="10">
        <v>0</v>
      </c>
      <c r="D56" s="10">
        <v>0</v>
      </c>
      <c r="E56" s="10">
        <v>20</v>
      </c>
      <c r="F56" s="10">
        <v>0</v>
      </c>
      <c r="G56" s="7">
        <f t="shared" si="0"/>
        <v>20</v>
      </c>
      <c r="H56" s="8">
        <f t="shared" si="1"/>
        <v>39</v>
      </c>
    </row>
    <row r="57" spans="1:8" ht="16.5" x14ac:dyDescent="0.3">
      <c r="A57" s="5" t="s">
        <v>379</v>
      </c>
      <c r="B57" s="9">
        <v>2.25</v>
      </c>
      <c r="C57" s="10">
        <v>0</v>
      </c>
      <c r="D57" s="10">
        <v>12</v>
      </c>
      <c r="E57" s="10">
        <v>0</v>
      </c>
      <c r="F57" s="10">
        <v>0</v>
      </c>
      <c r="G57" s="7">
        <f t="shared" si="0"/>
        <v>12</v>
      </c>
      <c r="H57" s="8">
        <f t="shared" si="1"/>
        <v>27</v>
      </c>
    </row>
    <row r="58" spans="1:8" ht="16.5" x14ac:dyDescent="0.3">
      <c r="A58" s="5" t="s">
        <v>380</v>
      </c>
      <c r="B58" s="9">
        <v>3.5</v>
      </c>
      <c r="C58" s="10">
        <v>22.5</v>
      </c>
      <c r="D58" s="10">
        <v>84</v>
      </c>
      <c r="E58" s="10">
        <v>0</v>
      </c>
      <c r="F58" s="10">
        <v>15</v>
      </c>
      <c r="G58" s="7">
        <f t="shared" si="0"/>
        <v>121.5</v>
      </c>
      <c r="H58" s="8">
        <f t="shared" si="1"/>
        <v>425.25</v>
      </c>
    </row>
    <row r="59" spans="1:8" ht="16.5" x14ac:dyDescent="0.3">
      <c r="A59" s="5" t="s">
        <v>381</v>
      </c>
      <c r="B59" s="9">
        <v>3.1</v>
      </c>
      <c r="C59" s="10">
        <v>0</v>
      </c>
      <c r="D59" s="10">
        <v>35</v>
      </c>
      <c r="E59" s="10">
        <v>0</v>
      </c>
      <c r="F59" s="10">
        <v>0</v>
      </c>
      <c r="G59" s="7">
        <f t="shared" si="0"/>
        <v>35</v>
      </c>
      <c r="H59" s="8">
        <f t="shared" si="1"/>
        <v>108.5</v>
      </c>
    </row>
    <row r="60" spans="1:8" ht="16.5" x14ac:dyDescent="0.3">
      <c r="A60" s="5" t="s">
        <v>382</v>
      </c>
      <c r="B60" s="9">
        <v>2.2999999999999998</v>
      </c>
      <c r="C60" s="10">
        <v>0</v>
      </c>
      <c r="D60" s="10">
        <v>22</v>
      </c>
      <c r="E60" s="10">
        <v>20</v>
      </c>
      <c r="F60" s="10">
        <v>0</v>
      </c>
      <c r="G60" s="7">
        <f t="shared" si="0"/>
        <v>42</v>
      </c>
      <c r="H60" s="8">
        <f t="shared" si="1"/>
        <v>96.6</v>
      </c>
    </row>
    <row r="61" spans="1:8" ht="16.5" x14ac:dyDescent="0.3">
      <c r="A61" s="5" t="s">
        <v>383</v>
      </c>
      <c r="B61" s="9">
        <v>5.5</v>
      </c>
      <c r="C61" s="10">
        <v>0</v>
      </c>
      <c r="D61" s="10">
        <v>0</v>
      </c>
      <c r="E61" s="10">
        <v>6</v>
      </c>
      <c r="F61" s="10">
        <v>0</v>
      </c>
      <c r="G61" s="7">
        <f t="shared" si="0"/>
        <v>6</v>
      </c>
      <c r="H61" s="8">
        <f t="shared" si="1"/>
        <v>33</v>
      </c>
    </row>
    <row r="62" spans="1:8" ht="16.5" x14ac:dyDescent="0.3">
      <c r="A62" s="5" t="s">
        <v>9</v>
      </c>
      <c r="B62" s="9">
        <v>2.65</v>
      </c>
      <c r="C62" s="10">
        <v>0</v>
      </c>
      <c r="D62" s="10">
        <v>20</v>
      </c>
      <c r="E62" s="10">
        <v>0</v>
      </c>
      <c r="F62" s="10">
        <v>0</v>
      </c>
      <c r="G62" s="7">
        <f t="shared" si="0"/>
        <v>20</v>
      </c>
      <c r="H62" s="8">
        <f t="shared" si="1"/>
        <v>53</v>
      </c>
    </row>
    <row r="63" spans="1:8" ht="16.5" x14ac:dyDescent="0.3">
      <c r="A63" s="5" t="s">
        <v>316</v>
      </c>
      <c r="B63" s="9">
        <v>2.9250000000000003</v>
      </c>
      <c r="C63" s="10">
        <v>0</v>
      </c>
      <c r="D63" s="10">
        <v>59</v>
      </c>
      <c r="E63" s="10">
        <v>0</v>
      </c>
      <c r="F63" s="10">
        <v>0</v>
      </c>
      <c r="G63" s="7">
        <f t="shared" si="0"/>
        <v>59</v>
      </c>
      <c r="H63" s="8">
        <f t="shared" si="1"/>
        <v>172.57500000000002</v>
      </c>
    </row>
    <row r="64" spans="1:8" ht="16.5" x14ac:dyDescent="0.3">
      <c r="A64" s="5" t="s">
        <v>384</v>
      </c>
      <c r="B64" s="9">
        <v>6.75</v>
      </c>
      <c r="C64" s="10">
        <v>0</v>
      </c>
      <c r="D64" s="10">
        <v>5</v>
      </c>
      <c r="E64" s="10">
        <v>0</v>
      </c>
      <c r="F64" s="10">
        <v>0</v>
      </c>
      <c r="G64" s="7">
        <f t="shared" si="0"/>
        <v>5</v>
      </c>
      <c r="H64" s="8">
        <f t="shared" si="1"/>
        <v>33.75</v>
      </c>
    </row>
    <row r="65" spans="1:8" ht="16.5" x14ac:dyDescent="0.3">
      <c r="A65" s="5" t="s">
        <v>385</v>
      </c>
      <c r="B65" s="9">
        <v>3.5</v>
      </c>
      <c r="C65" s="10">
        <v>0</v>
      </c>
      <c r="D65" s="10">
        <v>20</v>
      </c>
      <c r="E65" s="10">
        <v>6</v>
      </c>
      <c r="F65" s="10">
        <v>0</v>
      </c>
      <c r="G65" s="7">
        <f t="shared" si="0"/>
        <v>26</v>
      </c>
      <c r="H65" s="8">
        <f t="shared" si="1"/>
        <v>91</v>
      </c>
    </row>
    <row r="66" spans="1:8" ht="16.5" x14ac:dyDescent="0.3">
      <c r="A66" s="5" t="s">
        <v>350</v>
      </c>
      <c r="B66" s="9">
        <v>2.95</v>
      </c>
      <c r="C66" s="10">
        <v>10</v>
      </c>
      <c r="D66" s="10">
        <v>5</v>
      </c>
      <c r="E66" s="10">
        <v>24</v>
      </c>
      <c r="F66" s="10">
        <v>6</v>
      </c>
      <c r="G66" s="7">
        <f t="shared" si="0"/>
        <v>45</v>
      </c>
      <c r="H66" s="8">
        <f t="shared" si="1"/>
        <v>132.75</v>
      </c>
    </row>
    <row r="67" spans="1:8" ht="16.5" x14ac:dyDescent="0.3">
      <c r="A67" s="5" t="s">
        <v>118</v>
      </c>
      <c r="B67" s="9">
        <v>1.95</v>
      </c>
      <c r="C67" s="10">
        <v>0</v>
      </c>
      <c r="D67" s="10">
        <v>69</v>
      </c>
      <c r="E67" s="10">
        <v>0</v>
      </c>
      <c r="F67" s="10">
        <v>0</v>
      </c>
      <c r="G67" s="7">
        <f t="shared" ref="G67:G98" si="2">SUM(C67:F67)</f>
        <v>69</v>
      </c>
      <c r="H67" s="8">
        <f t="shared" ref="H67:H98" si="3">G67*B67</f>
        <v>134.54999999999998</v>
      </c>
    </row>
    <row r="68" spans="1:8" ht="16.5" x14ac:dyDescent="0.3">
      <c r="A68" s="6" t="s">
        <v>7</v>
      </c>
      <c r="B68" s="9">
        <v>1.2749999999999999</v>
      </c>
      <c r="C68" s="10">
        <v>20</v>
      </c>
      <c r="D68" s="10">
        <v>320</v>
      </c>
      <c r="E68" s="10">
        <v>62</v>
      </c>
      <c r="F68" s="10">
        <v>0</v>
      </c>
      <c r="G68" s="7">
        <f t="shared" si="2"/>
        <v>402</v>
      </c>
      <c r="H68" s="8">
        <f t="shared" si="3"/>
        <v>512.54999999999995</v>
      </c>
    </row>
    <row r="69" spans="1:8" ht="16.5" x14ac:dyDescent="0.3">
      <c r="A69" s="5" t="s">
        <v>386</v>
      </c>
      <c r="B69" s="9">
        <v>3.0750000000000002</v>
      </c>
      <c r="C69" s="10">
        <v>5</v>
      </c>
      <c r="D69" s="10">
        <v>42</v>
      </c>
      <c r="E69" s="10">
        <v>4</v>
      </c>
      <c r="F69" s="10">
        <v>3</v>
      </c>
      <c r="G69" s="7">
        <f t="shared" si="2"/>
        <v>54</v>
      </c>
      <c r="H69" s="8">
        <f t="shared" si="3"/>
        <v>166.05</v>
      </c>
    </row>
    <row r="70" spans="1:8" ht="16.5" x14ac:dyDescent="0.3">
      <c r="A70" s="6" t="s">
        <v>387</v>
      </c>
      <c r="B70" s="9">
        <v>1.05</v>
      </c>
      <c r="C70" s="10">
        <v>0</v>
      </c>
      <c r="D70" s="10">
        <v>2</v>
      </c>
      <c r="E70" s="10">
        <v>0</v>
      </c>
      <c r="F70" s="10">
        <v>0</v>
      </c>
      <c r="G70" s="7">
        <f t="shared" si="2"/>
        <v>2</v>
      </c>
      <c r="H70" s="8">
        <f t="shared" si="3"/>
        <v>2.1</v>
      </c>
    </row>
    <row r="71" spans="1:8" ht="16.5" x14ac:dyDescent="0.3">
      <c r="A71" s="5" t="s">
        <v>388</v>
      </c>
      <c r="B71" s="9">
        <v>5.75</v>
      </c>
      <c r="C71" s="10">
        <v>0</v>
      </c>
      <c r="D71" s="10">
        <v>0</v>
      </c>
      <c r="E71" s="10">
        <v>15</v>
      </c>
      <c r="F71" s="10">
        <v>0</v>
      </c>
      <c r="G71" s="7">
        <f t="shared" si="2"/>
        <v>15</v>
      </c>
      <c r="H71" s="8">
        <f t="shared" si="3"/>
        <v>86.25</v>
      </c>
    </row>
    <row r="72" spans="1:8" ht="16.5" x14ac:dyDescent="0.3">
      <c r="A72" s="5" t="s">
        <v>389</v>
      </c>
      <c r="B72" s="9">
        <v>3.2</v>
      </c>
      <c r="C72" s="10">
        <v>10</v>
      </c>
      <c r="D72" s="10">
        <v>49</v>
      </c>
      <c r="E72" s="10">
        <v>6</v>
      </c>
      <c r="F72" s="10">
        <v>6</v>
      </c>
      <c r="G72" s="7">
        <f t="shared" si="2"/>
        <v>71</v>
      </c>
      <c r="H72" s="8">
        <f t="shared" si="3"/>
        <v>227.20000000000002</v>
      </c>
    </row>
    <row r="73" spans="1:8" ht="16.5" x14ac:dyDescent="0.3">
      <c r="A73" s="5" t="s">
        <v>35</v>
      </c>
      <c r="B73" s="9">
        <v>3.8</v>
      </c>
      <c r="C73" s="10">
        <v>0</v>
      </c>
      <c r="D73" s="10">
        <v>16</v>
      </c>
      <c r="E73" s="10">
        <v>3</v>
      </c>
      <c r="F73" s="10">
        <v>0</v>
      </c>
      <c r="G73" s="7">
        <f t="shared" si="2"/>
        <v>19</v>
      </c>
      <c r="H73" s="8">
        <f t="shared" si="3"/>
        <v>72.2</v>
      </c>
    </row>
    <row r="74" spans="1:8" ht="16.5" x14ac:dyDescent="0.3">
      <c r="A74" s="5" t="s">
        <v>390</v>
      </c>
      <c r="B74" s="9">
        <v>3.75</v>
      </c>
      <c r="C74" s="10">
        <v>0</v>
      </c>
      <c r="D74" s="10">
        <v>66</v>
      </c>
      <c r="E74" s="10">
        <v>85</v>
      </c>
      <c r="F74" s="10">
        <v>0</v>
      </c>
      <c r="G74" s="7">
        <f t="shared" si="2"/>
        <v>151</v>
      </c>
      <c r="H74" s="8">
        <f t="shared" si="3"/>
        <v>566.25</v>
      </c>
    </row>
    <row r="75" spans="1:8" ht="16.5" x14ac:dyDescent="0.3">
      <c r="A75" s="5" t="s">
        <v>168</v>
      </c>
      <c r="B75" s="9">
        <v>8.25</v>
      </c>
      <c r="C75" s="10">
        <v>0</v>
      </c>
      <c r="D75" s="10">
        <v>7</v>
      </c>
      <c r="E75" s="10">
        <v>0</v>
      </c>
      <c r="F75" s="10">
        <v>0</v>
      </c>
      <c r="G75" s="7">
        <f t="shared" si="2"/>
        <v>7</v>
      </c>
      <c r="H75" s="8">
        <f t="shared" si="3"/>
        <v>57.75</v>
      </c>
    </row>
    <row r="76" spans="1:8" ht="16.5" x14ac:dyDescent="0.3">
      <c r="A76" s="5" t="s">
        <v>391</v>
      </c>
      <c r="B76" s="9">
        <v>3.7</v>
      </c>
      <c r="C76" s="10">
        <v>0</v>
      </c>
      <c r="D76" s="10">
        <v>8</v>
      </c>
      <c r="E76" s="10">
        <v>0</v>
      </c>
      <c r="F76" s="10">
        <v>0</v>
      </c>
      <c r="G76" s="7">
        <f t="shared" si="2"/>
        <v>8</v>
      </c>
      <c r="H76" s="8">
        <f t="shared" si="3"/>
        <v>29.6</v>
      </c>
    </row>
    <row r="77" spans="1:8" ht="16.5" x14ac:dyDescent="0.3">
      <c r="A77" s="5" t="s">
        <v>392</v>
      </c>
      <c r="B77" s="9">
        <v>8</v>
      </c>
      <c r="C77" s="10">
        <v>0</v>
      </c>
      <c r="D77" s="10">
        <v>2</v>
      </c>
      <c r="E77" s="10">
        <v>0</v>
      </c>
      <c r="F77" s="10">
        <v>0</v>
      </c>
      <c r="G77" s="7">
        <f t="shared" si="2"/>
        <v>2</v>
      </c>
      <c r="H77" s="8">
        <f t="shared" si="3"/>
        <v>16</v>
      </c>
    </row>
    <row r="78" spans="1:8" ht="16.5" x14ac:dyDescent="0.3">
      <c r="A78" s="5" t="s">
        <v>177</v>
      </c>
      <c r="B78" s="9">
        <v>2.75</v>
      </c>
      <c r="C78" s="10">
        <v>40</v>
      </c>
      <c r="D78" s="10">
        <v>53.8</v>
      </c>
      <c r="E78" s="10">
        <v>40</v>
      </c>
      <c r="F78" s="10">
        <v>0</v>
      </c>
      <c r="G78" s="7">
        <f t="shared" si="2"/>
        <v>133.80000000000001</v>
      </c>
      <c r="H78" s="8">
        <f t="shared" si="3"/>
        <v>367.95000000000005</v>
      </c>
    </row>
    <row r="79" spans="1:8" ht="16.5" x14ac:dyDescent="0.3">
      <c r="A79" s="5" t="s">
        <v>393</v>
      </c>
      <c r="B79" s="9">
        <v>2.625</v>
      </c>
      <c r="C79" s="10">
        <v>0</v>
      </c>
      <c r="D79" s="10">
        <v>144</v>
      </c>
      <c r="E79" s="10">
        <v>25</v>
      </c>
      <c r="F79" s="10">
        <v>58</v>
      </c>
      <c r="G79" s="7">
        <f t="shared" si="2"/>
        <v>227</v>
      </c>
      <c r="H79" s="8">
        <f t="shared" si="3"/>
        <v>595.875</v>
      </c>
    </row>
    <row r="80" spans="1:8" ht="16.5" x14ac:dyDescent="0.3">
      <c r="A80" s="5" t="s">
        <v>394</v>
      </c>
      <c r="B80" s="9">
        <v>3.875</v>
      </c>
      <c r="C80" s="10">
        <v>0</v>
      </c>
      <c r="D80" s="10">
        <v>26</v>
      </c>
      <c r="E80" s="10">
        <v>0</v>
      </c>
      <c r="F80" s="10">
        <v>0</v>
      </c>
      <c r="G80" s="7">
        <f t="shared" si="2"/>
        <v>26</v>
      </c>
      <c r="H80" s="8">
        <f t="shared" si="3"/>
        <v>100.75</v>
      </c>
    </row>
    <row r="81" spans="1:8" ht="16.5" x14ac:dyDescent="0.3">
      <c r="A81" s="5" t="s">
        <v>395</v>
      </c>
      <c r="B81" s="9">
        <v>3.9</v>
      </c>
      <c r="C81" s="10">
        <v>0</v>
      </c>
      <c r="D81" s="10">
        <v>36</v>
      </c>
      <c r="E81" s="10">
        <v>0</v>
      </c>
      <c r="F81" s="10">
        <v>0</v>
      </c>
      <c r="G81" s="7">
        <f t="shared" si="2"/>
        <v>36</v>
      </c>
      <c r="H81" s="8">
        <f t="shared" si="3"/>
        <v>140.4</v>
      </c>
    </row>
    <row r="82" spans="1:8" ht="16.5" x14ac:dyDescent="0.3">
      <c r="A82" s="5" t="s">
        <v>29</v>
      </c>
      <c r="B82" s="9">
        <v>4.5</v>
      </c>
      <c r="C82" s="10">
        <v>0</v>
      </c>
      <c r="D82" s="10">
        <v>10</v>
      </c>
      <c r="E82" s="10">
        <v>0</v>
      </c>
      <c r="F82" s="10">
        <v>0</v>
      </c>
      <c r="G82" s="7">
        <f t="shared" si="2"/>
        <v>10</v>
      </c>
      <c r="H82" s="8">
        <f t="shared" si="3"/>
        <v>45</v>
      </c>
    </row>
    <row r="83" spans="1:8" ht="16.5" x14ac:dyDescent="0.3">
      <c r="A83" s="5" t="s">
        <v>77</v>
      </c>
      <c r="B83" s="9">
        <v>9.75</v>
      </c>
      <c r="C83" s="10">
        <v>0</v>
      </c>
      <c r="D83" s="10">
        <v>0</v>
      </c>
      <c r="E83" s="10">
        <v>0</v>
      </c>
      <c r="F83" s="10">
        <v>8</v>
      </c>
      <c r="G83" s="7">
        <f t="shared" si="2"/>
        <v>8</v>
      </c>
      <c r="H83" s="8">
        <f t="shared" si="3"/>
        <v>78</v>
      </c>
    </row>
    <row r="84" spans="1:8" ht="16.5" x14ac:dyDescent="0.3">
      <c r="A84" s="5" t="s">
        <v>396</v>
      </c>
      <c r="B84" s="9">
        <v>6.5</v>
      </c>
      <c r="C84" s="10">
        <v>0</v>
      </c>
      <c r="D84" s="10">
        <v>0</v>
      </c>
      <c r="E84" s="10">
        <v>0</v>
      </c>
      <c r="F84" s="10">
        <v>6</v>
      </c>
      <c r="G84" s="7">
        <f t="shared" si="2"/>
        <v>6</v>
      </c>
      <c r="H84" s="8">
        <f t="shared" si="3"/>
        <v>39</v>
      </c>
    </row>
    <row r="85" spans="1:8" ht="16.5" x14ac:dyDescent="0.3">
      <c r="A85" s="5" t="s">
        <v>397</v>
      </c>
      <c r="B85" s="9">
        <v>7.8</v>
      </c>
      <c r="C85" s="10">
        <v>0</v>
      </c>
      <c r="D85" s="10">
        <v>1</v>
      </c>
      <c r="E85" s="10">
        <v>0</v>
      </c>
      <c r="F85" s="10">
        <v>0</v>
      </c>
      <c r="G85" s="7">
        <f t="shared" si="2"/>
        <v>1</v>
      </c>
      <c r="H85" s="8">
        <f t="shared" si="3"/>
        <v>7.8</v>
      </c>
    </row>
    <row r="86" spans="1:8" ht="16.5" x14ac:dyDescent="0.3">
      <c r="A86" s="5" t="s">
        <v>4</v>
      </c>
      <c r="B86" s="9">
        <v>5.6</v>
      </c>
      <c r="C86" s="10">
        <v>0</v>
      </c>
      <c r="D86" s="10">
        <v>0</v>
      </c>
      <c r="E86" s="10">
        <v>0</v>
      </c>
      <c r="F86" s="10">
        <v>4</v>
      </c>
      <c r="G86" s="7">
        <f t="shared" si="2"/>
        <v>4</v>
      </c>
      <c r="H86" s="8">
        <f t="shared" si="3"/>
        <v>22.4</v>
      </c>
    </row>
    <row r="87" spans="1:8" ht="16.5" x14ac:dyDescent="0.3">
      <c r="A87" s="5" t="s">
        <v>398</v>
      </c>
      <c r="B87" s="9">
        <v>0.89999999999999991</v>
      </c>
      <c r="C87" s="10">
        <v>0</v>
      </c>
      <c r="D87" s="10">
        <v>0</v>
      </c>
      <c r="E87" s="10">
        <v>40</v>
      </c>
      <c r="F87" s="10">
        <v>0</v>
      </c>
      <c r="G87" s="7">
        <f t="shared" si="2"/>
        <v>40</v>
      </c>
      <c r="H87" s="8">
        <f t="shared" si="3"/>
        <v>36</v>
      </c>
    </row>
    <row r="88" spans="1:8" ht="16.5" x14ac:dyDescent="0.3">
      <c r="A88" s="5" t="s">
        <v>174</v>
      </c>
      <c r="B88" s="9">
        <v>2.95</v>
      </c>
      <c r="C88" s="10">
        <v>35</v>
      </c>
      <c r="D88" s="10">
        <v>12</v>
      </c>
      <c r="E88" s="10">
        <v>17</v>
      </c>
      <c r="F88" s="10">
        <v>0</v>
      </c>
      <c r="G88" s="7">
        <f t="shared" si="2"/>
        <v>64</v>
      </c>
      <c r="H88" s="8">
        <f t="shared" si="3"/>
        <v>188.8</v>
      </c>
    </row>
    <row r="89" spans="1:8" ht="16.5" x14ac:dyDescent="0.3">
      <c r="A89" s="5" t="s">
        <v>399</v>
      </c>
      <c r="B89" s="9">
        <v>6.35</v>
      </c>
      <c r="C89" s="10">
        <v>0</v>
      </c>
      <c r="D89" s="10">
        <v>0</v>
      </c>
      <c r="E89" s="10">
        <v>2</v>
      </c>
      <c r="F89" s="10">
        <v>0</v>
      </c>
      <c r="G89" s="7">
        <f t="shared" si="2"/>
        <v>2</v>
      </c>
      <c r="H89" s="8">
        <f t="shared" si="3"/>
        <v>12.7</v>
      </c>
    </row>
    <row r="90" spans="1:8" ht="16.5" x14ac:dyDescent="0.3">
      <c r="A90" s="5" t="s">
        <v>309</v>
      </c>
      <c r="B90" s="9">
        <v>2.15</v>
      </c>
      <c r="C90" s="10">
        <v>14</v>
      </c>
      <c r="D90" s="10">
        <v>20</v>
      </c>
      <c r="E90" s="10">
        <v>10</v>
      </c>
      <c r="F90" s="10">
        <v>5</v>
      </c>
      <c r="G90" s="7">
        <f t="shared" si="2"/>
        <v>49</v>
      </c>
      <c r="H90" s="8">
        <f t="shared" si="3"/>
        <v>105.35</v>
      </c>
    </row>
    <row r="91" spans="1:8" ht="16.5" x14ac:dyDescent="0.3">
      <c r="A91" s="5" t="s">
        <v>2</v>
      </c>
      <c r="B91" s="9">
        <v>0.89999999999999991</v>
      </c>
      <c r="C91" s="10">
        <v>0</v>
      </c>
      <c r="D91" s="10">
        <v>0</v>
      </c>
      <c r="E91" s="10">
        <v>160</v>
      </c>
      <c r="F91" s="10">
        <v>0</v>
      </c>
      <c r="G91" s="7">
        <f t="shared" si="2"/>
        <v>160</v>
      </c>
      <c r="H91" s="8">
        <f t="shared" si="3"/>
        <v>144</v>
      </c>
    </row>
    <row r="92" spans="1:8" ht="16.5" x14ac:dyDescent="0.3">
      <c r="A92" s="5" t="s">
        <v>400</v>
      </c>
      <c r="B92" s="9">
        <v>13</v>
      </c>
      <c r="C92" s="10">
        <v>0</v>
      </c>
      <c r="D92" s="10">
        <v>0</v>
      </c>
      <c r="E92" s="10">
        <v>0.5</v>
      </c>
      <c r="F92" s="10">
        <v>0</v>
      </c>
      <c r="G92" s="7">
        <f t="shared" si="2"/>
        <v>0.5</v>
      </c>
      <c r="H92" s="8">
        <f t="shared" si="3"/>
        <v>6.5</v>
      </c>
    </row>
    <row r="93" spans="1:8" ht="16.5" x14ac:dyDescent="0.3">
      <c r="A93" s="5" t="s">
        <v>401</v>
      </c>
      <c r="B93" s="9">
        <v>8.375</v>
      </c>
      <c r="C93" s="10">
        <v>30</v>
      </c>
      <c r="D93" s="10">
        <v>0</v>
      </c>
      <c r="E93" s="10">
        <v>2</v>
      </c>
      <c r="F93" s="10">
        <v>0</v>
      </c>
      <c r="G93" s="7">
        <f t="shared" si="2"/>
        <v>32</v>
      </c>
      <c r="H93" s="8">
        <f t="shared" si="3"/>
        <v>268</v>
      </c>
    </row>
    <row r="94" spans="1:8" ht="16.5" x14ac:dyDescent="0.3">
      <c r="A94" s="5" t="s">
        <v>402</v>
      </c>
      <c r="B94" s="9">
        <v>2.95</v>
      </c>
      <c r="C94" s="10">
        <v>0</v>
      </c>
      <c r="D94" s="10">
        <v>0</v>
      </c>
      <c r="E94" s="10">
        <v>3</v>
      </c>
      <c r="F94" s="10">
        <v>14</v>
      </c>
      <c r="G94" s="7">
        <f t="shared" si="2"/>
        <v>17</v>
      </c>
      <c r="H94" s="8">
        <f t="shared" si="3"/>
        <v>50.150000000000006</v>
      </c>
    </row>
    <row r="95" spans="1:8" ht="16.5" x14ac:dyDescent="0.3">
      <c r="A95" s="5" t="s">
        <v>349</v>
      </c>
      <c r="B95" s="9">
        <v>2.65</v>
      </c>
      <c r="C95" s="10">
        <v>75</v>
      </c>
      <c r="D95" s="10">
        <v>68</v>
      </c>
      <c r="E95" s="10">
        <v>72</v>
      </c>
      <c r="F95" s="10">
        <v>90</v>
      </c>
      <c r="G95" s="7">
        <f t="shared" si="2"/>
        <v>305</v>
      </c>
      <c r="H95" s="8">
        <f t="shared" si="3"/>
        <v>808.25</v>
      </c>
    </row>
    <row r="96" spans="1:8" ht="16.5" x14ac:dyDescent="0.3">
      <c r="A96" s="5" t="s">
        <v>79</v>
      </c>
      <c r="B96" s="9">
        <v>6.5</v>
      </c>
      <c r="C96" s="10">
        <v>0</v>
      </c>
      <c r="D96" s="10">
        <v>1</v>
      </c>
      <c r="E96" s="10">
        <v>0</v>
      </c>
      <c r="F96" s="10">
        <v>0</v>
      </c>
      <c r="G96" s="7">
        <f t="shared" si="2"/>
        <v>1</v>
      </c>
      <c r="H96" s="8">
        <f t="shared" si="3"/>
        <v>6.5</v>
      </c>
    </row>
    <row r="97" spans="1:8" ht="16.5" x14ac:dyDescent="0.3">
      <c r="A97" s="5" t="s">
        <v>403</v>
      </c>
      <c r="B97" s="9">
        <v>29.64</v>
      </c>
      <c r="C97" s="10">
        <v>0</v>
      </c>
      <c r="D97" s="10">
        <v>0</v>
      </c>
      <c r="E97" s="10">
        <v>0</v>
      </c>
      <c r="F97" s="10">
        <v>1.44</v>
      </c>
      <c r="G97" s="7">
        <f t="shared" si="2"/>
        <v>1.44</v>
      </c>
      <c r="H97" s="8">
        <f t="shared" si="3"/>
        <v>42.681599999999996</v>
      </c>
    </row>
    <row r="98" spans="1:8" ht="16.5" x14ac:dyDescent="0.3">
      <c r="A98" s="5" t="s">
        <v>404</v>
      </c>
      <c r="B98" s="9">
        <v>4.45</v>
      </c>
      <c r="C98" s="10">
        <v>0</v>
      </c>
      <c r="D98" s="10">
        <v>1.5</v>
      </c>
      <c r="E98" s="10">
        <v>1.5</v>
      </c>
      <c r="F98" s="10">
        <v>0</v>
      </c>
      <c r="G98" s="7">
        <f t="shared" si="2"/>
        <v>3</v>
      </c>
      <c r="H98" s="8">
        <f t="shared" si="3"/>
        <v>13.350000000000001</v>
      </c>
    </row>
  </sheetData>
  <dataConsolidate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>
      <selection activeCell="E12" sqref="A1:H114"/>
    </sheetView>
  </sheetViews>
  <sheetFormatPr defaultRowHeight="14.25" x14ac:dyDescent="0.2"/>
  <cols>
    <col min="1" max="1" width="10.75" customWidth="1"/>
    <col min="2" max="2" width="10.5" customWidth="1"/>
    <col min="3" max="6" width="10.625" customWidth="1"/>
    <col min="7" max="7" width="16.75" customWidth="1"/>
    <col min="8" max="8" width="19.75" customWidth="1"/>
  </cols>
  <sheetData>
    <row r="1" spans="1:8" ht="30" x14ac:dyDescent="0.2">
      <c r="A1" s="3" t="s">
        <v>407</v>
      </c>
      <c r="B1" s="4" t="s">
        <v>300</v>
      </c>
      <c r="C1" s="4" t="s">
        <v>301</v>
      </c>
      <c r="D1" s="4" t="s">
        <v>302</v>
      </c>
      <c r="E1" s="4" t="s">
        <v>303</v>
      </c>
      <c r="F1" s="4" t="s">
        <v>304</v>
      </c>
      <c r="G1" s="4" t="s">
        <v>305</v>
      </c>
      <c r="H1" s="4" t="s">
        <v>405</v>
      </c>
    </row>
    <row r="2" spans="1:8" ht="16.5" x14ac:dyDescent="0.3">
      <c r="A2" s="5" t="s">
        <v>22</v>
      </c>
      <c r="B2" s="9">
        <v>8.6750000000000007</v>
      </c>
      <c r="C2" s="10">
        <v>0</v>
      </c>
      <c r="D2" s="10">
        <v>0</v>
      </c>
      <c r="E2" s="10">
        <v>0</v>
      </c>
      <c r="F2" s="10">
        <v>5</v>
      </c>
      <c r="G2" s="7">
        <f>SUM(C2:F2)</f>
        <v>5</v>
      </c>
      <c r="H2" s="8">
        <f>G2*B2</f>
        <v>43.375</v>
      </c>
    </row>
    <row r="3" spans="1:8" ht="16.5" x14ac:dyDescent="0.3">
      <c r="A3" s="5" t="s">
        <v>0</v>
      </c>
      <c r="B3" s="9">
        <v>0.8</v>
      </c>
      <c r="C3" s="10">
        <v>0</v>
      </c>
      <c r="D3" s="10">
        <v>0</v>
      </c>
      <c r="E3" s="10">
        <v>0</v>
      </c>
      <c r="F3" s="10">
        <v>0</v>
      </c>
      <c r="G3" s="7">
        <f t="shared" ref="G3:G66" si="0">SUM(C3:F3)</f>
        <v>0</v>
      </c>
      <c r="H3" s="8">
        <f t="shared" ref="H3:H66" si="1">G3*B3</f>
        <v>0</v>
      </c>
    </row>
    <row r="4" spans="1:8" ht="16.5" x14ac:dyDescent="0.3">
      <c r="A4" s="5" t="s">
        <v>306</v>
      </c>
      <c r="B4" s="9">
        <v>4.45</v>
      </c>
      <c r="C4" s="10">
        <v>0</v>
      </c>
      <c r="D4" s="10">
        <v>0</v>
      </c>
      <c r="E4" s="10">
        <v>1.25</v>
      </c>
      <c r="F4" s="10">
        <v>0</v>
      </c>
      <c r="G4" s="7">
        <f t="shared" si="0"/>
        <v>1.25</v>
      </c>
      <c r="H4" s="8">
        <f t="shared" si="1"/>
        <v>5.5625</v>
      </c>
    </row>
    <row r="5" spans="1:8" ht="16.5" x14ac:dyDescent="0.3">
      <c r="A5" s="5" t="s">
        <v>24</v>
      </c>
      <c r="B5" s="9">
        <v>2.75</v>
      </c>
      <c r="C5" s="10">
        <v>75</v>
      </c>
      <c r="D5" s="10">
        <v>85</v>
      </c>
      <c r="E5" s="10">
        <v>50</v>
      </c>
      <c r="F5" s="10">
        <v>90</v>
      </c>
      <c r="G5" s="7">
        <f t="shared" si="0"/>
        <v>300</v>
      </c>
      <c r="H5" s="8">
        <f t="shared" si="1"/>
        <v>825</v>
      </c>
    </row>
    <row r="6" spans="1:8" ht="16.5" x14ac:dyDescent="0.3">
      <c r="A6" s="5" t="s">
        <v>307</v>
      </c>
      <c r="B6" s="9">
        <v>1.9500000000000002</v>
      </c>
      <c r="C6" s="10">
        <v>0</v>
      </c>
      <c r="D6" s="10">
        <v>20</v>
      </c>
      <c r="E6" s="10">
        <v>0</v>
      </c>
      <c r="F6" s="10">
        <v>0</v>
      </c>
      <c r="G6" s="7">
        <f t="shared" si="0"/>
        <v>20</v>
      </c>
      <c r="H6" s="8">
        <f t="shared" si="1"/>
        <v>39</v>
      </c>
    </row>
    <row r="7" spans="1:8" ht="16.5" x14ac:dyDescent="0.3">
      <c r="A7" s="5" t="s">
        <v>308</v>
      </c>
      <c r="B7" s="9">
        <v>2.4500000000000002</v>
      </c>
      <c r="C7" s="10">
        <v>0</v>
      </c>
      <c r="D7" s="10">
        <v>2</v>
      </c>
      <c r="E7" s="10">
        <v>50</v>
      </c>
      <c r="F7" s="10">
        <v>0</v>
      </c>
      <c r="G7" s="7">
        <f t="shared" si="0"/>
        <v>52</v>
      </c>
      <c r="H7" s="8">
        <f t="shared" si="1"/>
        <v>127.4</v>
      </c>
    </row>
    <row r="8" spans="1:8" ht="16.5" x14ac:dyDescent="0.3">
      <c r="A8" s="5" t="s">
        <v>26</v>
      </c>
      <c r="B8" s="9">
        <v>8.375</v>
      </c>
      <c r="C8" s="10">
        <v>30</v>
      </c>
      <c r="D8" s="10">
        <v>0</v>
      </c>
      <c r="E8" s="10">
        <v>0</v>
      </c>
      <c r="F8" s="10">
        <v>0</v>
      </c>
      <c r="G8" s="7">
        <f t="shared" si="0"/>
        <v>30</v>
      </c>
      <c r="H8" s="8">
        <f t="shared" si="1"/>
        <v>251.25</v>
      </c>
    </row>
    <row r="9" spans="1:8" ht="16.5" x14ac:dyDescent="0.3">
      <c r="A9" s="5" t="s">
        <v>172</v>
      </c>
      <c r="B9" s="9">
        <v>0.75</v>
      </c>
      <c r="C9" s="10">
        <v>0</v>
      </c>
      <c r="D9" s="10">
        <v>0</v>
      </c>
      <c r="E9" s="10">
        <v>0</v>
      </c>
      <c r="F9" s="10">
        <v>0</v>
      </c>
      <c r="G9" s="7">
        <f t="shared" si="0"/>
        <v>0</v>
      </c>
      <c r="H9" s="8">
        <f t="shared" si="1"/>
        <v>0</v>
      </c>
    </row>
    <row r="10" spans="1:8" ht="16.5" x14ac:dyDescent="0.3">
      <c r="A10" s="5" t="s">
        <v>309</v>
      </c>
      <c r="B10" s="9">
        <v>1.4500000000000002</v>
      </c>
      <c r="C10" s="10">
        <v>20</v>
      </c>
      <c r="D10" s="10">
        <v>60</v>
      </c>
      <c r="E10" s="10">
        <v>40</v>
      </c>
      <c r="F10" s="10">
        <v>0</v>
      </c>
      <c r="G10" s="7">
        <f t="shared" si="0"/>
        <v>120</v>
      </c>
      <c r="H10" s="8">
        <f t="shared" si="1"/>
        <v>174.00000000000003</v>
      </c>
    </row>
    <row r="11" spans="1:8" ht="16.5" x14ac:dyDescent="0.3">
      <c r="A11" s="5" t="s">
        <v>173</v>
      </c>
      <c r="B11" s="9">
        <v>6.35</v>
      </c>
      <c r="C11" s="10">
        <v>0</v>
      </c>
      <c r="D11" s="10">
        <v>0</v>
      </c>
      <c r="E11" s="10">
        <v>0</v>
      </c>
      <c r="F11" s="10">
        <v>0</v>
      </c>
      <c r="G11" s="7">
        <f t="shared" si="0"/>
        <v>0</v>
      </c>
      <c r="H11" s="8">
        <f t="shared" si="1"/>
        <v>0</v>
      </c>
    </row>
    <row r="12" spans="1:8" ht="16.5" x14ac:dyDescent="0.3">
      <c r="A12" s="5" t="s">
        <v>174</v>
      </c>
      <c r="B12" s="9">
        <v>2.95</v>
      </c>
      <c r="C12" s="10">
        <v>35</v>
      </c>
      <c r="D12" s="10">
        <v>25</v>
      </c>
      <c r="E12" s="10">
        <v>45</v>
      </c>
      <c r="F12" s="10">
        <v>0</v>
      </c>
      <c r="G12" s="7">
        <f t="shared" si="0"/>
        <v>105</v>
      </c>
      <c r="H12" s="8">
        <f t="shared" si="1"/>
        <v>309.75</v>
      </c>
    </row>
    <row r="13" spans="1:8" ht="16.5" x14ac:dyDescent="0.3">
      <c r="A13" s="5" t="s">
        <v>310</v>
      </c>
      <c r="B13" s="9">
        <v>0.7</v>
      </c>
      <c r="C13" s="10">
        <v>60</v>
      </c>
      <c r="D13" s="10">
        <v>113</v>
      </c>
      <c r="E13" s="10">
        <v>142</v>
      </c>
      <c r="F13" s="10">
        <v>99</v>
      </c>
      <c r="G13" s="7">
        <f t="shared" si="0"/>
        <v>414</v>
      </c>
      <c r="H13" s="8">
        <f t="shared" si="1"/>
        <v>289.79999999999995</v>
      </c>
    </row>
    <row r="14" spans="1:8" ht="16.5" x14ac:dyDescent="0.3">
      <c r="A14" s="5" t="s">
        <v>175</v>
      </c>
      <c r="B14" s="9">
        <v>4.95</v>
      </c>
      <c r="C14" s="10">
        <v>0</v>
      </c>
      <c r="D14" s="10">
        <v>0</v>
      </c>
      <c r="E14" s="10">
        <v>0</v>
      </c>
      <c r="F14" s="10">
        <v>0</v>
      </c>
      <c r="G14" s="7">
        <f t="shared" si="0"/>
        <v>0</v>
      </c>
      <c r="H14" s="8">
        <f t="shared" si="1"/>
        <v>0</v>
      </c>
    </row>
    <row r="15" spans="1:8" ht="16.5" x14ac:dyDescent="0.3">
      <c r="A15" s="5" t="s">
        <v>176</v>
      </c>
      <c r="B15" s="9">
        <v>2.6</v>
      </c>
      <c r="C15" s="10">
        <v>0</v>
      </c>
      <c r="D15" s="10">
        <v>0</v>
      </c>
      <c r="E15" s="10">
        <v>0</v>
      </c>
      <c r="F15" s="10">
        <v>0</v>
      </c>
      <c r="G15" s="7">
        <f t="shared" si="0"/>
        <v>0</v>
      </c>
      <c r="H15" s="8">
        <f t="shared" si="1"/>
        <v>0</v>
      </c>
    </row>
    <row r="16" spans="1:8" ht="16.5" x14ac:dyDescent="0.3">
      <c r="A16" s="5" t="s">
        <v>29</v>
      </c>
      <c r="B16" s="9">
        <v>4.5</v>
      </c>
      <c r="C16" s="10">
        <v>0</v>
      </c>
      <c r="D16" s="10">
        <v>0</v>
      </c>
      <c r="E16" s="10">
        <v>0</v>
      </c>
      <c r="F16" s="10">
        <v>0</v>
      </c>
      <c r="G16" s="7">
        <f t="shared" si="0"/>
        <v>0</v>
      </c>
      <c r="H16" s="8">
        <f t="shared" si="1"/>
        <v>0</v>
      </c>
    </row>
    <row r="17" spans="1:8" ht="16.5" x14ac:dyDescent="0.3">
      <c r="A17" s="5" t="s">
        <v>30</v>
      </c>
      <c r="B17" s="9">
        <v>3.35</v>
      </c>
      <c r="C17" s="10">
        <v>0</v>
      </c>
      <c r="D17" s="10">
        <v>12</v>
      </c>
      <c r="E17" s="10">
        <v>0</v>
      </c>
      <c r="F17" s="10">
        <v>0</v>
      </c>
      <c r="G17" s="7">
        <f t="shared" si="0"/>
        <v>12</v>
      </c>
      <c r="H17" s="8">
        <f t="shared" si="1"/>
        <v>40.200000000000003</v>
      </c>
    </row>
    <row r="18" spans="1:8" ht="16.5" x14ac:dyDescent="0.3">
      <c r="A18" s="5" t="s">
        <v>31</v>
      </c>
      <c r="B18" s="9">
        <v>3.25</v>
      </c>
      <c r="C18" s="10">
        <v>0</v>
      </c>
      <c r="D18" s="10">
        <v>31.5</v>
      </c>
      <c r="E18" s="10">
        <v>0</v>
      </c>
      <c r="F18" s="10">
        <v>22.5</v>
      </c>
      <c r="G18" s="7">
        <f t="shared" si="0"/>
        <v>54</v>
      </c>
      <c r="H18" s="8">
        <f t="shared" si="1"/>
        <v>175.5</v>
      </c>
    </row>
    <row r="19" spans="1:8" ht="16.5" x14ac:dyDescent="0.3">
      <c r="A19" s="5" t="s">
        <v>32</v>
      </c>
      <c r="B19" s="9">
        <v>2.2999999999999998</v>
      </c>
      <c r="C19" s="10">
        <v>0</v>
      </c>
      <c r="D19" s="10">
        <v>210</v>
      </c>
      <c r="E19" s="10">
        <v>90</v>
      </c>
      <c r="F19" s="10">
        <v>90</v>
      </c>
      <c r="G19" s="7">
        <f t="shared" si="0"/>
        <v>390</v>
      </c>
      <c r="H19" s="8">
        <f t="shared" si="1"/>
        <v>896.99999999999989</v>
      </c>
    </row>
    <row r="20" spans="1:8" ht="16.5" x14ac:dyDescent="0.3">
      <c r="A20" s="5" t="s">
        <v>311</v>
      </c>
      <c r="B20" s="9">
        <v>3.05</v>
      </c>
      <c r="C20" s="10">
        <v>0</v>
      </c>
      <c r="D20" s="10">
        <v>0</v>
      </c>
      <c r="E20" s="10">
        <v>0</v>
      </c>
      <c r="F20" s="10">
        <v>0</v>
      </c>
      <c r="G20" s="7">
        <f t="shared" si="0"/>
        <v>0</v>
      </c>
      <c r="H20" s="8">
        <f t="shared" si="1"/>
        <v>0</v>
      </c>
    </row>
    <row r="21" spans="1:8" ht="16.5" x14ac:dyDescent="0.3">
      <c r="A21" s="6" t="s">
        <v>177</v>
      </c>
      <c r="B21" s="9">
        <v>3.4</v>
      </c>
      <c r="C21" s="10">
        <v>0</v>
      </c>
      <c r="D21" s="10">
        <v>27</v>
      </c>
      <c r="E21" s="10">
        <v>0</v>
      </c>
      <c r="F21" s="10">
        <v>0</v>
      </c>
      <c r="G21" s="7">
        <f t="shared" si="0"/>
        <v>27</v>
      </c>
      <c r="H21" s="8">
        <f t="shared" si="1"/>
        <v>91.8</v>
      </c>
    </row>
    <row r="22" spans="1:8" ht="16.5" x14ac:dyDescent="0.3">
      <c r="A22" s="5" t="s">
        <v>312</v>
      </c>
      <c r="B22" s="9">
        <v>7.25</v>
      </c>
      <c r="C22" s="10">
        <v>0</v>
      </c>
      <c r="D22" s="10">
        <v>5</v>
      </c>
      <c r="E22" s="10">
        <v>0</v>
      </c>
      <c r="F22" s="10">
        <v>0</v>
      </c>
      <c r="G22" s="7">
        <f t="shared" si="0"/>
        <v>5</v>
      </c>
      <c r="H22" s="8">
        <f t="shared" si="1"/>
        <v>36.25</v>
      </c>
    </row>
    <row r="23" spans="1:8" ht="16.5" x14ac:dyDescent="0.3">
      <c r="A23" s="5" t="s">
        <v>82</v>
      </c>
      <c r="B23" s="9">
        <v>3.95</v>
      </c>
      <c r="C23" s="10">
        <v>0</v>
      </c>
      <c r="D23" s="10">
        <v>0</v>
      </c>
      <c r="E23" s="10">
        <v>4</v>
      </c>
      <c r="F23" s="10">
        <v>2</v>
      </c>
      <c r="G23" s="7">
        <f t="shared" si="0"/>
        <v>6</v>
      </c>
      <c r="H23" s="8">
        <f t="shared" si="1"/>
        <v>23.700000000000003</v>
      </c>
    </row>
    <row r="24" spans="1:8" ht="16.5" x14ac:dyDescent="0.3">
      <c r="A24" s="5" t="s">
        <v>178</v>
      </c>
      <c r="B24" s="9">
        <v>8.25</v>
      </c>
      <c r="C24" s="10">
        <v>0</v>
      </c>
      <c r="D24" s="10">
        <v>0</v>
      </c>
      <c r="E24" s="10">
        <v>0</v>
      </c>
      <c r="F24" s="10">
        <v>0</v>
      </c>
      <c r="G24" s="7">
        <f t="shared" si="0"/>
        <v>0</v>
      </c>
      <c r="H24" s="8">
        <f t="shared" si="1"/>
        <v>0</v>
      </c>
    </row>
    <row r="25" spans="1:8" ht="16.5" x14ac:dyDescent="0.3">
      <c r="A25" s="5" t="s">
        <v>34</v>
      </c>
      <c r="B25" s="9">
        <v>3.45</v>
      </c>
      <c r="C25" s="10">
        <v>0</v>
      </c>
      <c r="D25" s="10">
        <v>75</v>
      </c>
      <c r="E25" s="10">
        <v>75</v>
      </c>
      <c r="F25" s="10">
        <v>0</v>
      </c>
      <c r="G25" s="7">
        <f t="shared" si="0"/>
        <v>150</v>
      </c>
      <c r="H25" s="8">
        <f t="shared" si="1"/>
        <v>517.5</v>
      </c>
    </row>
    <row r="26" spans="1:8" ht="16.5" x14ac:dyDescent="0.3">
      <c r="A26" s="5" t="s">
        <v>179</v>
      </c>
      <c r="B26" s="9">
        <v>4.25</v>
      </c>
      <c r="C26" s="10">
        <v>0</v>
      </c>
      <c r="D26" s="10">
        <v>5</v>
      </c>
      <c r="E26" s="10">
        <v>4</v>
      </c>
      <c r="F26" s="10">
        <v>5</v>
      </c>
      <c r="G26" s="7">
        <f t="shared" si="0"/>
        <v>14</v>
      </c>
      <c r="H26" s="8">
        <f t="shared" si="1"/>
        <v>59.5</v>
      </c>
    </row>
    <row r="27" spans="1:8" ht="16.5" x14ac:dyDescent="0.3">
      <c r="A27" s="5" t="s">
        <v>36</v>
      </c>
      <c r="B27" s="9">
        <v>3</v>
      </c>
      <c r="C27" s="10">
        <v>0</v>
      </c>
      <c r="D27" s="10">
        <v>90</v>
      </c>
      <c r="E27" s="10">
        <v>0</v>
      </c>
      <c r="F27" s="10">
        <v>10</v>
      </c>
      <c r="G27" s="7">
        <f t="shared" si="0"/>
        <v>100</v>
      </c>
      <c r="H27" s="8">
        <f t="shared" si="1"/>
        <v>300</v>
      </c>
    </row>
    <row r="28" spans="1:8" ht="16.5" x14ac:dyDescent="0.3">
      <c r="A28" s="5" t="s">
        <v>37</v>
      </c>
      <c r="B28" s="9">
        <v>5.0999999999999996</v>
      </c>
      <c r="C28" s="10">
        <v>0</v>
      </c>
      <c r="D28" s="10">
        <v>0</v>
      </c>
      <c r="E28" s="10">
        <v>5</v>
      </c>
      <c r="F28" s="10">
        <v>0</v>
      </c>
      <c r="G28" s="7">
        <f t="shared" si="0"/>
        <v>5</v>
      </c>
      <c r="H28" s="8">
        <f t="shared" si="1"/>
        <v>25.5</v>
      </c>
    </row>
    <row r="29" spans="1:8" ht="16.5" x14ac:dyDescent="0.3">
      <c r="A29" s="5" t="s">
        <v>180</v>
      </c>
      <c r="B29" s="9">
        <v>1.05</v>
      </c>
      <c r="C29" s="10">
        <v>0</v>
      </c>
      <c r="D29" s="10">
        <v>0</v>
      </c>
      <c r="E29" s="10">
        <v>3</v>
      </c>
      <c r="F29" s="10">
        <v>0</v>
      </c>
      <c r="G29" s="7">
        <f t="shared" si="0"/>
        <v>3</v>
      </c>
      <c r="H29" s="8">
        <f t="shared" si="1"/>
        <v>3.1500000000000004</v>
      </c>
    </row>
    <row r="30" spans="1:8" ht="16.5" x14ac:dyDescent="0.3">
      <c r="A30" s="6" t="s">
        <v>38</v>
      </c>
      <c r="B30" s="9">
        <v>3.3</v>
      </c>
      <c r="C30" s="10">
        <v>0</v>
      </c>
      <c r="D30" s="10">
        <v>50</v>
      </c>
      <c r="E30" s="10">
        <v>0</v>
      </c>
      <c r="F30" s="10">
        <v>5</v>
      </c>
      <c r="G30" s="7">
        <f t="shared" si="0"/>
        <v>55</v>
      </c>
      <c r="H30" s="8">
        <f t="shared" si="1"/>
        <v>181.5</v>
      </c>
    </row>
    <row r="31" spans="1:8" ht="16.5" x14ac:dyDescent="0.3">
      <c r="A31" s="5" t="s">
        <v>313</v>
      </c>
      <c r="B31" s="9">
        <v>1.2749999999999999</v>
      </c>
      <c r="C31" s="10">
        <v>0</v>
      </c>
      <c r="D31" s="10">
        <v>0</v>
      </c>
      <c r="E31" s="10">
        <v>0</v>
      </c>
      <c r="F31" s="10">
        <v>0</v>
      </c>
      <c r="G31" s="7">
        <f t="shared" si="0"/>
        <v>0</v>
      </c>
      <c r="H31" s="8">
        <f t="shared" si="1"/>
        <v>0</v>
      </c>
    </row>
    <row r="32" spans="1:8" ht="16.5" x14ac:dyDescent="0.3">
      <c r="A32" s="5" t="s">
        <v>8</v>
      </c>
      <c r="B32" s="9">
        <v>2.25</v>
      </c>
      <c r="C32" s="10">
        <v>310</v>
      </c>
      <c r="D32" s="10">
        <v>945</v>
      </c>
      <c r="E32" s="10">
        <v>108</v>
      </c>
      <c r="F32" s="10">
        <v>175</v>
      </c>
      <c r="G32" s="7">
        <f t="shared" si="0"/>
        <v>1538</v>
      </c>
      <c r="H32" s="8">
        <f t="shared" si="1"/>
        <v>3460.5</v>
      </c>
    </row>
    <row r="33" spans="1:8" ht="16.5" x14ac:dyDescent="0.3">
      <c r="A33" s="5" t="s">
        <v>314</v>
      </c>
      <c r="B33" s="9">
        <v>221</v>
      </c>
      <c r="C33" s="10">
        <v>0</v>
      </c>
      <c r="D33" s="10">
        <v>0</v>
      </c>
      <c r="E33" s="10">
        <v>2</v>
      </c>
      <c r="F33" s="10">
        <v>0</v>
      </c>
      <c r="G33" s="7">
        <f t="shared" si="0"/>
        <v>2</v>
      </c>
      <c r="H33" s="8">
        <f t="shared" si="1"/>
        <v>442</v>
      </c>
    </row>
    <row r="34" spans="1:8" ht="16.5" x14ac:dyDescent="0.3">
      <c r="A34" s="5" t="s">
        <v>315</v>
      </c>
      <c r="B34" s="9">
        <v>4.55</v>
      </c>
      <c r="C34" s="10">
        <v>0</v>
      </c>
      <c r="D34" s="10">
        <v>0</v>
      </c>
      <c r="E34" s="10">
        <v>0</v>
      </c>
      <c r="F34" s="10">
        <v>0</v>
      </c>
      <c r="G34" s="7">
        <f t="shared" si="0"/>
        <v>0</v>
      </c>
      <c r="H34" s="8">
        <f t="shared" si="1"/>
        <v>0</v>
      </c>
    </row>
    <row r="35" spans="1:8" ht="16.5" x14ac:dyDescent="0.3">
      <c r="A35" s="5" t="s">
        <v>39</v>
      </c>
      <c r="B35" s="9">
        <v>3.4</v>
      </c>
      <c r="C35" s="10">
        <v>10</v>
      </c>
      <c r="D35" s="10">
        <v>20</v>
      </c>
      <c r="E35" s="10">
        <v>45</v>
      </c>
      <c r="F35" s="10">
        <v>5</v>
      </c>
      <c r="G35" s="7">
        <f t="shared" si="0"/>
        <v>80</v>
      </c>
      <c r="H35" s="8">
        <f t="shared" si="1"/>
        <v>272</v>
      </c>
    </row>
    <row r="36" spans="1:8" ht="16.5" x14ac:dyDescent="0.3">
      <c r="A36" s="5" t="s">
        <v>40</v>
      </c>
      <c r="B36" s="9">
        <v>6.65</v>
      </c>
      <c r="C36" s="10">
        <v>0</v>
      </c>
      <c r="D36" s="10">
        <v>0</v>
      </c>
      <c r="E36" s="10">
        <v>15</v>
      </c>
      <c r="F36" s="10">
        <v>0</v>
      </c>
      <c r="G36" s="7">
        <f t="shared" si="0"/>
        <v>15</v>
      </c>
      <c r="H36" s="8">
        <f t="shared" si="1"/>
        <v>99.75</v>
      </c>
    </row>
    <row r="37" spans="1:8" ht="16.5" x14ac:dyDescent="0.3">
      <c r="A37" s="5" t="s">
        <v>181</v>
      </c>
      <c r="B37" s="9">
        <v>5.15</v>
      </c>
      <c r="C37" s="10">
        <v>0</v>
      </c>
      <c r="D37" s="10">
        <v>0</v>
      </c>
      <c r="E37" s="10">
        <v>0</v>
      </c>
      <c r="F37" s="10">
        <v>0</v>
      </c>
      <c r="G37" s="7">
        <f t="shared" si="0"/>
        <v>0</v>
      </c>
      <c r="H37" s="8">
        <f t="shared" si="1"/>
        <v>0</v>
      </c>
    </row>
    <row r="38" spans="1:8" ht="16.5" x14ac:dyDescent="0.3">
      <c r="A38" s="5" t="s">
        <v>316</v>
      </c>
      <c r="B38" s="9">
        <v>3.5750000000000002</v>
      </c>
      <c r="C38" s="10">
        <v>0</v>
      </c>
      <c r="D38" s="10">
        <v>55</v>
      </c>
      <c r="E38" s="10">
        <v>0</v>
      </c>
      <c r="F38" s="10">
        <v>0</v>
      </c>
      <c r="G38" s="7">
        <f t="shared" si="0"/>
        <v>55</v>
      </c>
      <c r="H38" s="8">
        <f t="shared" si="1"/>
        <v>196.625</v>
      </c>
    </row>
    <row r="39" spans="1:8" ht="16.5" x14ac:dyDescent="0.3">
      <c r="A39" s="5" t="s">
        <v>182</v>
      </c>
      <c r="B39" s="9">
        <v>2.9</v>
      </c>
      <c r="C39" s="10">
        <v>0</v>
      </c>
      <c r="D39" s="10">
        <v>0</v>
      </c>
      <c r="E39" s="10">
        <v>0</v>
      </c>
      <c r="F39" s="10">
        <v>0</v>
      </c>
      <c r="G39" s="7">
        <f t="shared" si="0"/>
        <v>0</v>
      </c>
      <c r="H39" s="8">
        <f t="shared" si="1"/>
        <v>0</v>
      </c>
    </row>
    <row r="40" spans="1:8" ht="16.5" x14ac:dyDescent="0.3">
      <c r="A40" s="5" t="s">
        <v>42</v>
      </c>
      <c r="B40" s="9">
        <v>5.75</v>
      </c>
      <c r="C40" s="10">
        <v>0</v>
      </c>
      <c r="D40" s="10">
        <v>0</v>
      </c>
      <c r="E40" s="10">
        <v>0</v>
      </c>
      <c r="F40" s="10">
        <v>2</v>
      </c>
      <c r="G40" s="7">
        <f t="shared" si="0"/>
        <v>2</v>
      </c>
      <c r="H40" s="8">
        <f t="shared" si="1"/>
        <v>11.5</v>
      </c>
    </row>
    <row r="41" spans="1:8" ht="16.5" x14ac:dyDescent="0.3">
      <c r="A41" s="5" t="s">
        <v>43</v>
      </c>
      <c r="B41" s="9">
        <v>2.6</v>
      </c>
      <c r="C41" s="10">
        <v>0</v>
      </c>
      <c r="D41" s="10">
        <v>15</v>
      </c>
      <c r="E41" s="10">
        <v>10</v>
      </c>
      <c r="F41" s="10">
        <v>0</v>
      </c>
      <c r="G41" s="7">
        <f t="shared" si="0"/>
        <v>25</v>
      </c>
      <c r="H41" s="8">
        <f t="shared" si="1"/>
        <v>65</v>
      </c>
    </row>
    <row r="42" spans="1:8" ht="16.5" x14ac:dyDescent="0.3">
      <c r="A42" s="5" t="s">
        <v>171</v>
      </c>
      <c r="B42" s="9">
        <v>3.1</v>
      </c>
      <c r="C42" s="10">
        <v>0</v>
      </c>
      <c r="D42" s="10">
        <v>2</v>
      </c>
      <c r="E42" s="10">
        <v>25</v>
      </c>
      <c r="F42" s="10">
        <v>0</v>
      </c>
      <c r="G42" s="7">
        <f t="shared" si="0"/>
        <v>27</v>
      </c>
      <c r="H42" s="8">
        <f t="shared" si="1"/>
        <v>83.7</v>
      </c>
    </row>
    <row r="43" spans="1:8" ht="16.5" x14ac:dyDescent="0.3">
      <c r="A43" s="5" t="s">
        <v>183</v>
      </c>
      <c r="B43" s="9">
        <v>3.5</v>
      </c>
      <c r="C43" s="10">
        <v>20</v>
      </c>
      <c r="D43" s="10">
        <v>55</v>
      </c>
      <c r="E43" s="10">
        <v>10</v>
      </c>
      <c r="F43" s="10">
        <v>5</v>
      </c>
      <c r="G43" s="7">
        <f t="shared" si="0"/>
        <v>90</v>
      </c>
      <c r="H43" s="8">
        <f t="shared" si="1"/>
        <v>315</v>
      </c>
    </row>
    <row r="44" spans="1:8" ht="16.5" x14ac:dyDescent="0.3">
      <c r="A44" s="5" t="s">
        <v>93</v>
      </c>
      <c r="B44" s="9">
        <v>3.75</v>
      </c>
      <c r="C44" s="10">
        <v>0</v>
      </c>
      <c r="D44" s="10">
        <v>0</v>
      </c>
      <c r="E44" s="10">
        <v>0</v>
      </c>
      <c r="F44" s="10">
        <v>0</v>
      </c>
      <c r="G44" s="7">
        <f t="shared" si="0"/>
        <v>0</v>
      </c>
      <c r="H44" s="8">
        <f t="shared" si="1"/>
        <v>0</v>
      </c>
    </row>
    <row r="45" spans="1:8" ht="16.5" x14ac:dyDescent="0.3">
      <c r="A45" s="5" t="s">
        <v>45</v>
      </c>
      <c r="B45" s="9">
        <v>2.7</v>
      </c>
      <c r="C45" s="10">
        <v>0</v>
      </c>
      <c r="D45" s="10">
        <v>0</v>
      </c>
      <c r="E45" s="10">
        <v>3</v>
      </c>
      <c r="F45" s="10">
        <v>2</v>
      </c>
      <c r="G45" s="7">
        <f t="shared" si="0"/>
        <v>5</v>
      </c>
      <c r="H45" s="8">
        <f t="shared" si="1"/>
        <v>13.5</v>
      </c>
    </row>
    <row r="46" spans="1:8" ht="16.5" x14ac:dyDescent="0.3">
      <c r="A46" s="5" t="s">
        <v>317</v>
      </c>
      <c r="B46" s="9">
        <v>1.9000000000000001</v>
      </c>
      <c r="C46" s="10">
        <v>80</v>
      </c>
      <c r="D46" s="10">
        <v>95</v>
      </c>
      <c r="E46" s="10">
        <v>45</v>
      </c>
      <c r="F46" s="10">
        <v>20</v>
      </c>
      <c r="G46" s="7">
        <f t="shared" si="0"/>
        <v>240</v>
      </c>
      <c r="H46" s="8">
        <f t="shared" si="1"/>
        <v>456.00000000000006</v>
      </c>
    </row>
    <row r="47" spans="1:8" ht="16.5" x14ac:dyDescent="0.3">
      <c r="A47" s="5" t="s">
        <v>46</v>
      </c>
      <c r="B47" s="9">
        <v>3.6</v>
      </c>
      <c r="C47" s="10">
        <v>25</v>
      </c>
      <c r="D47" s="10">
        <v>0</v>
      </c>
      <c r="E47" s="10">
        <v>0</v>
      </c>
      <c r="F47" s="10">
        <v>0</v>
      </c>
      <c r="G47" s="7">
        <f t="shared" si="0"/>
        <v>25</v>
      </c>
      <c r="H47" s="8">
        <f t="shared" si="1"/>
        <v>90</v>
      </c>
    </row>
    <row r="48" spans="1:8" ht="16.5" x14ac:dyDescent="0.3">
      <c r="A48" s="6" t="s">
        <v>318</v>
      </c>
      <c r="B48" s="9">
        <v>2.6</v>
      </c>
      <c r="C48" s="10">
        <v>0</v>
      </c>
      <c r="D48" s="10">
        <v>0</v>
      </c>
      <c r="E48" s="10">
        <v>50</v>
      </c>
      <c r="F48" s="10">
        <v>0</v>
      </c>
      <c r="G48" s="7">
        <f t="shared" si="0"/>
        <v>50</v>
      </c>
      <c r="H48" s="8">
        <f t="shared" si="1"/>
        <v>130</v>
      </c>
    </row>
    <row r="49" spans="1:8" ht="16.5" x14ac:dyDescent="0.3">
      <c r="A49" s="5" t="s">
        <v>47</v>
      </c>
      <c r="B49" s="9">
        <v>4.5</v>
      </c>
      <c r="C49" s="10">
        <v>30</v>
      </c>
      <c r="D49" s="10">
        <v>0</v>
      </c>
      <c r="E49" s="10">
        <v>0</v>
      </c>
      <c r="F49" s="10">
        <v>0</v>
      </c>
      <c r="G49" s="7">
        <f t="shared" si="0"/>
        <v>30</v>
      </c>
      <c r="H49" s="8">
        <f t="shared" si="1"/>
        <v>135</v>
      </c>
    </row>
    <row r="50" spans="1:8" ht="16.5" x14ac:dyDescent="0.3">
      <c r="A50" s="5" t="s">
        <v>184</v>
      </c>
      <c r="B50" s="9">
        <v>3.35</v>
      </c>
      <c r="C50" s="10">
        <v>0</v>
      </c>
      <c r="D50" s="10">
        <v>10</v>
      </c>
      <c r="E50" s="10">
        <v>0</v>
      </c>
      <c r="F50" s="10">
        <v>0</v>
      </c>
      <c r="G50" s="7">
        <f t="shared" si="0"/>
        <v>10</v>
      </c>
      <c r="H50" s="8">
        <f t="shared" si="1"/>
        <v>33.5</v>
      </c>
    </row>
    <row r="51" spans="1:8" ht="16.5" x14ac:dyDescent="0.3">
      <c r="A51" s="5" t="s">
        <v>319</v>
      </c>
      <c r="B51" s="9">
        <v>2.6</v>
      </c>
      <c r="C51" s="10">
        <v>0</v>
      </c>
      <c r="D51" s="10">
        <v>0</v>
      </c>
      <c r="E51" s="10">
        <v>4</v>
      </c>
      <c r="F51" s="10">
        <v>0</v>
      </c>
      <c r="G51" s="7">
        <f t="shared" si="0"/>
        <v>4</v>
      </c>
      <c r="H51" s="8">
        <f t="shared" si="1"/>
        <v>10.4</v>
      </c>
    </row>
    <row r="52" spans="1:8" ht="16.5" x14ac:dyDescent="0.3">
      <c r="A52" s="5" t="s">
        <v>185</v>
      </c>
      <c r="B52" s="9">
        <v>5.5</v>
      </c>
      <c r="C52" s="10">
        <v>0</v>
      </c>
      <c r="D52" s="10">
        <v>0</v>
      </c>
      <c r="E52" s="10">
        <v>0</v>
      </c>
      <c r="F52" s="10">
        <v>0</v>
      </c>
      <c r="G52" s="7">
        <f t="shared" si="0"/>
        <v>0</v>
      </c>
      <c r="H52" s="8">
        <f t="shared" si="1"/>
        <v>0</v>
      </c>
    </row>
    <row r="53" spans="1:8" ht="16.5" x14ac:dyDescent="0.3">
      <c r="A53" s="5" t="s">
        <v>11</v>
      </c>
      <c r="B53" s="9">
        <v>1.35</v>
      </c>
      <c r="C53" s="10">
        <v>0</v>
      </c>
      <c r="D53" s="10">
        <v>0</v>
      </c>
      <c r="E53" s="10">
        <v>0</v>
      </c>
      <c r="F53" s="10">
        <v>0</v>
      </c>
      <c r="G53" s="7">
        <f t="shared" si="0"/>
        <v>0</v>
      </c>
      <c r="H53" s="8">
        <f t="shared" si="1"/>
        <v>0</v>
      </c>
    </row>
    <row r="54" spans="1:8" ht="16.5" x14ac:dyDescent="0.3">
      <c r="A54" s="5" t="s">
        <v>49</v>
      </c>
      <c r="B54" s="9">
        <v>3</v>
      </c>
      <c r="C54" s="10">
        <v>0</v>
      </c>
      <c r="D54" s="10">
        <v>10</v>
      </c>
      <c r="E54" s="10">
        <v>0</v>
      </c>
      <c r="F54" s="10">
        <v>0</v>
      </c>
      <c r="G54" s="7">
        <f t="shared" si="0"/>
        <v>10</v>
      </c>
      <c r="H54" s="8">
        <f t="shared" si="1"/>
        <v>30</v>
      </c>
    </row>
    <row r="55" spans="1:8" ht="16.5" x14ac:dyDescent="0.3">
      <c r="A55" s="5" t="s">
        <v>186</v>
      </c>
      <c r="B55" s="9">
        <v>6.25</v>
      </c>
      <c r="C55" s="10">
        <v>0</v>
      </c>
      <c r="D55" s="10">
        <v>11</v>
      </c>
      <c r="E55" s="10">
        <v>0</v>
      </c>
      <c r="F55" s="10">
        <v>0</v>
      </c>
      <c r="G55" s="7">
        <f t="shared" si="0"/>
        <v>11</v>
      </c>
      <c r="H55" s="8">
        <f t="shared" si="1"/>
        <v>68.75</v>
      </c>
    </row>
    <row r="56" spans="1:8" ht="16.5" x14ac:dyDescent="0.3">
      <c r="A56" s="5" t="s">
        <v>320</v>
      </c>
      <c r="B56" s="9">
        <v>2.6</v>
      </c>
      <c r="C56" s="10">
        <v>0</v>
      </c>
      <c r="D56" s="10">
        <v>0</v>
      </c>
      <c r="E56" s="10">
        <v>0</v>
      </c>
      <c r="F56" s="10">
        <v>0</v>
      </c>
      <c r="G56" s="7">
        <f t="shared" si="0"/>
        <v>0</v>
      </c>
      <c r="H56" s="8">
        <f t="shared" si="1"/>
        <v>0</v>
      </c>
    </row>
    <row r="57" spans="1:8" ht="16.5" x14ac:dyDescent="0.3">
      <c r="A57" s="5" t="s">
        <v>321</v>
      </c>
      <c r="B57" s="9">
        <v>7.8</v>
      </c>
      <c r="C57" s="10">
        <v>0</v>
      </c>
      <c r="D57" s="10">
        <v>0</v>
      </c>
      <c r="E57" s="10">
        <v>4</v>
      </c>
      <c r="F57" s="10">
        <v>0</v>
      </c>
      <c r="G57" s="7">
        <f t="shared" si="0"/>
        <v>4</v>
      </c>
      <c r="H57" s="8">
        <f t="shared" si="1"/>
        <v>31.2</v>
      </c>
    </row>
    <row r="58" spans="1:8" ht="16.5" x14ac:dyDescent="0.3">
      <c r="A58" s="5" t="s">
        <v>187</v>
      </c>
      <c r="B58" s="9">
        <v>6.4</v>
      </c>
      <c r="C58" s="10">
        <v>10</v>
      </c>
      <c r="D58" s="10">
        <v>16.5</v>
      </c>
      <c r="E58" s="10">
        <v>0</v>
      </c>
      <c r="F58" s="10">
        <v>0</v>
      </c>
      <c r="G58" s="7">
        <f t="shared" si="0"/>
        <v>26.5</v>
      </c>
      <c r="H58" s="8">
        <f t="shared" si="1"/>
        <v>169.60000000000002</v>
      </c>
    </row>
    <row r="59" spans="1:8" ht="16.5" x14ac:dyDescent="0.3">
      <c r="A59" s="5" t="s">
        <v>188</v>
      </c>
      <c r="B59" s="9">
        <v>3.55</v>
      </c>
      <c r="C59" s="10">
        <v>15</v>
      </c>
      <c r="D59" s="10">
        <v>0</v>
      </c>
      <c r="E59" s="10">
        <v>1</v>
      </c>
      <c r="F59" s="10">
        <v>0</v>
      </c>
      <c r="G59" s="7">
        <f t="shared" si="0"/>
        <v>16</v>
      </c>
      <c r="H59" s="8">
        <f t="shared" si="1"/>
        <v>56.8</v>
      </c>
    </row>
    <row r="60" spans="1:8" ht="16.5" x14ac:dyDescent="0.3">
      <c r="A60" s="5" t="s">
        <v>322</v>
      </c>
      <c r="B60" s="9">
        <v>1.75</v>
      </c>
      <c r="C60" s="10">
        <v>205</v>
      </c>
      <c r="D60" s="10">
        <v>150</v>
      </c>
      <c r="E60" s="10">
        <v>95</v>
      </c>
      <c r="F60" s="10">
        <v>85</v>
      </c>
      <c r="G60" s="7">
        <f t="shared" si="0"/>
        <v>535</v>
      </c>
      <c r="H60" s="8">
        <f t="shared" si="1"/>
        <v>936.25</v>
      </c>
    </row>
    <row r="61" spans="1:8" ht="16.5" x14ac:dyDescent="0.3">
      <c r="A61" s="5" t="s">
        <v>323</v>
      </c>
      <c r="B61" s="9">
        <v>1.69</v>
      </c>
      <c r="C61" s="10">
        <v>0</v>
      </c>
      <c r="D61" s="10">
        <v>0</v>
      </c>
      <c r="E61" s="10">
        <v>1.7</v>
      </c>
      <c r="F61" s="10">
        <v>0</v>
      </c>
      <c r="G61" s="7">
        <f t="shared" si="0"/>
        <v>1.7</v>
      </c>
      <c r="H61" s="8">
        <f t="shared" si="1"/>
        <v>2.8729999999999998</v>
      </c>
    </row>
    <row r="62" spans="1:8" ht="16.5" x14ac:dyDescent="0.3">
      <c r="A62" s="5" t="s">
        <v>189</v>
      </c>
      <c r="B62" s="9">
        <v>2.65</v>
      </c>
      <c r="C62" s="10">
        <v>15</v>
      </c>
      <c r="D62" s="10">
        <v>30</v>
      </c>
      <c r="E62" s="10">
        <v>30</v>
      </c>
      <c r="F62" s="10">
        <v>15</v>
      </c>
      <c r="G62" s="7">
        <f t="shared" si="0"/>
        <v>90</v>
      </c>
      <c r="H62" s="8">
        <f t="shared" si="1"/>
        <v>238.5</v>
      </c>
    </row>
    <row r="63" spans="1:8" ht="16.5" x14ac:dyDescent="0.3">
      <c r="A63" s="5" t="s">
        <v>12</v>
      </c>
      <c r="B63" s="9">
        <v>1.35</v>
      </c>
      <c r="C63" s="10">
        <v>0</v>
      </c>
      <c r="D63" s="10">
        <v>0</v>
      </c>
      <c r="E63" s="10">
        <v>0</v>
      </c>
      <c r="F63" s="10">
        <v>0</v>
      </c>
      <c r="G63" s="7">
        <f t="shared" si="0"/>
        <v>0</v>
      </c>
      <c r="H63" s="8">
        <f t="shared" si="1"/>
        <v>0</v>
      </c>
    </row>
    <row r="64" spans="1:8" ht="16.5" x14ac:dyDescent="0.3">
      <c r="A64" s="5" t="s">
        <v>190</v>
      </c>
      <c r="B64" s="9">
        <v>2.5</v>
      </c>
      <c r="C64" s="10">
        <v>15</v>
      </c>
      <c r="D64" s="10">
        <v>35</v>
      </c>
      <c r="E64" s="10">
        <v>0</v>
      </c>
      <c r="F64" s="10">
        <v>5</v>
      </c>
      <c r="G64" s="7">
        <f t="shared" si="0"/>
        <v>55</v>
      </c>
      <c r="H64" s="8">
        <f t="shared" si="1"/>
        <v>137.5</v>
      </c>
    </row>
    <row r="65" spans="1:8" ht="16.5" x14ac:dyDescent="0.3">
      <c r="A65" s="5" t="s">
        <v>324</v>
      </c>
      <c r="B65" s="9">
        <v>9.1</v>
      </c>
      <c r="C65" s="10">
        <v>0</v>
      </c>
      <c r="D65" s="10">
        <v>0</v>
      </c>
      <c r="E65" s="10">
        <v>6</v>
      </c>
      <c r="F65" s="10">
        <v>0</v>
      </c>
      <c r="G65" s="7">
        <f t="shared" si="0"/>
        <v>6</v>
      </c>
      <c r="H65" s="8">
        <f t="shared" si="1"/>
        <v>54.599999999999994</v>
      </c>
    </row>
    <row r="66" spans="1:8" ht="16.5" x14ac:dyDescent="0.3">
      <c r="A66" s="5" t="s">
        <v>191</v>
      </c>
      <c r="B66" s="9">
        <v>2.2000000000000002</v>
      </c>
      <c r="C66" s="10">
        <v>40</v>
      </c>
      <c r="D66" s="10">
        <v>15</v>
      </c>
      <c r="E66" s="10">
        <v>105</v>
      </c>
      <c r="F66" s="10">
        <v>25</v>
      </c>
      <c r="G66" s="7">
        <f t="shared" si="0"/>
        <v>185</v>
      </c>
      <c r="H66" s="8">
        <f t="shared" si="1"/>
        <v>407.00000000000006</v>
      </c>
    </row>
    <row r="67" spans="1:8" ht="16.5" x14ac:dyDescent="0.3">
      <c r="A67" s="5" t="s">
        <v>325</v>
      </c>
      <c r="B67" s="9">
        <v>45.5</v>
      </c>
      <c r="C67" s="10">
        <v>0</v>
      </c>
      <c r="D67" s="10">
        <v>0</v>
      </c>
      <c r="E67" s="10">
        <v>0</v>
      </c>
      <c r="F67" s="10">
        <v>0</v>
      </c>
      <c r="G67" s="7">
        <f t="shared" ref="G67:G114" si="2">SUM(C67:F67)</f>
        <v>0</v>
      </c>
      <c r="H67" s="8">
        <f t="shared" ref="H67:H114" si="3">G67*B67</f>
        <v>0</v>
      </c>
    </row>
    <row r="68" spans="1:8" ht="16.5" x14ac:dyDescent="0.3">
      <c r="A68" s="5" t="s">
        <v>326</v>
      </c>
      <c r="B68" s="9">
        <v>6.5</v>
      </c>
      <c r="C68" s="10">
        <v>0</v>
      </c>
      <c r="D68" s="10">
        <v>0</v>
      </c>
      <c r="E68" s="10">
        <v>0.7</v>
      </c>
      <c r="F68" s="10">
        <v>0</v>
      </c>
      <c r="G68" s="7">
        <f t="shared" si="2"/>
        <v>0.7</v>
      </c>
      <c r="H68" s="8">
        <f t="shared" si="3"/>
        <v>4.55</v>
      </c>
    </row>
    <row r="69" spans="1:8" ht="16.5" x14ac:dyDescent="0.3">
      <c r="A69" s="6" t="s">
        <v>91</v>
      </c>
      <c r="B69" s="9">
        <v>3.1</v>
      </c>
      <c r="C69" s="10">
        <v>0</v>
      </c>
      <c r="D69" s="10">
        <v>0</v>
      </c>
      <c r="E69" s="10">
        <v>0</v>
      </c>
      <c r="F69" s="10">
        <v>0</v>
      </c>
      <c r="G69" s="7">
        <f t="shared" si="2"/>
        <v>0</v>
      </c>
      <c r="H69" s="8">
        <f t="shared" si="3"/>
        <v>0</v>
      </c>
    </row>
    <row r="70" spans="1:8" ht="16.5" x14ac:dyDescent="0.3">
      <c r="A70" s="5" t="s">
        <v>192</v>
      </c>
      <c r="B70" s="9">
        <v>1.75</v>
      </c>
      <c r="C70" s="10">
        <v>140</v>
      </c>
      <c r="D70" s="10">
        <v>240</v>
      </c>
      <c r="E70" s="10">
        <v>50</v>
      </c>
      <c r="F70" s="10">
        <v>35</v>
      </c>
      <c r="G70" s="7">
        <f t="shared" si="2"/>
        <v>465</v>
      </c>
      <c r="H70" s="8">
        <f t="shared" si="3"/>
        <v>813.75</v>
      </c>
    </row>
    <row r="71" spans="1:8" ht="16.5" x14ac:dyDescent="0.3">
      <c r="A71" s="6" t="s">
        <v>193</v>
      </c>
      <c r="B71" s="9">
        <v>3.5</v>
      </c>
      <c r="C71" s="10">
        <v>15</v>
      </c>
      <c r="D71" s="10">
        <v>10</v>
      </c>
      <c r="E71" s="10">
        <v>6</v>
      </c>
      <c r="F71" s="10">
        <v>0</v>
      </c>
      <c r="G71" s="7">
        <f t="shared" si="2"/>
        <v>31</v>
      </c>
      <c r="H71" s="8">
        <f t="shared" si="3"/>
        <v>108.5</v>
      </c>
    </row>
    <row r="72" spans="1:8" ht="16.5" x14ac:dyDescent="0.3">
      <c r="A72" s="5" t="s">
        <v>327</v>
      </c>
      <c r="B72" s="9">
        <v>2.1</v>
      </c>
      <c r="C72" s="10">
        <v>30</v>
      </c>
      <c r="D72" s="10">
        <v>26</v>
      </c>
      <c r="E72" s="10">
        <v>16</v>
      </c>
      <c r="F72" s="10">
        <v>10</v>
      </c>
      <c r="G72" s="7">
        <f t="shared" si="2"/>
        <v>82</v>
      </c>
      <c r="H72" s="8">
        <f t="shared" si="3"/>
        <v>172.20000000000002</v>
      </c>
    </row>
    <row r="73" spans="1:8" ht="16.5" x14ac:dyDescent="0.3">
      <c r="A73" s="5" t="s">
        <v>328</v>
      </c>
      <c r="B73" s="9">
        <v>3.6</v>
      </c>
      <c r="C73" s="10">
        <v>0</v>
      </c>
      <c r="D73" s="10">
        <v>0</v>
      </c>
      <c r="E73" s="10">
        <v>40</v>
      </c>
      <c r="F73" s="10">
        <v>0</v>
      </c>
      <c r="G73" s="7">
        <f t="shared" si="2"/>
        <v>40</v>
      </c>
      <c r="H73" s="8">
        <f t="shared" si="3"/>
        <v>144</v>
      </c>
    </row>
    <row r="74" spans="1:8" ht="16.5" x14ac:dyDescent="0.3">
      <c r="A74" s="5" t="s">
        <v>95</v>
      </c>
      <c r="B74" s="9">
        <v>3.25</v>
      </c>
      <c r="C74" s="10">
        <v>0</v>
      </c>
      <c r="D74" s="10">
        <v>0</v>
      </c>
      <c r="E74" s="10">
        <v>0</v>
      </c>
      <c r="F74" s="10">
        <v>0</v>
      </c>
      <c r="G74" s="7">
        <f t="shared" si="2"/>
        <v>0</v>
      </c>
      <c r="H74" s="8">
        <f t="shared" si="3"/>
        <v>0</v>
      </c>
    </row>
    <row r="75" spans="1:8" ht="16.5" x14ac:dyDescent="0.3">
      <c r="A75" s="5" t="s">
        <v>329</v>
      </c>
      <c r="B75" s="9">
        <v>6</v>
      </c>
      <c r="C75" s="10">
        <v>0</v>
      </c>
      <c r="D75" s="10">
        <v>81</v>
      </c>
      <c r="E75" s="10">
        <v>0</v>
      </c>
      <c r="F75" s="10">
        <v>22.5</v>
      </c>
      <c r="G75" s="7">
        <f t="shared" si="2"/>
        <v>103.5</v>
      </c>
      <c r="H75" s="8">
        <f t="shared" si="3"/>
        <v>621</v>
      </c>
    </row>
    <row r="76" spans="1:8" ht="16.5" x14ac:dyDescent="0.3">
      <c r="A76" s="5" t="s">
        <v>96</v>
      </c>
      <c r="B76" s="9">
        <v>1.9</v>
      </c>
      <c r="C76" s="10">
        <v>0</v>
      </c>
      <c r="D76" s="10">
        <v>120</v>
      </c>
      <c r="E76" s="10">
        <v>0</v>
      </c>
      <c r="F76" s="10">
        <v>40</v>
      </c>
      <c r="G76" s="7">
        <f t="shared" si="2"/>
        <v>160</v>
      </c>
      <c r="H76" s="8">
        <f t="shared" si="3"/>
        <v>304</v>
      </c>
    </row>
    <row r="77" spans="1:8" ht="16.5" x14ac:dyDescent="0.3">
      <c r="A77" s="5" t="s">
        <v>330</v>
      </c>
      <c r="B77" s="9">
        <v>8.19</v>
      </c>
      <c r="C77" s="10">
        <v>0</v>
      </c>
      <c r="D77" s="10">
        <v>0</v>
      </c>
      <c r="E77" s="10">
        <v>12</v>
      </c>
      <c r="F77" s="10">
        <v>0</v>
      </c>
      <c r="G77" s="7">
        <f t="shared" si="2"/>
        <v>12</v>
      </c>
      <c r="H77" s="8">
        <f t="shared" si="3"/>
        <v>98.28</v>
      </c>
    </row>
    <row r="78" spans="1:8" ht="16.5" x14ac:dyDescent="0.3">
      <c r="A78" s="5" t="s">
        <v>331</v>
      </c>
      <c r="B78" s="9">
        <v>5</v>
      </c>
      <c r="C78" s="10">
        <v>0</v>
      </c>
      <c r="D78" s="10">
        <v>0</v>
      </c>
      <c r="E78" s="10">
        <v>0</v>
      </c>
      <c r="F78" s="10">
        <v>0</v>
      </c>
      <c r="G78" s="7">
        <f t="shared" si="2"/>
        <v>0</v>
      </c>
      <c r="H78" s="8">
        <f t="shared" si="3"/>
        <v>0</v>
      </c>
    </row>
    <row r="79" spans="1:8" ht="16.5" x14ac:dyDescent="0.3">
      <c r="A79" s="5" t="s">
        <v>332</v>
      </c>
      <c r="B79" s="9">
        <v>2.2000000000000002</v>
      </c>
      <c r="C79" s="10">
        <v>0</v>
      </c>
      <c r="D79" s="10">
        <v>15</v>
      </c>
      <c r="E79" s="10">
        <v>0</v>
      </c>
      <c r="F79" s="10">
        <v>0</v>
      </c>
      <c r="G79" s="7">
        <f t="shared" si="2"/>
        <v>15</v>
      </c>
      <c r="H79" s="8">
        <f t="shared" si="3"/>
        <v>33</v>
      </c>
    </row>
    <row r="80" spans="1:8" ht="16.5" x14ac:dyDescent="0.3">
      <c r="A80" s="5" t="s">
        <v>333</v>
      </c>
      <c r="B80" s="9">
        <v>4.3</v>
      </c>
      <c r="C80" s="10">
        <v>0</v>
      </c>
      <c r="D80" s="10">
        <v>0</v>
      </c>
      <c r="E80" s="10">
        <v>13.2</v>
      </c>
      <c r="F80" s="10">
        <v>14.4</v>
      </c>
      <c r="G80" s="7">
        <f t="shared" si="2"/>
        <v>27.6</v>
      </c>
      <c r="H80" s="8">
        <f t="shared" si="3"/>
        <v>118.68</v>
      </c>
    </row>
    <row r="81" spans="1:8" ht="16.5" x14ac:dyDescent="0.3">
      <c r="A81" s="5" t="s">
        <v>194</v>
      </c>
      <c r="B81" s="9">
        <v>6.4</v>
      </c>
      <c r="C81" s="10">
        <v>0</v>
      </c>
      <c r="D81" s="10">
        <v>0</v>
      </c>
      <c r="E81" s="10">
        <v>0</v>
      </c>
      <c r="F81" s="10">
        <v>50</v>
      </c>
      <c r="G81" s="7">
        <f t="shared" si="2"/>
        <v>50</v>
      </c>
      <c r="H81" s="8">
        <f t="shared" si="3"/>
        <v>320</v>
      </c>
    </row>
    <row r="82" spans="1:8" ht="16.5" x14ac:dyDescent="0.3">
      <c r="A82" s="5" t="s">
        <v>195</v>
      </c>
      <c r="B82" s="9">
        <v>1.6</v>
      </c>
      <c r="C82" s="10">
        <v>235</v>
      </c>
      <c r="D82" s="10">
        <v>1080</v>
      </c>
      <c r="E82" s="10">
        <v>455</v>
      </c>
      <c r="F82" s="10">
        <v>125</v>
      </c>
      <c r="G82" s="7">
        <f t="shared" si="2"/>
        <v>1895</v>
      </c>
      <c r="H82" s="8">
        <f t="shared" si="3"/>
        <v>3032</v>
      </c>
    </row>
    <row r="83" spans="1:8" ht="16.5" x14ac:dyDescent="0.3">
      <c r="A83" s="5" t="s">
        <v>15</v>
      </c>
      <c r="B83" s="9">
        <v>1.7000000000000002</v>
      </c>
      <c r="C83" s="10">
        <v>0</v>
      </c>
      <c r="D83" s="10">
        <v>0</v>
      </c>
      <c r="E83" s="10">
        <v>0</v>
      </c>
      <c r="F83" s="10">
        <v>0</v>
      </c>
      <c r="G83" s="7">
        <f t="shared" si="2"/>
        <v>0</v>
      </c>
      <c r="H83" s="8">
        <f t="shared" si="3"/>
        <v>0</v>
      </c>
    </row>
    <row r="84" spans="1:8" ht="16.5" x14ac:dyDescent="0.3">
      <c r="A84" s="5" t="s">
        <v>16</v>
      </c>
      <c r="B84" s="9">
        <v>2.35</v>
      </c>
      <c r="C84" s="10">
        <v>0</v>
      </c>
      <c r="D84" s="10">
        <v>15</v>
      </c>
      <c r="E84" s="10">
        <v>0</v>
      </c>
      <c r="F84" s="10">
        <v>0</v>
      </c>
      <c r="G84" s="7">
        <f t="shared" si="2"/>
        <v>15</v>
      </c>
      <c r="H84" s="8">
        <f t="shared" si="3"/>
        <v>35.25</v>
      </c>
    </row>
    <row r="85" spans="1:8" ht="16.5" x14ac:dyDescent="0.3">
      <c r="A85" s="5" t="s">
        <v>334</v>
      </c>
      <c r="B85" s="9">
        <v>1.925</v>
      </c>
      <c r="C85" s="10">
        <v>0</v>
      </c>
      <c r="D85" s="10">
        <v>0</v>
      </c>
      <c r="E85" s="10">
        <v>2</v>
      </c>
      <c r="F85" s="10">
        <v>0</v>
      </c>
      <c r="G85" s="7">
        <f t="shared" si="2"/>
        <v>2</v>
      </c>
      <c r="H85" s="8">
        <f t="shared" si="3"/>
        <v>3.85</v>
      </c>
    </row>
    <row r="86" spans="1:8" ht="16.5" x14ac:dyDescent="0.3">
      <c r="A86" s="5" t="s">
        <v>335</v>
      </c>
      <c r="B86" s="9">
        <v>4.0999999999999996</v>
      </c>
      <c r="C86" s="10">
        <v>0</v>
      </c>
      <c r="D86" s="10">
        <v>20</v>
      </c>
      <c r="E86" s="10">
        <v>0</v>
      </c>
      <c r="F86" s="10">
        <v>0</v>
      </c>
      <c r="G86" s="7">
        <f t="shared" si="2"/>
        <v>20</v>
      </c>
      <c r="H86" s="8">
        <f t="shared" si="3"/>
        <v>82</v>
      </c>
    </row>
    <row r="87" spans="1:8" ht="16.5" x14ac:dyDescent="0.3">
      <c r="A87" s="5" t="s">
        <v>61</v>
      </c>
      <c r="B87" s="9">
        <v>5.75</v>
      </c>
      <c r="C87" s="10">
        <v>50</v>
      </c>
      <c r="D87" s="10">
        <v>39</v>
      </c>
      <c r="E87" s="10">
        <v>0</v>
      </c>
      <c r="F87" s="10">
        <v>10</v>
      </c>
      <c r="G87" s="7">
        <f t="shared" si="2"/>
        <v>99</v>
      </c>
      <c r="H87" s="8">
        <f t="shared" si="3"/>
        <v>569.25</v>
      </c>
    </row>
    <row r="88" spans="1:8" ht="16.5" x14ac:dyDescent="0.3">
      <c r="A88" s="5" t="s">
        <v>196</v>
      </c>
      <c r="B88" s="9">
        <v>6.5</v>
      </c>
      <c r="C88" s="10">
        <v>20</v>
      </c>
      <c r="D88" s="10">
        <v>70</v>
      </c>
      <c r="E88" s="10">
        <v>12</v>
      </c>
      <c r="F88" s="10">
        <v>10</v>
      </c>
      <c r="G88" s="7">
        <f t="shared" si="2"/>
        <v>112</v>
      </c>
      <c r="H88" s="8">
        <f t="shared" si="3"/>
        <v>728</v>
      </c>
    </row>
    <row r="89" spans="1:8" ht="16.5" x14ac:dyDescent="0.3">
      <c r="A89" s="5" t="s">
        <v>197</v>
      </c>
      <c r="B89" s="9">
        <v>2.9</v>
      </c>
      <c r="C89" s="10">
        <v>20</v>
      </c>
      <c r="D89" s="10">
        <v>52</v>
      </c>
      <c r="E89" s="10">
        <v>10</v>
      </c>
      <c r="F89" s="10">
        <v>10</v>
      </c>
      <c r="G89" s="7">
        <f t="shared" si="2"/>
        <v>92</v>
      </c>
      <c r="H89" s="8">
        <f t="shared" si="3"/>
        <v>266.8</v>
      </c>
    </row>
    <row r="90" spans="1:8" ht="16.5" x14ac:dyDescent="0.3">
      <c r="A90" s="5" t="s">
        <v>336</v>
      </c>
      <c r="B90" s="9">
        <v>5.75</v>
      </c>
      <c r="C90" s="10">
        <v>25</v>
      </c>
      <c r="D90" s="10">
        <v>309</v>
      </c>
      <c r="E90" s="10">
        <v>15</v>
      </c>
      <c r="F90" s="10">
        <v>10</v>
      </c>
      <c r="G90" s="7">
        <f t="shared" si="2"/>
        <v>359</v>
      </c>
      <c r="H90" s="8">
        <f t="shared" si="3"/>
        <v>2064.25</v>
      </c>
    </row>
    <row r="91" spans="1:8" ht="16.5" x14ac:dyDescent="0.3">
      <c r="A91" s="5" t="s">
        <v>198</v>
      </c>
      <c r="B91" s="9">
        <v>2.85</v>
      </c>
      <c r="C91" s="10">
        <v>0</v>
      </c>
      <c r="D91" s="10">
        <v>0</v>
      </c>
      <c r="E91" s="10">
        <v>4</v>
      </c>
      <c r="F91" s="10">
        <v>0</v>
      </c>
      <c r="G91" s="7">
        <f t="shared" si="2"/>
        <v>4</v>
      </c>
      <c r="H91" s="8">
        <f t="shared" si="3"/>
        <v>11.4</v>
      </c>
    </row>
    <row r="92" spans="1:8" ht="16.5" x14ac:dyDescent="0.3">
      <c r="A92" s="5" t="s">
        <v>65</v>
      </c>
      <c r="B92" s="9">
        <v>2.6</v>
      </c>
      <c r="C92" s="10">
        <v>0</v>
      </c>
      <c r="D92" s="10">
        <v>20</v>
      </c>
      <c r="E92" s="10">
        <v>5</v>
      </c>
      <c r="F92" s="10">
        <v>25</v>
      </c>
      <c r="G92" s="7">
        <f t="shared" si="2"/>
        <v>50</v>
      </c>
      <c r="H92" s="8">
        <f t="shared" si="3"/>
        <v>130</v>
      </c>
    </row>
    <row r="93" spans="1:8" ht="16.5" x14ac:dyDescent="0.3">
      <c r="A93" s="5" t="s">
        <v>199</v>
      </c>
      <c r="B93" s="9">
        <v>8</v>
      </c>
      <c r="C93" s="10">
        <v>0</v>
      </c>
      <c r="D93" s="10">
        <v>0</v>
      </c>
      <c r="E93" s="10">
        <v>6</v>
      </c>
      <c r="F93" s="10">
        <v>0</v>
      </c>
      <c r="G93" s="7">
        <f t="shared" si="2"/>
        <v>6</v>
      </c>
      <c r="H93" s="8">
        <f t="shared" si="3"/>
        <v>48</v>
      </c>
    </row>
    <row r="94" spans="1:8" ht="16.5" x14ac:dyDescent="0.3">
      <c r="A94" s="5" t="s">
        <v>200</v>
      </c>
      <c r="B94" s="9">
        <v>4.45</v>
      </c>
      <c r="C94" s="10">
        <v>0</v>
      </c>
      <c r="D94" s="10">
        <v>0</v>
      </c>
      <c r="E94" s="10">
        <v>1.25</v>
      </c>
      <c r="F94" s="10">
        <v>0</v>
      </c>
      <c r="G94" s="7">
        <f t="shared" si="2"/>
        <v>1.25</v>
      </c>
      <c r="H94" s="8">
        <f t="shared" si="3"/>
        <v>5.5625</v>
      </c>
    </row>
    <row r="95" spans="1:8" ht="16.5" x14ac:dyDescent="0.3">
      <c r="A95" s="5" t="s">
        <v>337</v>
      </c>
      <c r="B95" s="9">
        <v>1.2</v>
      </c>
      <c r="C95" s="10">
        <v>0</v>
      </c>
      <c r="D95" s="10">
        <v>0</v>
      </c>
      <c r="E95" s="10">
        <v>3.8</v>
      </c>
      <c r="F95" s="10">
        <v>0</v>
      </c>
      <c r="G95" s="7">
        <f t="shared" si="2"/>
        <v>3.8</v>
      </c>
      <c r="H95" s="8">
        <f t="shared" si="3"/>
        <v>4.5599999999999996</v>
      </c>
    </row>
    <row r="96" spans="1:8" ht="16.5" x14ac:dyDescent="0.3">
      <c r="A96" s="5" t="s">
        <v>338</v>
      </c>
      <c r="B96" s="9">
        <v>4.3000000000000007</v>
      </c>
      <c r="C96" s="10">
        <v>0</v>
      </c>
      <c r="D96" s="10">
        <v>75</v>
      </c>
      <c r="E96" s="10">
        <v>35</v>
      </c>
      <c r="F96" s="10">
        <v>0</v>
      </c>
      <c r="G96" s="7">
        <f t="shared" si="2"/>
        <v>110</v>
      </c>
      <c r="H96" s="8">
        <f t="shared" si="3"/>
        <v>473.00000000000006</v>
      </c>
    </row>
    <row r="97" spans="1:8" ht="16.5" x14ac:dyDescent="0.3">
      <c r="A97" s="5" t="s">
        <v>94</v>
      </c>
      <c r="B97" s="9">
        <v>2.3250000000000002</v>
      </c>
      <c r="C97" s="10">
        <v>0</v>
      </c>
      <c r="D97" s="10">
        <v>0</v>
      </c>
      <c r="E97" s="10">
        <v>0</v>
      </c>
      <c r="F97" s="10">
        <v>55</v>
      </c>
      <c r="G97" s="7">
        <f t="shared" si="2"/>
        <v>55</v>
      </c>
      <c r="H97" s="8">
        <f t="shared" si="3"/>
        <v>127.87500000000001</v>
      </c>
    </row>
    <row r="98" spans="1:8" ht="16.5" x14ac:dyDescent="0.3">
      <c r="A98" s="5" t="s">
        <v>201</v>
      </c>
      <c r="B98" s="9">
        <v>2.0499999999999998</v>
      </c>
      <c r="C98" s="10">
        <v>0</v>
      </c>
      <c r="D98" s="10">
        <v>0</v>
      </c>
      <c r="E98" s="10">
        <v>0</v>
      </c>
      <c r="F98" s="10">
        <v>0</v>
      </c>
      <c r="G98" s="7">
        <f t="shared" si="2"/>
        <v>0</v>
      </c>
      <c r="H98" s="8">
        <f t="shared" si="3"/>
        <v>0</v>
      </c>
    </row>
    <row r="99" spans="1:8" ht="16.5" x14ac:dyDescent="0.3">
      <c r="A99" s="5" t="s">
        <v>202</v>
      </c>
      <c r="B99" s="9">
        <v>1</v>
      </c>
      <c r="C99" s="10">
        <v>0</v>
      </c>
      <c r="D99" s="10">
        <v>0</v>
      </c>
      <c r="E99" s="10">
        <v>2</v>
      </c>
      <c r="F99" s="10">
        <v>0</v>
      </c>
      <c r="G99" s="7">
        <f t="shared" si="2"/>
        <v>2</v>
      </c>
      <c r="H99" s="8">
        <f t="shared" si="3"/>
        <v>2</v>
      </c>
    </row>
    <row r="100" spans="1:8" ht="16.5" x14ac:dyDescent="0.3">
      <c r="A100" s="5" t="s">
        <v>339</v>
      </c>
      <c r="B100" s="9">
        <v>6</v>
      </c>
      <c r="C100" s="10">
        <v>0</v>
      </c>
      <c r="D100" s="10">
        <v>0</v>
      </c>
      <c r="E100" s="10">
        <v>0</v>
      </c>
      <c r="F100" s="10">
        <v>0</v>
      </c>
      <c r="G100" s="7">
        <f t="shared" si="2"/>
        <v>0</v>
      </c>
      <c r="H100" s="8">
        <f t="shared" si="3"/>
        <v>0</v>
      </c>
    </row>
    <row r="101" spans="1:8" ht="16.5" x14ac:dyDescent="0.3">
      <c r="A101" s="5" t="s">
        <v>340</v>
      </c>
      <c r="B101" s="9">
        <v>2.4500000000000002</v>
      </c>
      <c r="C101" s="10">
        <v>0</v>
      </c>
      <c r="D101" s="10">
        <v>705</v>
      </c>
      <c r="E101" s="10">
        <v>0</v>
      </c>
      <c r="F101" s="10">
        <v>0</v>
      </c>
      <c r="G101" s="7">
        <f t="shared" si="2"/>
        <v>705</v>
      </c>
      <c r="H101" s="8">
        <f t="shared" si="3"/>
        <v>1727.2500000000002</v>
      </c>
    </row>
    <row r="102" spans="1:8" ht="16.5" x14ac:dyDescent="0.3">
      <c r="A102" s="5" t="s">
        <v>69</v>
      </c>
      <c r="B102" s="9">
        <v>2.75</v>
      </c>
      <c r="C102" s="10">
        <v>60</v>
      </c>
      <c r="D102" s="10">
        <v>110</v>
      </c>
      <c r="E102" s="10">
        <v>35</v>
      </c>
      <c r="F102" s="10">
        <v>20</v>
      </c>
      <c r="G102" s="7">
        <f t="shared" si="2"/>
        <v>225</v>
      </c>
      <c r="H102" s="8">
        <f t="shared" si="3"/>
        <v>618.75</v>
      </c>
    </row>
    <row r="103" spans="1:8" ht="16.5" x14ac:dyDescent="0.3">
      <c r="A103" s="5" t="s">
        <v>203</v>
      </c>
      <c r="B103" s="9">
        <v>4.4249999999999998</v>
      </c>
      <c r="C103" s="10">
        <v>48</v>
      </c>
      <c r="D103" s="10">
        <v>48</v>
      </c>
      <c r="E103" s="10">
        <v>0</v>
      </c>
      <c r="F103" s="10">
        <v>24</v>
      </c>
      <c r="G103" s="7">
        <f t="shared" si="2"/>
        <v>120</v>
      </c>
      <c r="H103" s="8">
        <f t="shared" si="3"/>
        <v>531</v>
      </c>
    </row>
    <row r="104" spans="1:8" ht="16.5" x14ac:dyDescent="0.3">
      <c r="A104" s="5" t="s">
        <v>341</v>
      </c>
      <c r="B104" s="9">
        <v>1.5249999999999999</v>
      </c>
      <c r="C104" s="10">
        <v>0</v>
      </c>
      <c r="D104" s="10">
        <v>15</v>
      </c>
      <c r="E104" s="10">
        <v>0</v>
      </c>
      <c r="F104" s="10">
        <v>80</v>
      </c>
      <c r="G104" s="7">
        <f t="shared" si="2"/>
        <v>95</v>
      </c>
      <c r="H104" s="8">
        <f t="shared" si="3"/>
        <v>144.875</v>
      </c>
    </row>
    <row r="105" spans="1:8" ht="16.5" x14ac:dyDescent="0.3">
      <c r="A105" s="5" t="s">
        <v>204</v>
      </c>
      <c r="B105" s="9">
        <v>6.85</v>
      </c>
      <c r="C105" s="10">
        <v>0</v>
      </c>
      <c r="D105" s="10">
        <v>30</v>
      </c>
      <c r="E105" s="10">
        <v>10</v>
      </c>
      <c r="F105" s="10">
        <v>50</v>
      </c>
      <c r="G105" s="7">
        <f t="shared" si="2"/>
        <v>90</v>
      </c>
      <c r="H105" s="8">
        <f t="shared" si="3"/>
        <v>616.5</v>
      </c>
    </row>
    <row r="106" spans="1:8" ht="16.5" x14ac:dyDescent="0.3">
      <c r="A106" s="5" t="s">
        <v>342</v>
      </c>
      <c r="B106" s="9">
        <v>3.5</v>
      </c>
      <c r="C106" s="10">
        <v>0</v>
      </c>
      <c r="D106" s="10">
        <v>20</v>
      </c>
      <c r="E106" s="10">
        <v>0</v>
      </c>
      <c r="F106" s="10">
        <v>0</v>
      </c>
      <c r="G106" s="7">
        <f t="shared" si="2"/>
        <v>20</v>
      </c>
      <c r="H106" s="8">
        <f t="shared" si="3"/>
        <v>70</v>
      </c>
    </row>
    <row r="107" spans="1:8" ht="16.5" x14ac:dyDescent="0.3">
      <c r="A107" s="5" t="s">
        <v>343</v>
      </c>
      <c r="B107" s="9">
        <v>1.1499999999999999</v>
      </c>
      <c r="C107" s="10">
        <v>89.5</v>
      </c>
      <c r="D107" s="10">
        <v>444.5</v>
      </c>
      <c r="E107" s="10">
        <v>320</v>
      </c>
      <c r="F107" s="10">
        <v>125</v>
      </c>
      <c r="G107" s="7">
        <f t="shared" si="2"/>
        <v>979</v>
      </c>
      <c r="H107" s="8">
        <f t="shared" si="3"/>
        <v>1125.8499999999999</v>
      </c>
    </row>
    <row r="108" spans="1:8" ht="16.5" x14ac:dyDescent="0.3">
      <c r="A108" s="5" t="s">
        <v>344</v>
      </c>
      <c r="B108" s="9">
        <v>1.75</v>
      </c>
      <c r="C108" s="10">
        <v>90</v>
      </c>
      <c r="D108" s="10">
        <v>120</v>
      </c>
      <c r="E108" s="10">
        <v>100</v>
      </c>
      <c r="F108" s="10">
        <v>100</v>
      </c>
      <c r="G108" s="7">
        <f t="shared" si="2"/>
        <v>410</v>
      </c>
      <c r="H108" s="8">
        <f t="shared" si="3"/>
        <v>717.5</v>
      </c>
    </row>
    <row r="109" spans="1:8" ht="16.5" x14ac:dyDescent="0.3">
      <c r="A109" s="5" t="s">
        <v>345</v>
      </c>
      <c r="B109" s="9">
        <v>1.6</v>
      </c>
      <c r="C109" s="10">
        <v>35</v>
      </c>
      <c r="D109" s="10">
        <v>115</v>
      </c>
      <c r="E109" s="10">
        <v>35</v>
      </c>
      <c r="F109" s="10">
        <v>35</v>
      </c>
      <c r="G109" s="7">
        <f t="shared" si="2"/>
        <v>220</v>
      </c>
      <c r="H109" s="8">
        <f t="shared" si="3"/>
        <v>352</v>
      </c>
    </row>
    <row r="110" spans="1:8" ht="16.5" x14ac:dyDescent="0.3">
      <c r="A110" s="5" t="s">
        <v>346</v>
      </c>
      <c r="B110" s="9">
        <v>2.75</v>
      </c>
      <c r="C110" s="10">
        <v>0</v>
      </c>
      <c r="D110" s="10">
        <v>0</v>
      </c>
      <c r="E110" s="10">
        <v>0</v>
      </c>
      <c r="F110" s="10">
        <v>0</v>
      </c>
      <c r="G110" s="7">
        <f t="shared" si="2"/>
        <v>0</v>
      </c>
      <c r="H110" s="8">
        <f t="shared" si="3"/>
        <v>0</v>
      </c>
    </row>
    <row r="111" spans="1:8" ht="16.5" x14ac:dyDescent="0.3">
      <c r="A111" s="5" t="s">
        <v>347</v>
      </c>
      <c r="B111" s="9">
        <v>1.2</v>
      </c>
      <c r="C111" s="10">
        <v>40</v>
      </c>
      <c r="D111" s="10">
        <v>200</v>
      </c>
      <c r="E111" s="10">
        <v>15</v>
      </c>
      <c r="F111" s="10">
        <v>55</v>
      </c>
      <c r="G111" s="7">
        <f t="shared" si="2"/>
        <v>310</v>
      </c>
      <c r="H111" s="8">
        <f t="shared" si="3"/>
        <v>372</v>
      </c>
    </row>
    <row r="112" spans="1:8" ht="16.5" x14ac:dyDescent="0.3">
      <c r="A112" s="5" t="s">
        <v>154</v>
      </c>
      <c r="B112" s="9">
        <v>0.82499999999999996</v>
      </c>
      <c r="C112" s="10">
        <v>10</v>
      </c>
      <c r="D112" s="10">
        <v>20</v>
      </c>
      <c r="E112" s="10">
        <v>5</v>
      </c>
      <c r="F112" s="10">
        <v>10</v>
      </c>
      <c r="G112" s="7">
        <f t="shared" si="2"/>
        <v>45</v>
      </c>
      <c r="H112" s="8">
        <f t="shared" si="3"/>
        <v>37.125</v>
      </c>
    </row>
    <row r="113" spans="1:8" ht="16.5" x14ac:dyDescent="0.3">
      <c r="A113" s="5" t="s">
        <v>348</v>
      </c>
      <c r="B113" s="9">
        <v>1.3</v>
      </c>
      <c r="C113" s="10">
        <v>15</v>
      </c>
      <c r="D113" s="10">
        <v>0</v>
      </c>
      <c r="E113" s="10">
        <v>0</v>
      </c>
      <c r="F113" s="10">
        <v>0</v>
      </c>
      <c r="G113" s="7">
        <f t="shared" si="2"/>
        <v>15</v>
      </c>
      <c r="H113" s="8">
        <f t="shared" si="3"/>
        <v>19.5</v>
      </c>
    </row>
    <row r="114" spans="1:8" ht="16.5" x14ac:dyDescent="0.3">
      <c r="A114" s="5" t="s">
        <v>156</v>
      </c>
      <c r="B114" s="9">
        <v>4</v>
      </c>
      <c r="C114" s="10">
        <v>25</v>
      </c>
      <c r="D114" s="10">
        <v>30</v>
      </c>
      <c r="E114" s="10">
        <v>25</v>
      </c>
      <c r="F114" s="10">
        <v>5</v>
      </c>
      <c r="G114" s="7">
        <f t="shared" si="2"/>
        <v>85</v>
      </c>
      <c r="H114" s="8">
        <f t="shared" si="3"/>
        <v>340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9"/>
  <sheetViews>
    <sheetView tabSelected="1" workbookViewId="0">
      <selection activeCell="A3" sqref="A3"/>
    </sheetView>
  </sheetViews>
  <sheetFormatPr defaultRowHeight="14.25" x14ac:dyDescent="0.2"/>
  <cols>
    <col min="1" max="1" width="19" bestFit="1" customWidth="1"/>
    <col min="2" max="2" width="15.125" customWidth="1"/>
    <col min="3" max="3" width="13" customWidth="1"/>
  </cols>
  <sheetData>
    <row r="3" spans="1:3" x14ac:dyDescent="0.2">
      <c r="A3" s="15" t="s">
        <v>493</v>
      </c>
      <c r="B3" t="s">
        <v>1308</v>
      </c>
      <c r="C3" t="s">
        <v>1309</v>
      </c>
    </row>
    <row r="4" spans="1:3" x14ac:dyDescent="0.2">
      <c r="A4" s="16" t="s">
        <v>908</v>
      </c>
      <c r="B4" s="14">
        <v>23857.715</v>
      </c>
      <c r="C4" s="14">
        <v>11040.5</v>
      </c>
    </row>
    <row r="5" spans="1:3" x14ac:dyDescent="0.2">
      <c r="A5" s="17" t="s">
        <v>60</v>
      </c>
      <c r="B5" s="14">
        <v>16281.95</v>
      </c>
      <c r="C5" s="14">
        <v>7439</v>
      </c>
    </row>
    <row r="6" spans="1:3" x14ac:dyDescent="0.2">
      <c r="A6" s="17" t="s">
        <v>457</v>
      </c>
      <c r="B6" s="14">
        <v>1591.15</v>
      </c>
      <c r="C6" s="14">
        <v>1128</v>
      </c>
    </row>
    <row r="7" spans="1:3" x14ac:dyDescent="0.2">
      <c r="A7" s="17" t="s">
        <v>36</v>
      </c>
      <c r="B7" s="14">
        <v>967.2</v>
      </c>
      <c r="C7" s="14">
        <v>281</v>
      </c>
    </row>
    <row r="8" spans="1:3" x14ac:dyDescent="0.2">
      <c r="A8" s="17" t="s">
        <v>20</v>
      </c>
      <c r="B8" s="14">
        <v>898.8</v>
      </c>
      <c r="C8" s="14">
        <v>749</v>
      </c>
    </row>
    <row r="9" spans="1:3" x14ac:dyDescent="0.2">
      <c r="A9" s="17" t="s">
        <v>485</v>
      </c>
      <c r="B9" s="14">
        <v>883</v>
      </c>
      <c r="C9" s="14">
        <v>540</v>
      </c>
    </row>
    <row r="10" spans="1:3" x14ac:dyDescent="0.2">
      <c r="A10" s="17" t="s">
        <v>472</v>
      </c>
      <c r="B10" s="14">
        <v>677</v>
      </c>
      <c r="C10" s="14">
        <v>215</v>
      </c>
    </row>
    <row r="11" spans="1:3" x14ac:dyDescent="0.2">
      <c r="A11" s="17" t="s">
        <v>416</v>
      </c>
      <c r="B11" s="14">
        <v>565.47500000000002</v>
      </c>
      <c r="C11" s="14">
        <v>195</v>
      </c>
    </row>
    <row r="12" spans="1:3" x14ac:dyDescent="0.2">
      <c r="A12" s="17" t="s">
        <v>433</v>
      </c>
      <c r="B12" s="14">
        <v>419.75</v>
      </c>
      <c r="C12" s="14">
        <v>73</v>
      </c>
    </row>
    <row r="13" spans="1:3" x14ac:dyDescent="0.2">
      <c r="A13" s="17" t="s">
        <v>50</v>
      </c>
      <c r="B13" s="14">
        <v>390.75</v>
      </c>
      <c r="C13" s="14">
        <v>49</v>
      </c>
    </row>
    <row r="14" spans="1:3" x14ac:dyDescent="0.2">
      <c r="A14" s="17" t="s">
        <v>455</v>
      </c>
      <c r="B14" s="14">
        <v>320</v>
      </c>
      <c r="C14" s="14">
        <v>128</v>
      </c>
    </row>
    <row r="15" spans="1:3" x14ac:dyDescent="0.2">
      <c r="A15" s="17" t="s">
        <v>452</v>
      </c>
      <c r="B15" s="14">
        <v>235</v>
      </c>
      <c r="C15" s="14">
        <v>94</v>
      </c>
    </row>
    <row r="16" spans="1:3" x14ac:dyDescent="0.2">
      <c r="A16" s="17" t="s">
        <v>53</v>
      </c>
      <c r="B16" s="14">
        <v>220</v>
      </c>
      <c r="C16" s="14">
        <v>64</v>
      </c>
    </row>
    <row r="17" spans="1:3" x14ac:dyDescent="0.2">
      <c r="A17" s="17" t="s">
        <v>37</v>
      </c>
      <c r="B17" s="14">
        <v>137.125</v>
      </c>
      <c r="C17" s="14">
        <v>25</v>
      </c>
    </row>
    <row r="18" spans="1:3" x14ac:dyDescent="0.2">
      <c r="A18" s="17" t="s">
        <v>475</v>
      </c>
      <c r="B18" s="14">
        <v>67</v>
      </c>
      <c r="C18" s="14">
        <v>8</v>
      </c>
    </row>
    <row r="19" spans="1:3" x14ac:dyDescent="0.2">
      <c r="A19" s="17" t="s">
        <v>415</v>
      </c>
      <c r="B19" s="14">
        <v>59.800000000000004</v>
      </c>
      <c r="C19" s="14">
        <v>23</v>
      </c>
    </row>
    <row r="20" spans="1:3" x14ac:dyDescent="0.2">
      <c r="A20" s="17" t="s">
        <v>431</v>
      </c>
      <c r="B20" s="14">
        <v>57.75</v>
      </c>
      <c r="C20" s="14">
        <v>7</v>
      </c>
    </row>
    <row r="21" spans="1:3" x14ac:dyDescent="0.2">
      <c r="A21" s="17" t="s">
        <v>460</v>
      </c>
      <c r="B21" s="14">
        <v>33.800000000000004</v>
      </c>
      <c r="C21" s="14">
        <v>13</v>
      </c>
    </row>
    <row r="22" spans="1:3" x14ac:dyDescent="0.2">
      <c r="A22" s="17" t="s">
        <v>435</v>
      </c>
      <c r="B22" s="14">
        <v>30.984999999999999</v>
      </c>
      <c r="C22" s="14">
        <v>6.8</v>
      </c>
    </row>
    <row r="23" spans="1:3" x14ac:dyDescent="0.2">
      <c r="A23" s="17" t="s">
        <v>441</v>
      </c>
      <c r="B23" s="14">
        <v>16.5</v>
      </c>
      <c r="C23" s="14">
        <v>1.5</v>
      </c>
    </row>
    <row r="24" spans="1:3" x14ac:dyDescent="0.2">
      <c r="A24" s="17" t="s">
        <v>424</v>
      </c>
      <c r="B24" s="14">
        <v>4.68</v>
      </c>
      <c r="C24" s="14">
        <v>1.2</v>
      </c>
    </row>
    <row r="25" spans="1:3" x14ac:dyDescent="0.2">
      <c r="A25" s="16" t="s">
        <v>1132</v>
      </c>
      <c r="B25" s="14">
        <v>13861.337499999998</v>
      </c>
      <c r="C25" s="14">
        <v>3266.75</v>
      </c>
    </row>
    <row r="26" spans="1:3" x14ac:dyDescent="0.2">
      <c r="A26" s="16" t="s">
        <v>693</v>
      </c>
      <c r="B26" s="14">
        <v>12782.074999999999</v>
      </c>
      <c r="C26" s="14">
        <v>5030</v>
      </c>
    </row>
    <row r="27" spans="1:3" x14ac:dyDescent="0.2">
      <c r="A27" s="16" t="s">
        <v>1306</v>
      </c>
      <c r="B27" s="14">
        <v>11820.1585</v>
      </c>
      <c r="C27" s="14">
        <v>3373.5000000000005</v>
      </c>
    </row>
    <row r="28" spans="1:3" x14ac:dyDescent="0.2">
      <c r="A28" s="16" t="s">
        <v>615</v>
      </c>
      <c r="B28" s="14">
        <v>10730.670999999998</v>
      </c>
      <c r="C28" s="14">
        <v>5418.8</v>
      </c>
    </row>
    <row r="29" spans="1:3" x14ac:dyDescent="0.2">
      <c r="A29" s="16" t="s">
        <v>534</v>
      </c>
      <c r="B29" s="14">
        <v>6662.4950000000008</v>
      </c>
      <c r="C29" s="14">
        <v>1787</v>
      </c>
    </row>
    <row r="30" spans="1:3" x14ac:dyDescent="0.2">
      <c r="A30" s="16" t="s">
        <v>859</v>
      </c>
      <c r="B30" s="14">
        <v>6551.9849999999997</v>
      </c>
      <c r="C30" s="14">
        <v>3251.6</v>
      </c>
    </row>
    <row r="31" spans="1:3" x14ac:dyDescent="0.2">
      <c r="A31" s="16" t="s">
        <v>999</v>
      </c>
      <c r="B31" s="14">
        <v>5138.6625000000004</v>
      </c>
      <c r="C31" s="14">
        <v>1803.5</v>
      </c>
    </row>
    <row r="32" spans="1:3" x14ac:dyDescent="0.2">
      <c r="A32" s="16" t="s">
        <v>1045</v>
      </c>
      <c r="B32" s="14">
        <v>4886.6616000000004</v>
      </c>
      <c r="C32" s="14">
        <v>960.84</v>
      </c>
    </row>
    <row r="33" spans="1:3" x14ac:dyDescent="0.2">
      <c r="A33" s="16" t="s">
        <v>1235</v>
      </c>
      <c r="B33" s="14">
        <v>4505.4009999999998</v>
      </c>
      <c r="C33" s="14">
        <v>3376.2</v>
      </c>
    </row>
    <row r="34" spans="1:3" x14ac:dyDescent="0.2">
      <c r="A34" s="16" t="s">
        <v>637</v>
      </c>
      <c r="B34" s="14">
        <v>4465.8999999999996</v>
      </c>
      <c r="C34" s="14">
        <v>2085.3999999999996</v>
      </c>
    </row>
    <row r="35" spans="1:3" x14ac:dyDescent="0.2">
      <c r="A35" s="16" t="s">
        <v>580</v>
      </c>
      <c r="B35" s="14">
        <v>3168.67</v>
      </c>
      <c r="C35" s="14">
        <v>1222</v>
      </c>
    </row>
    <row r="36" spans="1:3" x14ac:dyDescent="0.2">
      <c r="A36" s="16" t="s">
        <v>929</v>
      </c>
      <c r="B36" s="14">
        <v>2411.0329999999999</v>
      </c>
      <c r="C36" s="14">
        <v>536</v>
      </c>
    </row>
    <row r="37" spans="1:3" x14ac:dyDescent="0.2">
      <c r="A37" s="16" t="s">
        <v>662</v>
      </c>
      <c r="B37" s="14">
        <v>2398.2499999999995</v>
      </c>
      <c r="C37" s="14">
        <v>2140</v>
      </c>
    </row>
    <row r="38" spans="1:3" x14ac:dyDescent="0.2">
      <c r="A38" s="16" t="s">
        <v>496</v>
      </c>
      <c r="B38" s="14">
        <v>376.14499999999998</v>
      </c>
      <c r="C38" s="14">
        <v>100.8</v>
      </c>
    </row>
    <row r="39" spans="1:3" x14ac:dyDescent="0.2">
      <c r="A39" s="16" t="s">
        <v>1307</v>
      </c>
      <c r="B39" s="14">
        <v>113617.16009999999</v>
      </c>
      <c r="C39" s="14">
        <v>45392.89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RowHeight="14.25" x14ac:dyDescent="0.2"/>
  <cols>
    <col min="1" max="1" width="11" bestFit="1" customWidth="1"/>
    <col min="2" max="2" width="7.25" customWidth="1"/>
    <col min="3" max="7" width="11" customWidth="1"/>
    <col min="8" max="8" width="9.125" bestFit="1" customWidth="1"/>
    <col min="9" max="9" width="11" customWidth="1"/>
  </cols>
  <sheetData>
    <row r="1" spans="1:9" ht="15" customHeight="1" x14ac:dyDescent="0.2">
      <c r="A1" t="s">
        <v>489</v>
      </c>
      <c r="B1" t="s">
        <v>493</v>
      </c>
      <c r="C1" t="s">
        <v>490</v>
      </c>
      <c r="D1" t="s">
        <v>409</v>
      </c>
      <c r="E1" t="s">
        <v>410</v>
      </c>
      <c r="F1" t="s">
        <v>411</v>
      </c>
      <c r="G1" t="s">
        <v>412</v>
      </c>
      <c r="H1" t="s">
        <v>491</v>
      </c>
      <c r="I1" t="s">
        <v>492</v>
      </c>
    </row>
    <row r="2" spans="1:9" ht="15" customHeight="1" x14ac:dyDescent="0.2">
      <c r="A2" t="s">
        <v>22</v>
      </c>
      <c r="B2" t="str">
        <f>IFERROR(VLOOKUP(A2,品种目录!$B$2:$D$919,3,0),"其他")</f>
        <v>其他</v>
      </c>
      <c r="C2" s="11">
        <f>I2/H2</f>
        <v>8.6750000000000007</v>
      </c>
      <c r="D2" s="12">
        <v>0</v>
      </c>
      <c r="E2" s="12">
        <v>0</v>
      </c>
      <c r="F2" s="12">
        <v>0</v>
      </c>
      <c r="G2" s="12">
        <v>21</v>
      </c>
      <c r="H2" s="13">
        <v>21</v>
      </c>
      <c r="I2" s="14">
        <v>182.17500000000001</v>
      </c>
    </row>
    <row r="3" spans="1:9" ht="15" customHeight="1" x14ac:dyDescent="0.2">
      <c r="A3" t="s">
        <v>0</v>
      </c>
      <c r="B3" t="str">
        <f>IFERROR(VLOOKUP(A3,品种目录!$B$2:$D$919,3,0),"其他")</f>
        <v>根菜类</v>
      </c>
      <c r="C3" s="11">
        <f t="shared" ref="C3:C66" si="0">I3/H3</f>
        <v>0.64999999999999991</v>
      </c>
      <c r="D3" s="12">
        <v>0</v>
      </c>
      <c r="E3" s="12">
        <v>6</v>
      </c>
      <c r="F3" s="12">
        <v>4</v>
      </c>
      <c r="G3" s="12">
        <v>0</v>
      </c>
      <c r="H3" s="13">
        <v>10</v>
      </c>
      <c r="I3" s="14">
        <v>6.4999999999999991</v>
      </c>
    </row>
    <row r="4" spans="1:9" ht="15" customHeight="1" x14ac:dyDescent="0.2">
      <c r="A4" t="s">
        <v>421</v>
      </c>
      <c r="B4" t="str">
        <f>IFERROR(VLOOKUP(A4,品种目录!$B$2:$D$919,3,0),"其他")</f>
        <v>薯芋类</v>
      </c>
      <c r="C4" s="11">
        <f t="shared" si="0"/>
        <v>1.95</v>
      </c>
      <c r="D4" s="12">
        <v>0</v>
      </c>
      <c r="E4" s="12">
        <v>0</v>
      </c>
      <c r="F4" s="12">
        <v>5</v>
      </c>
      <c r="G4" s="12">
        <v>0</v>
      </c>
      <c r="H4" s="13">
        <v>5</v>
      </c>
      <c r="I4" s="14">
        <v>9.75</v>
      </c>
    </row>
    <row r="5" spans="1:9" ht="15" customHeight="1" x14ac:dyDescent="0.2">
      <c r="A5" t="s">
        <v>23</v>
      </c>
      <c r="B5" t="str">
        <f>IFERROR(VLOOKUP(A5,品种目录!$B$2:$D$919,3,0),"其他")</f>
        <v>食用菌</v>
      </c>
      <c r="C5" s="11">
        <f t="shared" si="0"/>
        <v>4.45</v>
      </c>
      <c r="D5" s="12">
        <v>0</v>
      </c>
      <c r="E5" s="12">
        <v>2</v>
      </c>
      <c r="F5" s="12">
        <v>9.75</v>
      </c>
      <c r="G5" s="12">
        <v>0</v>
      </c>
      <c r="H5" s="13">
        <v>11.75</v>
      </c>
      <c r="I5" s="14">
        <v>52.287500000000001</v>
      </c>
    </row>
    <row r="6" spans="1:9" ht="15" customHeight="1" x14ac:dyDescent="0.2">
      <c r="A6" t="s">
        <v>422</v>
      </c>
      <c r="B6" t="str">
        <f>IFERROR(VLOOKUP(A6,品种目录!$B$2:$D$919,3,0),"其他")</f>
        <v>多年生及杂类蔬菜</v>
      </c>
      <c r="C6" s="11">
        <f t="shared" si="0"/>
        <v>29.64</v>
      </c>
      <c r="D6" s="12">
        <v>0</v>
      </c>
      <c r="E6" s="12">
        <v>0</v>
      </c>
      <c r="F6" s="12">
        <v>1.8</v>
      </c>
      <c r="G6" s="12">
        <v>1.44</v>
      </c>
      <c r="H6" s="13">
        <v>3.24</v>
      </c>
      <c r="I6" s="14">
        <v>96.033600000000007</v>
      </c>
    </row>
    <row r="7" spans="1:9" ht="15" customHeight="1" x14ac:dyDescent="0.2">
      <c r="A7" t="s">
        <v>423</v>
      </c>
      <c r="B7" t="str">
        <f>IFERROR(VLOOKUP(A7,品种目录!$B$2:$D$919,3,0),"其他")</f>
        <v>叶菜类</v>
      </c>
      <c r="C7" s="11">
        <f t="shared" si="0"/>
        <v>6.5</v>
      </c>
      <c r="D7" s="12">
        <v>0</v>
      </c>
      <c r="E7" s="12">
        <v>3</v>
      </c>
      <c r="F7" s="12">
        <v>0</v>
      </c>
      <c r="G7" s="12">
        <v>0</v>
      </c>
      <c r="H7" s="13">
        <v>3</v>
      </c>
      <c r="I7" s="14">
        <v>19.5</v>
      </c>
    </row>
    <row r="8" spans="1:9" ht="15" customHeight="1" x14ac:dyDescent="0.2">
      <c r="A8" t="s">
        <v>24</v>
      </c>
      <c r="B8" t="str">
        <f>IFERROR(VLOOKUP(A8,品种目录!$B$2:$D$919,3,0),"其他")</f>
        <v>叶菜类</v>
      </c>
      <c r="C8" s="11">
        <f t="shared" si="0"/>
        <v>2.9849471830985914</v>
      </c>
      <c r="D8" s="12">
        <v>370</v>
      </c>
      <c r="E8" s="12">
        <v>315</v>
      </c>
      <c r="F8" s="12">
        <v>187</v>
      </c>
      <c r="G8" s="12">
        <v>264</v>
      </c>
      <c r="H8" s="13">
        <v>1136</v>
      </c>
      <c r="I8" s="14">
        <v>3390.9</v>
      </c>
    </row>
    <row r="9" spans="1:9" ht="15" customHeight="1" x14ac:dyDescent="0.2">
      <c r="A9" t="s">
        <v>424</v>
      </c>
      <c r="B9" t="str">
        <f>IFERROR(VLOOKUP(A9,品种目录!$B$2:$D$919,3,0),"其他")</f>
        <v>茄果类</v>
      </c>
      <c r="C9" s="11">
        <f t="shared" si="0"/>
        <v>3.9</v>
      </c>
      <c r="D9" s="12">
        <v>0</v>
      </c>
      <c r="E9" s="12">
        <v>1.2</v>
      </c>
      <c r="F9" s="12">
        <v>0</v>
      </c>
      <c r="G9" s="12">
        <v>0</v>
      </c>
      <c r="H9" s="13">
        <v>1.2</v>
      </c>
      <c r="I9" s="14">
        <v>4.68</v>
      </c>
    </row>
    <row r="10" spans="1:9" ht="15" customHeight="1" x14ac:dyDescent="0.2">
      <c r="A10" t="s">
        <v>1</v>
      </c>
      <c r="B10" t="str">
        <f>IFERROR(VLOOKUP(A10,品种目录!$B$2:$D$919,3,0),"其他")</f>
        <v>甘蓝类</v>
      </c>
      <c r="C10" s="11">
        <f t="shared" si="0"/>
        <v>1.6166666666666667</v>
      </c>
      <c r="D10" s="12">
        <v>0</v>
      </c>
      <c r="E10" s="12">
        <v>60</v>
      </c>
      <c r="F10" s="12">
        <v>0</v>
      </c>
      <c r="G10" s="12">
        <v>0</v>
      </c>
      <c r="H10" s="13">
        <v>60</v>
      </c>
      <c r="I10" s="14">
        <v>97</v>
      </c>
    </row>
    <row r="11" spans="1:9" ht="15" customHeight="1" x14ac:dyDescent="0.2">
      <c r="A11" t="s">
        <v>25</v>
      </c>
      <c r="B11" t="str">
        <f>IFERROR(VLOOKUP(A11,品种目录!$B$2:$D$919,3,0),"其他")</f>
        <v>白菜类</v>
      </c>
      <c r="C11" s="11">
        <f t="shared" si="0"/>
        <v>3.2667582417582417</v>
      </c>
      <c r="D11" s="12">
        <v>0</v>
      </c>
      <c r="E11" s="12">
        <v>63</v>
      </c>
      <c r="F11" s="12">
        <v>75</v>
      </c>
      <c r="G11" s="12">
        <v>44</v>
      </c>
      <c r="H11" s="13">
        <v>182</v>
      </c>
      <c r="I11" s="14">
        <v>594.54999999999995</v>
      </c>
    </row>
    <row r="12" spans="1:9" ht="15" customHeight="1" x14ac:dyDescent="0.2">
      <c r="A12" t="s">
        <v>26</v>
      </c>
      <c r="B12" t="str">
        <f>IFERROR(VLOOKUP(A12,品种目录!$B$2:$D$919,3,0),"其他")</f>
        <v>食用菌</v>
      </c>
      <c r="C12" s="11">
        <f t="shared" si="0"/>
        <v>8.4635416666666661</v>
      </c>
      <c r="D12" s="12">
        <v>90</v>
      </c>
      <c r="E12" s="12">
        <v>0</v>
      </c>
      <c r="F12" s="12">
        <v>6</v>
      </c>
      <c r="G12" s="12">
        <v>0</v>
      </c>
      <c r="H12" s="13">
        <v>96</v>
      </c>
      <c r="I12" s="14">
        <v>812.5</v>
      </c>
    </row>
    <row r="13" spans="1:9" ht="15" customHeight="1" x14ac:dyDescent="0.2">
      <c r="A13" t="s">
        <v>425</v>
      </c>
      <c r="B13" t="str">
        <f>IFERROR(VLOOKUP(A13,品种目录!$B$2:$D$919,3,0),"其他")</f>
        <v>食用菌</v>
      </c>
      <c r="C13" s="11">
        <f t="shared" si="0"/>
        <v>13</v>
      </c>
      <c r="D13" s="12">
        <v>0</v>
      </c>
      <c r="E13" s="12">
        <v>0</v>
      </c>
      <c r="F13" s="12">
        <v>1.5</v>
      </c>
      <c r="G13" s="12">
        <v>0</v>
      </c>
      <c r="H13" s="13">
        <v>1.5</v>
      </c>
      <c r="I13" s="14">
        <v>19.5</v>
      </c>
    </row>
    <row r="14" spans="1:9" ht="15" customHeight="1" x14ac:dyDescent="0.2">
      <c r="A14" t="s">
        <v>426</v>
      </c>
      <c r="B14" t="str">
        <f>IFERROR(VLOOKUP(A14,品种目录!$B$2:$D$919,3,0),"其他")</f>
        <v>其他</v>
      </c>
      <c r="C14" s="11">
        <f t="shared" si="0"/>
        <v>2.1086000000000005</v>
      </c>
      <c r="D14" s="12">
        <v>0</v>
      </c>
      <c r="E14" s="12">
        <v>4</v>
      </c>
      <c r="F14" s="12">
        <v>6</v>
      </c>
      <c r="G14" s="12">
        <v>0</v>
      </c>
      <c r="H14" s="13">
        <v>10</v>
      </c>
      <c r="I14" s="14">
        <v>21.086000000000006</v>
      </c>
    </row>
    <row r="15" spans="1:9" ht="15" customHeight="1" x14ac:dyDescent="0.2">
      <c r="A15" t="s">
        <v>2</v>
      </c>
      <c r="B15" t="str">
        <f>IFERROR(VLOOKUP(A15,品种目录!$B$2:$D$919,3,0),"其他")</f>
        <v>白菜类</v>
      </c>
      <c r="C15" s="11">
        <f t="shared" si="0"/>
        <v>0.76141304347826089</v>
      </c>
      <c r="D15" s="12">
        <v>80</v>
      </c>
      <c r="E15" s="12">
        <v>50</v>
      </c>
      <c r="F15" s="12">
        <v>330</v>
      </c>
      <c r="G15" s="12">
        <v>0</v>
      </c>
      <c r="H15" s="13">
        <v>460</v>
      </c>
      <c r="I15" s="14">
        <v>350.25</v>
      </c>
    </row>
    <row r="16" spans="1:9" ht="15" customHeight="1" x14ac:dyDescent="0.2">
      <c r="A16" t="s">
        <v>413</v>
      </c>
      <c r="B16" t="str">
        <f>IFERROR(VLOOKUP(A16,品种目录!$B$2:$D$919,3,0),"其他")</f>
        <v>葱蒜类</v>
      </c>
      <c r="C16" s="11">
        <f t="shared" si="0"/>
        <v>1.9303353658536584</v>
      </c>
      <c r="D16" s="12">
        <v>54</v>
      </c>
      <c r="E16" s="12">
        <v>184</v>
      </c>
      <c r="F16" s="12">
        <v>80</v>
      </c>
      <c r="G16" s="12">
        <v>10</v>
      </c>
      <c r="H16" s="13">
        <v>328</v>
      </c>
      <c r="I16" s="14">
        <v>633.15</v>
      </c>
    </row>
    <row r="17" spans="1:9" ht="15" customHeight="1" x14ac:dyDescent="0.2">
      <c r="A17" t="s">
        <v>3</v>
      </c>
      <c r="B17" t="str">
        <f>IFERROR(VLOOKUP(A17,品种目录!$B$2:$D$919,3,0),"其他")</f>
        <v>葱蒜类</v>
      </c>
      <c r="C17" s="11">
        <f t="shared" si="0"/>
        <v>6.5749999999999993</v>
      </c>
      <c r="D17" s="12">
        <v>0</v>
      </c>
      <c r="E17" s="12">
        <v>2</v>
      </c>
      <c r="F17" s="12">
        <v>2</v>
      </c>
      <c r="G17" s="12">
        <v>0</v>
      </c>
      <c r="H17" s="13">
        <v>4</v>
      </c>
      <c r="I17" s="14">
        <v>26.299999999999997</v>
      </c>
    </row>
    <row r="18" spans="1:9" ht="15" customHeight="1" x14ac:dyDescent="0.2">
      <c r="A18" t="s">
        <v>27</v>
      </c>
      <c r="B18" t="str">
        <f>IFERROR(VLOOKUP(A18,品种目录!$B$2:$D$919,3,0),"其他")</f>
        <v>食用菌</v>
      </c>
      <c r="C18" s="11">
        <f t="shared" si="0"/>
        <v>2.95</v>
      </c>
      <c r="D18" s="12">
        <v>124</v>
      </c>
      <c r="E18" s="12">
        <v>72</v>
      </c>
      <c r="F18" s="12">
        <v>127</v>
      </c>
      <c r="G18" s="12">
        <v>0</v>
      </c>
      <c r="H18" s="13">
        <v>323</v>
      </c>
      <c r="I18" s="14">
        <v>952.85</v>
      </c>
    </row>
    <row r="19" spans="1:9" ht="15" customHeight="1" x14ac:dyDescent="0.2">
      <c r="A19" t="s">
        <v>21</v>
      </c>
      <c r="B19" t="str">
        <f>IFERROR(VLOOKUP(A19,品种目录!$B$2:$D$919,3,0),"其他")</f>
        <v>瓜类</v>
      </c>
      <c r="C19" s="11">
        <f t="shared" si="0"/>
        <v>0.71762114537444921</v>
      </c>
      <c r="D19" s="12">
        <v>60</v>
      </c>
      <c r="E19" s="12">
        <v>113</v>
      </c>
      <c r="F19" s="12">
        <v>182</v>
      </c>
      <c r="G19" s="12">
        <v>99</v>
      </c>
      <c r="H19" s="13">
        <v>454</v>
      </c>
      <c r="I19" s="14">
        <v>325.79999999999995</v>
      </c>
    </row>
    <row r="20" spans="1:9" ht="15" customHeight="1" x14ac:dyDescent="0.2">
      <c r="A20" t="s">
        <v>4</v>
      </c>
      <c r="B20" t="str">
        <f>IFERROR(VLOOKUP(A20,品种目录!$B$2:$D$919,3,0),"其他")</f>
        <v>多年生及杂类蔬菜</v>
      </c>
      <c r="C20" s="11">
        <f t="shared" si="0"/>
        <v>5.2249999999999996</v>
      </c>
      <c r="D20" s="12">
        <v>0</v>
      </c>
      <c r="E20" s="12">
        <v>64</v>
      </c>
      <c r="F20" s="12">
        <v>8</v>
      </c>
      <c r="G20" s="12">
        <v>24</v>
      </c>
      <c r="H20" s="13">
        <v>96</v>
      </c>
      <c r="I20" s="14">
        <v>501.59999999999997</v>
      </c>
    </row>
    <row r="21" spans="1:9" ht="15" customHeight="1" x14ac:dyDescent="0.2">
      <c r="A21" t="s">
        <v>427</v>
      </c>
      <c r="B21" t="str">
        <f>IFERROR(VLOOKUP(A21,品种目录!$B$2:$D$919,3,0),"其他")</f>
        <v>豆类</v>
      </c>
      <c r="C21" s="11">
        <f t="shared" si="0"/>
        <v>2.5609999999999999</v>
      </c>
      <c r="D21" s="12">
        <v>0</v>
      </c>
      <c r="E21" s="12">
        <v>3</v>
      </c>
      <c r="F21" s="12">
        <v>0</v>
      </c>
      <c r="G21" s="12">
        <v>0</v>
      </c>
      <c r="H21" s="13">
        <v>3</v>
      </c>
      <c r="I21" s="14">
        <v>7.6829999999999998</v>
      </c>
    </row>
    <row r="22" spans="1:9" ht="15" customHeight="1" x14ac:dyDescent="0.2">
      <c r="A22" t="s">
        <v>428</v>
      </c>
      <c r="B22" t="str">
        <f>IFERROR(VLOOKUP(A22,品种目录!$B$2:$D$919,3,0),"其他")</f>
        <v>叶菜类</v>
      </c>
      <c r="C22" s="11">
        <f t="shared" si="0"/>
        <v>7.8</v>
      </c>
      <c r="D22" s="12">
        <v>0</v>
      </c>
      <c r="E22" s="12">
        <v>1</v>
      </c>
      <c r="F22" s="12">
        <v>0</v>
      </c>
      <c r="G22" s="12">
        <v>0</v>
      </c>
      <c r="H22" s="13">
        <v>1</v>
      </c>
      <c r="I22" s="14">
        <v>7.8</v>
      </c>
    </row>
    <row r="23" spans="1:9" ht="15" customHeight="1" x14ac:dyDescent="0.2">
      <c r="A23" t="s">
        <v>28</v>
      </c>
      <c r="B23" t="str">
        <f>IFERROR(VLOOKUP(A23,品种目录!$B$2:$D$919,3,0),"其他")</f>
        <v>芥菜类</v>
      </c>
      <c r="C23" s="11">
        <f t="shared" si="0"/>
        <v>3.0833333333333335</v>
      </c>
      <c r="D23" s="12">
        <v>0</v>
      </c>
      <c r="E23" s="12">
        <v>0</v>
      </c>
      <c r="F23" s="12">
        <v>90</v>
      </c>
      <c r="G23" s="12">
        <v>0</v>
      </c>
      <c r="H23" s="13">
        <v>90</v>
      </c>
      <c r="I23" s="14">
        <v>277.5</v>
      </c>
    </row>
    <row r="24" spans="1:9" ht="15" customHeight="1" x14ac:dyDescent="0.2">
      <c r="A24" t="s">
        <v>76</v>
      </c>
      <c r="B24" t="str">
        <f>IFERROR(VLOOKUP(A24,品种目录!$B$2:$D$919,3,0),"其他")</f>
        <v>其他</v>
      </c>
      <c r="C24" s="11">
        <f t="shared" si="0"/>
        <v>6.5</v>
      </c>
      <c r="D24" s="12">
        <v>0</v>
      </c>
      <c r="E24" s="12">
        <v>0</v>
      </c>
      <c r="F24" s="12">
        <v>0</v>
      </c>
      <c r="G24" s="12">
        <v>6</v>
      </c>
      <c r="H24" s="13">
        <v>6</v>
      </c>
      <c r="I24" s="14">
        <v>39</v>
      </c>
    </row>
    <row r="25" spans="1:9" ht="15" customHeight="1" x14ac:dyDescent="0.2">
      <c r="A25" t="s">
        <v>77</v>
      </c>
      <c r="B25" t="str">
        <f>IFERROR(VLOOKUP(A25,品种目录!$B$2:$D$919,3,0),"其他")</f>
        <v>其他</v>
      </c>
      <c r="C25" s="11">
        <f t="shared" si="0"/>
        <v>9.75</v>
      </c>
      <c r="D25" s="12">
        <v>0</v>
      </c>
      <c r="E25" s="12">
        <v>0</v>
      </c>
      <c r="F25" s="12">
        <v>0</v>
      </c>
      <c r="G25" s="12">
        <v>8</v>
      </c>
      <c r="H25" s="13">
        <v>8</v>
      </c>
      <c r="I25" s="14">
        <v>78</v>
      </c>
    </row>
    <row r="26" spans="1:9" ht="15" customHeight="1" x14ac:dyDescent="0.2">
      <c r="A26" t="s">
        <v>29</v>
      </c>
      <c r="B26" t="str">
        <f>IFERROR(VLOOKUP(A26,品种目录!$B$2:$D$919,3,0),"其他")</f>
        <v>水生蔬菜</v>
      </c>
      <c r="C26" s="11">
        <f t="shared" si="0"/>
        <v>4.5</v>
      </c>
      <c r="D26" s="12">
        <v>0</v>
      </c>
      <c r="E26" s="12">
        <v>10</v>
      </c>
      <c r="F26" s="12">
        <v>0</v>
      </c>
      <c r="G26" s="12">
        <v>0</v>
      </c>
      <c r="H26" s="13">
        <v>10</v>
      </c>
      <c r="I26" s="14">
        <v>45</v>
      </c>
    </row>
    <row r="27" spans="1:9" ht="15" customHeight="1" x14ac:dyDescent="0.2">
      <c r="A27" t="s">
        <v>429</v>
      </c>
      <c r="B27" t="str">
        <f>IFERROR(VLOOKUP(A27,品种目录!$B$2:$D$919,3,0),"其他")</f>
        <v>水生蔬菜</v>
      </c>
      <c r="C27" s="11">
        <f t="shared" si="0"/>
        <v>3.9000000000000004</v>
      </c>
      <c r="D27" s="12">
        <v>0</v>
      </c>
      <c r="E27" s="12">
        <v>36</v>
      </c>
      <c r="F27" s="12">
        <v>0</v>
      </c>
      <c r="G27" s="12">
        <v>0</v>
      </c>
      <c r="H27" s="13">
        <v>36</v>
      </c>
      <c r="I27" s="14">
        <v>140.4</v>
      </c>
    </row>
    <row r="28" spans="1:9" ht="15" customHeight="1" x14ac:dyDescent="0.2">
      <c r="A28" t="s">
        <v>30</v>
      </c>
      <c r="B28" t="str">
        <f>IFERROR(VLOOKUP(A28,品种目录!$B$2:$D$919,3,0),"其他")</f>
        <v>水生蔬菜</v>
      </c>
      <c r="C28" s="11">
        <f t="shared" si="0"/>
        <v>3.7898648648648647</v>
      </c>
      <c r="D28" s="12">
        <v>0</v>
      </c>
      <c r="E28" s="12">
        <v>74</v>
      </c>
      <c r="F28" s="12">
        <v>0</v>
      </c>
      <c r="G28" s="12">
        <v>0</v>
      </c>
      <c r="H28" s="13">
        <v>74</v>
      </c>
      <c r="I28" s="14">
        <v>280.45</v>
      </c>
    </row>
    <row r="29" spans="1:9" ht="15" customHeight="1" x14ac:dyDescent="0.2">
      <c r="A29" t="s">
        <v>31</v>
      </c>
      <c r="B29" t="str">
        <f>IFERROR(VLOOKUP(A29,品种目录!$B$2:$D$919,3,0),"其他")</f>
        <v>水生蔬菜</v>
      </c>
      <c r="C29" s="11">
        <f t="shared" si="0"/>
        <v>3.4568965517241379</v>
      </c>
      <c r="D29" s="12">
        <v>0</v>
      </c>
      <c r="E29" s="12">
        <v>151.5</v>
      </c>
      <c r="F29" s="12">
        <v>0</v>
      </c>
      <c r="G29" s="12">
        <v>22.5</v>
      </c>
      <c r="H29" s="13">
        <v>174</v>
      </c>
      <c r="I29" s="14">
        <v>601.5</v>
      </c>
    </row>
    <row r="30" spans="1:9" ht="15" customHeight="1" x14ac:dyDescent="0.2">
      <c r="A30" t="s">
        <v>32</v>
      </c>
      <c r="B30" t="str">
        <f>IFERROR(VLOOKUP(A30,品种目录!$B$2:$D$919,3,0),"其他")</f>
        <v>水生蔬菜</v>
      </c>
      <c r="C30" s="11">
        <f t="shared" si="0"/>
        <v>2.5323803434417247</v>
      </c>
      <c r="D30" s="12">
        <v>30</v>
      </c>
      <c r="E30" s="12">
        <v>879.5</v>
      </c>
      <c r="F30" s="12">
        <v>195</v>
      </c>
      <c r="G30" s="12">
        <v>264</v>
      </c>
      <c r="H30" s="13">
        <v>1368.5</v>
      </c>
      <c r="I30" s="14">
        <v>3465.5625</v>
      </c>
    </row>
    <row r="31" spans="1:9" ht="15" customHeight="1" x14ac:dyDescent="0.2">
      <c r="A31" t="s">
        <v>430</v>
      </c>
      <c r="B31" t="str">
        <f>IFERROR(VLOOKUP(A31,品种目录!$B$2:$D$919,3,0),"其他")</f>
        <v>水生蔬菜</v>
      </c>
      <c r="C31" s="11">
        <f t="shared" si="0"/>
        <v>3.5499999999999994</v>
      </c>
      <c r="D31" s="12">
        <v>0</v>
      </c>
      <c r="E31" s="12">
        <v>30</v>
      </c>
      <c r="F31" s="12">
        <v>20</v>
      </c>
      <c r="G31" s="12">
        <v>26</v>
      </c>
      <c r="H31" s="13">
        <v>76</v>
      </c>
      <c r="I31" s="14">
        <v>269.79999999999995</v>
      </c>
    </row>
    <row r="32" spans="1:9" ht="15" customHeight="1" x14ac:dyDescent="0.2">
      <c r="A32" t="s">
        <v>75</v>
      </c>
      <c r="B32" t="str">
        <f>IFERROR(VLOOKUP(A32,品种目录!$B$2:$D$919,3,0),"其他")</f>
        <v>其他</v>
      </c>
      <c r="C32" s="11">
        <f t="shared" si="0"/>
        <v>4.7190000000000003</v>
      </c>
      <c r="D32" s="12">
        <v>0</v>
      </c>
      <c r="E32" s="12">
        <v>80</v>
      </c>
      <c r="F32" s="12">
        <v>0</v>
      </c>
      <c r="G32" s="12">
        <v>10</v>
      </c>
      <c r="H32" s="13">
        <v>90</v>
      </c>
      <c r="I32" s="14">
        <v>424.71000000000004</v>
      </c>
    </row>
    <row r="33" spans="1:9" ht="15" customHeight="1" x14ac:dyDescent="0.2">
      <c r="A33" t="s">
        <v>414</v>
      </c>
      <c r="B33" t="str">
        <f>IFERROR(VLOOKUP(A33,品种目录!$B$2:$D$919,3,0),"其他")</f>
        <v>其他</v>
      </c>
      <c r="C33" s="11">
        <f t="shared" si="0"/>
        <v>3.9</v>
      </c>
      <c r="D33" s="12">
        <v>10</v>
      </c>
      <c r="E33" s="12">
        <v>0</v>
      </c>
      <c r="F33" s="12">
        <v>0</v>
      </c>
      <c r="G33" s="12">
        <v>0</v>
      </c>
      <c r="H33" s="13">
        <v>10</v>
      </c>
      <c r="I33" s="14">
        <v>39</v>
      </c>
    </row>
    <row r="34" spans="1:9" ht="15" customHeight="1" x14ac:dyDescent="0.2">
      <c r="A34" t="s">
        <v>415</v>
      </c>
      <c r="B34" t="str">
        <f>IFERROR(VLOOKUP(A34,品种目录!$B$2:$D$919,3,0),"其他")</f>
        <v>茄果类</v>
      </c>
      <c r="C34" s="11">
        <f t="shared" si="0"/>
        <v>2.6</v>
      </c>
      <c r="D34" s="12">
        <v>0</v>
      </c>
      <c r="E34" s="12">
        <v>19</v>
      </c>
      <c r="F34" s="12">
        <v>4</v>
      </c>
      <c r="G34" s="12">
        <v>0</v>
      </c>
      <c r="H34" s="13">
        <v>23</v>
      </c>
      <c r="I34" s="14">
        <v>59.800000000000004</v>
      </c>
    </row>
    <row r="35" spans="1:9" ht="15" customHeight="1" x14ac:dyDescent="0.2">
      <c r="A35" t="s">
        <v>33</v>
      </c>
      <c r="B35" t="str">
        <f>IFERROR(VLOOKUP(A35,品种目录!$B$2:$D$919,3,0),"其他")</f>
        <v>叶菜类</v>
      </c>
      <c r="C35" s="11">
        <f t="shared" si="0"/>
        <v>2.7212918660287082</v>
      </c>
      <c r="D35" s="12">
        <v>40</v>
      </c>
      <c r="E35" s="12">
        <v>170.8</v>
      </c>
      <c r="F35" s="12">
        <v>40</v>
      </c>
      <c r="G35" s="12">
        <v>0</v>
      </c>
      <c r="H35" s="13">
        <v>250.8</v>
      </c>
      <c r="I35" s="14">
        <v>682.5</v>
      </c>
    </row>
    <row r="36" spans="1:9" ht="15" customHeight="1" x14ac:dyDescent="0.2">
      <c r="A36" t="s">
        <v>5</v>
      </c>
      <c r="B36" t="str">
        <f>IFERROR(VLOOKUP(A36,品种目录!$B$2:$D$919,3,0),"其他")</f>
        <v>豆类</v>
      </c>
      <c r="C36" s="11">
        <f t="shared" si="0"/>
        <v>6.4679487179487181</v>
      </c>
      <c r="D36" s="12">
        <v>0</v>
      </c>
      <c r="E36" s="12">
        <v>39</v>
      </c>
      <c r="F36" s="12">
        <v>0</v>
      </c>
      <c r="G36" s="12">
        <v>0</v>
      </c>
      <c r="H36" s="13">
        <v>39</v>
      </c>
      <c r="I36" s="14">
        <v>252.25</v>
      </c>
    </row>
    <row r="37" spans="1:9" ht="15" customHeight="1" x14ac:dyDescent="0.2">
      <c r="A37" t="s">
        <v>432</v>
      </c>
      <c r="B37" t="str">
        <f>IFERROR(VLOOKUP(A37,品种目录!$B$2:$D$919,3,0),"其他")</f>
        <v>瓜类</v>
      </c>
      <c r="C37" s="11">
        <f t="shared" si="0"/>
        <v>3.4637931034482756</v>
      </c>
      <c r="D37" s="12">
        <v>0</v>
      </c>
      <c r="E37" s="12">
        <v>22</v>
      </c>
      <c r="F37" s="12">
        <v>34</v>
      </c>
      <c r="G37" s="12">
        <v>2</v>
      </c>
      <c r="H37" s="13">
        <v>58</v>
      </c>
      <c r="I37" s="14">
        <v>200.89999999999998</v>
      </c>
    </row>
    <row r="38" spans="1:9" ht="15" customHeight="1" x14ac:dyDescent="0.2">
      <c r="A38" t="s">
        <v>431</v>
      </c>
      <c r="B38" t="str">
        <f>IFERROR(VLOOKUP(A38,品种目录!$B$2:$D$919,3,0),"其他")</f>
        <v>茄果类</v>
      </c>
      <c r="C38" s="11">
        <f t="shared" si="0"/>
        <v>8.25</v>
      </c>
      <c r="D38" s="12">
        <v>0</v>
      </c>
      <c r="E38" s="12">
        <v>7</v>
      </c>
      <c r="F38" s="12">
        <v>0</v>
      </c>
      <c r="G38" s="12">
        <v>0</v>
      </c>
      <c r="H38" s="13">
        <v>7</v>
      </c>
      <c r="I38" s="14">
        <v>57.75</v>
      </c>
    </row>
    <row r="39" spans="1:9" ht="15" customHeight="1" x14ac:dyDescent="0.2">
      <c r="A39" t="s">
        <v>433</v>
      </c>
      <c r="B39" t="str">
        <f>IFERROR(VLOOKUP(A39,品种目录!$B$2:$D$919,3,0),"其他")</f>
        <v>茄果类</v>
      </c>
      <c r="C39" s="11">
        <f t="shared" si="0"/>
        <v>5.75</v>
      </c>
      <c r="D39" s="12">
        <v>5</v>
      </c>
      <c r="E39" s="12">
        <v>63</v>
      </c>
      <c r="F39" s="12">
        <v>5</v>
      </c>
      <c r="G39" s="12">
        <v>0</v>
      </c>
      <c r="H39" s="13">
        <v>73</v>
      </c>
      <c r="I39" s="14">
        <v>419.75</v>
      </c>
    </row>
    <row r="40" spans="1:9" ht="15" customHeight="1" x14ac:dyDescent="0.2">
      <c r="A40" t="s">
        <v>34</v>
      </c>
      <c r="B40" t="str">
        <f>IFERROR(VLOOKUP(A40,品种目录!$B$2:$D$919,3,0),"其他")</f>
        <v>薯芋类</v>
      </c>
      <c r="C40" s="11">
        <f t="shared" si="0"/>
        <v>4.1922997946611913</v>
      </c>
      <c r="D40" s="12">
        <v>0</v>
      </c>
      <c r="E40" s="12">
        <v>187</v>
      </c>
      <c r="F40" s="12">
        <v>300</v>
      </c>
      <c r="G40" s="12">
        <v>0</v>
      </c>
      <c r="H40" s="13">
        <v>487</v>
      </c>
      <c r="I40" s="14">
        <v>2041.65</v>
      </c>
    </row>
    <row r="41" spans="1:9" ht="15" customHeight="1" x14ac:dyDescent="0.2">
      <c r="A41" t="s">
        <v>35</v>
      </c>
      <c r="B41" t="str">
        <f>IFERROR(VLOOKUP(A41,品种目录!$B$2:$D$919,3,0),"其他")</f>
        <v>叶菜类</v>
      </c>
      <c r="C41" s="11">
        <f t="shared" si="0"/>
        <v>3.9909090909090907</v>
      </c>
      <c r="D41" s="12">
        <v>0</v>
      </c>
      <c r="E41" s="12">
        <v>21</v>
      </c>
      <c r="F41" s="12">
        <v>7</v>
      </c>
      <c r="G41" s="12">
        <v>5</v>
      </c>
      <c r="H41" s="13">
        <v>33</v>
      </c>
      <c r="I41" s="14">
        <v>131.69999999999999</v>
      </c>
    </row>
    <row r="42" spans="1:9" ht="15" customHeight="1" x14ac:dyDescent="0.2">
      <c r="A42" t="s">
        <v>36</v>
      </c>
      <c r="B42" t="str">
        <f>IFERROR(VLOOKUP(A42,品种目录!$B$2:$D$919,3,0),"其他")</f>
        <v>茄果类</v>
      </c>
      <c r="C42" s="11">
        <f t="shared" si="0"/>
        <v>3.4419928825622779</v>
      </c>
      <c r="D42" s="12">
        <v>25</v>
      </c>
      <c r="E42" s="12">
        <v>227</v>
      </c>
      <c r="F42" s="12">
        <v>6</v>
      </c>
      <c r="G42" s="12">
        <v>23</v>
      </c>
      <c r="H42" s="13">
        <v>281</v>
      </c>
      <c r="I42" s="14">
        <v>967.2</v>
      </c>
    </row>
    <row r="43" spans="1:9" ht="15" customHeight="1" x14ac:dyDescent="0.2">
      <c r="A43" t="s">
        <v>37</v>
      </c>
      <c r="B43" t="str">
        <f>IFERROR(VLOOKUP(A43,品种目录!$B$2:$D$919,3,0),"其他")</f>
        <v>茄果类</v>
      </c>
      <c r="C43" s="11">
        <f t="shared" si="0"/>
        <v>5.4850000000000003</v>
      </c>
      <c r="D43" s="12">
        <v>5</v>
      </c>
      <c r="E43" s="12">
        <v>0</v>
      </c>
      <c r="F43" s="12">
        <v>20</v>
      </c>
      <c r="G43" s="12">
        <v>0</v>
      </c>
      <c r="H43" s="13">
        <v>25</v>
      </c>
      <c r="I43" s="14">
        <v>137.125</v>
      </c>
    </row>
    <row r="44" spans="1:9" ht="15" customHeight="1" x14ac:dyDescent="0.2">
      <c r="A44" t="s">
        <v>6</v>
      </c>
      <c r="B44" t="str">
        <f>IFERROR(VLOOKUP(A44,品种目录!$B$2:$D$919,3,0),"其他")</f>
        <v>根菜类</v>
      </c>
      <c r="C44" s="11">
        <f t="shared" si="0"/>
        <v>1.1031249999999999</v>
      </c>
      <c r="D44" s="12">
        <v>0</v>
      </c>
      <c r="E44" s="12">
        <v>4</v>
      </c>
      <c r="F44" s="12">
        <v>4</v>
      </c>
      <c r="G44" s="12">
        <v>0</v>
      </c>
      <c r="H44" s="13">
        <v>8</v>
      </c>
      <c r="I44" s="14">
        <v>8.8249999999999993</v>
      </c>
    </row>
    <row r="45" spans="1:9" ht="15" customHeight="1" x14ac:dyDescent="0.2">
      <c r="A45" t="s">
        <v>38</v>
      </c>
      <c r="B45" t="str">
        <f>IFERROR(VLOOKUP(A45,品种目录!$B$2:$D$919,3,0),"其他")</f>
        <v>叶菜类</v>
      </c>
      <c r="C45" s="11">
        <f t="shared" si="0"/>
        <v>3.0712890625</v>
      </c>
      <c r="D45" s="12">
        <v>15</v>
      </c>
      <c r="E45" s="12">
        <v>200</v>
      </c>
      <c r="F45" s="12">
        <v>22</v>
      </c>
      <c r="G45" s="12">
        <v>19</v>
      </c>
      <c r="H45" s="13">
        <v>256</v>
      </c>
      <c r="I45" s="14">
        <v>786.25</v>
      </c>
    </row>
    <row r="46" spans="1:9" ht="15" customHeight="1" x14ac:dyDescent="0.2">
      <c r="A46" t="s">
        <v>7</v>
      </c>
      <c r="B46" t="str">
        <f>IFERROR(VLOOKUP(A46,品种目录!$B$2:$D$919,3,0),"其他")</f>
        <v>芽苗菜</v>
      </c>
      <c r="C46" s="11">
        <f t="shared" si="0"/>
        <v>1.2749999999999999</v>
      </c>
      <c r="D46" s="12">
        <v>20</v>
      </c>
      <c r="E46" s="12">
        <v>1050</v>
      </c>
      <c r="F46" s="12">
        <v>127</v>
      </c>
      <c r="G46" s="12">
        <v>128</v>
      </c>
      <c r="H46" s="13">
        <v>1325</v>
      </c>
      <c r="I46" s="14">
        <v>1689.3749999999998</v>
      </c>
    </row>
    <row r="47" spans="1:9" ht="15" customHeight="1" x14ac:dyDescent="0.2">
      <c r="A47" t="s">
        <v>8</v>
      </c>
      <c r="B47" t="str">
        <f>IFERROR(VLOOKUP(A47,品种目录!$B$2:$D$919,3,0),"其他")</f>
        <v>瓜类</v>
      </c>
      <c r="C47" s="11">
        <f t="shared" si="0"/>
        <v>2.1456592512208355</v>
      </c>
      <c r="D47" s="12">
        <v>310</v>
      </c>
      <c r="E47" s="12">
        <v>1234</v>
      </c>
      <c r="F47" s="12">
        <v>124</v>
      </c>
      <c r="G47" s="12">
        <v>175</v>
      </c>
      <c r="H47" s="13">
        <v>1843</v>
      </c>
      <c r="I47" s="14">
        <v>3954.45</v>
      </c>
    </row>
    <row r="48" spans="1:9" ht="15" customHeight="1" x14ac:dyDescent="0.2">
      <c r="A48" t="s">
        <v>434</v>
      </c>
      <c r="B48" t="str">
        <f>IFERROR(VLOOKUP(A48,品种目录!$B$2:$D$919,3,0),"其他")</f>
        <v>其他</v>
      </c>
      <c r="C48" s="11">
        <f t="shared" si="0"/>
        <v>221</v>
      </c>
      <c r="D48" s="12">
        <v>0</v>
      </c>
      <c r="E48" s="12">
        <v>0</v>
      </c>
      <c r="F48" s="12">
        <v>2</v>
      </c>
      <c r="G48" s="12">
        <v>0</v>
      </c>
      <c r="H48" s="13">
        <v>2</v>
      </c>
      <c r="I48" s="14">
        <v>442</v>
      </c>
    </row>
    <row r="49" spans="1:9" ht="15" customHeight="1" x14ac:dyDescent="0.2">
      <c r="A49" t="s">
        <v>435</v>
      </c>
      <c r="B49" t="str">
        <f>IFERROR(VLOOKUP(A49,品种目录!$B$2:$D$919,3,0),"其他")</f>
        <v>茄果类</v>
      </c>
      <c r="C49" s="11">
        <f t="shared" si="0"/>
        <v>4.5566176470588236</v>
      </c>
      <c r="D49" s="12">
        <v>4</v>
      </c>
      <c r="E49" s="12">
        <v>1.8</v>
      </c>
      <c r="F49" s="12">
        <v>1</v>
      </c>
      <c r="G49" s="12">
        <v>0</v>
      </c>
      <c r="H49" s="13">
        <v>6.8</v>
      </c>
      <c r="I49" s="14">
        <v>30.984999999999999</v>
      </c>
    </row>
    <row r="50" spans="1:9" ht="15" customHeight="1" x14ac:dyDescent="0.2">
      <c r="A50" t="s">
        <v>39</v>
      </c>
      <c r="B50" t="str">
        <f>IFERROR(VLOOKUP(A50,品种目录!$B$2:$D$919,3,0),"其他")</f>
        <v>叶菜类</v>
      </c>
      <c r="C50" s="11">
        <f t="shared" si="0"/>
        <v>3.18963133640553</v>
      </c>
      <c r="D50" s="12">
        <v>40</v>
      </c>
      <c r="E50" s="12">
        <v>195</v>
      </c>
      <c r="F50" s="12">
        <v>167</v>
      </c>
      <c r="G50" s="12">
        <v>32</v>
      </c>
      <c r="H50" s="13">
        <v>434</v>
      </c>
      <c r="I50" s="14">
        <v>1384.3</v>
      </c>
    </row>
    <row r="51" spans="1:9" ht="15" customHeight="1" x14ac:dyDescent="0.2">
      <c r="A51" t="s">
        <v>40</v>
      </c>
      <c r="B51" t="str">
        <f>IFERROR(VLOOKUP(A51,品种目录!$B$2:$D$919,3,0),"其他")</f>
        <v>白菜类</v>
      </c>
      <c r="C51" s="11">
        <f t="shared" si="0"/>
        <v>3.4144999999999999</v>
      </c>
      <c r="D51" s="12">
        <v>0</v>
      </c>
      <c r="E51" s="12">
        <v>97</v>
      </c>
      <c r="F51" s="12">
        <v>33</v>
      </c>
      <c r="G51" s="12">
        <v>20</v>
      </c>
      <c r="H51" s="13">
        <v>150</v>
      </c>
      <c r="I51" s="14">
        <v>512.17499999999995</v>
      </c>
    </row>
    <row r="52" spans="1:9" ht="15" customHeight="1" x14ac:dyDescent="0.2">
      <c r="A52" t="s">
        <v>41</v>
      </c>
      <c r="B52" t="str">
        <f>IFERROR(VLOOKUP(A52,品种目录!$B$2:$D$919,3,0),"其他")</f>
        <v>食用菌</v>
      </c>
      <c r="C52" s="11">
        <f t="shared" si="0"/>
        <v>6.8863636363636367</v>
      </c>
      <c r="D52" s="12">
        <v>0</v>
      </c>
      <c r="E52" s="12">
        <v>11</v>
      </c>
      <c r="F52" s="12">
        <v>0</v>
      </c>
      <c r="G52" s="12">
        <v>0</v>
      </c>
      <c r="H52" s="13">
        <v>11</v>
      </c>
      <c r="I52" s="14">
        <v>75.75</v>
      </c>
    </row>
    <row r="53" spans="1:9" ht="15" customHeight="1" x14ac:dyDescent="0.2">
      <c r="A53" t="s">
        <v>436</v>
      </c>
      <c r="B53" t="str">
        <f>IFERROR(VLOOKUP(A53,品种目录!$B$2:$D$919,3,0),"其他")</f>
        <v>其他</v>
      </c>
      <c r="C53" s="11">
        <f t="shared" si="0"/>
        <v>11.699999999999998</v>
      </c>
      <c r="D53" s="12">
        <v>0</v>
      </c>
      <c r="E53" s="12">
        <v>0</v>
      </c>
      <c r="F53" s="12">
        <v>3</v>
      </c>
      <c r="G53" s="12">
        <v>0</v>
      </c>
      <c r="H53" s="13">
        <v>3</v>
      </c>
      <c r="I53" s="14">
        <v>35.099999999999994</v>
      </c>
    </row>
    <row r="54" spans="1:9" ht="15" customHeight="1" x14ac:dyDescent="0.2">
      <c r="A54" t="s">
        <v>416</v>
      </c>
      <c r="B54" t="str">
        <f>IFERROR(VLOOKUP(A54,品种目录!$B$2:$D$919,3,0),"其他")</f>
        <v>茄果类</v>
      </c>
      <c r="C54" s="11">
        <f t="shared" si="0"/>
        <v>2.8998717948717951</v>
      </c>
      <c r="D54" s="12">
        <v>0</v>
      </c>
      <c r="E54" s="12">
        <v>194</v>
      </c>
      <c r="F54" s="12">
        <v>1</v>
      </c>
      <c r="G54" s="12">
        <v>0</v>
      </c>
      <c r="H54" s="13">
        <v>195</v>
      </c>
      <c r="I54" s="14">
        <v>565.47500000000002</v>
      </c>
    </row>
    <row r="55" spans="1:9" ht="15" customHeight="1" x14ac:dyDescent="0.2">
      <c r="A55" t="s">
        <v>9</v>
      </c>
      <c r="B55" t="str">
        <f>IFERROR(VLOOKUP(A55,品种目录!$B$2:$D$919,3,0),"其他")</f>
        <v>豆类</v>
      </c>
      <c r="C55" s="11">
        <f t="shared" si="0"/>
        <v>2.8958823529411766</v>
      </c>
      <c r="D55" s="12">
        <v>20</v>
      </c>
      <c r="E55" s="12">
        <v>150</v>
      </c>
      <c r="F55" s="12">
        <v>0</v>
      </c>
      <c r="G55" s="12">
        <v>0</v>
      </c>
      <c r="H55" s="13">
        <v>170</v>
      </c>
      <c r="I55" s="14">
        <v>492.3</v>
      </c>
    </row>
    <row r="56" spans="1:9" ht="15" customHeight="1" x14ac:dyDescent="0.2">
      <c r="A56" t="s">
        <v>42</v>
      </c>
      <c r="B56" t="str">
        <f>IFERROR(VLOOKUP(A56,品种目录!$B$2:$D$919,3,0),"其他")</f>
        <v>水生蔬菜</v>
      </c>
      <c r="C56" s="11">
        <f t="shared" si="0"/>
        <v>5.5113636363636367</v>
      </c>
      <c r="D56" s="12">
        <v>0</v>
      </c>
      <c r="E56" s="12">
        <v>0</v>
      </c>
      <c r="F56" s="12">
        <v>42</v>
      </c>
      <c r="G56" s="12">
        <v>2</v>
      </c>
      <c r="H56" s="13">
        <v>44</v>
      </c>
      <c r="I56" s="14">
        <v>242.5</v>
      </c>
    </row>
    <row r="57" spans="1:9" ht="15" customHeight="1" x14ac:dyDescent="0.2">
      <c r="A57" t="s">
        <v>43</v>
      </c>
      <c r="B57" t="str">
        <f>IFERROR(VLOOKUP(A57,品种目录!$B$2:$D$919,3,0),"其他")</f>
        <v>甘蓝类</v>
      </c>
      <c r="C57" s="11">
        <f t="shared" si="0"/>
        <v>2.4566532258064515</v>
      </c>
      <c r="D57" s="12">
        <v>0</v>
      </c>
      <c r="E57" s="12">
        <v>71</v>
      </c>
      <c r="F57" s="12">
        <v>33</v>
      </c>
      <c r="G57" s="12">
        <v>20</v>
      </c>
      <c r="H57" s="13">
        <v>124</v>
      </c>
      <c r="I57" s="14">
        <v>304.625</v>
      </c>
    </row>
    <row r="58" spans="1:9" ht="15" customHeight="1" x14ac:dyDescent="0.2">
      <c r="A58" t="s">
        <v>417</v>
      </c>
      <c r="B58" t="str">
        <f>IFERROR(VLOOKUP(A58,品种目录!$B$2:$D$919,3,0),"其他")</f>
        <v>其他</v>
      </c>
      <c r="C58" s="11">
        <f t="shared" si="0"/>
        <v>2.6</v>
      </c>
      <c r="D58" s="12">
        <v>0</v>
      </c>
      <c r="E58" s="12">
        <v>0</v>
      </c>
      <c r="F58" s="12">
        <v>4</v>
      </c>
      <c r="G58" s="12">
        <v>0</v>
      </c>
      <c r="H58" s="13">
        <v>4</v>
      </c>
      <c r="I58" s="14">
        <v>10.4</v>
      </c>
    </row>
    <row r="59" spans="1:9" ht="15" customHeight="1" x14ac:dyDescent="0.2">
      <c r="A59" t="s">
        <v>418</v>
      </c>
      <c r="B59" t="str">
        <f>IFERROR(VLOOKUP(A59,品种目录!$B$2:$D$919,3,0),"其他")</f>
        <v>瓜类</v>
      </c>
      <c r="C59" s="11">
        <f t="shared" si="0"/>
        <v>2.8325581395348838</v>
      </c>
      <c r="D59" s="12">
        <v>0</v>
      </c>
      <c r="E59" s="12">
        <v>109</v>
      </c>
      <c r="F59" s="12">
        <v>28.6</v>
      </c>
      <c r="G59" s="12">
        <v>0</v>
      </c>
      <c r="H59" s="13">
        <v>137.6</v>
      </c>
      <c r="I59" s="14">
        <v>389.76</v>
      </c>
    </row>
    <row r="60" spans="1:9" ht="15" customHeight="1" x14ac:dyDescent="0.2">
      <c r="A60" t="s">
        <v>44</v>
      </c>
      <c r="B60" t="str">
        <f>IFERROR(VLOOKUP(A60,品种目录!$B$2:$D$919,3,0),"其他")</f>
        <v>食用菌</v>
      </c>
      <c r="C60" s="11">
        <f t="shared" si="0"/>
        <v>3.9725199543899659</v>
      </c>
      <c r="D60" s="12">
        <v>105.5</v>
      </c>
      <c r="E60" s="12">
        <v>259</v>
      </c>
      <c r="F60" s="12">
        <v>24</v>
      </c>
      <c r="G60" s="12">
        <v>50</v>
      </c>
      <c r="H60" s="13">
        <v>438.5</v>
      </c>
      <c r="I60" s="14">
        <v>1741.95</v>
      </c>
    </row>
    <row r="61" spans="1:9" ht="15" customHeight="1" x14ac:dyDescent="0.2">
      <c r="A61" t="s">
        <v>437</v>
      </c>
      <c r="B61" t="str">
        <f>IFERROR(VLOOKUP(A61,品种目录!$B$2:$D$919,3,0),"其他")</f>
        <v>叶菜类</v>
      </c>
      <c r="C61" s="11">
        <f t="shared" si="0"/>
        <v>32.5</v>
      </c>
      <c r="D61" s="12">
        <v>0</v>
      </c>
      <c r="E61" s="12">
        <v>0</v>
      </c>
      <c r="F61" s="12">
        <v>1</v>
      </c>
      <c r="G61" s="12">
        <v>0</v>
      </c>
      <c r="H61" s="13">
        <v>1</v>
      </c>
      <c r="I61" s="14">
        <v>32.5</v>
      </c>
    </row>
    <row r="62" spans="1:9" ht="15" customHeight="1" x14ac:dyDescent="0.2">
      <c r="A62" t="s">
        <v>438</v>
      </c>
      <c r="B62" t="str">
        <f>IFERROR(VLOOKUP(A62,品种目录!$B$2:$D$919,3,0),"其他")</f>
        <v>多年生及杂类蔬菜</v>
      </c>
      <c r="C62" s="11">
        <f t="shared" si="0"/>
        <v>6.5</v>
      </c>
      <c r="D62" s="12">
        <v>0</v>
      </c>
      <c r="E62" s="12">
        <v>0</v>
      </c>
      <c r="F62" s="12">
        <v>7.8</v>
      </c>
      <c r="G62" s="12">
        <v>0</v>
      </c>
      <c r="H62" s="13">
        <v>7.8</v>
      </c>
      <c r="I62" s="14">
        <v>50.699999999999996</v>
      </c>
    </row>
    <row r="63" spans="1:9" ht="15" customHeight="1" x14ac:dyDescent="0.2">
      <c r="A63" t="s">
        <v>45</v>
      </c>
      <c r="B63" t="str">
        <f>IFERROR(VLOOKUP(A63,品种目录!$B$2:$D$919,3,0),"其他")</f>
        <v>叶菜类</v>
      </c>
      <c r="C63" s="11">
        <f t="shared" si="0"/>
        <v>2.4676056338028167</v>
      </c>
      <c r="D63" s="12">
        <v>0</v>
      </c>
      <c r="E63" s="12">
        <v>53</v>
      </c>
      <c r="F63" s="12">
        <v>5</v>
      </c>
      <c r="G63" s="12">
        <v>13</v>
      </c>
      <c r="H63" s="13">
        <v>71</v>
      </c>
      <c r="I63" s="14">
        <v>175.2</v>
      </c>
    </row>
    <row r="64" spans="1:9" ht="15" customHeight="1" x14ac:dyDescent="0.2">
      <c r="A64" t="s">
        <v>440</v>
      </c>
      <c r="B64" t="str">
        <f>IFERROR(VLOOKUP(A64,品种目录!$B$2:$D$919,3,0),"其他")</f>
        <v>瓜类</v>
      </c>
      <c r="C64" s="11">
        <f t="shared" si="0"/>
        <v>2.0166666666666666</v>
      </c>
      <c r="D64" s="12">
        <v>80</v>
      </c>
      <c r="E64" s="12">
        <v>125</v>
      </c>
      <c r="F64" s="12">
        <v>75</v>
      </c>
      <c r="G64" s="12">
        <v>20</v>
      </c>
      <c r="H64" s="13">
        <v>300</v>
      </c>
      <c r="I64" s="14">
        <v>605</v>
      </c>
    </row>
    <row r="65" spans="1:9" ht="15" customHeight="1" x14ac:dyDescent="0.2">
      <c r="A65" t="s">
        <v>46</v>
      </c>
      <c r="B65" t="str">
        <f>IFERROR(VLOOKUP(A65,品种目录!$B$2:$D$919,3,0),"其他")</f>
        <v>芥菜类</v>
      </c>
      <c r="C65" s="11">
        <f t="shared" si="0"/>
        <v>3.8086538461538457</v>
      </c>
      <c r="D65" s="12">
        <v>57</v>
      </c>
      <c r="E65" s="12">
        <v>200</v>
      </c>
      <c r="F65" s="12">
        <v>3</v>
      </c>
      <c r="G65" s="12">
        <v>0</v>
      </c>
      <c r="H65" s="13">
        <v>260</v>
      </c>
      <c r="I65" s="14">
        <v>990.24999999999989</v>
      </c>
    </row>
    <row r="66" spans="1:9" ht="15" customHeight="1" x14ac:dyDescent="0.2">
      <c r="A66" t="s">
        <v>442</v>
      </c>
      <c r="B66" t="str">
        <f>IFERROR(VLOOKUP(A66,品种目录!$B$2:$D$919,3,0),"其他")</f>
        <v>白菜类</v>
      </c>
      <c r="C66" s="11">
        <f t="shared" si="0"/>
        <v>1.8928571428571428</v>
      </c>
      <c r="D66" s="12">
        <v>0</v>
      </c>
      <c r="E66" s="12">
        <v>0</v>
      </c>
      <c r="F66" s="12">
        <v>140</v>
      </c>
      <c r="G66" s="12">
        <v>0</v>
      </c>
      <c r="H66" s="13">
        <v>140</v>
      </c>
      <c r="I66" s="14">
        <v>265</v>
      </c>
    </row>
    <row r="67" spans="1:9" ht="15" customHeight="1" x14ac:dyDescent="0.2">
      <c r="A67" t="s">
        <v>47</v>
      </c>
      <c r="B67" t="str">
        <f>IFERROR(VLOOKUP(A67,品种目录!$B$2:$D$919,3,0),"其他")</f>
        <v>其他</v>
      </c>
      <c r="C67" s="11">
        <f t="shared" ref="C67:C130" si="1">I67/H67</f>
        <v>4.5</v>
      </c>
      <c r="D67" s="12">
        <v>50</v>
      </c>
      <c r="E67" s="12">
        <v>26</v>
      </c>
      <c r="F67" s="12">
        <v>0</v>
      </c>
      <c r="G67" s="12">
        <v>12</v>
      </c>
      <c r="H67" s="13">
        <v>88</v>
      </c>
      <c r="I67" s="14">
        <v>396</v>
      </c>
    </row>
    <row r="68" spans="1:9" ht="15" customHeight="1" x14ac:dyDescent="0.2">
      <c r="A68" t="s">
        <v>441</v>
      </c>
      <c r="B68" t="str">
        <f>IFERROR(VLOOKUP(A68,品种目录!$B$2:$D$919,3,0),"其他")</f>
        <v>茄果类</v>
      </c>
      <c r="C68" s="11">
        <f t="shared" si="1"/>
        <v>11</v>
      </c>
      <c r="D68" s="12">
        <v>0</v>
      </c>
      <c r="E68" s="12">
        <v>1</v>
      </c>
      <c r="F68" s="12">
        <v>0.5</v>
      </c>
      <c r="G68" s="12">
        <v>0</v>
      </c>
      <c r="H68" s="13">
        <v>1.5</v>
      </c>
      <c r="I68" s="14">
        <v>16.5</v>
      </c>
    </row>
    <row r="69" spans="1:9" ht="15" customHeight="1" x14ac:dyDescent="0.2">
      <c r="A69" t="s">
        <v>10</v>
      </c>
      <c r="B69" t="str">
        <f>IFERROR(VLOOKUP(A69,品种目录!$B$2:$D$919,3,0),"其他")</f>
        <v>水生蔬菜</v>
      </c>
      <c r="C69" s="11">
        <f t="shared" si="1"/>
        <v>4.45</v>
      </c>
      <c r="D69" s="12">
        <v>0</v>
      </c>
      <c r="E69" s="12">
        <v>21</v>
      </c>
      <c r="F69" s="12">
        <v>0</v>
      </c>
      <c r="G69" s="12">
        <v>0</v>
      </c>
      <c r="H69" s="13">
        <v>21</v>
      </c>
      <c r="I69" s="14">
        <v>93.45</v>
      </c>
    </row>
    <row r="70" spans="1:9" ht="15" customHeight="1" x14ac:dyDescent="0.2">
      <c r="A70" t="s">
        <v>443</v>
      </c>
      <c r="B70" t="str">
        <f>IFERROR(VLOOKUP(A70,品种目录!$B$2:$D$919,3,0),"其他")</f>
        <v>瓜类</v>
      </c>
      <c r="C70" s="11">
        <f t="shared" si="1"/>
        <v>4.333333333333333</v>
      </c>
      <c r="D70" s="12">
        <v>0</v>
      </c>
      <c r="E70" s="12">
        <v>0</v>
      </c>
      <c r="F70" s="12">
        <v>12</v>
      </c>
      <c r="G70" s="12">
        <v>0</v>
      </c>
      <c r="H70" s="13">
        <v>12</v>
      </c>
      <c r="I70" s="14">
        <v>52</v>
      </c>
    </row>
    <row r="71" spans="1:9" ht="15" customHeight="1" x14ac:dyDescent="0.2">
      <c r="A71" t="s">
        <v>444</v>
      </c>
      <c r="B71" t="str">
        <f>IFERROR(VLOOKUP(A71,品种目录!$B$2:$D$919,3,0),"其他")</f>
        <v>多年生及杂类蔬菜</v>
      </c>
      <c r="C71" s="11">
        <f t="shared" si="1"/>
        <v>17.333333333333332</v>
      </c>
      <c r="D71" s="12">
        <v>0</v>
      </c>
      <c r="E71" s="12">
        <v>2</v>
      </c>
      <c r="F71" s="12">
        <v>1</v>
      </c>
      <c r="G71" s="12">
        <v>0</v>
      </c>
      <c r="H71" s="13">
        <v>3</v>
      </c>
      <c r="I71" s="14">
        <v>52</v>
      </c>
    </row>
    <row r="72" spans="1:9" ht="15" customHeight="1" x14ac:dyDescent="0.2">
      <c r="A72" t="s">
        <v>48</v>
      </c>
      <c r="B72" t="str">
        <f>IFERROR(VLOOKUP(A72,品种目录!$B$2:$D$919,3,0),"其他")</f>
        <v>其他</v>
      </c>
      <c r="C72" s="11">
        <f t="shared" si="1"/>
        <v>5.5</v>
      </c>
      <c r="D72" s="12">
        <v>0</v>
      </c>
      <c r="E72" s="12">
        <v>200</v>
      </c>
      <c r="F72" s="12">
        <v>0</v>
      </c>
      <c r="G72" s="12">
        <v>0</v>
      </c>
      <c r="H72" s="13">
        <v>200</v>
      </c>
      <c r="I72" s="14">
        <v>1100</v>
      </c>
    </row>
    <row r="73" spans="1:9" ht="15" customHeight="1" x14ac:dyDescent="0.2">
      <c r="A73" t="s">
        <v>445</v>
      </c>
      <c r="B73" t="str">
        <f>IFERROR(VLOOKUP(A73,品种目录!$B$2:$D$919,3,0),"其他")</f>
        <v>根菜类</v>
      </c>
      <c r="C73" s="11">
        <f t="shared" si="1"/>
        <v>2.2749999999999999</v>
      </c>
      <c r="D73" s="12">
        <v>12</v>
      </c>
      <c r="E73" s="12">
        <v>0</v>
      </c>
      <c r="F73" s="12">
        <v>0</v>
      </c>
      <c r="G73" s="12">
        <v>0</v>
      </c>
      <c r="H73" s="13">
        <v>12</v>
      </c>
      <c r="I73" s="14">
        <v>27.299999999999997</v>
      </c>
    </row>
    <row r="74" spans="1:9" ht="15" customHeight="1" x14ac:dyDescent="0.2">
      <c r="A74" t="s">
        <v>11</v>
      </c>
      <c r="B74" t="str">
        <f>IFERROR(VLOOKUP(A74,品种目录!$B$2:$D$919,3,0),"其他")</f>
        <v>芽苗菜</v>
      </c>
      <c r="C74" s="11">
        <f t="shared" si="1"/>
        <v>1.35</v>
      </c>
      <c r="D74" s="12">
        <v>340</v>
      </c>
      <c r="E74" s="12">
        <v>1080</v>
      </c>
      <c r="F74" s="12">
        <v>302</v>
      </c>
      <c r="G74" s="12">
        <v>323</v>
      </c>
      <c r="H74" s="13">
        <v>2045</v>
      </c>
      <c r="I74" s="14">
        <v>2760.75</v>
      </c>
    </row>
    <row r="75" spans="1:9" ht="15" customHeight="1" x14ac:dyDescent="0.2">
      <c r="A75" t="s">
        <v>49</v>
      </c>
      <c r="B75" t="str">
        <f>IFERROR(VLOOKUP(A75,品种目录!$B$2:$D$919,3,0),"其他")</f>
        <v>豆类</v>
      </c>
      <c r="C75" s="11">
        <f t="shared" si="1"/>
        <v>3</v>
      </c>
      <c r="D75" s="12">
        <v>30</v>
      </c>
      <c r="E75" s="12">
        <v>92</v>
      </c>
      <c r="F75" s="12">
        <v>0</v>
      </c>
      <c r="G75" s="12">
        <v>0</v>
      </c>
      <c r="H75" s="13">
        <v>122</v>
      </c>
      <c r="I75" s="14">
        <v>366</v>
      </c>
    </row>
    <row r="76" spans="1:9" ht="15" customHeight="1" x14ac:dyDescent="0.2">
      <c r="A76" t="s">
        <v>50</v>
      </c>
      <c r="B76" t="str">
        <f>IFERROR(VLOOKUP(A76,品种目录!$B$2:$D$919,3,0),"其他")</f>
        <v>茄果类</v>
      </c>
      <c r="C76" s="11">
        <f t="shared" si="1"/>
        <v>7.9744897959183669</v>
      </c>
      <c r="D76" s="12">
        <v>0</v>
      </c>
      <c r="E76" s="12">
        <v>45</v>
      </c>
      <c r="F76" s="12">
        <v>4</v>
      </c>
      <c r="G76" s="12">
        <v>0</v>
      </c>
      <c r="H76" s="13">
        <v>49</v>
      </c>
      <c r="I76" s="14">
        <v>390.75</v>
      </c>
    </row>
    <row r="77" spans="1:9" ht="15" customHeight="1" x14ac:dyDescent="0.2">
      <c r="A77" t="s">
        <v>51</v>
      </c>
      <c r="B77" t="str">
        <f>IFERROR(VLOOKUP(A77,品种目录!$B$2:$D$919,3,0),"其他")</f>
        <v>叶菜类</v>
      </c>
      <c r="C77" s="11">
        <f t="shared" si="1"/>
        <v>2</v>
      </c>
      <c r="D77" s="12">
        <v>0</v>
      </c>
      <c r="E77" s="12">
        <v>0</v>
      </c>
      <c r="F77" s="12">
        <v>0</v>
      </c>
      <c r="G77" s="12">
        <v>24</v>
      </c>
      <c r="H77" s="13">
        <v>24</v>
      </c>
      <c r="I77" s="14">
        <v>48</v>
      </c>
    </row>
    <row r="78" spans="1:9" ht="15" customHeight="1" x14ac:dyDescent="0.2">
      <c r="A78" t="s">
        <v>448</v>
      </c>
      <c r="B78" t="str">
        <f>IFERROR(VLOOKUP(A78,品种目录!$B$2:$D$919,3,0),"其他")</f>
        <v>白菜类</v>
      </c>
      <c r="C78" s="11">
        <f t="shared" si="1"/>
        <v>3.9018571428571431</v>
      </c>
      <c r="D78" s="12">
        <v>0</v>
      </c>
      <c r="E78" s="12">
        <v>2</v>
      </c>
      <c r="F78" s="12">
        <v>12</v>
      </c>
      <c r="G78" s="12">
        <v>0</v>
      </c>
      <c r="H78" s="13">
        <v>14</v>
      </c>
      <c r="I78" s="14">
        <v>54.626000000000005</v>
      </c>
    </row>
    <row r="79" spans="1:9" ht="15" customHeight="1" x14ac:dyDescent="0.2">
      <c r="A79" t="s">
        <v>449</v>
      </c>
      <c r="B79" t="str">
        <f>IFERROR(VLOOKUP(A79,品种目录!$B$2:$D$919,3,0),"其他")</f>
        <v>瓜类</v>
      </c>
      <c r="C79" s="11">
        <f t="shared" si="1"/>
        <v>1.8735294117647057</v>
      </c>
      <c r="D79" s="12">
        <v>0</v>
      </c>
      <c r="E79" s="12">
        <v>4</v>
      </c>
      <c r="F79" s="12">
        <v>132</v>
      </c>
      <c r="G79" s="12">
        <v>0</v>
      </c>
      <c r="H79" s="13">
        <v>136</v>
      </c>
      <c r="I79" s="14">
        <v>254.79999999999998</v>
      </c>
    </row>
    <row r="80" spans="1:9" ht="15" customHeight="1" x14ac:dyDescent="0.2">
      <c r="A80" t="s">
        <v>450</v>
      </c>
      <c r="B80" t="str">
        <f>IFERROR(VLOOKUP(A80,品种目录!$B$2:$D$919,3,0),"其他")</f>
        <v>其他</v>
      </c>
      <c r="C80" s="11">
        <f t="shared" si="1"/>
        <v>10.4</v>
      </c>
      <c r="D80" s="12">
        <v>0</v>
      </c>
      <c r="E80" s="12">
        <v>0</v>
      </c>
      <c r="F80" s="12">
        <v>2</v>
      </c>
      <c r="G80" s="12">
        <v>0</v>
      </c>
      <c r="H80" s="13">
        <v>2</v>
      </c>
      <c r="I80" s="14">
        <v>20.8</v>
      </c>
    </row>
    <row r="81" spans="1:9" ht="15" customHeight="1" x14ac:dyDescent="0.2">
      <c r="A81" t="s">
        <v>451</v>
      </c>
      <c r="B81" t="str">
        <f>IFERROR(VLOOKUP(A81,品种目录!$B$2:$D$919,3,0),"其他")</f>
        <v>叶菜类</v>
      </c>
      <c r="C81" s="11">
        <f t="shared" si="1"/>
        <v>1.05</v>
      </c>
      <c r="D81" s="12">
        <v>0</v>
      </c>
      <c r="E81" s="12">
        <v>6</v>
      </c>
      <c r="F81" s="12">
        <v>0</v>
      </c>
      <c r="G81" s="12">
        <v>0</v>
      </c>
      <c r="H81" s="13">
        <v>6</v>
      </c>
      <c r="I81" s="14">
        <v>6.3000000000000007</v>
      </c>
    </row>
    <row r="82" spans="1:9" ht="15" customHeight="1" x14ac:dyDescent="0.2">
      <c r="A82" t="s">
        <v>52</v>
      </c>
      <c r="B82" t="str">
        <f>IFERROR(VLOOKUP(A82,品种目录!$B$2:$D$919,3,0),"其他")</f>
        <v>豆类</v>
      </c>
      <c r="C82" s="11">
        <f t="shared" si="1"/>
        <v>6.4</v>
      </c>
      <c r="D82" s="12">
        <v>61.5</v>
      </c>
      <c r="E82" s="12">
        <v>16.5</v>
      </c>
      <c r="F82" s="12">
        <v>19.2</v>
      </c>
      <c r="G82" s="12">
        <v>16</v>
      </c>
      <c r="H82" s="13">
        <v>113.2</v>
      </c>
      <c r="I82" s="14">
        <v>724.48</v>
      </c>
    </row>
    <row r="83" spans="1:9" ht="15" customHeight="1" x14ac:dyDescent="0.2">
      <c r="A83" t="s">
        <v>53</v>
      </c>
      <c r="B83" t="str">
        <f>IFERROR(VLOOKUP(A83,品种目录!$B$2:$D$919,3,0),"其他")</f>
        <v>茄果类</v>
      </c>
      <c r="C83" s="11">
        <f t="shared" si="1"/>
        <v>3.4375</v>
      </c>
      <c r="D83" s="12">
        <v>21</v>
      </c>
      <c r="E83" s="12">
        <v>42</v>
      </c>
      <c r="F83" s="12">
        <v>1</v>
      </c>
      <c r="G83" s="12">
        <v>0</v>
      </c>
      <c r="H83" s="13">
        <v>64</v>
      </c>
      <c r="I83" s="14">
        <v>220</v>
      </c>
    </row>
    <row r="84" spans="1:9" ht="15" customHeight="1" x14ac:dyDescent="0.2">
      <c r="A84" t="s">
        <v>453</v>
      </c>
      <c r="B84" t="str">
        <f>IFERROR(VLOOKUP(A84,品种目录!$B$2:$D$919,3,0),"其他")</f>
        <v>其他</v>
      </c>
      <c r="C84" s="11">
        <f t="shared" si="1"/>
        <v>1.75</v>
      </c>
      <c r="D84" s="12">
        <v>205</v>
      </c>
      <c r="E84" s="12">
        <v>150</v>
      </c>
      <c r="F84" s="12">
        <v>95</v>
      </c>
      <c r="G84" s="12">
        <v>85</v>
      </c>
      <c r="H84" s="13">
        <v>535</v>
      </c>
      <c r="I84" s="14">
        <v>936.25</v>
      </c>
    </row>
    <row r="85" spans="1:9" ht="15" customHeight="1" x14ac:dyDescent="0.2">
      <c r="A85" t="s">
        <v>452</v>
      </c>
      <c r="B85" t="str">
        <f>IFERROR(VLOOKUP(A85,品种目录!$B$2:$D$919,3,0),"其他")</f>
        <v>茄果类</v>
      </c>
      <c r="C85" s="11">
        <f t="shared" si="1"/>
        <v>2.5</v>
      </c>
      <c r="D85" s="12">
        <v>10</v>
      </c>
      <c r="E85" s="12">
        <v>78</v>
      </c>
      <c r="F85" s="12">
        <v>0</v>
      </c>
      <c r="G85" s="12">
        <v>6</v>
      </c>
      <c r="H85" s="13">
        <v>94</v>
      </c>
      <c r="I85" s="14">
        <v>235</v>
      </c>
    </row>
    <row r="86" spans="1:9" ht="15" customHeight="1" x14ac:dyDescent="0.2">
      <c r="A86" t="s">
        <v>454</v>
      </c>
      <c r="B86" t="str">
        <f>IFERROR(VLOOKUP(A86,品种目录!$B$2:$D$919,3,0),"其他")</f>
        <v>其他</v>
      </c>
      <c r="C86" s="11">
        <f t="shared" si="1"/>
        <v>1.5920289855072463</v>
      </c>
      <c r="D86" s="12">
        <v>0</v>
      </c>
      <c r="E86" s="12">
        <v>3.2</v>
      </c>
      <c r="F86" s="12">
        <v>3.7</v>
      </c>
      <c r="G86" s="12">
        <v>0</v>
      </c>
      <c r="H86" s="13">
        <v>6.9</v>
      </c>
      <c r="I86" s="14">
        <v>10.984999999999999</v>
      </c>
    </row>
    <row r="87" spans="1:9" ht="15" customHeight="1" x14ac:dyDescent="0.2">
      <c r="A87" t="s">
        <v>54</v>
      </c>
      <c r="B87" t="str">
        <f>IFERROR(VLOOKUP(A87,品种目录!$B$2:$D$919,3,0),"其他")</f>
        <v>葱蒜类</v>
      </c>
      <c r="C87" s="11">
        <f t="shared" si="1"/>
        <v>2.9645785876993167</v>
      </c>
      <c r="D87" s="12">
        <v>51</v>
      </c>
      <c r="E87" s="12">
        <v>187</v>
      </c>
      <c r="F87" s="12">
        <v>124</v>
      </c>
      <c r="G87" s="12">
        <v>77</v>
      </c>
      <c r="H87" s="13">
        <v>439</v>
      </c>
      <c r="I87" s="14">
        <v>1301.45</v>
      </c>
    </row>
    <row r="88" spans="1:9" ht="15" customHeight="1" x14ac:dyDescent="0.2">
      <c r="A88" t="s">
        <v>12</v>
      </c>
      <c r="B88" t="str">
        <f>IFERROR(VLOOKUP(A88,品种目录!$B$2:$D$919,3,0),"其他")</f>
        <v>叶菜类</v>
      </c>
      <c r="C88" s="11">
        <f t="shared" si="1"/>
        <v>1.1915760869565217</v>
      </c>
      <c r="D88" s="12">
        <v>0</v>
      </c>
      <c r="E88" s="12">
        <v>27.2</v>
      </c>
      <c r="F88" s="12">
        <v>28</v>
      </c>
      <c r="G88" s="12">
        <v>0</v>
      </c>
      <c r="H88" s="13">
        <v>55.2</v>
      </c>
      <c r="I88" s="14">
        <v>65.775000000000006</v>
      </c>
    </row>
    <row r="89" spans="1:9" ht="15" customHeight="1" x14ac:dyDescent="0.2">
      <c r="A89" t="s">
        <v>455</v>
      </c>
      <c r="B89" t="str">
        <f>IFERROR(VLOOKUP(A89,品种目录!$B$2:$D$919,3,0),"其他")</f>
        <v>茄果类</v>
      </c>
      <c r="C89" s="11">
        <f t="shared" si="1"/>
        <v>2.5</v>
      </c>
      <c r="D89" s="12">
        <v>25</v>
      </c>
      <c r="E89" s="12">
        <v>86</v>
      </c>
      <c r="F89" s="12">
        <v>6</v>
      </c>
      <c r="G89" s="12">
        <v>11</v>
      </c>
      <c r="H89" s="13">
        <v>128</v>
      </c>
      <c r="I89" s="14">
        <v>320</v>
      </c>
    </row>
    <row r="90" spans="1:9" ht="15" customHeight="1" x14ac:dyDescent="0.2">
      <c r="A90" t="s">
        <v>456</v>
      </c>
      <c r="B90" t="str">
        <f>IFERROR(VLOOKUP(A90,品种目录!$B$2:$D$919,3,0),"其他")</f>
        <v>其他</v>
      </c>
      <c r="C90" s="11">
        <f t="shared" si="1"/>
        <v>9.1</v>
      </c>
      <c r="D90" s="12">
        <v>0</v>
      </c>
      <c r="E90" s="12">
        <v>0</v>
      </c>
      <c r="F90" s="12">
        <v>6</v>
      </c>
      <c r="G90" s="12">
        <v>0</v>
      </c>
      <c r="H90" s="13">
        <v>6</v>
      </c>
      <c r="I90" s="14">
        <v>54.599999999999994</v>
      </c>
    </row>
    <row r="91" spans="1:9" ht="15" customHeight="1" x14ac:dyDescent="0.2">
      <c r="A91" t="s">
        <v>457</v>
      </c>
      <c r="B91" t="str">
        <f>IFERROR(VLOOKUP(A91,品种目录!$B$2:$D$919,3,0),"其他")</f>
        <v>茄果类</v>
      </c>
      <c r="C91" s="11">
        <f t="shared" si="1"/>
        <v>1.4105939716312057</v>
      </c>
      <c r="D91" s="12">
        <v>130</v>
      </c>
      <c r="E91" s="12">
        <v>545</v>
      </c>
      <c r="F91" s="12">
        <v>311</v>
      </c>
      <c r="G91" s="12">
        <v>142</v>
      </c>
      <c r="H91" s="13">
        <v>1128</v>
      </c>
      <c r="I91" s="14">
        <v>1591.15</v>
      </c>
    </row>
    <row r="92" spans="1:9" ht="15" customHeight="1" x14ac:dyDescent="0.2">
      <c r="A92" t="s">
        <v>458</v>
      </c>
      <c r="B92" t="str">
        <f>IFERROR(VLOOKUP(A92,品种目录!$B$2:$D$919,3,0),"其他")</f>
        <v>多年生及杂类蔬菜</v>
      </c>
      <c r="C92" s="11">
        <f t="shared" si="1"/>
        <v>7.7115736040609146</v>
      </c>
      <c r="D92" s="12">
        <v>0</v>
      </c>
      <c r="E92" s="12">
        <v>5</v>
      </c>
      <c r="F92" s="12">
        <v>14.7</v>
      </c>
      <c r="G92" s="12">
        <v>0</v>
      </c>
      <c r="H92" s="13">
        <v>19.7</v>
      </c>
      <c r="I92" s="14">
        <v>151.91800000000001</v>
      </c>
    </row>
    <row r="93" spans="1:9" ht="15" customHeight="1" x14ac:dyDescent="0.2">
      <c r="A93" t="s">
        <v>459</v>
      </c>
      <c r="B93" t="str">
        <f>IFERROR(VLOOKUP(A93,品种目录!$B$2:$D$919,3,0),"其他")</f>
        <v>其他</v>
      </c>
      <c r="C93" s="11">
        <f t="shared" si="1"/>
        <v>1.75</v>
      </c>
      <c r="D93" s="12">
        <v>140</v>
      </c>
      <c r="E93" s="12">
        <v>240</v>
      </c>
      <c r="F93" s="12">
        <v>50</v>
      </c>
      <c r="G93" s="12">
        <v>35</v>
      </c>
      <c r="H93" s="13">
        <v>465</v>
      </c>
      <c r="I93" s="14">
        <v>813.75</v>
      </c>
    </row>
    <row r="94" spans="1:9" ht="15" customHeight="1" x14ac:dyDescent="0.2">
      <c r="A94" t="s">
        <v>55</v>
      </c>
      <c r="B94" t="str">
        <f>IFERROR(VLOOKUP(A94,品种目录!$B$2:$D$919,3,0),"其他")</f>
        <v>薯芋类</v>
      </c>
      <c r="C94" s="11">
        <f t="shared" si="1"/>
        <v>4.8628318584070795</v>
      </c>
      <c r="D94" s="12">
        <v>64</v>
      </c>
      <c r="E94" s="12">
        <v>193</v>
      </c>
      <c r="F94" s="12">
        <v>47</v>
      </c>
      <c r="G94" s="12">
        <v>35</v>
      </c>
      <c r="H94" s="13">
        <v>339</v>
      </c>
      <c r="I94" s="14">
        <v>1648.5</v>
      </c>
    </row>
    <row r="95" spans="1:9" ht="15" customHeight="1" x14ac:dyDescent="0.2">
      <c r="A95" t="s">
        <v>56</v>
      </c>
      <c r="B95" t="str">
        <f>IFERROR(VLOOKUP(A95,品种目录!$B$2:$D$919,3,0),"其他")</f>
        <v>薯芋类</v>
      </c>
      <c r="C95" s="11">
        <f t="shared" si="1"/>
        <v>2.8141700404858305</v>
      </c>
      <c r="D95" s="12">
        <v>77</v>
      </c>
      <c r="E95" s="12">
        <v>109</v>
      </c>
      <c r="F95" s="12">
        <v>23</v>
      </c>
      <c r="G95" s="12">
        <v>38</v>
      </c>
      <c r="H95" s="13">
        <v>247</v>
      </c>
      <c r="I95" s="14">
        <v>695.10000000000014</v>
      </c>
    </row>
    <row r="96" spans="1:9" ht="15" customHeight="1" x14ac:dyDescent="0.2">
      <c r="A96" t="s">
        <v>460</v>
      </c>
      <c r="B96" t="str">
        <f>IFERROR(VLOOKUP(A96,品种目录!$B$2:$D$919,3,0),"其他")</f>
        <v>茄果类</v>
      </c>
      <c r="C96" s="11">
        <f t="shared" si="1"/>
        <v>2.6000000000000005</v>
      </c>
      <c r="D96" s="12">
        <v>0</v>
      </c>
      <c r="E96" s="12">
        <v>0</v>
      </c>
      <c r="F96" s="12">
        <v>13</v>
      </c>
      <c r="G96" s="12">
        <v>0</v>
      </c>
      <c r="H96" s="13">
        <v>13</v>
      </c>
      <c r="I96" s="14">
        <v>33.800000000000004</v>
      </c>
    </row>
    <row r="97" spans="1:9" ht="15" customHeight="1" x14ac:dyDescent="0.2">
      <c r="A97" t="s">
        <v>461</v>
      </c>
      <c r="B97" t="str">
        <f>IFERROR(VLOOKUP(A97,品种目录!$B$2:$D$919,3,0),"其他")</f>
        <v>其他</v>
      </c>
      <c r="C97" s="11">
        <f t="shared" si="1"/>
        <v>3.6</v>
      </c>
      <c r="D97" s="12">
        <v>0</v>
      </c>
      <c r="E97" s="12">
        <v>0</v>
      </c>
      <c r="F97" s="12">
        <v>40</v>
      </c>
      <c r="G97" s="12">
        <v>0</v>
      </c>
      <c r="H97" s="13">
        <v>40</v>
      </c>
      <c r="I97" s="14">
        <v>144</v>
      </c>
    </row>
    <row r="98" spans="1:9" ht="15" customHeight="1" x14ac:dyDescent="0.2">
      <c r="A98" t="s">
        <v>462</v>
      </c>
      <c r="B98" t="str">
        <f>IFERROR(VLOOKUP(A98,品种目录!$B$2:$D$919,3,0),"其他")</f>
        <v>瓜类</v>
      </c>
      <c r="C98" s="11">
        <f t="shared" si="1"/>
        <v>2.6736666666666671</v>
      </c>
      <c r="D98" s="12">
        <v>0</v>
      </c>
      <c r="E98" s="12">
        <v>154</v>
      </c>
      <c r="F98" s="12">
        <v>45</v>
      </c>
      <c r="G98" s="12">
        <v>26</v>
      </c>
      <c r="H98" s="13">
        <v>225</v>
      </c>
      <c r="I98" s="14">
        <v>601.57500000000005</v>
      </c>
    </row>
    <row r="99" spans="1:9" ht="15" customHeight="1" x14ac:dyDescent="0.2">
      <c r="A99" t="s">
        <v>57</v>
      </c>
      <c r="B99" t="str">
        <f>IFERROR(VLOOKUP(A99,品种目录!$B$2:$D$919,3,0),"其他")</f>
        <v>其他</v>
      </c>
      <c r="C99" s="11">
        <f t="shared" si="1"/>
        <v>6</v>
      </c>
      <c r="D99" s="12">
        <v>0</v>
      </c>
      <c r="E99" s="12">
        <v>353</v>
      </c>
      <c r="F99" s="12">
        <v>0</v>
      </c>
      <c r="G99" s="12">
        <v>42.5</v>
      </c>
      <c r="H99" s="13">
        <v>395.5</v>
      </c>
      <c r="I99" s="14">
        <v>2373</v>
      </c>
    </row>
    <row r="100" spans="1:9" ht="15" customHeight="1" x14ac:dyDescent="0.2">
      <c r="A100" t="s">
        <v>58</v>
      </c>
      <c r="B100" t="str">
        <f>IFERROR(VLOOKUP(A100,品种目录!$B$2:$D$919,3,0),"其他")</f>
        <v>其他</v>
      </c>
      <c r="C100" s="11">
        <f t="shared" si="1"/>
        <v>1.9000000000000001</v>
      </c>
      <c r="D100" s="12">
        <v>99</v>
      </c>
      <c r="E100" s="12">
        <v>408</v>
      </c>
      <c r="F100" s="12">
        <v>40</v>
      </c>
      <c r="G100" s="12">
        <v>176</v>
      </c>
      <c r="H100" s="13">
        <v>723</v>
      </c>
      <c r="I100" s="14">
        <v>1373.7</v>
      </c>
    </row>
    <row r="101" spans="1:9" ht="15" customHeight="1" x14ac:dyDescent="0.2">
      <c r="A101" t="s">
        <v>13</v>
      </c>
      <c r="B101" t="str">
        <f>IFERROR(VLOOKUP(A101,品种目录!$B$2:$D$919,3,0),"其他")</f>
        <v>葱蒜类</v>
      </c>
      <c r="C101" s="11">
        <f t="shared" si="1"/>
        <v>1.5</v>
      </c>
      <c r="D101" s="12">
        <v>0</v>
      </c>
      <c r="E101" s="12">
        <v>25</v>
      </c>
      <c r="F101" s="12">
        <v>0</v>
      </c>
      <c r="G101" s="12">
        <v>0</v>
      </c>
      <c r="H101" s="13">
        <v>25</v>
      </c>
      <c r="I101" s="14">
        <v>37.5</v>
      </c>
    </row>
    <row r="102" spans="1:9" ht="15" customHeight="1" x14ac:dyDescent="0.2">
      <c r="A102" t="s">
        <v>114</v>
      </c>
      <c r="B102" t="str">
        <f>IFERROR(VLOOKUP(A102,品种目录!$B$2:$D$919,3,0),"其他")</f>
        <v>葱蒜类</v>
      </c>
      <c r="C102" s="11">
        <f t="shared" si="1"/>
        <v>5.33</v>
      </c>
      <c r="D102" s="12">
        <v>0</v>
      </c>
      <c r="E102" s="12">
        <v>4</v>
      </c>
      <c r="F102" s="12">
        <v>0</v>
      </c>
      <c r="G102" s="12">
        <v>0</v>
      </c>
      <c r="H102" s="13">
        <v>4</v>
      </c>
      <c r="I102" s="14">
        <v>21.32</v>
      </c>
    </row>
    <row r="103" spans="1:9" ht="15" customHeight="1" x14ac:dyDescent="0.2">
      <c r="A103" t="s">
        <v>465</v>
      </c>
      <c r="B103" t="str">
        <f>IFERROR(VLOOKUP(A103,品种目录!$B$2:$D$919,3,0),"其他")</f>
        <v>其他</v>
      </c>
      <c r="C103" s="11">
        <f t="shared" si="1"/>
        <v>8.19</v>
      </c>
      <c r="D103" s="12">
        <v>0</v>
      </c>
      <c r="E103" s="12">
        <v>0</v>
      </c>
      <c r="F103" s="12">
        <v>12</v>
      </c>
      <c r="G103" s="12">
        <v>0</v>
      </c>
      <c r="H103" s="13">
        <v>12</v>
      </c>
      <c r="I103" s="14">
        <v>98.28</v>
      </c>
    </row>
    <row r="104" spans="1:9" ht="15" customHeight="1" x14ac:dyDescent="0.2">
      <c r="A104" t="s">
        <v>463</v>
      </c>
      <c r="B104" t="str">
        <f>IFERROR(VLOOKUP(A104,品种目录!$B$2:$D$919,3,0),"其他")</f>
        <v>其他</v>
      </c>
      <c r="C104" s="11">
        <f t="shared" si="1"/>
        <v>2.6</v>
      </c>
      <c r="D104" s="12">
        <v>0</v>
      </c>
      <c r="E104" s="12">
        <v>0</v>
      </c>
      <c r="F104" s="12">
        <v>3</v>
      </c>
      <c r="G104" s="12">
        <v>0</v>
      </c>
      <c r="H104" s="13">
        <v>3</v>
      </c>
      <c r="I104" s="14">
        <v>7.8000000000000007</v>
      </c>
    </row>
    <row r="105" spans="1:9" ht="15" customHeight="1" x14ac:dyDescent="0.2">
      <c r="A105" t="s">
        <v>464</v>
      </c>
      <c r="B105" t="str">
        <f>IFERROR(VLOOKUP(A105,品种目录!$B$2:$D$919,3,0),"其他")</f>
        <v>薯芋类</v>
      </c>
      <c r="C105" s="11">
        <f t="shared" si="1"/>
        <v>5.2</v>
      </c>
      <c r="D105" s="12">
        <v>0</v>
      </c>
      <c r="E105" s="12">
        <v>0</v>
      </c>
      <c r="F105" s="12">
        <v>3</v>
      </c>
      <c r="G105" s="12">
        <v>0</v>
      </c>
      <c r="H105" s="13">
        <v>3</v>
      </c>
      <c r="I105" s="14">
        <v>15.600000000000001</v>
      </c>
    </row>
    <row r="106" spans="1:9" ht="15" customHeight="1" x14ac:dyDescent="0.2">
      <c r="A106" t="s">
        <v>59</v>
      </c>
      <c r="B106" t="str">
        <f>IFERROR(VLOOKUP(A106,品种目录!$B$2:$D$919,3,0),"其他")</f>
        <v>叶菜类</v>
      </c>
      <c r="C106" s="11">
        <f t="shared" si="1"/>
        <v>4</v>
      </c>
      <c r="D106" s="12">
        <v>0</v>
      </c>
      <c r="E106" s="12">
        <v>10</v>
      </c>
      <c r="F106" s="12">
        <v>0</v>
      </c>
      <c r="G106" s="12">
        <v>0</v>
      </c>
      <c r="H106" s="13">
        <v>10</v>
      </c>
      <c r="I106" s="14">
        <v>40</v>
      </c>
    </row>
    <row r="107" spans="1:9" ht="15" customHeight="1" x14ac:dyDescent="0.2">
      <c r="A107" t="s">
        <v>14</v>
      </c>
      <c r="B107" t="str">
        <f>IFERROR(VLOOKUP(A107,品种目录!$B$2:$D$919,3,0),"其他")</f>
        <v>薯芋类</v>
      </c>
      <c r="C107" s="11">
        <f t="shared" si="1"/>
        <v>1.3341517857142857</v>
      </c>
      <c r="D107" s="12">
        <v>60</v>
      </c>
      <c r="E107" s="12">
        <v>118</v>
      </c>
      <c r="F107" s="12">
        <v>46</v>
      </c>
      <c r="G107" s="12">
        <v>0</v>
      </c>
      <c r="H107" s="13">
        <v>224</v>
      </c>
      <c r="I107" s="14">
        <v>298.85000000000002</v>
      </c>
    </row>
    <row r="108" spans="1:9" ht="15" customHeight="1" x14ac:dyDescent="0.2">
      <c r="A108" t="s">
        <v>419</v>
      </c>
      <c r="B108" t="str">
        <f>IFERROR(VLOOKUP(A108,品种目录!$B$2:$D$919,3,0),"其他")</f>
        <v>芥菜类</v>
      </c>
      <c r="C108" s="11">
        <f t="shared" si="1"/>
        <v>1.8214194861358433</v>
      </c>
      <c r="D108" s="12">
        <v>410</v>
      </c>
      <c r="E108" s="12">
        <v>788.8</v>
      </c>
      <c r="F108" s="12">
        <v>234.39999999999998</v>
      </c>
      <c r="G108" s="12">
        <v>139.19999999999999</v>
      </c>
      <c r="H108" s="13">
        <v>1572.3999999999999</v>
      </c>
      <c r="I108" s="14">
        <v>2863.9999999999995</v>
      </c>
    </row>
    <row r="109" spans="1:9" ht="15" customHeight="1" x14ac:dyDescent="0.2">
      <c r="A109" t="s">
        <v>466</v>
      </c>
      <c r="B109" t="str">
        <f>IFERROR(VLOOKUP(A109,品种目录!$B$2:$D$919,3,0),"其他")</f>
        <v>其他</v>
      </c>
      <c r="C109" s="11">
        <f t="shared" si="1"/>
        <v>5.85</v>
      </c>
      <c r="D109" s="12">
        <v>2.5</v>
      </c>
      <c r="E109" s="12">
        <v>2.5</v>
      </c>
      <c r="F109" s="12">
        <v>0</v>
      </c>
      <c r="G109" s="12">
        <v>0</v>
      </c>
      <c r="H109" s="13">
        <v>5</v>
      </c>
      <c r="I109" s="14">
        <v>29.25</v>
      </c>
    </row>
    <row r="110" spans="1:9" ht="15" customHeight="1" x14ac:dyDescent="0.2">
      <c r="A110" t="s">
        <v>467</v>
      </c>
      <c r="B110" t="str">
        <f>IFERROR(VLOOKUP(A110,品种目录!$B$2:$D$919,3,0),"其他")</f>
        <v>豆类</v>
      </c>
      <c r="C110" s="11">
        <f t="shared" si="1"/>
        <v>6.4</v>
      </c>
      <c r="D110" s="12">
        <v>0</v>
      </c>
      <c r="E110" s="12">
        <v>88.8</v>
      </c>
      <c r="F110" s="12">
        <v>0</v>
      </c>
      <c r="G110" s="12">
        <v>0</v>
      </c>
      <c r="H110" s="13">
        <v>88.8</v>
      </c>
      <c r="I110" s="14">
        <v>568.32000000000005</v>
      </c>
    </row>
    <row r="111" spans="1:9" ht="15" customHeight="1" x14ac:dyDescent="0.2">
      <c r="A111" t="s">
        <v>420</v>
      </c>
      <c r="B111" t="str">
        <f>IFERROR(VLOOKUP(A111,品种目录!$B$2:$D$919,3,0),"其他")</f>
        <v>芽苗菜</v>
      </c>
      <c r="C111" s="11">
        <f t="shared" si="1"/>
        <v>8.6300000000000008</v>
      </c>
      <c r="D111" s="12">
        <v>0</v>
      </c>
      <c r="E111" s="12">
        <v>2</v>
      </c>
      <c r="F111" s="12">
        <v>3.2</v>
      </c>
      <c r="G111" s="12">
        <v>0</v>
      </c>
      <c r="H111" s="13">
        <v>5.2</v>
      </c>
      <c r="I111" s="14">
        <v>44.876000000000005</v>
      </c>
    </row>
    <row r="112" spans="1:9" ht="15" customHeight="1" x14ac:dyDescent="0.2">
      <c r="A112" t="s">
        <v>468</v>
      </c>
      <c r="B112" t="str">
        <f>IFERROR(VLOOKUP(A112,品种目录!$B$2:$D$919,3,0),"其他")</f>
        <v>其他</v>
      </c>
      <c r="C112" s="11">
        <f t="shared" si="1"/>
        <v>6.4</v>
      </c>
      <c r="D112" s="12">
        <v>0</v>
      </c>
      <c r="E112" s="12">
        <v>0</v>
      </c>
      <c r="F112" s="12">
        <v>0</v>
      </c>
      <c r="G112" s="12">
        <v>50</v>
      </c>
      <c r="H112" s="13">
        <v>50</v>
      </c>
      <c r="I112" s="14">
        <v>320</v>
      </c>
    </row>
    <row r="113" spans="1:9" ht="15" customHeight="1" x14ac:dyDescent="0.2">
      <c r="A113" t="s">
        <v>60</v>
      </c>
      <c r="B113" t="str">
        <f>IFERROR(VLOOKUP(A113,品种目录!$B$2:$D$919,3,0),"其他")</f>
        <v>茄果类</v>
      </c>
      <c r="C113" s="11">
        <f t="shared" si="1"/>
        <v>2.1887283236994222</v>
      </c>
      <c r="D113" s="12">
        <v>1075</v>
      </c>
      <c r="E113" s="12">
        <v>4494</v>
      </c>
      <c r="F113" s="12">
        <v>1195</v>
      </c>
      <c r="G113" s="12">
        <v>675</v>
      </c>
      <c r="H113" s="13">
        <v>7439</v>
      </c>
      <c r="I113" s="14">
        <v>16281.95</v>
      </c>
    </row>
    <row r="114" spans="1:9" ht="15" customHeight="1" x14ac:dyDescent="0.2">
      <c r="A114" t="s">
        <v>15</v>
      </c>
      <c r="B114" t="str">
        <f>IFERROR(VLOOKUP(A114,品种目录!$B$2:$D$919,3,0),"其他")</f>
        <v>瓜类</v>
      </c>
      <c r="C114" s="11">
        <f t="shared" si="1"/>
        <v>1.95</v>
      </c>
      <c r="D114" s="12">
        <v>0</v>
      </c>
      <c r="E114" s="12">
        <v>16</v>
      </c>
      <c r="F114" s="12">
        <v>70</v>
      </c>
      <c r="G114" s="12">
        <v>0</v>
      </c>
      <c r="H114" s="13">
        <v>86</v>
      </c>
      <c r="I114" s="14">
        <v>167.7</v>
      </c>
    </row>
    <row r="115" spans="1:9" ht="15" customHeight="1" x14ac:dyDescent="0.2">
      <c r="A115" t="s">
        <v>16</v>
      </c>
      <c r="B115" t="str">
        <f>IFERROR(VLOOKUP(A115,品种目录!$B$2:$D$919,3,0),"其他")</f>
        <v>甘蓝类</v>
      </c>
      <c r="C115" s="11">
        <f t="shared" si="1"/>
        <v>2.2280487804878049</v>
      </c>
      <c r="D115" s="12">
        <v>6</v>
      </c>
      <c r="E115" s="12">
        <v>35</v>
      </c>
      <c r="F115" s="12">
        <v>0</v>
      </c>
      <c r="G115" s="12">
        <v>0</v>
      </c>
      <c r="H115" s="13">
        <v>41</v>
      </c>
      <c r="I115" s="14">
        <v>91.35</v>
      </c>
    </row>
    <row r="116" spans="1:9" ht="15" customHeight="1" x14ac:dyDescent="0.2">
      <c r="A116" t="s">
        <v>17</v>
      </c>
      <c r="B116" t="str">
        <f>IFERROR(VLOOKUP(A116,品种目录!$B$2:$D$919,3,0),"其他")</f>
        <v>其他</v>
      </c>
      <c r="C116" s="11">
        <f t="shared" si="1"/>
        <v>1.55</v>
      </c>
      <c r="D116" s="12">
        <v>0</v>
      </c>
      <c r="E116" s="12">
        <v>0</v>
      </c>
      <c r="F116" s="12">
        <v>12</v>
      </c>
      <c r="G116" s="12">
        <v>0</v>
      </c>
      <c r="H116" s="13">
        <v>12</v>
      </c>
      <c r="I116" s="14">
        <v>18.600000000000001</v>
      </c>
    </row>
    <row r="117" spans="1:9" ht="15" customHeight="1" x14ac:dyDescent="0.2">
      <c r="A117" t="s">
        <v>469</v>
      </c>
      <c r="B117" t="str">
        <f>IFERROR(VLOOKUP(A117,品种目录!$B$2:$D$919,3,0),"其他")</f>
        <v>其他</v>
      </c>
      <c r="C117" s="11">
        <f t="shared" si="1"/>
        <v>4.0999999999999996</v>
      </c>
      <c r="D117" s="12">
        <v>40</v>
      </c>
      <c r="E117" s="12">
        <v>88</v>
      </c>
      <c r="F117" s="12">
        <v>0</v>
      </c>
      <c r="G117" s="12">
        <v>0</v>
      </c>
      <c r="H117" s="13">
        <v>128</v>
      </c>
      <c r="I117" s="14">
        <v>524.79999999999995</v>
      </c>
    </row>
    <row r="118" spans="1:9" ht="15" customHeight="1" x14ac:dyDescent="0.2">
      <c r="A118" t="s">
        <v>61</v>
      </c>
      <c r="B118" t="str">
        <f>IFERROR(VLOOKUP(A118,品种目录!$B$2:$D$919,3,0),"其他")</f>
        <v>食用菌</v>
      </c>
      <c r="C118" s="11">
        <f t="shared" si="1"/>
        <v>5.2498366013071891</v>
      </c>
      <c r="D118" s="12">
        <v>167</v>
      </c>
      <c r="E118" s="12">
        <v>113</v>
      </c>
      <c r="F118" s="12">
        <v>0</v>
      </c>
      <c r="G118" s="12">
        <v>26</v>
      </c>
      <c r="H118" s="13">
        <v>306</v>
      </c>
      <c r="I118" s="14">
        <v>1606.4499999999998</v>
      </c>
    </row>
    <row r="119" spans="1:9" ht="15" customHeight="1" x14ac:dyDescent="0.2">
      <c r="A119" t="s">
        <v>470</v>
      </c>
      <c r="B119" t="str">
        <f>IFERROR(VLOOKUP(A119,品种目录!$B$2:$D$919,3,0),"其他")</f>
        <v>其他</v>
      </c>
      <c r="C119" s="11">
        <f t="shared" si="1"/>
        <v>24.375</v>
      </c>
      <c r="D119" s="12">
        <v>0</v>
      </c>
      <c r="E119" s="12">
        <v>0</v>
      </c>
      <c r="F119" s="12">
        <v>0.8</v>
      </c>
      <c r="G119" s="12">
        <v>0</v>
      </c>
      <c r="H119" s="13">
        <v>0.8</v>
      </c>
      <c r="I119" s="14">
        <v>19.5</v>
      </c>
    </row>
    <row r="120" spans="1:9" ht="15" customHeight="1" x14ac:dyDescent="0.2">
      <c r="A120" t="s">
        <v>471</v>
      </c>
      <c r="B120" t="str">
        <f>IFERROR(VLOOKUP(A120,品种目录!$B$2:$D$919,3,0),"其他")</f>
        <v>叶菜类</v>
      </c>
      <c r="C120" s="11">
        <f t="shared" si="1"/>
        <v>3.3</v>
      </c>
      <c r="D120" s="12">
        <v>0</v>
      </c>
      <c r="E120" s="12">
        <v>2</v>
      </c>
      <c r="F120" s="12">
        <v>2</v>
      </c>
      <c r="G120" s="12">
        <v>0</v>
      </c>
      <c r="H120" s="13">
        <v>4</v>
      </c>
      <c r="I120" s="14">
        <v>13.2</v>
      </c>
    </row>
    <row r="121" spans="1:9" ht="15" customHeight="1" x14ac:dyDescent="0.2">
      <c r="A121" t="s">
        <v>472</v>
      </c>
      <c r="B121" t="str">
        <f>IFERROR(VLOOKUP(A121,品种目录!$B$2:$D$919,3,0),"其他")</f>
        <v>茄果类</v>
      </c>
      <c r="C121" s="11">
        <f t="shared" si="1"/>
        <v>3.1488372093023256</v>
      </c>
      <c r="D121" s="12">
        <v>25</v>
      </c>
      <c r="E121" s="12">
        <v>173</v>
      </c>
      <c r="F121" s="12">
        <v>2</v>
      </c>
      <c r="G121" s="12">
        <v>15</v>
      </c>
      <c r="H121" s="13">
        <v>215</v>
      </c>
      <c r="I121" s="14">
        <v>677</v>
      </c>
    </row>
    <row r="122" spans="1:9" ht="15" customHeight="1" x14ac:dyDescent="0.2">
      <c r="A122" t="s">
        <v>62</v>
      </c>
      <c r="B122" t="str">
        <f>IFERROR(VLOOKUP(A122,品种目录!$B$2:$D$919,3,0),"其他")</f>
        <v>叶菜类</v>
      </c>
      <c r="C122" s="11">
        <f t="shared" si="1"/>
        <v>4.7126436781609193</v>
      </c>
      <c r="D122" s="12">
        <v>50</v>
      </c>
      <c r="E122" s="12">
        <v>222</v>
      </c>
      <c r="F122" s="12">
        <v>37</v>
      </c>
      <c r="G122" s="12">
        <v>39</v>
      </c>
      <c r="H122" s="13">
        <v>348</v>
      </c>
      <c r="I122" s="14">
        <v>1640</v>
      </c>
    </row>
    <row r="123" spans="1:9" ht="15" customHeight="1" x14ac:dyDescent="0.2">
      <c r="A123" t="s">
        <v>473</v>
      </c>
      <c r="B123" t="str">
        <f>IFERROR(VLOOKUP(A123,品种目录!$B$2:$D$919,3,0),"其他")</f>
        <v>芽苗菜</v>
      </c>
      <c r="C123" s="11">
        <f t="shared" si="1"/>
        <v>10.4</v>
      </c>
      <c r="D123" s="12">
        <v>0</v>
      </c>
      <c r="E123" s="12">
        <v>0</v>
      </c>
      <c r="F123" s="12">
        <v>1</v>
      </c>
      <c r="G123" s="12">
        <v>0</v>
      </c>
      <c r="H123" s="13">
        <v>1</v>
      </c>
      <c r="I123" s="14">
        <v>10.4</v>
      </c>
    </row>
    <row r="124" spans="1:9" ht="15" customHeight="1" x14ac:dyDescent="0.2">
      <c r="A124" t="s">
        <v>63</v>
      </c>
      <c r="B124" t="str">
        <f>IFERROR(VLOOKUP(A124,品种目录!$B$2:$D$919,3,0),"其他")</f>
        <v>葱蒜类</v>
      </c>
      <c r="C124" s="11">
        <f t="shared" si="1"/>
        <v>3.0992514970059881</v>
      </c>
      <c r="D124" s="12">
        <v>55</v>
      </c>
      <c r="E124" s="12">
        <v>206</v>
      </c>
      <c r="F124" s="12">
        <v>41</v>
      </c>
      <c r="G124" s="12">
        <v>32</v>
      </c>
      <c r="H124" s="13">
        <v>334</v>
      </c>
      <c r="I124" s="14">
        <v>1035.1500000000001</v>
      </c>
    </row>
    <row r="125" spans="1:9" ht="15" customHeight="1" x14ac:dyDescent="0.2">
      <c r="A125" t="s">
        <v>64</v>
      </c>
      <c r="B125" t="str">
        <f>IFERROR(VLOOKUP(A125,品种目录!$B$2:$D$919,3,0),"其他")</f>
        <v>食用菌</v>
      </c>
      <c r="C125" s="11">
        <f t="shared" si="1"/>
        <v>4.8183108587650807</v>
      </c>
      <c r="D125" s="12">
        <v>65</v>
      </c>
      <c r="E125" s="12">
        <v>1257</v>
      </c>
      <c r="F125" s="12">
        <v>41</v>
      </c>
      <c r="G125" s="12">
        <v>46</v>
      </c>
      <c r="H125" s="13">
        <v>1409</v>
      </c>
      <c r="I125" s="14">
        <v>6788.9999999999991</v>
      </c>
    </row>
    <row r="126" spans="1:9" ht="15" customHeight="1" x14ac:dyDescent="0.2">
      <c r="A126" t="s">
        <v>18</v>
      </c>
      <c r="B126" t="str">
        <f>IFERROR(VLOOKUP(A126,品种目录!$B$2:$D$919,3,0),"其他")</f>
        <v>叶菜类</v>
      </c>
      <c r="C126" s="11">
        <f t="shared" si="1"/>
        <v>2.5341463414634147</v>
      </c>
      <c r="D126" s="12">
        <v>0</v>
      </c>
      <c r="E126" s="12">
        <v>24</v>
      </c>
      <c r="F126" s="12">
        <v>12</v>
      </c>
      <c r="G126" s="12">
        <v>5</v>
      </c>
      <c r="H126" s="13">
        <v>41</v>
      </c>
      <c r="I126" s="14">
        <v>103.9</v>
      </c>
    </row>
    <row r="127" spans="1:9" ht="15" customHeight="1" x14ac:dyDescent="0.2">
      <c r="A127" t="s">
        <v>65</v>
      </c>
      <c r="B127" t="str">
        <f>IFERROR(VLOOKUP(A127,品种目录!$B$2:$D$919,3,0),"其他")</f>
        <v>白菜类</v>
      </c>
      <c r="C127" s="11">
        <f t="shared" si="1"/>
        <v>1.7922862678614677</v>
      </c>
      <c r="D127" s="12">
        <v>0</v>
      </c>
      <c r="E127" s="12">
        <v>554.79999999999995</v>
      </c>
      <c r="F127" s="12">
        <v>11</v>
      </c>
      <c r="G127" s="12">
        <v>260</v>
      </c>
      <c r="H127" s="13">
        <v>825.8</v>
      </c>
      <c r="I127" s="14">
        <v>1480.07</v>
      </c>
    </row>
    <row r="128" spans="1:9" ht="15" customHeight="1" x14ac:dyDescent="0.2">
      <c r="A128" t="s">
        <v>475</v>
      </c>
      <c r="B128" t="str">
        <f>IFERROR(VLOOKUP(A128,品种目录!$B$2:$D$919,3,0),"其他")</f>
        <v>茄果类</v>
      </c>
      <c r="C128" s="11">
        <f t="shared" si="1"/>
        <v>8.375</v>
      </c>
      <c r="D128" s="12">
        <v>0</v>
      </c>
      <c r="E128" s="12">
        <v>1</v>
      </c>
      <c r="F128" s="12">
        <v>7</v>
      </c>
      <c r="G128" s="12">
        <v>0</v>
      </c>
      <c r="H128" s="13">
        <v>8</v>
      </c>
      <c r="I128" s="14">
        <v>67</v>
      </c>
    </row>
    <row r="129" spans="1:9" ht="15" customHeight="1" x14ac:dyDescent="0.2">
      <c r="A129" t="s">
        <v>66</v>
      </c>
      <c r="B129" t="str">
        <f>IFERROR(VLOOKUP(A129,品种目录!$B$2:$D$919,3,0),"其他")</f>
        <v>食用菌</v>
      </c>
      <c r="C129" s="11">
        <f t="shared" si="1"/>
        <v>4.45</v>
      </c>
      <c r="D129" s="12">
        <v>0</v>
      </c>
      <c r="E129" s="12">
        <v>1</v>
      </c>
      <c r="F129" s="12">
        <v>6</v>
      </c>
      <c r="G129" s="12">
        <v>0</v>
      </c>
      <c r="H129" s="13">
        <v>7</v>
      </c>
      <c r="I129" s="14">
        <v>31.15</v>
      </c>
    </row>
    <row r="130" spans="1:9" ht="15" customHeight="1" x14ac:dyDescent="0.2">
      <c r="A130" t="s">
        <v>477</v>
      </c>
      <c r="B130" t="str">
        <f>IFERROR(VLOOKUP(A130,品种目录!$B$2:$D$919,3,0),"其他")</f>
        <v>其他</v>
      </c>
      <c r="C130" s="11">
        <f t="shared" si="1"/>
        <v>1.2</v>
      </c>
      <c r="D130" s="12">
        <v>0</v>
      </c>
      <c r="E130" s="12">
        <v>0</v>
      </c>
      <c r="F130" s="12">
        <v>3.8</v>
      </c>
      <c r="G130" s="12">
        <v>0</v>
      </c>
      <c r="H130" s="13">
        <v>3.8</v>
      </c>
      <c r="I130" s="14">
        <v>4.5599999999999996</v>
      </c>
    </row>
    <row r="131" spans="1:9" ht="15" customHeight="1" x14ac:dyDescent="0.2">
      <c r="A131" t="s">
        <v>476</v>
      </c>
      <c r="B131" t="str">
        <f>IFERROR(VLOOKUP(A131,品种目录!$B$2:$D$919,3,0),"其他")</f>
        <v>根菜类</v>
      </c>
      <c r="C131" s="11">
        <f t="shared" ref="C131:C152" si="2">I131/H131</f>
        <v>2.3872727272727272</v>
      </c>
      <c r="D131" s="12">
        <v>0</v>
      </c>
      <c r="E131" s="12">
        <v>11</v>
      </c>
      <c r="F131" s="12">
        <v>0</v>
      </c>
      <c r="G131" s="12">
        <v>0</v>
      </c>
      <c r="H131" s="13">
        <v>11</v>
      </c>
      <c r="I131" s="14">
        <v>26.259999999999998</v>
      </c>
    </row>
    <row r="132" spans="1:9" ht="15" customHeight="1" x14ac:dyDescent="0.2">
      <c r="A132" t="s">
        <v>478</v>
      </c>
      <c r="B132" t="str">
        <f>IFERROR(VLOOKUP(A132,品种目录!$B$2:$D$919,3,0),"其他")</f>
        <v>食用菌</v>
      </c>
      <c r="C132" s="11">
        <f t="shared" si="2"/>
        <v>3.3570175438596497</v>
      </c>
      <c r="D132" s="12">
        <v>0</v>
      </c>
      <c r="E132" s="12">
        <v>173</v>
      </c>
      <c r="F132" s="12">
        <v>55</v>
      </c>
      <c r="G132" s="12">
        <v>0</v>
      </c>
      <c r="H132" s="13">
        <v>228</v>
      </c>
      <c r="I132" s="14">
        <v>765.40000000000009</v>
      </c>
    </row>
    <row r="133" spans="1:9" ht="15" customHeight="1" x14ac:dyDescent="0.2">
      <c r="A133" t="s">
        <v>479</v>
      </c>
      <c r="B133" t="str">
        <f>IFERROR(VLOOKUP(A133,品种目录!$B$2:$D$919,3,0),"其他")</f>
        <v>食用菌</v>
      </c>
      <c r="C133" s="11">
        <f t="shared" si="2"/>
        <v>2.3321839080459772</v>
      </c>
      <c r="D133" s="12">
        <v>0</v>
      </c>
      <c r="E133" s="12">
        <v>0</v>
      </c>
      <c r="F133" s="12">
        <v>55</v>
      </c>
      <c r="G133" s="12">
        <v>380</v>
      </c>
      <c r="H133" s="13">
        <v>435</v>
      </c>
      <c r="I133" s="14">
        <v>1014.5</v>
      </c>
    </row>
    <row r="134" spans="1:9" ht="15" customHeight="1" x14ac:dyDescent="0.2">
      <c r="A134" t="s">
        <v>115</v>
      </c>
      <c r="B134" t="str">
        <f>IFERROR(VLOOKUP(A134,品种目录!$B$2:$D$919,3,0),"其他")</f>
        <v>芥菜类</v>
      </c>
      <c r="C134" s="11">
        <f t="shared" si="2"/>
        <v>2.0499999999999998</v>
      </c>
      <c r="D134" s="12">
        <v>80</v>
      </c>
      <c r="E134" s="12">
        <v>19</v>
      </c>
      <c r="F134" s="12">
        <v>64</v>
      </c>
      <c r="G134" s="12">
        <v>0</v>
      </c>
      <c r="H134" s="13">
        <v>163</v>
      </c>
      <c r="I134" s="14">
        <v>334.15</v>
      </c>
    </row>
    <row r="135" spans="1:9" ht="15" customHeight="1" x14ac:dyDescent="0.2">
      <c r="A135" t="s">
        <v>480</v>
      </c>
      <c r="B135" t="str">
        <f>IFERROR(VLOOKUP(A135,品种目录!$B$2:$D$919,3,0),"其他")</f>
        <v>葱蒜类</v>
      </c>
      <c r="C135" s="11">
        <f t="shared" si="2"/>
        <v>1</v>
      </c>
      <c r="D135" s="12">
        <v>0</v>
      </c>
      <c r="E135" s="12">
        <v>0</v>
      </c>
      <c r="F135" s="12">
        <v>2</v>
      </c>
      <c r="G135" s="12">
        <v>0</v>
      </c>
      <c r="H135" s="13">
        <v>2</v>
      </c>
      <c r="I135" s="14">
        <v>2</v>
      </c>
    </row>
    <row r="136" spans="1:9" ht="15" customHeight="1" x14ac:dyDescent="0.2">
      <c r="A136" t="s">
        <v>67</v>
      </c>
      <c r="B136" t="str">
        <f>IFERROR(VLOOKUP(A136,品种目录!$B$2:$D$919,3,0),"其他")</f>
        <v>根菜类</v>
      </c>
      <c r="C136" s="11">
        <f t="shared" si="2"/>
        <v>5.138127090301003</v>
      </c>
      <c r="D136" s="12">
        <v>0</v>
      </c>
      <c r="E136" s="12">
        <v>35.799999999999997</v>
      </c>
      <c r="F136" s="12">
        <v>24</v>
      </c>
      <c r="G136" s="12">
        <v>0</v>
      </c>
      <c r="H136" s="13">
        <v>59.8</v>
      </c>
      <c r="I136" s="14">
        <v>307.26</v>
      </c>
    </row>
    <row r="137" spans="1:9" ht="15" customHeight="1" x14ac:dyDescent="0.2">
      <c r="A137" t="s">
        <v>68</v>
      </c>
      <c r="B137" t="str">
        <f>IFERROR(VLOOKUP(A137,品种目录!$B$2:$D$919,3,0),"其他")</f>
        <v>白菜类</v>
      </c>
      <c r="C137" s="11">
        <f t="shared" si="2"/>
        <v>2.0493556347683026</v>
      </c>
      <c r="D137" s="12">
        <v>260</v>
      </c>
      <c r="E137" s="12">
        <v>2959</v>
      </c>
      <c r="F137" s="12">
        <v>108</v>
      </c>
      <c r="G137" s="12">
        <v>320</v>
      </c>
      <c r="H137" s="13">
        <v>3647</v>
      </c>
      <c r="I137" s="14">
        <v>7473.9999999999991</v>
      </c>
    </row>
    <row r="138" spans="1:9" ht="15" customHeight="1" x14ac:dyDescent="0.2">
      <c r="A138" t="s">
        <v>69</v>
      </c>
      <c r="B138" t="str">
        <f>IFERROR(VLOOKUP(A138,品种目录!$B$2:$D$919,3,0),"其他")</f>
        <v>叶菜类</v>
      </c>
      <c r="C138" s="11">
        <f t="shared" si="2"/>
        <v>1.8681455633100699</v>
      </c>
      <c r="D138" s="12">
        <v>244</v>
      </c>
      <c r="E138" s="12">
        <v>505</v>
      </c>
      <c r="F138" s="12">
        <v>170</v>
      </c>
      <c r="G138" s="12">
        <v>84</v>
      </c>
      <c r="H138" s="13">
        <v>1003</v>
      </c>
      <c r="I138" s="14">
        <v>1873.75</v>
      </c>
    </row>
    <row r="139" spans="1:9" ht="15" customHeight="1" x14ac:dyDescent="0.2">
      <c r="A139" t="s">
        <v>481</v>
      </c>
      <c r="B139" t="str">
        <f>IFERROR(VLOOKUP(A139,品种目录!$B$2:$D$919,3,0),"其他")</f>
        <v>其他</v>
      </c>
      <c r="C139" s="11">
        <f t="shared" si="2"/>
        <v>4.4249999999999998</v>
      </c>
      <c r="D139" s="12">
        <v>92</v>
      </c>
      <c r="E139" s="12">
        <v>308.5</v>
      </c>
      <c r="F139" s="12">
        <v>30</v>
      </c>
      <c r="G139" s="12">
        <v>52</v>
      </c>
      <c r="H139" s="13">
        <v>482.5</v>
      </c>
      <c r="I139" s="14">
        <v>2135.0625</v>
      </c>
    </row>
    <row r="140" spans="1:9" ht="15" customHeight="1" x14ac:dyDescent="0.2">
      <c r="A140" t="s">
        <v>482</v>
      </c>
      <c r="B140" t="str">
        <f>IFERROR(VLOOKUP(A140,品种目录!$B$2:$D$919,3,0),"其他")</f>
        <v>多年生及杂类蔬菜</v>
      </c>
      <c r="C140" s="11">
        <f t="shared" si="2"/>
        <v>1.5249999999999999</v>
      </c>
      <c r="D140" s="12">
        <v>0</v>
      </c>
      <c r="E140" s="12">
        <v>15</v>
      </c>
      <c r="F140" s="12">
        <v>0</v>
      </c>
      <c r="G140" s="12">
        <v>250</v>
      </c>
      <c r="H140" s="13">
        <v>265</v>
      </c>
      <c r="I140" s="14">
        <v>404.125</v>
      </c>
    </row>
    <row r="141" spans="1:9" ht="15" customHeight="1" x14ac:dyDescent="0.2">
      <c r="A141" t="s">
        <v>483</v>
      </c>
      <c r="B141" t="str">
        <f>IFERROR(VLOOKUP(A141,品种目录!$B$2:$D$919,3,0),"其他")</f>
        <v>多年生及杂类蔬菜</v>
      </c>
      <c r="C141" s="11">
        <f t="shared" si="2"/>
        <v>6.8500000000000005</v>
      </c>
      <c r="D141" s="12">
        <v>46</v>
      </c>
      <c r="E141" s="12">
        <v>228</v>
      </c>
      <c r="F141" s="12">
        <v>32.1</v>
      </c>
      <c r="G141" s="12">
        <v>66</v>
      </c>
      <c r="H141" s="13">
        <v>372.1</v>
      </c>
      <c r="I141" s="14">
        <v>2548.8850000000002</v>
      </c>
    </row>
    <row r="142" spans="1:9" ht="15" customHeight="1" x14ac:dyDescent="0.2">
      <c r="A142" t="s">
        <v>484</v>
      </c>
      <c r="B142" t="str">
        <f>IFERROR(VLOOKUP(A142,品种目录!$B$2:$D$919,3,0),"其他")</f>
        <v>薯芋类</v>
      </c>
      <c r="C142" s="11">
        <f t="shared" si="2"/>
        <v>3.0629441624365477</v>
      </c>
      <c r="D142" s="12">
        <v>0</v>
      </c>
      <c r="E142" s="12">
        <v>185</v>
      </c>
      <c r="F142" s="12">
        <v>2</v>
      </c>
      <c r="G142" s="12">
        <v>10</v>
      </c>
      <c r="H142" s="13">
        <v>197</v>
      </c>
      <c r="I142" s="14">
        <v>603.39999999999986</v>
      </c>
    </row>
    <row r="143" spans="1:9" ht="15" customHeight="1" x14ac:dyDescent="0.2">
      <c r="A143" t="s">
        <v>19</v>
      </c>
      <c r="B143" t="str">
        <f>IFERROR(VLOOKUP(A143,品种目录!$B$2:$D$919,3,0),"其他")</f>
        <v>甘蓝类</v>
      </c>
      <c r="C143" s="11">
        <f t="shared" si="2"/>
        <v>1.0046930342384888</v>
      </c>
      <c r="D143" s="12">
        <v>149.5</v>
      </c>
      <c r="E143" s="12">
        <v>870.5</v>
      </c>
      <c r="F143" s="12">
        <v>510</v>
      </c>
      <c r="G143" s="12">
        <v>164</v>
      </c>
      <c r="H143" s="13">
        <v>1694</v>
      </c>
      <c r="I143" s="14">
        <v>1701.9499999999998</v>
      </c>
    </row>
    <row r="144" spans="1:9" ht="15" customHeight="1" x14ac:dyDescent="0.2">
      <c r="A144" t="s">
        <v>485</v>
      </c>
      <c r="B144" t="str">
        <f>IFERROR(VLOOKUP(A144,品种目录!$B$2:$D$919,3,0),"其他")</f>
        <v>茄果类</v>
      </c>
      <c r="C144" s="11">
        <f t="shared" si="2"/>
        <v>1.6351851851851851</v>
      </c>
      <c r="D144" s="12">
        <v>90</v>
      </c>
      <c r="E144" s="12">
        <v>160</v>
      </c>
      <c r="F144" s="12">
        <v>100</v>
      </c>
      <c r="G144" s="12">
        <v>190</v>
      </c>
      <c r="H144" s="13">
        <v>540</v>
      </c>
      <c r="I144" s="14">
        <v>883</v>
      </c>
    </row>
    <row r="145" spans="1:9" ht="15" customHeight="1" x14ac:dyDescent="0.2">
      <c r="A145" t="s">
        <v>70</v>
      </c>
      <c r="B145" t="str">
        <f>IFERROR(VLOOKUP(A145,品种目录!$B$2:$D$919,3,0),"其他")</f>
        <v>叶菜类</v>
      </c>
      <c r="C145" s="11">
        <f t="shared" si="2"/>
        <v>1.7594235033259424</v>
      </c>
      <c r="D145" s="12">
        <v>207</v>
      </c>
      <c r="E145" s="12">
        <v>889</v>
      </c>
      <c r="F145" s="12">
        <v>163</v>
      </c>
      <c r="G145" s="12">
        <v>94</v>
      </c>
      <c r="H145" s="13">
        <v>1353</v>
      </c>
      <c r="I145" s="14">
        <v>2380.5</v>
      </c>
    </row>
    <row r="146" spans="1:9" ht="15" customHeight="1" x14ac:dyDescent="0.2">
      <c r="A146" t="s">
        <v>71</v>
      </c>
      <c r="B146" t="str">
        <f>IFERROR(VLOOKUP(A146,品种目录!$B$2:$D$919,3,0),"其他")</f>
        <v>其他</v>
      </c>
      <c r="C146" s="11">
        <f t="shared" si="2"/>
        <v>2.75</v>
      </c>
      <c r="D146" s="12">
        <v>0</v>
      </c>
      <c r="E146" s="12">
        <v>36</v>
      </c>
      <c r="F146" s="12">
        <v>0</v>
      </c>
      <c r="G146" s="12">
        <v>25</v>
      </c>
      <c r="H146" s="13">
        <v>61</v>
      </c>
      <c r="I146" s="14">
        <v>167.75</v>
      </c>
    </row>
    <row r="147" spans="1:9" ht="15" customHeight="1" x14ac:dyDescent="0.2">
      <c r="A147" t="s">
        <v>486</v>
      </c>
      <c r="B147" t="str">
        <f>IFERROR(VLOOKUP(A147,品种目录!$B$2:$D$919,3,0),"其他")</f>
        <v>薯芋类</v>
      </c>
      <c r="C147" s="11">
        <f t="shared" si="2"/>
        <v>1.7289999999999999</v>
      </c>
      <c r="D147" s="12">
        <v>0</v>
      </c>
      <c r="E147" s="12">
        <v>0</v>
      </c>
      <c r="F147" s="12">
        <v>5</v>
      </c>
      <c r="G147" s="12">
        <v>0</v>
      </c>
      <c r="H147" s="13">
        <v>5</v>
      </c>
      <c r="I147" s="14">
        <v>8.6449999999999996</v>
      </c>
    </row>
    <row r="148" spans="1:9" ht="15" customHeight="1" x14ac:dyDescent="0.2">
      <c r="A148" t="s">
        <v>20</v>
      </c>
      <c r="B148" t="str">
        <f>IFERROR(VLOOKUP(A148,品种目录!$B$2:$D$919,3,0),"其他")</f>
        <v>茄果类</v>
      </c>
      <c r="C148" s="11">
        <f t="shared" si="2"/>
        <v>1.2</v>
      </c>
      <c r="D148" s="12">
        <v>40</v>
      </c>
      <c r="E148" s="12">
        <v>446</v>
      </c>
      <c r="F148" s="12">
        <v>43</v>
      </c>
      <c r="G148" s="12">
        <v>220</v>
      </c>
      <c r="H148" s="13">
        <v>749</v>
      </c>
      <c r="I148" s="14">
        <v>898.8</v>
      </c>
    </row>
    <row r="149" spans="1:9" ht="15" customHeight="1" x14ac:dyDescent="0.2">
      <c r="A149" t="s">
        <v>487</v>
      </c>
      <c r="B149" t="str">
        <f>IFERROR(VLOOKUP(A149,品种目录!$B$2:$D$919,3,0),"其他")</f>
        <v>多年生及杂类蔬菜</v>
      </c>
      <c r="C149" s="11">
        <f t="shared" si="2"/>
        <v>5.574226804123712</v>
      </c>
      <c r="D149" s="12">
        <v>0</v>
      </c>
      <c r="E149" s="12">
        <v>194</v>
      </c>
      <c r="F149" s="12">
        <v>0</v>
      </c>
      <c r="G149" s="12">
        <v>0</v>
      </c>
      <c r="H149" s="13">
        <v>194</v>
      </c>
      <c r="I149" s="14">
        <v>1081.4000000000001</v>
      </c>
    </row>
    <row r="150" spans="1:9" ht="15" customHeight="1" x14ac:dyDescent="0.2">
      <c r="A150" t="s">
        <v>488</v>
      </c>
      <c r="B150" t="str">
        <f>IFERROR(VLOOKUP(A150,品种目录!$B$2:$D$919,3,0),"其他")</f>
        <v>甘蓝类</v>
      </c>
      <c r="C150" s="11">
        <f t="shared" si="2"/>
        <v>0.92002262443438909</v>
      </c>
      <c r="D150" s="12">
        <v>25</v>
      </c>
      <c r="E150" s="12">
        <v>161</v>
      </c>
      <c r="F150" s="12">
        <v>13</v>
      </c>
      <c r="G150" s="12">
        <v>22</v>
      </c>
      <c r="H150" s="13">
        <v>221</v>
      </c>
      <c r="I150" s="14">
        <v>203.32499999999999</v>
      </c>
    </row>
    <row r="151" spans="1:9" ht="15" customHeight="1" x14ac:dyDescent="0.2">
      <c r="A151" t="s">
        <v>72</v>
      </c>
      <c r="B151" t="str">
        <f>IFERROR(VLOOKUP(A151,品种目录!$B$2:$D$919,3,0),"其他")</f>
        <v>葱蒜类</v>
      </c>
      <c r="C151" s="11">
        <f t="shared" si="2"/>
        <v>1.3</v>
      </c>
      <c r="D151" s="12">
        <v>60</v>
      </c>
      <c r="E151" s="12">
        <v>22</v>
      </c>
      <c r="F151" s="12">
        <v>4</v>
      </c>
      <c r="G151" s="12">
        <v>0</v>
      </c>
      <c r="H151" s="13">
        <v>86</v>
      </c>
      <c r="I151" s="14">
        <v>111.80000000000001</v>
      </c>
    </row>
    <row r="152" spans="1:9" ht="15" customHeight="1" x14ac:dyDescent="0.2">
      <c r="A152" t="s">
        <v>73</v>
      </c>
      <c r="B152" t="str">
        <f>IFERROR(VLOOKUP(A152,品种目录!$B$2:$D$919,3,0),"其他")</f>
        <v>薯芋类</v>
      </c>
      <c r="C152" s="11">
        <f t="shared" si="2"/>
        <v>4.7892857142857146</v>
      </c>
      <c r="D152" s="12">
        <v>76</v>
      </c>
      <c r="E152" s="12">
        <v>174</v>
      </c>
      <c r="F152" s="12">
        <v>25</v>
      </c>
      <c r="G152" s="12">
        <v>5</v>
      </c>
      <c r="H152" s="13">
        <v>280</v>
      </c>
      <c r="I152" s="14">
        <v>1341</v>
      </c>
    </row>
  </sheetData>
  <sortState ref="A2:H163">
    <sortCondition ref="A3"/>
  </sortState>
  <dataConsolidate topLabels="1">
    <dataRefs count="4">
      <dataRef ref="A1:H106" sheet="第1周" r:id="rId1"/>
      <dataRef ref="A1:H147" sheet="第2周" r:id="rId2"/>
      <dataRef ref="A1:H98" sheet="第3周" r:id="rId3"/>
      <dataRef ref="A1:H114" sheet="第4周" r:id="rId4"/>
    </dataRefs>
  </dataConsolidate>
  <phoneticPr fontId="1" type="noConversion"/>
  <pageMargins left="0.7" right="0.7" top="0.75" bottom="0.75" header="0.3" footer="0.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919"/>
  <sheetViews>
    <sheetView workbookViewId="0">
      <selection activeCell="B8" sqref="B8"/>
    </sheetView>
  </sheetViews>
  <sheetFormatPr defaultRowHeight="14.25" x14ac:dyDescent="0.2"/>
  <cols>
    <col min="1" max="1" width="5.25" bestFit="1" customWidth="1"/>
    <col min="2" max="2" width="17.25" bestFit="1" customWidth="1"/>
    <col min="3" max="3" width="11" bestFit="1" customWidth="1"/>
    <col min="4" max="4" width="17.25" bestFit="1" customWidth="1"/>
  </cols>
  <sheetData>
    <row r="1" spans="1:4" x14ac:dyDescent="0.2">
      <c r="A1" t="s">
        <v>494</v>
      </c>
      <c r="B1" t="s">
        <v>489</v>
      </c>
      <c r="C1" t="s">
        <v>495</v>
      </c>
      <c r="D1" t="s">
        <v>493</v>
      </c>
    </row>
    <row r="2" spans="1:4" x14ac:dyDescent="0.2">
      <c r="A2" s="18" t="s">
        <v>1310</v>
      </c>
      <c r="B2" t="s">
        <v>445</v>
      </c>
      <c r="C2" t="s">
        <v>445</v>
      </c>
      <c r="D2" t="s">
        <v>496</v>
      </c>
    </row>
    <row r="3" spans="1:4" x14ac:dyDescent="0.2">
      <c r="A3" s="18" t="s">
        <v>1311</v>
      </c>
      <c r="B3" t="s">
        <v>476</v>
      </c>
      <c r="C3" t="s">
        <v>445</v>
      </c>
      <c r="D3" t="s">
        <v>496</v>
      </c>
    </row>
    <row r="4" spans="1:4" x14ac:dyDescent="0.2">
      <c r="A4" s="18" t="s">
        <v>1312</v>
      </c>
      <c r="B4" t="s">
        <v>0</v>
      </c>
      <c r="C4" t="s">
        <v>445</v>
      </c>
      <c r="D4" t="s">
        <v>496</v>
      </c>
    </row>
    <row r="5" spans="1:4" x14ac:dyDescent="0.2">
      <c r="A5" s="18" t="s">
        <v>1313</v>
      </c>
      <c r="B5" t="s">
        <v>497</v>
      </c>
      <c r="C5" t="s">
        <v>445</v>
      </c>
      <c r="D5" t="s">
        <v>496</v>
      </c>
    </row>
    <row r="6" spans="1:4" x14ac:dyDescent="0.2">
      <c r="A6" s="18" t="s">
        <v>1314</v>
      </c>
      <c r="B6" t="s">
        <v>498</v>
      </c>
      <c r="C6" t="s">
        <v>445</v>
      </c>
      <c r="D6" t="s">
        <v>496</v>
      </c>
    </row>
    <row r="7" spans="1:4" x14ac:dyDescent="0.2">
      <c r="A7" s="18" t="s">
        <v>1315</v>
      </c>
      <c r="B7" t="s">
        <v>499</v>
      </c>
      <c r="C7" t="s">
        <v>445</v>
      </c>
      <c r="D7" t="s">
        <v>496</v>
      </c>
    </row>
    <row r="8" spans="1:4" x14ac:dyDescent="0.2">
      <c r="A8" s="18" t="s">
        <v>1316</v>
      </c>
      <c r="B8" t="s">
        <v>6</v>
      </c>
      <c r="C8" t="s">
        <v>6</v>
      </c>
      <c r="D8" t="s">
        <v>496</v>
      </c>
    </row>
    <row r="9" spans="1:4" x14ac:dyDescent="0.2">
      <c r="A9" s="18" t="s">
        <v>1317</v>
      </c>
      <c r="B9" t="s">
        <v>500</v>
      </c>
      <c r="C9" t="s">
        <v>6</v>
      </c>
      <c r="D9" t="s">
        <v>496</v>
      </c>
    </row>
    <row r="10" spans="1:4" x14ac:dyDescent="0.2">
      <c r="A10" s="18" t="s">
        <v>1318</v>
      </c>
      <c r="B10" t="s">
        <v>501</v>
      </c>
      <c r="C10" t="s">
        <v>6</v>
      </c>
      <c r="D10" t="s">
        <v>496</v>
      </c>
    </row>
    <row r="11" spans="1:4" x14ac:dyDescent="0.2">
      <c r="A11" s="18" t="s">
        <v>1319</v>
      </c>
      <c r="B11" t="s">
        <v>502</v>
      </c>
      <c r="C11" t="s">
        <v>6</v>
      </c>
      <c r="D11" t="s">
        <v>496</v>
      </c>
    </row>
    <row r="12" spans="1:4" x14ac:dyDescent="0.2">
      <c r="A12" s="18" t="s">
        <v>1320</v>
      </c>
      <c r="B12" t="s">
        <v>67</v>
      </c>
      <c r="C12" t="s">
        <v>6</v>
      </c>
      <c r="D12" t="s">
        <v>496</v>
      </c>
    </row>
    <row r="13" spans="1:4" x14ac:dyDescent="0.2">
      <c r="A13" s="18" t="s">
        <v>1321</v>
      </c>
      <c r="B13" t="s">
        <v>503</v>
      </c>
      <c r="C13" t="s">
        <v>6</v>
      </c>
      <c r="D13" t="s">
        <v>496</v>
      </c>
    </row>
    <row r="14" spans="1:4" x14ac:dyDescent="0.2">
      <c r="A14" s="18" t="s">
        <v>1322</v>
      </c>
      <c r="B14" t="s">
        <v>504</v>
      </c>
      <c r="C14" t="s">
        <v>6</v>
      </c>
      <c r="D14" t="s">
        <v>496</v>
      </c>
    </row>
    <row r="15" spans="1:4" x14ac:dyDescent="0.2">
      <c r="A15" s="18" t="s">
        <v>1323</v>
      </c>
      <c r="B15" t="s">
        <v>505</v>
      </c>
      <c r="C15" t="s">
        <v>505</v>
      </c>
      <c r="D15" t="s">
        <v>496</v>
      </c>
    </row>
    <row r="16" spans="1:4" x14ac:dyDescent="0.2">
      <c r="A16" s="18" t="s">
        <v>1324</v>
      </c>
      <c r="B16" t="s">
        <v>506</v>
      </c>
      <c r="C16" t="s">
        <v>505</v>
      </c>
      <c r="D16" t="s">
        <v>496</v>
      </c>
    </row>
    <row r="17" spans="1:4" x14ac:dyDescent="0.2">
      <c r="A17" s="18" t="s">
        <v>1325</v>
      </c>
      <c r="B17" t="s">
        <v>507</v>
      </c>
      <c r="C17" t="s">
        <v>505</v>
      </c>
      <c r="D17" t="s">
        <v>496</v>
      </c>
    </row>
    <row r="18" spans="1:4" x14ac:dyDescent="0.2">
      <c r="A18" s="18" t="s">
        <v>1326</v>
      </c>
      <c r="B18" t="s">
        <v>508</v>
      </c>
      <c r="C18" t="s">
        <v>505</v>
      </c>
      <c r="D18" t="s">
        <v>496</v>
      </c>
    </row>
    <row r="19" spans="1:4" x14ac:dyDescent="0.2">
      <c r="A19" s="18" t="s">
        <v>1327</v>
      </c>
      <c r="B19" t="s">
        <v>509</v>
      </c>
      <c r="C19" t="s">
        <v>509</v>
      </c>
      <c r="D19" t="s">
        <v>496</v>
      </c>
    </row>
    <row r="20" spans="1:4" x14ac:dyDescent="0.2">
      <c r="A20" s="18" t="s">
        <v>1328</v>
      </c>
      <c r="B20" t="s">
        <v>510</v>
      </c>
      <c r="C20" t="s">
        <v>509</v>
      </c>
      <c r="D20" t="s">
        <v>496</v>
      </c>
    </row>
    <row r="21" spans="1:4" x14ac:dyDescent="0.2">
      <c r="A21" s="18" t="s">
        <v>1329</v>
      </c>
      <c r="B21" t="s">
        <v>511</v>
      </c>
      <c r="C21" t="s">
        <v>509</v>
      </c>
      <c r="D21" t="s">
        <v>496</v>
      </c>
    </row>
    <row r="22" spans="1:4" x14ac:dyDescent="0.2">
      <c r="A22" s="18" t="s">
        <v>1330</v>
      </c>
      <c r="B22" t="s">
        <v>512</v>
      </c>
      <c r="C22" t="s">
        <v>509</v>
      </c>
      <c r="D22" t="s">
        <v>496</v>
      </c>
    </row>
    <row r="23" spans="1:4" x14ac:dyDescent="0.2">
      <c r="A23" s="18" t="s">
        <v>1331</v>
      </c>
      <c r="B23" t="s">
        <v>513</v>
      </c>
      <c r="C23" t="s">
        <v>513</v>
      </c>
      <c r="D23" t="s">
        <v>496</v>
      </c>
    </row>
    <row r="24" spans="1:4" x14ac:dyDescent="0.2">
      <c r="A24" s="18" t="s">
        <v>1332</v>
      </c>
      <c r="B24" t="s">
        <v>514</v>
      </c>
      <c r="C24" t="s">
        <v>513</v>
      </c>
      <c r="D24" t="s">
        <v>496</v>
      </c>
    </row>
    <row r="25" spans="1:4" x14ac:dyDescent="0.2">
      <c r="A25" s="18" t="s">
        <v>1333</v>
      </c>
      <c r="B25" t="s">
        <v>515</v>
      </c>
      <c r="C25" t="s">
        <v>513</v>
      </c>
      <c r="D25" t="s">
        <v>496</v>
      </c>
    </row>
    <row r="26" spans="1:4" x14ac:dyDescent="0.2">
      <c r="A26" s="18" t="s">
        <v>1334</v>
      </c>
      <c r="B26" t="s">
        <v>516</v>
      </c>
      <c r="C26" t="s">
        <v>516</v>
      </c>
      <c r="D26" t="s">
        <v>496</v>
      </c>
    </row>
    <row r="27" spans="1:4" x14ac:dyDescent="0.2">
      <c r="A27" s="18" t="s">
        <v>1335</v>
      </c>
      <c r="B27" t="s">
        <v>517</v>
      </c>
      <c r="C27" t="s">
        <v>516</v>
      </c>
      <c r="D27" t="s">
        <v>496</v>
      </c>
    </row>
    <row r="28" spans="1:4" x14ac:dyDescent="0.2">
      <c r="A28" s="18" t="s">
        <v>1336</v>
      </c>
      <c r="B28" t="s">
        <v>518</v>
      </c>
      <c r="C28" t="s">
        <v>516</v>
      </c>
      <c r="D28" t="s">
        <v>496</v>
      </c>
    </row>
    <row r="29" spans="1:4" x14ac:dyDescent="0.2">
      <c r="A29" s="18" t="s">
        <v>1337</v>
      </c>
      <c r="B29" t="s">
        <v>519</v>
      </c>
      <c r="C29" t="s">
        <v>519</v>
      </c>
      <c r="D29" t="s">
        <v>496</v>
      </c>
    </row>
    <row r="30" spans="1:4" x14ac:dyDescent="0.2">
      <c r="A30" s="18" t="s">
        <v>1338</v>
      </c>
      <c r="B30" t="s">
        <v>520</v>
      </c>
      <c r="C30" t="s">
        <v>519</v>
      </c>
      <c r="D30" t="s">
        <v>496</v>
      </c>
    </row>
    <row r="31" spans="1:4" x14ac:dyDescent="0.2">
      <c r="A31" s="18" t="s">
        <v>1339</v>
      </c>
      <c r="B31" t="s">
        <v>521</v>
      </c>
      <c r="C31" t="s">
        <v>519</v>
      </c>
      <c r="D31" t="s">
        <v>496</v>
      </c>
    </row>
    <row r="32" spans="1:4" x14ac:dyDescent="0.2">
      <c r="A32" s="18" t="s">
        <v>1340</v>
      </c>
      <c r="B32" t="s">
        <v>522</v>
      </c>
      <c r="C32" t="s">
        <v>519</v>
      </c>
      <c r="D32" t="s">
        <v>496</v>
      </c>
    </row>
    <row r="33" spans="1:4" x14ac:dyDescent="0.2">
      <c r="A33" s="18" t="s">
        <v>1341</v>
      </c>
      <c r="B33" t="s">
        <v>523</v>
      </c>
      <c r="C33" t="s">
        <v>523</v>
      </c>
      <c r="D33" t="s">
        <v>496</v>
      </c>
    </row>
    <row r="34" spans="1:4" x14ac:dyDescent="0.2">
      <c r="A34" s="18" t="s">
        <v>1342</v>
      </c>
      <c r="B34" t="s">
        <v>524</v>
      </c>
      <c r="C34" t="s">
        <v>523</v>
      </c>
      <c r="D34" t="s">
        <v>496</v>
      </c>
    </row>
    <row r="35" spans="1:4" x14ac:dyDescent="0.2">
      <c r="A35" s="18" t="s">
        <v>1343</v>
      </c>
      <c r="B35" t="s">
        <v>525</v>
      </c>
      <c r="C35" t="s">
        <v>523</v>
      </c>
      <c r="D35" t="s">
        <v>496</v>
      </c>
    </row>
    <row r="36" spans="1:4" x14ac:dyDescent="0.2">
      <c r="A36" s="18" t="s">
        <v>1344</v>
      </c>
      <c r="B36" t="s">
        <v>526</v>
      </c>
      <c r="C36" t="s">
        <v>526</v>
      </c>
      <c r="D36" t="s">
        <v>496</v>
      </c>
    </row>
    <row r="37" spans="1:4" x14ac:dyDescent="0.2">
      <c r="A37" s="18" t="s">
        <v>1345</v>
      </c>
      <c r="B37" t="s">
        <v>527</v>
      </c>
      <c r="C37" t="s">
        <v>526</v>
      </c>
      <c r="D37" t="s">
        <v>496</v>
      </c>
    </row>
    <row r="38" spans="1:4" x14ac:dyDescent="0.2">
      <c r="A38" s="18" t="s">
        <v>1346</v>
      </c>
      <c r="B38" t="s">
        <v>528</v>
      </c>
      <c r="C38" t="s">
        <v>526</v>
      </c>
      <c r="D38" t="s">
        <v>496</v>
      </c>
    </row>
    <row r="39" spans="1:4" x14ac:dyDescent="0.2">
      <c r="A39" s="18" t="s">
        <v>1347</v>
      </c>
      <c r="B39" t="s">
        <v>529</v>
      </c>
      <c r="C39" t="s">
        <v>529</v>
      </c>
      <c r="D39" t="s">
        <v>496</v>
      </c>
    </row>
    <row r="40" spans="1:4" x14ac:dyDescent="0.2">
      <c r="A40" s="18" t="s">
        <v>1348</v>
      </c>
      <c r="B40" t="s">
        <v>530</v>
      </c>
      <c r="C40" t="s">
        <v>530</v>
      </c>
      <c r="D40" t="s">
        <v>496</v>
      </c>
    </row>
    <row r="41" spans="1:4" x14ac:dyDescent="0.2">
      <c r="A41" s="18" t="s">
        <v>1349</v>
      </c>
      <c r="B41" t="s">
        <v>531</v>
      </c>
      <c r="C41" t="s">
        <v>530</v>
      </c>
      <c r="D41" t="s">
        <v>496</v>
      </c>
    </row>
    <row r="42" spans="1:4" x14ac:dyDescent="0.2">
      <c r="A42" s="18" t="s">
        <v>1350</v>
      </c>
      <c r="B42" t="s">
        <v>532</v>
      </c>
      <c r="C42" t="s">
        <v>530</v>
      </c>
      <c r="D42" t="s">
        <v>496</v>
      </c>
    </row>
    <row r="43" spans="1:4" x14ac:dyDescent="0.2">
      <c r="A43" s="18" t="s">
        <v>1351</v>
      </c>
      <c r="B43" t="s">
        <v>533</v>
      </c>
      <c r="C43" t="s">
        <v>533</v>
      </c>
      <c r="D43" t="s">
        <v>534</v>
      </c>
    </row>
    <row r="44" spans="1:4" x14ac:dyDescent="0.2">
      <c r="A44" s="18" t="s">
        <v>1352</v>
      </c>
      <c r="B44" t="s">
        <v>14</v>
      </c>
      <c r="C44" t="s">
        <v>533</v>
      </c>
      <c r="D44" t="s">
        <v>534</v>
      </c>
    </row>
    <row r="45" spans="1:4" x14ac:dyDescent="0.2">
      <c r="A45" s="18" t="s">
        <v>1353</v>
      </c>
      <c r="B45" t="s">
        <v>535</v>
      </c>
      <c r="C45" t="s">
        <v>533</v>
      </c>
      <c r="D45" t="s">
        <v>534</v>
      </c>
    </row>
    <row r="46" spans="1:4" x14ac:dyDescent="0.2">
      <c r="A46" s="18" t="s">
        <v>1354</v>
      </c>
      <c r="B46" t="s">
        <v>536</v>
      </c>
      <c r="C46" t="s">
        <v>533</v>
      </c>
      <c r="D46" t="s">
        <v>534</v>
      </c>
    </row>
    <row r="47" spans="1:4" x14ac:dyDescent="0.2">
      <c r="A47" s="18" t="s">
        <v>1355</v>
      </c>
      <c r="B47" t="s">
        <v>537</v>
      </c>
      <c r="C47" t="s">
        <v>533</v>
      </c>
      <c r="D47" t="s">
        <v>534</v>
      </c>
    </row>
    <row r="48" spans="1:4" x14ac:dyDescent="0.2">
      <c r="A48" s="18" t="s">
        <v>1356</v>
      </c>
      <c r="B48" t="s">
        <v>538</v>
      </c>
      <c r="C48" t="s">
        <v>533</v>
      </c>
      <c r="D48" t="s">
        <v>534</v>
      </c>
    </row>
    <row r="49" spans="1:4" x14ac:dyDescent="0.2">
      <c r="A49" s="18" t="s">
        <v>1357</v>
      </c>
      <c r="B49" t="s">
        <v>539</v>
      </c>
      <c r="C49" t="s">
        <v>533</v>
      </c>
      <c r="D49" t="s">
        <v>534</v>
      </c>
    </row>
    <row r="50" spans="1:4" x14ac:dyDescent="0.2">
      <c r="A50" s="18" t="s">
        <v>1358</v>
      </c>
      <c r="B50" t="s">
        <v>540</v>
      </c>
      <c r="C50" t="s">
        <v>540</v>
      </c>
      <c r="D50" t="s">
        <v>534</v>
      </c>
    </row>
    <row r="51" spans="1:4" x14ac:dyDescent="0.2">
      <c r="A51" s="18" t="s">
        <v>1359</v>
      </c>
      <c r="B51" t="s">
        <v>56</v>
      </c>
      <c r="C51" t="s">
        <v>540</v>
      </c>
      <c r="D51" t="s">
        <v>534</v>
      </c>
    </row>
    <row r="52" spans="1:4" x14ac:dyDescent="0.2">
      <c r="A52" s="18" t="s">
        <v>1360</v>
      </c>
      <c r="B52" t="s">
        <v>541</v>
      </c>
      <c r="C52" t="s">
        <v>540</v>
      </c>
      <c r="D52" t="s">
        <v>534</v>
      </c>
    </row>
    <row r="53" spans="1:4" x14ac:dyDescent="0.2">
      <c r="A53" s="18" t="s">
        <v>1361</v>
      </c>
      <c r="B53" t="s">
        <v>542</v>
      </c>
      <c r="C53" t="s">
        <v>542</v>
      </c>
      <c r="D53" t="s">
        <v>534</v>
      </c>
    </row>
    <row r="54" spans="1:4" x14ac:dyDescent="0.2">
      <c r="A54" s="18" t="s">
        <v>1362</v>
      </c>
      <c r="B54" t="s">
        <v>484</v>
      </c>
      <c r="C54" t="s">
        <v>542</v>
      </c>
      <c r="D54" t="s">
        <v>534</v>
      </c>
    </row>
    <row r="55" spans="1:4" x14ac:dyDescent="0.2">
      <c r="A55" s="18" t="s">
        <v>1363</v>
      </c>
      <c r="B55" t="s">
        <v>543</v>
      </c>
      <c r="C55" t="s">
        <v>542</v>
      </c>
      <c r="D55" t="s">
        <v>534</v>
      </c>
    </row>
    <row r="56" spans="1:4" x14ac:dyDescent="0.2">
      <c r="A56" s="18" t="s">
        <v>1364</v>
      </c>
      <c r="B56" t="s">
        <v>544</v>
      </c>
      <c r="C56" t="s">
        <v>542</v>
      </c>
      <c r="D56" t="s">
        <v>534</v>
      </c>
    </row>
    <row r="57" spans="1:4" x14ac:dyDescent="0.2">
      <c r="A57" s="18" t="s">
        <v>1365</v>
      </c>
      <c r="B57" t="s">
        <v>545</v>
      </c>
      <c r="C57" t="s">
        <v>447</v>
      </c>
      <c r="D57" t="s">
        <v>534</v>
      </c>
    </row>
    <row r="58" spans="1:4" x14ac:dyDescent="0.2">
      <c r="A58" s="18" t="s">
        <v>1366</v>
      </c>
      <c r="B58" t="s">
        <v>546</v>
      </c>
      <c r="C58" t="s">
        <v>447</v>
      </c>
      <c r="D58" t="s">
        <v>534</v>
      </c>
    </row>
    <row r="59" spans="1:4" x14ac:dyDescent="0.2">
      <c r="A59" s="18" t="s">
        <v>1367</v>
      </c>
      <c r="B59" t="s">
        <v>55</v>
      </c>
      <c r="C59" t="s">
        <v>55</v>
      </c>
      <c r="D59" t="s">
        <v>534</v>
      </c>
    </row>
    <row r="60" spans="1:4" x14ac:dyDescent="0.2">
      <c r="A60" s="18" t="s">
        <v>1368</v>
      </c>
      <c r="B60" t="s">
        <v>486</v>
      </c>
      <c r="C60" t="s">
        <v>55</v>
      </c>
      <c r="D60" t="s">
        <v>534</v>
      </c>
    </row>
    <row r="61" spans="1:4" x14ac:dyDescent="0.2">
      <c r="A61" s="18" t="s">
        <v>1369</v>
      </c>
      <c r="B61" t="s">
        <v>464</v>
      </c>
      <c r="C61" t="s">
        <v>55</v>
      </c>
      <c r="D61" t="s">
        <v>534</v>
      </c>
    </row>
    <row r="62" spans="1:4" x14ac:dyDescent="0.2">
      <c r="A62" s="18" t="s">
        <v>1370</v>
      </c>
      <c r="B62" t="s">
        <v>421</v>
      </c>
      <c r="C62" t="s">
        <v>55</v>
      </c>
      <c r="D62" t="s">
        <v>534</v>
      </c>
    </row>
    <row r="63" spans="1:4" x14ac:dyDescent="0.2">
      <c r="A63" s="18" t="s">
        <v>1371</v>
      </c>
      <c r="B63" t="s">
        <v>547</v>
      </c>
      <c r="C63" t="s">
        <v>55</v>
      </c>
      <c r="D63" t="s">
        <v>534</v>
      </c>
    </row>
    <row r="64" spans="1:4" x14ac:dyDescent="0.2">
      <c r="A64" s="18" t="s">
        <v>1372</v>
      </c>
      <c r="B64" t="s">
        <v>548</v>
      </c>
      <c r="C64" t="s">
        <v>55</v>
      </c>
      <c r="D64" t="s">
        <v>534</v>
      </c>
    </row>
    <row r="65" spans="1:4" x14ac:dyDescent="0.2">
      <c r="A65" s="18" t="s">
        <v>1373</v>
      </c>
      <c r="B65" t="s">
        <v>549</v>
      </c>
      <c r="C65" t="s">
        <v>55</v>
      </c>
      <c r="D65" t="s">
        <v>534</v>
      </c>
    </row>
    <row r="66" spans="1:4" x14ac:dyDescent="0.2">
      <c r="A66" s="18" t="s">
        <v>1374</v>
      </c>
      <c r="B66" t="s">
        <v>550</v>
      </c>
      <c r="C66" t="s">
        <v>55</v>
      </c>
      <c r="D66" t="s">
        <v>534</v>
      </c>
    </row>
    <row r="67" spans="1:4" x14ac:dyDescent="0.2">
      <c r="A67" s="18" t="s">
        <v>1375</v>
      </c>
      <c r="B67" t="s">
        <v>551</v>
      </c>
      <c r="C67" t="s">
        <v>55</v>
      </c>
      <c r="D67" t="s">
        <v>534</v>
      </c>
    </row>
    <row r="68" spans="1:4" x14ac:dyDescent="0.2">
      <c r="A68" s="18" t="s">
        <v>1376</v>
      </c>
      <c r="B68" t="s">
        <v>552</v>
      </c>
      <c r="C68" t="s">
        <v>55</v>
      </c>
      <c r="D68" t="s">
        <v>534</v>
      </c>
    </row>
    <row r="69" spans="1:4" x14ac:dyDescent="0.2">
      <c r="A69" s="18" t="s">
        <v>1377</v>
      </c>
      <c r="B69" t="s">
        <v>553</v>
      </c>
      <c r="C69" t="s">
        <v>553</v>
      </c>
      <c r="D69" t="s">
        <v>534</v>
      </c>
    </row>
    <row r="70" spans="1:4" x14ac:dyDescent="0.2">
      <c r="A70" s="18" t="s">
        <v>1378</v>
      </c>
      <c r="B70" t="s">
        <v>73</v>
      </c>
      <c r="C70" t="s">
        <v>553</v>
      </c>
      <c r="D70" t="s">
        <v>534</v>
      </c>
    </row>
    <row r="71" spans="1:4" x14ac:dyDescent="0.2">
      <c r="A71" s="18" t="s">
        <v>1379</v>
      </c>
      <c r="B71" t="s">
        <v>34</v>
      </c>
      <c r="C71" t="s">
        <v>553</v>
      </c>
      <c r="D71" t="s">
        <v>534</v>
      </c>
    </row>
    <row r="72" spans="1:4" x14ac:dyDescent="0.2">
      <c r="A72" s="18" t="s">
        <v>1380</v>
      </c>
      <c r="B72" t="s">
        <v>554</v>
      </c>
      <c r="C72" t="s">
        <v>553</v>
      </c>
      <c r="D72" t="s">
        <v>534</v>
      </c>
    </row>
    <row r="73" spans="1:4" x14ac:dyDescent="0.2">
      <c r="A73" s="18" t="s">
        <v>1381</v>
      </c>
      <c r="B73" t="s">
        <v>555</v>
      </c>
      <c r="C73" t="s">
        <v>553</v>
      </c>
      <c r="D73" t="s">
        <v>534</v>
      </c>
    </row>
    <row r="74" spans="1:4" x14ac:dyDescent="0.2">
      <c r="A74" s="18" t="s">
        <v>1382</v>
      </c>
      <c r="B74" t="s">
        <v>556</v>
      </c>
      <c r="C74" t="s">
        <v>553</v>
      </c>
      <c r="D74" t="s">
        <v>534</v>
      </c>
    </row>
    <row r="75" spans="1:4" x14ac:dyDescent="0.2">
      <c r="A75" s="18" t="s">
        <v>1383</v>
      </c>
      <c r="B75" t="s">
        <v>557</v>
      </c>
      <c r="C75" t="s">
        <v>557</v>
      </c>
      <c r="D75" t="s">
        <v>534</v>
      </c>
    </row>
    <row r="76" spans="1:4" x14ac:dyDescent="0.2">
      <c r="A76" s="18" t="s">
        <v>1384</v>
      </c>
      <c r="B76" t="s">
        <v>558</v>
      </c>
      <c r="C76" t="s">
        <v>557</v>
      </c>
      <c r="D76" t="s">
        <v>534</v>
      </c>
    </row>
    <row r="77" spans="1:4" x14ac:dyDescent="0.2">
      <c r="A77" s="18" t="s">
        <v>1385</v>
      </c>
      <c r="B77" t="s">
        <v>559</v>
      </c>
      <c r="C77" t="s">
        <v>557</v>
      </c>
      <c r="D77" t="s">
        <v>534</v>
      </c>
    </row>
    <row r="78" spans="1:4" x14ac:dyDescent="0.2">
      <c r="A78" s="18" t="s">
        <v>1386</v>
      </c>
      <c r="B78" t="s">
        <v>560</v>
      </c>
      <c r="C78" t="s">
        <v>557</v>
      </c>
      <c r="D78" t="s">
        <v>534</v>
      </c>
    </row>
    <row r="79" spans="1:4" x14ac:dyDescent="0.2">
      <c r="A79" s="18" t="s">
        <v>1387</v>
      </c>
      <c r="B79" t="s">
        <v>561</v>
      </c>
      <c r="C79" t="s">
        <v>561</v>
      </c>
      <c r="D79" t="s">
        <v>534</v>
      </c>
    </row>
    <row r="80" spans="1:4" x14ac:dyDescent="0.2">
      <c r="A80" s="18" t="s">
        <v>1388</v>
      </c>
      <c r="B80" t="s">
        <v>562</v>
      </c>
      <c r="C80" t="s">
        <v>562</v>
      </c>
      <c r="D80" t="s">
        <v>534</v>
      </c>
    </row>
    <row r="81" spans="1:4" x14ac:dyDescent="0.2">
      <c r="A81" s="18" t="s">
        <v>1389</v>
      </c>
      <c r="B81" t="s">
        <v>563</v>
      </c>
      <c r="C81" t="s">
        <v>562</v>
      </c>
      <c r="D81" t="s">
        <v>534</v>
      </c>
    </row>
    <row r="82" spans="1:4" x14ac:dyDescent="0.2">
      <c r="A82" s="18" t="s">
        <v>1390</v>
      </c>
      <c r="B82" t="s">
        <v>564</v>
      </c>
      <c r="C82" t="s">
        <v>562</v>
      </c>
      <c r="D82" t="s">
        <v>534</v>
      </c>
    </row>
    <row r="83" spans="1:4" x14ac:dyDescent="0.2">
      <c r="A83" s="18" t="s">
        <v>1391</v>
      </c>
      <c r="B83" t="s">
        <v>565</v>
      </c>
      <c r="C83" t="s">
        <v>565</v>
      </c>
      <c r="D83" t="s">
        <v>534</v>
      </c>
    </row>
    <row r="84" spans="1:4" x14ac:dyDescent="0.2">
      <c r="A84" s="18" t="s">
        <v>1392</v>
      </c>
      <c r="B84" t="s">
        <v>566</v>
      </c>
      <c r="C84" t="s">
        <v>565</v>
      </c>
      <c r="D84" t="s">
        <v>534</v>
      </c>
    </row>
    <row r="85" spans="1:4" x14ac:dyDescent="0.2">
      <c r="A85" s="18" t="s">
        <v>1393</v>
      </c>
      <c r="B85" t="s">
        <v>567</v>
      </c>
      <c r="C85" t="s">
        <v>565</v>
      </c>
      <c r="D85" t="s">
        <v>534</v>
      </c>
    </row>
    <row r="86" spans="1:4" x14ac:dyDescent="0.2">
      <c r="A86" s="18" t="s">
        <v>1394</v>
      </c>
      <c r="B86" t="s">
        <v>568</v>
      </c>
      <c r="C86" t="s">
        <v>569</v>
      </c>
      <c r="D86" t="s">
        <v>534</v>
      </c>
    </row>
    <row r="87" spans="1:4" x14ac:dyDescent="0.2">
      <c r="A87" s="18" t="s">
        <v>1395</v>
      </c>
      <c r="B87" t="s">
        <v>570</v>
      </c>
      <c r="C87" t="s">
        <v>569</v>
      </c>
      <c r="D87" t="s">
        <v>534</v>
      </c>
    </row>
    <row r="88" spans="1:4" x14ac:dyDescent="0.2">
      <c r="A88" s="18" t="s">
        <v>1396</v>
      </c>
      <c r="B88" t="s">
        <v>569</v>
      </c>
      <c r="C88" t="s">
        <v>569</v>
      </c>
      <c r="D88" t="s">
        <v>534</v>
      </c>
    </row>
    <row r="89" spans="1:4" x14ac:dyDescent="0.2">
      <c r="A89" s="18" t="s">
        <v>1397</v>
      </c>
      <c r="B89" t="s">
        <v>571</v>
      </c>
      <c r="C89" t="s">
        <v>569</v>
      </c>
      <c r="D89" t="s">
        <v>534</v>
      </c>
    </row>
    <row r="90" spans="1:4" x14ac:dyDescent="0.2">
      <c r="A90" s="18" t="s">
        <v>1398</v>
      </c>
      <c r="B90" t="s">
        <v>572</v>
      </c>
      <c r="C90" t="s">
        <v>569</v>
      </c>
      <c r="D90" t="s">
        <v>534</v>
      </c>
    </row>
    <row r="91" spans="1:4" x14ac:dyDescent="0.2">
      <c r="A91" s="18" t="s">
        <v>1399</v>
      </c>
      <c r="B91" t="s">
        <v>573</v>
      </c>
      <c r="C91" t="s">
        <v>573</v>
      </c>
      <c r="D91" t="s">
        <v>534</v>
      </c>
    </row>
    <row r="92" spans="1:4" x14ac:dyDescent="0.2">
      <c r="A92" s="18" t="s">
        <v>1400</v>
      </c>
      <c r="B92" t="s">
        <v>574</v>
      </c>
      <c r="C92" t="s">
        <v>573</v>
      </c>
      <c r="D92" t="s">
        <v>534</v>
      </c>
    </row>
    <row r="93" spans="1:4" x14ac:dyDescent="0.2">
      <c r="A93" s="18" t="s">
        <v>1401</v>
      </c>
      <c r="B93" t="s">
        <v>575</v>
      </c>
      <c r="C93" t="s">
        <v>573</v>
      </c>
      <c r="D93" t="s">
        <v>534</v>
      </c>
    </row>
    <row r="94" spans="1:4" x14ac:dyDescent="0.2">
      <c r="A94" s="18" t="s">
        <v>1402</v>
      </c>
      <c r="B94" t="s">
        <v>576</v>
      </c>
      <c r="C94" t="s">
        <v>573</v>
      </c>
      <c r="D94" t="s">
        <v>534</v>
      </c>
    </row>
    <row r="95" spans="1:4" x14ac:dyDescent="0.2">
      <c r="A95" s="18" t="s">
        <v>1403</v>
      </c>
      <c r="B95" t="s">
        <v>577</v>
      </c>
      <c r="C95" t="s">
        <v>573</v>
      </c>
      <c r="D95" t="s">
        <v>534</v>
      </c>
    </row>
    <row r="96" spans="1:4" x14ac:dyDescent="0.2">
      <c r="A96" s="18" t="s">
        <v>1404</v>
      </c>
      <c r="B96" t="s">
        <v>578</v>
      </c>
      <c r="C96" t="s">
        <v>579</v>
      </c>
      <c r="D96" t="s">
        <v>580</v>
      </c>
    </row>
    <row r="97" spans="1:4" x14ac:dyDescent="0.2">
      <c r="A97" s="18" t="s">
        <v>1405</v>
      </c>
      <c r="B97" t="s">
        <v>581</v>
      </c>
      <c r="C97" t="s">
        <v>579</v>
      </c>
      <c r="D97" t="s">
        <v>580</v>
      </c>
    </row>
    <row r="98" spans="1:4" x14ac:dyDescent="0.2">
      <c r="A98" s="18" t="s">
        <v>1406</v>
      </c>
      <c r="B98" t="s">
        <v>582</v>
      </c>
      <c r="C98" t="s">
        <v>579</v>
      </c>
      <c r="D98" t="s">
        <v>580</v>
      </c>
    </row>
    <row r="99" spans="1:4" x14ac:dyDescent="0.2">
      <c r="A99" s="18" t="s">
        <v>1407</v>
      </c>
      <c r="B99" t="s">
        <v>583</v>
      </c>
      <c r="C99" t="s">
        <v>579</v>
      </c>
      <c r="D99" t="s">
        <v>580</v>
      </c>
    </row>
    <row r="100" spans="1:4" x14ac:dyDescent="0.2">
      <c r="A100" s="18" t="s">
        <v>1408</v>
      </c>
      <c r="B100" t="s">
        <v>584</v>
      </c>
      <c r="C100" t="s">
        <v>579</v>
      </c>
      <c r="D100" t="s">
        <v>580</v>
      </c>
    </row>
    <row r="101" spans="1:4" x14ac:dyDescent="0.2">
      <c r="A101" s="18" t="s">
        <v>1409</v>
      </c>
      <c r="B101" t="s">
        <v>413</v>
      </c>
      <c r="C101" t="s">
        <v>413</v>
      </c>
      <c r="D101" t="s">
        <v>580</v>
      </c>
    </row>
    <row r="102" spans="1:4" x14ac:dyDescent="0.2">
      <c r="A102" s="18" t="s">
        <v>1410</v>
      </c>
      <c r="B102" t="s">
        <v>585</v>
      </c>
      <c r="C102" t="s">
        <v>413</v>
      </c>
      <c r="D102" t="s">
        <v>580</v>
      </c>
    </row>
    <row r="103" spans="1:4" x14ac:dyDescent="0.2">
      <c r="A103" s="18" t="s">
        <v>1411</v>
      </c>
      <c r="B103" t="s">
        <v>586</v>
      </c>
      <c r="C103" t="s">
        <v>413</v>
      </c>
      <c r="D103" t="s">
        <v>580</v>
      </c>
    </row>
    <row r="104" spans="1:4" x14ac:dyDescent="0.2">
      <c r="A104" s="18" t="s">
        <v>1412</v>
      </c>
      <c r="B104" t="s">
        <v>480</v>
      </c>
      <c r="C104" t="s">
        <v>480</v>
      </c>
      <c r="D104" t="s">
        <v>580</v>
      </c>
    </row>
    <row r="105" spans="1:4" x14ac:dyDescent="0.2">
      <c r="A105" s="18" t="s">
        <v>1413</v>
      </c>
      <c r="B105" t="s">
        <v>72</v>
      </c>
      <c r="C105" t="s">
        <v>480</v>
      </c>
      <c r="D105" t="s">
        <v>580</v>
      </c>
    </row>
    <row r="106" spans="1:4" x14ac:dyDescent="0.2">
      <c r="A106" s="18" t="s">
        <v>1414</v>
      </c>
      <c r="B106" t="s">
        <v>587</v>
      </c>
      <c r="C106" t="s">
        <v>480</v>
      </c>
      <c r="D106" t="s">
        <v>580</v>
      </c>
    </row>
    <row r="107" spans="1:4" x14ac:dyDescent="0.2">
      <c r="A107" s="18" t="s">
        <v>1415</v>
      </c>
      <c r="B107" t="s">
        <v>588</v>
      </c>
      <c r="C107" t="s">
        <v>480</v>
      </c>
      <c r="D107" t="s">
        <v>580</v>
      </c>
    </row>
    <row r="108" spans="1:4" x14ac:dyDescent="0.2">
      <c r="A108" s="18" t="s">
        <v>1416</v>
      </c>
      <c r="B108" t="s">
        <v>3</v>
      </c>
      <c r="C108" t="s">
        <v>3</v>
      </c>
      <c r="D108" t="s">
        <v>580</v>
      </c>
    </row>
    <row r="109" spans="1:4" x14ac:dyDescent="0.2">
      <c r="A109" s="18" t="s">
        <v>1417</v>
      </c>
      <c r="B109" t="s">
        <v>589</v>
      </c>
      <c r="C109" t="s">
        <v>3</v>
      </c>
      <c r="D109" t="s">
        <v>580</v>
      </c>
    </row>
    <row r="110" spans="1:4" x14ac:dyDescent="0.2">
      <c r="A110" s="18" t="s">
        <v>1418</v>
      </c>
      <c r="B110" t="s">
        <v>590</v>
      </c>
      <c r="C110" t="s">
        <v>3</v>
      </c>
      <c r="D110" t="s">
        <v>580</v>
      </c>
    </row>
    <row r="111" spans="1:4" x14ac:dyDescent="0.2">
      <c r="A111" s="18" t="s">
        <v>1419</v>
      </c>
      <c r="B111" t="s">
        <v>114</v>
      </c>
      <c r="C111" t="s">
        <v>591</v>
      </c>
      <c r="D111" t="s">
        <v>580</v>
      </c>
    </row>
    <row r="112" spans="1:4" x14ac:dyDescent="0.2">
      <c r="A112" s="18" t="s">
        <v>1420</v>
      </c>
      <c r="B112" t="s">
        <v>13</v>
      </c>
      <c r="C112" t="s">
        <v>13</v>
      </c>
      <c r="D112" t="s">
        <v>580</v>
      </c>
    </row>
    <row r="113" spans="1:4" x14ac:dyDescent="0.2">
      <c r="A113" s="18" t="s">
        <v>1421</v>
      </c>
      <c r="B113" t="s">
        <v>592</v>
      </c>
      <c r="C113" t="s">
        <v>13</v>
      </c>
      <c r="D113" t="s">
        <v>580</v>
      </c>
    </row>
    <row r="114" spans="1:4" x14ac:dyDescent="0.2">
      <c r="A114" s="18" t="s">
        <v>1422</v>
      </c>
      <c r="B114" t="s">
        <v>54</v>
      </c>
      <c r="C114" t="s">
        <v>13</v>
      </c>
      <c r="D114" t="s">
        <v>580</v>
      </c>
    </row>
    <row r="115" spans="1:4" x14ac:dyDescent="0.2">
      <c r="A115" s="18" t="s">
        <v>1423</v>
      </c>
      <c r="B115" t="s">
        <v>593</v>
      </c>
      <c r="C115" t="s">
        <v>593</v>
      </c>
      <c r="D115" t="s">
        <v>580</v>
      </c>
    </row>
    <row r="116" spans="1:4" x14ac:dyDescent="0.2">
      <c r="A116" s="18" t="s">
        <v>1424</v>
      </c>
      <c r="B116" t="s">
        <v>594</v>
      </c>
      <c r="C116" t="s">
        <v>593</v>
      </c>
      <c r="D116" t="s">
        <v>580</v>
      </c>
    </row>
    <row r="117" spans="1:4" x14ac:dyDescent="0.2">
      <c r="A117" s="18" t="s">
        <v>1425</v>
      </c>
      <c r="B117" t="s">
        <v>595</v>
      </c>
      <c r="C117" t="s">
        <v>593</v>
      </c>
      <c r="D117" t="s">
        <v>580</v>
      </c>
    </row>
    <row r="118" spans="1:4" x14ac:dyDescent="0.2">
      <c r="A118" s="18" t="s">
        <v>1426</v>
      </c>
      <c r="B118" t="s">
        <v>596</v>
      </c>
      <c r="C118" t="s">
        <v>593</v>
      </c>
      <c r="D118" t="s">
        <v>580</v>
      </c>
    </row>
    <row r="119" spans="1:4" x14ac:dyDescent="0.2">
      <c r="A119" s="18" t="s">
        <v>1427</v>
      </c>
      <c r="B119" t="s">
        <v>597</v>
      </c>
      <c r="C119" t="s">
        <v>597</v>
      </c>
      <c r="D119" t="s">
        <v>580</v>
      </c>
    </row>
    <row r="120" spans="1:4" x14ac:dyDescent="0.2">
      <c r="A120" s="18" t="s">
        <v>1428</v>
      </c>
      <c r="B120" t="s">
        <v>598</v>
      </c>
      <c r="C120" t="s">
        <v>597</v>
      </c>
      <c r="D120" t="s">
        <v>580</v>
      </c>
    </row>
    <row r="121" spans="1:4" x14ac:dyDescent="0.2">
      <c r="A121" s="18" t="s">
        <v>1429</v>
      </c>
      <c r="B121" t="s">
        <v>599</v>
      </c>
      <c r="C121" t="s">
        <v>597</v>
      </c>
      <c r="D121" t="s">
        <v>580</v>
      </c>
    </row>
    <row r="122" spans="1:4" x14ac:dyDescent="0.2">
      <c r="A122" s="18" t="s">
        <v>1430</v>
      </c>
      <c r="B122" t="s">
        <v>600</v>
      </c>
      <c r="C122" t="s">
        <v>597</v>
      </c>
      <c r="D122" t="s">
        <v>580</v>
      </c>
    </row>
    <row r="123" spans="1:4" x14ac:dyDescent="0.2">
      <c r="A123" s="18" t="s">
        <v>1431</v>
      </c>
      <c r="B123" t="s">
        <v>601</v>
      </c>
      <c r="C123" t="s">
        <v>597</v>
      </c>
      <c r="D123" t="s">
        <v>580</v>
      </c>
    </row>
    <row r="124" spans="1:4" x14ac:dyDescent="0.2">
      <c r="A124" s="18" t="s">
        <v>1432</v>
      </c>
      <c r="B124" t="s">
        <v>602</v>
      </c>
      <c r="C124" t="s">
        <v>602</v>
      </c>
      <c r="D124" t="s">
        <v>580</v>
      </c>
    </row>
    <row r="125" spans="1:4" x14ac:dyDescent="0.2">
      <c r="A125" s="18" t="s">
        <v>1433</v>
      </c>
      <c r="B125" t="s">
        <v>63</v>
      </c>
      <c r="C125" t="s">
        <v>602</v>
      </c>
      <c r="D125" t="s">
        <v>580</v>
      </c>
    </row>
    <row r="126" spans="1:4" x14ac:dyDescent="0.2">
      <c r="A126" s="18" t="s">
        <v>1434</v>
      </c>
      <c r="B126" t="s">
        <v>603</v>
      </c>
      <c r="C126" t="s">
        <v>602</v>
      </c>
      <c r="D126" t="s">
        <v>580</v>
      </c>
    </row>
    <row r="127" spans="1:4" x14ac:dyDescent="0.2">
      <c r="A127" s="18" t="s">
        <v>1435</v>
      </c>
      <c r="B127" t="s">
        <v>604</v>
      </c>
      <c r="C127" t="s">
        <v>604</v>
      </c>
      <c r="D127" t="s">
        <v>580</v>
      </c>
    </row>
    <row r="128" spans="1:4" x14ac:dyDescent="0.2">
      <c r="A128" s="18" t="s">
        <v>1436</v>
      </c>
      <c r="B128" t="s">
        <v>605</v>
      </c>
      <c r="C128" t="s">
        <v>604</v>
      </c>
      <c r="D128" t="s">
        <v>580</v>
      </c>
    </row>
    <row r="129" spans="1:4" x14ac:dyDescent="0.2">
      <c r="A129" s="18" t="s">
        <v>1437</v>
      </c>
      <c r="B129" t="s">
        <v>606</v>
      </c>
      <c r="C129" t="s">
        <v>604</v>
      </c>
      <c r="D129" t="s">
        <v>580</v>
      </c>
    </row>
    <row r="130" spans="1:4" x14ac:dyDescent="0.2">
      <c r="A130" s="18" t="s">
        <v>1438</v>
      </c>
      <c r="B130" t="s">
        <v>607</v>
      </c>
      <c r="C130" t="s">
        <v>604</v>
      </c>
      <c r="D130" t="s">
        <v>580</v>
      </c>
    </row>
    <row r="131" spans="1:4" x14ac:dyDescent="0.2">
      <c r="A131" s="18" t="s">
        <v>1439</v>
      </c>
      <c r="B131" t="s">
        <v>608</v>
      </c>
      <c r="C131" t="s">
        <v>608</v>
      </c>
      <c r="D131" t="s">
        <v>580</v>
      </c>
    </row>
    <row r="132" spans="1:4" x14ac:dyDescent="0.2">
      <c r="A132" s="18" t="s">
        <v>1440</v>
      </c>
      <c r="B132" t="s">
        <v>609</v>
      </c>
      <c r="C132" t="s">
        <v>608</v>
      </c>
      <c r="D132" t="s">
        <v>580</v>
      </c>
    </row>
    <row r="133" spans="1:4" x14ac:dyDescent="0.2">
      <c r="A133" s="18" t="s">
        <v>1441</v>
      </c>
      <c r="B133" t="s">
        <v>610</v>
      </c>
      <c r="C133" t="s">
        <v>608</v>
      </c>
      <c r="D133" t="s">
        <v>580</v>
      </c>
    </row>
    <row r="134" spans="1:4" x14ac:dyDescent="0.2">
      <c r="A134" s="18" t="s">
        <v>1442</v>
      </c>
      <c r="B134" t="s">
        <v>611</v>
      </c>
      <c r="C134" t="s">
        <v>611</v>
      </c>
      <c r="D134" t="s">
        <v>580</v>
      </c>
    </row>
    <row r="135" spans="1:4" x14ac:dyDescent="0.2">
      <c r="A135" s="18" t="s">
        <v>1443</v>
      </c>
      <c r="B135" t="s">
        <v>612</v>
      </c>
      <c r="C135" t="s">
        <v>611</v>
      </c>
      <c r="D135" t="s">
        <v>580</v>
      </c>
    </row>
    <row r="136" spans="1:4" x14ac:dyDescent="0.2">
      <c r="A136" s="18" t="s">
        <v>1444</v>
      </c>
      <c r="B136" t="s">
        <v>613</v>
      </c>
      <c r="C136" t="s">
        <v>611</v>
      </c>
      <c r="D136" t="s">
        <v>580</v>
      </c>
    </row>
    <row r="137" spans="1:4" x14ac:dyDescent="0.2">
      <c r="A137" s="18" t="s">
        <v>1445</v>
      </c>
      <c r="B137" t="s">
        <v>614</v>
      </c>
      <c r="C137" t="s">
        <v>611</v>
      </c>
      <c r="D137" t="s">
        <v>580</v>
      </c>
    </row>
    <row r="138" spans="1:4" x14ac:dyDescent="0.2">
      <c r="A138" s="18" t="s">
        <v>1446</v>
      </c>
      <c r="B138" t="s">
        <v>2</v>
      </c>
      <c r="C138" t="s">
        <v>2</v>
      </c>
      <c r="D138" t="s">
        <v>615</v>
      </c>
    </row>
    <row r="139" spans="1:4" x14ac:dyDescent="0.2">
      <c r="A139" s="18" t="s">
        <v>1447</v>
      </c>
      <c r="B139" t="s">
        <v>442</v>
      </c>
      <c r="C139" t="s">
        <v>2</v>
      </c>
      <c r="D139" t="s">
        <v>615</v>
      </c>
    </row>
    <row r="140" spans="1:4" x14ac:dyDescent="0.2">
      <c r="A140" s="18" t="s">
        <v>1448</v>
      </c>
      <c r="B140" t="s">
        <v>448</v>
      </c>
      <c r="C140" t="s">
        <v>2</v>
      </c>
      <c r="D140" t="s">
        <v>615</v>
      </c>
    </row>
    <row r="141" spans="1:4" x14ac:dyDescent="0.2">
      <c r="A141" s="18" t="s">
        <v>1449</v>
      </c>
      <c r="B141" t="s">
        <v>616</v>
      </c>
      <c r="C141" t="s">
        <v>2</v>
      </c>
      <c r="D141" t="s">
        <v>615</v>
      </c>
    </row>
    <row r="142" spans="1:4" x14ac:dyDescent="0.2">
      <c r="A142" s="18" t="s">
        <v>1450</v>
      </c>
      <c r="B142" t="s">
        <v>617</v>
      </c>
      <c r="C142" t="s">
        <v>2</v>
      </c>
      <c r="D142" t="s">
        <v>615</v>
      </c>
    </row>
    <row r="143" spans="1:4" x14ac:dyDescent="0.2">
      <c r="A143" s="18" t="s">
        <v>1451</v>
      </c>
      <c r="B143" t="s">
        <v>618</v>
      </c>
      <c r="C143" t="s">
        <v>2</v>
      </c>
      <c r="D143" t="s">
        <v>615</v>
      </c>
    </row>
    <row r="144" spans="1:4" x14ac:dyDescent="0.2">
      <c r="A144" s="18" t="s">
        <v>1452</v>
      </c>
      <c r="B144" t="s">
        <v>619</v>
      </c>
      <c r="C144" t="s">
        <v>619</v>
      </c>
      <c r="D144" t="s">
        <v>615</v>
      </c>
    </row>
    <row r="145" spans="1:4" x14ac:dyDescent="0.2">
      <c r="A145" s="18" t="s">
        <v>1453</v>
      </c>
      <c r="B145" t="s">
        <v>620</v>
      </c>
      <c r="C145" t="s">
        <v>619</v>
      </c>
      <c r="D145" t="s">
        <v>615</v>
      </c>
    </row>
    <row r="146" spans="1:4" x14ac:dyDescent="0.2">
      <c r="A146" s="18" t="s">
        <v>1454</v>
      </c>
      <c r="B146" t="s">
        <v>65</v>
      </c>
      <c r="C146" t="s">
        <v>619</v>
      </c>
      <c r="D146" t="s">
        <v>615</v>
      </c>
    </row>
    <row r="147" spans="1:4" x14ac:dyDescent="0.2">
      <c r="A147" s="18" t="s">
        <v>1455</v>
      </c>
      <c r="B147" t="s">
        <v>40</v>
      </c>
      <c r="C147" t="s">
        <v>619</v>
      </c>
      <c r="D147" t="s">
        <v>615</v>
      </c>
    </row>
    <row r="148" spans="1:4" x14ac:dyDescent="0.2">
      <c r="A148" s="18" t="s">
        <v>1456</v>
      </c>
      <c r="B148" t="s">
        <v>68</v>
      </c>
      <c r="C148" t="s">
        <v>619</v>
      </c>
      <c r="D148" t="s">
        <v>615</v>
      </c>
    </row>
    <row r="149" spans="1:4" x14ac:dyDescent="0.2">
      <c r="A149" s="18" t="s">
        <v>1457</v>
      </c>
      <c r="B149" t="s">
        <v>621</v>
      </c>
      <c r="C149" t="s">
        <v>621</v>
      </c>
      <c r="D149" t="s">
        <v>615</v>
      </c>
    </row>
    <row r="150" spans="1:4" x14ac:dyDescent="0.2">
      <c r="A150" s="18" t="s">
        <v>1458</v>
      </c>
      <c r="B150" t="s">
        <v>622</v>
      </c>
      <c r="C150" t="s">
        <v>621</v>
      </c>
      <c r="D150" t="s">
        <v>615</v>
      </c>
    </row>
    <row r="151" spans="1:4" x14ac:dyDescent="0.2">
      <c r="A151" s="18" t="s">
        <v>1459</v>
      </c>
      <c r="B151" t="s">
        <v>623</v>
      </c>
      <c r="C151" t="s">
        <v>621</v>
      </c>
      <c r="D151" t="s">
        <v>615</v>
      </c>
    </row>
    <row r="152" spans="1:4" x14ac:dyDescent="0.2">
      <c r="A152" s="18" t="s">
        <v>1460</v>
      </c>
      <c r="B152" t="s">
        <v>624</v>
      </c>
      <c r="C152" t="s">
        <v>621</v>
      </c>
      <c r="D152" t="s">
        <v>615</v>
      </c>
    </row>
    <row r="153" spans="1:4" x14ac:dyDescent="0.2">
      <c r="A153" s="18" t="s">
        <v>1461</v>
      </c>
      <c r="B153" t="s">
        <v>625</v>
      </c>
      <c r="C153" t="s">
        <v>621</v>
      </c>
      <c r="D153" t="s">
        <v>615</v>
      </c>
    </row>
    <row r="154" spans="1:4" x14ac:dyDescent="0.2">
      <c r="A154" s="18" t="s">
        <v>1462</v>
      </c>
      <c r="B154" t="s">
        <v>626</v>
      </c>
      <c r="C154" t="s">
        <v>626</v>
      </c>
      <c r="D154" t="s">
        <v>615</v>
      </c>
    </row>
    <row r="155" spans="1:4" x14ac:dyDescent="0.2">
      <c r="A155" s="18" t="s">
        <v>1463</v>
      </c>
      <c r="B155" t="s">
        <v>627</v>
      </c>
      <c r="C155" t="s">
        <v>626</v>
      </c>
      <c r="D155" t="s">
        <v>615</v>
      </c>
    </row>
    <row r="156" spans="1:4" x14ac:dyDescent="0.2">
      <c r="A156" s="18" t="s">
        <v>1464</v>
      </c>
      <c r="B156" t="s">
        <v>25</v>
      </c>
      <c r="C156" t="s">
        <v>626</v>
      </c>
      <c r="D156" t="s">
        <v>615</v>
      </c>
    </row>
    <row r="157" spans="1:4" x14ac:dyDescent="0.2">
      <c r="A157" s="18" t="s">
        <v>1465</v>
      </c>
      <c r="B157" t="s">
        <v>628</v>
      </c>
      <c r="C157" t="s">
        <v>626</v>
      </c>
      <c r="D157" t="s">
        <v>615</v>
      </c>
    </row>
    <row r="158" spans="1:4" x14ac:dyDescent="0.2">
      <c r="A158" s="18" t="s">
        <v>1466</v>
      </c>
      <c r="B158" t="s">
        <v>629</v>
      </c>
      <c r="C158" t="s">
        <v>626</v>
      </c>
      <c r="D158" t="s">
        <v>615</v>
      </c>
    </row>
    <row r="159" spans="1:4" x14ac:dyDescent="0.2">
      <c r="A159" s="18" t="s">
        <v>1467</v>
      </c>
      <c r="B159" t="s">
        <v>630</v>
      </c>
      <c r="C159" t="s">
        <v>626</v>
      </c>
      <c r="D159" t="s">
        <v>615</v>
      </c>
    </row>
    <row r="160" spans="1:4" x14ac:dyDescent="0.2">
      <c r="A160" s="18" t="s">
        <v>1468</v>
      </c>
      <c r="B160" t="s">
        <v>631</v>
      </c>
      <c r="C160" t="s">
        <v>631</v>
      </c>
      <c r="D160" t="s">
        <v>615</v>
      </c>
    </row>
    <row r="161" spans="1:4" x14ac:dyDescent="0.2">
      <c r="A161" s="18" t="s">
        <v>1469</v>
      </c>
      <c r="B161" t="s">
        <v>632</v>
      </c>
      <c r="C161" t="s">
        <v>631</v>
      </c>
      <c r="D161" t="s">
        <v>615</v>
      </c>
    </row>
    <row r="162" spans="1:4" x14ac:dyDescent="0.2">
      <c r="A162" s="18" t="s">
        <v>1470</v>
      </c>
      <c r="B162" t="s">
        <v>633</v>
      </c>
      <c r="C162" t="s">
        <v>634</v>
      </c>
      <c r="D162" t="s">
        <v>615</v>
      </c>
    </row>
    <row r="163" spans="1:4" x14ac:dyDescent="0.2">
      <c r="A163" s="18" t="s">
        <v>1471</v>
      </c>
      <c r="B163" t="s">
        <v>635</v>
      </c>
      <c r="C163" t="s">
        <v>634</v>
      </c>
      <c r="D163" t="s">
        <v>615</v>
      </c>
    </row>
    <row r="164" spans="1:4" x14ac:dyDescent="0.2">
      <c r="A164" s="18" t="s">
        <v>1472</v>
      </c>
      <c r="B164" t="s">
        <v>636</v>
      </c>
      <c r="C164" t="s">
        <v>636</v>
      </c>
      <c r="D164" t="s">
        <v>637</v>
      </c>
    </row>
    <row r="165" spans="1:4" x14ac:dyDescent="0.2">
      <c r="A165" s="18" t="s">
        <v>1473</v>
      </c>
      <c r="B165" t="s">
        <v>638</v>
      </c>
      <c r="C165" t="s">
        <v>636</v>
      </c>
      <c r="D165" t="s">
        <v>637</v>
      </c>
    </row>
    <row r="166" spans="1:4" x14ac:dyDescent="0.2">
      <c r="A166" s="18" t="s">
        <v>1474</v>
      </c>
      <c r="B166" t="s">
        <v>639</v>
      </c>
      <c r="C166" t="s">
        <v>636</v>
      </c>
      <c r="D166" t="s">
        <v>637</v>
      </c>
    </row>
    <row r="167" spans="1:4" x14ac:dyDescent="0.2">
      <c r="A167" s="18" t="s">
        <v>1475</v>
      </c>
      <c r="B167" t="s">
        <v>640</v>
      </c>
      <c r="C167" t="s">
        <v>636</v>
      </c>
      <c r="D167" t="s">
        <v>637</v>
      </c>
    </row>
    <row r="168" spans="1:4" x14ac:dyDescent="0.2">
      <c r="A168" s="18" t="s">
        <v>1476</v>
      </c>
      <c r="B168" t="s">
        <v>641</v>
      </c>
      <c r="C168" t="s">
        <v>636</v>
      </c>
      <c r="D168" t="s">
        <v>637</v>
      </c>
    </row>
    <row r="169" spans="1:4" x14ac:dyDescent="0.2">
      <c r="A169" s="18" t="s">
        <v>1477</v>
      </c>
      <c r="B169" t="s">
        <v>642</v>
      </c>
      <c r="C169" t="s">
        <v>636</v>
      </c>
      <c r="D169" t="s">
        <v>637</v>
      </c>
    </row>
    <row r="170" spans="1:4" x14ac:dyDescent="0.2">
      <c r="A170" s="18" t="s">
        <v>1478</v>
      </c>
      <c r="B170" t="s">
        <v>643</v>
      </c>
      <c r="C170" t="s">
        <v>636</v>
      </c>
      <c r="D170" t="s">
        <v>637</v>
      </c>
    </row>
    <row r="171" spans="1:4" x14ac:dyDescent="0.2">
      <c r="A171" s="18" t="s">
        <v>1479</v>
      </c>
      <c r="B171" t="s">
        <v>644</v>
      </c>
      <c r="C171" t="s">
        <v>636</v>
      </c>
      <c r="D171" t="s">
        <v>637</v>
      </c>
    </row>
    <row r="172" spans="1:4" x14ac:dyDescent="0.2">
      <c r="A172" s="18" t="s">
        <v>1480</v>
      </c>
      <c r="B172" t="s">
        <v>419</v>
      </c>
      <c r="C172" t="s">
        <v>636</v>
      </c>
      <c r="D172" t="s">
        <v>637</v>
      </c>
    </row>
    <row r="173" spans="1:4" x14ac:dyDescent="0.2">
      <c r="A173" s="18" t="s">
        <v>1481</v>
      </c>
      <c r="B173" t="s">
        <v>645</v>
      </c>
      <c r="C173" t="s">
        <v>636</v>
      </c>
      <c r="D173" t="s">
        <v>637</v>
      </c>
    </row>
    <row r="174" spans="1:4" x14ac:dyDescent="0.2">
      <c r="A174" s="18" t="s">
        <v>1482</v>
      </c>
      <c r="B174" t="s">
        <v>646</v>
      </c>
      <c r="C174" t="s">
        <v>636</v>
      </c>
      <c r="D174" t="s">
        <v>637</v>
      </c>
    </row>
    <row r="175" spans="1:4" x14ac:dyDescent="0.2">
      <c r="A175" s="18" t="s">
        <v>1483</v>
      </c>
      <c r="B175" t="s">
        <v>647</v>
      </c>
      <c r="C175" t="s">
        <v>647</v>
      </c>
      <c r="D175" t="s">
        <v>637</v>
      </c>
    </row>
    <row r="176" spans="1:4" x14ac:dyDescent="0.2">
      <c r="A176" s="18" t="s">
        <v>1484</v>
      </c>
      <c r="B176" t="s">
        <v>28</v>
      </c>
      <c r="C176" t="s">
        <v>647</v>
      </c>
      <c r="D176" t="s">
        <v>637</v>
      </c>
    </row>
    <row r="177" spans="1:4" x14ac:dyDescent="0.2">
      <c r="A177" s="18" t="s">
        <v>1485</v>
      </c>
      <c r="B177" t="s">
        <v>648</v>
      </c>
      <c r="C177" t="s">
        <v>647</v>
      </c>
      <c r="D177" t="s">
        <v>637</v>
      </c>
    </row>
    <row r="178" spans="1:4" x14ac:dyDescent="0.2">
      <c r="A178" s="18" t="s">
        <v>1486</v>
      </c>
      <c r="B178" t="s">
        <v>649</v>
      </c>
      <c r="C178" t="s">
        <v>647</v>
      </c>
      <c r="D178" t="s">
        <v>637</v>
      </c>
    </row>
    <row r="179" spans="1:4" x14ac:dyDescent="0.2">
      <c r="A179" s="18" t="s">
        <v>1487</v>
      </c>
      <c r="B179" t="s">
        <v>46</v>
      </c>
      <c r="C179" t="s">
        <v>647</v>
      </c>
      <c r="D179" t="s">
        <v>637</v>
      </c>
    </row>
    <row r="180" spans="1:4" x14ac:dyDescent="0.2">
      <c r="A180" s="18" t="s">
        <v>1488</v>
      </c>
      <c r="B180" t="s">
        <v>650</v>
      </c>
      <c r="C180" t="s">
        <v>647</v>
      </c>
      <c r="D180" t="s">
        <v>637</v>
      </c>
    </row>
    <row r="181" spans="1:4" x14ac:dyDescent="0.2">
      <c r="A181" s="18" t="s">
        <v>1489</v>
      </c>
      <c r="B181" t="s">
        <v>651</v>
      </c>
      <c r="C181" t="s">
        <v>647</v>
      </c>
      <c r="D181" t="s">
        <v>637</v>
      </c>
    </row>
    <row r="182" spans="1:4" x14ac:dyDescent="0.2">
      <c r="A182" s="18" t="s">
        <v>1490</v>
      </c>
      <c r="B182" t="s">
        <v>115</v>
      </c>
      <c r="C182" t="s">
        <v>647</v>
      </c>
      <c r="D182" t="s">
        <v>637</v>
      </c>
    </row>
    <row r="183" spans="1:4" x14ac:dyDescent="0.2">
      <c r="A183" s="18" t="s">
        <v>1491</v>
      </c>
      <c r="B183" t="s">
        <v>652</v>
      </c>
      <c r="C183" t="s">
        <v>647</v>
      </c>
      <c r="D183" t="s">
        <v>637</v>
      </c>
    </row>
    <row r="184" spans="1:4" x14ac:dyDescent="0.2">
      <c r="A184" s="18" t="s">
        <v>1492</v>
      </c>
      <c r="B184" t="s">
        <v>653</v>
      </c>
      <c r="C184" t="s">
        <v>653</v>
      </c>
      <c r="D184" t="s">
        <v>637</v>
      </c>
    </row>
    <row r="185" spans="1:4" x14ac:dyDescent="0.2">
      <c r="A185" s="18" t="s">
        <v>1493</v>
      </c>
      <c r="B185" t="s">
        <v>654</v>
      </c>
      <c r="C185" t="s">
        <v>653</v>
      </c>
      <c r="D185" t="s">
        <v>637</v>
      </c>
    </row>
    <row r="186" spans="1:4" x14ac:dyDescent="0.2">
      <c r="A186" s="18" t="s">
        <v>1494</v>
      </c>
      <c r="B186" t="s">
        <v>655</v>
      </c>
      <c r="C186" t="s">
        <v>653</v>
      </c>
      <c r="D186" t="s">
        <v>637</v>
      </c>
    </row>
    <row r="187" spans="1:4" x14ac:dyDescent="0.2">
      <c r="A187" s="18" t="s">
        <v>1495</v>
      </c>
      <c r="B187" t="s">
        <v>656</v>
      </c>
      <c r="C187" t="s">
        <v>653</v>
      </c>
      <c r="D187" t="s">
        <v>637</v>
      </c>
    </row>
    <row r="188" spans="1:4" x14ac:dyDescent="0.2">
      <c r="A188" s="18" t="s">
        <v>1496</v>
      </c>
      <c r="B188" t="s">
        <v>657</v>
      </c>
      <c r="C188" t="s">
        <v>653</v>
      </c>
      <c r="D188" t="s">
        <v>637</v>
      </c>
    </row>
    <row r="189" spans="1:4" x14ac:dyDescent="0.2">
      <c r="A189" s="18" t="s">
        <v>1497</v>
      </c>
      <c r="B189" t="s">
        <v>658</v>
      </c>
      <c r="C189" t="s">
        <v>653</v>
      </c>
      <c r="D189" t="s">
        <v>637</v>
      </c>
    </row>
    <row r="190" spans="1:4" x14ac:dyDescent="0.2">
      <c r="A190" s="18" t="s">
        <v>1498</v>
      </c>
      <c r="B190" t="s">
        <v>659</v>
      </c>
      <c r="C190" t="s">
        <v>659</v>
      </c>
      <c r="D190" t="s">
        <v>637</v>
      </c>
    </row>
    <row r="191" spans="1:4" x14ac:dyDescent="0.2">
      <c r="A191" s="18" t="s">
        <v>1499</v>
      </c>
      <c r="B191" t="s">
        <v>660</v>
      </c>
      <c r="C191" t="s">
        <v>659</v>
      </c>
      <c r="D191" t="s">
        <v>637</v>
      </c>
    </row>
    <row r="192" spans="1:4" x14ac:dyDescent="0.2">
      <c r="A192" s="18" t="s">
        <v>1500</v>
      </c>
      <c r="B192" t="s">
        <v>661</v>
      </c>
      <c r="C192" t="s">
        <v>661</v>
      </c>
      <c r="D192" t="s">
        <v>662</v>
      </c>
    </row>
    <row r="193" spans="1:4" x14ac:dyDescent="0.2">
      <c r="A193" s="18" t="s">
        <v>1501</v>
      </c>
      <c r="B193" t="s">
        <v>488</v>
      </c>
      <c r="C193" t="s">
        <v>661</v>
      </c>
      <c r="D193" t="s">
        <v>662</v>
      </c>
    </row>
    <row r="194" spans="1:4" x14ac:dyDescent="0.2">
      <c r="A194" s="18" t="s">
        <v>1502</v>
      </c>
      <c r="B194" t="s">
        <v>663</v>
      </c>
      <c r="C194" t="s">
        <v>661</v>
      </c>
      <c r="D194" t="s">
        <v>662</v>
      </c>
    </row>
    <row r="195" spans="1:4" x14ac:dyDescent="0.2">
      <c r="A195" s="18" t="s">
        <v>1503</v>
      </c>
      <c r="B195" t="s">
        <v>664</v>
      </c>
      <c r="C195" t="s">
        <v>661</v>
      </c>
      <c r="D195" t="s">
        <v>662</v>
      </c>
    </row>
    <row r="196" spans="1:4" x14ac:dyDescent="0.2">
      <c r="A196" s="18" t="s">
        <v>1504</v>
      </c>
      <c r="B196" t="s">
        <v>665</v>
      </c>
      <c r="C196" t="s">
        <v>661</v>
      </c>
      <c r="D196" t="s">
        <v>662</v>
      </c>
    </row>
    <row r="197" spans="1:4" x14ac:dyDescent="0.2">
      <c r="A197" s="18" t="s">
        <v>1505</v>
      </c>
      <c r="B197" t="s">
        <v>666</v>
      </c>
      <c r="C197" t="s">
        <v>661</v>
      </c>
      <c r="D197" t="s">
        <v>662</v>
      </c>
    </row>
    <row r="198" spans="1:4" x14ac:dyDescent="0.2">
      <c r="A198" s="18" t="s">
        <v>1506</v>
      </c>
      <c r="B198" t="s">
        <v>667</v>
      </c>
      <c r="C198" t="s">
        <v>661</v>
      </c>
      <c r="D198" t="s">
        <v>662</v>
      </c>
    </row>
    <row r="199" spans="1:4" x14ac:dyDescent="0.2">
      <c r="A199" s="18" t="s">
        <v>1507</v>
      </c>
      <c r="B199" t="s">
        <v>668</v>
      </c>
      <c r="C199" t="s">
        <v>661</v>
      </c>
      <c r="D199" t="s">
        <v>662</v>
      </c>
    </row>
    <row r="200" spans="1:4" x14ac:dyDescent="0.2">
      <c r="A200" s="18" t="s">
        <v>1508</v>
      </c>
      <c r="B200" t="s">
        <v>19</v>
      </c>
      <c r="C200" t="s">
        <v>661</v>
      </c>
      <c r="D200" t="s">
        <v>662</v>
      </c>
    </row>
    <row r="201" spans="1:4" x14ac:dyDescent="0.2">
      <c r="A201" s="18" t="s">
        <v>1509</v>
      </c>
      <c r="B201" t="s">
        <v>669</v>
      </c>
      <c r="C201" t="s">
        <v>661</v>
      </c>
      <c r="D201" t="s">
        <v>662</v>
      </c>
    </row>
    <row r="202" spans="1:4" x14ac:dyDescent="0.2">
      <c r="A202" s="18" t="s">
        <v>1510</v>
      </c>
      <c r="B202" t="s">
        <v>670</v>
      </c>
      <c r="C202" t="s">
        <v>670</v>
      </c>
      <c r="D202" t="s">
        <v>662</v>
      </c>
    </row>
    <row r="203" spans="1:4" x14ac:dyDescent="0.2">
      <c r="A203" s="18" t="s">
        <v>1511</v>
      </c>
      <c r="B203" t="s">
        <v>671</v>
      </c>
      <c r="C203" t="s">
        <v>670</v>
      </c>
      <c r="D203" t="s">
        <v>662</v>
      </c>
    </row>
    <row r="204" spans="1:4" x14ac:dyDescent="0.2">
      <c r="A204" s="18" t="s">
        <v>1512</v>
      </c>
      <c r="B204" t="s">
        <v>672</v>
      </c>
      <c r="C204" t="s">
        <v>670</v>
      </c>
      <c r="D204" t="s">
        <v>662</v>
      </c>
    </row>
    <row r="205" spans="1:4" x14ac:dyDescent="0.2">
      <c r="A205" s="18" t="s">
        <v>1513</v>
      </c>
      <c r="B205" t="s">
        <v>673</v>
      </c>
      <c r="C205" t="s">
        <v>670</v>
      </c>
      <c r="D205" t="s">
        <v>662</v>
      </c>
    </row>
    <row r="206" spans="1:4" x14ac:dyDescent="0.2">
      <c r="A206" s="18" t="s">
        <v>1514</v>
      </c>
      <c r="B206" t="s">
        <v>674</v>
      </c>
      <c r="C206" t="s">
        <v>670</v>
      </c>
      <c r="D206" t="s">
        <v>662</v>
      </c>
    </row>
    <row r="207" spans="1:4" x14ac:dyDescent="0.2">
      <c r="A207" s="18" t="s">
        <v>1515</v>
      </c>
      <c r="B207" t="s">
        <v>675</v>
      </c>
      <c r="C207" t="s">
        <v>670</v>
      </c>
      <c r="D207" t="s">
        <v>662</v>
      </c>
    </row>
    <row r="208" spans="1:4" x14ac:dyDescent="0.2">
      <c r="A208" s="18" t="s">
        <v>1516</v>
      </c>
      <c r="B208" t="s">
        <v>676</v>
      </c>
      <c r="C208" t="s">
        <v>676</v>
      </c>
      <c r="D208" t="s">
        <v>662</v>
      </c>
    </row>
    <row r="209" spans="1:4" x14ac:dyDescent="0.2">
      <c r="A209" s="18" t="s">
        <v>1517</v>
      </c>
      <c r="B209" t="s">
        <v>677</v>
      </c>
      <c r="C209" t="s">
        <v>676</v>
      </c>
      <c r="D209" t="s">
        <v>662</v>
      </c>
    </row>
    <row r="210" spans="1:4" x14ac:dyDescent="0.2">
      <c r="A210" s="18" t="s">
        <v>1518</v>
      </c>
      <c r="B210" t="s">
        <v>1</v>
      </c>
      <c r="C210" t="s">
        <v>676</v>
      </c>
      <c r="D210" t="s">
        <v>662</v>
      </c>
    </row>
    <row r="211" spans="1:4" x14ac:dyDescent="0.2">
      <c r="A211" s="18" t="s">
        <v>1519</v>
      </c>
      <c r="B211" t="s">
        <v>678</v>
      </c>
      <c r="C211" t="s">
        <v>678</v>
      </c>
      <c r="D211" t="s">
        <v>662</v>
      </c>
    </row>
    <row r="212" spans="1:4" x14ac:dyDescent="0.2">
      <c r="A212" s="18" t="s">
        <v>1520</v>
      </c>
      <c r="B212" t="s">
        <v>679</v>
      </c>
      <c r="C212" t="s">
        <v>678</v>
      </c>
      <c r="D212" t="s">
        <v>662</v>
      </c>
    </row>
    <row r="213" spans="1:4" x14ac:dyDescent="0.2">
      <c r="A213" s="18" t="s">
        <v>1521</v>
      </c>
      <c r="B213" t="s">
        <v>680</v>
      </c>
      <c r="C213" t="s">
        <v>678</v>
      </c>
      <c r="D213" t="s">
        <v>662</v>
      </c>
    </row>
    <row r="214" spans="1:4" x14ac:dyDescent="0.2">
      <c r="A214" s="18" t="s">
        <v>1522</v>
      </c>
      <c r="B214" t="s">
        <v>681</v>
      </c>
      <c r="C214" t="s">
        <v>678</v>
      </c>
      <c r="D214" t="s">
        <v>662</v>
      </c>
    </row>
    <row r="215" spans="1:4" x14ac:dyDescent="0.2">
      <c r="A215" s="18" t="s">
        <v>1523</v>
      </c>
      <c r="B215" t="s">
        <v>682</v>
      </c>
      <c r="C215" t="s">
        <v>678</v>
      </c>
      <c r="D215" t="s">
        <v>662</v>
      </c>
    </row>
    <row r="216" spans="1:4" x14ac:dyDescent="0.2">
      <c r="A216" s="18" t="s">
        <v>1524</v>
      </c>
      <c r="B216" t="s">
        <v>16</v>
      </c>
      <c r="C216" t="s">
        <v>678</v>
      </c>
      <c r="D216" t="s">
        <v>662</v>
      </c>
    </row>
    <row r="217" spans="1:4" x14ac:dyDescent="0.2">
      <c r="A217" s="18" t="s">
        <v>1525</v>
      </c>
      <c r="B217" t="s">
        <v>683</v>
      </c>
      <c r="C217" t="s">
        <v>683</v>
      </c>
      <c r="D217" t="s">
        <v>662</v>
      </c>
    </row>
    <row r="218" spans="1:4" x14ac:dyDescent="0.2">
      <c r="A218" s="18" t="s">
        <v>1526</v>
      </c>
      <c r="B218" t="s">
        <v>43</v>
      </c>
      <c r="C218" t="s">
        <v>683</v>
      </c>
      <c r="D218" t="s">
        <v>662</v>
      </c>
    </row>
    <row r="219" spans="1:4" x14ac:dyDescent="0.2">
      <c r="A219" s="18" t="s">
        <v>1527</v>
      </c>
      <c r="B219" t="s">
        <v>684</v>
      </c>
      <c r="C219" t="s">
        <v>683</v>
      </c>
      <c r="D219" t="s">
        <v>662</v>
      </c>
    </row>
    <row r="220" spans="1:4" x14ac:dyDescent="0.2">
      <c r="A220" s="18" t="s">
        <v>1528</v>
      </c>
      <c r="B220" t="s">
        <v>685</v>
      </c>
      <c r="C220" t="s">
        <v>685</v>
      </c>
      <c r="D220" t="s">
        <v>662</v>
      </c>
    </row>
    <row r="221" spans="1:4" x14ac:dyDescent="0.2">
      <c r="A221" s="18" t="s">
        <v>1529</v>
      </c>
      <c r="B221" t="s">
        <v>686</v>
      </c>
      <c r="C221" t="s">
        <v>685</v>
      </c>
      <c r="D221" t="s">
        <v>662</v>
      </c>
    </row>
    <row r="222" spans="1:4" x14ac:dyDescent="0.2">
      <c r="A222" s="18" t="s">
        <v>1530</v>
      </c>
      <c r="B222" t="s">
        <v>687</v>
      </c>
      <c r="C222" t="s">
        <v>685</v>
      </c>
      <c r="D222" t="s">
        <v>662</v>
      </c>
    </row>
    <row r="223" spans="1:4" x14ac:dyDescent="0.2">
      <c r="A223" s="18" t="s">
        <v>1531</v>
      </c>
      <c r="B223" t="s">
        <v>688</v>
      </c>
      <c r="C223" t="s">
        <v>688</v>
      </c>
      <c r="D223" t="s">
        <v>662</v>
      </c>
    </row>
    <row r="224" spans="1:4" x14ac:dyDescent="0.2">
      <c r="A224" s="18" t="s">
        <v>1532</v>
      </c>
      <c r="B224" t="s">
        <v>689</v>
      </c>
      <c r="C224" t="s">
        <v>688</v>
      </c>
      <c r="D224" t="s">
        <v>662</v>
      </c>
    </row>
    <row r="225" spans="1:4" x14ac:dyDescent="0.2">
      <c r="A225" s="18" t="s">
        <v>1533</v>
      </c>
      <c r="B225" t="s">
        <v>690</v>
      </c>
      <c r="C225" t="s">
        <v>688</v>
      </c>
      <c r="D225" t="s">
        <v>662</v>
      </c>
    </row>
    <row r="226" spans="1:4" x14ac:dyDescent="0.2">
      <c r="A226" s="18" t="s">
        <v>1534</v>
      </c>
      <c r="B226" t="s">
        <v>691</v>
      </c>
      <c r="C226" t="s">
        <v>688</v>
      </c>
      <c r="D226" t="s">
        <v>662</v>
      </c>
    </row>
    <row r="227" spans="1:4" x14ac:dyDescent="0.2">
      <c r="A227" s="18" t="s">
        <v>1535</v>
      </c>
      <c r="B227" t="s">
        <v>692</v>
      </c>
      <c r="C227" t="s">
        <v>688</v>
      </c>
      <c r="D227" t="s">
        <v>662</v>
      </c>
    </row>
    <row r="228" spans="1:4" x14ac:dyDescent="0.2">
      <c r="A228" s="18" t="s">
        <v>1536</v>
      </c>
      <c r="B228" t="s">
        <v>24</v>
      </c>
      <c r="C228" t="s">
        <v>24</v>
      </c>
      <c r="D228" t="s">
        <v>693</v>
      </c>
    </row>
    <row r="229" spans="1:4" x14ac:dyDescent="0.2">
      <c r="A229" s="18" t="s">
        <v>1537</v>
      </c>
      <c r="B229" t="s">
        <v>694</v>
      </c>
      <c r="C229" t="s">
        <v>24</v>
      </c>
      <c r="D229" t="s">
        <v>693</v>
      </c>
    </row>
    <row r="230" spans="1:4" x14ac:dyDescent="0.2">
      <c r="A230" s="18" t="s">
        <v>1538</v>
      </c>
      <c r="B230" t="s">
        <v>695</v>
      </c>
      <c r="C230" t="s">
        <v>24</v>
      </c>
      <c r="D230" t="s">
        <v>693</v>
      </c>
    </row>
    <row r="231" spans="1:4" x14ac:dyDescent="0.2">
      <c r="A231" s="18" t="s">
        <v>1539</v>
      </c>
      <c r="B231" t="s">
        <v>696</v>
      </c>
      <c r="C231" t="s">
        <v>24</v>
      </c>
      <c r="D231" t="s">
        <v>693</v>
      </c>
    </row>
    <row r="232" spans="1:4" x14ac:dyDescent="0.2">
      <c r="A232" s="18" t="s">
        <v>1540</v>
      </c>
      <c r="B232" t="s">
        <v>697</v>
      </c>
      <c r="C232" t="s">
        <v>697</v>
      </c>
      <c r="D232" t="s">
        <v>693</v>
      </c>
    </row>
    <row r="233" spans="1:4" x14ac:dyDescent="0.2">
      <c r="A233" s="18" t="s">
        <v>1541</v>
      </c>
      <c r="B233" t="s">
        <v>698</v>
      </c>
      <c r="C233" t="s">
        <v>697</v>
      </c>
      <c r="D233" t="s">
        <v>693</v>
      </c>
    </row>
    <row r="234" spans="1:4" x14ac:dyDescent="0.2">
      <c r="A234" s="18" t="s">
        <v>1542</v>
      </c>
      <c r="B234" t="s">
        <v>699</v>
      </c>
      <c r="C234" t="s">
        <v>697</v>
      </c>
      <c r="D234" t="s">
        <v>693</v>
      </c>
    </row>
    <row r="235" spans="1:4" x14ac:dyDescent="0.2">
      <c r="A235" s="18" t="s">
        <v>1543</v>
      </c>
      <c r="B235" t="s">
        <v>700</v>
      </c>
      <c r="C235" t="s">
        <v>697</v>
      </c>
      <c r="D235" t="s">
        <v>693</v>
      </c>
    </row>
    <row r="236" spans="1:4" x14ac:dyDescent="0.2">
      <c r="A236" s="18" t="s">
        <v>1544</v>
      </c>
      <c r="B236" t="s">
        <v>12</v>
      </c>
      <c r="C236" t="s">
        <v>697</v>
      </c>
      <c r="D236" t="s">
        <v>693</v>
      </c>
    </row>
    <row r="237" spans="1:4" x14ac:dyDescent="0.2">
      <c r="A237" s="18" t="s">
        <v>1545</v>
      </c>
      <c r="B237" t="s">
        <v>701</v>
      </c>
      <c r="C237" t="s">
        <v>697</v>
      </c>
      <c r="D237" t="s">
        <v>693</v>
      </c>
    </row>
    <row r="238" spans="1:4" x14ac:dyDescent="0.2">
      <c r="A238" s="18" t="s">
        <v>1546</v>
      </c>
      <c r="B238" t="s">
        <v>702</v>
      </c>
      <c r="C238" t="s">
        <v>697</v>
      </c>
      <c r="D238" t="s">
        <v>693</v>
      </c>
    </row>
    <row r="239" spans="1:4" x14ac:dyDescent="0.2">
      <c r="A239" s="18" t="s">
        <v>1547</v>
      </c>
      <c r="B239" t="s">
        <v>69</v>
      </c>
      <c r="C239" t="s">
        <v>697</v>
      </c>
      <c r="D239" t="s">
        <v>693</v>
      </c>
    </row>
    <row r="240" spans="1:4" x14ac:dyDescent="0.2">
      <c r="A240" s="18" t="s">
        <v>1548</v>
      </c>
      <c r="B240" t="s">
        <v>703</v>
      </c>
      <c r="C240" t="s">
        <v>697</v>
      </c>
      <c r="D240" t="s">
        <v>693</v>
      </c>
    </row>
    <row r="241" spans="1:4" x14ac:dyDescent="0.2">
      <c r="A241" s="18" t="s">
        <v>1549</v>
      </c>
      <c r="B241" t="s">
        <v>451</v>
      </c>
      <c r="C241" t="s">
        <v>451</v>
      </c>
      <c r="D241" t="s">
        <v>693</v>
      </c>
    </row>
    <row r="242" spans="1:4" x14ac:dyDescent="0.2">
      <c r="A242" s="18" t="s">
        <v>1550</v>
      </c>
      <c r="B242" t="s">
        <v>704</v>
      </c>
      <c r="C242" t="s">
        <v>451</v>
      </c>
      <c r="D242" t="s">
        <v>693</v>
      </c>
    </row>
    <row r="243" spans="1:4" x14ac:dyDescent="0.2">
      <c r="A243" s="18" t="s">
        <v>1551</v>
      </c>
      <c r="B243" t="s">
        <v>705</v>
      </c>
      <c r="C243" t="s">
        <v>451</v>
      </c>
      <c r="D243" t="s">
        <v>693</v>
      </c>
    </row>
    <row r="244" spans="1:4" x14ac:dyDescent="0.2">
      <c r="A244" s="18" t="s">
        <v>1552</v>
      </c>
      <c r="B244" t="s">
        <v>706</v>
      </c>
      <c r="C244" t="s">
        <v>451</v>
      </c>
      <c r="D244" t="s">
        <v>693</v>
      </c>
    </row>
    <row r="245" spans="1:4" x14ac:dyDescent="0.2">
      <c r="A245" s="18" t="s">
        <v>1553</v>
      </c>
      <c r="B245" t="s">
        <v>707</v>
      </c>
      <c r="C245" t="s">
        <v>451</v>
      </c>
      <c r="D245" t="s">
        <v>693</v>
      </c>
    </row>
    <row r="246" spans="1:4" x14ac:dyDescent="0.2">
      <c r="A246" s="18" t="s">
        <v>1554</v>
      </c>
      <c r="B246" t="s">
        <v>708</v>
      </c>
      <c r="C246" t="s">
        <v>451</v>
      </c>
      <c r="D246" t="s">
        <v>693</v>
      </c>
    </row>
    <row r="247" spans="1:4" x14ac:dyDescent="0.2">
      <c r="A247" s="18" t="s">
        <v>1555</v>
      </c>
      <c r="B247" t="s">
        <v>709</v>
      </c>
      <c r="C247" t="s">
        <v>451</v>
      </c>
      <c r="D247" t="s">
        <v>693</v>
      </c>
    </row>
    <row r="248" spans="1:4" x14ac:dyDescent="0.2">
      <c r="A248" s="18" t="s">
        <v>1556</v>
      </c>
      <c r="B248" t="s">
        <v>710</v>
      </c>
      <c r="C248" t="s">
        <v>710</v>
      </c>
      <c r="D248" t="s">
        <v>693</v>
      </c>
    </row>
    <row r="249" spans="1:4" x14ac:dyDescent="0.2">
      <c r="A249" s="18" t="s">
        <v>1557</v>
      </c>
      <c r="B249" t="s">
        <v>45</v>
      </c>
      <c r="C249" t="s">
        <v>710</v>
      </c>
      <c r="D249" t="s">
        <v>693</v>
      </c>
    </row>
    <row r="250" spans="1:4" x14ac:dyDescent="0.2">
      <c r="A250" s="18" t="s">
        <v>1558</v>
      </c>
      <c r="B250" t="s">
        <v>711</v>
      </c>
      <c r="C250" t="s">
        <v>710</v>
      </c>
      <c r="D250" t="s">
        <v>693</v>
      </c>
    </row>
    <row r="251" spans="1:4" x14ac:dyDescent="0.2">
      <c r="A251" s="18" t="s">
        <v>1559</v>
      </c>
      <c r="B251" t="s">
        <v>712</v>
      </c>
      <c r="C251" t="s">
        <v>710</v>
      </c>
      <c r="D251" t="s">
        <v>693</v>
      </c>
    </row>
    <row r="252" spans="1:4" x14ac:dyDescent="0.2">
      <c r="A252" s="18" t="s">
        <v>1560</v>
      </c>
      <c r="B252" t="s">
        <v>713</v>
      </c>
      <c r="C252" t="s">
        <v>710</v>
      </c>
      <c r="D252" t="s">
        <v>693</v>
      </c>
    </row>
    <row r="253" spans="1:4" x14ac:dyDescent="0.2">
      <c r="A253" s="18" t="s">
        <v>1561</v>
      </c>
      <c r="B253" t="s">
        <v>714</v>
      </c>
      <c r="C253" t="s">
        <v>710</v>
      </c>
      <c r="D253" t="s">
        <v>693</v>
      </c>
    </row>
    <row r="254" spans="1:4" x14ac:dyDescent="0.2">
      <c r="A254" s="18" t="s">
        <v>1562</v>
      </c>
      <c r="B254" t="s">
        <v>471</v>
      </c>
      <c r="C254" t="s">
        <v>471</v>
      </c>
      <c r="D254" t="s">
        <v>693</v>
      </c>
    </row>
    <row r="255" spans="1:4" x14ac:dyDescent="0.2">
      <c r="A255" s="18" t="s">
        <v>1563</v>
      </c>
      <c r="B255" t="s">
        <v>446</v>
      </c>
      <c r="C255" t="s">
        <v>471</v>
      </c>
      <c r="D255" t="s">
        <v>693</v>
      </c>
    </row>
    <row r="256" spans="1:4" x14ac:dyDescent="0.2">
      <c r="A256" s="18" t="s">
        <v>1564</v>
      </c>
      <c r="B256" t="s">
        <v>35</v>
      </c>
      <c r="C256" t="s">
        <v>471</v>
      </c>
      <c r="D256" t="s">
        <v>693</v>
      </c>
    </row>
    <row r="257" spans="1:4" x14ac:dyDescent="0.2">
      <c r="A257" s="18" t="s">
        <v>1565</v>
      </c>
      <c r="B257" t="s">
        <v>715</v>
      </c>
      <c r="C257" t="s">
        <v>471</v>
      </c>
      <c r="D257" t="s">
        <v>693</v>
      </c>
    </row>
    <row r="258" spans="1:4" x14ac:dyDescent="0.2">
      <c r="A258" s="18" t="s">
        <v>1566</v>
      </c>
      <c r="B258" t="s">
        <v>716</v>
      </c>
      <c r="C258" t="s">
        <v>471</v>
      </c>
      <c r="D258" t="s">
        <v>693</v>
      </c>
    </row>
    <row r="259" spans="1:4" x14ac:dyDescent="0.2">
      <c r="A259" s="18" t="s">
        <v>1567</v>
      </c>
      <c r="B259" t="s">
        <v>717</v>
      </c>
      <c r="C259" t="s">
        <v>471</v>
      </c>
      <c r="D259" t="s">
        <v>693</v>
      </c>
    </row>
    <row r="260" spans="1:4" x14ac:dyDescent="0.2">
      <c r="A260" s="18" t="s">
        <v>1568</v>
      </c>
      <c r="B260" t="s">
        <v>718</v>
      </c>
      <c r="C260" t="s">
        <v>471</v>
      </c>
      <c r="D260" t="s">
        <v>693</v>
      </c>
    </row>
    <row r="261" spans="1:4" x14ac:dyDescent="0.2">
      <c r="A261" s="18" t="s">
        <v>1569</v>
      </c>
      <c r="B261" t="s">
        <v>719</v>
      </c>
      <c r="C261" t="s">
        <v>471</v>
      </c>
      <c r="D261" t="s">
        <v>693</v>
      </c>
    </row>
    <row r="262" spans="1:4" x14ac:dyDescent="0.2">
      <c r="A262" s="18" t="s">
        <v>1570</v>
      </c>
      <c r="B262" t="s">
        <v>720</v>
      </c>
      <c r="C262" t="s">
        <v>720</v>
      </c>
      <c r="D262" t="s">
        <v>693</v>
      </c>
    </row>
    <row r="263" spans="1:4" x14ac:dyDescent="0.2">
      <c r="A263" s="18" t="s">
        <v>1571</v>
      </c>
      <c r="B263" t="s">
        <v>721</v>
      </c>
      <c r="C263" t="s">
        <v>720</v>
      </c>
      <c r="D263" t="s">
        <v>693</v>
      </c>
    </row>
    <row r="264" spans="1:4" x14ac:dyDescent="0.2">
      <c r="A264" s="18" t="s">
        <v>1572</v>
      </c>
      <c r="B264" t="s">
        <v>722</v>
      </c>
      <c r="C264" t="s">
        <v>720</v>
      </c>
      <c r="D264" t="s">
        <v>693</v>
      </c>
    </row>
    <row r="265" spans="1:4" x14ac:dyDescent="0.2">
      <c r="A265" s="18" t="s">
        <v>1573</v>
      </c>
      <c r="B265" t="s">
        <v>723</v>
      </c>
      <c r="C265" t="s">
        <v>720</v>
      </c>
      <c r="D265" t="s">
        <v>693</v>
      </c>
    </row>
    <row r="266" spans="1:4" x14ac:dyDescent="0.2">
      <c r="A266" s="18" t="s">
        <v>1574</v>
      </c>
      <c r="B266" t="s">
        <v>724</v>
      </c>
      <c r="C266" t="s">
        <v>720</v>
      </c>
      <c r="D266" t="s">
        <v>693</v>
      </c>
    </row>
    <row r="267" spans="1:4" x14ac:dyDescent="0.2">
      <c r="A267" s="18" t="s">
        <v>1575</v>
      </c>
      <c r="B267" t="s">
        <v>725</v>
      </c>
      <c r="C267" t="s">
        <v>720</v>
      </c>
      <c r="D267" t="s">
        <v>693</v>
      </c>
    </row>
    <row r="268" spans="1:4" x14ac:dyDescent="0.2">
      <c r="A268" s="18" t="s">
        <v>1576</v>
      </c>
      <c r="B268" t="s">
        <v>726</v>
      </c>
      <c r="C268" t="s">
        <v>726</v>
      </c>
      <c r="D268" t="s">
        <v>693</v>
      </c>
    </row>
    <row r="269" spans="1:4" x14ac:dyDescent="0.2">
      <c r="A269" s="18" t="s">
        <v>1577</v>
      </c>
      <c r="B269" t="s">
        <v>727</v>
      </c>
      <c r="C269" t="s">
        <v>726</v>
      </c>
      <c r="D269" t="s">
        <v>693</v>
      </c>
    </row>
    <row r="270" spans="1:4" x14ac:dyDescent="0.2">
      <c r="A270" s="18" t="s">
        <v>1578</v>
      </c>
      <c r="B270" t="s">
        <v>728</v>
      </c>
      <c r="C270" t="s">
        <v>726</v>
      </c>
      <c r="D270" t="s">
        <v>693</v>
      </c>
    </row>
    <row r="271" spans="1:4" x14ac:dyDescent="0.2">
      <c r="A271" s="18" t="s">
        <v>1579</v>
      </c>
      <c r="B271" t="s">
        <v>729</v>
      </c>
      <c r="C271" t="s">
        <v>726</v>
      </c>
      <c r="D271" t="s">
        <v>693</v>
      </c>
    </row>
    <row r="272" spans="1:4" x14ac:dyDescent="0.2">
      <c r="A272" s="18" t="s">
        <v>1580</v>
      </c>
      <c r="B272" t="s">
        <v>730</v>
      </c>
      <c r="C272" t="s">
        <v>726</v>
      </c>
      <c r="D272" t="s">
        <v>693</v>
      </c>
    </row>
    <row r="273" spans="1:4" x14ac:dyDescent="0.2">
      <c r="A273" s="18" t="s">
        <v>1581</v>
      </c>
      <c r="B273" t="s">
        <v>731</v>
      </c>
      <c r="C273" t="s">
        <v>731</v>
      </c>
      <c r="D273" t="s">
        <v>693</v>
      </c>
    </row>
    <row r="274" spans="1:4" x14ac:dyDescent="0.2">
      <c r="A274" s="18" t="s">
        <v>1582</v>
      </c>
      <c r="B274" t="s">
        <v>732</v>
      </c>
      <c r="C274" t="s">
        <v>731</v>
      </c>
      <c r="D274" t="s">
        <v>693</v>
      </c>
    </row>
    <row r="275" spans="1:4" x14ac:dyDescent="0.2">
      <c r="A275" s="18" t="s">
        <v>1583</v>
      </c>
      <c r="B275" t="s">
        <v>733</v>
      </c>
      <c r="C275" t="s">
        <v>731</v>
      </c>
      <c r="D275" t="s">
        <v>693</v>
      </c>
    </row>
    <row r="276" spans="1:4" x14ac:dyDescent="0.2">
      <c r="A276" s="18" t="s">
        <v>1584</v>
      </c>
      <c r="B276" t="s">
        <v>734</v>
      </c>
      <c r="C276" t="s">
        <v>731</v>
      </c>
      <c r="D276" t="s">
        <v>693</v>
      </c>
    </row>
    <row r="277" spans="1:4" x14ac:dyDescent="0.2">
      <c r="A277" s="18" t="s">
        <v>1585</v>
      </c>
      <c r="B277" t="s">
        <v>735</v>
      </c>
      <c r="C277" t="s">
        <v>731</v>
      </c>
      <c r="D277" t="s">
        <v>693</v>
      </c>
    </row>
    <row r="278" spans="1:4" x14ac:dyDescent="0.2">
      <c r="A278" s="18" t="s">
        <v>1586</v>
      </c>
      <c r="B278" t="s">
        <v>736</v>
      </c>
      <c r="C278" t="s">
        <v>736</v>
      </c>
      <c r="D278" t="s">
        <v>693</v>
      </c>
    </row>
    <row r="279" spans="1:4" x14ac:dyDescent="0.2">
      <c r="A279" s="18" t="s">
        <v>1587</v>
      </c>
      <c r="B279" t="s">
        <v>51</v>
      </c>
      <c r="C279" t="s">
        <v>736</v>
      </c>
      <c r="D279" t="s">
        <v>693</v>
      </c>
    </row>
    <row r="280" spans="1:4" x14ac:dyDescent="0.2">
      <c r="A280" s="18" t="s">
        <v>1588</v>
      </c>
      <c r="B280" t="s">
        <v>737</v>
      </c>
      <c r="C280" t="s">
        <v>736</v>
      </c>
      <c r="D280" t="s">
        <v>693</v>
      </c>
    </row>
    <row r="281" spans="1:4" x14ac:dyDescent="0.2">
      <c r="A281" s="18" t="s">
        <v>1589</v>
      </c>
      <c r="B281" t="s">
        <v>738</v>
      </c>
      <c r="C281" t="s">
        <v>736</v>
      </c>
      <c r="D281" t="s">
        <v>693</v>
      </c>
    </row>
    <row r="282" spans="1:4" x14ac:dyDescent="0.2">
      <c r="A282" s="18" t="s">
        <v>1590</v>
      </c>
      <c r="B282" t="s">
        <v>739</v>
      </c>
      <c r="C282" t="s">
        <v>736</v>
      </c>
      <c r="D282" t="s">
        <v>693</v>
      </c>
    </row>
    <row r="283" spans="1:4" x14ac:dyDescent="0.2">
      <c r="A283" s="18" t="s">
        <v>1591</v>
      </c>
      <c r="B283" t="s">
        <v>740</v>
      </c>
      <c r="C283" t="s">
        <v>736</v>
      </c>
      <c r="D283" t="s">
        <v>693</v>
      </c>
    </row>
    <row r="284" spans="1:4" x14ac:dyDescent="0.2">
      <c r="A284" s="18" t="s">
        <v>1592</v>
      </c>
      <c r="B284" t="s">
        <v>741</v>
      </c>
      <c r="C284" t="s">
        <v>736</v>
      </c>
      <c r="D284" t="s">
        <v>693</v>
      </c>
    </row>
    <row r="285" spans="1:4" x14ac:dyDescent="0.2">
      <c r="A285" s="18" t="s">
        <v>1593</v>
      </c>
      <c r="B285" t="s">
        <v>742</v>
      </c>
      <c r="C285" t="s">
        <v>736</v>
      </c>
      <c r="D285" t="s">
        <v>693</v>
      </c>
    </row>
    <row r="286" spans="1:4" x14ac:dyDescent="0.2">
      <c r="A286" s="18" t="s">
        <v>1594</v>
      </c>
      <c r="B286" t="s">
        <v>743</v>
      </c>
      <c r="C286" t="s">
        <v>736</v>
      </c>
      <c r="D286" t="s">
        <v>693</v>
      </c>
    </row>
    <row r="287" spans="1:4" x14ac:dyDescent="0.2">
      <c r="A287" s="18" t="s">
        <v>1595</v>
      </c>
      <c r="B287" t="s">
        <v>59</v>
      </c>
      <c r="C287" t="s">
        <v>59</v>
      </c>
      <c r="D287" t="s">
        <v>693</v>
      </c>
    </row>
    <row r="288" spans="1:4" x14ac:dyDescent="0.2">
      <c r="A288" s="18" t="s">
        <v>1596</v>
      </c>
      <c r="B288" t="s">
        <v>437</v>
      </c>
      <c r="C288" t="s">
        <v>59</v>
      </c>
      <c r="D288" t="s">
        <v>693</v>
      </c>
    </row>
    <row r="289" spans="1:4" x14ac:dyDescent="0.2">
      <c r="A289" s="18" t="s">
        <v>1597</v>
      </c>
      <c r="B289" t="s">
        <v>33</v>
      </c>
      <c r="C289" t="s">
        <v>59</v>
      </c>
      <c r="D289" t="s">
        <v>693</v>
      </c>
    </row>
    <row r="290" spans="1:4" x14ac:dyDescent="0.2">
      <c r="A290" s="18" t="s">
        <v>1598</v>
      </c>
      <c r="B290" t="s">
        <v>744</v>
      </c>
      <c r="C290" t="s">
        <v>59</v>
      </c>
      <c r="D290" t="s">
        <v>693</v>
      </c>
    </row>
    <row r="291" spans="1:4" x14ac:dyDescent="0.2">
      <c r="A291" s="18" t="s">
        <v>1599</v>
      </c>
      <c r="B291" t="s">
        <v>745</v>
      </c>
      <c r="C291" t="s">
        <v>59</v>
      </c>
      <c r="D291" t="s">
        <v>693</v>
      </c>
    </row>
    <row r="292" spans="1:4" x14ac:dyDescent="0.2">
      <c r="A292" s="18" t="s">
        <v>1600</v>
      </c>
      <c r="B292" t="s">
        <v>746</v>
      </c>
      <c r="C292" t="s">
        <v>59</v>
      </c>
      <c r="D292" t="s">
        <v>693</v>
      </c>
    </row>
    <row r="293" spans="1:4" x14ac:dyDescent="0.2">
      <c r="A293" s="18" t="s">
        <v>1601</v>
      </c>
      <c r="B293" t="s">
        <v>62</v>
      </c>
      <c r="C293" t="s">
        <v>747</v>
      </c>
      <c r="D293" t="s">
        <v>693</v>
      </c>
    </row>
    <row r="294" spans="1:4" x14ac:dyDescent="0.2">
      <c r="A294" s="18" t="s">
        <v>1602</v>
      </c>
      <c r="B294" t="s">
        <v>747</v>
      </c>
      <c r="C294" t="s">
        <v>747</v>
      </c>
      <c r="D294" t="s">
        <v>693</v>
      </c>
    </row>
    <row r="295" spans="1:4" x14ac:dyDescent="0.2">
      <c r="A295" s="18" t="s">
        <v>1603</v>
      </c>
      <c r="B295" t="s">
        <v>748</v>
      </c>
      <c r="C295" t="s">
        <v>747</v>
      </c>
      <c r="D295" t="s">
        <v>693</v>
      </c>
    </row>
    <row r="296" spans="1:4" x14ac:dyDescent="0.2">
      <c r="A296" s="18" t="s">
        <v>1604</v>
      </c>
      <c r="B296" t="s">
        <v>749</v>
      </c>
      <c r="C296" t="s">
        <v>747</v>
      </c>
      <c r="D296" t="s">
        <v>693</v>
      </c>
    </row>
    <row r="297" spans="1:4" x14ac:dyDescent="0.2">
      <c r="A297" s="18" t="s">
        <v>1605</v>
      </c>
      <c r="B297" t="s">
        <v>39</v>
      </c>
      <c r="C297" t="s">
        <v>39</v>
      </c>
      <c r="D297" t="s">
        <v>693</v>
      </c>
    </row>
    <row r="298" spans="1:4" x14ac:dyDescent="0.2">
      <c r="A298" s="18" t="s">
        <v>1606</v>
      </c>
      <c r="B298" t="s">
        <v>750</v>
      </c>
      <c r="C298" t="s">
        <v>39</v>
      </c>
      <c r="D298" t="s">
        <v>693</v>
      </c>
    </row>
    <row r="299" spans="1:4" x14ac:dyDescent="0.2">
      <c r="A299" s="18" t="s">
        <v>1607</v>
      </c>
      <c r="B299" t="s">
        <v>751</v>
      </c>
      <c r="C299" t="s">
        <v>39</v>
      </c>
      <c r="D299" t="s">
        <v>693</v>
      </c>
    </row>
    <row r="300" spans="1:4" x14ac:dyDescent="0.2">
      <c r="A300" s="18" t="s">
        <v>1608</v>
      </c>
      <c r="B300" t="s">
        <v>752</v>
      </c>
      <c r="C300" t="s">
        <v>39</v>
      </c>
      <c r="D300" t="s">
        <v>693</v>
      </c>
    </row>
    <row r="301" spans="1:4" x14ac:dyDescent="0.2">
      <c r="A301" s="18" t="s">
        <v>1609</v>
      </c>
      <c r="B301" t="s">
        <v>753</v>
      </c>
      <c r="C301" t="s">
        <v>39</v>
      </c>
      <c r="D301" t="s">
        <v>693</v>
      </c>
    </row>
    <row r="302" spans="1:4" x14ac:dyDescent="0.2">
      <c r="A302" s="18" t="s">
        <v>1610</v>
      </c>
      <c r="B302" t="s">
        <v>754</v>
      </c>
      <c r="C302" t="s">
        <v>754</v>
      </c>
      <c r="D302" t="s">
        <v>693</v>
      </c>
    </row>
    <row r="303" spans="1:4" x14ac:dyDescent="0.2">
      <c r="A303" s="18" t="s">
        <v>1611</v>
      </c>
      <c r="B303" t="s">
        <v>755</v>
      </c>
      <c r="C303" t="s">
        <v>754</v>
      </c>
      <c r="D303" t="s">
        <v>693</v>
      </c>
    </row>
    <row r="304" spans="1:4" x14ac:dyDescent="0.2">
      <c r="A304" s="18" t="s">
        <v>1612</v>
      </c>
      <c r="B304" t="s">
        <v>756</v>
      </c>
      <c r="C304" t="s">
        <v>754</v>
      </c>
      <c r="D304" t="s">
        <v>693</v>
      </c>
    </row>
    <row r="305" spans="1:4" x14ac:dyDescent="0.2">
      <c r="A305" s="18" t="s">
        <v>1613</v>
      </c>
      <c r="B305" t="s">
        <v>757</v>
      </c>
      <c r="C305" t="s">
        <v>754</v>
      </c>
      <c r="D305" t="s">
        <v>693</v>
      </c>
    </row>
    <row r="306" spans="1:4" x14ac:dyDescent="0.2">
      <c r="A306" s="18" t="s">
        <v>1614</v>
      </c>
      <c r="B306" t="s">
        <v>758</v>
      </c>
      <c r="C306" t="s">
        <v>754</v>
      </c>
      <c r="D306" t="s">
        <v>693</v>
      </c>
    </row>
    <row r="307" spans="1:4" x14ac:dyDescent="0.2">
      <c r="A307" s="18" t="s">
        <v>1615</v>
      </c>
      <c r="B307" t="s">
        <v>759</v>
      </c>
      <c r="C307" t="s">
        <v>759</v>
      </c>
      <c r="D307" t="s">
        <v>693</v>
      </c>
    </row>
    <row r="308" spans="1:4" x14ac:dyDescent="0.2">
      <c r="A308" s="18" t="s">
        <v>1616</v>
      </c>
      <c r="B308" t="s">
        <v>760</v>
      </c>
      <c r="C308" t="s">
        <v>759</v>
      </c>
      <c r="D308" t="s">
        <v>693</v>
      </c>
    </row>
    <row r="309" spans="1:4" x14ac:dyDescent="0.2">
      <c r="A309" s="18" t="s">
        <v>1617</v>
      </c>
      <c r="B309" t="s">
        <v>761</v>
      </c>
      <c r="C309" t="s">
        <v>759</v>
      </c>
      <c r="D309" t="s">
        <v>693</v>
      </c>
    </row>
    <row r="310" spans="1:4" x14ac:dyDescent="0.2">
      <c r="A310" s="18" t="s">
        <v>1618</v>
      </c>
      <c r="B310" t="s">
        <v>762</v>
      </c>
      <c r="C310" t="s">
        <v>759</v>
      </c>
      <c r="D310" t="s">
        <v>693</v>
      </c>
    </row>
    <row r="311" spans="1:4" x14ac:dyDescent="0.2">
      <c r="A311" s="18" t="s">
        <v>1619</v>
      </c>
      <c r="B311" t="s">
        <v>763</v>
      </c>
      <c r="C311" t="s">
        <v>759</v>
      </c>
      <c r="D311" t="s">
        <v>693</v>
      </c>
    </row>
    <row r="312" spans="1:4" x14ac:dyDescent="0.2">
      <c r="A312" s="18" t="s">
        <v>1620</v>
      </c>
      <c r="B312" t="s">
        <v>764</v>
      </c>
      <c r="C312" t="s">
        <v>764</v>
      </c>
      <c r="D312" t="s">
        <v>693</v>
      </c>
    </row>
    <row r="313" spans="1:4" x14ac:dyDescent="0.2">
      <c r="A313" s="18" t="s">
        <v>1621</v>
      </c>
      <c r="B313" t="s">
        <v>765</v>
      </c>
      <c r="C313" t="s">
        <v>764</v>
      </c>
      <c r="D313" t="s">
        <v>693</v>
      </c>
    </row>
    <row r="314" spans="1:4" x14ac:dyDescent="0.2">
      <c r="A314" s="18" t="s">
        <v>1622</v>
      </c>
      <c r="B314" t="s">
        <v>766</v>
      </c>
      <c r="C314" t="s">
        <v>764</v>
      </c>
      <c r="D314" t="s">
        <v>693</v>
      </c>
    </row>
    <row r="315" spans="1:4" x14ac:dyDescent="0.2">
      <c r="A315" s="18" t="s">
        <v>1623</v>
      </c>
      <c r="B315" t="s">
        <v>767</v>
      </c>
      <c r="C315" t="s">
        <v>764</v>
      </c>
      <c r="D315" t="s">
        <v>693</v>
      </c>
    </row>
    <row r="316" spans="1:4" x14ac:dyDescent="0.2">
      <c r="A316" s="18" t="s">
        <v>1624</v>
      </c>
      <c r="B316" t="s">
        <v>768</v>
      </c>
      <c r="C316" t="s">
        <v>764</v>
      </c>
      <c r="D316" t="s">
        <v>693</v>
      </c>
    </row>
    <row r="317" spans="1:4" x14ac:dyDescent="0.2">
      <c r="A317" s="18" t="s">
        <v>1625</v>
      </c>
      <c r="B317" t="s">
        <v>769</v>
      </c>
      <c r="C317" t="s">
        <v>764</v>
      </c>
      <c r="D317" t="s">
        <v>693</v>
      </c>
    </row>
    <row r="318" spans="1:4" x14ac:dyDescent="0.2">
      <c r="A318" s="18" t="s">
        <v>1626</v>
      </c>
      <c r="B318" t="s">
        <v>770</v>
      </c>
      <c r="C318" t="s">
        <v>764</v>
      </c>
      <c r="D318" t="s">
        <v>693</v>
      </c>
    </row>
    <row r="319" spans="1:4" x14ac:dyDescent="0.2">
      <c r="A319" s="18" t="s">
        <v>1627</v>
      </c>
      <c r="B319" t="s">
        <v>771</v>
      </c>
      <c r="C319" t="s">
        <v>771</v>
      </c>
      <c r="D319" t="s">
        <v>693</v>
      </c>
    </row>
    <row r="320" spans="1:4" x14ac:dyDescent="0.2">
      <c r="A320" s="18" t="s">
        <v>1628</v>
      </c>
      <c r="B320" t="s">
        <v>772</v>
      </c>
      <c r="C320" t="s">
        <v>771</v>
      </c>
      <c r="D320" t="s">
        <v>693</v>
      </c>
    </row>
    <row r="321" spans="1:4" x14ac:dyDescent="0.2">
      <c r="A321" s="18" t="s">
        <v>1629</v>
      </c>
      <c r="B321" t="s">
        <v>773</v>
      </c>
      <c r="C321" t="s">
        <v>771</v>
      </c>
      <c r="D321" t="s">
        <v>693</v>
      </c>
    </row>
    <row r="322" spans="1:4" x14ac:dyDescent="0.2">
      <c r="A322" s="18" t="s">
        <v>1630</v>
      </c>
      <c r="B322" t="s">
        <v>774</v>
      </c>
      <c r="C322" t="s">
        <v>771</v>
      </c>
      <c r="D322" t="s">
        <v>693</v>
      </c>
    </row>
    <row r="323" spans="1:4" x14ac:dyDescent="0.2">
      <c r="A323" s="18" t="s">
        <v>1631</v>
      </c>
      <c r="B323" t="s">
        <v>775</v>
      </c>
      <c r="C323" t="s">
        <v>771</v>
      </c>
      <c r="D323" t="s">
        <v>693</v>
      </c>
    </row>
    <row r="324" spans="1:4" x14ac:dyDescent="0.2">
      <c r="A324" s="18" t="s">
        <v>1632</v>
      </c>
      <c r="B324" t="s">
        <v>776</v>
      </c>
      <c r="C324" t="s">
        <v>771</v>
      </c>
      <c r="D324" t="s">
        <v>693</v>
      </c>
    </row>
    <row r="325" spans="1:4" x14ac:dyDescent="0.2">
      <c r="A325" s="18" t="s">
        <v>1633</v>
      </c>
      <c r="B325" t="s">
        <v>777</v>
      </c>
      <c r="C325" t="s">
        <v>771</v>
      </c>
      <c r="D325" t="s">
        <v>693</v>
      </c>
    </row>
    <row r="326" spans="1:4" x14ac:dyDescent="0.2">
      <c r="A326" s="18" t="s">
        <v>1634</v>
      </c>
      <c r="B326" t="s">
        <v>778</v>
      </c>
      <c r="C326" t="s">
        <v>778</v>
      </c>
      <c r="D326" t="s">
        <v>693</v>
      </c>
    </row>
    <row r="327" spans="1:4" x14ac:dyDescent="0.2">
      <c r="A327" s="18" t="s">
        <v>1635</v>
      </c>
      <c r="B327" t="s">
        <v>38</v>
      </c>
      <c r="C327" t="s">
        <v>778</v>
      </c>
      <c r="D327" t="s">
        <v>693</v>
      </c>
    </row>
    <row r="328" spans="1:4" x14ac:dyDescent="0.2">
      <c r="A328" s="18" t="s">
        <v>1636</v>
      </c>
      <c r="B328" t="s">
        <v>70</v>
      </c>
      <c r="C328" t="s">
        <v>778</v>
      </c>
      <c r="D328" t="s">
        <v>693</v>
      </c>
    </row>
    <row r="329" spans="1:4" x14ac:dyDescent="0.2">
      <c r="A329" s="18" t="s">
        <v>1637</v>
      </c>
      <c r="B329" t="s">
        <v>779</v>
      </c>
      <c r="C329" t="s">
        <v>778</v>
      </c>
      <c r="D329" t="s">
        <v>693</v>
      </c>
    </row>
    <row r="330" spans="1:4" x14ac:dyDescent="0.2">
      <c r="A330" s="18" t="s">
        <v>1638</v>
      </c>
      <c r="B330" t="s">
        <v>780</v>
      </c>
      <c r="C330" t="s">
        <v>780</v>
      </c>
      <c r="D330" t="s">
        <v>693</v>
      </c>
    </row>
    <row r="331" spans="1:4" x14ac:dyDescent="0.2">
      <c r="A331" s="18" t="s">
        <v>1639</v>
      </c>
      <c r="B331" t="s">
        <v>781</v>
      </c>
      <c r="C331" t="s">
        <v>780</v>
      </c>
      <c r="D331" t="s">
        <v>693</v>
      </c>
    </row>
    <row r="332" spans="1:4" x14ac:dyDescent="0.2">
      <c r="A332" s="18" t="s">
        <v>1640</v>
      </c>
      <c r="B332" t="s">
        <v>782</v>
      </c>
      <c r="C332" t="s">
        <v>780</v>
      </c>
      <c r="D332" t="s">
        <v>693</v>
      </c>
    </row>
    <row r="333" spans="1:4" x14ac:dyDescent="0.2">
      <c r="A333" s="18" t="s">
        <v>1641</v>
      </c>
      <c r="B333" t="s">
        <v>783</v>
      </c>
      <c r="C333" t="s">
        <v>780</v>
      </c>
      <c r="D333" t="s">
        <v>693</v>
      </c>
    </row>
    <row r="334" spans="1:4" x14ac:dyDescent="0.2">
      <c r="A334" s="18" t="s">
        <v>1642</v>
      </c>
      <c r="B334" t="s">
        <v>784</v>
      </c>
      <c r="C334" t="s">
        <v>780</v>
      </c>
      <c r="D334" t="s">
        <v>693</v>
      </c>
    </row>
    <row r="335" spans="1:4" x14ac:dyDescent="0.2">
      <c r="A335" s="18" t="s">
        <v>1643</v>
      </c>
      <c r="B335" t="s">
        <v>785</v>
      </c>
      <c r="C335" t="s">
        <v>780</v>
      </c>
      <c r="D335" t="s">
        <v>693</v>
      </c>
    </row>
    <row r="336" spans="1:4" x14ac:dyDescent="0.2">
      <c r="A336" s="18" t="s">
        <v>1644</v>
      </c>
      <c r="B336" t="s">
        <v>786</v>
      </c>
      <c r="C336" t="s">
        <v>786</v>
      </c>
      <c r="D336" t="s">
        <v>693</v>
      </c>
    </row>
    <row r="337" spans="1:4" x14ac:dyDescent="0.2">
      <c r="A337" s="18" t="s">
        <v>1645</v>
      </c>
      <c r="B337" t="s">
        <v>787</v>
      </c>
      <c r="C337" t="s">
        <v>786</v>
      </c>
      <c r="D337" t="s">
        <v>693</v>
      </c>
    </row>
    <row r="338" spans="1:4" x14ac:dyDescent="0.2">
      <c r="A338" s="18" t="s">
        <v>1646</v>
      </c>
      <c r="B338" t="s">
        <v>788</v>
      </c>
      <c r="C338" t="s">
        <v>786</v>
      </c>
      <c r="D338" t="s">
        <v>693</v>
      </c>
    </row>
    <row r="339" spans="1:4" x14ac:dyDescent="0.2">
      <c r="A339" s="18" t="s">
        <v>1647</v>
      </c>
      <c r="B339" t="s">
        <v>789</v>
      </c>
      <c r="C339" t="s">
        <v>786</v>
      </c>
      <c r="D339" t="s">
        <v>693</v>
      </c>
    </row>
    <row r="340" spans="1:4" x14ac:dyDescent="0.2">
      <c r="A340" s="18" t="s">
        <v>1648</v>
      </c>
      <c r="B340" t="s">
        <v>790</v>
      </c>
      <c r="C340" t="s">
        <v>786</v>
      </c>
      <c r="D340" t="s">
        <v>693</v>
      </c>
    </row>
    <row r="341" spans="1:4" x14ac:dyDescent="0.2">
      <c r="A341" s="18" t="s">
        <v>1649</v>
      </c>
      <c r="B341" t="s">
        <v>791</v>
      </c>
      <c r="C341" t="s">
        <v>786</v>
      </c>
      <c r="D341" t="s">
        <v>693</v>
      </c>
    </row>
    <row r="342" spans="1:4" x14ac:dyDescent="0.2">
      <c r="A342" s="18" t="s">
        <v>1650</v>
      </c>
      <c r="B342" t="s">
        <v>792</v>
      </c>
      <c r="C342" t="s">
        <v>786</v>
      </c>
      <c r="D342" t="s">
        <v>693</v>
      </c>
    </row>
    <row r="343" spans="1:4" x14ac:dyDescent="0.2">
      <c r="A343" s="18" t="s">
        <v>1651</v>
      </c>
      <c r="B343" t="s">
        <v>793</v>
      </c>
      <c r="C343" t="s">
        <v>793</v>
      </c>
      <c r="D343" t="s">
        <v>693</v>
      </c>
    </row>
    <row r="344" spans="1:4" x14ac:dyDescent="0.2">
      <c r="A344" s="18" t="s">
        <v>1652</v>
      </c>
      <c r="B344" t="s">
        <v>794</v>
      </c>
      <c r="C344" t="s">
        <v>793</v>
      </c>
      <c r="D344" t="s">
        <v>693</v>
      </c>
    </row>
    <row r="345" spans="1:4" x14ac:dyDescent="0.2">
      <c r="A345" s="18" t="s">
        <v>1653</v>
      </c>
      <c r="B345" t="s">
        <v>795</v>
      </c>
      <c r="C345" t="s">
        <v>793</v>
      </c>
      <c r="D345" t="s">
        <v>693</v>
      </c>
    </row>
    <row r="346" spans="1:4" x14ac:dyDescent="0.2">
      <c r="A346" s="18" t="s">
        <v>1654</v>
      </c>
      <c r="B346" t="s">
        <v>796</v>
      </c>
      <c r="C346" t="s">
        <v>793</v>
      </c>
      <c r="D346" t="s">
        <v>693</v>
      </c>
    </row>
    <row r="347" spans="1:4" x14ac:dyDescent="0.2">
      <c r="A347" s="18" t="s">
        <v>1655</v>
      </c>
      <c r="B347" t="s">
        <v>797</v>
      </c>
      <c r="C347" t="s">
        <v>793</v>
      </c>
      <c r="D347" t="s">
        <v>693</v>
      </c>
    </row>
    <row r="348" spans="1:4" x14ac:dyDescent="0.2">
      <c r="A348" s="18" t="s">
        <v>1656</v>
      </c>
      <c r="B348" t="s">
        <v>798</v>
      </c>
      <c r="C348" t="s">
        <v>793</v>
      </c>
      <c r="D348" t="s">
        <v>693</v>
      </c>
    </row>
    <row r="349" spans="1:4" x14ac:dyDescent="0.2">
      <c r="A349" s="18" t="s">
        <v>1657</v>
      </c>
      <c r="B349" t="s">
        <v>799</v>
      </c>
      <c r="C349" t="s">
        <v>799</v>
      </c>
      <c r="D349" t="s">
        <v>693</v>
      </c>
    </row>
    <row r="350" spans="1:4" x14ac:dyDescent="0.2">
      <c r="A350" s="18" t="s">
        <v>1658</v>
      </c>
      <c r="B350" t="s">
        <v>800</v>
      </c>
      <c r="C350" t="s">
        <v>799</v>
      </c>
      <c r="D350" t="s">
        <v>693</v>
      </c>
    </row>
    <row r="351" spans="1:4" x14ac:dyDescent="0.2">
      <c r="A351" s="18" t="s">
        <v>1659</v>
      </c>
      <c r="B351" t="s">
        <v>801</v>
      </c>
      <c r="C351" t="s">
        <v>799</v>
      </c>
      <c r="D351" t="s">
        <v>693</v>
      </c>
    </row>
    <row r="352" spans="1:4" x14ac:dyDescent="0.2">
      <c r="A352" s="18" t="s">
        <v>1660</v>
      </c>
      <c r="B352" t="s">
        <v>802</v>
      </c>
      <c r="C352" t="s">
        <v>799</v>
      </c>
      <c r="D352" t="s">
        <v>693</v>
      </c>
    </row>
    <row r="353" spans="1:4" x14ac:dyDescent="0.2">
      <c r="A353" s="18" t="s">
        <v>1661</v>
      </c>
      <c r="B353" t="s">
        <v>803</v>
      </c>
      <c r="C353" t="s">
        <v>799</v>
      </c>
      <c r="D353" t="s">
        <v>693</v>
      </c>
    </row>
    <row r="354" spans="1:4" x14ac:dyDescent="0.2">
      <c r="A354" s="18" t="s">
        <v>1662</v>
      </c>
      <c r="B354" t="s">
        <v>804</v>
      </c>
      <c r="C354" t="s">
        <v>799</v>
      </c>
      <c r="D354" t="s">
        <v>693</v>
      </c>
    </row>
    <row r="355" spans="1:4" x14ac:dyDescent="0.2">
      <c r="A355" s="18" t="s">
        <v>1663</v>
      </c>
      <c r="B355" t="s">
        <v>805</v>
      </c>
      <c r="C355" t="s">
        <v>799</v>
      </c>
      <c r="D355" t="s">
        <v>693</v>
      </c>
    </row>
    <row r="356" spans="1:4" x14ac:dyDescent="0.2">
      <c r="A356" s="18" t="s">
        <v>1664</v>
      </c>
      <c r="B356" t="s">
        <v>806</v>
      </c>
      <c r="C356" t="s">
        <v>799</v>
      </c>
      <c r="D356" t="s">
        <v>693</v>
      </c>
    </row>
    <row r="357" spans="1:4" x14ac:dyDescent="0.2">
      <c r="A357" s="18" t="s">
        <v>1665</v>
      </c>
      <c r="B357" t="s">
        <v>807</v>
      </c>
      <c r="C357" t="s">
        <v>807</v>
      </c>
      <c r="D357" t="s">
        <v>693</v>
      </c>
    </row>
    <row r="358" spans="1:4" x14ac:dyDescent="0.2">
      <c r="A358" s="18" t="s">
        <v>1666</v>
      </c>
      <c r="B358" t="s">
        <v>808</v>
      </c>
      <c r="C358" t="s">
        <v>807</v>
      </c>
      <c r="D358" t="s">
        <v>693</v>
      </c>
    </row>
    <row r="359" spans="1:4" x14ac:dyDescent="0.2">
      <c r="A359" s="18" t="s">
        <v>1667</v>
      </c>
      <c r="B359" t="s">
        <v>809</v>
      </c>
      <c r="C359" t="s">
        <v>807</v>
      </c>
      <c r="D359" t="s">
        <v>693</v>
      </c>
    </row>
    <row r="360" spans="1:4" x14ac:dyDescent="0.2">
      <c r="A360" s="18" t="s">
        <v>1668</v>
      </c>
      <c r="B360" t="s">
        <v>810</v>
      </c>
      <c r="C360" t="s">
        <v>807</v>
      </c>
      <c r="D360" t="s">
        <v>693</v>
      </c>
    </row>
    <row r="361" spans="1:4" x14ac:dyDescent="0.2">
      <c r="A361" s="18" t="s">
        <v>1669</v>
      </c>
      <c r="B361" t="s">
        <v>811</v>
      </c>
      <c r="C361" t="s">
        <v>807</v>
      </c>
      <c r="D361" t="s">
        <v>693</v>
      </c>
    </row>
    <row r="362" spans="1:4" x14ac:dyDescent="0.2">
      <c r="A362" s="18" t="s">
        <v>1670</v>
      </c>
      <c r="B362" t="s">
        <v>812</v>
      </c>
      <c r="C362" t="s">
        <v>812</v>
      </c>
      <c r="D362" t="s">
        <v>693</v>
      </c>
    </row>
    <row r="363" spans="1:4" x14ac:dyDescent="0.2">
      <c r="A363" s="18" t="s">
        <v>1671</v>
      </c>
      <c r="B363" t="s">
        <v>423</v>
      </c>
      <c r="C363" t="s">
        <v>812</v>
      </c>
      <c r="D363" t="s">
        <v>693</v>
      </c>
    </row>
    <row r="364" spans="1:4" x14ac:dyDescent="0.2">
      <c r="A364" s="18" t="s">
        <v>1672</v>
      </c>
      <c r="B364" t="s">
        <v>813</v>
      </c>
      <c r="C364" t="s">
        <v>812</v>
      </c>
      <c r="D364" t="s">
        <v>693</v>
      </c>
    </row>
    <row r="365" spans="1:4" x14ac:dyDescent="0.2">
      <c r="A365" s="18" t="s">
        <v>1673</v>
      </c>
      <c r="B365" t="s">
        <v>814</v>
      </c>
      <c r="C365" t="s">
        <v>812</v>
      </c>
      <c r="D365" t="s">
        <v>693</v>
      </c>
    </row>
    <row r="366" spans="1:4" x14ac:dyDescent="0.2">
      <c r="A366" s="18" t="s">
        <v>1674</v>
      </c>
      <c r="B366" t="s">
        <v>815</v>
      </c>
      <c r="C366" t="s">
        <v>815</v>
      </c>
      <c r="D366" t="s">
        <v>693</v>
      </c>
    </row>
    <row r="367" spans="1:4" x14ac:dyDescent="0.2">
      <c r="A367" s="18" t="s">
        <v>1675</v>
      </c>
      <c r="B367" t="s">
        <v>816</v>
      </c>
      <c r="C367" t="s">
        <v>815</v>
      </c>
      <c r="D367" t="s">
        <v>693</v>
      </c>
    </row>
    <row r="368" spans="1:4" x14ac:dyDescent="0.2">
      <c r="A368" s="18" t="s">
        <v>1676</v>
      </c>
      <c r="B368" t="s">
        <v>817</v>
      </c>
      <c r="C368" t="s">
        <v>815</v>
      </c>
      <c r="D368" t="s">
        <v>693</v>
      </c>
    </row>
    <row r="369" spans="1:4" x14ac:dyDescent="0.2">
      <c r="A369" s="18" t="s">
        <v>1677</v>
      </c>
      <c r="B369" t="s">
        <v>818</v>
      </c>
      <c r="C369" t="s">
        <v>815</v>
      </c>
      <c r="D369" t="s">
        <v>693</v>
      </c>
    </row>
    <row r="370" spans="1:4" x14ac:dyDescent="0.2">
      <c r="A370" s="18" t="s">
        <v>1678</v>
      </c>
      <c r="B370" t="s">
        <v>819</v>
      </c>
      <c r="C370" t="s">
        <v>819</v>
      </c>
      <c r="D370" t="s">
        <v>693</v>
      </c>
    </row>
    <row r="371" spans="1:4" x14ac:dyDescent="0.2">
      <c r="A371" s="18" t="s">
        <v>1679</v>
      </c>
      <c r="B371" t="s">
        <v>820</v>
      </c>
      <c r="C371" t="s">
        <v>819</v>
      </c>
      <c r="D371" t="s">
        <v>693</v>
      </c>
    </row>
    <row r="372" spans="1:4" x14ac:dyDescent="0.2">
      <c r="A372" s="18" t="s">
        <v>1680</v>
      </c>
      <c r="B372" t="s">
        <v>821</v>
      </c>
      <c r="C372" t="s">
        <v>819</v>
      </c>
      <c r="D372" t="s">
        <v>693</v>
      </c>
    </row>
    <row r="373" spans="1:4" x14ac:dyDescent="0.2">
      <c r="A373" s="18" t="s">
        <v>1681</v>
      </c>
      <c r="B373" t="s">
        <v>822</v>
      </c>
      <c r="C373" t="s">
        <v>819</v>
      </c>
      <c r="D373" t="s">
        <v>693</v>
      </c>
    </row>
    <row r="374" spans="1:4" x14ac:dyDescent="0.2">
      <c r="A374" s="18" t="s">
        <v>1682</v>
      </c>
      <c r="B374" t="s">
        <v>823</v>
      </c>
      <c r="C374" t="s">
        <v>819</v>
      </c>
      <c r="D374" t="s">
        <v>693</v>
      </c>
    </row>
    <row r="375" spans="1:4" x14ac:dyDescent="0.2">
      <c r="A375" s="18" t="s">
        <v>1683</v>
      </c>
      <c r="B375" t="s">
        <v>824</v>
      </c>
      <c r="C375" t="s">
        <v>819</v>
      </c>
      <c r="D375" t="s">
        <v>693</v>
      </c>
    </row>
    <row r="376" spans="1:4" x14ac:dyDescent="0.2">
      <c r="A376" s="18" t="s">
        <v>1684</v>
      </c>
      <c r="B376" t="s">
        <v>825</v>
      </c>
      <c r="C376" t="s">
        <v>819</v>
      </c>
      <c r="D376" t="s">
        <v>693</v>
      </c>
    </row>
    <row r="377" spans="1:4" x14ac:dyDescent="0.2">
      <c r="A377" s="18" t="s">
        <v>1685</v>
      </c>
      <c r="B377" t="s">
        <v>826</v>
      </c>
      <c r="C377" t="s">
        <v>826</v>
      </c>
      <c r="D377" t="s">
        <v>693</v>
      </c>
    </row>
    <row r="378" spans="1:4" x14ac:dyDescent="0.2">
      <c r="A378" s="18" t="s">
        <v>1686</v>
      </c>
      <c r="B378" t="s">
        <v>827</v>
      </c>
      <c r="C378" t="s">
        <v>826</v>
      </c>
      <c r="D378" t="s">
        <v>693</v>
      </c>
    </row>
    <row r="379" spans="1:4" x14ac:dyDescent="0.2">
      <c r="A379" s="18" t="s">
        <v>1687</v>
      </c>
      <c r="B379" t="s">
        <v>828</v>
      </c>
      <c r="C379" t="s">
        <v>826</v>
      </c>
      <c r="D379" t="s">
        <v>693</v>
      </c>
    </row>
    <row r="380" spans="1:4" x14ac:dyDescent="0.2">
      <c r="A380" s="18" t="s">
        <v>1688</v>
      </c>
      <c r="B380" t="s">
        <v>829</v>
      </c>
      <c r="C380" t="s">
        <v>826</v>
      </c>
      <c r="D380" t="s">
        <v>693</v>
      </c>
    </row>
    <row r="381" spans="1:4" x14ac:dyDescent="0.2">
      <c r="A381" s="18" t="s">
        <v>1689</v>
      </c>
      <c r="B381" t="s">
        <v>830</v>
      </c>
      <c r="C381" t="s">
        <v>826</v>
      </c>
      <c r="D381" t="s">
        <v>693</v>
      </c>
    </row>
    <row r="382" spans="1:4" x14ac:dyDescent="0.2">
      <c r="A382" s="18" t="s">
        <v>1690</v>
      </c>
      <c r="B382" t="s">
        <v>831</v>
      </c>
      <c r="C382" t="s">
        <v>826</v>
      </c>
      <c r="D382" t="s">
        <v>693</v>
      </c>
    </row>
    <row r="383" spans="1:4" x14ac:dyDescent="0.2">
      <c r="A383" s="18" t="s">
        <v>1691</v>
      </c>
      <c r="B383" t="s">
        <v>832</v>
      </c>
      <c r="C383" t="s">
        <v>826</v>
      </c>
      <c r="D383" t="s">
        <v>693</v>
      </c>
    </row>
    <row r="384" spans="1:4" x14ac:dyDescent="0.2">
      <c r="A384" s="18" t="s">
        <v>1692</v>
      </c>
      <c r="B384" t="s">
        <v>833</v>
      </c>
      <c r="C384" t="s">
        <v>833</v>
      </c>
      <c r="D384" t="s">
        <v>693</v>
      </c>
    </row>
    <row r="385" spans="1:4" x14ac:dyDescent="0.2">
      <c r="A385" s="18" t="s">
        <v>1693</v>
      </c>
      <c r="B385" t="s">
        <v>834</v>
      </c>
      <c r="C385" t="s">
        <v>833</v>
      </c>
      <c r="D385" t="s">
        <v>693</v>
      </c>
    </row>
    <row r="386" spans="1:4" x14ac:dyDescent="0.2">
      <c r="A386" s="18" t="s">
        <v>1694</v>
      </c>
      <c r="B386" t="s">
        <v>835</v>
      </c>
      <c r="C386" t="s">
        <v>833</v>
      </c>
      <c r="D386" t="s">
        <v>693</v>
      </c>
    </row>
    <row r="387" spans="1:4" x14ac:dyDescent="0.2">
      <c r="A387" s="18" t="s">
        <v>1695</v>
      </c>
      <c r="B387" t="s">
        <v>836</v>
      </c>
      <c r="C387" t="s">
        <v>833</v>
      </c>
      <c r="D387" t="s">
        <v>693</v>
      </c>
    </row>
    <row r="388" spans="1:4" x14ac:dyDescent="0.2">
      <c r="A388" s="18" t="s">
        <v>1696</v>
      </c>
      <c r="B388" t="s">
        <v>837</v>
      </c>
      <c r="C388" t="s">
        <v>833</v>
      </c>
      <c r="D388" t="s">
        <v>693</v>
      </c>
    </row>
    <row r="389" spans="1:4" x14ac:dyDescent="0.2">
      <c r="A389" s="18" t="s">
        <v>1697</v>
      </c>
      <c r="B389" t="s">
        <v>838</v>
      </c>
      <c r="C389" t="s">
        <v>838</v>
      </c>
      <c r="D389" t="s">
        <v>693</v>
      </c>
    </row>
    <row r="390" spans="1:4" x14ac:dyDescent="0.2">
      <c r="A390" s="18" t="s">
        <v>1698</v>
      </c>
      <c r="B390" t="s">
        <v>839</v>
      </c>
      <c r="C390" t="s">
        <v>838</v>
      </c>
      <c r="D390" t="s">
        <v>693</v>
      </c>
    </row>
    <row r="391" spans="1:4" x14ac:dyDescent="0.2">
      <c r="A391" s="18" t="s">
        <v>1699</v>
      </c>
      <c r="B391" t="s">
        <v>840</v>
      </c>
      <c r="C391" t="s">
        <v>838</v>
      </c>
      <c r="D391" t="s">
        <v>693</v>
      </c>
    </row>
    <row r="392" spans="1:4" x14ac:dyDescent="0.2">
      <c r="A392" s="18" t="s">
        <v>1700</v>
      </c>
      <c r="B392" t="s">
        <v>841</v>
      </c>
      <c r="C392" t="s">
        <v>838</v>
      </c>
      <c r="D392" t="s">
        <v>693</v>
      </c>
    </row>
    <row r="393" spans="1:4" x14ac:dyDescent="0.2">
      <c r="A393" s="18" t="s">
        <v>1701</v>
      </c>
      <c r="B393" t="s">
        <v>842</v>
      </c>
      <c r="C393" t="s">
        <v>838</v>
      </c>
      <c r="D393" t="s">
        <v>693</v>
      </c>
    </row>
    <row r="394" spans="1:4" x14ac:dyDescent="0.2">
      <c r="A394" s="18" t="s">
        <v>1702</v>
      </c>
      <c r="B394" t="s">
        <v>843</v>
      </c>
      <c r="C394" t="s">
        <v>838</v>
      </c>
      <c r="D394" t="s">
        <v>693</v>
      </c>
    </row>
    <row r="395" spans="1:4" x14ac:dyDescent="0.2">
      <c r="A395" s="18" t="s">
        <v>1703</v>
      </c>
      <c r="B395" t="s">
        <v>844</v>
      </c>
      <c r="C395" t="s">
        <v>838</v>
      </c>
      <c r="D395" t="s">
        <v>693</v>
      </c>
    </row>
    <row r="396" spans="1:4" x14ac:dyDescent="0.2">
      <c r="A396" s="18" t="s">
        <v>1704</v>
      </c>
      <c r="B396" t="s">
        <v>845</v>
      </c>
      <c r="C396" t="s">
        <v>838</v>
      </c>
      <c r="D396" t="s">
        <v>693</v>
      </c>
    </row>
    <row r="397" spans="1:4" x14ac:dyDescent="0.2">
      <c r="A397" s="18" t="s">
        <v>1705</v>
      </c>
      <c r="B397" t="s">
        <v>846</v>
      </c>
      <c r="C397" t="s">
        <v>846</v>
      </c>
      <c r="D397" t="s">
        <v>693</v>
      </c>
    </row>
    <row r="398" spans="1:4" x14ac:dyDescent="0.2">
      <c r="A398" s="18" t="s">
        <v>1706</v>
      </c>
      <c r="B398" t="s">
        <v>18</v>
      </c>
      <c r="C398" t="s">
        <v>846</v>
      </c>
      <c r="D398" t="s">
        <v>693</v>
      </c>
    </row>
    <row r="399" spans="1:4" x14ac:dyDescent="0.2">
      <c r="A399" s="18" t="s">
        <v>1707</v>
      </c>
      <c r="B399" t="s">
        <v>847</v>
      </c>
      <c r="C399" t="s">
        <v>846</v>
      </c>
      <c r="D399" t="s">
        <v>693</v>
      </c>
    </row>
    <row r="400" spans="1:4" x14ac:dyDescent="0.2">
      <c r="A400" s="18" t="s">
        <v>1708</v>
      </c>
      <c r="B400" t="s">
        <v>848</v>
      </c>
      <c r="C400" t="s">
        <v>846</v>
      </c>
      <c r="D400" t="s">
        <v>693</v>
      </c>
    </row>
    <row r="401" spans="1:4" x14ac:dyDescent="0.2">
      <c r="A401" s="18" t="s">
        <v>1709</v>
      </c>
      <c r="B401" t="s">
        <v>849</v>
      </c>
      <c r="C401" t="s">
        <v>846</v>
      </c>
      <c r="D401" t="s">
        <v>693</v>
      </c>
    </row>
    <row r="402" spans="1:4" x14ac:dyDescent="0.2">
      <c r="A402" s="18" t="s">
        <v>1710</v>
      </c>
      <c r="B402" t="s">
        <v>850</v>
      </c>
      <c r="C402" t="s">
        <v>846</v>
      </c>
      <c r="D402" t="s">
        <v>693</v>
      </c>
    </row>
    <row r="403" spans="1:4" x14ac:dyDescent="0.2">
      <c r="A403" s="18" t="s">
        <v>1711</v>
      </c>
      <c r="B403" t="s">
        <v>428</v>
      </c>
      <c r="C403" t="s">
        <v>846</v>
      </c>
      <c r="D403" t="s">
        <v>693</v>
      </c>
    </row>
    <row r="404" spans="1:4" x14ac:dyDescent="0.2">
      <c r="A404" s="18" t="s">
        <v>1712</v>
      </c>
      <c r="B404" t="s">
        <v>851</v>
      </c>
      <c r="C404" t="s">
        <v>846</v>
      </c>
      <c r="D404" t="s">
        <v>693</v>
      </c>
    </row>
    <row r="405" spans="1:4" x14ac:dyDescent="0.2">
      <c r="A405" s="18" t="s">
        <v>1713</v>
      </c>
      <c r="B405" t="s">
        <v>852</v>
      </c>
      <c r="C405" t="s">
        <v>852</v>
      </c>
      <c r="D405" t="s">
        <v>693</v>
      </c>
    </row>
    <row r="406" spans="1:4" x14ac:dyDescent="0.2">
      <c r="A406" s="18" t="s">
        <v>1714</v>
      </c>
      <c r="B406" t="s">
        <v>853</v>
      </c>
      <c r="C406" t="s">
        <v>852</v>
      </c>
      <c r="D406" t="s">
        <v>693</v>
      </c>
    </row>
    <row r="407" spans="1:4" x14ac:dyDescent="0.2">
      <c r="A407" s="18" t="s">
        <v>1715</v>
      </c>
      <c r="B407" t="s">
        <v>854</v>
      </c>
      <c r="C407" t="s">
        <v>852</v>
      </c>
      <c r="D407" t="s">
        <v>693</v>
      </c>
    </row>
    <row r="408" spans="1:4" x14ac:dyDescent="0.2">
      <c r="A408" s="18" t="s">
        <v>1716</v>
      </c>
      <c r="B408" t="s">
        <v>855</v>
      </c>
      <c r="C408" t="s">
        <v>852</v>
      </c>
      <c r="D408" t="s">
        <v>693</v>
      </c>
    </row>
    <row r="409" spans="1:4" x14ac:dyDescent="0.2">
      <c r="A409" s="18" t="s">
        <v>1717</v>
      </c>
      <c r="B409" t="s">
        <v>856</v>
      </c>
      <c r="C409" t="s">
        <v>852</v>
      </c>
      <c r="D409" t="s">
        <v>693</v>
      </c>
    </row>
    <row r="410" spans="1:4" x14ac:dyDescent="0.2">
      <c r="A410" s="18" t="s">
        <v>1718</v>
      </c>
      <c r="B410" t="s">
        <v>857</v>
      </c>
      <c r="C410" t="s">
        <v>852</v>
      </c>
      <c r="D410" t="s">
        <v>693</v>
      </c>
    </row>
    <row r="411" spans="1:4" x14ac:dyDescent="0.2">
      <c r="A411" s="18" t="s">
        <v>1719</v>
      </c>
      <c r="B411" t="s">
        <v>858</v>
      </c>
      <c r="C411" t="s">
        <v>852</v>
      </c>
      <c r="D411" t="s">
        <v>693</v>
      </c>
    </row>
    <row r="412" spans="1:4" x14ac:dyDescent="0.2">
      <c r="A412" s="18" t="s">
        <v>1720</v>
      </c>
      <c r="B412" t="s">
        <v>8</v>
      </c>
      <c r="C412" t="s">
        <v>8</v>
      </c>
      <c r="D412" t="s">
        <v>859</v>
      </c>
    </row>
    <row r="413" spans="1:4" x14ac:dyDescent="0.2">
      <c r="A413" s="18" t="s">
        <v>1721</v>
      </c>
      <c r="B413" t="s">
        <v>432</v>
      </c>
      <c r="C413" t="s">
        <v>8</v>
      </c>
      <c r="D413" t="s">
        <v>859</v>
      </c>
    </row>
    <row r="414" spans="1:4" x14ac:dyDescent="0.2">
      <c r="A414" s="18" t="s">
        <v>1722</v>
      </c>
      <c r="B414" t="s">
        <v>860</v>
      </c>
      <c r="C414" t="s">
        <v>8</v>
      </c>
      <c r="D414" t="s">
        <v>859</v>
      </c>
    </row>
    <row r="415" spans="1:4" x14ac:dyDescent="0.2">
      <c r="A415" s="18" t="s">
        <v>1723</v>
      </c>
      <c r="B415" t="s">
        <v>861</v>
      </c>
      <c r="C415" t="s">
        <v>8</v>
      </c>
      <c r="D415" t="s">
        <v>859</v>
      </c>
    </row>
    <row r="416" spans="1:4" x14ac:dyDescent="0.2">
      <c r="A416" s="18" t="s">
        <v>1724</v>
      </c>
      <c r="B416" t="s">
        <v>21</v>
      </c>
      <c r="C416" t="s">
        <v>21</v>
      </c>
      <c r="D416" t="s">
        <v>859</v>
      </c>
    </row>
    <row r="417" spans="1:4" x14ac:dyDescent="0.2">
      <c r="A417" s="18" t="s">
        <v>1725</v>
      </c>
      <c r="B417" t="s">
        <v>862</v>
      </c>
      <c r="C417" t="s">
        <v>21</v>
      </c>
      <c r="D417" t="s">
        <v>859</v>
      </c>
    </row>
    <row r="418" spans="1:4" x14ac:dyDescent="0.2">
      <c r="A418" s="18" t="s">
        <v>1726</v>
      </c>
      <c r="B418" t="s">
        <v>863</v>
      </c>
      <c r="C418" t="s">
        <v>863</v>
      </c>
      <c r="D418" t="s">
        <v>859</v>
      </c>
    </row>
    <row r="419" spans="1:4" x14ac:dyDescent="0.2">
      <c r="A419" s="18" t="s">
        <v>1727</v>
      </c>
      <c r="B419" t="s">
        <v>864</v>
      </c>
      <c r="C419" t="s">
        <v>863</v>
      </c>
      <c r="D419" t="s">
        <v>859</v>
      </c>
    </row>
    <row r="420" spans="1:4" x14ac:dyDescent="0.2">
      <c r="A420" s="18" t="s">
        <v>1728</v>
      </c>
      <c r="B420" t="s">
        <v>449</v>
      </c>
      <c r="C420" t="s">
        <v>449</v>
      </c>
      <c r="D420" t="s">
        <v>859</v>
      </c>
    </row>
    <row r="421" spans="1:4" x14ac:dyDescent="0.2">
      <c r="A421" s="18" t="s">
        <v>1729</v>
      </c>
      <c r="B421" t="s">
        <v>418</v>
      </c>
      <c r="C421" t="s">
        <v>449</v>
      </c>
      <c r="D421" t="s">
        <v>859</v>
      </c>
    </row>
    <row r="422" spans="1:4" x14ac:dyDescent="0.2">
      <c r="A422" s="18" t="s">
        <v>1730</v>
      </c>
      <c r="B422" t="s">
        <v>865</v>
      </c>
      <c r="C422" t="s">
        <v>449</v>
      </c>
      <c r="D422" t="s">
        <v>859</v>
      </c>
    </row>
    <row r="423" spans="1:4" x14ac:dyDescent="0.2">
      <c r="A423" s="18" t="s">
        <v>1731</v>
      </c>
      <c r="B423" t="s">
        <v>866</v>
      </c>
      <c r="C423" t="s">
        <v>449</v>
      </c>
      <c r="D423" t="s">
        <v>859</v>
      </c>
    </row>
    <row r="424" spans="1:4" x14ac:dyDescent="0.2">
      <c r="A424" s="18" t="s">
        <v>1732</v>
      </c>
      <c r="B424" t="s">
        <v>867</v>
      </c>
      <c r="C424" t="s">
        <v>449</v>
      </c>
      <c r="D424" t="s">
        <v>859</v>
      </c>
    </row>
    <row r="425" spans="1:4" x14ac:dyDescent="0.2">
      <c r="A425" s="18" t="s">
        <v>1733</v>
      </c>
      <c r="B425" t="s">
        <v>868</v>
      </c>
      <c r="C425" t="s">
        <v>449</v>
      </c>
      <c r="D425" t="s">
        <v>859</v>
      </c>
    </row>
    <row r="426" spans="1:4" x14ac:dyDescent="0.2">
      <c r="A426" s="18" t="s">
        <v>1734</v>
      </c>
      <c r="B426" t="s">
        <v>869</v>
      </c>
      <c r="C426" t="s">
        <v>869</v>
      </c>
      <c r="D426" t="s">
        <v>859</v>
      </c>
    </row>
    <row r="427" spans="1:4" x14ac:dyDescent="0.2">
      <c r="A427" s="18" t="s">
        <v>1735</v>
      </c>
      <c r="B427" t="s">
        <v>870</v>
      </c>
      <c r="C427" t="s">
        <v>869</v>
      </c>
      <c r="D427" t="s">
        <v>859</v>
      </c>
    </row>
    <row r="428" spans="1:4" x14ac:dyDescent="0.2">
      <c r="A428" s="18" t="s">
        <v>1736</v>
      </c>
      <c r="B428" t="s">
        <v>871</v>
      </c>
      <c r="C428" t="s">
        <v>869</v>
      </c>
      <c r="D428" t="s">
        <v>859</v>
      </c>
    </row>
    <row r="429" spans="1:4" x14ac:dyDescent="0.2">
      <c r="A429" s="18" t="s">
        <v>1737</v>
      </c>
      <c r="B429" t="s">
        <v>872</v>
      </c>
      <c r="C429" t="s">
        <v>869</v>
      </c>
      <c r="D429" t="s">
        <v>859</v>
      </c>
    </row>
    <row r="430" spans="1:4" x14ac:dyDescent="0.2">
      <c r="A430" s="18" t="s">
        <v>1738</v>
      </c>
      <c r="B430" t="s">
        <v>15</v>
      </c>
      <c r="C430" t="s">
        <v>15</v>
      </c>
      <c r="D430" t="s">
        <v>859</v>
      </c>
    </row>
    <row r="431" spans="1:4" x14ac:dyDescent="0.2">
      <c r="A431" s="18" t="s">
        <v>1739</v>
      </c>
      <c r="B431" t="s">
        <v>873</v>
      </c>
      <c r="C431" t="s">
        <v>15</v>
      </c>
      <c r="D431" t="s">
        <v>859</v>
      </c>
    </row>
    <row r="432" spans="1:4" x14ac:dyDescent="0.2">
      <c r="A432" s="18" t="s">
        <v>1740</v>
      </c>
      <c r="B432" t="s">
        <v>874</v>
      </c>
      <c r="C432" t="s">
        <v>15</v>
      </c>
      <c r="D432" t="s">
        <v>859</v>
      </c>
    </row>
    <row r="433" spans="1:4" x14ac:dyDescent="0.2">
      <c r="A433" s="18" t="s">
        <v>1741</v>
      </c>
      <c r="B433" t="s">
        <v>875</v>
      </c>
      <c r="C433" t="s">
        <v>15</v>
      </c>
      <c r="D433" t="s">
        <v>859</v>
      </c>
    </row>
    <row r="434" spans="1:4" x14ac:dyDescent="0.2">
      <c r="A434" s="18" t="s">
        <v>1742</v>
      </c>
      <c r="B434" t="s">
        <v>876</v>
      </c>
      <c r="C434" t="s">
        <v>876</v>
      </c>
      <c r="D434" t="s">
        <v>859</v>
      </c>
    </row>
    <row r="435" spans="1:4" x14ac:dyDescent="0.2">
      <c r="A435" s="18" t="s">
        <v>1743</v>
      </c>
      <c r="B435" t="s">
        <v>877</v>
      </c>
      <c r="C435" t="s">
        <v>876</v>
      </c>
      <c r="D435" t="s">
        <v>859</v>
      </c>
    </row>
    <row r="436" spans="1:4" x14ac:dyDescent="0.2">
      <c r="A436" s="18" t="s">
        <v>1744</v>
      </c>
      <c r="B436" t="s">
        <v>878</v>
      </c>
      <c r="C436" t="s">
        <v>876</v>
      </c>
      <c r="D436" t="s">
        <v>859</v>
      </c>
    </row>
    <row r="437" spans="1:4" x14ac:dyDescent="0.2">
      <c r="A437" s="18" t="s">
        <v>1745</v>
      </c>
      <c r="B437" t="s">
        <v>879</v>
      </c>
      <c r="C437" t="s">
        <v>876</v>
      </c>
      <c r="D437" t="s">
        <v>859</v>
      </c>
    </row>
    <row r="438" spans="1:4" x14ac:dyDescent="0.2">
      <c r="A438" s="18" t="s">
        <v>1746</v>
      </c>
      <c r="B438" t="s">
        <v>880</v>
      </c>
      <c r="C438" t="s">
        <v>876</v>
      </c>
      <c r="D438" t="s">
        <v>859</v>
      </c>
    </row>
    <row r="439" spans="1:4" x14ac:dyDescent="0.2">
      <c r="A439" s="18" t="s">
        <v>1747</v>
      </c>
      <c r="B439" t="s">
        <v>881</v>
      </c>
      <c r="C439" t="s">
        <v>881</v>
      </c>
      <c r="D439" t="s">
        <v>859</v>
      </c>
    </row>
    <row r="440" spans="1:4" x14ac:dyDescent="0.2">
      <c r="A440" s="18" t="s">
        <v>1748</v>
      </c>
      <c r="B440" t="s">
        <v>882</v>
      </c>
      <c r="C440" t="s">
        <v>881</v>
      </c>
      <c r="D440" t="s">
        <v>859</v>
      </c>
    </row>
    <row r="441" spans="1:4" x14ac:dyDescent="0.2">
      <c r="A441" s="18" t="s">
        <v>1749</v>
      </c>
      <c r="B441" t="s">
        <v>883</v>
      </c>
      <c r="C441" t="s">
        <v>881</v>
      </c>
      <c r="D441" t="s">
        <v>859</v>
      </c>
    </row>
    <row r="442" spans="1:4" x14ac:dyDescent="0.2">
      <c r="A442" s="18" t="s">
        <v>1750</v>
      </c>
      <c r="B442" t="s">
        <v>884</v>
      </c>
      <c r="C442" t="s">
        <v>881</v>
      </c>
      <c r="D442" t="s">
        <v>859</v>
      </c>
    </row>
    <row r="443" spans="1:4" x14ac:dyDescent="0.2">
      <c r="A443" s="18" t="s">
        <v>1751</v>
      </c>
      <c r="B443" t="s">
        <v>462</v>
      </c>
      <c r="C443" t="s">
        <v>462</v>
      </c>
      <c r="D443" t="s">
        <v>859</v>
      </c>
    </row>
    <row r="444" spans="1:4" x14ac:dyDescent="0.2">
      <c r="A444" s="18" t="s">
        <v>1752</v>
      </c>
      <c r="B444" t="s">
        <v>885</v>
      </c>
      <c r="C444" t="s">
        <v>462</v>
      </c>
      <c r="D444" t="s">
        <v>859</v>
      </c>
    </row>
    <row r="445" spans="1:4" x14ac:dyDescent="0.2">
      <c r="A445" s="18" t="s">
        <v>1753</v>
      </c>
      <c r="B445" t="s">
        <v>886</v>
      </c>
      <c r="C445" t="s">
        <v>462</v>
      </c>
      <c r="D445" t="s">
        <v>859</v>
      </c>
    </row>
    <row r="446" spans="1:4" x14ac:dyDescent="0.2">
      <c r="A446" s="18" t="s">
        <v>1754</v>
      </c>
      <c r="B446" t="s">
        <v>887</v>
      </c>
      <c r="C446" t="s">
        <v>462</v>
      </c>
      <c r="D446" t="s">
        <v>859</v>
      </c>
    </row>
    <row r="447" spans="1:4" x14ac:dyDescent="0.2">
      <c r="A447" s="18" t="s">
        <v>1755</v>
      </c>
      <c r="B447" t="s">
        <v>888</v>
      </c>
      <c r="C447" t="s">
        <v>462</v>
      </c>
      <c r="D447" t="s">
        <v>859</v>
      </c>
    </row>
    <row r="448" spans="1:4" x14ac:dyDescent="0.2">
      <c r="A448" s="18" t="s">
        <v>1756</v>
      </c>
      <c r="B448" t="s">
        <v>889</v>
      </c>
      <c r="C448" t="s">
        <v>462</v>
      </c>
      <c r="D448" t="s">
        <v>859</v>
      </c>
    </row>
    <row r="449" spans="1:4" x14ac:dyDescent="0.2">
      <c r="A449" s="18" t="s">
        <v>1757</v>
      </c>
      <c r="B449" t="s">
        <v>440</v>
      </c>
      <c r="C449" t="s">
        <v>440</v>
      </c>
      <c r="D449" t="s">
        <v>859</v>
      </c>
    </row>
    <row r="450" spans="1:4" x14ac:dyDescent="0.2">
      <c r="A450" s="18" t="s">
        <v>1758</v>
      </c>
      <c r="B450" t="s">
        <v>443</v>
      </c>
      <c r="C450" t="s">
        <v>440</v>
      </c>
      <c r="D450" t="s">
        <v>859</v>
      </c>
    </row>
    <row r="451" spans="1:4" x14ac:dyDescent="0.2">
      <c r="A451" s="18" t="s">
        <v>1759</v>
      </c>
      <c r="B451" t="s">
        <v>890</v>
      </c>
      <c r="C451" t="s">
        <v>890</v>
      </c>
      <c r="D451" t="s">
        <v>859</v>
      </c>
    </row>
    <row r="452" spans="1:4" x14ac:dyDescent="0.2">
      <c r="A452" s="18" t="s">
        <v>1760</v>
      </c>
      <c r="B452" t="s">
        <v>891</v>
      </c>
      <c r="C452" t="s">
        <v>890</v>
      </c>
      <c r="D452" t="s">
        <v>859</v>
      </c>
    </row>
    <row r="453" spans="1:4" x14ac:dyDescent="0.2">
      <c r="A453" s="18" t="s">
        <v>1761</v>
      </c>
      <c r="B453" t="s">
        <v>892</v>
      </c>
      <c r="C453" t="s">
        <v>890</v>
      </c>
      <c r="D453" t="s">
        <v>859</v>
      </c>
    </row>
    <row r="454" spans="1:4" x14ac:dyDescent="0.2">
      <c r="A454" s="18" t="s">
        <v>1762</v>
      </c>
      <c r="B454" t="s">
        <v>893</v>
      </c>
      <c r="C454" t="s">
        <v>890</v>
      </c>
      <c r="D454" t="s">
        <v>859</v>
      </c>
    </row>
    <row r="455" spans="1:4" x14ac:dyDescent="0.2">
      <c r="A455" s="18" t="s">
        <v>1763</v>
      </c>
      <c r="B455" t="s">
        <v>894</v>
      </c>
      <c r="C455" t="s">
        <v>890</v>
      </c>
      <c r="D455" t="s">
        <v>859</v>
      </c>
    </row>
    <row r="456" spans="1:4" x14ac:dyDescent="0.2">
      <c r="A456" s="18" t="s">
        <v>1764</v>
      </c>
      <c r="B456" t="s">
        <v>895</v>
      </c>
      <c r="C456" t="s">
        <v>890</v>
      </c>
      <c r="D456" t="s">
        <v>859</v>
      </c>
    </row>
    <row r="457" spans="1:4" x14ac:dyDescent="0.2">
      <c r="A457" s="18" t="s">
        <v>1765</v>
      </c>
      <c r="B457" t="s">
        <v>896</v>
      </c>
      <c r="C457" t="s">
        <v>896</v>
      </c>
      <c r="D457" t="s">
        <v>859</v>
      </c>
    </row>
    <row r="458" spans="1:4" x14ac:dyDescent="0.2">
      <c r="A458" s="18" t="s">
        <v>1766</v>
      </c>
      <c r="B458" t="s">
        <v>897</v>
      </c>
      <c r="C458" t="s">
        <v>896</v>
      </c>
      <c r="D458" t="s">
        <v>859</v>
      </c>
    </row>
    <row r="459" spans="1:4" x14ac:dyDescent="0.2">
      <c r="A459" s="18" t="s">
        <v>1767</v>
      </c>
      <c r="B459" t="s">
        <v>898</v>
      </c>
      <c r="C459" t="s">
        <v>896</v>
      </c>
      <c r="D459" t="s">
        <v>859</v>
      </c>
    </row>
    <row r="460" spans="1:4" x14ac:dyDescent="0.2">
      <c r="A460" s="18" t="s">
        <v>1768</v>
      </c>
      <c r="B460" t="s">
        <v>899</v>
      </c>
      <c r="C460" t="s">
        <v>896</v>
      </c>
      <c r="D460" t="s">
        <v>859</v>
      </c>
    </row>
    <row r="461" spans="1:4" x14ac:dyDescent="0.2">
      <c r="A461" s="18" t="s">
        <v>1769</v>
      </c>
      <c r="B461" t="s">
        <v>900</v>
      </c>
      <c r="C461" t="s">
        <v>896</v>
      </c>
      <c r="D461" t="s">
        <v>859</v>
      </c>
    </row>
    <row r="462" spans="1:4" x14ac:dyDescent="0.2">
      <c r="A462" s="18" t="s">
        <v>1770</v>
      </c>
      <c r="B462" t="s">
        <v>901</v>
      </c>
      <c r="C462" t="s">
        <v>896</v>
      </c>
      <c r="D462" t="s">
        <v>859</v>
      </c>
    </row>
    <row r="463" spans="1:4" x14ac:dyDescent="0.2">
      <c r="A463" s="18" t="s">
        <v>1771</v>
      </c>
      <c r="B463" t="s">
        <v>902</v>
      </c>
      <c r="C463" t="s">
        <v>896</v>
      </c>
      <c r="D463" t="s">
        <v>859</v>
      </c>
    </row>
    <row r="464" spans="1:4" x14ac:dyDescent="0.2">
      <c r="A464" s="18" t="s">
        <v>1772</v>
      </c>
      <c r="B464" t="s">
        <v>903</v>
      </c>
      <c r="C464" t="s">
        <v>903</v>
      </c>
      <c r="D464" t="s">
        <v>859</v>
      </c>
    </row>
    <row r="465" spans="1:4" x14ac:dyDescent="0.2">
      <c r="A465" s="18" t="s">
        <v>1773</v>
      </c>
      <c r="B465" t="s">
        <v>904</v>
      </c>
      <c r="C465" t="s">
        <v>903</v>
      </c>
      <c r="D465" t="s">
        <v>859</v>
      </c>
    </row>
    <row r="466" spans="1:4" x14ac:dyDescent="0.2">
      <c r="A466" s="18" t="s">
        <v>1774</v>
      </c>
      <c r="B466" t="s">
        <v>905</v>
      </c>
      <c r="C466" t="s">
        <v>903</v>
      </c>
      <c r="D466" t="s">
        <v>859</v>
      </c>
    </row>
    <row r="467" spans="1:4" x14ac:dyDescent="0.2">
      <c r="A467" s="18" t="s">
        <v>1775</v>
      </c>
      <c r="B467" t="s">
        <v>906</v>
      </c>
      <c r="C467" t="s">
        <v>903</v>
      </c>
      <c r="D467" t="s">
        <v>859</v>
      </c>
    </row>
    <row r="468" spans="1:4" x14ac:dyDescent="0.2">
      <c r="A468" s="18" t="s">
        <v>1776</v>
      </c>
      <c r="B468" t="s">
        <v>907</v>
      </c>
      <c r="C468" t="s">
        <v>907</v>
      </c>
      <c r="D468" t="s">
        <v>908</v>
      </c>
    </row>
    <row r="469" spans="1:4" x14ac:dyDescent="0.2">
      <c r="A469" s="18" t="s">
        <v>1777</v>
      </c>
      <c r="B469" t="s">
        <v>460</v>
      </c>
      <c r="C469" t="s">
        <v>907</v>
      </c>
      <c r="D469" t="s">
        <v>908</v>
      </c>
    </row>
    <row r="470" spans="1:4" x14ac:dyDescent="0.2">
      <c r="A470" s="18" t="s">
        <v>1778</v>
      </c>
      <c r="B470" t="s">
        <v>60</v>
      </c>
      <c r="C470" t="s">
        <v>907</v>
      </c>
      <c r="D470" t="s">
        <v>908</v>
      </c>
    </row>
    <row r="471" spans="1:4" x14ac:dyDescent="0.2">
      <c r="A471" s="18" t="s">
        <v>1779</v>
      </c>
      <c r="B471" t="s">
        <v>909</v>
      </c>
      <c r="C471" t="s">
        <v>907</v>
      </c>
      <c r="D471" t="s">
        <v>908</v>
      </c>
    </row>
    <row r="472" spans="1:4" x14ac:dyDescent="0.2">
      <c r="A472" s="18" t="s">
        <v>1780</v>
      </c>
      <c r="B472" t="s">
        <v>910</v>
      </c>
      <c r="C472" t="s">
        <v>907</v>
      </c>
      <c r="D472" t="s">
        <v>908</v>
      </c>
    </row>
    <row r="473" spans="1:4" x14ac:dyDescent="0.2">
      <c r="A473" s="18" t="s">
        <v>1781</v>
      </c>
      <c r="B473" t="s">
        <v>911</v>
      </c>
      <c r="C473" t="s">
        <v>907</v>
      </c>
      <c r="D473" t="s">
        <v>908</v>
      </c>
    </row>
    <row r="474" spans="1:4" x14ac:dyDescent="0.2">
      <c r="A474" s="18" t="s">
        <v>1782</v>
      </c>
      <c r="B474" t="s">
        <v>912</v>
      </c>
      <c r="C474" t="s">
        <v>912</v>
      </c>
      <c r="D474" t="s">
        <v>908</v>
      </c>
    </row>
    <row r="475" spans="1:4" x14ac:dyDescent="0.2">
      <c r="A475" s="18" t="s">
        <v>1783</v>
      </c>
      <c r="B475" t="s">
        <v>485</v>
      </c>
      <c r="C475" t="s">
        <v>912</v>
      </c>
      <c r="D475" t="s">
        <v>908</v>
      </c>
    </row>
    <row r="476" spans="1:4" x14ac:dyDescent="0.2">
      <c r="A476" s="18" t="s">
        <v>1784</v>
      </c>
      <c r="B476" t="s">
        <v>20</v>
      </c>
      <c r="C476" t="s">
        <v>912</v>
      </c>
      <c r="D476" t="s">
        <v>908</v>
      </c>
    </row>
    <row r="477" spans="1:4" x14ac:dyDescent="0.2">
      <c r="A477" s="18" t="s">
        <v>1785</v>
      </c>
      <c r="B477" t="s">
        <v>913</v>
      </c>
      <c r="C477" t="s">
        <v>912</v>
      </c>
      <c r="D477" t="s">
        <v>908</v>
      </c>
    </row>
    <row r="478" spans="1:4" x14ac:dyDescent="0.2">
      <c r="A478" s="18" t="s">
        <v>1786</v>
      </c>
      <c r="B478" t="s">
        <v>441</v>
      </c>
      <c r="C478" t="s">
        <v>441</v>
      </c>
      <c r="D478" t="s">
        <v>908</v>
      </c>
    </row>
    <row r="479" spans="1:4" x14ac:dyDescent="0.2">
      <c r="A479" s="18" t="s">
        <v>1787</v>
      </c>
      <c r="B479" t="s">
        <v>474</v>
      </c>
      <c r="C479" t="s">
        <v>441</v>
      </c>
      <c r="D479" t="s">
        <v>908</v>
      </c>
    </row>
    <row r="480" spans="1:4" x14ac:dyDescent="0.2">
      <c r="A480" s="18" t="s">
        <v>1788</v>
      </c>
      <c r="B480" t="s">
        <v>475</v>
      </c>
      <c r="C480" t="s">
        <v>441</v>
      </c>
      <c r="D480" t="s">
        <v>908</v>
      </c>
    </row>
    <row r="481" spans="1:4" x14ac:dyDescent="0.2">
      <c r="A481" s="18" t="s">
        <v>1789</v>
      </c>
      <c r="B481" t="s">
        <v>416</v>
      </c>
      <c r="C481" t="s">
        <v>441</v>
      </c>
      <c r="D481" t="s">
        <v>908</v>
      </c>
    </row>
    <row r="482" spans="1:4" x14ac:dyDescent="0.2">
      <c r="A482" s="18" t="s">
        <v>1790</v>
      </c>
      <c r="B482" t="s">
        <v>415</v>
      </c>
      <c r="C482" t="s">
        <v>441</v>
      </c>
      <c r="D482" t="s">
        <v>908</v>
      </c>
    </row>
    <row r="483" spans="1:4" x14ac:dyDescent="0.2">
      <c r="A483" s="18" t="s">
        <v>1791</v>
      </c>
      <c r="B483" t="s">
        <v>431</v>
      </c>
      <c r="C483" t="s">
        <v>441</v>
      </c>
      <c r="D483" t="s">
        <v>908</v>
      </c>
    </row>
    <row r="484" spans="1:4" x14ac:dyDescent="0.2">
      <c r="A484" s="18" t="s">
        <v>1792</v>
      </c>
      <c r="B484" t="s">
        <v>53</v>
      </c>
      <c r="C484" t="s">
        <v>441</v>
      </c>
      <c r="D484" t="s">
        <v>908</v>
      </c>
    </row>
    <row r="485" spans="1:4" x14ac:dyDescent="0.2">
      <c r="A485" s="18" t="s">
        <v>1793</v>
      </c>
      <c r="B485" t="s">
        <v>914</v>
      </c>
      <c r="C485" t="s">
        <v>441</v>
      </c>
      <c r="D485" t="s">
        <v>908</v>
      </c>
    </row>
    <row r="486" spans="1:4" x14ac:dyDescent="0.2">
      <c r="A486" s="18" t="s">
        <v>1794</v>
      </c>
      <c r="B486" t="s">
        <v>915</v>
      </c>
      <c r="C486" t="s">
        <v>441</v>
      </c>
      <c r="D486" t="s">
        <v>908</v>
      </c>
    </row>
    <row r="487" spans="1:4" x14ac:dyDescent="0.2">
      <c r="A487" s="18" t="s">
        <v>1795</v>
      </c>
      <c r="B487" t="s">
        <v>472</v>
      </c>
      <c r="C487" t="s">
        <v>441</v>
      </c>
      <c r="D487" t="s">
        <v>908</v>
      </c>
    </row>
    <row r="488" spans="1:4" x14ac:dyDescent="0.2">
      <c r="A488" s="18" t="s">
        <v>1796</v>
      </c>
      <c r="B488" t="s">
        <v>455</v>
      </c>
      <c r="C488" t="s">
        <v>441</v>
      </c>
      <c r="D488" t="s">
        <v>908</v>
      </c>
    </row>
    <row r="489" spans="1:4" x14ac:dyDescent="0.2">
      <c r="A489" s="18" t="s">
        <v>1797</v>
      </c>
      <c r="B489" t="s">
        <v>36</v>
      </c>
      <c r="C489" t="s">
        <v>441</v>
      </c>
      <c r="D489" t="s">
        <v>908</v>
      </c>
    </row>
    <row r="490" spans="1:4" x14ac:dyDescent="0.2">
      <c r="A490" s="18" t="s">
        <v>1798</v>
      </c>
      <c r="B490" t="s">
        <v>916</v>
      </c>
      <c r="C490" t="s">
        <v>441</v>
      </c>
      <c r="D490" t="s">
        <v>908</v>
      </c>
    </row>
    <row r="491" spans="1:4" x14ac:dyDescent="0.2">
      <c r="A491" s="18" t="s">
        <v>1799</v>
      </c>
      <c r="B491" t="s">
        <v>917</v>
      </c>
      <c r="C491" t="s">
        <v>441</v>
      </c>
      <c r="D491" t="s">
        <v>908</v>
      </c>
    </row>
    <row r="492" spans="1:4" x14ac:dyDescent="0.2">
      <c r="A492" s="18" t="s">
        <v>1800</v>
      </c>
      <c r="B492" t="s">
        <v>452</v>
      </c>
      <c r="C492" t="s">
        <v>452</v>
      </c>
      <c r="D492" t="s">
        <v>908</v>
      </c>
    </row>
    <row r="493" spans="1:4" x14ac:dyDescent="0.2">
      <c r="A493" s="18" t="s">
        <v>1801</v>
      </c>
      <c r="B493" t="s">
        <v>457</v>
      </c>
      <c r="C493" t="s">
        <v>452</v>
      </c>
      <c r="D493" t="s">
        <v>908</v>
      </c>
    </row>
    <row r="494" spans="1:4" x14ac:dyDescent="0.2">
      <c r="A494" s="18" t="s">
        <v>1802</v>
      </c>
      <c r="B494" t="s">
        <v>37</v>
      </c>
      <c r="C494" t="s">
        <v>452</v>
      </c>
      <c r="D494" t="s">
        <v>908</v>
      </c>
    </row>
    <row r="495" spans="1:4" x14ac:dyDescent="0.2">
      <c r="A495" s="18" t="s">
        <v>1803</v>
      </c>
      <c r="B495" t="s">
        <v>918</v>
      </c>
      <c r="C495" t="s">
        <v>452</v>
      </c>
      <c r="D495" t="s">
        <v>908</v>
      </c>
    </row>
    <row r="496" spans="1:4" x14ac:dyDescent="0.2">
      <c r="A496" s="18" t="s">
        <v>1804</v>
      </c>
      <c r="B496" t="s">
        <v>919</v>
      </c>
      <c r="C496" t="s">
        <v>452</v>
      </c>
      <c r="D496" t="s">
        <v>908</v>
      </c>
    </row>
    <row r="497" spans="1:4" x14ac:dyDescent="0.2">
      <c r="A497" s="18" t="s">
        <v>1805</v>
      </c>
      <c r="B497" t="s">
        <v>920</v>
      </c>
      <c r="C497" t="s">
        <v>452</v>
      </c>
      <c r="D497" t="s">
        <v>908</v>
      </c>
    </row>
    <row r="498" spans="1:4" x14ac:dyDescent="0.2">
      <c r="A498" s="18" t="s">
        <v>1806</v>
      </c>
      <c r="B498" t="s">
        <v>921</v>
      </c>
      <c r="C498" t="s">
        <v>452</v>
      </c>
      <c r="D498" t="s">
        <v>908</v>
      </c>
    </row>
    <row r="499" spans="1:4" x14ac:dyDescent="0.2">
      <c r="A499" s="18" t="s">
        <v>1807</v>
      </c>
      <c r="B499" t="s">
        <v>424</v>
      </c>
      <c r="C499" t="s">
        <v>452</v>
      </c>
      <c r="D499" t="s">
        <v>908</v>
      </c>
    </row>
    <row r="500" spans="1:4" x14ac:dyDescent="0.2">
      <c r="A500" s="18" t="s">
        <v>1808</v>
      </c>
      <c r="B500" t="s">
        <v>435</v>
      </c>
      <c r="C500" t="s">
        <v>452</v>
      </c>
      <c r="D500" t="s">
        <v>908</v>
      </c>
    </row>
    <row r="501" spans="1:4" x14ac:dyDescent="0.2">
      <c r="A501" s="18" t="s">
        <v>1809</v>
      </c>
      <c r="B501" t="s">
        <v>433</v>
      </c>
      <c r="C501" t="s">
        <v>452</v>
      </c>
      <c r="D501" t="s">
        <v>908</v>
      </c>
    </row>
    <row r="502" spans="1:4" x14ac:dyDescent="0.2">
      <c r="A502" s="18" t="s">
        <v>1810</v>
      </c>
      <c r="B502" t="s">
        <v>50</v>
      </c>
      <c r="C502" t="s">
        <v>452</v>
      </c>
      <c r="D502" t="s">
        <v>908</v>
      </c>
    </row>
    <row r="503" spans="1:4" x14ac:dyDescent="0.2">
      <c r="A503" s="18" t="s">
        <v>1811</v>
      </c>
      <c r="B503" t="s">
        <v>922</v>
      </c>
      <c r="C503" t="s">
        <v>452</v>
      </c>
      <c r="D503" t="s">
        <v>908</v>
      </c>
    </row>
    <row r="504" spans="1:4" x14ac:dyDescent="0.2">
      <c r="A504" s="18" t="s">
        <v>1812</v>
      </c>
      <c r="B504" t="s">
        <v>923</v>
      </c>
      <c r="C504" t="s">
        <v>923</v>
      </c>
      <c r="D504" t="s">
        <v>908</v>
      </c>
    </row>
    <row r="505" spans="1:4" x14ac:dyDescent="0.2">
      <c r="A505" s="18" t="s">
        <v>1813</v>
      </c>
      <c r="B505" t="s">
        <v>924</v>
      </c>
      <c r="C505" t="s">
        <v>923</v>
      </c>
      <c r="D505" t="s">
        <v>908</v>
      </c>
    </row>
    <row r="506" spans="1:4" x14ac:dyDescent="0.2">
      <c r="A506" s="18" t="s">
        <v>1814</v>
      </c>
      <c r="B506" t="s">
        <v>925</v>
      </c>
      <c r="C506" t="s">
        <v>923</v>
      </c>
      <c r="D506" t="s">
        <v>908</v>
      </c>
    </row>
    <row r="507" spans="1:4" x14ac:dyDescent="0.2">
      <c r="A507" s="18" t="s">
        <v>1815</v>
      </c>
      <c r="B507" t="s">
        <v>926</v>
      </c>
      <c r="C507" t="s">
        <v>923</v>
      </c>
      <c r="D507" t="s">
        <v>908</v>
      </c>
    </row>
    <row r="508" spans="1:4" x14ac:dyDescent="0.2">
      <c r="A508" s="18" t="s">
        <v>1816</v>
      </c>
      <c r="B508" t="s">
        <v>927</v>
      </c>
      <c r="C508" t="s">
        <v>923</v>
      </c>
      <c r="D508" t="s">
        <v>908</v>
      </c>
    </row>
    <row r="509" spans="1:4" x14ac:dyDescent="0.2">
      <c r="A509" s="18" t="s">
        <v>1817</v>
      </c>
      <c r="B509" t="s">
        <v>928</v>
      </c>
      <c r="C509" t="s">
        <v>928</v>
      </c>
      <c r="D509" t="s">
        <v>929</v>
      </c>
    </row>
    <row r="510" spans="1:4" x14ac:dyDescent="0.2">
      <c r="A510" s="18" t="s">
        <v>1818</v>
      </c>
      <c r="B510" t="s">
        <v>930</v>
      </c>
      <c r="C510" t="s">
        <v>928</v>
      </c>
      <c r="D510" t="s">
        <v>929</v>
      </c>
    </row>
    <row r="511" spans="1:4" x14ac:dyDescent="0.2">
      <c r="A511" s="18" t="s">
        <v>1819</v>
      </c>
      <c r="B511" t="s">
        <v>931</v>
      </c>
      <c r="C511" t="s">
        <v>928</v>
      </c>
      <c r="D511" t="s">
        <v>929</v>
      </c>
    </row>
    <row r="512" spans="1:4" x14ac:dyDescent="0.2">
      <c r="A512" s="18" t="s">
        <v>1820</v>
      </c>
      <c r="B512" t="s">
        <v>932</v>
      </c>
      <c r="C512" t="s">
        <v>928</v>
      </c>
      <c r="D512" t="s">
        <v>929</v>
      </c>
    </row>
    <row r="513" spans="1:4" x14ac:dyDescent="0.2">
      <c r="A513" s="18" t="s">
        <v>1821</v>
      </c>
      <c r="B513" t="s">
        <v>427</v>
      </c>
      <c r="C513" t="s">
        <v>928</v>
      </c>
      <c r="D513" t="s">
        <v>929</v>
      </c>
    </row>
    <row r="514" spans="1:4" x14ac:dyDescent="0.2">
      <c r="A514" s="18" t="s">
        <v>1822</v>
      </c>
      <c r="B514" t="s">
        <v>933</v>
      </c>
      <c r="C514" t="s">
        <v>928</v>
      </c>
      <c r="D514" t="s">
        <v>929</v>
      </c>
    </row>
    <row r="515" spans="1:4" x14ac:dyDescent="0.2">
      <c r="A515" s="18" t="s">
        <v>1823</v>
      </c>
      <c r="B515" t="s">
        <v>934</v>
      </c>
      <c r="C515" t="s">
        <v>928</v>
      </c>
      <c r="D515" t="s">
        <v>929</v>
      </c>
    </row>
    <row r="516" spans="1:4" x14ac:dyDescent="0.2">
      <c r="A516" s="18" t="s">
        <v>1824</v>
      </c>
      <c r="B516" t="s">
        <v>935</v>
      </c>
      <c r="C516" t="s">
        <v>928</v>
      </c>
      <c r="D516" t="s">
        <v>929</v>
      </c>
    </row>
    <row r="517" spans="1:4" x14ac:dyDescent="0.2">
      <c r="A517" s="18" t="s">
        <v>1825</v>
      </c>
      <c r="B517" t="s">
        <v>936</v>
      </c>
      <c r="C517" t="s">
        <v>937</v>
      </c>
      <c r="D517" t="s">
        <v>929</v>
      </c>
    </row>
    <row r="518" spans="1:4" x14ac:dyDescent="0.2">
      <c r="A518" s="18" t="s">
        <v>1826</v>
      </c>
      <c r="B518" t="s">
        <v>937</v>
      </c>
      <c r="C518" t="s">
        <v>937</v>
      </c>
      <c r="D518" t="s">
        <v>929</v>
      </c>
    </row>
    <row r="519" spans="1:4" x14ac:dyDescent="0.2">
      <c r="A519" s="18" t="s">
        <v>1827</v>
      </c>
      <c r="B519" t="s">
        <v>9</v>
      </c>
      <c r="C519" t="s">
        <v>937</v>
      </c>
      <c r="D519" t="s">
        <v>929</v>
      </c>
    </row>
    <row r="520" spans="1:4" x14ac:dyDescent="0.2">
      <c r="A520" s="18" t="s">
        <v>1828</v>
      </c>
      <c r="B520" t="s">
        <v>938</v>
      </c>
      <c r="C520" t="s">
        <v>937</v>
      </c>
      <c r="D520" t="s">
        <v>929</v>
      </c>
    </row>
    <row r="521" spans="1:4" x14ac:dyDescent="0.2">
      <c r="A521" s="18" t="s">
        <v>1829</v>
      </c>
      <c r="B521" t="s">
        <v>939</v>
      </c>
      <c r="C521" t="s">
        <v>937</v>
      </c>
      <c r="D521" t="s">
        <v>929</v>
      </c>
    </row>
    <row r="522" spans="1:4" x14ac:dyDescent="0.2">
      <c r="A522" s="18" t="s">
        <v>1830</v>
      </c>
      <c r="B522" t="s">
        <v>940</v>
      </c>
      <c r="C522" t="s">
        <v>940</v>
      </c>
      <c r="D522" t="s">
        <v>929</v>
      </c>
    </row>
    <row r="523" spans="1:4" x14ac:dyDescent="0.2">
      <c r="A523" s="18" t="s">
        <v>1831</v>
      </c>
      <c r="B523" t="s">
        <v>49</v>
      </c>
      <c r="C523" t="s">
        <v>940</v>
      </c>
      <c r="D523" t="s">
        <v>929</v>
      </c>
    </row>
    <row r="524" spans="1:4" x14ac:dyDescent="0.2">
      <c r="A524" s="18" t="s">
        <v>1832</v>
      </c>
      <c r="B524" t="s">
        <v>941</v>
      </c>
      <c r="C524" t="s">
        <v>940</v>
      </c>
      <c r="D524" t="s">
        <v>929</v>
      </c>
    </row>
    <row r="525" spans="1:4" x14ac:dyDescent="0.2">
      <c r="A525" s="18" t="s">
        <v>1833</v>
      </c>
      <c r="B525" t="s">
        <v>467</v>
      </c>
      <c r="C525" t="s">
        <v>467</v>
      </c>
      <c r="D525" t="s">
        <v>929</v>
      </c>
    </row>
    <row r="526" spans="1:4" x14ac:dyDescent="0.2">
      <c r="A526" s="18" t="s">
        <v>1834</v>
      </c>
      <c r="B526" t="s">
        <v>52</v>
      </c>
      <c r="C526" t="s">
        <v>467</v>
      </c>
      <c r="D526" t="s">
        <v>929</v>
      </c>
    </row>
    <row r="527" spans="1:4" x14ac:dyDescent="0.2">
      <c r="A527" s="18" t="s">
        <v>1835</v>
      </c>
      <c r="B527" t="s">
        <v>942</v>
      </c>
      <c r="C527" t="s">
        <v>467</v>
      </c>
      <c r="D527" t="s">
        <v>929</v>
      </c>
    </row>
    <row r="528" spans="1:4" x14ac:dyDescent="0.2">
      <c r="A528" s="18" t="s">
        <v>1836</v>
      </c>
      <c r="B528" t="s">
        <v>943</v>
      </c>
      <c r="C528" t="s">
        <v>467</v>
      </c>
      <c r="D528" t="s">
        <v>929</v>
      </c>
    </row>
    <row r="529" spans="1:4" x14ac:dyDescent="0.2">
      <c r="A529" s="18" t="s">
        <v>1837</v>
      </c>
      <c r="B529" t="s">
        <v>944</v>
      </c>
      <c r="C529" t="s">
        <v>467</v>
      </c>
      <c r="D529" t="s">
        <v>929</v>
      </c>
    </row>
    <row r="530" spans="1:4" x14ac:dyDescent="0.2">
      <c r="A530" s="18" t="s">
        <v>1838</v>
      </c>
      <c r="B530" t="s">
        <v>5</v>
      </c>
      <c r="C530" t="s">
        <v>467</v>
      </c>
      <c r="D530" t="s">
        <v>929</v>
      </c>
    </row>
    <row r="531" spans="1:4" x14ac:dyDescent="0.2">
      <c r="A531" s="18" t="s">
        <v>1839</v>
      </c>
      <c r="B531" t="s">
        <v>945</v>
      </c>
      <c r="C531" t="s">
        <v>467</v>
      </c>
      <c r="D531" t="s">
        <v>929</v>
      </c>
    </row>
    <row r="532" spans="1:4" x14ac:dyDescent="0.2">
      <c r="A532" s="18" t="s">
        <v>1840</v>
      </c>
      <c r="B532" t="s">
        <v>946</v>
      </c>
      <c r="C532" t="s">
        <v>467</v>
      </c>
      <c r="D532" t="s">
        <v>929</v>
      </c>
    </row>
    <row r="533" spans="1:4" x14ac:dyDescent="0.2">
      <c r="A533" s="18" t="s">
        <v>1841</v>
      </c>
      <c r="B533" t="s">
        <v>947</v>
      </c>
      <c r="C533" t="s">
        <v>467</v>
      </c>
      <c r="D533" t="s">
        <v>929</v>
      </c>
    </row>
    <row r="534" spans="1:4" x14ac:dyDescent="0.2">
      <c r="A534" s="18" t="s">
        <v>1842</v>
      </c>
      <c r="B534" t="s">
        <v>948</v>
      </c>
      <c r="C534" t="s">
        <v>467</v>
      </c>
      <c r="D534" t="s">
        <v>929</v>
      </c>
    </row>
    <row r="535" spans="1:4" x14ac:dyDescent="0.2">
      <c r="A535" s="18" t="s">
        <v>1843</v>
      </c>
      <c r="B535" t="s">
        <v>949</v>
      </c>
      <c r="C535" t="s">
        <v>467</v>
      </c>
      <c r="D535" t="s">
        <v>929</v>
      </c>
    </row>
    <row r="536" spans="1:4" x14ac:dyDescent="0.2">
      <c r="A536" s="18" t="s">
        <v>1844</v>
      </c>
      <c r="B536" t="s">
        <v>950</v>
      </c>
      <c r="C536" t="s">
        <v>467</v>
      </c>
      <c r="D536" t="s">
        <v>929</v>
      </c>
    </row>
    <row r="537" spans="1:4" x14ac:dyDescent="0.2">
      <c r="A537" s="18" t="s">
        <v>1845</v>
      </c>
      <c r="B537" t="s">
        <v>951</v>
      </c>
      <c r="C537" t="s">
        <v>951</v>
      </c>
      <c r="D537" t="s">
        <v>929</v>
      </c>
    </row>
    <row r="538" spans="1:4" x14ac:dyDescent="0.2">
      <c r="A538" s="18" t="s">
        <v>1846</v>
      </c>
      <c r="B538" t="s">
        <v>952</v>
      </c>
      <c r="C538" t="s">
        <v>951</v>
      </c>
      <c r="D538" t="s">
        <v>929</v>
      </c>
    </row>
    <row r="539" spans="1:4" x14ac:dyDescent="0.2">
      <c r="A539" s="18" t="s">
        <v>1847</v>
      </c>
      <c r="B539" t="s">
        <v>953</v>
      </c>
      <c r="C539" t="s">
        <v>951</v>
      </c>
      <c r="D539" t="s">
        <v>929</v>
      </c>
    </row>
    <row r="540" spans="1:4" x14ac:dyDescent="0.2">
      <c r="A540" s="18" t="s">
        <v>1848</v>
      </c>
      <c r="B540" t="s">
        <v>954</v>
      </c>
      <c r="C540" t="s">
        <v>951</v>
      </c>
      <c r="D540" t="s">
        <v>929</v>
      </c>
    </row>
    <row r="541" spans="1:4" x14ac:dyDescent="0.2">
      <c r="A541" s="18" t="s">
        <v>1849</v>
      </c>
      <c r="B541" t="s">
        <v>955</v>
      </c>
      <c r="C541" t="s">
        <v>951</v>
      </c>
      <c r="D541" t="s">
        <v>929</v>
      </c>
    </row>
    <row r="542" spans="1:4" x14ac:dyDescent="0.2">
      <c r="A542" s="18" t="s">
        <v>1850</v>
      </c>
      <c r="B542" t="s">
        <v>956</v>
      </c>
      <c r="C542" t="s">
        <v>956</v>
      </c>
      <c r="D542" t="s">
        <v>929</v>
      </c>
    </row>
    <row r="543" spans="1:4" x14ac:dyDescent="0.2">
      <c r="A543" s="18" t="s">
        <v>1851</v>
      </c>
      <c r="B543" t="s">
        <v>957</v>
      </c>
      <c r="C543" t="s">
        <v>956</v>
      </c>
      <c r="D543" t="s">
        <v>929</v>
      </c>
    </row>
    <row r="544" spans="1:4" x14ac:dyDescent="0.2">
      <c r="A544" s="18" t="s">
        <v>1852</v>
      </c>
      <c r="B544" t="s">
        <v>958</v>
      </c>
      <c r="C544" t="s">
        <v>956</v>
      </c>
      <c r="D544" t="s">
        <v>929</v>
      </c>
    </row>
    <row r="545" spans="1:4" x14ac:dyDescent="0.2">
      <c r="A545" s="18" t="s">
        <v>1853</v>
      </c>
      <c r="B545" t="s">
        <v>959</v>
      </c>
      <c r="C545" t="s">
        <v>956</v>
      </c>
      <c r="D545" t="s">
        <v>929</v>
      </c>
    </row>
    <row r="546" spans="1:4" x14ac:dyDescent="0.2">
      <c r="A546" s="18" t="s">
        <v>1854</v>
      </c>
      <c r="B546" t="s">
        <v>960</v>
      </c>
      <c r="C546" t="s">
        <v>956</v>
      </c>
      <c r="D546" t="s">
        <v>929</v>
      </c>
    </row>
    <row r="547" spans="1:4" x14ac:dyDescent="0.2">
      <c r="A547" s="18" t="s">
        <v>1855</v>
      </c>
      <c r="B547" t="s">
        <v>961</v>
      </c>
      <c r="C547" t="s">
        <v>956</v>
      </c>
      <c r="D547" t="s">
        <v>929</v>
      </c>
    </row>
    <row r="548" spans="1:4" x14ac:dyDescent="0.2">
      <c r="A548" s="18" t="s">
        <v>1856</v>
      </c>
      <c r="B548" t="s">
        <v>962</v>
      </c>
      <c r="C548" t="s">
        <v>962</v>
      </c>
      <c r="D548" t="s">
        <v>929</v>
      </c>
    </row>
    <row r="549" spans="1:4" x14ac:dyDescent="0.2">
      <c r="A549" s="18" t="s">
        <v>1857</v>
      </c>
      <c r="B549" t="s">
        <v>963</v>
      </c>
      <c r="C549" t="s">
        <v>962</v>
      </c>
      <c r="D549" t="s">
        <v>929</v>
      </c>
    </row>
    <row r="550" spans="1:4" x14ac:dyDescent="0.2">
      <c r="A550" s="18" t="s">
        <v>1858</v>
      </c>
      <c r="B550" t="s">
        <v>964</v>
      </c>
      <c r="C550" t="s">
        <v>962</v>
      </c>
      <c r="D550" t="s">
        <v>929</v>
      </c>
    </row>
    <row r="551" spans="1:4" x14ac:dyDescent="0.2">
      <c r="A551" s="18" t="s">
        <v>1859</v>
      </c>
      <c r="B551" t="s">
        <v>965</v>
      </c>
      <c r="C551" t="s">
        <v>962</v>
      </c>
      <c r="D551" t="s">
        <v>929</v>
      </c>
    </row>
    <row r="552" spans="1:4" x14ac:dyDescent="0.2">
      <c r="A552" s="18" t="s">
        <v>1860</v>
      </c>
      <c r="B552" t="s">
        <v>966</v>
      </c>
      <c r="C552" t="s">
        <v>962</v>
      </c>
      <c r="D552" t="s">
        <v>929</v>
      </c>
    </row>
    <row r="553" spans="1:4" x14ac:dyDescent="0.2">
      <c r="A553" s="18" t="s">
        <v>1861</v>
      </c>
      <c r="B553" t="s">
        <v>967</v>
      </c>
      <c r="C553" t="s">
        <v>962</v>
      </c>
      <c r="D553" t="s">
        <v>929</v>
      </c>
    </row>
    <row r="554" spans="1:4" x14ac:dyDescent="0.2">
      <c r="A554" s="18" t="s">
        <v>1862</v>
      </c>
      <c r="B554" t="s">
        <v>968</v>
      </c>
      <c r="C554" t="s">
        <v>962</v>
      </c>
      <c r="D554" t="s">
        <v>929</v>
      </c>
    </row>
    <row r="555" spans="1:4" x14ac:dyDescent="0.2">
      <c r="A555" s="18" t="s">
        <v>1863</v>
      </c>
      <c r="B555" t="s">
        <v>969</v>
      </c>
      <c r="C555" t="s">
        <v>962</v>
      </c>
      <c r="D555" t="s">
        <v>929</v>
      </c>
    </row>
    <row r="556" spans="1:4" x14ac:dyDescent="0.2">
      <c r="A556" s="18" t="s">
        <v>1864</v>
      </c>
      <c r="B556" t="s">
        <v>970</v>
      </c>
      <c r="C556" t="s">
        <v>962</v>
      </c>
      <c r="D556" t="s">
        <v>929</v>
      </c>
    </row>
    <row r="557" spans="1:4" x14ac:dyDescent="0.2">
      <c r="A557" s="18" t="s">
        <v>1865</v>
      </c>
      <c r="B557" t="s">
        <v>971</v>
      </c>
      <c r="C557" t="s">
        <v>962</v>
      </c>
      <c r="D557" t="s">
        <v>929</v>
      </c>
    </row>
    <row r="558" spans="1:4" x14ac:dyDescent="0.2">
      <c r="A558" s="18" t="s">
        <v>1866</v>
      </c>
      <c r="B558" t="s">
        <v>972</v>
      </c>
      <c r="C558" t="s">
        <v>972</v>
      </c>
      <c r="D558" t="s">
        <v>929</v>
      </c>
    </row>
    <row r="559" spans="1:4" x14ac:dyDescent="0.2">
      <c r="A559" s="18" t="s">
        <v>1867</v>
      </c>
      <c r="B559" t="s">
        <v>973</v>
      </c>
      <c r="C559" t="s">
        <v>972</v>
      </c>
      <c r="D559" t="s">
        <v>929</v>
      </c>
    </row>
    <row r="560" spans="1:4" x14ac:dyDescent="0.2">
      <c r="A560" s="18" t="s">
        <v>1868</v>
      </c>
      <c r="B560" t="s">
        <v>974</v>
      </c>
      <c r="C560" t="s">
        <v>972</v>
      </c>
      <c r="D560" t="s">
        <v>929</v>
      </c>
    </row>
    <row r="561" spans="1:4" x14ac:dyDescent="0.2">
      <c r="A561" s="18" t="s">
        <v>1869</v>
      </c>
      <c r="B561" t="s">
        <v>975</v>
      </c>
      <c r="C561" t="s">
        <v>972</v>
      </c>
      <c r="D561" t="s">
        <v>929</v>
      </c>
    </row>
    <row r="562" spans="1:4" x14ac:dyDescent="0.2">
      <c r="A562" s="18" t="s">
        <v>1870</v>
      </c>
      <c r="B562" t="s">
        <v>976</v>
      </c>
      <c r="C562" t="s">
        <v>976</v>
      </c>
      <c r="D562" t="s">
        <v>929</v>
      </c>
    </row>
    <row r="563" spans="1:4" x14ac:dyDescent="0.2">
      <c r="A563" s="18" t="s">
        <v>1871</v>
      </c>
      <c r="B563" t="s">
        <v>977</v>
      </c>
      <c r="C563" t="s">
        <v>976</v>
      </c>
      <c r="D563" t="s">
        <v>929</v>
      </c>
    </row>
    <row r="564" spans="1:4" x14ac:dyDescent="0.2">
      <c r="A564" s="18" t="s">
        <v>1872</v>
      </c>
      <c r="B564" t="s">
        <v>978</v>
      </c>
      <c r="C564" t="s">
        <v>976</v>
      </c>
      <c r="D564" t="s">
        <v>929</v>
      </c>
    </row>
    <row r="565" spans="1:4" x14ac:dyDescent="0.2">
      <c r="A565" s="18" t="s">
        <v>1873</v>
      </c>
      <c r="B565" t="s">
        <v>979</v>
      </c>
      <c r="C565" t="s">
        <v>976</v>
      </c>
      <c r="D565" t="s">
        <v>929</v>
      </c>
    </row>
    <row r="566" spans="1:4" x14ac:dyDescent="0.2">
      <c r="A566" s="18" t="s">
        <v>1874</v>
      </c>
      <c r="B566" t="s">
        <v>980</v>
      </c>
      <c r="C566" t="s">
        <v>976</v>
      </c>
      <c r="D566" t="s">
        <v>929</v>
      </c>
    </row>
    <row r="567" spans="1:4" x14ac:dyDescent="0.2">
      <c r="A567" s="18" t="s">
        <v>1875</v>
      </c>
      <c r="B567" t="s">
        <v>981</v>
      </c>
      <c r="C567" t="s">
        <v>981</v>
      </c>
      <c r="D567" t="s">
        <v>929</v>
      </c>
    </row>
    <row r="568" spans="1:4" x14ac:dyDescent="0.2">
      <c r="A568" s="18" t="s">
        <v>1876</v>
      </c>
      <c r="B568" t="s">
        <v>982</v>
      </c>
      <c r="C568" t="s">
        <v>981</v>
      </c>
      <c r="D568" t="s">
        <v>929</v>
      </c>
    </row>
    <row r="569" spans="1:4" x14ac:dyDescent="0.2">
      <c r="A569" s="18" t="s">
        <v>1877</v>
      </c>
      <c r="B569" t="s">
        <v>983</v>
      </c>
      <c r="C569" t="s">
        <v>981</v>
      </c>
      <c r="D569" t="s">
        <v>929</v>
      </c>
    </row>
    <row r="570" spans="1:4" x14ac:dyDescent="0.2">
      <c r="A570" s="18" t="s">
        <v>1878</v>
      </c>
      <c r="B570" t="s">
        <v>984</v>
      </c>
      <c r="C570" t="s">
        <v>981</v>
      </c>
      <c r="D570" t="s">
        <v>929</v>
      </c>
    </row>
    <row r="571" spans="1:4" x14ac:dyDescent="0.2">
      <c r="A571" s="18" t="s">
        <v>1879</v>
      </c>
      <c r="B571" t="s">
        <v>985</v>
      </c>
      <c r="C571" t="s">
        <v>981</v>
      </c>
      <c r="D571" t="s">
        <v>929</v>
      </c>
    </row>
    <row r="572" spans="1:4" x14ac:dyDescent="0.2">
      <c r="A572" s="18" t="s">
        <v>1880</v>
      </c>
      <c r="B572" t="s">
        <v>986</v>
      </c>
      <c r="C572" t="s">
        <v>981</v>
      </c>
      <c r="D572" t="s">
        <v>929</v>
      </c>
    </row>
    <row r="573" spans="1:4" x14ac:dyDescent="0.2">
      <c r="A573" s="18" t="s">
        <v>1881</v>
      </c>
      <c r="B573" t="s">
        <v>987</v>
      </c>
      <c r="C573" t="s">
        <v>981</v>
      </c>
      <c r="D573" t="s">
        <v>929</v>
      </c>
    </row>
    <row r="574" spans="1:4" x14ac:dyDescent="0.2">
      <c r="A574" s="18" t="s">
        <v>1882</v>
      </c>
      <c r="B574" t="s">
        <v>988</v>
      </c>
      <c r="C574" t="s">
        <v>988</v>
      </c>
      <c r="D574" t="s">
        <v>929</v>
      </c>
    </row>
    <row r="575" spans="1:4" x14ac:dyDescent="0.2">
      <c r="A575" s="18" t="s">
        <v>1883</v>
      </c>
      <c r="B575" t="s">
        <v>989</v>
      </c>
      <c r="C575" t="s">
        <v>988</v>
      </c>
      <c r="D575" t="s">
        <v>929</v>
      </c>
    </row>
    <row r="576" spans="1:4" x14ac:dyDescent="0.2">
      <c r="A576" s="18" t="s">
        <v>1884</v>
      </c>
      <c r="B576" t="s">
        <v>990</v>
      </c>
      <c r="C576" t="s">
        <v>988</v>
      </c>
      <c r="D576" t="s">
        <v>929</v>
      </c>
    </row>
    <row r="577" spans="1:4" x14ac:dyDescent="0.2">
      <c r="A577" s="18" t="s">
        <v>1885</v>
      </c>
      <c r="B577" t="s">
        <v>991</v>
      </c>
      <c r="C577" t="s">
        <v>988</v>
      </c>
      <c r="D577" t="s">
        <v>929</v>
      </c>
    </row>
    <row r="578" spans="1:4" x14ac:dyDescent="0.2">
      <c r="A578" s="18" t="s">
        <v>1886</v>
      </c>
      <c r="B578" t="s">
        <v>992</v>
      </c>
      <c r="C578" t="s">
        <v>988</v>
      </c>
      <c r="D578" t="s">
        <v>929</v>
      </c>
    </row>
    <row r="579" spans="1:4" x14ac:dyDescent="0.2">
      <c r="A579" s="18" t="s">
        <v>1887</v>
      </c>
      <c r="B579" t="s">
        <v>993</v>
      </c>
      <c r="C579" t="s">
        <v>988</v>
      </c>
      <c r="D579" t="s">
        <v>929</v>
      </c>
    </row>
    <row r="580" spans="1:4" x14ac:dyDescent="0.2">
      <c r="A580" s="18" t="s">
        <v>1888</v>
      </c>
      <c r="B580" t="s">
        <v>994</v>
      </c>
      <c r="C580" t="s">
        <v>988</v>
      </c>
      <c r="D580" t="s">
        <v>929</v>
      </c>
    </row>
    <row r="581" spans="1:4" x14ac:dyDescent="0.2">
      <c r="A581" s="18" t="s">
        <v>1889</v>
      </c>
      <c r="B581" t="s">
        <v>995</v>
      </c>
      <c r="C581" t="s">
        <v>988</v>
      </c>
      <c r="D581" t="s">
        <v>929</v>
      </c>
    </row>
    <row r="582" spans="1:4" x14ac:dyDescent="0.2">
      <c r="A582" s="18" t="s">
        <v>1890</v>
      </c>
      <c r="B582" t="s">
        <v>996</v>
      </c>
      <c r="C582" t="s">
        <v>988</v>
      </c>
      <c r="D582" t="s">
        <v>929</v>
      </c>
    </row>
    <row r="583" spans="1:4" x14ac:dyDescent="0.2">
      <c r="A583" s="18" t="s">
        <v>1891</v>
      </c>
      <c r="B583" t="s">
        <v>997</v>
      </c>
      <c r="C583" t="s">
        <v>988</v>
      </c>
      <c r="D583" t="s">
        <v>929</v>
      </c>
    </row>
    <row r="584" spans="1:4" x14ac:dyDescent="0.2">
      <c r="A584" s="18" t="s">
        <v>1892</v>
      </c>
      <c r="B584" t="s">
        <v>998</v>
      </c>
      <c r="C584" t="s">
        <v>988</v>
      </c>
      <c r="D584" t="s">
        <v>929</v>
      </c>
    </row>
    <row r="585" spans="1:4" x14ac:dyDescent="0.2">
      <c r="A585" s="18" t="s">
        <v>1893</v>
      </c>
      <c r="B585" t="s">
        <v>10</v>
      </c>
      <c r="C585" t="s">
        <v>10</v>
      </c>
      <c r="D585" t="s">
        <v>999</v>
      </c>
    </row>
    <row r="586" spans="1:4" x14ac:dyDescent="0.2">
      <c r="A586" s="18" t="s">
        <v>1894</v>
      </c>
      <c r="B586" t="s">
        <v>1000</v>
      </c>
      <c r="C586" t="s">
        <v>10</v>
      </c>
      <c r="D586" t="s">
        <v>999</v>
      </c>
    </row>
    <row r="587" spans="1:4" x14ac:dyDescent="0.2">
      <c r="A587" s="18" t="s">
        <v>1895</v>
      </c>
      <c r="B587" t="s">
        <v>1001</v>
      </c>
      <c r="C587" t="s">
        <v>10</v>
      </c>
      <c r="D587" t="s">
        <v>999</v>
      </c>
    </row>
    <row r="588" spans="1:4" x14ac:dyDescent="0.2">
      <c r="A588" s="18" t="s">
        <v>1896</v>
      </c>
      <c r="B588" t="s">
        <v>1002</v>
      </c>
      <c r="C588" t="s">
        <v>10</v>
      </c>
      <c r="D588" t="s">
        <v>999</v>
      </c>
    </row>
    <row r="589" spans="1:4" x14ac:dyDescent="0.2">
      <c r="A589" s="18" t="s">
        <v>1897</v>
      </c>
      <c r="B589" t="s">
        <v>42</v>
      </c>
      <c r="C589" t="s">
        <v>42</v>
      </c>
      <c r="D589" t="s">
        <v>999</v>
      </c>
    </row>
    <row r="590" spans="1:4" x14ac:dyDescent="0.2">
      <c r="A590" s="18" t="s">
        <v>1898</v>
      </c>
      <c r="B590" t="s">
        <v>1003</v>
      </c>
      <c r="C590" t="s">
        <v>42</v>
      </c>
      <c r="D590" t="s">
        <v>999</v>
      </c>
    </row>
    <row r="591" spans="1:4" x14ac:dyDescent="0.2">
      <c r="A591" s="18" t="s">
        <v>1899</v>
      </c>
      <c r="B591" t="s">
        <v>1004</v>
      </c>
      <c r="C591" t="s">
        <v>42</v>
      </c>
      <c r="D591" t="s">
        <v>999</v>
      </c>
    </row>
    <row r="592" spans="1:4" x14ac:dyDescent="0.2">
      <c r="A592" s="18" t="s">
        <v>1900</v>
      </c>
      <c r="B592" t="s">
        <v>1005</v>
      </c>
      <c r="C592" t="s">
        <v>42</v>
      </c>
      <c r="D592" t="s">
        <v>999</v>
      </c>
    </row>
    <row r="593" spans="1:4" x14ac:dyDescent="0.2">
      <c r="A593" s="18" t="s">
        <v>1901</v>
      </c>
      <c r="B593" t="s">
        <v>1006</v>
      </c>
      <c r="C593" t="s">
        <v>1006</v>
      </c>
      <c r="D593" t="s">
        <v>999</v>
      </c>
    </row>
    <row r="594" spans="1:4" x14ac:dyDescent="0.2">
      <c r="A594" s="18" t="s">
        <v>1902</v>
      </c>
      <c r="B594" t="s">
        <v>1007</v>
      </c>
      <c r="C594" t="s">
        <v>1006</v>
      </c>
      <c r="D594" t="s">
        <v>999</v>
      </c>
    </row>
    <row r="595" spans="1:4" x14ac:dyDescent="0.2">
      <c r="A595" s="18" t="s">
        <v>1903</v>
      </c>
      <c r="B595" t="s">
        <v>1008</v>
      </c>
      <c r="C595" t="s">
        <v>1006</v>
      </c>
      <c r="D595" t="s">
        <v>999</v>
      </c>
    </row>
    <row r="596" spans="1:4" x14ac:dyDescent="0.2">
      <c r="A596" s="18" t="s">
        <v>1904</v>
      </c>
      <c r="B596" t="s">
        <v>1009</v>
      </c>
      <c r="C596" t="s">
        <v>1009</v>
      </c>
      <c r="D596" t="s">
        <v>999</v>
      </c>
    </row>
    <row r="597" spans="1:4" x14ac:dyDescent="0.2">
      <c r="A597" s="18" t="s">
        <v>1905</v>
      </c>
      <c r="B597" t="s">
        <v>1010</v>
      </c>
      <c r="C597" t="s">
        <v>1009</v>
      </c>
      <c r="D597" t="s">
        <v>999</v>
      </c>
    </row>
    <row r="598" spans="1:4" x14ac:dyDescent="0.2">
      <c r="A598" s="18" t="s">
        <v>1906</v>
      </c>
      <c r="B598" t="s">
        <v>1011</v>
      </c>
      <c r="C598" t="s">
        <v>1009</v>
      </c>
      <c r="D598" t="s">
        <v>999</v>
      </c>
    </row>
    <row r="599" spans="1:4" x14ac:dyDescent="0.2">
      <c r="A599" s="18" t="s">
        <v>1907</v>
      </c>
      <c r="B599" t="s">
        <v>1012</v>
      </c>
      <c r="C599" t="s">
        <v>1009</v>
      </c>
      <c r="D599" t="s">
        <v>999</v>
      </c>
    </row>
    <row r="600" spans="1:4" x14ac:dyDescent="0.2">
      <c r="A600" s="18" t="s">
        <v>1908</v>
      </c>
      <c r="B600" t="s">
        <v>1013</v>
      </c>
      <c r="C600" t="s">
        <v>1009</v>
      </c>
      <c r="D600" t="s">
        <v>999</v>
      </c>
    </row>
    <row r="601" spans="1:4" x14ac:dyDescent="0.2">
      <c r="A601" s="18" t="s">
        <v>1909</v>
      </c>
      <c r="B601" t="s">
        <v>1014</v>
      </c>
      <c r="C601" t="s">
        <v>1009</v>
      </c>
      <c r="D601" t="s">
        <v>999</v>
      </c>
    </row>
    <row r="602" spans="1:4" x14ac:dyDescent="0.2">
      <c r="A602" s="18" t="s">
        <v>1910</v>
      </c>
      <c r="B602" t="s">
        <v>1015</v>
      </c>
      <c r="C602" t="s">
        <v>1015</v>
      </c>
      <c r="D602" t="s">
        <v>999</v>
      </c>
    </row>
    <row r="603" spans="1:4" x14ac:dyDescent="0.2">
      <c r="A603" s="18" t="s">
        <v>1911</v>
      </c>
      <c r="B603" t="s">
        <v>1016</v>
      </c>
      <c r="C603" t="s">
        <v>1015</v>
      </c>
      <c r="D603" t="s">
        <v>999</v>
      </c>
    </row>
    <row r="604" spans="1:4" x14ac:dyDescent="0.2">
      <c r="A604" s="18" t="s">
        <v>1912</v>
      </c>
      <c r="B604" t="s">
        <v>1017</v>
      </c>
      <c r="C604" t="s">
        <v>1015</v>
      </c>
      <c r="D604" t="s">
        <v>999</v>
      </c>
    </row>
    <row r="605" spans="1:4" x14ac:dyDescent="0.2">
      <c r="A605" s="18" t="s">
        <v>1913</v>
      </c>
      <c r="B605" t="s">
        <v>1018</v>
      </c>
      <c r="C605" t="s">
        <v>1015</v>
      </c>
      <c r="D605" t="s">
        <v>999</v>
      </c>
    </row>
    <row r="606" spans="1:4" x14ac:dyDescent="0.2">
      <c r="A606" s="18" t="s">
        <v>1914</v>
      </c>
      <c r="B606" t="s">
        <v>1019</v>
      </c>
      <c r="C606" t="s">
        <v>1015</v>
      </c>
      <c r="D606" t="s">
        <v>999</v>
      </c>
    </row>
    <row r="607" spans="1:4" x14ac:dyDescent="0.2">
      <c r="A607" s="18" t="s">
        <v>1915</v>
      </c>
      <c r="B607" t="s">
        <v>1020</v>
      </c>
      <c r="C607" t="s">
        <v>1020</v>
      </c>
      <c r="D607" t="s">
        <v>999</v>
      </c>
    </row>
    <row r="608" spans="1:4" x14ac:dyDescent="0.2">
      <c r="A608" s="18" t="s">
        <v>1916</v>
      </c>
      <c r="B608" t="s">
        <v>1021</v>
      </c>
      <c r="C608" t="s">
        <v>1020</v>
      </c>
      <c r="D608" t="s">
        <v>999</v>
      </c>
    </row>
    <row r="609" spans="1:4" x14ac:dyDescent="0.2">
      <c r="A609" s="18" t="s">
        <v>1917</v>
      </c>
      <c r="B609" t="s">
        <v>1022</v>
      </c>
      <c r="C609" t="s">
        <v>1020</v>
      </c>
      <c r="D609" t="s">
        <v>999</v>
      </c>
    </row>
    <row r="610" spans="1:4" x14ac:dyDescent="0.2">
      <c r="A610" s="18" t="s">
        <v>1918</v>
      </c>
      <c r="B610" t="s">
        <v>1023</v>
      </c>
      <c r="C610" t="s">
        <v>1020</v>
      </c>
      <c r="D610" t="s">
        <v>999</v>
      </c>
    </row>
    <row r="611" spans="1:4" x14ac:dyDescent="0.2">
      <c r="A611" s="18" t="s">
        <v>1919</v>
      </c>
      <c r="B611" t="s">
        <v>1024</v>
      </c>
      <c r="C611" t="s">
        <v>1024</v>
      </c>
      <c r="D611" t="s">
        <v>999</v>
      </c>
    </row>
    <row r="612" spans="1:4" x14ac:dyDescent="0.2">
      <c r="A612" s="18" t="s">
        <v>1920</v>
      </c>
      <c r="B612" t="s">
        <v>1025</v>
      </c>
      <c r="C612" t="s">
        <v>1024</v>
      </c>
      <c r="D612" t="s">
        <v>999</v>
      </c>
    </row>
    <row r="613" spans="1:4" x14ac:dyDescent="0.2">
      <c r="A613" s="18" t="s">
        <v>1921</v>
      </c>
      <c r="B613" t="s">
        <v>1026</v>
      </c>
      <c r="C613" t="s">
        <v>1024</v>
      </c>
      <c r="D613" t="s">
        <v>999</v>
      </c>
    </row>
    <row r="614" spans="1:4" x14ac:dyDescent="0.2">
      <c r="A614" s="18" t="s">
        <v>1922</v>
      </c>
      <c r="B614" t="s">
        <v>1027</v>
      </c>
      <c r="C614" t="s">
        <v>1024</v>
      </c>
      <c r="D614" t="s">
        <v>999</v>
      </c>
    </row>
    <row r="615" spans="1:4" x14ac:dyDescent="0.2">
      <c r="A615" s="18" t="s">
        <v>1923</v>
      </c>
      <c r="B615" t="s">
        <v>1028</v>
      </c>
      <c r="C615" t="s">
        <v>1028</v>
      </c>
      <c r="D615" t="s">
        <v>999</v>
      </c>
    </row>
    <row r="616" spans="1:4" x14ac:dyDescent="0.2">
      <c r="A616" s="18" t="s">
        <v>1924</v>
      </c>
      <c r="B616" t="s">
        <v>1029</v>
      </c>
      <c r="C616" t="s">
        <v>1028</v>
      </c>
      <c r="D616" t="s">
        <v>999</v>
      </c>
    </row>
    <row r="617" spans="1:4" x14ac:dyDescent="0.2">
      <c r="A617" s="18" t="s">
        <v>1925</v>
      </c>
      <c r="B617" t="s">
        <v>1030</v>
      </c>
      <c r="C617" t="s">
        <v>1028</v>
      </c>
      <c r="D617" t="s">
        <v>999</v>
      </c>
    </row>
    <row r="618" spans="1:4" x14ac:dyDescent="0.2">
      <c r="A618" s="18" t="s">
        <v>1926</v>
      </c>
      <c r="B618" t="s">
        <v>1031</v>
      </c>
      <c r="C618" t="s">
        <v>1028</v>
      </c>
      <c r="D618" t="s">
        <v>999</v>
      </c>
    </row>
    <row r="619" spans="1:4" x14ac:dyDescent="0.2">
      <c r="A619" s="18" t="s">
        <v>1927</v>
      </c>
      <c r="B619" t="s">
        <v>1032</v>
      </c>
      <c r="C619" t="s">
        <v>1032</v>
      </c>
      <c r="D619" t="s">
        <v>999</v>
      </c>
    </row>
    <row r="620" spans="1:4" x14ac:dyDescent="0.2">
      <c r="A620" s="18" t="s">
        <v>1928</v>
      </c>
      <c r="B620" t="s">
        <v>1033</v>
      </c>
      <c r="C620" t="s">
        <v>1032</v>
      </c>
      <c r="D620" t="s">
        <v>999</v>
      </c>
    </row>
    <row r="621" spans="1:4" x14ac:dyDescent="0.2">
      <c r="A621" s="18" t="s">
        <v>1929</v>
      </c>
      <c r="B621" t="s">
        <v>1034</v>
      </c>
      <c r="C621" t="s">
        <v>1032</v>
      </c>
      <c r="D621" t="s">
        <v>999</v>
      </c>
    </row>
    <row r="622" spans="1:4" x14ac:dyDescent="0.2">
      <c r="A622" s="18" t="s">
        <v>1930</v>
      </c>
      <c r="B622" t="s">
        <v>1035</v>
      </c>
      <c r="C622" t="s">
        <v>1032</v>
      </c>
      <c r="D622" t="s">
        <v>999</v>
      </c>
    </row>
    <row r="623" spans="1:4" x14ac:dyDescent="0.2">
      <c r="A623" s="18" t="s">
        <v>1931</v>
      </c>
      <c r="B623" t="s">
        <v>1036</v>
      </c>
      <c r="C623" t="s">
        <v>1032</v>
      </c>
      <c r="D623" t="s">
        <v>999</v>
      </c>
    </row>
    <row r="624" spans="1:4" x14ac:dyDescent="0.2">
      <c r="A624" s="18" t="s">
        <v>1932</v>
      </c>
      <c r="B624" t="s">
        <v>1037</v>
      </c>
      <c r="C624" t="s">
        <v>1032</v>
      </c>
      <c r="D624" t="s">
        <v>999</v>
      </c>
    </row>
    <row r="625" spans="1:4" x14ac:dyDescent="0.2">
      <c r="A625" s="18" t="s">
        <v>1933</v>
      </c>
      <c r="B625" t="s">
        <v>1038</v>
      </c>
      <c r="C625" t="s">
        <v>1038</v>
      </c>
      <c r="D625" t="s">
        <v>999</v>
      </c>
    </row>
    <row r="626" spans="1:4" x14ac:dyDescent="0.2">
      <c r="A626" s="18" t="s">
        <v>1934</v>
      </c>
      <c r="B626" t="s">
        <v>1039</v>
      </c>
      <c r="C626" t="s">
        <v>1038</v>
      </c>
      <c r="D626" t="s">
        <v>999</v>
      </c>
    </row>
    <row r="627" spans="1:4" x14ac:dyDescent="0.2">
      <c r="A627" s="18" t="s">
        <v>1935</v>
      </c>
      <c r="B627" t="s">
        <v>1040</v>
      </c>
      <c r="C627" t="s">
        <v>1038</v>
      </c>
      <c r="D627" t="s">
        <v>999</v>
      </c>
    </row>
    <row r="628" spans="1:4" x14ac:dyDescent="0.2">
      <c r="A628" s="18" t="s">
        <v>1936</v>
      </c>
      <c r="B628" t="s">
        <v>429</v>
      </c>
      <c r="C628" t="s">
        <v>429</v>
      </c>
      <c r="D628" t="s">
        <v>999</v>
      </c>
    </row>
    <row r="629" spans="1:4" x14ac:dyDescent="0.2">
      <c r="A629" s="18" t="s">
        <v>1937</v>
      </c>
      <c r="B629" t="s">
        <v>30</v>
      </c>
      <c r="C629" t="s">
        <v>429</v>
      </c>
      <c r="D629" t="s">
        <v>999</v>
      </c>
    </row>
    <row r="630" spans="1:4" x14ac:dyDescent="0.2">
      <c r="A630" s="18" t="s">
        <v>1938</v>
      </c>
      <c r="B630" t="s">
        <v>31</v>
      </c>
      <c r="C630" t="s">
        <v>429</v>
      </c>
      <c r="D630" t="s">
        <v>999</v>
      </c>
    </row>
    <row r="631" spans="1:4" x14ac:dyDescent="0.2">
      <c r="A631" s="18" t="s">
        <v>1939</v>
      </c>
      <c r="B631" t="s">
        <v>32</v>
      </c>
      <c r="C631" t="s">
        <v>429</v>
      </c>
      <c r="D631" t="s">
        <v>999</v>
      </c>
    </row>
    <row r="632" spans="1:4" x14ac:dyDescent="0.2">
      <c r="A632" s="18" t="s">
        <v>1940</v>
      </c>
      <c r="B632" t="s">
        <v>430</v>
      </c>
      <c r="C632" t="s">
        <v>429</v>
      </c>
      <c r="D632" t="s">
        <v>999</v>
      </c>
    </row>
    <row r="633" spans="1:4" x14ac:dyDescent="0.2">
      <c r="A633" s="18" t="s">
        <v>1941</v>
      </c>
      <c r="B633" t="s">
        <v>1041</v>
      </c>
      <c r="C633" t="s">
        <v>429</v>
      </c>
      <c r="D633" t="s">
        <v>999</v>
      </c>
    </row>
    <row r="634" spans="1:4" x14ac:dyDescent="0.2">
      <c r="A634" s="18" t="s">
        <v>1942</v>
      </c>
      <c r="B634" t="s">
        <v>29</v>
      </c>
      <c r="C634" t="s">
        <v>429</v>
      </c>
      <c r="D634" t="s">
        <v>999</v>
      </c>
    </row>
    <row r="635" spans="1:4" x14ac:dyDescent="0.2">
      <c r="A635" s="18" t="s">
        <v>1943</v>
      </c>
      <c r="B635" t="s">
        <v>1042</v>
      </c>
      <c r="C635" t="s">
        <v>429</v>
      </c>
      <c r="D635" t="s">
        <v>999</v>
      </c>
    </row>
    <row r="636" spans="1:4" x14ac:dyDescent="0.2">
      <c r="A636" s="18" t="s">
        <v>1944</v>
      </c>
      <c r="B636" t="s">
        <v>1043</v>
      </c>
      <c r="C636" t="s">
        <v>1043</v>
      </c>
      <c r="D636" t="s">
        <v>999</v>
      </c>
    </row>
    <row r="637" spans="1:4" x14ac:dyDescent="0.2">
      <c r="A637" s="18" t="s">
        <v>1945</v>
      </c>
      <c r="B637" t="s">
        <v>1044</v>
      </c>
      <c r="C637" t="s">
        <v>1044</v>
      </c>
      <c r="D637" t="s">
        <v>1045</v>
      </c>
    </row>
    <row r="638" spans="1:4" x14ac:dyDescent="0.2">
      <c r="A638" s="18" t="s">
        <v>1946</v>
      </c>
      <c r="B638" t="s">
        <v>487</v>
      </c>
      <c r="C638" t="s">
        <v>1044</v>
      </c>
      <c r="D638" t="s">
        <v>1045</v>
      </c>
    </row>
    <row r="639" spans="1:4" x14ac:dyDescent="0.2">
      <c r="A639" s="18" t="s">
        <v>1947</v>
      </c>
      <c r="B639" t="s">
        <v>4</v>
      </c>
      <c r="C639" t="s">
        <v>1044</v>
      </c>
      <c r="D639" t="s">
        <v>1045</v>
      </c>
    </row>
    <row r="640" spans="1:4" x14ac:dyDescent="0.2">
      <c r="A640" s="18" t="s">
        <v>1948</v>
      </c>
      <c r="B640" t="s">
        <v>444</v>
      </c>
      <c r="C640" t="s">
        <v>444</v>
      </c>
      <c r="D640" t="s">
        <v>1045</v>
      </c>
    </row>
    <row r="641" spans="1:4" x14ac:dyDescent="0.2">
      <c r="A641" s="18" t="s">
        <v>1949</v>
      </c>
      <c r="B641" t="s">
        <v>1046</v>
      </c>
      <c r="C641" t="s">
        <v>444</v>
      </c>
      <c r="D641" t="s">
        <v>1045</v>
      </c>
    </row>
    <row r="642" spans="1:4" x14ac:dyDescent="0.2">
      <c r="A642" s="18" t="s">
        <v>1950</v>
      </c>
      <c r="B642" t="s">
        <v>1047</v>
      </c>
      <c r="C642" t="s">
        <v>444</v>
      </c>
      <c r="D642" t="s">
        <v>1045</v>
      </c>
    </row>
    <row r="643" spans="1:4" x14ac:dyDescent="0.2">
      <c r="A643" s="18" t="s">
        <v>1951</v>
      </c>
      <c r="B643" t="s">
        <v>1048</v>
      </c>
      <c r="C643" t="s">
        <v>1048</v>
      </c>
      <c r="D643" t="s">
        <v>1045</v>
      </c>
    </row>
    <row r="644" spans="1:4" x14ac:dyDescent="0.2">
      <c r="A644" s="18" t="s">
        <v>1952</v>
      </c>
      <c r="B644" t="s">
        <v>1049</v>
      </c>
      <c r="C644" t="s">
        <v>1048</v>
      </c>
      <c r="D644" t="s">
        <v>1045</v>
      </c>
    </row>
    <row r="645" spans="1:4" x14ac:dyDescent="0.2">
      <c r="A645" s="18" t="s">
        <v>1953</v>
      </c>
      <c r="B645" t="s">
        <v>1050</v>
      </c>
      <c r="C645" t="s">
        <v>1048</v>
      </c>
      <c r="D645" t="s">
        <v>1045</v>
      </c>
    </row>
    <row r="646" spans="1:4" x14ac:dyDescent="0.2">
      <c r="A646" s="18" t="s">
        <v>1954</v>
      </c>
      <c r="B646" t="s">
        <v>422</v>
      </c>
      <c r="C646" t="s">
        <v>422</v>
      </c>
      <c r="D646" t="s">
        <v>1045</v>
      </c>
    </row>
    <row r="647" spans="1:4" x14ac:dyDescent="0.2">
      <c r="A647" s="18" t="s">
        <v>1955</v>
      </c>
      <c r="B647" t="s">
        <v>1051</v>
      </c>
      <c r="C647" t="s">
        <v>422</v>
      </c>
      <c r="D647" t="s">
        <v>1045</v>
      </c>
    </row>
    <row r="648" spans="1:4" x14ac:dyDescent="0.2">
      <c r="A648" s="18" t="s">
        <v>1956</v>
      </c>
      <c r="B648" t="s">
        <v>1052</v>
      </c>
      <c r="C648" t="s">
        <v>422</v>
      </c>
      <c r="D648" t="s">
        <v>1045</v>
      </c>
    </row>
    <row r="649" spans="1:4" x14ac:dyDescent="0.2">
      <c r="A649" s="18" t="s">
        <v>1957</v>
      </c>
      <c r="B649" t="s">
        <v>1053</v>
      </c>
      <c r="C649" t="s">
        <v>1053</v>
      </c>
      <c r="D649" t="s">
        <v>1045</v>
      </c>
    </row>
    <row r="650" spans="1:4" x14ac:dyDescent="0.2">
      <c r="A650" s="18" t="s">
        <v>1958</v>
      </c>
      <c r="B650" t="s">
        <v>1054</v>
      </c>
      <c r="C650" t="s">
        <v>1053</v>
      </c>
      <c r="D650" t="s">
        <v>1045</v>
      </c>
    </row>
    <row r="651" spans="1:4" x14ac:dyDescent="0.2">
      <c r="A651" s="18" t="s">
        <v>1959</v>
      </c>
      <c r="B651" t="s">
        <v>1055</v>
      </c>
      <c r="C651" t="s">
        <v>1053</v>
      </c>
      <c r="D651" t="s">
        <v>1045</v>
      </c>
    </row>
    <row r="652" spans="1:4" x14ac:dyDescent="0.2">
      <c r="A652" s="18" t="s">
        <v>1960</v>
      </c>
      <c r="B652" t="s">
        <v>1056</v>
      </c>
      <c r="C652" t="s">
        <v>1053</v>
      </c>
      <c r="D652" t="s">
        <v>1045</v>
      </c>
    </row>
    <row r="653" spans="1:4" x14ac:dyDescent="0.2">
      <c r="A653" s="18" t="s">
        <v>1961</v>
      </c>
      <c r="B653" t="s">
        <v>1057</v>
      </c>
      <c r="C653" t="s">
        <v>1053</v>
      </c>
      <c r="D653" t="s">
        <v>1045</v>
      </c>
    </row>
    <row r="654" spans="1:4" x14ac:dyDescent="0.2">
      <c r="A654" s="18" t="s">
        <v>1962</v>
      </c>
      <c r="B654" t="s">
        <v>1058</v>
      </c>
      <c r="C654" t="s">
        <v>1058</v>
      </c>
      <c r="D654" t="s">
        <v>1045</v>
      </c>
    </row>
    <row r="655" spans="1:4" x14ac:dyDescent="0.2">
      <c r="A655" s="18" t="s">
        <v>1963</v>
      </c>
      <c r="B655" t="s">
        <v>1059</v>
      </c>
      <c r="C655" t="s">
        <v>1058</v>
      </c>
      <c r="D655" t="s">
        <v>1045</v>
      </c>
    </row>
    <row r="656" spans="1:4" x14ac:dyDescent="0.2">
      <c r="A656" s="18" t="s">
        <v>1964</v>
      </c>
      <c r="B656" t="s">
        <v>1060</v>
      </c>
      <c r="C656" t="s">
        <v>1058</v>
      </c>
      <c r="D656" t="s">
        <v>1045</v>
      </c>
    </row>
    <row r="657" spans="1:4" x14ac:dyDescent="0.2">
      <c r="A657" s="18" t="s">
        <v>1965</v>
      </c>
      <c r="B657" t="s">
        <v>1061</v>
      </c>
      <c r="C657" t="s">
        <v>1058</v>
      </c>
      <c r="D657" t="s">
        <v>1045</v>
      </c>
    </row>
    <row r="658" spans="1:4" x14ac:dyDescent="0.2">
      <c r="A658" s="18" t="s">
        <v>1966</v>
      </c>
      <c r="B658" t="s">
        <v>1062</v>
      </c>
      <c r="C658" t="s">
        <v>1062</v>
      </c>
      <c r="D658" t="s">
        <v>1045</v>
      </c>
    </row>
    <row r="659" spans="1:4" x14ac:dyDescent="0.2">
      <c r="A659" s="18" t="s">
        <v>1967</v>
      </c>
      <c r="B659" t="s">
        <v>1063</v>
      </c>
      <c r="C659" t="s">
        <v>1062</v>
      </c>
      <c r="D659" t="s">
        <v>1045</v>
      </c>
    </row>
    <row r="660" spans="1:4" x14ac:dyDescent="0.2">
      <c r="A660" s="18" t="s">
        <v>1968</v>
      </c>
      <c r="B660" t="s">
        <v>1064</v>
      </c>
      <c r="C660" t="s">
        <v>1062</v>
      </c>
      <c r="D660" t="s">
        <v>1045</v>
      </c>
    </row>
    <row r="661" spans="1:4" x14ac:dyDescent="0.2">
      <c r="A661" s="18" t="s">
        <v>1969</v>
      </c>
      <c r="B661" t="s">
        <v>1065</v>
      </c>
      <c r="C661" t="s">
        <v>1062</v>
      </c>
      <c r="D661" t="s">
        <v>1045</v>
      </c>
    </row>
    <row r="662" spans="1:4" x14ac:dyDescent="0.2">
      <c r="A662" s="18" t="s">
        <v>1970</v>
      </c>
      <c r="B662" t="s">
        <v>1066</v>
      </c>
      <c r="C662" t="s">
        <v>1062</v>
      </c>
      <c r="D662" t="s">
        <v>1045</v>
      </c>
    </row>
    <row r="663" spans="1:4" x14ac:dyDescent="0.2">
      <c r="A663" s="18" t="s">
        <v>1971</v>
      </c>
      <c r="B663" t="s">
        <v>1067</v>
      </c>
      <c r="C663" t="s">
        <v>1062</v>
      </c>
      <c r="D663" t="s">
        <v>1045</v>
      </c>
    </row>
    <row r="664" spans="1:4" x14ac:dyDescent="0.2">
      <c r="A664" s="18" t="s">
        <v>1972</v>
      </c>
      <c r="B664" t="s">
        <v>1068</v>
      </c>
      <c r="C664" t="s">
        <v>1068</v>
      </c>
      <c r="D664" t="s">
        <v>1045</v>
      </c>
    </row>
    <row r="665" spans="1:4" x14ac:dyDescent="0.2">
      <c r="A665" s="18" t="s">
        <v>1973</v>
      </c>
      <c r="B665" t="s">
        <v>1069</v>
      </c>
      <c r="C665" t="s">
        <v>1068</v>
      </c>
      <c r="D665" t="s">
        <v>1045</v>
      </c>
    </row>
    <row r="666" spans="1:4" x14ac:dyDescent="0.2">
      <c r="A666" s="18" t="s">
        <v>1974</v>
      </c>
      <c r="B666" t="s">
        <v>1070</v>
      </c>
      <c r="C666" t="s">
        <v>1068</v>
      </c>
      <c r="D666" t="s">
        <v>1045</v>
      </c>
    </row>
    <row r="667" spans="1:4" x14ac:dyDescent="0.2">
      <c r="A667" s="18" t="s">
        <v>1975</v>
      </c>
      <c r="B667" t="s">
        <v>1071</v>
      </c>
      <c r="C667" t="s">
        <v>1068</v>
      </c>
      <c r="D667" t="s">
        <v>1045</v>
      </c>
    </row>
    <row r="668" spans="1:4" x14ac:dyDescent="0.2">
      <c r="A668" s="18" t="s">
        <v>1976</v>
      </c>
      <c r="B668" t="s">
        <v>1072</v>
      </c>
      <c r="C668" t="s">
        <v>1068</v>
      </c>
      <c r="D668" t="s">
        <v>1045</v>
      </c>
    </row>
    <row r="669" spans="1:4" x14ac:dyDescent="0.2">
      <c r="A669" s="18" t="s">
        <v>1977</v>
      </c>
      <c r="B669" t="s">
        <v>1073</v>
      </c>
      <c r="C669" t="s">
        <v>1073</v>
      </c>
      <c r="D669" t="s">
        <v>1045</v>
      </c>
    </row>
    <row r="670" spans="1:4" x14ac:dyDescent="0.2">
      <c r="A670" s="18" t="s">
        <v>1978</v>
      </c>
      <c r="B670" t="s">
        <v>1074</v>
      </c>
      <c r="C670" t="s">
        <v>1073</v>
      </c>
      <c r="D670" t="s">
        <v>1045</v>
      </c>
    </row>
    <row r="671" spans="1:4" x14ac:dyDescent="0.2">
      <c r="A671" s="18" t="s">
        <v>1979</v>
      </c>
      <c r="B671" t="s">
        <v>1075</v>
      </c>
      <c r="C671" t="s">
        <v>1073</v>
      </c>
      <c r="D671" t="s">
        <v>1045</v>
      </c>
    </row>
    <row r="672" spans="1:4" x14ac:dyDescent="0.2">
      <c r="A672" s="18" t="s">
        <v>1980</v>
      </c>
      <c r="B672" t="s">
        <v>1076</v>
      </c>
      <c r="C672" t="s">
        <v>1076</v>
      </c>
      <c r="D672" t="s">
        <v>1045</v>
      </c>
    </row>
    <row r="673" spans="1:4" x14ac:dyDescent="0.2">
      <c r="A673" s="18" t="s">
        <v>1981</v>
      </c>
      <c r="B673" t="s">
        <v>1077</v>
      </c>
      <c r="C673" t="s">
        <v>1076</v>
      </c>
      <c r="D673" t="s">
        <v>1045</v>
      </c>
    </row>
    <row r="674" spans="1:4" x14ac:dyDescent="0.2">
      <c r="A674" s="18" t="s">
        <v>1982</v>
      </c>
      <c r="B674" t="s">
        <v>1078</v>
      </c>
      <c r="C674" t="s">
        <v>1076</v>
      </c>
      <c r="D674" t="s">
        <v>1045</v>
      </c>
    </row>
    <row r="675" spans="1:4" x14ac:dyDescent="0.2">
      <c r="A675" s="18" t="s">
        <v>1983</v>
      </c>
      <c r="B675" t="s">
        <v>1079</v>
      </c>
      <c r="C675" t="s">
        <v>1079</v>
      </c>
      <c r="D675" t="s">
        <v>1045</v>
      </c>
    </row>
    <row r="676" spans="1:4" x14ac:dyDescent="0.2">
      <c r="A676" s="18" t="s">
        <v>1984</v>
      </c>
      <c r="B676" t="s">
        <v>458</v>
      </c>
      <c r="C676" t="s">
        <v>1079</v>
      </c>
      <c r="D676" t="s">
        <v>1045</v>
      </c>
    </row>
    <row r="677" spans="1:4" x14ac:dyDescent="0.2">
      <c r="A677" s="18" t="s">
        <v>1985</v>
      </c>
      <c r="B677" t="s">
        <v>1080</v>
      </c>
      <c r="C677" t="s">
        <v>1079</v>
      </c>
      <c r="D677" t="s">
        <v>1045</v>
      </c>
    </row>
    <row r="678" spans="1:4" x14ac:dyDescent="0.2">
      <c r="A678" s="18" t="s">
        <v>1986</v>
      </c>
      <c r="B678" t="s">
        <v>1081</v>
      </c>
      <c r="C678" t="s">
        <v>1081</v>
      </c>
      <c r="D678" t="s">
        <v>1045</v>
      </c>
    </row>
    <row r="679" spans="1:4" x14ac:dyDescent="0.2">
      <c r="A679" s="18" t="s">
        <v>1987</v>
      </c>
      <c r="B679" t="s">
        <v>1082</v>
      </c>
      <c r="C679" t="s">
        <v>1081</v>
      </c>
      <c r="D679" t="s">
        <v>1045</v>
      </c>
    </row>
    <row r="680" spans="1:4" x14ac:dyDescent="0.2">
      <c r="A680" s="18" t="s">
        <v>1988</v>
      </c>
      <c r="B680" t="s">
        <v>1083</v>
      </c>
      <c r="C680" t="s">
        <v>1081</v>
      </c>
      <c r="D680" t="s">
        <v>1045</v>
      </c>
    </row>
    <row r="681" spans="1:4" x14ac:dyDescent="0.2">
      <c r="A681" s="18" t="s">
        <v>1989</v>
      </c>
      <c r="B681" t="s">
        <v>1084</v>
      </c>
      <c r="C681" t="s">
        <v>1081</v>
      </c>
      <c r="D681" t="s">
        <v>1045</v>
      </c>
    </row>
    <row r="682" spans="1:4" x14ac:dyDescent="0.2">
      <c r="A682" s="18" t="s">
        <v>1990</v>
      </c>
      <c r="B682" t="s">
        <v>1085</v>
      </c>
      <c r="C682" t="s">
        <v>1081</v>
      </c>
      <c r="D682" t="s">
        <v>1045</v>
      </c>
    </row>
    <row r="683" spans="1:4" x14ac:dyDescent="0.2">
      <c r="A683" s="18" t="s">
        <v>1991</v>
      </c>
      <c r="B683" t="s">
        <v>1086</v>
      </c>
      <c r="C683" t="s">
        <v>1081</v>
      </c>
      <c r="D683" t="s">
        <v>1045</v>
      </c>
    </row>
    <row r="684" spans="1:4" x14ac:dyDescent="0.2">
      <c r="A684" s="18" t="s">
        <v>1992</v>
      </c>
      <c r="B684" t="s">
        <v>1087</v>
      </c>
      <c r="C684" t="s">
        <v>1081</v>
      </c>
      <c r="D684" t="s">
        <v>1045</v>
      </c>
    </row>
    <row r="685" spans="1:4" x14ac:dyDescent="0.2">
      <c r="A685" s="18" t="s">
        <v>1993</v>
      </c>
      <c r="B685" t="s">
        <v>1088</v>
      </c>
      <c r="C685" t="s">
        <v>1081</v>
      </c>
      <c r="D685" t="s">
        <v>1045</v>
      </c>
    </row>
    <row r="686" spans="1:4" x14ac:dyDescent="0.2">
      <c r="A686" s="18" t="s">
        <v>1994</v>
      </c>
      <c r="B686" t="s">
        <v>1089</v>
      </c>
      <c r="C686" t="s">
        <v>1089</v>
      </c>
      <c r="D686" t="s">
        <v>1045</v>
      </c>
    </row>
    <row r="687" spans="1:4" x14ac:dyDescent="0.2">
      <c r="A687" s="18" t="s">
        <v>1995</v>
      </c>
      <c r="B687" t="s">
        <v>438</v>
      </c>
      <c r="C687" t="s">
        <v>1089</v>
      </c>
      <c r="D687" t="s">
        <v>1045</v>
      </c>
    </row>
    <row r="688" spans="1:4" x14ac:dyDescent="0.2">
      <c r="A688" s="18" t="s">
        <v>1996</v>
      </c>
      <c r="B688" t="s">
        <v>1090</v>
      </c>
      <c r="C688" t="s">
        <v>1089</v>
      </c>
      <c r="D688" t="s">
        <v>1045</v>
      </c>
    </row>
    <row r="689" spans="1:4" x14ac:dyDescent="0.2">
      <c r="A689" s="18" t="s">
        <v>1997</v>
      </c>
      <c r="B689" t="s">
        <v>1091</v>
      </c>
      <c r="C689" t="s">
        <v>1089</v>
      </c>
      <c r="D689" t="s">
        <v>1045</v>
      </c>
    </row>
    <row r="690" spans="1:4" x14ac:dyDescent="0.2">
      <c r="A690" s="18" t="s">
        <v>1998</v>
      </c>
      <c r="B690" t="s">
        <v>1092</v>
      </c>
      <c r="C690" t="s">
        <v>1089</v>
      </c>
      <c r="D690" t="s">
        <v>1045</v>
      </c>
    </row>
    <row r="691" spans="1:4" x14ac:dyDescent="0.2">
      <c r="A691" s="18" t="s">
        <v>1999</v>
      </c>
      <c r="B691" t="s">
        <v>1093</v>
      </c>
      <c r="C691" t="s">
        <v>1089</v>
      </c>
      <c r="D691" t="s">
        <v>1045</v>
      </c>
    </row>
    <row r="692" spans="1:4" x14ac:dyDescent="0.2">
      <c r="A692" s="18" t="s">
        <v>2000</v>
      </c>
      <c r="B692" t="s">
        <v>1094</v>
      </c>
      <c r="C692" t="s">
        <v>1094</v>
      </c>
      <c r="D692" t="s">
        <v>1045</v>
      </c>
    </row>
    <row r="693" spans="1:4" x14ac:dyDescent="0.2">
      <c r="A693" s="18" t="s">
        <v>2001</v>
      </c>
      <c r="B693" t="s">
        <v>1095</v>
      </c>
      <c r="C693" t="s">
        <v>1094</v>
      </c>
      <c r="D693" t="s">
        <v>1045</v>
      </c>
    </row>
    <row r="694" spans="1:4" x14ac:dyDescent="0.2">
      <c r="A694" s="18" t="s">
        <v>2002</v>
      </c>
      <c r="B694" t="s">
        <v>1096</v>
      </c>
      <c r="C694" t="s">
        <v>1094</v>
      </c>
      <c r="D694" t="s">
        <v>1045</v>
      </c>
    </row>
    <row r="695" spans="1:4" x14ac:dyDescent="0.2">
      <c r="A695" s="18" t="s">
        <v>2003</v>
      </c>
      <c r="B695" t="s">
        <v>1097</v>
      </c>
      <c r="C695" t="s">
        <v>1094</v>
      </c>
      <c r="D695" t="s">
        <v>1045</v>
      </c>
    </row>
    <row r="696" spans="1:4" x14ac:dyDescent="0.2">
      <c r="A696" s="18" t="s">
        <v>2004</v>
      </c>
      <c r="B696" t="s">
        <v>1098</v>
      </c>
      <c r="C696" t="s">
        <v>1098</v>
      </c>
      <c r="D696" t="s">
        <v>1045</v>
      </c>
    </row>
    <row r="697" spans="1:4" x14ac:dyDescent="0.2">
      <c r="A697" s="18" t="s">
        <v>2005</v>
      </c>
      <c r="B697" t="s">
        <v>1099</v>
      </c>
      <c r="C697" t="s">
        <v>1098</v>
      </c>
      <c r="D697" t="s">
        <v>1045</v>
      </c>
    </row>
    <row r="698" spans="1:4" x14ac:dyDescent="0.2">
      <c r="A698" s="18" t="s">
        <v>2006</v>
      </c>
      <c r="B698" t="s">
        <v>1100</v>
      </c>
      <c r="C698" t="s">
        <v>1098</v>
      </c>
      <c r="D698" t="s">
        <v>1045</v>
      </c>
    </row>
    <row r="699" spans="1:4" x14ac:dyDescent="0.2">
      <c r="A699" s="18" t="s">
        <v>2007</v>
      </c>
      <c r="B699" t="s">
        <v>1101</v>
      </c>
      <c r="C699" t="s">
        <v>1098</v>
      </c>
      <c r="D699" t="s">
        <v>1045</v>
      </c>
    </row>
    <row r="700" spans="1:4" x14ac:dyDescent="0.2">
      <c r="A700" s="18" t="s">
        <v>2008</v>
      </c>
      <c r="B700" t="s">
        <v>1102</v>
      </c>
      <c r="C700" t="s">
        <v>1098</v>
      </c>
      <c r="D700" t="s">
        <v>1045</v>
      </c>
    </row>
    <row r="701" spans="1:4" x14ac:dyDescent="0.2">
      <c r="A701" s="18" t="s">
        <v>2009</v>
      </c>
      <c r="B701" t="s">
        <v>1103</v>
      </c>
      <c r="C701" t="s">
        <v>1098</v>
      </c>
      <c r="D701" t="s">
        <v>1045</v>
      </c>
    </row>
    <row r="702" spans="1:4" x14ac:dyDescent="0.2">
      <c r="A702" s="18" t="s">
        <v>2010</v>
      </c>
      <c r="B702" t="s">
        <v>1104</v>
      </c>
      <c r="C702" t="s">
        <v>1104</v>
      </c>
      <c r="D702" t="s">
        <v>1045</v>
      </c>
    </row>
    <row r="703" spans="1:4" x14ac:dyDescent="0.2">
      <c r="A703" s="18" t="s">
        <v>2011</v>
      </c>
      <c r="B703" t="s">
        <v>1105</v>
      </c>
      <c r="C703" t="s">
        <v>1104</v>
      </c>
      <c r="D703" t="s">
        <v>1045</v>
      </c>
    </row>
    <row r="704" spans="1:4" x14ac:dyDescent="0.2">
      <c r="A704" s="18" t="s">
        <v>2012</v>
      </c>
      <c r="B704" t="s">
        <v>1106</v>
      </c>
      <c r="C704" t="s">
        <v>1104</v>
      </c>
      <c r="D704" t="s">
        <v>1045</v>
      </c>
    </row>
    <row r="705" spans="1:4" x14ac:dyDescent="0.2">
      <c r="A705" s="18" t="s">
        <v>2013</v>
      </c>
      <c r="B705" t="s">
        <v>1107</v>
      </c>
      <c r="C705" t="s">
        <v>1104</v>
      </c>
      <c r="D705" t="s">
        <v>1045</v>
      </c>
    </row>
    <row r="706" spans="1:4" x14ac:dyDescent="0.2">
      <c r="A706" s="18" t="s">
        <v>2014</v>
      </c>
      <c r="B706" t="s">
        <v>1108</v>
      </c>
      <c r="C706" t="s">
        <v>1104</v>
      </c>
      <c r="D706" t="s">
        <v>1045</v>
      </c>
    </row>
    <row r="707" spans="1:4" x14ac:dyDescent="0.2">
      <c r="A707" s="18" t="s">
        <v>2015</v>
      </c>
      <c r="B707" t="s">
        <v>1109</v>
      </c>
      <c r="C707" t="s">
        <v>1109</v>
      </c>
      <c r="D707" t="s">
        <v>1045</v>
      </c>
    </row>
    <row r="708" spans="1:4" x14ac:dyDescent="0.2">
      <c r="A708" s="18" t="s">
        <v>2016</v>
      </c>
      <c r="B708" t="s">
        <v>1110</v>
      </c>
      <c r="C708" t="s">
        <v>1109</v>
      </c>
      <c r="D708" t="s">
        <v>1045</v>
      </c>
    </row>
    <row r="709" spans="1:4" x14ac:dyDescent="0.2">
      <c r="A709" s="18" t="s">
        <v>2017</v>
      </c>
      <c r="B709" t="s">
        <v>1111</v>
      </c>
      <c r="C709" t="s">
        <v>1109</v>
      </c>
      <c r="D709" t="s">
        <v>1045</v>
      </c>
    </row>
    <row r="710" spans="1:4" x14ac:dyDescent="0.2">
      <c r="A710" s="18" t="s">
        <v>2018</v>
      </c>
      <c r="B710" t="s">
        <v>1112</v>
      </c>
      <c r="C710" t="s">
        <v>1109</v>
      </c>
      <c r="D710" t="s">
        <v>1045</v>
      </c>
    </row>
    <row r="711" spans="1:4" x14ac:dyDescent="0.2">
      <c r="A711" s="18" t="s">
        <v>2019</v>
      </c>
      <c r="B711" t="s">
        <v>1113</v>
      </c>
      <c r="C711" t="s">
        <v>1113</v>
      </c>
      <c r="D711" t="s">
        <v>1045</v>
      </c>
    </row>
    <row r="712" spans="1:4" x14ac:dyDescent="0.2">
      <c r="A712" s="18" t="s">
        <v>2020</v>
      </c>
      <c r="B712" t="s">
        <v>1114</v>
      </c>
      <c r="C712" t="s">
        <v>1113</v>
      </c>
      <c r="D712" t="s">
        <v>1045</v>
      </c>
    </row>
    <row r="713" spans="1:4" x14ac:dyDescent="0.2">
      <c r="A713" s="18" t="s">
        <v>2021</v>
      </c>
      <c r="B713" t="s">
        <v>1115</v>
      </c>
      <c r="C713" t="s">
        <v>1113</v>
      </c>
      <c r="D713" t="s">
        <v>1045</v>
      </c>
    </row>
    <row r="714" spans="1:4" x14ac:dyDescent="0.2">
      <c r="A714" s="18" t="s">
        <v>2022</v>
      </c>
      <c r="B714" t="s">
        <v>1116</v>
      </c>
      <c r="C714" t="s">
        <v>1116</v>
      </c>
      <c r="D714" t="s">
        <v>1045</v>
      </c>
    </row>
    <row r="715" spans="1:4" x14ac:dyDescent="0.2">
      <c r="A715" s="18" t="s">
        <v>2023</v>
      </c>
      <c r="B715" t="s">
        <v>1117</v>
      </c>
      <c r="C715" t="s">
        <v>1116</v>
      </c>
      <c r="D715" t="s">
        <v>1045</v>
      </c>
    </row>
    <row r="716" spans="1:4" x14ac:dyDescent="0.2">
      <c r="A716" s="18" t="s">
        <v>2024</v>
      </c>
      <c r="B716" t="s">
        <v>1118</v>
      </c>
      <c r="C716" t="s">
        <v>1116</v>
      </c>
      <c r="D716" t="s">
        <v>1045</v>
      </c>
    </row>
    <row r="717" spans="1:4" x14ac:dyDescent="0.2">
      <c r="A717" s="18" t="s">
        <v>2025</v>
      </c>
      <c r="B717" t="s">
        <v>1119</v>
      </c>
      <c r="C717" t="s">
        <v>1116</v>
      </c>
      <c r="D717" t="s">
        <v>1045</v>
      </c>
    </row>
    <row r="718" spans="1:4" x14ac:dyDescent="0.2">
      <c r="A718" s="18" t="s">
        <v>2026</v>
      </c>
      <c r="B718" t="s">
        <v>1120</v>
      </c>
      <c r="C718" t="s">
        <v>1116</v>
      </c>
      <c r="D718" t="s">
        <v>1045</v>
      </c>
    </row>
    <row r="719" spans="1:4" x14ac:dyDescent="0.2">
      <c r="A719" s="18" t="s">
        <v>2027</v>
      </c>
      <c r="B719" t="s">
        <v>1121</v>
      </c>
      <c r="C719" t="s">
        <v>1121</v>
      </c>
      <c r="D719" t="s">
        <v>1045</v>
      </c>
    </row>
    <row r="720" spans="1:4" x14ac:dyDescent="0.2">
      <c r="A720" s="18" t="s">
        <v>2028</v>
      </c>
      <c r="B720" t="s">
        <v>483</v>
      </c>
      <c r="C720" t="s">
        <v>1121</v>
      </c>
      <c r="D720" t="s">
        <v>1045</v>
      </c>
    </row>
    <row r="721" spans="1:4" x14ac:dyDescent="0.2">
      <c r="A721" s="18" t="s">
        <v>2029</v>
      </c>
      <c r="B721" t="s">
        <v>482</v>
      </c>
      <c r="C721" t="s">
        <v>1121</v>
      </c>
      <c r="D721" t="s">
        <v>1045</v>
      </c>
    </row>
    <row r="722" spans="1:4" x14ac:dyDescent="0.2">
      <c r="A722" s="18" t="s">
        <v>2030</v>
      </c>
      <c r="B722" t="s">
        <v>1122</v>
      </c>
      <c r="C722" t="s">
        <v>1121</v>
      </c>
      <c r="D722" t="s">
        <v>1045</v>
      </c>
    </row>
    <row r="723" spans="1:4" x14ac:dyDescent="0.2">
      <c r="A723" s="18" t="s">
        <v>2031</v>
      </c>
      <c r="B723" t="s">
        <v>1123</v>
      </c>
      <c r="C723" t="s">
        <v>1121</v>
      </c>
      <c r="D723" t="s">
        <v>1045</v>
      </c>
    </row>
    <row r="724" spans="1:4" x14ac:dyDescent="0.2">
      <c r="A724" s="18" t="s">
        <v>2032</v>
      </c>
      <c r="B724" t="s">
        <v>1124</v>
      </c>
      <c r="C724" t="s">
        <v>1121</v>
      </c>
      <c r="D724" t="s">
        <v>1045</v>
      </c>
    </row>
    <row r="725" spans="1:4" x14ac:dyDescent="0.2">
      <c r="A725" s="18" t="s">
        <v>2033</v>
      </c>
      <c r="B725" t="s">
        <v>1125</v>
      </c>
      <c r="C725" t="s">
        <v>1125</v>
      </c>
      <c r="D725" t="s">
        <v>1045</v>
      </c>
    </row>
    <row r="726" spans="1:4" x14ac:dyDescent="0.2">
      <c r="A726" s="18" t="s">
        <v>2034</v>
      </c>
      <c r="B726" t="s">
        <v>1126</v>
      </c>
      <c r="C726" t="s">
        <v>1125</v>
      </c>
      <c r="D726" t="s">
        <v>1045</v>
      </c>
    </row>
    <row r="727" spans="1:4" x14ac:dyDescent="0.2">
      <c r="A727" s="18" t="s">
        <v>2035</v>
      </c>
      <c r="B727" t="s">
        <v>1127</v>
      </c>
      <c r="C727" t="s">
        <v>1125</v>
      </c>
      <c r="D727" t="s">
        <v>1045</v>
      </c>
    </row>
    <row r="728" spans="1:4" x14ac:dyDescent="0.2">
      <c r="A728" s="18" t="s">
        <v>2036</v>
      </c>
      <c r="B728" t="s">
        <v>1128</v>
      </c>
      <c r="C728" t="s">
        <v>1128</v>
      </c>
      <c r="D728" t="s">
        <v>1045</v>
      </c>
    </row>
    <row r="729" spans="1:4" x14ac:dyDescent="0.2">
      <c r="A729" s="18" t="s">
        <v>2037</v>
      </c>
      <c r="B729" t="s">
        <v>1129</v>
      </c>
      <c r="C729" t="s">
        <v>1128</v>
      </c>
      <c r="D729" t="s">
        <v>1045</v>
      </c>
    </row>
    <row r="730" spans="1:4" x14ac:dyDescent="0.2">
      <c r="A730" s="18" t="s">
        <v>2038</v>
      </c>
      <c r="B730" t="s">
        <v>1130</v>
      </c>
      <c r="C730" t="s">
        <v>1128</v>
      </c>
      <c r="D730" t="s">
        <v>1045</v>
      </c>
    </row>
    <row r="731" spans="1:4" x14ac:dyDescent="0.2">
      <c r="A731" s="18" t="s">
        <v>2039</v>
      </c>
      <c r="B731" t="s">
        <v>1131</v>
      </c>
      <c r="C731" t="s">
        <v>1128</v>
      </c>
      <c r="D731" t="s">
        <v>1045</v>
      </c>
    </row>
    <row r="732" spans="1:4" x14ac:dyDescent="0.2">
      <c r="A732" s="18" t="s">
        <v>2040</v>
      </c>
      <c r="B732" t="s">
        <v>64</v>
      </c>
      <c r="C732" t="s">
        <v>64</v>
      </c>
      <c r="D732" t="s">
        <v>1132</v>
      </c>
    </row>
    <row r="733" spans="1:4" x14ac:dyDescent="0.2">
      <c r="A733" s="18" t="s">
        <v>2041</v>
      </c>
      <c r="B733" t="s">
        <v>1133</v>
      </c>
      <c r="C733" t="s">
        <v>64</v>
      </c>
      <c r="D733" t="s">
        <v>1132</v>
      </c>
    </row>
    <row r="734" spans="1:4" x14ac:dyDescent="0.2">
      <c r="A734" s="18" t="s">
        <v>2042</v>
      </c>
      <c r="B734" t="s">
        <v>1134</v>
      </c>
      <c r="C734" t="s">
        <v>64</v>
      </c>
      <c r="D734" t="s">
        <v>1132</v>
      </c>
    </row>
    <row r="735" spans="1:4" x14ac:dyDescent="0.2">
      <c r="A735" s="18" t="s">
        <v>2043</v>
      </c>
      <c r="B735" t="s">
        <v>1135</v>
      </c>
      <c r="C735" t="s">
        <v>64</v>
      </c>
      <c r="D735" t="s">
        <v>1132</v>
      </c>
    </row>
    <row r="736" spans="1:4" x14ac:dyDescent="0.2">
      <c r="A736" s="18" t="s">
        <v>2044</v>
      </c>
      <c r="B736" t="s">
        <v>1136</v>
      </c>
      <c r="C736" t="s">
        <v>1136</v>
      </c>
      <c r="D736" t="s">
        <v>1132</v>
      </c>
    </row>
    <row r="737" spans="1:4" x14ac:dyDescent="0.2">
      <c r="A737" s="18" t="s">
        <v>2045</v>
      </c>
      <c r="B737" t="s">
        <v>1137</v>
      </c>
      <c r="C737" t="s">
        <v>1136</v>
      </c>
      <c r="D737" t="s">
        <v>1132</v>
      </c>
    </row>
    <row r="738" spans="1:4" x14ac:dyDescent="0.2">
      <c r="A738" s="18" t="s">
        <v>2046</v>
      </c>
      <c r="B738" t="s">
        <v>61</v>
      </c>
      <c r="C738" t="s">
        <v>1136</v>
      </c>
      <c r="D738" t="s">
        <v>1132</v>
      </c>
    </row>
    <row r="739" spans="1:4" x14ac:dyDescent="0.2">
      <c r="A739" s="18" t="s">
        <v>2047</v>
      </c>
      <c r="B739" t="s">
        <v>1138</v>
      </c>
      <c r="C739" t="s">
        <v>1136</v>
      </c>
      <c r="D739" t="s">
        <v>1132</v>
      </c>
    </row>
    <row r="740" spans="1:4" x14ac:dyDescent="0.2">
      <c r="A740" s="18" t="s">
        <v>2048</v>
      </c>
      <c r="B740" t="s">
        <v>1139</v>
      </c>
      <c r="C740" t="s">
        <v>1136</v>
      </c>
      <c r="D740" t="s">
        <v>1132</v>
      </c>
    </row>
    <row r="741" spans="1:4" x14ac:dyDescent="0.2">
      <c r="A741" s="18" t="s">
        <v>2049</v>
      </c>
      <c r="B741" t="s">
        <v>1140</v>
      </c>
      <c r="C741" t="s">
        <v>1136</v>
      </c>
      <c r="D741" t="s">
        <v>1132</v>
      </c>
    </row>
    <row r="742" spans="1:4" x14ac:dyDescent="0.2">
      <c r="A742" s="18" t="s">
        <v>2050</v>
      </c>
      <c r="B742" t="s">
        <v>1141</v>
      </c>
      <c r="C742" t="s">
        <v>1136</v>
      </c>
      <c r="D742" t="s">
        <v>1132</v>
      </c>
    </row>
    <row r="743" spans="1:4" x14ac:dyDescent="0.2">
      <c r="A743" s="18" t="s">
        <v>2051</v>
      </c>
      <c r="B743" t="s">
        <v>1142</v>
      </c>
      <c r="C743" t="s">
        <v>1136</v>
      </c>
      <c r="D743" t="s">
        <v>1132</v>
      </c>
    </row>
    <row r="744" spans="1:4" x14ac:dyDescent="0.2">
      <c r="A744" s="18" t="s">
        <v>2052</v>
      </c>
      <c r="B744" t="s">
        <v>1143</v>
      </c>
      <c r="C744" t="s">
        <v>1143</v>
      </c>
      <c r="D744" t="s">
        <v>1132</v>
      </c>
    </row>
    <row r="745" spans="1:4" x14ac:dyDescent="0.2">
      <c r="A745" s="18" t="s">
        <v>2053</v>
      </c>
      <c r="B745" t="s">
        <v>1144</v>
      </c>
      <c r="C745" t="s">
        <v>1143</v>
      </c>
      <c r="D745" t="s">
        <v>1132</v>
      </c>
    </row>
    <row r="746" spans="1:4" x14ac:dyDescent="0.2">
      <c r="A746" s="18" t="s">
        <v>2054</v>
      </c>
      <c r="B746" t="s">
        <v>1145</v>
      </c>
      <c r="C746" t="s">
        <v>1143</v>
      </c>
      <c r="D746" t="s">
        <v>1132</v>
      </c>
    </row>
    <row r="747" spans="1:4" x14ac:dyDescent="0.2">
      <c r="A747" s="18" t="s">
        <v>2055</v>
      </c>
      <c r="B747" t="s">
        <v>1146</v>
      </c>
      <c r="C747" t="s">
        <v>1143</v>
      </c>
      <c r="D747" t="s">
        <v>1132</v>
      </c>
    </row>
    <row r="748" spans="1:4" x14ac:dyDescent="0.2">
      <c r="A748" s="18" t="s">
        <v>2056</v>
      </c>
      <c r="B748" t="s">
        <v>1147</v>
      </c>
      <c r="C748" t="s">
        <v>1143</v>
      </c>
      <c r="D748" t="s">
        <v>1132</v>
      </c>
    </row>
    <row r="749" spans="1:4" x14ac:dyDescent="0.2">
      <c r="A749" s="18" t="s">
        <v>2057</v>
      </c>
      <c r="B749" t="s">
        <v>1148</v>
      </c>
      <c r="C749" t="s">
        <v>1148</v>
      </c>
      <c r="D749" t="s">
        <v>1132</v>
      </c>
    </row>
    <row r="750" spans="1:4" x14ac:dyDescent="0.2">
      <c r="A750" s="18" t="s">
        <v>2058</v>
      </c>
      <c r="B750" t="s">
        <v>1149</v>
      </c>
      <c r="C750" t="s">
        <v>1148</v>
      </c>
      <c r="D750" t="s">
        <v>1132</v>
      </c>
    </row>
    <row r="751" spans="1:4" x14ac:dyDescent="0.2">
      <c r="A751" s="18" t="s">
        <v>2059</v>
      </c>
      <c r="B751" t="s">
        <v>1150</v>
      </c>
      <c r="C751" t="s">
        <v>1148</v>
      </c>
      <c r="D751" t="s">
        <v>1132</v>
      </c>
    </row>
    <row r="752" spans="1:4" x14ac:dyDescent="0.2">
      <c r="A752" s="18" t="s">
        <v>2060</v>
      </c>
      <c r="B752" t="s">
        <v>1151</v>
      </c>
      <c r="C752" t="s">
        <v>1148</v>
      </c>
      <c r="D752" t="s">
        <v>1132</v>
      </c>
    </row>
    <row r="753" spans="1:4" x14ac:dyDescent="0.2">
      <c r="A753" s="18" t="s">
        <v>2061</v>
      </c>
      <c r="B753" t="s">
        <v>1152</v>
      </c>
      <c r="C753" t="s">
        <v>1148</v>
      </c>
      <c r="D753" t="s">
        <v>1132</v>
      </c>
    </row>
    <row r="754" spans="1:4" x14ac:dyDescent="0.2">
      <c r="A754" s="18" t="s">
        <v>2062</v>
      </c>
      <c r="B754" t="s">
        <v>1153</v>
      </c>
      <c r="C754" t="s">
        <v>1148</v>
      </c>
      <c r="D754" t="s">
        <v>1132</v>
      </c>
    </row>
    <row r="755" spans="1:4" x14ac:dyDescent="0.2">
      <c r="A755" s="18" t="s">
        <v>2063</v>
      </c>
      <c r="B755" t="s">
        <v>1154</v>
      </c>
      <c r="C755" t="s">
        <v>44</v>
      </c>
      <c r="D755" t="s">
        <v>1132</v>
      </c>
    </row>
    <row r="756" spans="1:4" x14ac:dyDescent="0.2">
      <c r="A756" s="18" t="s">
        <v>2064</v>
      </c>
      <c r="B756" t="s">
        <v>44</v>
      </c>
      <c r="C756" t="s">
        <v>44</v>
      </c>
      <c r="D756" t="s">
        <v>1132</v>
      </c>
    </row>
    <row r="757" spans="1:4" x14ac:dyDescent="0.2">
      <c r="A757" s="18" t="s">
        <v>2065</v>
      </c>
      <c r="B757" t="s">
        <v>1155</v>
      </c>
      <c r="C757" t="s">
        <v>44</v>
      </c>
      <c r="D757" t="s">
        <v>1132</v>
      </c>
    </row>
    <row r="758" spans="1:4" x14ac:dyDescent="0.2">
      <c r="A758" s="18" t="s">
        <v>2066</v>
      </c>
      <c r="B758" t="s">
        <v>1156</v>
      </c>
      <c r="C758" t="s">
        <v>44</v>
      </c>
      <c r="D758" t="s">
        <v>1132</v>
      </c>
    </row>
    <row r="759" spans="1:4" x14ac:dyDescent="0.2">
      <c r="A759" s="18" t="s">
        <v>2067</v>
      </c>
      <c r="B759" t="s">
        <v>1157</v>
      </c>
      <c r="C759" t="s">
        <v>1157</v>
      </c>
      <c r="D759" t="s">
        <v>1132</v>
      </c>
    </row>
    <row r="760" spans="1:4" x14ac:dyDescent="0.2">
      <c r="A760" s="18" t="s">
        <v>2068</v>
      </c>
      <c r="B760" t="s">
        <v>27</v>
      </c>
      <c r="C760" t="s">
        <v>1157</v>
      </c>
      <c r="D760" t="s">
        <v>1132</v>
      </c>
    </row>
    <row r="761" spans="1:4" x14ac:dyDescent="0.2">
      <c r="A761" s="18" t="s">
        <v>2069</v>
      </c>
      <c r="B761" t="s">
        <v>1158</v>
      </c>
      <c r="C761" t="s">
        <v>1157</v>
      </c>
      <c r="D761" t="s">
        <v>1132</v>
      </c>
    </row>
    <row r="762" spans="1:4" x14ac:dyDescent="0.2">
      <c r="A762" s="18" t="s">
        <v>2070</v>
      </c>
      <c r="B762" t="s">
        <v>1159</v>
      </c>
      <c r="C762" t="s">
        <v>1157</v>
      </c>
      <c r="D762" t="s">
        <v>1132</v>
      </c>
    </row>
    <row r="763" spans="1:4" x14ac:dyDescent="0.2">
      <c r="A763" s="18" t="s">
        <v>2071</v>
      </c>
      <c r="B763" t="s">
        <v>1160</v>
      </c>
      <c r="C763" t="s">
        <v>1157</v>
      </c>
      <c r="D763" t="s">
        <v>1132</v>
      </c>
    </row>
    <row r="764" spans="1:4" x14ac:dyDescent="0.2">
      <c r="A764" s="18" t="s">
        <v>2072</v>
      </c>
      <c r="B764" t="s">
        <v>1161</v>
      </c>
      <c r="C764" t="s">
        <v>1161</v>
      </c>
      <c r="D764" t="s">
        <v>1132</v>
      </c>
    </row>
    <row r="765" spans="1:4" x14ac:dyDescent="0.2">
      <c r="A765" s="18" t="s">
        <v>2073</v>
      </c>
      <c r="B765" t="s">
        <v>1162</v>
      </c>
      <c r="C765" t="s">
        <v>1161</v>
      </c>
      <c r="D765" t="s">
        <v>1132</v>
      </c>
    </row>
    <row r="766" spans="1:4" x14ac:dyDescent="0.2">
      <c r="A766" s="18" t="s">
        <v>2074</v>
      </c>
      <c r="B766" t="s">
        <v>1163</v>
      </c>
      <c r="C766" t="s">
        <v>1161</v>
      </c>
      <c r="D766" t="s">
        <v>1132</v>
      </c>
    </row>
    <row r="767" spans="1:4" x14ac:dyDescent="0.2">
      <c r="A767" s="18" t="s">
        <v>2075</v>
      </c>
      <c r="B767" t="s">
        <v>1164</v>
      </c>
      <c r="C767" t="s">
        <v>1164</v>
      </c>
      <c r="D767" t="s">
        <v>1132</v>
      </c>
    </row>
    <row r="768" spans="1:4" x14ac:dyDescent="0.2">
      <c r="A768" s="18" t="s">
        <v>2076</v>
      </c>
      <c r="B768" t="s">
        <v>1165</v>
      </c>
      <c r="C768" t="s">
        <v>1164</v>
      </c>
      <c r="D768" t="s">
        <v>1132</v>
      </c>
    </row>
    <row r="769" spans="1:4" x14ac:dyDescent="0.2">
      <c r="A769" s="18" t="s">
        <v>2077</v>
      </c>
      <c r="B769" t="s">
        <v>1166</v>
      </c>
      <c r="C769" t="s">
        <v>1164</v>
      </c>
      <c r="D769" t="s">
        <v>1132</v>
      </c>
    </row>
    <row r="770" spans="1:4" x14ac:dyDescent="0.2">
      <c r="A770" s="18" t="s">
        <v>2078</v>
      </c>
      <c r="B770" t="s">
        <v>1167</v>
      </c>
      <c r="C770" t="s">
        <v>1167</v>
      </c>
      <c r="D770" t="s">
        <v>1132</v>
      </c>
    </row>
    <row r="771" spans="1:4" x14ac:dyDescent="0.2">
      <c r="A771" s="18" t="s">
        <v>2079</v>
      </c>
      <c r="B771" t="s">
        <v>1168</v>
      </c>
      <c r="C771" t="s">
        <v>1167</v>
      </c>
      <c r="D771" t="s">
        <v>1132</v>
      </c>
    </row>
    <row r="772" spans="1:4" x14ac:dyDescent="0.2">
      <c r="A772" s="18" t="s">
        <v>2080</v>
      </c>
      <c r="B772" t="s">
        <v>41</v>
      </c>
      <c r="C772" t="s">
        <v>1167</v>
      </c>
      <c r="D772" t="s">
        <v>1132</v>
      </c>
    </row>
    <row r="773" spans="1:4" x14ac:dyDescent="0.2">
      <c r="A773" s="18" t="s">
        <v>2081</v>
      </c>
      <c r="B773" t="s">
        <v>1169</v>
      </c>
      <c r="C773" t="s">
        <v>1169</v>
      </c>
      <c r="D773" t="s">
        <v>1132</v>
      </c>
    </row>
    <row r="774" spans="1:4" x14ac:dyDescent="0.2">
      <c r="A774" s="18" t="s">
        <v>2082</v>
      </c>
      <c r="B774" t="s">
        <v>1170</v>
      </c>
      <c r="C774" t="s">
        <v>1169</v>
      </c>
      <c r="D774" t="s">
        <v>1132</v>
      </c>
    </row>
    <row r="775" spans="1:4" x14ac:dyDescent="0.2">
      <c r="A775" s="18" t="s">
        <v>2083</v>
      </c>
      <c r="B775" t="s">
        <v>1171</v>
      </c>
      <c r="C775" t="s">
        <v>1169</v>
      </c>
      <c r="D775" t="s">
        <v>1132</v>
      </c>
    </row>
    <row r="776" spans="1:4" x14ac:dyDescent="0.2">
      <c r="A776" s="18" t="s">
        <v>2084</v>
      </c>
      <c r="B776" t="s">
        <v>1172</v>
      </c>
      <c r="C776" t="s">
        <v>1172</v>
      </c>
      <c r="D776" t="s">
        <v>1132</v>
      </c>
    </row>
    <row r="777" spans="1:4" x14ac:dyDescent="0.2">
      <c r="A777" s="18" t="s">
        <v>2085</v>
      </c>
      <c r="B777" t="s">
        <v>1173</v>
      </c>
      <c r="C777" t="s">
        <v>1172</v>
      </c>
      <c r="D777" t="s">
        <v>1132</v>
      </c>
    </row>
    <row r="778" spans="1:4" x14ac:dyDescent="0.2">
      <c r="A778" s="18" t="s">
        <v>2086</v>
      </c>
      <c r="B778" t="s">
        <v>1174</v>
      </c>
      <c r="C778" t="s">
        <v>1172</v>
      </c>
      <c r="D778" t="s">
        <v>1132</v>
      </c>
    </row>
    <row r="779" spans="1:4" x14ac:dyDescent="0.2">
      <c r="A779" s="18" t="s">
        <v>2087</v>
      </c>
      <c r="B779" t="s">
        <v>1175</v>
      </c>
      <c r="C779" t="s">
        <v>1172</v>
      </c>
      <c r="D779" t="s">
        <v>1132</v>
      </c>
    </row>
    <row r="780" spans="1:4" x14ac:dyDescent="0.2">
      <c r="A780" s="18" t="s">
        <v>2088</v>
      </c>
      <c r="B780" t="s">
        <v>26</v>
      </c>
      <c r="C780" t="s">
        <v>1172</v>
      </c>
      <c r="D780" t="s">
        <v>1132</v>
      </c>
    </row>
    <row r="781" spans="1:4" x14ac:dyDescent="0.2">
      <c r="A781" s="18" t="s">
        <v>2089</v>
      </c>
      <c r="B781" t="s">
        <v>1176</v>
      </c>
      <c r="C781" t="s">
        <v>1176</v>
      </c>
      <c r="D781" t="s">
        <v>1132</v>
      </c>
    </row>
    <row r="782" spans="1:4" x14ac:dyDescent="0.2">
      <c r="A782" s="18" t="s">
        <v>2090</v>
      </c>
      <c r="B782" t="s">
        <v>1177</v>
      </c>
      <c r="C782" t="s">
        <v>1176</v>
      </c>
      <c r="D782" t="s">
        <v>1132</v>
      </c>
    </row>
    <row r="783" spans="1:4" x14ac:dyDescent="0.2">
      <c r="A783" s="18" t="s">
        <v>2091</v>
      </c>
      <c r="B783" t="s">
        <v>1178</v>
      </c>
      <c r="C783" t="s">
        <v>1176</v>
      </c>
      <c r="D783" t="s">
        <v>1132</v>
      </c>
    </row>
    <row r="784" spans="1:4" x14ac:dyDescent="0.2">
      <c r="A784" s="18" t="s">
        <v>2092</v>
      </c>
      <c r="B784" t="s">
        <v>66</v>
      </c>
      <c r="C784" t="s">
        <v>1176</v>
      </c>
      <c r="D784" t="s">
        <v>1132</v>
      </c>
    </row>
    <row r="785" spans="1:4" x14ac:dyDescent="0.2">
      <c r="A785" s="18" t="s">
        <v>2093</v>
      </c>
      <c r="B785" t="s">
        <v>1179</v>
      </c>
      <c r="C785" t="s">
        <v>1176</v>
      </c>
      <c r="D785" t="s">
        <v>1132</v>
      </c>
    </row>
    <row r="786" spans="1:4" x14ac:dyDescent="0.2">
      <c r="A786" s="18" t="s">
        <v>2094</v>
      </c>
      <c r="B786" t="s">
        <v>1180</v>
      </c>
      <c r="C786" t="s">
        <v>1176</v>
      </c>
      <c r="D786" t="s">
        <v>1132</v>
      </c>
    </row>
    <row r="787" spans="1:4" x14ac:dyDescent="0.2">
      <c r="A787" s="18" t="s">
        <v>2095</v>
      </c>
      <c r="B787" t="s">
        <v>1181</v>
      </c>
      <c r="C787" t="s">
        <v>1176</v>
      </c>
      <c r="D787" t="s">
        <v>1132</v>
      </c>
    </row>
    <row r="788" spans="1:4" x14ac:dyDescent="0.2">
      <c r="A788" s="18" t="s">
        <v>2096</v>
      </c>
      <c r="B788" t="s">
        <v>1182</v>
      </c>
      <c r="C788" t="s">
        <v>1182</v>
      </c>
      <c r="D788" t="s">
        <v>1132</v>
      </c>
    </row>
    <row r="789" spans="1:4" x14ac:dyDescent="0.2">
      <c r="A789" s="18" t="s">
        <v>2097</v>
      </c>
      <c r="B789" t="s">
        <v>1183</v>
      </c>
      <c r="C789" t="s">
        <v>1182</v>
      </c>
      <c r="D789" t="s">
        <v>1132</v>
      </c>
    </row>
    <row r="790" spans="1:4" x14ac:dyDescent="0.2">
      <c r="A790" s="18" t="s">
        <v>2098</v>
      </c>
      <c r="B790" t="s">
        <v>1184</v>
      </c>
      <c r="C790" t="s">
        <v>1182</v>
      </c>
      <c r="D790" t="s">
        <v>1132</v>
      </c>
    </row>
    <row r="791" spans="1:4" x14ac:dyDescent="0.2">
      <c r="A791" s="18" t="s">
        <v>2099</v>
      </c>
      <c r="B791" t="s">
        <v>1185</v>
      </c>
      <c r="C791" t="s">
        <v>1182</v>
      </c>
      <c r="D791" t="s">
        <v>1132</v>
      </c>
    </row>
    <row r="792" spans="1:4" x14ac:dyDescent="0.2">
      <c r="A792" s="18" t="s">
        <v>2100</v>
      </c>
      <c r="B792" t="s">
        <v>1186</v>
      </c>
      <c r="C792" t="s">
        <v>1182</v>
      </c>
      <c r="D792" t="s">
        <v>1132</v>
      </c>
    </row>
    <row r="793" spans="1:4" x14ac:dyDescent="0.2">
      <c r="A793" s="18" t="s">
        <v>2101</v>
      </c>
      <c r="B793" t="s">
        <v>1187</v>
      </c>
      <c r="C793" t="s">
        <v>1182</v>
      </c>
      <c r="D793" t="s">
        <v>1132</v>
      </c>
    </row>
    <row r="794" spans="1:4" x14ac:dyDescent="0.2">
      <c r="A794" s="18" t="s">
        <v>2102</v>
      </c>
      <c r="B794" t="s">
        <v>1188</v>
      </c>
      <c r="C794" t="s">
        <v>1182</v>
      </c>
      <c r="D794" t="s">
        <v>1132</v>
      </c>
    </row>
    <row r="795" spans="1:4" x14ac:dyDescent="0.2">
      <c r="A795" s="18" t="s">
        <v>2103</v>
      </c>
      <c r="B795" t="s">
        <v>1189</v>
      </c>
      <c r="C795" t="s">
        <v>1189</v>
      </c>
      <c r="D795" t="s">
        <v>1132</v>
      </c>
    </row>
    <row r="796" spans="1:4" x14ac:dyDescent="0.2">
      <c r="A796" s="18" t="s">
        <v>2104</v>
      </c>
      <c r="B796" t="s">
        <v>1190</v>
      </c>
      <c r="C796" t="s">
        <v>1189</v>
      </c>
      <c r="D796" t="s">
        <v>1132</v>
      </c>
    </row>
    <row r="797" spans="1:4" x14ac:dyDescent="0.2">
      <c r="A797" s="18" t="s">
        <v>2105</v>
      </c>
      <c r="B797" t="s">
        <v>1191</v>
      </c>
      <c r="C797" t="s">
        <v>1189</v>
      </c>
      <c r="D797" t="s">
        <v>1132</v>
      </c>
    </row>
    <row r="798" spans="1:4" x14ac:dyDescent="0.2">
      <c r="A798" s="18" t="s">
        <v>2106</v>
      </c>
      <c r="B798" t="s">
        <v>1192</v>
      </c>
      <c r="C798" t="s">
        <v>1189</v>
      </c>
      <c r="D798" t="s">
        <v>1132</v>
      </c>
    </row>
    <row r="799" spans="1:4" x14ac:dyDescent="0.2">
      <c r="A799" s="18" t="s">
        <v>2107</v>
      </c>
      <c r="B799" t="s">
        <v>1193</v>
      </c>
      <c r="C799" t="s">
        <v>1193</v>
      </c>
      <c r="D799" t="s">
        <v>1132</v>
      </c>
    </row>
    <row r="800" spans="1:4" x14ac:dyDescent="0.2">
      <c r="A800" s="18" t="s">
        <v>2108</v>
      </c>
      <c r="B800" t="s">
        <v>1194</v>
      </c>
      <c r="C800" t="s">
        <v>1193</v>
      </c>
      <c r="D800" t="s">
        <v>1132</v>
      </c>
    </row>
    <row r="801" spans="1:4" x14ac:dyDescent="0.2">
      <c r="A801" s="18" t="s">
        <v>2109</v>
      </c>
      <c r="B801" t="s">
        <v>1195</v>
      </c>
      <c r="C801" t="s">
        <v>1193</v>
      </c>
      <c r="D801" t="s">
        <v>1132</v>
      </c>
    </row>
    <row r="802" spans="1:4" x14ac:dyDescent="0.2">
      <c r="A802" s="18" t="s">
        <v>2110</v>
      </c>
      <c r="B802" t="s">
        <v>478</v>
      </c>
      <c r="C802" t="s">
        <v>1193</v>
      </c>
      <c r="D802" t="s">
        <v>1132</v>
      </c>
    </row>
    <row r="803" spans="1:4" x14ac:dyDescent="0.2">
      <c r="A803" s="18" t="s">
        <v>2111</v>
      </c>
      <c r="B803" t="s">
        <v>479</v>
      </c>
      <c r="C803" t="s">
        <v>1193</v>
      </c>
      <c r="D803" t="s">
        <v>1132</v>
      </c>
    </row>
    <row r="804" spans="1:4" x14ac:dyDescent="0.2">
      <c r="A804" s="18" t="s">
        <v>2112</v>
      </c>
      <c r="B804" t="s">
        <v>1196</v>
      </c>
      <c r="C804" t="s">
        <v>1196</v>
      </c>
      <c r="D804" t="s">
        <v>1132</v>
      </c>
    </row>
    <row r="805" spans="1:4" x14ac:dyDescent="0.2">
      <c r="A805" s="18" t="s">
        <v>2113</v>
      </c>
      <c r="B805" t="s">
        <v>1197</v>
      </c>
      <c r="C805" t="s">
        <v>1196</v>
      </c>
      <c r="D805" t="s">
        <v>1132</v>
      </c>
    </row>
    <row r="806" spans="1:4" x14ac:dyDescent="0.2">
      <c r="A806" s="18" t="s">
        <v>2114</v>
      </c>
      <c r="B806" t="s">
        <v>1198</v>
      </c>
      <c r="C806" t="s">
        <v>1198</v>
      </c>
      <c r="D806" t="s">
        <v>1132</v>
      </c>
    </row>
    <row r="807" spans="1:4" x14ac:dyDescent="0.2">
      <c r="A807" s="18" t="s">
        <v>2115</v>
      </c>
      <c r="B807" t="s">
        <v>1199</v>
      </c>
      <c r="C807" t="s">
        <v>1198</v>
      </c>
      <c r="D807" t="s">
        <v>1132</v>
      </c>
    </row>
    <row r="808" spans="1:4" x14ac:dyDescent="0.2">
      <c r="A808" s="18" t="s">
        <v>2116</v>
      </c>
      <c r="B808" t="s">
        <v>1200</v>
      </c>
      <c r="C808" t="s">
        <v>1200</v>
      </c>
      <c r="D808" t="s">
        <v>1132</v>
      </c>
    </row>
    <row r="809" spans="1:4" x14ac:dyDescent="0.2">
      <c r="A809" s="18" t="s">
        <v>2117</v>
      </c>
      <c r="B809" t="s">
        <v>1201</v>
      </c>
      <c r="C809" t="s">
        <v>1200</v>
      </c>
      <c r="D809" t="s">
        <v>1132</v>
      </c>
    </row>
    <row r="810" spans="1:4" x14ac:dyDescent="0.2">
      <c r="A810" s="18" t="s">
        <v>2118</v>
      </c>
      <c r="B810" t="s">
        <v>1202</v>
      </c>
      <c r="C810" t="s">
        <v>1200</v>
      </c>
      <c r="D810" t="s">
        <v>1132</v>
      </c>
    </row>
    <row r="811" spans="1:4" x14ac:dyDescent="0.2">
      <c r="A811" s="18" t="s">
        <v>2119</v>
      </c>
      <c r="B811" t="s">
        <v>1203</v>
      </c>
      <c r="C811" t="s">
        <v>1203</v>
      </c>
      <c r="D811" t="s">
        <v>1132</v>
      </c>
    </row>
    <row r="812" spans="1:4" x14ac:dyDescent="0.2">
      <c r="A812" s="18" t="s">
        <v>2120</v>
      </c>
      <c r="B812" t="s">
        <v>1204</v>
      </c>
      <c r="C812" t="s">
        <v>1204</v>
      </c>
      <c r="D812" t="s">
        <v>1132</v>
      </c>
    </row>
    <row r="813" spans="1:4" x14ac:dyDescent="0.2">
      <c r="A813" s="18" t="s">
        <v>2121</v>
      </c>
      <c r="B813" t="s">
        <v>1205</v>
      </c>
      <c r="C813" t="s">
        <v>1204</v>
      </c>
      <c r="D813" t="s">
        <v>1132</v>
      </c>
    </row>
    <row r="814" spans="1:4" x14ac:dyDescent="0.2">
      <c r="A814" s="18" t="s">
        <v>2122</v>
      </c>
      <c r="B814" t="s">
        <v>1206</v>
      </c>
      <c r="C814" t="s">
        <v>1204</v>
      </c>
      <c r="D814" t="s">
        <v>1132</v>
      </c>
    </row>
    <row r="815" spans="1:4" x14ac:dyDescent="0.2">
      <c r="A815" s="18" t="s">
        <v>2123</v>
      </c>
      <c r="B815" t="s">
        <v>1207</v>
      </c>
      <c r="C815" t="s">
        <v>1204</v>
      </c>
      <c r="D815" t="s">
        <v>1132</v>
      </c>
    </row>
    <row r="816" spans="1:4" x14ac:dyDescent="0.2">
      <c r="A816" s="18" t="s">
        <v>2124</v>
      </c>
      <c r="B816" t="s">
        <v>1208</v>
      </c>
      <c r="C816" t="s">
        <v>1208</v>
      </c>
      <c r="D816" t="s">
        <v>1132</v>
      </c>
    </row>
    <row r="817" spans="1:4" x14ac:dyDescent="0.2">
      <c r="A817" s="18" t="s">
        <v>2125</v>
      </c>
      <c r="B817" t="s">
        <v>1209</v>
      </c>
      <c r="C817" t="s">
        <v>1208</v>
      </c>
      <c r="D817" t="s">
        <v>1132</v>
      </c>
    </row>
    <row r="818" spans="1:4" x14ac:dyDescent="0.2">
      <c r="A818" s="18" t="s">
        <v>2126</v>
      </c>
      <c r="B818" t="s">
        <v>1210</v>
      </c>
      <c r="C818" t="s">
        <v>1208</v>
      </c>
      <c r="D818" t="s">
        <v>1132</v>
      </c>
    </row>
    <row r="819" spans="1:4" x14ac:dyDescent="0.2">
      <c r="A819" s="18" t="s">
        <v>2127</v>
      </c>
      <c r="B819" t="s">
        <v>1211</v>
      </c>
      <c r="C819" t="s">
        <v>1208</v>
      </c>
      <c r="D819" t="s">
        <v>1132</v>
      </c>
    </row>
    <row r="820" spans="1:4" x14ac:dyDescent="0.2">
      <c r="A820" s="18" t="s">
        <v>2128</v>
      </c>
      <c r="B820" t="s">
        <v>1212</v>
      </c>
      <c r="C820" t="s">
        <v>1212</v>
      </c>
      <c r="D820" t="s">
        <v>1132</v>
      </c>
    </row>
    <row r="821" spans="1:4" x14ac:dyDescent="0.2">
      <c r="A821" s="18" t="s">
        <v>2129</v>
      </c>
      <c r="B821" t="s">
        <v>1213</v>
      </c>
      <c r="C821" t="s">
        <v>1212</v>
      </c>
      <c r="D821" t="s">
        <v>1132</v>
      </c>
    </row>
    <row r="822" spans="1:4" x14ac:dyDescent="0.2">
      <c r="A822" s="18" t="s">
        <v>2130</v>
      </c>
      <c r="B822" t="s">
        <v>1214</v>
      </c>
      <c r="C822" t="s">
        <v>1212</v>
      </c>
      <c r="D822" t="s">
        <v>1132</v>
      </c>
    </row>
    <row r="823" spans="1:4" x14ac:dyDescent="0.2">
      <c r="A823" s="18" t="s">
        <v>2131</v>
      </c>
      <c r="B823" t="s">
        <v>1215</v>
      </c>
      <c r="C823" t="s">
        <v>1215</v>
      </c>
      <c r="D823" t="s">
        <v>1132</v>
      </c>
    </row>
    <row r="824" spans="1:4" x14ac:dyDescent="0.2">
      <c r="A824" s="18" t="s">
        <v>2132</v>
      </c>
      <c r="B824" t="s">
        <v>1216</v>
      </c>
      <c r="C824" t="s">
        <v>1216</v>
      </c>
      <c r="D824" t="s">
        <v>1132</v>
      </c>
    </row>
    <row r="825" spans="1:4" x14ac:dyDescent="0.2">
      <c r="A825" s="18" t="s">
        <v>2133</v>
      </c>
      <c r="B825" t="s">
        <v>1217</v>
      </c>
      <c r="C825" t="s">
        <v>1217</v>
      </c>
      <c r="D825" t="s">
        <v>1132</v>
      </c>
    </row>
    <row r="826" spans="1:4" x14ac:dyDescent="0.2">
      <c r="A826" s="18" t="s">
        <v>2134</v>
      </c>
      <c r="B826" t="s">
        <v>1218</v>
      </c>
      <c r="C826" t="s">
        <v>1217</v>
      </c>
      <c r="D826" t="s">
        <v>1132</v>
      </c>
    </row>
    <row r="827" spans="1:4" x14ac:dyDescent="0.2">
      <c r="A827" s="18" t="s">
        <v>2135</v>
      </c>
      <c r="B827" t="s">
        <v>1219</v>
      </c>
      <c r="C827" t="s">
        <v>1219</v>
      </c>
      <c r="D827" t="s">
        <v>1132</v>
      </c>
    </row>
    <row r="828" spans="1:4" x14ac:dyDescent="0.2">
      <c r="A828" s="18" t="s">
        <v>2136</v>
      </c>
      <c r="B828" t="s">
        <v>1220</v>
      </c>
      <c r="C828" t="s">
        <v>1219</v>
      </c>
      <c r="D828" t="s">
        <v>1132</v>
      </c>
    </row>
    <row r="829" spans="1:4" x14ac:dyDescent="0.2">
      <c r="A829" s="18" t="s">
        <v>2137</v>
      </c>
      <c r="B829" t="s">
        <v>1221</v>
      </c>
      <c r="C829" t="s">
        <v>1221</v>
      </c>
      <c r="D829" t="s">
        <v>1132</v>
      </c>
    </row>
    <row r="830" spans="1:4" x14ac:dyDescent="0.2">
      <c r="A830" s="18" t="s">
        <v>2138</v>
      </c>
      <c r="B830" t="s">
        <v>1222</v>
      </c>
      <c r="C830" t="s">
        <v>1221</v>
      </c>
      <c r="D830" t="s">
        <v>1132</v>
      </c>
    </row>
    <row r="831" spans="1:4" x14ac:dyDescent="0.2">
      <c r="A831" s="18" t="s">
        <v>2139</v>
      </c>
      <c r="B831" t="s">
        <v>425</v>
      </c>
      <c r="C831" t="s">
        <v>1221</v>
      </c>
      <c r="D831" t="s">
        <v>1132</v>
      </c>
    </row>
    <row r="832" spans="1:4" x14ac:dyDescent="0.2">
      <c r="A832" s="18" t="s">
        <v>2140</v>
      </c>
      <c r="B832" t="s">
        <v>1223</v>
      </c>
      <c r="C832" t="s">
        <v>1223</v>
      </c>
      <c r="D832" t="s">
        <v>1132</v>
      </c>
    </row>
    <row r="833" spans="1:4" x14ac:dyDescent="0.2">
      <c r="A833" s="18" t="s">
        <v>2141</v>
      </c>
      <c r="B833" t="s">
        <v>1224</v>
      </c>
      <c r="C833" t="s">
        <v>1224</v>
      </c>
      <c r="D833" t="s">
        <v>1132</v>
      </c>
    </row>
    <row r="834" spans="1:4" x14ac:dyDescent="0.2">
      <c r="A834" s="18" t="s">
        <v>2142</v>
      </c>
      <c r="B834" t="s">
        <v>1225</v>
      </c>
      <c r="C834" t="s">
        <v>1225</v>
      </c>
      <c r="D834" t="s">
        <v>1132</v>
      </c>
    </row>
    <row r="835" spans="1:4" x14ac:dyDescent="0.2">
      <c r="A835" s="18" t="s">
        <v>2143</v>
      </c>
      <c r="B835" t="s">
        <v>1226</v>
      </c>
      <c r="C835" t="s">
        <v>1226</v>
      </c>
      <c r="D835" t="s">
        <v>1132</v>
      </c>
    </row>
    <row r="836" spans="1:4" x14ac:dyDescent="0.2">
      <c r="A836" s="18" t="s">
        <v>2144</v>
      </c>
      <c r="B836" t="s">
        <v>1227</v>
      </c>
      <c r="C836" t="s">
        <v>1227</v>
      </c>
      <c r="D836" t="s">
        <v>1132</v>
      </c>
    </row>
    <row r="837" spans="1:4" x14ac:dyDescent="0.2">
      <c r="A837" s="18" t="s">
        <v>2145</v>
      </c>
      <c r="B837" t="s">
        <v>1228</v>
      </c>
      <c r="C837" t="s">
        <v>1227</v>
      </c>
      <c r="D837" t="s">
        <v>1132</v>
      </c>
    </row>
    <row r="838" spans="1:4" x14ac:dyDescent="0.2">
      <c r="A838" s="18" t="s">
        <v>2146</v>
      </c>
      <c r="B838" t="s">
        <v>1229</v>
      </c>
      <c r="C838" t="s">
        <v>1229</v>
      </c>
      <c r="D838" t="s">
        <v>1132</v>
      </c>
    </row>
    <row r="839" spans="1:4" x14ac:dyDescent="0.2">
      <c r="A839" s="18" t="s">
        <v>2147</v>
      </c>
      <c r="B839" t="s">
        <v>1230</v>
      </c>
      <c r="C839" t="s">
        <v>1230</v>
      </c>
      <c r="D839" t="s">
        <v>1132</v>
      </c>
    </row>
    <row r="840" spans="1:4" x14ac:dyDescent="0.2">
      <c r="A840" s="18" t="s">
        <v>2148</v>
      </c>
      <c r="B840" t="s">
        <v>439</v>
      </c>
      <c r="C840" t="s">
        <v>439</v>
      </c>
      <c r="D840" t="s">
        <v>1132</v>
      </c>
    </row>
    <row r="841" spans="1:4" x14ac:dyDescent="0.2">
      <c r="A841" s="18" t="s">
        <v>2149</v>
      </c>
      <c r="B841" t="s">
        <v>23</v>
      </c>
      <c r="C841" t="s">
        <v>439</v>
      </c>
      <c r="D841" t="s">
        <v>1132</v>
      </c>
    </row>
    <row r="842" spans="1:4" x14ac:dyDescent="0.2">
      <c r="A842" s="18" t="s">
        <v>2150</v>
      </c>
      <c r="B842" t="s">
        <v>1231</v>
      </c>
      <c r="C842" t="s">
        <v>439</v>
      </c>
      <c r="D842" t="s">
        <v>1132</v>
      </c>
    </row>
    <row r="843" spans="1:4" x14ac:dyDescent="0.2">
      <c r="A843" s="18" t="s">
        <v>2151</v>
      </c>
      <c r="B843" t="s">
        <v>1232</v>
      </c>
      <c r="C843" t="s">
        <v>1232</v>
      </c>
      <c r="D843" t="s">
        <v>1132</v>
      </c>
    </row>
    <row r="844" spans="1:4" x14ac:dyDescent="0.2">
      <c r="A844" s="18" t="s">
        <v>2152</v>
      </c>
      <c r="B844" t="s">
        <v>1233</v>
      </c>
      <c r="C844" t="s">
        <v>1233</v>
      </c>
      <c r="D844" t="s">
        <v>1132</v>
      </c>
    </row>
    <row r="845" spans="1:4" x14ac:dyDescent="0.2">
      <c r="A845" s="18" t="s">
        <v>2153</v>
      </c>
      <c r="B845" t="s">
        <v>1234</v>
      </c>
      <c r="C845" t="s">
        <v>1233</v>
      </c>
      <c r="D845" t="s">
        <v>1132</v>
      </c>
    </row>
    <row r="846" spans="1:4" x14ac:dyDescent="0.2">
      <c r="A846" s="18" t="s">
        <v>2154</v>
      </c>
      <c r="B846" t="s">
        <v>11</v>
      </c>
      <c r="C846" t="s">
        <v>11</v>
      </c>
      <c r="D846" t="s">
        <v>1235</v>
      </c>
    </row>
    <row r="847" spans="1:4" x14ac:dyDescent="0.2">
      <c r="A847" s="18" t="s">
        <v>2155</v>
      </c>
      <c r="B847" t="s">
        <v>1236</v>
      </c>
      <c r="C847" t="s">
        <v>11</v>
      </c>
      <c r="D847" t="s">
        <v>1235</v>
      </c>
    </row>
    <row r="848" spans="1:4" x14ac:dyDescent="0.2">
      <c r="A848" s="18" t="s">
        <v>2156</v>
      </c>
      <c r="B848" t="s">
        <v>7</v>
      </c>
      <c r="C848" t="s">
        <v>7</v>
      </c>
      <c r="D848" t="s">
        <v>1235</v>
      </c>
    </row>
    <row r="849" spans="1:4" x14ac:dyDescent="0.2">
      <c r="A849" s="18" t="s">
        <v>2157</v>
      </c>
      <c r="B849" t="s">
        <v>1237</v>
      </c>
      <c r="C849" t="s">
        <v>7</v>
      </c>
      <c r="D849" t="s">
        <v>1235</v>
      </c>
    </row>
    <row r="850" spans="1:4" x14ac:dyDescent="0.2">
      <c r="A850" s="18" t="s">
        <v>2158</v>
      </c>
      <c r="B850" t="s">
        <v>1238</v>
      </c>
      <c r="C850" t="s">
        <v>1238</v>
      </c>
      <c r="D850" t="s">
        <v>1235</v>
      </c>
    </row>
    <row r="851" spans="1:4" x14ac:dyDescent="0.2">
      <c r="A851" s="18" t="s">
        <v>2159</v>
      </c>
      <c r="B851" t="s">
        <v>1239</v>
      </c>
      <c r="C851" t="s">
        <v>1238</v>
      </c>
      <c r="D851" t="s">
        <v>1235</v>
      </c>
    </row>
    <row r="852" spans="1:4" x14ac:dyDescent="0.2">
      <c r="A852" s="18" t="s">
        <v>2160</v>
      </c>
      <c r="B852" t="s">
        <v>1240</v>
      </c>
      <c r="C852" t="s">
        <v>1240</v>
      </c>
      <c r="D852" t="s">
        <v>1235</v>
      </c>
    </row>
    <row r="853" spans="1:4" x14ac:dyDescent="0.2">
      <c r="A853" s="18" t="s">
        <v>2161</v>
      </c>
      <c r="B853" t="s">
        <v>1241</v>
      </c>
      <c r="C853" t="s">
        <v>1240</v>
      </c>
      <c r="D853" t="s">
        <v>1235</v>
      </c>
    </row>
    <row r="854" spans="1:4" x14ac:dyDescent="0.2">
      <c r="A854" s="18" t="s">
        <v>2162</v>
      </c>
      <c r="B854" t="s">
        <v>1242</v>
      </c>
      <c r="C854" t="s">
        <v>1242</v>
      </c>
      <c r="D854" t="s">
        <v>1235</v>
      </c>
    </row>
    <row r="855" spans="1:4" x14ac:dyDescent="0.2">
      <c r="A855" s="18" t="s">
        <v>2163</v>
      </c>
      <c r="B855" t="s">
        <v>1243</v>
      </c>
      <c r="C855" t="s">
        <v>1242</v>
      </c>
      <c r="D855" t="s">
        <v>1235</v>
      </c>
    </row>
    <row r="856" spans="1:4" x14ac:dyDescent="0.2">
      <c r="A856" s="18" t="s">
        <v>2164</v>
      </c>
      <c r="B856" t="s">
        <v>1244</v>
      </c>
      <c r="C856" t="s">
        <v>1244</v>
      </c>
      <c r="D856" t="s">
        <v>1235</v>
      </c>
    </row>
    <row r="857" spans="1:4" x14ac:dyDescent="0.2">
      <c r="A857" s="18" t="s">
        <v>2165</v>
      </c>
      <c r="B857" t="s">
        <v>1245</v>
      </c>
      <c r="C857" t="s">
        <v>1244</v>
      </c>
      <c r="D857" t="s">
        <v>1235</v>
      </c>
    </row>
    <row r="858" spans="1:4" x14ac:dyDescent="0.2">
      <c r="A858" s="18" t="s">
        <v>2166</v>
      </c>
      <c r="B858" t="s">
        <v>1246</v>
      </c>
      <c r="C858" t="s">
        <v>1246</v>
      </c>
      <c r="D858" t="s">
        <v>1235</v>
      </c>
    </row>
    <row r="859" spans="1:4" x14ac:dyDescent="0.2">
      <c r="A859" s="18" t="s">
        <v>2167</v>
      </c>
      <c r="B859" t="s">
        <v>1247</v>
      </c>
      <c r="C859" t="s">
        <v>1246</v>
      </c>
      <c r="D859" t="s">
        <v>1235</v>
      </c>
    </row>
    <row r="860" spans="1:4" x14ac:dyDescent="0.2">
      <c r="A860" s="18" t="s">
        <v>2168</v>
      </c>
      <c r="B860" t="s">
        <v>1248</v>
      </c>
      <c r="C860" t="s">
        <v>1248</v>
      </c>
      <c r="D860" t="s">
        <v>1235</v>
      </c>
    </row>
    <row r="861" spans="1:4" x14ac:dyDescent="0.2">
      <c r="A861" s="18" t="s">
        <v>2169</v>
      </c>
      <c r="B861" t="s">
        <v>1249</v>
      </c>
      <c r="C861" t="s">
        <v>1248</v>
      </c>
      <c r="D861" t="s">
        <v>1235</v>
      </c>
    </row>
    <row r="862" spans="1:4" x14ac:dyDescent="0.2">
      <c r="A862" s="18" t="s">
        <v>2170</v>
      </c>
      <c r="B862" t="s">
        <v>1250</v>
      </c>
      <c r="C862" t="s">
        <v>1250</v>
      </c>
      <c r="D862" t="s">
        <v>1235</v>
      </c>
    </row>
    <row r="863" spans="1:4" x14ac:dyDescent="0.2">
      <c r="A863" s="18" t="s">
        <v>2171</v>
      </c>
      <c r="B863" t="s">
        <v>1251</v>
      </c>
      <c r="C863" t="s">
        <v>1250</v>
      </c>
      <c r="D863" t="s">
        <v>1235</v>
      </c>
    </row>
    <row r="864" spans="1:4" x14ac:dyDescent="0.2">
      <c r="A864" s="18" t="s">
        <v>2172</v>
      </c>
      <c r="B864" t="s">
        <v>1252</v>
      </c>
      <c r="C864" t="s">
        <v>1252</v>
      </c>
      <c r="D864" t="s">
        <v>1235</v>
      </c>
    </row>
    <row r="865" spans="1:4" x14ac:dyDescent="0.2">
      <c r="A865" s="18" t="s">
        <v>2173</v>
      </c>
      <c r="B865" t="s">
        <v>1253</v>
      </c>
      <c r="C865" t="s">
        <v>1252</v>
      </c>
      <c r="D865" t="s">
        <v>1235</v>
      </c>
    </row>
    <row r="866" spans="1:4" x14ac:dyDescent="0.2">
      <c r="A866" s="18" t="s">
        <v>2174</v>
      </c>
      <c r="B866" t="s">
        <v>1254</v>
      </c>
      <c r="C866" t="s">
        <v>1254</v>
      </c>
      <c r="D866" t="s">
        <v>1235</v>
      </c>
    </row>
    <row r="867" spans="1:4" x14ac:dyDescent="0.2">
      <c r="A867" s="18" t="s">
        <v>2175</v>
      </c>
      <c r="B867" t="s">
        <v>1255</v>
      </c>
      <c r="C867" t="s">
        <v>1254</v>
      </c>
      <c r="D867" t="s">
        <v>1235</v>
      </c>
    </row>
    <row r="868" spans="1:4" x14ac:dyDescent="0.2">
      <c r="A868" s="18" t="s">
        <v>2176</v>
      </c>
      <c r="B868" t="s">
        <v>1256</v>
      </c>
      <c r="C868" t="s">
        <v>1256</v>
      </c>
      <c r="D868" t="s">
        <v>1235</v>
      </c>
    </row>
    <row r="869" spans="1:4" x14ac:dyDescent="0.2">
      <c r="A869" s="18" t="s">
        <v>2177</v>
      </c>
      <c r="B869" t="s">
        <v>1257</v>
      </c>
      <c r="C869" t="s">
        <v>1256</v>
      </c>
      <c r="D869" t="s">
        <v>1235</v>
      </c>
    </row>
    <row r="870" spans="1:4" x14ac:dyDescent="0.2">
      <c r="A870" s="18" t="s">
        <v>2178</v>
      </c>
      <c r="B870" t="s">
        <v>1258</v>
      </c>
      <c r="C870" t="s">
        <v>1258</v>
      </c>
      <c r="D870" t="s">
        <v>1235</v>
      </c>
    </row>
    <row r="871" spans="1:4" x14ac:dyDescent="0.2">
      <c r="A871" s="18" t="s">
        <v>2179</v>
      </c>
      <c r="B871" t="s">
        <v>1259</v>
      </c>
      <c r="C871" t="s">
        <v>1258</v>
      </c>
      <c r="D871" t="s">
        <v>1235</v>
      </c>
    </row>
    <row r="872" spans="1:4" x14ac:dyDescent="0.2">
      <c r="A872" s="18" t="s">
        <v>2180</v>
      </c>
      <c r="B872" t="s">
        <v>1260</v>
      </c>
      <c r="C872" t="s">
        <v>1260</v>
      </c>
      <c r="D872" t="s">
        <v>1235</v>
      </c>
    </row>
    <row r="873" spans="1:4" x14ac:dyDescent="0.2">
      <c r="A873" s="18" t="s">
        <v>2181</v>
      </c>
      <c r="B873" t="s">
        <v>1261</v>
      </c>
      <c r="C873" t="s">
        <v>1260</v>
      </c>
      <c r="D873" t="s">
        <v>1235</v>
      </c>
    </row>
    <row r="874" spans="1:4" x14ac:dyDescent="0.2">
      <c r="A874" s="18" t="s">
        <v>2182</v>
      </c>
      <c r="B874" t="s">
        <v>1262</v>
      </c>
      <c r="C874" t="s">
        <v>1262</v>
      </c>
      <c r="D874" t="s">
        <v>1235</v>
      </c>
    </row>
    <row r="875" spans="1:4" x14ac:dyDescent="0.2">
      <c r="A875" s="18" t="s">
        <v>2183</v>
      </c>
      <c r="B875" t="s">
        <v>1263</v>
      </c>
      <c r="C875" t="s">
        <v>1262</v>
      </c>
      <c r="D875" t="s">
        <v>1235</v>
      </c>
    </row>
    <row r="876" spans="1:4" x14ac:dyDescent="0.2">
      <c r="A876" s="18" t="s">
        <v>2184</v>
      </c>
      <c r="B876" t="s">
        <v>1264</v>
      </c>
      <c r="C876" t="s">
        <v>1264</v>
      </c>
      <c r="D876" t="s">
        <v>1235</v>
      </c>
    </row>
    <row r="877" spans="1:4" x14ac:dyDescent="0.2">
      <c r="A877" s="18" t="s">
        <v>2185</v>
      </c>
      <c r="B877" t="s">
        <v>1265</v>
      </c>
      <c r="C877" t="s">
        <v>1264</v>
      </c>
      <c r="D877" t="s">
        <v>1235</v>
      </c>
    </row>
    <row r="878" spans="1:4" x14ac:dyDescent="0.2">
      <c r="A878" s="18" t="s">
        <v>2186</v>
      </c>
      <c r="B878" t="s">
        <v>1266</v>
      </c>
      <c r="C878" t="s">
        <v>1266</v>
      </c>
      <c r="D878" t="s">
        <v>1235</v>
      </c>
    </row>
    <row r="879" spans="1:4" x14ac:dyDescent="0.2">
      <c r="A879" s="18" t="s">
        <v>2187</v>
      </c>
      <c r="B879" t="s">
        <v>1267</v>
      </c>
      <c r="C879" t="s">
        <v>1266</v>
      </c>
      <c r="D879" t="s">
        <v>1235</v>
      </c>
    </row>
    <row r="880" spans="1:4" x14ac:dyDescent="0.2">
      <c r="A880" s="18" t="s">
        <v>2188</v>
      </c>
      <c r="B880" t="s">
        <v>1268</v>
      </c>
      <c r="C880" t="s">
        <v>1268</v>
      </c>
      <c r="D880" t="s">
        <v>1235</v>
      </c>
    </row>
    <row r="881" spans="1:4" x14ac:dyDescent="0.2">
      <c r="A881" s="18" t="s">
        <v>2189</v>
      </c>
      <c r="B881" t="s">
        <v>1269</v>
      </c>
      <c r="C881" t="s">
        <v>1268</v>
      </c>
      <c r="D881" t="s">
        <v>1235</v>
      </c>
    </row>
    <row r="882" spans="1:4" x14ac:dyDescent="0.2">
      <c r="A882" s="18" t="s">
        <v>2190</v>
      </c>
      <c r="B882" t="s">
        <v>473</v>
      </c>
      <c r="C882" t="s">
        <v>473</v>
      </c>
      <c r="D882" t="s">
        <v>1235</v>
      </c>
    </row>
    <row r="883" spans="1:4" x14ac:dyDescent="0.2">
      <c r="A883" s="18" t="s">
        <v>2191</v>
      </c>
      <c r="B883" t="s">
        <v>1270</v>
      </c>
      <c r="C883" t="s">
        <v>473</v>
      </c>
      <c r="D883" t="s">
        <v>1235</v>
      </c>
    </row>
    <row r="884" spans="1:4" x14ac:dyDescent="0.2">
      <c r="A884" s="18" t="s">
        <v>2192</v>
      </c>
      <c r="B884" t="s">
        <v>1271</v>
      </c>
      <c r="C884" t="s">
        <v>1271</v>
      </c>
      <c r="D884" t="s">
        <v>1235</v>
      </c>
    </row>
    <row r="885" spans="1:4" x14ac:dyDescent="0.2">
      <c r="A885" s="18" t="s">
        <v>2193</v>
      </c>
      <c r="B885" t="s">
        <v>1272</v>
      </c>
      <c r="C885" t="s">
        <v>1271</v>
      </c>
      <c r="D885" t="s">
        <v>1235</v>
      </c>
    </row>
    <row r="886" spans="1:4" x14ac:dyDescent="0.2">
      <c r="A886" s="18" t="s">
        <v>2194</v>
      </c>
      <c r="B886" t="s">
        <v>1273</v>
      </c>
      <c r="C886" t="s">
        <v>1273</v>
      </c>
      <c r="D886" t="s">
        <v>1235</v>
      </c>
    </row>
    <row r="887" spans="1:4" x14ac:dyDescent="0.2">
      <c r="A887" s="18" t="s">
        <v>2195</v>
      </c>
      <c r="B887" t="s">
        <v>1274</v>
      </c>
      <c r="C887" t="s">
        <v>1273</v>
      </c>
      <c r="D887" t="s">
        <v>1235</v>
      </c>
    </row>
    <row r="888" spans="1:4" x14ac:dyDescent="0.2">
      <c r="A888" s="18" t="s">
        <v>2196</v>
      </c>
      <c r="B888" t="s">
        <v>1275</v>
      </c>
      <c r="C888" t="s">
        <v>1275</v>
      </c>
      <c r="D888" t="s">
        <v>1235</v>
      </c>
    </row>
    <row r="889" spans="1:4" x14ac:dyDescent="0.2">
      <c r="A889" s="18" t="s">
        <v>2197</v>
      </c>
      <c r="B889" t="s">
        <v>1276</v>
      </c>
      <c r="C889" t="s">
        <v>1275</v>
      </c>
      <c r="D889" t="s">
        <v>1235</v>
      </c>
    </row>
    <row r="890" spans="1:4" x14ac:dyDescent="0.2">
      <c r="A890" s="18" t="s">
        <v>2198</v>
      </c>
      <c r="B890" t="s">
        <v>1277</v>
      </c>
      <c r="C890" t="s">
        <v>1277</v>
      </c>
      <c r="D890" t="s">
        <v>1235</v>
      </c>
    </row>
    <row r="891" spans="1:4" x14ac:dyDescent="0.2">
      <c r="A891" s="18" t="s">
        <v>2199</v>
      </c>
      <c r="B891" t="s">
        <v>1278</v>
      </c>
      <c r="C891" t="s">
        <v>1277</v>
      </c>
      <c r="D891" t="s">
        <v>1235</v>
      </c>
    </row>
    <row r="892" spans="1:4" x14ac:dyDescent="0.2">
      <c r="A892" s="18" t="s">
        <v>2200</v>
      </c>
      <c r="B892" t="s">
        <v>1279</v>
      </c>
      <c r="C892" t="s">
        <v>1279</v>
      </c>
      <c r="D892" t="s">
        <v>1235</v>
      </c>
    </row>
    <row r="893" spans="1:4" x14ac:dyDescent="0.2">
      <c r="A893" s="18" t="s">
        <v>2201</v>
      </c>
      <c r="B893" t="s">
        <v>1280</v>
      </c>
      <c r="C893" t="s">
        <v>1279</v>
      </c>
      <c r="D893" t="s">
        <v>1235</v>
      </c>
    </row>
    <row r="894" spans="1:4" x14ac:dyDescent="0.2">
      <c r="A894" s="18" t="s">
        <v>2202</v>
      </c>
      <c r="B894" t="s">
        <v>1281</v>
      </c>
      <c r="C894" t="s">
        <v>1281</v>
      </c>
      <c r="D894" t="s">
        <v>1235</v>
      </c>
    </row>
    <row r="895" spans="1:4" x14ac:dyDescent="0.2">
      <c r="A895" s="18" t="s">
        <v>2203</v>
      </c>
      <c r="B895" t="s">
        <v>1282</v>
      </c>
      <c r="C895" t="s">
        <v>1281</v>
      </c>
      <c r="D895" t="s">
        <v>1235</v>
      </c>
    </row>
    <row r="896" spans="1:4" x14ac:dyDescent="0.2">
      <c r="A896" s="18" t="s">
        <v>2204</v>
      </c>
      <c r="B896" t="s">
        <v>1283</v>
      </c>
      <c r="C896" t="s">
        <v>1283</v>
      </c>
      <c r="D896" t="s">
        <v>1235</v>
      </c>
    </row>
    <row r="897" spans="1:4" x14ac:dyDescent="0.2">
      <c r="A897" s="18" t="s">
        <v>2205</v>
      </c>
      <c r="B897" t="s">
        <v>1284</v>
      </c>
      <c r="C897" t="s">
        <v>1283</v>
      </c>
      <c r="D897" t="s">
        <v>1235</v>
      </c>
    </row>
    <row r="898" spans="1:4" x14ac:dyDescent="0.2">
      <c r="A898" s="18" t="s">
        <v>2206</v>
      </c>
      <c r="B898" t="s">
        <v>1285</v>
      </c>
      <c r="C898" t="s">
        <v>1285</v>
      </c>
      <c r="D898" t="s">
        <v>1235</v>
      </c>
    </row>
    <row r="899" spans="1:4" x14ac:dyDescent="0.2">
      <c r="A899" s="18" t="s">
        <v>2207</v>
      </c>
      <c r="B899" t="s">
        <v>1286</v>
      </c>
      <c r="C899" t="s">
        <v>1285</v>
      </c>
      <c r="D899" t="s">
        <v>1235</v>
      </c>
    </row>
    <row r="900" spans="1:4" x14ac:dyDescent="0.2">
      <c r="A900" s="18" t="s">
        <v>2208</v>
      </c>
      <c r="B900" t="s">
        <v>1287</v>
      </c>
      <c r="C900" t="s">
        <v>1287</v>
      </c>
      <c r="D900" t="s">
        <v>1235</v>
      </c>
    </row>
    <row r="901" spans="1:4" x14ac:dyDescent="0.2">
      <c r="A901" s="18" t="s">
        <v>2209</v>
      </c>
      <c r="B901" t="s">
        <v>1288</v>
      </c>
      <c r="C901" t="s">
        <v>1287</v>
      </c>
      <c r="D901" t="s">
        <v>1235</v>
      </c>
    </row>
    <row r="902" spans="1:4" x14ac:dyDescent="0.2">
      <c r="A902" s="18" t="s">
        <v>2210</v>
      </c>
      <c r="B902" t="s">
        <v>1289</v>
      </c>
      <c r="C902" t="s">
        <v>1289</v>
      </c>
      <c r="D902" t="s">
        <v>1235</v>
      </c>
    </row>
    <row r="903" spans="1:4" x14ac:dyDescent="0.2">
      <c r="A903" s="18" t="s">
        <v>2211</v>
      </c>
      <c r="B903" t="s">
        <v>1290</v>
      </c>
      <c r="C903" t="s">
        <v>1289</v>
      </c>
      <c r="D903" t="s">
        <v>1235</v>
      </c>
    </row>
    <row r="904" spans="1:4" x14ac:dyDescent="0.2">
      <c r="A904" s="18" t="s">
        <v>2212</v>
      </c>
      <c r="B904" t="s">
        <v>1291</v>
      </c>
      <c r="C904" t="s">
        <v>1291</v>
      </c>
      <c r="D904" t="s">
        <v>1235</v>
      </c>
    </row>
    <row r="905" spans="1:4" x14ac:dyDescent="0.2">
      <c r="A905" s="18" t="s">
        <v>2213</v>
      </c>
      <c r="B905" t="s">
        <v>1292</v>
      </c>
      <c r="C905" t="s">
        <v>1291</v>
      </c>
      <c r="D905" t="s">
        <v>1235</v>
      </c>
    </row>
    <row r="906" spans="1:4" x14ac:dyDescent="0.2">
      <c r="A906" s="18" t="s">
        <v>2214</v>
      </c>
      <c r="B906" t="s">
        <v>1293</v>
      </c>
      <c r="C906" t="s">
        <v>1293</v>
      </c>
      <c r="D906" t="s">
        <v>1235</v>
      </c>
    </row>
    <row r="907" spans="1:4" x14ac:dyDescent="0.2">
      <c r="A907" s="18" t="s">
        <v>2215</v>
      </c>
      <c r="B907" t="s">
        <v>1294</v>
      </c>
      <c r="C907" t="s">
        <v>1293</v>
      </c>
      <c r="D907" t="s">
        <v>1235</v>
      </c>
    </row>
    <row r="908" spans="1:4" x14ac:dyDescent="0.2">
      <c r="A908" s="18" t="s">
        <v>2216</v>
      </c>
      <c r="B908" t="s">
        <v>1295</v>
      </c>
      <c r="C908" t="s">
        <v>1295</v>
      </c>
      <c r="D908" t="s">
        <v>1235</v>
      </c>
    </row>
    <row r="909" spans="1:4" x14ac:dyDescent="0.2">
      <c r="A909" s="18" t="s">
        <v>2217</v>
      </c>
      <c r="B909" t="s">
        <v>1296</v>
      </c>
      <c r="C909" t="s">
        <v>1295</v>
      </c>
      <c r="D909" t="s">
        <v>1235</v>
      </c>
    </row>
    <row r="910" spans="1:4" x14ac:dyDescent="0.2">
      <c r="A910" s="18" t="s">
        <v>2218</v>
      </c>
      <c r="B910" t="s">
        <v>1297</v>
      </c>
      <c r="C910" t="s">
        <v>1297</v>
      </c>
      <c r="D910" t="s">
        <v>1235</v>
      </c>
    </row>
    <row r="911" spans="1:4" x14ac:dyDescent="0.2">
      <c r="A911" s="18" t="s">
        <v>2219</v>
      </c>
      <c r="B911" t="s">
        <v>1298</v>
      </c>
      <c r="C911" t="s">
        <v>1297</v>
      </c>
      <c r="D911" t="s">
        <v>1235</v>
      </c>
    </row>
    <row r="912" spans="1:4" x14ac:dyDescent="0.2">
      <c r="A912" s="18" t="s">
        <v>2220</v>
      </c>
      <c r="B912" t="s">
        <v>1299</v>
      </c>
      <c r="C912" t="s">
        <v>1299</v>
      </c>
      <c r="D912" t="s">
        <v>1235</v>
      </c>
    </row>
    <row r="913" spans="1:4" x14ac:dyDescent="0.2">
      <c r="A913" s="18" t="s">
        <v>2221</v>
      </c>
      <c r="B913" t="s">
        <v>1300</v>
      </c>
      <c r="C913" t="s">
        <v>1299</v>
      </c>
      <c r="D913" t="s">
        <v>1235</v>
      </c>
    </row>
    <row r="914" spans="1:4" x14ac:dyDescent="0.2">
      <c r="A914" s="18" t="s">
        <v>2222</v>
      </c>
      <c r="B914" t="s">
        <v>420</v>
      </c>
      <c r="C914" t="s">
        <v>420</v>
      </c>
      <c r="D914" t="s">
        <v>1235</v>
      </c>
    </row>
    <row r="915" spans="1:4" x14ac:dyDescent="0.2">
      <c r="A915" s="18" t="s">
        <v>2223</v>
      </c>
      <c r="B915" t="s">
        <v>1301</v>
      </c>
      <c r="C915" t="s">
        <v>420</v>
      </c>
      <c r="D915" t="s">
        <v>1235</v>
      </c>
    </row>
    <row r="916" spans="1:4" x14ac:dyDescent="0.2">
      <c r="A916" s="18" t="s">
        <v>2224</v>
      </c>
      <c r="B916" t="s">
        <v>1302</v>
      </c>
      <c r="C916" t="s">
        <v>1302</v>
      </c>
      <c r="D916" t="s">
        <v>1235</v>
      </c>
    </row>
    <row r="917" spans="1:4" x14ac:dyDescent="0.2">
      <c r="A917" s="18" t="s">
        <v>2225</v>
      </c>
      <c r="B917" t="s">
        <v>1303</v>
      </c>
      <c r="C917" t="s">
        <v>1302</v>
      </c>
      <c r="D917" t="s">
        <v>1235</v>
      </c>
    </row>
    <row r="918" spans="1:4" x14ac:dyDescent="0.2">
      <c r="A918" s="18" t="s">
        <v>2226</v>
      </c>
      <c r="B918" t="s">
        <v>1304</v>
      </c>
      <c r="C918" t="s">
        <v>1305</v>
      </c>
      <c r="D918" t="s">
        <v>1235</v>
      </c>
    </row>
    <row r="919" spans="1:4" x14ac:dyDescent="0.2">
      <c r="A919" s="18" t="s">
        <v>2227</v>
      </c>
      <c r="B919" t="s">
        <v>1305</v>
      </c>
      <c r="C919" t="s">
        <v>1305</v>
      </c>
      <c r="D919" t="s">
        <v>1235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5</vt:i4>
      </vt:variant>
    </vt:vector>
  </HeadingPairs>
  <TitlesOfParts>
    <vt:vector size="12" baseType="lpstr">
      <vt:lpstr>第1周</vt:lpstr>
      <vt:lpstr>第2周</vt:lpstr>
      <vt:lpstr>第3周</vt:lpstr>
      <vt:lpstr>第4周</vt:lpstr>
      <vt:lpstr>数据透视</vt:lpstr>
      <vt:lpstr>月销售合计</vt:lpstr>
      <vt:lpstr>品种目录</vt:lpstr>
      <vt:lpstr>第1周</vt:lpstr>
      <vt:lpstr>第2周</vt:lpstr>
      <vt:lpstr>第3周</vt:lpstr>
      <vt:lpstr>第4周</vt:lpstr>
      <vt:lpstr>品种目录!蔬菜主要品种目录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2021-04-10T07:55:03Z</dcterms:modified>
</cp:coreProperties>
</file>