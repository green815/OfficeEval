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OfficeEval\redacted\\redacted"/>
    </mc:Choice>
  </mc:AlternateContent>
  <bookViews>
    <workbookView xWindow="-120" yWindow="-120" windowWidth="20730" windowHeight="11160" tabRatio="646" activeTab="2"/>
  </bookViews>
  <sheets>
    <sheet name="第一学期期末成绩" sheetId="7" r:id="rId1"/>
    <sheet name="分类汇总" sheetId="9" r:id="rId2"/>
    <sheet name="柱状分析图" sheetId="10" r:id="rId3"/>
  </sheets>
  <definedNames>
    <definedName name="a" localSheetId="1">#REF!</definedName>
    <definedName name="a">#REF!</definedName>
    <definedName name="_xlnm.Criteria" localSheetId="1">#REF!</definedName>
    <definedName name="_xlnm.Criteria">#REF!</definedName>
    <definedName name="_xlnm.Database" localSheetId="0">第一学期期末成绩!$B$1:$O$121</definedName>
    <definedName name="_xlnm.Database" localSheetId="1">分类汇总!$B$1:$M$126</definedName>
    <definedName name="_xlnm.Database">#REF!</definedName>
    <definedName name="Extract" localSheetId="1">#REF!</definedName>
    <definedName name="Extract">#REF!</definedName>
    <definedName name="班级对应表" localSheetId="1">#REF!</definedName>
    <definedName name="班级对应表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6" i="9" l="1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95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64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33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2" i="9"/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2" i="7"/>
  <c r="K125" i="9" l="1"/>
  <c r="J125" i="9"/>
  <c r="I125" i="9"/>
  <c r="H125" i="9"/>
  <c r="G125" i="9"/>
  <c r="F125" i="9"/>
  <c r="E125" i="9"/>
  <c r="K94" i="9"/>
  <c r="J94" i="9"/>
  <c r="I94" i="9"/>
  <c r="H94" i="9"/>
  <c r="G94" i="9"/>
  <c r="F94" i="9"/>
  <c r="E94" i="9"/>
  <c r="K63" i="9"/>
  <c r="J63" i="9"/>
  <c r="I63" i="9"/>
  <c r="H63" i="9"/>
  <c r="G63" i="9"/>
  <c r="F63" i="9"/>
  <c r="E63" i="9"/>
  <c r="K32" i="9"/>
  <c r="J32" i="9"/>
  <c r="I32" i="9"/>
  <c r="H32" i="9"/>
  <c r="G32" i="9"/>
  <c r="F32" i="9"/>
  <c r="E32" i="9"/>
  <c r="H126" i="9" l="1"/>
  <c r="E126" i="9"/>
  <c r="I126" i="9"/>
  <c r="F126" i="9"/>
  <c r="J126" i="9"/>
  <c r="G126" i="9"/>
  <c r="K126" i="9"/>
  <c r="N3" i="7"/>
  <c r="O3" i="7"/>
  <c r="N4" i="7"/>
  <c r="O4" i="7"/>
  <c r="N5" i="7"/>
  <c r="O5" i="7"/>
  <c r="N6" i="7"/>
  <c r="O6" i="7"/>
  <c r="N7" i="7"/>
  <c r="O7" i="7"/>
  <c r="N8" i="7"/>
  <c r="O8" i="7"/>
  <c r="N9" i="7"/>
  <c r="O9" i="7"/>
  <c r="N10" i="7"/>
  <c r="O10" i="7"/>
  <c r="N11" i="7"/>
  <c r="O11" i="7"/>
  <c r="N12" i="7"/>
  <c r="O12" i="7"/>
  <c r="N13" i="7"/>
  <c r="O13" i="7"/>
  <c r="N14" i="7"/>
  <c r="O14" i="7"/>
  <c r="N15" i="7"/>
  <c r="O15" i="7"/>
  <c r="N16" i="7"/>
  <c r="O16" i="7"/>
  <c r="N17" i="7"/>
  <c r="O17" i="7"/>
  <c r="N18" i="7"/>
  <c r="O18" i="7"/>
  <c r="N19" i="7"/>
  <c r="O19" i="7"/>
  <c r="N20" i="7"/>
  <c r="O20" i="7"/>
  <c r="N21" i="7"/>
  <c r="O21" i="7"/>
  <c r="N22" i="7"/>
  <c r="O22" i="7"/>
  <c r="N23" i="7"/>
  <c r="O23" i="7"/>
  <c r="N24" i="7"/>
  <c r="O24" i="7"/>
  <c r="N25" i="7"/>
  <c r="O25" i="7"/>
  <c r="N26" i="7"/>
  <c r="O26" i="7"/>
  <c r="N27" i="7"/>
  <c r="O27" i="7"/>
  <c r="N28" i="7"/>
  <c r="O28" i="7"/>
  <c r="N29" i="7"/>
  <c r="O29" i="7"/>
  <c r="N30" i="7"/>
  <c r="O30" i="7"/>
  <c r="N31" i="7"/>
  <c r="O31" i="7"/>
  <c r="N32" i="7"/>
  <c r="O32" i="7"/>
  <c r="N33" i="7"/>
  <c r="O33" i="7"/>
  <c r="N34" i="7"/>
  <c r="O34" i="7"/>
  <c r="N35" i="7"/>
  <c r="O35" i="7"/>
  <c r="N36" i="7"/>
  <c r="O36" i="7"/>
  <c r="N37" i="7"/>
  <c r="O37" i="7"/>
  <c r="N38" i="7"/>
  <c r="O38" i="7"/>
  <c r="N39" i="7"/>
  <c r="O39" i="7"/>
  <c r="N40" i="7"/>
  <c r="O40" i="7"/>
  <c r="N41" i="7"/>
  <c r="O41" i="7"/>
  <c r="N42" i="7"/>
  <c r="O42" i="7"/>
  <c r="N43" i="7"/>
  <c r="O43" i="7"/>
  <c r="N44" i="7"/>
  <c r="O44" i="7"/>
  <c r="N45" i="7"/>
  <c r="O45" i="7"/>
  <c r="N46" i="7"/>
  <c r="O46" i="7"/>
  <c r="N47" i="7"/>
  <c r="O47" i="7"/>
  <c r="N48" i="7"/>
  <c r="O48" i="7"/>
  <c r="N49" i="7"/>
  <c r="O49" i="7"/>
  <c r="N50" i="7"/>
  <c r="O50" i="7"/>
  <c r="N51" i="7"/>
  <c r="O51" i="7"/>
  <c r="N52" i="7"/>
  <c r="O52" i="7"/>
  <c r="N53" i="7"/>
  <c r="O53" i="7"/>
  <c r="N54" i="7"/>
  <c r="O54" i="7"/>
  <c r="N55" i="7"/>
  <c r="O55" i="7"/>
  <c r="N56" i="7"/>
  <c r="O56" i="7"/>
  <c r="N57" i="7"/>
  <c r="O57" i="7"/>
  <c r="N58" i="7"/>
  <c r="O58" i="7"/>
  <c r="N59" i="7"/>
  <c r="O59" i="7"/>
  <c r="N60" i="7"/>
  <c r="O60" i="7"/>
  <c r="N61" i="7"/>
  <c r="O61" i="7"/>
  <c r="N62" i="7"/>
  <c r="O62" i="7"/>
  <c r="N63" i="7"/>
  <c r="O63" i="7"/>
  <c r="N64" i="7"/>
  <c r="O64" i="7"/>
  <c r="N65" i="7"/>
  <c r="O65" i="7"/>
  <c r="N66" i="7"/>
  <c r="O66" i="7"/>
  <c r="N67" i="7"/>
  <c r="O67" i="7"/>
  <c r="N68" i="7"/>
  <c r="O68" i="7"/>
  <c r="N69" i="7"/>
  <c r="O69" i="7"/>
  <c r="N70" i="7"/>
  <c r="O70" i="7"/>
  <c r="N71" i="7"/>
  <c r="O71" i="7"/>
  <c r="N72" i="7"/>
  <c r="O72" i="7"/>
  <c r="N73" i="7"/>
  <c r="O73" i="7"/>
  <c r="N74" i="7"/>
  <c r="O74" i="7"/>
  <c r="N75" i="7"/>
  <c r="O75" i="7"/>
  <c r="N76" i="7"/>
  <c r="O76" i="7"/>
  <c r="N77" i="7"/>
  <c r="O77" i="7"/>
  <c r="N78" i="7"/>
  <c r="O78" i="7"/>
  <c r="N79" i="7"/>
  <c r="O79" i="7"/>
  <c r="N80" i="7"/>
  <c r="O80" i="7"/>
  <c r="N81" i="7"/>
  <c r="O81" i="7"/>
  <c r="N82" i="7"/>
  <c r="O82" i="7"/>
  <c r="N83" i="7"/>
  <c r="O83" i="7"/>
  <c r="N84" i="7"/>
  <c r="O84" i="7"/>
  <c r="N85" i="7"/>
  <c r="O85" i="7"/>
  <c r="N86" i="7"/>
  <c r="O86" i="7"/>
  <c r="N87" i="7"/>
  <c r="O87" i="7"/>
  <c r="N88" i="7"/>
  <c r="O88" i="7"/>
  <c r="N89" i="7"/>
  <c r="O89" i="7"/>
  <c r="N90" i="7"/>
  <c r="O90" i="7"/>
  <c r="N91" i="7"/>
  <c r="O91" i="7"/>
  <c r="N92" i="7"/>
  <c r="O92" i="7"/>
  <c r="N93" i="7"/>
  <c r="O93" i="7"/>
  <c r="N94" i="7"/>
  <c r="O94" i="7"/>
  <c r="N95" i="7"/>
  <c r="O95" i="7"/>
  <c r="N96" i="7"/>
  <c r="O96" i="7"/>
  <c r="N97" i="7"/>
  <c r="O97" i="7"/>
  <c r="N98" i="7"/>
  <c r="O98" i="7"/>
  <c r="N99" i="7"/>
  <c r="O99" i="7"/>
  <c r="N100" i="7"/>
  <c r="O100" i="7"/>
  <c r="N101" i="7"/>
  <c r="O101" i="7"/>
  <c r="N102" i="7"/>
  <c r="O102" i="7"/>
  <c r="N103" i="7"/>
  <c r="O103" i="7"/>
  <c r="N104" i="7"/>
  <c r="O104" i="7"/>
  <c r="N105" i="7"/>
  <c r="O105" i="7"/>
  <c r="N106" i="7"/>
  <c r="O106" i="7"/>
  <c r="N107" i="7"/>
  <c r="O107" i="7"/>
  <c r="N108" i="7"/>
  <c r="O108" i="7"/>
  <c r="N109" i="7"/>
  <c r="O109" i="7"/>
  <c r="N110" i="7"/>
  <c r="O110" i="7"/>
  <c r="N111" i="7"/>
  <c r="O111" i="7"/>
  <c r="N112" i="7"/>
  <c r="O112" i="7"/>
  <c r="N113" i="7"/>
  <c r="O113" i="7"/>
  <c r="N114" i="7"/>
  <c r="O114" i="7"/>
  <c r="N115" i="7"/>
  <c r="O115" i="7"/>
  <c r="N116" i="7"/>
  <c r="O116" i="7"/>
  <c r="N117" i="7"/>
  <c r="O117" i="7"/>
  <c r="N118" i="7"/>
  <c r="O118" i="7"/>
  <c r="N119" i="7"/>
  <c r="O119" i="7"/>
  <c r="N120" i="7"/>
  <c r="O120" i="7"/>
  <c r="N121" i="7"/>
  <c r="O121" i="7"/>
  <c r="O2" i="7"/>
  <c r="N2" i="7"/>
  <c r="M124" i="9" l="1"/>
  <c r="L124" i="9"/>
  <c r="M93" i="9"/>
  <c r="L93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31" i="9"/>
  <c r="L31" i="9"/>
  <c r="M117" i="9"/>
  <c r="L117" i="9"/>
  <c r="M116" i="9"/>
  <c r="L116" i="9"/>
  <c r="M30" i="9"/>
  <c r="L30" i="9"/>
  <c r="M115" i="9"/>
  <c r="L115" i="9"/>
  <c r="M62" i="9"/>
  <c r="L62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61" i="9"/>
  <c r="L61" i="9"/>
  <c r="M60" i="9"/>
  <c r="L60" i="9"/>
  <c r="M59" i="9"/>
  <c r="L59" i="9"/>
  <c r="M29" i="9"/>
  <c r="L29" i="9"/>
  <c r="M107" i="9"/>
  <c r="L107" i="9"/>
  <c r="M28" i="9"/>
  <c r="L28" i="9"/>
  <c r="M106" i="9"/>
  <c r="L106" i="9"/>
  <c r="M27" i="9"/>
  <c r="L27" i="9"/>
  <c r="M26" i="9"/>
  <c r="L26" i="9"/>
  <c r="M58" i="9"/>
  <c r="L58" i="9"/>
  <c r="M92" i="9"/>
  <c r="L92" i="9"/>
  <c r="M91" i="9"/>
  <c r="L91" i="9"/>
  <c r="M25" i="9"/>
  <c r="L25" i="9"/>
  <c r="M57" i="9"/>
  <c r="L57" i="9"/>
  <c r="M90" i="9"/>
  <c r="L90" i="9"/>
  <c r="M105" i="9"/>
  <c r="L105" i="9"/>
  <c r="M89" i="9"/>
  <c r="L89" i="9"/>
  <c r="M24" i="9"/>
  <c r="L24" i="9"/>
  <c r="M88" i="9"/>
  <c r="L88" i="9"/>
  <c r="M87" i="9"/>
  <c r="L87" i="9"/>
  <c r="M86" i="9"/>
  <c r="L86" i="9"/>
  <c r="M56" i="9"/>
  <c r="L56" i="9"/>
  <c r="M55" i="9"/>
  <c r="L55" i="9"/>
  <c r="M85" i="9"/>
  <c r="L85" i="9"/>
  <c r="M23" i="9"/>
  <c r="L23" i="9"/>
  <c r="M54" i="9"/>
  <c r="L54" i="9"/>
  <c r="M84" i="9"/>
  <c r="L84" i="9"/>
  <c r="M53" i="9"/>
  <c r="L53" i="9"/>
  <c r="M83" i="9"/>
  <c r="L83" i="9"/>
  <c r="M52" i="9"/>
  <c r="L52" i="9"/>
  <c r="M82" i="9"/>
  <c r="L82" i="9"/>
  <c r="M51" i="9"/>
  <c r="L51" i="9"/>
  <c r="M81" i="9"/>
  <c r="L81" i="9"/>
  <c r="M50" i="9"/>
  <c r="L50" i="9"/>
  <c r="M49" i="9"/>
  <c r="L49" i="9"/>
  <c r="M48" i="9"/>
  <c r="L48" i="9"/>
  <c r="M22" i="9"/>
  <c r="L22" i="9"/>
  <c r="M21" i="9"/>
  <c r="L21" i="9"/>
  <c r="M20" i="9"/>
  <c r="L20" i="9"/>
  <c r="M104" i="9"/>
  <c r="L104" i="9"/>
  <c r="M47" i="9"/>
  <c r="L47" i="9"/>
  <c r="M80" i="9"/>
  <c r="L80" i="9"/>
  <c r="M79" i="9"/>
  <c r="L79" i="9"/>
  <c r="M78" i="9"/>
  <c r="L78" i="9"/>
  <c r="M77" i="9"/>
  <c r="L77" i="9"/>
  <c r="M103" i="9"/>
  <c r="L103" i="9"/>
  <c r="M19" i="9"/>
  <c r="L19" i="9"/>
  <c r="M18" i="9"/>
  <c r="L18" i="9"/>
  <c r="M17" i="9"/>
  <c r="L17" i="9"/>
  <c r="M76" i="9"/>
  <c r="L76" i="9"/>
  <c r="M46" i="9"/>
  <c r="L46" i="9"/>
  <c r="M45" i="9"/>
  <c r="L45" i="9"/>
  <c r="M16" i="9"/>
  <c r="L16" i="9"/>
  <c r="M15" i="9"/>
  <c r="L15" i="9"/>
  <c r="M44" i="9"/>
  <c r="L44" i="9"/>
  <c r="M102" i="9"/>
  <c r="L102" i="9"/>
  <c r="M43" i="9"/>
  <c r="L43" i="9"/>
  <c r="M42" i="9"/>
  <c r="L42" i="9"/>
  <c r="M41" i="9"/>
  <c r="L41" i="9"/>
  <c r="M75" i="9"/>
  <c r="L75" i="9"/>
  <c r="M101" i="9"/>
  <c r="L101" i="9"/>
  <c r="M40" i="9"/>
  <c r="L40" i="9"/>
  <c r="M14" i="9"/>
  <c r="L14" i="9"/>
  <c r="M74" i="9"/>
  <c r="L74" i="9"/>
  <c r="M39" i="9"/>
  <c r="L39" i="9"/>
  <c r="M100" i="9"/>
  <c r="L100" i="9"/>
  <c r="M38" i="9"/>
  <c r="L38" i="9"/>
  <c r="M13" i="9"/>
  <c r="L13" i="9"/>
  <c r="M73" i="9"/>
  <c r="L73" i="9"/>
  <c r="M12" i="9"/>
  <c r="L12" i="9"/>
  <c r="M37" i="9"/>
  <c r="L37" i="9"/>
  <c r="M11" i="9"/>
  <c r="L11" i="9"/>
  <c r="M10" i="9"/>
  <c r="L10" i="9"/>
  <c r="M72" i="9"/>
  <c r="L72" i="9"/>
  <c r="M71" i="9"/>
  <c r="L71" i="9"/>
  <c r="M70" i="9"/>
  <c r="L70" i="9"/>
  <c r="M36" i="9"/>
  <c r="L36" i="9"/>
  <c r="M99" i="9"/>
  <c r="L99" i="9"/>
  <c r="M9" i="9"/>
  <c r="L9" i="9"/>
  <c r="M8" i="9"/>
  <c r="L8" i="9"/>
  <c r="M7" i="9"/>
  <c r="L7" i="9"/>
  <c r="M98" i="9"/>
  <c r="L98" i="9"/>
  <c r="M97" i="9"/>
  <c r="L97" i="9"/>
  <c r="M69" i="9"/>
  <c r="L69" i="9"/>
  <c r="M96" i="9"/>
  <c r="L96" i="9"/>
  <c r="M35" i="9"/>
  <c r="L35" i="9"/>
  <c r="M6" i="9"/>
  <c r="L6" i="9"/>
  <c r="M5" i="9"/>
  <c r="L5" i="9"/>
  <c r="M95" i="9"/>
  <c r="L95" i="9"/>
  <c r="M68" i="9"/>
  <c r="L68" i="9"/>
  <c r="M4" i="9"/>
  <c r="L4" i="9"/>
  <c r="M67" i="9"/>
  <c r="L67" i="9"/>
  <c r="M34" i="9"/>
  <c r="L34" i="9"/>
  <c r="M66" i="9"/>
  <c r="L66" i="9"/>
  <c r="M3" i="9"/>
  <c r="L3" i="9"/>
  <c r="M2" i="9"/>
  <c r="L2" i="9"/>
  <c r="M65" i="9"/>
  <c r="L65" i="9"/>
  <c r="M33" i="9"/>
  <c r="L33" i="9"/>
  <c r="M64" i="9"/>
  <c r="L64" i="9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2" i="7"/>
</calcChain>
</file>

<file path=xl/sharedStrings.xml><?xml version="1.0" encoding="utf-8"?>
<sst xmlns="http://schemas.openxmlformats.org/spreadsheetml/2006/main" count="273" uniqueCount="139">
  <si>
    <t>学号</t>
  </si>
  <si>
    <t>姓名</t>
  </si>
  <si>
    <t>语文</t>
  </si>
  <si>
    <t>数学</t>
  </si>
  <si>
    <t>英语</t>
  </si>
  <si>
    <t>物理</t>
  </si>
  <si>
    <t>化学</t>
  </si>
  <si>
    <t>地理</t>
  </si>
  <si>
    <t>历史</t>
  </si>
  <si>
    <t>申志凡</t>
  </si>
  <si>
    <t>冯默风</t>
  </si>
  <si>
    <t>石双英</t>
  </si>
  <si>
    <t>史伯威</t>
  </si>
  <si>
    <t>王家骏</t>
  </si>
  <si>
    <t>朱元璋</t>
  </si>
  <si>
    <t>叶长青</t>
  </si>
  <si>
    <t>米横野</t>
  </si>
  <si>
    <t>冯辉</t>
  </si>
  <si>
    <t>尼摩星</t>
  </si>
  <si>
    <t>吕正平</t>
  </si>
  <si>
    <t>白龟寿</t>
  </si>
  <si>
    <t>史仲猛</t>
  </si>
  <si>
    <t>孙三观</t>
  </si>
  <si>
    <t>吴冲虚</t>
  </si>
  <si>
    <t>杨景亭</t>
  </si>
  <si>
    <t>张三泮</t>
  </si>
  <si>
    <t>朱安国</t>
  </si>
  <si>
    <t>李万山</t>
  </si>
  <si>
    <t>方有德</t>
  </si>
  <si>
    <t>凌霜华</t>
  </si>
  <si>
    <t>贝人龙</t>
  </si>
  <si>
    <t>倪天虹</t>
  </si>
  <si>
    <t>沙通天</t>
  </si>
  <si>
    <t>司徒横</t>
  </si>
  <si>
    <t>石中玉</t>
  </si>
  <si>
    <t>皮清云</t>
  </si>
  <si>
    <t>王保保</t>
  </si>
  <si>
    <t>方东白</t>
  </si>
  <si>
    <t>石清</t>
  </si>
  <si>
    <t>刘芳亮</t>
  </si>
  <si>
    <t>全金发</t>
  </si>
  <si>
    <t>汤祖德</t>
  </si>
  <si>
    <t>王琪</t>
  </si>
  <si>
    <t>陈玄风</t>
  </si>
  <si>
    <t>王进宝</t>
  </si>
  <si>
    <t>陆乘风</t>
  </si>
  <si>
    <t>尹克西</t>
  </si>
  <si>
    <t>司空玄</t>
  </si>
  <si>
    <t>杨康</t>
  </si>
  <si>
    <t>史季强</t>
  </si>
  <si>
    <t>邝天雄</t>
  </si>
  <si>
    <t>朱聪</t>
  </si>
  <si>
    <t>关明梅</t>
  </si>
  <si>
    <t>史松</t>
  </si>
  <si>
    <t>陆冠英</t>
  </si>
  <si>
    <t>冯难敌</t>
  </si>
  <si>
    <t>宁中则</t>
  </si>
  <si>
    <t>乐厚</t>
  </si>
  <si>
    <t>安小慧</t>
  </si>
  <si>
    <t>令狐冲</t>
  </si>
  <si>
    <t>齐云</t>
  </si>
  <si>
    <t>龙骏</t>
  </si>
  <si>
    <t>白振</t>
  </si>
  <si>
    <t>史小翠</t>
  </si>
  <si>
    <t>巴郎星</t>
  </si>
  <si>
    <t>王武通</t>
  </si>
  <si>
    <t>白熊</t>
  </si>
  <si>
    <t>孙老三</t>
  </si>
  <si>
    <t>史孟龙</t>
  </si>
  <si>
    <t>李莫愁</t>
  </si>
  <si>
    <t>兆惠</t>
  </si>
  <si>
    <t>李可秀</t>
  </si>
  <si>
    <t>成璜</t>
  </si>
  <si>
    <t>达尔巴</t>
  </si>
  <si>
    <t>刘处玄</t>
  </si>
  <si>
    <t>孙克通</t>
  </si>
  <si>
    <t>齐自勉</t>
  </si>
  <si>
    <t>安健刚</t>
  </si>
  <si>
    <t>成自学</t>
  </si>
  <si>
    <t>西门雪</t>
  </si>
  <si>
    <t>鲁坤</t>
  </si>
  <si>
    <t>于小谦</t>
  </si>
  <si>
    <t>平威</t>
  </si>
  <si>
    <t>汤和</t>
  </si>
  <si>
    <t>司徒千钟</t>
  </si>
  <si>
    <t>史红石</t>
  </si>
  <si>
    <t>王维扬</t>
  </si>
  <si>
    <t>安奉天</t>
  </si>
  <si>
    <t>刘培生</t>
  </si>
  <si>
    <t>东方启明</t>
  </si>
  <si>
    <t>平旺先</t>
  </si>
  <si>
    <t>安剑清</t>
  </si>
  <si>
    <t>贝锦仪</t>
  </si>
  <si>
    <t>陈明禹</t>
  </si>
  <si>
    <t>古若般</t>
  </si>
  <si>
    <t>殷仲翔</t>
  </si>
  <si>
    <t>福康安</t>
  </si>
  <si>
    <t>赵子昂</t>
  </si>
  <si>
    <t>孙刚峰</t>
  </si>
  <si>
    <t>吕小妹</t>
  </si>
  <si>
    <t>钟四娘</t>
  </si>
  <si>
    <t>易吉</t>
  </si>
  <si>
    <t>钟阿四</t>
  </si>
  <si>
    <t>凤南天</t>
  </si>
  <si>
    <t>戚芳</t>
  </si>
  <si>
    <t>尹章垓</t>
  </si>
  <si>
    <t>沈平平</t>
  </si>
  <si>
    <t>桃红</t>
  </si>
  <si>
    <t>耿天霜</t>
  </si>
  <si>
    <t>高令书</t>
  </si>
  <si>
    <t>梅侍画</t>
  </si>
  <si>
    <t>侯建平</t>
  </si>
  <si>
    <t>凌退思</t>
  </si>
  <si>
    <t>戚长发</t>
  </si>
  <si>
    <t>菊青</t>
  </si>
  <si>
    <t>梅念笙</t>
  </si>
  <si>
    <t>史叔刚</t>
  </si>
  <si>
    <t>冯兰剑</t>
  </si>
  <si>
    <t>古笃诚</t>
  </si>
  <si>
    <t>过彦之</t>
  </si>
  <si>
    <t>石清露</t>
  </si>
  <si>
    <t>吴青烈</t>
  </si>
  <si>
    <t>白寒松</t>
  </si>
  <si>
    <t>总分</t>
  </si>
  <si>
    <t>曲非烟</t>
  </si>
  <si>
    <t>华伯基</t>
  </si>
  <si>
    <t>赤温和</t>
  </si>
  <si>
    <t>刘双儿</t>
  </si>
  <si>
    <t>莫大名</t>
  </si>
  <si>
    <t>班级</t>
    <phoneticPr fontId="1" type="noConversion"/>
  </si>
  <si>
    <t>年级排名(普通）</t>
    <phoneticPr fontId="1" type="noConversion"/>
  </si>
  <si>
    <t>年级排名(中式)</t>
    <phoneticPr fontId="1" type="noConversion"/>
  </si>
  <si>
    <t>平均分</t>
    <phoneticPr fontId="1" type="noConversion"/>
  </si>
  <si>
    <t>序号</t>
    <phoneticPr fontId="1" type="noConversion"/>
  </si>
  <si>
    <t>1班 平均分</t>
    <phoneticPr fontId="1" type="noConversion"/>
  </si>
  <si>
    <t>2班 平均分</t>
    <phoneticPr fontId="1" type="noConversion"/>
  </si>
  <si>
    <t>3班 平均分</t>
    <phoneticPr fontId="1" type="noConversion"/>
  </si>
  <si>
    <t>4班 平均分</t>
    <phoneticPr fontId="1" type="noConversion"/>
  </si>
  <si>
    <t>年级平均分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</si>
</sst>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00"/>
    <numFmt numFmtId="177" formatCode="0.0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5"/>
      <color theme="3"/>
      <name val="宋体"/>
      <family val="2"/>
      <charset val="134"/>
    </font>
    <font>
      <sz val="11"/>
      <color theme="1"/>
      <name val="宋体"/>
      <family val="2"/>
      <charset val="134"/>
    </font>
    <font>
      <sz val="12"/>
      <color theme="1"/>
      <name val="黑体"/>
      <family val="3"/>
      <charset val="134"/>
    </font>
    <font>
      <b/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3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</cellXfs>
  <cellStyles count="3">
    <cellStyle name="标题 1 2" xfId="1"/>
    <cellStyle name="常规" xfId="0" builtinId="0"/>
    <cellStyle name="常规 2" xfId="2"/>
  </cellStyles>
  <dxfs count="6">
    <dxf>
      <font>
        <color rgb="FF9C0006"/>
      </font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ont>
        <color rgb="FF9C0006"/>
      </font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20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000">
                <a:solidFill>
                  <a:schemeClr val="bg1"/>
                </a:solidFill>
              </a:rPr>
              <a:t>各班各科平均成绩比较</a:t>
            </a:r>
          </a:p>
        </c:rich>
      </c:tx>
      <c:layout>
        <c:manualLayout>
          <c:xMode val="edge"/>
          <c:yMode val="edge"/>
          <c:x val="0.62827412988876929"/>
          <c:y val="2.1428571428571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20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分类汇总!$D$32</c:f>
              <c:strCache>
                <c:ptCount val="1"/>
                <c:pt idx="0">
                  <c:v>1班 平均分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分类汇总!$E$1:$K$1</c:f>
              <c:strCache>
                <c:ptCount val="7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  <c:pt idx="3">
                  <c:v>物理</c:v>
                </c:pt>
                <c:pt idx="4">
                  <c:v>化学</c:v>
                </c:pt>
                <c:pt idx="5">
                  <c:v>地理</c:v>
                </c:pt>
                <c:pt idx="6">
                  <c:v>历史</c:v>
                </c:pt>
              </c:strCache>
            </c:strRef>
          </c:cat>
          <c:val>
            <c:numRef>
              <c:f>分类汇总!$E$32:$K$32</c:f>
              <c:numCache>
                <c:formatCode>0.00_ </c:formatCode>
                <c:ptCount val="7"/>
                <c:pt idx="0">
                  <c:v>94.65</c:v>
                </c:pt>
                <c:pt idx="1">
                  <c:v>91.933333333333337</c:v>
                </c:pt>
                <c:pt idx="2">
                  <c:v>92.566666666666663</c:v>
                </c:pt>
                <c:pt idx="3">
                  <c:v>82.5</c:v>
                </c:pt>
                <c:pt idx="4">
                  <c:v>81.233333333333334</c:v>
                </c:pt>
                <c:pt idx="5">
                  <c:v>78.933333333333337</c:v>
                </c:pt>
                <c:pt idx="6">
                  <c:v>80.833333333333329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5-4142-B451-E0A4E6E832B6}"/>
            </c:ext>
          </c:extLst>
        </c:ser>
        <c:ser>
          <c:idx val="1"/>
          <c:order val="1"/>
          <c:tx>
            <c:strRef>
              <c:f>分类汇总!$D$63</c:f>
              <c:strCache>
                <c:ptCount val="1"/>
                <c:pt idx="0">
                  <c:v>2班 平均分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分类汇总!$E$1:$K$1</c:f>
              <c:strCache>
                <c:ptCount val="7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  <c:pt idx="3">
                  <c:v>物理</c:v>
                </c:pt>
                <c:pt idx="4">
                  <c:v>化学</c:v>
                </c:pt>
                <c:pt idx="5">
                  <c:v>地理</c:v>
                </c:pt>
                <c:pt idx="6">
                  <c:v>历史</c:v>
                </c:pt>
              </c:strCache>
            </c:strRef>
          </c:cat>
          <c:val>
            <c:numRef>
              <c:f>分类汇总!$E$63:$K$63</c:f>
              <c:numCache>
                <c:formatCode>0.00_ </c:formatCode>
                <c:ptCount val="7"/>
                <c:pt idx="0">
                  <c:v>90.766666666666666</c:v>
                </c:pt>
                <c:pt idx="1">
                  <c:v>98.733333333333334</c:v>
                </c:pt>
                <c:pt idx="2">
                  <c:v>92.683333333333337</c:v>
                </c:pt>
                <c:pt idx="3">
                  <c:v>80.05</c:v>
                </c:pt>
                <c:pt idx="4">
                  <c:v>86</c:v>
                </c:pt>
                <c:pt idx="5">
                  <c:v>85.266666666666666</c:v>
                </c:pt>
                <c:pt idx="6">
                  <c:v>83.566666666666663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5-4142-B451-E0A4E6E832B6}"/>
            </c:ext>
          </c:extLst>
        </c:ser>
        <c:ser>
          <c:idx val="2"/>
          <c:order val="2"/>
          <c:tx>
            <c:strRef>
              <c:f>分类汇总!$D$94</c:f>
              <c:strCache>
                <c:ptCount val="1"/>
                <c:pt idx="0">
                  <c:v>3班 平均分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分类汇总!$E$1:$K$1</c:f>
              <c:strCache>
                <c:ptCount val="7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  <c:pt idx="3">
                  <c:v>物理</c:v>
                </c:pt>
                <c:pt idx="4">
                  <c:v>化学</c:v>
                </c:pt>
                <c:pt idx="5">
                  <c:v>地理</c:v>
                </c:pt>
                <c:pt idx="6">
                  <c:v>历史</c:v>
                </c:pt>
              </c:strCache>
            </c:strRef>
          </c:cat>
          <c:val>
            <c:numRef>
              <c:f>分类汇总!$E$94:$K$94</c:f>
              <c:numCache>
                <c:formatCode>0.00_ </c:formatCode>
                <c:ptCount val="7"/>
                <c:pt idx="0">
                  <c:v>89.583333333333329</c:v>
                </c:pt>
                <c:pt idx="1">
                  <c:v>96.05</c:v>
                </c:pt>
                <c:pt idx="2">
                  <c:v>92.666666666666671</c:v>
                </c:pt>
                <c:pt idx="3">
                  <c:v>83.63333333333334</c:v>
                </c:pt>
                <c:pt idx="4">
                  <c:v>79.36666666666666</c:v>
                </c:pt>
                <c:pt idx="5">
                  <c:v>81.8</c:v>
                </c:pt>
                <c:pt idx="6">
                  <c:v>83.266666666666666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5-4142-B451-E0A4E6E832B6}"/>
            </c:ext>
          </c:extLst>
        </c:ser>
        <c:ser>
          <c:idx val="3"/>
          <c:order val="3"/>
          <c:tx>
            <c:strRef>
              <c:f>分类汇总!$D$125</c:f>
              <c:strCache>
                <c:ptCount val="1"/>
                <c:pt idx="0">
                  <c:v>4班 平均分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分类汇总!$E$1:$K$1</c:f>
              <c:strCache>
                <c:ptCount val="7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  <c:pt idx="3">
                  <c:v>物理</c:v>
                </c:pt>
                <c:pt idx="4">
                  <c:v>化学</c:v>
                </c:pt>
                <c:pt idx="5">
                  <c:v>地理</c:v>
                </c:pt>
                <c:pt idx="6">
                  <c:v>历史</c:v>
                </c:pt>
              </c:strCache>
            </c:strRef>
          </c:cat>
          <c:val>
            <c:numRef>
              <c:f>分类汇总!$E$125:$K$125</c:f>
              <c:numCache>
                <c:formatCode>0.00_ </c:formatCode>
                <c:ptCount val="7"/>
                <c:pt idx="0">
                  <c:v>92.016666666666666</c:v>
                </c:pt>
                <c:pt idx="1">
                  <c:v>96.466666666666669</c:v>
                </c:pt>
                <c:pt idx="2">
                  <c:v>95.13333333333334</c:v>
                </c:pt>
                <c:pt idx="3">
                  <c:v>83.033333333333331</c:v>
                </c:pt>
                <c:pt idx="4">
                  <c:v>85.2</c:v>
                </c:pt>
                <c:pt idx="5">
                  <c:v>83.7</c:v>
                </c:pt>
                <c:pt idx="6">
                  <c:v>79.2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95-4142-B451-E0A4E6E83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4226728"/>
        <c:axId val="484225088"/>
      </c:barChart>
      <c:lineChart>
        <c:grouping val="standard"/>
        <c:varyColors val="0"/>
        <c:ser>
          <c:idx val="4"/>
          <c:order val="4"/>
          <c:tx>
            <c:strRef>
              <c:f>分类汇总!$D$126</c:f>
              <c:strCache>
                <c:ptCount val="1"/>
                <c:pt idx="0">
                  <c:v>年级平均分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分类汇总!$E$1:$K$1</c:f>
              <c:strCache>
                <c:ptCount val="7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  <c:pt idx="3">
                  <c:v>物理</c:v>
                </c:pt>
                <c:pt idx="4">
                  <c:v>化学</c:v>
                </c:pt>
                <c:pt idx="5">
                  <c:v>地理</c:v>
                </c:pt>
                <c:pt idx="6">
                  <c:v>历史</c:v>
                </c:pt>
              </c:strCache>
            </c:strRef>
          </c:cat>
          <c:val>
            <c:numRef>
              <c:f>分类汇总!$E$126:$K$126</c:f>
              <c:numCache>
                <c:formatCode>0.00_ </c:formatCode>
                <c:ptCount val="7"/>
                <c:pt idx="0">
                  <c:v>91.754166666666663</c:v>
                </c:pt>
                <c:pt idx="1">
                  <c:v>95.795833333333334</c:v>
                </c:pt>
                <c:pt idx="2">
                  <c:v>93.262500000000003</c:v>
                </c:pt>
                <c:pt idx="3">
                  <c:v>82.30416666666666</c:v>
                </c:pt>
                <c:pt idx="4">
                  <c:v>82.95</c:v>
                </c:pt>
                <c:pt idx="5">
                  <c:v>82.424999999999997</c:v>
                </c:pt>
                <c:pt idx="6">
                  <c:v>81.716666666666669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95-4142-B451-E0A4E6E83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605144"/>
        <c:axId val="667604816"/>
      </c:lineChart>
      <c:catAx>
        <c:axId val="48422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4225088"/>
        <c:crosses val="autoZero"/>
        <c:auto val="1"/>
        <c:lblAlgn val="ctr"/>
        <c:lblOffset val="100"/>
        <c:noMultiLvlLbl val="0"/>
      </c:catAx>
      <c:valAx>
        <c:axId val="48422508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4226728"/>
        <c:crosses val="autoZero"/>
        <c:crossBetween val="between"/>
      </c:valAx>
      <c:valAx>
        <c:axId val="667604816"/>
        <c:scaling>
          <c:orientation val="minMax"/>
          <c:max val="100"/>
          <c:min val="0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7605144"/>
        <c:crosses val="max"/>
        <c:crossBetween val="between"/>
        <c:majorUnit val="10"/>
      </c:valAx>
      <c:catAx>
        <c:axId val="667605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7604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0</xdr:row>
      <xdr:rowOff>47625</xdr:rowOff>
    </xdr:from>
    <xdr:to>
      <xdr:col>12</xdr:col>
      <xdr:colOff>657224</xdr:colOff>
      <xdr:row>29</xdr:row>
      <xdr:rowOff>133350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workbookViewId="0">
      <selection activeCell="D2" sqref="D2"/>
    </sheetView>
  </sheetViews>
  <sheetFormatPr defaultRowHeight="14.25" x14ac:dyDescent="0.2"/>
  <cols>
    <col min="1" max="1" width="5.375" bestFit="1" customWidth="1"/>
    <col min="2" max="2" width="7.625" style="2" bestFit="1" customWidth="1"/>
    <col min="3" max="3" width="9" style="1" bestFit="1" customWidth="1"/>
    <col min="4" max="4" width="5.25" style="4" bestFit="1" customWidth="1"/>
    <col min="5" max="10" width="8.5" style="3" bestFit="1" customWidth="1"/>
    <col min="11" max="11" width="7.5" style="3" bestFit="1" customWidth="1"/>
    <col min="12" max="13" width="8.5" style="3" bestFit="1" customWidth="1"/>
    <col min="14" max="14" width="15.625" style="4" bestFit="1" customWidth="1"/>
    <col min="15" max="15" width="14.125" style="3" bestFit="1" customWidth="1"/>
  </cols>
  <sheetData>
    <row r="1" spans="1:15" s="1" customFormat="1" ht="15.95" customHeight="1" x14ac:dyDescent="0.2">
      <c r="A1" s="5" t="s">
        <v>133</v>
      </c>
      <c r="B1" s="6" t="s">
        <v>0</v>
      </c>
      <c r="C1" s="5" t="s">
        <v>1</v>
      </c>
      <c r="D1" s="7" t="s">
        <v>129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123</v>
      </c>
      <c r="M1" s="7" t="s">
        <v>132</v>
      </c>
      <c r="N1" s="7" t="s">
        <v>130</v>
      </c>
      <c r="O1" s="7" t="s">
        <v>131</v>
      </c>
    </row>
    <row r="2" spans="1:15" ht="15.95" customHeight="1" x14ac:dyDescent="0.2">
      <c r="A2" s="8">
        <v>1</v>
      </c>
      <c r="B2" s="6">
        <v>150318</v>
      </c>
      <c r="C2" s="5" t="s">
        <v>81</v>
      </c>
      <c r="D2" s="7" t="str">
        <f>MID(B2,4,1)&amp;"班"</f>
        <v>3班</v>
      </c>
      <c r="E2" s="7">
        <v>86</v>
      </c>
      <c r="F2" s="7">
        <v>109</v>
      </c>
      <c r="G2" s="7">
        <v>81</v>
      </c>
      <c r="H2" s="7">
        <v>90</v>
      </c>
      <c r="I2" s="7">
        <v>65</v>
      </c>
      <c r="J2" s="7">
        <v>60</v>
      </c>
      <c r="K2" s="7">
        <v>87</v>
      </c>
      <c r="L2" s="7">
        <f>SUM(E2:K2)</f>
        <v>578</v>
      </c>
      <c r="M2" s="7">
        <f>AVERAGE(E2:K2)</f>
        <v>82.571428571428569</v>
      </c>
      <c r="N2" s="7" t="str">
        <f>"第"&amp;RANK(L2,$L$2:$L$121,0)&amp;"名"</f>
        <v>第83名</v>
      </c>
      <c r="O2" s="7" t="str">
        <f>"第"&amp;SUMPRODUCT(($L$2:$L$121&gt;L2)*
(1/COUNTIF($L$2:$L$121,$L$2:$L$121)))+1&amp;"名"</f>
        <v>第60名</v>
      </c>
    </row>
    <row r="3" spans="1:15" ht="15.95" customHeight="1" x14ac:dyDescent="0.2">
      <c r="A3" s="8">
        <v>2</v>
      </c>
      <c r="B3" s="6">
        <v>150207</v>
      </c>
      <c r="C3" s="5" t="s">
        <v>44</v>
      </c>
      <c r="D3" s="7" t="str">
        <f t="shared" ref="D3:D66" si="0">MID(B3,4,1)&amp;"班"</f>
        <v>2班</v>
      </c>
      <c r="E3" s="7">
        <v>86</v>
      </c>
      <c r="F3" s="7">
        <v>111</v>
      </c>
      <c r="G3" s="7">
        <v>117</v>
      </c>
      <c r="H3" s="7">
        <v>64</v>
      </c>
      <c r="I3" s="7">
        <v>77</v>
      </c>
      <c r="J3" s="7">
        <v>96</v>
      </c>
      <c r="K3" s="7">
        <v>72</v>
      </c>
      <c r="L3" s="7">
        <f t="shared" ref="L3:L66" si="1">SUM(E3:K3)</f>
        <v>623</v>
      </c>
      <c r="M3" s="7">
        <f t="shared" ref="M3:M66" si="2">AVERAGE(E3:K3)</f>
        <v>89</v>
      </c>
      <c r="N3" s="7" t="str">
        <f t="shared" ref="N3:N66" si="3">"第"&amp;RANK(L3,$L$2:$L$121,0)&amp;"名"</f>
        <v>第52名</v>
      </c>
      <c r="O3" s="7" t="str">
        <f t="shared" ref="O3:O66" si="4">"第"&amp;SUMPRODUCT(($L$2:$L$121&gt;L3)*
(1/COUNTIF($L$2:$L$121,$L$2:$L$121)))+1&amp;"名"</f>
        <v>第37名</v>
      </c>
    </row>
    <row r="4" spans="1:15" ht="15.95" customHeight="1" x14ac:dyDescent="0.2">
      <c r="A4" s="8">
        <v>3</v>
      </c>
      <c r="B4" s="6">
        <v>150302</v>
      </c>
      <c r="C4" s="5" t="s">
        <v>65</v>
      </c>
      <c r="D4" s="7" t="str">
        <f t="shared" si="0"/>
        <v>3班</v>
      </c>
      <c r="E4" s="7">
        <v>88</v>
      </c>
      <c r="F4" s="7">
        <v>95</v>
      </c>
      <c r="G4" s="7">
        <v>94</v>
      </c>
      <c r="H4" s="7">
        <v>82</v>
      </c>
      <c r="I4" s="7">
        <v>90</v>
      </c>
      <c r="J4" s="7">
        <v>93</v>
      </c>
      <c r="K4" s="7">
        <v>84</v>
      </c>
      <c r="L4" s="7">
        <f t="shared" si="1"/>
        <v>626</v>
      </c>
      <c r="M4" s="7">
        <f t="shared" si="2"/>
        <v>89.428571428571431</v>
      </c>
      <c r="N4" s="7" t="str">
        <f t="shared" si="3"/>
        <v>第49名</v>
      </c>
      <c r="O4" s="7" t="str">
        <f t="shared" si="4"/>
        <v>第35名</v>
      </c>
    </row>
    <row r="5" spans="1:15" ht="15.95" customHeight="1" x14ac:dyDescent="0.2">
      <c r="A5" s="8">
        <v>4</v>
      </c>
      <c r="B5" s="6">
        <v>150128</v>
      </c>
      <c r="C5" s="5" t="s">
        <v>36</v>
      </c>
      <c r="D5" s="7" t="str">
        <f t="shared" si="0"/>
        <v>1班</v>
      </c>
      <c r="E5" s="7">
        <v>104</v>
      </c>
      <c r="F5" s="7">
        <v>91</v>
      </c>
      <c r="G5" s="7">
        <v>82</v>
      </c>
      <c r="H5" s="7">
        <v>87</v>
      </c>
      <c r="I5" s="7">
        <v>84</v>
      </c>
      <c r="J5" s="7">
        <v>65</v>
      </c>
      <c r="K5" s="7">
        <v>60</v>
      </c>
      <c r="L5" s="7">
        <f t="shared" si="1"/>
        <v>573</v>
      </c>
      <c r="M5" s="7">
        <f t="shared" si="2"/>
        <v>81.857142857142861</v>
      </c>
      <c r="N5" s="7" t="str">
        <f t="shared" si="3"/>
        <v>第87名</v>
      </c>
      <c r="O5" s="7" t="str">
        <f t="shared" si="4"/>
        <v>第63名</v>
      </c>
    </row>
    <row r="6" spans="1:15" ht="15.95" customHeight="1" x14ac:dyDescent="0.2">
      <c r="A6" s="8">
        <v>5</v>
      </c>
      <c r="B6" s="6">
        <v>150105</v>
      </c>
      <c r="C6" s="5" t="s">
        <v>13</v>
      </c>
      <c r="D6" s="7" t="str">
        <f t="shared" si="0"/>
        <v>1班</v>
      </c>
      <c r="E6" s="7">
        <v>91.5</v>
      </c>
      <c r="F6" s="7">
        <v>89</v>
      </c>
      <c r="G6" s="7">
        <v>94</v>
      </c>
      <c r="H6" s="7">
        <v>92</v>
      </c>
      <c r="I6" s="7">
        <v>91</v>
      </c>
      <c r="J6" s="7">
        <v>86</v>
      </c>
      <c r="K6" s="7">
        <v>86</v>
      </c>
      <c r="L6" s="7">
        <f t="shared" si="1"/>
        <v>629.5</v>
      </c>
      <c r="M6" s="7">
        <f t="shared" si="2"/>
        <v>89.928571428571431</v>
      </c>
      <c r="N6" s="7" t="str">
        <f t="shared" si="3"/>
        <v>第43名</v>
      </c>
      <c r="O6" s="7" t="str">
        <f t="shared" si="4"/>
        <v>第31名</v>
      </c>
    </row>
    <row r="7" spans="1:15" ht="15.95" customHeight="1" x14ac:dyDescent="0.2">
      <c r="A7" s="8">
        <v>6</v>
      </c>
      <c r="B7" s="6">
        <v>150323</v>
      </c>
      <c r="C7" s="5" t="s">
        <v>86</v>
      </c>
      <c r="D7" s="7" t="str">
        <f t="shared" si="0"/>
        <v>3班</v>
      </c>
      <c r="E7" s="7">
        <v>83</v>
      </c>
      <c r="F7" s="7">
        <v>102</v>
      </c>
      <c r="G7" s="7">
        <v>104</v>
      </c>
      <c r="H7" s="7">
        <v>94</v>
      </c>
      <c r="I7" s="7">
        <v>86</v>
      </c>
      <c r="J7" s="7">
        <v>81</v>
      </c>
      <c r="K7" s="7">
        <v>89</v>
      </c>
      <c r="L7" s="7">
        <f t="shared" si="1"/>
        <v>639</v>
      </c>
      <c r="M7" s="7">
        <f t="shared" si="2"/>
        <v>91.285714285714292</v>
      </c>
      <c r="N7" s="7" t="str">
        <f t="shared" si="3"/>
        <v>第33名</v>
      </c>
      <c r="O7" s="7" t="str">
        <f t="shared" si="4"/>
        <v>第25名</v>
      </c>
    </row>
    <row r="8" spans="1:15" ht="15.95" customHeight="1" x14ac:dyDescent="0.2">
      <c r="A8" s="8">
        <v>7</v>
      </c>
      <c r="B8" s="6">
        <v>150205</v>
      </c>
      <c r="C8" s="5" t="s">
        <v>42</v>
      </c>
      <c r="D8" s="7" t="str">
        <f t="shared" si="0"/>
        <v>2班</v>
      </c>
      <c r="E8" s="7">
        <v>103.5</v>
      </c>
      <c r="F8" s="7">
        <v>115</v>
      </c>
      <c r="G8" s="7">
        <v>112</v>
      </c>
      <c r="H8" s="7">
        <v>95</v>
      </c>
      <c r="I8" s="7">
        <v>96</v>
      </c>
      <c r="J8" s="7">
        <v>92</v>
      </c>
      <c r="K8" s="7">
        <v>96</v>
      </c>
      <c r="L8" s="7">
        <f t="shared" si="1"/>
        <v>709.5</v>
      </c>
      <c r="M8" s="7">
        <f t="shared" si="2"/>
        <v>101.35714285714286</v>
      </c>
      <c r="N8" s="7" t="str">
        <f t="shared" si="3"/>
        <v>第6名</v>
      </c>
      <c r="O8" s="7" t="str">
        <f t="shared" si="4"/>
        <v>第4名</v>
      </c>
    </row>
    <row r="9" spans="1:15" ht="15.95" customHeight="1" x14ac:dyDescent="0.2">
      <c r="A9" s="8">
        <v>8</v>
      </c>
      <c r="B9" s="6">
        <v>150330</v>
      </c>
      <c r="C9" s="5" t="s">
        <v>42</v>
      </c>
      <c r="D9" s="7" t="str">
        <f t="shared" si="0"/>
        <v>3班</v>
      </c>
      <c r="E9" s="7">
        <v>87</v>
      </c>
      <c r="F9" s="7">
        <v>95</v>
      </c>
      <c r="G9" s="7">
        <v>92</v>
      </c>
      <c r="H9" s="7">
        <v>91</v>
      </c>
      <c r="I9" s="7">
        <v>74</v>
      </c>
      <c r="J9" s="7">
        <v>68</v>
      </c>
      <c r="K9" s="7">
        <v>75</v>
      </c>
      <c r="L9" s="7">
        <f t="shared" si="1"/>
        <v>582</v>
      </c>
      <c r="M9" s="7">
        <f t="shared" si="2"/>
        <v>83.142857142857139</v>
      </c>
      <c r="N9" s="7" t="str">
        <f t="shared" si="3"/>
        <v>第79名</v>
      </c>
      <c r="O9" s="7" t="str">
        <f t="shared" si="4"/>
        <v>第57名</v>
      </c>
    </row>
    <row r="10" spans="1:15" ht="15.95" customHeight="1" x14ac:dyDescent="0.2">
      <c r="A10" s="8">
        <v>9</v>
      </c>
      <c r="B10" s="6">
        <v>150122</v>
      </c>
      <c r="C10" s="5" t="s">
        <v>30</v>
      </c>
      <c r="D10" s="7" t="str">
        <f t="shared" si="0"/>
        <v>1班</v>
      </c>
      <c r="E10" s="7">
        <v>104</v>
      </c>
      <c r="F10" s="7">
        <v>102</v>
      </c>
      <c r="G10" s="7">
        <v>93</v>
      </c>
      <c r="H10" s="7">
        <v>93</v>
      </c>
      <c r="I10" s="7">
        <v>78</v>
      </c>
      <c r="J10" s="7">
        <v>78</v>
      </c>
      <c r="K10" s="7">
        <v>79</v>
      </c>
      <c r="L10" s="7">
        <f t="shared" si="1"/>
        <v>627</v>
      </c>
      <c r="M10" s="7">
        <f t="shared" si="2"/>
        <v>89.571428571428569</v>
      </c>
      <c r="N10" s="7" t="str">
        <f t="shared" si="3"/>
        <v>第48名</v>
      </c>
      <c r="O10" s="7" t="str">
        <f t="shared" si="4"/>
        <v>第34名</v>
      </c>
    </row>
    <row r="11" spans="1:15" ht="15.95" customHeight="1" x14ac:dyDescent="0.2">
      <c r="A11" s="8">
        <v>10</v>
      </c>
      <c r="B11" s="6">
        <v>150329</v>
      </c>
      <c r="C11" s="5" t="s">
        <v>92</v>
      </c>
      <c r="D11" s="7" t="str">
        <f t="shared" si="0"/>
        <v>3班</v>
      </c>
      <c r="E11" s="7">
        <v>99</v>
      </c>
      <c r="F11" s="7">
        <v>109</v>
      </c>
      <c r="G11" s="7">
        <v>88</v>
      </c>
      <c r="H11" s="7">
        <v>87</v>
      </c>
      <c r="I11" s="7">
        <v>62</v>
      </c>
      <c r="J11" s="7">
        <v>78</v>
      </c>
      <c r="K11" s="7">
        <v>66</v>
      </c>
      <c r="L11" s="7">
        <f t="shared" si="1"/>
        <v>589</v>
      </c>
      <c r="M11" s="7">
        <f t="shared" si="2"/>
        <v>84.142857142857139</v>
      </c>
      <c r="N11" s="7" t="str">
        <f t="shared" si="3"/>
        <v>第73名</v>
      </c>
      <c r="O11" s="7" t="str">
        <f t="shared" si="4"/>
        <v>第53名</v>
      </c>
    </row>
    <row r="12" spans="1:15" ht="15.95" customHeight="1" x14ac:dyDescent="0.2">
      <c r="A12" s="8">
        <v>11</v>
      </c>
      <c r="B12" s="6">
        <v>150411</v>
      </c>
      <c r="C12" s="5" t="s">
        <v>103</v>
      </c>
      <c r="D12" s="7" t="str">
        <f t="shared" si="0"/>
        <v>4班</v>
      </c>
      <c r="E12" s="7">
        <v>95</v>
      </c>
      <c r="F12" s="7">
        <v>81</v>
      </c>
      <c r="G12" s="7">
        <v>102</v>
      </c>
      <c r="H12" s="7">
        <v>77</v>
      </c>
      <c r="I12" s="7">
        <v>99</v>
      </c>
      <c r="J12" s="7">
        <v>74</v>
      </c>
      <c r="K12" s="7">
        <v>96</v>
      </c>
      <c r="L12" s="7">
        <f t="shared" si="1"/>
        <v>624</v>
      </c>
      <c r="M12" s="7">
        <f t="shared" si="2"/>
        <v>89.142857142857139</v>
      </c>
      <c r="N12" s="7" t="str">
        <f t="shared" si="3"/>
        <v>第51名</v>
      </c>
      <c r="O12" s="7" t="str">
        <f t="shared" si="4"/>
        <v>第36名</v>
      </c>
    </row>
    <row r="13" spans="1:15" ht="15.95" customHeight="1" x14ac:dyDescent="0.2">
      <c r="A13" s="8">
        <v>12</v>
      </c>
      <c r="B13" s="6">
        <v>150129</v>
      </c>
      <c r="C13" s="5" t="s">
        <v>37</v>
      </c>
      <c r="D13" s="7" t="str">
        <f t="shared" si="0"/>
        <v>1班</v>
      </c>
      <c r="E13" s="7">
        <v>117</v>
      </c>
      <c r="F13" s="7">
        <v>58</v>
      </c>
      <c r="G13" s="7">
        <v>97</v>
      </c>
      <c r="H13" s="7">
        <v>82</v>
      </c>
      <c r="I13" s="7">
        <v>62</v>
      </c>
      <c r="J13" s="7">
        <v>78</v>
      </c>
      <c r="K13" s="7">
        <v>62</v>
      </c>
      <c r="L13" s="7">
        <f t="shared" si="1"/>
        <v>556</v>
      </c>
      <c r="M13" s="7">
        <f t="shared" si="2"/>
        <v>79.428571428571431</v>
      </c>
      <c r="N13" s="7" t="str">
        <f t="shared" si="3"/>
        <v>第99名</v>
      </c>
      <c r="O13" s="7" t="str">
        <f t="shared" si="4"/>
        <v>第72名</v>
      </c>
    </row>
    <row r="14" spans="1:15" ht="15.95" customHeight="1" x14ac:dyDescent="0.2">
      <c r="A14" s="8">
        <v>13</v>
      </c>
      <c r="B14" s="6">
        <v>150120</v>
      </c>
      <c r="C14" s="5" t="s">
        <v>28</v>
      </c>
      <c r="D14" s="7" t="str">
        <f t="shared" si="0"/>
        <v>1班</v>
      </c>
      <c r="E14" s="7">
        <v>71</v>
      </c>
      <c r="F14" s="7">
        <v>94</v>
      </c>
      <c r="G14" s="7">
        <v>111</v>
      </c>
      <c r="H14" s="7">
        <v>99</v>
      </c>
      <c r="I14" s="7">
        <v>75</v>
      </c>
      <c r="J14" s="7">
        <v>63</v>
      </c>
      <c r="K14" s="7">
        <v>71</v>
      </c>
      <c r="L14" s="7">
        <f t="shared" si="1"/>
        <v>584</v>
      </c>
      <c r="M14" s="7">
        <f t="shared" si="2"/>
        <v>83.428571428571431</v>
      </c>
      <c r="N14" s="7" t="str">
        <f t="shared" si="3"/>
        <v>第76名</v>
      </c>
      <c r="O14" s="7" t="str">
        <f t="shared" si="4"/>
        <v>第56名</v>
      </c>
    </row>
    <row r="15" spans="1:15" ht="15.95" customHeight="1" x14ac:dyDescent="0.2">
      <c r="A15" s="8">
        <v>14</v>
      </c>
      <c r="B15" s="6">
        <v>150210</v>
      </c>
      <c r="C15" s="5" t="s">
        <v>46</v>
      </c>
      <c r="D15" s="7" t="str">
        <f t="shared" si="0"/>
        <v>2班</v>
      </c>
      <c r="E15" s="7">
        <v>62</v>
      </c>
      <c r="F15" s="7">
        <v>100</v>
      </c>
      <c r="G15" s="7">
        <v>77</v>
      </c>
      <c r="H15" s="7">
        <v>78</v>
      </c>
      <c r="I15" s="7">
        <v>55</v>
      </c>
      <c r="J15" s="7">
        <v>86</v>
      </c>
      <c r="K15" s="7">
        <v>78</v>
      </c>
      <c r="L15" s="7">
        <f t="shared" si="1"/>
        <v>536</v>
      </c>
      <c r="M15" s="7">
        <f t="shared" si="2"/>
        <v>76.571428571428569</v>
      </c>
      <c r="N15" s="7" t="str">
        <f t="shared" si="3"/>
        <v>第112名</v>
      </c>
      <c r="O15" s="7" t="str">
        <f t="shared" si="4"/>
        <v>第80名</v>
      </c>
    </row>
    <row r="16" spans="1:15" ht="15.95" customHeight="1" x14ac:dyDescent="0.2">
      <c r="A16" s="8">
        <v>15</v>
      </c>
      <c r="B16" s="6">
        <v>150413</v>
      </c>
      <c r="C16" s="5" t="s">
        <v>105</v>
      </c>
      <c r="D16" s="7" t="str">
        <f t="shared" si="0"/>
        <v>4班</v>
      </c>
      <c r="E16" s="7">
        <v>97</v>
      </c>
      <c r="F16" s="7">
        <v>87</v>
      </c>
      <c r="G16" s="7">
        <v>75</v>
      </c>
      <c r="H16" s="7">
        <v>91</v>
      </c>
      <c r="I16" s="7">
        <v>97</v>
      </c>
      <c r="J16" s="7">
        <v>90</v>
      </c>
      <c r="K16" s="7">
        <v>65</v>
      </c>
      <c r="L16" s="7">
        <f t="shared" si="1"/>
        <v>602</v>
      </c>
      <c r="M16" s="7">
        <f t="shared" si="2"/>
        <v>86</v>
      </c>
      <c r="N16" s="7" t="str">
        <f t="shared" si="3"/>
        <v>第66名</v>
      </c>
      <c r="O16" s="7" t="str">
        <f t="shared" si="4"/>
        <v>第48名</v>
      </c>
    </row>
    <row r="17" spans="1:15" ht="15.95" customHeight="1" x14ac:dyDescent="0.2">
      <c r="A17" s="8">
        <v>16</v>
      </c>
      <c r="B17" s="6">
        <v>150301</v>
      </c>
      <c r="C17" s="5" t="s">
        <v>64</v>
      </c>
      <c r="D17" s="7" t="str">
        <f t="shared" si="0"/>
        <v>3班</v>
      </c>
      <c r="E17" s="7">
        <v>99</v>
      </c>
      <c r="F17" s="7">
        <v>98</v>
      </c>
      <c r="G17" s="7">
        <v>101</v>
      </c>
      <c r="H17" s="7">
        <v>95</v>
      </c>
      <c r="I17" s="7">
        <v>91</v>
      </c>
      <c r="J17" s="7">
        <v>95</v>
      </c>
      <c r="K17" s="7">
        <v>80</v>
      </c>
      <c r="L17" s="7">
        <f t="shared" si="1"/>
        <v>659</v>
      </c>
      <c r="M17" s="7">
        <f t="shared" si="2"/>
        <v>94.142857142857139</v>
      </c>
      <c r="N17" s="7" t="str">
        <f t="shared" si="3"/>
        <v>第22名</v>
      </c>
      <c r="O17" s="7" t="str">
        <f t="shared" si="4"/>
        <v>第18名</v>
      </c>
    </row>
    <row r="18" spans="1:15" ht="15.95" customHeight="1" x14ac:dyDescent="0.2">
      <c r="A18" s="8">
        <v>17</v>
      </c>
      <c r="B18" s="6">
        <v>150402</v>
      </c>
      <c r="C18" s="5" t="s">
        <v>94</v>
      </c>
      <c r="D18" s="7" t="str">
        <f t="shared" si="0"/>
        <v>4班</v>
      </c>
      <c r="E18" s="7">
        <v>110</v>
      </c>
      <c r="F18" s="7">
        <v>105</v>
      </c>
      <c r="G18" s="7">
        <v>98</v>
      </c>
      <c r="H18" s="7">
        <v>99</v>
      </c>
      <c r="I18" s="7">
        <v>93</v>
      </c>
      <c r="J18" s="7">
        <v>93</v>
      </c>
      <c r="K18" s="7">
        <v>92</v>
      </c>
      <c r="L18" s="7">
        <f t="shared" si="1"/>
        <v>690</v>
      </c>
      <c r="M18" s="7">
        <f t="shared" si="2"/>
        <v>98.571428571428569</v>
      </c>
      <c r="N18" s="7" t="str">
        <f t="shared" si="3"/>
        <v>第10名</v>
      </c>
      <c r="O18" s="7" t="str">
        <f t="shared" si="4"/>
        <v>第8名</v>
      </c>
    </row>
    <row r="19" spans="1:15" ht="15.95" customHeight="1" x14ac:dyDescent="0.2">
      <c r="A19" s="8">
        <v>18</v>
      </c>
      <c r="B19" s="6">
        <v>150426</v>
      </c>
      <c r="C19" s="5" t="s">
        <v>118</v>
      </c>
      <c r="D19" s="7" t="str">
        <f t="shared" si="0"/>
        <v>4班</v>
      </c>
      <c r="E19" s="7">
        <v>85</v>
      </c>
      <c r="F19" s="7">
        <v>100</v>
      </c>
      <c r="G19" s="7">
        <v>68</v>
      </c>
      <c r="H19" s="7">
        <v>89</v>
      </c>
      <c r="I19" s="7">
        <v>69</v>
      </c>
      <c r="J19" s="7">
        <v>88</v>
      </c>
      <c r="K19" s="7">
        <v>73</v>
      </c>
      <c r="L19" s="7">
        <f t="shared" si="1"/>
        <v>572</v>
      </c>
      <c r="M19" s="7">
        <f t="shared" si="2"/>
        <v>81.714285714285708</v>
      </c>
      <c r="N19" s="7" t="str">
        <f t="shared" si="3"/>
        <v>第89名</v>
      </c>
      <c r="O19" s="7" t="str">
        <f t="shared" si="4"/>
        <v>第64名</v>
      </c>
    </row>
    <row r="20" spans="1:15" ht="15.95" customHeight="1" x14ac:dyDescent="0.2">
      <c r="A20" s="8">
        <v>19</v>
      </c>
      <c r="B20" s="6">
        <v>150126</v>
      </c>
      <c r="C20" s="5" t="s">
        <v>34</v>
      </c>
      <c r="D20" s="7" t="str">
        <f t="shared" si="0"/>
        <v>1班</v>
      </c>
      <c r="E20" s="7">
        <v>105</v>
      </c>
      <c r="F20" s="7">
        <v>119</v>
      </c>
      <c r="G20" s="7">
        <v>110</v>
      </c>
      <c r="H20" s="7">
        <v>97</v>
      </c>
      <c r="I20" s="7">
        <v>96</v>
      </c>
      <c r="J20" s="7">
        <v>93</v>
      </c>
      <c r="K20" s="7">
        <v>94</v>
      </c>
      <c r="L20" s="7">
        <f t="shared" si="1"/>
        <v>714</v>
      </c>
      <c r="M20" s="7">
        <f t="shared" si="2"/>
        <v>102</v>
      </c>
      <c r="N20" s="7" t="str">
        <f t="shared" si="3"/>
        <v>第2名</v>
      </c>
      <c r="O20" s="7" t="str">
        <f t="shared" si="4"/>
        <v>第2名</v>
      </c>
    </row>
    <row r="21" spans="1:15" ht="15.95" customHeight="1" x14ac:dyDescent="0.2">
      <c r="A21" s="8">
        <v>20</v>
      </c>
      <c r="B21" s="6">
        <v>150103</v>
      </c>
      <c r="C21" s="5" t="s">
        <v>11</v>
      </c>
      <c r="D21" s="7" t="str">
        <f t="shared" si="0"/>
        <v>1班</v>
      </c>
      <c r="E21" s="7">
        <v>84</v>
      </c>
      <c r="F21" s="7">
        <v>100</v>
      </c>
      <c r="G21" s="7">
        <v>97</v>
      </c>
      <c r="H21" s="7">
        <v>87</v>
      </c>
      <c r="I21" s="7">
        <v>78</v>
      </c>
      <c r="J21" s="7">
        <v>89</v>
      </c>
      <c r="K21" s="7">
        <v>93</v>
      </c>
      <c r="L21" s="7">
        <f t="shared" si="1"/>
        <v>628</v>
      </c>
      <c r="M21" s="7">
        <f t="shared" si="2"/>
        <v>89.714285714285708</v>
      </c>
      <c r="N21" s="7" t="str">
        <f t="shared" si="3"/>
        <v>第46名</v>
      </c>
      <c r="O21" s="7" t="str">
        <f t="shared" si="4"/>
        <v>第33名</v>
      </c>
    </row>
    <row r="22" spans="1:15" ht="15.95" customHeight="1" x14ac:dyDescent="0.2">
      <c r="A22" s="8">
        <v>21</v>
      </c>
      <c r="B22" s="6">
        <v>150130</v>
      </c>
      <c r="C22" s="5" t="s">
        <v>38</v>
      </c>
      <c r="D22" s="7" t="str">
        <f t="shared" si="0"/>
        <v>1班</v>
      </c>
      <c r="E22" s="7">
        <v>102</v>
      </c>
      <c r="F22" s="7">
        <v>83</v>
      </c>
      <c r="G22" s="7">
        <v>111</v>
      </c>
      <c r="H22" s="7">
        <v>76</v>
      </c>
      <c r="I22" s="7">
        <v>74</v>
      </c>
      <c r="J22" s="7">
        <v>72</v>
      </c>
      <c r="K22" s="7">
        <v>72</v>
      </c>
      <c r="L22" s="7">
        <f t="shared" si="1"/>
        <v>590</v>
      </c>
      <c r="M22" s="7">
        <f t="shared" si="2"/>
        <v>84.285714285714292</v>
      </c>
      <c r="N22" s="7" t="str">
        <f t="shared" si="3"/>
        <v>第71名</v>
      </c>
      <c r="O22" s="7" t="str">
        <f t="shared" si="4"/>
        <v>第52名</v>
      </c>
    </row>
    <row r="23" spans="1:15" ht="15.95" customHeight="1" x14ac:dyDescent="0.2">
      <c r="A23" s="8">
        <v>22</v>
      </c>
      <c r="B23" s="6">
        <v>150428</v>
      </c>
      <c r="C23" s="5" t="s">
        <v>120</v>
      </c>
      <c r="D23" s="7" t="str">
        <f t="shared" si="0"/>
        <v>4班</v>
      </c>
      <c r="E23" s="7">
        <v>112</v>
      </c>
      <c r="F23" s="7">
        <v>112</v>
      </c>
      <c r="G23" s="7">
        <v>117</v>
      </c>
      <c r="H23" s="7">
        <v>67</v>
      </c>
      <c r="I23" s="7">
        <v>98</v>
      </c>
      <c r="J23" s="7">
        <v>63</v>
      </c>
      <c r="K23" s="7">
        <v>60</v>
      </c>
      <c r="L23" s="7">
        <f t="shared" si="1"/>
        <v>629</v>
      </c>
      <c r="M23" s="7">
        <f t="shared" si="2"/>
        <v>89.857142857142861</v>
      </c>
      <c r="N23" s="7" t="str">
        <f t="shared" si="3"/>
        <v>第45名</v>
      </c>
      <c r="O23" s="7" t="str">
        <f t="shared" si="4"/>
        <v>第32名</v>
      </c>
    </row>
    <row r="24" spans="1:15" ht="15.95" customHeight="1" x14ac:dyDescent="0.2">
      <c r="A24" s="8">
        <v>23</v>
      </c>
      <c r="B24" s="6">
        <v>150228</v>
      </c>
      <c r="C24" s="5" t="s">
        <v>61</v>
      </c>
      <c r="D24" s="7" t="str">
        <f t="shared" si="0"/>
        <v>2班</v>
      </c>
      <c r="E24" s="7">
        <v>62</v>
      </c>
      <c r="F24" s="7">
        <v>112</v>
      </c>
      <c r="G24" s="7">
        <v>96</v>
      </c>
      <c r="H24" s="7">
        <v>64</v>
      </c>
      <c r="I24" s="7">
        <v>77</v>
      </c>
      <c r="J24" s="7">
        <v>66</v>
      </c>
      <c r="K24" s="7">
        <v>63</v>
      </c>
      <c r="L24" s="7">
        <f t="shared" si="1"/>
        <v>540</v>
      </c>
      <c r="M24" s="7">
        <f t="shared" si="2"/>
        <v>77.142857142857139</v>
      </c>
      <c r="N24" s="7" t="str">
        <f t="shared" si="3"/>
        <v>第109名</v>
      </c>
      <c r="O24" s="7" t="str">
        <f t="shared" si="4"/>
        <v>第78名</v>
      </c>
    </row>
    <row r="25" spans="1:15" ht="15.95" customHeight="1" x14ac:dyDescent="0.2">
      <c r="A25" s="8">
        <v>24</v>
      </c>
      <c r="B25" s="6">
        <v>150327</v>
      </c>
      <c r="C25" s="5" t="s">
        <v>90</v>
      </c>
      <c r="D25" s="7" t="str">
        <f t="shared" si="0"/>
        <v>3班</v>
      </c>
      <c r="E25" s="7">
        <v>89</v>
      </c>
      <c r="F25" s="7">
        <v>95</v>
      </c>
      <c r="G25" s="7">
        <v>67</v>
      </c>
      <c r="H25" s="7">
        <v>81</v>
      </c>
      <c r="I25" s="7">
        <v>92</v>
      </c>
      <c r="J25" s="7">
        <v>63</v>
      </c>
      <c r="K25" s="7">
        <v>88</v>
      </c>
      <c r="L25" s="7">
        <f t="shared" si="1"/>
        <v>575</v>
      </c>
      <c r="M25" s="7">
        <f t="shared" si="2"/>
        <v>82.142857142857139</v>
      </c>
      <c r="N25" s="7" t="str">
        <f t="shared" si="3"/>
        <v>第84名</v>
      </c>
      <c r="O25" s="7" t="str">
        <f t="shared" si="4"/>
        <v>第61名</v>
      </c>
    </row>
    <row r="26" spans="1:15" ht="15.95" customHeight="1" x14ac:dyDescent="0.2">
      <c r="A26" s="8">
        <v>25</v>
      </c>
      <c r="B26" s="6">
        <v>150319</v>
      </c>
      <c r="C26" s="5" t="s">
        <v>82</v>
      </c>
      <c r="D26" s="7" t="str">
        <f t="shared" si="0"/>
        <v>3班</v>
      </c>
      <c r="E26" s="7">
        <v>90</v>
      </c>
      <c r="F26" s="7">
        <v>87</v>
      </c>
      <c r="G26" s="7">
        <v>97</v>
      </c>
      <c r="H26" s="7">
        <v>79</v>
      </c>
      <c r="I26" s="7">
        <v>74</v>
      </c>
      <c r="J26" s="7">
        <v>61</v>
      </c>
      <c r="K26" s="7">
        <v>87</v>
      </c>
      <c r="L26" s="7">
        <f t="shared" si="1"/>
        <v>575</v>
      </c>
      <c r="M26" s="7">
        <f t="shared" si="2"/>
        <v>82.142857142857139</v>
      </c>
      <c r="N26" s="7" t="str">
        <f t="shared" si="3"/>
        <v>第84名</v>
      </c>
      <c r="O26" s="7" t="str">
        <f t="shared" si="4"/>
        <v>第61名</v>
      </c>
    </row>
    <row r="27" spans="1:15" ht="15.95" customHeight="1" x14ac:dyDescent="0.2">
      <c r="A27" s="8">
        <v>26</v>
      </c>
      <c r="B27" s="6">
        <v>150326</v>
      </c>
      <c r="C27" s="5" t="s">
        <v>89</v>
      </c>
      <c r="D27" s="7" t="str">
        <f t="shared" si="0"/>
        <v>3班</v>
      </c>
      <c r="E27" s="7">
        <v>100</v>
      </c>
      <c r="F27" s="7">
        <v>108</v>
      </c>
      <c r="G27" s="7">
        <v>111.5</v>
      </c>
      <c r="H27" s="7">
        <v>85</v>
      </c>
      <c r="I27" s="7">
        <v>78</v>
      </c>
      <c r="J27" s="7">
        <v>89</v>
      </c>
      <c r="K27" s="7">
        <v>63</v>
      </c>
      <c r="L27" s="7">
        <f t="shared" si="1"/>
        <v>634.5</v>
      </c>
      <c r="M27" s="7">
        <f t="shared" si="2"/>
        <v>90.642857142857139</v>
      </c>
      <c r="N27" s="7" t="str">
        <f t="shared" si="3"/>
        <v>第39名</v>
      </c>
      <c r="O27" s="7" t="str">
        <f t="shared" si="4"/>
        <v>第28名</v>
      </c>
    </row>
    <row r="28" spans="1:15" ht="15.95" customHeight="1" x14ac:dyDescent="0.2">
      <c r="A28" s="8">
        <v>27</v>
      </c>
      <c r="B28" s="6">
        <v>150107</v>
      </c>
      <c r="C28" s="5" t="s">
        <v>15</v>
      </c>
      <c r="D28" s="7" t="str">
        <f t="shared" si="0"/>
        <v>1班</v>
      </c>
      <c r="E28" s="7">
        <v>82</v>
      </c>
      <c r="F28" s="7">
        <v>78</v>
      </c>
      <c r="G28" s="7">
        <v>72</v>
      </c>
      <c r="H28" s="7">
        <v>98</v>
      </c>
      <c r="I28" s="7">
        <v>58</v>
      </c>
      <c r="J28" s="7">
        <v>90</v>
      </c>
      <c r="K28" s="7">
        <v>72</v>
      </c>
      <c r="L28" s="7">
        <f t="shared" si="1"/>
        <v>550</v>
      </c>
      <c r="M28" s="7">
        <f t="shared" si="2"/>
        <v>78.571428571428569</v>
      </c>
      <c r="N28" s="7" t="str">
        <f t="shared" si="3"/>
        <v>第101名</v>
      </c>
      <c r="O28" s="7" t="str">
        <f t="shared" si="4"/>
        <v>第73名</v>
      </c>
    </row>
    <row r="29" spans="1:15" ht="15.95" customHeight="1" x14ac:dyDescent="0.2">
      <c r="A29" s="8">
        <v>28</v>
      </c>
      <c r="B29" s="6">
        <v>150101</v>
      </c>
      <c r="C29" s="5" t="s">
        <v>9</v>
      </c>
      <c r="D29" s="7" t="str">
        <f t="shared" si="0"/>
        <v>1班</v>
      </c>
      <c r="E29" s="7">
        <v>99</v>
      </c>
      <c r="F29" s="7">
        <v>98</v>
      </c>
      <c r="G29" s="7">
        <v>101</v>
      </c>
      <c r="H29" s="7">
        <v>95</v>
      </c>
      <c r="I29" s="7">
        <v>91</v>
      </c>
      <c r="J29" s="7">
        <v>95</v>
      </c>
      <c r="K29" s="7">
        <v>78</v>
      </c>
      <c r="L29" s="7">
        <f t="shared" si="1"/>
        <v>657</v>
      </c>
      <c r="M29" s="7">
        <f t="shared" si="2"/>
        <v>93.857142857142861</v>
      </c>
      <c r="N29" s="7" t="str">
        <f t="shared" si="3"/>
        <v>第27名</v>
      </c>
      <c r="O29" s="7" t="str">
        <f t="shared" si="4"/>
        <v>第20名</v>
      </c>
    </row>
    <row r="30" spans="1:15" ht="15.95" customHeight="1" x14ac:dyDescent="0.2">
      <c r="A30" s="8">
        <v>29</v>
      </c>
      <c r="B30" s="6">
        <v>150230</v>
      </c>
      <c r="C30" s="5" t="s">
        <v>63</v>
      </c>
      <c r="D30" s="7" t="str">
        <f t="shared" si="0"/>
        <v>2班</v>
      </c>
      <c r="E30" s="7">
        <v>84</v>
      </c>
      <c r="F30" s="7">
        <v>93</v>
      </c>
      <c r="G30" s="7">
        <v>92</v>
      </c>
      <c r="H30" s="7">
        <v>68</v>
      </c>
      <c r="I30" s="7">
        <v>85</v>
      </c>
      <c r="J30" s="7">
        <v>82</v>
      </c>
      <c r="K30" s="7">
        <v>75</v>
      </c>
      <c r="L30" s="7">
        <f t="shared" si="1"/>
        <v>579</v>
      </c>
      <c r="M30" s="7">
        <f t="shared" si="2"/>
        <v>82.714285714285708</v>
      </c>
      <c r="N30" s="7" t="str">
        <f t="shared" si="3"/>
        <v>第81名</v>
      </c>
      <c r="O30" s="7" t="str">
        <f t="shared" si="4"/>
        <v>第59名</v>
      </c>
    </row>
    <row r="31" spans="1:15" ht="15.95" customHeight="1" x14ac:dyDescent="0.2">
      <c r="A31" s="8">
        <v>30</v>
      </c>
      <c r="B31" s="6">
        <v>150113</v>
      </c>
      <c r="C31" s="5" t="s">
        <v>21</v>
      </c>
      <c r="D31" s="7" t="str">
        <f t="shared" si="0"/>
        <v>1班</v>
      </c>
      <c r="E31" s="7">
        <v>73</v>
      </c>
      <c r="F31" s="7">
        <v>78</v>
      </c>
      <c r="G31" s="7">
        <v>84</v>
      </c>
      <c r="H31" s="7">
        <v>58</v>
      </c>
      <c r="I31" s="7">
        <v>97</v>
      </c>
      <c r="J31" s="7">
        <v>66</v>
      </c>
      <c r="K31" s="7">
        <v>85</v>
      </c>
      <c r="L31" s="7">
        <f t="shared" si="1"/>
        <v>541</v>
      </c>
      <c r="M31" s="7">
        <f t="shared" si="2"/>
        <v>77.285714285714292</v>
      </c>
      <c r="N31" s="7" t="str">
        <f t="shared" si="3"/>
        <v>第108名</v>
      </c>
      <c r="O31" s="7" t="str">
        <f t="shared" si="4"/>
        <v>第77名</v>
      </c>
    </row>
    <row r="32" spans="1:15" ht="15.95" customHeight="1" x14ac:dyDescent="0.2">
      <c r="A32" s="8">
        <v>31</v>
      </c>
      <c r="B32" s="6">
        <v>150322</v>
      </c>
      <c r="C32" s="5" t="s">
        <v>85</v>
      </c>
      <c r="D32" s="7" t="str">
        <f t="shared" si="0"/>
        <v>3班</v>
      </c>
      <c r="E32" s="7">
        <v>101</v>
      </c>
      <c r="F32" s="7">
        <v>59</v>
      </c>
      <c r="G32" s="7">
        <v>92</v>
      </c>
      <c r="H32" s="7">
        <v>74</v>
      </c>
      <c r="I32" s="7">
        <v>82</v>
      </c>
      <c r="J32" s="7">
        <v>85</v>
      </c>
      <c r="K32" s="7">
        <v>94</v>
      </c>
      <c r="L32" s="7">
        <f t="shared" si="1"/>
        <v>587</v>
      </c>
      <c r="M32" s="7">
        <f t="shared" si="2"/>
        <v>83.857142857142861</v>
      </c>
      <c r="N32" s="7" t="str">
        <f t="shared" si="3"/>
        <v>第75名</v>
      </c>
      <c r="O32" s="7" t="str">
        <f t="shared" si="4"/>
        <v>第55名</v>
      </c>
    </row>
    <row r="33" spans="1:15" ht="15.95" customHeight="1" x14ac:dyDescent="0.2">
      <c r="A33" s="8">
        <v>32</v>
      </c>
      <c r="B33" s="6">
        <v>150104</v>
      </c>
      <c r="C33" s="5" t="s">
        <v>12</v>
      </c>
      <c r="D33" s="7" t="str">
        <f t="shared" si="0"/>
        <v>1班</v>
      </c>
      <c r="E33" s="7">
        <v>101</v>
      </c>
      <c r="F33" s="7">
        <v>110</v>
      </c>
      <c r="G33" s="7">
        <v>102</v>
      </c>
      <c r="H33" s="7">
        <v>93</v>
      </c>
      <c r="I33" s="7">
        <v>95</v>
      </c>
      <c r="J33" s="7">
        <v>92</v>
      </c>
      <c r="K33" s="7">
        <v>88</v>
      </c>
      <c r="L33" s="7">
        <f t="shared" si="1"/>
        <v>681</v>
      </c>
      <c r="M33" s="7">
        <f t="shared" si="2"/>
        <v>97.285714285714292</v>
      </c>
      <c r="N33" s="7" t="str">
        <f t="shared" si="3"/>
        <v>第12名</v>
      </c>
      <c r="O33" s="7" t="str">
        <f t="shared" si="4"/>
        <v>第10名</v>
      </c>
    </row>
    <row r="34" spans="1:15" ht="15.95" customHeight="1" x14ac:dyDescent="0.2">
      <c r="A34" s="8">
        <v>33</v>
      </c>
      <c r="B34" s="6">
        <v>150218</v>
      </c>
      <c r="C34" s="5" t="s">
        <v>53</v>
      </c>
      <c r="D34" s="7" t="str">
        <f t="shared" si="0"/>
        <v>2班</v>
      </c>
      <c r="E34" s="7">
        <v>86</v>
      </c>
      <c r="F34" s="7">
        <v>97</v>
      </c>
      <c r="G34" s="7">
        <v>89</v>
      </c>
      <c r="H34" s="7">
        <v>72</v>
      </c>
      <c r="I34" s="7">
        <v>88</v>
      </c>
      <c r="J34" s="7">
        <v>54</v>
      </c>
      <c r="K34" s="7">
        <v>93</v>
      </c>
      <c r="L34" s="7">
        <f t="shared" si="1"/>
        <v>579</v>
      </c>
      <c r="M34" s="7">
        <f t="shared" si="2"/>
        <v>82.714285714285708</v>
      </c>
      <c r="N34" s="7" t="str">
        <f t="shared" si="3"/>
        <v>第81名</v>
      </c>
      <c r="O34" s="7" t="str">
        <f t="shared" si="4"/>
        <v>第59名</v>
      </c>
    </row>
    <row r="35" spans="1:15" ht="15.95" customHeight="1" x14ac:dyDescent="0.2">
      <c r="A35" s="8">
        <v>34</v>
      </c>
      <c r="B35" s="6">
        <v>150424</v>
      </c>
      <c r="C35" s="5" t="s">
        <v>116</v>
      </c>
      <c r="D35" s="7" t="str">
        <f t="shared" si="0"/>
        <v>4班</v>
      </c>
      <c r="E35" s="7">
        <v>88</v>
      </c>
      <c r="F35" s="7">
        <v>88</v>
      </c>
      <c r="G35" s="7">
        <v>96</v>
      </c>
      <c r="H35" s="7">
        <v>89</v>
      </c>
      <c r="I35" s="7">
        <v>85</v>
      </c>
      <c r="J35" s="7">
        <v>93</v>
      </c>
      <c r="K35" s="7">
        <v>77</v>
      </c>
      <c r="L35" s="7">
        <f t="shared" si="1"/>
        <v>616</v>
      </c>
      <c r="M35" s="7">
        <f t="shared" si="2"/>
        <v>88</v>
      </c>
      <c r="N35" s="7" t="str">
        <f t="shared" si="3"/>
        <v>第58名</v>
      </c>
      <c r="O35" s="7" t="str">
        <f t="shared" si="4"/>
        <v>第41名</v>
      </c>
    </row>
    <row r="36" spans="1:15" ht="15.95" customHeight="1" x14ac:dyDescent="0.2">
      <c r="A36" s="8">
        <v>35</v>
      </c>
      <c r="B36" s="6">
        <v>150213</v>
      </c>
      <c r="C36" s="5" t="s">
        <v>49</v>
      </c>
      <c r="D36" s="7" t="str">
        <f t="shared" si="0"/>
        <v>2班</v>
      </c>
      <c r="E36" s="7">
        <v>116</v>
      </c>
      <c r="F36" s="7">
        <v>113</v>
      </c>
      <c r="G36" s="7">
        <v>60</v>
      </c>
      <c r="H36" s="7">
        <v>79</v>
      </c>
      <c r="I36" s="7">
        <v>83</v>
      </c>
      <c r="J36" s="7">
        <v>90</v>
      </c>
      <c r="K36" s="7">
        <v>98</v>
      </c>
      <c r="L36" s="7">
        <f t="shared" si="1"/>
        <v>639</v>
      </c>
      <c r="M36" s="7">
        <f t="shared" si="2"/>
        <v>91.285714285714292</v>
      </c>
      <c r="N36" s="7" t="str">
        <f t="shared" si="3"/>
        <v>第33名</v>
      </c>
      <c r="O36" s="7" t="str">
        <f t="shared" si="4"/>
        <v>第25名</v>
      </c>
    </row>
    <row r="37" spans="1:15" ht="15.95" customHeight="1" x14ac:dyDescent="0.2">
      <c r="A37" s="8">
        <v>36</v>
      </c>
      <c r="B37" s="6">
        <v>150305</v>
      </c>
      <c r="C37" s="5" t="s">
        <v>68</v>
      </c>
      <c r="D37" s="7" t="str">
        <f t="shared" si="0"/>
        <v>3班</v>
      </c>
      <c r="E37" s="7">
        <v>91.5</v>
      </c>
      <c r="F37" s="7">
        <v>89</v>
      </c>
      <c r="G37" s="7">
        <v>94</v>
      </c>
      <c r="H37" s="7">
        <v>92</v>
      </c>
      <c r="I37" s="7">
        <v>91</v>
      </c>
      <c r="J37" s="7">
        <v>86</v>
      </c>
      <c r="K37" s="7">
        <v>86</v>
      </c>
      <c r="L37" s="7">
        <f t="shared" si="1"/>
        <v>629.5</v>
      </c>
      <c r="M37" s="7">
        <f t="shared" si="2"/>
        <v>89.928571428571431</v>
      </c>
      <c r="N37" s="7" t="str">
        <f t="shared" si="3"/>
        <v>第43名</v>
      </c>
      <c r="O37" s="7" t="str">
        <f t="shared" si="4"/>
        <v>第31名</v>
      </c>
    </row>
    <row r="38" spans="1:15" ht="15.95" customHeight="1" x14ac:dyDescent="0.2">
      <c r="A38" s="8">
        <v>37</v>
      </c>
      <c r="B38" s="6">
        <v>150112</v>
      </c>
      <c r="C38" s="5" t="s">
        <v>20</v>
      </c>
      <c r="D38" s="7" t="str">
        <f t="shared" si="0"/>
        <v>1班</v>
      </c>
      <c r="E38" s="7">
        <v>77</v>
      </c>
      <c r="F38" s="7">
        <v>97</v>
      </c>
      <c r="G38" s="7">
        <v>105</v>
      </c>
      <c r="H38" s="7">
        <v>85</v>
      </c>
      <c r="I38" s="7">
        <v>76</v>
      </c>
      <c r="J38" s="7">
        <v>94</v>
      </c>
      <c r="K38" s="7">
        <v>84</v>
      </c>
      <c r="L38" s="7">
        <f t="shared" si="1"/>
        <v>618</v>
      </c>
      <c r="M38" s="7">
        <f t="shared" si="2"/>
        <v>88.285714285714292</v>
      </c>
      <c r="N38" s="7" t="str">
        <f t="shared" si="3"/>
        <v>第57名</v>
      </c>
      <c r="O38" s="7" t="str">
        <f t="shared" si="4"/>
        <v>第40名</v>
      </c>
    </row>
    <row r="39" spans="1:15" ht="15.95" customHeight="1" x14ac:dyDescent="0.2">
      <c r="A39" s="8">
        <v>38</v>
      </c>
      <c r="B39" s="6">
        <v>150229</v>
      </c>
      <c r="C39" s="5" t="s">
        <v>62</v>
      </c>
      <c r="D39" s="7" t="str">
        <f t="shared" si="0"/>
        <v>2班</v>
      </c>
      <c r="E39" s="7">
        <v>61</v>
      </c>
      <c r="F39" s="7">
        <v>108</v>
      </c>
      <c r="G39" s="7">
        <v>97</v>
      </c>
      <c r="H39" s="7">
        <v>75</v>
      </c>
      <c r="I39" s="7">
        <v>88</v>
      </c>
      <c r="J39" s="7">
        <v>63</v>
      </c>
      <c r="K39" s="7">
        <v>67</v>
      </c>
      <c r="L39" s="7">
        <f t="shared" si="1"/>
        <v>559</v>
      </c>
      <c r="M39" s="7">
        <f t="shared" si="2"/>
        <v>79.857142857142861</v>
      </c>
      <c r="N39" s="7" t="str">
        <f t="shared" si="3"/>
        <v>第97名</v>
      </c>
      <c r="O39" s="7" t="str">
        <f t="shared" si="4"/>
        <v>第71名</v>
      </c>
    </row>
    <row r="40" spans="1:15" ht="15.95" customHeight="1" x14ac:dyDescent="0.2">
      <c r="A40" s="8">
        <v>39</v>
      </c>
      <c r="B40" s="6">
        <v>150430</v>
      </c>
      <c r="C40" s="5" t="s">
        <v>122</v>
      </c>
      <c r="D40" s="7" t="str">
        <f t="shared" si="0"/>
        <v>4班</v>
      </c>
      <c r="E40" s="7">
        <v>99</v>
      </c>
      <c r="F40" s="7">
        <v>58</v>
      </c>
      <c r="G40" s="7">
        <v>101</v>
      </c>
      <c r="H40" s="7">
        <v>75</v>
      </c>
      <c r="I40" s="7">
        <v>75</v>
      </c>
      <c r="J40" s="7">
        <v>60</v>
      </c>
      <c r="K40" s="7">
        <v>88</v>
      </c>
      <c r="L40" s="7">
        <f t="shared" si="1"/>
        <v>556</v>
      </c>
      <c r="M40" s="7">
        <f t="shared" si="2"/>
        <v>79.428571428571431</v>
      </c>
      <c r="N40" s="7" t="str">
        <f t="shared" si="3"/>
        <v>第99名</v>
      </c>
      <c r="O40" s="7" t="str">
        <f t="shared" si="4"/>
        <v>第72名</v>
      </c>
    </row>
    <row r="41" spans="1:15" ht="15.95" customHeight="1" x14ac:dyDescent="0.2">
      <c r="A41" s="8">
        <v>40</v>
      </c>
      <c r="B41" s="6">
        <v>150303</v>
      </c>
      <c r="C41" s="5" t="s">
        <v>66</v>
      </c>
      <c r="D41" s="7" t="str">
        <f t="shared" si="0"/>
        <v>3班</v>
      </c>
      <c r="E41" s="7">
        <v>84</v>
      </c>
      <c r="F41" s="7">
        <v>100</v>
      </c>
      <c r="G41" s="7">
        <v>97</v>
      </c>
      <c r="H41" s="7">
        <v>87</v>
      </c>
      <c r="I41" s="7">
        <v>78</v>
      </c>
      <c r="J41" s="7">
        <v>89</v>
      </c>
      <c r="K41" s="7">
        <v>93</v>
      </c>
      <c r="L41" s="7">
        <f t="shared" si="1"/>
        <v>628</v>
      </c>
      <c r="M41" s="7">
        <f t="shared" si="2"/>
        <v>89.714285714285708</v>
      </c>
      <c r="N41" s="7" t="str">
        <f t="shared" si="3"/>
        <v>第46名</v>
      </c>
      <c r="O41" s="7" t="str">
        <f t="shared" si="4"/>
        <v>第33名</v>
      </c>
    </row>
    <row r="42" spans="1:15" ht="15.95" customHeight="1" x14ac:dyDescent="0.2">
      <c r="A42" s="8">
        <v>41</v>
      </c>
      <c r="B42" s="6">
        <v>150226</v>
      </c>
      <c r="C42" s="5" t="s">
        <v>59</v>
      </c>
      <c r="D42" s="7" t="str">
        <f t="shared" si="0"/>
        <v>2班</v>
      </c>
      <c r="E42" s="7">
        <v>97</v>
      </c>
      <c r="F42" s="7">
        <v>117</v>
      </c>
      <c r="G42" s="7">
        <v>98</v>
      </c>
      <c r="H42" s="7">
        <v>92</v>
      </c>
      <c r="I42" s="7">
        <v>89</v>
      </c>
      <c r="J42" s="7">
        <v>95</v>
      </c>
      <c r="K42" s="7">
        <v>82</v>
      </c>
      <c r="L42" s="7">
        <f t="shared" si="1"/>
        <v>670</v>
      </c>
      <c r="M42" s="7">
        <f t="shared" si="2"/>
        <v>95.714285714285708</v>
      </c>
      <c r="N42" s="7" t="str">
        <f t="shared" si="3"/>
        <v>第18名</v>
      </c>
      <c r="O42" s="7" t="str">
        <f t="shared" si="4"/>
        <v>第15名</v>
      </c>
    </row>
    <row r="43" spans="1:15" ht="15.95" customHeight="1" x14ac:dyDescent="0.2">
      <c r="A43" s="8">
        <v>42</v>
      </c>
      <c r="B43" s="6">
        <v>150224</v>
      </c>
      <c r="C43" s="5" t="s">
        <v>57</v>
      </c>
      <c r="D43" s="7" t="str">
        <f t="shared" si="0"/>
        <v>2班</v>
      </c>
      <c r="E43" s="7">
        <v>102</v>
      </c>
      <c r="F43" s="7">
        <v>110</v>
      </c>
      <c r="G43" s="7">
        <v>109.5</v>
      </c>
      <c r="H43" s="7">
        <v>85</v>
      </c>
      <c r="I43" s="7">
        <v>91</v>
      </c>
      <c r="J43" s="7">
        <v>91</v>
      </c>
      <c r="K43" s="7">
        <v>92</v>
      </c>
      <c r="L43" s="7">
        <f t="shared" si="1"/>
        <v>680.5</v>
      </c>
      <c r="M43" s="7">
        <f t="shared" si="2"/>
        <v>97.214285714285708</v>
      </c>
      <c r="N43" s="7" t="str">
        <f t="shared" si="3"/>
        <v>第13名</v>
      </c>
      <c r="O43" s="7" t="str">
        <f t="shared" si="4"/>
        <v>第11名</v>
      </c>
    </row>
    <row r="44" spans="1:15" ht="15.95" customHeight="1" x14ac:dyDescent="0.2">
      <c r="A44" s="8">
        <v>43</v>
      </c>
      <c r="B44" s="6">
        <v>150215</v>
      </c>
      <c r="C44" s="5" t="s">
        <v>50</v>
      </c>
      <c r="D44" s="7" t="str">
        <f t="shared" si="0"/>
        <v>2班</v>
      </c>
      <c r="E44" s="7">
        <v>75</v>
      </c>
      <c r="F44" s="7">
        <v>61</v>
      </c>
      <c r="G44" s="7">
        <v>106</v>
      </c>
      <c r="H44" s="7">
        <v>70</v>
      </c>
      <c r="I44" s="7">
        <v>74</v>
      </c>
      <c r="J44" s="7">
        <v>85</v>
      </c>
      <c r="K44" s="7">
        <v>79</v>
      </c>
      <c r="L44" s="7">
        <f t="shared" si="1"/>
        <v>550</v>
      </c>
      <c r="M44" s="7">
        <f t="shared" si="2"/>
        <v>78.571428571428569</v>
      </c>
      <c r="N44" s="7" t="str">
        <f t="shared" si="3"/>
        <v>第101名</v>
      </c>
      <c r="O44" s="7" t="str">
        <f t="shared" si="4"/>
        <v>第73名</v>
      </c>
    </row>
    <row r="45" spans="1:15" ht="15.95" customHeight="1" x14ac:dyDescent="0.2">
      <c r="A45" s="8">
        <v>44</v>
      </c>
      <c r="B45" s="6">
        <v>150425</v>
      </c>
      <c r="C45" s="5" t="s">
        <v>117</v>
      </c>
      <c r="D45" s="7" t="str">
        <f t="shared" si="0"/>
        <v>4班</v>
      </c>
      <c r="E45" s="7">
        <v>119</v>
      </c>
      <c r="F45" s="7">
        <v>77</v>
      </c>
      <c r="G45" s="7">
        <v>112</v>
      </c>
      <c r="H45" s="7">
        <v>63</v>
      </c>
      <c r="I45" s="7">
        <v>55</v>
      </c>
      <c r="J45" s="7">
        <v>91</v>
      </c>
      <c r="K45" s="7">
        <v>95</v>
      </c>
      <c r="L45" s="7">
        <f t="shared" si="1"/>
        <v>612</v>
      </c>
      <c r="M45" s="7">
        <f t="shared" si="2"/>
        <v>87.428571428571431</v>
      </c>
      <c r="N45" s="7" t="str">
        <f t="shared" si="3"/>
        <v>第60名</v>
      </c>
      <c r="O45" s="7" t="str">
        <f t="shared" si="4"/>
        <v>第43名</v>
      </c>
    </row>
    <row r="46" spans="1:15" ht="15.95" customHeight="1" x14ac:dyDescent="0.2">
      <c r="A46" s="8">
        <v>45</v>
      </c>
      <c r="B46" s="6">
        <v>150221</v>
      </c>
      <c r="C46" s="5" t="s">
        <v>55</v>
      </c>
      <c r="D46" s="7" t="str">
        <f t="shared" si="0"/>
        <v>2班</v>
      </c>
      <c r="E46" s="7">
        <v>109</v>
      </c>
      <c r="F46" s="7">
        <v>93</v>
      </c>
      <c r="G46" s="7">
        <v>67</v>
      </c>
      <c r="H46" s="7">
        <v>82</v>
      </c>
      <c r="I46" s="7">
        <v>80</v>
      </c>
      <c r="J46" s="7">
        <v>89</v>
      </c>
      <c r="K46" s="7">
        <v>85</v>
      </c>
      <c r="L46" s="7">
        <f t="shared" si="1"/>
        <v>605</v>
      </c>
      <c r="M46" s="7">
        <f t="shared" si="2"/>
        <v>86.428571428571431</v>
      </c>
      <c r="N46" s="7" t="str">
        <f t="shared" si="3"/>
        <v>第64名</v>
      </c>
      <c r="O46" s="7" t="str">
        <f t="shared" si="4"/>
        <v>第47名</v>
      </c>
    </row>
    <row r="47" spans="1:15" ht="15.95" customHeight="1" x14ac:dyDescent="0.2">
      <c r="A47" s="8">
        <v>46</v>
      </c>
      <c r="B47" s="6">
        <v>150109</v>
      </c>
      <c r="C47" s="5" t="s">
        <v>17</v>
      </c>
      <c r="D47" s="7" t="str">
        <f t="shared" si="0"/>
        <v>1班</v>
      </c>
      <c r="E47" s="7">
        <v>100</v>
      </c>
      <c r="F47" s="7">
        <v>112</v>
      </c>
      <c r="G47" s="7">
        <v>92.5</v>
      </c>
      <c r="H47" s="7">
        <v>66</v>
      </c>
      <c r="I47" s="7">
        <v>93</v>
      </c>
      <c r="J47" s="7">
        <v>64</v>
      </c>
      <c r="K47" s="7">
        <v>60</v>
      </c>
      <c r="L47" s="7">
        <f t="shared" si="1"/>
        <v>587.5</v>
      </c>
      <c r="M47" s="7">
        <f t="shared" si="2"/>
        <v>83.928571428571431</v>
      </c>
      <c r="N47" s="7" t="str">
        <f t="shared" si="3"/>
        <v>第74名</v>
      </c>
      <c r="O47" s="7" t="str">
        <f t="shared" si="4"/>
        <v>第54名</v>
      </c>
    </row>
    <row r="48" spans="1:15" ht="15.95" customHeight="1" x14ac:dyDescent="0.2">
      <c r="A48" s="8">
        <v>47</v>
      </c>
      <c r="B48" s="6">
        <v>150102</v>
      </c>
      <c r="C48" s="5" t="s">
        <v>10</v>
      </c>
      <c r="D48" s="7" t="str">
        <f t="shared" si="0"/>
        <v>1班</v>
      </c>
      <c r="E48" s="7">
        <v>78</v>
      </c>
      <c r="F48" s="7">
        <v>95</v>
      </c>
      <c r="G48" s="7">
        <v>94</v>
      </c>
      <c r="H48" s="7">
        <v>82</v>
      </c>
      <c r="I48" s="7">
        <v>90</v>
      </c>
      <c r="J48" s="7">
        <v>93</v>
      </c>
      <c r="K48" s="7">
        <v>94</v>
      </c>
      <c r="L48" s="7">
        <f t="shared" si="1"/>
        <v>626</v>
      </c>
      <c r="M48" s="7">
        <f t="shared" si="2"/>
        <v>89.428571428571431</v>
      </c>
      <c r="N48" s="7" t="str">
        <f t="shared" si="3"/>
        <v>第49名</v>
      </c>
      <c r="O48" s="7" t="str">
        <f t="shared" si="4"/>
        <v>第35名</v>
      </c>
    </row>
    <row r="49" spans="1:15" ht="15.95" customHeight="1" x14ac:dyDescent="0.2">
      <c r="A49" s="8">
        <v>48</v>
      </c>
      <c r="B49" s="6">
        <v>150223</v>
      </c>
      <c r="C49" s="5" t="s">
        <v>56</v>
      </c>
      <c r="D49" s="7" t="str">
        <f t="shared" si="0"/>
        <v>2班</v>
      </c>
      <c r="E49" s="7">
        <v>72</v>
      </c>
      <c r="F49" s="7">
        <v>99</v>
      </c>
      <c r="G49" s="7">
        <v>73</v>
      </c>
      <c r="H49" s="7">
        <v>57</v>
      </c>
      <c r="I49" s="7">
        <v>78</v>
      </c>
      <c r="J49" s="7">
        <v>78</v>
      </c>
      <c r="K49" s="7">
        <v>77</v>
      </c>
      <c r="L49" s="7">
        <f t="shared" si="1"/>
        <v>534</v>
      </c>
      <c r="M49" s="7">
        <f t="shared" si="2"/>
        <v>76.285714285714292</v>
      </c>
      <c r="N49" s="7" t="str">
        <f t="shared" si="3"/>
        <v>第113名</v>
      </c>
      <c r="O49" s="7" t="str">
        <f t="shared" si="4"/>
        <v>第81名</v>
      </c>
    </row>
    <row r="50" spans="1:15" ht="15.95" customHeight="1" x14ac:dyDescent="0.2">
      <c r="A50" s="8">
        <v>49</v>
      </c>
      <c r="B50" s="6">
        <v>150211</v>
      </c>
      <c r="C50" s="5" t="s">
        <v>47</v>
      </c>
      <c r="D50" s="7" t="str">
        <f t="shared" si="0"/>
        <v>2班</v>
      </c>
      <c r="E50" s="7">
        <v>90</v>
      </c>
      <c r="F50" s="7">
        <v>97</v>
      </c>
      <c r="G50" s="7">
        <v>80</v>
      </c>
      <c r="H50" s="7">
        <v>72</v>
      </c>
      <c r="I50" s="7">
        <v>87</v>
      </c>
      <c r="J50" s="7">
        <v>87</v>
      </c>
      <c r="K50" s="7">
        <v>60</v>
      </c>
      <c r="L50" s="7">
        <f t="shared" si="1"/>
        <v>573</v>
      </c>
      <c r="M50" s="7">
        <f t="shared" si="2"/>
        <v>81.857142857142861</v>
      </c>
      <c r="N50" s="7" t="str">
        <f t="shared" si="3"/>
        <v>第87名</v>
      </c>
      <c r="O50" s="7" t="str">
        <f t="shared" si="4"/>
        <v>第63名</v>
      </c>
    </row>
    <row r="51" spans="1:15" ht="15.95" customHeight="1" x14ac:dyDescent="0.2">
      <c r="A51" s="8">
        <v>50</v>
      </c>
      <c r="B51" s="6">
        <v>150321</v>
      </c>
      <c r="C51" s="5" t="s">
        <v>84</v>
      </c>
      <c r="D51" s="7" t="str">
        <f t="shared" si="0"/>
        <v>3班</v>
      </c>
      <c r="E51" s="7">
        <v>61</v>
      </c>
      <c r="F51" s="7">
        <v>91</v>
      </c>
      <c r="G51" s="7">
        <v>98</v>
      </c>
      <c r="H51" s="7">
        <v>55</v>
      </c>
      <c r="I51" s="7">
        <v>75</v>
      </c>
      <c r="J51" s="7">
        <v>91</v>
      </c>
      <c r="K51" s="7">
        <v>60</v>
      </c>
      <c r="L51" s="7">
        <f t="shared" si="1"/>
        <v>531</v>
      </c>
      <c r="M51" s="7">
        <f t="shared" si="2"/>
        <v>75.857142857142861</v>
      </c>
      <c r="N51" s="7" t="str">
        <f t="shared" si="3"/>
        <v>第116名</v>
      </c>
      <c r="O51" s="7" t="str">
        <f t="shared" si="4"/>
        <v>第83名</v>
      </c>
    </row>
    <row r="52" spans="1:15" ht="15.95" customHeight="1" x14ac:dyDescent="0.2">
      <c r="A52" s="8">
        <v>51</v>
      </c>
      <c r="B52" s="6">
        <v>150125</v>
      </c>
      <c r="C52" s="5" t="s">
        <v>33</v>
      </c>
      <c r="D52" s="7" t="str">
        <f t="shared" si="0"/>
        <v>1班</v>
      </c>
      <c r="E52" s="7">
        <v>106</v>
      </c>
      <c r="F52" s="7">
        <v>103</v>
      </c>
      <c r="G52" s="7">
        <v>92</v>
      </c>
      <c r="H52" s="7">
        <v>55</v>
      </c>
      <c r="I52" s="7">
        <v>91</v>
      </c>
      <c r="J52" s="7">
        <v>85</v>
      </c>
      <c r="K52" s="7">
        <v>82</v>
      </c>
      <c r="L52" s="7">
        <f t="shared" si="1"/>
        <v>614</v>
      </c>
      <c r="M52" s="7">
        <f t="shared" si="2"/>
        <v>87.714285714285708</v>
      </c>
      <c r="N52" s="7" t="str">
        <f t="shared" si="3"/>
        <v>第59名</v>
      </c>
      <c r="O52" s="7" t="str">
        <f t="shared" si="4"/>
        <v>第42名</v>
      </c>
    </row>
    <row r="53" spans="1:15" ht="15.95" customHeight="1" x14ac:dyDescent="0.2">
      <c r="A53" s="8">
        <v>52</v>
      </c>
      <c r="B53" s="6">
        <v>150110</v>
      </c>
      <c r="C53" s="5" t="s">
        <v>18</v>
      </c>
      <c r="D53" s="7" t="str">
        <f t="shared" si="0"/>
        <v>1班</v>
      </c>
      <c r="E53" s="7">
        <v>106</v>
      </c>
      <c r="F53" s="7">
        <v>102</v>
      </c>
      <c r="G53" s="7">
        <v>85</v>
      </c>
      <c r="H53" s="7">
        <v>79</v>
      </c>
      <c r="I53" s="7">
        <v>70</v>
      </c>
      <c r="J53" s="7">
        <v>93</v>
      </c>
      <c r="K53" s="7">
        <v>88</v>
      </c>
      <c r="L53" s="7">
        <f t="shared" si="1"/>
        <v>623</v>
      </c>
      <c r="M53" s="7">
        <f t="shared" si="2"/>
        <v>89</v>
      </c>
      <c r="N53" s="7" t="str">
        <f t="shared" si="3"/>
        <v>第52名</v>
      </c>
      <c r="O53" s="7" t="str">
        <f t="shared" si="4"/>
        <v>第37名</v>
      </c>
    </row>
    <row r="54" spans="1:15" ht="15.95" customHeight="1" x14ac:dyDescent="0.2">
      <c r="A54" s="8">
        <v>53</v>
      </c>
      <c r="B54" s="6">
        <v>150127</v>
      </c>
      <c r="C54" s="5" t="s">
        <v>35</v>
      </c>
      <c r="D54" s="7" t="str">
        <f t="shared" si="0"/>
        <v>1班</v>
      </c>
      <c r="E54" s="7">
        <v>117</v>
      </c>
      <c r="F54" s="7">
        <v>96</v>
      </c>
      <c r="G54" s="7">
        <v>84</v>
      </c>
      <c r="H54" s="7">
        <v>64</v>
      </c>
      <c r="I54" s="7">
        <v>91</v>
      </c>
      <c r="J54" s="7">
        <v>73</v>
      </c>
      <c r="K54" s="7">
        <v>95</v>
      </c>
      <c r="L54" s="7">
        <f t="shared" si="1"/>
        <v>620</v>
      </c>
      <c r="M54" s="7">
        <f t="shared" si="2"/>
        <v>88.571428571428569</v>
      </c>
      <c r="N54" s="7" t="str">
        <f t="shared" si="3"/>
        <v>第56名</v>
      </c>
      <c r="O54" s="7" t="str">
        <f t="shared" si="4"/>
        <v>第39名</v>
      </c>
    </row>
    <row r="55" spans="1:15" ht="15.95" customHeight="1" x14ac:dyDescent="0.2">
      <c r="A55" s="8">
        <v>54</v>
      </c>
      <c r="B55" s="6">
        <v>150427</v>
      </c>
      <c r="C55" s="5" t="s">
        <v>119</v>
      </c>
      <c r="D55" s="7" t="str">
        <f t="shared" si="0"/>
        <v>4班</v>
      </c>
      <c r="E55" s="7">
        <v>80</v>
      </c>
      <c r="F55" s="7">
        <v>112</v>
      </c>
      <c r="G55" s="7">
        <v>106</v>
      </c>
      <c r="H55" s="7">
        <v>76</v>
      </c>
      <c r="I55" s="7">
        <v>72</v>
      </c>
      <c r="J55" s="7">
        <v>96</v>
      </c>
      <c r="K55" s="7">
        <v>99</v>
      </c>
      <c r="L55" s="7">
        <f t="shared" si="1"/>
        <v>641</v>
      </c>
      <c r="M55" s="7">
        <f t="shared" si="2"/>
        <v>91.571428571428569</v>
      </c>
      <c r="N55" s="7" t="str">
        <f t="shared" si="3"/>
        <v>第31名</v>
      </c>
      <c r="O55" s="7" t="str">
        <f t="shared" si="4"/>
        <v>第24名</v>
      </c>
    </row>
    <row r="56" spans="1:15" ht="15.95" customHeight="1" x14ac:dyDescent="0.2">
      <c r="A56" s="8">
        <v>55</v>
      </c>
      <c r="B56" s="6">
        <v>150316</v>
      </c>
      <c r="C56" s="5" t="s">
        <v>79</v>
      </c>
      <c r="D56" s="7" t="str">
        <f t="shared" si="0"/>
        <v>3班</v>
      </c>
      <c r="E56" s="7">
        <v>112</v>
      </c>
      <c r="F56" s="7">
        <v>120</v>
      </c>
      <c r="G56" s="7">
        <v>104</v>
      </c>
      <c r="H56" s="7">
        <v>95</v>
      </c>
      <c r="I56" s="7">
        <v>97</v>
      </c>
      <c r="J56" s="7">
        <v>96</v>
      </c>
      <c r="K56" s="7">
        <v>95</v>
      </c>
      <c r="L56" s="7">
        <f t="shared" si="1"/>
        <v>719</v>
      </c>
      <c r="M56" s="7">
        <f t="shared" si="2"/>
        <v>102.71428571428571</v>
      </c>
      <c r="N56" s="7" t="str">
        <f t="shared" si="3"/>
        <v>第1名</v>
      </c>
      <c r="O56" s="7" t="str">
        <f t="shared" si="4"/>
        <v>第1名</v>
      </c>
    </row>
    <row r="57" spans="1:15" ht="15.95" customHeight="1" x14ac:dyDescent="0.2">
      <c r="A57" s="8">
        <v>56</v>
      </c>
      <c r="B57" s="6">
        <v>150310</v>
      </c>
      <c r="C57" s="5" t="s">
        <v>73</v>
      </c>
      <c r="D57" s="7" t="str">
        <f t="shared" si="0"/>
        <v>3班</v>
      </c>
      <c r="E57" s="7">
        <v>95</v>
      </c>
      <c r="F57" s="7">
        <v>97</v>
      </c>
      <c r="G57" s="7">
        <v>58</v>
      </c>
      <c r="H57" s="7">
        <v>87</v>
      </c>
      <c r="I57" s="7">
        <v>76</v>
      </c>
      <c r="J57" s="7">
        <v>92</v>
      </c>
      <c r="K57" s="7">
        <v>88</v>
      </c>
      <c r="L57" s="7">
        <f t="shared" si="1"/>
        <v>593</v>
      </c>
      <c r="M57" s="7">
        <f t="shared" si="2"/>
        <v>84.714285714285708</v>
      </c>
      <c r="N57" s="7" t="str">
        <f t="shared" si="3"/>
        <v>第70名</v>
      </c>
      <c r="O57" s="7" t="str">
        <f t="shared" si="4"/>
        <v>第51名</v>
      </c>
    </row>
    <row r="58" spans="1:15" ht="15.95" customHeight="1" x14ac:dyDescent="0.2">
      <c r="A58" s="8">
        <v>57</v>
      </c>
      <c r="B58" s="6">
        <v>150315</v>
      </c>
      <c r="C58" s="5" t="s">
        <v>78</v>
      </c>
      <c r="D58" s="7" t="str">
        <f t="shared" si="0"/>
        <v>3班</v>
      </c>
      <c r="E58" s="7">
        <v>94.5</v>
      </c>
      <c r="F58" s="7">
        <v>85.5</v>
      </c>
      <c r="G58" s="7">
        <v>90.5</v>
      </c>
      <c r="H58" s="7">
        <v>75</v>
      </c>
      <c r="I58" s="7">
        <v>87</v>
      </c>
      <c r="J58" s="7">
        <v>74</v>
      </c>
      <c r="K58" s="7">
        <v>61</v>
      </c>
      <c r="L58" s="7">
        <f t="shared" si="1"/>
        <v>567.5</v>
      </c>
      <c r="M58" s="7">
        <f t="shared" si="2"/>
        <v>81.071428571428569</v>
      </c>
      <c r="N58" s="7" t="str">
        <f t="shared" si="3"/>
        <v>第93名</v>
      </c>
      <c r="O58" s="7" t="str">
        <f t="shared" si="4"/>
        <v>第67名</v>
      </c>
    </row>
    <row r="59" spans="1:15" ht="15.95" customHeight="1" x14ac:dyDescent="0.2">
      <c r="A59" s="8">
        <v>58</v>
      </c>
      <c r="B59" s="6">
        <v>150309</v>
      </c>
      <c r="C59" s="5" t="s">
        <v>72</v>
      </c>
      <c r="D59" s="7" t="str">
        <f t="shared" si="0"/>
        <v>3班</v>
      </c>
      <c r="E59" s="7">
        <v>89</v>
      </c>
      <c r="F59" s="7">
        <v>81</v>
      </c>
      <c r="G59" s="7">
        <v>108</v>
      </c>
      <c r="H59" s="7">
        <v>68</v>
      </c>
      <c r="I59" s="7">
        <v>66</v>
      </c>
      <c r="J59" s="7">
        <v>77</v>
      </c>
      <c r="K59" s="7">
        <v>73</v>
      </c>
      <c r="L59" s="7">
        <f t="shared" si="1"/>
        <v>562</v>
      </c>
      <c r="M59" s="7">
        <f t="shared" si="2"/>
        <v>80.285714285714292</v>
      </c>
      <c r="N59" s="7" t="str">
        <f t="shared" si="3"/>
        <v>第96名</v>
      </c>
      <c r="O59" s="7" t="str">
        <f t="shared" si="4"/>
        <v>第70名</v>
      </c>
    </row>
    <row r="60" spans="1:15" ht="15.95" customHeight="1" x14ac:dyDescent="0.2">
      <c r="A60" s="8">
        <v>59</v>
      </c>
      <c r="B60" s="6">
        <v>150202</v>
      </c>
      <c r="C60" s="5" t="s">
        <v>124</v>
      </c>
      <c r="D60" s="7" t="str">
        <f t="shared" si="0"/>
        <v>2班</v>
      </c>
      <c r="E60" s="7">
        <v>86</v>
      </c>
      <c r="F60" s="7">
        <v>107</v>
      </c>
      <c r="G60" s="7">
        <v>89</v>
      </c>
      <c r="H60" s="7">
        <v>88</v>
      </c>
      <c r="I60" s="7">
        <v>92</v>
      </c>
      <c r="J60" s="7">
        <v>88</v>
      </c>
      <c r="K60" s="7">
        <v>89</v>
      </c>
      <c r="L60" s="7">
        <f t="shared" si="1"/>
        <v>639</v>
      </c>
      <c r="M60" s="7">
        <f t="shared" si="2"/>
        <v>91.285714285714292</v>
      </c>
      <c r="N60" s="7" t="str">
        <f t="shared" si="3"/>
        <v>第33名</v>
      </c>
      <c r="O60" s="7" t="str">
        <f t="shared" si="4"/>
        <v>第25名</v>
      </c>
    </row>
    <row r="61" spans="1:15" ht="15.95" customHeight="1" x14ac:dyDescent="0.2">
      <c r="A61" s="8">
        <v>60</v>
      </c>
      <c r="B61" s="6">
        <v>150407</v>
      </c>
      <c r="C61" s="5" t="s">
        <v>99</v>
      </c>
      <c r="D61" s="7" t="str">
        <f t="shared" si="0"/>
        <v>4班</v>
      </c>
      <c r="E61" s="7">
        <v>110</v>
      </c>
      <c r="F61" s="7">
        <v>116</v>
      </c>
      <c r="G61" s="7">
        <v>97</v>
      </c>
      <c r="H61" s="7">
        <v>92</v>
      </c>
      <c r="I61" s="7">
        <v>92</v>
      </c>
      <c r="J61" s="7">
        <v>85</v>
      </c>
      <c r="K61" s="7">
        <v>70</v>
      </c>
      <c r="L61" s="7">
        <f t="shared" si="1"/>
        <v>662</v>
      </c>
      <c r="M61" s="7">
        <f t="shared" si="2"/>
        <v>94.571428571428569</v>
      </c>
      <c r="N61" s="7" t="str">
        <f t="shared" si="3"/>
        <v>第19名</v>
      </c>
      <c r="O61" s="7" t="str">
        <f t="shared" si="4"/>
        <v>第16名</v>
      </c>
    </row>
    <row r="62" spans="1:15" ht="15.95" customHeight="1" x14ac:dyDescent="0.2">
      <c r="A62" s="8">
        <v>61</v>
      </c>
      <c r="B62" s="6">
        <v>150111</v>
      </c>
      <c r="C62" s="5" t="s">
        <v>19</v>
      </c>
      <c r="D62" s="7" t="str">
        <f t="shared" si="0"/>
        <v>1班</v>
      </c>
      <c r="E62" s="7">
        <v>115</v>
      </c>
      <c r="F62" s="7">
        <v>83</v>
      </c>
      <c r="G62" s="7">
        <v>99</v>
      </c>
      <c r="H62" s="7">
        <v>90</v>
      </c>
      <c r="I62" s="7">
        <v>89</v>
      </c>
      <c r="J62" s="7">
        <v>80</v>
      </c>
      <c r="K62" s="7">
        <v>94</v>
      </c>
      <c r="L62" s="7">
        <f t="shared" si="1"/>
        <v>650</v>
      </c>
      <c r="M62" s="7">
        <f t="shared" si="2"/>
        <v>92.857142857142861</v>
      </c>
      <c r="N62" s="7" t="str">
        <f t="shared" si="3"/>
        <v>第28名</v>
      </c>
      <c r="O62" s="7" t="str">
        <f t="shared" si="4"/>
        <v>第21名</v>
      </c>
    </row>
    <row r="63" spans="1:15" ht="15.95" customHeight="1" x14ac:dyDescent="0.2">
      <c r="A63" s="8">
        <v>62</v>
      </c>
      <c r="B63" s="6">
        <v>150106</v>
      </c>
      <c r="C63" s="5" t="s">
        <v>14</v>
      </c>
      <c r="D63" s="7" t="str">
        <f t="shared" si="0"/>
        <v>1班</v>
      </c>
      <c r="E63" s="7">
        <v>105</v>
      </c>
      <c r="F63" s="7">
        <v>102</v>
      </c>
      <c r="G63" s="7">
        <v>102.5</v>
      </c>
      <c r="H63" s="7">
        <v>90</v>
      </c>
      <c r="I63" s="7">
        <v>87</v>
      </c>
      <c r="J63" s="7">
        <v>95</v>
      </c>
      <c r="K63" s="7">
        <v>93</v>
      </c>
      <c r="L63" s="7">
        <f t="shared" si="1"/>
        <v>674.5</v>
      </c>
      <c r="M63" s="7">
        <f t="shared" si="2"/>
        <v>96.357142857142861</v>
      </c>
      <c r="N63" s="7" t="str">
        <f t="shared" si="3"/>
        <v>第15名</v>
      </c>
      <c r="O63" s="7" t="str">
        <f t="shared" si="4"/>
        <v>第12名</v>
      </c>
    </row>
    <row r="64" spans="1:15" ht="15.95" customHeight="1" x14ac:dyDescent="0.2">
      <c r="A64" s="8">
        <v>63</v>
      </c>
      <c r="B64" s="6">
        <v>150118</v>
      </c>
      <c r="C64" s="5" t="s">
        <v>26</v>
      </c>
      <c r="D64" s="7" t="str">
        <f t="shared" si="0"/>
        <v>1班</v>
      </c>
      <c r="E64" s="7">
        <v>62</v>
      </c>
      <c r="F64" s="7">
        <v>90</v>
      </c>
      <c r="G64" s="7">
        <v>105</v>
      </c>
      <c r="H64" s="7">
        <v>70</v>
      </c>
      <c r="I64" s="7">
        <v>92</v>
      </c>
      <c r="J64" s="7">
        <v>62</v>
      </c>
      <c r="K64" s="7">
        <v>87</v>
      </c>
      <c r="L64" s="7">
        <f t="shared" si="1"/>
        <v>568</v>
      </c>
      <c r="M64" s="7">
        <f t="shared" si="2"/>
        <v>81.142857142857139</v>
      </c>
      <c r="N64" s="7" t="str">
        <f t="shared" si="3"/>
        <v>第91名</v>
      </c>
      <c r="O64" s="7" t="str">
        <f t="shared" si="4"/>
        <v>第66名</v>
      </c>
    </row>
    <row r="65" spans="1:15" ht="15.95" customHeight="1" x14ac:dyDescent="0.2">
      <c r="A65" s="8">
        <v>64</v>
      </c>
      <c r="B65" s="6">
        <v>150216</v>
      </c>
      <c r="C65" s="5" t="s">
        <v>51</v>
      </c>
      <c r="D65" s="7" t="str">
        <f t="shared" si="0"/>
        <v>2班</v>
      </c>
      <c r="E65" s="7">
        <v>91</v>
      </c>
      <c r="F65" s="7">
        <v>101</v>
      </c>
      <c r="G65" s="7">
        <v>111</v>
      </c>
      <c r="H65" s="7">
        <v>82</v>
      </c>
      <c r="I65" s="7">
        <v>89</v>
      </c>
      <c r="J65" s="7">
        <v>73</v>
      </c>
      <c r="K65" s="7">
        <v>85</v>
      </c>
      <c r="L65" s="7">
        <f t="shared" si="1"/>
        <v>632</v>
      </c>
      <c r="M65" s="7">
        <f t="shared" si="2"/>
        <v>90.285714285714292</v>
      </c>
      <c r="N65" s="7" t="str">
        <f t="shared" si="3"/>
        <v>第41名</v>
      </c>
      <c r="O65" s="7" t="str">
        <f t="shared" si="4"/>
        <v>第29名</v>
      </c>
    </row>
    <row r="66" spans="1:15" ht="15.95" customHeight="1" x14ac:dyDescent="0.2">
      <c r="A66" s="8">
        <v>65</v>
      </c>
      <c r="B66" s="6">
        <v>150209</v>
      </c>
      <c r="C66" s="5" t="s">
        <v>125</v>
      </c>
      <c r="D66" s="7" t="str">
        <f t="shared" si="0"/>
        <v>2班</v>
      </c>
      <c r="E66" s="7">
        <v>58</v>
      </c>
      <c r="F66" s="7">
        <v>91</v>
      </c>
      <c r="G66" s="7">
        <v>90</v>
      </c>
      <c r="H66" s="7">
        <v>71</v>
      </c>
      <c r="I66" s="7">
        <v>63</v>
      </c>
      <c r="J66" s="7">
        <v>82</v>
      </c>
      <c r="K66" s="7">
        <v>78</v>
      </c>
      <c r="L66" s="7">
        <f t="shared" si="1"/>
        <v>533</v>
      </c>
      <c r="M66" s="7">
        <f t="shared" si="2"/>
        <v>76.142857142857139</v>
      </c>
      <c r="N66" s="7" t="str">
        <f t="shared" si="3"/>
        <v>第114名</v>
      </c>
      <c r="O66" s="7" t="str">
        <f t="shared" si="4"/>
        <v>第82名</v>
      </c>
    </row>
    <row r="67" spans="1:15" ht="15.95" customHeight="1" x14ac:dyDescent="0.2">
      <c r="A67" s="8">
        <v>66</v>
      </c>
      <c r="B67" s="6">
        <v>150203</v>
      </c>
      <c r="C67" s="5" t="s">
        <v>40</v>
      </c>
      <c r="D67" s="7" t="str">
        <f t="shared" ref="D67:D121" si="5">MID(B67,4,1)&amp;"班"</f>
        <v>2班</v>
      </c>
      <c r="E67" s="7">
        <v>93</v>
      </c>
      <c r="F67" s="7">
        <v>99</v>
      </c>
      <c r="G67" s="7">
        <v>92</v>
      </c>
      <c r="H67" s="7">
        <v>86</v>
      </c>
      <c r="I67" s="7">
        <v>86</v>
      </c>
      <c r="J67" s="7">
        <v>75</v>
      </c>
      <c r="K67" s="7">
        <v>92</v>
      </c>
      <c r="L67" s="7">
        <f t="shared" ref="L67:L121" si="6">SUM(E67:K67)</f>
        <v>623</v>
      </c>
      <c r="M67" s="7">
        <f t="shared" ref="M67:M121" si="7">AVERAGE(E67:K67)</f>
        <v>89</v>
      </c>
      <c r="N67" s="7" t="str">
        <f t="shared" ref="N67:N121" si="8">"第"&amp;RANK(L67,$L$2:$L$121,0)&amp;"名"</f>
        <v>第52名</v>
      </c>
      <c r="O67" s="7" t="str">
        <f t="shared" ref="O67:O121" si="9">"第"&amp;SUMPRODUCT(($L$2:$L$121&gt;L67)*
(1/COUNTIF($L$2:$L$121,$L$2:$L$121)))+1&amp;"名"</f>
        <v>第37名</v>
      </c>
    </row>
    <row r="68" spans="1:15" ht="15.95" customHeight="1" x14ac:dyDescent="0.2">
      <c r="A68" s="8">
        <v>67</v>
      </c>
      <c r="B68" s="6">
        <v>150307</v>
      </c>
      <c r="C68" s="5" t="s">
        <v>70</v>
      </c>
      <c r="D68" s="7" t="str">
        <f t="shared" si="5"/>
        <v>3班</v>
      </c>
      <c r="E68" s="7">
        <v>94</v>
      </c>
      <c r="F68" s="7">
        <v>118</v>
      </c>
      <c r="G68" s="7">
        <v>93</v>
      </c>
      <c r="H68" s="7">
        <v>95</v>
      </c>
      <c r="I68" s="7">
        <v>85</v>
      </c>
      <c r="J68" s="7">
        <v>76</v>
      </c>
      <c r="K68" s="7">
        <v>80</v>
      </c>
      <c r="L68" s="7">
        <f t="shared" si="6"/>
        <v>641</v>
      </c>
      <c r="M68" s="7">
        <f t="shared" si="7"/>
        <v>91.571428571428569</v>
      </c>
      <c r="N68" s="7" t="str">
        <f t="shared" si="8"/>
        <v>第31名</v>
      </c>
      <c r="O68" s="7" t="str">
        <f t="shared" si="9"/>
        <v>第24名</v>
      </c>
    </row>
    <row r="69" spans="1:15" ht="15.95" customHeight="1" x14ac:dyDescent="0.2">
      <c r="A69" s="8">
        <v>68</v>
      </c>
      <c r="B69" s="6">
        <v>150219</v>
      </c>
      <c r="C69" s="5" t="s">
        <v>127</v>
      </c>
      <c r="D69" s="7" t="str">
        <f t="shared" si="5"/>
        <v>2班</v>
      </c>
      <c r="E69" s="7">
        <v>90</v>
      </c>
      <c r="F69" s="7">
        <v>92</v>
      </c>
      <c r="G69" s="7">
        <v>79</v>
      </c>
      <c r="H69" s="7">
        <v>89</v>
      </c>
      <c r="I69" s="7">
        <v>91</v>
      </c>
      <c r="J69" s="7">
        <v>100</v>
      </c>
      <c r="K69" s="7">
        <v>98</v>
      </c>
      <c r="L69" s="7">
        <f t="shared" si="6"/>
        <v>639</v>
      </c>
      <c r="M69" s="7">
        <f t="shared" si="7"/>
        <v>91.285714285714292</v>
      </c>
      <c r="N69" s="7" t="str">
        <f t="shared" si="8"/>
        <v>第33名</v>
      </c>
      <c r="O69" s="7" t="str">
        <f t="shared" si="9"/>
        <v>第25名</v>
      </c>
    </row>
    <row r="70" spans="1:15" ht="15.95" customHeight="1" x14ac:dyDescent="0.2">
      <c r="A70" s="8">
        <v>69</v>
      </c>
      <c r="B70" s="6">
        <v>150311</v>
      </c>
      <c r="C70" s="5" t="s">
        <v>74</v>
      </c>
      <c r="D70" s="7" t="str">
        <f t="shared" si="5"/>
        <v>3班</v>
      </c>
      <c r="E70" s="7">
        <v>92.5</v>
      </c>
      <c r="F70" s="7">
        <v>104</v>
      </c>
      <c r="G70" s="7">
        <v>112</v>
      </c>
      <c r="H70" s="7">
        <v>90</v>
      </c>
      <c r="I70" s="7">
        <v>85</v>
      </c>
      <c r="J70" s="7">
        <v>85</v>
      </c>
      <c r="K70" s="7">
        <v>66</v>
      </c>
      <c r="L70" s="7">
        <f t="shared" si="6"/>
        <v>634.5</v>
      </c>
      <c r="M70" s="7">
        <f t="shared" si="7"/>
        <v>90.642857142857139</v>
      </c>
      <c r="N70" s="7" t="str">
        <f t="shared" si="8"/>
        <v>第39名</v>
      </c>
      <c r="O70" s="7" t="str">
        <f t="shared" si="9"/>
        <v>第28名</v>
      </c>
    </row>
    <row r="71" spans="1:15" ht="15.95" customHeight="1" x14ac:dyDescent="0.2">
      <c r="A71" s="8">
        <v>70</v>
      </c>
      <c r="B71" s="6">
        <v>150201</v>
      </c>
      <c r="C71" s="5" t="s">
        <v>39</v>
      </c>
      <c r="D71" s="7" t="str">
        <f t="shared" si="5"/>
        <v>2班</v>
      </c>
      <c r="E71" s="7">
        <v>109.5</v>
      </c>
      <c r="F71" s="7">
        <v>107</v>
      </c>
      <c r="G71" s="7">
        <v>106</v>
      </c>
      <c r="H71" s="7">
        <v>99</v>
      </c>
      <c r="I71" s="7">
        <v>93</v>
      </c>
      <c r="J71" s="7">
        <v>94</v>
      </c>
      <c r="K71" s="7">
        <v>95</v>
      </c>
      <c r="L71" s="7">
        <f t="shared" si="6"/>
        <v>703.5</v>
      </c>
      <c r="M71" s="7">
        <f t="shared" si="7"/>
        <v>100.5</v>
      </c>
      <c r="N71" s="7" t="str">
        <f t="shared" si="8"/>
        <v>第8名</v>
      </c>
      <c r="O71" s="7" t="str">
        <f t="shared" si="9"/>
        <v>第6名</v>
      </c>
    </row>
    <row r="72" spans="1:15" ht="15.95" customHeight="1" x14ac:dyDescent="0.2">
      <c r="A72" s="8">
        <v>71</v>
      </c>
      <c r="B72" s="6">
        <v>150325</v>
      </c>
      <c r="C72" s="5" t="s">
        <v>88</v>
      </c>
      <c r="D72" s="7" t="str">
        <f t="shared" si="5"/>
        <v>3班</v>
      </c>
      <c r="E72" s="7">
        <v>59</v>
      </c>
      <c r="F72" s="7">
        <v>77</v>
      </c>
      <c r="G72" s="7">
        <v>67</v>
      </c>
      <c r="H72" s="7">
        <v>75</v>
      </c>
      <c r="I72" s="7">
        <v>81</v>
      </c>
      <c r="J72" s="7">
        <v>79</v>
      </c>
      <c r="K72" s="7">
        <v>85</v>
      </c>
      <c r="L72" s="7">
        <f t="shared" si="6"/>
        <v>523</v>
      </c>
      <c r="M72" s="7">
        <f t="shared" si="7"/>
        <v>74.714285714285708</v>
      </c>
      <c r="N72" s="7" t="str">
        <f t="shared" si="8"/>
        <v>第117名</v>
      </c>
      <c r="O72" s="7" t="str">
        <f t="shared" si="9"/>
        <v>第84名</v>
      </c>
    </row>
    <row r="73" spans="1:15" ht="15.95" customHeight="1" x14ac:dyDescent="0.2">
      <c r="A73" s="8">
        <v>72</v>
      </c>
      <c r="B73" s="6">
        <v>150227</v>
      </c>
      <c r="C73" s="5" t="s">
        <v>60</v>
      </c>
      <c r="D73" s="7" t="str">
        <f t="shared" si="5"/>
        <v>2班</v>
      </c>
      <c r="E73" s="7">
        <v>103</v>
      </c>
      <c r="F73" s="7">
        <v>102</v>
      </c>
      <c r="G73" s="7">
        <v>110</v>
      </c>
      <c r="H73" s="7">
        <v>87.5</v>
      </c>
      <c r="I73" s="7">
        <v>97</v>
      </c>
      <c r="J73" s="7">
        <v>92</v>
      </c>
      <c r="K73" s="7">
        <v>89</v>
      </c>
      <c r="L73" s="7">
        <f t="shared" si="6"/>
        <v>680.5</v>
      </c>
      <c r="M73" s="7">
        <f t="shared" si="7"/>
        <v>97.214285714285708</v>
      </c>
      <c r="N73" s="7" t="str">
        <f t="shared" si="8"/>
        <v>第13名</v>
      </c>
      <c r="O73" s="7" t="str">
        <f t="shared" si="9"/>
        <v>第11名</v>
      </c>
    </row>
    <row r="74" spans="1:15" ht="15.95" customHeight="1" x14ac:dyDescent="0.2">
      <c r="A74" s="8">
        <v>73</v>
      </c>
      <c r="B74" s="6">
        <v>150313</v>
      </c>
      <c r="C74" s="5" t="s">
        <v>76</v>
      </c>
      <c r="D74" s="7" t="str">
        <f t="shared" si="5"/>
        <v>3班</v>
      </c>
      <c r="E74" s="7">
        <v>112</v>
      </c>
      <c r="F74" s="7">
        <v>70</v>
      </c>
      <c r="G74" s="7">
        <v>79</v>
      </c>
      <c r="H74" s="7">
        <v>64</v>
      </c>
      <c r="I74" s="7">
        <v>67</v>
      </c>
      <c r="J74" s="7">
        <v>75</v>
      </c>
      <c r="K74" s="7">
        <v>96</v>
      </c>
      <c r="L74" s="7">
        <f t="shared" si="6"/>
        <v>563</v>
      </c>
      <c r="M74" s="7">
        <f t="shared" si="7"/>
        <v>80.428571428571431</v>
      </c>
      <c r="N74" s="7" t="str">
        <f t="shared" si="8"/>
        <v>第95名</v>
      </c>
      <c r="O74" s="7" t="str">
        <f t="shared" si="9"/>
        <v>第69名</v>
      </c>
    </row>
    <row r="75" spans="1:15" ht="15.95" customHeight="1" x14ac:dyDescent="0.2">
      <c r="A75" s="8">
        <v>74</v>
      </c>
      <c r="B75" s="6">
        <v>150217</v>
      </c>
      <c r="C75" s="5" t="s">
        <v>52</v>
      </c>
      <c r="D75" s="7" t="str">
        <f t="shared" si="5"/>
        <v>2班</v>
      </c>
      <c r="E75" s="7">
        <v>113</v>
      </c>
      <c r="F75" s="7">
        <v>118</v>
      </c>
      <c r="G75" s="7">
        <v>107</v>
      </c>
      <c r="H75" s="7">
        <v>96</v>
      </c>
      <c r="I75" s="7">
        <v>88</v>
      </c>
      <c r="J75" s="7">
        <v>91</v>
      </c>
      <c r="K75" s="7">
        <v>94</v>
      </c>
      <c r="L75" s="7">
        <f t="shared" si="6"/>
        <v>707</v>
      </c>
      <c r="M75" s="7">
        <f t="shared" si="7"/>
        <v>101</v>
      </c>
      <c r="N75" s="7" t="str">
        <f t="shared" si="8"/>
        <v>第7名</v>
      </c>
      <c r="O75" s="7" t="str">
        <f t="shared" si="9"/>
        <v>第5名</v>
      </c>
    </row>
    <row r="76" spans="1:15" ht="15.95" customHeight="1" x14ac:dyDescent="0.2">
      <c r="A76" s="8">
        <v>75</v>
      </c>
      <c r="B76" s="6">
        <v>150108</v>
      </c>
      <c r="C76" s="5" t="s">
        <v>16</v>
      </c>
      <c r="D76" s="7" t="str">
        <f t="shared" si="5"/>
        <v>1班</v>
      </c>
      <c r="E76" s="7">
        <v>89</v>
      </c>
      <c r="F76" s="7">
        <v>87</v>
      </c>
      <c r="G76" s="7">
        <v>96</v>
      </c>
      <c r="H76" s="7">
        <v>98</v>
      </c>
      <c r="I76" s="7">
        <v>65</v>
      </c>
      <c r="J76" s="7">
        <v>71</v>
      </c>
      <c r="K76" s="7">
        <v>78</v>
      </c>
      <c r="L76" s="7">
        <f t="shared" si="6"/>
        <v>584</v>
      </c>
      <c r="M76" s="7">
        <f t="shared" si="7"/>
        <v>83.428571428571431</v>
      </c>
      <c r="N76" s="7" t="str">
        <f t="shared" si="8"/>
        <v>第76名</v>
      </c>
      <c r="O76" s="7" t="str">
        <f t="shared" si="9"/>
        <v>第56名</v>
      </c>
    </row>
    <row r="77" spans="1:15" ht="15.95" customHeight="1" x14ac:dyDescent="0.2">
      <c r="A77" s="8">
        <v>76</v>
      </c>
      <c r="B77" s="6">
        <v>150320</v>
      </c>
      <c r="C77" s="5" t="s">
        <v>83</v>
      </c>
      <c r="D77" s="7" t="str">
        <f t="shared" si="5"/>
        <v>3班</v>
      </c>
      <c r="E77" s="7">
        <v>58</v>
      </c>
      <c r="F77" s="7">
        <v>83</v>
      </c>
      <c r="G77" s="7">
        <v>95</v>
      </c>
      <c r="H77" s="7">
        <v>77</v>
      </c>
      <c r="I77" s="7">
        <v>86</v>
      </c>
      <c r="J77" s="7">
        <v>75</v>
      </c>
      <c r="K77" s="7">
        <v>76</v>
      </c>
      <c r="L77" s="7">
        <f t="shared" si="6"/>
        <v>550</v>
      </c>
      <c r="M77" s="7">
        <f t="shared" si="7"/>
        <v>78.571428571428569</v>
      </c>
      <c r="N77" s="7" t="str">
        <f t="shared" si="8"/>
        <v>第101名</v>
      </c>
      <c r="O77" s="7" t="str">
        <f t="shared" si="9"/>
        <v>第73名</v>
      </c>
    </row>
    <row r="78" spans="1:15" ht="15.95" customHeight="1" x14ac:dyDescent="0.2">
      <c r="A78" s="8">
        <v>77</v>
      </c>
      <c r="B78" s="6">
        <v>150204</v>
      </c>
      <c r="C78" s="5" t="s">
        <v>41</v>
      </c>
      <c r="D78" s="7" t="str">
        <f t="shared" si="5"/>
        <v>2班</v>
      </c>
      <c r="E78" s="7">
        <v>95.5</v>
      </c>
      <c r="F78" s="7">
        <v>92</v>
      </c>
      <c r="G78" s="7">
        <v>96</v>
      </c>
      <c r="H78" s="7">
        <v>84</v>
      </c>
      <c r="I78" s="7">
        <v>95</v>
      </c>
      <c r="J78" s="7">
        <v>91</v>
      </c>
      <c r="K78" s="7">
        <v>92</v>
      </c>
      <c r="L78" s="7">
        <f t="shared" si="6"/>
        <v>645.5</v>
      </c>
      <c r="M78" s="7">
        <f t="shared" si="7"/>
        <v>92.214285714285708</v>
      </c>
      <c r="N78" s="7" t="str">
        <f t="shared" si="8"/>
        <v>第30名</v>
      </c>
      <c r="O78" s="7" t="str">
        <f t="shared" si="9"/>
        <v>第23名</v>
      </c>
    </row>
    <row r="79" spans="1:15" ht="15.95" customHeight="1" x14ac:dyDescent="0.2">
      <c r="A79" s="8">
        <v>78</v>
      </c>
      <c r="B79" s="6">
        <v>150225</v>
      </c>
      <c r="C79" s="5" t="s">
        <v>58</v>
      </c>
      <c r="D79" s="7" t="str">
        <f t="shared" si="5"/>
        <v>2班</v>
      </c>
      <c r="E79" s="7">
        <v>112</v>
      </c>
      <c r="F79" s="7">
        <v>97</v>
      </c>
      <c r="G79" s="7">
        <v>64</v>
      </c>
      <c r="H79" s="7">
        <v>69</v>
      </c>
      <c r="I79" s="7">
        <v>100</v>
      </c>
      <c r="J79" s="7">
        <v>98</v>
      </c>
      <c r="K79" s="7">
        <v>69</v>
      </c>
      <c r="L79" s="7">
        <f t="shared" si="6"/>
        <v>609</v>
      </c>
      <c r="M79" s="7">
        <f t="shared" si="7"/>
        <v>87</v>
      </c>
      <c r="N79" s="7" t="str">
        <f t="shared" si="8"/>
        <v>第62名</v>
      </c>
      <c r="O79" s="7" t="str">
        <f t="shared" si="9"/>
        <v>第45名</v>
      </c>
    </row>
    <row r="80" spans="1:15" ht="15.95" customHeight="1" x14ac:dyDescent="0.2">
      <c r="A80" s="8">
        <v>79</v>
      </c>
      <c r="B80" s="6">
        <v>150324</v>
      </c>
      <c r="C80" s="5" t="s">
        <v>87</v>
      </c>
      <c r="D80" s="7" t="str">
        <f t="shared" si="5"/>
        <v>3班</v>
      </c>
      <c r="E80" s="7">
        <v>88</v>
      </c>
      <c r="F80" s="7">
        <v>93</v>
      </c>
      <c r="G80" s="7">
        <v>104</v>
      </c>
      <c r="H80" s="7">
        <v>85</v>
      </c>
      <c r="I80" s="7">
        <v>75</v>
      </c>
      <c r="J80" s="7">
        <v>84</v>
      </c>
      <c r="K80" s="7">
        <v>82</v>
      </c>
      <c r="L80" s="7">
        <f t="shared" si="6"/>
        <v>611</v>
      </c>
      <c r="M80" s="7">
        <f t="shared" si="7"/>
        <v>87.285714285714292</v>
      </c>
      <c r="N80" s="7" t="str">
        <f t="shared" si="8"/>
        <v>第61名</v>
      </c>
      <c r="O80" s="7" t="str">
        <f t="shared" si="9"/>
        <v>第44名</v>
      </c>
    </row>
    <row r="81" spans="1:15" ht="15.95" customHeight="1" x14ac:dyDescent="0.2">
      <c r="A81" s="8">
        <v>80</v>
      </c>
      <c r="B81" s="6">
        <v>150328</v>
      </c>
      <c r="C81" s="5" t="s">
        <v>91</v>
      </c>
      <c r="D81" s="7" t="str">
        <f t="shared" si="5"/>
        <v>3班</v>
      </c>
      <c r="E81" s="7">
        <v>93</v>
      </c>
      <c r="F81" s="7">
        <v>98</v>
      </c>
      <c r="G81" s="7">
        <v>102</v>
      </c>
      <c r="H81" s="7">
        <v>91</v>
      </c>
      <c r="I81" s="7">
        <v>56</v>
      </c>
      <c r="J81" s="7">
        <v>75</v>
      </c>
      <c r="K81" s="7">
        <v>90</v>
      </c>
      <c r="L81" s="7">
        <f t="shared" si="6"/>
        <v>605</v>
      </c>
      <c r="M81" s="7">
        <f t="shared" si="7"/>
        <v>86.428571428571431</v>
      </c>
      <c r="N81" s="7" t="str">
        <f t="shared" si="8"/>
        <v>第64名</v>
      </c>
      <c r="O81" s="7" t="str">
        <f t="shared" si="9"/>
        <v>第47名</v>
      </c>
    </row>
    <row r="82" spans="1:15" ht="15.95" customHeight="1" x14ac:dyDescent="0.2">
      <c r="A82" s="8">
        <v>81</v>
      </c>
      <c r="B82" s="6">
        <v>150314</v>
      </c>
      <c r="C82" s="5" t="s">
        <v>77</v>
      </c>
      <c r="D82" s="7" t="str">
        <f t="shared" si="5"/>
        <v>3班</v>
      </c>
      <c r="E82" s="7">
        <v>98</v>
      </c>
      <c r="F82" s="7">
        <v>97</v>
      </c>
      <c r="G82" s="7">
        <v>119</v>
      </c>
      <c r="H82" s="7">
        <v>98</v>
      </c>
      <c r="I82" s="7">
        <v>63</v>
      </c>
      <c r="J82" s="7">
        <v>99</v>
      </c>
      <c r="K82" s="7">
        <v>97</v>
      </c>
      <c r="L82" s="7">
        <f t="shared" si="6"/>
        <v>671</v>
      </c>
      <c r="M82" s="7">
        <f t="shared" si="7"/>
        <v>95.857142857142861</v>
      </c>
      <c r="N82" s="7" t="str">
        <f t="shared" si="8"/>
        <v>第17名</v>
      </c>
      <c r="O82" s="7" t="str">
        <f t="shared" si="9"/>
        <v>第14名</v>
      </c>
    </row>
    <row r="83" spans="1:15" ht="15.95" customHeight="1" x14ac:dyDescent="0.2">
      <c r="A83" s="8">
        <v>82</v>
      </c>
      <c r="B83" s="6">
        <v>150114</v>
      </c>
      <c r="C83" s="5" t="s">
        <v>22</v>
      </c>
      <c r="D83" s="7" t="str">
        <f t="shared" si="5"/>
        <v>1班</v>
      </c>
      <c r="E83" s="7">
        <v>105</v>
      </c>
      <c r="F83" s="7">
        <v>81</v>
      </c>
      <c r="G83" s="7">
        <v>81</v>
      </c>
      <c r="H83" s="7">
        <v>62</v>
      </c>
      <c r="I83" s="7">
        <v>68</v>
      </c>
      <c r="J83" s="7">
        <v>83</v>
      </c>
      <c r="K83" s="7">
        <v>84</v>
      </c>
      <c r="L83" s="7">
        <f t="shared" si="6"/>
        <v>564</v>
      </c>
      <c r="M83" s="7">
        <f t="shared" si="7"/>
        <v>80.571428571428569</v>
      </c>
      <c r="N83" s="7" t="str">
        <f t="shared" si="8"/>
        <v>第94名</v>
      </c>
      <c r="O83" s="7" t="str">
        <f t="shared" si="9"/>
        <v>第68名</v>
      </c>
    </row>
    <row r="84" spans="1:15" ht="15.95" customHeight="1" x14ac:dyDescent="0.2">
      <c r="A84" s="8">
        <v>83</v>
      </c>
      <c r="B84" s="6">
        <v>150304</v>
      </c>
      <c r="C84" s="5" t="s">
        <v>67</v>
      </c>
      <c r="D84" s="7" t="str">
        <f t="shared" si="5"/>
        <v>3班</v>
      </c>
      <c r="E84" s="7">
        <v>109</v>
      </c>
      <c r="F84" s="7">
        <v>112</v>
      </c>
      <c r="G84" s="7">
        <v>112</v>
      </c>
      <c r="H84" s="7">
        <v>98</v>
      </c>
      <c r="I84" s="7">
        <v>95</v>
      </c>
      <c r="J84" s="7">
        <v>92</v>
      </c>
      <c r="K84" s="7">
        <v>96</v>
      </c>
      <c r="L84" s="7">
        <f t="shared" si="6"/>
        <v>714</v>
      </c>
      <c r="M84" s="7">
        <f t="shared" si="7"/>
        <v>102</v>
      </c>
      <c r="N84" s="7" t="str">
        <f t="shared" si="8"/>
        <v>第2名</v>
      </c>
      <c r="O84" s="7" t="str">
        <f t="shared" si="9"/>
        <v>第2名</v>
      </c>
    </row>
    <row r="85" spans="1:15" ht="15.95" customHeight="1" x14ac:dyDescent="0.2">
      <c r="A85" s="8">
        <v>84</v>
      </c>
      <c r="B85" s="6">
        <v>150406</v>
      </c>
      <c r="C85" s="5" t="s">
        <v>98</v>
      </c>
      <c r="D85" s="7" t="str">
        <f t="shared" si="5"/>
        <v>4班</v>
      </c>
      <c r="E85" s="7">
        <v>90</v>
      </c>
      <c r="F85" s="7">
        <v>111</v>
      </c>
      <c r="G85" s="7">
        <v>116</v>
      </c>
      <c r="H85" s="7">
        <v>72</v>
      </c>
      <c r="I85" s="7">
        <v>95</v>
      </c>
      <c r="J85" s="7">
        <v>93</v>
      </c>
      <c r="K85" s="7">
        <v>95</v>
      </c>
      <c r="L85" s="7">
        <f t="shared" si="6"/>
        <v>672</v>
      </c>
      <c r="M85" s="7">
        <f t="shared" si="7"/>
        <v>96</v>
      </c>
      <c r="N85" s="7" t="str">
        <f t="shared" si="8"/>
        <v>第16名</v>
      </c>
      <c r="O85" s="7" t="str">
        <f t="shared" si="9"/>
        <v>第13名</v>
      </c>
    </row>
    <row r="86" spans="1:15" ht="15.95" customHeight="1" x14ac:dyDescent="0.2">
      <c r="A86" s="8">
        <v>85</v>
      </c>
      <c r="B86" s="6">
        <v>150312</v>
      </c>
      <c r="C86" s="5" t="s">
        <v>75</v>
      </c>
      <c r="D86" s="7" t="str">
        <f t="shared" si="5"/>
        <v>3班</v>
      </c>
      <c r="E86" s="7">
        <v>68</v>
      </c>
      <c r="F86" s="7">
        <v>108</v>
      </c>
      <c r="G86" s="7">
        <v>64</v>
      </c>
      <c r="H86" s="7">
        <v>71</v>
      </c>
      <c r="I86" s="7">
        <v>97</v>
      </c>
      <c r="J86" s="7">
        <v>93</v>
      </c>
      <c r="K86" s="7">
        <v>99</v>
      </c>
      <c r="L86" s="7">
        <f t="shared" si="6"/>
        <v>600</v>
      </c>
      <c r="M86" s="7">
        <f t="shared" si="7"/>
        <v>85.714285714285708</v>
      </c>
      <c r="N86" s="7" t="str">
        <f t="shared" si="8"/>
        <v>第67名</v>
      </c>
      <c r="O86" s="7" t="str">
        <f t="shared" si="9"/>
        <v>第49名</v>
      </c>
    </row>
    <row r="87" spans="1:15" ht="15.95" customHeight="1" x14ac:dyDescent="0.2">
      <c r="A87" s="8">
        <v>86</v>
      </c>
      <c r="B87" s="6">
        <v>150214</v>
      </c>
      <c r="C87" s="5" t="s">
        <v>126</v>
      </c>
      <c r="D87" s="7" t="str">
        <f t="shared" si="5"/>
        <v>2班</v>
      </c>
      <c r="E87" s="7">
        <v>84</v>
      </c>
      <c r="F87" s="7">
        <v>74</v>
      </c>
      <c r="G87" s="7">
        <v>73</v>
      </c>
      <c r="H87" s="7">
        <v>68</v>
      </c>
      <c r="I87" s="7">
        <v>98</v>
      </c>
      <c r="J87" s="7">
        <v>83</v>
      </c>
      <c r="K87" s="7">
        <v>88</v>
      </c>
      <c r="L87" s="7">
        <f t="shared" si="6"/>
        <v>568</v>
      </c>
      <c r="M87" s="7">
        <f t="shared" si="7"/>
        <v>81.142857142857139</v>
      </c>
      <c r="N87" s="7" t="str">
        <f t="shared" si="8"/>
        <v>第91名</v>
      </c>
      <c r="O87" s="7" t="str">
        <f t="shared" si="9"/>
        <v>第66名</v>
      </c>
    </row>
    <row r="88" spans="1:15" ht="15.95" customHeight="1" x14ac:dyDescent="0.2">
      <c r="A88" s="8">
        <v>87</v>
      </c>
      <c r="B88" s="6">
        <v>150119</v>
      </c>
      <c r="C88" s="5" t="s">
        <v>27</v>
      </c>
      <c r="D88" s="7" t="str">
        <f t="shared" si="5"/>
        <v>1班</v>
      </c>
      <c r="E88" s="7">
        <v>107</v>
      </c>
      <c r="F88" s="7">
        <v>97</v>
      </c>
      <c r="G88" s="7">
        <v>54</v>
      </c>
      <c r="H88" s="7">
        <v>96</v>
      </c>
      <c r="I88" s="7">
        <v>59</v>
      </c>
      <c r="J88" s="7">
        <v>75</v>
      </c>
      <c r="K88" s="7">
        <v>62</v>
      </c>
      <c r="L88" s="7">
        <f t="shared" si="6"/>
        <v>550</v>
      </c>
      <c r="M88" s="7">
        <f t="shared" si="7"/>
        <v>78.571428571428569</v>
      </c>
      <c r="N88" s="7" t="str">
        <f t="shared" si="8"/>
        <v>第101名</v>
      </c>
      <c r="O88" s="7" t="str">
        <f t="shared" si="9"/>
        <v>第73名</v>
      </c>
    </row>
    <row r="89" spans="1:15" ht="15.95" customHeight="1" x14ac:dyDescent="0.2">
      <c r="A89" s="8">
        <v>88</v>
      </c>
      <c r="B89" s="6">
        <v>150308</v>
      </c>
      <c r="C89" s="5" t="s">
        <v>71</v>
      </c>
      <c r="D89" s="7" t="str">
        <f t="shared" si="5"/>
        <v>3班</v>
      </c>
      <c r="E89" s="7">
        <v>81</v>
      </c>
      <c r="F89" s="7">
        <v>91</v>
      </c>
      <c r="G89" s="7">
        <v>88</v>
      </c>
      <c r="H89" s="7">
        <v>84</v>
      </c>
      <c r="I89" s="7">
        <v>68</v>
      </c>
      <c r="J89" s="7">
        <v>66</v>
      </c>
      <c r="K89" s="7">
        <v>71</v>
      </c>
      <c r="L89" s="7">
        <f t="shared" si="6"/>
        <v>549</v>
      </c>
      <c r="M89" s="7">
        <f t="shared" si="7"/>
        <v>78.428571428571431</v>
      </c>
      <c r="N89" s="7" t="str">
        <f t="shared" si="8"/>
        <v>第105名</v>
      </c>
      <c r="O89" s="7" t="str">
        <f t="shared" si="9"/>
        <v>第74名</v>
      </c>
    </row>
    <row r="90" spans="1:15" ht="15.95" customHeight="1" x14ac:dyDescent="0.2">
      <c r="A90" s="8">
        <v>89</v>
      </c>
      <c r="B90" s="6">
        <v>150306</v>
      </c>
      <c r="C90" s="5" t="s">
        <v>69</v>
      </c>
      <c r="D90" s="7" t="str">
        <f t="shared" si="5"/>
        <v>3班</v>
      </c>
      <c r="E90" s="7">
        <v>101</v>
      </c>
      <c r="F90" s="7">
        <v>94</v>
      </c>
      <c r="G90" s="7">
        <v>99</v>
      </c>
      <c r="H90" s="7">
        <v>90</v>
      </c>
      <c r="I90" s="7">
        <v>87</v>
      </c>
      <c r="J90" s="7">
        <v>95</v>
      </c>
      <c r="K90" s="7">
        <v>93</v>
      </c>
      <c r="L90" s="7">
        <f t="shared" si="6"/>
        <v>659</v>
      </c>
      <c r="M90" s="7">
        <f t="shared" si="7"/>
        <v>94.142857142857139</v>
      </c>
      <c r="N90" s="7" t="str">
        <f t="shared" si="8"/>
        <v>第22名</v>
      </c>
      <c r="O90" s="7" t="str">
        <f t="shared" si="9"/>
        <v>第18名</v>
      </c>
    </row>
    <row r="91" spans="1:15" ht="15.95" customHeight="1" x14ac:dyDescent="0.2">
      <c r="A91" s="8">
        <v>90</v>
      </c>
      <c r="B91" s="6">
        <v>150212</v>
      </c>
      <c r="C91" s="5" t="s">
        <v>48</v>
      </c>
      <c r="D91" s="7" t="str">
        <f t="shared" si="5"/>
        <v>2班</v>
      </c>
      <c r="E91" s="7">
        <v>94</v>
      </c>
      <c r="F91" s="7">
        <v>103</v>
      </c>
      <c r="G91" s="7">
        <v>105</v>
      </c>
      <c r="H91" s="7">
        <v>87</v>
      </c>
      <c r="I91" s="7">
        <v>99</v>
      </c>
      <c r="J91" s="7">
        <v>83</v>
      </c>
      <c r="K91" s="7">
        <v>88</v>
      </c>
      <c r="L91" s="7">
        <f t="shared" si="6"/>
        <v>659</v>
      </c>
      <c r="M91" s="7">
        <f t="shared" si="7"/>
        <v>94.142857142857139</v>
      </c>
      <c r="N91" s="7" t="str">
        <f t="shared" si="8"/>
        <v>第22名</v>
      </c>
      <c r="O91" s="7" t="str">
        <f t="shared" si="9"/>
        <v>第18名</v>
      </c>
    </row>
    <row r="92" spans="1:15" ht="15.95" customHeight="1" x14ac:dyDescent="0.2">
      <c r="A92" s="8">
        <v>91</v>
      </c>
      <c r="B92" s="6">
        <v>150116</v>
      </c>
      <c r="C92" s="5" t="s">
        <v>24</v>
      </c>
      <c r="D92" s="7" t="str">
        <f t="shared" si="5"/>
        <v>1班</v>
      </c>
      <c r="E92" s="7">
        <v>105</v>
      </c>
      <c r="F92" s="7">
        <v>84</v>
      </c>
      <c r="G92" s="7">
        <v>63</v>
      </c>
      <c r="H92" s="7">
        <v>81</v>
      </c>
      <c r="I92" s="7">
        <v>93</v>
      </c>
      <c r="J92" s="7">
        <v>68</v>
      </c>
      <c r="K92" s="7">
        <v>90</v>
      </c>
      <c r="L92" s="7">
        <f t="shared" si="6"/>
        <v>584</v>
      </c>
      <c r="M92" s="7">
        <f t="shared" si="7"/>
        <v>83.428571428571431</v>
      </c>
      <c r="N92" s="7" t="str">
        <f t="shared" si="8"/>
        <v>第76名</v>
      </c>
      <c r="O92" s="7" t="str">
        <f t="shared" si="9"/>
        <v>第56名</v>
      </c>
    </row>
    <row r="93" spans="1:15" ht="15.95" customHeight="1" x14ac:dyDescent="0.2">
      <c r="A93" s="8">
        <v>92</v>
      </c>
      <c r="B93" s="6">
        <v>150115</v>
      </c>
      <c r="C93" s="5" t="s">
        <v>23</v>
      </c>
      <c r="D93" s="7" t="str">
        <f t="shared" si="5"/>
        <v>1班</v>
      </c>
      <c r="E93" s="7">
        <v>52</v>
      </c>
      <c r="F93" s="7">
        <v>108</v>
      </c>
      <c r="G93" s="7">
        <v>82</v>
      </c>
      <c r="H93" s="7">
        <v>77</v>
      </c>
      <c r="I93" s="7">
        <v>91</v>
      </c>
      <c r="J93" s="7">
        <v>78</v>
      </c>
      <c r="K93" s="7">
        <v>71</v>
      </c>
      <c r="L93" s="7">
        <f t="shared" si="6"/>
        <v>559</v>
      </c>
      <c r="M93" s="7">
        <f t="shared" si="7"/>
        <v>79.857142857142861</v>
      </c>
      <c r="N93" s="7" t="str">
        <f t="shared" si="8"/>
        <v>第97名</v>
      </c>
      <c r="O93" s="7" t="str">
        <f t="shared" si="9"/>
        <v>第71名</v>
      </c>
    </row>
    <row r="94" spans="1:15" ht="15.95" customHeight="1" x14ac:dyDescent="0.2">
      <c r="A94" s="8">
        <v>93</v>
      </c>
      <c r="B94" s="6">
        <v>150429</v>
      </c>
      <c r="C94" s="5" t="s">
        <v>121</v>
      </c>
      <c r="D94" s="7" t="str">
        <f t="shared" si="5"/>
        <v>4班</v>
      </c>
      <c r="E94" s="7">
        <v>109</v>
      </c>
      <c r="F94" s="7">
        <v>85</v>
      </c>
      <c r="G94" s="7">
        <v>82</v>
      </c>
      <c r="H94" s="7">
        <v>100</v>
      </c>
      <c r="I94" s="7">
        <v>96</v>
      </c>
      <c r="J94" s="7">
        <v>53</v>
      </c>
      <c r="K94" s="7">
        <v>96</v>
      </c>
      <c r="L94" s="7">
        <f t="shared" si="6"/>
        <v>621</v>
      </c>
      <c r="M94" s="7">
        <f t="shared" si="7"/>
        <v>88.714285714285708</v>
      </c>
      <c r="N94" s="7" t="str">
        <f t="shared" si="8"/>
        <v>第55名</v>
      </c>
      <c r="O94" s="7" t="str">
        <f t="shared" si="9"/>
        <v>第38名</v>
      </c>
    </row>
    <row r="95" spans="1:15" ht="15.95" customHeight="1" x14ac:dyDescent="0.2">
      <c r="A95" s="8">
        <v>94</v>
      </c>
      <c r="B95" s="6">
        <v>150124</v>
      </c>
      <c r="C95" s="5" t="s">
        <v>32</v>
      </c>
      <c r="D95" s="7" t="str">
        <f t="shared" si="5"/>
        <v>1班</v>
      </c>
      <c r="E95" s="7">
        <v>89</v>
      </c>
      <c r="F95" s="7">
        <v>88</v>
      </c>
      <c r="G95" s="7">
        <v>85</v>
      </c>
      <c r="H95" s="7">
        <v>56</v>
      </c>
      <c r="I95" s="7">
        <v>67</v>
      </c>
      <c r="J95" s="7">
        <v>57</v>
      </c>
      <c r="K95" s="7">
        <v>79</v>
      </c>
      <c r="L95" s="7">
        <f t="shared" si="6"/>
        <v>521</v>
      </c>
      <c r="M95" s="7">
        <f t="shared" si="7"/>
        <v>74.428571428571431</v>
      </c>
      <c r="N95" s="7" t="str">
        <f t="shared" si="8"/>
        <v>第118名</v>
      </c>
      <c r="O95" s="7" t="str">
        <f t="shared" si="9"/>
        <v>第85名</v>
      </c>
    </row>
    <row r="96" spans="1:15" ht="15.95" customHeight="1" x14ac:dyDescent="0.2">
      <c r="A96" s="8">
        <v>95</v>
      </c>
      <c r="B96" s="6">
        <v>150414</v>
      </c>
      <c r="C96" s="5" t="s">
        <v>106</v>
      </c>
      <c r="D96" s="7" t="str">
        <f t="shared" si="5"/>
        <v>4班</v>
      </c>
      <c r="E96" s="7">
        <v>59</v>
      </c>
      <c r="F96" s="7">
        <v>89</v>
      </c>
      <c r="G96" s="7">
        <v>91</v>
      </c>
      <c r="H96" s="7">
        <v>82</v>
      </c>
      <c r="I96" s="7">
        <v>77</v>
      </c>
      <c r="J96" s="7">
        <v>81</v>
      </c>
      <c r="K96" s="7">
        <v>54</v>
      </c>
      <c r="L96" s="7">
        <f t="shared" si="6"/>
        <v>533</v>
      </c>
      <c r="M96" s="7">
        <f t="shared" si="7"/>
        <v>76.142857142857139</v>
      </c>
      <c r="N96" s="7" t="str">
        <f t="shared" si="8"/>
        <v>第114名</v>
      </c>
      <c r="O96" s="7" t="str">
        <f t="shared" si="9"/>
        <v>第82名</v>
      </c>
    </row>
    <row r="97" spans="1:15" ht="15.95" customHeight="1" x14ac:dyDescent="0.2">
      <c r="A97" s="8">
        <v>96</v>
      </c>
      <c r="B97" s="6">
        <v>150117</v>
      </c>
      <c r="C97" s="5" t="s">
        <v>25</v>
      </c>
      <c r="D97" s="7" t="str">
        <f t="shared" si="5"/>
        <v>1班</v>
      </c>
      <c r="E97" s="7">
        <v>96</v>
      </c>
      <c r="F97" s="7">
        <v>65</v>
      </c>
      <c r="G97" s="7">
        <v>99</v>
      </c>
      <c r="H97" s="7">
        <v>86</v>
      </c>
      <c r="I97" s="7">
        <v>68</v>
      </c>
      <c r="J97" s="7">
        <v>60</v>
      </c>
      <c r="K97" s="7">
        <v>71</v>
      </c>
      <c r="L97" s="7">
        <f t="shared" si="6"/>
        <v>545</v>
      </c>
      <c r="M97" s="7">
        <f t="shared" si="7"/>
        <v>77.857142857142861</v>
      </c>
      <c r="N97" s="7" t="str">
        <f t="shared" si="8"/>
        <v>第107名</v>
      </c>
      <c r="O97" s="7" t="str">
        <f t="shared" si="9"/>
        <v>第76名</v>
      </c>
    </row>
    <row r="98" spans="1:15" ht="15.95" customHeight="1" x14ac:dyDescent="0.2">
      <c r="A98" s="8">
        <v>97</v>
      </c>
      <c r="B98" s="6">
        <v>150220</v>
      </c>
      <c r="C98" s="5" t="s">
        <v>54</v>
      </c>
      <c r="D98" s="7" t="str">
        <f t="shared" si="5"/>
        <v>2班</v>
      </c>
      <c r="E98" s="7">
        <v>94</v>
      </c>
      <c r="F98" s="7">
        <v>55</v>
      </c>
      <c r="G98" s="7">
        <v>72</v>
      </c>
      <c r="H98" s="7">
        <v>80</v>
      </c>
      <c r="I98" s="7">
        <v>70</v>
      </c>
      <c r="J98" s="7">
        <v>84</v>
      </c>
      <c r="K98" s="7">
        <v>82</v>
      </c>
      <c r="L98" s="7">
        <f t="shared" si="6"/>
        <v>537</v>
      </c>
      <c r="M98" s="7">
        <f t="shared" si="7"/>
        <v>76.714285714285708</v>
      </c>
      <c r="N98" s="7" t="str">
        <f t="shared" si="8"/>
        <v>第111名</v>
      </c>
      <c r="O98" s="7" t="str">
        <f t="shared" si="9"/>
        <v>第79名</v>
      </c>
    </row>
    <row r="99" spans="1:15" ht="15.95" customHeight="1" x14ac:dyDescent="0.2">
      <c r="A99" s="8">
        <v>98</v>
      </c>
      <c r="B99" s="6">
        <v>150208</v>
      </c>
      <c r="C99" s="5" t="s">
        <v>45</v>
      </c>
      <c r="D99" s="7" t="str">
        <f t="shared" si="5"/>
        <v>2班</v>
      </c>
      <c r="E99" s="7">
        <v>94</v>
      </c>
      <c r="F99" s="7">
        <v>96</v>
      </c>
      <c r="G99" s="7">
        <v>103</v>
      </c>
      <c r="H99" s="7">
        <v>85</v>
      </c>
      <c r="I99" s="7">
        <v>99</v>
      </c>
      <c r="J99" s="7">
        <v>86</v>
      </c>
      <c r="K99" s="7">
        <v>73</v>
      </c>
      <c r="L99" s="7">
        <f t="shared" si="6"/>
        <v>636</v>
      </c>
      <c r="M99" s="7">
        <f t="shared" si="7"/>
        <v>90.857142857142861</v>
      </c>
      <c r="N99" s="7" t="str">
        <f t="shared" si="8"/>
        <v>第37名</v>
      </c>
      <c r="O99" s="7" t="str">
        <f t="shared" si="9"/>
        <v>第26名</v>
      </c>
    </row>
    <row r="100" spans="1:15" ht="15.95" customHeight="1" x14ac:dyDescent="0.2">
      <c r="A100" s="8">
        <v>99</v>
      </c>
      <c r="B100" s="6">
        <v>150206</v>
      </c>
      <c r="C100" s="5" t="s">
        <v>43</v>
      </c>
      <c r="D100" s="7" t="str">
        <f t="shared" si="5"/>
        <v>2班</v>
      </c>
      <c r="E100" s="7">
        <v>100.5</v>
      </c>
      <c r="F100" s="7">
        <v>103</v>
      </c>
      <c r="G100" s="7">
        <v>104</v>
      </c>
      <c r="H100" s="7">
        <v>88</v>
      </c>
      <c r="I100" s="7">
        <v>89</v>
      </c>
      <c r="J100" s="7">
        <v>87</v>
      </c>
      <c r="K100" s="7">
        <v>90</v>
      </c>
      <c r="L100" s="7">
        <f t="shared" si="6"/>
        <v>661.5</v>
      </c>
      <c r="M100" s="7">
        <f t="shared" si="7"/>
        <v>94.5</v>
      </c>
      <c r="N100" s="7" t="str">
        <f t="shared" si="8"/>
        <v>第21名</v>
      </c>
      <c r="O100" s="7" t="str">
        <f t="shared" si="9"/>
        <v>第17名</v>
      </c>
    </row>
    <row r="101" spans="1:15" ht="15.95" customHeight="1" x14ac:dyDescent="0.2">
      <c r="A101" s="8">
        <v>100</v>
      </c>
      <c r="B101" s="6">
        <v>150401</v>
      </c>
      <c r="C101" s="5" t="s">
        <v>93</v>
      </c>
      <c r="D101" s="7" t="str">
        <f t="shared" si="5"/>
        <v>4班</v>
      </c>
      <c r="E101" s="7">
        <v>107.5</v>
      </c>
      <c r="F101" s="7">
        <v>106</v>
      </c>
      <c r="G101" s="7">
        <v>108</v>
      </c>
      <c r="H101" s="7">
        <v>98</v>
      </c>
      <c r="I101" s="7">
        <v>99</v>
      </c>
      <c r="J101" s="7">
        <v>99</v>
      </c>
      <c r="K101" s="7">
        <v>96</v>
      </c>
      <c r="L101" s="7">
        <f t="shared" si="6"/>
        <v>713.5</v>
      </c>
      <c r="M101" s="7">
        <f t="shared" si="7"/>
        <v>101.92857142857143</v>
      </c>
      <c r="N101" s="7" t="str">
        <f t="shared" si="8"/>
        <v>第5名</v>
      </c>
      <c r="O101" s="7" t="str">
        <f t="shared" si="9"/>
        <v>第3名</v>
      </c>
    </row>
    <row r="102" spans="1:15" ht="15.95" customHeight="1" x14ac:dyDescent="0.2">
      <c r="A102" s="8">
        <v>101</v>
      </c>
      <c r="B102" s="6">
        <v>150409</v>
      </c>
      <c r="C102" s="5" t="s">
        <v>101</v>
      </c>
      <c r="D102" s="7" t="str">
        <f t="shared" si="5"/>
        <v>4班</v>
      </c>
      <c r="E102" s="7">
        <v>65</v>
      </c>
      <c r="F102" s="7">
        <v>103</v>
      </c>
      <c r="G102" s="7">
        <v>81</v>
      </c>
      <c r="H102" s="7">
        <v>93</v>
      </c>
      <c r="I102" s="7">
        <v>83</v>
      </c>
      <c r="J102" s="7">
        <v>88</v>
      </c>
      <c r="K102" s="7">
        <v>83</v>
      </c>
      <c r="L102" s="7">
        <f t="shared" si="6"/>
        <v>596</v>
      </c>
      <c r="M102" s="7">
        <f t="shared" si="7"/>
        <v>85.142857142857139</v>
      </c>
      <c r="N102" s="7" t="str">
        <f t="shared" si="8"/>
        <v>第68名</v>
      </c>
      <c r="O102" s="7" t="str">
        <f t="shared" si="9"/>
        <v>第50名</v>
      </c>
    </row>
    <row r="103" spans="1:15" ht="15.95" customHeight="1" x14ac:dyDescent="0.2">
      <c r="A103" s="8">
        <v>102</v>
      </c>
      <c r="B103" s="6">
        <v>150405</v>
      </c>
      <c r="C103" s="5" t="s">
        <v>97</v>
      </c>
      <c r="D103" s="7" t="str">
        <f t="shared" si="5"/>
        <v>4班</v>
      </c>
      <c r="E103" s="7">
        <v>88</v>
      </c>
      <c r="F103" s="7">
        <v>98</v>
      </c>
      <c r="G103" s="7">
        <v>101</v>
      </c>
      <c r="H103" s="7">
        <v>89</v>
      </c>
      <c r="I103" s="7">
        <v>73</v>
      </c>
      <c r="J103" s="7">
        <v>95</v>
      </c>
      <c r="K103" s="7">
        <v>91</v>
      </c>
      <c r="L103" s="7">
        <f t="shared" si="6"/>
        <v>635</v>
      </c>
      <c r="M103" s="7">
        <f t="shared" si="7"/>
        <v>90.714285714285708</v>
      </c>
      <c r="N103" s="7" t="str">
        <f t="shared" si="8"/>
        <v>第38名</v>
      </c>
      <c r="O103" s="7" t="str">
        <f t="shared" si="9"/>
        <v>第27名</v>
      </c>
    </row>
    <row r="104" spans="1:15" ht="15.95" customHeight="1" x14ac:dyDescent="0.2">
      <c r="A104" s="8">
        <v>103</v>
      </c>
      <c r="B104" s="6">
        <v>150408</v>
      </c>
      <c r="C104" s="5" t="s">
        <v>100</v>
      </c>
      <c r="D104" s="7" t="str">
        <f t="shared" si="5"/>
        <v>4班</v>
      </c>
      <c r="E104" s="7">
        <v>78</v>
      </c>
      <c r="F104" s="7">
        <v>101</v>
      </c>
      <c r="G104" s="7">
        <v>91</v>
      </c>
      <c r="H104" s="7">
        <v>75</v>
      </c>
      <c r="I104" s="7">
        <v>70</v>
      </c>
      <c r="J104" s="7">
        <v>84</v>
      </c>
      <c r="K104" s="7">
        <v>75</v>
      </c>
      <c r="L104" s="7">
        <f t="shared" si="6"/>
        <v>574</v>
      </c>
      <c r="M104" s="7">
        <f t="shared" si="7"/>
        <v>82</v>
      </c>
      <c r="N104" s="7" t="str">
        <f t="shared" si="8"/>
        <v>第86名</v>
      </c>
      <c r="O104" s="7" t="str">
        <f t="shared" si="9"/>
        <v>第62名</v>
      </c>
    </row>
    <row r="105" spans="1:15" ht="15.95" customHeight="1" x14ac:dyDescent="0.2">
      <c r="A105" s="8">
        <v>104</v>
      </c>
      <c r="B105" s="6">
        <v>150410</v>
      </c>
      <c r="C105" s="5" t="s">
        <v>102</v>
      </c>
      <c r="D105" s="7" t="str">
        <f t="shared" si="5"/>
        <v>4班</v>
      </c>
      <c r="E105" s="7">
        <v>63</v>
      </c>
      <c r="F105" s="7">
        <v>95</v>
      </c>
      <c r="G105" s="7">
        <v>101</v>
      </c>
      <c r="H105" s="7">
        <v>89</v>
      </c>
      <c r="I105" s="7">
        <v>99</v>
      </c>
      <c r="J105" s="7">
        <v>81</v>
      </c>
      <c r="K105" s="7">
        <v>62</v>
      </c>
      <c r="L105" s="7">
        <f t="shared" si="6"/>
        <v>590</v>
      </c>
      <c r="M105" s="7">
        <f t="shared" si="7"/>
        <v>84.285714285714292</v>
      </c>
      <c r="N105" s="7" t="str">
        <f t="shared" si="8"/>
        <v>第71名</v>
      </c>
      <c r="O105" s="7" t="str">
        <f t="shared" si="9"/>
        <v>第52名</v>
      </c>
    </row>
    <row r="106" spans="1:15" ht="15.95" customHeight="1" x14ac:dyDescent="0.2">
      <c r="A106" s="8">
        <v>105</v>
      </c>
      <c r="B106" s="6">
        <v>150419</v>
      </c>
      <c r="C106" s="5" t="s">
        <v>111</v>
      </c>
      <c r="D106" s="7" t="str">
        <f t="shared" si="5"/>
        <v>4班</v>
      </c>
      <c r="E106" s="7">
        <v>98</v>
      </c>
      <c r="F106" s="7">
        <v>112</v>
      </c>
      <c r="G106" s="7">
        <v>105</v>
      </c>
      <c r="H106" s="7">
        <v>90</v>
      </c>
      <c r="I106" s="7">
        <v>83</v>
      </c>
      <c r="J106" s="7">
        <v>91</v>
      </c>
      <c r="K106" s="7">
        <v>79</v>
      </c>
      <c r="L106" s="7">
        <f t="shared" si="6"/>
        <v>658</v>
      </c>
      <c r="M106" s="7">
        <f t="shared" si="7"/>
        <v>94</v>
      </c>
      <c r="N106" s="7" t="str">
        <f t="shared" si="8"/>
        <v>第25名</v>
      </c>
      <c r="O106" s="7" t="str">
        <f t="shared" si="9"/>
        <v>第19名</v>
      </c>
    </row>
    <row r="107" spans="1:15" ht="15.95" customHeight="1" x14ac:dyDescent="0.2">
      <c r="A107" s="8">
        <v>106</v>
      </c>
      <c r="B107" s="6">
        <v>150416</v>
      </c>
      <c r="C107" s="5" t="s">
        <v>108</v>
      </c>
      <c r="D107" s="7" t="str">
        <f t="shared" si="5"/>
        <v>4班</v>
      </c>
      <c r="E107" s="7">
        <v>110</v>
      </c>
      <c r="F107" s="7">
        <v>109</v>
      </c>
      <c r="G107" s="7">
        <v>118</v>
      </c>
      <c r="H107" s="7">
        <v>98</v>
      </c>
      <c r="I107" s="7">
        <v>94</v>
      </c>
      <c r="J107" s="7">
        <v>95</v>
      </c>
      <c r="K107" s="7">
        <v>77</v>
      </c>
      <c r="L107" s="7">
        <f t="shared" si="6"/>
        <v>701</v>
      </c>
      <c r="M107" s="7">
        <f t="shared" si="7"/>
        <v>100.14285714285714</v>
      </c>
      <c r="N107" s="7" t="str">
        <f t="shared" si="8"/>
        <v>第9名</v>
      </c>
      <c r="O107" s="7" t="str">
        <f t="shared" si="9"/>
        <v>第7名</v>
      </c>
    </row>
    <row r="108" spans="1:15" ht="15.95" customHeight="1" x14ac:dyDescent="0.2">
      <c r="A108" s="8">
        <v>107</v>
      </c>
      <c r="B108" s="6">
        <v>150222</v>
      </c>
      <c r="C108" s="5" t="s">
        <v>128</v>
      </c>
      <c r="D108" s="7" t="str">
        <f t="shared" si="5"/>
        <v>2班</v>
      </c>
      <c r="E108" s="7">
        <v>100</v>
      </c>
      <c r="F108" s="7">
        <v>99</v>
      </c>
      <c r="G108" s="7">
        <v>106</v>
      </c>
      <c r="H108" s="7">
        <v>89</v>
      </c>
      <c r="I108" s="7">
        <v>83</v>
      </c>
      <c r="J108" s="7">
        <v>97</v>
      </c>
      <c r="K108" s="7">
        <v>88</v>
      </c>
      <c r="L108" s="7">
        <f t="shared" si="6"/>
        <v>662</v>
      </c>
      <c r="M108" s="7">
        <f t="shared" si="7"/>
        <v>94.571428571428569</v>
      </c>
      <c r="N108" s="7" t="str">
        <f t="shared" si="8"/>
        <v>第19名</v>
      </c>
      <c r="O108" s="7" t="str">
        <f t="shared" si="9"/>
        <v>第16名</v>
      </c>
    </row>
    <row r="109" spans="1:15" ht="15.95" customHeight="1" x14ac:dyDescent="0.2">
      <c r="A109" s="8">
        <v>108</v>
      </c>
      <c r="B109" s="6">
        <v>150415</v>
      </c>
      <c r="C109" s="5" t="s">
        <v>107</v>
      </c>
      <c r="D109" s="7" t="str">
        <f t="shared" si="5"/>
        <v>4班</v>
      </c>
      <c r="E109" s="7">
        <v>69</v>
      </c>
      <c r="F109" s="7">
        <v>94</v>
      </c>
      <c r="G109" s="7">
        <v>90</v>
      </c>
      <c r="H109" s="7">
        <v>67</v>
      </c>
      <c r="I109" s="7">
        <v>89</v>
      </c>
      <c r="J109" s="7">
        <v>92</v>
      </c>
      <c r="K109" s="7">
        <v>68</v>
      </c>
      <c r="L109" s="7">
        <f t="shared" si="6"/>
        <v>569</v>
      </c>
      <c r="M109" s="7">
        <f t="shared" si="7"/>
        <v>81.285714285714292</v>
      </c>
      <c r="N109" s="7" t="str">
        <f t="shared" si="8"/>
        <v>第90名</v>
      </c>
      <c r="O109" s="7" t="str">
        <f t="shared" si="9"/>
        <v>第65名</v>
      </c>
    </row>
    <row r="110" spans="1:15" ht="15.95" customHeight="1" x14ac:dyDescent="0.2">
      <c r="A110" s="8">
        <v>109</v>
      </c>
      <c r="B110" s="6">
        <v>150123</v>
      </c>
      <c r="C110" s="5" t="s">
        <v>31</v>
      </c>
      <c r="D110" s="7" t="str">
        <f t="shared" si="5"/>
        <v>1班</v>
      </c>
      <c r="E110" s="7">
        <v>110</v>
      </c>
      <c r="F110" s="7">
        <v>116</v>
      </c>
      <c r="G110" s="7">
        <v>107</v>
      </c>
      <c r="H110" s="7">
        <v>98</v>
      </c>
      <c r="I110" s="7">
        <v>95</v>
      </c>
      <c r="J110" s="7">
        <v>90</v>
      </c>
      <c r="K110" s="7">
        <v>98</v>
      </c>
      <c r="L110" s="7">
        <f t="shared" si="6"/>
        <v>714</v>
      </c>
      <c r="M110" s="7">
        <f t="shared" si="7"/>
        <v>102</v>
      </c>
      <c r="N110" s="7" t="str">
        <f t="shared" si="8"/>
        <v>第2名</v>
      </c>
      <c r="O110" s="7" t="str">
        <f t="shared" si="9"/>
        <v>第2名</v>
      </c>
    </row>
    <row r="111" spans="1:15" ht="15.95" customHeight="1" x14ac:dyDescent="0.2">
      <c r="A111" s="8">
        <v>110</v>
      </c>
      <c r="B111" s="6">
        <v>150403</v>
      </c>
      <c r="C111" s="5" t="s">
        <v>95</v>
      </c>
      <c r="D111" s="7" t="str">
        <f t="shared" si="5"/>
        <v>4班</v>
      </c>
      <c r="E111" s="7">
        <v>95</v>
      </c>
      <c r="F111" s="7">
        <v>85</v>
      </c>
      <c r="G111" s="7">
        <v>99</v>
      </c>
      <c r="H111" s="7">
        <v>98</v>
      </c>
      <c r="I111" s="7">
        <v>92</v>
      </c>
      <c r="J111" s="7">
        <v>92</v>
      </c>
      <c r="K111" s="7">
        <v>88</v>
      </c>
      <c r="L111" s="7">
        <f t="shared" si="6"/>
        <v>649</v>
      </c>
      <c r="M111" s="7">
        <f t="shared" si="7"/>
        <v>92.714285714285708</v>
      </c>
      <c r="N111" s="7" t="str">
        <f t="shared" si="8"/>
        <v>第29名</v>
      </c>
      <c r="O111" s="7" t="str">
        <f t="shared" si="9"/>
        <v>第22名</v>
      </c>
    </row>
    <row r="112" spans="1:15" ht="15.95" customHeight="1" x14ac:dyDescent="0.2">
      <c r="A112" s="8">
        <v>111</v>
      </c>
      <c r="B112" s="6">
        <v>150420</v>
      </c>
      <c r="C112" s="5" t="s">
        <v>112</v>
      </c>
      <c r="D112" s="7" t="str">
        <f t="shared" si="5"/>
        <v>4班</v>
      </c>
      <c r="E112" s="7">
        <v>91</v>
      </c>
      <c r="F112" s="7">
        <v>75</v>
      </c>
      <c r="G112" s="7">
        <v>65</v>
      </c>
      <c r="H112" s="7">
        <v>60</v>
      </c>
      <c r="I112" s="7">
        <v>74</v>
      </c>
      <c r="J112" s="7">
        <v>67</v>
      </c>
      <c r="K112" s="7">
        <v>84</v>
      </c>
      <c r="L112" s="7">
        <f t="shared" si="6"/>
        <v>516</v>
      </c>
      <c r="M112" s="7">
        <f t="shared" si="7"/>
        <v>73.714285714285708</v>
      </c>
      <c r="N112" s="7" t="str">
        <f t="shared" si="8"/>
        <v>第119名</v>
      </c>
      <c r="O112" s="7" t="str">
        <f t="shared" si="9"/>
        <v>第86名</v>
      </c>
    </row>
    <row r="113" spans="1:15" ht="15.95" customHeight="1" x14ac:dyDescent="0.2">
      <c r="A113" s="8">
        <v>112</v>
      </c>
      <c r="B113" s="6">
        <v>150121</v>
      </c>
      <c r="C113" s="5" t="s">
        <v>29</v>
      </c>
      <c r="D113" s="7" t="str">
        <f t="shared" si="5"/>
        <v>1班</v>
      </c>
      <c r="E113" s="7">
        <v>87</v>
      </c>
      <c r="F113" s="7">
        <v>52</v>
      </c>
      <c r="G113" s="7">
        <v>97</v>
      </c>
      <c r="H113" s="7">
        <v>83</v>
      </c>
      <c r="I113" s="7">
        <v>73</v>
      </c>
      <c r="J113" s="7">
        <v>80</v>
      </c>
      <c r="K113" s="7">
        <v>75</v>
      </c>
      <c r="L113" s="7">
        <f t="shared" si="6"/>
        <v>547</v>
      </c>
      <c r="M113" s="7">
        <f t="shared" si="7"/>
        <v>78.142857142857139</v>
      </c>
      <c r="N113" s="7" t="str">
        <f t="shared" si="8"/>
        <v>第106名</v>
      </c>
      <c r="O113" s="7" t="str">
        <f t="shared" si="9"/>
        <v>第75名</v>
      </c>
    </row>
    <row r="114" spans="1:15" ht="15.95" customHeight="1" x14ac:dyDescent="0.2">
      <c r="A114" s="8">
        <v>113</v>
      </c>
      <c r="B114" s="6">
        <v>150417</v>
      </c>
      <c r="C114" s="5" t="s">
        <v>109</v>
      </c>
      <c r="D114" s="7" t="str">
        <f t="shared" si="5"/>
        <v>4班</v>
      </c>
      <c r="E114" s="7">
        <v>108</v>
      </c>
      <c r="F114" s="7">
        <v>118</v>
      </c>
      <c r="G114" s="7">
        <v>104</v>
      </c>
      <c r="H114" s="7">
        <v>91</v>
      </c>
      <c r="I114" s="7">
        <v>92</v>
      </c>
      <c r="J114" s="7">
        <v>93</v>
      </c>
      <c r="K114" s="7">
        <v>78</v>
      </c>
      <c r="L114" s="7">
        <f t="shared" si="6"/>
        <v>684</v>
      </c>
      <c r="M114" s="7">
        <f t="shared" si="7"/>
        <v>97.714285714285708</v>
      </c>
      <c r="N114" s="7" t="str">
        <f t="shared" si="8"/>
        <v>第11名</v>
      </c>
      <c r="O114" s="7" t="str">
        <f t="shared" si="9"/>
        <v>第9名</v>
      </c>
    </row>
    <row r="115" spans="1:15" ht="15.95" customHeight="1" x14ac:dyDescent="0.2">
      <c r="A115" s="8">
        <v>114</v>
      </c>
      <c r="B115" s="6">
        <v>150422</v>
      </c>
      <c r="C115" s="5" t="s">
        <v>114</v>
      </c>
      <c r="D115" s="7" t="str">
        <f t="shared" si="5"/>
        <v>4班</v>
      </c>
      <c r="E115" s="7">
        <v>91</v>
      </c>
      <c r="F115" s="7">
        <v>104</v>
      </c>
      <c r="G115" s="7">
        <v>62</v>
      </c>
      <c r="H115" s="7">
        <v>88</v>
      </c>
      <c r="I115" s="7">
        <v>85</v>
      </c>
      <c r="J115" s="7">
        <v>64</v>
      </c>
      <c r="K115" s="7">
        <v>86</v>
      </c>
      <c r="L115" s="7">
        <f t="shared" si="6"/>
        <v>580</v>
      </c>
      <c r="M115" s="7">
        <f t="shared" si="7"/>
        <v>82.857142857142861</v>
      </c>
      <c r="N115" s="7" t="str">
        <f t="shared" si="8"/>
        <v>第80名</v>
      </c>
      <c r="O115" s="7" t="str">
        <f t="shared" si="9"/>
        <v>第58名</v>
      </c>
    </row>
    <row r="116" spans="1:15" ht="15.95" customHeight="1" x14ac:dyDescent="0.2">
      <c r="A116" s="8">
        <v>115</v>
      </c>
      <c r="B116" s="6">
        <v>150418</v>
      </c>
      <c r="C116" s="5" t="s">
        <v>110</v>
      </c>
      <c r="D116" s="7" t="str">
        <f t="shared" si="5"/>
        <v>4班</v>
      </c>
      <c r="E116" s="7">
        <v>64</v>
      </c>
      <c r="F116" s="7">
        <v>97</v>
      </c>
      <c r="G116" s="7">
        <v>58</v>
      </c>
      <c r="H116" s="7">
        <v>77</v>
      </c>
      <c r="I116" s="7">
        <v>63</v>
      </c>
      <c r="J116" s="7">
        <v>81</v>
      </c>
      <c r="K116" s="7">
        <v>70</v>
      </c>
      <c r="L116" s="7">
        <f t="shared" si="6"/>
        <v>510</v>
      </c>
      <c r="M116" s="7">
        <f t="shared" si="7"/>
        <v>72.857142857142861</v>
      </c>
      <c r="N116" s="7" t="str">
        <f t="shared" si="8"/>
        <v>第120名</v>
      </c>
      <c r="O116" s="7" t="str">
        <f t="shared" si="9"/>
        <v>第87名</v>
      </c>
    </row>
    <row r="117" spans="1:15" ht="15.95" customHeight="1" x14ac:dyDescent="0.2">
      <c r="A117" s="8">
        <v>116</v>
      </c>
      <c r="B117" s="6">
        <v>150423</v>
      </c>
      <c r="C117" s="5" t="s">
        <v>115</v>
      </c>
      <c r="D117" s="7" t="str">
        <f t="shared" si="5"/>
        <v>4班</v>
      </c>
      <c r="E117" s="7">
        <v>106</v>
      </c>
      <c r="F117" s="7">
        <v>89</v>
      </c>
      <c r="G117" s="7">
        <v>94</v>
      </c>
      <c r="H117" s="7">
        <v>74</v>
      </c>
      <c r="I117" s="7">
        <v>92</v>
      </c>
      <c r="J117" s="7">
        <v>91</v>
      </c>
      <c r="K117" s="7">
        <v>62</v>
      </c>
      <c r="L117" s="7">
        <f t="shared" si="6"/>
        <v>608</v>
      </c>
      <c r="M117" s="7">
        <f t="shared" si="7"/>
        <v>86.857142857142861</v>
      </c>
      <c r="N117" s="7" t="str">
        <f t="shared" si="8"/>
        <v>第63名</v>
      </c>
      <c r="O117" s="7" t="str">
        <f t="shared" si="9"/>
        <v>第46名</v>
      </c>
    </row>
    <row r="118" spans="1:15" ht="15.95" customHeight="1" x14ac:dyDescent="0.2">
      <c r="A118" s="8">
        <v>117</v>
      </c>
      <c r="B118" s="6">
        <v>150421</v>
      </c>
      <c r="C118" s="5" t="s">
        <v>113</v>
      </c>
      <c r="D118" s="7" t="str">
        <f t="shared" si="5"/>
        <v>4班</v>
      </c>
      <c r="E118" s="7">
        <v>63</v>
      </c>
      <c r="F118" s="7">
        <v>84</v>
      </c>
      <c r="G118" s="7">
        <v>89</v>
      </c>
      <c r="H118" s="7">
        <v>62</v>
      </c>
      <c r="I118" s="7">
        <v>99</v>
      </c>
      <c r="J118" s="7">
        <v>62</v>
      </c>
      <c r="K118" s="7">
        <v>81</v>
      </c>
      <c r="L118" s="7">
        <f t="shared" si="6"/>
        <v>540</v>
      </c>
      <c r="M118" s="7">
        <f t="shared" si="7"/>
        <v>77.142857142857139</v>
      </c>
      <c r="N118" s="7" t="str">
        <f t="shared" si="8"/>
        <v>第109名</v>
      </c>
      <c r="O118" s="7" t="str">
        <f t="shared" si="9"/>
        <v>第78名</v>
      </c>
    </row>
    <row r="119" spans="1:15" ht="15.95" customHeight="1" x14ac:dyDescent="0.2">
      <c r="A119" s="8">
        <v>118</v>
      </c>
      <c r="B119" s="6">
        <v>150412</v>
      </c>
      <c r="C119" s="5" t="s">
        <v>104</v>
      </c>
      <c r="D119" s="7" t="str">
        <f t="shared" si="5"/>
        <v>4班</v>
      </c>
      <c r="E119" s="7">
        <v>109</v>
      </c>
      <c r="F119" s="7">
        <v>87</v>
      </c>
      <c r="G119" s="7">
        <v>114</v>
      </c>
      <c r="H119" s="7">
        <v>92</v>
      </c>
      <c r="I119" s="7">
        <v>78</v>
      </c>
      <c r="J119" s="7">
        <v>90</v>
      </c>
      <c r="K119" s="7">
        <v>61</v>
      </c>
      <c r="L119" s="7">
        <f t="shared" si="6"/>
        <v>631</v>
      </c>
      <c r="M119" s="7">
        <f t="shared" si="7"/>
        <v>90.142857142857139</v>
      </c>
      <c r="N119" s="7" t="str">
        <f t="shared" si="8"/>
        <v>第42名</v>
      </c>
      <c r="O119" s="7" t="str">
        <f t="shared" si="9"/>
        <v>第30名</v>
      </c>
    </row>
    <row r="120" spans="1:15" ht="15.95" customHeight="1" x14ac:dyDescent="0.2">
      <c r="A120" s="8">
        <v>119</v>
      </c>
      <c r="B120" s="6">
        <v>150317</v>
      </c>
      <c r="C120" s="5" t="s">
        <v>80</v>
      </c>
      <c r="D120" s="7" t="str">
        <f t="shared" si="5"/>
        <v>3班</v>
      </c>
      <c r="E120" s="7">
        <v>85</v>
      </c>
      <c r="F120" s="7">
        <v>116</v>
      </c>
      <c r="G120" s="7">
        <v>69</v>
      </c>
      <c r="H120" s="7">
        <v>74</v>
      </c>
      <c r="I120" s="7">
        <v>72</v>
      </c>
      <c r="J120" s="7">
        <v>82</v>
      </c>
      <c r="K120" s="7">
        <v>98</v>
      </c>
      <c r="L120" s="7">
        <f t="shared" si="6"/>
        <v>596</v>
      </c>
      <c r="M120" s="7">
        <f t="shared" si="7"/>
        <v>85.142857142857139</v>
      </c>
      <c r="N120" s="7" t="str">
        <f t="shared" si="8"/>
        <v>第68名</v>
      </c>
      <c r="O120" s="7" t="str">
        <f t="shared" si="9"/>
        <v>第50名</v>
      </c>
    </row>
    <row r="121" spans="1:15" ht="15.95" customHeight="1" x14ac:dyDescent="0.2">
      <c r="A121" s="8">
        <v>120</v>
      </c>
      <c r="B121" s="6">
        <v>150404</v>
      </c>
      <c r="C121" s="5" t="s">
        <v>96</v>
      </c>
      <c r="D121" s="7" t="str">
        <f t="shared" si="5"/>
        <v>4班</v>
      </c>
      <c r="E121" s="7">
        <v>102</v>
      </c>
      <c r="F121" s="7">
        <v>116</v>
      </c>
      <c r="G121" s="7">
        <v>113</v>
      </c>
      <c r="H121" s="7">
        <v>78</v>
      </c>
      <c r="I121" s="7">
        <v>88</v>
      </c>
      <c r="J121" s="7">
        <v>86</v>
      </c>
      <c r="K121" s="7">
        <v>75</v>
      </c>
      <c r="L121" s="7">
        <f t="shared" si="6"/>
        <v>658</v>
      </c>
      <c r="M121" s="7">
        <f t="shared" si="7"/>
        <v>94</v>
      </c>
      <c r="N121" s="7" t="str">
        <f t="shared" si="8"/>
        <v>第25名</v>
      </c>
      <c r="O121" s="7" t="str">
        <f t="shared" si="9"/>
        <v>第19名</v>
      </c>
    </row>
  </sheetData>
  <sortState sortMethod="stroke" ref="B2:O121">
    <sortCondition ref="C2:C121"/>
  </sortState>
  <phoneticPr fontId="1" type="noConversion"/>
  <conditionalFormatting sqref="A1:O121">
    <cfRule type="expression" dxfId="5" priority="3">
      <formula>ISODD(ROW())</formula>
    </cfRule>
  </conditionalFormatting>
  <conditionalFormatting sqref="E2:G121">
    <cfRule type="cellIs" dxfId="4" priority="2" operator="greaterThanOrEqual">
      <formula>110</formula>
    </cfRule>
  </conditionalFormatting>
  <conditionalFormatting sqref="H2:K121">
    <cfRule type="cellIs" dxfId="3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126"/>
  <sheetViews>
    <sheetView workbookViewId="0">
      <selection activeCell="D126" sqref="D126"/>
    </sheetView>
  </sheetViews>
  <sheetFormatPr defaultRowHeight="14.25" outlineLevelRow="2" x14ac:dyDescent="0.2"/>
  <cols>
    <col min="1" max="1" width="5.375" bestFit="1" customWidth="1"/>
    <col min="2" max="2" width="7.625" style="2" bestFit="1" customWidth="1"/>
    <col min="3" max="3" width="9" style="1" bestFit="1" customWidth="1"/>
    <col min="4" max="4" width="12.75" style="4" customWidth="1"/>
    <col min="5" max="10" width="8.5" style="3" bestFit="1" customWidth="1"/>
    <col min="11" max="11" width="7.5" style="3" bestFit="1" customWidth="1"/>
    <col min="12" max="13" width="8.5" style="3" bestFit="1" customWidth="1"/>
    <col min="14" max="15" width="9" style="3"/>
  </cols>
  <sheetData>
    <row r="1" spans="1:15" s="1" customFormat="1" ht="15.95" customHeight="1" x14ac:dyDescent="0.2">
      <c r="A1" s="5" t="s">
        <v>133</v>
      </c>
      <c r="B1" s="6" t="s">
        <v>0</v>
      </c>
      <c r="C1" s="5" t="s">
        <v>1</v>
      </c>
      <c r="D1" s="7" t="s">
        <v>129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123</v>
      </c>
      <c r="M1" s="7" t="s">
        <v>132</v>
      </c>
      <c r="N1" s="4"/>
      <c r="O1" s="4"/>
    </row>
    <row r="2" spans="1:15" ht="15.95" hidden="1" customHeight="1" outlineLevel="2" x14ac:dyDescent="0.2">
      <c r="A2" s="8">
        <v>4</v>
      </c>
      <c r="B2" s="6">
        <v>150128</v>
      </c>
      <c r="C2" s="5" t="s">
        <v>36</v>
      </c>
      <c r="D2" s="7" t="str">
        <f>MID(B2,4,1)&amp;"班"</f>
        <v>1班</v>
      </c>
      <c r="E2" s="7">
        <v>104</v>
      </c>
      <c r="F2" s="7">
        <v>91</v>
      </c>
      <c r="G2" s="7">
        <v>82</v>
      </c>
      <c r="H2" s="7">
        <v>87</v>
      </c>
      <c r="I2" s="7">
        <v>84</v>
      </c>
      <c r="J2" s="7">
        <v>65</v>
      </c>
      <c r="K2" s="7">
        <v>60</v>
      </c>
      <c r="L2" s="7">
        <f t="shared" ref="L2:L31" si="0">SUM(E2:K2)</f>
        <v>573</v>
      </c>
      <c r="M2" s="7">
        <f t="shared" ref="M2:M31" si="1">AVERAGE(E2:K2)</f>
        <v>81.857142857142861</v>
      </c>
    </row>
    <row r="3" spans="1:15" ht="15.95" hidden="1" customHeight="1" outlineLevel="2" x14ac:dyDescent="0.2">
      <c r="A3" s="8">
        <v>5</v>
      </c>
      <c r="B3" s="6">
        <v>150105</v>
      </c>
      <c r="C3" s="5" t="s">
        <v>13</v>
      </c>
      <c r="D3" s="7" t="str">
        <f t="shared" ref="D3:D31" si="2">MID(B3,4,1)&amp;"班"</f>
        <v>1班</v>
      </c>
      <c r="E3" s="7">
        <v>91.5</v>
      </c>
      <c r="F3" s="7">
        <v>89</v>
      </c>
      <c r="G3" s="7">
        <v>94</v>
      </c>
      <c r="H3" s="7">
        <v>92</v>
      </c>
      <c r="I3" s="7">
        <v>91</v>
      </c>
      <c r="J3" s="7">
        <v>86</v>
      </c>
      <c r="K3" s="7">
        <v>86</v>
      </c>
      <c r="L3" s="7">
        <f t="shared" si="0"/>
        <v>629.5</v>
      </c>
      <c r="M3" s="7">
        <f t="shared" si="1"/>
        <v>89.928571428571431</v>
      </c>
    </row>
    <row r="4" spans="1:15" ht="15.95" hidden="1" customHeight="1" outlineLevel="2" x14ac:dyDescent="0.2">
      <c r="A4" s="8">
        <v>9</v>
      </c>
      <c r="B4" s="6">
        <v>150122</v>
      </c>
      <c r="C4" s="5" t="s">
        <v>30</v>
      </c>
      <c r="D4" s="7" t="str">
        <f t="shared" si="2"/>
        <v>1班</v>
      </c>
      <c r="E4" s="7">
        <v>104</v>
      </c>
      <c r="F4" s="7">
        <v>102</v>
      </c>
      <c r="G4" s="7">
        <v>93</v>
      </c>
      <c r="H4" s="7">
        <v>93</v>
      </c>
      <c r="I4" s="7">
        <v>78</v>
      </c>
      <c r="J4" s="7">
        <v>78</v>
      </c>
      <c r="K4" s="7">
        <v>79</v>
      </c>
      <c r="L4" s="7">
        <f t="shared" si="0"/>
        <v>627</v>
      </c>
      <c r="M4" s="7">
        <f t="shared" si="1"/>
        <v>89.571428571428569</v>
      </c>
    </row>
    <row r="5" spans="1:15" ht="15.95" hidden="1" customHeight="1" outlineLevel="2" x14ac:dyDescent="0.2">
      <c r="A5" s="8">
        <v>12</v>
      </c>
      <c r="B5" s="6">
        <v>150129</v>
      </c>
      <c r="C5" s="5" t="s">
        <v>37</v>
      </c>
      <c r="D5" s="7" t="str">
        <f t="shared" si="2"/>
        <v>1班</v>
      </c>
      <c r="E5" s="7">
        <v>117</v>
      </c>
      <c r="F5" s="7">
        <v>58</v>
      </c>
      <c r="G5" s="7">
        <v>97</v>
      </c>
      <c r="H5" s="7">
        <v>82</v>
      </c>
      <c r="I5" s="7">
        <v>62</v>
      </c>
      <c r="J5" s="7">
        <v>78</v>
      </c>
      <c r="K5" s="7">
        <v>62</v>
      </c>
      <c r="L5" s="7">
        <f t="shared" si="0"/>
        <v>556</v>
      </c>
      <c r="M5" s="7">
        <f t="shared" si="1"/>
        <v>79.428571428571431</v>
      </c>
    </row>
    <row r="6" spans="1:15" ht="15.95" hidden="1" customHeight="1" outlineLevel="2" x14ac:dyDescent="0.2">
      <c r="A6" s="8">
        <v>13</v>
      </c>
      <c r="B6" s="6">
        <v>150120</v>
      </c>
      <c r="C6" s="5" t="s">
        <v>28</v>
      </c>
      <c r="D6" s="7" t="str">
        <f t="shared" si="2"/>
        <v>1班</v>
      </c>
      <c r="E6" s="7">
        <v>71</v>
      </c>
      <c r="F6" s="7">
        <v>94</v>
      </c>
      <c r="G6" s="7">
        <v>111</v>
      </c>
      <c r="H6" s="7">
        <v>99</v>
      </c>
      <c r="I6" s="7">
        <v>75</v>
      </c>
      <c r="J6" s="7">
        <v>63</v>
      </c>
      <c r="K6" s="7">
        <v>71</v>
      </c>
      <c r="L6" s="7">
        <f t="shared" si="0"/>
        <v>584</v>
      </c>
      <c r="M6" s="7">
        <f t="shared" si="1"/>
        <v>83.428571428571431</v>
      </c>
    </row>
    <row r="7" spans="1:15" ht="15.95" hidden="1" customHeight="1" outlineLevel="2" x14ac:dyDescent="0.2">
      <c r="A7" s="8">
        <v>19</v>
      </c>
      <c r="B7" s="6">
        <v>150126</v>
      </c>
      <c r="C7" s="5" t="s">
        <v>34</v>
      </c>
      <c r="D7" s="7" t="str">
        <f t="shared" si="2"/>
        <v>1班</v>
      </c>
      <c r="E7" s="7">
        <v>105</v>
      </c>
      <c r="F7" s="7">
        <v>119</v>
      </c>
      <c r="G7" s="7">
        <v>110</v>
      </c>
      <c r="H7" s="7">
        <v>97</v>
      </c>
      <c r="I7" s="7">
        <v>96</v>
      </c>
      <c r="J7" s="7">
        <v>93</v>
      </c>
      <c r="K7" s="7">
        <v>94</v>
      </c>
      <c r="L7" s="7">
        <f t="shared" si="0"/>
        <v>714</v>
      </c>
      <c r="M7" s="7">
        <f t="shared" si="1"/>
        <v>102</v>
      </c>
    </row>
    <row r="8" spans="1:15" ht="15.95" hidden="1" customHeight="1" outlineLevel="2" x14ac:dyDescent="0.2">
      <c r="A8" s="8">
        <v>20</v>
      </c>
      <c r="B8" s="6">
        <v>150103</v>
      </c>
      <c r="C8" s="5" t="s">
        <v>11</v>
      </c>
      <c r="D8" s="7" t="str">
        <f t="shared" si="2"/>
        <v>1班</v>
      </c>
      <c r="E8" s="7">
        <v>84</v>
      </c>
      <c r="F8" s="7">
        <v>100</v>
      </c>
      <c r="G8" s="7">
        <v>97</v>
      </c>
      <c r="H8" s="7">
        <v>87</v>
      </c>
      <c r="I8" s="7">
        <v>78</v>
      </c>
      <c r="J8" s="7">
        <v>89</v>
      </c>
      <c r="K8" s="7">
        <v>93</v>
      </c>
      <c r="L8" s="7">
        <f t="shared" si="0"/>
        <v>628</v>
      </c>
      <c r="M8" s="7">
        <f t="shared" si="1"/>
        <v>89.714285714285708</v>
      </c>
    </row>
    <row r="9" spans="1:15" ht="15.95" hidden="1" customHeight="1" outlineLevel="2" x14ac:dyDescent="0.2">
      <c r="A9" s="8">
        <v>21</v>
      </c>
      <c r="B9" s="6">
        <v>150130</v>
      </c>
      <c r="C9" s="5" t="s">
        <v>38</v>
      </c>
      <c r="D9" s="7" t="str">
        <f t="shared" si="2"/>
        <v>1班</v>
      </c>
      <c r="E9" s="7">
        <v>102</v>
      </c>
      <c r="F9" s="7">
        <v>83</v>
      </c>
      <c r="G9" s="7">
        <v>111</v>
      </c>
      <c r="H9" s="7">
        <v>76</v>
      </c>
      <c r="I9" s="7">
        <v>74</v>
      </c>
      <c r="J9" s="7">
        <v>72</v>
      </c>
      <c r="K9" s="7">
        <v>72</v>
      </c>
      <c r="L9" s="7">
        <f t="shared" si="0"/>
        <v>590</v>
      </c>
      <c r="M9" s="7">
        <f t="shared" si="1"/>
        <v>84.285714285714292</v>
      </c>
    </row>
    <row r="10" spans="1:15" ht="15.95" hidden="1" customHeight="1" outlineLevel="2" x14ac:dyDescent="0.2">
      <c r="A10" s="8">
        <v>27</v>
      </c>
      <c r="B10" s="6">
        <v>150107</v>
      </c>
      <c r="C10" s="5" t="s">
        <v>15</v>
      </c>
      <c r="D10" s="7" t="str">
        <f t="shared" si="2"/>
        <v>1班</v>
      </c>
      <c r="E10" s="7">
        <v>82</v>
      </c>
      <c r="F10" s="7">
        <v>78</v>
      </c>
      <c r="G10" s="7">
        <v>72</v>
      </c>
      <c r="H10" s="7">
        <v>98</v>
      </c>
      <c r="I10" s="7">
        <v>58</v>
      </c>
      <c r="J10" s="7">
        <v>90</v>
      </c>
      <c r="K10" s="7">
        <v>72</v>
      </c>
      <c r="L10" s="7">
        <f t="shared" si="0"/>
        <v>550</v>
      </c>
      <c r="M10" s="7">
        <f t="shared" si="1"/>
        <v>78.571428571428569</v>
      </c>
    </row>
    <row r="11" spans="1:15" ht="15.95" hidden="1" customHeight="1" outlineLevel="2" x14ac:dyDescent="0.2">
      <c r="A11" s="8">
        <v>28</v>
      </c>
      <c r="B11" s="6">
        <v>150101</v>
      </c>
      <c r="C11" s="5" t="s">
        <v>9</v>
      </c>
      <c r="D11" s="7" t="str">
        <f t="shared" si="2"/>
        <v>1班</v>
      </c>
      <c r="E11" s="7">
        <v>99</v>
      </c>
      <c r="F11" s="7">
        <v>98</v>
      </c>
      <c r="G11" s="7">
        <v>101</v>
      </c>
      <c r="H11" s="7">
        <v>95</v>
      </c>
      <c r="I11" s="7">
        <v>91</v>
      </c>
      <c r="J11" s="7">
        <v>95</v>
      </c>
      <c r="K11" s="7">
        <v>78</v>
      </c>
      <c r="L11" s="7">
        <f t="shared" si="0"/>
        <v>657</v>
      </c>
      <c r="M11" s="7">
        <f t="shared" si="1"/>
        <v>93.857142857142861</v>
      </c>
    </row>
    <row r="12" spans="1:15" ht="15.95" hidden="1" customHeight="1" outlineLevel="2" x14ac:dyDescent="0.2">
      <c r="A12" s="8">
        <v>30</v>
      </c>
      <c r="B12" s="6">
        <v>150113</v>
      </c>
      <c r="C12" s="5" t="s">
        <v>21</v>
      </c>
      <c r="D12" s="7" t="str">
        <f t="shared" si="2"/>
        <v>1班</v>
      </c>
      <c r="E12" s="7">
        <v>73</v>
      </c>
      <c r="F12" s="7">
        <v>78</v>
      </c>
      <c r="G12" s="7">
        <v>84</v>
      </c>
      <c r="H12" s="7">
        <v>58</v>
      </c>
      <c r="I12" s="7">
        <v>97</v>
      </c>
      <c r="J12" s="7">
        <v>66</v>
      </c>
      <c r="K12" s="7">
        <v>85</v>
      </c>
      <c r="L12" s="7">
        <f t="shared" si="0"/>
        <v>541</v>
      </c>
      <c r="M12" s="7">
        <f t="shared" si="1"/>
        <v>77.285714285714292</v>
      </c>
    </row>
    <row r="13" spans="1:15" ht="15.95" hidden="1" customHeight="1" outlineLevel="2" x14ac:dyDescent="0.2">
      <c r="A13" s="8">
        <v>32</v>
      </c>
      <c r="B13" s="6">
        <v>150104</v>
      </c>
      <c r="C13" s="5" t="s">
        <v>12</v>
      </c>
      <c r="D13" s="7" t="str">
        <f t="shared" si="2"/>
        <v>1班</v>
      </c>
      <c r="E13" s="7">
        <v>101</v>
      </c>
      <c r="F13" s="7">
        <v>110</v>
      </c>
      <c r="G13" s="7">
        <v>102</v>
      </c>
      <c r="H13" s="7">
        <v>93</v>
      </c>
      <c r="I13" s="7">
        <v>95</v>
      </c>
      <c r="J13" s="7">
        <v>92</v>
      </c>
      <c r="K13" s="7">
        <v>88</v>
      </c>
      <c r="L13" s="7">
        <f t="shared" si="0"/>
        <v>681</v>
      </c>
      <c r="M13" s="7">
        <f t="shared" si="1"/>
        <v>97.285714285714292</v>
      </c>
    </row>
    <row r="14" spans="1:15" ht="15.95" hidden="1" customHeight="1" outlineLevel="2" x14ac:dyDescent="0.2">
      <c r="A14" s="8">
        <v>37</v>
      </c>
      <c r="B14" s="6">
        <v>150112</v>
      </c>
      <c r="C14" s="5" t="s">
        <v>20</v>
      </c>
      <c r="D14" s="7" t="str">
        <f t="shared" si="2"/>
        <v>1班</v>
      </c>
      <c r="E14" s="7">
        <v>77</v>
      </c>
      <c r="F14" s="7">
        <v>97</v>
      </c>
      <c r="G14" s="7">
        <v>105</v>
      </c>
      <c r="H14" s="7">
        <v>85</v>
      </c>
      <c r="I14" s="7">
        <v>76</v>
      </c>
      <c r="J14" s="7">
        <v>94</v>
      </c>
      <c r="K14" s="7">
        <v>84</v>
      </c>
      <c r="L14" s="7">
        <f t="shared" si="0"/>
        <v>618</v>
      </c>
      <c r="M14" s="7">
        <f t="shared" si="1"/>
        <v>88.285714285714292</v>
      </c>
    </row>
    <row r="15" spans="1:15" ht="15.95" hidden="1" customHeight="1" outlineLevel="2" x14ac:dyDescent="0.2">
      <c r="A15" s="8">
        <v>46</v>
      </c>
      <c r="B15" s="6">
        <v>150109</v>
      </c>
      <c r="C15" s="5" t="s">
        <v>17</v>
      </c>
      <c r="D15" s="7" t="str">
        <f t="shared" si="2"/>
        <v>1班</v>
      </c>
      <c r="E15" s="7">
        <v>100</v>
      </c>
      <c r="F15" s="7">
        <v>112</v>
      </c>
      <c r="G15" s="7">
        <v>92.5</v>
      </c>
      <c r="H15" s="7">
        <v>66</v>
      </c>
      <c r="I15" s="7">
        <v>93</v>
      </c>
      <c r="J15" s="7">
        <v>64</v>
      </c>
      <c r="K15" s="7">
        <v>60</v>
      </c>
      <c r="L15" s="7">
        <f t="shared" si="0"/>
        <v>587.5</v>
      </c>
      <c r="M15" s="7">
        <f t="shared" si="1"/>
        <v>83.928571428571431</v>
      </c>
    </row>
    <row r="16" spans="1:15" ht="15.95" hidden="1" customHeight="1" outlineLevel="2" x14ac:dyDescent="0.2">
      <c r="A16" s="8">
        <v>47</v>
      </c>
      <c r="B16" s="6">
        <v>150102</v>
      </c>
      <c r="C16" s="5" t="s">
        <v>10</v>
      </c>
      <c r="D16" s="7" t="str">
        <f t="shared" si="2"/>
        <v>1班</v>
      </c>
      <c r="E16" s="7">
        <v>78</v>
      </c>
      <c r="F16" s="7">
        <v>95</v>
      </c>
      <c r="G16" s="7">
        <v>94</v>
      </c>
      <c r="H16" s="7">
        <v>82</v>
      </c>
      <c r="I16" s="7">
        <v>90</v>
      </c>
      <c r="J16" s="7">
        <v>93</v>
      </c>
      <c r="K16" s="7">
        <v>94</v>
      </c>
      <c r="L16" s="7">
        <f t="shared" si="0"/>
        <v>626</v>
      </c>
      <c r="M16" s="7">
        <f t="shared" si="1"/>
        <v>89.428571428571431</v>
      </c>
    </row>
    <row r="17" spans="1:13" ht="15.95" hidden="1" customHeight="1" outlineLevel="2" x14ac:dyDescent="0.2">
      <c r="A17" s="8">
        <v>51</v>
      </c>
      <c r="B17" s="6">
        <v>150125</v>
      </c>
      <c r="C17" s="5" t="s">
        <v>33</v>
      </c>
      <c r="D17" s="7" t="str">
        <f t="shared" si="2"/>
        <v>1班</v>
      </c>
      <c r="E17" s="7">
        <v>106</v>
      </c>
      <c r="F17" s="7">
        <v>103</v>
      </c>
      <c r="G17" s="7">
        <v>92</v>
      </c>
      <c r="H17" s="7">
        <v>55</v>
      </c>
      <c r="I17" s="7">
        <v>91</v>
      </c>
      <c r="J17" s="7">
        <v>85</v>
      </c>
      <c r="K17" s="7">
        <v>82</v>
      </c>
      <c r="L17" s="7">
        <f t="shared" si="0"/>
        <v>614</v>
      </c>
      <c r="M17" s="7">
        <f t="shared" si="1"/>
        <v>87.714285714285708</v>
      </c>
    </row>
    <row r="18" spans="1:13" ht="15.95" hidden="1" customHeight="1" outlineLevel="2" x14ac:dyDescent="0.2">
      <c r="A18" s="8">
        <v>52</v>
      </c>
      <c r="B18" s="6">
        <v>150110</v>
      </c>
      <c r="C18" s="5" t="s">
        <v>18</v>
      </c>
      <c r="D18" s="7" t="str">
        <f t="shared" si="2"/>
        <v>1班</v>
      </c>
      <c r="E18" s="7">
        <v>106</v>
      </c>
      <c r="F18" s="7">
        <v>102</v>
      </c>
      <c r="G18" s="7">
        <v>85</v>
      </c>
      <c r="H18" s="7">
        <v>79</v>
      </c>
      <c r="I18" s="7">
        <v>70</v>
      </c>
      <c r="J18" s="7">
        <v>93</v>
      </c>
      <c r="K18" s="7">
        <v>88</v>
      </c>
      <c r="L18" s="7">
        <f t="shared" si="0"/>
        <v>623</v>
      </c>
      <c r="M18" s="7">
        <f t="shared" si="1"/>
        <v>89</v>
      </c>
    </row>
    <row r="19" spans="1:13" ht="15.95" hidden="1" customHeight="1" outlineLevel="2" x14ac:dyDescent="0.2">
      <c r="A19" s="8">
        <v>53</v>
      </c>
      <c r="B19" s="6">
        <v>150127</v>
      </c>
      <c r="C19" s="5" t="s">
        <v>35</v>
      </c>
      <c r="D19" s="7" t="str">
        <f t="shared" si="2"/>
        <v>1班</v>
      </c>
      <c r="E19" s="7">
        <v>117</v>
      </c>
      <c r="F19" s="7">
        <v>96</v>
      </c>
      <c r="G19" s="7">
        <v>84</v>
      </c>
      <c r="H19" s="7">
        <v>64</v>
      </c>
      <c r="I19" s="7">
        <v>91</v>
      </c>
      <c r="J19" s="7">
        <v>73</v>
      </c>
      <c r="K19" s="7">
        <v>95</v>
      </c>
      <c r="L19" s="7">
        <f t="shared" si="0"/>
        <v>620</v>
      </c>
      <c r="M19" s="7">
        <f t="shared" si="1"/>
        <v>88.571428571428569</v>
      </c>
    </row>
    <row r="20" spans="1:13" ht="15.95" hidden="1" customHeight="1" outlineLevel="2" x14ac:dyDescent="0.2">
      <c r="A20" s="8">
        <v>61</v>
      </c>
      <c r="B20" s="6">
        <v>150111</v>
      </c>
      <c r="C20" s="5" t="s">
        <v>19</v>
      </c>
      <c r="D20" s="7" t="str">
        <f t="shared" si="2"/>
        <v>1班</v>
      </c>
      <c r="E20" s="7">
        <v>115</v>
      </c>
      <c r="F20" s="7">
        <v>83</v>
      </c>
      <c r="G20" s="7">
        <v>99</v>
      </c>
      <c r="H20" s="7">
        <v>90</v>
      </c>
      <c r="I20" s="7">
        <v>89</v>
      </c>
      <c r="J20" s="7">
        <v>80</v>
      </c>
      <c r="K20" s="7">
        <v>94</v>
      </c>
      <c r="L20" s="7">
        <f t="shared" si="0"/>
        <v>650</v>
      </c>
      <c r="M20" s="7">
        <f t="shared" si="1"/>
        <v>92.857142857142861</v>
      </c>
    </row>
    <row r="21" spans="1:13" ht="15.95" hidden="1" customHeight="1" outlineLevel="2" x14ac:dyDescent="0.2">
      <c r="A21" s="8">
        <v>62</v>
      </c>
      <c r="B21" s="6">
        <v>150106</v>
      </c>
      <c r="C21" s="5" t="s">
        <v>14</v>
      </c>
      <c r="D21" s="7" t="str">
        <f t="shared" si="2"/>
        <v>1班</v>
      </c>
      <c r="E21" s="7">
        <v>105</v>
      </c>
      <c r="F21" s="7">
        <v>102</v>
      </c>
      <c r="G21" s="7">
        <v>102.5</v>
      </c>
      <c r="H21" s="7">
        <v>90</v>
      </c>
      <c r="I21" s="7">
        <v>87</v>
      </c>
      <c r="J21" s="7">
        <v>95</v>
      </c>
      <c r="K21" s="7">
        <v>93</v>
      </c>
      <c r="L21" s="7">
        <f t="shared" si="0"/>
        <v>674.5</v>
      </c>
      <c r="M21" s="7">
        <f t="shared" si="1"/>
        <v>96.357142857142861</v>
      </c>
    </row>
    <row r="22" spans="1:13" ht="15.95" hidden="1" customHeight="1" outlineLevel="2" x14ac:dyDescent="0.2">
      <c r="A22" s="8">
        <v>63</v>
      </c>
      <c r="B22" s="6">
        <v>150118</v>
      </c>
      <c r="C22" s="5" t="s">
        <v>26</v>
      </c>
      <c r="D22" s="7" t="str">
        <f t="shared" si="2"/>
        <v>1班</v>
      </c>
      <c r="E22" s="7">
        <v>62</v>
      </c>
      <c r="F22" s="7">
        <v>90</v>
      </c>
      <c r="G22" s="7">
        <v>105</v>
      </c>
      <c r="H22" s="7">
        <v>70</v>
      </c>
      <c r="I22" s="7">
        <v>92</v>
      </c>
      <c r="J22" s="7">
        <v>62</v>
      </c>
      <c r="K22" s="7">
        <v>87</v>
      </c>
      <c r="L22" s="7">
        <f t="shared" si="0"/>
        <v>568</v>
      </c>
      <c r="M22" s="7">
        <f t="shared" si="1"/>
        <v>81.142857142857139</v>
      </c>
    </row>
    <row r="23" spans="1:13" ht="15.95" hidden="1" customHeight="1" outlineLevel="2" x14ac:dyDescent="0.2">
      <c r="A23" s="8">
        <v>75</v>
      </c>
      <c r="B23" s="6">
        <v>150108</v>
      </c>
      <c r="C23" s="5" t="s">
        <v>16</v>
      </c>
      <c r="D23" s="7" t="str">
        <f t="shared" si="2"/>
        <v>1班</v>
      </c>
      <c r="E23" s="7">
        <v>89</v>
      </c>
      <c r="F23" s="7">
        <v>87</v>
      </c>
      <c r="G23" s="7">
        <v>96</v>
      </c>
      <c r="H23" s="7">
        <v>98</v>
      </c>
      <c r="I23" s="7">
        <v>65</v>
      </c>
      <c r="J23" s="7">
        <v>71</v>
      </c>
      <c r="K23" s="7">
        <v>78</v>
      </c>
      <c r="L23" s="7">
        <f t="shared" si="0"/>
        <v>584</v>
      </c>
      <c r="M23" s="7">
        <f t="shared" si="1"/>
        <v>83.428571428571431</v>
      </c>
    </row>
    <row r="24" spans="1:13" ht="15.95" hidden="1" customHeight="1" outlineLevel="2" x14ac:dyDescent="0.2">
      <c r="A24" s="8">
        <v>82</v>
      </c>
      <c r="B24" s="6">
        <v>150114</v>
      </c>
      <c r="C24" s="5" t="s">
        <v>22</v>
      </c>
      <c r="D24" s="7" t="str">
        <f t="shared" si="2"/>
        <v>1班</v>
      </c>
      <c r="E24" s="7">
        <v>105</v>
      </c>
      <c r="F24" s="7">
        <v>81</v>
      </c>
      <c r="G24" s="7">
        <v>81</v>
      </c>
      <c r="H24" s="7">
        <v>62</v>
      </c>
      <c r="I24" s="7">
        <v>68</v>
      </c>
      <c r="J24" s="7">
        <v>83</v>
      </c>
      <c r="K24" s="7">
        <v>84</v>
      </c>
      <c r="L24" s="7">
        <f t="shared" si="0"/>
        <v>564</v>
      </c>
      <c r="M24" s="7">
        <f t="shared" si="1"/>
        <v>80.571428571428569</v>
      </c>
    </row>
    <row r="25" spans="1:13" ht="15.95" hidden="1" customHeight="1" outlineLevel="2" x14ac:dyDescent="0.2">
      <c r="A25" s="8">
        <v>87</v>
      </c>
      <c r="B25" s="6">
        <v>150119</v>
      </c>
      <c r="C25" s="5" t="s">
        <v>27</v>
      </c>
      <c r="D25" s="7" t="str">
        <f t="shared" si="2"/>
        <v>1班</v>
      </c>
      <c r="E25" s="7">
        <v>107</v>
      </c>
      <c r="F25" s="7">
        <v>97</v>
      </c>
      <c r="G25" s="7">
        <v>54</v>
      </c>
      <c r="H25" s="7">
        <v>96</v>
      </c>
      <c r="I25" s="7">
        <v>59</v>
      </c>
      <c r="J25" s="7">
        <v>75</v>
      </c>
      <c r="K25" s="7">
        <v>62</v>
      </c>
      <c r="L25" s="7">
        <f t="shared" si="0"/>
        <v>550</v>
      </c>
      <c r="M25" s="7">
        <f t="shared" si="1"/>
        <v>78.571428571428569</v>
      </c>
    </row>
    <row r="26" spans="1:13" ht="15.95" hidden="1" customHeight="1" outlineLevel="2" x14ac:dyDescent="0.2">
      <c r="A26" s="8">
        <v>91</v>
      </c>
      <c r="B26" s="6">
        <v>150116</v>
      </c>
      <c r="C26" s="5" t="s">
        <v>24</v>
      </c>
      <c r="D26" s="7" t="str">
        <f t="shared" si="2"/>
        <v>1班</v>
      </c>
      <c r="E26" s="7">
        <v>105</v>
      </c>
      <c r="F26" s="7">
        <v>84</v>
      </c>
      <c r="G26" s="7">
        <v>63</v>
      </c>
      <c r="H26" s="7">
        <v>81</v>
      </c>
      <c r="I26" s="7">
        <v>93</v>
      </c>
      <c r="J26" s="7">
        <v>68</v>
      </c>
      <c r="K26" s="7">
        <v>90</v>
      </c>
      <c r="L26" s="7">
        <f t="shared" si="0"/>
        <v>584</v>
      </c>
      <c r="M26" s="7">
        <f t="shared" si="1"/>
        <v>83.428571428571431</v>
      </c>
    </row>
    <row r="27" spans="1:13" ht="15.95" hidden="1" customHeight="1" outlineLevel="2" x14ac:dyDescent="0.2">
      <c r="A27" s="8">
        <v>92</v>
      </c>
      <c r="B27" s="6">
        <v>150115</v>
      </c>
      <c r="C27" s="5" t="s">
        <v>23</v>
      </c>
      <c r="D27" s="7" t="str">
        <f t="shared" si="2"/>
        <v>1班</v>
      </c>
      <c r="E27" s="7">
        <v>52</v>
      </c>
      <c r="F27" s="7">
        <v>108</v>
      </c>
      <c r="G27" s="7">
        <v>82</v>
      </c>
      <c r="H27" s="7">
        <v>77</v>
      </c>
      <c r="I27" s="7">
        <v>91</v>
      </c>
      <c r="J27" s="7">
        <v>78</v>
      </c>
      <c r="K27" s="7">
        <v>71</v>
      </c>
      <c r="L27" s="7">
        <f t="shared" si="0"/>
        <v>559</v>
      </c>
      <c r="M27" s="7">
        <f t="shared" si="1"/>
        <v>79.857142857142861</v>
      </c>
    </row>
    <row r="28" spans="1:13" ht="15.95" hidden="1" customHeight="1" outlineLevel="2" x14ac:dyDescent="0.2">
      <c r="A28" s="8">
        <v>94</v>
      </c>
      <c r="B28" s="6">
        <v>150124</v>
      </c>
      <c r="C28" s="5" t="s">
        <v>32</v>
      </c>
      <c r="D28" s="7" t="str">
        <f t="shared" si="2"/>
        <v>1班</v>
      </c>
      <c r="E28" s="7">
        <v>89</v>
      </c>
      <c r="F28" s="7">
        <v>88</v>
      </c>
      <c r="G28" s="7">
        <v>85</v>
      </c>
      <c r="H28" s="7">
        <v>56</v>
      </c>
      <c r="I28" s="7">
        <v>67</v>
      </c>
      <c r="J28" s="7">
        <v>57</v>
      </c>
      <c r="K28" s="7">
        <v>79</v>
      </c>
      <c r="L28" s="7">
        <f t="shared" si="0"/>
        <v>521</v>
      </c>
      <c r="M28" s="7">
        <f t="shared" si="1"/>
        <v>74.428571428571431</v>
      </c>
    </row>
    <row r="29" spans="1:13" ht="15.95" hidden="1" customHeight="1" outlineLevel="2" x14ac:dyDescent="0.2">
      <c r="A29" s="8">
        <v>96</v>
      </c>
      <c r="B29" s="6">
        <v>150117</v>
      </c>
      <c r="C29" s="5" t="s">
        <v>25</v>
      </c>
      <c r="D29" s="7" t="str">
        <f t="shared" si="2"/>
        <v>1班</v>
      </c>
      <c r="E29" s="7">
        <v>96</v>
      </c>
      <c r="F29" s="7">
        <v>65</v>
      </c>
      <c r="G29" s="7">
        <v>99</v>
      </c>
      <c r="H29" s="7">
        <v>86</v>
      </c>
      <c r="I29" s="7">
        <v>68</v>
      </c>
      <c r="J29" s="7">
        <v>60</v>
      </c>
      <c r="K29" s="7">
        <v>71</v>
      </c>
      <c r="L29" s="7">
        <f t="shared" si="0"/>
        <v>545</v>
      </c>
      <c r="M29" s="7">
        <f t="shared" si="1"/>
        <v>77.857142857142861</v>
      </c>
    </row>
    <row r="30" spans="1:13" ht="15.95" hidden="1" customHeight="1" outlineLevel="2" x14ac:dyDescent="0.2">
      <c r="A30" s="8">
        <v>109</v>
      </c>
      <c r="B30" s="6">
        <v>150123</v>
      </c>
      <c r="C30" s="5" t="s">
        <v>31</v>
      </c>
      <c r="D30" s="7" t="str">
        <f t="shared" si="2"/>
        <v>1班</v>
      </c>
      <c r="E30" s="7">
        <v>110</v>
      </c>
      <c r="F30" s="7">
        <v>116</v>
      </c>
      <c r="G30" s="7">
        <v>107</v>
      </c>
      <c r="H30" s="7">
        <v>98</v>
      </c>
      <c r="I30" s="7">
        <v>95</v>
      </c>
      <c r="J30" s="7">
        <v>90</v>
      </c>
      <c r="K30" s="7">
        <v>98</v>
      </c>
      <c r="L30" s="7">
        <f t="shared" si="0"/>
        <v>714</v>
      </c>
      <c r="M30" s="7">
        <f t="shared" si="1"/>
        <v>102</v>
      </c>
    </row>
    <row r="31" spans="1:13" ht="15.95" hidden="1" customHeight="1" outlineLevel="2" x14ac:dyDescent="0.2">
      <c r="A31" s="8">
        <v>112</v>
      </c>
      <c r="B31" s="6">
        <v>150121</v>
      </c>
      <c r="C31" s="5" t="s">
        <v>29</v>
      </c>
      <c r="D31" s="7" t="str">
        <f t="shared" si="2"/>
        <v>1班</v>
      </c>
      <c r="E31" s="7">
        <v>87</v>
      </c>
      <c r="F31" s="7">
        <v>52</v>
      </c>
      <c r="G31" s="7">
        <v>97</v>
      </c>
      <c r="H31" s="7">
        <v>83</v>
      </c>
      <c r="I31" s="7">
        <v>73</v>
      </c>
      <c r="J31" s="7">
        <v>80</v>
      </c>
      <c r="K31" s="7">
        <v>75</v>
      </c>
      <c r="L31" s="7">
        <f t="shared" si="0"/>
        <v>547</v>
      </c>
      <c r="M31" s="7">
        <f t="shared" si="1"/>
        <v>78.142857142857139</v>
      </c>
    </row>
    <row r="32" spans="1:13" ht="15.95" customHeight="1" outlineLevel="1" collapsed="1" x14ac:dyDescent="0.2">
      <c r="A32" s="8"/>
      <c r="B32" s="6"/>
      <c r="C32" s="5"/>
      <c r="D32" s="9" t="s">
        <v>134</v>
      </c>
      <c r="E32" s="7">
        <f t="shared" ref="E32:K32" si="3">SUBTOTAL(1,E2:E31)</f>
        <v>94.65</v>
      </c>
      <c r="F32" s="7">
        <f t="shared" si="3"/>
        <v>91.933333333333337</v>
      </c>
      <c r="G32" s="7">
        <f t="shared" si="3"/>
        <v>92.566666666666663</v>
      </c>
      <c r="H32" s="7">
        <f t="shared" si="3"/>
        <v>82.5</v>
      </c>
      <c r="I32" s="7">
        <f t="shared" si="3"/>
        <v>81.233333333333334</v>
      </c>
      <c r="J32" s="7">
        <f t="shared" si="3"/>
        <v>78.933333333333337</v>
      </c>
      <c r="K32" s="7">
        <f t="shared" si="3"/>
        <v>80.833333333333329</v>
      </c>
      <c r="L32" s="7"/>
      <c r="M32" s="7"/>
    </row>
    <row r="33" spans="1:13" ht="15.95" hidden="1" customHeight="1" outlineLevel="2" x14ac:dyDescent="0.2">
      <c r="A33" s="8">
        <v>2</v>
      </c>
      <c r="B33" s="6">
        <v>150207</v>
      </c>
      <c r="C33" s="5" t="s">
        <v>44</v>
      </c>
      <c r="D33" s="7" t="str">
        <f>MID(B33,4,1)&amp;"班"</f>
        <v>2班</v>
      </c>
      <c r="E33" s="7">
        <v>86</v>
      </c>
      <c r="F33" s="7">
        <v>111</v>
      </c>
      <c r="G33" s="7">
        <v>117</v>
      </c>
      <c r="H33" s="7">
        <v>64</v>
      </c>
      <c r="I33" s="7">
        <v>77</v>
      </c>
      <c r="J33" s="7">
        <v>96</v>
      </c>
      <c r="K33" s="7">
        <v>72</v>
      </c>
      <c r="L33" s="7">
        <f t="shared" ref="L33:L62" si="4">SUM(E33:K33)</f>
        <v>623</v>
      </c>
      <c r="M33" s="7">
        <f t="shared" ref="M33:M62" si="5">AVERAGE(E33:K33)</f>
        <v>89</v>
      </c>
    </row>
    <row r="34" spans="1:13" ht="15.95" hidden="1" customHeight="1" outlineLevel="2" x14ac:dyDescent="0.2">
      <c r="A34" s="8">
        <v>7</v>
      </c>
      <c r="B34" s="6">
        <v>150205</v>
      </c>
      <c r="C34" s="5" t="s">
        <v>42</v>
      </c>
      <c r="D34" s="7" t="str">
        <f t="shared" ref="D34:D62" si="6">MID(B34,4,1)&amp;"班"</f>
        <v>2班</v>
      </c>
      <c r="E34" s="7">
        <v>103.5</v>
      </c>
      <c r="F34" s="7">
        <v>115</v>
      </c>
      <c r="G34" s="7">
        <v>112</v>
      </c>
      <c r="H34" s="7">
        <v>95</v>
      </c>
      <c r="I34" s="7">
        <v>96</v>
      </c>
      <c r="J34" s="7">
        <v>92</v>
      </c>
      <c r="K34" s="7">
        <v>96</v>
      </c>
      <c r="L34" s="7">
        <f t="shared" si="4"/>
        <v>709.5</v>
      </c>
      <c r="M34" s="7">
        <f t="shared" si="5"/>
        <v>101.35714285714286</v>
      </c>
    </row>
    <row r="35" spans="1:13" ht="15.95" hidden="1" customHeight="1" outlineLevel="2" x14ac:dyDescent="0.2">
      <c r="A35" s="8">
        <v>14</v>
      </c>
      <c r="B35" s="6">
        <v>150210</v>
      </c>
      <c r="C35" s="5" t="s">
        <v>46</v>
      </c>
      <c r="D35" s="7" t="str">
        <f t="shared" si="6"/>
        <v>2班</v>
      </c>
      <c r="E35" s="7">
        <v>62</v>
      </c>
      <c r="F35" s="7">
        <v>100</v>
      </c>
      <c r="G35" s="7">
        <v>77</v>
      </c>
      <c r="H35" s="7">
        <v>78</v>
      </c>
      <c r="I35" s="7">
        <v>55</v>
      </c>
      <c r="J35" s="7">
        <v>86</v>
      </c>
      <c r="K35" s="7">
        <v>78</v>
      </c>
      <c r="L35" s="7">
        <f t="shared" si="4"/>
        <v>536</v>
      </c>
      <c r="M35" s="7">
        <f t="shared" si="5"/>
        <v>76.571428571428569</v>
      </c>
    </row>
    <row r="36" spans="1:13" ht="15.95" hidden="1" customHeight="1" outlineLevel="2" x14ac:dyDescent="0.2">
      <c r="A36" s="8">
        <v>23</v>
      </c>
      <c r="B36" s="6">
        <v>150228</v>
      </c>
      <c r="C36" s="5" t="s">
        <v>61</v>
      </c>
      <c r="D36" s="7" t="str">
        <f t="shared" si="6"/>
        <v>2班</v>
      </c>
      <c r="E36" s="7">
        <v>62</v>
      </c>
      <c r="F36" s="7">
        <v>112</v>
      </c>
      <c r="G36" s="7">
        <v>96</v>
      </c>
      <c r="H36" s="7">
        <v>64</v>
      </c>
      <c r="I36" s="7">
        <v>77</v>
      </c>
      <c r="J36" s="7">
        <v>66</v>
      </c>
      <c r="K36" s="7">
        <v>63</v>
      </c>
      <c r="L36" s="7">
        <f t="shared" si="4"/>
        <v>540</v>
      </c>
      <c r="M36" s="7">
        <f t="shared" si="5"/>
        <v>77.142857142857139</v>
      </c>
    </row>
    <row r="37" spans="1:13" ht="15.95" hidden="1" customHeight="1" outlineLevel="2" x14ac:dyDescent="0.2">
      <c r="A37" s="8">
        <v>29</v>
      </c>
      <c r="B37" s="6">
        <v>150230</v>
      </c>
      <c r="C37" s="5" t="s">
        <v>63</v>
      </c>
      <c r="D37" s="7" t="str">
        <f t="shared" si="6"/>
        <v>2班</v>
      </c>
      <c r="E37" s="7">
        <v>84</v>
      </c>
      <c r="F37" s="7">
        <v>93</v>
      </c>
      <c r="G37" s="7">
        <v>92</v>
      </c>
      <c r="H37" s="7">
        <v>68</v>
      </c>
      <c r="I37" s="7">
        <v>85</v>
      </c>
      <c r="J37" s="7">
        <v>82</v>
      </c>
      <c r="K37" s="7">
        <v>75</v>
      </c>
      <c r="L37" s="7">
        <f t="shared" si="4"/>
        <v>579</v>
      </c>
      <c r="M37" s="7">
        <f t="shared" si="5"/>
        <v>82.714285714285708</v>
      </c>
    </row>
    <row r="38" spans="1:13" ht="15.95" hidden="1" customHeight="1" outlineLevel="2" x14ac:dyDescent="0.2">
      <c r="A38" s="8">
        <v>33</v>
      </c>
      <c r="B38" s="6">
        <v>150218</v>
      </c>
      <c r="C38" s="5" t="s">
        <v>53</v>
      </c>
      <c r="D38" s="7" t="str">
        <f t="shared" si="6"/>
        <v>2班</v>
      </c>
      <c r="E38" s="7">
        <v>86</v>
      </c>
      <c r="F38" s="7">
        <v>97</v>
      </c>
      <c r="G38" s="7">
        <v>89</v>
      </c>
      <c r="H38" s="7">
        <v>72</v>
      </c>
      <c r="I38" s="7">
        <v>88</v>
      </c>
      <c r="J38" s="7">
        <v>54</v>
      </c>
      <c r="K38" s="7">
        <v>93</v>
      </c>
      <c r="L38" s="7">
        <f t="shared" si="4"/>
        <v>579</v>
      </c>
      <c r="M38" s="7">
        <f t="shared" si="5"/>
        <v>82.714285714285708</v>
      </c>
    </row>
    <row r="39" spans="1:13" ht="15.95" hidden="1" customHeight="1" outlineLevel="2" x14ac:dyDescent="0.2">
      <c r="A39" s="8">
        <v>35</v>
      </c>
      <c r="B39" s="6">
        <v>150213</v>
      </c>
      <c r="C39" s="5" t="s">
        <v>49</v>
      </c>
      <c r="D39" s="7" t="str">
        <f t="shared" si="6"/>
        <v>2班</v>
      </c>
      <c r="E39" s="7">
        <v>116</v>
      </c>
      <c r="F39" s="7">
        <v>113</v>
      </c>
      <c r="G39" s="7">
        <v>60</v>
      </c>
      <c r="H39" s="7">
        <v>79</v>
      </c>
      <c r="I39" s="7">
        <v>83</v>
      </c>
      <c r="J39" s="7">
        <v>90</v>
      </c>
      <c r="K39" s="7">
        <v>98</v>
      </c>
      <c r="L39" s="7">
        <f t="shared" si="4"/>
        <v>639</v>
      </c>
      <c r="M39" s="7">
        <f t="shared" si="5"/>
        <v>91.285714285714292</v>
      </c>
    </row>
    <row r="40" spans="1:13" ht="15.95" hidden="1" customHeight="1" outlineLevel="2" x14ac:dyDescent="0.2">
      <c r="A40" s="8">
        <v>38</v>
      </c>
      <c r="B40" s="6">
        <v>150229</v>
      </c>
      <c r="C40" s="5" t="s">
        <v>62</v>
      </c>
      <c r="D40" s="7" t="str">
        <f t="shared" si="6"/>
        <v>2班</v>
      </c>
      <c r="E40" s="7">
        <v>61</v>
      </c>
      <c r="F40" s="7">
        <v>108</v>
      </c>
      <c r="G40" s="7">
        <v>97</v>
      </c>
      <c r="H40" s="7">
        <v>75</v>
      </c>
      <c r="I40" s="7">
        <v>88</v>
      </c>
      <c r="J40" s="7">
        <v>63</v>
      </c>
      <c r="K40" s="7">
        <v>67</v>
      </c>
      <c r="L40" s="7">
        <f t="shared" si="4"/>
        <v>559</v>
      </c>
      <c r="M40" s="7">
        <f t="shared" si="5"/>
        <v>79.857142857142861</v>
      </c>
    </row>
    <row r="41" spans="1:13" ht="15.95" hidden="1" customHeight="1" outlineLevel="2" x14ac:dyDescent="0.2">
      <c r="A41" s="8">
        <v>41</v>
      </c>
      <c r="B41" s="6">
        <v>150226</v>
      </c>
      <c r="C41" s="5" t="s">
        <v>59</v>
      </c>
      <c r="D41" s="7" t="str">
        <f t="shared" si="6"/>
        <v>2班</v>
      </c>
      <c r="E41" s="7">
        <v>97</v>
      </c>
      <c r="F41" s="7">
        <v>117</v>
      </c>
      <c r="G41" s="7">
        <v>98</v>
      </c>
      <c r="H41" s="7">
        <v>92</v>
      </c>
      <c r="I41" s="7">
        <v>89</v>
      </c>
      <c r="J41" s="7">
        <v>95</v>
      </c>
      <c r="K41" s="7">
        <v>82</v>
      </c>
      <c r="L41" s="7">
        <f t="shared" si="4"/>
        <v>670</v>
      </c>
      <c r="M41" s="7">
        <f t="shared" si="5"/>
        <v>95.714285714285708</v>
      </c>
    </row>
    <row r="42" spans="1:13" ht="15.95" hidden="1" customHeight="1" outlineLevel="2" x14ac:dyDescent="0.2">
      <c r="A42" s="8">
        <v>42</v>
      </c>
      <c r="B42" s="6">
        <v>150224</v>
      </c>
      <c r="C42" s="5" t="s">
        <v>57</v>
      </c>
      <c r="D42" s="7" t="str">
        <f t="shared" si="6"/>
        <v>2班</v>
      </c>
      <c r="E42" s="7">
        <v>102</v>
      </c>
      <c r="F42" s="7">
        <v>110</v>
      </c>
      <c r="G42" s="7">
        <v>109.5</v>
      </c>
      <c r="H42" s="7">
        <v>85</v>
      </c>
      <c r="I42" s="7">
        <v>91</v>
      </c>
      <c r="J42" s="7">
        <v>91</v>
      </c>
      <c r="K42" s="7">
        <v>92</v>
      </c>
      <c r="L42" s="7">
        <f t="shared" si="4"/>
        <v>680.5</v>
      </c>
      <c r="M42" s="7">
        <f t="shared" si="5"/>
        <v>97.214285714285708</v>
      </c>
    </row>
    <row r="43" spans="1:13" ht="15.95" hidden="1" customHeight="1" outlineLevel="2" x14ac:dyDescent="0.2">
      <c r="A43" s="8">
        <v>43</v>
      </c>
      <c r="B43" s="6">
        <v>150215</v>
      </c>
      <c r="C43" s="5" t="s">
        <v>50</v>
      </c>
      <c r="D43" s="7" t="str">
        <f t="shared" si="6"/>
        <v>2班</v>
      </c>
      <c r="E43" s="7">
        <v>75</v>
      </c>
      <c r="F43" s="7">
        <v>61</v>
      </c>
      <c r="G43" s="7">
        <v>106</v>
      </c>
      <c r="H43" s="7">
        <v>70</v>
      </c>
      <c r="I43" s="7">
        <v>74</v>
      </c>
      <c r="J43" s="7">
        <v>85</v>
      </c>
      <c r="K43" s="7">
        <v>79</v>
      </c>
      <c r="L43" s="7">
        <f t="shared" si="4"/>
        <v>550</v>
      </c>
      <c r="M43" s="7">
        <f t="shared" si="5"/>
        <v>78.571428571428569</v>
      </c>
    </row>
    <row r="44" spans="1:13" ht="15.95" hidden="1" customHeight="1" outlineLevel="2" x14ac:dyDescent="0.2">
      <c r="A44" s="8">
        <v>45</v>
      </c>
      <c r="B44" s="6">
        <v>150221</v>
      </c>
      <c r="C44" s="5" t="s">
        <v>55</v>
      </c>
      <c r="D44" s="7" t="str">
        <f t="shared" si="6"/>
        <v>2班</v>
      </c>
      <c r="E44" s="7">
        <v>109</v>
      </c>
      <c r="F44" s="7">
        <v>93</v>
      </c>
      <c r="G44" s="7">
        <v>67</v>
      </c>
      <c r="H44" s="7">
        <v>82</v>
      </c>
      <c r="I44" s="7">
        <v>80</v>
      </c>
      <c r="J44" s="7">
        <v>89</v>
      </c>
      <c r="K44" s="7">
        <v>85</v>
      </c>
      <c r="L44" s="7">
        <f t="shared" si="4"/>
        <v>605</v>
      </c>
      <c r="M44" s="7">
        <f t="shared" si="5"/>
        <v>86.428571428571431</v>
      </c>
    </row>
    <row r="45" spans="1:13" ht="15.95" hidden="1" customHeight="1" outlineLevel="2" x14ac:dyDescent="0.2">
      <c r="A45" s="8">
        <v>48</v>
      </c>
      <c r="B45" s="6">
        <v>150223</v>
      </c>
      <c r="C45" s="5" t="s">
        <v>56</v>
      </c>
      <c r="D45" s="7" t="str">
        <f t="shared" si="6"/>
        <v>2班</v>
      </c>
      <c r="E45" s="7">
        <v>72</v>
      </c>
      <c r="F45" s="7">
        <v>99</v>
      </c>
      <c r="G45" s="7">
        <v>73</v>
      </c>
      <c r="H45" s="7">
        <v>57</v>
      </c>
      <c r="I45" s="7">
        <v>78</v>
      </c>
      <c r="J45" s="7">
        <v>78</v>
      </c>
      <c r="K45" s="7">
        <v>77</v>
      </c>
      <c r="L45" s="7">
        <f t="shared" si="4"/>
        <v>534</v>
      </c>
      <c r="M45" s="7">
        <f t="shared" si="5"/>
        <v>76.285714285714292</v>
      </c>
    </row>
    <row r="46" spans="1:13" ht="15.95" hidden="1" customHeight="1" outlineLevel="2" x14ac:dyDescent="0.2">
      <c r="A46" s="8">
        <v>49</v>
      </c>
      <c r="B46" s="6">
        <v>150211</v>
      </c>
      <c r="C46" s="5" t="s">
        <v>47</v>
      </c>
      <c r="D46" s="7" t="str">
        <f t="shared" si="6"/>
        <v>2班</v>
      </c>
      <c r="E46" s="7">
        <v>90</v>
      </c>
      <c r="F46" s="7">
        <v>97</v>
      </c>
      <c r="G46" s="7">
        <v>80</v>
      </c>
      <c r="H46" s="7">
        <v>72</v>
      </c>
      <c r="I46" s="7">
        <v>87</v>
      </c>
      <c r="J46" s="7">
        <v>87</v>
      </c>
      <c r="K46" s="7">
        <v>60</v>
      </c>
      <c r="L46" s="7">
        <f t="shared" si="4"/>
        <v>573</v>
      </c>
      <c r="M46" s="7">
        <f t="shared" si="5"/>
        <v>81.857142857142861</v>
      </c>
    </row>
    <row r="47" spans="1:13" ht="15.95" hidden="1" customHeight="1" outlineLevel="2" x14ac:dyDescent="0.2">
      <c r="A47" s="8">
        <v>59</v>
      </c>
      <c r="B47" s="6">
        <v>150202</v>
      </c>
      <c r="C47" s="5" t="s">
        <v>124</v>
      </c>
      <c r="D47" s="7" t="str">
        <f t="shared" si="6"/>
        <v>2班</v>
      </c>
      <c r="E47" s="7">
        <v>86</v>
      </c>
      <c r="F47" s="7">
        <v>107</v>
      </c>
      <c r="G47" s="7">
        <v>89</v>
      </c>
      <c r="H47" s="7">
        <v>88</v>
      </c>
      <c r="I47" s="7">
        <v>92</v>
      </c>
      <c r="J47" s="7">
        <v>88</v>
      </c>
      <c r="K47" s="7">
        <v>89</v>
      </c>
      <c r="L47" s="7">
        <f t="shared" si="4"/>
        <v>639</v>
      </c>
      <c r="M47" s="7">
        <f t="shared" si="5"/>
        <v>91.285714285714292</v>
      </c>
    </row>
    <row r="48" spans="1:13" ht="15.95" hidden="1" customHeight="1" outlineLevel="2" x14ac:dyDescent="0.2">
      <c r="A48" s="8">
        <v>64</v>
      </c>
      <c r="B48" s="6">
        <v>150216</v>
      </c>
      <c r="C48" s="5" t="s">
        <v>51</v>
      </c>
      <c r="D48" s="7" t="str">
        <f t="shared" si="6"/>
        <v>2班</v>
      </c>
      <c r="E48" s="7">
        <v>91</v>
      </c>
      <c r="F48" s="7">
        <v>101</v>
      </c>
      <c r="G48" s="7">
        <v>111</v>
      </c>
      <c r="H48" s="7">
        <v>82</v>
      </c>
      <c r="I48" s="7">
        <v>89</v>
      </c>
      <c r="J48" s="7">
        <v>73</v>
      </c>
      <c r="K48" s="7">
        <v>85</v>
      </c>
      <c r="L48" s="7">
        <f t="shared" si="4"/>
        <v>632</v>
      </c>
      <c r="M48" s="7">
        <f t="shared" si="5"/>
        <v>90.285714285714292</v>
      </c>
    </row>
    <row r="49" spans="1:13" ht="15.95" hidden="1" customHeight="1" outlineLevel="2" x14ac:dyDescent="0.2">
      <c r="A49" s="8">
        <v>65</v>
      </c>
      <c r="B49" s="6">
        <v>150209</v>
      </c>
      <c r="C49" s="5" t="s">
        <v>125</v>
      </c>
      <c r="D49" s="7" t="str">
        <f t="shared" si="6"/>
        <v>2班</v>
      </c>
      <c r="E49" s="7">
        <v>58</v>
      </c>
      <c r="F49" s="7">
        <v>91</v>
      </c>
      <c r="G49" s="7">
        <v>90</v>
      </c>
      <c r="H49" s="7">
        <v>71</v>
      </c>
      <c r="I49" s="7">
        <v>63</v>
      </c>
      <c r="J49" s="7">
        <v>82</v>
      </c>
      <c r="K49" s="7">
        <v>78</v>
      </c>
      <c r="L49" s="7">
        <f t="shared" si="4"/>
        <v>533</v>
      </c>
      <c r="M49" s="7">
        <f t="shared" si="5"/>
        <v>76.142857142857139</v>
      </c>
    </row>
    <row r="50" spans="1:13" ht="15.95" hidden="1" customHeight="1" outlineLevel="2" x14ac:dyDescent="0.2">
      <c r="A50" s="8">
        <v>66</v>
      </c>
      <c r="B50" s="6">
        <v>150203</v>
      </c>
      <c r="C50" s="5" t="s">
        <v>40</v>
      </c>
      <c r="D50" s="7" t="str">
        <f t="shared" si="6"/>
        <v>2班</v>
      </c>
      <c r="E50" s="7">
        <v>93</v>
      </c>
      <c r="F50" s="7">
        <v>99</v>
      </c>
      <c r="G50" s="7">
        <v>92</v>
      </c>
      <c r="H50" s="7">
        <v>86</v>
      </c>
      <c r="I50" s="7">
        <v>86</v>
      </c>
      <c r="J50" s="7">
        <v>75</v>
      </c>
      <c r="K50" s="7">
        <v>92</v>
      </c>
      <c r="L50" s="7">
        <f t="shared" si="4"/>
        <v>623</v>
      </c>
      <c r="M50" s="7">
        <f t="shared" si="5"/>
        <v>89</v>
      </c>
    </row>
    <row r="51" spans="1:13" ht="15.95" hidden="1" customHeight="1" outlineLevel="2" x14ac:dyDescent="0.2">
      <c r="A51" s="8">
        <v>68</v>
      </c>
      <c r="B51" s="6">
        <v>150219</v>
      </c>
      <c r="C51" s="5" t="s">
        <v>127</v>
      </c>
      <c r="D51" s="7" t="str">
        <f t="shared" si="6"/>
        <v>2班</v>
      </c>
      <c r="E51" s="7">
        <v>90</v>
      </c>
      <c r="F51" s="7">
        <v>92</v>
      </c>
      <c r="G51" s="7">
        <v>79</v>
      </c>
      <c r="H51" s="7">
        <v>89</v>
      </c>
      <c r="I51" s="7">
        <v>91</v>
      </c>
      <c r="J51" s="7">
        <v>100</v>
      </c>
      <c r="K51" s="7">
        <v>98</v>
      </c>
      <c r="L51" s="7">
        <f t="shared" si="4"/>
        <v>639</v>
      </c>
      <c r="M51" s="7">
        <f t="shared" si="5"/>
        <v>91.285714285714292</v>
      </c>
    </row>
    <row r="52" spans="1:13" ht="15.95" hidden="1" customHeight="1" outlineLevel="2" x14ac:dyDescent="0.2">
      <c r="A52" s="8">
        <v>70</v>
      </c>
      <c r="B52" s="6">
        <v>150201</v>
      </c>
      <c r="C52" s="5" t="s">
        <v>39</v>
      </c>
      <c r="D52" s="7" t="str">
        <f t="shared" si="6"/>
        <v>2班</v>
      </c>
      <c r="E52" s="7">
        <v>109.5</v>
      </c>
      <c r="F52" s="7">
        <v>107</v>
      </c>
      <c r="G52" s="7">
        <v>106</v>
      </c>
      <c r="H52" s="7">
        <v>99</v>
      </c>
      <c r="I52" s="7">
        <v>93</v>
      </c>
      <c r="J52" s="7">
        <v>94</v>
      </c>
      <c r="K52" s="7">
        <v>95</v>
      </c>
      <c r="L52" s="7">
        <f t="shared" si="4"/>
        <v>703.5</v>
      </c>
      <c r="M52" s="7">
        <f t="shared" si="5"/>
        <v>100.5</v>
      </c>
    </row>
    <row r="53" spans="1:13" ht="15.95" hidden="1" customHeight="1" outlineLevel="2" x14ac:dyDescent="0.2">
      <c r="A53" s="8">
        <v>72</v>
      </c>
      <c r="B53" s="6">
        <v>150227</v>
      </c>
      <c r="C53" s="5" t="s">
        <v>60</v>
      </c>
      <c r="D53" s="7" t="str">
        <f t="shared" si="6"/>
        <v>2班</v>
      </c>
      <c r="E53" s="7">
        <v>103</v>
      </c>
      <c r="F53" s="7">
        <v>102</v>
      </c>
      <c r="G53" s="7">
        <v>110</v>
      </c>
      <c r="H53" s="7">
        <v>87.5</v>
      </c>
      <c r="I53" s="7">
        <v>97</v>
      </c>
      <c r="J53" s="7">
        <v>92</v>
      </c>
      <c r="K53" s="7">
        <v>89</v>
      </c>
      <c r="L53" s="7">
        <f t="shared" si="4"/>
        <v>680.5</v>
      </c>
      <c r="M53" s="7">
        <f t="shared" si="5"/>
        <v>97.214285714285708</v>
      </c>
    </row>
    <row r="54" spans="1:13" ht="15.95" hidden="1" customHeight="1" outlineLevel="2" x14ac:dyDescent="0.2">
      <c r="A54" s="8">
        <v>74</v>
      </c>
      <c r="B54" s="6">
        <v>150217</v>
      </c>
      <c r="C54" s="5" t="s">
        <v>52</v>
      </c>
      <c r="D54" s="7" t="str">
        <f t="shared" si="6"/>
        <v>2班</v>
      </c>
      <c r="E54" s="7">
        <v>113</v>
      </c>
      <c r="F54" s="7">
        <v>118</v>
      </c>
      <c r="G54" s="7">
        <v>107</v>
      </c>
      <c r="H54" s="7">
        <v>96</v>
      </c>
      <c r="I54" s="7">
        <v>88</v>
      </c>
      <c r="J54" s="7">
        <v>91</v>
      </c>
      <c r="K54" s="7">
        <v>94</v>
      </c>
      <c r="L54" s="7">
        <f t="shared" si="4"/>
        <v>707</v>
      </c>
      <c r="M54" s="7">
        <f t="shared" si="5"/>
        <v>101</v>
      </c>
    </row>
    <row r="55" spans="1:13" ht="15.95" hidden="1" customHeight="1" outlineLevel="2" x14ac:dyDescent="0.2">
      <c r="A55" s="8">
        <v>77</v>
      </c>
      <c r="B55" s="6">
        <v>150204</v>
      </c>
      <c r="C55" s="5" t="s">
        <v>41</v>
      </c>
      <c r="D55" s="7" t="str">
        <f t="shared" si="6"/>
        <v>2班</v>
      </c>
      <c r="E55" s="7">
        <v>95.5</v>
      </c>
      <c r="F55" s="7">
        <v>92</v>
      </c>
      <c r="G55" s="7">
        <v>96</v>
      </c>
      <c r="H55" s="7">
        <v>84</v>
      </c>
      <c r="I55" s="7">
        <v>95</v>
      </c>
      <c r="J55" s="7">
        <v>91</v>
      </c>
      <c r="K55" s="7">
        <v>92</v>
      </c>
      <c r="L55" s="7">
        <f t="shared" si="4"/>
        <v>645.5</v>
      </c>
      <c r="M55" s="7">
        <f t="shared" si="5"/>
        <v>92.214285714285708</v>
      </c>
    </row>
    <row r="56" spans="1:13" ht="15.95" hidden="1" customHeight="1" outlineLevel="2" x14ac:dyDescent="0.2">
      <c r="A56" s="8">
        <v>78</v>
      </c>
      <c r="B56" s="6">
        <v>150225</v>
      </c>
      <c r="C56" s="5" t="s">
        <v>58</v>
      </c>
      <c r="D56" s="7" t="str">
        <f t="shared" si="6"/>
        <v>2班</v>
      </c>
      <c r="E56" s="7">
        <v>112</v>
      </c>
      <c r="F56" s="7">
        <v>97</v>
      </c>
      <c r="G56" s="7">
        <v>64</v>
      </c>
      <c r="H56" s="7">
        <v>69</v>
      </c>
      <c r="I56" s="7">
        <v>100</v>
      </c>
      <c r="J56" s="7">
        <v>98</v>
      </c>
      <c r="K56" s="7">
        <v>69</v>
      </c>
      <c r="L56" s="7">
        <f t="shared" si="4"/>
        <v>609</v>
      </c>
      <c r="M56" s="7">
        <f t="shared" si="5"/>
        <v>87</v>
      </c>
    </row>
    <row r="57" spans="1:13" ht="15.95" hidden="1" customHeight="1" outlineLevel="2" x14ac:dyDescent="0.2">
      <c r="A57" s="8">
        <v>86</v>
      </c>
      <c r="B57" s="6">
        <v>150214</v>
      </c>
      <c r="C57" s="5" t="s">
        <v>126</v>
      </c>
      <c r="D57" s="7" t="str">
        <f t="shared" si="6"/>
        <v>2班</v>
      </c>
      <c r="E57" s="7">
        <v>84</v>
      </c>
      <c r="F57" s="7">
        <v>74</v>
      </c>
      <c r="G57" s="7">
        <v>73</v>
      </c>
      <c r="H57" s="7">
        <v>68</v>
      </c>
      <c r="I57" s="7">
        <v>98</v>
      </c>
      <c r="J57" s="7">
        <v>83</v>
      </c>
      <c r="K57" s="7">
        <v>88</v>
      </c>
      <c r="L57" s="7">
        <f t="shared" si="4"/>
        <v>568</v>
      </c>
      <c r="M57" s="7">
        <f t="shared" si="5"/>
        <v>81.142857142857139</v>
      </c>
    </row>
    <row r="58" spans="1:13" ht="15.95" hidden="1" customHeight="1" outlineLevel="2" x14ac:dyDescent="0.2">
      <c r="A58" s="8">
        <v>90</v>
      </c>
      <c r="B58" s="6">
        <v>150212</v>
      </c>
      <c r="C58" s="5" t="s">
        <v>48</v>
      </c>
      <c r="D58" s="7" t="str">
        <f t="shared" si="6"/>
        <v>2班</v>
      </c>
      <c r="E58" s="7">
        <v>94</v>
      </c>
      <c r="F58" s="7">
        <v>103</v>
      </c>
      <c r="G58" s="7">
        <v>105</v>
      </c>
      <c r="H58" s="7">
        <v>87</v>
      </c>
      <c r="I58" s="7">
        <v>99</v>
      </c>
      <c r="J58" s="7">
        <v>83</v>
      </c>
      <c r="K58" s="7">
        <v>88</v>
      </c>
      <c r="L58" s="7">
        <f t="shared" si="4"/>
        <v>659</v>
      </c>
      <c r="M58" s="7">
        <f t="shared" si="5"/>
        <v>94.142857142857139</v>
      </c>
    </row>
    <row r="59" spans="1:13" ht="15.95" hidden="1" customHeight="1" outlineLevel="2" x14ac:dyDescent="0.2">
      <c r="A59" s="8">
        <v>97</v>
      </c>
      <c r="B59" s="6">
        <v>150220</v>
      </c>
      <c r="C59" s="5" t="s">
        <v>54</v>
      </c>
      <c r="D59" s="7" t="str">
        <f t="shared" si="6"/>
        <v>2班</v>
      </c>
      <c r="E59" s="7">
        <v>94</v>
      </c>
      <c r="F59" s="7">
        <v>55</v>
      </c>
      <c r="G59" s="7">
        <v>72</v>
      </c>
      <c r="H59" s="7">
        <v>80</v>
      </c>
      <c r="I59" s="7">
        <v>70</v>
      </c>
      <c r="J59" s="7">
        <v>84</v>
      </c>
      <c r="K59" s="7">
        <v>82</v>
      </c>
      <c r="L59" s="7">
        <f t="shared" si="4"/>
        <v>537</v>
      </c>
      <c r="M59" s="7">
        <f t="shared" si="5"/>
        <v>76.714285714285708</v>
      </c>
    </row>
    <row r="60" spans="1:13" ht="15.95" hidden="1" customHeight="1" outlineLevel="2" x14ac:dyDescent="0.2">
      <c r="A60" s="8">
        <v>98</v>
      </c>
      <c r="B60" s="6">
        <v>150208</v>
      </c>
      <c r="C60" s="5" t="s">
        <v>45</v>
      </c>
      <c r="D60" s="7" t="str">
        <f t="shared" si="6"/>
        <v>2班</v>
      </c>
      <c r="E60" s="7">
        <v>94</v>
      </c>
      <c r="F60" s="7">
        <v>96</v>
      </c>
      <c r="G60" s="7">
        <v>103</v>
      </c>
      <c r="H60" s="7">
        <v>85</v>
      </c>
      <c r="I60" s="7">
        <v>99</v>
      </c>
      <c r="J60" s="7">
        <v>86</v>
      </c>
      <c r="K60" s="7">
        <v>73</v>
      </c>
      <c r="L60" s="7">
        <f t="shared" si="4"/>
        <v>636</v>
      </c>
      <c r="M60" s="7">
        <f t="shared" si="5"/>
        <v>90.857142857142861</v>
      </c>
    </row>
    <row r="61" spans="1:13" ht="15.95" hidden="1" customHeight="1" outlineLevel="2" x14ac:dyDescent="0.2">
      <c r="A61" s="8">
        <v>99</v>
      </c>
      <c r="B61" s="6">
        <v>150206</v>
      </c>
      <c r="C61" s="5" t="s">
        <v>43</v>
      </c>
      <c r="D61" s="7" t="str">
        <f t="shared" si="6"/>
        <v>2班</v>
      </c>
      <c r="E61" s="7">
        <v>100.5</v>
      </c>
      <c r="F61" s="7">
        <v>103</v>
      </c>
      <c r="G61" s="7">
        <v>104</v>
      </c>
      <c r="H61" s="7">
        <v>88</v>
      </c>
      <c r="I61" s="7">
        <v>89</v>
      </c>
      <c r="J61" s="7">
        <v>87</v>
      </c>
      <c r="K61" s="7">
        <v>90</v>
      </c>
      <c r="L61" s="7">
        <f t="shared" si="4"/>
        <v>661.5</v>
      </c>
      <c r="M61" s="7">
        <f t="shared" si="5"/>
        <v>94.5</v>
      </c>
    </row>
    <row r="62" spans="1:13" ht="15.95" hidden="1" customHeight="1" outlineLevel="2" x14ac:dyDescent="0.2">
      <c r="A62" s="8">
        <v>107</v>
      </c>
      <c r="B62" s="6">
        <v>150222</v>
      </c>
      <c r="C62" s="5" t="s">
        <v>128</v>
      </c>
      <c r="D62" s="7" t="str">
        <f t="shared" si="6"/>
        <v>2班</v>
      </c>
      <c r="E62" s="7">
        <v>100</v>
      </c>
      <c r="F62" s="7">
        <v>99</v>
      </c>
      <c r="G62" s="7">
        <v>106</v>
      </c>
      <c r="H62" s="7">
        <v>89</v>
      </c>
      <c r="I62" s="7">
        <v>83</v>
      </c>
      <c r="J62" s="7">
        <v>97</v>
      </c>
      <c r="K62" s="7">
        <v>88</v>
      </c>
      <c r="L62" s="7">
        <f t="shared" si="4"/>
        <v>662</v>
      </c>
      <c r="M62" s="7">
        <f t="shared" si="5"/>
        <v>94.571428571428569</v>
      </c>
    </row>
    <row r="63" spans="1:13" ht="15.95" customHeight="1" outlineLevel="1" collapsed="1" x14ac:dyDescent="0.2">
      <c r="A63" s="8"/>
      <c r="B63" s="6"/>
      <c r="C63" s="5"/>
      <c r="D63" s="9" t="s">
        <v>135</v>
      </c>
      <c r="E63" s="7">
        <f t="shared" ref="E63:K63" si="7">SUBTOTAL(1,E33:E62)</f>
        <v>90.766666666666666</v>
      </c>
      <c r="F63" s="7">
        <f t="shared" si="7"/>
        <v>98.733333333333334</v>
      </c>
      <c r="G63" s="7">
        <f t="shared" si="7"/>
        <v>92.683333333333337</v>
      </c>
      <c r="H63" s="7">
        <f t="shared" si="7"/>
        <v>80.05</v>
      </c>
      <c r="I63" s="7">
        <f t="shared" si="7"/>
        <v>86</v>
      </c>
      <c r="J63" s="7">
        <f t="shared" si="7"/>
        <v>85.266666666666666</v>
      </c>
      <c r="K63" s="7">
        <f t="shared" si="7"/>
        <v>83.566666666666663</v>
      </c>
      <c r="L63" s="7"/>
      <c r="M63" s="7"/>
    </row>
    <row r="64" spans="1:13" ht="15.95" hidden="1" customHeight="1" outlineLevel="2" x14ac:dyDescent="0.2">
      <c r="A64" s="8">
        <v>1</v>
      </c>
      <c r="B64" s="6">
        <v>150318</v>
      </c>
      <c r="C64" s="5" t="s">
        <v>81</v>
      </c>
      <c r="D64" s="7" t="str">
        <f>MID(B64,4,1)&amp;"班"</f>
        <v>3班</v>
      </c>
      <c r="E64" s="7">
        <v>86</v>
      </c>
      <c r="F64" s="7">
        <v>109</v>
      </c>
      <c r="G64" s="7">
        <v>81</v>
      </c>
      <c r="H64" s="7">
        <v>90</v>
      </c>
      <c r="I64" s="7">
        <v>65</v>
      </c>
      <c r="J64" s="7">
        <v>60</v>
      </c>
      <c r="K64" s="7">
        <v>87</v>
      </c>
      <c r="L64" s="7">
        <f t="shared" ref="L64:L93" si="8">SUM(E64:K64)</f>
        <v>578</v>
      </c>
      <c r="M64" s="7">
        <f t="shared" ref="M64:M93" si="9">AVERAGE(E64:K64)</f>
        <v>82.571428571428569</v>
      </c>
    </row>
    <row r="65" spans="1:13" ht="15.95" hidden="1" customHeight="1" outlineLevel="2" x14ac:dyDescent="0.2">
      <c r="A65" s="8">
        <v>3</v>
      </c>
      <c r="B65" s="6">
        <v>150302</v>
      </c>
      <c r="C65" s="5" t="s">
        <v>65</v>
      </c>
      <c r="D65" s="7" t="str">
        <f t="shared" ref="D65:D93" si="10">MID(B65,4,1)&amp;"班"</f>
        <v>3班</v>
      </c>
      <c r="E65" s="7">
        <v>88</v>
      </c>
      <c r="F65" s="7">
        <v>95</v>
      </c>
      <c r="G65" s="7">
        <v>94</v>
      </c>
      <c r="H65" s="7">
        <v>82</v>
      </c>
      <c r="I65" s="7">
        <v>90</v>
      </c>
      <c r="J65" s="7">
        <v>93</v>
      </c>
      <c r="K65" s="7">
        <v>84</v>
      </c>
      <c r="L65" s="7">
        <f t="shared" si="8"/>
        <v>626</v>
      </c>
      <c r="M65" s="7">
        <f t="shared" si="9"/>
        <v>89.428571428571431</v>
      </c>
    </row>
    <row r="66" spans="1:13" ht="15.95" hidden="1" customHeight="1" outlineLevel="2" x14ac:dyDescent="0.2">
      <c r="A66" s="8">
        <v>6</v>
      </c>
      <c r="B66" s="6">
        <v>150323</v>
      </c>
      <c r="C66" s="5" t="s">
        <v>86</v>
      </c>
      <c r="D66" s="7" t="str">
        <f t="shared" si="10"/>
        <v>3班</v>
      </c>
      <c r="E66" s="7">
        <v>83</v>
      </c>
      <c r="F66" s="7">
        <v>102</v>
      </c>
      <c r="G66" s="7">
        <v>104</v>
      </c>
      <c r="H66" s="7">
        <v>94</v>
      </c>
      <c r="I66" s="7">
        <v>86</v>
      </c>
      <c r="J66" s="7">
        <v>81</v>
      </c>
      <c r="K66" s="7">
        <v>89</v>
      </c>
      <c r="L66" s="7">
        <f t="shared" si="8"/>
        <v>639</v>
      </c>
      <c r="M66" s="7">
        <f t="shared" si="9"/>
        <v>91.285714285714292</v>
      </c>
    </row>
    <row r="67" spans="1:13" ht="15.95" hidden="1" customHeight="1" outlineLevel="2" x14ac:dyDescent="0.2">
      <c r="A67" s="8">
        <v>8</v>
      </c>
      <c r="B67" s="6">
        <v>150330</v>
      </c>
      <c r="C67" s="5" t="s">
        <v>42</v>
      </c>
      <c r="D67" s="7" t="str">
        <f t="shared" si="10"/>
        <v>3班</v>
      </c>
      <c r="E67" s="7">
        <v>87</v>
      </c>
      <c r="F67" s="7">
        <v>95</v>
      </c>
      <c r="G67" s="7">
        <v>92</v>
      </c>
      <c r="H67" s="7">
        <v>91</v>
      </c>
      <c r="I67" s="7">
        <v>74</v>
      </c>
      <c r="J67" s="7">
        <v>68</v>
      </c>
      <c r="K67" s="7">
        <v>75</v>
      </c>
      <c r="L67" s="7">
        <f t="shared" si="8"/>
        <v>582</v>
      </c>
      <c r="M67" s="7">
        <f t="shared" si="9"/>
        <v>83.142857142857139</v>
      </c>
    </row>
    <row r="68" spans="1:13" ht="15.95" hidden="1" customHeight="1" outlineLevel="2" x14ac:dyDescent="0.2">
      <c r="A68" s="8">
        <v>10</v>
      </c>
      <c r="B68" s="6">
        <v>150329</v>
      </c>
      <c r="C68" s="5" t="s">
        <v>92</v>
      </c>
      <c r="D68" s="7" t="str">
        <f t="shared" si="10"/>
        <v>3班</v>
      </c>
      <c r="E68" s="7">
        <v>99</v>
      </c>
      <c r="F68" s="7">
        <v>109</v>
      </c>
      <c r="G68" s="7">
        <v>88</v>
      </c>
      <c r="H68" s="7">
        <v>87</v>
      </c>
      <c r="I68" s="7">
        <v>62</v>
      </c>
      <c r="J68" s="7">
        <v>78</v>
      </c>
      <c r="K68" s="7">
        <v>66</v>
      </c>
      <c r="L68" s="7">
        <f t="shared" si="8"/>
        <v>589</v>
      </c>
      <c r="M68" s="7">
        <f t="shared" si="9"/>
        <v>84.142857142857139</v>
      </c>
    </row>
    <row r="69" spans="1:13" ht="15.95" hidden="1" customHeight="1" outlineLevel="2" x14ac:dyDescent="0.2">
      <c r="A69" s="8">
        <v>16</v>
      </c>
      <c r="B69" s="6">
        <v>150301</v>
      </c>
      <c r="C69" s="5" t="s">
        <v>64</v>
      </c>
      <c r="D69" s="7" t="str">
        <f t="shared" si="10"/>
        <v>3班</v>
      </c>
      <c r="E69" s="7">
        <v>99</v>
      </c>
      <c r="F69" s="7">
        <v>98</v>
      </c>
      <c r="G69" s="7">
        <v>101</v>
      </c>
      <c r="H69" s="7">
        <v>95</v>
      </c>
      <c r="I69" s="7">
        <v>91</v>
      </c>
      <c r="J69" s="7">
        <v>95</v>
      </c>
      <c r="K69" s="7">
        <v>80</v>
      </c>
      <c r="L69" s="7">
        <f t="shared" si="8"/>
        <v>659</v>
      </c>
      <c r="M69" s="7">
        <f t="shared" si="9"/>
        <v>94.142857142857139</v>
      </c>
    </row>
    <row r="70" spans="1:13" ht="15.95" hidden="1" customHeight="1" outlineLevel="2" x14ac:dyDescent="0.2">
      <c r="A70" s="8">
        <v>24</v>
      </c>
      <c r="B70" s="6">
        <v>150327</v>
      </c>
      <c r="C70" s="5" t="s">
        <v>90</v>
      </c>
      <c r="D70" s="7" t="str">
        <f t="shared" si="10"/>
        <v>3班</v>
      </c>
      <c r="E70" s="7">
        <v>89</v>
      </c>
      <c r="F70" s="7">
        <v>95</v>
      </c>
      <c r="G70" s="7">
        <v>67</v>
      </c>
      <c r="H70" s="7">
        <v>81</v>
      </c>
      <c r="I70" s="7">
        <v>92</v>
      </c>
      <c r="J70" s="7">
        <v>63</v>
      </c>
      <c r="K70" s="7">
        <v>88</v>
      </c>
      <c r="L70" s="7">
        <f t="shared" si="8"/>
        <v>575</v>
      </c>
      <c r="M70" s="7">
        <f t="shared" si="9"/>
        <v>82.142857142857139</v>
      </c>
    </row>
    <row r="71" spans="1:13" ht="15.95" hidden="1" customHeight="1" outlineLevel="2" x14ac:dyDescent="0.2">
      <c r="A71" s="8">
        <v>25</v>
      </c>
      <c r="B71" s="6">
        <v>150319</v>
      </c>
      <c r="C71" s="5" t="s">
        <v>82</v>
      </c>
      <c r="D71" s="7" t="str">
        <f t="shared" si="10"/>
        <v>3班</v>
      </c>
      <c r="E71" s="7">
        <v>90</v>
      </c>
      <c r="F71" s="7">
        <v>87</v>
      </c>
      <c r="G71" s="7">
        <v>97</v>
      </c>
      <c r="H71" s="7">
        <v>79</v>
      </c>
      <c r="I71" s="7">
        <v>74</v>
      </c>
      <c r="J71" s="7">
        <v>61</v>
      </c>
      <c r="K71" s="7">
        <v>87</v>
      </c>
      <c r="L71" s="7">
        <f t="shared" si="8"/>
        <v>575</v>
      </c>
      <c r="M71" s="7">
        <f t="shared" si="9"/>
        <v>82.142857142857139</v>
      </c>
    </row>
    <row r="72" spans="1:13" ht="15.95" hidden="1" customHeight="1" outlineLevel="2" x14ac:dyDescent="0.2">
      <c r="A72" s="8">
        <v>26</v>
      </c>
      <c r="B72" s="6">
        <v>150326</v>
      </c>
      <c r="C72" s="5" t="s">
        <v>89</v>
      </c>
      <c r="D72" s="7" t="str">
        <f t="shared" si="10"/>
        <v>3班</v>
      </c>
      <c r="E72" s="7">
        <v>100</v>
      </c>
      <c r="F72" s="7">
        <v>108</v>
      </c>
      <c r="G72" s="7">
        <v>111.5</v>
      </c>
      <c r="H72" s="7">
        <v>85</v>
      </c>
      <c r="I72" s="7">
        <v>78</v>
      </c>
      <c r="J72" s="7">
        <v>89</v>
      </c>
      <c r="K72" s="7">
        <v>63</v>
      </c>
      <c r="L72" s="7">
        <f t="shared" si="8"/>
        <v>634.5</v>
      </c>
      <c r="M72" s="7">
        <f t="shared" si="9"/>
        <v>90.642857142857139</v>
      </c>
    </row>
    <row r="73" spans="1:13" ht="15.95" hidden="1" customHeight="1" outlineLevel="2" x14ac:dyDescent="0.2">
      <c r="A73" s="8">
        <v>31</v>
      </c>
      <c r="B73" s="6">
        <v>150322</v>
      </c>
      <c r="C73" s="5" t="s">
        <v>85</v>
      </c>
      <c r="D73" s="7" t="str">
        <f t="shared" si="10"/>
        <v>3班</v>
      </c>
      <c r="E73" s="7">
        <v>101</v>
      </c>
      <c r="F73" s="7">
        <v>59</v>
      </c>
      <c r="G73" s="7">
        <v>92</v>
      </c>
      <c r="H73" s="7">
        <v>74</v>
      </c>
      <c r="I73" s="7">
        <v>82</v>
      </c>
      <c r="J73" s="7">
        <v>85</v>
      </c>
      <c r="K73" s="7">
        <v>94</v>
      </c>
      <c r="L73" s="7">
        <f t="shared" si="8"/>
        <v>587</v>
      </c>
      <c r="M73" s="7">
        <f t="shared" si="9"/>
        <v>83.857142857142861</v>
      </c>
    </row>
    <row r="74" spans="1:13" ht="15.95" hidden="1" customHeight="1" outlineLevel="2" x14ac:dyDescent="0.2">
      <c r="A74" s="8">
        <v>36</v>
      </c>
      <c r="B74" s="6">
        <v>150305</v>
      </c>
      <c r="C74" s="5" t="s">
        <v>68</v>
      </c>
      <c r="D74" s="7" t="str">
        <f t="shared" si="10"/>
        <v>3班</v>
      </c>
      <c r="E74" s="7">
        <v>91.5</v>
      </c>
      <c r="F74" s="7">
        <v>89</v>
      </c>
      <c r="G74" s="7">
        <v>94</v>
      </c>
      <c r="H74" s="7">
        <v>92</v>
      </c>
      <c r="I74" s="7">
        <v>91</v>
      </c>
      <c r="J74" s="7">
        <v>86</v>
      </c>
      <c r="K74" s="7">
        <v>86</v>
      </c>
      <c r="L74" s="7">
        <f t="shared" si="8"/>
        <v>629.5</v>
      </c>
      <c r="M74" s="7">
        <f t="shared" si="9"/>
        <v>89.928571428571431</v>
      </c>
    </row>
    <row r="75" spans="1:13" ht="15.95" hidden="1" customHeight="1" outlineLevel="2" x14ac:dyDescent="0.2">
      <c r="A75" s="8">
        <v>40</v>
      </c>
      <c r="B75" s="6">
        <v>150303</v>
      </c>
      <c r="C75" s="5" t="s">
        <v>66</v>
      </c>
      <c r="D75" s="7" t="str">
        <f t="shared" si="10"/>
        <v>3班</v>
      </c>
      <c r="E75" s="7">
        <v>84</v>
      </c>
      <c r="F75" s="7">
        <v>100</v>
      </c>
      <c r="G75" s="7">
        <v>97</v>
      </c>
      <c r="H75" s="7">
        <v>87</v>
      </c>
      <c r="I75" s="7">
        <v>78</v>
      </c>
      <c r="J75" s="7">
        <v>89</v>
      </c>
      <c r="K75" s="7">
        <v>93</v>
      </c>
      <c r="L75" s="7">
        <f t="shared" si="8"/>
        <v>628</v>
      </c>
      <c r="M75" s="7">
        <f t="shared" si="9"/>
        <v>89.714285714285708</v>
      </c>
    </row>
    <row r="76" spans="1:13" ht="15.95" hidden="1" customHeight="1" outlineLevel="2" x14ac:dyDescent="0.2">
      <c r="A76" s="8">
        <v>50</v>
      </c>
      <c r="B76" s="6">
        <v>150321</v>
      </c>
      <c r="C76" s="5" t="s">
        <v>84</v>
      </c>
      <c r="D76" s="7" t="str">
        <f t="shared" si="10"/>
        <v>3班</v>
      </c>
      <c r="E76" s="7">
        <v>61</v>
      </c>
      <c r="F76" s="7">
        <v>91</v>
      </c>
      <c r="G76" s="7">
        <v>98</v>
      </c>
      <c r="H76" s="7">
        <v>55</v>
      </c>
      <c r="I76" s="7">
        <v>75</v>
      </c>
      <c r="J76" s="7">
        <v>91</v>
      </c>
      <c r="K76" s="7">
        <v>60</v>
      </c>
      <c r="L76" s="7">
        <f t="shared" si="8"/>
        <v>531</v>
      </c>
      <c r="M76" s="7">
        <f t="shared" si="9"/>
        <v>75.857142857142861</v>
      </c>
    </row>
    <row r="77" spans="1:13" ht="15.95" hidden="1" customHeight="1" outlineLevel="2" x14ac:dyDescent="0.2">
      <c r="A77" s="8">
        <v>55</v>
      </c>
      <c r="B77" s="6">
        <v>150316</v>
      </c>
      <c r="C77" s="5" t="s">
        <v>79</v>
      </c>
      <c r="D77" s="7" t="str">
        <f t="shared" si="10"/>
        <v>3班</v>
      </c>
      <c r="E77" s="7">
        <v>112</v>
      </c>
      <c r="F77" s="7">
        <v>120</v>
      </c>
      <c r="G77" s="7">
        <v>104</v>
      </c>
      <c r="H77" s="7">
        <v>95</v>
      </c>
      <c r="I77" s="7">
        <v>97</v>
      </c>
      <c r="J77" s="7">
        <v>96</v>
      </c>
      <c r="K77" s="7">
        <v>95</v>
      </c>
      <c r="L77" s="7">
        <f t="shared" si="8"/>
        <v>719</v>
      </c>
      <c r="M77" s="7">
        <f t="shared" si="9"/>
        <v>102.71428571428571</v>
      </c>
    </row>
    <row r="78" spans="1:13" ht="15.95" hidden="1" customHeight="1" outlineLevel="2" x14ac:dyDescent="0.2">
      <c r="A78" s="8">
        <v>56</v>
      </c>
      <c r="B78" s="6">
        <v>150310</v>
      </c>
      <c r="C78" s="5" t="s">
        <v>73</v>
      </c>
      <c r="D78" s="7" t="str">
        <f t="shared" si="10"/>
        <v>3班</v>
      </c>
      <c r="E78" s="7">
        <v>95</v>
      </c>
      <c r="F78" s="7">
        <v>97</v>
      </c>
      <c r="G78" s="7">
        <v>58</v>
      </c>
      <c r="H78" s="7">
        <v>87</v>
      </c>
      <c r="I78" s="7">
        <v>76</v>
      </c>
      <c r="J78" s="7">
        <v>92</v>
      </c>
      <c r="K78" s="7">
        <v>88</v>
      </c>
      <c r="L78" s="7">
        <f t="shared" si="8"/>
        <v>593</v>
      </c>
      <c r="M78" s="7">
        <f t="shared" si="9"/>
        <v>84.714285714285708</v>
      </c>
    </row>
    <row r="79" spans="1:13" ht="15.95" hidden="1" customHeight="1" outlineLevel="2" x14ac:dyDescent="0.2">
      <c r="A79" s="8">
        <v>57</v>
      </c>
      <c r="B79" s="6">
        <v>150315</v>
      </c>
      <c r="C79" s="5" t="s">
        <v>78</v>
      </c>
      <c r="D79" s="7" t="str">
        <f t="shared" si="10"/>
        <v>3班</v>
      </c>
      <c r="E79" s="7">
        <v>94.5</v>
      </c>
      <c r="F79" s="7">
        <v>85.5</v>
      </c>
      <c r="G79" s="7">
        <v>90.5</v>
      </c>
      <c r="H79" s="7">
        <v>75</v>
      </c>
      <c r="I79" s="7">
        <v>87</v>
      </c>
      <c r="J79" s="7">
        <v>74</v>
      </c>
      <c r="K79" s="7">
        <v>61</v>
      </c>
      <c r="L79" s="7">
        <f t="shared" si="8"/>
        <v>567.5</v>
      </c>
      <c r="M79" s="7">
        <f t="shared" si="9"/>
        <v>81.071428571428569</v>
      </c>
    </row>
    <row r="80" spans="1:13" ht="15.95" hidden="1" customHeight="1" outlineLevel="2" x14ac:dyDescent="0.2">
      <c r="A80" s="8">
        <v>58</v>
      </c>
      <c r="B80" s="6">
        <v>150309</v>
      </c>
      <c r="C80" s="5" t="s">
        <v>72</v>
      </c>
      <c r="D80" s="7" t="str">
        <f t="shared" si="10"/>
        <v>3班</v>
      </c>
      <c r="E80" s="7">
        <v>89</v>
      </c>
      <c r="F80" s="7">
        <v>81</v>
      </c>
      <c r="G80" s="7">
        <v>108</v>
      </c>
      <c r="H80" s="7">
        <v>68</v>
      </c>
      <c r="I80" s="7">
        <v>66</v>
      </c>
      <c r="J80" s="7">
        <v>77</v>
      </c>
      <c r="K80" s="7">
        <v>73</v>
      </c>
      <c r="L80" s="7">
        <f t="shared" si="8"/>
        <v>562</v>
      </c>
      <c r="M80" s="7">
        <f t="shared" si="9"/>
        <v>80.285714285714292</v>
      </c>
    </row>
    <row r="81" spans="1:13" ht="15.95" hidden="1" customHeight="1" outlineLevel="2" x14ac:dyDescent="0.2">
      <c r="A81" s="8">
        <v>67</v>
      </c>
      <c r="B81" s="6">
        <v>150307</v>
      </c>
      <c r="C81" s="5" t="s">
        <v>70</v>
      </c>
      <c r="D81" s="7" t="str">
        <f t="shared" si="10"/>
        <v>3班</v>
      </c>
      <c r="E81" s="7">
        <v>94</v>
      </c>
      <c r="F81" s="7">
        <v>118</v>
      </c>
      <c r="G81" s="7">
        <v>93</v>
      </c>
      <c r="H81" s="7">
        <v>95</v>
      </c>
      <c r="I81" s="7">
        <v>85</v>
      </c>
      <c r="J81" s="7">
        <v>76</v>
      </c>
      <c r="K81" s="7">
        <v>80</v>
      </c>
      <c r="L81" s="7">
        <f t="shared" si="8"/>
        <v>641</v>
      </c>
      <c r="M81" s="7">
        <f t="shared" si="9"/>
        <v>91.571428571428569</v>
      </c>
    </row>
    <row r="82" spans="1:13" ht="15.95" hidden="1" customHeight="1" outlineLevel="2" x14ac:dyDescent="0.2">
      <c r="A82" s="8">
        <v>69</v>
      </c>
      <c r="B82" s="6">
        <v>150311</v>
      </c>
      <c r="C82" s="5" t="s">
        <v>74</v>
      </c>
      <c r="D82" s="7" t="str">
        <f t="shared" si="10"/>
        <v>3班</v>
      </c>
      <c r="E82" s="7">
        <v>92.5</v>
      </c>
      <c r="F82" s="7">
        <v>104</v>
      </c>
      <c r="G82" s="7">
        <v>112</v>
      </c>
      <c r="H82" s="7">
        <v>90</v>
      </c>
      <c r="I82" s="7">
        <v>85</v>
      </c>
      <c r="J82" s="7">
        <v>85</v>
      </c>
      <c r="K82" s="7">
        <v>66</v>
      </c>
      <c r="L82" s="7">
        <f t="shared" si="8"/>
        <v>634.5</v>
      </c>
      <c r="M82" s="7">
        <f t="shared" si="9"/>
        <v>90.642857142857139</v>
      </c>
    </row>
    <row r="83" spans="1:13" ht="15.95" hidden="1" customHeight="1" outlineLevel="2" x14ac:dyDescent="0.2">
      <c r="A83" s="8">
        <v>71</v>
      </c>
      <c r="B83" s="6">
        <v>150325</v>
      </c>
      <c r="C83" s="5" t="s">
        <v>88</v>
      </c>
      <c r="D83" s="7" t="str">
        <f t="shared" si="10"/>
        <v>3班</v>
      </c>
      <c r="E83" s="7">
        <v>59</v>
      </c>
      <c r="F83" s="7">
        <v>77</v>
      </c>
      <c r="G83" s="7">
        <v>67</v>
      </c>
      <c r="H83" s="7">
        <v>75</v>
      </c>
      <c r="I83" s="7">
        <v>81</v>
      </c>
      <c r="J83" s="7">
        <v>79</v>
      </c>
      <c r="K83" s="7">
        <v>85</v>
      </c>
      <c r="L83" s="7">
        <f t="shared" si="8"/>
        <v>523</v>
      </c>
      <c r="M83" s="7">
        <f t="shared" si="9"/>
        <v>74.714285714285708</v>
      </c>
    </row>
    <row r="84" spans="1:13" ht="15.95" hidden="1" customHeight="1" outlineLevel="2" x14ac:dyDescent="0.2">
      <c r="A84" s="8">
        <v>73</v>
      </c>
      <c r="B84" s="6">
        <v>150313</v>
      </c>
      <c r="C84" s="5" t="s">
        <v>76</v>
      </c>
      <c r="D84" s="7" t="str">
        <f t="shared" si="10"/>
        <v>3班</v>
      </c>
      <c r="E84" s="7">
        <v>112</v>
      </c>
      <c r="F84" s="7">
        <v>70</v>
      </c>
      <c r="G84" s="7">
        <v>79</v>
      </c>
      <c r="H84" s="7">
        <v>64</v>
      </c>
      <c r="I84" s="7">
        <v>67</v>
      </c>
      <c r="J84" s="7">
        <v>75</v>
      </c>
      <c r="K84" s="7">
        <v>96</v>
      </c>
      <c r="L84" s="7">
        <f t="shared" si="8"/>
        <v>563</v>
      </c>
      <c r="M84" s="7">
        <f t="shared" si="9"/>
        <v>80.428571428571431</v>
      </c>
    </row>
    <row r="85" spans="1:13" ht="15.95" hidden="1" customHeight="1" outlineLevel="2" x14ac:dyDescent="0.2">
      <c r="A85" s="8">
        <v>76</v>
      </c>
      <c r="B85" s="6">
        <v>150320</v>
      </c>
      <c r="C85" s="5" t="s">
        <v>83</v>
      </c>
      <c r="D85" s="7" t="str">
        <f t="shared" si="10"/>
        <v>3班</v>
      </c>
      <c r="E85" s="7">
        <v>58</v>
      </c>
      <c r="F85" s="7">
        <v>83</v>
      </c>
      <c r="G85" s="7">
        <v>95</v>
      </c>
      <c r="H85" s="7">
        <v>77</v>
      </c>
      <c r="I85" s="7">
        <v>86</v>
      </c>
      <c r="J85" s="7">
        <v>75</v>
      </c>
      <c r="K85" s="7">
        <v>76</v>
      </c>
      <c r="L85" s="7">
        <f t="shared" si="8"/>
        <v>550</v>
      </c>
      <c r="M85" s="7">
        <f t="shared" si="9"/>
        <v>78.571428571428569</v>
      </c>
    </row>
    <row r="86" spans="1:13" ht="15.95" hidden="1" customHeight="1" outlineLevel="2" x14ac:dyDescent="0.2">
      <c r="A86" s="8">
        <v>79</v>
      </c>
      <c r="B86" s="6">
        <v>150324</v>
      </c>
      <c r="C86" s="5" t="s">
        <v>87</v>
      </c>
      <c r="D86" s="7" t="str">
        <f t="shared" si="10"/>
        <v>3班</v>
      </c>
      <c r="E86" s="7">
        <v>88</v>
      </c>
      <c r="F86" s="7">
        <v>93</v>
      </c>
      <c r="G86" s="7">
        <v>104</v>
      </c>
      <c r="H86" s="7">
        <v>85</v>
      </c>
      <c r="I86" s="7">
        <v>75</v>
      </c>
      <c r="J86" s="7">
        <v>84</v>
      </c>
      <c r="K86" s="7">
        <v>82</v>
      </c>
      <c r="L86" s="7">
        <f t="shared" si="8"/>
        <v>611</v>
      </c>
      <c r="M86" s="7">
        <f t="shared" si="9"/>
        <v>87.285714285714292</v>
      </c>
    </row>
    <row r="87" spans="1:13" ht="15.95" hidden="1" customHeight="1" outlineLevel="2" x14ac:dyDescent="0.2">
      <c r="A87" s="8">
        <v>80</v>
      </c>
      <c r="B87" s="6">
        <v>150328</v>
      </c>
      <c r="C87" s="5" t="s">
        <v>91</v>
      </c>
      <c r="D87" s="7" t="str">
        <f t="shared" si="10"/>
        <v>3班</v>
      </c>
      <c r="E87" s="7">
        <v>93</v>
      </c>
      <c r="F87" s="7">
        <v>98</v>
      </c>
      <c r="G87" s="7">
        <v>102</v>
      </c>
      <c r="H87" s="7">
        <v>91</v>
      </c>
      <c r="I87" s="7">
        <v>56</v>
      </c>
      <c r="J87" s="7">
        <v>75</v>
      </c>
      <c r="K87" s="7">
        <v>90</v>
      </c>
      <c r="L87" s="7">
        <f t="shared" si="8"/>
        <v>605</v>
      </c>
      <c r="M87" s="7">
        <f t="shared" si="9"/>
        <v>86.428571428571431</v>
      </c>
    </row>
    <row r="88" spans="1:13" ht="15.95" hidden="1" customHeight="1" outlineLevel="2" x14ac:dyDescent="0.2">
      <c r="A88" s="8">
        <v>81</v>
      </c>
      <c r="B88" s="6">
        <v>150314</v>
      </c>
      <c r="C88" s="5" t="s">
        <v>77</v>
      </c>
      <c r="D88" s="7" t="str">
        <f t="shared" si="10"/>
        <v>3班</v>
      </c>
      <c r="E88" s="7">
        <v>98</v>
      </c>
      <c r="F88" s="7">
        <v>97</v>
      </c>
      <c r="G88" s="7">
        <v>119</v>
      </c>
      <c r="H88" s="7">
        <v>98</v>
      </c>
      <c r="I88" s="7">
        <v>63</v>
      </c>
      <c r="J88" s="7">
        <v>99</v>
      </c>
      <c r="K88" s="7">
        <v>97</v>
      </c>
      <c r="L88" s="7">
        <f t="shared" si="8"/>
        <v>671</v>
      </c>
      <c r="M88" s="7">
        <f t="shared" si="9"/>
        <v>95.857142857142861</v>
      </c>
    </row>
    <row r="89" spans="1:13" ht="15.95" hidden="1" customHeight="1" outlineLevel="2" x14ac:dyDescent="0.2">
      <c r="A89" s="8">
        <v>83</v>
      </c>
      <c r="B89" s="6">
        <v>150304</v>
      </c>
      <c r="C89" s="5" t="s">
        <v>67</v>
      </c>
      <c r="D89" s="7" t="str">
        <f t="shared" si="10"/>
        <v>3班</v>
      </c>
      <c r="E89" s="7">
        <v>109</v>
      </c>
      <c r="F89" s="7">
        <v>112</v>
      </c>
      <c r="G89" s="7">
        <v>112</v>
      </c>
      <c r="H89" s="7">
        <v>98</v>
      </c>
      <c r="I89" s="7">
        <v>95</v>
      </c>
      <c r="J89" s="7">
        <v>92</v>
      </c>
      <c r="K89" s="7">
        <v>96</v>
      </c>
      <c r="L89" s="7">
        <f t="shared" si="8"/>
        <v>714</v>
      </c>
      <c r="M89" s="7">
        <f t="shared" si="9"/>
        <v>102</v>
      </c>
    </row>
    <row r="90" spans="1:13" ht="15.95" hidden="1" customHeight="1" outlineLevel="2" x14ac:dyDescent="0.2">
      <c r="A90" s="8">
        <v>85</v>
      </c>
      <c r="B90" s="6">
        <v>150312</v>
      </c>
      <c r="C90" s="5" t="s">
        <v>75</v>
      </c>
      <c r="D90" s="7" t="str">
        <f t="shared" si="10"/>
        <v>3班</v>
      </c>
      <c r="E90" s="7">
        <v>68</v>
      </c>
      <c r="F90" s="7">
        <v>108</v>
      </c>
      <c r="G90" s="7">
        <v>64</v>
      </c>
      <c r="H90" s="7">
        <v>71</v>
      </c>
      <c r="I90" s="7">
        <v>97</v>
      </c>
      <c r="J90" s="7">
        <v>93</v>
      </c>
      <c r="K90" s="7">
        <v>99</v>
      </c>
      <c r="L90" s="7">
        <f t="shared" si="8"/>
        <v>600</v>
      </c>
      <c r="M90" s="7">
        <f t="shared" si="9"/>
        <v>85.714285714285708</v>
      </c>
    </row>
    <row r="91" spans="1:13" ht="15.95" hidden="1" customHeight="1" outlineLevel="2" x14ac:dyDescent="0.2">
      <c r="A91" s="8">
        <v>88</v>
      </c>
      <c r="B91" s="6">
        <v>150308</v>
      </c>
      <c r="C91" s="5" t="s">
        <v>71</v>
      </c>
      <c r="D91" s="7" t="str">
        <f t="shared" si="10"/>
        <v>3班</v>
      </c>
      <c r="E91" s="7">
        <v>81</v>
      </c>
      <c r="F91" s="7">
        <v>91</v>
      </c>
      <c r="G91" s="7">
        <v>88</v>
      </c>
      <c r="H91" s="7">
        <v>84</v>
      </c>
      <c r="I91" s="7">
        <v>68</v>
      </c>
      <c r="J91" s="7">
        <v>66</v>
      </c>
      <c r="K91" s="7">
        <v>71</v>
      </c>
      <c r="L91" s="7">
        <f t="shared" si="8"/>
        <v>549</v>
      </c>
      <c r="M91" s="7">
        <f t="shared" si="9"/>
        <v>78.428571428571431</v>
      </c>
    </row>
    <row r="92" spans="1:13" ht="15.95" hidden="1" customHeight="1" outlineLevel="2" x14ac:dyDescent="0.2">
      <c r="A92" s="8">
        <v>89</v>
      </c>
      <c r="B92" s="6">
        <v>150306</v>
      </c>
      <c r="C92" s="5" t="s">
        <v>69</v>
      </c>
      <c r="D92" s="7" t="str">
        <f t="shared" si="10"/>
        <v>3班</v>
      </c>
      <c r="E92" s="7">
        <v>101</v>
      </c>
      <c r="F92" s="7">
        <v>94</v>
      </c>
      <c r="G92" s="7">
        <v>99</v>
      </c>
      <c r="H92" s="7">
        <v>90</v>
      </c>
      <c r="I92" s="7">
        <v>87</v>
      </c>
      <c r="J92" s="7">
        <v>95</v>
      </c>
      <c r="K92" s="7">
        <v>93</v>
      </c>
      <c r="L92" s="7">
        <f t="shared" si="8"/>
        <v>659</v>
      </c>
      <c r="M92" s="7">
        <f t="shared" si="9"/>
        <v>94.142857142857139</v>
      </c>
    </row>
    <row r="93" spans="1:13" ht="15.95" hidden="1" customHeight="1" outlineLevel="2" x14ac:dyDescent="0.2">
      <c r="A93" s="8">
        <v>119</v>
      </c>
      <c r="B93" s="6">
        <v>150317</v>
      </c>
      <c r="C93" s="5" t="s">
        <v>80</v>
      </c>
      <c r="D93" s="7" t="str">
        <f t="shared" si="10"/>
        <v>3班</v>
      </c>
      <c r="E93" s="7">
        <v>85</v>
      </c>
      <c r="F93" s="7">
        <v>116</v>
      </c>
      <c r="G93" s="7">
        <v>69</v>
      </c>
      <c r="H93" s="7">
        <v>74</v>
      </c>
      <c r="I93" s="7">
        <v>72</v>
      </c>
      <c r="J93" s="7">
        <v>82</v>
      </c>
      <c r="K93" s="7">
        <v>98</v>
      </c>
      <c r="L93" s="7">
        <f t="shared" si="8"/>
        <v>596</v>
      </c>
      <c r="M93" s="7">
        <f t="shared" si="9"/>
        <v>85.142857142857139</v>
      </c>
    </row>
    <row r="94" spans="1:13" ht="15.95" customHeight="1" outlineLevel="1" collapsed="1" x14ac:dyDescent="0.2">
      <c r="A94" s="8"/>
      <c r="B94" s="6"/>
      <c r="C94" s="5"/>
      <c r="D94" s="9" t="s">
        <v>136</v>
      </c>
      <c r="E94" s="7">
        <f t="shared" ref="E94:K94" si="11">SUBTOTAL(1,E64:E93)</f>
        <v>89.583333333333329</v>
      </c>
      <c r="F94" s="7">
        <f t="shared" si="11"/>
        <v>96.05</v>
      </c>
      <c r="G94" s="7">
        <f t="shared" si="11"/>
        <v>92.666666666666671</v>
      </c>
      <c r="H94" s="7">
        <f t="shared" si="11"/>
        <v>83.63333333333334</v>
      </c>
      <c r="I94" s="7">
        <f t="shared" si="11"/>
        <v>79.36666666666666</v>
      </c>
      <c r="J94" s="7">
        <f t="shared" si="11"/>
        <v>81.8</v>
      </c>
      <c r="K94" s="7">
        <f t="shared" si="11"/>
        <v>83.266666666666666</v>
      </c>
      <c r="L94" s="7"/>
      <c r="M94" s="7"/>
    </row>
    <row r="95" spans="1:13" ht="15.95" hidden="1" customHeight="1" outlineLevel="2" x14ac:dyDescent="0.2">
      <c r="A95" s="8">
        <v>11</v>
      </c>
      <c r="B95" s="6">
        <v>150411</v>
      </c>
      <c r="C95" s="5" t="s">
        <v>103</v>
      </c>
      <c r="D95" s="7" t="str">
        <f>MID(B95,4,1)&amp;"班"</f>
        <v>4班</v>
      </c>
      <c r="E95" s="7">
        <v>95</v>
      </c>
      <c r="F95" s="7">
        <v>81</v>
      </c>
      <c r="G95" s="7">
        <v>102</v>
      </c>
      <c r="H95" s="7">
        <v>77</v>
      </c>
      <c r="I95" s="7">
        <v>99</v>
      </c>
      <c r="J95" s="7">
        <v>74</v>
      </c>
      <c r="K95" s="7">
        <v>96</v>
      </c>
      <c r="L95" s="7">
        <f t="shared" ref="L95:L124" si="12">SUM(E95:K95)</f>
        <v>624</v>
      </c>
      <c r="M95" s="7">
        <f t="shared" ref="M95:M124" si="13">AVERAGE(E95:K95)</f>
        <v>89.142857142857139</v>
      </c>
    </row>
    <row r="96" spans="1:13" ht="15.95" hidden="1" customHeight="1" outlineLevel="2" x14ac:dyDescent="0.2">
      <c r="A96" s="8">
        <v>15</v>
      </c>
      <c r="B96" s="6">
        <v>150413</v>
      </c>
      <c r="C96" s="5" t="s">
        <v>105</v>
      </c>
      <c r="D96" s="7" t="str">
        <f t="shared" ref="D96:D124" si="14">MID(B96,4,1)&amp;"班"</f>
        <v>4班</v>
      </c>
      <c r="E96" s="7">
        <v>97</v>
      </c>
      <c r="F96" s="7">
        <v>87</v>
      </c>
      <c r="G96" s="7">
        <v>75</v>
      </c>
      <c r="H96" s="7">
        <v>91</v>
      </c>
      <c r="I96" s="7">
        <v>97</v>
      </c>
      <c r="J96" s="7">
        <v>90</v>
      </c>
      <c r="K96" s="7">
        <v>65</v>
      </c>
      <c r="L96" s="7">
        <f t="shared" si="12"/>
        <v>602</v>
      </c>
      <c r="M96" s="7">
        <f t="shared" si="13"/>
        <v>86</v>
      </c>
    </row>
    <row r="97" spans="1:13" ht="15.95" hidden="1" customHeight="1" outlineLevel="2" x14ac:dyDescent="0.2">
      <c r="A97" s="8">
        <v>17</v>
      </c>
      <c r="B97" s="6">
        <v>150402</v>
      </c>
      <c r="C97" s="5" t="s">
        <v>94</v>
      </c>
      <c r="D97" s="7" t="str">
        <f t="shared" si="14"/>
        <v>4班</v>
      </c>
      <c r="E97" s="7">
        <v>110</v>
      </c>
      <c r="F97" s="7">
        <v>105</v>
      </c>
      <c r="G97" s="7">
        <v>98</v>
      </c>
      <c r="H97" s="7">
        <v>99</v>
      </c>
      <c r="I97" s="7">
        <v>93</v>
      </c>
      <c r="J97" s="7">
        <v>93</v>
      </c>
      <c r="K97" s="7">
        <v>92</v>
      </c>
      <c r="L97" s="7">
        <f t="shared" si="12"/>
        <v>690</v>
      </c>
      <c r="M97" s="7">
        <f t="shared" si="13"/>
        <v>98.571428571428569</v>
      </c>
    </row>
    <row r="98" spans="1:13" ht="15.95" hidden="1" customHeight="1" outlineLevel="2" x14ac:dyDescent="0.2">
      <c r="A98" s="8">
        <v>18</v>
      </c>
      <c r="B98" s="6">
        <v>150426</v>
      </c>
      <c r="C98" s="5" t="s">
        <v>118</v>
      </c>
      <c r="D98" s="7" t="str">
        <f t="shared" si="14"/>
        <v>4班</v>
      </c>
      <c r="E98" s="7">
        <v>85</v>
      </c>
      <c r="F98" s="7">
        <v>100</v>
      </c>
      <c r="G98" s="7">
        <v>68</v>
      </c>
      <c r="H98" s="7">
        <v>89</v>
      </c>
      <c r="I98" s="7">
        <v>69</v>
      </c>
      <c r="J98" s="7">
        <v>88</v>
      </c>
      <c r="K98" s="7">
        <v>73</v>
      </c>
      <c r="L98" s="7">
        <f t="shared" si="12"/>
        <v>572</v>
      </c>
      <c r="M98" s="7">
        <f t="shared" si="13"/>
        <v>81.714285714285708</v>
      </c>
    </row>
    <row r="99" spans="1:13" ht="15.95" hidden="1" customHeight="1" outlineLevel="2" x14ac:dyDescent="0.2">
      <c r="A99" s="8">
        <v>22</v>
      </c>
      <c r="B99" s="6">
        <v>150428</v>
      </c>
      <c r="C99" s="5" t="s">
        <v>120</v>
      </c>
      <c r="D99" s="7" t="str">
        <f t="shared" si="14"/>
        <v>4班</v>
      </c>
      <c r="E99" s="7">
        <v>112</v>
      </c>
      <c r="F99" s="7">
        <v>112</v>
      </c>
      <c r="G99" s="7">
        <v>117</v>
      </c>
      <c r="H99" s="7">
        <v>67</v>
      </c>
      <c r="I99" s="7">
        <v>98</v>
      </c>
      <c r="J99" s="7">
        <v>63</v>
      </c>
      <c r="K99" s="7">
        <v>60</v>
      </c>
      <c r="L99" s="7">
        <f t="shared" si="12"/>
        <v>629</v>
      </c>
      <c r="M99" s="7">
        <f t="shared" si="13"/>
        <v>89.857142857142861</v>
      </c>
    </row>
    <row r="100" spans="1:13" ht="15.95" hidden="1" customHeight="1" outlineLevel="2" x14ac:dyDescent="0.2">
      <c r="A100" s="8">
        <v>34</v>
      </c>
      <c r="B100" s="6">
        <v>150424</v>
      </c>
      <c r="C100" s="5" t="s">
        <v>116</v>
      </c>
      <c r="D100" s="7" t="str">
        <f t="shared" si="14"/>
        <v>4班</v>
      </c>
      <c r="E100" s="7">
        <v>88</v>
      </c>
      <c r="F100" s="7">
        <v>88</v>
      </c>
      <c r="G100" s="7">
        <v>96</v>
      </c>
      <c r="H100" s="7">
        <v>89</v>
      </c>
      <c r="I100" s="7">
        <v>85</v>
      </c>
      <c r="J100" s="7">
        <v>93</v>
      </c>
      <c r="K100" s="7">
        <v>77</v>
      </c>
      <c r="L100" s="7">
        <f t="shared" si="12"/>
        <v>616</v>
      </c>
      <c r="M100" s="7">
        <f t="shared" si="13"/>
        <v>88</v>
      </c>
    </row>
    <row r="101" spans="1:13" ht="15.95" hidden="1" customHeight="1" outlineLevel="2" x14ac:dyDescent="0.2">
      <c r="A101" s="8">
        <v>39</v>
      </c>
      <c r="B101" s="6">
        <v>150430</v>
      </c>
      <c r="C101" s="5" t="s">
        <v>122</v>
      </c>
      <c r="D101" s="7" t="str">
        <f t="shared" si="14"/>
        <v>4班</v>
      </c>
      <c r="E101" s="7">
        <v>99</v>
      </c>
      <c r="F101" s="7">
        <v>58</v>
      </c>
      <c r="G101" s="7">
        <v>101</v>
      </c>
      <c r="H101" s="7">
        <v>75</v>
      </c>
      <c r="I101" s="7">
        <v>75</v>
      </c>
      <c r="J101" s="7">
        <v>60</v>
      </c>
      <c r="K101" s="7">
        <v>88</v>
      </c>
      <c r="L101" s="7">
        <f t="shared" si="12"/>
        <v>556</v>
      </c>
      <c r="M101" s="7">
        <f t="shared" si="13"/>
        <v>79.428571428571431</v>
      </c>
    </row>
    <row r="102" spans="1:13" ht="15.95" hidden="1" customHeight="1" outlineLevel="2" x14ac:dyDescent="0.2">
      <c r="A102" s="8">
        <v>44</v>
      </c>
      <c r="B102" s="6">
        <v>150425</v>
      </c>
      <c r="C102" s="5" t="s">
        <v>117</v>
      </c>
      <c r="D102" s="7" t="str">
        <f t="shared" si="14"/>
        <v>4班</v>
      </c>
      <c r="E102" s="7">
        <v>119</v>
      </c>
      <c r="F102" s="7">
        <v>77</v>
      </c>
      <c r="G102" s="7">
        <v>112</v>
      </c>
      <c r="H102" s="7">
        <v>63</v>
      </c>
      <c r="I102" s="7">
        <v>55</v>
      </c>
      <c r="J102" s="7">
        <v>91</v>
      </c>
      <c r="K102" s="7">
        <v>95</v>
      </c>
      <c r="L102" s="7">
        <f t="shared" si="12"/>
        <v>612</v>
      </c>
      <c r="M102" s="7">
        <f t="shared" si="13"/>
        <v>87.428571428571431</v>
      </c>
    </row>
    <row r="103" spans="1:13" ht="15.95" hidden="1" customHeight="1" outlineLevel="2" x14ac:dyDescent="0.2">
      <c r="A103" s="8">
        <v>54</v>
      </c>
      <c r="B103" s="6">
        <v>150427</v>
      </c>
      <c r="C103" s="5" t="s">
        <v>119</v>
      </c>
      <c r="D103" s="7" t="str">
        <f t="shared" si="14"/>
        <v>4班</v>
      </c>
      <c r="E103" s="7">
        <v>80</v>
      </c>
      <c r="F103" s="7">
        <v>112</v>
      </c>
      <c r="G103" s="7">
        <v>106</v>
      </c>
      <c r="H103" s="7">
        <v>76</v>
      </c>
      <c r="I103" s="7">
        <v>72</v>
      </c>
      <c r="J103" s="7">
        <v>96</v>
      </c>
      <c r="K103" s="7">
        <v>99</v>
      </c>
      <c r="L103" s="7">
        <f t="shared" si="12"/>
        <v>641</v>
      </c>
      <c r="M103" s="7">
        <f t="shared" si="13"/>
        <v>91.571428571428569</v>
      </c>
    </row>
    <row r="104" spans="1:13" ht="15.95" hidden="1" customHeight="1" outlineLevel="2" x14ac:dyDescent="0.2">
      <c r="A104" s="8">
        <v>60</v>
      </c>
      <c r="B104" s="6">
        <v>150407</v>
      </c>
      <c r="C104" s="5" t="s">
        <v>99</v>
      </c>
      <c r="D104" s="7" t="str">
        <f t="shared" si="14"/>
        <v>4班</v>
      </c>
      <c r="E104" s="7">
        <v>110</v>
      </c>
      <c r="F104" s="7">
        <v>116</v>
      </c>
      <c r="G104" s="7">
        <v>97</v>
      </c>
      <c r="H104" s="7">
        <v>92</v>
      </c>
      <c r="I104" s="7">
        <v>92</v>
      </c>
      <c r="J104" s="7">
        <v>85</v>
      </c>
      <c r="K104" s="7">
        <v>70</v>
      </c>
      <c r="L104" s="7">
        <f t="shared" si="12"/>
        <v>662</v>
      </c>
      <c r="M104" s="7">
        <f t="shared" si="13"/>
        <v>94.571428571428569</v>
      </c>
    </row>
    <row r="105" spans="1:13" ht="15.95" hidden="1" customHeight="1" outlineLevel="2" x14ac:dyDescent="0.2">
      <c r="A105" s="8">
        <v>84</v>
      </c>
      <c r="B105" s="6">
        <v>150406</v>
      </c>
      <c r="C105" s="5" t="s">
        <v>98</v>
      </c>
      <c r="D105" s="7" t="str">
        <f t="shared" si="14"/>
        <v>4班</v>
      </c>
      <c r="E105" s="7">
        <v>90</v>
      </c>
      <c r="F105" s="7">
        <v>111</v>
      </c>
      <c r="G105" s="7">
        <v>116</v>
      </c>
      <c r="H105" s="7">
        <v>72</v>
      </c>
      <c r="I105" s="7">
        <v>95</v>
      </c>
      <c r="J105" s="7">
        <v>93</v>
      </c>
      <c r="K105" s="7">
        <v>95</v>
      </c>
      <c r="L105" s="7">
        <f t="shared" si="12"/>
        <v>672</v>
      </c>
      <c r="M105" s="7">
        <f t="shared" si="13"/>
        <v>96</v>
      </c>
    </row>
    <row r="106" spans="1:13" ht="15.95" hidden="1" customHeight="1" outlineLevel="2" x14ac:dyDescent="0.2">
      <c r="A106" s="8">
        <v>93</v>
      </c>
      <c r="B106" s="6">
        <v>150429</v>
      </c>
      <c r="C106" s="5" t="s">
        <v>121</v>
      </c>
      <c r="D106" s="7" t="str">
        <f t="shared" si="14"/>
        <v>4班</v>
      </c>
      <c r="E106" s="7">
        <v>109</v>
      </c>
      <c r="F106" s="7">
        <v>85</v>
      </c>
      <c r="G106" s="7">
        <v>82</v>
      </c>
      <c r="H106" s="7">
        <v>100</v>
      </c>
      <c r="I106" s="7">
        <v>96</v>
      </c>
      <c r="J106" s="7">
        <v>53</v>
      </c>
      <c r="K106" s="7">
        <v>96</v>
      </c>
      <c r="L106" s="7">
        <f t="shared" si="12"/>
        <v>621</v>
      </c>
      <c r="M106" s="7">
        <f t="shared" si="13"/>
        <v>88.714285714285708</v>
      </c>
    </row>
    <row r="107" spans="1:13" ht="15.95" hidden="1" customHeight="1" outlineLevel="2" x14ac:dyDescent="0.2">
      <c r="A107" s="8">
        <v>95</v>
      </c>
      <c r="B107" s="6">
        <v>150414</v>
      </c>
      <c r="C107" s="5" t="s">
        <v>106</v>
      </c>
      <c r="D107" s="7" t="str">
        <f t="shared" si="14"/>
        <v>4班</v>
      </c>
      <c r="E107" s="7">
        <v>59</v>
      </c>
      <c r="F107" s="7">
        <v>89</v>
      </c>
      <c r="G107" s="7">
        <v>91</v>
      </c>
      <c r="H107" s="7">
        <v>82</v>
      </c>
      <c r="I107" s="7">
        <v>77</v>
      </c>
      <c r="J107" s="7">
        <v>81</v>
      </c>
      <c r="K107" s="7">
        <v>54</v>
      </c>
      <c r="L107" s="7">
        <f t="shared" si="12"/>
        <v>533</v>
      </c>
      <c r="M107" s="7">
        <f t="shared" si="13"/>
        <v>76.142857142857139</v>
      </c>
    </row>
    <row r="108" spans="1:13" ht="15.95" hidden="1" customHeight="1" outlineLevel="2" x14ac:dyDescent="0.2">
      <c r="A108" s="8">
        <v>100</v>
      </c>
      <c r="B108" s="6">
        <v>150401</v>
      </c>
      <c r="C108" s="5" t="s">
        <v>93</v>
      </c>
      <c r="D108" s="7" t="str">
        <f t="shared" si="14"/>
        <v>4班</v>
      </c>
      <c r="E108" s="7">
        <v>107.5</v>
      </c>
      <c r="F108" s="7">
        <v>106</v>
      </c>
      <c r="G108" s="7">
        <v>108</v>
      </c>
      <c r="H108" s="7">
        <v>98</v>
      </c>
      <c r="I108" s="7">
        <v>99</v>
      </c>
      <c r="J108" s="7">
        <v>99</v>
      </c>
      <c r="K108" s="7">
        <v>96</v>
      </c>
      <c r="L108" s="7">
        <f t="shared" si="12"/>
        <v>713.5</v>
      </c>
      <c r="M108" s="7">
        <f t="shared" si="13"/>
        <v>101.92857142857143</v>
      </c>
    </row>
    <row r="109" spans="1:13" ht="15.95" hidden="1" customHeight="1" outlineLevel="2" x14ac:dyDescent="0.2">
      <c r="A109" s="8">
        <v>101</v>
      </c>
      <c r="B109" s="6">
        <v>150409</v>
      </c>
      <c r="C109" s="5" t="s">
        <v>101</v>
      </c>
      <c r="D109" s="7" t="str">
        <f t="shared" si="14"/>
        <v>4班</v>
      </c>
      <c r="E109" s="7">
        <v>65</v>
      </c>
      <c r="F109" s="7">
        <v>103</v>
      </c>
      <c r="G109" s="7">
        <v>81</v>
      </c>
      <c r="H109" s="7">
        <v>93</v>
      </c>
      <c r="I109" s="7">
        <v>83</v>
      </c>
      <c r="J109" s="7">
        <v>88</v>
      </c>
      <c r="K109" s="7">
        <v>83</v>
      </c>
      <c r="L109" s="7">
        <f t="shared" si="12"/>
        <v>596</v>
      </c>
      <c r="M109" s="7">
        <f t="shared" si="13"/>
        <v>85.142857142857139</v>
      </c>
    </row>
    <row r="110" spans="1:13" ht="15.95" hidden="1" customHeight="1" outlineLevel="2" x14ac:dyDescent="0.2">
      <c r="A110" s="8">
        <v>102</v>
      </c>
      <c r="B110" s="6">
        <v>150405</v>
      </c>
      <c r="C110" s="5" t="s">
        <v>97</v>
      </c>
      <c r="D110" s="7" t="str">
        <f t="shared" si="14"/>
        <v>4班</v>
      </c>
      <c r="E110" s="7">
        <v>88</v>
      </c>
      <c r="F110" s="7">
        <v>98</v>
      </c>
      <c r="G110" s="7">
        <v>101</v>
      </c>
      <c r="H110" s="7">
        <v>89</v>
      </c>
      <c r="I110" s="7">
        <v>73</v>
      </c>
      <c r="J110" s="7">
        <v>95</v>
      </c>
      <c r="K110" s="7">
        <v>91</v>
      </c>
      <c r="L110" s="7">
        <f t="shared" si="12"/>
        <v>635</v>
      </c>
      <c r="M110" s="7">
        <f t="shared" si="13"/>
        <v>90.714285714285708</v>
      </c>
    </row>
    <row r="111" spans="1:13" ht="15.95" hidden="1" customHeight="1" outlineLevel="2" x14ac:dyDescent="0.2">
      <c r="A111" s="8">
        <v>103</v>
      </c>
      <c r="B111" s="6">
        <v>150408</v>
      </c>
      <c r="C111" s="5" t="s">
        <v>100</v>
      </c>
      <c r="D111" s="7" t="str">
        <f t="shared" si="14"/>
        <v>4班</v>
      </c>
      <c r="E111" s="7">
        <v>78</v>
      </c>
      <c r="F111" s="7">
        <v>101</v>
      </c>
      <c r="G111" s="7">
        <v>91</v>
      </c>
      <c r="H111" s="7">
        <v>75</v>
      </c>
      <c r="I111" s="7">
        <v>70</v>
      </c>
      <c r="J111" s="7">
        <v>84</v>
      </c>
      <c r="K111" s="7">
        <v>75</v>
      </c>
      <c r="L111" s="7">
        <f t="shared" si="12"/>
        <v>574</v>
      </c>
      <c r="M111" s="7">
        <f t="shared" si="13"/>
        <v>82</v>
      </c>
    </row>
    <row r="112" spans="1:13" ht="15.95" hidden="1" customHeight="1" outlineLevel="2" x14ac:dyDescent="0.2">
      <c r="A112" s="8">
        <v>104</v>
      </c>
      <c r="B112" s="6">
        <v>150410</v>
      </c>
      <c r="C112" s="5" t="s">
        <v>102</v>
      </c>
      <c r="D112" s="7" t="str">
        <f t="shared" si="14"/>
        <v>4班</v>
      </c>
      <c r="E112" s="7">
        <v>63</v>
      </c>
      <c r="F112" s="7">
        <v>95</v>
      </c>
      <c r="G112" s="7">
        <v>101</v>
      </c>
      <c r="H112" s="7">
        <v>89</v>
      </c>
      <c r="I112" s="7">
        <v>99</v>
      </c>
      <c r="J112" s="7">
        <v>81</v>
      </c>
      <c r="K112" s="7">
        <v>62</v>
      </c>
      <c r="L112" s="7">
        <f t="shared" si="12"/>
        <v>590</v>
      </c>
      <c r="M112" s="7">
        <f t="shared" si="13"/>
        <v>84.285714285714292</v>
      </c>
    </row>
    <row r="113" spans="1:13" ht="15.95" hidden="1" customHeight="1" outlineLevel="2" x14ac:dyDescent="0.2">
      <c r="A113" s="8">
        <v>105</v>
      </c>
      <c r="B113" s="6">
        <v>150419</v>
      </c>
      <c r="C113" s="5" t="s">
        <v>111</v>
      </c>
      <c r="D113" s="7" t="str">
        <f t="shared" si="14"/>
        <v>4班</v>
      </c>
      <c r="E113" s="7">
        <v>98</v>
      </c>
      <c r="F113" s="7">
        <v>112</v>
      </c>
      <c r="G113" s="7">
        <v>105</v>
      </c>
      <c r="H113" s="7">
        <v>90</v>
      </c>
      <c r="I113" s="7">
        <v>83</v>
      </c>
      <c r="J113" s="7">
        <v>91</v>
      </c>
      <c r="K113" s="7">
        <v>79</v>
      </c>
      <c r="L113" s="7">
        <f t="shared" si="12"/>
        <v>658</v>
      </c>
      <c r="M113" s="7">
        <f t="shared" si="13"/>
        <v>94</v>
      </c>
    </row>
    <row r="114" spans="1:13" ht="15.95" hidden="1" customHeight="1" outlineLevel="2" x14ac:dyDescent="0.2">
      <c r="A114" s="8">
        <v>106</v>
      </c>
      <c r="B114" s="6">
        <v>150416</v>
      </c>
      <c r="C114" s="5" t="s">
        <v>108</v>
      </c>
      <c r="D114" s="7" t="str">
        <f t="shared" si="14"/>
        <v>4班</v>
      </c>
      <c r="E114" s="7">
        <v>110</v>
      </c>
      <c r="F114" s="7">
        <v>109</v>
      </c>
      <c r="G114" s="7">
        <v>118</v>
      </c>
      <c r="H114" s="7">
        <v>98</v>
      </c>
      <c r="I114" s="7">
        <v>94</v>
      </c>
      <c r="J114" s="7">
        <v>95</v>
      </c>
      <c r="K114" s="7">
        <v>77</v>
      </c>
      <c r="L114" s="7">
        <f t="shared" si="12"/>
        <v>701</v>
      </c>
      <c r="M114" s="7">
        <f t="shared" si="13"/>
        <v>100.14285714285714</v>
      </c>
    </row>
    <row r="115" spans="1:13" ht="15.95" hidden="1" customHeight="1" outlineLevel="2" x14ac:dyDescent="0.2">
      <c r="A115" s="8">
        <v>108</v>
      </c>
      <c r="B115" s="6">
        <v>150415</v>
      </c>
      <c r="C115" s="5" t="s">
        <v>107</v>
      </c>
      <c r="D115" s="7" t="str">
        <f t="shared" si="14"/>
        <v>4班</v>
      </c>
      <c r="E115" s="7">
        <v>69</v>
      </c>
      <c r="F115" s="7">
        <v>94</v>
      </c>
      <c r="G115" s="7">
        <v>90</v>
      </c>
      <c r="H115" s="7">
        <v>67</v>
      </c>
      <c r="I115" s="7">
        <v>89</v>
      </c>
      <c r="J115" s="7">
        <v>92</v>
      </c>
      <c r="K115" s="7">
        <v>68</v>
      </c>
      <c r="L115" s="7">
        <f t="shared" si="12"/>
        <v>569</v>
      </c>
      <c r="M115" s="7">
        <f t="shared" si="13"/>
        <v>81.285714285714292</v>
      </c>
    </row>
    <row r="116" spans="1:13" ht="15.95" hidden="1" customHeight="1" outlineLevel="2" x14ac:dyDescent="0.2">
      <c r="A116" s="8">
        <v>110</v>
      </c>
      <c r="B116" s="6">
        <v>150403</v>
      </c>
      <c r="C116" s="5" t="s">
        <v>95</v>
      </c>
      <c r="D116" s="7" t="str">
        <f t="shared" si="14"/>
        <v>4班</v>
      </c>
      <c r="E116" s="7">
        <v>95</v>
      </c>
      <c r="F116" s="7">
        <v>85</v>
      </c>
      <c r="G116" s="7">
        <v>99</v>
      </c>
      <c r="H116" s="7">
        <v>98</v>
      </c>
      <c r="I116" s="7">
        <v>92</v>
      </c>
      <c r="J116" s="7">
        <v>92</v>
      </c>
      <c r="K116" s="7">
        <v>88</v>
      </c>
      <c r="L116" s="7">
        <f t="shared" si="12"/>
        <v>649</v>
      </c>
      <c r="M116" s="7">
        <f t="shared" si="13"/>
        <v>92.714285714285708</v>
      </c>
    </row>
    <row r="117" spans="1:13" ht="15.95" hidden="1" customHeight="1" outlineLevel="2" x14ac:dyDescent="0.2">
      <c r="A117" s="8">
        <v>111</v>
      </c>
      <c r="B117" s="6">
        <v>150420</v>
      </c>
      <c r="C117" s="5" t="s">
        <v>112</v>
      </c>
      <c r="D117" s="7" t="str">
        <f t="shared" si="14"/>
        <v>4班</v>
      </c>
      <c r="E117" s="7">
        <v>91</v>
      </c>
      <c r="F117" s="7">
        <v>75</v>
      </c>
      <c r="G117" s="7">
        <v>65</v>
      </c>
      <c r="H117" s="7">
        <v>60</v>
      </c>
      <c r="I117" s="7">
        <v>74</v>
      </c>
      <c r="J117" s="7">
        <v>67</v>
      </c>
      <c r="K117" s="7">
        <v>84</v>
      </c>
      <c r="L117" s="7">
        <f t="shared" si="12"/>
        <v>516</v>
      </c>
      <c r="M117" s="7">
        <f t="shared" si="13"/>
        <v>73.714285714285708</v>
      </c>
    </row>
    <row r="118" spans="1:13" ht="15.95" hidden="1" customHeight="1" outlineLevel="2" x14ac:dyDescent="0.2">
      <c r="A118" s="8">
        <v>113</v>
      </c>
      <c r="B118" s="6">
        <v>150417</v>
      </c>
      <c r="C118" s="5" t="s">
        <v>109</v>
      </c>
      <c r="D118" s="7" t="str">
        <f t="shared" si="14"/>
        <v>4班</v>
      </c>
      <c r="E118" s="7">
        <v>108</v>
      </c>
      <c r="F118" s="7">
        <v>118</v>
      </c>
      <c r="G118" s="7">
        <v>104</v>
      </c>
      <c r="H118" s="7">
        <v>91</v>
      </c>
      <c r="I118" s="7">
        <v>92</v>
      </c>
      <c r="J118" s="7">
        <v>93</v>
      </c>
      <c r="K118" s="7">
        <v>78</v>
      </c>
      <c r="L118" s="7">
        <f t="shared" si="12"/>
        <v>684</v>
      </c>
      <c r="M118" s="7">
        <f t="shared" si="13"/>
        <v>97.714285714285708</v>
      </c>
    </row>
    <row r="119" spans="1:13" ht="15.95" hidden="1" customHeight="1" outlineLevel="2" x14ac:dyDescent="0.2">
      <c r="A119" s="8">
        <v>114</v>
      </c>
      <c r="B119" s="6">
        <v>150422</v>
      </c>
      <c r="C119" s="5" t="s">
        <v>114</v>
      </c>
      <c r="D119" s="7" t="str">
        <f t="shared" si="14"/>
        <v>4班</v>
      </c>
      <c r="E119" s="7">
        <v>91</v>
      </c>
      <c r="F119" s="7">
        <v>104</v>
      </c>
      <c r="G119" s="7">
        <v>62</v>
      </c>
      <c r="H119" s="7">
        <v>88</v>
      </c>
      <c r="I119" s="7">
        <v>85</v>
      </c>
      <c r="J119" s="7">
        <v>64</v>
      </c>
      <c r="K119" s="7">
        <v>86</v>
      </c>
      <c r="L119" s="7">
        <f t="shared" si="12"/>
        <v>580</v>
      </c>
      <c r="M119" s="7">
        <f t="shared" si="13"/>
        <v>82.857142857142861</v>
      </c>
    </row>
    <row r="120" spans="1:13" ht="15.95" hidden="1" customHeight="1" outlineLevel="2" x14ac:dyDescent="0.2">
      <c r="A120" s="8">
        <v>115</v>
      </c>
      <c r="B120" s="6">
        <v>150418</v>
      </c>
      <c r="C120" s="5" t="s">
        <v>110</v>
      </c>
      <c r="D120" s="7" t="str">
        <f t="shared" si="14"/>
        <v>4班</v>
      </c>
      <c r="E120" s="7">
        <v>64</v>
      </c>
      <c r="F120" s="7">
        <v>97</v>
      </c>
      <c r="G120" s="7">
        <v>58</v>
      </c>
      <c r="H120" s="7">
        <v>77</v>
      </c>
      <c r="I120" s="7">
        <v>63</v>
      </c>
      <c r="J120" s="7">
        <v>81</v>
      </c>
      <c r="K120" s="7">
        <v>70</v>
      </c>
      <c r="L120" s="7">
        <f t="shared" si="12"/>
        <v>510</v>
      </c>
      <c r="M120" s="7">
        <f t="shared" si="13"/>
        <v>72.857142857142861</v>
      </c>
    </row>
    <row r="121" spans="1:13" ht="15.95" hidden="1" customHeight="1" outlineLevel="2" x14ac:dyDescent="0.2">
      <c r="A121" s="8">
        <v>116</v>
      </c>
      <c r="B121" s="6">
        <v>150423</v>
      </c>
      <c r="C121" s="5" t="s">
        <v>115</v>
      </c>
      <c r="D121" s="7" t="str">
        <f t="shared" si="14"/>
        <v>4班</v>
      </c>
      <c r="E121" s="7">
        <v>106</v>
      </c>
      <c r="F121" s="7">
        <v>89</v>
      </c>
      <c r="G121" s="7">
        <v>94</v>
      </c>
      <c r="H121" s="7">
        <v>74</v>
      </c>
      <c r="I121" s="7">
        <v>92</v>
      </c>
      <c r="J121" s="7">
        <v>91</v>
      </c>
      <c r="K121" s="7">
        <v>62</v>
      </c>
      <c r="L121" s="7">
        <f t="shared" si="12"/>
        <v>608</v>
      </c>
      <c r="M121" s="7">
        <f t="shared" si="13"/>
        <v>86.857142857142861</v>
      </c>
    </row>
    <row r="122" spans="1:13" ht="15.95" hidden="1" customHeight="1" outlineLevel="2" x14ac:dyDescent="0.2">
      <c r="A122" s="8">
        <v>117</v>
      </c>
      <c r="B122" s="6">
        <v>150421</v>
      </c>
      <c r="C122" s="5" t="s">
        <v>113</v>
      </c>
      <c r="D122" s="7" t="str">
        <f t="shared" si="14"/>
        <v>4班</v>
      </c>
      <c r="E122" s="7">
        <v>63</v>
      </c>
      <c r="F122" s="7">
        <v>84</v>
      </c>
      <c r="G122" s="7">
        <v>89</v>
      </c>
      <c r="H122" s="7">
        <v>62</v>
      </c>
      <c r="I122" s="7">
        <v>99</v>
      </c>
      <c r="J122" s="7">
        <v>62</v>
      </c>
      <c r="K122" s="7">
        <v>81</v>
      </c>
      <c r="L122" s="7">
        <f t="shared" si="12"/>
        <v>540</v>
      </c>
      <c r="M122" s="7">
        <f t="shared" si="13"/>
        <v>77.142857142857139</v>
      </c>
    </row>
    <row r="123" spans="1:13" ht="15.95" hidden="1" customHeight="1" outlineLevel="2" x14ac:dyDescent="0.2">
      <c r="A123" s="8">
        <v>118</v>
      </c>
      <c r="B123" s="6">
        <v>150412</v>
      </c>
      <c r="C123" s="5" t="s">
        <v>104</v>
      </c>
      <c r="D123" s="7" t="str">
        <f t="shared" si="14"/>
        <v>4班</v>
      </c>
      <c r="E123" s="7">
        <v>109</v>
      </c>
      <c r="F123" s="7">
        <v>87</v>
      </c>
      <c r="G123" s="7">
        <v>114</v>
      </c>
      <c r="H123" s="7">
        <v>92</v>
      </c>
      <c r="I123" s="7">
        <v>78</v>
      </c>
      <c r="J123" s="7">
        <v>90</v>
      </c>
      <c r="K123" s="7">
        <v>61</v>
      </c>
      <c r="L123" s="7">
        <f t="shared" si="12"/>
        <v>631</v>
      </c>
      <c r="M123" s="7">
        <f t="shared" si="13"/>
        <v>90.142857142857139</v>
      </c>
    </row>
    <row r="124" spans="1:13" ht="15.95" hidden="1" customHeight="1" outlineLevel="2" x14ac:dyDescent="0.2">
      <c r="A124" s="8">
        <v>120</v>
      </c>
      <c r="B124" s="6">
        <v>150404</v>
      </c>
      <c r="C124" s="5" t="s">
        <v>96</v>
      </c>
      <c r="D124" s="7" t="str">
        <f t="shared" si="14"/>
        <v>4班</v>
      </c>
      <c r="E124" s="7">
        <v>102</v>
      </c>
      <c r="F124" s="7">
        <v>116</v>
      </c>
      <c r="G124" s="7">
        <v>113</v>
      </c>
      <c r="H124" s="7">
        <v>78</v>
      </c>
      <c r="I124" s="7">
        <v>88</v>
      </c>
      <c r="J124" s="7">
        <v>86</v>
      </c>
      <c r="K124" s="7">
        <v>75</v>
      </c>
      <c r="L124" s="7">
        <f t="shared" si="12"/>
        <v>658</v>
      </c>
      <c r="M124" s="7">
        <f t="shared" si="13"/>
        <v>94</v>
      </c>
    </row>
    <row r="125" spans="1:13" ht="15.95" customHeight="1" outlineLevel="1" collapsed="1" x14ac:dyDescent="0.2">
      <c r="A125" s="10"/>
      <c r="B125" s="11"/>
      <c r="C125" s="12"/>
      <c r="D125" s="14" t="s">
        <v>137</v>
      </c>
      <c r="E125" s="13">
        <f t="shared" ref="E125:K125" si="15">SUBTOTAL(1,E95:E124)</f>
        <v>92.016666666666666</v>
      </c>
      <c r="F125" s="13">
        <f t="shared" si="15"/>
        <v>96.466666666666669</v>
      </c>
      <c r="G125" s="13">
        <f t="shared" si="15"/>
        <v>95.13333333333334</v>
      </c>
      <c r="H125" s="13">
        <f t="shared" si="15"/>
        <v>83.033333333333331</v>
      </c>
      <c r="I125" s="13">
        <f t="shared" si="15"/>
        <v>85.2</v>
      </c>
      <c r="J125" s="13">
        <f t="shared" si="15"/>
        <v>83.7</v>
      </c>
      <c r="K125" s="13">
        <f t="shared" si="15"/>
        <v>79.2</v>
      </c>
      <c r="L125" s="13"/>
      <c r="M125" s="13"/>
    </row>
    <row r="126" spans="1:13" ht="15.95" customHeight="1" x14ac:dyDescent="0.2">
      <c r="A126" s="10"/>
      <c r="B126" s="11"/>
      <c r="C126" s="12"/>
      <c r="D126" s="14" t="s">
        <v>138</v>
      </c>
      <c r="E126" s="13">
        <f t="shared" ref="E126:K126" si="16">SUBTOTAL(1,E2:E124)</f>
        <v>91.754166666666663</v>
      </c>
      <c r="F126" s="13">
        <f t="shared" si="16"/>
        <v>95.795833333333334</v>
      </c>
      <c r="G126" s="13">
        <f t="shared" si="16"/>
        <v>93.262500000000003</v>
      </c>
      <c r="H126" s="13">
        <f t="shared" si="16"/>
        <v>82.30416666666666</v>
      </c>
      <c r="I126" s="13">
        <f t="shared" si="16"/>
        <v>82.95</v>
      </c>
      <c r="J126" s="13">
        <f t="shared" si="16"/>
        <v>82.424999999999997</v>
      </c>
      <c r="K126" s="13">
        <f t="shared" si="16"/>
        <v>81.716666666666669</v>
      </c>
      <c r="L126" s="13"/>
      <c r="M126" s="13"/>
    </row>
  </sheetData>
  <sortState ref="A2:M121">
    <sortCondition ref="D2:D121"/>
  </sortState>
  <phoneticPr fontId="1" type="noConversion"/>
  <conditionalFormatting sqref="A1:M126">
    <cfRule type="expression" dxfId="2" priority="3">
      <formula>ISODD(ROW())</formula>
    </cfRule>
  </conditionalFormatting>
  <conditionalFormatting sqref="E2:G126">
    <cfRule type="cellIs" dxfId="1" priority="2" operator="greaterThanOrEqual">
      <formula>110</formula>
    </cfRule>
  </conditionalFormatting>
  <conditionalFormatting sqref="H2:K126">
    <cfRule type="cellIs" dxfId="0" priority="1" operator="greaterThan">
      <formula>95</formula>
    </cfRule>
  </conditionalFormatting>
  <pageMargins left="0.7" right="0.7" top="0.75" bottom="0.75" header="0.3" footer="0.3"/>
  <pageSetup paperSize="9" orientation="portrait" r:id="rId1"/>
  <rowBreaks count="4" manualBreakCount="4">
    <brk id="32" max="16383" man="1"/>
    <brk id="63" max="16383" man="1"/>
    <brk id="94" max="16383" man="1"/>
    <brk id="12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N25" sqref="N25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95B9B-2447-491D-AC15-D69D250749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第一学期期末成绩</vt:lpstr>
      <vt:lpstr>分类汇总</vt:lpstr>
      <vt:lpstr>柱状分析图</vt:lpstr>
      <vt:lpstr>第一学期期末成绩!Database</vt:lpstr>
      <vt:lpstr>分类汇总!Database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吉燕</dc:creator>
  <cp:lastModifiedBy>Windows User</cp:lastModifiedBy>
  <dcterms:created xsi:type="dcterms:W3CDTF">2020-01-27T04:51:35Z</dcterms:created>
  <dcterms:modified xsi:type="dcterms:W3CDTF">2024-04-01T12:37:57Z</dcterms:modified>
</cp:coreProperties>
</file>