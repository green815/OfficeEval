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hidePivotFieldList="1" defaultThemeVersion="124226"/>
  <bookViews>
    <workbookView xWindow="-105" yWindow="-105" windowWidth="23250" windowHeight="12450" firstSheet="1" activeTab="4"/>
  </bookViews>
  <sheets>
    <sheet name="费用报销管理" sheetId="1" r:id="rId1"/>
    <sheet name="费用类别" sheetId="3" r:id="rId2"/>
    <sheet name="按类别统计" sheetId="7" r:id="rId3"/>
    <sheet name="按月份统计" sheetId="8" r:id="rId4"/>
    <sheet name="打印内容" sheetId="9" r:id="rId5"/>
  </sheets>
  <definedNames>
    <definedName name="_xlnm._FilterDatabase" localSheetId="0" hidden="1">费用报销管理!$A$2:$H$401</definedName>
    <definedName name="切片器_报销人">#N/A</definedName>
  </definedNames>
  <calcPr calcId="162913"/>
  <pivotCaches>
    <pivotCache cacheId="2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L4" i="8"/>
  <c r="L5" i="8"/>
  <c r="L6" i="8"/>
  <c r="L7" i="8"/>
  <c r="L8" i="8"/>
  <c r="L9" i="8"/>
  <c r="L10" i="8"/>
  <c r="L11" i="8"/>
  <c r="L12" i="8"/>
  <c r="L13" i="8"/>
  <c r="L2" i="8"/>
  <c r="C11" i="8"/>
  <c r="D11" i="8"/>
  <c r="E11" i="8"/>
  <c r="F11" i="8"/>
  <c r="G11" i="8"/>
  <c r="H11" i="8"/>
  <c r="I11" i="8"/>
  <c r="J11" i="8"/>
  <c r="K11" i="8"/>
  <c r="C12" i="8"/>
  <c r="D12" i="8"/>
  <c r="E12" i="8"/>
  <c r="F12" i="8"/>
  <c r="G12" i="8"/>
  <c r="H12" i="8"/>
  <c r="I12" i="8"/>
  <c r="J12" i="8"/>
  <c r="K12" i="8"/>
  <c r="C13" i="8"/>
  <c r="D13" i="8"/>
  <c r="E13" i="8"/>
  <c r="F13" i="8"/>
  <c r="G13" i="8"/>
  <c r="H13" i="8"/>
  <c r="I13" i="8"/>
  <c r="J13" i="8"/>
  <c r="K13" i="8"/>
  <c r="B13" i="8"/>
  <c r="B12" i="8"/>
  <c r="B11" i="8"/>
  <c r="J10" i="8"/>
  <c r="K10" i="8"/>
  <c r="F10" i="8"/>
  <c r="G10" i="8"/>
  <c r="H10" i="8"/>
  <c r="I10" i="8"/>
  <c r="C10" i="8"/>
  <c r="D10" i="8"/>
  <c r="E10" i="8"/>
  <c r="B10" i="8"/>
  <c r="C9" i="8"/>
  <c r="D9" i="8"/>
  <c r="E9" i="8"/>
  <c r="F9" i="8"/>
  <c r="G9" i="8"/>
  <c r="H9" i="8"/>
  <c r="I9" i="8"/>
  <c r="J9" i="8"/>
  <c r="K9" i="8"/>
  <c r="B9" i="8"/>
  <c r="C8" i="8"/>
  <c r="D8" i="8"/>
  <c r="E8" i="8"/>
  <c r="F8" i="8"/>
  <c r="G8" i="8"/>
  <c r="H8" i="8"/>
  <c r="I8" i="8"/>
  <c r="J8" i="8"/>
  <c r="K8" i="8"/>
  <c r="B8" i="8"/>
  <c r="C7" i="8"/>
  <c r="D7" i="8"/>
  <c r="E7" i="8"/>
  <c r="F7" i="8"/>
  <c r="G7" i="8"/>
  <c r="H7" i="8"/>
  <c r="I7" i="8"/>
  <c r="J7" i="8"/>
  <c r="B7" i="8"/>
  <c r="C6" i="8"/>
  <c r="D6" i="8"/>
  <c r="E6" i="8"/>
  <c r="F6" i="8"/>
  <c r="G6" i="8"/>
  <c r="H6" i="8"/>
  <c r="I6" i="8"/>
  <c r="J6" i="8"/>
  <c r="K6" i="8"/>
  <c r="B6" i="8"/>
  <c r="C5" i="8"/>
  <c r="D5" i="8"/>
  <c r="E5" i="8"/>
  <c r="F5" i="8"/>
  <c r="G5" i="8"/>
  <c r="H5" i="8"/>
  <c r="I5" i="8"/>
  <c r="J5" i="8"/>
  <c r="K5" i="8"/>
  <c r="B5" i="8"/>
  <c r="C4" i="8"/>
  <c r="D4" i="8"/>
  <c r="E4" i="8"/>
  <c r="F4" i="8"/>
  <c r="G4" i="8"/>
  <c r="H4" i="8"/>
  <c r="I4" i="8"/>
  <c r="J4" i="8"/>
  <c r="K4" i="8"/>
  <c r="B4" i="8"/>
  <c r="C3" i="8"/>
  <c r="D3" i="8"/>
  <c r="E3" i="8"/>
  <c r="F3" i="8"/>
  <c r="G3" i="8"/>
  <c r="H3" i="8"/>
  <c r="I3" i="8"/>
  <c r="J3" i="8"/>
  <c r="K3" i="8"/>
  <c r="B3" i="8"/>
  <c r="C2" i="8"/>
  <c r="D2" i="8"/>
  <c r="E2" i="8"/>
  <c r="F2" i="8"/>
  <c r="G2" i="8"/>
  <c r="H2" i="8"/>
  <c r="I2" i="8"/>
  <c r="J2" i="8"/>
  <c r="K2" i="8"/>
  <c r="B2" i="8"/>
  <c r="F3" i="7"/>
  <c r="F4" i="7"/>
  <c r="F5" i="7"/>
  <c r="F6" i="7"/>
  <c r="F7" i="7"/>
  <c r="F8" i="7"/>
  <c r="F9" i="7"/>
  <c r="F10" i="7"/>
  <c r="F11" i="7"/>
  <c r="F2" i="7"/>
  <c r="E3" i="7"/>
  <c r="E4" i="7"/>
  <c r="E5" i="7"/>
  <c r="E6" i="7"/>
  <c r="E7" i="7"/>
  <c r="E8" i="7"/>
  <c r="E9" i="7"/>
  <c r="E10" i="7"/>
  <c r="E11" i="7"/>
  <c r="E2" i="7"/>
  <c r="D3" i="7"/>
  <c r="D4" i="7"/>
  <c r="D5" i="7"/>
  <c r="D6" i="7"/>
  <c r="D7" i="7"/>
  <c r="D8" i="7"/>
  <c r="D9" i="7"/>
  <c r="D10" i="7"/>
  <c r="D11" i="7"/>
  <c r="C3" i="7"/>
  <c r="C4" i="7"/>
  <c r="C5" i="7"/>
  <c r="C6" i="7"/>
  <c r="C7" i="7"/>
  <c r="C8" i="7"/>
  <c r="C9" i="7"/>
  <c r="C10" i="7"/>
  <c r="C11" i="7"/>
  <c r="D2" i="7"/>
  <c r="C2" i="7"/>
  <c r="B3" i="7"/>
  <c r="B4" i="7"/>
  <c r="B5" i="7"/>
  <c r="B6" i="7"/>
  <c r="B7" i="7"/>
  <c r="B8" i="7"/>
  <c r="B9" i="7"/>
  <c r="B10" i="7"/>
  <c r="B11" i="7"/>
  <c r="B2" i="7"/>
  <c r="F6" i="1" l="1"/>
  <c r="I6" i="1" s="1"/>
  <c r="F3" i="1"/>
  <c r="I3" i="1" s="1"/>
  <c r="F4" i="1"/>
  <c r="I4" i="1" s="1"/>
  <c r="F10" i="1"/>
  <c r="I10" i="1" s="1"/>
  <c r="F9" i="1"/>
  <c r="I9" i="1" s="1"/>
  <c r="F63" i="1"/>
  <c r="I63" i="1" s="1"/>
  <c r="F39" i="1"/>
  <c r="I39" i="1" s="1"/>
  <c r="F26" i="1"/>
  <c r="I26" i="1" s="1"/>
  <c r="F5" i="1"/>
  <c r="I5" i="1" s="1"/>
  <c r="F32" i="1"/>
  <c r="I32" i="1" s="1"/>
  <c r="F13" i="1"/>
  <c r="I13" i="1" s="1"/>
  <c r="F61" i="1"/>
  <c r="I61" i="1" s="1"/>
  <c r="F24" i="1"/>
  <c r="I24" i="1" s="1"/>
  <c r="F76" i="1"/>
  <c r="I76" i="1" s="1"/>
  <c r="F14" i="1"/>
  <c r="I14" i="1" s="1"/>
  <c r="F16" i="1"/>
  <c r="I16" i="1" s="1"/>
  <c r="F50" i="1"/>
  <c r="I50" i="1" s="1"/>
  <c r="F71" i="1"/>
  <c r="I71" i="1" s="1"/>
  <c r="F55" i="1"/>
  <c r="I55" i="1" s="1"/>
  <c r="F12" i="1"/>
  <c r="I12" i="1" s="1"/>
  <c r="F46" i="1"/>
  <c r="I46" i="1" s="1"/>
  <c r="F8" i="1"/>
  <c r="I8" i="1" s="1"/>
  <c r="F136" i="1"/>
  <c r="I136" i="1" s="1"/>
  <c r="F97" i="1"/>
  <c r="I97" i="1" s="1"/>
  <c r="F62" i="1"/>
  <c r="I62" i="1" s="1"/>
  <c r="F20" i="1"/>
  <c r="I20" i="1" s="1"/>
  <c r="F60" i="1"/>
  <c r="I60" i="1" s="1"/>
  <c r="F54" i="1"/>
  <c r="I54" i="1" s="1"/>
  <c r="F40" i="1"/>
  <c r="I40" i="1" s="1"/>
  <c r="F122" i="1"/>
  <c r="I122" i="1" s="1"/>
  <c r="F117" i="1"/>
  <c r="I117" i="1" s="1"/>
  <c r="F45" i="1"/>
  <c r="I45" i="1" s="1"/>
  <c r="F48" i="1"/>
  <c r="I48" i="1" s="1"/>
  <c r="F141" i="1"/>
  <c r="I141" i="1" s="1"/>
  <c r="F79" i="1"/>
  <c r="I79" i="1" s="1"/>
  <c r="F92" i="1"/>
  <c r="I92" i="1" s="1"/>
  <c r="F17" i="1"/>
  <c r="I17" i="1" s="1"/>
  <c r="F128" i="1"/>
  <c r="I128" i="1" s="1"/>
  <c r="F31" i="1"/>
  <c r="I31" i="1" s="1"/>
  <c r="F111" i="1"/>
  <c r="I111" i="1" s="1"/>
  <c r="F140" i="1"/>
  <c r="I140" i="1" s="1"/>
  <c r="F11" i="1"/>
  <c r="I11" i="1" s="1"/>
  <c r="F25" i="1"/>
  <c r="I25" i="1" s="1"/>
  <c r="F112" i="1"/>
  <c r="I112" i="1" s="1"/>
  <c r="F22" i="1"/>
  <c r="I22" i="1" s="1"/>
  <c r="F42" i="1"/>
  <c r="I42" i="1" s="1"/>
  <c r="F18" i="1"/>
  <c r="I18" i="1" s="1"/>
  <c r="F57" i="1"/>
  <c r="I57" i="1" s="1"/>
  <c r="F58" i="1"/>
  <c r="I58" i="1" s="1"/>
  <c r="F89" i="1"/>
  <c r="I89" i="1" s="1"/>
  <c r="F15" i="1"/>
  <c r="I15" i="1" s="1"/>
  <c r="F21" i="1"/>
  <c r="I21" i="1" s="1"/>
  <c r="F27" i="1"/>
  <c r="I27" i="1" s="1"/>
  <c r="F19" i="1"/>
  <c r="I19" i="1" s="1"/>
  <c r="F65" i="1"/>
  <c r="I65" i="1" s="1"/>
  <c r="F36" i="1"/>
  <c r="I36" i="1" s="1"/>
  <c r="F138" i="1"/>
  <c r="I138" i="1" s="1"/>
  <c r="F103" i="1"/>
  <c r="I103" i="1" s="1"/>
  <c r="F106" i="1"/>
  <c r="I106" i="1" s="1"/>
  <c r="F145" i="1"/>
  <c r="I145" i="1" s="1"/>
  <c r="F23" i="1"/>
  <c r="I23" i="1" s="1"/>
  <c r="F116" i="1"/>
  <c r="I116" i="1" s="1"/>
  <c r="F144" i="1"/>
  <c r="I144" i="1" s="1"/>
  <c r="F33" i="1"/>
  <c r="I33" i="1" s="1"/>
  <c r="F163" i="1"/>
  <c r="I163" i="1" s="1"/>
  <c r="F121" i="1"/>
  <c r="I121" i="1" s="1"/>
  <c r="F183" i="1"/>
  <c r="I183" i="1" s="1"/>
  <c r="F174" i="1"/>
  <c r="I174" i="1" s="1"/>
  <c r="F82" i="1"/>
  <c r="I82" i="1" s="1"/>
  <c r="F214" i="1"/>
  <c r="I214" i="1" s="1"/>
  <c r="F29" i="1"/>
  <c r="I29" i="1" s="1"/>
  <c r="F93" i="1"/>
  <c r="I93" i="1" s="1"/>
  <c r="F229" i="1"/>
  <c r="I229" i="1" s="1"/>
  <c r="F43" i="1"/>
  <c r="I43" i="1" s="1"/>
  <c r="F74" i="1"/>
  <c r="I74" i="1" s="1"/>
  <c r="F35" i="1"/>
  <c r="I35" i="1" s="1"/>
  <c r="F164" i="1"/>
  <c r="I164" i="1" s="1"/>
  <c r="F142" i="1"/>
  <c r="I142" i="1" s="1"/>
  <c r="F125" i="1"/>
  <c r="I125" i="1" s="1"/>
  <c r="F146" i="1"/>
  <c r="I146" i="1" s="1"/>
  <c r="F28" i="1"/>
  <c r="I28" i="1" s="1"/>
  <c r="F134" i="1"/>
  <c r="I134" i="1" s="1"/>
  <c r="F133" i="1"/>
  <c r="I133" i="1" s="1"/>
  <c r="F70" i="1"/>
  <c r="I70" i="1" s="1"/>
  <c r="F77" i="1"/>
  <c r="I77" i="1" s="1"/>
  <c r="F208" i="1"/>
  <c r="I208" i="1" s="1"/>
  <c r="F30" i="1"/>
  <c r="I30" i="1" s="1"/>
  <c r="F102" i="1"/>
  <c r="I102" i="1" s="1"/>
  <c r="F233" i="1"/>
  <c r="I233" i="1" s="1"/>
  <c r="F37" i="1"/>
  <c r="I37" i="1" s="1"/>
  <c r="F64" i="1"/>
  <c r="I64" i="1" s="1"/>
  <c r="F75" i="1"/>
  <c r="I75" i="1" s="1"/>
  <c r="F85" i="1"/>
  <c r="I85" i="1" s="1"/>
  <c r="F47" i="1"/>
  <c r="I47" i="1" s="1"/>
  <c r="F83" i="1"/>
  <c r="I83" i="1" s="1"/>
  <c r="F294" i="1"/>
  <c r="I294" i="1" s="1"/>
  <c r="F114" i="1"/>
  <c r="I114" i="1" s="1"/>
  <c r="F78" i="1"/>
  <c r="I78" i="1" s="1"/>
  <c r="F148" i="1"/>
  <c r="I148" i="1" s="1"/>
  <c r="F38" i="1"/>
  <c r="I38" i="1" s="1"/>
  <c r="F242" i="1"/>
  <c r="I242" i="1" s="1"/>
  <c r="F209" i="1"/>
  <c r="I209" i="1" s="1"/>
  <c r="F230" i="1"/>
  <c r="I230" i="1" s="1"/>
  <c r="F269" i="1"/>
  <c r="I269" i="1" s="1"/>
  <c r="F264" i="1"/>
  <c r="I264" i="1" s="1"/>
  <c r="F99" i="1"/>
  <c r="I99" i="1" s="1"/>
  <c r="F73" i="1"/>
  <c r="I73" i="1" s="1"/>
  <c r="F244" i="1"/>
  <c r="I244" i="1" s="1"/>
  <c r="F199" i="1"/>
  <c r="I199" i="1" s="1"/>
  <c r="F319" i="1"/>
  <c r="I319" i="1" s="1"/>
  <c r="F258" i="1"/>
  <c r="I258" i="1" s="1"/>
  <c r="F256" i="1"/>
  <c r="I256" i="1" s="1"/>
  <c r="F290" i="1"/>
  <c r="I290" i="1" s="1"/>
  <c r="F91" i="1"/>
  <c r="I91" i="1" s="1"/>
  <c r="F95" i="1"/>
  <c r="I95" i="1" s="1"/>
  <c r="F150" i="1"/>
  <c r="I150" i="1" s="1"/>
  <c r="F293" i="1"/>
  <c r="I293" i="1" s="1"/>
  <c r="F268" i="1"/>
  <c r="I268" i="1" s="1"/>
  <c r="F88" i="1"/>
  <c r="I88" i="1" s="1"/>
  <c r="F271" i="1"/>
  <c r="I271" i="1" s="1"/>
  <c r="F215" i="1"/>
  <c r="I215" i="1" s="1"/>
  <c r="F119" i="1"/>
  <c r="I119" i="1" s="1"/>
  <c r="F259" i="1"/>
  <c r="I259" i="1" s="1"/>
  <c r="F84" i="1"/>
  <c r="I84" i="1" s="1"/>
  <c r="F270" i="1"/>
  <c r="I270" i="1" s="1"/>
  <c r="F250" i="1"/>
  <c r="I250" i="1" s="1"/>
  <c r="F251" i="1"/>
  <c r="I251" i="1" s="1"/>
  <c r="F317" i="1"/>
  <c r="I317" i="1" s="1"/>
  <c r="F118" i="1"/>
  <c r="I118" i="1" s="1"/>
  <c r="F59" i="1"/>
  <c r="I59" i="1" s="1"/>
  <c r="F115" i="1"/>
  <c r="I115" i="1" s="1"/>
  <c r="F224" i="1"/>
  <c r="I224" i="1" s="1"/>
  <c r="F344" i="1"/>
  <c r="I344" i="1" s="1"/>
  <c r="F315" i="1"/>
  <c r="I315" i="1" s="1"/>
  <c r="F184" i="1"/>
  <c r="I184" i="1" s="1"/>
  <c r="F301" i="1"/>
  <c r="I301" i="1" s="1"/>
  <c r="F219" i="1"/>
  <c r="I219" i="1" s="1"/>
  <c r="F302" i="1"/>
  <c r="I302" i="1" s="1"/>
  <c r="F211" i="1"/>
  <c r="I211" i="1" s="1"/>
  <c r="F262" i="1"/>
  <c r="I262" i="1" s="1"/>
  <c r="F156" i="1"/>
  <c r="I156" i="1" s="1"/>
  <c r="F149" i="1"/>
  <c r="I149" i="1" s="1"/>
  <c r="F113" i="1"/>
  <c r="I113" i="1" s="1"/>
  <c r="F338" i="1"/>
  <c r="I338" i="1" s="1"/>
  <c r="F305" i="1"/>
  <c r="I305" i="1" s="1"/>
  <c r="F203" i="1"/>
  <c r="I203" i="1" s="1"/>
  <c r="F155" i="1"/>
  <c r="I155" i="1" s="1"/>
  <c r="F132" i="1"/>
  <c r="I132" i="1" s="1"/>
  <c r="F198" i="1"/>
  <c r="I198" i="1" s="1"/>
  <c r="F237" i="1"/>
  <c r="I237" i="1" s="1"/>
  <c r="F335" i="1"/>
  <c r="I335" i="1" s="1"/>
  <c r="F347" i="1"/>
  <c r="I347" i="1" s="1"/>
  <c r="F327" i="1"/>
  <c r="I327" i="1" s="1"/>
  <c r="F349" i="1"/>
  <c r="I349" i="1" s="1"/>
  <c r="F90" i="1"/>
  <c r="I90" i="1" s="1"/>
  <c r="F201" i="1"/>
  <c r="I201" i="1" s="1"/>
  <c r="F192" i="1"/>
  <c r="I192" i="1" s="1"/>
  <c r="F339" i="1"/>
  <c r="I339" i="1" s="1"/>
  <c r="F375" i="1"/>
  <c r="I375" i="1" s="1"/>
  <c r="F159" i="1"/>
  <c r="I159" i="1" s="1"/>
  <c r="F351" i="1"/>
  <c r="I351" i="1" s="1"/>
  <c r="F123" i="1"/>
  <c r="I123" i="1" s="1"/>
  <c r="F320" i="1"/>
  <c r="I320" i="1" s="1"/>
  <c r="F204" i="1"/>
  <c r="I204" i="1" s="1"/>
  <c r="F322" i="1"/>
  <c r="I322" i="1" s="1"/>
  <c r="F185" i="1"/>
  <c r="I185" i="1" s="1"/>
  <c r="F275" i="1"/>
  <c r="I275" i="1" s="1"/>
  <c r="F299" i="1"/>
  <c r="I299" i="1" s="1"/>
  <c r="F363" i="1"/>
  <c r="I363" i="1" s="1"/>
  <c r="F323" i="1"/>
  <c r="I323" i="1" s="1"/>
  <c r="F382" i="1"/>
  <c r="I382" i="1" s="1"/>
  <c r="F324" i="1"/>
  <c r="I324" i="1" s="1"/>
  <c r="F316" i="1"/>
  <c r="I316" i="1" s="1"/>
  <c r="F343" i="1"/>
  <c r="I343" i="1" s="1"/>
  <c r="F376" i="1"/>
  <c r="I376" i="1" s="1"/>
  <c r="F232" i="1"/>
  <c r="I232" i="1" s="1"/>
  <c r="F196" i="1"/>
  <c r="I196" i="1" s="1"/>
  <c r="F195" i="1"/>
  <c r="I195" i="1" s="1"/>
  <c r="F51" i="1"/>
  <c r="I51" i="1" s="1"/>
  <c r="F34" i="1"/>
  <c r="I34" i="1" s="1"/>
  <c r="F52" i="1"/>
  <c r="I52" i="1" s="1"/>
  <c r="F104" i="1"/>
  <c r="I104" i="1" s="1"/>
  <c r="F68" i="1"/>
  <c r="I68" i="1" s="1"/>
  <c r="F96" i="1"/>
  <c r="I96" i="1" s="1"/>
  <c r="F44" i="1"/>
  <c r="I44" i="1" s="1"/>
  <c r="F151" i="1"/>
  <c r="I151" i="1" s="1"/>
  <c r="F158" i="1"/>
  <c r="I158" i="1" s="1"/>
  <c r="F200" i="1"/>
  <c r="I200" i="1" s="1"/>
  <c r="F66" i="1"/>
  <c r="I66" i="1" s="1"/>
  <c r="F175" i="1"/>
  <c r="I175" i="1" s="1"/>
  <c r="F86" i="1"/>
  <c r="I86" i="1" s="1"/>
  <c r="F109" i="1"/>
  <c r="I109" i="1" s="1"/>
  <c r="F160" i="1"/>
  <c r="I160" i="1" s="1"/>
  <c r="F80" i="1"/>
  <c r="I80" i="1" s="1"/>
  <c r="F56" i="1"/>
  <c r="I56" i="1" s="1"/>
  <c r="F87" i="1"/>
  <c r="I87" i="1" s="1"/>
  <c r="F81" i="1"/>
  <c r="I81" i="1" s="1"/>
  <c r="F216" i="1"/>
  <c r="I216" i="1" s="1"/>
  <c r="F260" i="1"/>
  <c r="I260" i="1" s="1"/>
  <c r="F182" i="1"/>
  <c r="I182" i="1" s="1"/>
  <c r="F137" i="1"/>
  <c r="I137" i="1" s="1"/>
  <c r="F278" i="1"/>
  <c r="I278" i="1" s="1"/>
  <c r="F222" i="1"/>
  <c r="I222" i="1" s="1"/>
  <c r="F321" i="1"/>
  <c r="I321" i="1" s="1"/>
  <c r="F186" i="1"/>
  <c r="I186" i="1" s="1"/>
  <c r="F291" i="1"/>
  <c r="I291" i="1" s="1"/>
  <c r="F287" i="1"/>
  <c r="I287" i="1" s="1"/>
  <c r="F165" i="1"/>
  <c r="I165" i="1" s="1"/>
  <c r="F218" i="1"/>
  <c r="I218" i="1" s="1"/>
  <c r="F100" i="1"/>
  <c r="I100" i="1" s="1"/>
  <c r="F129" i="1"/>
  <c r="I129" i="1" s="1"/>
  <c r="F304" i="1"/>
  <c r="I304" i="1" s="1"/>
  <c r="F166" i="1"/>
  <c r="I166" i="1" s="1"/>
  <c r="F238" i="1"/>
  <c r="I238" i="1" s="1"/>
  <c r="F300" i="1"/>
  <c r="I300" i="1" s="1"/>
  <c r="F188" i="1"/>
  <c r="I188" i="1" s="1"/>
  <c r="F274" i="1"/>
  <c r="I274" i="1" s="1"/>
  <c r="F168" i="1"/>
  <c r="I168" i="1" s="1"/>
  <c r="F126" i="1"/>
  <c r="I126" i="1" s="1"/>
  <c r="F147" i="1"/>
  <c r="I147" i="1" s="1"/>
  <c r="F202" i="1"/>
  <c r="I202" i="1" s="1"/>
  <c r="F308" i="1"/>
  <c r="I308" i="1" s="1"/>
  <c r="F346" i="1"/>
  <c r="I346" i="1" s="1"/>
  <c r="F312" i="1"/>
  <c r="I312" i="1" s="1"/>
  <c r="F120" i="1"/>
  <c r="I120" i="1" s="1"/>
  <c r="F348" i="1"/>
  <c r="I348" i="1" s="1"/>
  <c r="F310" i="1"/>
  <c r="I310" i="1" s="1"/>
  <c r="F257" i="1"/>
  <c r="I257" i="1" s="1"/>
  <c r="F240" i="1"/>
  <c r="I240" i="1" s="1"/>
  <c r="F190" i="1"/>
  <c r="I190" i="1" s="1"/>
  <c r="F285" i="1"/>
  <c r="I285" i="1" s="1"/>
  <c r="F253" i="1"/>
  <c r="I253" i="1" s="1"/>
  <c r="F105" i="1"/>
  <c r="I105" i="1" s="1"/>
  <c r="F217" i="1"/>
  <c r="I217" i="1" s="1"/>
  <c r="F239" i="1"/>
  <c r="I239" i="1" s="1"/>
  <c r="F297" i="1"/>
  <c r="I297" i="1" s="1"/>
  <c r="F292" i="1"/>
  <c r="I292" i="1" s="1"/>
  <c r="F378" i="1"/>
  <c r="I378" i="1" s="1"/>
  <c r="F383" i="1"/>
  <c r="I383" i="1" s="1"/>
  <c r="F286" i="1"/>
  <c r="I286" i="1" s="1"/>
  <c r="F226" i="1"/>
  <c r="I226" i="1" s="1"/>
  <c r="F131" i="1"/>
  <c r="I131" i="1" s="1"/>
  <c r="F139" i="1"/>
  <c r="I139" i="1" s="1"/>
  <c r="F172" i="1"/>
  <c r="I172" i="1" s="1"/>
  <c r="F263" i="1"/>
  <c r="I263" i="1" s="1"/>
  <c r="F365" i="1"/>
  <c r="I365" i="1" s="1"/>
  <c r="F261" i="1"/>
  <c r="I261" i="1" s="1"/>
  <c r="F167" i="1"/>
  <c r="I167" i="1" s="1"/>
  <c r="F389" i="1"/>
  <c r="I389" i="1" s="1"/>
  <c r="F377" i="1"/>
  <c r="I377" i="1" s="1"/>
  <c r="F337" i="1"/>
  <c r="I337" i="1" s="1"/>
  <c r="F354" i="1"/>
  <c r="I354" i="1" s="1"/>
  <c r="F191" i="1"/>
  <c r="I191" i="1" s="1"/>
  <c r="F227" i="1"/>
  <c r="I227" i="1" s="1"/>
  <c r="F127" i="1"/>
  <c r="I127" i="1" s="1"/>
  <c r="F371" i="1"/>
  <c r="I371" i="1" s="1"/>
  <c r="F272" i="1"/>
  <c r="I272" i="1" s="1"/>
  <c r="F309" i="1"/>
  <c r="I309" i="1" s="1"/>
  <c r="F385" i="1"/>
  <c r="I385" i="1" s="1"/>
  <c r="F356" i="1"/>
  <c r="I356" i="1" s="1"/>
  <c r="F318" i="1"/>
  <c r="I318" i="1" s="1"/>
  <c r="F390" i="1"/>
  <c r="I390" i="1" s="1"/>
  <c r="F236" i="1"/>
  <c r="I236" i="1" s="1"/>
  <c r="F157" i="1"/>
  <c r="I157" i="1" s="1"/>
  <c r="F379" i="1"/>
  <c r="I379" i="1" s="1"/>
  <c r="F331" i="1"/>
  <c r="I331" i="1" s="1"/>
  <c r="F241" i="1"/>
  <c r="I241" i="1" s="1"/>
  <c r="F234" i="1"/>
  <c r="I234" i="1" s="1"/>
  <c r="F177" i="1"/>
  <c r="I177" i="1" s="1"/>
  <c r="F386" i="1"/>
  <c r="I386" i="1" s="1"/>
  <c r="F189" i="1"/>
  <c r="I189" i="1" s="1"/>
  <c r="F392" i="1"/>
  <c r="I392" i="1" s="1"/>
  <c r="F221" i="1"/>
  <c r="I221" i="1" s="1"/>
  <c r="F334" i="1"/>
  <c r="I334" i="1" s="1"/>
  <c r="F307" i="1"/>
  <c r="I307" i="1" s="1"/>
  <c r="F329" i="1"/>
  <c r="I329" i="1" s="1"/>
  <c r="F187" i="1"/>
  <c r="I187" i="1" s="1"/>
  <c r="F398" i="1"/>
  <c r="I398" i="1" s="1"/>
  <c r="F396" i="1"/>
  <c r="I396" i="1" s="1"/>
  <c r="F330" i="1"/>
  <c r="I330" i="1" s="1"/>
  <c r="F395" i="1"/>
  <c r="I395" i="1" s="1"/>
  <c r="F162" i="1"/>
  <c r="I162" i="1" s="1"/>
  <c r="F266" i="1"/>
  <c r="I266" i="1" s="1"/>
  <c r="F397" i="1"/>
  <c r="I397" i="1" s="1"/>
  <c r="F326" i="1"/>
  <c r="I326" i="1" s="1"/>
  <c r="F273" i="1"/>
  <c r="I273" i="1" s="1"/>
  <c r="F366" i="1"/>
  <c r="I366" i="1" s="1"/>
  <c r="F373" i="1"/>
  <c r="I373" i="1" s="1"/>
  <c r="F248" i="1"/>
  <c r="I248" i="1" s="1"/>
  <c r="F245" i="1"/>
  <c r="I245" i="1" s="1"/>
  <c r="F401" i="1"/>
  <c r="I401" i="1" s="1"/>
  <c r="F367" i="1"/>
  <c r="I367" i="1" s="1"/>
  <c r="F374" i="1"/>
  <c r="I374" i="1" s="1"/>
  <c r="F254" i="1"/>
  <c r="I254" i="1" s="1"/>
  <c r="F284" i="1"/>
  <c r="I284" i="1" s="1"/>
  <c r="F400" i="1"/>
  <c r="I400" i="1" s="1"/>
  <c r="F368" i="1"/>
  <c r="I368" i="1" s="1"/>
  <c r="F277" i="1"/>
  <c r="I277" i="1" s="1"/>
  <c r="F328" i="1"/>
  <c r="I328" i="1" s="1"/>
  <c r="F353" i="1"/>
  <c r="I353" i="1" s="1"/>
  <c r="F336" i="1"/>
  <c r="I336" i="1" s="1"/>
  <c r="F41" i="1"/>
  <c r="I41" i="1" s="1"/>
  <c r="F69" i="1"/>
  <c r="I69" i="1" s="1"/>
  <c r="F170" i="1"/>
  <c r="I170" i="1" s="1"/>
  <c r="F178" i="1"/>
  <c r="I178" i="1" s="1"/>
  <c r="F49" i="1"/>
  <c r="I49" i="1" s="1"/>
  <c r="F249" i="1"/>
  <c r="I249" i="1" s="1"/>
  <c r="F135" i="1"/>
  <c r="I135" i="1" s="1"/>
  <c r="F153" i="1"/>
  <c r="I153" i="1" s="1"/>
  <c r="F110" i="1"/>
  <c r="I110" i="1" s="1"/>
  <c r="F288" i="1"/>
  <c r="I288" i="1" s="1"/>
  <c r="F154" i="1"/>
  <c r="I154" i="1" s="1"/>
  <c r="F169" i="1"/>
  <c r="I169" i="1" s="1"/>
  <c r="F220" i="1"/>
  <c r="I220" i="1" s="1"/>
  <c r="F53" i="1"/>
  <c r="I53" i="1" s="1"/>
  <c r="F194" i="1"/>
  <c r="I194" i="1" s="1"/>
  <c r="F108" i="1"/>
  <c r="I108" i="1" s="1"/>
  <c r="F173" i="1"/>
  <c r="I173" i="1" s="1"/>
  <c r="F94" i="1"/>
  <c r="I94" i="1" s="1"/>
  <c r="F296" i="1"/>
  <c r="I296" i="1" s="1"/>
  <c r="F247" i="1"/>
  <c r="I247" i="1" s="1"/>
  <c r="F171" i="1"/>
  <c r="I171" i="1" s="1"/>
  <c r="F197" i="1"/>
  <c r="I197" i="1" s="1"/>
  <c r="F213" i="1"/>
  <c r="I213" i="1" s="1"/>
  <c r="F101" i="1"/>
  <c r="I101" i="1" s="1"/>
  <c r="F67" i="1"/>
  <c r="I67" i="1" s="1"/>
  <c r="F255" i="1"/>
  <c r="I255" i="1" s="1"/>
  <c r="F246" i="1"/>
  <c r="I246" i="1" s="1"/>
  <c r="F124" i="1"/>
  <c r="I124" i="1" s="1"/>
  <c r="F360" i="1"/>
  <c r="I360" i="1" s="1"/>
  <c r="F225" i="1"/>
  <c r="I225" i="1" s="1"/>
  <c r="F130" i="1"/>
  <c r="I130" i="1" s="1"/>
  <c r="F325" i="1"/>
  <c r="I325" i="1" s="1"/>
  <c r="F179" i="1"/>
  <c r="I179" i="1" s="1"/>
  <c r="F280" i="1"/>
  <c r="I280" i="1" s="1"/>
  <c r="F283" i="1"/>
  <c r="I283" i="1" s="1"/>
  <c r="F369" i="1"/>
  <c r="I369" i="1" s="1"/>
  <c r="F311" i="1"/>
  <c r="I311" i="1" s="1"/>
  <c r="F358" i="1"/>
  <c r="I358" i="1" s="1"/>
  <c r="F72" i="1"/>
  <c r="I72" i="1" s="1"/>
  <c r="F350" i="1"/>
  <c r="I350" i="1" s="1"/>
  <c r="F228" i="1"/>
  <c r="I228" i="1" s="1"/>
  <c r="F340" i="1"/>
  <c r="I340" i="1" s="1"/>
  <c r="F364" i="1"/>
  <c r="I364" i="1" s="1"/>
  <c r="F176" i="1"/>
  <c r="I176" i="1" s="1"/>
  <c r="F313" i="1"/>
  <c r="I313" i="1" s="1"/>
  <c r="F107" i="1"/>
  <c r="I107" i="1" s="1"/>
  <c r="F161" i="1"/>
  <c r="I161" i="1" s="1"/>
  <c r="F223" i="1"/>
  <c r="I223" i="1" s="1"/>
  <c r="F370" i="1"/>
  <c r="I370" i="1" s="1"/>
  <c r="F98" i="1"/>
  <c r="I98" i="1" s="1"/>
  <c r="F207" i="1"/>
  <c r="I207" i="1" s="1"/>
  <c r="F355" i="1"/>
  <c r="I355" i="1" s="1"/>
  <c r="F193" i="1"/>
  <c r="I193" i="1" s="1"/>
  <c r="F357" i="1"/>
  <c r="I357" i="1" s="1"/>
  <c r="F295" i="1"/>
  <c r="I295" i="1" s="1"/>
  <c r="F267" i="1"/>
  <c r="I267" i="1" s="1"/>
  <c r="F265" i="1"/>
  <c r="I265" i="1" s="1"/>
  <c r="F279" i="1"/>
  <c r="I279" i="1" s="1"/>
  <c r="F212" i="1"/>
  <c r="I212" i="1" s="1"/>
  <c r="F152" i="1"/>
  <c r="I152" i="1" s="1"/>
  <c r="F341" i="1"/>
  <c r="I341" i="1" s="1"/>
  <c r="F306" i="1"/>
  <c r="I306" i="1" s="1"/>
  <c r="F332" i="1"/>
  <c r="I332" i="1" s="1"/>
  <c r="F231" i="1"/>
  <c r="I231" i="1" s="1"/>
  <c r="F361" i="1"/>
  <c r="I361" i="1" s="1"/>
  <c r="F381" i="1"/>
  <c r="I381" i="1" s="1"/>
  <c r="F345" i="1"/>
  <c r="I345" i="1" s="1"/>
  <c r="F181" i="1"/>
  <c r="I181" i="1" s="1"/>
  <c r="F352" i="1"/>
  <c r="I352" i="1" s="1"/>
  <c r="F393" i="1"/>
  <c r="I393" i="1" s="1"/>
  <c r="F206" i="1"/>
  <c r="I206" i="1" s="1"/>
  <c r="F143" i="1"/>
  <c r="I143" i="1" s="1"/>
  <c r="F372" i="1"/>
  <c r="I372" i="1" s="1"/>
  <c r="F314" i="1"/>
  <c r="I314" i="1" s="1"/>
  <c r="F180" i="1"/>
  <c r="I180" i="1" s="1"/>
  <c r="F394" i="1"/>
  <c r="I394" i="1" s="1"/>
  <c r="F303" i="1"/>
  <c r="I303" i="1" s="1"/>
  <c r="F387" i="1"/>
  <c r="I387" i="1" s="1"/>
  <c r="F362" i="1"/>
  <c r="I362" i="1" s="1"/>
  <c r="F210" i="1"/>
  <c r="I210" i="1" s="1"/>
  <c r="F243" i="1"/>
  <c r="I243" i="1" s="1"/>
  <c r="F282" i="1"/>
  <c r="I282" i="1" s="1"/>
  <c r="F289" i="1"/>
  <c r="I289" i="1" s="1"/>
  <c r="F359" i="1"/>
  <c r="I359" i="1" s="1"/>
  <c r="F235" i="1"/>
  <c r="I235" i="1" s="1"/>
  <c r="F399" i="1"/>
  <c r="I399" i="1" s="1"/>
  <c r="F205" i="1"/>
  <c r="I205" i="1" s="1"/>
  <c r="F388" i="1"/>
  <c r="I388" i="1" s="1"/>
  <c r="F281" i="1"/>
  <c r="I281" i="1" s="1"/>
  <c r="F380" i="1"/>
  <c r="I380" i="1" s="1"/>
  <c r="F342" i="1"/>
  <c r="I342" i="1" s="1"/>
  <c r="F384" i="1"/>
  <c r="I384" i="1" s="1"/>
  <c r="F298" i="1"/>
  <c r="I298" i="1" s="1"/>
  <c r="F391" i="1"/>
  <c r="I391" i="1" s="1"/>
  <c r="F252" i="1"/>
  <c r="I252" i="1" s="1"/>
  <c r="F276" i="1"/>
  <c r="I276" i="1" s="1"/>
  <c r="F333" i="1"/>
  <c r="I333" i="1" s="1"/>
  <c r="F7" i="1"/>
  <c r="I7" i="1" s="1"/>
  <c r="D6" i="1"/>
  <c r="D3" i="1"/>
  <c r="D4" i="1"/>
  <c r="D10" i="1"/>
  <c r="D9" i="1"/>
  <c r="D63" i="1"/>
  <c r="D39" i="1"/>
  <c r="D26" i="1"/>
  <c r="D5" i="1"/>
  <c r="D32" i="1"/>
  <c r="D13" i="1"/>
  <c r="D61" i="1"/>
  <c r="D24" i="1"/>
  <c r="D76" i="1"/>
  <c r="D14" i="1"/>
  <c r="D16" i="1"/>
  <c r="D50" i="1"/>
  <c r="D71" i="1"/>
  <c r="D55" i="1"/>
  <c r="D12" i="1"/>
  <c r="D46" i="1"/>
  <c r="D8" i="1"/>
  <c r="D136" i="1"/>
  <c r="D97" i="1"/>
  <c r="D62" i="1"/>
  <c r="D20" i="1"/>
  <c r="D60" i="1"/>
  <c r="D54" i="1"/>
  <c r="D40" i="1"/>
  <c r="D122" i="1"/>
  <c r="D117" i="1"/>
  <c r="D45" i="1"/>
  <c r="D48" i="1"/>
  <c r="D141" i="1"/>
  <c r="D79" i="1"/>
  <c r="D92" i="1"/>
  <c r="D17" i="1"/>
  <c r="D128" i="1"/>
  <c r="D31" i="1"/>
  <c r="D111" i="1"/>
  <c r="D140" i="1"/>
  <c r="D11" i="1"/>
  <c r="D25" i="1"/>
  <c r="D112" i="1"/>
  <c r="D22" i="1"/>
  <c r="D42" i="1"/>
  <c r="D18" i="1"/>
  <c r="D57" i="1"/>
  <c r="D58" i="1"/>
  <c r="D89" i="1"/>
  <c r="D15" i="1"/>
  <c r="D21" i="1"/>
  <c r="D27" i="1"/>
  <c r="D19" i="1"/>
  <c r="D65" i="1"/>
  <c r="D36" i="1"/>
  <c r="D138" i="1"/>
  <c r="D103" i="1"/>
  <c r="D106" i="1"/>
  <c r="D145" i="1"/>
  <c r="D23" i="1"/>
  <c r="D116" i="1"/>
  <c r="D144" i="1"/>
  <c r="D33" i="1"/>
  <c r="D163" i="1"/>
  <c r="D121" i="1"/>
  <c r="D183" i="1"/>
  <c r="D174" i="1"/>
  <c r="D82" i="1"/>
  <c r="D214" i="1"/>
  <c r="D29" i="1"/>
  <c r="D93" i="1"/>
  <c r="D229" i="1"/>
  <c r="D43" i="1"/>
  <c r="D74" i="1"/>
  <c r="D35" i="1"/>
  <c r="D164" i="1"/>
  <c r="D142" i="1"/>
  <c r="D125" i="1"/>
  <c r="D146" i="1"/>
  <c r="D28" i="1"/>
  <c r="D134" i="1"/>
  <c r="D133" i="1"/>
  <c r="D70" i="1"/>
  <c r="D77" i="1"/>
  <c r="D208" i="1"/>
  <c r="D30" i="1"/>
  <c r="D102" i="1"/>
  <c r="D233" i="1"/>
  <c r="D37" i="1"/>
  <c r="D64" i="1"/>
  <c r="D75" i="1"/>
  <c r="D85" i="1"/>
  <c r="D47" i="1"/>
  <c r="D83" i="1"/>
  <c r="D294" i="1"/>
  <c r="D114" i="1"/>
  <c r="D78" i="1"/>
  <c r="D148" i="1"/>
  <c r="D38" i="1"/>
  <c r="D242" i="1"/>
  <c r="D209" i="1"/>
  <c r="D230" i="1"/>
  <c r="D269" i="1"/>
  <c r="D264" i="1"/>
  <c r="D99" i="1"/>
  <c r="D73" i="1"/>
  <c r="D244" i="1"/>
  <c r="D199" i="1"/>
  <c r="D319" i="1"/>
  <c r="D258" i="1"/>
  <c r="D256" i="1"/>
  <c r="D290" i="1"/>
  <c r="D91" i="1"/>
  <c r="D95" i="1"/>
  <c r="D150" i="1"/>
  <c r="D293" i="1"/>
  <c r="D268" i="1"/>
  <c r="D88" i="1"/>
  <c r="D271" i="1"/>
  <c r="D215" i="1"/>
  <c r="D119" i="1"/>
  <c r="D259" i="1"/>
  <c r="D84" i="1"/>
  <c r="D270" i="1"/>
  <c r="D250" i="1"/>
  <c r="D251" i="1"/>
  <c r="D317" i="1"/>
  <c r="D118" i="1"/>
  <c r="D59" i="1"/>
  <c r="D115" i="1"/>
  <c r="D224" i="1"/>
  <c r="D344" i="1"/>
  <c r="D315" i="1"/>
  <c r="D184" i="1"/>
  <c r="D301" i="1"/>
  <c r="D219" i="1"/>
  <c r="D302" i="1"/>
  <c r="D211" i="1"/>
  <c r="D262" i="1"/>
  <c r="D156" i="1"/>
  <c r="D149" i="1"/>
  <c r="D113" i="1"/>
  <c r="D338" i="1"/>
  <c r="D305" i="1"/>
  <c r="D203" i="1"/>
  <c r="D155" i="1"/>
  <c r="D132" i="1"/>
  <c r="D198" i="1"/>
  <c r="D237" i="1"/>
  <c r="D335" i="1"/>
  <c r="D347" i="1"/>
  <c r="D327" i="1"/>
  <c r="D349" i="1"/>
  <c r="D90" i="1"/>
  <c r="D201" i="1"/>
  <c r="D192" i="1"/>
  <c r="D339" i="1"/>
  <c r="D375" i="1"/>
  <c r="D159" i="1"/>
  <c r="D351" i="1"/>
  <c r="D123" i="1"/>
  <c r="D320" i="1"/>
  <c r="D204" i="1"/>
  <c r="D322" i="1"/>
  <c r="D185" i="1"/>
  <c r="D275" i="1"/>
  <c r="D299" i="1"/>
  <c r="D363" i="1"/>
  <c r="D323" i="1"/>
  <c r="D382" i="1"/>
  <c r="D324" i="1"/>
  <c r="D316" i="1"/>
  <c r="D343" i="1"/>
  <c r="D376" i="1"/>
  <c r="D232" i="1"/>
  <c r="D196" i="1"/>
  <c r="D195" i="1"/>
  <c r="D51" i="1"/>
  <c r="D34" i="1"/>
  <c r="D52" i="1"/>
  <c r="D104" i="1"/>
  <c r="D68" i="1"/>
  <c r="D96" i="1"/>
  <c r="D44" i="1"/>
  <c r="D151" i="1"/>
  <c r="D158" i="1"/>
  <c r="D200" i="1"/>
  <c r="D66" i="1"/>
  <c r="D175" i="1"/>
  <c r="D86" i="1"/>
  <c r="D109" i="1"/>
  <c r="D160" i="1"/>
  <c r="D80" i="1"/>
  <c r="D56" i="1"/>
  <c r="D87" i="1"/>
  <c r="D81" i="1"/>
  <c r="D216" i="1"/>
  <c r="D260" i="1"/>
  <c r="D182" i="1"/>
  <c r="D137" i="1"/>
  <c r="D278" i="1"/>
  <c r="D222" i="1"/>
  <c r="D321" i="1"/>
  <c r="D186" i="1"/>
  <c r="D291" i="1"/>
  <c r="D287" i="1"/>
  <c r="D165" i="1"/>
  <c r="D218" i="1"/>
  <c r="D100" i="1"/>
  <c r="D129" i="1"/>
  <c r="D304" i="1"/>
  <c r="D166" i="1"/>
  <c r="D238" i="1"/>
  <c r="D300" i="1"/>
  <c r="D188" i="1"/>
  <c r="D274" i="1"/>
  <c r="D168" i="1"/>
  <c r="D126" i="1"/>
  <c r="D147" i="1"/>
  <c r="D202" i="1"/>
  <c r="D308" i="1"/>
  <c r="D346" i="1"/>
  <c r="D312" i="1"/>
  <c r="D120" i="1"/>
  <c r="D348" i="1"/>
  <c r="D310" i="1"/>
  <c r="D257" i="1"/>
  <c r="D240" i="1"/>
  <c r="D190" i="1"/>
  <c r="D285" i="1"/>
  <c r="D253" i="1"/>
  <c r="D105" i="1"/>
  <c r="D217" i="1"/>
  <c r="D239" i="1"/>
  <c r="D297" i="1"/>
  <c r="D292" i="1"/>
  <c r="D378" i="1"/>
  <c r="D383" i="1"/>
  <c r="D286" i="1"/>
  <c r="D226" i="1"/>
  <c r="D131" i="1"/>
  <c r="D139" i="1"/>
  <c r="D172" i="1"/>
  <c r="D263" i="1"/>
  <c r="D365" i="1"/>
  <c r="D261" i="1"/>
  <c r="D167" i="1"/>
  <c r="D389" i="1"/>
  <c r="D377" i="1"/>
  <c r="D337" i="1"/>
  <c r="D354" i="1"/>
  <c r="D191" i="1"/>
  <c r="D227" i="1"/>
  <c r="D127" i="1"/>
  <c r="D371" i="1"/>
  <c r="D272" i="1"/>
  <c r="D309" i="1"/>
  <c r="D385" i="1"/>
  <c r="D356" i="1"/>
  <c r="D318" i="1"/>
  <c r="D390" i="1"/>
  <c r="D236" i="1"/>
  <c r="D157" i="1"/>
  <c r="D379" i="1"/>
  <c r="D331" i="1"/>
  <c r="D241" i="1"/>
  <c r="D234" i="1"/>
  <c r="D177" i="1"/>
  <c r="D386" i="1"/>
  <c r="D189" i="1"/>
  <c r="D392" i="1"/>
  <c r="D221" i="1"/>
  <c r="D334" i="1"/>
  <c r="D307" i="1"/>
  <c r="D329" i="1"/>
  <c r="D187" i="1"/>
  <c r="D398" i="1"/>
  <c r="D396" i="1"/>
  <c r="D330" i="1"/>
  <c r="D395" i="1"/>
  <c r="D162" i="1"/>
  <c r="D266" i="1"/>
  <c r="D397" i="1"/>
  <c r="D326" i="1"/>
  <c r="D273" i="1"/>
  <c r="D366" i="1"/>
  <c r="D373" i="1"/>
  <c r="D248" i="1"/>
  <c r="D245" i="1"/>
  <c r="D401" i="1"/>
  <c r="D367" i="1"/>
  <c r="D374" i="1"/>
  <c r="D254" i="1"/>
  <c r="D284" i="1"/>
  <c r="D400" i="1"/>
  <c r="D368" i="1"/>
  <c r="D277" i="1"/>
  <c r="D328" i="1"/>
  <c r="D353" i="1"/>
  <c r="D336" i="1"/>
  <c r="D41" i="1"/>
  <c r="D69" i="1"/>
  <c r="D170" i="1"/>
  <c r="D178" i="1"/>
  <c r="D49" i="1"/>
  <c r="D249" i="1"/>
  <c r="D135" i="1"/>
  <c r="D153" i="1"/>
  <c r="D110" i="1"/>
  <c r="D288" i="1"/>
  <c r="D154" i="1"/>
  <c r="D169" i="1"/>
  <c r="D220" i="1"/>
  <c r="D53" i="1"/>
  <c r="D194" i="1"/>
  <c r="D108" i="1"/>
  <c r="D173" i="1"/>
  <c r="D94" i="1"/>
  <c r="D296" i="1"/>
  <c r="D247" i="1"/>
  <c r="D171" i="1"/>
  <c r="D197" i="1"/>
  <c r="D213" i="1"/>
  <c r="D101" i="1"/>
  <c r="D67" i="1"/>
  <c r="D255" i="1"/>
  <c r="D246" i="1"/>
  <c r="D124" i="1"/>
  <c r="D360" i="1"/>
  <c r="D225" i="1"/>
  <c r="D130" i="1"/>
  <c r="D325" i="1"/>
  <c r="D179" i="1"/>
  <c r="D280" i="1"/>
  <c r="D283" i="1"/>
  <c r="D369" i="1"/>
  <c r="D311" i="1"/>
  <c r="D358" i="1"/>
  <c r="D72" i="1"/>
  <c r="D350" i="1"/>
  <c r="D228" i="1"/>
  <c r="D340" i="1"/>
  <c r="D364" i="1"/>
  <c r="D176" i="1"/>
  <c r="D313" i="1"/>
  <c r="D107" i="1"/>
  <c r="D161" i="1"/>
  <c r="D223" i="1"/>
  <c r="D370" i="1"/>
  <c r="D98" i="1"/>
  <c r="D207" i="1"/>
  <c r="D355" i="1"/>
  <c r="D193" i="1"/>
  <c r="D357" i="1"/>
  <c r="D295" i="1"/>
  <c r="D267" i="1"/>
  <c r="D265" i="1"/>
  <c r="D279" i="1"/>
  <c r="D212" i="1"/>
  <c r="D152" i="1"/>
  <c r="D341" i="1"/>
  <c r="D306" i="1"/>
  <c r="D332" i="1"/>
  <c r="D231" i="1"/>
  <c r="D361" i="1"/>
  <c r="D381" i="1"/>
  <c r="D345" i="1"/>
  <c r="D181" i="1"/>
  <c r="D352" i="1"/>
  <c r="D393" i="1"/>
  <c r="D206" i="1"/>
  <c r="D143" i="1"/>
  <c r="D372" i="1"/>
  <c r="D314" i="1"/>
  <c r="D180" i="1"/>
  <c r="D394" i="1"/>
  <c r="D303" i="1"/>
  <c r="D387" i="1"/>
  <c r="D362" i="1"/>
  <c r="D210" i="1"/>
  <c r="D243" i="1"/>
  <c r="D282" i="1"/>
  <c r="D289" i="1"/>
  <c r="D359" i="1"/>
  <c r="D235" i="1"/>
  <c r="D399" i="1"/>
  <c r="D205" i="1"/>
  <c r="D388" i="1"/>
  <c r="D281" i="1"/>
  <c r="D380" i="1"/>
  <c r="D342" i="1"/>
  <c r="D384" i="1"/>
  <c r="D298" i="1"/>
  <c r="D391" i="1"/>
  <c r="D252" i="1"/>
  <c r="D276" i="1"/>
  <c r="D333" i="1"/>
  <c r="D7" i="1"/>
  <c r="H6" i="1"/>
  <c r="H3" i="1"/>
  <c r="H4" i="1"/>
  <c r="H10" i="1"/>
  <c r="H9" i="1"/>
  <c r="H63" i="1"/>
  <c r="H39" i="1"/>
  <c r="H26" i="1"/>
  <c r="H5" i="1"/>
  <c r="H32" i="1"/>
  <c r="H13" i="1"/>
  <c r="H61" i="1"/>
  <c r="H24" i="1"/>
  <c r="H76" i="1"/>
  <c r="H14" i="1"/>
  <c r="H16" i="1"/>
  <c r="H50" i="1"/>
  <c r="H71" i="1"/>
  <c r="H55" i="1"/>
  <c r="H12" i="1"/>
  <c r="H46" i="1"/>
  <c r="H8" i="1"/>
  <c r="H136" i="1"/>
  <c r="H97" i="1"/>
  <c r="H62" i="1"/>
  <c r="H20" i="1"/>
  <c r="H60" i="1"/>
  <c r="H54" i="1"/>
  <c r="H40" i="1"/>
  <c r="H122" i="1"/>
  <c r="H117" i="1"/>
  <c r="H45" i="1"/>
  <c r="H48" i="1"/>
  <c r="H141" i="1"/>
  <c r="H79" i="1"/>
  <c r="H92" i="1"/>
  <c r="H17" i="1"/>
  <c r="H128" i="1"/>
  <c r="H31" i="1"/>
  <c r="H111" i="1"/>
  <c r="H140" i="1"/>
  <c r="H11" i="1"/>
  <c r="H25" i="1"/>
  <c r="H112" i="1"/>
  <c r="H22" i="1"/>
  <c r="H42" i="1"/>
  <c r="H18" i="1"/>
  <c r="H57" i="1"/>
  <c r="H58" i="1"/>
  <c r="H89" i="1"/>
  <c r="H15" i="1"/>
  <c r="H21" i="1"/>
  <c r="H27" i="1"/>
  <c r="H19" i="1"/>
  <c r="H65" i="1"/>
  <c r="H36" i="1"/>
  <c r="H138" i="1"/>
  <c r="H103" i="1"/>
  <c r="H106" i="1"/>
  <c r="H145" i="1"/>
  <c r="H23" i="1"/>
  <c r="H116" i="1"/>
  <c r="H144" i="1"/>
  <c r="H33" i="1"/>
  <c r="H163" i="1"/>
  <c r="H121" i="1"/>
  <c r="H183" i="1"/>
  <c r="H174" i="1"/>
  <c r="H82" i="1"/>
  <c r="H214" i="1"/>
  <c r="H29" i="1"/>
  <c r="H93" i="1"/>
  <c r="H229" i="1"/>
  <c r="H43" i="1"/>
  <c r="H74" i="1"/>
  <c r="H35" i="1"/>
  <c r="H164" i="1"/>
  <c r="H142" i="1"/>
  <c r="H125" i="1"/>
  <c r="H146" i="1"/>
  <c r="H28" i="1"/>
  <c r="H134" i="1"/>
  <c r="H133" i="1"/>
  <c r="H70" i="1"/>
  <c r="H77" i="1"/>
  <c r="H208" i="1"/>
  <c r="H30" i="1"/>
  <c r="H102" i="1"/>
  <c r="H233" i="1"/>
  <c r="H37" i="1"/>
  <c r="H64" i="1"/>
  <c r="H75" i="1"/>
  <c r="H85" i="1"/>
  <c r="H47" i="1"/>
  <c r="H83" i="1"/>
  <c r="H294" i="1"/>
  <c r="H114" i="1"/>
  <c r="H78" i="1"/>
  <c r="H148" i="1"/>
  <c r="H38" i="1"/>
  <c r="H242" i="1"/>
  <c r="H209" i="1"/>
  <c r="H230" i="1"/>
  <c r="H269" i="1"/>
  <c r="H264" i="1"/>
  <c r="H99" i="1"/>
  <c r="H73" i="1"/>
  <c r="H244" i="1"/>
  <c r="H199" i="1"/>
  <c r="H319" i="1"/>
  <c r="H258" i="1"/>
  <c r="H256" i="1"/>
  <c r="H290" i="1"/>
  <c r="H91" i="1"/>
  <c r="H95" i="1"/>
  <c r="H150" i="1"/>
  <c r="H293" i="1"/>
  <c r="H268" i="1"/>
  <c r="H88" i="1"/>
  <c r="H271" i="1"/>
  <c r="H215" i="1"/>
  <c r="H119" i="1"/>
  <c r="H259" i="1"/>
  <c r="H84" i="1"/>
  <c r="H270" i="1"/>
  <c r="H250" i="1"/>
  <c r="H251" i="1"/>
  <c r="H317" i="1"/>
  <c r="H118" i="1"/>
  <c r="H59" i="1"/>
  <c r="H115" i="1"/>
  <c r="H224" i="1"/>
  <c r="H344" i="1"/>
  <c r="H315" i="1"/>
  <c r="H184" i="1"/>
  <c r="H301" i="1"/>
  <c r="H219" i="1"/>
  <c r="H302" i="1"/>
  <c r="H211" i="1"/>
  <c r="H262" i="1"/>
  <c r="H156" i="1"/>
  <c r="H149" i="1"/>
  <c r="H113" i="1"/>
  <c r="H338" i="1"/>
  <c r="H305" i="1"/>
  <c r="H203" i="1"/>
  <c r="H155" i="1"/>
  <c r="H132" i="1"/>
  <c r="H198" i="1"/>
  <c r="H237" i="1"/>
  <c r="H335" i="1"/>
  <c r="H347" i="1"/>
  <c r="H327" i="1"/>
  <c r="H349" i="1"/>
  <c r="H90" i="1"/>
  <c r="H201" i="1"/>
  <c r="H192" i="1"/>
  <c r="H339" i="1"/>
  <c r="H375" i="1"/>
  <c r="H159" i="1"/>
  <c r="H351" i="1"/>
  <c r="H123" i="1"/>
  <c r="H320" i="1"/>
  <c r="H204" i="1"/>
  <c r="H322" i="1"/>
  <c r="H185" i="1"/>
  <c r="H275" i="1"/>
  <c r="H299" i="1"/>
  <c r="H363" i="1"/>
  <c r="H323" i="1"/>
  <c r="H382" i="1"/>
  <c r="H324" i="1"/>
  <c r="H316" i="1"/>
  <c r="H343" i="1"/>
  <c r="H376" i="1"/>
  <c r="H232" i="1"/>
  <c r="H196" i="1"/>
  <c r="H195" i="1"/>
  <c r="H51" i="1"/>
  <c r="H34" i="1"/>
  <c r="H52" i="1"/>
  <c r="H104" i="1"/>
  <c r="H68" i="1"/>
  <c r="H96" i="1"/>
  <c r="H44" i="1"/>
  <c r="H151" i="1"/>
  <c r="H158" i="1"/>
  <c r="H200" i="1"/>
  <c r="H66" i="1"/>
  <c r="H175" i="1"/>
  <c r="H86" i="1"/>
  <c r="H109" i="1"/>
  <c r="H160" i="1"/>
  <c r="H80" i="1"/>
  <c r="H56" i="1"/>
  <c r="H87" i="1"/>
  <c r="H81" i="1"/>
  <c r="H216" i="1"/>
  <c r="H260" i="1"/>
  <c r="H182" i="1"/>
  <c r="H137" i="1"/>
  <c r="H278" i="1"/>
  <c r="H222" i="1"/>
  <c r="H321" i="1"/>
  <c r="H186" i="1"/>
  <c r="H291" i="1"/>
  <c r="H287" i="1"/>
  <c r="H165" i="1"/>
  <c r="H218" i="1"/>
  <c r="H100" i="1"/>
  <c r="H129" i="1"/>
  <c r="H304" i="1"/>
  <c r="H166" i="1"/>
  <c r="H238" i="1"/>
  <c r="H300" i="1"/>
  <c r="H188" i="1"/>
  <c r="H274" i="1"/>
  <c r="H168" i="1"/>
  <c r="H126" i="1"/>
  <c r="H147" i="1"/>
  <c r="H202" i="1"/>
  <c r="H308" i="1"/>
  <c r="H346" i="1"/>
  <c r="H312" i="1"/>
  <c r="H120" i="1"/>
  <c r="H348" i="1"/>
  <c r="H310" i="1"/>
  <c r="H257" i="1"/>
  <c r="H240" i="1"/>
  <c r="H190" i="1"/>
  <c r="H285" i="1"/>
  <c r="H253" i="1"/>
  <c r="H105" i="1"/>
  <c r="H217" i="1"/>
  <c r="H239" i="1"/>
  <c r="H297" i="1"/>
  <c r="H292" i="1"/>
  <c r="H378" i="1"/>
  <c r="H383" i="1"/>
  <c r="H286" i="1"/>
  <c r="H226" i="1"/>
  <c r="H131" i="1"/>
  <c r="H139" i="1"/>
  <c r="H172" i="1"/>
  <c r="H263" i="1"/>
  <c r="H365" i="1"/>
  <c r="H261" i="1"/>
  <c r="H167" i="1"/>
  <c r="H389" i="1"/>
  <c r="H377" i="1"/>
  <c r="H337" i="1"/>
  <c r="H354" i="1"/>
  <c r="H191" i="1"/>
  <c r="H227" i="1"/>
  <c r="H127" i="1"/>
  <c r="H371" i="1"/>
  <c r="H272" i="1"/>
  <c r="H309" i="1"/>
  <c r="H385" i="1"/>
  <c r="H356" i="1"/>
  <c r="H318" i="1"/>
  <c r="H390" i="1"/>
  <c r="H236" i="1"/>
  <c r="H157" i="1"/>
  <c r="H379" i="1"/>
  <c r="H331" i="1"/>
  <c r="H241" i="1"/>
  <c r="H234" i="1"/>
  <c r="H177" i="1"/>
  <c r="H386" i="1"/>
  <c r="H189" i="1"/>
  <c r="H392" i="1"/>
  <c r="H221" i="1"/>
  <c r="H334" i="1"/>
  <c r="H307" i="1"/>
  <c r="H329" i="1"/>
  <c r="H187" i="1"/>
  <c r="H398" i="1"/>
  <c r="H396" i="1"/>
  <c r="H330" i="1"/>
  <c r="H395" i="1"/>
  <c r="H162" i="1"/>
  <c r="H266" i="1"/>
  <c r="H397" i="1"/>
  <c r="H326" i="1"/>
  <c r="H273" i="1"/>
  <c r="H366" i="1"/>
  <c r="H373" i="1"/>
  <c r="H248" i="1"/>
  <c r="H245" i="1"/>
  <c r="H401" i="1"/>
  <c r="H367" i="1"/>
  <c r="H374" i="1"/>
  <c r="H254" i="1"/>
  <c r="H284" i="1"/>
  <c r="H400" i="1"/>
  <c r="H368" i="1"/>
  <c r="H277" i="1"/>
  <c r="H328" i="1"/>
  <c r="H353" i="1"/>
  <c r="H336" i="1"/>
  <c r="H41" i="1"/>
  <c r="H69" i="1"/>
  <c r="H170" i="1"/>
  <c r="H178" i="1"/>
  <c r="H49" i="1"/>
  <c r="H249" i="1"/>
  <c r="H135" i="1"/>
  <c r="H153" i="1"/>
  <c r="H110" i="1"/>
  <c r="H288" i="1"/>
  <c r="H154" i="1"/>
  <c r="H169" i="1"/>
  <c r="H220" i="1"/>
  <c r="H53" i="1"/>
  <c r="H194" i="1"/>
  <c r="H108" i="1"/>
  <c r="H173" i="1"/>
  <c r="H94" i="1"/>
  <c r="H296" i="1"/>
  <c r="H247" i="1"/>
  <c r="H171" i="1"/>
  <c r="H197" i="1"/>
  <c r="H213" i="1"/>
  <c r="H101" i="1"/>
  <c r="H67" i="1"/>
  <c r="H255" i="1"/>
  <c r="H246" i="1"/>
  <c r="H124" i="1"/>
  <c r="H360" i="1"/>
  <c r="H225" i="1"/>
  <c r="H130" i="1"/>
  <c r="H325" i="1"/>
  <c r="H179" i="1"/>
  <c r="H280" i="1"/>
  <c r="H283" i="1"/>
  <c r="H369" i="1"/>
  <c r="H311" i="1"/>
  <c r="H358" i="1"/>
  <c r="H72" i="1"/>
  <c r="H350" i="1"/>
  <c r="H228" i="1"/>
  <c r="H340" i="1"/>
  <c r="H364" i="1"/>
  <c r="H176" i="1"/>
  <c r="H313" i="1"/>
  <c r="H107" i="1"/>
  <c r="H161" i="1"/>
  <c r="H223" i="1"/>
  <c r="H370" i="1"/>
  <c r="H98" i="1"/>
  <c r="H207" i="1"/>
  <c r="H355" i="1"/>
  <c r="H193" i="1"/>
  <c r="H357" i="1"/>
  <c r="H295" i="1"/>
  <c r="H267" i="1"/>
  <c r="H265" i="1"/>
  <c r="H279" i="1"/>
  <c r="H212" i="1"/>
  <c r="H152" i="1"/>
  <c r="H341" i="1"/>
  <c r="H306" i="1"/>
  <c r="H332" i="1"/>
  <c r="H231" i="1"/>
  <c r="H361" i="1"/>
  <c r="H381" i="1"/>
  <c r="H345" i="1"/>
  <c r="H181" i="1"/>
  <c r="H352" i="1"/>
  <c r="H393" i="1"/>
  <c r="H206" i="1"/>
  <c r="H143" i="1"/>
  <c r="H372" i="1"/>
  <c r="H314" i="1"/>
  <c r="H180" i="1"/>
  <c r="H394" i="1"/>
  <c r="H303" i="1"/>
  <c r="H387" i="1"/>
  <c r="H362" i="1"/>
  <c r="H210" i="1"/>
  <c r="H243" i="1"/>
  <c r="H282" i="1"/>
  <c r="H289" i="1"/>
  <c r="H359" i="1"/>
  <c r="H235" i="1"/>
  <c r="H399" i="1"/>
  <c r="H205" i="1"/>
  <c r="H388" i="1"/>
  <c r="H281" i="1"/>
  <c r="H380" i="1"/>
  <c r="H342" i="1"/>
  <c r="H384" i="1"/>
  <c r="H298" i="1"/>
  <c r="H391" i="1"/>
  <c r="H252" i="1"/>
  <c r="H276" i="1"/>
  <c r="H333" i="1"/>
  <c r="H7" i="1"/>
  <c r="J3" i="1" l="1"/>
  <c r="J7" i="1"/>
  <c r="J11" i="1"/>
  <c r="J15" i="1"/>
  <c r="J19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J91" i="1"/>
  <c r="J95" i="1"/>
  <c r="J99" i="1"/>
  <c r="J103" i="1"/>
  <c r="J107" i="1"/>
  <c r="J111" i="1"/>
  <c r="J115" i="1"/>
  <c r="J119" i="1"/>
  <c r="J123" i="1"/>
  <c r="J127" i="1"/>
  <c r="J131" i="1"/>
  <c r="J135" i="1"/>
  <c r="J139" i="1"/>
  <c r="J143" i="1"/>
  <c r="J147" i="1"/>
  <c r="J151" i="1"/>
  <c r="J155" i="1"/>
  <c r="J159" i="1"/>
  <c r="J163" i="1"/>
  <c r="J167" i="1"/>
  <c r="J171" i="1"/>
  <c r="J175" i="1"/>
  <c r="J179" i="1"/>
  <c r="J183" i="1"/>
  <c r="J187" i="1"/>
  <c r="J191" i="1"/>
  <c r="J195" i="1"/>
  <c r="J199" i="1"/>
  <c r="J203" i="1"/>
  <c r="J207" i="1"/>
  <c r="J211" i="1"/>
  <c r="J215" i="1"/>
  <c r="J219" i="1"/>
  <c r="J223" i="1"/>
  <c r="J227" i="1"/>
  <c r="J231" i="1"/>
  <c r="J235" i="1"/>
  <c r="J239" i="1"/>
  <c r="J243" i="1"/>
  <c r="J247" i="1"/>
  <c r="J251" i="1"/>
  <c r="J255" i="1"/>
  <c r="J259" i="1"/>
  <c r="J263" i="1"/>
  <c r="J267" i="1"/>
  <c r="J271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4" i="1"/>
  <c r="J8" i="1"/>
  <c r="J12" i="1"/>
  <c r="J16" i="1"/>
  <c r="J20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J92" i="1"/>
  <c r="J96" i="1"/>
  <c r="J100" i="1"/>
  <c r="J104" i="1"/>
  <c r="J108" i="1"/>
  <c r="J112" i="1"/>
  <c r="J116" i="1"/>
  <c r="J120" i="1"/>
  <c r="J124" i="1"/>
  <c r="J128" i="1"/>
  <c r="J132" i="1"/>
  <c r="J136" i="1"/>
  <c r="J140" i="1"/>
  <c r="J144" i="1"/>
  <c r="J148" i="1"/>
  <c r="J152" i="1"/>
  <c r="J156" i="1"/>
  <c r="J160" i="1"/>
  <c r="J164" i="1"/>
  <c r="J168" i="1"/>
  <c r="J172" i="1"/>
  <c r="J176" i="1"/>
  <c r="J180" i="1"/>
  <c r="J184" i="1"/>
  <c r="J188" i="1"/>
  <c r="J192" i="1"/>
  <c r="J196" i="1"/>
  <c r="J200" i="1"/>
  <c r="J204" i="1"/>
  <c r="J208" i="1"/>
  <c r="J212" i="1"/>
  <c r="J216" i="1"/>
  <c r="J220" i="1"/>
  <c r="J224" i="1"/>
  <c r="J228" i="1"/>
  <c r="J232" i="1"/>
  <c r="J236" i="1"/>
  <c r="J240" i="1"/>
  <c r="J244" i="1"/>
  <c r="J248" i="1"/>
  <c r="J252" i="1"/>
  <c r="J256" i="1"/>
  <c r="J260" i="1"/>
  <c r="J264" i="1"/>
  <c r="J268" i="1"/>
  <c r="J272" i="1"/>
  <c r="J276" i="1"/>
  <c r="J280" i="1"/>
  <c r="J284" i="1"/>
  <c r="J288" i="1"/>
  <c r="J292" i="1"/>
  <c r="J296" i="1"/>
  <c r="J300" i="1"/>
  <c r="J304" i="1"/>
  <c r="J308" i="1"/>
  <c r="J312" i="1"/>
  <c r="J316" i="1"/>
  <c r="J320" i="1"/>
  <c r="J324" i="1"/>
  <c r="J328" i="1"/>
  <c r="J332" i="1"/>
  <c r="J336" i="1"/>
  <c r="J340" i="1"/>
  <c r="J5" i="1"/>
  <c r="J9" i="1"/>
  <c r="J13" i="1"/>
  <c r="J17" i="1"/>
  <c r="J21" i="1"/>
  <c r="J25" i="1"/>
  <c r="J29" i="1"/>
  <c r="J33" i="1"/>
  <c r="J37" i="1"/>
  <c r="J41" i="1"/>
  <c r="J45" i="1"/>
  <c r="J49" i="1"/>
  <c r="J53" i="1"/>
  <c r="J57" i="1"/>
  <c r="J61" i="1"/>
  <c r="J65" i="1"/>
  <c r="J69" i="1"/>
  <c r="J73" i="1"/>
  <c r="J77" i="1"/>
  <c r="J81" i="1"/>
  <c r="J85" i="1"/>
  <c r="J89" i="1"/>
  <c r="J93" i="1"/>
  <c r="J97" i="1"/>
  <c r="J101" i="1"/>
  <c r="J105" i="1"/>
  <c r="J109" i="1"/>
  <c r="J113" i="1"/>
  <c r="J117" i="1"/>
  <c r="J121" i="1"/>
  <c r="J125" i="1"/>
  <c r="J129" i="1"/>
  <c r="J133" i="1"/>
  <c r="J137" i="1"/>
  <c r="J141" i="1"/>
  <c r="J145" i="1"/>
  <c r="J149" i="1"/>
  <c r="J153" i="1"/>
  <c r="J157" i="1"/>
  <c r="J161" i="1"/>
  <c r="J165" i="1"/>
  <c r="J169" i="1"/>
  <c r="J173" i="1"/>
  <c r="J177" i="1"/>
  <c r="J181" i="1"/>
  <c r="J185" i="1"/>
  <c r="J189" i="1"/>
  <c r="J193" i="1"/>
  <c r="J197" i="1"/>
  <c r="J201" i="1"/>
  <c r="J205" i="1"/>
  <c r="J209" i="1"/>
  <c r="J213" i="1"/>
  <c r="J217" i="1"/>
  <c r="J221" i="1"/>
  <c r="J225" i="1"/>
  <c r="J229" i="1"/>
  <c r="J233" i="1"/>
  <c r="J237" i="1"/>
  <c r="J241" i="1"/>
  <c r="J245" i="1"/>
  <c r="J249" i="1"/>
  <c r="J253" i="1"/>
  <c r="J257" i="1"/>
  <c r="J261" i="1"/>
  <c r="J265" i="1"/>
  <c r="J269" i="1"/>
  <c r="J273" i="1"/>
  <c r="J277" i="1"/>
  <c r="J281" i="1"/>
  <c r="J285" i="1"/>
  <c r="J289" i="1"/>
  <c r="J293" i="1"/>
  <c r="J297" i="1"/>
  <c r="J301" i="1"/>
  <c r="J305" i="1"/>
  <c r="J309" i="1"/>
  <c r="J313" i="1"/>
  <c r="J317" i="1"/>
  <c r="J321" i="1"/>
  <c r="J325" i="1"/>
  <c r="J329" i="1"/>
  <c r="J333" i="1"/>
  <c r="J337" i="1"/>
  <c r="J341" i="1"/>
  <c r="J6" i="1"/>
  <c r="J22" i="1"/>
  <c r="J38" i="1"/>
  <c r="J54" i="1"/>
  <c r="J70" i="1"/>
  <c r="J86" i="1"/>
  <c r="J102" i="1"/>
  <c r="J118" i="1"/>
  <c r="J134" i="1"/>
  <c r="J150" i="1"/>
  <c r="J166" i="1"/>
  <c r="J182" i="1"/>
  <c r="J198" i="1"/>
  <c r="J214" i="1"/>
  <c r="J230" i="1"/>
  <c r="J246" i="1"/>
  <c r="J262" i="1"/>
  <c r="J278" i="1"/>
  <c r="J294" i="1"/>
  <c r="J310" i="1"/>
  <c r="J326" i="1"/>
  <c r="J342" i="1"/>
  <c r="J346" i="1"/>
  <c r="J350" i="1"/>
  <c r="J354" i="1"/>
  <c r="J358" i="1"/>
  <c r="J362" i="1"/>
  <c r="J366" i="1"/>
  <c r="J370" i="1"/>
  <c r="J374" i="1"/>
  <c r="J378" i="1"/>
  <c r="J382" i="1"/>
  <c r="J386" i="1"/>
  <c r="J390" i="1"/>
  <c r="J394" i="1"/>
  <c r="J398" i="1"/>
  <c r="J18" i="1"/>
  <c r="J34" i="1"/>
  <c r="J50" i="1"/>
  <c r="J82" i="1"/>
  <c r="J130" i="1"/>
  <c r="J178" i="1"/>
  <c r="J226" i="1"/>
  <c r="J274" i="1"/>
  <c r="J322" i="1"/>
  <c r="J349" i="1"/>
  <c r="J361" i="1"/>
  <c r="J373" i="1"/>
  <c r="J385" i="1"/>
  <c r="J397" i="1"/>
  <c r="J10" i="1"/>
  <c r="J26" i="1"/>
  <c r="J42" i="1"/>
  <c r="J58" i="1"/>
  <c r="J74" i="1"/>
  <c r="J90" i="1"/>
  <c r="J106" i="1"/>
  <c r="J122" i="1"/>
  <c r="J138" i="1"/>
  <c r="J154" i="1"/>
  <c r="J170" i="1"/>
  <c r="J186" i="1"/>
  <c r="J202" i="1"/>
  <c r="J218" i="1"/>
  <c r="J234" i="1"/>
  <c r="J250" i="1"/>
  <c r="J266" i="1"/>
  <c r="J282" i="1"/>
  <c r="J298" i="1"/>
  <c r="J314" i="1"/>
  <c r="J330" i="1"/>
  <c r="J343" i="1"/>
  <c r="J347" i="1"/>
  <c r="J351" i="1"/>
  <c r="J355" i="1"/>
  <c r="J359" i="1"/>
  <c r="J363" i="1"/>
  <c r="J367" i="1"/>
  <c r="J371" i="1"/>
  <c r="J375" i="1"/>
  <c r="J379" i="1"/>
  <c r="J383" i="1"/>
  <c r="J387" i="1"/>
  <c r="J391" i="1"/>
  <c r="J395" i="1"/>
  <c r="J399" i="1"/>
  <c r="J66" i="1"/>
  <c r="J98" i="1"/>
  <c r="J146" i="1"/>
  <c r="J194" i="1"/>
  <c r="J242" i="1"/>
  <c r="J290" i="1"/>
  <c r="J338" i="1"/>
  <c r="J353" i="1"/>
  <c r="J365" i="1"/>
  <c r="J377" i="1"/>
  <c r="J389" i="1"/>
  <c r="J401" i="1"/>
  <c r="J14" i="1"/>
  <c r="J30" i="1"/>
  <c r="J46" i="1"/>
  <c r="J62" i="1"/>
  <c r="J78" i="1"/>
  <c r="J94" i="1"/>
  <c r="J110" i="1"/>
  <c r="J126" i="1"/>
  <c r="J142" i="1"/>
  <c r="J158" i="1"/>
  <c r="J174" i="1"/>
  <c r="J190" i="1"/>
  <c r="J206" i="1"/>
  <c r="J222" i="1"/>
  <c r="J238" i="1"/>
  <c r="J254" i="1"/>
  <c r="J270" i="1"/>
  <c r="J286" i="1"/>
  <c r="J302" i="1"/>
  <c r="J318" i="1"/>
  <c r="J334" i="1"/>
  <c r="J344" i="1"/>
  <c r="J348" i="1"/>
  <c r="J352" i="1"/>
  <c r="J356" i="1"/>
  <c r="J360" i="1"/>
  <c r="J364" i="1"/>
  <c r="J368" i="1"/>
  <c r="J372" i="1"/>
  <c r="J376" i="1"/>
  <c r="J380" i="1"/>
  <c r="J384" i="1"/>
  <c r="J388" i="1"/>
  <c r="J392" i="1"/>
  <c r="J396" i="1"/>
  <c r="J400" i="1"/>
  <c r="J114" i="1"/>
  <c r="J162" i="1"/>
  <c r="J210" i="1"/>
  <c r="J258" i="1"/>
  <c r="J306" i="1"/>
  <c r="J345" i="1"/>
  <c r="J357" i="1"/>
  <c r="J369" i="1"/>
  <c r="J381" i="1"/>
  <c r="J393" i="1"/>
</calcChain>
</file>

<file path=xl/sharedStrings.xml><?xml version="1.0" encoding="utf-8"?>
<sst xmlns="http://schemas.openxmlformats.org/spreadsheetml/2006/main" count="1271" uniqueCount="180">
  <si>
    <t>日期</t>
    <phoneticPr fontId="1" type="noConversion"/>
  </si>
  <si>
    <t>活动地点</t>
    <phoneticPr fontId="1" type="noConversion"/>
  </si>
  <si>
    <t>费用类别</t>
    <phoneticPr fontId="1" type="noConversion"/>
  </si>
  <si>
    <t>是否加班</t>
    <phoneticPr fontId="1" type="noConversion"/>
  </si>
  <si>
    <t>出租车费</t>
  </si>
  <si>
    <t>餐饮费</t>
  </si>
  <si>
    <t>飞机票</t>
  </si>
  <si>
    <t>酒店住宿</t>
  </si>
  <si>
    <t>火车票</t>
  </si>
  <si>
    <t>高速道桥费</t>
  </si>
  <si>
    <t>报销人</t>
    <phoneticPr fontId="1" type="noConversion"/>
  </si>
  <si>
    <t>福建省厦门市思明区莲岳路118号中烟大厦1702室</t>
  </si>
  <si>
    <t>广东省深圳市南山区蛇口港湾大道2号</t>
  </si>
  <si>
    <t>上海市闵行区浦星路699号</t>
  </si>
  <si>
    <t>上海市浦东新区世纪大道100号上海环球金融中心56楼</t>
  </si>
  <si>
    <t>海南省海口市琼山区红城湖路22号</t>
  </si>
  <si>
    <t>云南省昆明市官渡区拓东路6号</t>
  </si>
  <si>
    <t>广东省深圳市龙岗区坂田</t>
  </si>
  <si>
    <t>江西省南昌市西湖区洪城路289号</t>
  </si>
  <si>
    <t>北京市海淀区东北旺西路8号</t>
  </si>
  <si>
    <t>北京市西城区西绒线胡同51号中国会</t>
  </si>
  <si>
    <t>贵州省贵阳市云岩区中山西路51号</t>
  </si>
  <si>
    <t>贵州省贵阳市中山西路51号</t>
  </si>
  <si>
    <t>辽宁省大连中山区长江路123号大连日航酒店4层清苑厅</t>
  </si>
  <si>
    <t>四川省成都市城市名人酒店</t>
  </si>
  <si>
    <t>山西省大同市南城墙永泰西门</t>
  </si>
  <si>
    <t>浙江省杭州市西湖区北山路78号香格里拉饭店东楼1栋555房</t>
  </si>
  <si>
    <t>浙江省杭州市西湖区紫金港路21号</t>
  </si>
  <si>
    <t>北京市西城区阜成门外大街29号</t>
  </si>
  <si>
    <t>福建省厦门市软件园二期观日路44号9楼</t>
  </si>
  <si>
    <t>广东省广州市天河区黄埔大道666号</t>
  </si>
  <si>
    <t>广东省广州市天河区林和西路1号广州国际贸易中心42层</t>
  </si>
  <si>
    <t>江苏省南京市白下区汉中路89号</t>
  </si>
  <si>
    <t>天津市和平区南京路189号</t>
  </si>
  <si>
    <t>山东省青岛市颐中皇冠假日酒店三层多功能厅</t>
  </si>
  <si>
    <t>广东省东莞市新城市商务中心区会展北路</t>
  </si>
  <si>
    <t>重庆市渝中区中山三路155号</t>
  </si>
  <si>
    <t>北京市利星行广场微软大厦206体验中心</t>
  </si>
  <si>
    <t>上海市延安东路100号联谊大厦20楼</t>
  </si>
  <si>
    <t>上海市天平宾馆6层</t>
  </si>
  <si>
    <t>山东省济南市经四小纬二路</t>
  </si>
  <si>
    <t>吉林省长春市东南湖大路1281号</t>
  </si>
  <si>
    <t>河北省廊坊市经济技术开发区华祥路66号</t>
  </si>
  <si>
    <t>广东省珠海市香洲人民东路121号</t>
  </si>
  <si>
    <t>广东省广州市天河区林和西路167号</t>
  </si>
  <si>
    <t>天津市河西区友谊北路银丰花园</t>
  </si>
  <si>
    <t>陕西省西安市南大街30号中大国际大厦605室</t>
  </si>
  <si>
    <t>北京市海淀区知春路113银网中心A座</t>
  </si>
  <si>
    <t>湖北省武汉市经济技术开发区东风大道10号</t>
  </si>
  <si>
    <t>江苏省扬州市汶河北路42号蓝天大厦</t>
  </si>
  <si>
    <t>四川省成都市人民南路一段86号城市之心27楼A座</t>
  </si>
  <si>
    <t>四川省绵阳市绵山路64号</t>
  </si>
  <si>
    <t>江苏省南京市汉中路2号金陵饭店</t>
  </si>
  <si>
    <t>重庆市渝州路68号</t>
  </si>
  <si>
    <t>广东省惠州市巽寮喜来登酒店</t>
  </si>
  <si>
    <t>福建省厦门市湖里区湖里高新科技园361度大厦</t>
  </si>
  <si>
    <t>北京市东城区朝阳门北大街1号</t>
  </si>
  <si>
    <t>上海市静安区华山路250号，上海希尔顿酒店</t>
  </si>
  <si>
    <t>安徽省合肥市蜀山经济开发区创业大道3号创业大道3号</t>
  </si>
  <si>
    <t>北京市海淀区永嘉北路6号</t>
  </si>
  <si>
    <t>河北省保定市朝阳南大街2266号</t>
  </si>
  <si>
    <t>天津市武清开发区新源道北18号</t>
  </si>
  <si>
    <t>浙江省苏州市阊胥路483号创元科技园金阊软件园5号楼5101室</t>
  </si>
  <si>
    <t>江西省南昌市高新区京东大道698号</t>
  </si>
  <si>
    <t>广东省佛山市顺德区容桂高新技术开发区建业中路13号</t>
  </si>
  <si>
    <t>辽宁省沈阳市和平区青年大街390号</t>
  </si>
  <si>
    <t>福建省福州市湖东路中山大厦，兴业银行</t>
  </si>
  <si>
    <t>大连市烟草专卖局（大连市五四路26号）</t>
  </si>
  <si>
    <t>杭州市滨江区南环路3758号</t>
  </si>
  <si>
    <t>北京市西城区宣武门西大街32号</t>
  </si>
  <si>
    <t>湖北省武汉市宝丰路6号香溢大酒店20楼</t>
  </si>
  <si>
    <t>河南省郑州金水区金水路115号</t>
  </si>
  <si>
    <t>重庆市北部新区高新园星光大道天王星A1座</t>
  </si>
  <si>
    <t>上海市浦东上丰路1111号</t>
  </si>
  <si>
    <t>北京市方恒假日酒店5号会议室</t>
  </si>
  <si>
    <t>浙江省嘉兴市南湖区亚中路1号</t>
  </si>
  <si>
    <t>上海市静安区海防路555号同乐坊11号楼3楼</t>
  </si>
  <si>
    <t>陕西省西安市曲江南路曲江文化大厦1903室</t>
  </si>
  <si>
    <t>广东省广州市珠江新城广东移动全球通大厦</t>
  </si>
  <si>
    <t>吉林省长春市青荫路435号</t>
  </si>
  <si>
    <t>广东省广州市机场路278号</t>
  </si>
  <si>
    <t>浙江省苏州市工业园区苏虹东路288号</t>
  </si>
  <si>
    <t>北京市国家会议中心</t>
  </si>
  <si>
    <t>北京市朝阳区光华路2号阳光100G座上海文广大夏7层</t>
  </si>
  <si>
    <t>北京市中关村微软MPR办公室</t>
  </si>
  <si>
    <t>上海市虹桥区喜来登太平洋大饭店四层地中海厅</t>
  </si>
  <si>
    <t>广东省深圳市嘉里建设广场2座12层体验中心</t>
  </si>
  <si>
    <t>上海市徐汇区虹桥路3号港汇中心二座10层10.072室</t>
  </si>
  <si>
    <t>广东省广州市越秀区白云路18号4楼405室</t>
  </si>
  <si>
    <t>浙江省杭州市大厦武林广场1号</t>
  </si>
  <si>
    <t>四川省成都市世纪城路936号</t>
  </si>
  <si>
    <t>山东省太仓市上海东路288号</t>
  </si>
  <si>
    <t>江苏省江阴市新桥镇陶新中路8号</t>
  </si>
  <si>
    <t>浙江省嘉兴市环城南路393号</t>
  </si>
  <si>
    <t>贵州省贵阳市云岩区安云路樱花巷20号</t>
  </si>
  <si>
    <t>浙江省苏州市干将西路1296号</t>
  </si>
  <si>
    <t>北京市香山饭店</t>
  </si>
  <si>
    <t>河南省郑州市金水区城东路289号</t>
  </si>
  <si>
    <t>山东省烟台市莱山区港城东大街299号</t>
  </si>
  <si>
    <t>云南省昆明市金鹰广场酒店</t>
  </si>
  <si>
    <t>上海市长宁区福泉北路33号</t>
  </si>
  <si>
    <t>上海市国际贵都大饭店</t>
  </si>
  <si>
    <t>山东省青岛市宁夏路288号青岛软件园3号楼501 微软青岛办事处</t>
  </si>
  <si>
    <t>甘肃省兰州市锦江阳光酒店东海厅</t>
  </si>
  <si>
    <t>北京市东城区和平里中街12号</t>
  </si>
  <si>
    <t>河南省郑州市金水东路与民生路</t>
  </si>
  <si>
    <t>上海市徐汇区港汇中心二座微软公司9楼</t>
  </si>
  <si>
    <t>地区</t>
    <phoneticPr fontId="1" type="noConversion"/>
  </si>
  <si>
    <t>孟天祥</t>
  </si>
  <si>
    <t>陈祥通</t>
  </si>
  <si>
    <t>王天宇</t>
  </si>
  <si>
    <t>方文成</t>
  </si>
  <si>
    <t>钱顺卓</t>
  </si>
  <si>
    <t>王崇江</t>
  </si>
  <si>
    <t>黎浩然</t>
  </si>
  <si>
    <t>刘露露</t>
  </si>
  <si>
    <t>徐志晨</t>
  </si>
  <si>
    <t>张哲宇</t>
  </si>
  <si>
    <t>王炫皓</t>
  </si>
  <si>
    <t>王海德</t>
  </si>
  <si>
    <t>谢丽秋</t>
  </si>
  <si>
    <t>关天胜</t>
  </si>
  <si>
    <t>刘长辉</t>
  </si>
  <si>
    <t>李晓梅</t>
  </si>
  <si>
    <t>王雅林</t>
  </si>
  <si>
    <t>边金双</t>
  </si>
  <si>
    <t>赵琳艳</t>
  </si>
  <si>
    <t>余雅丽</t>
  </si>
  <si>
    <t>方嘉康</t>
  </si>
  <si>
    <t>李雅洁</t>
  </si>
  <si>
    <t>邹佳楠</t>
  </si>
  <si>
    <t>王欣荣</t>
  </si>
  <si>
    <t>徐亚楠</t>
  </si>
  <si>
    <t>杨国强</t>
  </si>
  <si>
    <t>唐雅林</t>
  </si>
  <si>
    <t>BIC-001</t>
  </si>
  <si>
    <t>BIC-002</t>
  </si>
  <si>
    <t>BIC-003</t>
  </si>
  <si>
    <t>BIC-004</t>
  </si>
  <si>
    <t>BIC-005</t>
  </si>
  <si>
    <t>BIC-006</t>
  </si>
  <si>
    <t>BIC-007</t>
  </si>
  <si>
    <t>BIC-008</t>
  </si>
  <si>
    <t>BIC-009</t>
  </si>
  <si>
    <t>BIC-010</t>
  </si>
  <si>
    <t>燃油费</t>
  </si>
  <si>
    <t>停车费</t>
  </si>
  <si>
    <t>通讯补助</t>
  </si>
  <si>
    <t>其他</t>
  </si>
  <si>
    <t>费用类别对照表</t>
    <phoneticPr fontId="1" type="noConversion"/>
  </si>
  <si>
    <t>类别编号</t>
    <phoneticPr fontId="1" type="noConversion"/>
  </si>
  <si>
    <t>费用类别编号</t>
    <phoneticPr fontId="1" type="noConversion"/>
  </si>
  <si>
    <t>BIC-001</t>
    <phoneticPr fontId="1" type="noConversion"/>
  </si>
  <si>
    <t>差旅费用金额</t>
    <phoneticPr fontId="1" type="noConversion"/>
  </si>
  <si>
    <t>钱顺卓</t>
    <phoneticPr fontId="1" type="noConversion"/>
  </si>
  <si>
    <t>Contoso 公司差旅报销管理</t>
    <phoneticPr fontId="1" type="noConversion"/>
  </si>
  <si>
    <t>河北省石河子市石河子信息办公室</t>
  </si>
  <si>
    <t>山西省银川市兴庆区北京东路477号柏悦酒店6楼中华厅</t>
  </si>
  <si>
    <t>BIC-005</t>
    <phoneticPr fontId="1" type="noConversion"/>
  </si>
  <si>
    <t>报销人数</t>
    <phoneticPr fontId="1" type="noConversion"/>
  </si>
  <si>
    <t>报销笔数</t>
    <phoneticPr fontId="1" type="noConversion"/>
  </si>
  <si>
    <t>报销金额</t>
    <phoneticPr fontId="1" type="noConversion"/>
  </si>
  <si>
    <t>平均每人报销金额</t>
    <phoneticPr fontId="1" type="noConversion"/>
  </si>
  <si>
    <t>月份</t>
    <phoneticPr fontId="1" type="noConversion"/>
  </si>
  <si>
    <t>合计</t>
    <phoneticPr fontId="1" type="noConversion"/>
  </si>
  <si>
    <t>1月</t>
    <phoneticPr fontId="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</si>
  <si>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</si>
  <si>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</si>
  <si>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</si>
  <si>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</si>
  <si>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</si>
  <si>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</si>
  <si>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</si>
  <si>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</si>
  <si>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</si>
  <si>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</si>
  <si>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</si>
  <si>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平均每笔报销金额</t>
    <phoneticPr fontId="1" type="noConversion"/>
  </si>
  <si>
    <t>列1</t>
    <phoneticPr fontId="1" type="noConversion"/>
  </si>
  <si>
    <t>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</si>
</sst>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7" formatCode="&quot;¥&quot;#,##0.00;&quot;¥&quot;\-#,##0.00"/>
    <numFmt numFmtId="44" formatCode="_ &quot;¥&quot;* #,##0.00_ ;_ &quot;¥&quot;* \-#,##0.00_ ;_ &quot;¥&quot;* &quot;-&quot;??_ ;_ @_ "/>
    <numFmt numFmtId="176" formatCode="[$-F800]dddd\,\ mmmm\ dd\,\ yyyy"/>
    <numFmt numFmtId="178" formatCode="yyyy&quot;年&quot;m&quot;月&quot;d&quot;日&quot;;@"/>
    <numFmt numFmtId="180" formatCode="yyyy&quot;年&quot;m&quot;月&quot;d&quot;日&quot;\,aaaa;@"/>
    <numFmt numFmtId="181" formatCode="&quot;¥&quot;#,##0.00_);[Red]\(&quot;¥&quot;#,##0.00\);\-\-\-"/>
  </numFmts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8"/>
      <color theme="1"/>
      <name val="微软雅黑"/>
      <family val="2"/>
      <charset val="134"/>
    </font>
    <font>
      <sz val="10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14"/>
      <color theme="1"/>
      <name val="Arial Unicode MS"/>
      <family val="2"/>
      <charset val="134"/>
    </font>
    <font>
      <b/>
      <sz val="11"/>
      <color theme="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4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8" fontId="2" fillId="0" borderId="0" xfId="0" applyNumberFormat="1" applyFont="1">
      <alignment vertical="center"/>
    </xf>
    <xf numFmtId="0" fontId="0" fillId="0" borderId="1" xfId="0" applyBorder="1">
      <alignment vertical="center"/>
    </xf>
    <xf numFmtId="44" fontId="0" fillId="0" borderId="1" xfId="0" applyNumberFormat="1" applyBorder="1">
      <alignment vertical="center"/>
    </xf>
    <xf numFmtId="0" fontId="7" fillId="2" borderId="4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0" fillId="3" borderId="4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7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80" fontId="0" fillId="0" borderId="5" xfId="0" applyNumberFormat="1" applyBorder="1">
      <alignment vertical="center"/>
    </xf>
    <xf numFmtId="0" fontId="0" fillId="0" borderId="2" xfId="0" applyBorder="1">
      <alignment vertical="center"/>
    </xf>
    <xf numFmtId="180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80" fontId="0" fillId="0" borderId="9" xfId="0" applyNumberFormat="1" applyBorder="1">
      <alignment vertical="center"/>
    </xf>
    <xf numFmtId="0" fontId="0" fillId="0" borderId="3" xfId="0" applyBorder="1">
      <alignment vertical="center"/>
    </xf>
    <xf numFmtId="44" fontId="0" fillId="0" borderId="3" xfId="0" applyNumberFormat="1" applyBorder="1">
      <alignment vertical="center"/>
    </xf>
    <xf numFmtId="0" fontId="0" fillId="0" borderId="4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0" xfId="0" applyBorder="1">
      <alignment vertical="center"/>
    </xf>
    <xf numFmtId="7" fontId="0" fillId="3" borderId="4" xfId="0" applyNumberFormat="1" applyFill="1" applyBorder="1">
      <alignment vertical="center"/>
    </xf>
    <xf numFmtId="7" fontId="0" fillId="3" borderId="3" xfId="0" applyNumberFormat="1" applyFill="1" applyBorder="1">
      <alignment vertical="center"/>
    </xf>
    <xf numFmtId="181" fontId="0" fillId="3" borderId="1" xfId="0" applyNumberFormat="1" applyFill="1" applyBorder="1">
      <alignment vertical="center"/>
    </xf>
  </cellXfs>
  <cellStyles count="1">
    <cellStyle name="常规" xfId="0" builtinId="0"/>
  </cellStyles>
  <dxfs count="19">
    <dxf>
      <font>
        <b/>
        <i val="0"/>
        <color rgb="FFFF0000"/>
      </font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4" formatCode="_ &quot;¥&quot;* #,##0.00_ ;_ &quot;¥&quot;* \-#,##0.00_ ;_ &quot;¥&quot;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80" formatCode="yyyy&quot;年&quot;m&quot;月&quot;d&quot;日&quot;\,aaaa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</dxfs>
  <tableStyles count="1" defaultTableStyle="TableStyleMedium9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各月报销费用比较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按月份统计!$L$1</c:f>
              <c:strCache>
                <c:ptCount val="1"/>
                <c:pt idx="0">
                  <c:v>合计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按月份统计!$A$2:$A$13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按月份统计!$L$2:$L$13</c:f>
              <c:numCache>
                <c:formatCode>"¥"#,##0.00_);[Red]\("¥"#,##0.00\);\-\-\-</c:formatCode>
                <c:ptCount val="12"/>
                <c:pt idx="0">
                  <c:v>3000</c:v>
                </c:pt>
                <c:pt idx="1">
                  <c:v>522</c:v>
                </c:pt>
                <c:pt idx="2">
                  <c:v>8675.2666666666646</c:v>
                </c:pt>
                <c:pt idx="3">
                  <c:v>7837.2333333333245</c:v>
                </c:pt>
                <c:pt idx="4">
                  <c:v>22428.799999999981</c:v>
                </c:pt>
                <c:pt idx="5">
                  <c:v>43089.199999999975</c:v>
                </c:pt>
                <c:pt idx="6">
                  <c:v>49785.466666666631</c:v>
                </c:pt>
                <c:pt idx="7">
                  <c:v>47676.399999999972</c:v>
                </c:pt>
                <c:pt idx="8">
                  <c:v>46044.233333333308</c:v>
                </c:pt>
                <c:pt idx="9">
                  <c:v>43748.299999999988</c:v>
                </c:pt>
                <c:pt idx="10">
                  <c:v>11719.366666666656</c:v>
                </c:pt>
                <c:pt idx="11">
                  <c:v>3486.833333333333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F-42A8-89FD-C0AD5768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737544"/>
        <c:axId val="507737872"/>
      </c:lineChart>
      <c:catAx>
        <c:axId val="507737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7737872"/>
        <c:crosses val="autoZero"/>
        <c:auto val="1"/>
        <c:lblAlgn val="ctr"/>
        <c:lblOffset val="100"/>
        <c:noMultiLvlLbl val="0"/>
      </c:catAx>
      <c:valAx>
        <c:axId val="507737872"/>
        <c:scaling>
          <c:logBase val="10"/>
          <c:orientation val="minMax"/>
          <c:min val="100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7737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57149</xdr:colOff>
      <xdr:row>1</xdr:row>
      <xdr:rowOff>85725</xdr:rowOff>
    </xdr:from>
    <xdr:to>
      <xdr:col>12</xdr:col>
      <xdr:colOff>1104900</xdr:colOff>
      <xdr:row>14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报销人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报销人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44474" y="552450"/>
              <a:ext cx="5543551" cy="2333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971549</xdr:colOff>
      <xdr:row>0</xdr:row>
      <xdr:rowOff>0</xdr:rowOff>
    </xdr:from>
    <xdr:to>
      <xdr:col>18</xdr:col>
      <xdr:colOff>600074</xdr:colOff>
      <xdr:row>12</xdr:row>
      <xdr:rowOff>66675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9</xdr:col>
          <xdr:colOff>333375</xdr:colOff>
          <xdr:row>11</xdr:row>
          <xdr:rowOff>9525</xdr:rowOff>
        </xdr:to>
        <xdr:pic>
          <xdr:nvPicPr>
            <xdr:cNvPr id="3" name="图片 2"/>
            <xdr:cNvPicPr>
              <a:picLocks noChangeAspect="1" noChangeArrowheads="1"/>
              <a:extLst>
                <a:ext uri="{84589F7E-364E-4C9E-8A38-B11213B215E9}">
                  <a14:cameraTool cellRange="按类别统计!$A$1:$F$11" spid="_x0000_s51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6505575" cy="18954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15</xdr:col>
          <xdr:colOff>514350</xdr:colOff>
          <xdr:row>25</xdr:row>
          <xdr:rowOff>9525</xdr:rowOff>
        </xdr:to>
        <xdr:pic>
          <xdr:nvPicPr>
            <xdr:cNvPr id="4" name="图片 3"/>
            <xdr:cNvPicPr>
              <a:picLocks noChangeAspect="1" noChangeArrowheads="1"/>
              <a:extLst>
                <a:ext uri="{84589F7E-364E-4C9E-8A38-B11213B215E9}">
                  <a14:cameraTool cellRange="按月份统计!$A$1:$L$13" spid="_x0000_s512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0" y="2057400"/>
              <a:ext cx="10801350" cy="22383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5581.423949537035" createdVersion="6" refreshedVersion="6" minRefreshableVersion="3" recordCount="399">
  <cacheSource type="worksheet">
    <worksheetSource name="差旅报销数据"/>
  </cacheSource>
  <cacheFields count="8">
    <cacheField name="日期" numFmtId="180">
      <sharedItems containsSemiMixedTypes="0" containsNonDate="0" containsDate="1" containsString="0" minDate="2023-01-15T00:00:00" maxDate="2023-12-12T00:00:00"/>
    </cacheField>
    <cacheField name="报销人" numFmtId="0">
      <sharedItems count="27">
        <s v="王天宇"/>
        <s v="方文成"/>
        <s v="徐志晨"/>
        <s v="陈祥通"/>
        <s v="孟天祥"/>
        <s v="谢丽秋"/>
        <s v="王崇江"/>
        <s v="钱顺卓"/>
        <s v="刘长辉"/>
        <s v="王炫皓"/>
        <s v="关天胜"/>
        <s v="王欣荣"/>
        <s v="唐雅林"/>
        <s v="徐亚楠"/>
        <s v="刘露露"/>
        <s v="王雅林"/>
        <s v="张哲宇"/>
        <s v="赵琳艳"/>
        <s v="邹佳楠"/>
        <s v="边金双"/>
        <s v="李雅洁"/>
        <s v="方嘉康"/>
        <s v="王海德"/>
        <s v="黎浩然"/>
        <s v="李晓梅"/>
        <s v="余雅丽"/>
        <s v="杨国强"/>
      </sharedItems>
    </cacheField>
    <cacheField name="活动地点" numFmtId="0">
      <sharedItems/>
    </cacheField>
    <cacheField name="地区" numFmtId="0">
      <sharedItems/>
    </cacheField>
    <cacheField name="费用类别编号" numFmtId="0">
      <sharedItems/>
    </cacheField>
    <cacheField name="费用类别" numFmtId="0">
      <sharedItems/>
    </cacheField>
    <cacheField name="差旅费用金额" numFmtId="44">
      <sharedItems containsSemiMixedTypes="0" containsString="0" containsNumber="1" minValue="22" maxValue="3000"/>
    </cacheField>
    <cacheField name="是否加班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9">
  <r>
    <d v="2023-01-15T00:00:00"/>
    <x v="0"/>
    <s v="上海市闵行区浦星路699号"/>
    <s v="上海市"/>
    <s v="BIC-003"/>
    <s v="餐饮费"/>
    <n v="3000"/>
    <s v="是"/>
  </r>
  <r>
    <d v="2023-02-12T00:00:00"/>
    <x v="1"/>
    <s v="上海市浦东新区世纪大道100号上海环球金融中心56楼"/>
    <s v="上海市"/>
    <s v="BIC-004"/>
    <s v="出租车费"/>
    <n v="300"/>
    <s v="是"/>
  </r>
  <r>
    <d v="2023-02-22T00:00:00"/>
    <x v="2"/>
    <s v="北京市西城区西绒线胡同51号中国会"/>
    <s v="北京市"/>
    <s v="BIC-007"/>
    <s v="燃油费"/>
    <n v="22"/>
    <s v="否"/>
  </r>
  <r>
    <d v="2023-02-27T00:00:00"/>
    <x v="3"/>
    <s v="广东省深圳市南山区蛇口港湾大道2号"/>
    <s v="广东省"/>
    <s v="BIC-002"/>
    <s v="酒店住宿"/>
    <n v="200"/>
    <s v="否"/>
  </r>
  <r>
    <d v="2023-03-05T00:00:00"/>
    <x v="4"/>
    <s v="福建省厦门市思明区莲岳路118号中烟大厦1702室"/>
    <s v="福建省"/>
    <s v="BIC-001"/>
    <s v="飞机票"/>
    <n v="120"/>
    <s v="是"/>
  </r>
  <r>
    <d v="2023-03-10T00:00:00"/>
    <x v="5"/>
    <s v="天津市和平区南京路189号"/>
    <s v="天津市"/>
    <s v="BIC-009"/>
    <s v="通讯补助"/>
    <n v="1049.9000000000001"/>
    <s v="否"/>
  </r>
  <r>
    <d v="2023-03-14T00:00:00"/>
    <x v="6"/>
    <s v="云南省昆明市官渡区拓东路6号"/>
    <s v="云南省"/>
    <s v="BIC-006"/>
    <s v="高速道桥费"/>
    <n v="2500"/>
    <s v="否"/>
  </r>
  <r>
    <d v="2023-03-14T00:00:00"/>
    <x v="7"/>
    <s v="海南省海口市琼山区红城湖路22号"/>
    <s v="海南省"/>
    <s v="BIC-005"/>
    <s v="火车票"/>
    <n v="100"/>
    <s v="否"/>
  </r>
  <r>
    <d v="2023-03-15T00:00:00"/>
    <x v="8"/>
    <s v="江苏省南京市汉中路2号金陵饭店"/>
    <s v="江苏省"/>
    <s v="BIC-005"/>
    <s v="火车票"/>
    <n v="606.5"/>
    <s v="否"/>
  </r>
  <r>
    <d v="2023-03-16T00:00:00"/>
    <x v="1"/>
    <s v="广东省广州市天河区林和西路1号广州国际贸易中心42层"/>
    <s v="广东省"/>
    <s v="BIC-007"/>
    <s v="燃油费"/>
    <n v="902.1"/>
    <s v="否"/>
  </r>
  <r>
    <d v="2023-03-23T00:00:00"/>
    <x v="9"/>
    <s v="贵州省贵阳市中山西路51号"/>
    <s v="贵州省"/>
    <s v="BIC-009"/>
    <s v="通讯补助"/>
    <n v="388"/>
    <s v="否"/>
  </r>
  <r>
    <d v="2023-03-23T00:00:00"/>
    <x v="10"/>
    <s v="浙江省杭州市西湖区北山路78号香格里拉饭店东楼1栋555房"/>
    <s v="浙江省"/>
    <s v="BIC-005"/>
    <s v="火车票"/>
    <n v="532.6"/>
    <s v="否"/>
  </r>
  <r>
    <d v="2023-03-25T00:00:00"/>
    <x v="11"/>
    <s v="天津市武清开发区新源道北18号"/>
    <s v="天津市"/>
    <s v="BIC-007"/>
    <s v="燃油费"/>
    <n v="945.83333333333303"/>
    <s v="是"/>
  </r>
  <r>
    <d v="2023-03-25T00:00:00"/>
    <x v="12"/>
    <s v="浙江省杭州市西湖区紫金港路21号"/>
    <s v="浙江省"/>
    <s v="BIC-006"/>
    <s v="高速道桥费"/>
    <n v="606.5"/>
    <s v="是"/>
  </r>
  <r>
    <d v="2023-03-27T00:00:00"/>
    <x v="10"/>
    <s v="北京市海淀区知春路113银网中心A座"/>
    <s v="北京市"/>
    <s v="BIC-003"/>
    <s v="餐饮费"/>
    <n v="388"/>
    <s v="否"/>
  </r>
  <r>
    <d v="2023-03-31T00:00:00"/>
    <x v="6"/>
    <s v="上海市静安区华山路250号，上海希尔顿酒店"/>
    <s v="上海市"/>
    <s v="BIC-006"/>
    <s v="高速道桥费"/>
    <n v="535.83333333333303"/>
    <s v="否"/>
  </r>
  <r>
    <d v="2023-04-05T00:00:00"/>
    <x v="13"/>
    <s v="广东省佛山市顺德区容桂高新技术开发区建业中路13号"/>
    <s v="广东省"/>
    <s v="BIC-003"/>
    <s v="餐饮费"/>
    <n v="1253.3333333333301"/>
    <s v="否"/>
  </r>
  <r>
    <d v="2023-04-06T00:00:00"/>
    <x v="14"/>
    <s v="重庆市渝中区中山三路155号"/>
    <s v="重庆市"/>
    <s v="BIC-006"/>
    <s v="高速道桥费"/>
    <n v="120"/>
    <s v="否"/>
  </r>
  <r>
    <d v="2023-04-15T00:00:00"/>
    <x v="15"/>
    <s v="浙江省苏州市阊胥路483号创元科技园金阊软件园5号楼5101室"/>
    <s v="浙江省"/>
    <s v="BIC-001"/>
    <s v="飞机票"/>
    <n v="1048.3333333333301"/>
    <s v="是"/>
  </r>
  <r>
    <d v="2023-04-16T00:00:00"/>
    <x v="7"/>
    <s v="福建省厦门市湖里区湖里高新科技园361度大厦"/>
    <s v="福建省"/>
    <s v="BIC-008"/>
    <s v="停车费"/>
    <n v="345"/>
    <s v="是"/>
  </r>
  <r>
    <d v="2023-04-19T00:00:00"/>
    <x v="12"/>
    <s v="河南省郑州金水区金水路115号"/>
    <s v="河南省"/>
    <s v="BIC-003"/>
    <s v="餐饮费"/>
    <n v="638.33333333333303"/>
    <s v="否"/>
  </r>
  <r>
    <d v="2023-04-19T00:00:00"/>
    <x v="5"/>
    <s v="四川省成都市城市名人酒店"/>
    <s v="四川省"/>
    <s v="BIC-003"/>
    <s v="餐饮费"/>
    <n v="500"/>
    <s v="否"/>
  </r>
  <r>
    <d v="2023-04-21T00:00:00"/>
    <x v="4"/>
    <s v="重庆市渝州路68号"/>
    <s v="重庆市"/>
    <s v="BIC-006"/>
    <s v="高速道桥费"/>
    <n v="140"/>
    <s v="否"/>
  </r>
  <r>
    <d v="2023-04-22T00:00:00"/>
    <x v="3"/>
    <s v="北京市海淀区东北旺西路8号"/>
    <s v="北京市"/>
    <s v="BIC-006"/>
    <s v="高速道桥费"/>
    <n v="345"/>
    <s v="是"/>
  </r>
  <r>
    <d v="2023-04-26T00:00:00"/>
    <x v="16"/>
    <s v="江西省南昌市高新区京东大道698号"/>
    <s v="江西省"/>
    <s v="BIC-002"/>
    <s v="酒店住宿"/>
    <n v="1150.8333333333301"/>
    <s v="否"/>
  </r>
  <r>
    <d v="2023-04-26T00:00:00"/>
    <x v="17"/>
    <s v="四川省成都市世纪城路936号"/>
    <s v="四川省"/>
    <s v="BIC-004"/>
    <s v="出租车费"/>
    <n v="606.5"/>
    <s v="否"/>
  </r>
  <r>
    <d v="2023-04-26T00:00:00"/>
    <x v="12"/>
    <s v="浙江省苏州市工业园区苏虹东路288号"/>
    <s v="浙江省"/>
    <s v="BIC-005"/>
    <s v="火车票"/>
    <n v="140"/>
    <s v="否"/>
  </r>
  <r>
    <d v="2023-04-27T00:00:00"/>
    <x v="18"/>
    <s v="北京市香山饭店"/>
    <s v="北京市"/>
    <s v="BIC-007"/>
    <s v="燃油费"/>
    <n v="1049.9000000000001"/>
    <s v="否"/>
  </r>
  <r>
    <d v="2023-04-30T00:00:00"/>
    <x v="19"/>
    <s v="江苏省扬州市汶河北路42号蓝天大厦"/>
    <s v="江苏省"/>
    <s v="BIC-005"/>
    <s v="火车票"/>
    <n v="500"/>
    <s v="是"/>
  </r>
  <r>
    <d v="2023-05-04T00:00:00"/>
    <x v="16"/>
    <s v="贵州省贵阳市云岩区中山西路51号"/>
    <s v="贵州省"/>
    <s v="BIC-008"/>
    <s v="停车费"/>
    <n v="246"/>
    <s v="否"/>
  </r>
  <r>
    <d v="2023-05-04T00:00:00"/>
    <x v="4"/>
    <s v="北京市方恒假日酒店5号会议室"/>
    <s v="北京市"/>
    <s v="BIC-008"/>
    <s v="停车费"/>
    <n v="945.83333333333303"/>
    <s v="否"/>
  </r>
  <r>
    <d v="2023-05-05T00:00:00"/>
    <x v="6"/>
    <s v="云南省昆明市官渡区拓东路6号"/>
    <s v="云南省"/>
    <s v="BIC-009"/>
    <s v="通讯补助"/>
    <n v="843.33333333333303"/>
    <s v="否"/>
  </r>
  <r>
    <d v="2023-05-05T00:00:00"/>
    <x v="10"/>
    <s v="上海市虹桥区喜来登太平洋大饭店四层地中海厅"/>
    <s v="上海市"/>
    <s v="BIC-007"/>
    <s v="燃油费"/>
    <n v="388"/>
    <s v="否"/>
  </r>
  <r>
    <d v="2023-05-05T00:00:00"/>
    <x v="2"/>
    <s v="福建省福州市湖东路中山大厦，兴业银行"/>
    <s v="福建省"/>
    <s v="BIC-005"/>
    <s v="火车票"/>
    <n v="1458.3333333333301"/>
    <s v="否"/>
  </r>
  <r>
    <d v="2023-05-09T00:00:00"/>
    <x v="15"/>
    <s v="云南省昆明市金鹰广场酒店"/>
    <s v="云南省"/>
    <s v="BIC-006"/>
    <s v="高速道桥费"/>
    <n v="1271.5999999999999"/>
    <s v="否"/>
  </r>
  <r>
    <d v="2023-05-09T00:00:00"/>
    <x v="16"/>
    <s v="贵州省贵阳市云岩区中山西路51号"/>
    <s v="贵州省"/>
    <s v="BIC-005"/>
    <s v="火车票"/>
    <n v="22"/>
    <s v="否"/>
  </r>
  <r>
    <d v="2023-05-10T00:00:00"/>
    <x v="14"/>
    <s v="江西省南昌市西湖区洪城路289号"/>
    <s v="江西省"/>
    <s v="BIC-005"/>
    <s v="火车票"/>
    <n v="200"/>
    <s v="否"/>
  </r>
  <r>
    <d v="2023-05-11T00:00:00"/>
    <x v="17"/>
    <s v="上海市天平宾馆6层"/>
    <s v="上海市"/>
    <s v="BIC-009"/>
    <s v="通讯补助"/>
    <n v="300"/>
    <s v="否"/>
  </r>
  <r>
    <d v="2023-05-11T00:00:00"/>
    <x v="17"/>
    <s v="浙江省杭州市大厦武林广场1号"/>
    <s v="浙江省"/>
    <s v="BIC-008"/>
    <s v="停车费"/>
    <n v="606.5"/>
    <s v="否"/>
  </r>
  <r>
    <d v="2023-05-12T00:00:00"/>
    <x v="14"/>
    <s v="北京市东城区朝阳门北大街1号"/>
    <s v="北京市"/>
    <s v="BIC-009"/>
    <s v="通讯补助"/>
    <n v="433.33333333333297"/>
    <s v="否"/>
  </r>
  <r>
    <d v="2023-05-12T00:00:00"/>
    <x v="20"/>
    <s v="北京市朝阳区光华路2号阳光100G座上海文广大夏7层"/>
    <s v="北京市"/>
    <s v="BIC-005"/>
    <s v="火车票"/>
    <n v="22"/>
    <s v="否"/>
  </r>
  <r>
    <d v="2023-05-12T00:00:00"/>
    <x v="16"/>
    <s v="贵州省贵阳市云岩区中山西路51号"/>
    <s v="贵州省"/>
    <s v="BIC-007"/>
    <s v="燃油费"/>
    <n v="1355.8333333333301"/>
    <s v="否"/>
  </r>
  <r>
    <d v="2023-05-13T00:00:00"/>
    <x v="21"/>
    <s v="河北省廊坊市经济技术开发区华祥路66号"/>
    <s v="河北省"/>
    <s v="BIC-004"/>
    <s v="出租车费"/>
    <n v="140"/>
    <s v="是"/>
  </r>
  <r>
    <d v="2023-05-15T00:00:00"/>
    <x v="15"/>
    <s v="江苏省南京市白下区汉中路89号"/>
    <s v="江苏省"/>
    <s v="BIC-008"/>
    <s v="停车费"/>
    <n v="976"/>
    <s v="否"/>
  </r>
  <r>
    <d v="2023-05-16T00:00:00"/>
    <x v="15"/>
    <s v="甘肃省兰州市锦江阳光酒店东海厅"/>
    <s v="甘肃省"/>
    <s v="BIC-007"/>
    <s v="燃油费"/>
    <n v="300"/>
    <s v="否"/>
  </r>
  <r>
    <d v="2023-05-18T00:00:00"/>
    <x v="22"/>
    <s v="广东省珠海市香洲人民东路121号"/>
    <s v="广东省"/>
    <s v="BIC-005"/>
    <s v="火车票"/>
    <n v="200"/>
    <s v="否"/>
  </r>
  <r>
    <d v="2023-05-18T00:00:00"/>
    <x v="13"/>
    <s v="浙江省嘉兴市环城南路393号"/>
    <s v="浙江省"/>
    <s v="BIC-004"/>
    <s v="出租车费"/>
    <n v="433.33333333333297"/>
    <s v="否"/>
  </r>
  <r>
    <d v="2023-05-19T00:00:00"/>
    <x v="7"/>
    <s v="北京市西城区阜成门外大街29号"/>
    <s v="北京市"/>
    <s v="BIC-007"/>
    <s v="燃油费"/>
    <n v="680.4"/>
    <s v="否"/>
  </r>
  <r>
    <d v="2023-05-20T00:00:00"/>
    <x v="7"/>
    <s v="海南省海口市琼山区红城湖路22号"/>
    <s v="海南省"/>
    <s v="BIC-008"/>
    <s v="停车费"/>
    <n v="740.83333333333303"/>
    <s v="是"/>
  </r>
  <r>
    <d v="2023-05-20T00:00:00"/>
    <x v="23"/>
    <s v="广东省深圳市龙岗区坂田"/>
    <s v="广东省"/>
    <s v="BIC-006"/>
    <s v="高速道桥费"/>
    <n v="945.83333333333303"/>
    <s v="是"/>
  </r>
  <r>
    <d v="2023-05-21T00:00:00"/>
    <x v="7"/>
    <s v="海南省海口市琼山区红城湖路22号"/>
    <s v="海南省"/>
    <s v="BIC-006"/>
    <s v="高速道桥费"/>
    <n v="1355.8333333333301"/>
    <s v="是"/>
  </r>
  <r>
    <d v="2023-05-22T00:00:00"/>
    <x v="19"/>
    <s v="上海市延安东路100号联谊大厦20楼"/>
    <s v="上海市"/>
    <s v="BIC-008"/>
    <s v="停车费"/>
    <n v="3000"/>
    <s v="否"/>
  </r>
  <r>
    <d v="2023-05-22T00:00:00"/>
    <x v="24"/>
    <s v="广东省广州市天河区黄埔大道666号"/>
    <s v="广东省"/>
    <s v="BIC-006"/>
    <s v="高速道桥费"/>
    <n v="828.2"/>
    <s v="否"/>
  </r>
  <r>
    <d v="2023-05-23T00:00:00"/>
    <x v="1"/>
    <s v="广东省广州市天河区林和西路1号广州国际贸易中心42层"/>
    <s v="广东省"/>
    <s v="BIC-003"/>
    <s v="餐饮费"/>
    <n v="120"/>
    <s v="否"/>
  </r>
  <r>
    <d v="2023-05-24T00:00:00"/>
    <x v="24"/>
    <s v="安徽省合肥市蜀山经济开发区创业大道3号创业大道3号"/>
    <s v="安徽省"/>
    <s v="BIC-007"/>
    <s v="燃油费"/>
    <n v="638.33333333333303"/>
    <s v="否"/>
  </r>
  <r>
    <d v="2023-05-25T00:00:00"/>
    <x v="0"/>
    <s v="北京市海淀区永嘉北路6号"/>
    <s v="北京市"/>
    <s v="BIC-005"/>
    <s v="火车票"/>
    <n v="740.83333333333303"/>
    <s v="否"/>
  </r>
  <r>
    <d v="2023-05-27T00:00:00"/>
    <x v="14"/>
    <s v="江苏省江阴市新桥镇陶新中路8号"/>
    <s v="江苏省"/>
    <s v="BIC-005"/>
    <s v="火车票"/>
    <n v="120"/>
    <s v="是"/>
  </r>
  <r>
    <d v="2023-05-27T00:00:00"/>
    <x v="16"/>
    <s v="北京市利星行广场微软大厦206体验中心"/>
    <s v="北京市"/>
    <s v="BIC-007"/>
    <s v="燃油费"/>
    <n v="200"/>
    <s v="是"/>
  </r>
  <r>
    <d v="2023-05-28T00:00:00"/>
    <x v="22"/>
    <s v="辽宁省大连中山区长江路123号大连日航酒店4层清苑厅"/>
    <s v="辽宁省"/>
    <s v="BIC-010"/>
    <s v="其他"/>
    <n v="29"/>
    <s v="是"/>
  </r>
  <r>
    <d v="2023-05-30T00:00:00"/>
    <x v="7"/>
    <s v="河北省石河子市石河子信息办公室"/>
    <s v="河北省"/>
    <s v="BIC-005"/>
    <s v="火车票"/>
    <n v="1271.5999999999999"/>
    <s v="否"/>
  </r>
  <r>
    <d v="2023-05-30T00:00:00"/>
    <x v="23"/>
    <s v="广东省深圳市龙岗区坂田"/>
    <s v="广东省"/>
    <s v="BIC-007"/>
    <s v="燃油费"/>
    <n v="140"/>
    <s v="否"/>
  </r>
  <r>
    <d v="2023-05-31T00:00:00"/>
    <x v="6"/>
    <s v="上海市长宁区福泉北路33号"/>
    <s v="上海市"/>
    <s v="BIC-007"/>
    <s v="燃油费"/>
    <n v="120"/>
    <s v="否"/>
  </r>
  <r>
    <d v="2023-05-31T00:00:00"/>
    <x v="18"/>
    <s v="辽宁省沈阳市和平区青年大街390号"/>
    <s v="辽宁省"/>
    <s v="BIC-004"/>
    <s v="出租车费"/>
    <n v="1355.8333333333301"/>
    <s v="否"/>
  </r>
  <r>
    <d v="2023-06-01T00:00:00"/>
    <x v="6"/>
    <s v="山西省大同市南城墙永泰西门"/>
    <s v="山西省"/>
    <s v="BIC-004"/>
    <s v="出租车费"/>
    <n v="433.33333333333297"/>
    <s v="否"/>
  </r>
  <r>
    <d v="2023-06-01T00:00:00"/>
    <x v="10"/>
    <s v="浙江省杭州市西湖区北山路78号香格里拉饭店东楼1栋555房"/>
    <s v="浙江省"/>
    <s v="BIC-008"/>
    <s v="停车费"/>
    <n v="200"/>
    <s v="否"/>
  </r>
  <r>
    <d v="2023-06-01T00:00:00"/>
    <x v="3"/>
    <s v="北京市海淀区东北旺西路8号"/>
    <s v="北京市"/>
    <s v="BIC-005"/>
    <s v="火车票"/>
    <n v="1150.8333333333301"/>
    <s v="否"/>
  </r>
  <r>
    <d v="2023-06-01T00:00:00"/>
    <x v="17"/>
    <s v="四川省成都市世纪城路936号"/>
    <s v="四川省"/>
    <s v="BIC-009"/>
    <s v="通讯补助"/>
    <n v="140"/>
    <s v="否"/>
  </r>
  <r>
    <d v="2023-06-01T00:00:00"/>
    <x v="13"/>
    <s v="浙江省嘉兴市环城南路393号"/>
    <s v="浙江省"/>
    <s v="BIC-007"/>
    <s v="燃油费"/>
    <n v="828.2"/>
    <s v="否"/>
  </r>
  <r>
    <d v="2023-06-02T00:00:00"/>
    <x v="8"/>
    <s v="福建省厦门市软件园二期观日路44号9楼"/>
    <s v="福建省"/>
    <s v="BIC-005"/>
    <s v="火车票"/>
    <n v="754.3"/>
    <s v="否"/>
  </r>
  <r>
    <d v="2023-06-03T00:00:00"/>
    <x v="15"/>
    <s v="浙江省苏州市阊胥路483号创元科技园金阊软件园5号楼5101室"/>
    <s v="浙江省"/>
    <s v="BIC-007"/>
    <s v="燃油费"/>
    <n v="532.6"/>
    <s v="是"/>
  </r>
  <r>
    <d v="2023-06-03T00:00:00"/>
    <x v="7"/>
    <s v="北京市西城区阜成门外大街29号"/>
    <s v="北京市"/>
    <s v="BIC-006"/>
    <s v="高速道桥费"/>
    <n v="606.5"/>
    <s v="是"/>
  </r>
  <r>
    <d v="2023-06-03T00:00:00"/>
    <x v="12"/>
    <s v="北京市中关村微软MPR办公室"/>
    <s v="北京市"/>
    <s v="BIC-006"/>
    <s v="高速道桥费"/>
    <n v="246"/>
    <s v="是"/>
  </r>
  <r>
    <d v="2023-06-04T00:00:00"/>
    <x v="0"/>
    <s v="上海市国际贵都大饭店"/>
    <s v="上海市"/>
    <s v="BIC-005"/>
    <s v="火车票"/>
    <n v="200"/>
    <s v="是"/>
  </r>
  <r>
    <d v="2023-06-05T00:00:00"/>
    <x v="6"/>
    <s v="山西省大同市南城墙永泰西门"/>
    <s v="山西省"/>
    <s v="BIC-004"/>
    <s v="出租车费"/>
    <n v="458.7"/>
    <s v="否"/>
  </r>
  <r>
    <d v="2023-06-05T00:00:00"/>
    <x v="5"/>
    <s v="贵州省贵阳市云岩区安云路樱花巷20号"/>
    <s v="贵州省"/>
    <s v="BIC-005"/>
    <s v="火车票"/>
    <n v="902.1"/>
    <s v="否"/>
  </r>
  <r>
    <d v="2023-06-06T00:00:00"/>
    <x v="21"/>
    <s v="上海市徐汇区港汇中心二座微软公司9楼"/>
    <s v="上海市"/>
    <s v="BIC-003"/>
    <s v="餐饮费"/>
    <n v="200"/>
    <s v="否"/>
  </r>
  <r>
    <d v="2023-06-06T00:00:00"/>
    <x v="14"/>
    <s v="天津市河西区友谊北路银丰花园"/>
    <s v="天津市"/>
    <s v="BIC-009"/>
    <s v="通讯补助"/>
    <n v="22"/>
    <s v="否"/>
  </r>
  <r>
    <d v="2023-06-06T00:00:00"/>
    <x v="24"/>
    <s v="广东省广州市天河区黄埔大道666号"/>
    <s v="广东省"/>
    <s v="BIC-002"/>
    <s v="酒店住宿"/>
    <n v="945.83333333333303"/>
    <s v="否"/>
  </r>
  <r>
    <d v="2023-06-06T00:00:00"/>
    <x v="5"/>
    <s v="天津市和平区南京路189号"/>
    <s v="天津市"/>
    <s v="BIC-005"/>
    <s v="火车票"/>
    <n v="3000"/>
    <s v="否"/>
  </r>
  <r>
    <d v="2023-06-07T00:00:00"/>
    <x v="1"/>
    <s v="吉林省长春市青荫路435号"/>
    <s v="吉林省"/>
    <s v="BIC-003"/>
    <s v="餐饮费"/>
    <n v="100"/>
    <s v="否"/>
  </r>
  <r>
    <d v="2023-06-08T00:00:00"/>
    <x v="14"/>
    <s v="山西省银川市兴庆区北京东路477号柏悦酒店6楼中华厅"/>
    <s v="山西省"/>
    <s v="BIC-008"/>
    <s v="停车费"/>
    <n v="100"/>
    <s v="否"/>
  </r>
  <r>
    <d v="2023-06-08T00:00:00"/>
    <x v="7"/>
    <s v="广东省深圳市嘉里建设广场2座12层体验中心"/>
    <s v="广东省"/>
    <s v="BIC-006"/>
    <s v="高速道桥费"/>
    <n v="433.33333333333297"/>
    <s v="否"/>
  </r>
  <r>
    <d v="2023-06-09T00:00:00"/>
    <x v="12"/>
    <s v="山东省青岛市宁夏路288号青岛软件园3号楼501 微软青岛办事处"/>
    <s v="山东省"/>
    <s v="BIC-006"/>
    <s v="高速道桥费"/>
    <n v="3000"/>
    <s v="否"/>
  </r>
  <r>
    <d v="2023-06-09T00:00:00"/>
    <x v="12"/>
    <s v="浙江省杭州市西湖区紫金港路21号"/>
    <s v="浙江省"/>
    <s v="BIC-006"/>
    <s v="高速道桥费"/>
    <n v="638.33333333333303"/>
    <s v="否"/>
  </r>
  <r>
    <d v="2023-06-10T00:00:00"/>
    <x v="15"/>
    <s v="江苏省南京市白下区汉中路89号"/>
    <s v="江苏省"/>
    <s v="BIC-004"/>
    <s v="出租车费"/>
    <n v="200"/>
    <s v="是"/>
  </r>
  <r>
    <d v="2023-06-10T00:00:00"/>
    <x v="3"/>
    <s v="北京市西城区宣武门西大街32号"/>
    <s v="北京市"/>
    <s v="BIC-001"/>
    <s v="飞机票"/>
    <n v="1253.3333333333301"/>
    <s v="是"/>
  </r>
  <r>
    <d v="2023-06-13T00:00:00"/>
    <x v="19"/>
    <s v="河北省保定市朝阳南大街2266号"/>
    <s v="河北省"/>
    <s v="BIC-006"/>
    <s v="高速道桥费"/>
    <n v="843.33333333333303"/>
    <s v="否"/>
  </r>
  <r>
    <d v="2023-06-13T00:00:00"/>
    <x v="24"/>
    <s v="广东省广州市天河区黄埔大道666号"/>
    <s v="广东省"/>
    <s v="BIC-008"/>
    <s v="停车费"/>
    <n v="1271.5999999999999"/>
    <s v="否"/>
  </r>
  <r>
    <d v="2023-06-13T00:00:00"/>
    <x v="12"/>
    <s v="广东省东莞市新城市商务中心区会展北路"/>
    <s v="广东省"/>
    <s v="BIC-006"/>
    <s v="高速道桥费"/>
    <n v="740.83333333333303"/>
    <s v="否"/>
  </r>
  <r>
    <d v="2023-06-13T00:00:00"/>
    <x v="23"/>
    <s v="陕西省西安市南大街30号中大国际大厦605室"/>
    <s v="陕西省"/>
    <s v="BIC-010"/>
    <s v="其他"/>
    <n v="246"/>
    <s v="否"/>
  </r>
  <r>
    <d v="2023-06-14T00:00:00"/>
    <x v="3"/>
    <s v="北京市西城区宣武门西大街32号"/>
    <s v="北京市"/>
    <s v="BIC-006"/>
    <s v="高速道桥费"/>
    <n v="200"/>
    <s v="否"/>
  </r>
  <r>
    <d v="2023-06-14T00:00:00"/>
    <x v="3"/>
    <s v="北京市海淀区东北旺西路8号"/>
    <s v="北京市"/>
    <s v="BIC-007"/>
    <s v="燃油费"/>
    <n v="433.33333333333297"/>
    <s v="否"/>
  </r>
  <r>
    <d v="2023-06-15T00:00:00"/>
    <x v="7"/>
    <s v="河北省石河子市石河子信息办公室"/>
    <s v="河北省"/>
    <s v="BIC-007"/>
    <s v="燃油费"/>
    <n v="843.33333333333303"/>
    <s v="否"/>
  </r>
  <r>
    <d v="2023-06-15T00:00:00"/>
    <x v="2"/>
    <s v="北京市西城区西绒线胡同51号中国会"/>
    <s v="北京市"/>
    <s v="BIC-006"/>
    <s v="高速道桥费"/>
    <n v="1253.3333333333301"/>
    <s v="否"/>
  </r>
  <r>
    <d v="2023-06-15T00:00:00"/>
    <x v="12"/>
    <s v="广东省东莞市新城市商务中心区会展北路"/>
    <s v="广东省"/>
    <s v="BIC-007"/>
    <s v="燃油费"/>
    <n v="1197.7"/>
    <s v="否"/>
  </r>
  <r>
    <d v="2023-06-16T00:00:00"/>
    <x v="3"/>
    <s v="广东省深圳市南山区蛇口港湾大道2号"/>
    <s v="广东省"/>
    <s v="BIC-001"/>
    <s v="飞机票"/>
    <n v="120"/>
    <s v="否"/>
  </r>
  <r>
    <d v="2023-06-16T00:00:00"/>
    <x v="12"/>
    <s v="浙江省杭州市西湖区紫金港路21号"/>
    <s v="浙江省"/>
    <s v="BIC-005"/>
    <s v="火车票"/>
    <n v="532.6"/>
    <s v="否"/>
  </r>
  <r>
    <d v="2023-06-17T00:00:00"/>
    <x v="14"/>
    <s v="天津市河西区友谊北路银丰花园"/>
    <s v="天津市"/>
    <s v="BIC-010"/>
    <s v="其他"/>
    <n v="532.6"/>
    <s v="是"/>
  </r>
  <r>
    <d v="2023-06-18T00:00:00"/>
    <x v="6"/>
    <s v="山西省大同市南城墙永泰西门"/>
    <s v="山西省"/>
    <s v="BIC-005"/>
    <s v="火车票"/>
    <n v="120"/>
    <s v="是"/>
  </r>
  <r>
    <d v="2023-06-19T00:00:00"/>
    <x v="11"/>
    <s v="河南省郑州市金水区城东路289号"/>
    <s v="河南省"/>
    <s v="BIC-008"/>
    <s v="停车费"/>
    <n v="1123.8"/>
    <s v="否"/>
  </r>
  <r>
    <d v="2023-06-19T00:00:00"/>
    <x v="1"/>
    <s v="杭州市滨江区南环路3758号"/>
    <s v="杭州市"/>
    <s v="BIC-007"/>
    <s v="燃油费"/>
    <n v="1663.3333333333301"/>
    <s v="否"/>
  </r>
  <r>
    <d v="2023-06-19T00:00:00"/>
    <x v="14"/>
    <s v="江西省南昌市西湖区洪城路289号"/>
    <s v="江西省"/>
    <s v="BIC-007"/>
    <s v="燃油费"/>
    <n v="1048.3333333333301"/>
    <s v="否"/>
  </r>
  <r>
    <d v="2023-06-20T00:00:00"/>
    <x v="1"/>
    <s v="杭州市滨江区南环路3758号"/>
    <s v="杭州市"/>
    <s v="BIC-006"/>
    <s v="高速道桥费"/>
    <n v="29"/>
    <s v="否"/>
  </r>
  <r>
    <d v="2023-06-20T00:00:00"/>
    <x v="3"/>
    <s v="北京市西城区宣武门西大街32号"/>
    <s v="北京市"/>
    <s v="BIC-001"/>
    <s v="飞机票"/>
    <n v="433.33333333333297"/>
    <s v="否"/>
  </r>
  <r>
    <d v="2023-06-20T00:00:00"/>
    <x v="3"/>
    <s v="北京市西城区宣武门西大街32号"/>
    <s v="北京市"/>
    <s v="BIC-004"/>
    <s v="出租车费"/>
    <n v="1049.9000000000001"/>
    <s v="否"/>
  </r>
  <r>
    <d v="2023-06-20T00:00:00"/>
    <x v="23"/>
    <s v="广东省深圳市龙岗区坂田"/>
    <s v="广东省"/>
    <s v="BIC-005"/>
    <s v="火车票"/>
    <n v="1560.8333333333301"/>
    <s v="否"/>
  </r>
  <r>
    <d v="2023-06-21T00:00:00"/>
    <x v="7"/>
    <s v="北京市西城区阜成门外大街29号"/>
    <s v="北京市"/>
    <s v="BIC-007"/>
    <s v="燃油费"/>
    <n v="740.83333333333303"/>
    <s v="否"/>
  </r>
  <r>
    <d v="2023-06-22T00:00:00"/>
    <x v="11"/>
    <s v="河南省郑州市金水区城东路289号"/>
    <s v="河南省"/>
    <s v="BIC-005"/>
    <s v="火车票"/>
    <n v="843.33333333333303"/>
    <s v="否"/>
  </r>
  <r>
    <d v="2023-06-22T00:00:00"/>
    <x v="18"/>
    <s v="四川省成都市人民南路一段86号城市之心27楼A座"/>
    <s v="四川省"/>
    <s v="BIC-006"/>
    <s v="高速道桥费"/>
    <n v="458.7"/>
    <s v="否"/>
  </r>
  <r>
    <d v="2023-06-22T00:00:00"/>
    <x v="12"/>
    <s v="广东省惠州市巽寮喜来登酒店"/>
    <s v="广东省"/>
    <s v="BIC-007"/>
    <s v="燃油费"/>
    <n v="200"/>
    <s v="否"/>
  </r>
  <r>
    <d v="2023-06-23T00:00:00"/>
    <x v="14"/>
    <s v="江西省南昌市西湖区洪城路289号"/>
    <s v="江西省"/>
    <s v="BIC-007"/>
    <s v="燃油费"/>
    <n v="500"/>
    <s v="否"/>
  </r>
  <r>
    <d v="2023-06-23T00:00:00"/>
    <x v="3"/>
    <s v="河南省郑州市金水东路与民生路"/>
    <s v="河南省"/>
    <s v="BIC-010"/>
    <s v="其他"/>
    <n v="140"/>
    <s v="否"/>
  </r>
  <r>
    <d v="2023-06-23T00:00:00"/>
    <x v="13"/>
    <s v="浙江省嘉兴市环城南路393号"/>
    <s v="浙江省"/>
    <s v="BIC-008"/>
    <s v="停车费"/>
    <n v="200"/>
    <s v="否"/>
  </r>
  <r>
    <d v="2023-06-24T00:00:00"/>
    <x v="7"/>
    <s v="重庆市北部新区高新园星光大道天王星A1座"/>
    <s v="重庆市"/>
    <s v="BIC-004"/>
    <s v="出租车费"/>
    <n v="740.83333333333303"/>
    <s v="是"/>
  </r>
  <r>
    <d v="2023-06-25T00:00:00"/>
    <x v="25"/>
    <s v="吉林省长春市东南湖大路1281号"/>
    <s v="吉林省"/>
    <s v="BIC-003"/>
    <s v="餐饮费"/>
    <n v="2500"/>
    <s v="是"/>
  </r>
  <r>
    <d v="2023-06-25T00:00:00"/>
    <x v="4"/>
    <s v="山东省太仓市上海东路288号"/>
    <s v="山东省"/>
    <s v="BIC-004"/>
    <s v="出租车费"/>
    <n v="945.83333333333303"/>
    <s v="是"/>
  </r>
  <r>
    <d v="2023-06-25T00:00:00"/>
    <x v="12"/>
    <s v="北京市中关村微软MPR办公室"/>
    <s v="北京市"/>
    <s v="BIC-004"/>
    <s v="出租车费"/>
    <n v="1560.8333333333301"/>
    <s v="是"/>
  </r>
  <r>
    <d v="2023-06-27T00:00:00"/>
    <x v="19"/>
    <s v="河北省保定市朝阳南大街2266号"/>
    <s v="河北省"/>
    <s v="BIC-001"/>
    <s v="飞机票"/>
    <n v="100"/>
    <s v="否"/>
  </r>
  <r>
    <d v="2023-06-27T00:00:00"/>
    <x v="18"/>
    <s v="上海市静安区海防路555号同乐坊11号楼3楼"/>
    <s v="上海市"/>
    <s v="BIC-010"/>
    <s v="其他"/>
    <n v="200"/>
    <s v="否"/>
  </r>
  <r>
    <d v="2023-06-27T00:00:00"/>
    <x v="3"/>
    <s v="山东省济南市经四小纬二路"/>
    <s v="山东省"/>
    <s v="BIC-010"/>
    <s v="其他"/>
    <n v="100"/>
    <s v="否"/>
  </r>
  <r>
    <d v="2023-06-28T00:00:00"/>
    <x v="0"/>
    <s v="北京市海淀区永嘉北路6号"/>
    <s v="北京市"/>
    <s v="BIC-008"/>
    <s v="停车费"/>
    <n v="140"/>
    <s v="否"/>
  </r>
  <r>
    <d v="2023-06-28T00:00:00"/>
    <x v="8"/>
    <s v="福建省厦门市软件园二期观日路44号9楼"/>
    <s v="福建省"/>
    <s v="BIC-003"/>
    <s v="餐饮费"/>
    <n v="100"/>
    <s v="否"/>
  </r>
  <r>
    <d v="2023-06-29T00:00:00"/>
    <x v="18"/>
    <s v="广东省广州市越秀区白云路18号4楼405室"/>
    <s v="广东省"/>
    <s v="BIC-010"/>
    <s v="其他"/>
    <n v="458.7"/>
    <s v="否"/>
  </r>
  <r>
    <d v="2023-06-29T00:00:00"/>
    <x v="12"/>
    <s v="广东省惠州市巽寮喜来登酒店"/>
    <s v="广东省"/>
    <s v="BIC-006"/>
    <s v="高速道桥费"/>
    <n v="1197.7"/>
    <s v="否"/>
  </r>
  <r>
    <d v="2023-06-30T00:00:00"/>
    <x v="17"/>
    <s v="浙江省杭州市大厦武林广场1号"/>
    <s v="浙江省"/>
    <s v="BIC-010"/>
    <s v="其他"/>
    <n v="535.83333333333303"/>
    <s v="否"/>
  </r>
  <r>
    <d v="2023-07-01T00:00:00"/>
    <x v="20"/>
    <s v="湖北省武汉市经济技术开发区东风大道10号"/>
    <s v="湖北省"/>
    <s v="BIC-004"/>
    <s v="出租车费"/>
    <n v="29"/>
    <s v="是"/>
  </r>
  <r>
    <d v="2023-07-01T00:00:00"/>
    <x v="23"/>
    <s v="陕西省西安市南大街30号中大国际大厦605室"/>
    <s v="陕西省"/>
    <s v="BIC-001"/>
    <s v="飞机票"/>
    <n v="606.5"/>
    <s v="是"/>
  </r>
  <r>
    <d v="2023-07-02T00:00:00"/>
    <x v="15"/>
    <s v="江苏省南京市白下区汉中路89号"/>
    <s v="江苏省"/>
    <s v="BIC-006"/>
    <s v="高速道桥费"/>
    <n v="200"/>
    <s v="是"/>
  </r>
  <r>
    <d v="2023-07-04T00:00:00"/>
    <x v="9"/>
    <s v="陕西省西安市曲江南路曲江文化大厦1903室"/>
    <s v="陕西省"/>
    <s v="BIC-007"/>
    <s v="燃油费"/>
    <n v="535.83333333333303"/>
    <s v="否"/>
  </r>
  <r>
    <d v="2023-07-04T00:00:00"/>
    <x v="22"/>
    <s v="辽宁省大连中山区长江路123号大连日航酒店4层清苑厅"/>
    <s v="辽宁省"/>
    <s v="BIC-004"/>
    <s v="出租车费"/>
    <n v="754.3"/>
    <s v="否"/>
  </r>
  <r>
    <d v="2023-07-04T00:00:00"/>
    <x v="14"/>
    <s v="江苏省江阴市新桥镇陶新中路8号"/>
    <s v="江苏省"/>
    <s v="BIC-006"/>
    <s v="高速道桥费"/>
    <n v="754.3"/>
    <s v="否"/>
  </r>
  <r>
    <d v="2023-07-04T00:00:00"/>
    <x v="4"/>
    <s v="山东省太仓市上海东路288号"/>
    <s v="山东省"/>
    <s v="BIC-005"/>
    <s v="火车票"/>
    <n v="680.4"/>
    <s v="否"/>
  </r>
  <r>
    <d v="2023-07-06T00:00:00"/>
    <x v="9"/>
    <s v="浙江省苏州市干将西路1296号"/>
    <s v="浙江省"/>
    <s v="BIC-006"/>
    <s v="高速道桥费"/>
    <n v="638.33333333333303"/>
    <s v="否"/>
  </r>
  <r>
    <d v="2023-07-06T00:00:00"/>
    <x v="6"/>
    <s v="山东省青岛市颐中皇冠假日酒店三层多功能厅"/>
    <s v="山东省"/>
    <s v="BIC-006"/>
    <s v="高速道桥费"/>
    <n v="1123.8"/>
    <s v="否"/>
  </r>
  <r>
    <d v="2023-07-06T00:00:00"/>
    <x v="14"/>
    <s v="重庆市渝中区中山三路155号"/>
    <s v="重庆市"/>
    <s v="BIC-006"/>
    <s v="高速道桥费"/>
    <n v="140"/>
    <s v="否"/>
  </r>
  <r>
    <d v="2023-07-06T00:00:00"/>
    <x v="26"/>
    <s v="大连市烟草专卖局（大连市五四路26号）"/>
    <s v="大连市"/>
    <s v="BIC-006"/>
    <s v="高速道桥费"/>
    <n v="1560.8333333333301"/>
    <s v="否"/>
  </r>
  <r>
    <d v="2023-07-07T00:00:00"/>
    <x v="22"/>
    <s v="广东省广州市珠江新城广东移动全球通大厦"/>
    <s v="广东省"/>
    <s v="BIC-005"/>
    <s v="火车票"/>
    <n v="638.33333333333303"/>
    <s v="否"/>
  </r>
  <r>
    <d v="2023-07-07T00:00:00"/>
    <x v="14"/>
    <s v="四川省绵阳市绵山路64号"/>
    <s v="四川省"/>
    <s v="BIC-007"/>
    <s v="燃油费"/>
    <n v="532.6"/>
    <s v="否"/>
  </r>
  <r>
    <d v="2023-07-07T00:00:00"/>
    <x v="4"/>
    <s v="广东省广州市天河区林和西路167号"/>
    <s v="广东省"/>
    <s v="BIC-008"/>
    <s v="停车费"/>
    <n v="345"/>
    <s v="否"/>
  </r>
  <r>
    <d v="2023-07-08T00:00:00"/>
    <x v="19"/>
    <s v="上海市徐汇区虹桥路3号港汇中心二座10层10.072室"/>
    <s v="上海市"/>
    <s v="BIC-009"/>
    <s v="通讯补助"/>
    <n v="500"/>
    <s v="是"/>
  </r>
  <r>
    <d v="2023-07-09T00:00:00"/>
    <x v="6"/>
    <s v="山东省青岛市颐中皇冠假日酒店三层多功能厅"/>
    <s v="山东省"/>
    <s v="BIC-004"/>
    <s v="出租车费"/>
    <n v="638.33333333333303"/>
    <s v="是"/>
  </r>
  <r>
    <d v="2023-07-10T00:00:00"/>
    <x v="1"/>
    <s v="上海市浦东上丰路1111号"/>
    <s v="上海市"/>
    <s v="BIC-005"/>
    <s v="火车票"/>
    <n v="843.33333333333303"/>
    <s v="否"/>
  </r>
  <r>
    <d v="2023-07-10T00:00:00"/>
    <x v="16"/>
    <s v="湖北省武汉市宝丰路6号香溢大酒店20楼"/>
    <s v="湖北省"/>
    <s v="BIC-002"/>
    <s v="酒店住宿"/>
    <n v="535.83333333333303"/>
    <s v="否"/>
  </r>
  <r>
    <d v="2023-07-10T00:00:00"/>
    <x v="17"/>
    <s v="浙江省杭州市大厦武林广场1号"/>
    <s v="浙江省"/>
    <s v="BIC-003"/>
    <s v="餐饮费"/>
    <n v="532.6"/>
    <s v="否"/>
  </r>
  <r>
    <d v="2023-07-10T00:00:00"/>
    <x v="7"/>
    <s v="福建省厦门市湖里区湖里高新科技园361度大厦"/>
    <s v="福建省"/>
    <s v="BIC-007"/>
    <s v="燃油费"/>
    <n v="1271.5999999999999"/>
    <s v="否"/>
  </r>
  <r>
    <d v="2023-07-10T00:00:00"/>
    <x v="2"/>
    <s v="北京市西城区西绒线胡同51号中国会"/>
    <s v="北京市"/>
    <s v="BIC-004"/>
    <s v="出租车费"/>
    <n v="345"/>
    <s v="否"/>
  </r>
  <r>
    <d v="2023-07-10T00:00:00"/>
    <x v="23"/>
    <s v="广东省深圳市龙岗区坂田"/>
    <s v="广东省"/>
    <s v="BIC-006"/>
    <s v="高速道桥费"/>
    <n v="29"/>
    <s v="否"/>
  </r>
  <r>
    <d v="2023-07-11T00:00:00"/>
    <x v="1"/>
    <s v="吉林省长春市青荫路435号"/>
    <s v="吉林省"/>
    <s v="BIC-005"/>
    <s v="火车票"/>
    <n v="945.83333333333303"/>
    <s v="否"/>
  </r>
  <r>
    <d v="2023-07-12T00:00:00"/>
    <x v="9"/>
    <s v="贵州省贵阳市中山西路51号"/>
    <s v="贵州省"/>
    <s v="BIC-001"/>
    <s v="飞机票"/>
    <n v="1458.3333333333301"/>
    <s v="否"/>
  </r>
  <r>
    <d v="2023-07-12T00:00:00"/>
    <x v="9"/>
    <s v="贵州省贵阳市中山西路51号"/>
    <s v="贵州省"/>
    <s v="BIC-003"/>
    <s v="餐饮费"/>
    <n v="246"/>
    <s v="否"/>
  </r>
  <r>
    <d v="2023-07-12T00:00:00"/>
    <x v="18"/>
    <s v="北京市香山饭店"/>
    <s v="北京市"/>
    <s v="BIC-007"/>
    <s v="燃油费"/>
    <n v="740.83333333333303"/>
    <s v="否"/>
  </r>
  <r>
    <d v="2023-07-12T00:00:00"/>
    <x v="3"/>
    <s v="广东省深圳市南山区蛇口港湾大道2号"/>
    <s v="广东省"/>
    <s v="BIC-007"/>
    <s v="燃油费"/>
    <n v="1048.3333333333301"/>
    <s v="否"/>
  </r>
  <r>
    <d v="2023-07-14T00:00:00"/>
    <x v="9"/>
    <s v="贵州省贵阳市中山西路51号"/>
    <s v="贵州省"/>
    <s v="BIC-003"/>
    <s v="餐饮费"/>
    <n v="680.4"/>
    <s v="否"/>
  </r>
  <r>
    <d v="2023-07-14T00:00:00"/>
    <x v="6"/>
    <s v="云南省昆明市官渡区拓东路6号"/>
    <s v="云南省"/>
    <s v="BIC-005"/>
    <s v="火车票"/>
    <n v="388"/>
    <s v="否"/>
  </r>
  <r>
    <d v="2023-07-14T00:00:00"/>
    <x v="17"/>
    <s v="山东省烟台市莱山区港城东大街299号"/>
    <s v="山东省"/>
    <s v="BIC-005"/>
    <s v="火车票"/>
    <n v="100"/>
    <s v="否"/>
  </r>
  <r>
    <d v="2023-07-15T00:00:00"/>
    <x v="22"/>
    <s v="辽宁省大连中山区长江路123号大连日航酒店4层清苑厅"/>
    <s v="辽宁省"/>
    <s v="BIC-002"/>
    <s v="酒店住宿"/>
    <n v="1560.8333333333301"/>
    <s v="是"/>
  </r>
  <r>
    <d v="2023-07-15T00:00:00"/>
    <x v="6"/>
    <s v="上海市静安区华山路250号，上海希尔顿酒店"/>
    <s v="上海市"/>
    <s v="BIC-006"/>
    <s v="高速道桥费"/>
    <n v="100"/>
    <s v="是"/>
  </r>
  <r>
    <d v="2023-07-15T00:00:00"/>
    <x v="8"/>
    <s v="福建省厦门市软件园二期观日路44号9楼"/>
    <s v="福建省"/>
    <s v="BIC-001"/>
    <s v="飞机票"/>
    <n v="843.33333333333303"/>
    <s v="是"/>
  </r>
  <r>
    <d v="2023-07-16T00:00:00"/>
    <x v="16"/>
    <s v="湖北省武汉市宝丰路6号香溢大酒店20楼"/>
    <s v="湖北省"/>
    <s v="BIC-005"/>
    <s v="火车票"/>
    <n v="1123.8"/>
    <s v="是"/>
  </r>
  <r>
    <d v="2023-07-16T00:00:00"/>
    <x v="7"/>
    <s v="北京市西城区阜成门外大街29号"/>
    <s v="北京市"/>
    <s v="BIC-006"/>
    <s v="高速道桥费"/>
    <n v="1049.9000000000001"/>
    <s v="是"/>
  </r>
  <r>
    <d v="2023-07-17T00:00:00"/>
    <x v="11"/>
    <s v="浙江省嘉兴市南湖区亚中路1号"/>
    <s v="浙江省"/>
    <s v="BIC-009"/>
    <s v="通讯补助"/>
    <n v="120"/>
    <s v="否"/>
  </r>
  <r>
    <d v="2023-07-17T00:00:00"/>
    <x v="7"/>
    <s v="广东省深圳市嘉里建设广场2座12层体验中心"/>
    <s v="广东省"/>
    <s v="BIC-008"/>
    <s v="停车费"/>
    <n v="29"/>
    <s v="否"/>
  </r>
  <r>
    <d v="2023-07-18T00:00:00"/>
    <x v="22"/>
    <s v="广东省珠海市香洲人民东路121号"/>
    <s v="广东省"/>
    <s v="BIC-008"/>
    <s v="停车费"/>
    <n v="500"/>
    <s v="否"/>
  </r>
  <r>
    <d v="2023-07-18T00:00:00"/>
    <x v="20"/>
    <s v="湖北省武汉市经济技术开发区东风大道10号"/>
    <s v="湖北省"/>
    <s v="BIC-003"/>
    <s v="餐饮费"/>
    <n v="754.3"/>
    <s v="否"/>
  </r>
  <r>
    <d v="2023-07-18T00:00:00"/>
    <x v="16"/>
    <s v="北京市国家会议中心"/>
    <s v="北京市"/>
    <s v="BIC-006"/>
    <s v="高速道桥费"/>
    <n v="1150.8333333333301"/>
    <s v="否"/>
  </r>
  <r>
    <d v="2023-07-18T00:00:00"/>
    <x v="4"/>
    <s v="重庆市渝州路68号"/>
    <s v="重庆市"/>
    <s v="BIC-005"/>
    <s v="火车票"/>
    <n v="1123.8"/>
    <s v="否"/>
  </r>
  <r>
    <d v="2023-07-19T00:00:00"/>
    <x v="0"/>
    <s v="上海市闵行区浦星路699号"/>
    <s v="上海市"/>
    <s v="BIC-008"/>
    <s v="停车费"/>
    <n v="1150.8333333333301"/>
    <s v="否"/>
  </r>
  <r>
    <d v="2023-07-19T00:00:00"/>
    <x v="4"/>
    <s v="山东省太仓市上海东路288号"/>
    <s v="山东省"/>
    <s v="BIC-010"/>
    <s v="其他"/>
    <n v="200"/>
    <s v="否"/>
  </r>
  <r>
    <d v="2023-07-20T00:00:00"/>
    <x v="9"/>
    <s v="贵州省贵阳市中山西路51号"/>
    <s v="贵州省"/>
    <s v="BIC-010"/>
    <s v="其他"/>
    <n v="740.83333333333303"/>
    <s v="否"/>
  </r>
  <r>
    <d v="2023-07-21T00:00:00"/>
    <x v="1"/>
    <s v="吉林省长春市青荫路435号"/>
    <s v="吉林省"/>
    <s v="BIC-006"/>
    <s v="高速道桥费"/>
    <n v="740.83333333333303"/>
    <s v="否"/>
  </r>
  <r>
    <d v="2023-07-21T00:00:00"/>
    <x v="14"/>
    <s v="江西省南昌市西湖区洪城路289号"/>
    <s v="江西省"/>
    <s v="BIC-006"/>
    <s v="高速道桥费"/>
    <n v="1663.3333333333301"/>
    <s v="否"/>
  </r>
  <r>
    <d v="2023-07-22T00:00:00"/>
    <x v="22"/>
    <s v="广东省广州市珠江新城广东移动全球通大厦"/>
    <s v="广东省"/>
    <s v="BIC-002"/>
    <s v="酒店住宿"/>
    <n v="300"/>
    <s v="是"/>
  </r>
  <r>
    <d v="2023-07-22T00:00:00"/>
    <x v="10"/>
    <s v="浙江省杭州市西湖区北山路78号香格里拉饭店东楼1栋555房"/>
    <s v="浙江省"/>
    <s v="BIC-005"/>
    <s v="火车票"/>
    <n v="535.83333333333303"/>
    <s v="是"/>
  </r>
  <r>
    <d v="2023-07-22T00:00:00"/>
    <x v="26"/>
    <s v="大连市烟草专卖局（大连市五四路26号）"/>
    <s v="大连市"/>
    <s v="BIC-002"/>
    <s v="酒店住宿"/>
    <n v="902.1"/>
    <s v="是"/>
  </r>
  <r>
    <d v="2023-07-23T00:00:00"/>
    <x v="15"/>
    <s v="甘肃省兰州市锦江阳光酒店东海厅"/>
    <s v="甘肃省"/>
    <s v="BIC-007"/>
    <s v="燃油费"/>
    <n v="22"/>
    <s v="是"/>
  </r>
  <r>
    <d v="2023-07-23T00:00:00"/>
    <x v="14"/>
    <s v="江苏省江阴市新桥镇陶新中路8号"/>
    <s v="江苏省"/>
    <s v="BIC-003"/>
    <s v="餐饮费"/>
    <n v="345"/>
    <s v="是"/>
  </r>
  <r>
    <d v="2023-07-23T00:00:00"/>
    <x v="14"/>
    <s v="北京市东城区朝阳门北大街1号"/>
    <s v="北京市"/>
    <s v="BIC-005"/>
    <s v="火车票"/>
    <n v="22"/>
    <s v="是"/>
  </r>
  <r>
    <d v="2023-07-23T00:00:00"/>
    <x v="14"/>
    <s v="重庆市渝中区中山三路155号"/>
    <s v="重庆市"/>
    <s v="BIC-007"/>
    <s v="燃油费"/>
    <n v="945.83333333333303"/>
    <s v="是"/>
  </r>
  <r>
    <d v="2023-07-23T00:00:00"/>
    <x v="24"/>
    <s v="广东省广州市天河区黄埔大道666号"/>
    <s v="广东省"/>
    <s v="BIC-008"/>
    <s v="停车费"/>
    <n v="200"/>
    <s v="是"/>
  </r>
  <r>
    <d v="2023-07-23T00:00:00"/>
    <x v="7"/>
    <s v="河北省石河子市石河子信息办公室"/>
    <s v="河北省"/>
    <s v="BIC-010"/>
    <s v="其他"/>
    <n v="2500"/>
    <s v="是"/>
  </r>
  <r>
    <d v="2023-07-24T00:00:00"/>
    <x v="9"/>
    <s v="陕西省西安市曲江南路曲江文化大厦1903室"/>
    <s v="陕西省"/>
    <s v="BIC-001"/>
    <s v="飞机票"/>
    <n v="3000"/>
    <s v="否"/>
  </r>
  <r>
    <d v="2023-07-25T00:00:00"/>
    <x v="11"/>
    <s v="河南省郑州市金水区城东路289号"/>
    <s v="河南省"/>
    <s v="BIC-002"/>
    <s v="酒店住宿"/>
    <n v="2500"/>
    <s v="否"/>
  </r>
  <r>
    <d v="2023-07-25T00:00:00"/>
    <x v="16"/>
    <s v="江西省南昌市高新区京东大道698号"/>
    <s v="江西省"/>
    <s v="BIC-004"/>
    <s v="出租车费"/>
    <n v="246"/>
    <s v="否"/>
  </r>
  <r>
    <d v="2023-07-26T00:00:00"/>
    <x v="3"/>
    <s v="山东省济南市经四小纬二路"/>
    <s v="山东省"/>
    <s v="BIC-003"/>
    <s v="餐饮费"/>
    <n v="246"/>
    <s v="否"/>
  </r>
  <r>
    <d v="2023-07-27T00:00:00"/>
    <x v="22"/>
    <s v="辽宁省大连中山区长江路123号大连日航酒店4层清苑厅"/>
    <s v="辽宁省"/>
    <s v="BIC-001"/>
    <s v="飞机票"/>
    <n v="680.4"/>
    <s v="否"/>
  </r>
  <r>
    <d v="2023-07-27T00:00:00"/>
    <x v="14"/>
    <s v="四川省绵阳市绵山路64号"/>
    <s v="四川省"/>
    <s v="BIC-006"/>
    <s v="高速道桥费"/>
    <n v="976"/>
    <s v="否"/>
  </r>
  <r>
    <d v="2023-07-27T00:00:00"/>
    <x v="24"/>
    <s v="北京市东城区和平里中街12号"/>
    <s v="北京市"/>
    <s v="BIC-009"/>
    <s v="通讯补助"/>
    <n v="388"/>
    <s v="否"/>
  </r>
  <r>
    <d v="2023-07-28T00:00:00"/>
    <x v="18"/>
    <s v="辽宁省沈阳市和平区青年大街390号"/>
    <s v="辽宁省"/>
    <s v="BIC-006"/>
    <s v="高速道桥费"/>
    <n v="22"/>
    <s v="否"/>
  </r>
  <r>
    <d v="2023-07-29T00:00:00"/>
    <x v="19"/>
    <s v="上海市徐汇区虹桥路3号港汇中心二座10层10.072室"/>
    <s v="上海市"/>
    <s v="BIC-008"/>
    <s v="停车费"/>
    <n v="1663.3333333333301"/>
    <s v="是"/>
  </r>
  <r>
    <d v="2023-07-30T00:00:00"/>
    <x v="15"/>
    <s v="江苏省南京市白下区汉中路89号"/>
    <s v="江苏省"/>
    <s v="BIC-006"/>
    <s v="高速道桥费"/>
    <n v="200"/>
    <s v="是"/>
  </r>
  <r>
    <d v="2023-07-30T00:00:00"/>
    <x v="7"/>
    <s v="海南省海口市琼山区红城湖路22号"/>
    <s v="海南省"/>
    <s v="BIC-004"/>
    <s v="出租车费"/>
    <n v="300"/>
    <s v="是"/>
  </r>
  <r>
    <d v="2023-07-31T00:00:00"/>
    <x v="6"/>
    <s v="云南省昆明市官渡区拓东路6号"/>
    <s v="云南省"/>
    <s v="BIC-007"/>
    <s v="燃油费"/>
    <n v="1458.3333333333301"/>
    <s v="否"/>
  </r>
  <r>
    <d v="2023-07-31T00:00:00"/>
    <x v="1"/>
    <s v="上海市浦东新区世纪大道100号上海环球金融中心56楼"/>
    <s v="上海市"/>
    <s v="BIC-007"/>
    <s v="燃油费"/>
    <n v="638.33333333333303"/>
    <s v="否"/>
  </r>
  <r>
    <d v="2023-08-01T00:00:00"/>
    <x v="0"/>
    <s v="上海市闵行区浦星路699号"/>
    <s v="上海市"/>
    <s v="BIC-006"/>
    <s v="高速道桥费"/>
    <n v="535.83333333333303"/>
    <s v="否"/>
  </r>
  <r>
    <d v="2023-08-02T00:00:00"/>
    <x v="22"/>
    <s v="辽宁省大连中山区长江路123号大连日航酒店4层清苑厅"/>
    <s v="辽宁省"/>
    <s v="BIC-003"/>
    <s v="餐饮费"/>
    <n v="843.33333333333303"/>
    <s v="否"/>
  </r>
  <r>
    <d v="2023-08-02T00:00:00"/>
    <x v="5"/>
    <s v="四川省成都市城市名人酒店"/>
    <s v="四川省"/>
    <s v="BIC-005"/>
    <s v="火车票"/>
    <n v="828.2"/>
    <s v="否"/>
  </r>
  <r>
    <d v="2023-08-03T00:00:00"/>
    <x v="24"/>
    <s v="广东省广州市天河区黄埔大道666号"/>
    <s v="广东省"/>
    <s v="BIC-005"/>
    <s v="火车票"/>
    <n v="200"/>
    <s v="否"/>
  </r>
  <r>
    <d v="2023-08-03T00:00:00"/>
    <x v="5"/>
    <s v="四川省成都市城市名人酒店"/>
    <s v="四川省"/>
    <s v="BIC-003"/>
    <s v="餐饮费"/>
    <n v="1663.3333333333301"/>
    <s v="否"/>
  </r>
  <r>
    <d v="2023-08-04T00:00:00"/>
    <x v="1"/>
    <s v="广东省广州市天河区林和西路1号广州国际贸易中心42层"/>
    <s v="广东省"/>
    <s v="BIC-009"/>
    <s v="通讯补助"/>
    <n v="120"/>
    <s v="否"/>
  </r>
  <r>
    <d v="2023-08-04T00:00:00"/>
    <x v="14"/>
    <s v="北京市东城区朝阳门北大街1号"/>
    <s v="北京市"/>
    <s v="BIC-008"/>
    <s v="停车费"/>
    <n v="120"/>
    <s v="否"/>
  </r>
  <r>
    <d v="2023-08-04T00:00:00"/>
    <x v="16"/>
    <s v="贵州省贵阳市云岩区中山西路51号"/>
    <s v="贵州省"/>
    <s v="BIC-010"/>
    <s v="其他"/>
    <n v="606.5"/>
    <s v="否"/>
  </r>
  <r>
    <d v="2023-08-05T00:00:00"/>
    <x v="11"/>
    <s v="天津市武清开发区新源道北18号"/>
    <s v="天津市"/>
    <s v="BIC-010"/>
    <s v="其他"/>
    <n v="345"/>
    <s v="是"/>
  </r>
  <r>
    <d v="2023-08-05T00:00:00"/>
    <x v="20"/>
    <s v="湖北省武汉市经济技术开发区东风大道10号"/>
    <s v="湖北省"/>
    <s v="BIC-009"/>
    <s v="通讯补助"/>
    <n v="843.33333333333303"/>
    <s v="是"/>
  </r>
  <r>
    <d v="2023-08-05T00:00:00"/>
    <x v="5"/>
    <s v="天津市和平区南京路189号"/>
    <s v="天津市"/>
    <s v="BIC-003"/>
    <s v="餐饮费"/>
    <n v="535.83333333333303"/>
    <s v="是"/>
  </r>
  <r>
    <d v="2023-08-06T00:00:00"/>
    <x v="0"/>
    <s v="上海市闵行区浦星路699号"/>
    <s v="上海市"/>
    <s v="BIC-002"/>
    <s v="酒店住宿"/>
    <n v="200"/>
    <s v="是"/>
  </r>
  <r>
    <d v="2023-08-06T00:00:00"/>
    <x v="9"/>
    <s v="浙江省苏州市干将西路1296号"/>
    <s v="浙江省"/>
    <s v="BIC-006"/>
    <s v="高速道桥费"/>
    <n v="976"/>
    <s v="是"/>
  </r>
  <r>
    <d v="2023-08-06T00:00:00"/>
    <x v="22"/>
    <s v="辽宁省大连中山区长江路123号大连日航酒店4层清苑厅"/>
    <s v="辽宁省"/>
    <s v="BIC-009"/>
    <s v="通讯补助"/>
    <n v="388"/>
    <s v="是"/>
  </r>
  <r>
    <d v="2023-08-07T00:00:00"/>
    <x v="25"/>
    <s v="吉林省长春市东南湖大路1281号"/>
    <s v="吉林省"/>
    <s v="BIC-009"/>
    <s v="通讯补助"/>
    <n v="1458.3333333333301"/>
    <s v="否"/>
  </r>
  <r>
    <d v="2023-08-08T00:00:00"/>
    <x v="1"/>
    <s v="上海市浦东新区世纪大道100号上海环球金融中心56楼"/>
    <s v="上海市"/>
    <s v="BIC-006"/>
    <s v="高速道桥费"/>
    <n v="22"/>
    <s v="否"/>
  </r>
  <r>
    <d v="2023-08-08T00:00:00"/>
    <x v="16"/>
    <s v="贵州省贵阳市云岩区中山西路51号"/>
    <s v="贵州省"/>
    <s v="BIC-002"/>
    <s v="酒店住宿"/>
    <n v="22"/>
    <s v="否"/>
  </r>
  <r>
    <d v="2023-08-08T00:00:00"/>
    <x v="5"/>
    <s v="四川省成都市城市名人酒店"/>
    <s v="四川省"/>
    <s v="BIC-004"/>
    <s v="出租车费"/>
    <n v="945.83333333333303"/>
    <s v="否"/>
  </r>
  <r>
    <d v="2023-08-10T00:00:00"/>
    <x v="6"/>
    <s v="广东省广州市机场路278号"/>
    <s v="广东省"/>
    <s v="BIC-004"/>
    <s v="出租车费"/>
    <n v="2500"/>
    <s v="否"/>
  </r>
  <r>
    <d v="2023-08-10T00:00:00"/>
    <x v="20"/>
    <s v="北京市朝阳区光华路2号阳光100G座上海文广大夏7层"/>
    <s v="北京市"/>
    <s v="BIC-003"/>
    <s v="餐饮费"/>
    <n v="1458.3333333333301"/>
    <s v="否"/>
  </r>
  <r>
    <d v="2023-08-11T00:00:00"/>
    <x v="6"/>
    <s v="山东省青岛市颐中皇冠假日酒店三层多功能厅"/>
    <s v="山东省"/>
    <s v="BIC-008"/>
    <s v="停车费"/>
    <n v="300"/>
    <s v="否"/>
  </r>
  <r>
    <d v="2023-08-11T00:00:00"/>
    <x v="3"/>
    <s v="北京市西城区宣武门西大街32号"/>
    <s v="北京市"/>
    <s v="BIC-007"/>
    <s v="燃油费"/>
    <n v="500"/>
    <s v="否"/>
  </r>
  <r>
    <d v="2023-08-11T00:00:00"/>
    <x v="4"/>
    <s v="广东省广州市天河区林和西路167号"/>
    <s v="广东省"/>
    <s v="BIC-009"/>
    <s v="通讯补助"/>
    <n v="458.7"/>
    <s v="否"/>
  </r>
  <r>
    <d v="2023-08-12T00:00:00"/>
    <x v="3"/>
    <s v="广东省深圳市南山区蛇口港湾大道2号"/>
    <s v="广东省"/>
    <s v="BIC-004"/>
    <s v="出租车费"/>
    <n v="200"/>
    <s v="是"/>
  </r>
  <r>
    <d v="2023-08-13T00:00:00"/>
    <x v="1"/>
    <s v="上海市浦东新区世纪大道100号上海环球金融中心56楼"/>
    <s v="上海市"/>
    <s v="BIC-009"/>
    <s v="通讯补助"/>
    <n v="1253.3333333333301"/>
    <s v="是"/>
  </r>
  <r>
    <d v="2023-08-13T00:00:00"/>
    <x v="21"/>
    <s v="上海市徐汇区港汇中心二座微软公司9楼"/>
    <s v="上海市"/>
    <s v="BIC-007"/>
    <s v="燃油费"/>
    <n v="500"/>
    <s v="是"/>
  </r>
  <r>
    <d v="2023-08-13T00:00:00"/>
    <x v="19"/>
    <s v="上海市延安东路100号联谊大厦20楼"/>
    <s v="上海市"/>
    <s v="BIC-001"/>
    <s v="飞机票"/>
    <n v="345"/>
    <s v="是"/>
  </r>
  <r>
    <d v="2023-08-13T00:00:00"/>
    <x v="12"/>
    <s v="河南省郑州金水区金水路115号"/>
    <s v="河南省"/>
    <s v="BIC-006"/>
    <s v="高速道桥费"/>
    <n v="1197.7"/>
    <s v="是"/>
  </r>
  <r>
    <d v="2023-08-13T00:00:00"/>
    <x v="5"/>
    <s v="贵州省贵阳市云岩区安云路樱花巷20号"/>
    <s v="贵州省"/>
    <s v="BIC-009"/>
    <s v="通讯补助"/>
    <n v="3000"/>
    <s v="是"/>
  </r>
  <r>
    <d v="2023-08-14T00:00:00"/>
    <x v="1"/>
    <s v="广东省广州市天河区林和西路1号广州国际贸易中心42层"/>
    <s v="广东省"/>
    <s v="BIC-005"/>
    <s v="火车票"/>
    <n v="140"/>
    <s v="否"/>
  </r>
  <r>
    <d v="2023-08-14T00:00:00"/>
    <x v="18"/>
    <s v="上海市静安区海防路555号同乐坊11号楼3楼"/>
    <s v="上海市"/>
    <s v="BIC-006"/>
    <s v="高速道桥费"/>
    <n v="433.33333333333297"/>
    <s v="否"/>
  </r>
  <r>
    <d v="2023-08-14T00:00:00"/>
    <x v="18"/>
    <s v="广东省广州市越秀区白云路18号4楼405室"/>
    <s v="广东省"/>
    <s v="BIC-009"/>
    <s v="通讯补助"/>
    <n v="433.33333333333297"/>
    <s v="否"/>
  </r>
  <r>
    <d v="2023-08-14T00:00:00"/>
    <x v="13"/>
    <s v="广东省佛山市顺德区容桂高新技术开发区建业中路13号"/>
    <s v="广东省"/>
    <s v="BIC-006"/>
    <s v="高速道桥费"/>
    <n v="680.4"/>
    <s v="否"/>
  </r>
  <r>
    <d v="2023-08-15T00:00:00"/>
    <x v="16"/>
    <s v="北京市国家会议中心"/>
    <s v="北京市"/>
    <s v="BIC-007"/>
    <s v="燃油费"/>
    <n v="345"/>
    <s v="否"/>
  </r>
  <r>
    <d v="2023-08-15T00:00:00"/>
    <x v="5"/>
    <s v="四川省成都市城市名人酒店"/>
    <s v="四川省"/>
    <s v="BIC-010"/>
    <s v="其他"/>
    <n v="29"/>
    <s v="否"/>
  </r>
  <r>
    <d v="2023-08-16T00:00:00"/>
    <x v="10"/>
    <s v="浙江省杭州市西湖区北山路78号香格里拉饭店东楼1栋555房"/>
    <s v="浙江省"/>
    <s v="BIC-007"/>
    <s v="燃油费"/>
    <n v="458.7"/>
    <s v="否"/>
  </r>
  <r>
    <d v="2023-08-16T00:00:00"/>
    <x v="3"/>
    <s v="广东省深圳市南山区蛇口港湾大道2号"/>
    <s v="广东省"/>
    <s v="BIC-005"/>
    <s v="火车票"/>
    <n v="433.33333333333297"/>
    <s v="否"/>
  </r>
  <r>
    <d v="2023-08-16T00:00:00"/>
    <x v="17"/>
    <s v="山东省烟台市莱山区港城东大街299号"/>
    <s v="山东省"/>
    <s v="BIC-009"/>
    <s v="通讯补助"/>
    <n v="1197.7"/>
    <s v="否"/>
  </r>
  <r>
    <d v="2023-08-16T00:00:00"/>
    <x v="12"/>
    <s v="山东省青岛市宁夏路288号青岛软件园3号楼501 微软青岛办事处"/>
    <s v="山东省"/>
    <s v="BIC-006"/>
    <s v="高速道桥费"/>
    <n v="345"/>
    <s v="否"/>
  </r>
  <r>
    <d v="2023-08-17T00:00:00"/>
    <x v="23"/>
    <s v="陕西省西安市南大街30号中大国际大厦605室"/>
    <s v="陕西省"/>
    <s v="BIC-007"/>
    <s v="燃油费"/>
    <n v="638.33333333333303"/>
    <s v="否"/>
  </r>
  <r>
    <d v="2023-08-18T00:00:00"/>
    <x v="11"/>
    <s v="河南省郑州市金水区城东路289号"/>
    <s v="河南省"/>
    <s v="BIC-004"/>
    <s v="出租车费"/>
    <n v="300"/>
    <s v="否"/>
  </r>
  <r>
    <d v="2023-08-18T00:00:00"/>
    <x v="6"/>
    <s v="山西省大同市南城墙永泰西门"/>
    <s v="山西省"/>
    <s v="BIC-006"/>
    <s v="高速道桥费"/>
    <n v="902.1"/>
    <s v="否"/>
  </r>
  <r>
    <d v="2023-08-18T00:00:00"/>
    <x v="19"/>
    <s v="江苏省扬州市汶河北路42号蓝天大厦"/>
    <s v="江苏省"/>
    <s v="BIC-004"/>
    <s v="出租车费"/>
    <n v="828.2"/>
    <s v="否"/>
  </r>
  <r>
    <d v="2023-08-18T00:00:00"/>
    <x v="16"/>
    <s v="湖北省武汉市宝丰路6号香溢大酒店20楼"/>
    <s v="湖北省"/>
    <s v="BIC-008"/>
    <s v="停车费"/>
    <n v="458.7"/>
    <s v="否"/>
  </r>
  <r>
    <d v="2023-08-18T00:00:00"/>
    <x v="13"/>
    <s v="广东省佛山市顺德区容桂高新技术开发区建业中路13号"/>
    <s v="广东省"/>
    <s v="BIC-005"/>
    <s v="火车票"/>
    <n v="345"/>
    <s v="否"/>
  </r>
  <r>
    <d v="2023-08-19T00:00:00"/>
    <x v="0"/>
    <s v="上海市国际贵都大饭店"/>
    <s v="上海市"/>
    <s v="BIC-005"/>
    <s v="火车票"/>
    <n v="200"/>
    <s v="是"/>
  </r>
  <r>
    <d v="2023-08-19T00:00:00"/>
    <x v="9"/>
    <s v="贵州省贵阳市中山西路51号"/>
    <s v="贵州省"/>
    <s v="BIC-008"/>
    <s v="停车费"/>
    <n v="246"/>
    <s v="是"/>
  </r>
  <r>
    <d v="2023-08-19T00:00:00"/>
    <x v="21"/>
    <s v="河北省廊坊市经济技术开发区华祥路66号"/>
    <s v="河北省"/>
    <s v="BIC-006"/>
    <s v="高速道桥费"/>
    <n v="1560.8333333333301"/>
    <s v="是"/>
  </r>
  <r>
    <d v="2023-08-19T00:00:00"/>
    <x v="8"/>
    <s v="福建省厦门市软件园二期观日路44号9楼"/>
    <s v="福建省"/>
    <s v="BIC-007"/>
    <s v="燃油费"/>
    <n v="140"/>
    <s v="是"/>
  </r>
  <r>
    <d v="2023-08-19T00:00:00"/>
    <x v="7"/>
    <s v="河北省石河子市石河子信息办公室"/>
    <s v="河北省"/>
    <s v="BIC-009"/>
    <s v="通讯补助"/>
    <n v="100"/>
    <s v="是"/>
  </r>
  <r>
    <d v="2023-08-20T00:00:00"/>
    <x v="7"/>
    <s v="北京市西城区阜成门外大街29号"/>
    <s v="北京市"/>
    <s v="BIC-010"/>
    <s v="其他"/>
    <n v="300"/>
    <s v="是"/>
  </r>
  <r>
    <d v="2023-08-21T00:00:00"/>
    <x v="16"/>
    <s v="贵州省贵阳市云岩区中山西路51号"/>
    <s v="贵州省"/>
    <s v="BIC-009"/>
    <s v="通讯补助"/>
    <n v="638.33333333333303"/>
    <s v="否"/>
  </r>
  <r>
    <d v="2023-08-21T00:00:00"/>
    <x v="12"/>
    <s v="广东省东莞市新城市商务中心区会展北路"/>
    <s v="广东省"/>
    <s v="BIC-008"/>
    <s v="停车费"/>
    <n v="300"/>
    <s v="否"/>
  </r>
  <r>
    <d v="2023-08-21T00:00:00"/>
    <x v="5"/>
    <s v="贵州省贵阳市云岩区安云路樱花巷20号"/>
    <s v="贵州省"/>
    <s v="BIC-005"/>
    <s v="火车票"/>
    <n v="535.83333333333303"/>
    <s v="否"/>
  </r>
  <r>
    <d v="2023-08-22T00:00:00"/>
    <x v="18"/>
    <s v="广东省广州市越秀区白云路18号4楼405室"/>
    <s v="广东省"/>
    <s v="BIC-001"/>
    <s v="飞机票"/>
    <n v="638.33333333333303"/>
    <s v="否"/>
  </r>
  <r>
    <d v="2023-08-23T00:00:00"/>
    <x v="17"/>
    <s v="浙江省杭州市大厦武林广场1号"/>
    <s v="浙江省"/>
    <s v="BIC-002"/>
    <s v="酒店住宿"/>
    <n v="740.83333333333303"/>
    <s v="否"/>
  </r>
  <r>
    <d v="2023-08-25T00:00:00"/>
    <x v="14"/>
    <s v="北京市东城区朝阳门北大街1号"/>
    <s v="北京市"/>
    <s v="BIC-003"/>
    <s v="餐饮费"/>
    <n v="1355.8333333333301"/>
    <s v="否"/>
  </r>
  <r>
    <d v="2023-08-25T00:00:00"/>
    <x v="26"/>
    <s v="大连市烟草专卖局（大连市五四路26号）"/>
    <s v="大连市"/>
    <s v="BIC-005"/>
    <s v="火车票"/>
    <n v="388"/>
    <s v="否"/>
  </r>
  <r>
    <d v="2023-08-25T00:00:00"/>
    <x v="3"/>
    <s v="北京市西城区宣武门西大街32号"/>
    <s v="北京市"/>
    <s v="BIC-003"/>
    <s v="餐饮费"/>
    <n v="345"/>
    <s v="否"/>
  </r>
  <r>
    <d v="2023-08-25T00:00:00"/>
    <x v="12"/>
    <s v="浙江省杭州市西湖区紫金港路21号"/>
    <s v="浙江省"/>
    <s v="BIC-009"/>
    <s v="通讯补助"/>
    <n v="3000"/>
    <s v="否"/>
  </r>
  <r>
    <d v="2023-08-25T00:00:00"/>
    <x v="5"/>
    <s v="天津市和平区南京路189号"/>
    <s v="天津市"/>
    <s v="BIC-008"/>
    <s v="停车费"/>
    <n v="535.83333333333303"/>
    <s v="否"/>
  </r>
  <r>
    <d v="2023-08-26T00:00:00"/>
    <x v="16"/>
    <s v="江西省南昌市高新区京东大道698号"/>
    <s v="江西省"/>
    <s v="BIC-004"/>
    <s v="出租车费"/>
    <n v="200"/>
    <s v="是"/>
  </r>
  <r>
    <d v="2023-08-28T00:00:00"/>
    <x v="15"/>
    <s v="江苏省南京市白下区汉中路89号"/>
    <s v="江苏省"/>
    <s v="BIC-007"/>
    <s v="燃油费"/>
    <n v="433.33333333333297"/>
    <s v="否"/>
  </r>
  <r>
    <d v="2023-08-28T00:00:00"/>
    <x v="10"/>
    <s v="上海市虹桥区喜来登太平洋大饭店四层地中海厅"/>
    <s v="上海市"/>
    <s v="BIC-005"/>
    <s v="火车票"/>
    <n v="1663.3333333333301"/>
    <s v="否"/>
  </r>
  <r>
    <d v="2023-08-28T00:00:00"/>
    <x v="12"/>
    <s v="广东省东莞市新城市商务中心区会展北路"/>
    <s v="广东省"/>
    <s v="BIC-009"/>
    <s v="通讯补助"/>
    <n v="100"/>
    <s v="否"/>
  </r>
  <r>
    <d v="2023-08-29T00:00:00"/>
    <x v="3"/>
    <s v="北京市西城区宣武门西大街32号"/>
    <s v="北京市"/>
    <s v="BIC-009"/>
    <s v="通讯补助"/>
    <n v="1048.3333333333301"/>
    <s v="否"/>
  </r>
  <r>
    <d v="2023-08-29T00:00:00"/>
    <x v="7"/>
    <s v="海南省海口市琼山区红城湖路22号"/>
    <s v="海南省"/>
    <s v="BIC-007"/>
    <s v="燃油费"/>
    <n v="246"/>
    <s v="否"/>
  </r>
  <r>
    <d v="2023-08-30T00:00:00"/>
    <x v="6"/>
    <s v="广东省广州市机场路278号"/>
    <s v="广东省"/>
    <s v="BIC-007"/>
    <s v="燃油费"/>
    <n v="843.33333333333303"/>
    <s v="否"/>
  </r>
  <r>
    <d v="2023-08-30T00:00:00"/>
    <x v="10"/>
    <s v="浙江省杭州市西湖区北山路78号香格里拉饭店东楼1栋555房"/>
    <s v="浙江省"/>
    <s v="BIC-004"/>
    <s v="出租车费"/>
    <n v="458.7"/>
    <s v="否"/>
  </r>
  <r>
    <d v="2023-08-30T00:00:00"/>
    <x v="3"/>
    <s v="北京市海淀区东北旺西路8号"/>
    <s v="北京市"/>
    <s v="BIC-010"/>
    <s v="其他"/>
    <n v="200"/>
    <s v="否"/>
  </r>
  <r>
    <d v="2023-08-31T00:00:00"/>
    <x v="8"/>
    <s v="福建省厦门市软件园二期观日路44号9楼"/>
    <s v="福建省"/>
    <s v="BIC-007"/>
    <s v="燃油费"/>
    <n v="1123.8"/>
    <s v="否"/>
  </r>
  <r>
    <d v="2023-09-01T00:00:00"/>
    <x v="14"/>
    <s v="江西省南昌市西湖区洪城路289号"/>
    <s v="江西省"/>
    <s v="BIC-009"/>
    <s v="通讯补助"/>
    <n v="140"/>
    <s v="否"/>
  </r>
  <r>
    <d v="2023-09-01T00:00:00"/>
    <x v="12"/>
    <s v="浙江省苏州市工业园区苏虹东路288号"/>
    <s v="浙江省"/>
    <s v="BIC-007"/>
    <s v="燃油费"/>
    <n v="1150.8333333333301"/>
    <s v="否"/>
  </r>
  <r>
    <d v="2023-09-02T00:00:00"/>
    <x v="6"/>
    <s v="山西省大同市南城墙永泰西门"/>
    <s v="山西省"/>
    <s v="BIC-003"/>
    <s v="餐饮费"/>
    <n v="500"/>
    <s v="是"/>
  </r>
  <r>
    <d v="2023-09-02T00:00:00"/>
    <x v="19"/>
    <s v="上海市徐汇区虹桥路3号港汇中心二座10层10.072室"/>
    <s v="上海市"/>
    <s v="BIC-007"/>
    <s v="燃油费"/>
    <n v="535.83333333333303"/>
    <s v="是"/>
  </r>
  <r>
    <d v="2023-09-02T00:00:00"/>
    <x v="16"/>
    <s v="北京市国家会议中心"/>
    <s v="北京市"/>
    <s v="BIC-002"/>
    <s v="酒店住宿"/>
    <n v="1355.8333333333301"/>
    <s v="是"/>
  </r>
  <r>
    <d v="2023-09-02T00:00:00"/>
    <x v="4"/>
    <s v="山东省太仓市上海东路288号"/>
    <s v="山东省"/>
    <s v="BIC-004"/>
    <s v="出租车费"/>
    <n v="740.83333333333303"/>
    <s v="是"/>
  </r>
  <r>
    <d v="2023-09-03T00:00:00"/>
    <x v="15"/>
    <s v="江苏省南京市白下区汉中路89号"/>
    <s v="江苏省"/>
    <s v="BIC-003"/>
    <s v="餐饮费"/>
    <n v="120"/>
    <s v="是"/>
  </r>
  <r>
    <d v="2023-09-03T00:00:00"/>
    <x v="8"/>
    <s v="江苏省南京市汉中路2号金陵饭店"/>
    <s v="江苏省"/>
    <s v="BIC-007"/>
    <s v="燃油费"/>
    <n v="1049.9000000000001"/>
    <s v="是"/>
  </r>
  <r>
    <d v="2023-09-03T00:00:00"/>
    <x v="13"/>
    <s v="广东省佛山市顺德区容桂高新技术开发区建业中路13号"/>
    <s v="广东省"/>
    <s v="BIC-005"/>
    <s v="火车票"/>
    <n v="388"/>
    <s v="是"/>
  </r>
  <r>
    <d v="2023-09-04T00:00:00"/>
    <x v="6"/>
    <s v="上海市静安区华山路250号，上海希尔顿酒店"/>
    <s v="上海市"/>
    <s v="BIC-004"/>
    <s v="出租车费"/>
    <n v="535.83333333333303"/>
    <s v="否"/>
  </r>
  <r>
    <d v="2023-09-04T00:00:00"/>
    <x v="10"/>
    <s v="上海市虹桥区喜来登太平洋大饭店四层地中海厅"/>
    <s v="上海市"/>
    <s v="BIC-007"/>
    <s v="燃油费"/>
    <n v="29"/>
    <s v="否"/>
  </r>
  <r>
    <d v="2023-09-04T00:00:00"/>
    <x v="16"/>
    <s v="北京市利星行广场微软大厦206体验中心"/>
    <s v="北京市"/>
    <s v="BIC-007"/>
    <s v="燃油费"/>
    <n v="200"/>
    <s v="否"/>
  </r>
  <r>
    <d v="2023-09-04T00:00:00"/>
    <x v="2"/>
    <s v="北京市西城区西绒线胡同51号中国会"/>
    <s v="北京市"/>
    <s v="BIC-001"/>
    <s v="飞机票"/>
    <n v="345"/>
    <s v="否"/>
  </r>
  <r>
    <d v="2023-09-05T00:00:00"/>
    <x v="6"/>
    <s v="上海市静安区华山路250号，上海希尔顿酒店"/>
    <s v="上海市"/>
    <s v="BIC-006"/>
    <s v="高速道桥费"/>
    <n v="246"/>
    <s v="否"/>
  </r>
  <r>
    <d v="2023-09-05T00:00:00"/>
    <x v="18"/>
    <s v="四川省成都市人民南路一段86号城市之心27楼A座"/>
    <s v="四川省"/>
    <s v="BIC-003"/>
    <s v="餐饮费"/>
    <n v="740.83333333333303"/>
    <s v="否"/>
  </r>
  <r>
    <d v="2023-09-06T00:00:00"/>
    <x v="22"/>
    <s v="广东省珠海市香洲人民东路121号"/>
    <s v="广东省"/>
    <s v="BIC-007"/>
    <s v="燃油费"/>
    <n v="1663.3333333333301"/>
    <s v="否"/>
  </r>
  <r>
    <d v="2023-09-06T00:00:00"/>
    <x v="24"/>
    <s v="安徽省合肥市蜀山经济开发区创业大道3号创业大道3号"/>
    <s v="安徽省"/>
    <s v="BIC-007"/>
    <s v="燃油费"/>
    <n v="388"/>
    <s v="否"/>
  </r>
  <r>
    <d v="2023-09-06T00:00:00"/>
    <x v="16"/>
    <s v="北京市国家会议中心"/>
    <s v="北京市"/>
    <s v="BIC-004"/>
    <s v="出租车费"/>
    <n v="22"/>
    <s v="否"/>
  </r>
  <r>
    <d v="2023-09-06T00:00:00"/>
    <x v="2"/>
    <s v="福建省福州市湖东路中山大厦，兴业银行"/>
    <s v="福建省"/>
    <s v="BIC-007"/>
    <s v="燃油费"/>
    <n v="246"/>
    <s v="否"/>
  </r>
  <r>
    <d v="2023-09-08T00:00:00"/>
    <x v="11"/>
    <s v="浙江省嘉兴市南湖区亚中路1号"/>
    <s v="浙江省"/>
    <s v="BIC-005"/>
    <s v="火车票"/>
    <n v="345"/>
    <s v="否"/>
  </r>
  <r>
    <d v="2023-09-08T00:00:00"/>
    <x v="21"/>
    <s v="河北省廊坊市经济技术开发区华祥路66号"/>
    <s v="河北省"/>
    <s v="BIC-005"/>
    <s v="火车票"/>
    <n v="29"/>
    <s v="否"/>
  </r>
  <r>
    <d v="2023-09-08T00:00:00"/>
    <x v="4"/>
    <s v="福建省厦门市思明区莲岳路118号中烟大厦1702室"/>
    <s v="福建省"/>
    <s v="BIC-006"/>
    <s v="高速道桥费"/>
    <n v="945.83333333333303"/>
    <s v="否"/>
  </r>
  <r>
    <d v="2023-09-08T00:00:00"/>
    <x v="4"/>
    <s v="广东省广州市天河区林和西路167号"/>
    <s v="广东省"/>
    <s v="BIC-005"/>
    <s v="火车票"/>
    <n v="433.33333333333297"/>
    <s v="否"/>
  </r>
  <r>
    <d v="2023-09-09T00:00:00"/>
    <x v="6"/>
    <s v="山东省青岛市颐中皇冠假日酒店三层多功能厅"/>
    <s v="山东省"/>
    <s v="BIC-009"/>
    <s v="通讯补助"/>
    <n v="638.33333333333303"/>
    <s v="是"/>
  </r>
  <r>
    <d v="2023-09-09T00:00:00"/>
    <x v="25"/>
    <s v="吉林省长春市东南湖大路1281号"/>
    <s v="吉林省"/>
    <s v="BIC-004"/>
    <s v="出租车费"/>
    <n v="388"/>
    <s v="是"/>
  </r>
  <r>
    <d v="2023-09-09T00:00:00"/>
    <x v="7"/>
    <s v="重庆市北部新区高新园星光大道天王星A1座"/>
    <s v="重庆市"/>
    <s v="BIC-010"/>
    <s v="其他"/>
    <n v="606.5"/>
    <s v="是"/>
  </r>
  <r>
    <d v="2023-09-10T00:00:00"/>
    <x v="6"/>
    <s v="广东省广州市机场路278号"/>
    <s v="广东省"/>
    <s v="BIC-006"/>
    <s v="高速道桥费"/>
    <n v="1048.3333333333301"/>
    <s v="是"/>
  </r>
  <r>
    <d v="2023-09-10T00:00:00"/>
    <x v="24"/>
    <s v="北京市东城区和平里中街12号"/>
    <s v="北京市"/>
    <s v="BIC-009"/>
    <s v="通讯补助"/>
    <n v="2500"/>
    <s v="是"/>
  </r>
  <r>
    <d v="2023-09-10T00:00:00"/>
    <x v="23"/>
    <s v="广东省深圳市龙岗区坂田"/>
    <s v="广东省"/>
    <s v="BIC-008"/>
    <s v="停车费"/>
    <n v="2500"/>
    <s v="是"/>
  </r>
  <r>
    <d v="2023-09-11T00:00:00"/>
    <x v="2"/>
    <s v="北京市西城区西绒线胡同51号中国会"/>
    <s v="北京市"/>
    <s v="BIC-008"/>
    <s v="停车费"/>
    <n v="535.83333333333303"/>
    <s v="否"/>
  </r>
  <r>
    <d v="2023-09-11T00:00:00"/>
    <x v="12"/>
    <s v="河南省郑州金水区金水路115号"/>
    <s v="河南省"/>
    <s v="BIC-009"/>
    <s v="通讯补助"/>
    <n v="532.6"/>
    <s v="否"/>
  </r>
  <r>
    <d v="2023-09-11T00:00:00"/>
    <x v="12"/>
    <s v="广东省惠州市巽寮喜来登酒店"/>
    <s v="广东省"/>
    <s v="BIC-009"/>
    <s v="通讯补助"/>
    <n v="1150.8333333333301"/>
    <s v="否"/>
  </r>
  <r>
    <d v="2023-09-12T00:00:00"/>
    <x v="18"/>
    <s v="辽宁省沈阳市和平区青年大街390号"/>
    <s v="辽宁省"/>
    <s v="BIC-008"/>
    <s v="停车费"/>
    <n v="29"/>
    <s v="否"/>
  </r>
  <r>
    <d v="2023-09-12T00:00:00"/>
    <x v="18"/>
    <s v="四川省成都市人民南路一段86号城市之心27楼A座"/>
    <s v="四川省"/>
    <s v="BIC-005"/>
    <s v="火车票"/>
    <n v="902.1"/>
    <s v="否"/>
  </r>
  <r>
    <d v="2023-09-12T00:00:00"/>
    <x v="4"/>
    <s v="福建省厦门市思明区莲岳路118号中烟大厦1702室"/>
    <s v="福建省"/>
    <s v="BIC-003"/>
    <s v="餐饮费"/>
    <n v="140"/>
    <s v="否"/>
  </r>
  <r>
    <d v="2023-09-13T00:00:00"/>
    <x v="0"/>
    <s v="上海市闵行区浦星路699号"/>
    <s v="上海市"/>
    <s v="BIC-005"/>
    <s v="火车票"/>
    <n v="345"/>
    <s v="否"/>
  </r>
  <r>
    <d v="2023-09-13T00:00:00"/>
    <x v="19"/>
    <s v="上海市延安东路100号联谊大厦20楼"/>
    <s v="上海市"/>
    <s v="BIC-006"/>
    <s v="高速道桥费"/>
    <n v="1150.8333333333301"/>
    <s v="否"/>
  </r>
  <r>
    <d v="2023-09-13T00:00:00"/>
    <x v="10"/>
    <s v="北京市海淀区知春路113银网中心A座"/>
    <s v="北京市"/>
    <s v="BIC-002"/>
    <s v="酒店住宿"/>
    <n v="680.4"/>
    <s v="否"/>
  </r>
  <r>
    <d v="2023-09-13T00:00:00"/>
    <x v="2"/>
    <s v="北京市西城区西绒线胡同51号中国会"/>
    <s v="北京市"/>
    <s v="BIC-009"/>
    <s v="通讯补助"/>
    <n v="532.6"/>
    <s v="否"/>
  </r>
  <r>
    <d v="2023-09-13T00:00:00"/>
    <x v="5"/>
    <s v="四川省成都市城市名人酒店"/>
    <s v="四川省"/>
    <s v="BIC-005"/>
    <s v="火车票"/>
    <n v="29"/>
    <s v="否"/>
  </r>
  <r>
    <d v="2023-09-14T00:00:00"/>
    <x v="16"/>
    <s v="贵州省贵阳市云岩区中山西路51号"/>
    <s v="贵州省"/>
    <s v="BIC-006"/>
    <s v="高速道桥费"/>
    <n v="532.6"/>
    <s v="否"/>
  </r>
  <r>
    <d v="2023-09-15T00:00:00"/>
    <x v="6"/>
    <s v="上海市静安区华山路250号，上海希尔顿酒店"/>
    <s v="上海市"/>
    <s v="BIC-009"/>
    <s v="通讯补助"/>
    <n v="200"/>
    <s v="否"/>
  </r>
  <r>
    <d v="2023-09-15T00:00:00"/>
    <x v="14"/>
    <s v="江苏省江阴市新桥镇陶新中路8号"/>
    <s v="江苏省"/>
    <s v="BIC-005"/>
    <s v="火车票"/>
    <n v="843.33333333333303"/>
    <s v="否"/>
  </r>
  <r>
    <d v="2023-09-16T00:00:00"/>
    <x v="15"/>
    <s v="浙江省苏州市阊胥路483号创元科技园金阊软件园5号楼5101室"/>
    <s v="浙江省"/>
    <s v="BIC-003"/>
    <s v="餐饮费"/>
    <n v="140"/>
    <s v="是"/>
  </r>
  <r>
    <d v="2023-09-16T00:00:00"/>
    <x v="19"/>
    <s v="河北省保定市朝阳南大街2266号"/>
    <s v="河北省"/>
    <s v="BIC-009"/>
    <s v="通讯补助"/>
    <n v="500"/>
    <s v="是"/>
  </r>
  <r>
    <d v="2023-09-17T00:00:00"/>
    <x v="0"/>
    <s v="北京市海淀区永嘉北路6号"/>
    <s v="北京市"/>
    <s v="BIC-003"/>
    <s v="餐饮费"/>
    <n v="300"/>
    <s v="是"/>
  </r>
  <r>
    <d v="2023-09-17T00:00:00"/>
    <x v="1"/>
    <s v="杭州市滨江区南环路3758号"/>
    <s v="杭州市"/>
    <s v="BIC-003"/>
    <s v="餐饮费"/>
    <n v="976"/>
    <s v="是"/>
  </r>
  <r>
    <d v="2023-09-17T00:00:00"/>
    <x v="7"/>
    <s v="河北省石河子市石河子信息办公室"/>
    <s v="河北省"/>
    <s v="BIC-006"/>
    <s v="高速道桥费"/>
    <n v="843.33333333333303"/>
    <s v="是"/>
  </r>
  <r>
    <d v="2023-09-20T00:00:00"/>
    <x v="18"/>
    <s v="北京市香山饭店"/>
    <s v="北京市"/>
    <s v="BIC-001"/>
    <s v="飞机票"/>
    <n v="100"/>
    <s v="否"/>
  </r>
  <r>
    <d v="2023-09-20T00:00:00"/>
    <x v="16"/>
    <s v="湖北省武汉市宝丰路6号香溢大酒店20楼"/>
    <s v="湖北省"/>
    <s v="BIC-005"/>
    <s v="火车票"/>
    <n v="140"/>
    <s v="否"/>
  </r>
  <r>
    <d v="2023-09-20T00:00:00"/>
    <x v="17"/>
    <s v="四川省成都市世纪城路936号"/>
    <s v="四川省"/>
    <s v="BIC-003"/>
    <s v="餐饮费"/>
    <n v="843.33333333333303"/>
    <s v="否"/>
  </r>
  <r>
    <d v="2023-09-21T00:00:00"/>
    <x v="9"/>
    <s v="浙江省苏州市干将西路1296号"/>
    <s v="浙江省"/>
    <s v="BIC-010"/>
    <s v="其他"/>
    <n v="200"/>
    <s v="否"/>
  </r>
  <r>
    <d v="2023-09-21T00:00:00"/>
    <x v="1"/>
    <s v="广东省广州市天河区林和西路1号广州国际贸易中心42层"/>
    <s v="广东省"/>
    <s v="BIC-006"/>
    <s v="高速道桥费"/>
    <n v="345"/>
    <s v="否"/>
  </r>
  <r>
    <d v="2023-09-21T00:00:00"/>
    <x v="19"/>
    <s v="河北省保定市朝阳南大街2266号"/>
    <s v="河北省"/>
    <s v="BIC-009"/>
    <s v="通讯补助"/>
    <n v="200"/>
    <s v="否"/>
  </r>
  <r>
    <d v="2023-09-21T00:00:00"/>
    <x v="17"/>
    <s v="上海市天平宾馆6层"/>
    <s v="上海市"/>
    <s v="BIC-002"/>
    <s v="酒店住宿"/>
    <n v="22"/>
    <s v="否"/>
  </r>
  <r>
    <d v="2023-09-22T00:00:00"/>
    <x v="15"/>
    <s v="浙江省苏州市阊胥路483号创元科技园金阊软件园5号楼5101室"/>
    <s v="浙江省"/>
    <s v="BIC-003"/>
    <s v="餐饮费"/>
    <n v="22"/>
    <s v="否"/>
  </r>
  <r>
    <d v="2023-09-22T00:00:00"/>
    <x v="26"/>
    <s v="大连市烟草专卖局（大连市五四路26号）"/>
    <s v="大连市"/>
    <s v="BIC-010"/>
    <s v="其他"/>
    <n v="458.7"/>
    <s v="否"/>
  </r>
  <r>
    <d v="2023-09-22T00:00:00"/>
    <x v="3"/>
    <s v="北京市西城区宣武门西大街32号"/>
    <s v="北京市"/>
    <s v="BIC-004"/>
    <s v="出租车费"/>
    <n v="606.5"/>
    <s v="否"/>
  </r>
  <r>
    <d v="2023-09-22T00:00:00"/>
    <x v="5"/>
    <s v="天津市和平区南京路189号"/>
    <s v="天津市"/>
    <s v="BIC-007"/>
    <s v="燃油费"/>
    <n v="345"/>
    <s v="否"/>
  </r>
  <r>
    <d v="2023-09-23T00:00:00"/>
    <x v="1"/>
    <s v="广东省广州市天河区林和西路1号广州国际贸易中心42层"/>
    <s v="广东省"/>
    <s v="BIC-002"/>
    <s v="酒店住宿"/>
    <n v="1271.5999999999999"/>
    <s v="是"/>
  </r>
  <r>
    <d v="2023-09-23T00:00:00"/>
    <x v="7"/>
    <s v="北京市西城区阜成门外大街29号"/>
    <s v="北京市"/>
    <s v="BIC-006"/>
    <s v="高速道桥费"/>
    <n v="1123.8"/>
    <s v="是"/>
  </r>
  <r>
    <d v="2023-09-23T00:00:00"/>
    <x v="7"/>
    <s v="广东省深圳市嘉里建设广场2座12层体验中心"/>
    <s v="广东省"/>
    <s v="BIC-005"/>
    <s v="火车票"/>
    <n v="500"/>
    <s v="是"/>
  </r>
  <r>
    <d v="2023-09-27T00:00:00"/>
    <x v="9"/>
    <s v="贵州省贵阳市中山西路51号"/>
    <s v="贵州省"/>
    <s v="BIC-007"/>
    <s v="燃油费"/>
    <n v="606.5"/>
    <s v="否"/>
  </r>
  <r>
    <d v="2023-09-27T00:00:00"/>
    <x v="10"/>
    <s v="浙江省杭州市西湖区北山路78号香格里拉饭店东楼1栋555房"/>
    <s v="浙江省"/>
    <s v="BIC-004"/>
    <s v="出租车费"/>
    <n v="902.1"/>
    <s v="否"/>
  </r>
  <r>
    <d v="2023-09-28T00:00:00"/>
    <x v="6"/>
    <s v="上海市长宁区福泉北路33号"/>
    <s v="上海市"/>
    <s v="BIC-007"/>
    <s v="燃油费"/>
    <n v="140"/>
    <s v="否"/>
  </r>
  <r>
    <d v="2023-09-28T00:00:00"/>
    <x v="6"/>
    <s v="山西省大同市南城墙永泰西门"/>
    <s v="山西省"/>
    <s v="BIC-006"/>
    <s v="高速道桥费"/>
    <n v="500"/>
    <s v="否"/>
  </r>
  <r>
    <d v="2023-09-28T00:00:00"/>
    <x v="24"/>
    <s v="安徽省合肥市蜀山经济开发区创业大道3号创业大道3号"/>
    <s v="安徽省"/>
    <s v="BIC-005"/>
    <s v="火车票"/>
    <n v="638.33333333333303"/>
    <s v="否"/>
  </r>
  <r>
    <d v="2023-09-28T00:00:00"/>
    <x v="2"/>
    <s v="北京市西城区西绒线胡同51号中国会"/>
    <s v="北京市"/>
    <s v="BIC-005"/>
    <s v="火车票"/>
    <n v="458.7"/>
    <s v="否"/>
  </r>
  <r>
    <d v="2023-09-29T00:00:00"/>
    <x v="10"/>
    <s v="浙江省杭州市西湖区北山路78号香格里拉饭店东楼1栋555房"/>
    <s v="浙江省"/>
    <s v="BIC-007"/>
    <s v="燃油费"/>
    <n v="976"/>
    <s v="否"/>
  </r>
  <r>
    <d v="2023-09-29T00:00:00"/>
    <x v="18"/>
    <s v="广东省广州市越秀区白云路18号4楼405室"/>
    <s v="广东省"/>
    <s v="BIC-007"/>
    <s v="燃油费"/>
    <n v="532.6"/>
    <s v="否"/>
  </r>
  <r>
    <d v="2023-09-30T00:00:00"/>
    <x v="10"/>
    <s v="上海市虹桥区喜来登太平洋大饭店四层地中海厅"/>
    <s v="上海市"/>
    <s v="BIC-006"/>
    <s v="高速道桥费"/>
    <n v="1458.3333333333301"/>
    <s v="是"/>
  </r>
  <r>
    <d v="2023-09-30T00:00:00"/>
    <x v="3"/>
    <s v="北京市海淀区东北旺西路8号"/>
    <s v="北京市"/>
    <s v="BIC-008"/>
    <s v="停车费"/>
    <n v="458.7"/>
    <s v="是"/>
  </r>
  <r>
    <d v="2023-09-30T00:00:00"/>
    <x v="5"/>
    <s v="天津市和平区南京路189号"/>
    <s v="天津市"/>
    <s v="BIC-007"/>
    <s v="燃油费"/>
    <n v="3000"/>
    <s v="是"/>
  </r>
  <r>
    <d v="2023-10-01T00:00:00"/>
    <x v="18"/>
    <s v="辽宁省沈阳市和平区青年大街390号"/>
    <s v="辽宁省"/>
    <s v="BIC-007"/>
    <s v="燃油费"/>
    <n v="754.3"/>
    <s v="是"/>
  </r>
  <r>
    <d v="2023-10-02T00:00:00"/>
    <x v="22"/>
    <s v="辽宁省大连中山区长江路123号大连日航酒店4层清苑厅"/>
    <s v="辽宁省"/>
    <s v="BIC-004"/>
    <s v="出租车费"/>
    <n v="388"/>
    <s v="否"/>
  </r>
  <r>
    <d v="2023-10-02T00:00:00"/>
    <x v="8"/>
    <s v="江苏省南京市汉中路2号金陵饭店"/>
    <s v="江苏省"/>
    <s v="BIC-005"/>
    <s v="火车票"/>
    <n v="945.83333333333303"/>
    <s v="否"/>
  </r>
  <r>
    <d v="2023-10-02T00:00:00"/>
    <x v="12"/>
    <s v="河南省郑州金水区金水路115号"/>
    <s v="河南省"/>
    <s v="BIC-006"/>
    <s v="高速道桥费"/>
    <n v="200"/>
    <s v="否"/>
  </r>
  <r>
    <d v="2023-10-03T00:00:00"/>
    <x v="9"/>
    <s v="浙江省苏州市干将西路1296号"/>
    <s v="浙江省"/>
    <s v="BIC-010"/>
    <s v="其他"/>
    <n v="300"/>
    <s v="否"/>
  </r>
  <r>
    <d v="2023-10-04T00:00:00"/>
    <x v="8"/>
    <s v="福建省厦门市软件园二期观日路44号9楼"/>
    <s v="福建省"/>
    <s v="BIC-007"/>
    <s v="燃油费"/>
    <n v="140"/>
    <s v="否"/>
  </r>
  <r>
    <d v="2023-10-04T00:00:00"/>
    <x v="24"/>
    <s v="安徽省合肥市蜀山经济开发区创业大道3号创业大道3号"/>
    <s v="安徽省"/>
    <s v="BIC-010"/>
    <s v="其他"/>
    <n v="3000"/>
    <s v="否"/>
  </r>
  <r>
    <d v="2023-10-04T00:00:00"/>
    <x v="12"/>
    <s v="浙江省杭州市西湖区紫金港路21号"/>
    <s v="浙江省"/>
    <s v="BIC-005"/>
    <s v="火车票"/>
    <n v="1049.9000000000001"/>
    <s v="否"/>
  </r>
  <r>
    <d v="2023-10-06T00:00:00"/>
    <x v="11"/>
    <s v="天津市武清开发区新源道北18号"/>
    <s v="天津市"/>
    <s v="BIC-002"/>
    <s v="酒店住宿"/>
    <n v="2500"/>
    <s v="否"/>
  </r>
  <r>
    <d v="2023-10-06T00:00:00"/>
    <x v="8"/>
    <s v="福建省厦门市软件园二期观日路44号9楼"/>
    <s v="福建省"/>
    <s v="BIC-007"/>
    <s v="燃油费"/>
    <n v="1197.7"/>
    <s v="否"/>
  </r>
  <r>
    <d v="2023-10-06T00:00:00"/>
    <x v="16"/>
    <s v="江西省南昌市高新区京东大道698号"/>
    <s v="江西省"/>
    <s v="BIC-005"/>
    <s v="火车票"/>
    <n v="606.5"/>
    <s v="否"/>
  </r>
  <r>
    <d v="2023-10-08T00:00:00"/>
    <x v="24"/>
    <s v="安徽省合肥市蜀山经济开发区创业大道3号创业大道3号"/>
    <s v="安徽省"/>
    <s v="BIC-007"/>
    <s v="燃油费"/>
    <n v="2500"/>
    <s v="是"/>
  </r>
  <r>
    <d v="2023-10-09T00:00:00"/>
    <x v="1"/>
    <s v="广东省广州市天河区林和西路1号广州国际贸易中心42层"/>
    <s v="广东省"/>
    <s v="BIC-009"/>
    <s v="通讯补助"/>
    <n v="345"/>
    <s v="否"/>
  </r>
  <r>
    <d v="2023-10-09T00:00:00"/>
    <x v="19"/>
    <s v="上海市徐汇区虹桥路3号港汇中心二座10层10.072室"/>
    <s v="上海市"/>
    <s v="BIC-006"/>
    <s v="高速道桥费"/>
    <n v="458.7"/>
    <s v="否"/>
  </r>
  <r>
    <d v="2023-10-10T00:00:00"/>
    <x v="7"/>
    <s v="广东省深圳市嘉里建设广场2座12层体验中心"/>
    <s v="广东省"/>
    <s v="BIC-007"/>
    <s v="燃油费"/>
    <n v="1560.8333333333301"/>
    <s v="否"/>
  </r>
  <r>
    <d v="2023-10-12T00:00:00"/>
    <x v="1"/>
    <s v="上海市浦东新区世纪大道100号上海环球金融中心56楼"/>
    <s v="上海市"/>
    <s v="BIC-003"/>
    <s v="餐饮费"/>
    <n v="3000"/>
    <s v="否"/>
  </r>
  <r>
    <d v="2023-10-12T00:00:00"/>
    <x v="5"/>
    <s v="贵州省贵阳市云岩区安云路樱花巷20号"/>
    <s v="贵州省"/>
    <s v="BIC-009"/>
    <s v="通讯补助"/>
    <n v="120"/>
    <s v="否"/>
  </r>
  <r>
    <d v="2023-10-13T00:00:00"/>
    <x v="6"/>
    <s v="云南省昆明市官渡区拓东路6号"/>
    <s v="云南省"/>
    <s v="BIC-005"/>
    <s v="火车票"/>
    <n v="100"/>
    <s v="否"/>
  </r>
  <r>
    <d v="2023-10-14T00:00:00"/>
    <x v="11"/>
    <s v="天津市武清开发区新源道北18号"/>
    <s v="天津市"/>
    <s v="BIC-006"/>
    <s v="高速道桥费"/>
    <n v="458.7"/>
    <s v="是"/>
  </r>
  <r>
    <d v="2023-10-14T00:00:00"/>
    <x v="14"/>
    <s v="天津市河西区友谊北路银丰花园"/>
    <s v="天津市"/>
    <s v="BIC-006"/>
    <s v="高速道桥费"/>
    <n v="535.83333333333303"/>
    <s v="是"/>
  </r>
  <r>
    <d v="2023-10-14T00:00:00"/>
    <x v="24"/>
    <s v="广东省广州市天河区黄埔大道666号"/>
    <s v="广东省"/>
    <s v="BIC-004"/>
    <s v="出租车费"/>
    <n v="2500"/>
    <s v="是"/>
  </r>
  <r>
    <d v="2023-10-14T00:00:00"/>
    <x v="12"/>
    <s v="浙江省杭州市西湖区紫金港路21号"/>
    <s v="浙江省"/>
    <s v="BIC-005"/>
    <s v="火车票"/>
    <n v="532.6"/>
    <s v="是"/>
  </r>
  <r>
    <d v="2023-10-15T00:00:00"/>
    <x v="3"/>
    <s v="山东省济南市经四小纬二路"/>
    <s v="山东省"/>
    <s v="BIC-008"/>
    <s v="停车费"/>
    <n v="1355.8333333333301"/>
    <s v="是"/>
  </r>
  <r>
    <d v="2023-10-15T00:00:00"/>
    <x v="2"/>
    <s v="福建省福州市湖东路中山大厦，兴业银行"/>
    <s v="福建省"/>
    <s v="BIC-009"/>
    <s v="通讯补助"/>
    <n v="500"/>
    <s v="是"/>
  </r>
  <r>
    <d v="2023-10-15T00:00:00"/>
    <x v="2"/>
    <s v="福建省福州市湖东路中山大厦，兴业银行"/>
    <s v="福建省"/>
    <s v="BIC-001"/>
    <s v="飞机票"/>
    <n v="828.2"/>
    <s v="是"/>
  </r>
  <r>
    <d v="2023-10-15T00:00:00"/>
    <x v="12"/>
    <s v="浙江省苏州市工业园区苏虹东路288号"/>
    <s v="浙江省"/>
    <s v="BIC-008"/>
    <s v="停车费"/>
    <n v="945.83333333333303"/>
    <s v="是"/>
  </r>
  <r>
    <d v="2023-10-15T00:00:00"/>
    <x v="5"/>
    <s v="天津市和平区南京路189号"/>
    <s v="天津市"/>
    <s v="BIC-004"/>
    <s v="出租车费"/>
    <n v="200"/>
    <s v="是"/>
  </r>
  <r>
    <d v="2023-10-17T00:00:00"/>
    <x v="6"/>
    <s v="广东省广州市机场路278号"/>
    <s v="广东省"/>
    <s v="BIC-001"/>
    <s v="飞机票"/>
    <n v="140"/>
    <s v="否"/>
  </r>
  <r>
    <d v="2023-10-17T00:00:00"/>
    <x v="12"/>
    <s v="北京市中关村微软MPR办公室"/>
    <s v="北京市"/>
    <s v="BIC-006"/>
    <s v="高速道桥费"/>
    <n v="388"/>
    <s v="否"/>
  </r>
  <r>
    <d v="2023-10-18T00:00:00"/>
    <x v="0"/>
    <s v="北京市海淀区永嘉北路6号"/>
    <s v="北京市"/>
    <s v="BIC-008"/>
    <s v="停车费"/>
    <n v="29"/>
    <s v="否"/>
  </r>
  <r>
    <d v="2023-10-19T00:00:00"/>
    <x v="4"/>
    <s v="福建省厦门市思明区莲岳路118号中烟大厦1702室"/>
    <s v="福建省"/>
    <s v="BIC-007"/>
    <s v="燃油费"/>
    <n v="1271.5999999999999"/>
    <s v="否"/>
  </r>
  <r>
    <d v="2023-10-19T00:00:00"/>
    <x v="17"/>
    <s v="四川省成都市世纪城路936号"/>
    <s v="四川省"/>
    <s v="BIC-003"/>
    <s v="餐饮费"/>
    <n v="638.33333333333303"/>
    <s v="否"/>
  </r>
  <r>
    <d v="2023-10-20T00:00:00"/>
    <x v="12"/>
    <s v="广东省东莞市新城市商务中心区会展北路"/>
    <s v="广东省"/>
    <s v="BIC-005"/>
    <s v="火车票"/>
    <n v="740.83333333333303"/>
    <s v="否"/>
  </r>
  <r>
    <d v="2023-10-21T00:00:00"/>
    <x v="6"/>
    <s v="山东省青岛市颐中皇冠假日酒店三层多功能厅"/>
    <s v="山东省"/>
    <s v="BIC-005"/>
    <s v="火车票"/>
    <n v="3000"/>
    <s v="是"/>
  </r>
  <r>
    <d v="2023-10-23T00:00:00"/>
    <x v="12"/>
    <s v="浙江省苏州市工业园区苏虹东路288号"/>
    <s v="浙江省"/>
    <s v="BIC-002"/>
    <s v="酒店住宿"/>
    <n v="200"/>
    <s v="否"/>
  </r>
  <r>
    <d v="2023-10-24T00:00:00"/>
    <x v="14"/>
    <s v="北京市东城区朝阳门北大街1号"/>
    <s v="北京市"/>
    <s v="BIC-005"/>
    <s v="火车票"/>
    <n v="300"/>
    <s v="否"/>
  </r>
  <r>
    <d v="2023-10-24T00:00:00"/>
    <x v="4"/>
    <s v="福建省厦门市思明区莲岳路118号中烟大厦1702室"/>
    <s v="福建省"/>
    <s v="BIC-007"/>
    <s v="燃油费"/>
    <n v="345"/>
    <s v="否"/>
  </r>
  <r>
    <d v="2023-10-24T00:00:00"/>
    <x v="12"/>
    <s v="北京市中关村微软MPR办公室"/>
    <s v="北京市"/>
    <s v="BIC-005"/>
    <s v="火车票"/>
    <n v="1355.8333333333301"/>
    <s v="否"/>
  </r>
  <r>
    <d v="2023-10-26T00:00:00"/>
    <x v="1"/>
    <s v="上海市浦东上丰路1111号"/>
    <s v="上海市"/>
    <s v="BIC-003"/>
    <s v="餐饮费"/>
    <n v="140"/>
    <s v="否"/>
  </r>
  <r>
    <d v="2023-10-27T00:00:00"/>
    <x v="15"/>
    <s v="云南省昆明市金鹰广场酒店"/>
    <s v="云南省"/>
    <s v="BIC-006"/>
    <s v="高速道桥费"/>
    <n v="2500"/>
    <s v="否"/>
  </r>
  <r>
    <d v="2023-10-27T00:00:00"/>
    <x v="14"/>
    <s v="四川省绵阳市绵山路64号"/>
    <s v="四川省"/>
    <s v="BIC-004"/>
    <s v="出租车费"/>
    <n v="843.33333333333303"/>
    <s v="否"/>
  </r>
  <r>
    <d v="2023-10-27T00:00:00"/>
    <x v="7"/>
    <s v="北京市西城区阜成门外大街29号"/>
    <s v="北京市"/>
    <s v="BIC-006"/>
    <s v="高速道桥费"/>
    <n v="606.5"/>
    <s v="否"/>
  </r>
  <r>
    <d v="2023-10-28T00:00:00"/>
    <x v="1"/>
    <s v="杭州市滨江区南环路3758号"/>
    <s v="杭州市"/>
    <s v="BIC-003"/>
    <s v="餐饮费"/>
    <n v="532.6"/>
    <s v="是"/>
  </r>
  <r>
    <d v="2023-10-28T00:00:00"/>
    <x v="4"/>
    <s v="北京市方恒假日酒店5号会议室"/>
    <s v="北京市"/>
    <s v="BIC-004"/>
    <s v="出租车费"/>
    <n v="200"/>
    <s v="是"/>
  </r>
  <r>
    <d v="2023-10-28T00:00:00"/>
    <x v="4"/>
    <s v="重庆市渝州路68号"/>
    <s v="重庆市"/>
    <s v="BIC-008"/>
    <s v="停车费"/>
    <n v="1048.3333333333301"/>
    <s v="是"/>
  </r>
  <r>
    <d v="2023-10-28T00:00:00"/>
    <x v="13"/>
    <s v="浙江省嘉兴市环城南路393号"/>
    <s v="浙江省"/>
    <s v="BIC-008"/>
    <s v="停车费"/>
    <n v="945.83333333333303"/>
    <s v="是"/>
  </r>
  <r>
    <d v="2023-10-31T00:00:00"/>
    <x v="14"/>
    <s v="山西省银川市兴庆区北京东路477号柏悦酒店6楼中华厅"/>
    <s v="山西省"/>
    <s v="BIC-008"/>
    <s v="停车费"/>
    <n v="246"/>
    <s v="否"/>
  </r>
  <r>
    <d v="2023-10-31T00:00:00"/>
    <x v="17"/>
    <s v="上海市天平宾馆6层"/>
    <s v="上海市"/>
    <s v="BIC-007"/>
    <s v="燃油费"/>
    <n v="1253.3333333333301"/>
    <s v="否"/>
  </r>
  <r>
    <d v="2023-11-06T00:00:00"/>
    <x v="19"/>
    <s v="江苏省扬州市汶河北路42号蓝天大厦"/>
    <s v="江苏省"/>
    <s v="BIC-010"/>
    <s v="其他"/>
    <n v="945.83333333333303"/>
    <s v="否"/>
  </r>
  <r>
    <d v="2023-11-08T00:00:00"/>
    <x v="20"/>
    <s v="北京市朝阳区光华路2号阳光100G座上海文广大夏7层"/>
    <s v="北京市"/>
    <s v="BIC-007"/>
    <s v="燃油费"/>
    <n v="1253.3333333333301"/>
    <s v="否"/>
  </r>
  <r>
    <d v="2023-11-13T00:00:00"/>
    <x v="18"/>
    <s v="北京市香山饭店"/>
    <s v="北京市"/>
    <s v="BIC-003"/>
    <s v="餐饮费"/>
    <n v="3000"/>
    <s v="否"/>
  </r>
  <r>
    <d v="2023-11-13T00:00:00"/>
    <x v="7"/>
    <s v="福建省厦门市湖里区湖里高新科技园361度大厦"/>
    <s v="福建省"/>
    <s v="BIC-010"/>
    <s v="其他"/>
    <n v="1253.3333333333301"/>
    <s v="否"/>
  </r>
  <r>
    <d v="2023-11-15T00:00:00"/>
    <x v="3"/>
    <s v="河南省郑州市金水东路与民生路"/>
    <s v="河南省"/>
    <s v="BIC-006"/>
    <s v="高速道桥费"/>
    <n v="29"/>
    <s v="否"/>
  </r>
  <r>
    <d v="2023-11-16T00:00:00"/>
    <x v="15"/>
    <s v="江苏省南京市白下区汉中路89号"/>
    <s v="江苏省"/>
    <s v="BIC-010"/>
    <s v="其他"/>
    <n v="433.33333333333297"/>
    <s v="否"/>
  </r>
  <r>
    <d v="2023-11-16T00:00:00"/>
    <x v="16"/>
    <s v="北京市利星行广场微软大厦206体验中心"/>
    <s v="北京市"/>
    <s v="BIC-005"/>
    <s v="火车票"/>
    <n v="1048.3333333333301"/>
    <s v="否"/>
  </r>
  <r>
    <d v="2023-11-16T00:00:00"/>
    <x v="12"/>
    <s v="浙江省杭州市西湖区紫金港路21号"/>
    <s v="浙江省"/>
    <s v="BIC-005"/>
    <s v="火车票"/>
    <n v="976"/>
    <s v="否"/>
  </r>
  <r>
    <d v="2023-11-22T00:00:00"/>
    <x v="6"/>
    <s v="山西省大同市南城墙永泰西门"/>
    <s v="山西省"/>
    <s v="BIC-003"/>
    <s v="餐饮费"/>
    <n v="828.2"/>
    <s v="否"/>
  </r>
  <r>
    <d v="2023-11-25T00:00:00"/>
    <x v="24"/>
    <s v="广东省广州市天河区黄埔大道666号"/>
    <s v="广东省"/>
    <s v="BIC-001"/>
    <s v="飞机票"/>
    <n v="1197.7"/>
    <s v="是"/>
  </r>
  <r>
    <d v="2023-11-25T00:00:00"/>
    <x v="5"/>
    <s v="四川省成都市城市名人酒店"/>
    <s v="四川省"/>
    <s v="BIC-002"/>
    <s v="酒店住宿"/>
    <n v="754.3"/>
    <s v="是"/>
  </r>
  <r>
    <d v="2023-12-02T00:00:00"/>
    <x v="10"/>
    <s v="北京市海淀区知春路113银网中心A座"/>
    <s v="北京市"/>
    <s v="BIC-008"/>
    <s v="停车费"/>
    <n v="740.83333333333303"/>
    <s v="是"/>
  </r>
  <r>
    <d v="2023-12-04T00:00:00"/>
    <x v="20"/>
    <s v="北京市朝阳区光华路2号阳光100G座上海文广大夏7层"/>
    <s v="北京市"/>
    <s v="BIC-005"/>
    <s v="火车票"/>
    <n v="246"/>
    <s v="否"/>
  </r>
  <r>
    <d v="2023-12-11T00:00:00"/>
    <x v="1"/>
    <s v="吉林省长春市青荫路435号"/>
    <s v="吉林省"/>
    <s v="BIC-010"/>
    <s v="其他"/>
    <n v="2500"/>
    <s v="否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K2:M19" firstHeaderRow="1" firstDataRow="1" firstDataCol="0"/>
  <pivotFields count="8">
    <pivotField numFmtId="180" showAll="0"/>
    <pivotField showAll="0">
      <items count="28">
        <item x="19"/>
        <item x="3"/>
        <item x="21"/>
        <item x="1"/>
        <item x="10"/>
        <item x="23"/>
        <item x="24"/>
        <item x="20"/>
        <item x="14"/>
        <item x="8"/>
        <item x="4"/>
        <item x="7"/>
        <item x="12"/>
        <item x="6"/>
        <item x="22"/>
        <item x="0"/>
        <item x="11"/>
        <item x="9"/>
        <item x="15"/>
        <item x="5"/>
        <item x="13"/>
        <item x="2"/>
        <item x="26"/>
        <item x="25"/>
        <item x="16"/>
        <item x="17"/>
        <item x="18"/>
        <item t="default"/>
      </items>
    </pivotField>
    <pivotField showAll="0"/>
    <pivotField showAll="0"/>
    <pivotField showAll="0"/>
    <pivotField showAll="0"/>
    <pivotField numFmtId="44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报销人" sourceName="报销人">
  <pivotTables>
    <pivotTable tabId="1" name="数据透视表1"/>
  </pivotTables>
  <data>
    <tabular pivotCacheId="1">
      <items count="27">
        <i x="19" s="1"/>
        <i x="3" s="1"/>
        <i x="21" s="1"/>
        <i x="1" s="1"/>
        <i x="10" s="1"/>
        <i x="23" s="1"/>
        <i x="24" s="1"/>
        <i x="20" s="1"/>
        <i x="14" s="1"/>
        <i x="8" s="1"/>
        <i x="4" s="1"/>
        <i x="7" s="1"/>
        <i x="12" s="1"/>
        <i x="6" s="1"/>
        <i x="22" s="1"/>
        <i x="0" s="1"/>
        <i x="11" s="1"/>
        <i x="9" s="1"/>
        <i x="15" s="1"/>
        <i x="5" s="1"/>
        <i x="13" s="1"/>
        <i x="2" s="1"/>
        <i x="26" s="1"/>
        <i x="25" s="1"/>
        <i x="16" s="1"/>
        <i x="17" s="1"/>
        <i x="1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报销人" cache="切片器_报销人" caption="报销人" columnCount="3" rowHeight="225425"/>
</slicers>
</file>

<file path=xl/tables/table1.xml><?xml version="1.0" encoding="utf-8"?>
<table xmlns="http://schemas.openxmlformats.org/spreadsheetml/2006/main" id="1" name="差旅报销数据" displayName="差旅报销数据" ref="A2:J401" totalsRowShown="0" headerRowDxfId="14" headerRowBorderDxfId="12" tableBorderDxfId="13" totalsRowBorderDxfId="11">
  <autoFilter ref="A2:J401"/>
  <tableColumns count="10">
    <tableColumn id="1" name="日期" dataDxfId="10"/>
    <tableColumn id="2" name="报销人" dataDxfId="9"/>
    <tableColumn id="3" name="活动地点" dataDxfId="8"/>
    <tableColumn id="4" name="地区" dataDxfId="7">
      <calculatedColumnFormula>LEFT(C3,3)</calculatedColumnFormula>
    </tableColumn>
    <tableColumn id="5" name="费用类别编号" dataDxfId="6"/>
    <tableColumn id="6" name="费用类别" dataDxfId="5">
      <calculatedColumnFormula>VLOOKUP(E3,费用类别!A:B,2,0)</calculatedColumnFormula>
    </tableColumn>
    <tableColumn id="7" name="差旅费用金额" dataDxfId="4"/>
    <tableColumn id="8" name="是否加班" dataDxfId="3">
      <calculatedColumnFormula>IF(WEEKDAY(A3,2)&gt;5,"是","否")</calculatedColumnFormula>
    </tableColumn>
    <tableColumn id="9" name="列1" dataDxfId="2">
      <calculatedColumnFormula>B3&amp;F3</calculatedColumnFormula>
    </tableColumn>
    <tableColumn id="10" name="列2" dataDxfId="1">
      <calculatedColumnFormula>IF(SUMPRODUCT((I$3:I3=I3)*1)=1,1,0)</calculatedColumnFormula>
    </tableColumn>
  </tableColumns>
  <tableStyleInfo name="TableStyleMedium3" showFirstColumn="0" showLastColumn="0" showRowStripes="0" showColumnStripes="0"/>
</table>
</file>

<file path=xl/tables/table2.xml><?xml version="1.0" encoding="utf-8"?>
<table xmlns="http://schemas.openxmlformats.org/spreadsheetml/2006/main" id="4" name="表4" displayName="表4" ref="A2:B12" totalsRowShown="0" headerRowDxfId="18" dataDxfId="17">
  <sortState ref="A3:B12">
    <sortCondition ref="B3"/>
  </sortState>
  <tableColumns count="2">
    <tableColumn id="1" name="类别编号" dataDxfId="16"/>
    <tableColumn id="2" name="费用类别" dataDxfId="1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1"/>
  <sheetViews>
    <sheetView zoomScaleNormal="10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ColWidth="9" defaultRowHeight="12"/>
  <cols>
    <col min="1" max="1" width="23" style="2" bestFit="1" customWidth="1"/>
    <col min="2" max="2" width="16.25" style="6" customWidth="1"/>
    <col min="3" max="3" width="51.125" style="3" bestFit="1" customWidth="1"/>
    <col min="4" max="4" width="13.625" style="3" customWidth="1"/>
    <col min="5" max="5" width="14" style="3" customWidth="1"/>
    <col min="6" max="6" width="19.875" style="3" bestFit="1" customWidth="1"/>
    <col min="7" max="10" width="15.625" style="3" customWidth="1"/>
    <col min="11" max="11" width="14.625" style="3" bestFit="1" customWidth="1"/>
    <col min="12" max="12" width="13.125" style="3" bestFit="1" customWidth="1"/>
    <col min="13" max="13" width="16" style="3" bestFit="1" customWidth="1"/>
    <col min="14" max="16384" width="9" style="3"/>
  </cols>
  <sheetData>
    <row r="1" spans="1:13" ht="36.75" customHeight="1">
      <c r="A1" s="17" t="s">
        <v>155</v>
      </c>
      <c r="B1" s="17"/>
      <c r="C1" s="17"/>
      <c r="D1" s="17"/>
      <c r="E1" s="17"/>
      <c r="F1" s="17"/>
      <c r="G1" s="17"/>
      <c r="H1" s="17"/>
      <c r="I1" s="16"/>
      <c r="J1" s="16"/>
      <c r="L1" s="4"/>
    </row>
    <row r="2" spans="1:13" ht="23.25" customHeight="1">
      <c r="A2" s="21" t="s">
        <v>0</v>
      </c>
      <c r="B2" s="22" t="s">
        <v>10</v>
      </c>
      <c r="C2" s="22" t="s">
        <v>1</v>
      </c>
      <c r="D2" s="22" t="s">
        <v>107</v>
      </c>
      <c r="E2" s="22" t="s">
        <v>151</v>
      </c>
      <c r="F2" s="22" t="s">
        <v>2</v>
      </c>
      <c r="G2" s="22" t="s">
        <v>153</v>
      </c>
      <c r="H2" s="23" t="s">
        <v>3</v>
      </c>
      <c r="I2" s="22" t="s">
        <v>178</v>
      </c>
      <c r="J2" s="22" t="s">
        <v>179</v>
      </c>
      <c r="K2" s="28"/>
      <c r="L2" s="29"/>
      <c r="M2" s="30"/>
    </row>
    <row r="3" spans="1:13" ht="13.5">
      <c r="A3" s="19">
        <v>44941</v>
      </c>
      <c r="B3" s="8" t="s">
        <v>110</v>
      </c>
      <c r="C3" s="8" t="s">
        <v>13</v>
      </c>
      <c r="D3" s="8" t="str">
        <f>LEFT(C3,3)</f>
        <v>上海市</v>
      </c>
      <c r="E3" s="8" t="s">
        <v>137</v>
      </c>
      <c r="F3" s="8" t="str">
        <f>VLOOKUP(E3,费用类别!A:B,2,0)</f>
        <v>餐饮费</v>
      </c>
      <c r="G3" s="9">
        <v>3000</v>
      </c>
      <c r="H3" s="20" t="str">
        <f>IF(WEEKDAY(A3,2)&gt;5,"是","否")</f>
        <v>是</v>
      </c>
      <c r="I3" s="22" t="str">
        <f t="shared" ref="I3:I66" si="0">B3&amp;F3</f>
        <v>王天宇餐饮费</v>
      </c>
      <c r="J3" s="37">
        <f>IF(SUMPRODUCT((I$3:I3=I3)*1)=1,1,0)</f>
        <v>1</v>
      </c>
      <c r="K3" s="31"/>
      <c r="L3" s="32"/>
      <c r="M3" s="33"/>
    </row>
    <row r="4" spans="1:13" ht="13.5">
      <c r="A4" s="19">
        <v>44969</v>
      </c>
      <c r="B4" s="8" t="s">
        <v>111</v>
      </c>
      <c r="C4" s="8" t="s">
        <v>14</v>
      </c>
      <c r="D4" s="8" t="str">
        <f>LEFT(C4,3)</f>
        <v>上海市</v>
      </c>
      <c r="E4" s="8" t="s">
        <v>138</v>
      </c>
      <c r="F4" s="8" t="str">
        <f>VLOOKUP(E4,费用类别!A:B,2,0)</f>
        <v>出租车费</v>
      </c>
      <c r="G4" s="9">
        <v>300</v>
      </c>
      <c r="H4" s="20" t="str">
        <f>IF(WEEKDAY(A4,2)&gt;5,"是","否")</f>
        <v>是</v>
      </c>
      <c r="I4" s="8" t="str">
        <f t="shared" si="0"/>
        <v>方文成出租车费</v>
      </c>
      <c r="J4" s="37">
        <f>IF(SUMPRODUCT((I$3:I4=I4)*1)=1,1,0)</f>
        <v>1</v>
      </c>
      <c r="K4" s="31"/>
      <c r="L4" s="32"/>
      <c r="M4" s="33"/>
    </row>
    <row r="5" spans="1:13" ht="13.5">
      <c r="A5" s="19">
        <v>44979</v>
      </c>
      <c r="B5" s="8" t="s">
        <v>116</v>
      </c>
      <c r="C5" s="8" t="s">
        <v>20</v>
      </c>
      <c r="D5" s="8" t="str">
        <f>LEFT(C5,3)</f>
        <v>北京市</v>
      </c>
      <c r="E5" s="8" t="s">
        <v>141</v>
      </c>
      <c r="F5" s="8" t="str">
        <f>VLOOKUP(E5,费用类别!A:B,2,0)</f>
        <v>燃油费</v>
      </c>
      <c r="G5" s="9">
        <v>22</v>
      </c>
      <c r="H5" s="20" t="str">
        <f>IF(WEEKDAY(A5,2)&gt;5,"是","否")</f>
        <v>否</v>
      </c>
      <c r="I5" s="8" t="str">
        <f t="shared" si="0"/>
        <v>徐志晨燃油费</v>
      </c>
      <c r="J5" s="37">
        <f>IF(SUMPRODUCT((I$3:I5=I5)*1)=1,1,0)</f>
        <v>1</v>
      </c>
      <c r="K5" s="31"/>
      <c r="L5" s="32"/>
      <c r="M5" s="33"/>
    </row>
    <row r="6" spans="1:13" ht="13.5">
      <c r="A6" s="19">
        <v>44984</v>
      </c>
      <c r="B6" s="8" t="s">
        <v>109</v>
      </c>
      <c r="C6" s="8" t="s">
        <v>12</v>
      </c>
      <c r="D6" s="8" t="str">
        <f>LEFT(C6,3)</f>
        <v>广东省</v>
      </c>
      <c r="E6" s="8" t="s">
        <v>136</v>
      </c>
      <c r="F6" s="8" t="str">
        <f>VLOOKUP(E6,费用类别!A:B,2,0)</f>
        <v>酒店住宿</v>
      </c>
      <c r="G6" s="9">
        <v>200</v>
      </c>
      <c r="H6" s="20" t="str">
        <f>IF(WEEKDAY(A6,2)&gt;5,"是","否")</f>
        <v>否</v>
      </c>
      <c r="I6" s="8" t="str">
        <f t="shared" si="0"/>
        <v>陈祥通酒店住宿</v>
      </c>
      <c r="J6" s="37">
        <f>IF(SUMPRODUCT((I$3:I6=I6)*1)=1,1,0)</f>
        <v>1</v>
      </c>
      <c r="K6" s="31"/>
      <c r="L6" s="32"/>
      <c r="M6" s="33"/>
    </row>
    <row r="7" spans="1:13" ht="13.5">
      <c r="A7" s="19">
        <v>44990</v>
      </c>
      <c r="B7" s="8" t="s">
        <v>108</v>
      </c>
      <c r="C7" s="8" t="s">
        <v>11</v>
      </c>
      <c r="D7" s="8" t="str">
        <f>LEFT(C7,3)</f>
        <v>福建省</v>
      </c>
      <c r="E7" s="8" t="s">
        <v>152</v>
      </c>
      <c r="F7" s="8" t="str">
        <f>VLOOKUP(E7,费用类别!A:B,2,0)</f>
        <v>飞机票</v>
      </c>
      <c r="G7" s="9">
        <v>120</v>
      </c>
      <c r="H7" s="20" t="str">
        <f>IF(WEEKDAY(A7,2)&gt;5,"是","否")</f>
        <v>是</v>
      </c>
      <c r="I7" s="8" t="str">
        <f t="shared" si="0"/>
        <v>孟天祥飞机票</v>
      </c>
      <c r="J7" s="37">
        <f>IF(SUMPRODUCT((I$3:I7=I7)*1)=1,1,0)</f>
        <v>1</v>
      </c>
      <c r="K7" s="31"/>
      <c r="L7" s="32"/>
      <c r="M7" s="33"/>
    </row>
    <row r="8" spans="1:13" ht="13.5">
      <c r="A8" s="19">
        <v>44995</v>
      </c>
      <c r="B8" s="8" t="s">
        <v>120</v>
      </c>
      <c r="C8" s="8" t="s">
        <v>33</v>
      </c>
      <c r="D8" s="8" t="str">
        <f>LEFT(C8,3)</f>
        <v>天津市</v>
      </c>
      <c r="E8" s="8" t="s">
        <v>143</v>
      </c>
      <c r="F8" s="8" t="str">
        <f>VLOOKUP(E8,费用类别!A:B,2,0)</f>
        <v>通讯补助</v>
      </c>
      <c r="G8" s="9">
        <v>1049.9000000000001</v>
      </c>
      <c r="H8" s="20" t="str">
        <f>IF(WEEKDAY(A8,2)&gt;5,"是","否")</f>
        <v>否</v>
      </c>
      <c r="I8" s="8" t="str">
        <f t="shared" si="0"/>
        <v>谢丽秋通讯补助</v>
      </c>
      <c r="J8" s="37">
        <f>IF(SUMPRODUCT((I$3:I8=I8)*1)=1,1,0)</f>
        <v>1</v>
      </c>
      <c r="K8" s="31"/>
      <c r="L8" s="32"/>
      <c r="M8" s="33"/>
    </row>
    <row r="9" spans="1:13" ht="13.5">
      <c r="A9" s="19">
        <v>44999</v>
      </c>
      <c r="B9" s="8" t="s">
        <v>113</v>
      </c>
      <c r="C9" s="8" t="s">
        <v>16</v>
      </c>
      <c r="D9" s="8" t="str">
        <f>LEFT(C9,3)</f>
        <v>云南省</v>
      </c>
      <c r="E9" s="8" t="s">
        <v>140</v>
      </c>
      <c r="F9" s="8" t="str">
        <f>VLOOKUP(E9,费用类别!A:B,2,0)</f>
        <v>高速道桥费</v>
      </c>
      <c r="G9" s="9">
        <v>2500</v>
      </c>
      <c r="H9" s="20" t="str">
        <f>IF(WEEKDAY(A9,2)&gt;5,"是","否")</f>
        <v>否</v>
      </c>
      <c r="I9" s="8" t="str">
        <f t="shared" si="0"/>
        <v>王崇江高速道桥费</v>
      </c>
      <c r="J9" s="37">
        <f>IF(SUMPRODUCT((I$3:I9=I9)*1)=1,1,0)</f>
        <v>1</v>
      </c>
      <c r="K9" s="31"/>
      <c r="L9" s="32"/>
      <c r="M9" s="33"/>
    </row>
    <row r="10" spans="1:13" ht="14.25" customHeight="1">
      <c r="A10" s="19">
        <v>44999</v>
      </c>
      <c r="B10" s="8" t="s">
        <v>154</v>
      </c>
      <c r="C10" s="8" t="s">
        <v>15</v>
      </c>
      <c r="D10" s="8" t="str">
        <f>LEFT(C10,3)</f>
        <v>海南省</v>
      </c>
      <c r="E10" s="8" t="s">
        <v>158</v>
      </c>
      <c r="F10" s="8" t="str">
        <f>VLOOKUP(E10,费用类别!A:B,2,0)</f>
        <v>火车票</v>
      </c>
      <c r="G10" s="9">
        <v>100</v>
      </c>
      <c r="H10" s="20" t="str">
        <f>IF(WEEKDAY(A10,2)&gt;5,"是","否")</f>
        <v>否</v>
      </c>
      <c r="I10" s="8" t="str">
        <f t="shared" si="0"/>
        <v>钱顺卓火车票</v>
      </c>
      <c r="J10" s="37">
        <f>IF(SUMPRODUCT((I$3:I10=I10)*1)=1,1,0)</f>
        <v>1</v>
      </c>
      <c r="K10" s="31"/>
      <c r="L10" s="32"/>
      <c r="M10" s="33"/>
    </row>
    <row r="11" spans="1:13" ht="13.5">
      <c r="A11" s="19">
        <v>45000</v>
      </c>
      <c r="B11" s="8" t="s">
        <v>122</v>
      </c>
      <c r="C11" s="8" t="s">
        <v>52</v>
      </c>
      <c r="D11" s="8" t="str">
        <f>LEFT(C11,3)</f>
        <v>江苏省</v>
      </c>
      <c r="E11" s="8" t="s">
        <v>139</v>
      </c>
      <c r="F11" s="8" t="str">
        <f>VLOOKUP(E11,费用类别!A:B,2,0)</f>
        <v>火车票</v>
      </c>
      <c r="G11" s="9">
        <v>606.5</v>
      </c>
      <c r="H11" s="20" t="str">
        <f>IF(WEEKDAY(A11,2)&gt;5,"是","否")</f>
        <v>否</v>
      </c>
      <c r="I11" s="8" t="str">
        <f t="shared" si="0"/>
        <v>刘长辉火车票</v>
      </c>
      <c r="J11" s="37">
        <f>IF(SUMPRODUCT((I$3:I11=I11)*1)=1,1,0)</f>
        <v>1</v>
      </c>
      <c r="K11" s="31"/>
      <c r="L11" s="32"/>
      <c r="M11" s="33"/>
    </row>
    <row r="12" spans="1:13" ht="13.5">
      <c r="A12" s="19">
        <v>45001</v>
      </c>
      <c r="B12" s="8" t="s">
        <v>111</v>
      </c>
      <c r="C12" s="8" t="s">
        <v>31</v>
      </c>
      <c r="D12" s="8" t="str">
        <f>LEFT(C12,3)</f>
        <v>广东省</v>
      </c>
      <c r="E12" s="8" t="s">
        <v>141</v>
      </c>
      <c r="F12" s="8" t="str">
        <f>VLOOKUP(E12,费用类别!A:B,2,0)</f>
        <v>燃油费</v>
      </c>
      <c r="G12" s="9">
        <v>902.1</v>
      </c>
      <c r="H12" s="20" t="str">
        <f>IF(WEEKDAY(A12,2)&gt;5,"是","否")</f>
        <v>否</v>
      </c>
      <c r="I12" s="8" t="str">
        <f t="shared" si="0"/>
        <v>方文成燃油费</v>
      </c>
      <c r="J12" s="37">
        <f>IF(SUMPRODUCT((I$3:I12=I12)*1)=1,1,0)</f>
        <v>1</v>
      </c>
      <c r="K12" s="31"/>
      <c r="L12" s="32"/>
      <c r="M12" s="33"/>
    </row>
    <row r="13" spans="1:13" ht="13.5">
      <c r="A13" s="19">
        <v>45008</v>
      </c>
      <c r="B13" s="8" t="s">
        <v>118</v>
      </c>
      <c r="C13" s="8" t="s">
        <v>22</v>
      </c>
      <c r="D13" s="8" t="str">
        <f>LEFT(C13,3)</f>
        <v>贵州省</v>
      </c>
      <c r="E13" s="8" t="s">
        <v>143</v>
      </c>
      <c r="F13" s="8" t="str">
        <f>VLOOKUP(E13,费用类别!A:B,2,0)</f>
        <v>通讯补助</v>
      </c>
      <c r="G13" s="9">
        <v>388</v>
      </c>
      <c r="H13" s="20" t="str">
        <f>IF(WEEKDAY(A13,2)&gt;5,"是","否")</f>
        <v>否</v>
      </c>
      <c r="I13" s="8" t="str">
        <f t="shared" si="0"/>
        <v>王炫皓通讯补助</v>
      </c>
      <c r="J13" s="37">
        <f>IF(SUMPRODUCT((I$3:I13=I13)*1)=1,1,0)</f>
        <v>1</v>
      </c>
      <c r="K13" s="31"/>
      <c r="L13" s="32"/>
      <c r="M13" s="33"/>
    </row>
    <row r="14" spans="1:13" ht="13.5">
      <c r="A14" s="19">
        <v>45008</v>
      </c>
      <c r="B14" s="8" t="s">
        <v>121</v>
      </c>
      <c r="C14" s="8" t="s">
        <v>26</v>
      </c>
      <c r="D14" s="8" t="str">
        <f>LEFT(C14,3)</f>
        <v>浙江省</v>
      </c>
      <c r="E14" s="8" t="s">
        <v>139</v>
      </c>
      <c r="F14" s="8" t="str">
        <f>VLOOKUP(E14,费用类别!A:B,2,0)</f>
        <v>火车票</v>
      </c>
      <c r="G14" s="9">
        <v>532.6</v>
      </c>
      <c r="H14" s="20" t="str">
        <f>IF(WEEKDAY(A14,2)&gt;5,"是","否")</f>
        <v>否</v>
      </c>
      <c r="I14" s="8" t="str">
        <f t="shared" si="0"/>
        <v>关天胜火车票</v>
      </c>
      <c r="J14" s="37">
        <f>IF(SUMPRODUCT((I$3:I14=I14)*1)=1,1,0)</f>
        <v>1</v>
      </c>
      <c r="K14" s="31"/>
      <c r="L14" s="32"/>
      <c r="M14" s="33"/>
    </row>
    <row r="15" spans="1:13" ht="13.5">
      <c r="A15" s="19">
        <v>45010</v>
      </c>
      <c r="B15" s="8" t="s">
        <v>131</v>
      </c>
      <c r="C15" s="8" t="s">
        <v>61</v>
      </c>
      <c r="D15" s="8" t="str">
        <f>LEFT(C15,3)</f>
        <v>天津市</v>
      </c>
      <c r="E15" s="8" t="s">
        <v>141</v>
      </c>
      <c r="F15" s="8" t="str">
        <f>VLOOKUP(E15,费用类别!A:B,2,0)</f>
        <v>燃油费</v>
      </c>
      <c r="G15" s="9">
        <v>945.83333333333303</v>
      </c>
      <c r="H15" s="20" t="str">
        <f>IF(WEEKDAY(A15,2)&gt;5,"是","否")</f>
        <v>是</v>
      </c>
      <c r="I15" s="8" t="str">
        <f t="shared" si="0"/>
        <v>王欣荣燃油费</v>
      </c>
      <c r="J15" s="37">
        <f>IF(SUMPRODUCT((I$3:I15=I15)*1)=1,1,0)</f>
        <v>1</v>
      </c>
      <c r="K15" s="31"/>
      <c r="L15" s="32"/>
      <c r="M15" s="33"/>
    </row>
    <row r="16" spans="1:13" ht="13.5">
      <c r="A16" s="19">
        <v>45010</v>
      </c>
      <c r="B16" s="8" t="s">
        <v>134</v>
      </c>
      <c r="C16" s="8" t="s">
        <v>27</v>
      </c>
      <c r="D16" s="8" t="str">
        <f>LEFT(C16,3)</f>
        <v>浙江省</v>
      </c>
      <c r="E16" s="8" t="s">
        <v>140</v>
      </c>
      <c r="F16" s="8" t="str">
        <f>VLOOKUP(E16,费用类别!A:B,2,0)</f>
        <v>高速道桥费</v>
      </c>
      <c r="G16" s="9">
        <v>606.5</v>
      </c>
      <c r="H16" s="20" t="str">
        <f>IF(WEEKDAY(A16,2)&gt;5,"是","否")</f>
        <v>是</v>
      </c>
      <c r="I16" s="8" t="str">
        <f t="shared" si="0"/>
        <v>唐雅林高速道桥费</v>
      </c>
      <c r="J16" s="37">
        <f>IF(SUMPRODUCT((I$3:I16=I16)*1)=1,1,0)</f>
        <v>1</v>
      </c>
      <c r="K16" s="31"/>
      <c r="L16" s="32"/>
      <c r="M16" s="33"/>
    </row>
    <row r="17" spans="1:13" ht="13.5">
      <c r="A17" s="19">
        <v>45012</v>
      </c>
      <c r="B17" s="8" t="s">
        <v>121</v>
      </c>
      <c r="C17" s="8" t="s">
        <v>47</v>
      </c>
      <c r="D17" s="8" t="str">
        <f>LEFT(C17,3)</f>
        <v>北京市</v>
      </c>
      <c r="E17" s="8" t="s">
        <v>137</v>
      </c>
      <c r="F17" s="8" t="str">
        <f>VLOOKUP(E17,费用类别!A:B,2,0)</f>
        <v>餐饮费</v>
      </c>
      <c r="G17" s="9">
        <v>388</v>
      </c>
      <c r="H17" s="20" t="str">
        <f>IF(WEEKDAY(A17,2)&gt;5,"是","否")</f>
        <v>否</v>
      </c>
      <c r="I17" s="8" t="str">
        <f t="shared" si="0"/>
        <v>关天胜餐饮费</v>
      </c>
      <c r="J17" s="37">
        <f>IF(SUMPRODUCT((I$3:I17=I17)*1)=1,1,0)</f>
        <v>1</v>
      </c>
      <c r="K17" s="31"/>
      <c r="L17" s="32"/>
      <c r="M17" s="33"/>
    </row>
    <row r="18" spans="1:13" ht="13.5">
      <c r="A18" s="19">
        <v>45016</v>
      </c>
      <c r="B18" s="8" t="s">
        <v>113</v>
      </c>
      <c r="C18" s="8" t="s">
        <v>57</v>
      </c>
      <c r="D18" s="8" t="str">
        <f>LEFT(C18,3)</f>
        <v>上海市</v>
      </c>
      <c r="E18" s="8" t="s">
        <v>140</v>
      </c>
      <c r="F18" s="8" t="str">
        <f>VLOOKUP(E18,费用类别!A:B,2,0)</f>
        <v>高速道桥费</v>
      </c>
      <c r="G18" s="9">
        <v>535.83333333333303</v>
      </c>
      <c r="H18" s="20" t="str">
        <f>IF(WEEKDAY(A18,2)&gt;5,"是","否")</f>
        <v>否</v>
      </c>
      <c r="I18" s="8" t="str">
        <f t="shared" si="0"/>
        <v>王崇江高速道桥费</v>
      </c>
      <c r="J18" s="37">
        <f>IF(SUMPRODUCT((I$3:I18=I18)*1)=1,1,0)</f>
        <v>0</v>
      </c>
      <c r="K18" s="31"/>
      <c r="L18" s="32"/>
      <c r="M18" s="33"/>
    </row>
    <row r="19" spans="1:13" ht="13.5">
      <c r="A19" s="19">
        <v>45021</v>
      </c>
      <c r="B19" s="8" t="s">
        <v>132</v>
      </c>
      <c r="C19" s="8" t="s">
        <v>64</v>
      </c>
      <c r="D19" s="8" t="str">
        <f>LEFT(C19,3)</f>
        <v>广东省</v>
      </c>
      <c r="E19" s="8" t="s">
        <v>137</v>
      </c>
      <c r="F19" s="8" t="str">
        <f>VLOOKUP(E19,费用类别!A:B,2,0)</f>
        <v>餐饮费</v>
      </c>
      <c r="G19" s="9">
        <v>1253.3333333333301</v>
      </c>
      <c r="H19" s="20" t="str">
        <f>IF(WEEKDAY(A19,2)&gt;5,"是","否")</f>
        <v>否</v>
      </c>
      <c r="I19" s="8" t="str">
        <f t="shared" si="0"/>
        <v>徐亚楠餐饮费</v>
      </c>
      <c r="J19" s="37">
        <f>IF(SUMPRODUCT((I$3:I19=I19)*1)=1,1,0)</f>
        <v>1</v>
      </c>
      <c r="K19" s="34"/>
      <c r="L19" s="35"/>
      <c r="M19" s="36"/>
    </row>
    <row r="20" spans="1:13" ht="13.5">
      <c r="A20" s="19">
        <v>45022</v>
      </c>
      <c r="B20" s="8" t="s">
        <v>115</v>
      </c>
      <c r="C20" s="8" t="s">
        <v>36</v>
      </c>
      <c r="D20" s="8" t="str">
        <f>LEFT(C20,3)</f>
        <v>重庆市</v>
      </c>
      <c r="E20" s="8" t="s">
        <v>140</v>
      </c>
      <c r="F20" s="8" t="str">
        <f>VLOOKUP(E20,费用类别!A:B,2,0)</f>
        <v>高速道桥费</v>
      </c>
      <c r="G20" s="9">
        <v>120</v>
      </c>
      <c r="H20" s="20" t="str">
        <f>IF(WEEKDAY(A20,2)&gt;5,"是","否")</f>
        <v>否</v>
      </c>
      <c r="I20" s="8" t="str">
        <f t="shared" si="0"/>
        <v>刘露露高速道桥费</v>
      </c>
      <c r="J20" s="37">
        <f>IF(SUMPRODUCT((I$3:I20=I20)*1)=1,1,0)</f>
        <v>1</v>
      </c>
      <c r="K20" s="7"/>
      <c r="L20" s="1"/>
    </row>
    <row r="21" spans="1:13" ht="13.5">
      <c r="A21" s="19">
        <v>45031</v>
      </c>
      <c r="B21" s="8" t="s">
        <v>124</v>
      </c>
      <c r="C21" s="8" t="s">
        <v>62</v>
      </c>
      <c r="D21" s="8" t="str">
        <f>LEFT(C21,3)</f>
        <v>浙江省</v>
      </c>
      <c r="E21" s="8" t="s">
        <v>135</v>
      </c>
      <c r="F21" s="8" t="str">
        <f>VLOOKUP(E21,费用类别!A:B,2,0)</f>
        <v>飞机票</v>
      </c>
      <c r="G21" s="9">
        <v>1048.3333333333301</v>
      </c>
      <c r="H21" s="20" t="str">
        <f>IF(WEEKDAY(A21,2)&gt;5,"是","否")</f>
        <v>是</v>
      </c>
      <c r="I21" s="8" t="str">
        <f t="shared" si="0"/>
        <v>王雅林飞机票</v>
      </c>
      <c r="J21" s="37">
        <f>IF(SUMPRODUCT((I$3:I21=I21)*1)=1,1,0)</f>
        <v>1</v>
      </c>
      <c r="K21" s="7"/>
      <c r="L21" s="1"/>
    </row>
    <row r="22" spans="1:13" ht="13.5">
      <c r="A22" s="19">
        <v>45032</v>
      </c>
      <c r="B22" s="8" t="s">
        <v>112</v>
      </c>
      <c r="C22" s="8" t="s">
        <v>55</v>
      </c>
      <c r="D22" s="8" t="str">
        <f>LEFT(C22,3)</f>
        <v>福建省</v>
      </c>
      <c r="E22" s="8" t="s">
        <v>142</v>
      </c>
      <c r="F22" s="8" t="str">
        <f>VLOOKUP(E22,费用类别!A:B,2,0)</f>
        <v>停车费</v>
      </c>
      <c r="G22" s="9">
        <v>345</v>
      </c>
      <c r="H22" s="20" t="str">
        <f>IF(WEEKDAY(A22,2)&gt;5,"是","否")</f>
        <v>是</v>
      </c>
      <c r="I22" s="8" t="str">
        <f t="shared" si="0"/>
        <v>钱顺卓停车费</v>
      </c>
      <c r="J22" s="37">
        <f>IF(SUMPRODUCT((I$3:I22=I22)*1)=1,1,0)</f>
        <v>1</v>
      </c>
      <c r="K22" s="7"/>
      <c r="L22" s="1"/>
    </row>
    <row r="23" spans="1:13" ht="13.5">
      <c r="A23" s="19">
        <v>45035</v>
      </c>
      <c r="B23" s="8" t="s">
        <v>134</v>
      </c>
      <c r="C23" s="8" t="s">
        <v>71</v>
      </c>
      <c r="D23" s="8" t="str">
        <f>LEFT(C23,3)</f>
        <v>河南省</v>
      </c>
      <c r="E23" s="8" t="s">
        <v>137</v>
      </c>
      <c r="F23" s="8" t="str">
        <f>VLOOKUP(E23,费用类别!A:B,2,0)</f>
        <v>餐饮费</v>
      </c>
      <c r="G23" s="9">
        <v>638.33333333333303</v>
      </c>
      <c r="H23" s="20" t="str">
        <f>IF(WEEKDAY(A23,2)&gt;5,"是","否")</f>
        <v>否</v>
      </c>
      <c r="I23" s="8" t="str">
        <f t="shared" si="0"/>
        <v>唐雅林餐饮费</v>
      </c>
      <c r="J23" s="37">
        <f>IF(SUMPRODUCT((I$3:I23=I23)*1)=1,1,0)</f>
        <v>1</v>
      </c>
      <c r="K23" s="7"/>
      <c r="L23" s="1"/>
    </row>
    <row r="24" spans="1:13" ht="13.5">
      <c r="A24" s="19">
        <v>45035</v>
      </c>
      <c r="B24" s="8" t="s">
        <v>120</v>
      </c>
      <c r="C24" s="8" t="s">
        <v>24</v>
      </c>
      <c r="D24" s="8" t="str">
        <f>LEFT(C24,3)</f>
        <v>四川省</v>
      </c>
      <c r="E24" s="8" t="s">
        <v>137</v>
      </c>
      <c r="F24" s="8" t="str">
        <f>VLOOKUP(E24,费用类别!A:B,2,0)</f>
        <v>餐饮费</v>
      </c>
      <c r="G24" s="9">
        <v>500</v>
      </c>
      <c r="H24" s="20" t="str">
        <f>IF(WEEKDAY(A24,2)&gt;5,"是","否")</f>
        <v>否</v>
      </c>
      <c r="I24" s="8" t="str">
        <f t="shared" si="0"/>
        <v>谢丽秋餐饮费</v>
      </c>
      <c r="J24" s="37">
        <f>IF(SUMPRODUCT((I$3:I24=I24)*1)=1,1,0)</f>
        <v>1</v>
      </c>
      <c r="K24" s="7"/>
      <c r="L24" s="1"/>
    </row>
    <row r="25" spans="1:13" ht="13.5">
      <c r="A25" s="19">
        <v>45037</v>
      </c>
      <c r="B25" s="8" t="s">
        <v>108</v>
      </c>
      <c r="C25" s="8" t="s">
        <v>53</v>
      </c>
      <c r="D25" s="8" t="str">
        <f>LEFT(C25,3)</f>
        <v>重庆市</v>
      </c>
      <c r="E25" s="8" t="s">
        <v>140</v>
      </c>
      <c r="F25" s="8" t="str">
        <f>VLOOKUP(E25,费用类别!A:B,2,0)</f>
        <v>高速道桥费</v>
      </c>
      <c r="G25" s="9">
        <v>140</v>
      </c>
      <c r="H25" s="20" t="str">
        <f>IF(WEEKDAY(A25,2)&gt;5,"是","否")</f>
        <v>否</v>
      </c>
      <c r="I25" s="8" t="str">
        <f t="shared" si="0"/>
        <v>孟天祥高速道桥费</v>
      </c>
      <c r="J25" s="37">
        <f>IF(SUMPRODUCT((I$3:I25=I25)*1)=1,1,0)</f>
        <v>1</v>
      </c>
      <c r="K25" s="7"/>
      <c r="L25" s="1"/>
    </row>
    <row r="26" spans="1:13" ht="13.5">
      <c r="A26" s="19">
        <v>45038</v>
      </c>
      <c r="B26" s="8" t="s">
        <v>109</v>
      </c>
      <c r="C26" s="8" t="s">
        <v>19</v>
      </c>
      <c r="D26" s="8" t="str">
        <f>LEFT(C26,3)</f>
        <v>北京市</v>
      </c>
      <c r="E26" s="8" t="s">
        <v>140</v>
      </c>
      <c r="F26" s="8" t="str">
        <f>VLOOKUP(E26,费用类别!A:B,2,0)</f>
        <v>高速道桥费</v>
      </c>
      <c r="G26" s="9">
        <v>345</v>
      </c>
      <c r="H26" s="20" t="str">
        <f>IF(WEEKDAY(A26,2)&gt;5,"是","否")</f>
        <v>是</v>
      </c>
      <c r="I26" s="8" t="str">
        <f t="shared" si="0"/>
        <v>陈祥通高速道桥费</v>
      </c>
      <c r="J26" s="37">
        <f>IF(SUMPRODUCT((I$3:I26=I26)*1)=1,1,0)</f>
        <v>1</v>
      </c>
      <c r="K26" s="7"/>
      <c r="L26" s="1"/>
    </row>
    <row r="27" spans="1:13" ht="13.5">
      <c r="A27" s="19">
        <v>45042</v>
      </c>
      <c r="B27" s="8" t="s">
        <v>117</v>
      </c>
      <c r="C27" s="8" t="s">
        <v>63</v>
      </c>
      <c r="D27" s="8" t="str">
        <f>LEFT(C27,3)</f>
        <v>江西省</v>
      </c>
      <c r="E27" s="8" t="s">
        <v>136</v>
      </c>
      <c r="F27" s="8" t="str">
        <f>VLOOKUP(E27,费用类别!A:B,2,0)</f>
        <v>酒店住宿</v>
      </c>
      <c r="G27" s="9">
        <v>1150.8333333333301</v>
      </c>
      <c r="H27" s="20" t="str">
        <f>IF(WEEKDAY(A27,2)&gt;5,"是","否")</f>
        <v>否</v>
      </c>
      <c r="I27" s="8" t="str">
        <f t="shared" si="0"/>
        <v>张哲宇酒店住宿</v>
      </c>
      <c r="J27" s="37">
        <f>IF(SUMPRODUCT((I$3:I27=I27)*1)=1,1,0)</f>
        <v>1</v>
      </c>
      <c r="K27" s="7"/>
      <c r="L27" s="1"/>
    </row>
    <row r="28" spans="1:13" ht="13.5">
      <c r="A28" s="19">
        <v>45042</v>
      </c>
      <c r="B28" s="8" t="s">
        <v>126</v>
      </c>
      <c r="C28" s="8" t="s">
        <v>90</v>
      </c>
      <c r="D28" s="8" t="str">
        <f>LEFT(C28,3)</f>
        <v>四川省</v>
      </c>
      <c r="E28" s="8" t="s">
        <v>138</v>
      </c>
      <c r="F28" s="8" t="str">
        <f>VLOOKUP(E28,费用类别!A:B,2,0)</f>
        <v>出租车费</v>
      </c>
      <c r="G28" s="9">
        <v>606.5</v>
      </c>
      <c r="H28" s="20" t="str">
        <f>IF(WEEKDAY(A28,2)&gt;5,"是","否")</f>
        <v>否</v>
      </c>
      <c r="I28" s="8" t="str">
        <f t="shared" si="0"/>
        <v>赵琳艳出租车费</v>
      </c>
      <c r="J28" s="37">
        <f>IF(SUMPRODUCT((I$3:I28=I28)*1)=1,1,0)</f>
        <v>1</v>
      </c>
      <c r="K28" s="7"/>
      <c r="L28" s="1"/>
    </row>
    <row r="29" spans="1:13" ht="13.5">
      <c r="A29" s="19">
        <v>45042</v>
      </c>
      <c r="B29" s="8" t="s">
        <v>134</v>
      </c>
      <c r="C29" s="8" t="s">
        <v>81</v>
      </c>
      <c r="D29" s="8" t="str">
        <f>LEFT(C29,3)</f>
        <v>浙江省</v>
      </c>
      <c r="E29" s="8" t="s">
        <v>139</v>
      </c>
      <c r="F29" s="8" t="str">
        <f>VLOOKUP(E29,费用类别!A:B,2,0)</f>
        <v>火车票</v>
      </c>
      <c r="G29" s="9">
        <v>140</v>
      </c>
      <c r="H29" s="20" t="str">
        <f>IF(WEEKDAY(A29,2)&gt;5,"是","否")</f>
        <v>否</v>
      </c>
      <c r="I29" s="8" t="str">
        <f t="shared" si="0"/>
        <v>唐雅林火车票</v>
      </c>
      <c r="J29" s="37">
        <f>IF(SUMPRODUCT((I$3:I29=I29)*1)=1,1,0)</f>
        <v>1</v>
      </c>
      <c r="K29" s="7"/>
      <c r="L29" s="1"/>
    </row>
    <row r="30" spans="1:13" ht="13.5">
      <c r="A30" s="19">
        <v>45043</v>
      </c>
      <c r="B30" s="8" t="s">
        <v>130</v>
      </c>
      <c r="C30" s="8" t="s">
        <v>96</v>
      </c>
      <c r="D30" s="8" t="str">
        <f>LEFT(C30,3)</f>
        <v>北京市</v>
      </c>
      <c r="E30" s="8" t="s">
        <v>141</v>
      </c>
      <c r="F30" s="8" t="str">
        <f>VLOOKUP(E30,费用类别!A:B,2,0)</f>
        <v>燃油费</v>
      </c>
      <c r="G30" s="9">
        <v>1049.9000000000001</v>
      </c>
      <c r="H30" s="20" t="str">
        <f>IF(WEEKDAY(A30,2)&gt;5,"是","否")</f>
        <v>否</v>
      </c>
      <c r="I30" s="8" t="str">
        <f t="shared" si="0"/>
        <v>邹佳楠燃油费</v>
      </c>
      <c r="J30" s="37">
        <f>IF(SUMPRODUCT((I$3:I30=I30)*1)=1,1,0)</f>
        <v>1</v>
      </c>
      <c r="K30" s="7"/>
      <c r="L30" s="1"/>
    </row>
    <row r="31" spans="1:13" ht="13.5">
      <c r="A31" s="19">
        <v>45046</v>
      </c>
      <c r="B31" s="8" t="s">
        <v>125</v>
      </c>
      <c r="C31" s="8" t="s">
        <v>49</v>
      </c>
      <c r="D31" s="8" t="str">
        <f>LEFT(C31,3)</f>
        <v>江苏省</v>
      </c>
      <c r="E31" s="8" t="s">
        <v>139</v>
      </c>
      <c r="F31" s="8" t="str">
        <f>VLOOKUP(E31,费用类别!A:B,2,0)</f>
        <v>火车票</v>
      </c>
      <c r="G31" s="9">
        <v>500</v>
      </c>
      <c r="H31" s="20" t="str">
        <f>IF(WEEKDAY(A31,2)&gt;5,"是","否")</f>
        <v>是</v>
      </c>
      <c r="I31" s="8" t="str">
        <f t="shared" si="0"/>
        <v>边金双火车票</v>
      </c>
      <c r="J31" s="37">
        <f>IF(SUMPRODUCT((I$3:I31=I31)*1)=1,1,0)</f>
        <v>1</v>
      </c>
      <c r="K31" s="7"/>
      <c r="L31" s="1"/>
    </row>
    <row r="32" spans="1:13" ht="13.5">
      <c r="A32" s="19">
        <v>45050</v>
      </c>
      <c r="B32" s="8" t="s">
        <v>117</v>
      </c>
      <c r="C32" s="8" t="s">
        <v>21</v>
      </c>
      <c r="D32" s="8" t="str">
        <f>LEFT(C32,3)</f>
        <v>贵州省</v>
      </c>
      <c r="E32" s="8" t="s">
        <v>142</v>
      </c>
      <c r="F32" s="8" t="str">
        <f>VLOOKUP(E32,费用类别!A:B,2,0)</f>
        <v>停车费</v>
      </c>
      <c r="G32" s="9">
        <v>246</v>
      </c>
      <c r="H32" s="20" t="str">
        <f>IF(WEEKDAY(A32,2)&gt;5,"是","否")</f>
        <v>否</v>
      </c>
      <c r="I32" s="8" t="str">
        <f t="shared" si="0"/>
        <v>张哲宇停车费</v>
      </c>
      <c r="J32" s="37">
        <f>IF(SUMPRODUCT((I$3:I32=I32)*1)=1,1,0)</f>
        <v>1</v>
      </c>
      <c r="K32" s="7"/>
      <c r="L32" s="1"/>
    </row>
    <row r="33" spans="1:12" ht="13.5">
      <c r="A33" s="19">
        <v>45050</v>
      </c>
      <c r="B33" s="8" t="s">
        <v>108</v>
      </c>
      <c r="C33" s="8" t="s">
        <v>74</v>
      </c>
      <c r="D33" s="8" t="str">
        <f>LEFT(C33,3)</f>
        <v>北京市</v>
      </c>
      <c r="E33" s="8" t="s">
        <v>142</v>
      </c>
      <c r="F33" s="8" t="str">
        <f>VLOOKUP(E33,费用类别!A:B,2,0)</f>
        <v>停车费</v>
      </c>
      <c r="G33" s="9">
        <v>945.83333333333303</v>
      </c>
      <c r="H33" s="20" t="str">
        <f>IF(WEEKDAY(A33,2)&gt;5,"是","否")</f>
        <v>否</v>
      </c>
      <c r="I33" s="8" t="str">
        <f t="shared" si="0"/>
        <v>孟天祥停车费</v>
      </c>
      <c r="J33" s="37">
        <f>IF(SUMPRODUCT((I$3:I33=I33)*1)=1,1,0)</f>
        <v>1</v>
      </c>
      <c r="K33" s="7"/>
      <c r="L33" s="1"/>
    </row>
    <row r="34" spans="1:12" ht="13.5">
      <c r="A34" s="19">
        <v>45051</v>
      </c>
      <c r="B34" s="8" t="s">
        <v>113</v>
      </c>
      <c r="C34" s="8" t="s">
        <v>16</v>
      </c>
      <c r="D34" s="8" t="str">
        <f>LEFT(C34,3)</f>
        <v>云南省</v>
      </c>
      <c r="E34" s="8" t="s">
        <v>143</v>
      </c>
      <c r="F34" s="8" t="str">
        <f>VLOOKUP(E34,费用类别!A:B,2,0)</f>
        <v>通讯补助</v>
      </c>
      <c r="G34" s="9">
        <v>843.33333333333303</v>
      </c>
      <c r="H34" s="20" t="str">
        <f>IF(WEEKDAY(A34,2)&gt;5,"是","否")</f>
        <v>否</v>
      </c>
      <c r="I34" s="8" t="str">
        <f t="shared" si="0"/>
        <v>王崇江通讯补助</v>
      </c>
      <c r="J34" s="37">
        <f>IF(SUMPRODUCT((I$3:I34=I34)*1)=1,1,0)</f>
        <v>1</v>
      </c>
      <c r="K34" s="7"/>
      <c r="L34" s="1"/>
    </row>
    <row r="35" spans="1:12" ht="13.5">
      <c r="A35" s="19">
        <v>45051</v>
      </c>
      <c r="B35" s="8" t="s">
        <v>121</v>
      </c>
      <c r="C35" s="8" t="s">
        <v>85</v>
      </c>
      <c r="D35" s="8" t="str">
        <f>LEFT(C35,3)</f>
        <v>上海市</v>
      </c>
      <c r="E35" s="8" t="s">
        <v>141</v>
      </c>
      <c r="F35" s="8" t="str">
        <f>VLOOKUP(E35,费用类别!A:B,2,0)</f>
        <v>燃油费</v>
      </c>
      <c r="G35" s="9">
        <v>388</v>
      </c>
      <c r="H35" s="20" t="str">
        <f>IF(WEEKDAY(A35,2)&gt;5,"是","否")</f>
        <v>否</v>
      </c>
      <c r="I35" s="8" t="str">
        <f t="shared" si="0"/>
        <v>关天胜燃油费</v>
      </c>
      <c r="J35" s="37">
        <f>IF(SUMPRODUCT((I$3:I35=I35)*1)=1,1,0)</f>
        <v>1</v>
      </c>
      <c r="K35" s="7"/>
      <c r="L35" s="1"/>
    </row>
    <row r="36" spans="1:12" ht="13.5">
      <c r="A36" s="19">
        <v>45051</v>
      </c>
      <c r="B36" s="8" t="s">
        <v>116</v>
      </c>
      <c r="C36" s="8" t="s">
        <v>66</v>
      </c>
      <c r="D36" s="8" t="str">
        <f>LEFT(C36,3)</f>
        <v>福建省</v>
      </c>
      <c r="E36" s="8" t="s">
        <v>139</v>
      </c>
      <c r="F36" s="8" t="str">
        <f>VLOOKUP(E36,费用类别!A:B,2,0)</f>
        <v>火车票</v>
      </c>
      <c r="G36" s="9">
        <v>1458.3333333333301</v>
      </c>
      <c r="H36" s="20" t="str">
        <f>IF(WEEKDAY(A36,2)&gt;5,"是","否")</f>
        <v>否</v>
      </c>
      <c r="I36" s="8" t="str">
        <f t="shared" si="0"/>
        <v>徐志晨火车票</v>
      </c>
      <c r="J36" s="37">
        <f>IF(SUMPRODUCT((I$3:I36=I36)*1)=1,1,0)</f>
        <v>1</v>
      </c>
      <c r="K36" s="7"/>
    </row>
    <row r="37" spans="1:12" ht="13.5">
      <c r="A37" s="19">
        <v>45055</v>
      </c>
      <c r="B37" s="8" t="s">
        <v>124</v>
      </c>
      <c r="C37" s="8" t="s">
        <v>99</v>
      </c>
      <c r="D37" s="8" t="str">
        <f>LEFT(C37,3)</f>
        <v>云南省</v>
      </c>
      <c r="E37" s="8" t="s">
        <v>140</v>
      </c>
      <c r="F37" s="8" t="str">
        <f>VLOOKUP(E37,费用类别!A:B,2,0)</f>
        <v>高速道桥费</v>
      </c>
      <c r="G37" s="9">
        <v>1271.5999999999999</v>
      </c>
      <c r="H37" s="20" t="str">
        <f>IF(WEEKDAY(A37,2)&gt;5,"是","否")</f>
        <v>否</v>
      </c>
      <c r="I37" s="8" t="str">
        <f t="shared" si="0"/>
        <v>王雅林高速道桥费</v>
      </c>
      <c r="J37" s="37">
        <f>IF(SUMPRODUCT((I$3:I37=I37)*1)=1,1,0)</f>
        <v>1</v>
      </c>
      <c r="K37" s="7"/>
    </row>
    <row r="38" spans="1:12" ht="13.5">
      <c r="A38" s="19">
        <v>45055</v>
      </c>
      <c r="B38" s="8" t="s">
        <v>117</v>
      </c>
      <c r="C38" s="8" t="s">
        <v>21</v>
      </c>
      <c r="D38" s="8" t="str">
        <f>LEFT(C38,3)</f>
        <v>贵州省</v>
      </c>
      <c r="E38" s="8" t="s">
        <v>139</v>
      </c>
      <c r="F38" s="8" t="str">
        <f>VLOOKUP(E38,费用类别!A:B,2,0)</f>
        <v>火车票</v>
      </c>
      <c r="G38" s="9">
        <v>22</v>
      </c>
      <c r="H38" s="20" t="str">
        <f>IF(WEEKDAY(A38,2)&gt;5,"是","否")</f>
        <v>否</v>
      </c>
      <c r="I38" s="8" t="str">
        <f t="shared" si="0"/>
        <v>张哲宇火车票</v>
      </c>
      <c r="J38" s="37">
        <f>IF(SUMPRODUCT((I$3:I38=I38)*1)=1,1,0)</f>
        <v>1</v>
      </c>
      <c r="K38" s="7"/>
    </row>
    <row r="39" spans="1:12" ht="13.5">
      <c r="A39" s="19">
        <v>45056</v>
      </c>
      <c r="B39" s="8" t="s">
        <v>115</v>
      </c>
      <c r="C39" s="8" t="s">
        <v>18</v>
      </c>
      <c r="D39" s="8" t="str">
        <f>LEFT(C39,3)</f>
        <v>江西省</v>
      </c>
      <c r="E39" s="8" t="s">
        <v>139</v>
      </c>
      <c r="F39" s="8" t="str">
        <f>VLOOKUP(E39,费用类别!A:B,2,0)</f>
        <v>火车票</v>
      </c>
      <c r="G39" s="9">
        <v>200</v>
      </c>
      <c r="H39" s="20" t="str">
        <f>IF(WEEKDAY(A39,2)&gt;5,"是","否")</f>
        <v>否</v>
      </c>
      <c r="I39" s="8" t="str">
        <f t="shared" si="0"/>
        <v>刘露露火车票</v>
      </c>
      <c r="J39" s="37">
        <f>IF(SUMPRODUCT((I$3:I39=I39)*1)=1,1,0)</f>
        <v>1</v>
      </c>
      <c r="K39" s="7"/>
    </row>
    <row r="40" spans="1:12" ht="13.5">
      <c r="A40" s="19">
        <v>45057</v>
      </c>
      <c r="B40" s="8" t="s">
        <v>126</v>
      </c>
      <c r="C40" s="8" t="s">
        <v>39</v>
      </c>
      <c r="D40" s="8" t="str">
        <f>LEFT(C40,3)</f>
        <v>上海市</v>
      </c>
      <c r="E40" s="8" t="s">
        <v>143</v>
      </c>
      <c r="F40" s="8" t="str">
        <f>VLOOKUP(E40,费用类别!A:B,2,0)</f>
        <v>通讯补助</v>
      </c>
      <c r="G40" s="9">
        <v>300</v>
      </c>
      <c r="H40" s="20" t="str">
        <f>IF(WEEKDAY(A40,2)&gt;5,"是","否")</f>
        <v>否</v>
      </c>
      <c r="I40" s="8" t="str">
        <f t="shared" si="0"/>
        <v>赵琳艳通讯补助</v>
      </c>
      <c r="J40" s="37">
        <f>IF(SUMPRODUCT((I$3:I40=I40)*1)=1,1,0)</f>
        <v>1</v>
      </c>
      <c r="K40" s="7"/>
    </row>
    <row r="41" spans="1:12" ht="13.5">
      <c r="A41" s="19">
        <v>45057</v>
      </c>
      <c r="B41" s="8" t="s">
        <v>126</v>
      </c>
      <c r="C41" s="8" t="s">
        <v>89</v>
      </c>
      <c r="D41" s="8" t="str">
        <f>LEFT(C41,3)</f>
        <v>浙江省</v>
      </c>
      <c r="E41" s="8" t="s">
        <v>142</v>
      </c>
      <c r="F41" s="8" t="str">
        <f>VLOOKUP(E41,费用类别!A:B,2,0)</f>
        <v>停车费</v>
      </c>
      <c r="G41" s="9">
        <v>606.5</v>
      </c>
      <c r="H41" s="20" t="str">
        <f>IF(WEEKDAY(A41,2)&gt;5,"是","否")</f>
        <v>否</v>
      </c>
      <c r="I41" s="8" t="str">
        <f t="shared" si="0"/>
        <v>赵琳艳停车费</v>
      </c>
      <c r="J41" s="37">
        <f>IF(SUMPRODUCT((I$3:I41=I41)*1)=1,1,0)</f>
        <v>1</v>
      </c>
      <c r="K41" s="7"/>
    </row>
    <row r="42" spans="1:12" ht="13.5">
      <c r="A42" s="19">
        <v>45058</v>
      </c>
      <c r="B42" s="8" t="s">
        <v>115</v>
      </c>
      <c r="C42" s="8" t="s">
        <v>56</v>
      </c>
      <c r="D42" s="8" t="str">
        <f>LEFT(C42,3)</f>
        <v>北京市</v>
      </c>
      <c r="E42" s="8" t="s">
        <v>143</v>
      </c>
      <c r="F42" s="8" t="str">
        <f>VLOOKUP(E42,费用类别!A:B,2,0)</f>
        <v>通讯补助</v>
      </c>
      <c r="G42" s="9">
        <v>433.33333333333297</v>
      </c>
      <c r="H42" s="20" t="str">
        <f>IF(WEEKDAY(A42,2)&gt;5,"是","否")</f>
        <v>否</v>
      </c>
      <c r="I42" s="8" t="str">
        <f t="shared" si="0"/>
        <v>刘露露通讯补助</v>
      </c>
      <c r="J42" s="37">
        <f>IF(SUMPRODUCT((I$3:I42=I42)*1)=1,1,0)</f>
        <v>1</v>
      </c>
      <c r="K42" s="7"/>
    </row>
    <row r="43" spans="1:12" ht="13.5">
      <c r="A43" s="19">
        <v>45058</v>
      </c>
      <c r="B43" s="8" t="s">
        <v>129</v>
      </c>
      <c r="C43" s="8" t="s">
        <v>83</v>
      </c>
      <c r="D43" s="8" t="str">
        <f>LEFT(C43,3)</f>
        <v>北京市</v>
      </c>
      <c r="E43" s="8" t="s">
        <v>139</v>
      </c>
      <c r="F43" s="8" t="str">
        <f>VLOOKUP(E43,费用类别!A:B,2,0)</f>
        <v>火车票</v>
      </c>
      <c r="G43" s="9">
        <v>22</v>
      </c>
      <c r="H43" s="20" t="str">
        <f>IF(WEEKDAY(A43,2)&gt;5,"是","否")</f>
        <v>否</v>
      </c>
      <c r="I43" s="8" t="str">
        <f t="shared" si="0"/>
        <v>李雅洁火车票</v>
      </c>
      <c r="J43" s="37">
        <f>IF(SUMPRODUCT((I$3:I43=I43)*1)=1,1,0)</f>
        <v>1</v>
      </c>
      <c r="K43" s="7"/>
    </row>
    <row r="44" spans="1:12" ht="13.5">
      <c r="A44" s="19">
        <v>45058</v>
      </c>
      <c r="B44" s="8" t="s">
        <v>117</v>
      </c>
      <c r="C44" s="8" t="s">
        <v>21</v>
      </c>
      <c r="D44" s="8" t="str">
        <f>LEFT(C44,3)</f>
        <v>贵州省</v>
      </c>
      <c r="E44" s="8" t="s">
        <v>141</v>
      </c>
      <c r="F44" s="8" t="str">
        <f>VLOOKUP(E44,费用类别!A:B,2,0)</f>
        <v>燃油费</v>
      </c>
      <c r="G44" s="9">
        <v>1355.8333333333301</v>
      </c>
      <c r="H44" s="20" t="str">
        <f>IF(WEEKDAY(A44,2)&gt;5,"是","否")</f>
        <v>否</v>
      </c>
      <c r="I44" s="8" t="str">
        <f t="shared" si="0"/>
        <v>张哲宇燃油费</v>
      </c>
      <c r="J44" s="37">
        <f>IF(SUMPRODUCT((I$3:I44=I44)*1)=1,1,0)</f>
        <v>1</v>
      </c>
      <c r="K44" s="7"/>
    </row>
    <row r="45" spans="1:12" ht="13.5">
      <c r="A45" s="19">
        <v>45059</v>
      </c>
      <c r="B45" s="8" t="s">
        <v>128</v>
      </c>
      <c r="C45" s="8" t="s">
        <v>42</v>
      </c>
      <c r="D45" s="8" t="str">
        <f>LEFT(C45,3)</f>
        <v>河北省</v>
      </c>
      <c r="E45" s="8" t="s">
        <v>138</v>
      </c>
      <c r="F45" s="8" t="str">
        <f>VLOOKUP(E45,费用类别!A:B,2,0)</f>
        <v>出租车费</v>
      </c>
      <c r="G45" s="9">
        <v>140</v>
      </c>
      <c r="H45" s="20" t="str">
        <f>IF(WEEKDAY(A45,2)&gt;5,"是","否")</f>
        <v>是</v>
      </c>
      <c r="I45" s="8" t="str">
        <f t="shared" si="0"/>
        <v>方嘉康出租车费</v>
      </c>
      <c r="J45" s="37">
        <f>IF(SUMPRODUCT((I$3:I45=I45)*1)=1,1,0)</f>
        <v>1</v>
      </c>
      <c r="K45" s="7"/>
    </row>
    <row r="46" spans="1:12" ht="13.5">
      <c r="A46" s="19">
        <v>45061</v>
      </c>
      <c r="B46" s="8" t="s">
        <v>124</v>
      </c>
      <c r="C46" s="8" t="s">
        <v>32</v>
      </c>
      <c r="D46" s="8" t="str">
        <f>LEFT(C46,3)</f>
        <v>江苏省</v>
      </c>
      <c r="E46" s="8" t="s">
        <v>142</v>
      </c>
      <c r="F46" s="8" t="str">
        <f>VLOOKUP(E46,费用类别!A:B,2,0)</f>
        <v>停车费</v>
      </c>
      <c r="G46" s="9">
        <v>976</v>
      </c>
      <c r="H46" s="20" t="str">
        <f>IF(WEEKDAY(A46,2)&gt;5,"是","否")</f>
        <v>否</v>
      </c>
      <c r="I46" s="8" t="str">
        <f t="shared" si="0"/>
        <v>王雅林停车费</v>
      </c>
      <c r="J46" s="37">
        <f>IF(SUMPRODUCT((I$3:I46=I46)*1)=1,1,0)</f>
        <v>1</v>
      </c>
      <c r="K46" s="7"/>
    </row>
    <row r="47" spans="1:12" ht="13.5">
      <c r="A47" s="19">
        <v>45062</v>
      </c>
      <c r="B47" s="8" t="s">
        <v>124</v>
      </c>
      <c r="C47" s="8" t="s">
        <v>103</v>
      </c>
      <c r="D47" s="8" t="str">
        <f>LEFT(C47,3)</f>
        <v>甘肃省</v>
      </c>
      <c r="E47" s="8" t="s">
        <v>141</v>
      </c>
      <c r="F47" s="8" t="str">
        <f>VLOOKUP(E47,费用类别!A:B,2,0)</f>
        <v>燃油费</v>
      </c>
      <c r="G47" s="9">
        <v>300</v>
      </c>
      <c r="H47" s="20" t="str">
        <f>IF(WEEKDAY(A47,2)&gt;5,"是","否")</f>
        <v>否</v>
      </c>
      <c r="I47" s="8" t="str">
        <f t="shared" si="0"/>
        <v>王雅林燃油费</v>
      </c>
      <c r="J47" s="37">
        <f>IF(SUMPRODUCT((I$3:I47=I47)*1)=1,1,0)</f>
        <v>1</v>
      </c>
      <c r="K47" s="7"/>
    </row>
    <row r="48" spans="1:12" ht="13.5">
      <c r="A48" s="19">
        <v>45064</v>
      </c>
      <c r="B48" s="8" t="s">
        <v>119</v>
      </c>
      <c r="C48" s="8" t="s">
        <v>43</v>
      </c>
      <c r="D48" s="8" t="str">
        <f>LEFT(C48,3)</f>
        <v>广东省</v>
      </c>
      <c r="E48" s="8" t="s">
        <v>139</v>
      </c>
      <c r="F48" s="8" t="str">
        <f>VLOOKUP(E48,费用类别!A:B,2,0)</f>
        <v>火车票</v>
      </c>
      <c r="G48" s="9">
        <v>200</v>
      </c>
      <c r="H48" s="20" t="str">
        <f>IF(WEEKDAY(A48,2)&gt;5,"是","否")</f>
        <v>否</v>
      </c>
      <c r="I48" s="8" t="str">
        <f t="shared" si="0"/>
        <v>王海德火车票</v>
      </c>
      <c r="J48" s="37">
        <f>IF(SUMPRODUCT((I$3:I48=I48)*1)=1,1,0)</f>
        <v>1</v>
      </c>
      <c r="K48" s="7"/>
    </row>
    <row r="49" spans="1:11" ht="13.5">
      <c r="A49" s="19">
        <v>45064</v>
      </c>
      <c r="B49" s="8" t="s">
        <v>132</v>
      </c>
      <c r="C49" s="8" t="s">
        <v>93</v>
      </c>
      <c r="D49" s="8" t="str">
        <f>LEFT(C49,3)</f>
        <v>浙江省</v>
      </c>
      <c r="E49" s="8" t="s">
        <v>138</v>
      </c>
      <c r="F49" s="8" t="str">
        <f>VLOOKUP(E49,费用类别!A:B,2,0)</f>
        <v>出租车费</v>
      </c>
      <c r="G49" s="9">
        <v>433.33333333333297</v>
      </c>
      <c r="H49" s="20" t="str">
        <f>IF(WEEKDAY(A49,2)&gt;5,"是","否")</f>
        <v>否</v>
      </c>
      <c r="I49" s="8" t="str">
        <f t="shared" si="0"/>
        <v>徐亚楠出租车费</v>
      </c>
      <c r="J49" s="37">
        <f>IF(SUMPRODUCT((I$3:I49=I49)*1)=1,1,0)</f>
        <v>1</v>
      </c>
      <c r="K49" s="7"/>
    </row>
    <row r="50" spans="1:11" ht="13.5">
      <c r="A50" s="19">
        <v>45065</v>
      </c>
      <c r="B50" s="8" t="s">
        <v>112</v>
      </c>
      <c r="C50" s="8" t="s">
        <v>28</v>
      </c>
      <c r="D50" s="8" t="str">
        <f>LEFT(C50,3)</f>
        <v>北京市</v>
      </c>
      <c r="E50" s="8" t="s">
        <v>141</v>
      </c>
      <c r="F50" s="8" t="str">
        <f>VLOOKUP(E50,费用类别!A:B,2,0)</f>
        <v>燃油费</v>
      </c>
      <c r="G50" s="9">
        <v>680.4</v>
      </c>
      <c r="H50" s="20" t="str">
        <f>IF(WEEKDAY(A50,2)&gt;5,"是","否")</f>
        <v>否</v>
      </c>
      <c r="I50" s="8" t="str">
        <f t="shared" si="0"/>
        <v>钱顺卓燃油费</v>
      </c>
      <c r="J50" s="37">
        <f>IF(SUMPRODUCT((I$3:I50=I50)*1)=1,1,0)</f>
        <v>1</v>
      </c>
      <c r="K50" s="7"/>
    </row>
    <row r="51" spans="1:11" ht="13.5">
      <c r="A51" s="19">
        <v>45066</v>
      </c>
      <c r="B51" s="8" t="s">
        <v>112</v>
      </c>
      <c r="C51" s="8" t="s">
        <v>15</v>
      </c>
      <c r="D51" s="8" t="str">
        <f>LEFT(C51,3)</f>
        <v>海南省</v>
      </c>
      <c r="E51" s="8" t="s">
        <v>142</v>
      </c>
      <c r="F51" s="8" t="str">
        <f>VLOOKUP(E51,费用类别!A:B,2,0)</f>
        <v>停车费</v>
      </c>
      <c r="G51" s="9">
        <v>740.83333333333303</v>
      </c>
      <c r="H51" s="20" t="str">
        <f>IF(WEEKDAY(A51,2)&gt;5,"是","否")</f>
        <v>是</v>
      </c>
      <c r="I51" s="8" t="str">
        <f t="shared" si="0"/>
        <v>钱顺卓停车费</v>
      </c>
      <c r="J51" s="37">
        <f>IF(SUMPRODUCT((I$3:I51=I51)*1)=1,1,0)</f>
        <v>0</v>
      </c>
      <c r="K51" s="7"/>
    </row>
    <row r="52" spans="1:11" ht="13.5">
      <c r="A52" s="19">
        <v>45066</v>
      </c>
      <c r="B52" s="8" t="s">
        <v>114</v>
      </c>
      <c r="C52" s="8" t="s">
        <v>17</v>
      </c>
      <c r="D52" s="8" t="str">
        <f>LEFT(C52,3)</f>
        <v>广东省</v>
      </c>
      <c r="E52" s="8" t="s">
        <v>140</v>
      </c>
      <c r="F52" s="8" t="str">
        <f>VLOOKUP(E52,费用类别!A:B,2,0)</f>
        <v>高速道桥费</v>
      </c>
      <c r="G52" s="9">
        <v>945.83333333333303</v>
      </c>
      <c r="H52" s="20" t="str">
        <f>IF(WEEKDAY(A52,2)&gt;5,"是","否")</f>
        <v>是</v>
      </c>
      <c r="I52" s="8" t="str">
        <f t="shared" si="0"/>
        <v>黎浩然高速道桥费</v>
      </c>
      <c r="J52" s="37">
        <f>IF(SUMPRODUCT((I$3:I52=I52)*1)=1,1,0)</f>
        <v>1</v>
      </c>
      <c r="K52" s="7"/>
    </row>
    <row r="53" spans="1:11" ht="13.5">
      <c r="A53" s="19">
        <v>45067</v>
      </c>
      <c r="B53" s="8" t="s">
        <v>112</v>
      </c>
      <c r="C53" s="8" t="s">
        <v>15</v>
      </c>
      <c r="D53" s="8" t="str">
        <f>LEFT(C53,3)</f>
        <v>海南省</v>
      </c>
      <c r="E53" s="8" t="s">
        <v>140</v>
      </c>
      <c r="F53" s="8" t="str">
        <f>VLOOKUP(E53,费用类别!A:B,2,0)</f>
        <v>高速道桥费</v>
      </c>
      <c r="G53" s="9">
        <v>1355.8333333333301</v>
      </c>
      <c r="H53" s="20" t="str">
        <f>IF(WEEKDAY(A53,2)&gt;5,"是","否")</f>
        <v>是</v>
      </c>
      <c r="I53" s="8" t="str">
        <f t="shared" si="0"/>
        <v>钱顺卓高速道桥费</v>
      </c>
      <c r="J53" s="37">
        <f>IF(SUMPRODUCT((I$3:I53=I53)*1)=1,1,0)</f>
        <v>1</v>
      </c>
      <c r="K53" s="7"/>
    </row>
    <row r="54" spans="1:11" ht="13.5">
      <c r="A54" s="19">
        <v>45068</v>
      </c>
      <c r="B54" s="8" t="s">
        <v>125</v>
      </c>
      <c r="C54" s="8" t="s">
        <v>38</v>
      </c>
      <c r="D54" s="8" t="str">
        <f>LEFT(C54,3)</f>
        <v>上海市</v>
      </c>
      <c r="E54" s="8" t="s">
        <v>142</v>
      </c>
      <c r="F54" s="8" t="str">
        <f>VLOOKUP(E54,费用类别!A:B,2,0)</f>
        <v>停车费</v>
      </c>
      <c r="G54" s="9">
        <v>3000</v>
      </c>
      <c r="H54" s="20" t="str">
        <f>IF(WEEKDAY(A54,2)&gt;5,"是","否")</f>
        <v>否</v>
      </c>
      <c r="I54" s="8" t="str">
        <f t="shared" si="0"/>
        <v>边金双停车费</v>
      </c>
      <c r="J54" s="37">
        <f>IF(SUMPRODUCT((I$3:I54=I54)*1)=1,1,0)</f>
        <v>1</v>
      </c>
      <c r="K54" s="7"/>
    </row>
    <row r="55" spans="1:11" ht="13.5">
      <c r="A55" s="19">
        <v>45068</v>
      </c>
      <c r="B55" s="8" t="s">
        <v>123</v>
      </c>
      <c r="C55" s="8" t="s">
        <v>30</v>
      </c>
      <c r="D55" s="8" t="str">
        <f>LEFT(C55,3)</f>
        <v>广东省</v>
      </c>
      <c r="E55" s="8" t="s">
        <v>140</v>
      </c>
      <c r="F55" s="8" t="str">
        <f>VLOOKUP(E55,费用类别!A:B,2,0)</f>
        <v>高速道桥费</v>
      </c>
      <c r="G55" s="9">
        <v>828.2</v>
      </c>
      <c r="H55" s="20" t="str">
        <f>IF(WEEKDAY(A55,2)&gt;5,"是","否")</f>
        <v>否</v>
      </c>
      <c r="I55" s="8" t="str">
        <f t="shared" si="0"/>
        <v>李晓梅高速道桥费</v>
      </c>
      <c r="J55" s="37">
        <f>IF(SUMPRODUCT((I$3:I55=I55)*1)=1,1,0)</f>
        <v>1</v>
      </c>
      <c r="K55" s="7"/>
    </row>
    <row r="56" spans="1:11" ht="13.5">
      <c r="A56" s="19">
        <v>45069</v>
      </c>
      <c r="B56" s="8" t="s">
        <v>111</v>
      </c>
      <c r="C56" s="8" t="s">
        <v>31</v>
      </c>
      <c r="D56" s="8" t="str">
        <f>LEFT(C56,3)</f>
        <v>广东省</v>
      </c>
      <c r="E56" s="8" t="s">
        <v>137</v>
      </c>
      <c r="F56" s="8" t="str">
        <f>VLOOKUP(E56,费用类别!A:B,2,0)</f>
        <v>餐饮费</v>
      </c>
      <c r="G56" s="9">
        <v>120</v>
      </c>
      <c r="H56" s="20" t="str">
        <f>IF(WEEKDAY(A56,2)&gt;5,"是","否")</f>
        <v>否</v>
      </c>
      <c r="I56" s="8" t="str">
        <f t="shared" si="0"/>
        <v>方文成餐饮费</v>
      </c>
      <c r="J56" s="37">
        <f>IF(SUMPRODUCT((I$3:I56=I56)*1)=1,1,0)</f>
        <v>1</v>
      </c>
      <c r="K56" s="7"/>
    </row>
    <row r="57" spans="1:11" ht="13.5">
      <c r="A57" s="19">
        <v>45070</v>
      </c>
      <c r="B57" s="8" t="s">
        <v>123</v>
      </c>
      <c r="C57" s="8" t="s">
        <v>58</v>
      </c>
      <c r="D57" s="8" t="str">
        <f>LEFT(C57,3)</f>
        <v>安徽省</v>
      </c>
      <c r="E57" s="8" t="s">
        <v>141</v>
      </c>
      <c r="F57" s="8" t="str">
        <f>VLOOKUP(E57,费用类别!A:B,2,0)</f>
        <v>燃油费</v>
      </c>
      <c r="G57" s="9">
        <v>638.33333333333303</v>
      </c>
      <c r="H57" s="20" t="str">
        <f>IF(WEEKDAY(A57,2)&gt;5,"是","否")</f>
        <v>否</v>
      </c>
      <c r="I57" s="8" t="str">
        <f t="shared" si="0"/>
        <v>李晓梅燃油费</v>
      </c>
      <c r="J57" s="37">
        <f>IF(SUMPRODUCT((I$3:I57=I57)*1)=1,1,0)</f>
        <v>1</v>
      </c>
      <c r="K57" s="7"/>
    </row>
    <row r="58" spans="1:11" ht="13.5">
      <c r="A58" s="19">
        <v>45071</v>
      </c>
      <c r="B58" s="8" t="s">
        <v>110</v>
      </c>
      <c r="C58" s="8" t="s">
        <v>59</v>
      </c>
      <c r="D58" s="8" t="str">
        <f>LEFT(C58,3)</f>
        <v>北京市</v>
      </c>
      <c r="E58" s="8" t="s">
        <v>139</v>
      </c>
      <c r="F58" s="8" t="str">
        <f>VLOOKUP(E58,费用类别!A:B,2,0)</f>
        <v>火车票</v>
      </c>
      <c r="G58" s="9">
        <v>740.83333333333303</v>
      </c>
      <c r="H58" s="20" t="str">
        <f>IF(WEEKDAY(A58,2)&gt;5,"是","否")</f>
        <v>否</v>
      </c>
      <c r="I58" s="8" t="str">
        <f t="shared" si="0"/>
        <v>王天宇火车票</v>
      </c>
      <c r="J58" s="37">
        <f>IF(SUMPRODUCT((I$3:I58=I58)*1)=1,1,0)</f>
        <v>1</v>
      </c>
      <c r="K58" s="7"/>
    </row>
    <row r="59" spans="1:11" ht="13.5">
      <c r="A59" s="19">
        <v>45073</v>
      </c>
      <c r="B59" s="8" t="s">
        <v>115</v>
      </c>
      <c r="C59" s="8" t="s">
        <v>92</v>
      </c>
      <c r="D59" s="8" t="str">
        <f>LEFT(C59,3)</f>
        <v>江苏省</v>
      </c>
      <c r="E59" s="8" t="s">
        <v>139</v>
      </c>
      <c r="F59" s="8" t="str">
        <f>VLOOKUP(E59,费用类别!A:B,2,0)</f>
        <v>火车票</v>
      </c>
      <c r="G59" s="9">
        <v>120</v>
      </c>
      <c r="H59" s="20" t="str">
        <f>IF(WEEKDAY(A59,2)&gt;5,"是","否")</f>
        <v>是</v>
      </c>
      <c r="I59" s="8" t="str">
        <f t="shared" si="0"/>
        <v>刘露露火车票</v>
      </c>
      <c r="J59" s="37">
        <f>IF(SUMPRODUCT((I$3:I59=I59)*1)=1,1,0)</f>
        <v>0</v>
      </c>
      <c r="K59" s="7"/>
    </row>
    <row r="60" spans="1:11" ht="13.5">
      <c r="A60" s="19">
        <v>45073</v>
      </c>
      <c r="B60" s="8" t="s">
        <v>117</v>
      </c>
      <c r="C60" s="8" t="s">
        <v>37</v>
      </c>
      <c r="D60" s="8" t="str">
        <f>LEFT(C60,3)</f>
        <v>北京市</v>
      </c>
      <c r="E60" s="8" t="s">
        <v>141</v>
      </c>
      <c r="F60" s="8" t="str">
        <f>VLOOKUP(E60,费用类别!A:B,2,0)</f>
        <v>燃油费</v>
      </c>
      <c r="G60" s="9">
        <v>200</v>
      </c>
      <c r="H60" s="20" t="str">
        <f>IF(WEEKDAY(A60,2)&gt;5,"是","否")</f>
        <v>是</v>
      </c>
      <c r="I60" s="8" t="str">
        <f t="shared" si="0"/>
        <v>张哲宇燃油费</v>
      </c>
      <c r="J60" s="37">
        <f>IF(SUMPRODUCT((I$3:I60=I60)*1)=1,1,0)</f>
        <v>0</v>
      </c>
      <c r="K60" s="7"/>
    </row>
    <row r="61" spans="1:11" ht="13.5">
      <c r="A61" s="19">
        <v>45074</v>
      </c>
      <c r="B61" s="8" t="s">
        <v>119</v>
      </c>
      <c r="C61" s="8" t="s">
        <v>23</v>
      </c>
      <c r="D61" s="8" t="str">
        <f>LEFT(C61,3)</f>
        <v>辽宁省</v>
      </c>
      <c r="E61" s="8" t="s">
        <v>144</v>
      </c>
      <c r="F61" s="8" t="str">
        <f>VLOOKUP(E61,费用类别!A:B,2,0)</f>
        <v>其他</v>
      </c>
      <c r="G61" s="9">
        <v>29</v>
      </c>
      <c r="H61" s="20" t="str">
        <f>IF(WEEKDAY(A61,2)&gt;5,"是","否")</f>
        <v>是</v>
      </c>
      <c r="I61" s="8" t="str">
        <f t="shared" si="0"/>
        <v>王海德其他</v>
      </c>
      <c r="J61" s="37">
        <f>IF(SUMPRODUCT((I$3:I61=I61)*1)=1,1,0)</f>
        <v>1</v>
      </c>
      <c r="K61" s="7"/>
    </row>
    <row r="62" spans="1:11" ht="13.5">
      <c r="A62" s="19">
        <v>45076</v>
      </c>
      <c r="B62" s="8" t="s">
        <v>112</v>
      </c>
      <c r="C62" s="8" t="s">
        <v>156</v>
      </c>
      <c r="D62" s="8" t="str">
        <f>LEFT(C62,3)</f>
        <v>河北省</v>
      </c>
      <c r="E62" s="8" t="s">
        <v>139</v>
      </c>
      <c r="F62" s="8" t="str">
        <f>VLOOKUP(E62,费用类别!A:B,2,0)</f>
        <v>火车票</v>
      </c>
      <c r="G62" s="9">
        <v>1271.5999999999999</v>
      </c>
      <c r="H62" s="20" t="str">
        <f>IF(WEEKDAY(A62,2)&gt;5,"是","否")</f>
        <v>否</v>
      </c>
      <c r="I62" s="8" t="str">
        <f t="shared" si="0"/>
        <v>钱顺卓火车票</v>
      </c>
      <c r="J62" s="37">
        <f>IF(SUMPRODUCT((I$3:I62=I62)*1)=1,1,0)</f>
        <v>0</v>
      </c>
      <c r="K62" s="7"/>
    </row>
    <row r="63" spans="1:11" ht="13.5">
      <c r="A63" s="19">
        <v>45076</v>
      </c>
      <c r="B63" s="8" t="s">
        <v>114</v>
      </c>
      <c r="C63" s="8" t="s">
        <v>17</v>
      </c>
      <c r="D63" s="8" t="str">
        <f>LEFT(C63,3)</f>
        <v>广东省</v>
      </c>
      <c r="E63" s="8" t="s">
        <v>141</v>
      </c>
      <c r="F63" s="8" t="str">
        <f>VLOOKUP(E63,费用类别!A:B,2,0)</f>
        <v>燃油费</v>
      </c>
      <c r="G63" s="9">
        <v>140</v>
      </c>
      <c r="H63" s="20" t="str">
        <f>IF(WEEKDAY(A63,2)&gt;5,"是","否")</f>
        <v>否</v>
      </c>
      <c r="I63" s="8" t="str">
        <f t="shared" si="0"/>
        <v>黎浩然燃油费</v>
      </c>
      <c r="J63" s="37">
        <f>IF(SUMPRODUCT((I$3:I63=I63)*1)=1,1,0)</f>
        <v>1</v>
      </c>
      <c r="K63" s="7"/>
    </row>
    <row r="64" spans="1:11" ht="13.5">
      <c r="A64" s="19">
        <v>45077</v>
      </c>
      <c r="B64" s="8" t="s">
        <v>113</v>
      </c>
      <c r="C64" s="8" t="s">
        <v>100</v>
      </c>
      <c r="D64" s="8" t="str">
        <f>LEFT(C64,3)</f>
        <v>上海市</v>
      </c>
      <c r="E64" s="8" t="s">
        <v>141</v>
      </c>
      <c r="F64" s="8" t="str">
        <f>VLOOKUP(E64,费用类别!A:B,2,0)</f>
        <v>燃油费</v>
      </c>
      <c r="G64" s="9">
        <v>120</v>
      </c>
      <c r="H64" s="20" t="str">
        <f>IF(WEEKDAY(A64,2)&gt;5,"是","否")</f>
        <v>否</v>
      </c>
      <c r="I64" s="8" t="str">
        <f t="shared" si="0"/>
        <v>王崇江燃油费</v>
      </c>
      <c r="J64" s="37">
        <f>IF(SUMPRODUCT((I$3:I64=I64)*1)=1,1,0)</f>
        <v>1</v>
      </c>
      <c r="K64" s="7"/>
    </row>
    <row r="65" spans="1:11" ht="13.5">
      <c r="A65" s="19">
        <v>45077</v>
      </c>
      <c r="B65" s="8" t="s">
        <v>130</v>
      </c>
      <c r="C65" s="8" t="s">
        <v>65</v>
      </c>
      <c r="D65" s="8" t="str">
        <f>LEFT(C65,3)</f>
        <v>辽宁省</v>
      </c>
      <c r="E65" s="8" t="s">
        <v>138</v>
      </c>
      <c r="F65" s="8" t="str">
        <f>VLOOKUP(E65,费用类别!A:B,2,0)</f>
        <v>出租车费</v>
      </c>
      <c r="G65" s="9">
        <v>1355.8333333333301</v>
      </c>
      <c r="H65" s="20" t="str">
        <f>IF(WEEKDAY(A65,2)&gt;5,"是","否")</f>
        <v>否</v>
      </c>
      <c r="I65" s="8" t="str">
        <f t="shared" si="0"/>
        <v>邹佳楠出租车费</v>
      </c>
      <c r="J65" s="37">
        <f>IF(SUMPRODUCT((I$3:I65=I65)*1)=1,1,0)</f>
        <v>1</v>
      </c>
      <c r="K65" s="7"/>
    </row>
    <row r="66" spans="1:11" ht="13.5">
      <c r="A66" s="19">
        <v>45078</v>
      </c>
      <c r="B66" s="8" t="s">
        <v>113</v>
      </c>
      <c r="C66" s="8" t="s">
        <v>25</v>
      </c>
      <c r="D66" s="8" t="str">
        <f>LEFT(C66,3)</f>
        <v>山西省</v>
      </c>
      <c r="E66" s="8" t="s">
        <v>138</v>
      </c>
      <c r="F66" s="8" t="str">
        <f>VLOOKUP(E66,费用类别!A:B,2,0)</f>
        <v>出租车费</v>
      </c>
      <c r="G66" s="9">
        <v>433.33333333333297</v>
      </c>
      <c r="H66" s="20" t="str">
        <f>IF(WEEKDAY(A66,2)&gt;5,"是","否")</f>
        <v>否</v>
      </c>
      <c r="I66" s="8" t="str">
        <f t="shared" si="0"/>
        <v>王崇江出租车费</v>
      </c>
      <c r="J66" s="37">
        <f>IF(SUMPRODUCT((I$3:I66=I66)*1)=1,1,0)</f>
        <v>1</v>
      </c>
      <c r="K66" s="7"/>
    </row>
    <row r="67" spans="1:11" ht="13.5">
      <c r="A67" s="19">
        <v>45078</v>
      </c>
      <c r="B67" s="8" t="s">
        <v>121</v>
      </c>
      <c r="C67" s="8" t="s">
        <v>26</v>
      </c>
      <c r="D67" s="8" t="str">
        <f>LEFT(C67,3)</f>
        <v>浙江省</v>
      </c>
      <c r="E67" s="8" t="s">
        <v>142</v>
      </c>
      <c r="F67" s="8" t="str">
        <f>VLOOKUP(E67,费用类别!A:B,2,0)</f>
        <v>停车费</v>
      </c>
      <c r="G67" s="9">
        <v>200</v>
      </c>
      <c r="H67" s="20" t="str">
        <f>IF(WEEKDAY(A67,2)&gt;5,"是","否")</f>
        <v>否</v>
      </c>
      <c r="I67" s="8" t="str">
        <f t="shared" ref="I67:I130" si="1">B67&amp;F67</f>
        <v>关天胜停车费</v>
      </c>
      <c r="J67" s="37">
        <f>IF(SUMPRODUCT((I$3:I67=I67)*1)=1,1,0)</f>
        <v>1</v>
      </c>
      <c r="K67" s="7"/>
    </row>
    <row r="68" spans="1:11" ht="13.5">
      <c r="A68" s="19">
        <v>45078</v>
      </c>
      <c r="B68" s="8" t="s">
        <v>109</v>
      </c>
      <c r="C68" s="8" t="s">
        <v>19</v>
      </c>
      <c r="D68" s="8" t="str">
        <f>LEFT(C68,3)</f>
        <v>北京市</v>
      </c>
      <c r="E68" s="8" t="s">
        <v>139</v>
      </c>
      <c r="F68" s="8" t="str">
        <f>VLOOKUP(E68,费用类别!A:B,2,0)</f>
        <v>火车票</v>
      </c>
      <c r="G68" s="9">
        <v>1150.8333333333301</v>
      </c>
      <c r="H68" s="20" t="str">
        <f>IF(WEEKDAY(A68,2)&gt;5,"是","否")</f>
        <v>否</v>
      </c>
      <c r="I68" s="8" t="str">
        <f t="shared" si="1"/>
        <v>陈祥通火车票</v>
      </c>
      <c r="J68" s="37">
        <f>IF(SUMPRODUCT((I$3:I68=I68)*1)=1,1,0)</f>
        <v>1</v>
      </c>
      <c r="K68" s="7"/>
    </row>
    <row r="69" spans="1:11" ht="13.5">
      <c r="A69" s="19">
        <v>45078</v>
      </c>
      <c r="B69" s="8" t="s">
        <v>126</v>
      </c>
      <c r="C69" s="8" t="s">
        <v>90</v>
      </c>
      <c r="D69" s="8" t="str">
        <f>LEFT(C69,3)</f>
        <v>四川省</v>
      </c>
      <c r="E69" s="8" t="s">
        <v>143</v>
      </c>
      <c r="F69" s="8" t="str">
        <f>VLOOKUP(E69,费用类别!A:B,2,0)</f>
        <v>通讯补助</v>
      </c>
      <c r="G69" s="9">
        <v>140</v>
      </c>
      <c r="H69" s="20" t="str">
        <f>IF(WEEKDAY(A69,2)&gt;5,"是","否")</f>
        <v>否</v>
      </c>
      <c r="I69" s="8" t="str">
        <f t="shared" si="1"/>
        <v>赵琳艳通讯补助</v>
      </c>
      <c r="J69" s="37">
        <f>IF(SUMPRODUCT((I$3:I69=I69)*1)=1,1,0)</f>
        <v>0</v>
      </c>
      <c r="K69" s="7"/>
    </row>
    <row r="70" spans="1:11" ht="13.5">
      <c r="A70" s="19">
        <v>45078</v>
      </c>
      <c r="B70" s="8" t="s">
        <v>132</v>
      </c>
      <c r="C70" s="8" t="s">
        <v>93</v>
      </c>
      <c r="D70" s="8" t="str">
        <f>LEFT(C70,3)</f>
        <v>浙江省</v>
      </c>
      <c r="E70" s="8" t="s">
        <v>141</v>
      </c>
      <c r="F70" s="8" t="str">
        <f>VLOOKUP(E70,费用类别!A:B,2,0)</f>
        <v>燃油费</v>
      </c>
      <c r="G70" s="9">
        <v>828.2</v>
      </c>
      <c r="H70" s="20" t="str">
        <f>IF(WEEKDAY(A70,2)&gt;5,"是","否")</f>
        <v>否</v>
      </c>
      <c r="I70" s="8" t="str">
        <f t="shared" si="1"/>
        <v>徐亚楠燃油费</v>
      </c>
      <c r="J70" s="37">
        <f>IF(SUMPRODUCT((I$3:I70=I70)*1)=1,1,0)</f>
        <v>1</v>
      </c>
      <c r="K70" s="7"/>
    </row>
    <row r="71" spans="1:11" ht="13.5">
      <c r="A71" s="19">
        <v>45079</v>
      </c>
      <c r="B71" s="8" t="s">
        <v>122</v>
      </c>
      <c r="C71" s="8" t="s">
        <v>29</v>
      </c>
      <c r="D71" s="8" t="str">
        <f>LEFT(C71,3)</f>
        <v>福建省</v>
      </c>
      <c r="E71" s="8" t="s">
        <v>139</v>
      </c>
      <c r="F71" s="8" t="str">
        <f>VLOOKUP(E71,费用类别!A:B,2,0)</f>
        <v>火车票</v>
      </c>
      <c r="G71" s="9">
        <v>754.3</v>
      </c>
      <c r="H71" s="20" t="str">
        <f>IF(WEEKDAY(A71,2)&gt;5,"是","否")</f>
        <v>否</v>
      </c>
      <c r="I71" s="8" t="str">
        <f t="shared" si="1"/>
        <v>刘长辉火车票</v>
      </c>
      <c r="J71" s="37">
        <f>IF(SUMPRODUCT((I$3:I71=I71)*1)=1,1,0)</f>
        <v>0</v>
      </c>
      <c r="K71" s="7"/>
    </row>
    <row r="72" spans="1:11" ht="13.5">
      <c r="A72" s="19">
        <v>45080</v>
      </c>
      <c r="B72" s="8" t="s">
        <v>124</v>
      </c>
      <c r="C72" s="8" t="s">
        <v>62</v>
      </c>
      <c r="D72" s="8" t="str">
        <f>LEFT(C72,3)</f>
        <v>浙江省</v>
      </c>
      <c r="E72" s="8" t="s">
        <v>141</v>
      </c>
      <c r="F72" s="8" t="str">
        <f>VLOOKUP(E72,费用类别!A:B,2,0)</f>
        <v>燃油费</v>
      </c>
      <c r="G72" s="9">
        <v>532.6</v>
      </c>
      <c r="H72" s="20" t="str">
        <f>IF(WEEKDAY(A72,2)&gt;5,"是","否")</f>
        <v>是</v>
      </c>
      <c r="I72" s="8" t="str">
        <f t="shared" si="1"/>
        <v>王雅林燃油费</v>
      </c>
      <c r="J72" s="37">
        <f>IF(SUMPRODUCT((I$3:I72=I72)*1)=1,1,0)</f>
        <v>0</v>
      </c>
      <c r="K72" s="7"/>
    </row>
    <row r="73" spans="1:11" ht="13.5">
      <c r="A73" s="19">
        <v>45080</v>
      </c>
      <c r="B73" s="8" t="s">
        <v>112</v>
      </c>
      <c r="C73" s="8" t="s">
        <v>28</v>
      </c>
      <c r="D73" s="8" t="str">
        <f>LEFT(C73,3)</f>
        <v>北京市</v>
      </c>
      <c r="E73" s="8" t="s">
        <v>140</v>
      </c>
      <c r="F73" s="8" t="str">
        <f>VLOOKUP(E73,费用类别!A:B,2,0)</f>
        <v>高速道桥费</v>
      </c>
      <c r="G73" s="9">
        <v>606.5</v>
      </c>
      <c r="H73" s="20" t="str">
        <f>IF(WEEKDAY(A73,2)&gt;5,"是","否")</f>
        <v>是</v>
      </c>
      <c r="I73" s="8" t="str">
        <f t="shared" si="1"/>
        <v>钱顺卓高速道桥费</v>
      </c>
      <c r="J73" s="37">
        <f>IF(SUMPRODUCT((I$3:I73=I73)*1)=1,1,0)</f>
        <v>0</v>
      </c>
      <c r="K73" s="7"/>
    </row>
    <row r="74" spans="1:11" ht="13.5">
      <c r="A74" s="19">
        <v>45080</v>
      </c>
      <c r="B74" s="8" t="s">
        <v>134</v>
      </c>
      <c r="C74" s="8" t="s">
        <v>84</v>
      </c>
      <c r="D74" s="8" t="str">
        <f>LEFT(C74,3)</f>
        <v>北京市</v>
      </c>
      <c r="E74" s="8" t="s">
        <v>140</v>
      </c>
      <c r="F74" s="8" t="str">
        <f>VLOOKUP(E74,费用类别!A:B,2,0)</f>
        <v>高速道桥费</v>
      </c>
      <c r="G74" s="9">
        <v>246</v>
      </c>
      <c r="H74" s="20" t="str">
        <f>IF(WEEKDAY(A74,2)&gt;5,"是","否")</f>
        <v>是</v>
      </c>
      <c r="I74" s="8" t="str">
        <f t="shared" si="1"/>
        <v>唐雅林高速道桥费</v>
      </c>
      <c r="J74" s="37">
        <f>IF(SUMPRODUCT((I$3:I74=I74)*1)=1,1,0)</f>
        <v>0</v>
      </c>
      <c r="K74" s="7"/>
    </row>
    <row r="75" spans="1:11" ht="13.5">
      <c r="A75" s="19">
        <v>45081</v>
      </c>
      <c r="B75" s="8" t="s">
        <v>110</v>
      </c>
      <c r="C75" s="8" t="s">
        <v>101</v>
      </c>
      <c r="D75" s="8" t="str">
        <f>LEFT(C75,3)</f>
        <v>上海市</v>
      </c>
      <c r="E75" s="8" t="s">
        <v>139</v>
      </c>
      <c r="F75" s="8" t="str">
        <f>VLOOKUP(E75,费用类别!A:B,2,0)</f>
        <v>火车票</v>
      </c>
      <c r="G75" s="9">
        <v>200</v>
      </c>
      <c r="H75" s="20" t="str">
        <f>IF(WEEKDAY(A75,2)&gt;5,"是","否")</f>
        <v>是</v>
      </c>
      <c r="I75" s="8" t="str">
        <f t="shared" si="1"/>
        <v>王天宇火车票</v>
      </c>
      <c r="J75" s="37">
        <f>IF(SUMPRODUCT((I$3:I75=I75)*1)=1,1,0)</f>
        <v>0</v>
      </c>
      <c r="K75" s="7"/>
    </row>
    <row r="76" spans="1:11" ht="13.5">
      <c r="A76" s="19">
        <v>45082</v>
      </c>
      <c r="B76" s="8" t="s">
        <v>113</v>
      </c>
      <c r="C76" s="8" t="s">
        <v>25</v>
      </c>
      <c r="D76" s="8" t="str">
        <f>LEFT(C76,3)</f>
        <v>山西省</v>
      </c>
      <c r="E76" s="8" t="s">
        <v>138</v>
      </c>
      <c r="F76" s="8" t="str">
        <f>VLOOKUP(E76,费用类别!A:B,2,0)</f>
        <v>出租车费</v>
      </c>
      <c r="G76" s="9">
        <v>458.7</v>
      </c>
      <c r="H76" s="20" t="str">
        <f>IF(WEEKDAY(A76,2)&gt;5,"是","否")</f>
        <v>否</v>
      </c>
      <c r="I76" s="8" t="str">
        <f t="shared" si="1"/>
        <v>王崇江出租车费</v>
      </c>
      <c r="J76" s="37">
        <f>IF(SUMPRODUCT((I$3:I76=I76)*1)=1,1,0)</f>
        <v>0</v>
      </c>
      <c r="K76" s="7"/>
    </row>
    <row r="77" spans="1:11" ht="13.5">
      <c r="A77" s="19">
        <v>45082</v>
      </c>
      <c r="B77" s="8" t="s">
        <v>120</v>
      </c>
      <c r="C77" s="8" t="s">
        <v>94</v>
      </c>
      <c r="D77" s="8" t="str">
        <f>LEFT(C77,3)</f>
        <v>贵州省</v>
      </c>
      <c r="E77" s="8" t="s">
        <v>139</v>
      </c>
      <c r="F77" s="8" t="str">
        <f>VLOOKUP(E77,费用类别!A:B,2,0)</f>
        <v>火车票</v>
      </c>
      <c r="G77" s="9">
        <v>902.1</v>
      </c>
      <c r="H77" s="20" t="str">
        <f>IF(WEEKDAY(A77,2)&gt;5,"是","否")</f>
        <v>否</v>
      </c>
      <c r="I77" s="8" t="str">
        <f t="shared" si="1"/>
        <v>谢丽秋火车票</v>
      </c>
      <c r="J77" s="37">
        <f>IF(SUMPRODUCT((I$3:I77=I77)*1)=1,1,0)</f>
        <v>1</v>
      </c>
      <c r="K77" s="7"/>
    </row>
    <row r="78" spans="1:11" ht="13.5">
      <c r="A78" s="19">
        <v>45083</v>
      </c>
      <c r="B78" s="8" t="s">
        <v>128</v>
      </c>
      <c r="C78" s="8" t="s">
        <v>106</v>
      </c>
      <c r="D78" s="8" t="str">
        <f>LEFT(C78,3)</f>
        <v>上海市</v>
      </c>
      <c r="E78" s="8" t="s">
        <v>137</v>
      </c>
      <c r="F78" s="8" t="str">
        <f>VLOOKUP(E78,费用类别!A:B,2,0)</f>
        <v>餐饮费</v>
      </c>
      <c r="G78" s="9">
        <v>200</v>
      </c>
      <c r="H78" s="20" t="str">
        <f>IF(WEEKDAY(A78,2)&gt;5,"是","否")</f>
        <v>否</v>
      </c>
      <c r="I78" s="8" t="str">
        <f t="shared" si="1"/>
        <v>方嘉康餐饮费</v>
      </c>
      <c r="J78" s="37">
        <f>IF(SUMPRODUCT((I$3:I78=I78)*1)=1,1,0)</f>
        <v>1</v>
      </c>
      <c r="K78" s="7"/>
    </row>
    <row r="79" spans="1:11" ht="13.5">
      <c r="A79" s="19">
        <v>45083</v>
      </c>
      <c r="B79" s="8" t="s">
        <v>115</v>
      </c>
      <c r="C79" s="8" t="s">
        <v>45</v>
      </c>
      <c r="D79" s="8" t="str">
        <f>LEFT(C79,3)</f>
        <v>天津市</v>
      </c>
      <c r="E79" s="8" t="s">
        <v>143</v>
      </c>
      <c r="F79" s="8" t="str">
        <f>VLOOKUP(E79,费用类别!A:B,2,0)</f>
        <v>通讯补助</v>
      </c>
      <c r="G79" s="9">
        <v>22</v>
      </c>
      <c r="H79" s="20" t="str">
        <f>IF(WEEKDAY(A79,2)&gt;5,"是","否")</f>
        <v>否</v>
      </c>
      <c r="I79" s="8" t="str">
        <f t="shared" si="1"/>
        <v>刘露露通讯补助</v>
      </c>
      <c r="J79" s="37">
        <f>IF(SUMPRODUCT((I$3:I79=I79)*1)=1,1,0)</f>
        <v>0</v>
      </c>
      <c r="K79" s="7"/>
    </row>
    <row r="80" spans="1:11" ht="13.5">
      <c r="A80" s="19">
        <v>45083</v>
      </c>
      <c r="B80" s="8" t="s">
        <v>123</v>
      </c>
      <c r="C80" s="8" t="s">
        <v>30</v>
      </c>
      <c r="D80" s="8" t="str">
        <f>LEFT(C80,3)</f>
        <v>广东省</v>
      </c>
      <c r="E80" s="8" t="s">
        <v>136</v>
      </c>
      <c r="F80" s="8" t="str">
        <f>VLOOKUP(E80,费用类别!A:B,2,0)</f>
        <v>酒店住宿</v>
      </c>
      <c r="G80" s="9">
        <v>945.83333333333303</v>
      </c>
      <c r="H80" s="20" t="str">
        <f>IF(WEEKDAY(A80,2)&gt;5,"是","否")</f>
        <v>否</v>
      </c>
      <c r="I80" s="8" t="str">
        <f t="shared" si="1"/>
        <v>李晓梅酒店住宿</v>
      </c>
      <c r="J80" s="37">
        <f>IF(SUMPRODUCT((I$3:I80=I80)*1)=1,1,0)</f>
        <v>1</v>
      </c>
      <c r="K80" s="7"/>
    </row>
    <row r="81" spans="1:11" ht="13.5">
      <c r="A81" s="19">
        <v>45083</v>
      </c>
      <c r="B81" s="8" t="s">
        <v>120</v>
      </c>
      <c r="C81" s="8" t="s">
        <v>33</v>
      </c>
      <c r="D81" s="8" t="str">
        <f>LEFT(C81,3)</f>
        <v>天津市</v>
      </c>
      <c r="E81" s="8" t="s">
        <v>139</v>
      </c>
      <c r="F81" s="8" t="str">
        <f>VLOOKUP(E81,费用类别!A:B,2,0)</f>
        <v>火车票</v>
      </c>
      <c r="G81" s="9">
        <v>3000</v>
      </c>
      <c r="H81" s="20" t="str">
        <f>IF(WEEKDAY(A81,2)&gt;5,"是","否")</f>
        <v>否</v>
      </c>
      <c r="I81" s="8" t="str">
        <f t="shared" si="1"/>
        <v>谢丽秋火车票</v>
      </c>
      <c r="J81" s="37">
        <f>IF(SUMPRODUCT((I$3:I81=I81)*1)=1,1,0)</f>
        <v>0</v>
      </c>
      <c r="K81" s="7"/>
    </row>
    <row r="82" spans="1:11" ht="13.5">
      <c r="A82" s="19">
        <v>45084</v>
      </c>
      <c r="B82" s="8" t="s">
        <v>111</v>
      </c>
      <c r="C82" s="8" t="s">
        <v>79</v>
      </c>
      <c r="D82" s="8" t="str">
        <f>LEFT(C82,3)</f>
        <v>吉林省</v>
      </c>
      <c r="E82" s="8" t="s">
        <v>137</v>
      </c>
      <c r="F82" s="8" t="str">
        <f>VLOOKUP(E82,费用类别!A:B,2,0)</f>
        <v>餐饮费</v>
      </c>
      <c r="G82" s="9">
        <v>100</v>
      </c>
      <c r="H82" s="20" t="str">
        <f>IF(WEEKDAY(A82,2)&gt;5,"是","否")</f>
        <v>否</v>
      </c>
      <c r="I82" s="8" t="str">
        <f t="shared" si="1"/>
        <v>方文成餐饮费</v>
      </c>
      <c r="J82" s="37">
        <f>IF(SUMPRODUCT((I$3:I82=I82)*1)=1,1,0)</f>
        <v>0</v>
      </c>
      <c r="K82" s="7"/>
    </row>
    <row r="83" spans="1:11" ht="13.5">
      <c r="A83" s="19">
        <v>45085</v>
      </c>
      <c r="B83" s="8" t="s">
        <v>115</v>
      </c>
      <c r="C83" s="8" t="s">
        <v>157</v>
      </c>
      <c r="D83" s="8" t="str">
        <f>LEFT(C83,3)</f>
        <v>山西省</v>
      </c>
      <c r="E83" s="8" t="s">
        <v>142</v>
      </c>
      <c r="F83" s="8" t="str">
        <f>VLOOKUP(E83,费用类别!A:B,2,0)</f>
        <v>停车费</v>
      </c>
      <c r="G83" s="9">
        <v>100</v>
      </c>
      <c r="H83" s="20" t="str">
        <f>IF(WEEKDAY(A83,2)&gt;5,"是","否")</f>
        <v>否</v>
      </c>
      <c r="I83" s="8" t="str">
        <f t="shared" si="1"/>
        <v>刘露露停车费</v>
      </c>
      <c r="J83" s="37">
        <f>IF(SUMPRODUCT((I$3:I83=I83)*1)=1,1,0)</f>
        <v>1</v>
      </c>
      <c r="K83" s="7"/>
    </row>
    <row r="84" spans="1:11" ht="13.5">
      <c r="A84" s="19">
        <v>45085</v>
      </c>
      <c r="B84" s="8" t="s">
        <v>112</v>
      </c>
      <c r="C84" s="8" t="s">
        <v>86</v>
      </c>
      <c r="D84" s="8" t="str">
        <f>LEFT(C84,3)</f>
        <v>广东省</v>
      </c>
      <c r="E84" s="8" t="s">
        <v>140</v>
      </c>
      <c r="F84" s="8" t="str">
        <f>VLOOKUP(E84,费用类别!A:B,2,0)</f>
        <v>高速道桥费</v>
      </c>
      <c r="G84" s="9">
        <v>433.33333333333297</v>
      </c>
      <c r="H84" s="20" t="str">
        <f>IF(WEEKDAY(A84,2)&gt;5,"是","否")</f>
        <v>否</v>
      </c>
      <c r="I84" s="8" t="str">
        <f t="shared" si="1"/>
        <v>钱顺卓高速道桥费</v>
      </c>
      <c r="J84" s="37">
        <f>IF(SUMPRODUCT((I$3:I84=I84)*1)=1,1,0)</f>
        <v>0</v>
      </c>
      <c r="K84" s="7"/>
    </row>
    <row r="85" spans="1:11" ht="13.5">
      <c r="A85" s="19">
        <v>45086</v>
      </c>
      <c r="B85" s="8" t="s">
        <v>134</v>
      </c>
      <c r="C85" s="8" t="s">
        <v>102</v>
      </c>
      <c r="D85" s="8" t="str">
        <f>LEFT(C85,3)</f>
        <v>山东省</v>
      </c>
      <c r="E85" s="8" t="s">
        <v>140</v>
      </c>
      <c r="F85" s="8" t="str">
        <f>VLOOKUP(E85,费用类别!A:B,2,0)</f>
        <v>高速道桥费</v>
      </c>
      <c r="G85" s="9">
        <v>3000</v>
      </c>
      <c r="H85" s="20" t="str">
        <f>IF(WEEKDAY(A85,2)&gt;5,"是","否")</f>
        <v>否</v>
      </c>
      <c r="I85" s="8" t="str">
        <f t="shared" si="1"/>
        <v>唐雅林高速道桥费</v>
      </c>
      <c r="J85" s="37">
        <f>IF(SUMPRODUCT((I$3:I85=I85)*1)=1,1,0)</f>
        <v>0</v>
      </c>
      <c r="K85" s="7"/>
    </row>
    <row r="86" spans="1:11" ht="13.5">
      <c r="A86" s="19">
        <v>45086</v>
      </c>
      <c r="B86" s="8" t="s">
        <v>134</v>
      </c>
      <c r="C86" s="8" t="s">
        <v>27</v>
      </c>
      <c r="D86" s="8" t="str">
        <f>LEFT(C86,3)</f>
        <v>浙江省</v>
      </c>
      <c r="E86" s="8" t="s">
        <v>140</v>
      </c>
      <c r="F86" s="8" t="str">
        <f>VLOOKUP(E86,费用类别!A:B,2,0)</f>
        <v>高速道桥费</v>
      </c>
      <c r="G86" s="9">
        <v>638.33333333333303</v>
      </c>
      <c r="H86" s="20" t="str">
        <f>IF(WEEKDAY(A86,2)&gt;5,"是","否")</f>
        <v>否</v>
      </c>
      <c r="I86" s="8" t="str">
        <f t="shared" si="1"/>
        <v>唐雅林高速道桥费</v>
      </c>
      <c r="J86" s="37">
        <f>IF(SUMPRODUCT((I$3:I86=I86)*1)=1,1,0)</f>
        <v>0</v>
      </c>
      <c r="K86" s="7"/>
    </row>
    <row r="87" spans="1:11" ht="13.5">
      <c r="A87" s="19">
        <v>45087</v>
      </c>
      <c r="B87" s="8" t="s">
        <v>124</v>
      </c>
      <c r="C87" s="8" t="s">
        <v>32</v>
      </c>
      <c r="D87" s="8" t="str">
        <f>LEFT(C87,3)</f>
        <v>江苏省</v>
      </c>
      <c r="E87" s="8" t="s">
        <v>138</v>
      </c>
      <c r="F87" s="8" t="str">
        <f>VLOOKUP(E87,费用类别!A:B,2,0)</f>
        <v>出租车费</v>
      </c>
      <c r="G87" s="9">
        <v>200</v>
      </c>
      <c r="H87" s="20" t="str">
        <f>IF(WEEKDAY(A87,2)&gt;5,"是","否")</f>
        <v>是</v>
      </c>
      <c r="I87" s="8" t="str">
        <f t="shared" si="1"/>
        <v>王雅林出租车费</v>
      </c>
      <c r="J87" s="37">
        <f>IF(SUMPRODUCT((I$3:I87=I87)*1)=1,1,0)</f>
        <v>1</v>
      </c>
      <c r="K87" s="7"/>
    </row>
    <row r="88" spans="1:11" ht="13.5">
      <c r="A88" s="19">
        <v>45087</v>
      </c>
      <c r="B88" s="8" t="s">
        <v>109</v>
      </c>
      <c r="C88" s="8" t="s">
        <v>69</v>
      </c>
      <c r="D88" s="8" t="str">
        <f>LEFT(C88,3)</f>
        <v>北京市</v>
      </c>
      <c r="E88" s="8" t="s">
        <v>135</v>
      </c>
      <c r="F88" s="8" t="str">
        <f>VLOOKUP(E88,费用类别!A:B,2,0)</f>
        <v>飞机票</v>
      </c>
      <c r="G88" s="9">
        <v>1253.3333333333301</v>
      </c>
      <c r="H88" s="20" t="str">
        <f>IF(WEEKDAY(A88,2)&gt;5,"是","否")</f>
        <v>是</v>
      </c>
      <c r="I88" s="8" t="str">
        <f t="shared" si="1"/>
        <v>陈祥通飞机票</v>
      </c>
      <c r="J88" s="37">
        <f>IF(SUMPRODUCT((I$3:I88=I88)*1)=1,1,0)</f>
        <v>1</v>
      </c>
      <c r="K88" s="7"/>
    </row>
    <row r="89" spans="1:11" ht="13.5">
      <c r="A89" s="19">
        <v>45090</v>
      </c>
      <c r="B89" s="8" t="s">
        <v>125</v>
      </c>
      <c r="C89" s="8" t="s">
        <v>60</v>
      </c>
      <c r="D89" s="8" t="str">
        <f>LEFT(C89,3)</f>
        <v>河北省</v>
      </c>
      <c r="E89" s="8" t="s">
        <v>140</v>
      </c>
      <c r="F89" s="8" t="str">
        <f>VLOOKUP(E89,费用类别!A:B,2,0)</f>
        <v>高速道桥费</v>
      </c>
      <c r="G89" s="9">
        <v>843.33333333333303</v>
      </c>
      <c r="H89" s="20" t="str">
        <f>IF(WEEKDAY(A89,2)&gt;5,"是","否")</f>
        <v>否</v>
      </c>
      <c r="I89" s="8" t="str">
        <f t="shared" si="1"/>
        <v>边金双高速道桥费</v>
      </c>
      <c r="J89" s="37">
        <f>IF(SUMPRODUCT((I$3:I89=I89)*1)=1,1,0)</f>
        <v>1</v>
      </c>
      <c r="K89" s="7"/>
    </row>
    <row r="90" spans="1:11" ht="13.5">
      <c r="A90" s="19">
        <v>45090</v>
      </c>
      <c r="B90" s="8" t="s">
        <v>123</v>
      </c>
      <c r="C90" s="8" t="s">
        <v>30</v>
      </c>
      <c r="D90" s="8" t="str">
        <f>LEFT(C90,3)</f>
        <v>广东省</v>
      </c>
      <c r="E90" s="8" t="s">
        <v>142</v>
      </c>
      <c r="F90" s="8" t="str">
        <f>VLOOKUP(E90,费用类别!A:B,2,0)</f>
        <v>停车费</v>
      </c>
      <c r="G90" s="9">
        <v>1271.5999999999999</v>
      </c>
      <c r="H90" s="20" t="str">
        <f>IF(WEEKDAY(A90,2)&gt;5,"是","否")</f>
        <v>否</v>
      </c>
      <c r="I90" s="8" t="str">
        <f t="shared" si="1"/>
        <v>李晓梅停车费</v>
      </c>
      <c r="J90" s="37">
        <f>IF(SUMPRODUCT((I$3:I90=I90)*1)=1,1,0)</f>
        <v>1</v>
      </c>
      <c r="K90" s="7"/>
    </row>
    <row r="91" spans="1:11" ht="13.5">
      <c r="A91" s="19">
        <v>45090</v>
      </c>
      <c r="B91" s="8" t="s">
        <v>134</v>
      </c>
      <c r="C91" s="8" t="s">
        <v>35</v>
      </c>
      <c r="D91" s="8" t="str">
        <f>LEFT(C91,3)</f>
        <v>广东省</v>
      </c>
      <c r="E91" s="8" t="s">
        <v>140</v>
      </c>
      <c r="F91" s="8" t="str">
        <f>VLOOKUP(E91,费用类别!A:B,2,0)</f>
        <v>高速道桥费</v>
      </c>
      <c r="G91" s="9">
        <v>740.83333333333303</v>
      </c>
      <c r="H91" s="20" t="str">
        <f>IF(WEEKDAY(A91,2)&gt;5,"是","否")</f>
        <v>否</v>
      </c>
      <c r="I91" s="8" t="str">
        <f t="shared" si="1"/>
        <v>唐雅林高速道桥费</v>
      </c>
      <c r="J91" s="37">
        <f>IF(SUMPRODUCT((I$3:I91=I91)*1)=1,1,0)</f>
        <v>0</v>
      </c>
      <c r="K91" s="7"/>
    </row>
    <row r="92" spans="1:11" ht="13.5">
      <c r="A92" s="19">
        <v>45090</v>
      </c>
      <c r="B92" s="8" t="s">
        <v>114</v>
      </c>
      <c r="C92" s="8" t="s">
        <v>46</v>
      </c>
      <c r="D92" s="8" t="str">
        <f>LEFT(C92,3)</f>
        <v>陕西省</v>
      </c>
      <c r="E92" s="8" t="s">
        <v>144</v>
      </c>
      <c r="F92" s="8" t="str">
        <f>VLOOKUP(E92,费用类别!A:B,2,0)</f>
        <v>其他</v>
      </c>
      <c r="G92" s="9">
        <v>246</v>
      </c>
      <c r="H92" s="20" t="str">
        <f>IF(WEEKDAY(A92,2)&gt;5,"是","否")</f>
        <v>否</v>
      </c>
      <c r="I92" s="8" t="str">
        <f t="shared" si="1"/>
        <v>黎浩然其他</v>
      </c>
      <c r="J92" s="37">
        <f>IF(SUMPRODUCT((I$3:I92=I92)*1)=1,1,0)</f>
        <v>1</v>
      </c>
      <c r="K92" s="7"/>
    </row>
    <row r="93" spans="1:11" ht="13.5">
      <c r="A93" s="19">
        <v>45091</v>
      </c>
      <c r="B93" s="8" t="s">
        <v>109</v>
      </c>
      <c r="C93" s="8" t="s">
        <v>69</v>
      </c>
      <c r="D93" s="8" t="str">
        <f>LEFT(C93,3)</f>
        <v>北京市</v>
      </c>
      <c r="E93" s="8" t="s">
        <v>140</v>
      </c>
      <c r="F93" s="8" t="str">
        <f>VLOOKUP(E93,费用类别!A:B,2,0)</f>
        <v>高速道桥费</v>
      </c>
      <c r="G93" s="9">
        <v>200</v>
      </c>
      <c r="H93" s="20" t="str">
        <f>IF(WEEKDAY(A93,2)&gt;5,"是","否")</f>
        <v>否</v>
      </c>
      <c r="I93" s="8" t="str">
        <f t="shared" si="1"/>
        <v>陈祥通高速道桥费</v>
      </c>
      <c r="J93" s="37">
        <f>IF(SUMPRODUCT((I$3:I93=I93)*1)=1,1,0)</f>
        <v>0</v>
      </c>
      <c r="K93" s="7"/>
    </row>
    <row r="94" spans="1:11" ht="13.5">
      <c r="A94" s="19">
        <v>45091</v>
      </c>
      <c r="B94" s="8" t="s">
        <v>109</v>
      </c>
      <c r="C94" s="8" t="s">
        <v>19</v>
      </c>
      <c r="D94" s="8" t="str">
        <f>LEFT(C94,3)</f>
        <v>北京市</v>
      </c>
      <c r="E94" s="8" t="s">
        <v>141</v>
      </c>
      <c r="F94" s="8" t="str">
        <f>VLOOKUP(E94,费用类别!A:B,2,0)</f>
        <v>燃油费</v>
      </c>
      <c r="G94" s="9">
        <v>433.33333333333297</v>
      </c>
      <c r="H94" s="20" t="str">
        <f>IF(WEEKDAY(A94,2)&gt;5,"是","否")</f>
        <v>否</v>
      </c>
      <c r="I94" s="8" t="str">
        <f t="shared" si="1"/>
        <v>陈祥通燃油费</v>
      </c>
      <c r="J94" s="37">
        <f>IF(SUMPRODUCT((I$3:I94=I94)*1)=1,1,0)</f>
        <v>1</v>
      </c>
      <c r="K94" s="7"/>
    </row>
    <row r="95" spans="1:11" ht="13.5">
      <c r="A95" s="19">
        <v>45092</v>
      </c>
      <c r="B95" s="8" t="s">
        <v>112</v>
      </c>
      <c r="C95" s="8" t="s">
        <v>156</v>
      </c>
      <c r="D95" s="8" t="str">
        <f>LEFT(C95,3)</f>
        <v>河北省</v>
      </c>
      <c r="E95" s="8" t="s">
        <v>141</v>
      </c>
      <c r="F95" s="8" t="str">
        <f>VLOOKUP(E95,费用类别!A:B,2,0)</f>
        <v>燃油费</v>
      </c>
      <c r="G95" s="9">
        <v>843.33333333333303</v>
      </c>
      <c r="H95" s="20" t="str">
        <f>IF(WEEKDAY(A95,2)&gt;5,"是","否")</f>
        <v>否</v>
      </c>
      <c r="I95" s="8" t="str">
        <f t="shared" si="1"/>
        <v>钱顺卓燃油费</v>
      </c>
      <c r="J95" s="37">
        <f>IF(SUMPRODUCT((I$3:I95=I95)*1)=1,1,0)</f>
        <v>0</v>
      </c>
      <c r="K95" s="7"/>
    </row>
    <row r="96" spans="1:11" ht="13.5">
      <c r="A96" s="19">
        <v>45092</v>
      </c>
      <c r="B96" s="8" t="s">
        <v>116</v>
      </c>
      <c r="C96" s="8" t="s">
        <v>20</v>
      </c>
      <c r="D96" s="8" t="str">
        <f>LEFT(C96,3)</f>
        <v>北京市</v>
      </c>
      <c r="E96" s="8" t="s">
        <v>140</v>
      </c>
      <c r="F96" s="8" t="str">
        <f>VLOOKUP(E96,费用类别!A:B,2,0)</f>
        <v>高速道桥费</v>
      </c>
      <c r="G96" s="9">
        <v>1253.3333333333301</v>
      </c>
      <c r="H96" s="20" t="str">
        <f>IF(WEEKDAY(A96,2)&gt;5,"是","否")</f>
        <v>否</v>
      </c>
      <c r="I96" s="8" t="str">
        <f t="shared" si="1"/>
        <v>徐志晨高速道桥费</v>
      </c>
      <c r="J96" s="37">
        <f>IF(SUMPRODUCT((I$3:I96=I96)*1)=1,1,0)</f>
        <v>1</v>
      </c>
      <c r="K96" s="7"/>
    </row>
    <row r="97" spans="1:11" ht="13.5">
      <c r="A97" s="19">
        <v>45092</v>
      </c>
      <c r="B97" s="8" t="s">
        <v>134</v>
      </c>
      <c r="C97" s="8" t="s">
        <v>35</v>
      </c>
      <c r="D97" s="8" t="str">
        <f>LEFT(C97,3)</f>
        <v>广东省</v>
      </c>
      <c r="E97" s="8" t="s">
        <v>141</v>
      </c>
      <c r="F97" s="8" t="str">
        <f>VLOOKUP(E97,费用类别!A:B,2,0)</f>
        <v>燃油费</v>
      </c>
      <c r="G97" s="9">
        <v>1197.7</v>
      </c>
      <c r="H97" s="20" t="str">
        <f>IF(WEEKDAY(A97,2)&gt;5,"是","否")</f>
        <v>否</v>
      </c>
      <c r="I97" s="8" t="str">
        <f t="shared" si="1"/>
        <v>唐雅林燃油费</v>
      </c>
      <c r="J97" s="37">
        <f>IF(SUMPRODUCT((I$3:I97=I97)*1)=1,1,0)</f>
        <v>1</v>
      </c>
      <c r="K97" s="7"/>
    </row>
    <row r="98" spans="1:11" ht="13.5">
      <c r="A98" s="19">
        <v>45093</v>
      </c>
      <c r="B98" s="8" t="s">
        <v>109</v>
      </c>
      <c r="C98" s="8" t="s">
        <v>12</v>
      </c>
      <c r="D98" s="8" t="str">
        <f>LEFT(C98,3)</f>
        <v>广东省</v>
      </c>
      <c r="E98" s="8" t="s">
        <v>135</v>
      </c>
      <c r="F98" s="8" t="str">
        <f>VLOOKUP(E98,费用类别!A:B,2,0)</f>
        <v>飞机票</v>
      </c>
      <c r="G98" s="9">
        <v>120</v>
      </c>
      <c r="H98" s="20" t="str">
        <f>IF(WEEKDAY(A98,2)&gt;5,"是","否")</f>
        <v>否</v>
      </c>
      <c r="I98" s="8" t="str">
        <f t="shared" si="1"/>
        <v>陈祥通飞机票</v>
      </c>
      <c r="J98" s="37">
        <f>IF(SUMPRODUCT((I$3:I98=I98)*1)=1,1,0)</f>
        <v>0</v>
      </c>
      <c r="K98" s="7"/>
    </row>
    <row r="99" spans="1:11" ht="13.5">
      <c r="A99" s="19">
        <v>45093</v>
      </c>
      <c r="B99" s="8" t="s">
        <v>134</v>
      </c>
      <c r="C99" s="8" t="s">
        <v>27</v>
      </c>
      <c r="D99" s="8" t="str">
        <f>LEFT(C99,3)</f>
        <v>浙江省</v>
      </c>
      <c r="E99" s="8" t="s">
        <v>139</v>
      </c>
      <c r="F99" s="8" t="str">
        <f>VLOOKUP(E99,费用类别!A:B,2,0)</f>
        <v>火车票</v>
      </c>
      <c r="G99" s="9">
        <v>532.6</v>
      </c>
      <c r="H99" s="20" t="str">
        <f>IF(WEEKDAY(A99,2)&gt;5,"是","否")</f>
        <v>否</v>
      </c>
      <c r="I99" s="8" t="str">
        <f t="shared" si="1"/>
        <v>唐雅林火车票</v>
      </c>
      <c r="J99" s="37">
        <f>IF(SUMPRODUCT((I$3:I99=I99)*1)=1,1,0)</f>
        <v>0</v>
      </c>
      <c r="K99" s="7"/>
    </row>
    <row r="100" spans="1:11" ht="13.5">
      <c r="A100" s="19">
        <v>45094</v>
      </c>
      <c r="B100" s="8" t="s">
        <v>115</v>
      </c>
      <c r="C100" s="8" t="s">
        <v>45</v>
      </c>
      <c r="D100" s="8" t="str">
        <f>LEFT(C100,3)</f>
        <v>天津市</v>
      </c>
      <c r="E100" s="8" t="s">
        <v>144</v>
      </c>
      <c r="F100" s="8" t="str">
        <f>VLOOKUP(E100,费用类别!A:B,2,0)</f>
        <v>其他</v>
      </c>
      <c r="G100" s="9">
        <v>532.6</v>
      </c>
      <c r="H100" s="20" t="str">
        <f>IF(WEEKDAY(A100,2)&gt;5,"是","否")</f>
        <v>是</v>
      </c>
      <c r="I100" s="8" t="str">
        <f t="shared" si="1"/>
        <v>刘露露其他</v>
      </c>
      <c r="J100" s="37">
        <f>IF(SUMPRODUCT((I$3:I100=I100)*1)=1,1,0)</f>
        <v>1</v>
      </c>
      <c r="K100" s="7"/>
    </row>
    <row r="101" spans="1:11" ht="13.5">
      <c r="A101" s="19">
        <v>45095</v>
      </c>
      <c r="B101" s="8" t="s">
        <v>113</v>
      </c>
      <c r="C101" s="8" t="s">
        <v>25</v>
      </c>
      <c r="D101" s="8" t="str">
        <f>LEFT(C101,3)</f>
        <v>山西省</v>
      </c>
      <c r="E101" s="8" t="s">
        <v>139</v>
      </c>
      <c r="F101" s="8" t="str">
        <f>VLOOKUP(E101,费用类别!A:B,2,0)</f>
        <v>火车票</v>
      </c>
      <c r="G101" s="9">
        <v>120</v>
      </c>
      <c r="H101" s="20" t="str">
        <f>IF(WEEKDAY(A101,2)&gt;5,"是","否")</f>
        <v>是</v>
      </c>
      <c r="I101" s="8" t="str">
        <f t="shared" si="1"/>
        <v>王崇江火车票</v>
      </c>
      <c r="J101" s="37">
        <f>IF(SUMPRODUCT((I$3:I101=I101)*1)=1,1,0)</f>
        <v>1</v>
      </c>
      <c r="K101" s="7"/>
    </row>
    <row r="102" spans="1:11" ht="13.5">
      <c r="A102" s="19">
        <v>45096</v>
      </c>
      <c r="B102" s="8" t="s">
        <v>131</v>
      </c>
      <c r="C102" s="8" t="s">
        <v>97</v>
      </c>
      <c r="D102" s="8" t="str">
        <f>LEFT(C102,3)</f>
        <v>河南省</v>
      </c>
      <c r="E102" s="8" t="s">
        <v>142</v>
      </c>
      <c r="F102" s="8" t="str">
        <f>VLOOKUP(E102,费用类别!A:B,2,0)</f>
        <v>停车费</v>
      </c>
      <c r="G102" s="9">
        <v>1123.8</v>
      </c>
      <c r="H102" s="20" t="str">
        <f>IF(WEEKDAY(A102,2)&gt;5,"是","否")</f>
        <v>否</v>
      </c>
      <c r="I102" s="8" t="str">
        <f t="shared" si="1"/>
        <v>王欣荣停车费</v>
      </c>
      <c r="J102" s="37">
        <f>IF(SUMPRODUCT((I$3:I102=I102)*1)=1,1,0)</f>
        <v>1</v>
      </c>
      <c r="K102" s="7"/>
    </row>
    <row r="103" spans="1:11" ht="13.5">
      <c r="A103" s="19">
        <v>45096</v>
      </c>
      <c r="B103" s="8" t="s">
        <v>111</v>
      </c>
      <c r="C103" s="8" t="s">
        <v>68</v>
      </c>
      <c r="D103" s="8" t="str">
        <f>LEFT(C103,3)</f>
        <v>杭州市</v>
      </c>
      <c r="E103" s="8" t="s">
        <v>141</v>
      </c>
      <c r="F103" s="8" t="str">
        <f>VLOOKUP(E103,费用类别!A:B,2,0)</f>
        <v>燃油费</v>
      </c>
      <c r="G103" s="9">
        <v>1663.3333333333301</v>
      </c>
      <c r="H103" s="20" t="str">
        <f>IF(WEEKDAY(A103,2)&gt;5,"是","否")</f>
        <v>否</v>
      </c>
      <c r="I103" s="8" t="str">
        <f t="shared" si="1"/>
        <v>方文成燃油费</v>
      </c>
      <c r="J103" s="37">
        <f>IF(SUMPRODUCT((I$3:I103=I103)*1)=1,1,0)</f>
        <v>0</v>
      </c>
      <c r="K103" s="7"/>
    </row>
    <row r="104" spans="1:11" ht="13.5">
      <c r="A104" s="19">
        <v>45096</v>
      </c>
      <c r="B104" s="8" t="s">
        <v>115</v>
      </c>
      <c r="C104" s="8" t="s">
        <v>18</v>
      </c>
      <c r="D104" s="8" t="str">
        <f>LEFT(C104,3)</f>
        <v>江西省</v>
      </c>
      <c r="E104" s="8" t="s">
        <v>141</v>
      </c>
      <c r="F104" s="8" t="str">
        <f>VLOOKUP(E104,费用类别!A:B,2,0)</f>
        <v>燃油费</v>
      </c>
      <c r="G104" s="9">
        <v>1048.3333333333301</v>
      </c>
      <c r="H104" s="20" t="str">
        <f>IF(WEEKDAY(A104,2)&gt;5,"是","否")</f>
        <v>否</v>
      </c>
      <c r="I104" s="8" t="str">
        <f t="shared" si="1"/>
        <v>刘露露燃油费</v>
      </c>
      <c r="J104" s="37">
        <f>IF(SUMPRODUCT((I$3:I104=I104)*1)=1,1,0)</f>
        <v>1</v>
      </c>
      <c r="K104" s="7"/>
    </row>
    <row r="105" spans="1:11" ht="13.5">
      <c r="A105" s="19">
        <v>45097</v>
      </c>
      <c r="B105" s="8" t="s">
        <v>111</v>
      </c>
      <c r="C105" s="8" t="s">
        <v>68</v>
      </c>
      <c r="D105" s="8" t="str">
        <f>LEFT(C105,3)</f>
        <v>杭州市</v>
      </c>
      <c r="E105" s="8" t="s">
        <v>140</v>
      </c>
      <c r="F105" s="8" t="str">
        <f>VLOOKUP(E105,费用类别!A:B,2,0)</f>
        <v>高速道桥费</v>
      </c>
      <c r="G105" s="9">
        <v>29</v>
      </c>
      <c r="H105" s="20" t="str">
        <f>IF(WEEKDAY(A105,2)&gt;5,"是","否")</f>
        <v>否</v>
      </c>
      <c r="I105" s="8" t="str">
        <f t="shared" si="1"/>
        <v>方文成高速道桥费</v>
      </c>
      <c r="J105" s="37">
        <f>IF(SUMPRODUCT((I$3:I105=I105)*1)=1,1,0)</f>
        <v>1</v>
      </c>
      <c r="K105" s="7"/>
    </row>
    <row r="106" spans="1:11" ht="13.5">
      <c r="A106" s="19">
        <v>45097</v>
      </c>
      <c r="B106" s="8" t="s">
        <v>109</v>
      </c>
      <c r="C106" s="8" t="s">
        <v>69</v>
      </c>
      <c r="D106" s="8" t="str">
        <f>LEFT(C106,3)</f>
        <v>北京市</v>
      </c>
      <c r="E106" s="8" t="s">
        <v>135</v>
      </c>
      <c r="F106" s="8" t="str">
        <f>VLOOKUP(E106,费用类别!A:B,2,0)</f>
        <v>飞机票</v>
      </c>
      <c r="G106" s="9">
        <v>433.33333333333297</v>
      </c>
      <c r="H106" s="20" t="str">
        <f>IF(WEEKDAY(A106,2)&gt;5,"是","否")</f>
        <v>否</v>
      </c>
      <c r="I106" s="8" t="str">
        <f t="shared" si="1"/>
        <v>陈祥通飞机票</v>
      </c>
      <c r="J106" s="37">
        <f>IF(SUMPRODUCT((I$3:I106=I106)*1)=1,1,0)</f>
        <v>0</v>
      </c>
      <c r="K106" s="7"/>
    </row>
    <row r="107" spans="1:11" ht="13.5">
      <c r="A107" s="19">
        <v>45097</v>
      </c>
      <c r="B107" s="8" t="s">
        <v>109</v>
      </c>
      <c r="C107" s="8" t="s">
        <v>69</v>
      </c>
      <c r="D107" s="8" t="str">
        <f>LEFT(C107,3)</f>
        <v>北京市</v>
      </c>
      <c r="E107" s="8" t="s">
        <v>138</v>
      </c>
      <c r="F107" s="8" t="str">
        <f>VLOOKUP(E107,费用类别!A:B,2,0)</f>
        <v>出租车费</v>
      </c>
      <c r="G107" s="9">
        <v>1049.9000000000001</v>
      </c>
      <c r="H107" s="20" t="str">
        <f>IF(WEEKDAY(A107,2)&gt;5,"是","否")</f>
        <v>否</v>
      </c>
      <c r="I107" s="8" t="str">
        <f t="shared" si="1"/>
        <v>陈祥通出租车费</v>
      </c>
      <c r="J107" s="37">
        <f>IF(SUMPRODUCT((I$3:I107=I107)*1)=1,1,0)</f>
        <v>1</v>
      </c>
      <c r="K107" s="7"/>
    </row>
    <row r="108" spans="1:11" ht="13.5">
      <c r="A108" s="19">
        <v>45097</v>
      </c>
      <c r="B108" s="8" t="s">
        <v>114</v>
      </c>
      <c r="C108" s="8" t="s">
        <v>17</v>
      </c>
      <c r="D108" s="8" t="str">
        <f>LEFT(C108,3)</f>
        <v>广东省</v>
      </c>
      <c r="E108" s="8" t="s">
        <v>139</v>
      </c>
      <c r="F108" s="8" t="str">
        <f>VLOOKUP(E108,费用类别!A:B,2,0)</f>
        <v>火车票</v>
      </c>
      <c r="G108" s="9">
        <v>1560.8333333333301</v>
      </c>
      <c r="H108" s="20" t="str">
        <f>IF(WEEKDAY(A108,2)&gt;5,"是","否")</f>
        <v>否</v>
      </c>
      <c r="I108" s="8" t="str">
        <f t="shared" si="1"/>
        <v>黎浩然火车票</v>
      </c>
      <c r="J108" s="37">
        <f>IF(SUMPRODUCT((I$3:I108=I108)*1)=1,1,0)</f>
        <v>1</v>
      </c>
      <c r="K108" s="7"/>
    </row>
    <row r="109" spans="1:11" ht="13.5">
      <c r="A109" s="19">
        <v>45098</v>
      </c>
      <c r="B109" s="8" t="s">
        <v>112</v>
      </c>
      <c r="C109" s="8" t="s">
        <v>28</v>
      </c>
      <c r="D109" s="8" t="str">
        <f>LEFT(C109,3)</f>
        <v>北京市</v>
      </c>
      <c r="E109" s="8" t="s">
        <v>141</v>
      </c>
      <c r="F109" s="8" t="str">
        <f>VLOOKUP(E109,费用类别!A:B,2,0)</f>
        <v>燃油费</v>
      </c>
      <c r="G109" s="9">
        <v>740.83333333333303</v>
      </c>
      <c r="H109" s="20" t="str">
        <f>IF(WEEKDAY(A109,2)&gt;5,"是","否")</f>
        <v>否</v>
      </c>
      <c r="I109" s="8" t="str">
        <f t="shared" si="1"/>
        <v>钱顺卓燃油费</v>
      </c>
      <c r="J109" s="37">
        <f>IF(SUMPRODUCT((I$3:I109=I109)*1)=1,1,0)</f>
        <v>0</v>
      </c>
      <c r="K109" s="7"/>
    </row>
    <row r="110" spans="1:11" ht="13.5">
      <c r="A110" s="19">
        <v>45099</v>
      </c>
      <c r="B110" s="8" t="s">
        <v>131</v>
      </c>
      <c r="C110" s="8" t="s">
        <v>97</v>
      </c>
      <c r="D110" s="8" t="str">
        <f>LEFT(C110,3)</f>
        <v>河南省</v>
      </c>
      <c r="E110" s="8" t="s">
        <v>139</v>
      </c>
      <c r="F110" s="8" t="str">
        <f>VLOOKUP(E110,费用类别!A:B,2,0)</f>
        <v>火车票</v>
      </c>
      <c r="G110" s="9">
        <v>843.33333333333303</v>
      </c>
      <c r="H110" s="20" t="str">
        <f>IF(WEEKDAY(A110,2)&gt;5,"是","否")</f>
        <v>否</v>
      </c>
      <c r="I110" s="8" t="str">
        <f t="shared" si="1"/>
        <v>王欣荣火车票</v>
      </c>
      <c r="J110" s="37">
        <f>IF(SUMPRODUCT((I$3:I110=I110)*1)=1,1,0)</f>
        <v>1</v>
      </c>
      <c r="K110" s="7"/>
    </row>
    <row r="111" spans="1:11" ht="13.5">
      <c r="A111" s="19">
        <v>45099</v>
      </c>
      <c r="B111" s="8" t="s">
        <v>130</v>
      </c>
      <c r="C111" s="8" t="s">
        <v>50</v>
      </c>
      <c r="D111" s="8" t="str">
        <f>LEFT(C111,3)</f>
        <v>四川省</v>
      </c>
      <c r="E111" s="8" t="s">
        <v>140</v>
      </c>
      <c r="F111" s="8" t="str">
        <f>VLOOKUP(E111,费用类别!A:B,2,0)</f>
        <v>高速道桥费</v>
      </c>
      <c r="G111" s="9">
        <v>458.7</v>
      </c>
      <c r="H111" s="20" t="str">
        <f>IF(WEEKDAY(A111,2)&gt;5,"是","否")</f>
        <v>否</v>
      </c>
      <c r="I111" s="8" t="str">
        <f t="shared" si="1"/>
        <v>邹佳楠高速道桥费</v>
      </c>
      <c r="J111" s="37">
        <f>IF(SUMPRODUCT((I$3:I111=I111)*1)=1,1,0)</f>
        <v>1</v>
      </c>
      <c r="K111" s="7"/>
    </row>
    <row r="112" spans="1:11" ht="13.5">
      <c r="A112" s="19">
        <v>45099</v>
      </c>
      <c r="B112" s="8" t="s">
        <v>134</v>
      </c>
      <c r="C112" s="8" t="s">
        <v>54</v>
      </c>
      <c r="D112" s="8" t="str">
        <f>LEFT(C112,3)</f>
        <v>广东省</v>
      </c>
      <c r="E112" s="8" t="s">
        <v>141</v>
      </c>
      <c r="F112" s="8" t="str">
        <f>VLOOKUP(E112,费用类别!A:B,2,0)</f>
        <v>燃油费</v>
      </c>
      <c r="G112" s="9">
        <v>200</v>
      </c>
      <c r="H112" s="20" t="str">
        <f>IF(WEEKDAY(A112,2)&gt;5,"是","否")</f>
        <v>否</v>
      </c>
      <c r="I112" s="8" t="str">
        <f t="shared" si="1"/>
        <v>唐雅林燃油费</v>
      </c>
      <c r="J112" s="37">
        <f>IF(SUMPRODUCT((I$3:I112=I112)*1)=1,1,0)</f>
        <v>0</v>
      </c>
      <c r="K112" s="7"/>
    </row>
    <row r="113" spans="1:11" ht="13.5">
      <c r="A113" s="19">
        <v>45100</v>
      </c>
      <c r="B113" s="8" t="s">
        <v>115</v>
      </c>
      <c r="C113" s="8" t="s">
        <v>18</v>
      </c>
      <c r="D113" s="8" t="str">
        <f>LEFT(C113,3)</f>
        <v>江西省</v>
      </c>
      <c r="E113" s="8" t="s">
        <v>141</v>
      </c>
      <c r="F113" s="8" t="str">
        <f>VLOOKUP(E113,费用类别!A:B,2,0)</f>
        <v>燃油费</v>
      </c>
      <c r="G113" s="9">
        <v>500</v>
      </c>
      <c r="H113" s="20" t="str">
        <f>IF(WEEKDAY(A113,2)&gt;5,"是","否")</f>
        <v>否</v>
      </c>
      <c r="I113" s="8" t="str">
        <f t="shared" si="1"/>
        <v>刘露露燃油费</v>
      </c>
      <c r="J113" s="37">
        <f>IF(SUMPRODUCT((I$3:I113=I113)*1)=1,1,0)</f>
        <v>0</v>
      </c>
      <c r="K113" s="7"/>
    </row>
    <row r="114" spans="1:11" ht="13.5">
      <c r="A114" s="19">
        <v>45100</v>
      </c>
      <c r="B114" s="8" t="s">
        <v>109</v>
      </c>
      <c r="C114" s="8" t="s">
        <v>105</v>
      </c>
      <c r="D114" s="8" t="str">
        <f>LEFT(C114,3)</f>
        <v>河南省</v>
      </c>
      <c r="E114" s="8" t="s">
        <v>144</v>
      </c>
      <c r="F114" s="8" t="str">
        <f>VLOOKUP(E114,费用类别!A:B,2,0)</f>
        <v>其他</v>
      </c>
      <c r="G114" s="9">
        <v>140</v>
      </c>
      <c r="H114" s="20" t="str">
        <f>IF(WEEKDAY(A114,2)&gt;5,"是","否")</f>
        <v>否</v>
      </c>
      <c r="I114" s="8" t="str">
        <f t="shared" si="1"/>
        <v>陈祥通其他</v>
      </c>
      <c r="J114" s="37">
        <f>IF(SUMPRODUCT((I$3:I114=I114)*1)=1,1,0)</f>
        <v>1</v>
      </c>
      <c r="K114" s="7"/>
    </row>
    <row r="115" spans="1:11" ht="13.5">
      <c r="A115" s="19">
        <v>45100</v>
      </c>
      <c r="B115" s="8" t="s">
        <v>132</v>
      </c>
      <c r="C115" s="8" t="s">
        <v>93</v>
      </c>
      <c r="D115" s="8" t="str">
        <f>LEFT(C115,3)</f>
        <v>浙江省</v>
      </c>
      <c r="E115" s="8" t="s">
        <v>142</v>
      </c>
      <c r="F115" s="8" t="str">
        <f>VLOOKUP(E115,费用类别!A:B,2,0)</f>
        <v>停车费</v>
      </c>
      <c r="G115" s="9">
        <v>200</v>
      </c>
      <c r="H115" s="20" t="str">
        <f>IF(WEEKDAY(A115,2)&gt;5,"是","否")</f>
        <v>否</v>
      </c>
      <c r="I115" s="8" t="str">
        <f t="shared" si="1"/>
        <v>徐亚楠停车费</v>
      </c>
      <c r="J115" s="37">
        <f>IF(SUMPRODUCT((I$3:I115=I115)*1)=1,1,0)</f>
        <v>1</v>
      </c>
      <c r="K115" s="7"/>
    </row>
    <row r="116" spans="1:11" ht="13.5">
      <c r="A116" s="19">
        <v>45101</v>
      </c>
      <c r="B116" s="8" t="s">
        <v>112</v>
      </c>
      <c r="C116" s="8" t="s">
        <v>72</v>
      </c>
      <c r="D116" s="8" t="str">
        <f>LEFT(C116,3)</f>
        <v>重庆市</v>
      </c>
      <c r="E116" s="8" t="s">
        <v>138</v>
      </c>
      <c r="F116" s="8" t="str">
        <f>VLOOKUP(E116,费用类别!A:B,2,0)</f>
        <v>出租车费</v>
      </c>
      <c r="G116" s="9">
        <v>740.83333333333303</v>
      </c>
      <c r="H116" s="20" t="str">
        <f>IF(WEEKDAY(A116,2)&gt;5,"是","否")</f>
        <v>是</v>
      </c>
      <c r="I116" s="8" t="str">
        <f t="shared" si="1"/>
        <v>钱顺卓出租车费</v>
      </c>
      <c r="J116" s="37">
        <f>IF(SUMPRODUCT((I$3:I116=I116)*1)=1,1,0)</f>
        <v>1</v>
      </c>
      <c r="K116" s="7"/>
    </row>
    <row r="117" spans="1:11" ht="13.5">
      <c r="A117" s="19">
        <v>45102</v>
      </c>
      <c r="B117" s="8" t="s">
        <v>127</v>
      </c>
      <c r="C117" s="8" t="s">
        <v>41</v>
      </c>
      <c r="D117" s="8" t="str">
        <f>LEFT(C117,3)</f>
        <v>吉林省</v>
      </c>
      <c r="E117" s="8" t="s">
        <v>137</v>
      </c>
      <c r="F117" s="8" t="str">
        <f>VLOOKUP(E117,费用类别!A:B,2,0)</f>
        <v>餐饮费</v>
      </c>
      <c r="G117" s="9">
        <v>2500</v>
      </c>
      <c r="H117" s="20" t="str">
        <f>IF(WEEKDAY(A117,2)&gt;5,"是","否")</f>
        <v>是</v>
      </c>
      <c r="I117" s="8" t="str">
        <f t="shared" si="1"/>
        <v>余雅丽餐饮费</v>
      </c>
      <c r="J117" s="37">
        <f>IF(SUMPRODUCT((I$3:I117=I117)*1)=1,1,0)</f>
        <v>1</v>
      </c>
      <c r="K117" s="7"/>
    </row>
    <row r="118" spans="1:11" ht="13.5">
      <c r="A118" s="19">
        <v>45102</v>
      </c>
      <c r="B118" s="8" t="s">
        <v>108</v>
      </c>
      <c r="C118" s="8" t="s">
        <v>91</v>
      </c>
      <c r="D118" s="8" t="str">
        <f>LEFT(C118,3)</f>
        <v>山东省</v>
      </c>
      <c r="E118" s="8" t="s">
        <v>138</v>
      </c>
      <c r="F118" s="8" t="str">
        <f>VLOOKUP(E118,费用类别!A:B,2,0)</f>
        <v>出租车费</v>
      </c>
      <c r="G118" s="9">
        <v>945.83333333333303</v>
      </c>
      <c r="H118" s="20" t="str">
        <f>IF(WEEKDAY(A118,2)&gt;5,"是","否")</f>
        <v>是</v>
      </c>
      <c r="I118" s="8" t="str">
        <f t="shared" si="1"/>
        <v>孟天祥出租车费</v>
      </c>
      <c r="J118" s="37">
        <f>IF(SUMPRODUCT((I$3:I118=I118)*1)=1,1,0)</f>
        <v>1</v>
      </c>
      <c r="K118" s="7"/>
    </row>
    <row r="119" spans="1:11" ht="13.5">
      <c r="A119" s="19">
        <v>45102</v>
      </c>
      <c r="B119" s="8" t="s">
        <v>134</v>
      </c>
      <c r="C119" s="8" t="s">
        <v>84</v>
      </c>
      <c r="D119" s="8" t="str">
        <f>LEFT(C119,3)</f>
        <v>北京市</v>
      </c>
      <c r="E119" s="8" t="s">
        <v>138</v>
      </c>
      <c r="F119" s="8" t="str">
        <f>VLOOKUP(E119,费用类别!A:B,2,0)</f>
        <v>出租车费</v>
      </c>
      <c r="G119" s="9">
        <v>1560.8333333333301</v>
      </c>
      <c r="H119" s="20" t="str">
        <f>IF(WEEKDAY(A119,2)&gt;5,"是","否")</f>
        <v>是</v>
      </c>
      <c r="I119" s="8" t="str">
        <f t="shared" si="1"/>
        <v>唐雅林出租车费</v>
      </c>
      <c r="J119" s="37">
        <f>IF(SUMPRODUCT((I$3:I119=I119)*1)=1,1,0)</f>
        <v>1</v>
      </c>
      <c r="K119" s="7"/>
    </row>
    <row r="120" spans="1:11" ht="13.5">
      <c r="A120" s="19">
        <v>45104</v>
      </c>
      <c r="B120" s="8" t="s">
        <v>125</v>
      </c>
      <c r="C120" s="8" t="s">
        <v>60</v>
      </c>
      <c r="D120" s="8" t="str">
        <f>LEFT(C120,3)</f>
        <v>河北省</v>
      </c>
      <c r="E120" s="8" t="s">
        <v>135</v>
      </c>
      <c r="F120" s="8" t="str">
        <f>VLOOKUP(E120,费用类别!A:B,2,0)</f>
        <v>飞机票</v>
      </c>
      <c r="G120" s="9">
        <v>100</v>
      </c>
      <c r="H120" s="20" t="str">
        <f>IF(WEEKDAY(A120,2)&gt;5,"是","否")</f>
        <v>否</v>
      </c>
      <c r="I120" s="8" t="str">
        <f t="shared" si="1"/>
        <v>边金双飞机票</v>
      </c>
      <c r="J120" s="37">
        <f>IF(SUMPRODUCT((I$3:I120=I120)*1)=1,1,0)</f>
        <v>1</v>
      </c>
      <c r="K120" s="7"/>
    </row>
    <row r="121" spans="1:11" ht="13.5">
      <c r="A121" s="19">
        <v>45104</v>
      </c>
      <c r="B121" s="8" t="s">
        <v>130</v>
      </c>
      <c r="C121" s="8" t="s">
        <v>76</v>
      </c>
      <c r="D121" s="8" t="str">
        <f>LEFT(C121,3)</f>
        <v>上海市</v>
      </c>
      <c r="E121" s="8" t="s">
        <v>144</v>
      </c>
      <c r="F121" s="8" t="str">
        <f>VLOOKUP(E121,费用类别!A:B,2,0)</f>
        <v>其他</v>
      </c>
      <c r="G121" s="9">
        <v>200</v>
      </c>
      <c r="H121" s="20" t="str">
        <f>IF(WEEKDAY(A121,2)&gt;5,"是","否")</f>
        <v>否</v>
      </c>
      <c r="I121" s="8" t="str">
        <f t="shared" si="1"/>
        <v>邹佳楠其他</v>
      </c>
      <c r="J121" s="37">
        <f>IF(SUMPRODUCT((I$3:I121=I121)*1)=1,1,0)</f>
        <v>1</v>
      </c>
      <c r="K121" s="7"/>
    </row>
    <row r="122" spans="1:11" ht="13.5">
      <c r="A122" s="19">
        <v>45104</v>
      </c>
      <c r="B122" s="8" t="s">
        <v>109</v>
      </c>
      <c r="C122" s="8" t="s">
        <v>40</v>
      </c>
      <c r="D122" s="8" t="str">
        <f>LEFT(C122,3)</f>
        <v>山东省</v>
      </c>
      <c r="E122" s="8" t="s">
        <v>144</v>
      </c>
      <c r="F122" s="8" t="str">
        <f>VLOOKUP(E122,费用类别!A:B,2,0)</f>
        <v>其他</v>
      </c>
      <c r="G122" s="9">
        <v>100</v>
      </c>
      <c r="H122" s="20" t="str">
        <f>IF(WEEKDAY(A122,2)&gt;5,"是","否")</f>
        <v>否</v>
      </c>
      <c r="I122" s="8" t="str">
        <f t="shared" si="1"/>
        <v>陈祥通其他</v>
      </c>
      <c r="J122" s="37">
        <f>IF(SUMPRODUCT((I$3:I122=I122)*1)=1,1,0)</f>
        <v>0</v>
      </c>
      <c r="K122" s="7"/>
    </row>
    <row r="123" spans="1:11" ht="13.5">
      <c r="A123" s="19">
        <v>45105</v>
      </c>
      <c r="B123" s="8" t="s">
        <v>110</v>
      </c>
      <c r="C123" s="8" t="s">
        <v>59</v>
      </c>
      <c r="D123" s="8" t="str">
        <f>LEFT(C123,3)</f>
        <v>北京市</v>
      </c>
      <c r="E123" s="8" t="s">
        <v>142</v>
      </c>
      <c r="F123" s="8" t="str">
        <f>VLOOKUP(E123,费用类别!A:B,2,0)</f>
        <v>停车费</v>
      </c>
      <c r="G123" s="9">
        <v>140</v>
      </c>
      <c r="H123" s="20" t="str">
        <f>IF(WEEKDAY(A123,2)&gt;5,"是","否")</f>
        <v>否</v>
      </c>
      <c r="I123" s="8" t="str">
        <f t="shared" si="1"/>
        <v>王天宇停车费</v>
      </c>
      <c r="J123" s="37">
        <f>IF(SUMPRODUCT((I$3:I123=I123)*1)=1,1,0)</f>
        <v>1</v>
      </c>
      <c r="K123" s="7"/>
    </row>
    <row r="124" spans="1:11" ht="13.5">
      <c r="A124" s="19">
        <v>45105</v>
      </c>
      <c r="B124" s="8" t="s">
        <v>122</v>
      </c>
      <c r="C124" s="8" t="s">
        <v>29</v>
      </c>
      <c r="D124" s="8" t="str">
        <f>LEFT(C124,3)</f>
        <v>福建省</v>
      </c>
      <c r="E124" s="8" t="s">
        <v>137</v>
      </c>
      <c r="F124" s="8" t="str">
        <f>VLOOKUP(E124,费用类别!A:B,2,0)</f>
        <v>餐饮费</v>
      </c>
      <c r="G124" s="9">
        <v>100</v>
      </c>
      <c r="H124" s="20" t="str">
        <f>IF(WEEKDAY(A124,2)&gt;5,"是","否")</f>
        <v>否</v>
      </c>
      <c r="I124" s="8" t="str">
        <f t="shared" si="1"/>
        <v>刘长辉餐饮费</v>
      </c>
      <c r="J124" s="37">
        <f>IF(SUMPRODUCT((I$3:I124=I124)*1)=1,1,0)</f>
        <v>1</v>
      </c>
      <c r="K124" s="7"/>
    </row>
    <row r="125" spans="1:11" ht="13.5">
      <c r="A125" s="19">
        <v>45106</v>
      </c>
      <c r="B125" s="8" t="s">
        <v>130</v>
      </c>
      <c r="C125" s="8" t="s">
        <v>88</v>
      </c>
      <c r="D125" s="8" t="str">
        <f>LEFT(C125,3)</f>
        <v>广东省</v>
      </c>
      <c r="E125" s="8" t="s">
        <v>144</v>
      </c>
      <c r="F125" s="8" t="str">
        <f>VLOOKUP(E125,费用类别!A:B,2,0)</f>
        <v>其他</v>
      </c>
      <c r="G125" s="9">
        <v>458.7</v>
      </c>
      <c r="H125" s="20" t="str">
        <f>IF(WEEKDAY(A125,2)&gt;5,"是","否")</f>
        <v>否</v>
      </c>
      <c r="I125" s="8" t="str">
        <f t="shared" si="1"/>
        <v>邹佳楠其他</v>
      </c>
      <c r="J125" s="37">
        <f>IF(SUMPRODUCT((I$3:I125=I125)*1)=1,1,0)</f>
        <v>0</v>
      </c>
      <c r="K125" s="7"/>
    </row>
    <row r="126" spans="1:11" ht="13.5">
      <c r="A126" s="19">
        <v>45106</v>
      </c>
      <c r="B126" s="8" t="s">
        <v>134</v>
      </c>
      <c r="C126" s="8" t="s">
        <v>54</v>
      </c>
      <c r="D126" s="8" t="str">
        <f>LEFT(C126,3)</f>
        <v>广东省</v>
      </c>
      <c r="E126" s="8" t="s">
        <v>140</v>
      </c>
      <c r="F126" s="8" t="str">
        <f>VLOOKUP(E126,费用类别!A:B,2,0)</f>
        <v>高速道桥费</v>
      </c>
      <c r="G126" s="9">
        <v>1197.7</v>
      </c>
      <c r="H126" s="20" t="str">
        <f>IF(WEEKDAY(A126,2)&gt;5,"是","否")</f>
        <v>否</v>
      </c>
      <c r="I126" s="8" t="str">
        <f t="shared" si="1"/>
        <v>唐雅林高速道桥费</v>
      </c>
      <c r="J126" s="37">
        <f>IF(SUMPRODUCT((I$3:I126=I126)*1)=1,1,0)</f>
        <v>0</v>
      </c>
      <c r="K126" s="7"/>
    </row>
    <row r="127" spans="1:11" ht="13.5">
      <c r="A127" s="19">
        <v>45107</v>
      </c>
      <c r="B127" s="8" t="s">
        <v>126</v>
      </c>
      <c r="C127" s="8" t="s">
        <v>89</v>
      </c>
      <c r="D127" s="8" t="str">
        <f>LEFT(C127,3)</f>
        <v>浙江省</v>
      </c>
      <c r="E127" s="8" t="s">
        <v>144</v>
      </c>
      <c r="F127" s="8" t="str">
        <f>VLOOKUP(E127,费用类别!A:B,2,0)</f>
        <v>其他</v>
      </c>
      <c r="G127" s="9">
        <v>535.83333333333303</v>
      </c>
      <c r="H127" s="20" t="str">
        <f>IF(WEEKDAY(A127,2)&gt;5,"是","否")</f>
        <v>否</v>
      </c>
      <c r="I127" s="8" t="str">
        <f t="shared" si="1"/>
        <v>赵琳艳其他</v>
      </c>
      <c r="J127" s="37">
        <f>IF(SUMPRODUCT((I$3:I127=I127)*1)=1,1,0)</f>
        <v>1</v>
      </c>
      <c r="K127" s="7"/>
    </row>
    <row r="128" spans="1:11" ht="13.5">
      <c r="A128" s="19">
        <v>45108</v>
      </c>
      <c r="B128" s="8" t="s">
        <v>129</v>
      </c>
      <c r="C128" s="8" t="s">
        <v>48</v>
      </c>
      <c r="D128" s="8" t="str">
        <f>LEFT(C128,3)</f>
        <v>湖北省</v>
      </c>
      <c r="E128" s="8" t="s">
        <v>138</v>
      </c>
      <c r="F128" s="8" t="str">
        <f>VLOOKUP(E128,费用类别!A:B,2,0)</f>
        <v>出租车费</v>
      </c>
      <c r="G128" s="9">
        <v>29</v>
      </c>
      <c r="H128" s="20" t="str">
        <f>IF(WEEKDAY(A128,2)&gt;5,"是","否")</f>
        <v>是</v>
      </c>
      <c r="I128" s="8" t="str">
        <f t="shared" si="1"/>
        <v>李雅洁出租车费</v>
      </c>
      <c r="J128" s="37">
        <f>IF(SUMPRODUCT((I$3:I128=I128)*1)=1,1,0)</f>
        <v>1</v>
      </c>
      <c r="K128" s="7"/>
    </row>
    <row r="129" spans="1:11" ht="13.5">
      <c r="A129" s="19">
        <v>45108</v>
      </c>
      <c r="B129" s="8" t="s">
        <v>114</v>
      </c>
      <c r="C129" s="8" t="s">
        <v>46</v>
      </c>
      <c r="D129" s="8" t="str">
        <f>LEFT(C129,3)</f>
        <v>陕西省</v>
      </c>
      <c r="E129" s="8" t="s">
        <v>135</v>
      </c>
      <c r="F129" s="8" t="str">
        <f>VLOOKUP(E129,费用类别!A:B,2,0)</f>
        <v>飞机票</v>
      </c>
      <c r="G129" s="9">
        <v>606.5</v>
      </c>
      <c r="H129" s="20" t="str">
        <f>IF(WEEKDAY(A129,2)&gt;5,"是","否")</f>
        <v>是</v>
      </c>
      <c r="I129" s="8" t="str">
        <f t="shared" si="1"/>
        <v>黎浩然飞机票</v>
      </c>
      <c r="J129" s="37">
        <f>IF(SUMPRODUCT((I$3:I129=I129)*1)=1,1,0)</f>
        <v>1</v>
      </c>
      <c r="K129" s="7"/>
    </row>
    <row r="130" spans="1:11" ht="13.5">
      <c r="A130" s="19">
        <v>45109</v>
      </c>
      <c r="B130" s="8" t="s">
        <v>124</v>
      </c>
      <c r="C130" s="8" t="s">
        <v>32</v>
      </c>
      <c r="D130" s="8" t="str">
        <f>LEFT(C130,3)</f>
        <v>江苏省</v>
      </c>
      <c r="E130" s="8" t="s">
        <v>140</v>
      </c>
      <c r="F130" s="8" t="str">
        <f>VLOOKUP(E130,费用类别!A:B,2,0)</f>
        <v>高速道桥费</v>
      </c>
      <c r="G130" s="9">
        <v>200</v>
      </c>
      <c r="H130" s="20" t="str">
        <f>IF(WEEKDAY(A130,2)&gt;5,"是","否")</f>
        <v>是</v>
      </c>
      <c r="I130" s="8" t="str">
        <f t="shared" si="1"/>
        <v>王雅林高速道桥费</v>
      </c>
      <c r="J130" s="37">
        <f>IF(SUMPRODUCT((I$3:I130=I130)*1)=1,1,0)</f>
        <v>0</v>
      </c>
      <c r="K130" s="7"/>
    </row>
    <row r="131" spans="1:11" ht="13.5">
      <c r="A131" s="19">
        <v>45111</v>
      </c>
      <c r="B131" s="8" t="s">
        <v>118</v>
      </c>
      <c r="C131" s="8" t="s">
        <v>77</v>
      </c>
      <c r="D131" s="8" t="str">
        <f>LEFT(C131,3)</f>
        <v>陕西省</v>
      </c>
      <c r="E131" s="8" t="s">
        <v>141</v>
      </c>
      <c r="F131" s="8" t="str">
        <f>VLOOKUP(E131,费用类别!A:B,2,0)</f>
        <v>燃油费</v>
      </c>
      <c r="G131" s="9">
        <v>535.83333333333303</v>
      </c>
      <c r="H131" s="20" t="str">
        <f>IF(WEEKDAY(A131,2)&gt;5,"是","否")</f>
        <v>否</v>
      </c>
      <c r="I131" s="8" t="str">
        <f t="shared" ref="I131:I194" si="2">B131&amp;F131</f>
        <v>王炫皓燃油费</v>
      </c>
      <c r="J131" s="37">
        <f>IF(SUMPRODUCT((I$3:I131=I131)*1)=1,1,0)</f>
        <v>1</v>
      </c>
      <c r="K131" s="7"/>
    </row>
    <row r="132" spans="1:11" ht="13.5">
      <c r="A132" s="19">
        <v>45111</v>
      </c>
      <c r="B132" s="8" t="s">
        <v>119</v>
      </c>
      <c r="C132" s="8" t="s">
        <v>23</v>
      </c>
      <c r="D132" s="8" t="str">
        <f>LEFT(C132,3)</f>
        <v>辽宁省</v>
      </c>
      <c r="E132" s="8" t="s">
        <v>138</v>
      </c>
      <c r="F132" s="8" t="str">
        <f>VLOOKUP(E132,费用类别!A:B,2,0)</f>
        <v>出租车费</v>
      </c>
      <c r="G132" s="9">
        <v>754.3</v>
      </c>
      <c r="H132" s="20" t="str">
        <f>IF(WEEKDAY(A132,2)&gt;5,"是","否")</f>
        <v>否</v>
      </c>
      <c r="I132" s="8" t="str">
        <f t="shared" si="2"/>
        <v>王海德出租车费</v>
      </c>
      <c r="J132" s="37">
        <f>IF(SUMPRODUCT((I$3:I132=I132)*1)=1,1,0)</f>
        <v>1</v>
      </c>
      <c r="K132" s="7"/>
    </row>
    <row r="133" spans="1:11" ht="13.5">
      <c r="A133" s="19">
        <v>45111</v>
      </c>
      <c r="B133" s="8" t="s">
        <v>115</v>
      </c>
      <c r="C133" s="8" t="s">
        <v>92</v>
      </c>
      <c r="D133" s="8" t="str">
        <f>LEFT(C133,3)</f>
        <v>江苏省</v>
      </c>
      <c r="E133" s="8" t="s">
        <v>140</v>
      </c>
      <c r="F133" s="8" t="str">
        <f>VLOOKUP(E133,费用类别!A:B,2,0)</f>
        <v>高速道桥费</v>
      </c>
      <c r="G133" s="9">
        <v>754.3</v>
      </c>
      <c r="H133" s="20" t="str">
        <f>IF(WEEKDAY(A133,2)&gt;5,"是","否")</f>
        <v>否</v>
      </c>
      <c r="I133" s="8" t="str">
        <f t="shared" si="2"/>
        <v>刘露露高速道桥费</v>
      </c>
      <c r="J133" s="37">
        <f>IF(SUMPRODUCT((I$3:I133=I133)*1)=1,1,0)</f>
        <v>0</v>
      </c>
      <c r="K133" s="7"/>
    </row>
    <row r="134" spans="1:11" ht="13.5">
      <c r="A134" s="19">
        <v>45111</v>
      </c>
      <c r="B134" s="8" t="s">
        <v>108</v>
      </c>
      <c r="C134" s="8" t="s">
        <v>91</v>
      </c>
      <c r="D134" s="8" t="str">
        <f>LEFT(C134,3)</f>
        <v>山东省</v>
      </c>
      <c r="E134" s="8" t="s">
        <v>139</v>
      </c>
      <c r="F134" s="8" t="str">
        <f>VLOOKUP(E134,费用类别!A:B,2,0)</f>
        <v>火车票</v>
      </c>
      <c r="G134" s="9">
        <v>680.4</v>
      </c>
      <c r="H134" s="20" t="str">
        <f>IF(WEEKDAY(A134,2)&gt;5,"是","否")</f>
        <v>否</v>
      </c>
      <c r="I134" s="8" t="str">
        <f t="shared" si="2"/>
        <v>孟天祥火车票</v>
      </c>
      <c r="J134" s="37">
        <f>IF(SUMPRODUCT((I$3:I134=I134)*1)=1,1,0)</f>
        <v>1</v>
      </c>
      <c r="K134" s="7"/>
    </row>
    <row r="135" spans="1:11" ht="13.5">
      <c r="A135" s="19">
        <v>45113</v>
      </c>
      <c r="B135" s="8" t="s">
        <v>118</v>
      </c>
      <c r="C135" s="8" t="s">
        <v>95</v>
      </c>
      <c r="D135" s="8" t="str">
        <f>LEFT(C135,3)</f>
        <v>浙江省</v>
      </c>
      <c r="E135" s="8" t="s">
        <v>140</v>
      </c>
      <c r="F135" s="8" t="str">
        <f>VLOOKUP(E135,费用类别!A:B,2,0)</f>
        <v>高速道桥费</v>
      </c>
      <c r="G135" s="9">
        <v>638.33333333333303</v>
      </c>
      <c r="H135" s="20" t="str">
        <f>IF(WEEKDAY(A135,2)&gt;5,"是","否")</f>
        <v>否</v>
      </c>
      <c r="I135" s="8" t="str">
        <f t="shared" si="2"/>
        <v>王炫皓高速道桥费</v>
      </c>
      <c r="J135" s="37">
        <f>IF(SUMPRODUCT((I$3:I135=I135)*1)=1,1,0)</f>
        <v>1</v>
      </c>
      <c r="K135" s="7"/>
    </row>
    <row r="136" spans="1:11" ht="13.5">
      <c r="A136" s="19">
        <v>45113</v>
      </c>
      <c r="B136" s="8" t="s">
        <v>113</v>
      </c>
      <c r="C136" s="8" t="s">
        <v>34</v>
      </c>
      <c r="D136" s="8" t="str">
        <f>LEFT(C136,3)</f>
        <v>山东省</v>
      </c>
      <c r="E136" s="8" t="s">
        <v>140</v>
      </c>
      <c r="F136" s="8" t="str">
        <f>VLOOKUP(E136,费用类别!A:B,2,0)</f>
        <v>高速道桥费</v>
      </c>
      <c r="G136" s="9">
        <v>1123.8</v>
      </c>
      <c r="H136" s="20" t="str">
        <f>IF(WEEKDAY(A136,2)&gt;5,"是","否")</f>
        <v>否</v>
      </c>
      <c r="I136" s="8" t="str">
        <f t="shared" si="2"/>
        <v>王崇江高速道桥费</v>
      </c>
      <c r="J136" s="37">
        <f>IF(SUMPRODUCT((I$3:I136=I136)*1)=1,1,0)</f>
        <v>0</v>
      </c>
      <c r="K136" s="7"/>
    </row>
    <row r="137" spans="1:11" ht="13.5">
      <c r="A137" s="19">
        <v>45113</v>
      </c>
      <c r="B137" s="8" t="s">
        <v>115</v>
      </c>
      <c r="C137" s="8" t="s">
        <v>36</v>
      </c>
      <c r="D137" s="8" t="str">
        <f>LEFT(C137,3)</f>
        <v>重庆市</v>
      </c>
      <c r="E137" s="8" t="s">
        <v>140</v>
      </c>
      <c r="F137" s="8" t="str">
        <f>VLOOKUP(E137,费用类别!A:B,2,0)</f>
        <v>高速道桥费</v>
      </c>
      <c r="G137" s="9">
        <v>140</v>
      </c>
      <c r="H137" s="20" t="str">
        <f>IF(WEEKDAY(A137,2)&gt;5,"是","否")</f>
        <v>否</v>
      </c>
      <c r="I137" s="8" t="str">
        <f t="shared" si="2"/>
        <v>刘露露高速道桥费</v>
      </c>
      <c r="J137" s="37">
        <f>IF(SUMPRODUCT((I$3:I137=I137)*1)=1,1,0)</f>
        <v>0</v>
      </c>
      <c r="K137" s="7"/>
    </row>
    <row r="138" spans="1:11" ht="13.5">
      <c r="A138" s="19">
        <v>45113</v>
      </c>
      <c r="B138" s="8" t="s">
        <v>133</v>
      </c>
      <c r="C138" s="8" t="s">
        <v>67</v>
      </c>
      <c r="D138" s="8" t="str">
        <f>LEFT(C138,3)</f>
        <v>大连市</v>
      </c>
      <c r="E138" s="8" t="s">
        <v>140</v>
      </c>
      <c r="F138" s="8" t="str">
        <f>VLOOKUP(E138,费用类别!A:B,2,0)</f>
        <v>高速道桥费</v>
      </c>
      <c r="G138" s="9">
        <v>1560.8333333333301</v>
      </c>
      <c r="H138" s="20" t="str">
        <f>IF(WEEKDAY(A138,2)&gt;5,"是","否")</f>
        <v>否</v>
      </c>
      <c r="I138" s="8" t="str">
        <f t="shared" si="2"/>
        <v>杨国强高速道桥费</v>
      </c>
      <c r="J138" s="37">
        <f>IF(SUMPRODUCT((I$3:I138=I138)*1)=1,1,0)</f>
        <v>1</v>
      </c>
      <c r="K138" s="7"/>
    </row>
    <row r="139" spans="1:11" ht="13.5">
      <c r="A139" s="19">
        <v>45114</v>
      </c>
      <c r="B139" s="8" t="s">
        <v>119</v>
      </c>
      <c r="C139" s="8" t="s">
        <v>78</v>
      </c>
      <c r="D139" s="8" t="str">
        <f>LEFT(C139,3)</f>
        <v>广东省</v>
      </c>
      <c r="E139" s="8" t="s">
        <v>139</v>
      </c>
      <c r="F139" s="8" t="str">
        <f>VLOOKUP(E139,费用类别!A:B,2,0)</f>
        <v>火车票</v>
      </c>
      <c r="G139" s="9">
        <v>638.33333333333303</v>
      </c>
      <c r="H139" s="20" t="str">
        <f>IF(WEEKDAY(A139,2)&gt;5,"是","否")</f>
        <v>否</v>
      </c>
      <c r="I139" s="8" t="str">
        <f t="shared" si="2"/>
        <v>王海德火车票</v>
      </c>
      <c r="J139" s="37">
        <f>IF(SUMPRODUCT((I$3:I139=I139)*1)=1,1,0)</f>
        <v>0</v>
      </c>
      <c r="K139" s="7"/>
    </row>
    <row r="140" spans="1:11" ht="13.5">
      <c r="A140" s="19">
        <v>45114</v>
      </c>
      <c r="B140" s="8" t="s">
        <v>115</v>
      </c>
      <c r="C140" s="8" t="s">
        <v>51</v>
      </c>
      <c r="D140" s="8" t="str">
        <f>LEFT(C140,3)</f>
        <v>四川省</v>
      </c>
      <c r="E140" s="8" t="s">
        <v>141</v>
      </c>
      <c r="F140" s="8" t="str">
        <f>VLOOKUP(E140,费用类别!A:B,2,0)</f>
        <v>燃油费</v>
      </c>
      <c r="G140" s="9">
        <v>532.6</v>
      </c>
      <c r="H140" s="20" t="str">
        <f>IF(WEEKDAY(A140,2)&gt;5,"是","否")</f>
        <v>否</v>
      </c>
      <c r="I140" s="8" t="str">
        <f t="shared" si="2"/>
        <v>刘露露燃油费</v>
      </c>
      <c r="J140" s="37">
        <f>IF(SUMPRODUCT((I$3:I140=I140)*1)=1,1,0)</f>
        <v>0</v>
      </c>
      <c r="K140" s="7"/>
    </row>
    <row r="141" spans="1:11" ht="13.5">
      <c r="A141" s="19">
        <v>45114</v>
      </c>
      <c r="B141" s="8" t="s">
        <v>108</v>
      </c>
      <c r="C141" s="8" t="s">
        <v>44</v>
      </c>
      <c r="D141" s="8" t="str">
        <f>LEFT(C141,3)</f>
        <v>广东省</v>
      </c>
      <c r="E141" s="8" t="s">
        <v>142</v>
      </c>
      <c r="F141" s="8" t="str">
        <f>VLOOKUP(E141,费用类别!A:B,2,0)</f>
        <v>停车费</v>
      </c>
      <c r="G141" s="9">
        <v>345</v>
      </c>
      <c r="H141" s="20" t="str">
        <f>IF(WEEKDAY(A141,2)&gt;5,"是","否")</f>
        <v>否</v>
      </c>
      <c r="I141" s="8" t="str">
        <f t="shared" si="2"/>
        <v>孟天祥停车费</v>
      </c>
      <c r="J141" s="37">
        <f>IF(SUMPRODUCT((I$3:I141=I141)*1)=1,1,0)</f>
        <v>0</v>
      </c>
      <c r="K141" s="7"/>
    </row>
    <row r="142" spans="1:11" ht="13.5">
      <c r="A142" s="19">
        <v>45115</v>
      </c>
      <c r="B142" s="8" t="s">
        <v>125</v>
      </c>
      <c r="C142" s="8" t="s">
        <v>87</v>
      </c>
      <c r="D142" s="8" t="str">
        <f>LEFT(C142,3)</f>
        <v>上海市</v>
      </c>
      <c r="E142" s="8" t="s">
        <v>143</v>
      </c>
      <c r="F142" s="8" t="str">
        <f>VLOOKUP(E142,费用类别!A:B,2,0)</f>
        <v>通讯补助</v>
      </c>
      <c r="G142" s="9">
        <v>500</v>
      </c>
      <c r="H142" s="20" t="str">
        <f>IF(WEEKDAY(A142,2)&gt;5,"是","否")</f>
        <v>是</v>
      </c>
      <c r="I142" s="8" t="str">
        <f t="shared" si="2"/>
        <v>边金双通讯补助</v>
      </c>
      <c r="J142" s="37">
        <f>IF(SUMPRODUCT((I$3:I142=I142)*1)=1,1,0)</f>
        <v>1</v>
      </c>
      <c r="K142" s="7"/>
    </row>
    <row r="143" spans="1:11" ht="13.5">
      <c r="A143" s="19">
        <v>45116</v>
      </c>
      <c r="B143" s="8" t="s">
        <v>113</v>
      </c>
      <c r="C143" s="8" t="s">
        <v>34</v>
      </c>
      <c r="D143" s="8" t="str">
        <f>LEFT(C143,3)</f>
        <v>山东省</v>
      </c>
      <c r="E143" s="8" t="s">
        <v>138</v>
      </c>
      <c r="F143" s="8" t="str">
        <f>VLOOKUP(E143,费用类别!A:B,2,0)</f>
        <v>出租车费</v>
      </c>
      <c r="G143" s="9">
        <v>638.33333333333303</v>
      </c>
      <c r="H143" s="20" t="str">
        <f>IF(WEEKDAY(A143,2)&gt;5,"是","否")</f>
        <v>是</v>
      </c>
      <c r="I143" s="8" t="str">
        <f t="shared" si="2"/>
        <v>王崇江出租车费</v>
      </c>
      <c r="J143" s="37">
        <f>IF(SUMPRODUCT((I$3:I143=I143)*1)=1,1,0)</f>
        <v>0</v>
      </c>
      <c r="K143" s="7"/>
    </row>
    <row r="144" spans="1:11" ht="13.5">
      <c r="A144" s="19">
        <v>45117</v>
      </c>
      <c r="B144" s="8" t="s">
        <v>111</v>
      </c>
      <c r="C144" s="8" t="s">
        <v>73</v>
      </c>
      <c r="D144" s="8" t="str">
        <f>LEFT(C144,3)</f>
        <v>上海市</v>
      </c>
      <c r="E144" s="8" t="s">
        <v>139</v>
      </c>
      <c r="F144" s="8" t="str">
        <f>VLOOKUP(E144,费用类别!A:B,2,0)</f>
        <v>火车票</v>
      </c>
      <c r="G144" s="9">
        <v>843.33333333333303</v>
      </c>
      <c r="H144" s="20" t="str">
        <f>IF(WEEKDAY(A144,2)&gt;5,"是","否")</f>
        <v>否</v>
      </c>
      <c r="I144" s="8" t="str">
        <f t="shared" si="2"/>
        <v>方文成火车票</v>
      </c>
      <c r="J144" s="37">
        <f>IF(SUMPRODUCT((I$3:I144=I144)*1)=1,1,0)</f>
        <v>1</v>
      </c>
      <c r="K144" s="7"/>
    </row>
    <row r="145" spans="1:11" ht="13.5">
      <c r="A145" s="19">
        <v>45117</v>
      </c>
      <c r="B145" s="8" t="s">
        <v>117</v>
      </c>
      <c r="C145" s="8" t="s">
        <v>70</v>
      </c>
      <c r="D145" s="8" t="str">
        <f>LEFT(C145,3)</f>
        <v>湖北省</v>
      </c>
      <c r="E145" s="8" t="s">
        <v>136</v>
      </c>
      <c r="F145" s="8" t="str">
        <f>VLOOKUP(E145,费用类别!A:B,2,0)</f>
        <v>酒店住宿</v>
      </c>
      <c r="G145" s="9">
        <v>535.83333333333303</v>
      </c>
      <c r="H145" s="20" t="str">
        <f>IF(WEEKDAY(A145,2)&gt;5,"是","否")</f>
        <v>否</v>
      </c>
      <c r="I145" s="8" t="str">
        <f t="shared" si="2"/>
        <v>张哲宇酒店住宿</v>
      </c>
      <c r="J145" s="37">
        <f>IF(SUMPRODUCT((I$3:I145=I145)*1)=1,1,0)</f>
        <v>0</v>
      </c>
      <c r="K145" s="7"/>
    </row>
    <row r="146" spans="1:11" ht="13.5">
      <c r="A146" s="19">
        <v>45117</v>
      </c>
      <c r="B146" s="8" t="s">
        <v>126</v>
      </c>
      <c r="C146" s="8" t="s">
        <v>89</v>
      </c>
      <c r="D146" s="8" t="str">
        <f>LEFT(C146,3)</f>
        <v>浙江省</v>
      </c>
      <c r="E146" s="8" t="s">
        <v>137</v>
      </c>
      <c r="F146" s="8" t="str">
        <f>VLOOKUP(E146,费用类别!A:B,2,0)</f>
        <v>餐饮费</v>
      </c>
      <c r="G146" s="9">
        <v>532.6</v>
      </c>
      <c r="H146" s="20" t="str">
        <f>IF(WEEKDAY(A146,2)&gt;5,"是","否")</f>
        <v>否</v>
      </c>
      <c r="I146" s="8" t="str">
        <f t="shared" si="2"/>
        <v>赵琳艳餐饮费</v>
      </c>
      <c r="J146" s="37">
        <f>IF(SUMPRODUCT((I$3:I146=I146)*1)=1,1,0)</f>
        <v>1</v>
      </c>
      <c r="K146" s="7"/>
    </row>
    <row r="147" spans="1:11" ht="13.5">
      <c r="A147" s="19">
        <v>45117</v>
      </c>
      <c r="B147" s="8" t="s">
        <v>112</v>
      </c>
      <c r="C147" s="8" t="s">
        <v>55</v>
      </c>
      <c r="D147" s="8" t="str">
        <f>LEFT(C147,3)</f>
        <v>福建省</v>
      </c>
      <c r="E147" s="8" t="s">
        <v>141</v>
      </c>
      <c r="F147" s="8" t="str">
        <f>VLOOKUP(E147,费用类别!A:B,2,0)</f>
        <v>燃油费</v>
      </c>
      <c r="G147" s="9">
        <v>1271.5999999999999</v>
      </c>
      <c r="H147" s="20" t="str">
        <f>IF(WEEKDAY(A147,2)&gt;5,"是","否")</f>
        <v>否</v>
      </c>
      <c r="I147" s="8" t="str">
        <f t="shared" si="2"/>
        <v>钱顺卓燃油费</v>
      </c>
      <c r="J147" s="37">
        <f>IF(SUMPRODUCT((I$3:I147=I147)*1)=1,1,0)</f>
        <v>0</v>
      </c>
      <c r="K147" s="7"/>
    </row>
    <row r="148" spans="1:11" ht="13.5">
      <c r="A148" s="19">
        <v>45117</v>
      </c>
      <c r="B148" s="8" t="s">
        <v>116</v>
      </c>
      <c r="C148" s="8" t="s">
        <v>20</v>
      </c>
      <c r="D148" s="8" t="str">
        <f>LEFT(C148,3)</f>
        <v>北京市</v>
      </c>
      <c r="E148" s="8" t="s">
        <v>138</v>
      </c>
      <c r="F148" s="8" t="str">
        <f>VLOOKUP(E148,费用类别!A:B,2,0)</f>
        <v>出租车费</v>
      </c>
      <c r="G148" s="9">
        <v>345</v>
      </c>
      <c r="H148" s="20" t="str">
        <f>IF(WEEKDAY(A148,2)&gt;5,"是","否")</f>
        <v>否</v>
      </c>
      <c r="I148" s="8" t="str">
        <f t="shared" si="2"/>
        <v>徐志晨出租车费</v>
      </c>
      <c r="J148" s="37">
        <f>IF(SUMPRODUCT((I$3:I148=I148)*1)=1,1,0)</f>
        <v>1</v>
      </c>
      <c r="K148" s="7"/>
    </row>
    <row r="149" spans="1:11" ht="13.5">
      <c r="A149" s="19">
        <v>45117</v>
      </c>
      <c r="B149" s="8" t="s">
        <v>114</v>
      </c>
      <c r="C149" s="8" t="s">
        <v>17</v>
      </c>
      <c r="D149" s="8" t="str">
        <f>LEFT(C149,3)</f>
        <v>广东省</v>
      </c>
      <c r="E149" s="8" t="s">
        <v>140</v>
      </c>
      <c r="F149" s="8" t="str">
        <f>VLOOKUP(E149,费用类别!A:B,2,0)</f>
        <v>高速道桥费</v>
      </c>
      <c r="G149" s="9">
        <v>29</v>
      </c>
      <c r="H149" s="20" t="str">
        <f>IF(WEEKDAY(A149,2)&gt;5,"是","否")</f>
        <v>否</v>
      </c>
      <c r="I149" s="8" t="str">
        <f t="shared" si="2"/>
        <v>黎浩然高速道桥费</v>
      </c>
      <c r="J149" s="37">
        <f>IF(SUMPRODUCT((I$3:I149=I149)*1)=1,1,0)</f>
        <v>0</v>
      </c>
      <c r="K149" s="7"/>
    </row>
    <row r="150" spans="1:11" ht="13.5">
      <c r="A150" s="19">
        <v>45118</v>
      </c>
      <c r="B150" s="8" t="s">
        <v>111</v>
      </c>
      <c r="C150" s="8" t="s">
        <v>79</v>
      </c>
      <c r="D150" s="8" t="str">
        <f>LEFT(C150,3)</f>
        <v>吉林省</v>
      </c>
      <c r="E150" s="8" t="s">
        <v>139</v>
      </c>
      <c r="F150" s="8" t="str">
        <f>VLOOKUP(E150,费用类别!A:B,2,0)</f>
        <v>火车票</v>
      </c>
      <c r="G150" s="9">
        <v>945.83333333333303</v>
      </c>
      <c r="H150" s="20" t="str">
        <f>IF(WEEKDAY(A150,2)&gt;5,"是","否")</f>
        <v>否</v>
      </c>
      <c r="I150" s="8" t="str">
        <f t="shared" si="2"/>
        <v>方文成火车票</v>
      </c>
      <c r="J150" s="37">
        <f>IF(SUMPRODUCT((I$3:I150=I150)*1)=1,1,0)</f>
        <v>0</v>
      </c>
      <c r="K150" s="7"/>
    </row>
    <row r="151" spans="1:11" ht="13.5">
      <c r="A151" s="19">
        <v>45119</v>
      </c>
      <c r="B151" s="8" t="s">
        <v>118</v>
      </c>
      <c r="C151" s="8" t="s">
        <v>22</v>
      </c>
      <c r="D151" s="8" t="str">
        <f>LEFT(C151,3)</f>
        <v>贵州省</v>
      </c>
      <c r="E151" s="8" t="s">
        <v>135</v>
      </c>
      <c r="F151" s="8" t="str">
        <f>VLOOKUP(E151,费用类别!A:B,2,0)</f>
        <v>飞机票</v>
      </c>
      <c r="G151" s="9">
        <v>1458.3333333333301</v>
      </c>
      <c r="H151" s="20" t="str">
        <f>IF(WEEKDAY(A151,2)&gt;5,"是","否")</f>
        <v>否</v>
      </c>
      <c r="I151" s="8" t="str">
        <f t="shared" si="2"/>
        <v>王炫皓飞机票</v>
      </c>
      <c r="J151" s="37">
        <f>IF(SUMPRODUCT((I$3:I151=I151)*1)=1,1,0)</f>
        <v>1</v>
      </c>
      <c r="K151" s="7"/>
    </row>
    <row r="152" spans="1:11" ht="13.5">
      <c r="A152" s="19">
        <v>45119</v>
      </c>
      <c r="B152" s="8" t="s">
        <v>118</v>
      </c>
      <c r="C152" s="8" t="s">
        <v>22</v>
      </c>
      <c r="D152" s="8" t="str">
        <f>LEFT(C152,3)</f>
        <v>贵州省</v>
      </c>
      <c r="E152" s="8" t="s">
        <v>137</v>
      </c>
      <c r="F152" s="8" t="str">
        <f>VLOOKUP(E152,费用类别!A:B,2,0)</f>
        <v>餐饮费</v>
      </c>
      <c r="G152" s="9">
        <v>246</v>
      </c>
      <c r="H152" s="20" t="str">
        <f>IF(WEEKDAY(A152,2)&gt;5,"是","否")</f>
        <v>否</v>
      </c>
      <c r="I152" s="8" t="str">
        <f t="shared" si="2"/>
        <v>王炫皓餐饮费</v>
      </c>
      <c r="J152" s="37">
        <f>IF(SUMPRODUCT((I$3:I152=I152)*1)=1,1,0)</f>
        <v>1</v>
      </c>
      <c r="K152" s="7"/>
    </row>
    <row r="153" spans="1:11" ht="13.5">
      <c r="A153" s="19">
        <v>45119</v>
      </c>
      <c r="B153" s="8" t="s">
        <v>130</v>
      </c>
      <c r="C153" s="8" t="s">
        <v>96</v>
      </c>
      <c r="D153" s="8" t="str">
        <f>LEFT(C153,3)</f>
        <v>北京市</v>
      </c>
      <c r="E153" s="8" t="s">
        <v>141</v>
      </c>
      <c r="F153" s="8" t="str">
        <f>VLOOKUP(E153,费用类别!A:B,2,0)</f>
        <v>燃油费</v>
      </c>
      <c r="G153" s="9">
        <v>740.83333333333303</v>
      </c>
      <c r="H153" s="20" t="str">
        <f>IF(WEEKDAY(A153,2)&gt;5,"是","否")</f>
        <v>否</v>
      </c>
      <c r="I153" s="8" t="str">
        <f t="shared" si="2"/>
        <v>邹佳楠燃油费</v>
      </c>
      <c r="J153" s="37">
        <f>IF(SUMPRODUCT((I$3:I153=I153)*1)=1,1,0)</f>
        <v>0</v>
      </c>
      <c r="K153" s="7"/>
    </row>
    <row r="154" spans="1:11" ht="13.5">
      <c r="A154" s="19">
        <v>45119</v>
      </c>
      <c r="B154" s="8" t="s">
        <v>109</v>
      </c>
      <c r="C154" s="8" t="s">
        <v>12</v>
      </c>
      <c r="D154" s="8" t="str">
        <f>LEFT(C154,3)</f>
        <v>广东省</v>
      </c>
      <c r="E154" s="8" t="s">
        <v>141</v>
      </c>
      <c r="F154" s="8" t="str">
        <f>VLOOKUP(E154,费用类别!A:B,2,0)</f>
        <v>燃油费</v>
      </c>
      <c r="G154" s="9">
        <v>1048.3333333333301</v>
      </c>
      <c r="H154" s="20" t="str">
        <f>IF(WEEKDAY(A154,2)&gt;5,"是","否")</f>
        <v>否</v>
      </c>
      <c r="I154" s="8" t="str">
        <f t="shared" si="2"/>
        <v>陈祥通燃油费</v>
      </c>
      <c r="J154" s="37">
        <f>IF(SUMPRODUCT((I$3:I154=I154)*1)=1,1,0)</f>
        <v>0</v>
      </c>
      <c r="K154" s="7"/>
    </row>
    <row r="155" spans="1:11" ht="13.5">
      <c r="A155" s="19">
        <v>45121</v>
      </c>
      <c r="B155" s="8" t="s">
        <v>118</v>
      </c>
      <c r="C155" s="8" t="s">
        <v>22</v>
      </c>
      <c r="D155" s="8" t="str">
        <f>LEFT(C155,3)</f>
        <v>贵州省</v>
      </c>
      <c r="E155" s="8" t="s">
        <v>137</v>
      </c>
      <c r="F155" s="8" t="str">
        <f>VLOOKUP(E155,费用类别!A:B,2,0)</f>
        <v>餐饮费</v>
      </c>
      <c r="G155" s="9">
        <v>680.4</v>
      </c>
      <c r="H155" s="20" t="str">
        <f>IF(WEEKDAY(A155,2)&gt;5,"是","否")</f>
        <v>否</v>
      </c>
      <c r="I155" s="8" t="str">
        <f t="shared" si="2"/>
        <v>王炫皓餐饮费</v>
      </c>
      <c r="J155" s="37">
        <f>IF(SUMPRODUCT((I$3:I155=I155)*1)=1,1,0)</f>
        <v>0</v>
      </c>
      <c r="K155" s="7"/>
    </row>
    <row r="156" spans="1:11" ht="13.5">
      <c r="A156" s="19">
        <v>45121</v>
      </c>
      <c r="B156" s="8" t="s">
        <v>113</v>
      </c>
      <c r="C156" s="8" t="s">
        <v>16</v>
      </c>
      <c r="D156" s="8" t="str">
        <f>LEFT(C156,3)</f>
        <v>云南省</v>
      </c>
      <c r="E156" s="8" t="s">
        <v>139</v>
      </c>
      <c r="F156" s="8" t="str">
        <f>VLOOKUP(E156,费用类别!A:B,2,0)</f>
        <v>火车票</v>
      </c>
      <c r="G156" s="9">
        <v>388</v>
      </c>
      <c r="H156" s="20" t="str">
        <f>IF(WEEKDAY(A156,2)&gt;5,"是","否")</f>
        <v>否</v>
      </c>
      <c r="I156" s="8" t="str">
        <f t="shared" si="2"/>
        <v>王崇江火车票</v>
      </c>
      <c r="J156" s="37">
        <f>IF(SUMPRODUCT((I$3:I156=I156)*1)=1,1,0)</f>
        <v>0</v>
      </c>
      <c r="K156" s="7"/>
    </row>
    <row r="157" spans="1:11" ht="13.5">
      <c r="A157" s="19">
        <v>45121</v>
      </c>
      <c r="B157" s="8" t="s">
        <v>126</v>
      </c>
      <c r="C157" s="8" t="s">
        <v>98</v>
      </c>
      <c r="D157" s="8" t="str">
        <f>LEFT(C157,3)</f>
        <v>山东省</v>
      </c>
      <c r="E157" s="8" t="s">
        <v>139</v>
      </c>
      <c r="F157" s="8" t="str">
        <f>VLOOKUP(E157,费用类别!A:B,2,0)</f>
        <v>火车票</v>
      </c>
      <c r="G157" s="9">
        <v>100</v>
      </c>
      <c r="H157" s="20" t="str">
        <f>IF(WEEKDAY(A157,2)&gt;5,"是","否")</f>
        <v>否</v>
      </c>
      <c r="I157" s="8" t="str">
        <f t="shared" si="2"/>
        <v>赵琳艳火车票</v>
      </c>
      <c r="J157" s="37">
        <f>IF(SUMPRODUCT((I$3:I157=I157)*1)=1,1,0)</f>
        <v>1</v>
      </c>
      <c r="K157" s="7"/>
    </row>
    <row r="158" spans="1:11" ht="13.5">
      <c r="A158" s="19">
        <v>45122</v>
      </c>
      <c r="B158" s="8" t="s">
        <v>119</v>
      </c>
      <c r="C158" s="8" t="s">
        <v>23</v>
      </c>
      <c r="D158" s="8" t="str">
        <f>LEFT(C158,3)</f>
        <v>辽宁省</v>
      </c>
      <c r="E158" s="8" t="s">
        <v>136</v>
      </c>
      <c r="F158" s="8" t="str">
        <f>VLOOKUP(E158,费用类别!A:B,2,0)</f>
        <v>酒店住宿</v>
      </c>
      <c r="G158" s="9">
        <v>1560.8333333333301</v>
      </c>
      <c r="H158" s="20" t="str">
        <f>IF(WEEKDAY(A158,2)&gt;5,"是","否")</f>
        <v>是</v>
      </c>
      <c r="I158" s="8" t="str">
        <f t="shared" si="2"/>
        <v>王海德酒店住宿</v>
      </c>
      <c r="J158" s="37">
        <f>IF(SUMPRODUCT((I$3:I158=I158)*1)=1,1,0)</f>
        <v>1</v>
      </c>
      <c r="K158" s="7"/>
    </row>
    <row r="159" spans="1:11" ht="13.5">
      <c r="A159" s="19">
        <v>45122</v>
      </c>
      <c r="B159" s="8" t="s">
        <v>113</v>
      </c>
      <c r="C159" s="8" t="s">
        <v>57</v>
      </c>
      <c r="D159" s="8" t="str">
        <f>LEFT(C159,3)</f>
        <v>上海市</v>
      </c>
      <c r="E159" s="8" t="s">
        <v>140</v>
      </c>
      <c r="F159" s="8" t="str">
        <f>VLOOKUP(E159,费用类别!A:B,2,0)</f>
        <v>高速道桥费</v>
      </c>
      <c r="G159" s="9">
        <v>100</v>
      </c>
      <c r="H159" s="20" t="str">
        <f>IF(WEEKDAY(A159,2)&gt;5,"是","否")</f>
        <v>是</v>
      </c>
      <c r="I159" s="8" t="str">
        <f t="shared" si="2"/>
        <v>王崇江高速道桥费</v>
      </c>
      <c r="J159" s="37">
        <f>IF(SUMPRODUCT((I$3:I159=I159)*1)=1,1,0)</f>
        <v>0</v>
      </c>
      <c r="K159" s="7"/>
    </row>
    <row r="160" spans="1:11" ht="13.5">
      <c r="A160" s="19">
        <v>45122</v>
      </c>
      <c r="B160" s="8" t="s">
        <v>122</v>
      </c>
      <c r="C160" s="8" t="s">
        <v>29</v>
      </c>
      <c r="D160" s="8" t="str">
        <f>LEFT(C160,3)</f>
        <v>福建省</v>
      </c>
      <c r="E160" s="8" t="s">
        <v>135</v>
      </c>
      <c r="F160" s="8" t="str">
        <f>VLOOKUP(E160,费用类别!A:B,2,0)</f>
        <v>飞机票</v>
      </c>
      <c r="G160" s="9">
        <v>843.33333333333303</v>
      </c>
      <c r="H160" s="20" t="str">
        <f>IF(WEEKDAY(A160,2)&gt;5,"是","否")</f>
        <v>是</v>
      </c>
      <c r="I160" s="8" t="str">
        <f t="shared" si="2"/>
        <v>刘长辉飞机票</v>
      </c>
      <c r="J160" s="37">
        <f>IF(SUMPRODUCT((I$3:I160=I160)*1)=1,1,0)</f>
        <v>1</v>
      </c>
      <c r="K160" s="7"/>
    </row>
    <row r="161" spans="1:11" ht="13.5">
      <c r="A161" s="19">
        <v>45123</v>
      </c>
      <c r="B161" s="8" t="s">
        <v>117</v>
      </c>
      <c r="C161" s="8" t="s">
        <v>70</v>
      </c>
      <c r="D161" s="8" t="str">
        <f>LEFT(C161,3)</f>
        <v>湖北省</v>
      </c>
      <c r="E161" s="8" t="s">
        <v>139</v>
      </c>
      <c r="F161" s="8" t="str">
        <f>VLOOKUP(E161,费用类别!A:B,2,0)</f>
        <v>火车票</v>
      </c>
      <c r="G161" s="9">
        <v>1123.8</v>
      </c>
      <c r="H161" s="20" t="str">
        <f>IF(WEEKDAY(A161,2)&gt;5,"是","否")</f>
        <v>是</v>
      </c>
      <c r="I161" s="8" t="str">
        <f t="shared" si="2"/>
        <v>张哲宇火车票</v>
      </c>
      <c r="J161" s="37">
        <f>IF(SUMPRODUCT((I$3:I161=I161)*1)=1,1,0)</f>
        <v>0</v>
      </c>
      <c r="K161" s="7"/>
    </row>
    <row r="162" spans="1:11" ht="13.5">
      <c r="A162" s="19">
        <v>45123</v>
      </c>
      <c r="B162" s="8" t="s">
        <v>112</v>
      </c>
      <c r="C162" s="8" t="s">
        <v>28</v>
      </c>
      <c r="D162" s="8" t="str">
        <f>LEFT(C162,3)</f>
        <v>北京市</v>
      </c>
      <c r="E162" s="8" t="s">
        <v>140</v>
      </c>
      <c r="F162" s="8" t="str">
        <f>VLOOKUP(E162,费用类别!A:B,2,0)</f>
        <v>高速道桥费</v>
      </c>
      <c r="G162" s="9">
        <v>1049.9000000000001</v>
      </c>
      <c r="H162" s="20" t="str">
        <f>IF(WEEKDAY(A162,2)&gt;5,"是","否")</f>
        <v>是</v>
      </c>
      <c r="I162" s="8" t="str">
        <f t="shared" si="2"/>
        <v>钱顺卓高速道桥费</v>
      </c>
      <c r="J162" s="37">
        <f>IF(SUMPRODUCT((I$3:I162=I162)*1)=1,1,0)</f>
        <v>0</v>
      </c>
      <c r="K162" s="7"/>
    </row>
    <row r="163" spans="1:11" ht="13.5">
      <c r="A163" s="19">
        <v>45124</v>
      </c>
      <c r="B163" s="8" t="s">
        <v>131</v>
      </c>
      <c r="C163" s="8" t="s">
        <v>75</v>
      </c>
      <c r="D163" s="8" t="str">
        <f>LEFT(C163,3)</f>
        <v>浙江省</v>
      </c>
      <c r="E163" s="8" t="s">
        <v>143</v>
      </c>
      <c r="F163" s="8" t="str">
        <f>VLOOKUP(E163,费用类别!A:B,2,0)</f>
        <v>通讯补助</v>
      </c>
      <c r="G163" s="9">
        <v>120</v>
      </c>
      <c r="H163" s="20" t="str">
        <f>IF(WEEKDAY(A163,2)&gt;5,"是","否")</f>
        <v>否</v>
      </c>
      <c r="I163" s="8" t="str">
        <f t="shared" si="2"/>
        <v>王欣荣通讯补助</v>
      </c>
      <c r="J163" s="37">
        <f>IF(SUMPRODUCT((I$3:I163=I163)*1)=1,1,0)</f>
        <v>1</v>
      </c>
      <c r="K163" s="7"/>
    </row>
    <row r="164" spans="1:11" ht="13.5">
      <c r="A164" s="19">
        <v>45124</v>
      </c>
      <c r="B164" s="8" t="s">
        <v>112</v>
      </c>
      <c r="C164" s="8" t="s">
        <v>86</v>
      </c>
      <c r="D164" s="8" t="str">
        <f>LEFT(C164,3)</f>
        <v>广东省</v>
      </c>
      <c r="E164" s="8" t="s">
        <v>142</v>
      </c>
      <c r="F164" s="8" t="str">
        <f>VLOOKUP(E164,费用类别!A:B,2,0)</f>
        <v>停车费</v>
      </c>
      <c r="G164" s="9">
        <v>29</v>
      </c>
      <c r="H164" s="20" t="str">
        <f>IF(WEEKDAY(A164,2)&gt;5,"是","否")</f>
        <v>否</v>
      </c>
      <c r="I164" s="8" t="str">
        <f t="shared" si="2"/>
        <v>钱顺卓停车费</v>
      </c>
      <c r="J164" s="37">
        <f>IF(SUMPRODUCT((I$3:I164=I164)*1)=1,1,0)</f>
        <v>0</v>
      </c>
      <c r="K164" s="7"/>
    </row>
    <row r="165" spans="1:11" ht="13.5">
      <c r="A165" s="19">
        <v>45125</v>
      </c>
      <c r="B165" s="8" t="s">
        <v>119</v>
      </c>
      <c r="C165" s="8" t="s">
        <v>43</v>
      </c>
      <c r="D165" s="8" t="str">
        <f>LEFT(C165,3)</f>
        <v>广东省</v>
      </c>
      <c r="E165" s="8" t="s">
        <v>142</v>
      </c>
      <c r="F165" s="8" t="str">
        <f>VLOOKUP(E165,费用类别!A:B,2,0)</f>
        <v>停车费</v>
      </c>
      <c r="G165" s="9">
        <v>500</v>
      </c>
      <c r="H165" s="20" t="str">
        <f>IF(WEEKDAY(A165,2)&gt;5,"是","否")</f>
        <v>否</v>
      </c>
      <c r="I165" s="8" t="str">
        <f t="shared" si="2"/>
        <v>王海德停车费</v>
      </c>
      <c r="J165" s="37">
        <f>IF(SUMPRODUCT((I$3:I165=I165)*1)=1,1,0)</f>
        <v>1</v>
      </c>
      <c r="K165" s="7"/>
    </row>
    <row r="166" spans="1:11" ht="13.5">
      <c r="A166" s="19">
        <v>45125</v>
      </c>
      <c r="B166" s="8" t="s">
        <v>129</v>
      </c>
      <c r="C166" s="8" t="s">
        <v>48</v>
      </c>
      <c r="D166" s="8" t="str">
        <f>LEFT(C166,3)</f>
        <v>湖北省</v>
      </c>
      <c r="E166" s="8" t="s">
        <v>137</v>
      </c>
      <c r="F166" s="8" t="str">
        <f>VLOOKUP(E166,费用类别!A:B,2,0)</f>
        <v>餐饮费</v>
      </c>
      <c r="G166" s="9">
        <v>754.3</v>
      </c>
      <c r="H166" s="20" t="str">
        <f>IF(WEEKDAY(A166,2)&gt;5,"是","否")</f>
        <v>否</v>
      </c>
      <c r="I166" s="8" t="str">
        <f t="shared" si="2"/>
        <v>李雅洁餐饮费</v>
      </c>
      <c r="J166" s="37">
        <f>IF(SUMPRODUCT((I$3:I166=I166)*1)=1,1,0)</f>
        <v>1</v>
      </c>
      <c r="K166" s="7"/>
    </row>
    <row r="167" spans="1:11" ht="13.5">
      <c r="A167" s="19">
        <v>45125</v>
      </c>
      <c r="B167" s="8" t="s">
        <v>117</v>
      </c>
      <c r="C167" s="8" t="s">
        <v>82</v>
      </c>
      <c r="D167" s="8" t="str">
        <f>LEFT(C167,3)</f>
        <v>北京市</v>
      </c>
      <c r="E167" s="8" t="s">
        <v>140</v>
      </c>
      <c r="F167" s="8" t="str">
        <f>VLOOKUP(E167,费用类别!A:B,2,0)</f>
        <v>高速道桥费</v>
      </c>
      <c r="G167" s="9">
        <v>1150.8333333333301</v>
      </c>
      <c r="H167" s="20" t="str">
        <f>IF(WEEKDAY(A167,2)&gt;5,"是","否")</f>
        <v>否</v>
      </c>
      <c r="I167" s="8" t="str">
        <f t="shared" si="2"/>
        <v>张哲宇高速道桥费</v>
      </c>
      <c r="J167" s="37">
        <f>IF(SUMPRODUCT((I$3:I167=I167)*1)=1,1,0)</f>
        <v>1</v>
      </c>
      <c r="K167" s="7"/>
    </row>
    <row r="168" spans="1:11" ht="13.5">
      <c r="A168" s="19">
        <v>45125</v>
      </c>
      <c r="B168" s="8" t="s">
        <v>108</v>
      </c>
      <c r="C168" s="8" t="s">
        <v>53</v>
      </c>
      <c r="D168" s="8" t="str">
        <f>LEFT(C168,3)</f>
        <v>重庆市</v>
      </c>
      <c r="E168" s="8" t="s">
        <v>139</v>
      </c>
      <c r="F168" s="8" t="str">
        <f>VLOOKUP(E168,费用类别!A:B,2,0)</f>
        <v>火车票</v>
      </c>
      <c r="G168" s="9">
        <v>1123.8</v>
      </c>
      <c r="H168" s="20" t="str">
        <f>IF(WEEKDAY(A168,2)&gt;5,"是","否")</f>
        <v>否</v>
      </c>
      <c r="I168" s="8" t="str">
        <f t="shared" si="2"/>
        <v>孟天祥火车票</v>
      </c>
      <c r="J168" s="37">
        <f>IF(SUMPRODUCT((I$3:I168=I168)*1)=1,1,0)</f>
        <v>0</v>
      </c>
      <c r="K168" s="7"/>
    </row>
    <row r="169" spans="1:11" ht="13.5">
      <c r="A169" s="19">
        <v>45126</v>
      </c>
      <c r="B169" s="8" t="s">
        <v>110</v>
      </c>
      <c r="C169" s="8" t="s">
        <v>13</v>
      </c>
      <c r="D169" s="8" t="str">
        <f>LEFT(C169,3)</f>
        <v>上海市</v>
      </c>
      <c r="E169" s="8" t="s">
        <v>142</v>
      </c>
      <c r="F169" s="8" t="str">
        <f>VLOOKUP(E169,费用类别!A:B,2,0)</f>
        <v>停车费</v>
      </c>
      <c r="G169" s="9">
        <v>1150.8333333333301</v>
      </c>
      <c r="H169" s="20" t="str">
        <f>IF(WEEKDAY(A169,2)&gt;5,"是","否")</f>
        <v>否</v>
      </c>
      <c r="I169" s="8" t="str">
        <f t="shared" si="2"/>
        <v>王天宇停车费</v>
      </c>
      <c r="J169" s="37">
        <f>IF(SUMPRODUCT((I$3:I169=I169)*1)=1,1,0)</f>
        <v>0</v>
      </c>
      <c r="K169" s="7"/>
    </row>
    <row r="170" spans="1:11" ht="13.5">
      <c r="A170" s="19">
        <v>45126</v>
      </c>
      <c r="B170" s="8" t="s">
        <v>108</v>
      </c>
      <c r="C170" s="8" t="s">
        <v>91</v>
      </c>
      <c r="D170" s="8" t="str">
        <f>LEFT(C170,3)</f>
        <v>山东省</v>
      </c>
      <c r="E170" s="8" t="s">
        <v>144</v>
      </c>
      <c r="F170" s="8" t="str">
        <f>VLOOKUP(E170,费用类别!A:B,2,0)</f>
        <v>其他</v>
      </c>
      <c r="G170" s="9">
        <v>200</v>
      </c>
      <c r="H170" s="20" t="str">
        <f>IF(WEEKDAY(A170,2)&gt;5,"是","否")</f>
        <v>否</v>
      </c>
      <c r="I170" s="8" t="str">
        <f t="shared" si="2"/>
        <v>孟天祥其他</v>
      </c>
      <c r="J170" s="37">
        <f>IF(SUMPRODUCT((I$3:I170=I170)*1)=1,1,0)</f>
        <v>1</v>
      </c>
      <c r="K170" s="7"/>
    </row>
    <row r="171" spans="1:11" ht="13.5">
      <c r="A171" s="19">
        <v>45127</v>
      </c>
      <c r="B171" s="8" t="s">
        <v>118</v>
      </c>
      <c r="C171" s="8" t="s">
        <v>22</v>
      </c>
      <c r="D171" s="8" t="str">
        <f>LEFT(C171,3)</f>
        <v>贵州省</v>
      </c>
      <c r="E171" s="8" t="s">
        <v>144</v>
      </c>
      <c r="F171" s="8" t="str">
        <f>VLOOKUP(E171,费用类别!A:B,2,0)</f>
        <v>其他</v>
      </c>
      <c r="G171" s="9">
        <v>740.83333333333303</v>
      </c>
      <c r="H171" s="20" t="str">
        <f>IF(WEEKDAY(A171,2)&gt;5,"是","否")</f>
        <v>否</v>
      </c>
      <c r="I171" s="8" t="str">
        <f t="shared" si="2"/>
        <v>王炫皓其他</v>
      </c>
      <c r="J171" s="37">
        <f>IF(SUMPRODUCT((I$3:I171=I171)*1)=1,1,0)</f>
        <v>1</v>
      </c>
      <c r="K171" s="7"/>
    </row>
    <row r="172" spans="1:11" ht="13.5">
      <c r="A172" s="19">
        <v>45128</v>
      </c>
      <c r="B172" s="8" t="s">
        <v>111</v>
      </c>
      <c r="C172" s="8" t="s">
        <v>79</v>
      </c>
      <c r="D172" s="8" t="str">
        <f>LEFT(C172,3)</f>
        <v>吉林省</v>
      </c>
      <c r="E172" s="8" t="s">
        <v>140</v>
      </c>
      <c r="F172" s="8" t="str">
        <f>VLOOKUP(E172,费用类别!A:B,2,0)</f>
        <v>高速道桥费</v>
      </c>
      <c r="G172" s="9">
        <v>740.83333333333303</v>
      </c>
      <c r="H172" s="20" t="str">
        <f>IF(WEEKDAY(A172,2)&gt;5,"是","否")</f>
        <v>否</v>
      </c>
      <c r="I172" s="8" t="str">
        <f t="shared" si="2"/>
        <v>方文成高速道桥费</v>
      </c>
      <c r="J172" s="37">
        <f>IF(SUMPRODUCT((I$3:I172=I172)*1)=1,1,0)</f>
        <v>0</v>
      </c>
      <c r="K172" s="7"/>
    </row>
    <row r="173" spans="1:11" ht="13.5">
      <c r="A173" s="19">
        <v>45128</v>
      </c>
      <c r="B173" s="8" t="s">
        <v>115</v>
      </c>
      <c r="C173" s="8" t="s">
        <v>18</v>
      </c>
      <c r="D173" s="8" t="str">
        <f>LEFT(C173,3)</f>
        <v>江西省</v>
      </c>
      <c r="E173" s="8" t="s">
        <v>140</v>
      </c>
      <c r="F173" s="8" t="str">
        <f>VLOOKUP(E173,费用类别!A:B,2,0)</f>
        <v>高速道桥费</v>
      </c>
      <c r="G173" s="9">
        <v>1663.3333333333301</v>
      </c>
      <c r="H173" s="20" t="str">
        <f>IF(WEEKDAY(A173,2)&gt;5,"是","否")</f>
        <v>否</v>
      </c>
      <c r="I173" s="8" t="str">
        <f t="shared" si="2"/>
        <v>刘露露高速道桥费</v>
      </c>
      <c r="J173" s="37">
        <f>IF(SUMPRODUCT((I$3:I173=I173)*1)=1,1,0)</f>
        <v>0</v>
      </c>
      <c r="K173" s="7"/>
    </row>
    <row r="174" spans="1:11" ht="13.5">
      <c r="A174" s="19">
        <v>45129</v>
      </c>
      <c r="B174" s="8" t="s">
        <v>119</v>
      </c>
      <c r="C174" s="8" t="s">
        <v>78</v>
      </c>
      <c r="D174" s="8" t="str">
        <f>LEFT(C174,3)</f>
        <v>广东省</v>
      </c>
      <c r="E174" s="8" t="s">
        <v>136</v>
      </c>
      <c r="F174" s="8" t="str">
        <f>VLOOKUP(E174,费用类别!A:B,2,0)</f>
        <v>酒店住宿</v>
      </c>
      <c r="G174" s="9">
        <v>300</v>
      </c>
      <c r="H174" s="20" t="str">
        <f>IF(WEEKDAY(A174,2)&gt;5,"是","否")</f>
        <v>是</v>
      </c>
      <c r="I174" s="8" t="str">
        <f t="shared" si="2"/>
        <v>王海德酒店住宿</v>
      </c>
      <c r="J174" s="37">
        <f>IF(SUMPRODUCT((I$3:I174=I174)*1)=1,1,0)</f>
        <v>0</v>
      </c>
      <c r="K174" s="7"/>
    </row>
    <row r="175" spans="1:11" ht="13.5">
      <c r="A175" s="19">
        <v>45129</v>
      </c>
      <c r="B175" s="8" t="s">
        <v>121</v>
      </c>
      <c r="C175" s="8" t="s">
        <v>26</v>
      </c>
      <c r="D175" s="8" t="str">
        <f>LEFT(C175,3)</f>
        <v>浙江省</v>
      </c>
      <c r="E175" s="8" t="s">
        <v>139</v>
      </c>
      <c r="F175" s="8" t="str">
        <f>VLOOKUP(E175,费用类别!A:B,2,0)</f>
        <v>火车票</v>
      </c>
      <c r="G175" s="9">
        <v>535.83333333333303</v>
      </c>
      <c r="H175" s="20" t="str">
        <f>IF(WEEKDAY(A175,2)&gt;5,"是","否")</f>
        <v>是</v>
      </c>
      <c r="I175" s="8" t="str">
        <f t="shared" si="2"/>
        <v>关天胜火车票</v>
      </c>
      <c r="J175" s="37">
        <f>IF(SUMPRODUCT((I$3:I175=I175)*1)=1,1,0)</f>
        <v>0</v>
      </c>
      <c r="K175" s="7"/>
    </row>
    <row r="176" spans="1:11" ht="13.5">
      <c r="A176" s="19">
        <v>45129</v>
      </c>
      <c r="B176" s="8" t="s">
        <v>133</v>
      </c>
      <c r="C176" s="8" t="s">
        <v>67</v>
      </c>
      <c r="D176" s="8" t="str">
        <f>LEFT(C176,3)</f>
        <v>大连市</v>
      </c>
      <c r="E176" s="8" t="s">
        <v>136</v>
      </c>
      <c r="F176" s="8" t="str">
        <f>VLOOKUP(E176,费用类别!A:B,2,0)</f>
        <v>酒店住宿</v>
      </c>
      <c r="G176" s="9">
        <v>902.1</v>
      </c>
      <c r="H176" s="20" t="str">
        <f>IF(WEEKDAY(A176,2)&gt;5,"是","否")</f>
        <v>是</v>
      </c>
      <c r="I176" s="8" t="str">
        <f t="shared" si="2"/>
        <v>杨国强酒店住宿</v>
      </c>
      <c r="J176" s="37">
        <f>IF(SUMPRODUCT((I$3:I176=I176)*1)=1,1,0)</f>
        <v>1</v>
      </c>
      <c r="K176" s="7"/>
    </row>
    <row r="177" spans="1:11" ht="13.5">
      <c r="A177" s="19">
        <v>45130</v>
      </c>
      <c r="B177" s="8" t="s">
        <v>124</v>
      </c>
      <c r="C177" s="8" t="s">
        <v>103</v>
      </c>
      <c r="D177" s="8" t="str">
        <f>LEFT(C177,3)</f>
        <v>甘肃省</v>
      </c>
      <c r="E177" s="8" t="s">
        <v>141</v>
      </c>
      <c r="F177" s="8" t="str">
        <f>VLOOKUP(E177,费用类别!A:B,2,0)</f>
        <v>燃油费</v>
      </c>
      <c r="G177" s="9">
        <v>22</v>
      </c>
      <c r="H177" s="20" t="str">
        <f>IF(WEEKDAY(A177,2)&gt;5,"是","否")</f>
        <v>是</v>
      </c>
      <c r="I177" s="8" t="str">
        <f t="shared" si="2"/>
        <v>王雅林燃油费</v>
      </c>
      <c r="J177" s="37">
        <f>IF(SUMPRODUCT((I$3:I177=I177)*1)=1,1,0)</f>
        <v>0</v>
      </c>
      <c r="K177" s="7"/>
    </row>
    <row r="178" spans="1:11" ht="13.5">
      <c r="A178" s="19">
        <v>45130</v>
      </c>
      <c r="B178" s="8" t="s">
        <v>115</v>
      </c>
      <c r="C178" s="8" t="s">
        <v>92</v>
      </c>
      <c r="D178" s="8" t="str">
        <f>LEFT(C178,3)</f>
        <v>江苏省</v>
      </c>
      <c r="E178" s="8" t="s">
        <v>137</v>
      </c>
      <c r="F178" s="8" t="str">
        <f>VLOOKUP(E178,费用类别!A:B,2,0)</f>
        <v>餐饮费</v>
      </c>
      <c r="G178" s="9">
        <v>345</v>
      </c>
      <c r="H178" s="20" t="str">
        <f>IF(WEEKDAY(A178,2)&gt;5,"是","否")</f>
        <v>是</v>
      </c>
      <c r="I178" s="8" t="str">
        <f t="shared" si="2"/>
        <v>刘露露餐饮费</v>
      </c>
      <c r="J178" s="37">
        <f>IF(SUMPRODUCT((I$3:I178=I178)*1)=1,1,0)</f>
        <v>1</v>
      </c>
      <c r="K178" s="7"/>
    </row>
    <row r="179" spans="1:11" ht="13.5">
      <c r="A179" s="19">
        <v>45130</v>
      </c>
      <c r="B179" s="8" t="s">
        <v>115</v>
      </c>
      <c r="C179" s="8" t="s">
        <v>56</v>
      </c>
      <c r="D179" s="8" t="str">
        <f>LEFT(C179,3)</f>
        <v>北京市</v>
      </c>
      <c r="E179" s="8" t="s">
        <v>139</v>
      </c>
      <c r="F179" s="8" t="str">
        <f>VLOOKUP(E179,费用类别!A:B,2,0)</f>
        <v>火车票</v>
      </c>
      <c r="G179" s="9">
        <v>22</v>
      </c>
      <c r="H179" s="20" t="str">
        <f>IF(WEEKDAY(A179,2)&gt;5,"是","否")</f>
        <v>是</v>
      </c>
      <c r="I179" s="8" t="str">
        <f t="shared" si="2"/>
        <v>刘露露火车票</v>
      </c>
      <c r="J179" s="37">
        <f>IF(SUMPRODUCT((I$3:I179=I179)*1)=1,1,0)</f>
        <v>0</v>
      </c>
      <c r="K179" s="7"/>
    </row>
    <row r="180" spans="1:11" ht="13.5">
      <c r="A180" s="19">
        <v>45130</v>
      </c>
      <c r="B180" s="8" t="s">
        <v>115</v>
      </c>
      <c r="C180" s="8" t="s">
        <v>36</v>
      </c>
      <c r="D180" s="8" t="str">
        <f>LEFT(C180,3)</f>
        <v>重庆市</v>
      </c>
      <c r="E180" s="8" t="s">
        <v>141</v>
      </c>
      <c r="F180" s="8" t="str">
        <f>VLOOKUP(E180,费用类别!A:B,2,0)</f>
        <v>燃油费</v>
      </c>
      <c r="G180" s="9">
        <v>945.83333333333303</v>
      </c>
      <c r="H180" s="20" t="str">
        <f>IF(WEEKDAY(A180,2)&gt;5,"是","否")</f>
        <v>是</v>
      </c>
      <c r="I180" s="8" t="str">
        <f t="shared" si="2"/>
        <v>刘露露燃油费</v>
      </c>
      <c r="J180" s="37">
        <f>IF(SUMPRODUCT((I$3:I180=I180)*1)=1,1,0)</f>
        <v>0</v>
      </c>
      <c r="K180" s="7"/>
    </row>
    <row r="181" spans="1:11" ht="13.5">
      <c r="A181" s="19">
        <v>45130</v>
      </c>
      <c r="B181" s="8" t="s">
        <v>123</v>
      </c>
      <c r="C181" s="8" t="s">
        <v>30</v>
      </c>
      <c r="D181" s="8" t="str">
        <f>LEFT(C181,3)</f>
        <v>广东省</v>
      </c>
      <c r="E181" s="8" t="s">
        <v>142</v>
      </c>
      <c r="F181" s="8" t="str">
        <f>VLOOKUP(E181,费用类别!A:B,2,0)</f>
        <v>停车费</v>
      </c>
      <c r="G181" s="9">
        <v>200</v>
      </c>
      <c r="H181" s="20" t="str">
        <f>IF(WEEKDAY(A181,2)&gt;5,"是","否")</f>
        <v>是</v>
      </c>
      <c r="I181" s="8" t="str">
        <f t="shared" si="2"/>
        <v>李晓梅停车费</v>
      </c>
      <c r="J181" s="37">
        <f>IF(SUMPRODUCT((I$3:I181=I181)*1)=1,1,0)</f>
        <v>0</v>
      </c>
      <c r="K181" s="7"/>
    </row>
    <row r="182" spans="1:11" ht="13.5">
      <c r="A182" s="19">
        <v>45130</v>
      </c>
      <c r="B182" s="8" t="s">
        <v>112</v>
      </c>
      <c r="C182" s="8" t="s">
        <v>156</v>
      </c>
      <c r="D182" s="8" t="str">
        <f>LEFT(C182,3)</f>
        <v>河北省</v>
      </c>
      <c r="E182" s="8" t="s">
        <v>144</v>
      </c>
      <c r="F182" s="8" t="str">
        <f>VLOOKUP(E182,费用类别!A:B,2,0)</f>
        <v>其他</v>
      </c>
      <c r="G182" s="9">
        <v>2500</v>
      </c>
      <c r="H182" s="20" t="str">
        <f>IF(WEEKDAY(A182,2)&gt;5,"是","否")</f>
        <v>是</v>
      </c>
      <c r="I182" s="8" t="str">
        <f t="shared" si="2"/>
        <v>钱顺卓其他</v>
      </c>
      <c r="J182" s="37">
        <f>IF(SUMPRODUCT((I$3:I182=I182)*1)=1,1,0)</f>
        <v>1</v>
      </c>
      <c r="K182" s="7"/>
    </row>
    <row r="183" spans="1:11" ht="13.5">
      <c r="A183" s="19">
        <v>45131</v>
      </c>
      <c r="B183" s="8" t="s">
        <v>118</v>
      </c>
      <c r="C183" s="8" t="s">
        <v>77</v>
      </c>
      <c r="D183" s="8" t="str">
        <f>LEFT(C183,3)</f>
        <v>陕西省</v>
      </c>
      <c r="E183" s="8" t="s">
        <v>135</v>
      </c>
      <c r="F183" s="8" t="str">
        <f>VLOOKUP(E183,费用类别!A:B,2,0)</f>
        <v>飞机票</v>
      </c>
      <c r="G183" s="9">
        <v>3000</v>
      </c>
      <c r="H183" s="20" t="str">
        <f>IF(WEEKDAY(A183,2)&gt;5,"是","否")</f>
        <v>否</v>
      </c>
      <c r="I183" s="8" t="str">
        <f t="shared" si="2"/>
        <v>王炫皓飞机票</v>
      </c>
      <c r="J183" s="37">
        <f>IF(SUMPRODUCT((I$3:I183=I183)*1)=1,1,0)</f>
        <v>0</v>
      </c>
      <c r="K183" s="7"/>
    </row>
    <row r="184" spans="1:11" ht="13.5">
      <c r="A184" s="19">
        <v>45132</v>
      </c>
      <c r="B184" s="8" t="s">
        <v>131</v>
      </c>
      <c r="C184" s="8" t="s">
        <v>97</v>
      </c>
      <c r="D184" s="8" t="str">
        <f>LEFT(C184,3)</f>
        <v>河南省</v>
      </c>
      <c r="E184" s="8" t="s">
        <v>136</v>
      </c>
      <c r="F184" s="8" t="str">
        <f>VLOOKUP(E184,费用类别!A:B,2,0)</f>
        <v>酒店住宿</v>
      </c>
      <c r="G184" s="9">
        <v>2500</v>
      </c>
      <c r="H184" s="20" t="str">
        <f>IF(WEEKDAY(A184,2)&gt;5,"是","否")</f>
        <v>否</v>
      </c>
      <c r="I184" s="8" t="str">
        <f t="shared" si="2"/>
        <v>王欣荣酒店住宿</v>
      </c>
      <c r="J184" s="37">
        <f>IF(SUMPRODUCT((I$3:I184=I184)*1)=1,1,0)</f>
        <v>1</v>
      </c>
      <c r="K184" s="7"/>
    </row>
    <row r="185" spans="1:11" ht="13.5">
      <c r="A185" s="19">
        <v>45132</v>
      </c>
      <c r="B185" s="8" t="s">
        <v>117</v>
      </c>
      <c r="C185" s="8" t="s">
        <v>63</v>
      </c>
      <c r="D185" s="8" t="str">
        <f>LEFT(C185,3)</f>
        <v>江西省</v>
      </c>
      <c r="E185" s="8" t="s">
        <v>138</v>
      </c>
      <c r="F185" s="8" t="str">
        <f>VLOOKUP(E185,费用类别!A:B,2,0)</f>
        <v>出租车费</v>
      </c>
      <c r="G185" s="9">
        <v>246</v>
      </c>
      <c r="H185" s="20" t="str">
        <f>IF(WEEKDAY(A185,2)&gt;5,"是","否")</f>
        <v>否</v>
      </c>
      <c r="I185" s="8" t="str">
        <f t="shared" si="2"/>
        <v>张哲宇出租车费</v>
      </c>
      <c r="J185" s="37">
        <f>IF(SUMPRODUCT((I$3:I185=I185)*1)=1,1,0)</f>
        <v>1</v>
      </c>
      <c r="K185" s="7"/>
    </row>
    <row r="186" spans="1:11" ht="13.5">
      <c r="A186" s="19">
        <v>45133</v>
      </c>
      <c r="B186" s="8" t="s">
        <v>109</v>
      </c>
      <c r="C186" s="8" t="s">
        <v>40</v>
      </c>
      <c r="D186" s="8" t="str">
        <f>LEFT(C186,3)</f>
        <v>山东省</v>
      </c>
      <c r="E186" s="8" t="s">
        <v>137</v>
      </c>
      <c r="F186" s="8" t="str">
        <f>VLOOKUP(E186,费用类别!A:B,2,0)</f>
        <v>餐饮费</v>
      </c>
      <c r="G186" s="9">
        <v>246</v>
      </c>
      <c r="H186" s="20" t="str">
        <f>IF(WEEKDAY(A186,2)&gt;5,"是","否")</f>
        <v>否</v>
      </c>
      <c r="I186" s="8" t="str">
        <f t="shared" si="2"/>
        <v>陈祥通餐饮费</v>
      </c>
      <c r="J186" s="37">
        <f>IF(SUMPRODUCT((I$3:I186=I186)*1)=1,1,0)</f>
        <v>1</v>
      </c>
      <c r="K186" s="7"/>
    </row>
    <row r="187" spans="1:11" ht="13.5">
      <c r="A187" s="19">
        <v>45134</v>
      </c>
      <c r="B187" s="8" t="s">
        <v>119</v>
      </c>
      <c r="C187" s="8" t="s">
        <v>23</v>
      </c>
      <c r="D187" s="8" t="str">
        <f>LEFT(C187,3)</f>
        <v>辽宁省</v>
      </c>
      <c r="E187" s="8" t="s">
        <v>135</v>
      </c>
      <c r="F187" s="8" t="str">
        <f>VLOOKUP(E187,费用类别!A:B,2,0)</f>
        <v>飞机票</v>
      </c>
      <c r="G187" s="9">
        <v>680.4</v>
      </c>
      <c r="H187" s="20" t="str">
        <f>IF(WEEKDAY(A187,2)&gt;5,"是","否")</f>
        <v>否</v>
      </c>
      <c r="I187" s="8" t="str">
        <f t="shared" si="2"/>
        <v>王海德飞机票</v>
      </c>
      <c r="J187" s="37">
        <f>IF(SUMPRODUCT((I$3:I187=I187)*1)=1,1,0)</f>
        <v>1</v>
      </c>
      <c r="K187" s="7"/>
    </row>
    <row r="188" spans="1:11" ht="13.5">
      <c r="A188" s="19">
        <v>45134</v>
      </c>
      <c r="B188" s="8" t="s">
        <v>115</v>
      </c>
      <c r="C188" s="8" t="s">
        <v>51</v>
      </c>
      <c r="D188" s="8" t="str">
        <f>LEFT(C188,3)</f>
        <v>四川省</v>
      </c>
      <c r="E188" s="8" t="s">
        <v>140</v>
      </c>
      <c r="F188" s="8" t="str">
        <f>VLOOKUP(E188,费用类别!A:B,2,0)</f>
        <v>高速道桥费</v>
      </c>
      <c r="G188" s="9">
        <v>976</v>
      </c>
      <c r="H188" s="20" t="str">
        <f>IF(WEEKDAY(A188,2)&gt;5,"是","否")</f>
        <v>否</v>
      </c>
      <c r="I188" s="8" t="str">
        <f t="shared" si="2"/>
        <v>刘露露高速道桥费</v>
      </c>
      <c r="J188" s="37">
        <f>IF(SUMPRODUCT((I$3:I188=I188)*1)=1,1,0)</f>
        <v>0</v>
      </c>
      <c r="K188" s="7"/>
    </row>
    <row r="189" spans="1:11" ht="13.5">
      <c r="A189" s="19">
        <v>45134</v>
      </c>
      <c r="B189" s="8" t="s">
        <v>123</v>
      </c>
      <c r="C189" s="8" t="s">
        <v>104</v>
      </c>
      <c r="D189" s="8" t="str">
        <f>LEFT(C189,3)</f>
        <v>北京市</v>
      </c>
      <c r="E189" s="8" t="s">
        <v>143</v>
      </c>
      <c r="F189" s="8" t="str">
        <f>VLOOKUP(E189,费用类别!A:B,2,0)</f>
        <v>通讯补助</v>
      </c>
      <c r="G189" s="9">
        <v>388</v>
      </c>
      <c r="H189" s="20" t="str">
        <f>IF(WEEKDAY(A189,2)&gt;5,"是","否")</f>
        <v>否</v>
      </c>
      <c r="I189" s="8" t="str">
        <f t="shared" si="2"/>
        <v>李晓梅通讯补助</v>
      </c>
      <c r="J189" s="37">
        <f>IF(SUMPRODUCT((I$3:I189=I189)*1)=1,1,0)</f>
        <v>1</v>
      </c>
      <c r="K189" s="7"/>
    </row>
    <row r="190" spans="1:11" ht="13.5">
      <c r="A190" s="19">
        <v>45135</v>
      </c>
      <c r="B190" s="8" t="s">
        <v>130</v>
      </c>
      <c r="C190" s="8" t="s">
        <v>65</v>
      </c>
      <c r="D190" s="8" t="str">
        <f>LEFT(C190,3)</f>
        <v>辽宁省</v>
      </c>
      <c r="E190" s="8" t="s">
        <v>140</v>
      </c>
      <c r="F190" s="8" t="str">
        <f>VLOOKUP(E190,费用类别!A:B,2,0)</f>
        <v>高速道桥费</v>
      </c>
      <c r="G190" s="9">
        <v>22</v>
      </c>
      <c r="H190" s="20" t="str">
        <f>IF(WEEKDAY(A190,2)&gt;5,"是","否")</f>
        <v>否</v>
      </c>
      <c r="I190" s="8" t="str">
        <f t="shared" si="2"/>
        <v>邹佳楠高速道桥费</v>
      </c>
      <c r="J190" s="37">
        <f>IF(SUMPRODUCT((I$3:I190=I190)*1)=1,1,0)</f>
        <v>0</v>
      </c>
      <c r="K190" s="7"/>
    </row>
    <row r="191" spans="1:11" ht="13.5">
      <c r="A191" s="19">
        <v>45136</v>
      </c>
      <c r="B191" s="8" t="s">
        <v>125</v>
      </c>
      <c r="C191" s="8" t="s">
        <v>87</v>
      </c>
      <c r="D191" s="8" t="str">
        <f>LEFT(C191,3)</f>
        <v>上海市</v>
      </c>
      <c r="E191" s="8" t="s">
        <v>142</v>
      </c>
      <c r="F191" s="8" t="str">
        <f>VLOOKUP(E191,费用类别!A:B,2,0)</f>
        <v>停车费</v>
      </c>
      <c r="G191" s="9">
        <v>1663.3333333333301</v>
      </c>
      <c r="H191" s="20" t="str">
        <f>IF(WEEKDAY(A191,2)&gt;5,"是","否")</f>
        <v>是</v>
      </c>
      <c r="I191" s="8" t="str">
        <f t="shared" si="2"/>
        <v>边金双停车费</v>
      </c>
      <c r="J191" s="37">
        <f>IF(SUMPRODUCT((I$3:I191=I191)*1)=1,1,0)</f>
        <v>0</v>
      </c>
      <c r="K191" s="7"/>
    </row>
    <row r="192" spans="1:11" ht="13.5">
      <c r="A192" s="19">
        <v>45137</v>
      </c>
      <c r="B192" s="8" t="s">
        <v>124</v>
      </c>
      <c r="C192" s="8" t="s">
        <v>32</v>
      </c>
      <c r="D192" s="8" t="str">
        <f>LEFT(C192,3)</f>
        <v>江苏省</v>
      </c>
      <c r="E192" s="8" t="s">
        <v>140</v>
      </c>
      <c r="F192" s="8" t="str">
        <f>VLOOKUP(E192,费用类别!A:B,2,0)</f>
        <v>高速道桥费</v>
      </c>
      <c r="G192" s="9">
        <v>200</v>
      </c>
      <c r="H192" s="20" t="str">
        <f>IF(WEEKDAY(A192,2)&gt;5,"是","否")</f>
        <v>是</v>
      </c>
      <c r="I192" s="8" t="str">
        <f t="shared" si="2"/>
        <v>王雅林高速道桥费</v>
      </c>
      <c r="J192" s="37">
        <f>IF(SUMPRODUCT((I$3:I192=I192)*1)=1,1,0)</f>
        <v>0</v>
      </c>
      <c r="K192" s="7"/>
    </row>
    <row r="193" spans="1:11" ht="13.5">
      <c r="A193" s="19">
        <v>45137</v>
      </c>
      <c r="B193" s="8" t="s">
        <v>112</v>
      </c>
      <c r="C193" s="8" t="s">
        <v>15</v>
      </c>
      <c r="D193" s="8" t="str">
        <f>LEFT(C193,3)</f>
        <v>海南省</v>
      </c>
      <c r="E193" s="8" t="s">
        <v>138</v>
      </c>
      <c r="F193" s="8" t="str">
        <f>VLOOKUP(E193,费用类别!A:B,2,0)</f>
        <v>出租车费</v>
      </c>
      <c r="G193" s="9">
        <v>300</v>
      </c>
      <c r="H193" s="20" t="str">
        <f>IF(WEEKDAY(A193,2)&gt;5,"是","否")</f>
        <v>是</v>
      </c>
      <c r="I193" s="8" t="str">
        <f t="shared" si="2"/>
        <v>钱顺卓出租车费</v>
      </c>
      <c r="J193" s="37">
        <f>IF(SUMPRODUCT((I$3:I193=I193)*1)=1,1,0)</f>
        <v>0</v>
      </c>
      <c r="K193" s="7"/>
    </row>
    <row r="194" spans="1:11" ht="13.5">
      <c r="A194" s="19">
        <v>45138</v>
      </c>
      <c r="B194" s="8" t="s">
        <v>113</v>
      </c>
      <c r="C194" s="8" t="s">
        <v>16</v>
      </c>
      <c r="D194" s="8" t="str">
        <f>LEFT(C194,3)</f>
        <v>云南省</v>
      </c>
      <c r="E194" s="8" t="s">
        <v>141</v>
      </c>
      <c r="F194" s="8" t="str">
        <f>VLOOKUP(E194,费用类别!A:B,2,0)</f>
        <v>燃油费</v>
      </c>
      <c r="G194" s="9">
        <v>1458.3333333333301</v>
      </c>
      <c r="H194" s="20" t="str">
        <f>IF(WEEKDAY(A194,2)&gt;5,"是","否")</f>
        <v>否</v>
      </c>
      <c r="I194" s="8" t="str">
        <f t="shared" si="2"/>
        <v>王崇江燃油费</v>
      </c>
      <c r="J194" s="37">
        <f>IF(SUMPRODUCT((I$3:I194=I194)*1)=1,1,0)</f>
        <v>0</v>
      </c>
      <c r="K194" s="7"/>
    </row>
    <row r="195" spans="1:11" ht="13.5">
      <c r="A195" s="19">
        <v>45138</v>
      </c>
      <c r="B195" s="8" t="s">
        <v>111</v>
      </c>
      <c r="C195" s="8" t="s">
        <v>14</v>
      </c>
      <c r="D195" s="8" t="str">
        <f>LEFT(C195,3)</f>
        <v>上海市</v>
      </c>
      <c r="E195" s="8" t="s">
        <v>141</v>
      </c>
      <c r="F195" s="8" t="str">
        <f>VLOOKUP(E195,费用类别!A:B,2,0)</f>
        <v>燃油费</v>
      </c>
      <c r="G195" s="9">
        <v>638.33333333333303</v>
      </c>
      <c r="H195" s="20" t="str">
        <f>IF(WEEKDAY(A195,2)&gt;5,"是","否")</f>
        <v>否</v>
      </c>
      <c r="I195" s="8" t="str">
        <f t="shared" ref="I195:I258" si="3">B195&amp;F195</f>
        <v>方文成燃油费</v>
      </c>
      <c r="J195" s="37">
        <f>IF(SUMPRODUCT((I$3:I195=I195)*1)=1,1,0)</f>
        <v>0</v>
      </c>
      <c r="K195" s="7"/>
    </row>
    <row r="196" spans="1:11" ht="13.5">
      <c r="A196" s="19">
        <v>45139</v>
      </c>
      <c r="B196" s="8" t="s">
        <v>110</v>
      </c>
      <c r="C196" s="8" t="s">
        <v>13</v>
      </c>
      <c r="D196" s="8" t="str">
        <f>LEFT(C196,3)</f>
        <v>上海市</v>
      </c>
      <c r="E196" s="8" t="s">
        <v>140</v>
      </c>
      <c r="F196" s="8" t="str">
        <f>VLOOKUP(E196,费用类别!A:B,2,0)</f>
        <v>高速道桥费</v>
      </c>
      <c r="G196" s="9">
        <v>535.83333333333303</v>
      </c>
      <c r="H196" s="20" t="str">
        <f>IF(WEEKDAY(A196,2)&gt;5,"是","否")</f>
        <v>否</v>
      </c>
      <c r="I196" s="8" t="str">
        <f t="shared" si="3"/>
        <v>王天宇高速道桥费</v>
      </c>
      <c r="J196" s="37">
        <f>IF(SUMPRODUCT((I$3:I196=I196)*1)=1,1,0)</f>
        <v>1</v>
      </c>
      <c r="K196" s="7"/>
    </row>
    <row r="197" spans="1:11" ht="13.5">
      <c r="A197" s="19">
        <v>45140</v>
      </c>
      <c r="B197" s="8" t="s">
        <v>119</v>
      </c>
      <c r="C197" s="8" t="s">
        <v>23</v>
      </c>
      <c r="D197" s="8" t="str">
        <f>LEFT(C197,3)</f>
        <v>辽宁省</v>
      </c>
      <c r="E197" s="8" t="s">
        <v>137</v>
      </c>
      <c r="F197" s="8" t="str">
        <f>VLOOKUP(E197,费用类别!A:B,2,0)</f>
        <v>餐饮费</v>
      </c>
      <c r="G197" s="9">
        <v>843.33333333333303</v>
      </c>
      <c r="H197" s="20" t="str">
        <f>IF(WEEKDAY(A197,2)&gt;5,"是","否")</f>
        <v>否</v>
      </c>
      <c r="I197" s="8" t="str">
        <f t="shared" si="3"/>
        <v>王海德餐饮费</v>
      </c>
      <c r="J197" s="37">
        <f>IF(SUMPRODUCT((I$3:I197=I197)*1)=1,1,0)</f>
        <v>1</v>
      </c>
      <c r="K197" s="7"/>
    </row>
    <row r="198" spans="1:11" ht="13.5">
      <c r="A198" s="19">
        <v>45140</v>
      </c>
      <c r="B198" s="8" t="s">
        <v>120</v>
      </c>
      <c r="C198" s="8" t="s">
        <v>24</v>
      </c>
      <c r="D198" s="8" t="str">
        <f>LEFT(C198,3)</f>
        <v>四川省</v>
      </c>
      <c r="E198" s="8" t="s">
        <v>139</v>
      </c>
      <c r="F198" s="8" t="str">
        <f>VLOOKUP(E198,费用类别!A:B,2,0)</f>
        <v>火车票</v>
      </c>
      <c r="G198" s="9">
        <v>828.2</v>
      </c>
      <c r="H198" s="20" t="str">
        <f>IF(WEEKDAY(A198,2)&gt;5,"是","否")</f>
        <v>否</v>
      </c>
      <c r="I198" s="8" t="str">
        <f t="shared" si="3"/>
        <v>谢丽秋火车票</v>
      </c>
      <c r="J198" s="37">
        <f>IF(SUMPRODUCT((I$3:I198=I198)*1)=1,1,0)</f>
        <v>0</v>
      </c>
      <c r="K198" s="7"/>
    </row>
    <row r="199" spans="1:11" ht="13.5">
      <c r="A199" s="19">
        <v>45141</v>
      </c>
      <c r="B199" s="8" t="s">
        <v>123</v>
      </c>
      <c r="C199" s="8" t="s">
        <v>30</v>
      </c>
      <c r="D199" s="8" t="str">
        <f>LEFT(C199,3)</f>
        <v>广东省</v>
      </c>
      <c r="E199" s="8" t="s">
        <v>139</v>
      </c>
      <c r="F199" s="8" t="str">
        <f>VLOOKUP(E199,费用类别!A:B,2,0)</f>
        <v>火车票</v>
      </c>
      <c r="G199" s="9">
        <v>200</v>
      </c>
      <c r="H199" s="20" t="str">
        <f>IF(WEEKDAY(A199,2)&gt;5,"是","否")</f>
        <v>否</v>
      </c>
      <c r="I199" s="8" t="str">
        <f t="shared" si="3"/>
        <v>李晓梅火车票</v>
      </c>
      <c r="J199" s="37">
        <f>IF(SUMPRODUCT((I$3:I199=I199)*1)=1,1,0)</f>
        <v>1</v>
      </c>
      <c r="K199" s="7"/>
    </row>
    <row r="200" spans="1:11" ht="13.5">
      <c r="A200" s="19">
        <v>45141</v>
      </c>
      <c r="B200" s="8" t="s">
        <v>120</v>
      </c>
      <c r="C200" s="8" t="s">
        <v>24</v>
      </c>
      <c r="D200" s="8" t="str">
        <f>LEFT(C200,3)</f>
        <v>四川省</v>
      </c>
      <c r="E200" s="8" t="s">
        <v>137</v>
      </c>
      <c r="F200" s="8" t="str">
        <f>VLOOKUP(E200,费用类别!A:B,2,0)</f>
        <v>餐饮费</v>
      </c>
      <c r="G200" s="9">
        <v>1663.3333333333301</v>
      </c>
      <c r="H200" s="20" t="str">
        <f>IF(WEEKDAY(A200,2)&gt;5,"是","否")</f>
        <v>否</v>
      </c>
      <c r="I200" s="8" t="str">
        <f t="shared" si="3"/>
        <v>谢丽秋餐饮费</v>
      </c>
      <c r="J200" s="37">
        <f>IF(SUMPRODUCT((I$3:I200=I200)*1)=1,1,0)</f>
        <v>0</v>
      </c>
      <c r="K200" s="7"/>
    </row>
    <row r="201" spans="1:11" ht="13.5">
      <c r="A201" s="19">
        <v>45142</v>
      </c>
      <c r="B201" s="8" t="s">
        <v>111</v>
      </c>
      <c r="C201" s="8" t="s">
        <v>31</v>
      </c>
      <c r="D201" s="8" t="str">
        <f>LEFT(C201,3)</f>
        <v>广东省</v>
      </c>
      <c r="E201" s="8" t="s">
        <v>143</v>
      </c>
      <c r="F201" s="8" t="str">
        <f>VLOOKUP(E201,费用类别!A:B,2,0)</f>
        <v>通讯补助</v>
      </c>
      <c r="G201" s="9">
        <v>120</v>
      </c>
      <c r="H201" s="20" t="str">
        <f>IF(WEEKDAY(A201,2)&gt;5,"是","否")</f>
        <v>否</v>
      </c>
      <c r="I201" s="8" t="str">
        <f t="shared" si="3"/>
        <v>方文成通讯补助</v>
      </c>
      <c r="J201" s="37">
        <f>IF(SUMPRODUCT((I$3:I201=I201)*1)=1,1,0)</f>
        <v>1</v>
      </c>
      <c r="K201" s="7"/>
    </row>
    <row r="202" spans="1:11" ht="13.5">
      <c r="A202" s="19">
        <v>45142</v>
      </c>
      <c r="B202" s="8" t="s">
        <v>115</v>
      </c>
      <c r="C202" s="8" t="s">
        <v>56</v>
      </c>
      <c r="D202" s="8" t="str">
        <f>LEFT(C202,3)</f>
        <v>北京市</v>
      </c>
      <c r="E202" s="8" t="s">
        <v>142</v>
      </c>
      <c r="F202" s="8" t="str">
        <f>VLOOKUP(E202,费用类别!A:B,2,0)</f>
        <v>停车费</v>
      </c>
      <c r="G202" s="9">
        <v>120</v>
      </c>
      <c r="H202" s="20" t="str">
        <f>IF(WEEKDAY(A202,2)&gt;5,"是","否")</f>
        <v>否</v>
      </c>
      <c r="I202" s="8" t="str">
        <f t="shared" si="3"/>
        <v>刘露露停车费</v>
      </c>
      <c r="J202" s="37">
        <f>IF(SUMPRODUCT((I$3:I202=I202)*1)=1,1,0)</f>
        <v>0</v>
      </c>
      <c r="K202" s="7"/>
    </row>
    <row r="203" spans="1:11" ht="13.5">
      <c r="A203" s="19">
        <v>45142</v>
      </c>
      <c r="B203" s="8" t="s">
        <v>117</v>
      </c>
      <c r="C203" s="8" t="s">
        <v>21</v>
      </c>
      <c r="D203" s="8" t="str">
        <f>LEFT(C203,3)</f>
        <v>贵州省</v>
      </c>
      <c r="E203" s="8" t="s">
        <v>144</v>
      </c>
      <c r="F203" s="8" t="str">
        <f>VLOOKUP(E203,费用类别!A:B,2,0)</f>
        <v>其他</v>
      </c>
      <c r="G203" s="9">
        <v>606.5</v>
      </c>
      <c r="H203" s="20" t="str">
        <f>IF(WEEKDAY(A203,2)&gt;5,"是","否")</f>
        <v>否</v>
      </c>
      <c r="I203" s="8" t="str">
        <f t="shared" si="3"/>
        <v>张哲宇其他</v>
      </c>
      <c r="J203" s="37">
        <f>IF(SUMPRODUCT((I$3:I203=I203)*1)=1,1,0)</f>
        <v>1</v>
      </c>
      <c r="K203" s="7"/>
    </row>
    <row r="204" spans="1:11" ht="13.5">
      <c r="A204" s="19">
        <v>45143</v>
      </c>
      <c r="B204" s="8" t="s">
        <v>131</v>
      </c>
      <c r="C204" s="8" t="s">
        <v>61</v>
      </c>
      <c r="D204" s="8" t="str">
        <f>LEFT(C204,3)</f>
        <v>天津市</v>
      </c>
      <c r="E204" s="8" t="s">
        <v>144</v>
      </c>
      <c r="F204" s="8" t="str">
        <f>VLOOKUP(E204,费用类别!A:B,2,0)</f>
        <v>其他</v>
      </c>
      <c r="G204" s="9">
        <v>345</v>
      </c>
      <c r="H204" s="20" t="str">
        <f>IF(WEEKDAY(A204,2)&gt;5,"是","否")</f>
        <v>是</v>
      </c>
      <c r="I204" s="8" t="str">
        <f t="shared" si="3"/>
        <v>王欣荣其他</v>
      </c>
      <c r="J204" s="37">
        <f>IF(SUMPRODUCT((I$3:I204=I204)*1)=1,1,0)</f>
        <v>1</v>
      </c>
      <c r="K204" s="7"/>
    </row>
    <row r="205" spans="1:11" ht="13.5">
      <c r="A205" s="19">
        <v>45143</v>
      </c>
      <c r="B205" s="8" t="s">
        <v>129</v>
      </c>
      <c r="C205" s="8" t="s">
        <v>48</v>
      </c>
      <c r="D205" s="8" t="str">
        <f>LEFT(C205,3)</f>
        <v>湖北省</v>
      </c>
      <c r="E205" s="8" t="s">
        <v>143</v>
      </c>
      <c r="F205" s="8" t="str">
        <f>VLOOKUP(E205,费用类别!A:B,2,0)</f>
        <v>通讯补助</v>
      </c>
      <c r="G205" s="9">
        <v>843.33333333333303</v>
      </c>
      <c r="H205" s="20" t="str">
        <f>IF(WEEKDAY(A205,2)&gt;5,"是","否")</f>
        <v>是</v>
      </c>
      <c r="I205" s="8" t="str">
        <f t="shared" si="3"/>
        <v>李雅洁通讯补助</v>
      </c>
      <c r="J205" s="37">
        <f>IF(SUMPRODUCT((I$3:I205=I205)*1)=1,1,0)</f>
        <v>1</v>
      </c>
      <c r="K205" s="7"/>
    </row>
    <row r="206" spans="1:11" ht="13.5">
      <c r="A206" s="19">
        <v>45143</v>
      </c>
      <c r="B206" s="8" t="s">
        <v>120</v>
      </c>
      <c r="C206" s="8" t="s">
        <v>33</v>
      </c>
      <c r="D206" s="8" t="str">
        <f>LEFT(C206,3)</f>
        <v>天津市</v>
      </c>
      <c r="E206" s="8" t="s">
        <v>137</v>
      </c>
      <c r="F206" s="8" t="str">
        <f>VLOOKUP(E206,费用类别!A:B,2,0)</f>
        <v>餐饮费</v>
      </c>
      <c r="G206" s="9">
        <v>535.83333333333303</v>
      </c>
      <c r="H206" s="20" t="str">
        <f>IF(WEEKDAY(A206,2)&gt;5,"是","否")</f>
        <v>是</v>
      </c>
      <c r="I206" s="8" t="str">
        <f t="shared" si="3"/>
        <v>谢丽秋餐饮费</v>
      </c>
      <c r="J206" s="37">
        <f>IF(SUMPRODUCT((I$3:I206=I206)*1)=1,1,0)</f>
        <v>0</v>
      </c>
      <c r="K206" s="7"/>
    </row>
    <row r="207" spans="1:11" ht="13.5">
      <c r="A207" s="19">
        <v>45144</v>
      </c>
      <c r="B207" s="8" t="s">
        <v>110</v>
      </c>
      <c r="C207" s="8" t="s">
        <v>13</v>
      </c>
      <c r="D207" s="8" t="str">
        <f>LEFT(C207,3)</f>
        <v>上海市</v>
      </c>
      <c r="E207" s="8" t="s">
        <v>136</v>
      </c>
      <c r="F207" s="8" t="str">
        <f>VLOOKUP(E207,费用类别!A:B,2,0)</f>
        <v>酒店住宿</v>
      </c>
      <c r="G207" s="9">
        <v>200</v>
      </c>
      <c r="H207" s="20" t="str">
        <f>IF(WEEKDAY(A207,2)&gt;5,"是","否")</f>
        <v>是</v>
      </c>
      <c r="I207" s="8" t="str">
        <f t="shared" si="3"/>
        <v>王天宇酒店住宿</v>
      </c>
      <c r="J207" s="37">
        <f>IF(SUMPRODUCT((I$3:I207=I207)*1)=1,1,0)</f>
        <v>1</v>
      </c>
      <c r="K207" s="7"/>
    </row>
    <row r="208" spans="1:11" ht="13.5">
      <c r="A208" s="19">
        <v>45144</v>
      </c>
      <c r="B208" s="8" t="s">
        <v>118</v>
      </c>
      <c r="C208" s="8" t="s">
        <v>95</v>
      </c>
      <c r="D208" s="8" t="str">
        <f>LEFT(C208,3)</f>
        <v>浙江省</v>
      </c>
      <c r="E208" s="8" t="s">
        <v>140</v>
      </c>
      <c r="F208" s="8" t="str">
        <f>VLOOKUP(E208,费用类别!A:B,2,0)</f>
        <v>高速道桥费</v>
      </c>
      <c r="G208" s="9">
        <v>976</v>
      </c>
      <c r="H208" s="20" t="str">
        <f>IF(WEEKDAY(A208,2)&gt;5,"是","否")</f>
        <v>是</v>
      </c>
      <c r="I208" s="8" t="str">
        <f t="shared" si="3"/>
        <v>王炫皓高速道桥费</v>
      </c>
      <c r="J208" s="37">
        <f>IF(SUMPRODUCT((I$3:I208=I208)*1)=1,1,0)</f>
        <v>0</v>
      </c>
      <c r="K208" s="7"/>
    </row>
    <row r="209" spans="1:11" ht="13.5">
      <c r="A209" s="19">
        <v>45144</v>
      </c>
      <c r="B209" s="8" t="s">
        <v>119</v>
      </c>
      <c r="C209" s="8" t="s">
        <v>23</v>
      </c>
      <c r="D209" s="8" t="str">
        <f>LEFT(C209,3)</f>
        <v>辽宁省</v>
      </c>
      <c r="E209" s="8" t="s">
        <v>143</v>
      </c>
      <c r="F209" s="8" t="str">
        <f>VLOOKUP(E209,费用类别!A:B,2,0)</f>
        <v>通讯补助</v>
      </c>
      <c r="G209" s="9">
        <v>388</v>
      </c>
      <c r="H209" s="20" t="str">
        <f>IF(WEEKDAY(A209,2)&gt;5,"是","否")</f>
        <v>是</v>
      </c>
      <c r="I209" s="8" t="str">
        <f t="shared" si="3"/>
        <v>王海德通讯补助</v>
      </c>
      <c r="J209" s="37">
        <f>IF(SUMPRODUCT((I$3:I209=I209)*1)=1,1,0)</f>
        <v>1</v>
      </c>
      <c r="K209" s="7"/>
    </row>
    <row r="210" spans="1:11" ht="13.5">
      <c r="A210" s="19">
        <v>45145</v>
      </c>
      <c r="B210" s="8" t="s">
        <v>127</v>
      </c>
      <c r="C210" s="8" t="s">
        <v>41</v>
      </c>
      <c r="D210" s="8" t="str">
        <f>LEFT(C210,3)</f>
        <v>吉林省</v>
      </c>
      <c r="E210" s="8" t="s">
        <v>143</v>
      </c>
      <c r="F210" s="8" t="str">
        <f>VLOOKUP(E210,费用类别!A:B,2,0)</f>
        <v>通讯补助</v>
      </c>
      <c r="G210" s="9">
        <v>1458.3333333333301</v>
      </c>
      <c r="H210" s="20" t="str">
        <f>IF(WEEKDAY(A210,2)&gt;5,"是","否")</f>
        <v>否</v>
      </c>
      <c r="I210" s="8" t="str">
        <f t="shared" si="3"/>
        <v>余雅丽通讯补助</v>
      </c>
      <c r="J210" s="37">
        <f>IF(SUMPRODUCT((I$3:I210=I210)*1)=1,1,0)</f>
        <v>1</v>
      </c>
      <c r="K210" s="7"/>
    </row>
    <row r="211" spans="1:11" ht="13.5">
      <c r="A211" s="19">
        <v>45146</v>
      </c>
      <c r="B211" s="8" t="s">
        <v>111</v>
      </c>
      <c r="C211" s="8" t="s">
        <v>14</v>
      </c>
      <c r="D211" s="8" t="str">
        <f>LEFT(C211,3)</f>
        <v>上海市</v>
      </c>
      <c r="E211" s="8" t="s">
        <v>140</v>
      </c>
      <c r="F211" s="8" t="str">
        <f>VLOOKUP(E211,费用类别!A:B,2,0)</f>
        <v>高速道桥费</v>
      </c>
      <c r="G211" s="9">
        <v>22</v>
      </c>
      <c r="H211" s="20" t="str">
        <f>IF(WEEKDAY(A211,2)&gt;5,"是","否")</f>
        <v>否</v>
      </c>
      <c r="I211" s="8" t="str">
        <f t="shared" si="3"/>
        <v>方文成高速道桥费</v>
      </c>
      <c r="J211" s="37">
        <f>IF(SUMPRODUCT((I$3:I211=I211)*1)=1,1,0)</f>
        <v>0</v>
      </c>
      <c r="K211" s="7"/>
    </row>
    <row r="212" spans="1:11" ht="13.5">
      <c r="A212" s="19">
        <v>45146</v>
      </c>
      <c r="B212" s="8" t="s">
        <v>117</v>
      </c>
      <c r="C212" s="8" t="s">
        <v>21</v>
      </c>
      <c r="D212" s="8" t="str">
        <f>LEFT(C212,3)</f>
        <v>贵州省</v>
      </c>
      <c r="E212" s="8" t="s">
        <v>136</v>
      </c>
      <c r="F212" s="8" t="str">
        <f>VLOOKUP(E212,费用类别!A:B,2,0)</f>
        <v>酒店住宿</v>
      </c>
      <c r="G212" s="9">
        <v>22</v>
      </c>
      <c r="H212" s="20" t="str">
        <f>IF(WEEKDAY(A212,2)&gt;5,"是","否")</f>
        <v>否</v>
      </c>
      <c r="I212" s="8" t="str">
        <f t="shared" si="3"/>
        <v>张哲宇酒店住宿</v>
      </c>
      <c r="J212" s="37">
        <f>IF(SUMPRODUCT((I$3:I212=I212)*1)=1,1,0)</f>
        <v>0</v>
      </c>
      <c r="K212" s="7"/>
    </row>
    <row r="213" spans="1:11" ht="13.5">
      <c r="A213" s="19">
        <v>45146</v>
      </c>
      <c r="B213" s="8" t="s">
        <v>120</v>
      </c>
      <c r="C213" s="8" t="s">
        <v>24</v>
      </c>
      <c r="D213" s="8" t="str">
        <f>LEFT(C213,3)</f>
        <v>四川省</v>
      </c>
      <c r="E213" s="8" t="s">
        <v>138</v>
      </c>
      <c r="F213" s="8" t="str">
        <f>VLOOKUP(E213,费用类别!A:B,2,0)</f>
        <v>出租车费</v>
      </c>
      <c r="G213" s="9">
        <v>945.83333333333303</v>
      </c>
      <c r="H213" s="20" t="str">
        <f>IF(WEEKDAY(A213,2)&gt;5,"是","否")</f>
        <v>否</v>
      </c>
      <c r="I213" s="8" t="str">
        <f t="shared" si="3"/>
        <v>谢丽秋出租车费</v>
      </c>
      <c r="J213" s="37">
        <f>IF(SUMPRODUCT((I$3:I213=I213)*1)=1,1,0)</f>
        <v>1</v>
      </c>
      <c r="K213" s="7"/>
    </row>
    <row r="214" spans="1:11" ht="13.5">
      <c r="A214" s="19">
        <v>45148</v>
      </c>
      <c r="B214" s="8" t="s">
        <v>113</v>
      </c>
      <c r="C214" s="8" t="s">
        <v>80</v>
      </c>
      <c r="D214" s="8" t="str">
        <f>LEFT(C214,3)</f>
        <v>广东省</v>
      </c>
      <c r="E214" s="8" t="s">
        <v>138</v>
      </c>
      <c r="F214" s="8" t="str">
        <f>VLOOKUP(E214,费用类别!A:B,2,0)</f>
        <v>出租车费</v>
      </c>
      <c r="G214" s="9">
        <v>2500</v>
      </c>
      <c r="H214" s="20" t="str">
        <f>IF(WEEKDAY(A214,2)&gt;5,"是","否")</f>
        <v>否</v>
      </c>
      <c r="I214" s="8" t="str">
        <f t="shared" si="3"/>
        <v>王崇江出租车费</v>
      </c>
      <c r="J214" s="37">
        <f>IF(SUMPRODUCT((I$3:I214=I214)*1)=1,1,0)</f>
        <v>0</v>
      </c>
      <c r="K214" s="7"/>
    </row>
    <row r="215" spans="1:11" ht="13.5">
      <c r="A215" s="19">
        <v>45148</v>
      </c>
      <c r="B215" s="8" t="s">
        <v>129</v>
      </c>
      <c r="C215" s="8" t="s">
        <v>83</v>
      </c>
      <c r="D215" s="8" t="str">
        <f>LEFT(C215,3)</f>
        <v>北京市</v>
      </c>
      <c r="E215" s="8" t="s">
        <v>137</v>
      </c>
      <c r="F215" s="8" t="str">
        <f>VLOOKUP(E215,费用类别!A:B,2,0)</f>
        <v>餐饮费</v>
      </c>
      <c r="G215" s="9">
        <v>1458.3333333333301</v>
      </c>
      <c r="H215" s="20" t="str">
        <f>IF(WEEKDAY(A215,2)&gt;5,"是","否")</f>
        <v>否</v>
      </c>
      <c r="I215" s="8" t="str">
        <f t="shared" si="3"/>
        <v>李雅洁餐饮费</v>
      </c>
      <c r="J215" s="37">
        <f>IF(SUMPRODUCT((I$3:I215=I215)*1)=1,1,0)</f>
        <v>0</v>
      </c>
      <c r="K215" s="7"/>
    </row>
    <row r="216" spans="1:11" ht="13.5">
      <c r="A216" s="19">
        <v>45149</v>
      </c>
      <c r="B216" s="8" t="s">
        <v>113</v>
      </c>
      <c r="C216" s="8" t="s">
        <v>34</v>
      </c>
      <c r="D216" s="8" t="str">
        <f>LEFT(C216,3)</f>
        <v>山东省</v>
      </c>
      <c r="E216" s="8" t="s">
        <v>142</v>
      </c>
      <c r="F216" s="8" t="str">
        <f>VLOOKUP(E216,费用类别!A:B,2,0)</f>
        <v>停车费</v>
      </c>
      <c r="G216" s="9">
        <v>300</v>
      </c>
      <c r="H216" s="20" t="str">
        <f>IF(WEEKDAY(A216,2)&gt;5,"是","否")</f>
        <v>否</v>
      </c>
      <c r="I216" s="8" t="str">
        <f t="shared" si="3"/>
        <v>王崇江停车费</v>
      </c>
      <c r="J216" s="37">
        <f>IF(SUMPRODUCT((I$3:I216=I216)*1)=1,1,0)</f>
        <v>1</v>
      </c>
      <c r="K216" s="7"/>
    </row>
    <row r="217" spans="1:11" ht="13.5">
      <c r="A217" s="19">
        <v>45149</v>
      </c>
      <c r="B217" s="8" t="s">
        <v>109</v>
      </c>
      <c r="C217" s="8" t="s">
        <v>69</v>
      </c>
      <c r="D217" s="8" t="str">
        <f>LEFT(C217,3)</f>
        <v>北京市</v>
      </c>
      <c r="E217" s="8" t="s">
        <v>141</v>
      </c>
      <c r="F217" s="8" t="str">
        <f>VLOOKUP(E217,费用类别!A:B,2,0)</f>
        <v>燃油费</v>
      </c>
      <c r="G217" s="9">
        <v>500</v>
      </c>
      <c r="H217" s="20" t="str">
        <f>IF(WEEKDAY(A217,2)&gt;5,"是","否")</f>
        <v>否</v>
      </c>
      <c r="I217" s="8" t="str">
        <f t="shared" si="3"/>
        <v>陈祥通燃油费</v>
      </c>
      <c r="J217" s="37">
        <f>IF(SUMPRODUCT((I$3:I217=I217)*1)=1,1,0)</f>
        <v>0</v>
      </c>
      <c r="K217" s="7"/>
    </row>
    <row r="218" spans="1:11" ht="13.5">
      <c r="A218" s="19">
        <v>45149</v>
      </c>
      <c r="B218" s="8" t="s">
        <v>108</v>
      </c>
      <c r="C218" s="8" t="s">
        <v>44</v>
      </c>
      <c r="D218" s="8" t="str">
        <f>LEFT(C218,3)</f>
        <v>广东省</v>
      </c>
      <c r="E218" s="8" t="s">
        <v>143</v>
      </c>
      <c r="F218" s="8" t="str">
        <f>VLOOKUP(E218,费用类别!A:B,2,0)</f>
        <v>通讯补助</v>
      </c>
      <c r="G218" s="9">
        <v>458.7</v>
      </c>
      <c r="H218" s="20" t="str">
        <f>IF(WEEKDAY(A218,2)&gt;5,"是","否")</f>
        <v>否</v>
      </c>
      <c r="I218" s="8" t="str">
        <f t="shared" si="3"/>
        <v>孟天祥通讯补助</v>
      </c>
      <c r="J218" s="37">
        <f>IF(SUMPRODUCT((I$3:I218=I218)*1)=1,1,0)</f>
        <v>1</v>
      </c>
      <c r="K218" s="7"/>
    </row>
    <row r="219" spans="1:11" ht="13.5">
      <c r="A219" s="19">
        <v>45150</v>
      </c>
      <c r="B219" s="8" t="s">
        <v>109</v>
      </c>
      <c r="C219" s="8" t="s">
        <v>12</v>
      </c>
      <c r="D219" s="8" t="str">
        <f>LEFT(C219,3)</f>
        <v>广东省</v>
      </c>
      <c r="E219" s="8" t="s">
        <v>138</v>
      </c>
      <c r="F219" s="8" t="str">
        <f>VLOOKUP(E219,费用类别!A:B,2,0)</f>
        <v>出租车费</v>
      </c>
      <c r="G219" s="9">
        <v>200</v>
      </c>
      <c r="H219" s="20" t="str">
        <f>IF(WEEKDAY(A219,2)&gt;5,"是","否")</f>
        <v>是</v>
      </c>
      <c r="I219" s="8" t="str">
        <f t="shared" si="3"/>
        <v>陈祥通出租车费</v>
      </c>
      <c r="J219" s="37">
        <f>IF(SUMPRODUCT((I$3:I219=I219)*1)=1,1,0)</f>
        <v>0</v>
      </c>
      <c r="K219" s="7"/>
    </row>
    <row r="220" spans="1:11" ht="13.5">
      <c r="A220" s="19">
        <v>45151</v>
      </c>
      <c r="B220" s="8" t="s">
        <v>111</v>
      </c>
      <c r="C220" s="8" t="s">
        <v>14</v>
      </c>
      <c r="D220" s="8" t="str">
        <f>LEFT(C220,3)</f>
        <v>上海市</v>
      </c>
      <c r="E220" s="8" t="s">
        <v>143</v>
      </c>
      <c r="F220" s="8" t="str">
        <f>VLOOKUP(E220,费用类别!A:B,2,0)</f>
        <v>通讯补助</v>
      </c>
      <c r="G220" s="9">
        <v>1253.3333333333301</v>
      </c>
      <c r="H220" s="20" t="str">
        <f>IF(WEEKDAY(A220,2)&gt;5,"是","否")</f>
        <v>是</v>
      </c>
      <c r="I220" s="8" t="str">
        <f t="shared" si="3"/>
        <v>方文成通讯补助</v>
      </c>
      <c r="J220" s="37">
        <f>IF(SUMPRODUCT((I$3:I220=I220)*1)=1,1,0)</f>
        <v>0</v>
      </c>
      <c r="K220" s="7"/>
    </row>
    <row r="221" spans="1:11" ht="13.5">
      <c r="A221" s="19">
        <v>45151</v>
      </c>
      <c r="B221" s="8" t="s">
        <v>128</v>
      </c>
      <c r="C221" s="8" t="s">
        <v>106</v>
      </c>
      <c r="D221" s="8" t="str">
        <f>LEFT(C221,3)</f>
        <v>上海市</v>
      </c>
      <c r="E221" s="8" t="s">
        <v>141</v>
      </c>
      <c r="F221" s="8" t="str">
        <f>VLOOKUP(E221,费用类别!A:B,2,0)</f>
        <v>燃油费</v>
      </c>
      <c r="G221" s="9">
        <v>500</v>
      </c>
      <c r="H221" s="20" t="str">
        <f>IF(WEEKDAY(A221,2)&gt;5,"是","否")</f>
        <v>是</v>
      </c>
      <c r="I221" s="8" t="str">
        <f t="shared" si="3"/>
        <v>方嘉康燃油费</v>
      </c>
      <c r="J221" s="37">
        <f>IF(SUMPRODUCT((I$3:I221=I221)*1)=1,1,0)</f>
        <v>1</v>
      </c>
      <c r="K221" s="7"/>
    </row>
    <row r="222" spans="1:11" ht="13.5">
      <c r="A222" s="19">
        <v>45151</v>
      </c>
      <c r="B222" s="8" t="s">
        <v>125</v>
      </c>
      <c r="C222" s="8" t="s">
        <v>38</v>
      </c>
      <c r="D222" s="8" t="str">
        <f>LEFT(C222,3)</f>
        <v>上海市</v>
      </c>
      <c r="E222" s="8" t="s">
        <v>135</v>
      </c>
      <c r="F222" s="8" t="str">
        <f>VLOOKUP(E222,费用类别!A:B,2,0)</f>
        <v>飞机票</v>
      </c>
      <c r="G222" s="9">
        <v>345</v>
      </c>
      <c r="H222" s="20" t="str">
        <f>IF(WEEKDAY(A222,2)&gt;5,"是","否")</f>
        <v>是</v>
      </c>
      <c r="I222" s="8" t="str">
        <f t="shared" si="3"/>
        <v>边金双飞机票</v>
      </c>
      <c r="J222" s="37">
        <f>IF(SUMPRODUCT((I$3:I222=I222)*1)=1,1,0)</f>
        <v>0</v>
      </c>
      <c r="K222" s="7"/>
    </row>
    <row r="223" spans="1:11" ht="13.5">
      <c r="A223" s="19">
        <v>45151</v>
      </c>
      <c r="B223" s="8" t="s">
        <v>134</v>
      </c>
      <c r="C223" s="8" t="s">
        <v>71</v>
      </c>
      <c r="D223" s="8" t="str">
        <f>LEFT(C223,3)</f>
        <v>河南省</v>
      </c>
      <c r="E223" s="8" t="s">
        <v>140</v>
      </c>
      <c r="F223" s="8" t="str">
        <f>VLOOKUP(E223,费用类别!A:B,2,0)</f>
        <v>高速道桥费</v>
      </c>
      <c r="G223" s="9">
        <v>1197.7</v>
      </c>
      <c r="H223" s="20" t="str">
        <f>IF(WEEKDAY(A223,2)&gt;5,"是","否")</f>
        <v>是</v>
      </c>
      <c r="I223" s="8" t="str">
        <f t="shared" si="3"/>
        <v>唐雅林高速道桥费</v>
      </c>
      <c r="J223" s="37">
        <f>IF(SUMPRODUCT((I$3:I223=I223)*1)=1,1,0)</f>
        <v>0</v>
      </c>
      <c r="K223" s="7"/>
    </row>
    <row r="224" spans="1:11" ht="13.5">
      <c r="A224" s="19">
        <v>45151</v>
      </c>
      <c r="B224" s="8" t="s">
        <v>120</v>
      </c>
      <c r="C224" s="8" t="s">
        <v>94</v>
      </c>
      <c r="D224" s="8" t="str">
        <f>LEFT(C224,3)</f>
        <v>贵州省</v>
      </c>
      <c r="E224" s="8" t="s">
        <v>143</v>
      </c>
      <c r="F224" s="8" t="str">
        <f>VLOOKUP(E224,费用类别!A:B,2,0)</f>
        <v>通讯补助</v>
      </c>
      <c r="G224" s="9">
        <v>3000</v>
      </c>
      <c r="H224" s="20" t="str">
        <f>IF(WEEKDAY(A224,2)&gt;5,"是","否")</f>
        <v>是</v>
      </c>
      <c r="I224" s="8" t="str">
        <f t="shared" si="3"/>
        <v>谢丽秋通讯补助</v>
      </c>
      <c r="J224" s="37">
        <f>IF(SUMPRODUCT((I$3:I224=I224)*1)=1,1,0)</f>
        <v>0</v>
      </c>
      <c r="K224" s="7"/>
    </row>
    <row r="225" spans="1:11" ht="13.5">
      <c r="A225" s="19">
        <v>45152</v>
      </c>
      <c r="B225" s="8" t="s">
        <v>111</v>
      </c>
      <c r="C225" s="8" t="s">
        <v>31</v>
      </c>
      <c r="D225" s="8" t="str">
        <f>LEFT(C225,3)</f>
        <v>广东省</v>
      </c>
      <c r="E225" s="8" t="s">
        <v>139</v>
      </c>
      <c r="F225" s="8" t="str">
        <f>VLOOKUP(E225,费用类别!A:B,2,0)</f>
        <v>火车票</v>
      </c>
      <c r="G225" s="9">
        <v>140</v>
      </c>
      <c r="H225" s="20" t="str">
        <f>IF(WEEKDAY(A225,2)&gt;5,"是","否")</f>
        <v>否</v>
      </c>
      <c r="I225" s="8" t="str">
        <f t="shared" si="3"/>
        <v>方文成火车票</v>
      </c>
      <c r="J225" s="37">
        <f>IF(SUMPRODUCT((I$3:I225=I225)*1)=1,1,0)</f>
        <v>0</v>
      </c>
      <c r="K225" s="7"/>
    </row>
    <row r="226" spans="1:11" ht="13.5">
      <c r="A226" s="19">
        <v>45152</v>
      </c>
      <c r="B226" s="8" t="s">
        <v>130</v>
      </c>
      <c r="C226" s="8" t="s">
        <v>76</v>
      </c>
      <c r="D226" s="8" t="str">
        <f>LEFT(C226,3)</f>
        <v>上海市</v>
      </c>
      <c r="E226" s="8" t="s">
        <v>140</v>
      </c>
      <c r="F226" s="8" t="str">
        <f>VLOOKUP(E226,费用类别!A:B,2,0)</f>
        <v>高速道桥费</v>
      </c>
      <c r="G226" s="9">
        <v>433.33333333333297</v>
      </c>
      <c r="H226" s="20" t="str">
        <f>IF(WEEKDAY(A226,2)&gt;5,"是","否")</f>
        <v>否</v>
      </c>
      <c r="I226" s="8" t="str">
        <f t="shared" si="3"/>
        <v>邹佳楠高速道桥费</v>
      </c>
      <c r="J226" s="37">
        <f>IF(SUMPRODUCT((I$3:I226=I226)*1)=1,1,0)</f>
        <v>0</v>
      </c>
      <c r="K226" s="7"/>
    </row>
    <row r="227" spans="1:11" ht="13.5">
      <c r="A227" s="19">
        <v>45152</v>
      </c>
      <c r="B227" s="8" t="s">
        <v>130</v>
      </c>
      <c r="C227" s="8" t="s">
        <v>88</v>
      </c>
      <c r="D227" s="8" t="str">
        <f>LEFT(C227,3)</f>
        <v>广东省</v>
      </c>
      <c r="E227" s="8" t="s">
        <v>143</v>
      </c>
      <c r="F227" s="8" t="str">
        <f>VLOOKUP(E227,费用类别!A:B,2,0)</f>
        <v>通讯补助</v>
      </c>
      <c r="G227" s="9">
        <v>433.33333333333297</v>
      </c>
      <c r="H227" s="20" t="str">
        <f>IF(WEEKDAY(A227,2)&gt;5,"是","否")</f>
        <v>否</v>
      </c>
      <c r="I227" s="8" t="str">
        <f t="shared" si="3"/>
        <v>邹佳楠通讯补助</v>
      </c>
      <c r="J227" s="37">
        <f>IF(SUMPRODUCT((I$3:I227=I227)*1)=1,1,0)</f>
        <v>1</v>
      </c>
      <c r="K227" s="7"/>
    </row>
    <row r="228" spans="1:11" ht="13.5">
      <c r="A228" s="19">
        <v>45152</v>
      </c>
      <c r="B228" s="8" t="s">
        <v>132</v>
      </c>
      <c r="C228" s="8" t="s">
        <v>64</v>
      </c>
      <c r="D228" s="8" t="str">
        <f>LEFT(C228,3)</f>
        <v>广东省</v>
      </c>
      <c r="E228" s="8" t="s">
        <v>140</v>
      </c>
      <c r="F228" s="8" t="str">
        <f>VLOOKUP(E228,费用类别!A:B,2,0)</f>
        <v>高速道桥费</v>
      </c>
      <c r="G228" s="9">
        <v>680.4</v>
      </c>
      <c r="H228" s="20" t="str">
        <f>IF(WEEKDAY(A228,2)&gt;5,"是","否")</f>
        <v>否</v>
      </c>
      <c r="I228" s="8" t="str">
        <f t="shared" si="3"/>
        <v>徐亚楠高速道桥费</v>
      </c>
      <c r="J228" s="37">
        <f>IF(SUMPRODUCT((I$3:I228=I228)*1)=1,1,0)</f>
        <v>1</v>
      </c>
      <c r="K228" s="7"/>
    </row>
    <row r="229" spans="1:11" ht="13.5">
      <c r="A229" s="19">
        <v>45153</v>
      </c>
      <c r="B229" s="8" t="s">
        <v>117</v>
      </c>
      <c r="C229" s="8" t="s">
        <v>82</v>
      </c>
      <c r="D229" s="8" t="str">
        <f>LEFT(C229,3)</f>
        <v>北京市</v>
      </c>
      <c r="E229" s="8" t="s">
        <v>141</v>
      </c>
      <c r="F229" s="8" t="str">
        <f>VLOOKUP(E229,费用类别!A:B,2,0)</f>
        <v>燃油费</v>
      </c>
      <c r="G229" s="9">
        <v>345</v>
      </c>
      <c r="H229" s="20" t="str">
        <f>IF(WEEKDAY(A229,2)&gt;5,"是","否")</f>
        <v>否</v>
      </c>
      <c r="I229" s="8" t="str">
        <f t="shared" si="3"/>
        <v>张哲宇燃油费</v>
      </c>
      <c r="J229" s="37">
        <f>IF(SUMPRODUCT((I$3:I229=I229)*1)=1,1,0)</f>
        <v>0</v>
      </c>
      <c r="K229" s="7"/>
    </row>
    <row r="230" spans="1:11" ht="13.5">
      <c r="A230" s="19">
        <v>45153</v>
      </c>
      <c r="B230" s="8" t="s">
        <v>120</v>
      </c>
      <c r="C230" s="8" t="s">
        <v>24</v>
      </c>
      <c r="D230" s="8" t="str">
        <f>LEFT(C230,3)</f>
        <v>四川省</v>
      </c>
      <c r="E230" s="8" t="s">
        <v>144</v>
      </c>
      <c r="F230" s="8" t="str">
        <f>VLOOKUP(E230,费用类别!A:B,2,0)</f>
        <v>其他</v>
      </c>
      <c r="G230" s="9">
        <v>29</v>
      </c>
      <c r="H230" s="20" t="str">
        <f>IF(WEEKDAY(A230,2)&gt;5,"是","否")</f>
        <v>否</v>
      </c>
      <c r="I230" s="8" t="str">
        <f t="shared" si="3"/>
        <v>谢丽秋其他</v>
      </c>
      <c r="J230" s="37">
        <f>IF(SUMPRODUCT((I$3:I230=I230)*1)=1,1,0)</f>
        <v>1</v>
      </c>
      <c r="K230" s="7"/>
    </row>
    <row r="231" spans="1:11" ht="13.5">
      <c r="A231" s="19">
        <v>45154</v>
      </c>
      <c r="B231" s="8" t="s">
        <v>121</v>
      </c>
      <c r="C231" s="8" t="s">
        <v>26</v>
      </c>
      <c r="D231" s="8" t="str">
        <f>LEFT(C231,3)</f>
        <v>浙江省</v>
      </c>
      <c r="E231" s="8" t="s">
        <v>141</v>
      </c>
      <c r="F231" s="8" t="str">
        <f>VLOOKUP(E231,费用类别!A:B,2,0)</f>
        <v>燃油费</v>
      </c>
      <c r="G231" s="9">
        <v>458.7</v>
      </c>
      <c r="H231" s="20" t="str">
        <f>IF(WEEKDAY(A231,2)&gt;5,"是","否")</f>
        <v>否</v>
      </c>
      <c r="I231" s="8" t="str">
        <f t="shared" si="3"/>
        <v>关天胜燃油费</v>
      </c>
      <c r="J231" s="37">
        <f>IF(SUMPRODUCT((I$3:I231=I231)*1)=1,1,0)</f>
        <v>0</v>
      </c>
      <c r="K231" s="7"/>
    </row>
    <row r="232" spans="1:11" ht="13.5">
      <c r="A232" s="19">
        <v>45154</v>
      </c>
      <c r="B232" s="8" t="s">
        <v>109</v>
      </c>
      <c r="C232" s="8" t="s">
        <v>12</v>
      </c>
      <c r="D232" s="8" t="str">
        <f>LEFT(C232,3)</f>
        <v>广东省</v>
      </c>
      <c r="E232" s="8" t="s">
        <v>139</v>
      </c>
      <c r="F232" s="8" t="str">
        <f>VLOOKUP(E232,费用类别!A:B,2,0)</f>
        <v>火车票</v>
      </c>
      <c r="G232" s="9">
        <v>433.33333333333297</v>
      </c>
      <c r="H232" s="20" t="str">
        <f>IF(WEEKDAY(A232,2)&gt;5,"是","否")</f>
        <v>否</v>
      </c>
      <c r="I232" s="8" t="str">
        <f t="shared" si="3"/>
        <v>陈祥通火车票</v>
      </c>
      <c r="J232" s="37">
        <f>IF(SUMPRODUCT((I$3:I232=I232)*1)=1,1,0)</f>
        <v>0</v>
      </c>
      <c r="K232" s="7"/>
    </row>
    <row r="233" spans="1:11" ht="13.5">
      <c r="A233" s="19">
        <v>45154</v>
      </c>
      <c r="B233" s="8" t="s">
        <v>126</v>
      </c>
      <c r="C233" s="8" t="s">
        <v>98</v>
      </c>
      <c r="D233" s="8" t="str">
        <f>LEFT(C233,3)</f>
        <v>山东省</v>
      </c>
      <c r="E233" s="8" t="s">
        <v>143</v>
      </c>
      <c r="F233" s="8" t="str">
        <f>VLOOKUP(E233,费用类别!A:B,2,0)</f>
        <v>通讯补助</v>
      </c>
      <c r="G233" s="9">
        <v>1197.7</v>
      </c>
      <c r="H233" s="20" t="str">
        <f>IF(WEEKDAY(A233,2)&gt;5,"是","否")</f>
        <v>否</v>
      </c>
      <c r="I233" s="8" t="str">
        <f t="shared" si="3"/>
        <v>赵琳艳通讯补助</v>
      </c>
      <c r="J233" s="37">
        <f>IF(SUMPRODUCT((I$3:I233=I233)*1)=1,1,0)</f>
        <v>0</v>
      </c>
      <c r="K233" s="7"/>
    </row>
    <row r="234" spans="1:11" ht="13.5">
      <c r="A234" s="19">
        <v>45154</v>
      </c>
      <c r="B234" s="8" t="s">
        <v>134</v>
      </c>
      <c r="C234" s="8" t="s">
        <v>102</v>
      </c>
      <c r="D234" s="8" t="str">
        <f>LEFT(C234,3)</f>
        <v>山东省</v>
      </c>
      <c r="E234" s="8" t="s">
        <v>140</v>
      </c>
      <c r="F234" s="8" t="str">
        <f>VLOOKUP(E234,费用类别!A:B,2,0)</f>
        <v>高速道桥费</v>
      </c>
      <c r="G234" s="9">
        <v>345</v>
      </c>
      <c r="H234" s="20" t="str">
        <f>IF(WEEKDAY(A234,2)&gt;5,"是","否")</f>
        <v>否</v>
      </c>
      <c r="I234" s="8" t="str">
        <f t="shared" si="3"/>
        <v>唐雅林高速道桥费</v>
      </c>
      <c r="J234" s="37">
        <f>IF(SUMPRODUCT((I$3:I234=I234)*1)=1,1,0)</f>
        <v>0</v>
      </c>
      <c r="K234" s="7"/>
    </row>
    <row r="235" spans="1:11" ht="13.5">
      <c r="A235" s="19">
        <v>45155</v>
      </c>
      <c r="B235" s="8" t="s">
        <v>114</v>
      </c>
      <c r="C235" s="8" t="s">
        <v>46</v>
      </c>
      <c r="D235" s="8" t="str">
        <f>LEFT(C235,3)</f>
        <v>陕西省</v>
      </c>
      <c r="E235" s="8" t="s">
        <v>141</v>
      </c>
      <c r="F235" s="8" t="str">
        <f>VLOOKUP(E235,费用类别!A:B,2,0)</f>
        <v>燃油费</v>
      </c>
      <c r="G235" s="9">
        <v>638.33333333333303</v>
      </c>
      <c r="H235" s="20" t="str">
        <f>IF(WEEKDAY(A235,2)&gt;5,"是","否")</f>
        <v>否</v>
      </c>
      <c r="I235" s="8" t="str">
        <f t="shared" si="3"/>
        <v>黎浩然燃油费</v>
      </c>
      <c r="J235" s="37">
        <f>IF(SUMPRODUCT((I$3:I235=I235)*1)=1,1,0)</f>
        <v>0</v>
      </c>
      <c r="K235" s="7"/>
    </row>
    <row r="236" spans="1:11" ht="13.5">
      <c r="A236" s="19">
        <v>45156</v>
      </c>
      <c r="B236" s="8" t="s">
        <v>131</v>
      </c>
      <c r="C236" s="8" t="s">
        <v>97</v>
      </c>
      <c r="D236" s="8" t="str">
        <f>LEFT(C236,3)</f>
        <v>河南省</v>
      </c>
      <c r="E236" s="8" t="s">
        <v>138</v>
      </c>
      <c r="F236" s="8" t="str">
        <f>VLOOKUP(E236,费用类别!A:B,2,0)</f>
        <v>出租车费</v>
      </c>
      <c r="G236" s="9">
        <v>300</v>
      </c>
      <c r="H236" s="20" t="str">
        <f>IF(WEEKDAY(A236,2)&gt;5,"是","否")</f>
        <v>否</v>
      </c>
      <c r="I236" s="8" t="str">
        <f t="shared" si="3"/>
        <v>王欣荣出租车费</v>
      </c>
      <c r="J236" s="37">
        <f>IF(SUMPRODUCT((I$3:I236=I236)*1)=1,1,0)</f>
        <v>1</v>
      </c>
      <c r="K236" s="7"/>
    </row>
    <row r="237" spans="1:11" ht="13.5">
      <c r="A237" s="19">
        <v>45156</v>
      </c>
      <c r="B237" s="8" t="s">
        <v>113</v>
      </c>
      <c r="C237" s="8" t="s">
        <v>25</v>
      </c>
      <c r="D237" s="8" t="str">
        <f>LEFT(C237,3)</f>
        <v>山西省</v>
      </c>
      <c r="E237" s="8" t="s">
        <v>140</v>
      </c>
      <c r="F237" s="8" t="str">
        <f>VLOOKUP(E237,费用类别!A:B,2,0)</f>
        <v>高速道桥费</v>
      </c>
      <c r="G237" s="9">
        <v>902.1</v>
      </c>
      <c r="H237" s="20" t="str">
        <f>IF(WEEKDAY(A237,2)&gt;5,"是","否")</f>
        <v>否</v>
      </c>
      <c r="I237" s="8" t="str">
        <f t="shared" si="3"/>
        <v>王崇江高速道桥费</v>
      </c>
      <c r="J237" s="37">
        <f>IF(SUMPRODUCT((I$3:I237=I237)*1)=1,1,0)</f>
        <v>0</v>
      </c>
      <c r="K237" s="7"/>
    </row>
    <row r="238" spans="1:11" ht="13.5">
      <c r="A238" s="19">
        <v>45156</v>
      </c>
      <c r="B238" s="8" t="s">
        <v>125</v>
      </c>
      <c r="C238" s="8" t="s">
        <v>49</v>
      </c>
      <c r="D238" s="8" t="str">
        <f>LEFT(C238,3)</f>
        <v>江苏省</v>
      </c>
      <c r="E238" s="8" t="s">
        <v>138</v>
      </c>
      <c r="F238" s="8" t="str">
        <f>VLOOKUP(E238,费用类别!A:B,2,0)</f>
        <v>出租车费</v>
      </c>
      <c r="G238" s="9">
        <v>828.2</v>
      </c>
      <c r="H238" s="20" t="str">
        <f>IF(WEEKDAY(A238,2)&gt;5,"是","否")</f>
        <v>否</v>
      </c>
      <c r="I238" s="8" t="str">
        <f t="shared" si="3"/>
        <v>边金双出租车费</v>
      </c>
      <c r="J238" s="37">
        <f>IF(SUMPRODUCT((I$3:I238=I238)*1)=1,1,0)</f>
        <v>1</v>
      </c>
      <c r="K238" s="7"/>
    </row>
    <row r="239" spans="1:11" ht="13.5">
      <c r="A239" s="19">
        <v>45156</v>
      </c>
      <c r="B239" s="8" t="s">
        <v>117</v>
      </c>
      <c r="C239" s="8" t="s">
        <v>70</v>
      </c>
      <c r="D239" s="8" t="str">
        <f>LEFT(C239,3)</f>
        <v>湖北省</v>
      </c>
      <c r="E239" s="8" t="s">
        <v>142</v>
      </c>
      <c r="F239" s="8" t="str">
        <f>VLOOKUP(E239,费用类别!A:B,2,0)</f>
        <v>停车费</v>
      </c>
      <c r="G239" s="9">
        <v>458.7</v>
      </c>
      <c r="H239" s="20" t="str">
        <f>IF(WEEKDAY(A239,2)&gt;5,"是","否")</f>
        <v>否</v>
      </c>
      <c r="I239" s="8" t="str">
        <f t="shared" si="3"/>
        <v>张哲宇停车费</v>
      </c>
      <c r="J239" s="37">
        <f>IF(SUMPRODUCT((I$3:I239=I239)*1)=1,1,0)</f>
        <v>0</v>
      </c>
      <c r="K239" s="7"/>
    </row>
    <row r="240" spans="1:11" ht="13.5">
      <c r="A240" s="19">
        <v>45156</v>
      </c>
      <c r="B240" s="8" t="s">
        <v>132</v>
      </c>
      <c r="C240" s="8" t="s">
        <v>64</v>
      </c>
      <c r="D240" s="8" t="str">
        <f>LEFT(C240,3)</f>
        <v>广东省</v>
      </c>
      <c r="E240" s="8" t="s">
        <v>139</v>
      </c>
      <c r="F240" s="8" t="str">
        <f>VLOOKUP(E240,费用类别!A:B,2,0)</f>
        <v>火车票</v>
      </c>
      <c r="G240" s="9">
        <v>345</v>
      </c>
      <c r="H240" s="20" t="str">
        <f>IF(WEEKDAY(A240,2)&gt;5,"是","否")</f>
        <v>否</v>
      </c>
      <c r="I240" s="8" t="str">
        <f t="shared" si="3"/>
        <v>徐亚楠火车票</v>
      </c>
      <c r="J240" s="37">
        <f>IF(SUMPRODUCT((I$3:I240=I240)*1)=1,1,0)</f>
        <v>1</v>
      </c>
      <c r="K240" s="7"/>
    </row>
    <row r="241" spans="1:11" ht="13.5">
      <c r="A241" s="19">
        <v>45157</v>
      </c>
      <c r="B241" s="8" t="s">
        <v>110</v>
      </c>
      <c r="C241" s="8" t="s">
        <v>101</v>
      </c>
      <c r="D241" s="8" t="str">
        <f>LEFT(C241,3)</f>
        <v>上海市</v>
      </c>
      <c r="E241" s="8" t="s">
        <v>139</v>
      </c>
      <c r="F241" s="8" t="str">
        <f>VLOOKUP(E241,费用类别!A:B,2,0)</f>
        <v>火车票</v>
      </c>
      <c r="G241" s="9">
        <v>200</v>
      </c>
      <c r="H241" s="20" t="str">
        <f>IF(WEEKDAY(A241,2)&gt;5,"是","否")</f>
        <v>是</v>
      </c>
      <c r="I241" s="8" t="str">
        <f t="shared" si="3"/>
        <v>王天宇火车票</v>
      </c>
      <c r="J241" s="37">
        <f>IF(SUMPRODUCT((I$3:I241=I241)*1)=1,1,0)</f>
        <v>0</v>
      </c>
      <c r="K241" s="7"/>
    </row>
    <row r="242" spans="1:11" ht="13.5">
      <c r="A242" s="19">
        <v>45157</v>
      </c>
      <c r="B242" s="8" t="s">
        <v>118</v>
      </c>
      <c r="C242" s="8" t="s">
        <v>22</v>
      </c>
      <c r="D242" s="8" t="str">
        <f>LEFT(C242,3)</f>
        <v>贵州省</v>
      </c>
      <c r="E242" s="8" t="s">
        <v>142</v>
      </c>
      <c r="F242" s="8" t="str">
        <f>VLOOKUP(E242,费用类别!A:B,2,0)</f>
        <v>停车费</v>
      </c>
      <c r="G242" s="9">
        <v>246</v>
      </c>
      <c r="H242" s="20" t="str">
        <f>IF(WEEKDAY(A242,2)&gt;5,"是","否")</f>
        <v>是</v>
      </c>
      <c r="I242" s="8" t="str">
        <f t="shared" si="3"/>
        <v>王炫皓停车费</v>
      </c>
      <c r="J242" s="37">
        <f>IF(SUMPRODUCT((I$3:I242=I242)*1)=1,1,0)</f>
        <v>1</v>
      </c>
      <c r="K242" s="7"/>
    </row>
    <row r="243" spans="1:11" ht="13.5">
      <c r="A243" s="19">
        <v>45157</v>
      </c>
      <c r="B243" s="8" t="s">
        <v>128</v>
      </c>
      <c r="C243" s="8" t="s">
        <v>42</v>
      </c>
      <c r="D243" s="8" t="str">
        <f>LEFT(C243,3)</f>
        <v>河北省</v>
      </c>
      <c r="E243" s="8" t="s">
        <v>140</v>
      </c>
      <c r="F243" s="8" t="str">
        <f>VLOOKUP(E243,费用类别!A:B,2,0)</f>
        <v>高速道桥费</v>
      </c>
      <c r="G243" s="9">
        <v>1560.8333333333301</v>
      </c>
      <c r="H243" s="20" t="str">
        <f>IF(WEEKDAY(A243,2)&gt;5,"是","否")</f>
        <v>是</v>
      </c>
      <c r="I243" s="8" t="str">
        <f t="shared" si="3"/>
        <v>方嘉康高速道桥费</v>
      </c>
      <c r="J243" s="37">
        <f>IF(SUMPRODUCT((I$3:I243=I243)*1)=1,1,0)</f>
        <v>1</v>
      </c>
      <c r="K243" s="7"/>
    </row>
    <row r="244" spans="1:11" ht="13.5">
      <c r="A244" s="19">
        <v>45157</v>
      </c>
      <c r="B244" s="8" t="s">
        <v>122</v>
      </c>
      <c r="C244" s="8" t="s">
        <v>29</v>
      </c>
      <c r="D244" s="8" t="str">
        <f>LEFT(C244,3)</f>
        <v>福建省</v>
      </c>
      <c r="E244" s="8" t="s">
        <v>141</v>
      </c>
      <c r="F244" s="8" t="str">
        <f>VLOOKUP(E244,费用类别!A:B,2,0)</f>
        <v>燃油费</v>
      </c>
      <c r="G244" s="9">
        <v>140</v>
      </c>
      <c r="H244" s="20" t="str">
        <f>IF(WEEKDAY(A244,2)&gt;5,"是","否")</f>
        <v>是</v>
      </c>
      <c r="I244" s="8" t="str">
        <f t="shared" si="3"/>
        <v>刘长辉燃油费</v>
      </c>
      <c r="J244" s="37">
        <f>IF(SUMPRODUCT((I$3:I244=I244)*1)=1,1,0)</f>
        <v>1</v>
      </c>
      <c r="K244" s="7"/>
    </row>
    <row r="245" spans="1:11" ht="13.5">
      <c r="A245" s="19">
        <v>45157</v>
      </c>
      <c r="B245" s="8" t="s">
        <v>112</v>
      </c>
      <c r="C245" s="8" t="s">
        <v>156</v>
      </c>
      <c r="D245" s="8" t="str">
        <f>LEFT(C245,3)</f>
        <v>河北省</v>
      </c>
      <c r="E245" s="8" t="s">
        <v>143</v>
      </c>
      <c r="F245" s="8" t="str">
        <f>VLOOKUP(E245,费用类别!A:B,2,0)</f>
        <v>通讯补助</v>
      </c>
      <c r="G245" s="9">
        <v>100</v>
      </c>
      <c r="H245" s="20" t="str">
        <f>IF(WEEKDAY(A245,2)&gt;5,"是","否")</f>
        <v>是</v>
      </c>
      <c r="I245" s="8" t="str">
        <f t="shared" si="3"/>
        <v>钱顺卓通讯补助</v>
      </c>
      <c r="J245" s="37">
        <f>IF(SUMPRODUCT((I$3:I245=I245)*1)=1,1,0)</f>
        <v>1</v>
      </c>
      <c r="K245" s="7"/>
    </row>
    <row r="246" spans="1:11" ht="13.5">
      <c r="A246" s="19">
        <v>45158</v>
      </c>
      <c r="B246" s="8" t="s">
        <v>112</v>
      </c>
      <c r="C246" s="8" t="s">
        <v>28</v>
      </c>
      <c r="D246" s="8" t="str">
        <f>LEFT(C246,3)</f>
        <v>北京市</v>
      </c>
      <c r="E246" s="8" t="s">
        <v>144</v>
      </c>
      <c r="F246" s="8" t="str">
        <f>VLOOKUP(E246,费用类别!A:B,2,0)</f>
        <v>其他</v>
      </c>
      <c r="G246" s="9">
        <v>300</v>
      </c>
      <c r="H246" s="20" t="str">
        <f>IF(WEEKDAY(A246,2)&gt;5,"是","否")</f>
        <v>是</v>
      </c>
      <c r="I246" s="8" t="str">
        <f t="shared" si="3"/>
        <v>钱顺卓其他</v>
      </c>
      <c r="J246" s="37">
        <f>IF(SUMPRODUCT((I$3:I246=I246)*1)=1,1,0)</f>
        <v>0</v>
      </c>
      <c r="K246" s="7"/>
    </row>
    <row r="247" spans="1:11" ht="13.5">
      <c r="A247" s="19">
        <v>45159</v>
      </c>
      <c r="B247" s="8" t="s">
        <v>117</v>
      </c>
      <c r="C247" s="8" t="s">
        <v>21</v>
      </c>
      <c r="D247" s="8" t="str">
        <f>LEFT(C247,3)</f>
        <v>贵州省</v>
      </c>
      <c r="E247" s="8" t="s">
        <v>143</v>
      </c>
      <c r="F247" s="8" t="str">
        <f>VLOOKUP(E247,费用类别!A:B,2,0)</f>
        <v>通讯补助</v>
      </c>
      <c r="G247" s="9">
        <v>638.33333333333303</v>
      </c>
      <c r="H247" s="20" t="str">
        <f>IF(WEEKDAY(A247,2)&gt;5,"是","否")</f>
        <v>否</v>
      </c>
      <c r="I247" s="8" t="str">
        <f t="shared" si="3"/>
        <v>张哲宇通讯补助</v>
      </c>
      <c r="J247" s="37">
        <f>IF(SUMPRODUCT((I$3:I247=I247)*1)=1,1,0)</f>
        <v>1</v>
      </c>
      <c r="K247" s="7"/>
    </row>
    <row r="248" spans="1:11" ht="13.5">
      <c r="A248" s="19">
        <v>45159</v>
      </c>
      <c r="B248" s="8" t="s">
        <v>134</v>
      </c>
      <c r="C248" s="8" t="s">
        <v>35</v>
      </c>
      <c r="D248" s="8" t="str">
        <f>LEFT(C248,3)</f>
        <v>广东省</v>
      </c>
      <c r="E248" s="8" t="s">
        <v>142</v>
      </c>
      <c r="F248" s="8" t="str">
        <f>VLOOKUP(E248,费用类别!A:B,2,0)</f>
        <v>停车费</v>
      </c>
      <c r="G248" s="9">
        <v>300</v>
      </c>
      <c r="H248" s="20" t="str">
        <f>IF(WEEKDAY(A248,2)&gt;5,"是","否")</f>
        <v>否</v>
      </c>
      <c r="I248" s="8" t="str">
        <f t="shared" si="3"/>
        <v>唐雅林停车费</v>
      </c>
      <c r="J248" s="37">
        <f>IF(SUMPRODUCT((I$3:I248=I248)*1)=1,1,0)</f>
        <v>1</v>
      </c>
      <c r="K248" s="7"/>
    </row>
    <row r="249" spans="1:11" ht="13.5">
      <c r="A249" s="19">
        <v>45159</v>
      </c>
      <c r="B249" s="8" t="s">
        <v>120</v>
      </c>
      <c r="C249" s="8" t="s">
        <v>94</v>
      </c>
      <c r="D249" s="8" t="str">
        <f>LEFT(C249,3)</f>
        <v>贵州省</v>
      </c>
      <c r="E249" s="8" t="s">
        <v>139</v>
      </c>
      <c r="F249" s="8" t="str">
        <f>VLOOKUP(E249,费用类别!A:B,2,0)</f>
        <v>火车票</v>
      </c>
      <c r="G249" s="9">
        <v>535.83333333333303</v>
      </c>
      <c r="H249" s="20" t="str">
        <f>IF(WEEKDAY(A249,2)&gt;5,"是","否")</f>
        <v>否</v>
      </c>
      <c r="I249" s="8" t="str">
        <f t="shared" si="3"/>
        <v>谢丽秋火车票</v>
      </c>
      <c r="J249" s="37">
        <f>IF(SUMPRODUCT((I$3:I249=I249)*1)=1,1,0)</f>
        <v>0</v>
      </c>
      <c r="K249" s="7"/>
    </row>
    <row r="250" spans="1:11" ht="13.5">
      <c r="A250" s="19">
        <v>45160</v>
      </c>
      <c r="B250" s="8" t="s">
        <v>130</v>
      </c>
      <c r="C250" s="8" t="s">
        <v>88</v>
      </c>
      <c r="D250" s="8" t="str">
        <f>LEFT(C250,3)</f>
        <v>广东省</v>
      </c>
      <c r="E250" s="8" t="s">
        <v>135</v>
      </c>
      <c r="F250" s="8" t="str">
        <f>VLOOKUP(E250,费用类别!A:B,2,0)</f>
        <v>飞机票</v>
      </c>
      <c r="G250" s="9">
        <v>638.33333333333303</v>
      </c>
      <c r="H250" s="20" t="str">
        <f>IF(WEEKDAY(A250,2)&gt;5,"是","否")</f>
        <v>否</v>
      </c>
      <c r="I250" s="8" t="str">
        <f t="shared" si="3"/>
        <v>邹佳楠飞机票</v>
      </c>
      <c r="J250" s="37">
        <f>IF(SUMPRODUCT((I$3:I250=I250)*1)=1,1,0)</f>
        <v>1</v>
      </c>
      <c r="K250" s="7"/>
    </row>
    <row r="251" spans="1:11" ht="13.5">
      <c r="A251" s="19">
        <v>45161</v>
      </c>
      <c r="B251" s="8" t="s">
        <v>126</v>
      </c>
      <c r="C251" s="8" t="s">
        <v>89</v>
      </c>
      <c r="D251" s="8" t="str">
        <f>LEFT(C251,3)</f>
        <v>浙江省</v>
      </c>
      <c r="E251" s="8" t="s">
        <v>136</v>
      </c>
      <c r="F251" s="8" t="str">
        <f>VLOOKUP(E251,费用类别!A:B,2,0)</f>
        <v>酒店住宿</v>
      </c>
      <c r="G251" s="9">
        <v>740.83333333333303</v>
      </c>
      <c r="H251" s="20" t="str">
        <f>IF(WEEKDAY(A251,2)&gt;5,"是","否")</f>
        <v>否</v>
      </c>
      <c r="I251" s="8" t="str">
        <f t="shared" si="3"/>
        <v>赵琳艳酒店住宿</v>
      </c>
      <c r="J251" s="37">
        <f>IF(SUMPRODUCT((I$3:I251=I251)*1)=1,1,0)</f>
        <v>1</v>
      </c>
      <c r="K251" s="7"/>
    </row>
    <row r="252" spans="1:11" ht="13.5">
      <c r="A252" s="19">
        <v>45163</v>
      </c>
      <c r="B252" s="8" t="s">
        <v>115</v>
      </c>
      <c r="C252" s="8" t="s">
        <v>56</v>
      </c>
      <c r="D252" s="8" t="str">
        <f>LEFT(C252,3)</f>
        <v>北京市</v>
      </c>
      <c r="E252" s="8" t="s">
        <v>137</v>
      </c>
      <c r="F252" s="8" t="str">
        <f>VLOOKUP(E252,费用类别!A:B,2,0)</f>
        <v>餐饮费</v>
      </c>
      <c r="G252" s="9">
        <v>1355.8333333333301</v>
      </c>
      <c r="H252" s="20" t="str">
        <f>IF(WEEKDAY(A252,2)&gt;5,"是","否")</f>
        <v>否</v>
      </c>
      <c r="I252" s="8" t="str">
        <f t="shared" si="3"/>
        <v>刘露露餐饮费</v>
      </c>
      <c r="J252" s="37">
        <f>IF(SUMPRODUCT((I$3:I252=I252)*1)=1,1,0)</f>
        <v>0</v>
      </c>
      <c r="K252" s="7"/>
    </row>
    <row r="253" spans="1:11" ht="13.5">
      <c r="A253" s="19">
        <v>45163</v>
      </c>
      <c r="B253" s="8" t="s">
        <v>133</v>
      </c>
      <c r="C253" s="8" t="s">
        <v>67</v>
      </c>
      <c r="D253" s="8" t="str">
        <f>LEFT(C253,3)</f>
        <v>大连市</v>
      </c>
      <c r="E253" s="8" t="s">
        <v>139</v>
      </c>
      <c r="F253" s="8" t="str">
        <f>VLOOKUP(E253,费用类别!A:B,2,0)</f>
        <v>火车票</v>
      </c>
      <c r="G253" s="9">
        <v>388</v>
      </c>
      <c r="H253" s="20" t="str">
        <f>IF(WEEKDAY(A253,2)&gt;5,"是","否")</f>
        <v>否</v>
      </c>
      <c r="I253" s="8" t="str">
        <f t="shared" si="3"/>
        <v>杨国强火车票</v>
      </c>
      <c r="J253" s="37">
        <f>IF(SUMPRODUCT((I$3:I253=I253)*1)=1,1,0)</f>
        <v>1</v>
      </c>
      <c r="K253" s="7"/>
    </row>
    <row r="254" spans="1:11" ht="13.5">
      <c r="A254" s="19">
        <v>45163</v>
      </c>
      <c r="B254" s="8" t="s">
        <v>109</v>
      </c>
      <c r="C254" s="8" t="s">
        <v>69</v>
      </c>
      <c r="D254" s="8" t="str">
        <f>LEFT(C254,3)</f>
        <v>北京市</v>
      </c>
      <c r="E254" s="8" t="s">
        <v>137</v>
      </c>
      <c r="F254" s="8" t="str">
        <f>VLOOKUP(E254,费用类别!A:B,2,0)</f>
        <v>餐饮费</v>
      </c>
      <c r="G254" s="9">
        <v>345</v>
      </c>
      <c r="H254" s="20" t="str">
        <f>IF(WEEKDAY(A254,2)&gt;5,"是","否")</f>
        <v>否</v>
      </c>
      <c r="I254" s="8" t="str">
        <f t="shared" si="3"/>
        <v>陈祥通餐饮费</v>
      </c>
      <c r="J254" s="37">
        <f>IF(SUMPRODUCT((I$3:I254=I254)*1)=1,1,0)</f>
        <v>0</v>
      </c>
      <c r="K254" s="7"/>
    </row>
    <row r="255" spans="1:11" ht="13.5">
      <c r="A255" s="19">
        <v>45163</v>
      </c>
      <c r="B255" s="8" t="s">
        <v>134</v>
      </c>
      <c r="C255" s="8" t="s">
        <v>27</v>
      </c>
      <c r="D255" s="8" t="str">
        <f>LEFT(C255,3)</f>
        <v>浙江省</v>
      </c>
      <c r="E255" s="8" t="s">
        <v>143</v>
      </c>
      <c r="F255" s="8" t="str">
        <f>VLOOKUP(E255,费用类别!A:B,2,0)</f>
        <v>通讯补助</v>
      </c>
      <c r="G255" s="9">
        <v>3000</v>
      </c>
      <c r="H255" s="20" t="str">
        <f>IF(WEEKDAY(A255,2)&gt;5,"是","否")</f>
        <v>否</v>
      </c>
      <c r="I255" s="8" t="str">
        <f t="shared" si="3"/>
        <v>唐雅林通讯补助</v>
      </c>
      <c r="J255" s="37">
        <f>IF(SUMPRODUCT((I$3:I255=I255)*1)=1,1,0)</f>
        <v>1</v>
      </c>
      <c r="K255" s="7"/>
    </row>
    <row r="256" spans="1:11" ht="13.5">
      <c r="A256" s="19">
        <v>45163</v>
      </c>
      <c r="B256" s="8" t="s">
        <v>120</v>
      </c>
      <c r="C256" s="8" t="s">
        <v>33</v>
      </c>
      <c r="D256" s="8" t="str">
        <f>LEFT(C256,3)</f>
        <v>天津市</v>
      </c>
      <c r="E256" s="8" t="s">
        <v>142</v>
      </c>
      <c r="F256" s="8" t="str">
        <f>VLOOKUP(E256,费用类别!A:B,2,0)</f>
        <v>停车费</v>
      </c>
      <c r="G256" s="9">
        <v>535.83333333333303</v>
      </c>
      <c r="H256" s="20" t="str">
        <f>IF(WEEKDAY(A256,2)&gt;5,"是","否")</f>
        <v>否</v>
      </c>
      <c r="I256" s="8" t="str">
        <f t="shared" si="3"/>
        <v>谢丽秋停车费</v>
      </c>
      <c r="J256" s="37">
        <f>IF(SUMPRODUCT((I$3:I256=I256)*1)=1,1,0)</f>
        <v>1</v>
      </c>
      <c r="K256" s="7"/>
    </row>
    <row r="257" spans="1:11" ht="13.5">
      <c r="A257" s="19">
        <v>45164</v>
      </c>
      <c r="B257" s="8" t="s">
        <v>117</v>
      </c>
      <c r="C257" s="8" t="s">
        <v>63</v>
      </c>
      <c r="D257" s="8" t="str">
        <f>LEFT(C257,3)</f>
        <v>江西省</v>
      </c>
      <c r="E257" s="8" t="s">
        <v>138</v>
      </c>
      <c r="F257" s="8" t="str">
        <f>VLOOKUP(E257,费用类别!A:B,2,0)</f>
        <v>出租车费</v>
      </c>
      <c r="G257" s="9">
        <v>200</v>
      </c>
      <c r="H257" s="20" t="str">
        <f>IF(WEEKDAY(A257,2)&gt;5,"是","否")</f>
        <v>是</v>
      </c>
      <c r="I257" s="8" t="str">
        <f t="shared" si="3"/>
        <v>张哲宇出租车费</v>
      </c>
      <c r="J257" s="37">
        <f>IF(SUMPRODUCT((I$3:I257=I257)*1)=1,1,0)</f>
        <v>0</v>
      </c>
      <c r="K257" s="7"/>
    </row>
    <row r="258" spans="1:11" ht="13.5">
      <c r="A258" s="19">
        <v>45166</v>
      </c>
      <c r="B258" s="8" t="s">
        <v>124</v>
      </c>
      <c r="C258" s="8" t="s">
        <v>32</v>
      </c>
      <c r="D258" s="8" t="str">
        <f>LEFT(C258,3)</f>
        <v>江苏省</v>
      </c>
      <c r="E258" s="8" t="s">
        <v>141</v>
      </c>
      <c r="F258" s="8" t="str">
        <f>VLOOKUP(E258,费用类别!A:B,2,0)</f>
        <v>燃油费</v>
      </c>
      <c r="G258" s="9">
        <v>433.33333333333297</v>
      </c>
      <c r="H258" s="20" t="str">
        <f>IF(WEEKDAY(A258,2)&gt;5,"是","否")</f>
        <v>否</v>
      </c>
      <c r="I258" s="8" t="str">
        <f t="shared" si="3"/>
        <v>王雅林燃油费</v>
      </c>
      <c r="J258" s="37">
        <f>IF(SUMPRODUCT((I$3:I258=I258)*1)=1,1,0)</f>
        <v>0</v>
      </c>
      <c r="K258" s="7"/>
    </row>
    <row r="259" spans="1:11" ht="13.5">
      <c r="A259" s="19">
        <v>45166</v>
      </c>
      <c r="B259" s="8" t="s">
        <v>121</v>
      </c>
      <c r="C259" s="8" t="s">
        <v>85</v>
      </c>
      <c r="D259" s="8" t="str">
        <f>LEFT(C259,3)</f>
        <v>上海市</v>
      </c>
      <c r="E259" s="8" t="s">
        <v>139</v>
      </c>
      <c r="F259" s="8" t="str">
        <f>VLOOKUP(E259,费用类别!A:B,2,0)</f>
        <v>火车票</v>
      </c>
      <c r="G259" s="9">
        <v>1663.3333333333301</v>
      </c>
      <c r="H259" s="20" t="str">
        <f>IF(WEEKDAY(A259,2)&gt;5,"是","否")</f>
        <v>否</v>
      </c>
      <c r="I259" s="8" t="str">
        <f t="shared" ref="I259:I322" si="4">B259&amp;F259</f>
        <v>关天胜火车票</v>
      </c>
      <c r="J259" s="37">
        <f>IF(SUMPRODUCT((I$3:I259=I259)*1)=1,1,0)</f>
        <v>0</v>
      </c>
      <c r="K259" s="7"/>
    </row>
    <row r="260" spans="1:11" ht="13.5">
      <c r="A260" s="19">
        <v>45166</v>
      </c>
      <c r="B260" s="8" t="s">
        <v>134</v>
      </c>
      <c r="C260" s="8" t="s">
        <v>35</v>
      </c>
      <c r="D260" s="8" t="str">
        <f>LEFT(C260,3)</f>
        <v>广东省</v>
      </c>
      <c r="E260" s="8" t="s">
        <v>143</v>
      </c>
      <c r="F260" s="8" t="str">
        <f>VLOOKUP(E260,费用类别!A:B,2,0)</f>
        <v>通讯补助</v>
      </c>
      <c r="G260" s="9">
        <v>100</v>
      </c>
      <c r="H260" s="20" t="str">
        <f>IF(WEEKDAY(A260,2)&gt;5,"是","否")</f>
        <v>否</v>
      </c>
      <c r="I260" s="8" t="str">
        <f t="shared" si="4"/>
        <v>唐雅林通讯补助</v>
      </c>
      <c r="J260" s="37">
        <f>IF(SUMPRODUCT((I$3:I260=I260)*1)=1,1,0)</f>
        <v>0</v>
      </c>
      <c r="K260" s="7"/>
    </row>
    <row r="261" spans="1:11" ht="13.5">
      <c r="A261" s="19">
        <v>45167</v>
      </c>
      <c r="B261" s="8" t="s">
        <v>109</v>
      </c>
      <c r="C261" s="8" t="s">
        <v>69</v>
      </c>
      <c r="D261" s="8" t="str">
        <f>LEFT(C261,3)</f>
        <v>北京市</v>
      </c>
      <c r="E261" s="8" t="s">
        <v>143</v>
      </c>
      <c r="F261" s="8" t="str">
        <f>VLOOKUP(E261,费用类别!A:B,2,0)</f>
        <v>通讯补助</v>
      </c>
      <c r="G261" s="9">
        <v>1048.3333333333301</v>
      </c>
      <c r="H261" s="20" t="str">
        <f>IF(WEEKDAY(A261,2)&gt;5,"是","否")</f>
        <v>否</v>
      </c>
      <c r="I261" s="8" t="str">
        <f t="shared" si="4"/>
        <v>陈祥通通讯补助</v>
      </c>
      <c r="J261" s="37">
        <f>IF(SUMPRODUCT((I$3:I261=I261)*1)=1,1,0)</f>
        <v>1</v>
      </c>
      <c r="K261" s="7"/>
    </row>
    <row r="262" spans="1:11" ht="13.5">
      <c r="A262" s="19">
        <v>45167</v>
      </c>
      <c r="B262" s="8" t="s">
        <v>112</v>
      </c>
      <c r="C262" s="8" t="s">
        <v>15</v>
      </c>
      <c r="D262" s="8" t="str">
        <f>LEFT(C262,3)</f>
        <v>海南省</v>
      </c>
      <c r="E262" s="8" t="s">
        <v>141</v>
      </c>
      <c r="F262" s="8" t="str">
        <f>VLOOKUP(E262,费用类别!A:B,2,0)</f>
        <v>燃油费</v>
      </c>
      <c r="G262" s="9">
        <v>246</v>
      </c>
      <c r="H262" s="20" t="str">
        <f>IF(WEEKDAY(A262,2)&gt;5,"是","否")</f>
        <v>否</v>
      </c>
      <c r="I262" s="8" t="str">
        <f t="shared" si="4"/>
        <v>钱顺卓燃油费</v>
      </c>
      <c r="J262" s="37">
        <f>IF(SUMPRODUCT((I$3:I262=I262)*1)=1,1,0)</f>
        <v>0</v>
      </c>
      <c r="K262" s="7"/>
    </row>
    <row r="263" spans="1:11" ht="13.5">
      <c r="A263" s="19">
        <v>45168</v>
      </c>
      <c r="B263" s="8" t="s">
        <v>113</v>
      </c>
      <c r="C263" s="8" t="s">
        <v>80</v>
      </c>
      <c r="D263" s="8" t="str">
        <f>LEFT(C263,3)</f>
        <v>广东省</v>
      </c>
      <c r="E263" s="8" t="s">
        <v>141</v>
      </c>
      <c r="F263" s="8" t="str">
        <f>VLOOKUP(E263,费用类别!A:B,2,0)</f>
        <v>燃油费</v>
      </c>
      <c r="G263" s="9">
        <v>843.33333333333303</v>
      </c>
      <c r="H263" s="20" t="str">
        <f>IF(WEEKDAY(A263,2)&gt;5,"是","否")</f>
        <v>否</v>
      </c>
      <c r="I263" s="8" t="str">
        <f t="shared" si="4"/>
        <v>王崇江燃油费</v>
      </c>
      <c r="J263" s="37">
        <f>IF(SUMPRODUCT((I$3:I263=I263)*1)=1,1,0)</f>
        <v>0</v>
      </c>
      <c r="K263" s="7"/>
    </row>
    <row r="264" spans="1:11" ht="13.5">
      <c r="A264" s="19">
        <v>45168</v>
      </c>
      <c r="B264" s="8" t="s">
        <v>121</v>
      </c>
      <c r="C264" s="8" t="s">
        <v>26</v>
      </c>
      <c r="D264" s="8" t="str">
        <f>LEFT(C264,3)</f>
        <v>浙江省</v>
      </c>
      <c r="E264" s="8" t="s">
        <v>138</v>
      </c>
      <c r="F264" s="8" t="str">
        <f>VLOOKUP(E264,费用类别!A:B,2,0)</f>
        <v>出租车费</v>
      </c>
      <c r="G264" s="9">
        <v>458.7</v>
      </c>
      <c r="H264" s="20" t="str">
        <f>IF(WEEKDAY(A264,2)&gt;5,"是","否")</f>
        <v>否</v>
      </c>
      <c r="I264" s="8" t="str">
        <f t="shared" si="4"/>
        <v>关天胜出租车费</v>
      </c>
      <c r="J264" s="37">
        <f>IF(SUMPRODUCT((I$3:I264=I264)*1)=1,1,0)</f>
        <v>1</v>
      </c>
      <c r="K264" s="7"/>
    </row>
    <row r="265" spans="1:11" ht="13.5">
      <c r="A265" s="19">
        <v>45168</v>
      </c>
      <c r="B265" s="8" t="s">
        <v>109</v>
      </c>
      <c r="C265" s="8" t="s">
        <v>19</v>
      </c>
      <c r="D265" s="8" t="str">
        <f>LEFT(C265,3)</f>
        <v>北京市</v>
      </c>
      <c r="E265" s="8" t="s">
        <v>144</v>
      </c>
      <c r="F265" s="8" t="str">
        <f>VLOOKUP(E265,费用类别!A:B,2,0)</f>
        <v>其他</v>
      </c>
      <c r="G265" s="9">
        <v>200</v>
      </c>
      <c r="H265" s="20" t="str">
        <f>IF(WEEKDAY(A265,2)&gt;5,"是","否")</f>
        <v>否</v>
      </c>
      <c r="I265" s="8" t="str">
        <f t="shared" si="4"/>
        <v>陈祥通其他</v>
      </c>
      <c r="J265" s="37">
        <f>IF(SUMPRODUCT((I$3:I265=I265)*1)=1,1,0)</f>
        <v>0</v>
      </c>
      <c r="K265" s="7"/>
    </row>
    <row r="266" spans="1:11" ht="13.5">
      <c r="A266" s="19">
        <v>45169</v>
      </c>
      <c r="B266" s="8" t="s">
        <v>122</v>
      </c>
      <c r="C266" s="8" t="s">
        <v>29</v>
      </c>
      <c r="D266" s="8" t="str">
        <f>LEFT(C266,3)</f>
        <v>福建省</v>
      </c>
      <c r="E266" s="8" t="s">
        <v>141</v>
      </c>
      <c r="F266" s="8" t="str">
        <f>VLOOKUP(E266,费用类别!A:B,2,0)</f>
        <v>燃油费</v>
      </c>
      <c r="G266" s="9">
        <v>1123.8</v>
      </c>
      <c r="H266" s="20" t="str">
        <f>IF(WEEKDAY(A266,2)&gt;5,"是","否")</f>
        <v>否</v>
      </c>
      <c r="I266" s="8" t="str">
        <f t="shared" si="4"/>
        <v>刘长辉燃油费</v>
      </c>
      <c r="J266" s="37">
        <f>IF(SUMPRODUCT((I$3:I266=I266)*1)=1,1,0)</f>
        <v>0</v>
      </c>
      <c r="K266" s="7"/>
    </row>
    <row r="267" spans="1:11" ht="13.5">
      <c r="A267" s="19">
        <v>45170</v>
      </c>
      <c r="B267" s="8" t="s">
        <v>115</v>
      </c>
      <c r="C267" s="8" t="s">
        <v>18</v>
      </c>
      <c r="D267" s="8" t="str">
        <f>LEFT(C267,3)</f>
        <v>江西省</v>
      </c>
      <c r="E267" s="8" t="s">
        <v>143</v>
      </c>
      <c r="F267" s="8" t="str">
        <f>VLOOKUP(E267,费用类别!A:B,2,0)</f>
        <v>通讯补助</v>
      </c>
      <c r="G267" s="9">
        <v>140</v>
      </c>
      <c r="H267" s="20" t="str">
        <f>IF(WEEKDAY(A267,2)&gt;5,"是","否")</f>
        <v>否</v>
      </c>
      <c r="I267" s="8" t="str">
        <f t="shared" si="4"/>
        <v>刘露露通讯补助</v>
      </c>
      <c r="J267" s="37">
        <f>IF(SUMPRODUCT((I$3:I267=I267)*1)=1,1,0)</f>
        <v>0</v>
      </c>
      <c r="K267" s="7"/>
    </row>
    <row r="268" spans="1:11" ht="13.5">
      <c r="A268" s="19">
        <v>45170</v>
      </c>
      <c r="B268" s="8" t="s">
        <v>134</v>
      </c>
      <c r="C268" s="8" t="s">
        <v>81</v>
      </c>
      <c r="D268" s="8" t="str">
        <f>LEFT(C268,3)</f>
        <v>浙江省</v>
      </c>
      <c r="E268" s="8" t="s">
        <v>141</v>
      </c>
      <c r="F268" s="8" t="str">
        <f>VLOOKUP(E268,费用类别!A:B,2,0)</f>
        <v>燃油费</v>
      </c>
      <c r="G268" s="9">
        <v>1150.8333333333301</v>
      </c>
      <c r="H268" s="20" t="str">
        <f>IF(WEEKDAY(A268,2)&gt;5,"是","否")</f>
        <v>否</v>
      </c>
      <c r="I268" s="8" t="str">
        <f t="shared" si="4"/>
        <v>唐雅林燃油费</v>
      </c>
      <c r="J268" s="37">
        <f>IF(SUMPRODUCT((I$3:I268=I268)*1)=1,1,0)</f>
        <v>0</v>
      </c>
      <c r="K268" s="7"/>
    </row>
    <row r="269" spans="1:11" ht="13.5">
      <c r="A269" s="19">
        <v>45171</v>
      </c>
      <c r="B269" s="8" t="s">
        <v>113</v>
      </c>
      <c r="C269" s="8" t="s">
        <v>25</v>
      </c>
      <c r="D269" s="8" t="str">
        <f>LEFT(C269,3)</f>
        <v>山西省</v>
      </c>
      <c r="E269" s="8" t="s">
        <v>137</v>
      </c>
      <c r="F269" s="8" t="str">
        <f>VLOOKUP(E269,费用类别!A:B,2,0)</f>
        <v>餐饮费</v>
      </c>
      <c r="G269" s="9">
        <v>500</v>
      </c>
      <c r="H269" s="20" t="str">
        <f>IF(WEEKDAY(A269,2)&gt;5,"是","否")</f>
        <v>是</v>
      </c>
      <c r="I269" s="8" t="str">
        <f t="shared" si="4"/>
        <v>王崇江餐饮费</v>
      </c>
      <c r="J269" s="37">
        <f>IF(SUMPRODUCT((I$3:I269=I269)*1)=1,1,0)</f>
        <v>1</v>
      </c>
      <c r="K269" s="7"/>
    </row>
    <row r="270" spans="1:11" ht="13.5">
      <c r="A270" s="19">
        <v>45171</v>
      </c>
      <c r="B270" s="8" t="s">
        <v>125</v>
      </c>
      <c r="C270" s="8" t="s">
        <v>87</v>
      </c>
      <c r="D270" s="8" t="str">
        <f>LEFT(C270,3)</f>
        <v>上海市</v>
      </c>
      <c r="E270" s="8" t="s">
        <v>141</v>
      </c>
      <c r="F270" s="8" t="str">
        <f>VLOOKUP(E270,费用类别!A:B,2,0)</f>
        <v>燃油费</v>
      </c>
      <c r="G270" s="9">
        <v>535.83333333333303</v>
      </c>
      <c r="H270" s="20" t="str">
        <f>IF(WEEKDAY(A270,2)&gt;5,"是","否")</f>
        <v>是</v>
      </c>
      <c r="I270" s="8" t="str">
        <f t="shared" si="4"/>
        <v>边金双燃油费</v>
      </c>
      <c r="J270" s="37">
        <f>IF(SUMPRODUCT((I$3:I270=I270)*1)=1,1,0)</f>
        <v>1</v>
      </c>
      <c r="K270" s="7"/>
    </row>
    <row r="271" spans="1:11" ht="13.5">
      <c r="A271" s="19">
        <v>45171</v>
      </c>
      <c r="B271" s="8" t="s">
        <v>117</v>
      </c>
      <c r="C271" s="8" t="s">
        <v>82</v>
      </c>
      <c r="D271" s="8" t="str">
        <f>LEFT(C271,3)</f>
        <v>北京市</v>
      </c>
      <c r="E271" s="8" t="s">
        <v>136</v>
      </c>
      <c r="F271" s="8" t="str">
        <f>VLOOKUP(E271,费用类别!A:B,2,0)</f>
        <v>酒店住宿</v>
      </c>
      <c r="G271" s="9">
        <v>1355.8333333333301</v>
      </c>
      <c r="H271" s="20" t="str">
        <f>IF(WEEKDAY(A271,2)&gt;5,"是","否")</f>
        <v>是</v>
      </c>
      <c r="I271" s="8" t="str">
        <f t="shared" si="4"/>
        <v>张哲宇酒店住宿</v>
      </c>
      <c r="J271" s="37">
        <f>IF(SUMPRODUCT((I$3:I271=I271)*1)=1,1,0)</f>
        <v>0</v>
      </c>
      <c r="K271" s="7"/>
    </row>
    <row r="272" spans="1:11" ht="13.5">
      <c r="A272" s="19">
        <v>45171</v>
      </c>
      <c r="B272" s="8" t="s">
        <v>108</v>
      </c>
      <c r="C272" s="8" t="s">
        <v>91</v>
      </c>
      <c r="D272" s="8" t="str">
        <f>LEFT(C272,3)</f>
        <v>山东省</v>
      </c>
      <c r="E272" s="8" t="s">
        <v>138</v>
      </c>
      <c r="F272" s="8" t="str">
        <f>VLOOKUP(E272,费用类别!A:B,2,0)</f>
        <v>出租车费</v>
      </c>
      <c r="G272" s="9">
        <v>740.83333333333303</v>
      </c>
      <c r="H272" s="20" t="str">
        <f>IF(WEEKDAY(A272,2)&gt;5,"是","否")</f>
        <v>是</v>
      </c>
      <c r="I272" s="8" t="str">
        <f t="shared" si="4"/>
        <v>孟天祥出租车费</v>
      </c>
      <c r="J272" s="37">
        <f>IF(SUMPRODUCT((I$3:I272=I272)*1)=1,1,0)</f>
        <v>0</v>
      </c>
      <c r="K272" s="7"/>
    </row>
    <row r="273" spans="1:11" ht="13.5">
      <c r="A273" s="19">
        <v>45172</v>
      </c>
      <c r="B273" s="8" t="s">
        <v>124</v>
      </c>
      <c r="C273" s="8" t="s">
        <v>32</v>
      </c>
      <c r="D273" s="8" t="str">
        <f>LEFT(C273,3)</f>
        <v>江苏省</v>
      </c>
      <c r="E273" s="8" t="s">
        <v>137</v>
      </c>
      <c r="F273" s="8" t="str">
        <f>VLOOKUP(E273,费用类别!A:B,2,0)</f>
        <v>餐饮费</v>
      </c>
      <c r="G273" s="9">
        <v>120</v>
      </c>
      <c r="H273" s="20" t="str">
        <f>IF(WEEKDAY(A273,2)&gt;5,"是","否")</f>
        <v>是</v>
      </c>
      <c r="I273" s="8" t="str">
        <f t="shared" si="4"/>
        <v>王雅林餐饮费</v>
      </c>
      <c r="J273" s="37">
        <f>IF(SUMPRODUCT((I$3:I273=I273)*1)=1,1,0)</f>
        <v>1</v>
      </c>
      <c r="K273" s="7"/>
    </row>
    <row r="274" spans="1:11" ht="13.5">
      <c r="A274" s="19">
        <v>45172</v>
      </c>
      <c r="B274" s="8" t="s">
        <v>122</v>
      </c>
      <c r="C274" s="8" t="s">
        <v>52</v>
      </c>
      <c r="D274" s="8" t="str">
        <f>LEFT(C274,3)</f>
        <v>江苏省</v>
      </c>
      <c r="E274" s="8" t="s">
        <v>141</v>
      </c>
      <c r="F274" s="8" t="str">
        <f>VLOOKUP(E274,费用类别!A:B,2,0)</f>
        <v>燃油费</v>
      </c>
      <c r="G274" s="9">
        <v>1049.9000000000001</v>
      </c>
      <c r="H274" s="20" t="str">
        <f>IF(WEEKDAY(A274,2)&gt;5,"是","否")</f>
        <v>是</v>
      </c>
      <c r="I274" s="8" t="str">
        <f t="shared" si="4"/>
        <v>刘长辉燃油费</v>
      </c>
      <c r="J274" s="37">
        <f>IF(SUMPRODUCT((I$3:I274=I274)*1)=1,1,0)</f>
        <v>0</v>
      </c>
      <c r="K274" s="7"/>
    </row>
    <row r="275" spans="1:11" ht="13.5">
      <c r="A275" s="19">
        <v>45172</v>
      </c>
      <c r="B275" s="8" t="s">
        <v>132</v>
      </c>
      <c r="C275" s="8" t="s">
        <v>64</v>
      </c>
      <c r="D275" s="8" t="str">
        <f>LEFT(C275,3)</f>
        <v>广东省</v>
      </c>
      <c r="E275" s="8" t="s">
        <v>139</v>
      </c>
      <c r="F275" s="8" t="str">
        <f>VLOOKUP(E275,费用类别!A:B,2,0)</f>
        <v>火车票</v>
      </c>
      <c r="G275" s="9">
        <v>388</v>
      </c>
      <c r="H275" s="20" t="str">
        <f>IF(WEEKDAY(A275,2)&gt;5,"是","否")</f>
        <v>是</v>
      </c>
      <c r="I275" s="8" t="str">
        <f t="shared" si="4"/>
        <v>徐亚楠火车票</v>
      </c>
      <c r="J275" s="37">
        <f>IF(SUMPRODUCT((I$3:I275=I275)*1)=1,1,0)</f>
        <v>0</v>
      </c>
      <c r="K275" s="7"/>
    </row>
    <row r="276" spans="1:11" ht="13.5">
      <c r="A276" s="19">
        <v>45173</v>
      </c>
      <c r="B276" s="8" t="s">
        <v>113</v>
      </c>
      <c r="C276" s="8" t="s">
        <v>57</v>
      </c>
      <c r="D276" s="8" t="str">
        <f>LEFT(C276,3)</f>
        <v>上海市</v>
      </c>
      <c r="E276" s="8" t="s">
        <v>138</v>
      </c>
      <c r="F276" s="8" t="str">
        <f>VLOOKUP(E276,费用类别!A:B,2,0)</f>
        <v>出租车费</v>
      </c>
      <c r="G276" s="9">
        <v>535.83333333333303</v>
      </c>
      <c r="H276" s="20" t="str">
        <f>IF(WEEKDAY(A276,2)&gt;5,"是","否")</f>
        <v>否</v>
      </c>
      <c r="I276" s="8" t="str">
        <f t="shared" si="4"/>
        <v>王崇江出租车费</v>
      </c>
      <c r="J276" s="37">
        <f>IF(SUMPRODUCT((I$3:I276=I276)*1)=1,1,0)</f>
        <v>0</v>
      </c>
      <c r="K276" s="7"/>
    </row>
    <row r="277" spans="1:11" ht="13.5">
      <c r="A277" s="19">
        <v>45173</v>
      </c>
      <c r="B277" s="8" t="s">
        <v>121</v>
      </c>
      <c r="C277" s="8" t="s">
        <v>85</v>
      </c>
      <c r="D277" s="8" t="str">
        <f>LEFT(C277,3)</f>
        <v>上海市</v>
      </c>
      <c r="E277" s="8" t="s">
        <v>141</v>
      </c>
      <c r="F277" s="8" t="str">
        <f>VLOOKUP(E277,费用类别!A:B,2,0)</f>
        <v>燃油费</v>
      </c>
      <c r="G277" s="9">
        <v>29</v>
      </c>
      <c r="H277" s="20" t="str">
        <f>IF(WEEKDAY(A277,2)&gt;5,"是","否")</f>
        <v>否</v>
      </c>
      <c r="I277" s="8" t="str">
        <f t="shared" si="4"/>
        <v>关天胜燃油费</v>
      </c>
      <c r="J277" s="37">
        <f>IF(SUMPRODUCT((I$3:I277=I277)*1)=1,1,0)</f>
        <v>0</v>
      </c>
      <c r="K277" s="7"/>
    </row>
    <row r="278" spans="1:11" ht="13.5">
      <c r="A278" s="19">
        <v>45173</v>
      </c>
      <c r="B278" s="8" t="s">
        <v>117</v>
      </c>
      <c r="C278" s="8" t="s">
        <v>37</v>
      </c>
      <c r="D278" s="8" t="str">
        <f>LEFT(C278,3)</f>
        <v>北京市</v>
      </c>
      <c r="E278" s="8" t="s">
        <v>141</v>
      </c>
      <c r="F278" s="8" t="str">
        <f>VLOOKUP(E278,费用类别!A:B,2,0)</f>
        <v>燃油费</v>
      </c>
      <c r="G278" s="9">
        <v>200</v>
      </c>
      <c r="H278" s="20" t="str">
        <f>IF(WEEKDAY(A278,2)&gt;5,"是","否")</f>
        <v>否</v>
      </c>
      <c r="I278" s="8" t="str">
        <f t="shared" si="4"/>
        <v>张哲宇燃油费</v>
      </c>
      <c r="J278" s="37">
        <f>IF(SUMPRODUCT((I$3:I278=I278)*1)=1,1,0)</f>
        <v>0</v>
      </c>
      <c r="K278" s="7"/>
    </row>
    <row r="279" spans="1:11" ht="13.5">
      <c r="A279" s="19">
        <v>45173</v>
      </c>
      <c r="B279" s="8" t="s">
        <v>116</v>
      </c>
      <c r="C279" s="8" t="s">
        <v>20</v>
      </c>
      <c r="D279" s="8" t="str">
        <f>LEFT(C279,3)</f>
        <v>北京市</v>
      </c>
      <c r="E279" s="8" t="s">
        <v>135</v>
      </c>
      <c r="F279" s="8" t="str">
        <f>VLOOKUP(E279,费用类别!A:B,2,0)</f>
        <v>飞机票</v>
      </c>
      <c r="G279" s="9">
        <v>345</v>
      </c>
      <c r="H279" s="20" t="str">
        <f>IF(WEEKDAY(A279,2)&gt;5,"是","否")</f>
        <v>否</v>
      </c>
      <c r="I279" s="8" t="str">
        <f t="shared" si="4"/>
        <v>徐志晨飞机票</v>
      </c>
      <c r="J279" s="37">
        <f>IF(SUMPRODUCT((I$3:I279=I279)*1)=1,1,0)</f>
        <v>1</v>
      </c>
      <c r="K279" s="7"/>
    </row>
    <row r="280" spans="1:11" ht="13.5">
      <c r="A280" s="19">
        <v>45174</v>
      </c>
      <c r="B280" s="8" t="s">
        <v>113</v>
      </c>
      <c r="C280" s="8" t="s">
        <v>57</v>
      </c>
      <c r="D280" s="8" t="str">
        <f>LEFT(C280,3)</f>
        <v>上海市</v>
      </c>
      <c r="E280" s="8" t="s">
        <v>140</v>
      </c>
      <c r="F280" s="8" t="str">
        <f>VLOOKUP(E280,费用类别!A:B,2,0)</f>
        <v>高速道桥费</v>
      </c>
      <c r="G280" s="9">
        <v>246</v>
      </c>
      <c r="H280" s="20" t="str">
        <f>IF(WEEKDAY(A280,2)&gt;5,"是","否")</f>
        <v>否</v>
      </c>
      <c r="I280" s="8" t="str">
        <f t="shared" si="4"/>
        <v>王崇江高速道桥费</v>
      </c>
      <c r="J280" s="37">
        <f>IF(SUMPRODUCT((I$3:I280=I280)*1)=1,1,0)</f>
        <v>0</v>
      </c>
      <c r="K280" s="7"/>
    </row>
    <row r="281" spans="1:11" ht="13.5">
      <c r="A281" s="19">
        <v>45174</v>
      </c>
      <c r="B281" s="8" t="s">
        <v>130</v>
      </c>
      <c r="C281" s="8" t="s">
        <v>50</v>
      </c>
      <c r="D281" s="8" t="str">
        <f>LEFT(C281,3)</f>
        <v>四川省</v>
      </c>
      <c r="E281" s="8" t="s">
        <v>137</v>
      </c>
      <c r="F281" s="8" t="str">
        <f>VLOOKUP(E281,费用类别!A:B,2,0)</f>
        <v>餐饮费</v>
      </c>
      <c r="G281" s="9">
        <v>740.83333333333303</v>
      </c>
      <c r="H281" s="20" t="str">
        <f>IF(WEEKDAY(A281,2)&gt;5,"是","否")</f>
        <v>否</v>
      </c>
      <c r="I281" s="8" t="str">
        <f t="shared" si="4"/>
        <v>邹佳楠餐饮费</v>
      </c>
      <c r="J281" s="37">
        <f>IF(SUMPRODUCT((I$3:I281=I281)*1)=1,1,0)</f>
        <v>1</v>
      </c>
      <c r="K281" s="7"/>
    </row>
    <row r="282" spans="1:11" ht="13.5">
      <c r="A282" s="19">
        <v>45175</v>
      </c>
      <c r="B282" s="8" t="s">
        <v>119</v>
      </c>
      <c r="C282" s="8" t="s">
        <v>43</v>
      </c>
      <c r="D282" s="8" t="str">
        <f>LEFT(C282,3)</f>
        <v>广东省</v>
      </c>
      <c r="E282" s="8" t="s">
        <v>141</v>
      </c>
      <c r="F282" s="8" t="str">
        <f>VLOOKUP(E282,费用类别!A:B,2,0)</f>
        <v>燃油费</v>
      </c>
      <c r="G282" s="9">
        <v>1663.3333333333301</v>
      </c>
      <c r="H282" s="20" t="str">
        <f>IF(WEEKDAY(A282,2)&gt;5,"是","否")</f>
        <v>否</v>
      </c>
      <c r="I282" s="8" t="str">
        <f t="shared" si="4"/>
        <v>王海德燃油费</v>
      </c>
      <c r="J282" s="37">
        <f>IF(SUMPRODUCT((I$3:I282=I282)*1)=1,1,0)</f>
        <v>1</v>
      </c>
      <c r="K282" s="7"/>
    </row>
    <row r="283" spans="1:11" ht="13.5">
      <c r="A283" s="19">
        <v>45175</v>
      </c>
      <c r="B283" s="8" t="s">
        <v>123</v>
      </c>
      <c r="C283" s="8" t="s">
        <v>58</v>
      </c>
      <c r="D283" s="8" t="str">
        <f>LEFT(C283,3)</f>
        <v>安徽省</v>
      </c>
      <c r="E283" s="8" t="s">
        <v>141</v>
      </c>
      <c r="F283" s="8" t="str">
        <f>VLOOKUP(E283,费用类别!A:B,2,0)</f>
        <v>燃油费</v>
      </c>
      <c r="G283" s="9">
        <v>388</v>
      </c>
      <c r="H283" s="20" t="str">
        <f>IF(WEEKDAY(A283,2)&gt;5,"是","否")</f>
        <v>否</v>
      </c>
      <c r="I283" s="8" t="str">
        <f t="shared" si="4"/>
        <v>李晓梅燃油费</v>
      </c>
      <c r="J283" s="37">
        <f>IF(SUMPRODUCT((I$3:I283=I283)*1)=1,1,0)</f>
        <v>0</v>
      </c>
      <c r="K283" s="7"/>
    </row>
    <row r="284" spans="1:11" ht="13.5">
      <c r="A284" s="19">
        <v>45175</v>
      </c>
      <c r="B284" s="8" t="s">
        <v>117</v>
      </c>
      <c r="C284" s="8" t="s">
        <v>82</v>
      </c>
      <c r="D284" s="8" t="str">
        <f>LEFT(C284,3)</f>
        <v>北京市</v>
      </c>
      <c r="E284" s="8" t="s">
        <v>138</v>
      </c>
      <c r="F284" s="8" t="str">
        <f>VLOOKUP(E284,费用类别!A:B,2,0)</f>
        <v>出租车费</v>
      </c>
      <c r="G284" s="9">
        <v>22</v>
      </c>
      <c r="H284" s="20" t="str">
        <f>IF(WEEKDAY(A284,2)&gt;5,"是","否")</f>
        <v>否</v>
      </c>
      <c r="I284" s="8" t="str">
        <f t="shared" si="4"/>
        <v>张哲宇出租车费</v>
      </c>
      <c r="J284" s="37">
        <f>IF(SUMPRODUCT((I$3:I284=I284)*1)=1,1,0)</f>
        <v>0</v>
      </c>
      <c r="K284" s="7"/>
    </row>
    <row r="285" spans="1:11" ht="13.5">
      <c r="A285" s="19">
        <v>45175</v>
      </c>
      <c r="B285" s="8" t="s">
        <v>116</v>
      </c>
      <c r="C285" s="8" t="s">
        <v>66</v>
      </c>
      <c r="D285" s="8" t="str">
        <f>LEFT(C285,3)</f>
        <v>福建省</v>
      </c>
      <c r="E285" s="8" t="s">
        <v>141</v>
      </c>
      <c r="F285" s="8" t="str">
        <f>VLOOKUP(E285,费用类别!A:B,2,0)</f>
        <v>燃油费</v>
      </c>
      <c r="G285" s="9">
        <v>246</v>
      </c>
      <c r="H285" s="20" t="str">
        <f>IF(WEEKDAY(A285,2)&gt;5,"是","否")</f>
        <v>否</v>
      </c>
      <c r="I285" s="8" t="str">
        <f t="shared" si="4"/>
        <v>徐志晨燃油费</v>
      </c>
      <c r="J285" s="37">
        <f>IF(SUMPRODUCT((I$3:I285=I285)*1)=1,1,0)</f>
        <v>0</v>
      </c>
      <c r="K285" s="7"/>
    </row>
    <row r="286" spans="1:11" ht="13.5">
      <c r="A286" s="19">
        <v>45177</v>
      </c>
      <c r="B286" s="8" t="s">
        <v>131</v>
      </c>
      <c r="C286" s="8" t="s">
        <v>75</v>
      </c>
      <c r="D286" s="8" t="str">
        <f>LEFT(C286,3)</f>
        <v>浙江省</v>
      </c>
      <c r="E286" s="8" t="s">
        <v>139</v>
      </c>
      <c r="F286" s="8" t="str">
        <f>VLOOKUP(E286,费用类别!A:B,2,0)</f>
        <v>火车票</v>
      </c>
      <c r="G286" s="9">
        <v>345</v>
      </c>
      <c r="H286" s="20" t="str">
        <f>IF(WEEKDAY(A286,2)&gt;5,"是","否")</f>
        <v>否</v>
      </c>
      <c r="I286" s="8" t="str">
        <f t="shared" si="4"/>
        <v>王欣荣火车票</v>
      </c>
      <c r="J286" s="37">
        <f>IF(SUMPRODUCT((I$3:I286=I286)*1)=1,1,0)</f>
        <v>0</v>
      </c>
      <c r="K286" s="7"/>
    </row>
    <row r="287" spans="1:11" ht="13.5">
      <c r="A287" s="19">
        <v>45177</v>
      </c>
      <c r="B287" s="8" t="s">
        <v>128</v>
      </c>
      <c r="C287" s="8" t="s">
        <v>42</v>
      </c>
      <c r="D287" s="8" t="str">
        <f>LEFT(C287,3)</f>
        <v>河北省</v>
      </c>
      <c r="E287" s="8" t="s">
        <v>139</v>
      </c>
      <c r="F287" s="8" t="str">
        <f>VLOOKUP(E287,费用类别!A:B,2,0)</f>
        <v>火车票</v>
      </c>
      <c r="G287" s="9">
        <v>29</v>
      </c>
      <c r="H287" s="20" t="str">
        <f>IF(WEEKDAY(A287,2)&gt;5,"是","否")</f>
        <v>否</v>
      </c>
      <c r="I287" s="8" t="str">
        <f t="shared" si="4"/>
        <v>方嘉康火车票</v>
      </c>
      <c r="J287" s="37">
        <f>IF(SUMPRODUCT((I$3:I287=I287)*1)=1,1,0)</f>
        <v>1</v>
      </c>
      <c r="K287" s="7"/>
    </row>
    <row r="288" spans="1:11" ht="13.5">
      <c r="A288" s="19">
        <v>45177</v>
      </c>
      <c r="B288" s="8" t="s">
        <v>108</v>
      </c>
      <c r="C288" s="8" t="s">
        <v>11</v>
      </c>
      <c r="D288" s="8" t="str">
        <f>LEFT(C288,3)</f>
        <v>福建省</v>
      </c>
      <c r="E288" s="8" t="s">
        <v>140</v>
      </c>
      <c r="F288" s="8" t="str">
        <f>VLOOKUP(E288,费用类别!A:B,2,0)</f>
        <v>高速道桥费</v>
      </c>
      <c r="G288" s="9">
        <v>945.83333333333303</v>
      </c>
      <c r="H288" s="20" t="str">
        <f>IF(WEEKDAY(A288,2)&gt;5,"是","否")</f>
        <v>否</v>
      </c>
      <c r="I288" s="8" t="str">
        <f t="shared" si="4"/>
        <v>孟天祥高速道桥费</v>
      </c>
      <c r="J288" s="37">
        <f>IF(SUMPRODUCT((I$3:I288=I288)*1)=1,1,0)</f>
        <v>0</v>
      </c>
      <c r="K288" s="7"/>
    </row>
    <row r="289" spans="1:11" ht="13.5">
      <c r="A289" s="19">
        <v>45177</v>
      </c>
      <c r="B289" s="8" t="s">
        <v>108</v>
      </c>
      <c r="C289" s="8" t="s">
        <v>44</v>
      </c>
      <c r="D289" s="8" t="str">
        <f>LEFT(C289,3)</f>
        <v>广东省</v>
      </c>
      <c r="E289" s="8" t="s">
        <v>139</v>
      </c>
      <c r="F289" s="8" t="str">
        <f>VLOOKUP(E289,费用类别!A:B,2,0)</f>
        <v>火车票</v>
      </c>
      <c r="G289" s="9">
        <v>433.33333333333297</v>
      </c>
      <c r="H289" s="20" t="str">
        <f>IF(WEEKDAY(A289,2)&gt;5,"是","否")</f>
        <v>否</v>
      </c>
      <c r="I289" s="8" t="str">
        <f t="shared" si="4"/>
        <v>孟天祥火车票</v>
      </c>
      <c r="J289" s="37">
        <f>IF(SUMPRODUCT((I$3:I289=I289)*1)=1,1,0)</f>
        <v>0</v>
      </c>
      <c r="K289" s="7"/>
    </row>
    <row r="290" spans="1:11" ht="13.5">
      <c r="A290" s="19">
        <v>45178</v>
      </c>
      <c r="B290" s="8" t="s">
        <v>113</v>
      </c>
      <c r="C290" s="8" t="s">
        <v>34</v>
      </c>
      <c r="D290" s="8" t="str">
        <f>LEFT(C290,3)</f>
        <v>山东省</v>
      </c>
      <c r="E290" s="8" t="s">
        <v>143</v>
      </c>
      <c r="F290" s="8" t="str">
        <f>VLOOKUP(E290,费用类别!A:B,2,0)</f>
        <v>通讯补助</v>
      </c>
      <c r="G290" s="9">
        <v>638.33333333333303</v>
      </c>
      <c r="H290" s="20" t="str">
        <f>IF(WEEKDAY(A290,2)&gt;5,"是","否")</f>
        <v>是</v>
      </c>
      <c r="I290" s="8" t="str">
        <f t="shared" si="4"/>
        <v>王崇江通讯补助</v>
      </c>
      <c r="J290" s="37">
        <f>IF(SUMPRODUCT((I$3:I290=I290)*1)=1,1,0)</f>
        <v>0</v>
      </c>
      <c r="K290" s="7"/>
    </row>
    <row r="291" spans="1:11" ht="13.5">
      <c r="A291" s="19">
        <v>45178</v>
      </c>
      <c r="B291" s="8" t="s">
        <v>127</v>
      </c>
      <c r="C291" s="8" t="s">
        <v>41</v>
      </c>
      <c r="D291" s="8" t="str">
        <f>LEFT(C291,3)</f>
        <v>吉林省</v>
      </c>
      <c r="E291" s="8" t="s">
        <v>138</v>
      </c>
      <c r="F291" s="8" t="str">
        <f>VLOOKUP(E291,费用类别!A:B,2,0)</f>
        <v>出租车费</v>
      </c>
      <c r="G291" s="9">
        <v>388</v>
      </c>
      <c r="H291" s="20" t="str">
        <f>IF(WEEKDAY(A291,2)&gt;5,"是","否")</f>
        <v>是</v>
      </c>
      <c r="I291" s="8" t="str">
        <f t="shared" si="4"/>
        <v>余雅丽出租车费</v>
      </c>
      <c r="J291" s="37">
        <f>IF(SUMPRODUCT((I$3:I291=I291)*1)=1,1,0)</f>
        <v>1</v>
      </c>
      <c r="K291" s="7"/>
    </row>
    <row r="292" spans="1:11" ht="13.5">
      <c r="A292" s="19">
        <v>45178</v>
      </c>
      <c r="B292" s="8" t="s">
        <v>112</v>
      </c>
      <c r="C292" s="8" t="s">
        <v>72</v>
      </c>
      <c r="D292" s="8" t="str">
        <f>LEFT(C292,3)</f>
        <v>重庆市</v>
      </c>
      <c r="E292" s="8" t="s">
        <v>144</v>
      </c>
      <c r="F292" s="8" t="str">
        <f>VLOOKUP(E292,费用类别!A:B,2,0)</f>
        <v>其他</v>
      </c>
      <c r="G292" s="9">
        <v>606.5</v>
      </c>
      <c r="H292" s="20" t="str">
        <f>IF(WEEKDAY(A292,2)&gt;5,"是","否")</f>
        <v>是</v>
      </c>
      <c r="I292" s="8" t="str">
        <f t="shared" si="4"/>
        <v>钱顺卓其他</v>
      </c>
      <c r="J292" s="37">
        <f>IF(SUMPRODUCT((I$3:I292=I292)*1)=1,1,0)</f>
        <v>0</v>
      </c>
      <c r="K292" s="7"/>
    </row>
    <row r="293" spans="1:11" ht="13.5">
      <c r="A293" s="19">
        <v>45179</v>
      </c>
      <c r="B293" s="8" t="s">
        <v>113</v>
      </c>
      <c r="C293" s="8" t="s">
        <v>80</v>
      </c>
      <c r="D293" s="8" t="str">
        <f>LEFT(C293,3)</f>
        <v>广东省</v>
      </c>
      <c r="E293" s="8" t="s">
        <v>140</v>
      </c>
      <c r="F293" s="8" t="str">
        <f>VLOOKUP(E293,费用类别!A:B,2,0)</f>
        <v>高速道桥费</v>
      </c>
      <c r="G293" s="9">
        <v>1048.3333333333301</v>
      </c>
      <c r="H293" s="20" t="str">
        <f>IF(WEEKDAY(A293,2)&gt;5,"是","否")</f>
        <v>是</v>
      </c>
      <c r="I293" s="8" t="str">
        <f t="shared" si="4"/>
        <v>王崇江高速道桥费</v>
      </c>
      <c r="J293" s="37">
        <f>IF(SUMPRODUCT((I$3:I293=I293)*1)=1,1,0)</f>
        <v>0</v>
      </c>
      <c r="K293" s="7"/>
    </row>
    <row r="294" spans="1:11" ht="13.5">
      <c r="A294" s="19">
        <v>45179</v>
      </c>
      <c r="B294" s="8" t="s">
        <v>123</v>
      </c>
      <c r="C294" s="8" t="s">
        <v>104</v>
      </c>
      <c r="D294" s="8" t="str">
        <f>LEFT(C294,3)</f>
        <v>北京市</v>
      </c>
      <c r="E294" s="8" t="s">
        <v>143</v>
      </c>
      <c r="F294" s="8" t="str">
        <f>VLOOKUP(E294,费用类别!A:B,2,0)</f>
        <v>通讯补助</v>
      </c>
      <c r="G294" s="9">
        <v>2500</v>
      </c>
      <c r="H294" s="20" t="str">
        <f>IF(WEEKDAY(A294,2)&gt;5,"是","否")</f>
        <v>是</v>
      </c>
      <c r="I294" s="8" t="str">
        <f t="shared" si="4"/>
        <v>李晓梅通讯补助</v>
      </c>
      <c r="J294" s="37">
        <f>IF(SUMPRODUCT((I$3:I294=I294)*1)=1,1,0)</f>
        <v>0</v>
      </c>
      <c r="K294" s="7"/>
    </row>
    <row r="295" spans="1:11" ht="13.5">
      <c r="A295" s="19">
        <v>45179</v>
      </c>
      <c r="B295" s="8" t="s">
        <v>114</v>
      </c>
      <c r="C295" s="8" t="s">
        <v>17</v>
      </c>
      <c r="D295" s="8" t="str">
        <f>LEFT(C295,3)</f>
        <v>广东省</v>
      </c>
      <c r="E295" s="8" t="s">
        <v>142</v>
      </c>
      <c r="F295" s="8" t="str">
        <f>VLOOKUP(E295,费用类别!A:B,2,0)</f>
        <v>停车费</v>
      </c>
      <c r="G295" s="9">
        <v>2500</v>
      </c>
      <c r="H295" s="20" t="str">
        <f>IF(WEEKDAY(A295,2)&gt;5,"是","否")</f>
        <v>是</v>
      </c>
      <c r="I295" s="8" t="str">
        <f t="shared" si="4"/>
        <v>黎浩然停车费</v>
      </c>
      <c r="J295" s="37">
        <f>IF(SUMPRODUCT((I$3:I295=I295)*1)=1,1,0)</f>
        <v>1</v>
      </c>
      <c r="K295" s="7"/>
    </row>
    <row r="296" spans="1:11" ht="13.5">
      <c r="A296" s="19">
        <v>45180</v>
      </c>
      <c r="B296" s="8" t="s">
        <v>116</v>
      </c>
      <c r="C296" s="8" t="s">
        <v>20</v>
      </c>
      <c r="D296" s="8" t="str">
        <f>LEFT(C296,3)</f>
        <v>北京市</v>
      </c>
      <c r="E296" s="8" t="s">
        <v>142</v>
      </c>
      <c r="F296" s="8" t="str">
        <f>VLOOKUP(E296,费用类别!A:B,2,0)</f>
        <v>停车费</v>
      </c>
      <c r="G296" s="9">
        <v>535.83333333333303</v>
      </c>
      <c r="H296" s="20" t="str">
        <f>IF(WEEKDAY(A296,2)&gt;5,"是","否")</f>
        <v>否</v>
      </c>
      <c r="I296" s="8" t="str">
        <f t="shared" si="4"/>
        <v>徐志晨停车费</v>
      </c>
      <c r="J296" s="37">
        <f>IF(SUMPRODUCT((I$3:I296=I296)*1)=1,1,0)</f>
        <v>1</v>
      </c>
      <c r="K296" s="7"/>
    </row>
    <row r="297" spans="1:11" ht="13.5">
      <c r="A297" s="19">
        <v>45180</v>
      </c>
      <c r="B297" s="8" t="s">
        <v>134</v>
      </c>
      <c r="C297" s="8" t="s">
        <v>71</v>
      </c>
      <c r="D297" s="8" t="str">
        <f>LEFT(C297,3)</f>
        <v>河南省</v>
      </c>
      <c r="E297" s="8" t="s">
        <v>143</v>
      </c>
      <c r="F297" s="8" t="str">
        <f>VLOOKUP(E297,费用类别!A:B,2,0)</f>
        <v>通讯补助</v>
      </c>
      <c r="G297" s="9">
        <v>532.6</v>
      </c>
      <c r="H297" s="20" t="str">
        <f>IF(WEEKDAY(A297,2)&gt;5,"是","否")</f>
        <v>否</v>
      </c>
      <c r="I297" s="8" t="str">
        <f t="shared" si="4"/>
        <v>唐雅林通讯补助</v>
      </c>
      <c r="J297" s="37">
        <f>IF(SUMPRODUCT((I$3:I297=I297)*1)=1,1,0)</f>
        <v>0</v>
      </c>
      <c r="K297" s="7"/>
    </row>
    <row r="298" spans="1:11" ht="13.5">
      <c r="A298" s="19">
        <v>45180</v>
      </c>
      <c r="B298" s="8" t="s">
        <v>134</v>
      </c>
      <c r="C298" s="8" t="s">
        <v>54</v>
      </c>
      <c r="D298" s="8" t="str">
        <f>LEFT(C298,3)</f>
        <v>广东省</v>
      </c>
      <c r="E298" s="8" t="s">
        <v>143</v>
      </c>
      <c r="F298" s="8" t="str">
        <f>VLOOKUP(E298,费用类别!A:B,2,0)</f>
        <v>通讯补助</v>
      </c>
      <c r="G298" s="9">
        <v>1150.8333333333301</v>
      </c>
      <c r="H298" s="20" t="str">
        <f>IF(WEEKDAY(A298,2)&gt;5,"是","否")</f>
        <v>否</v>
      </c>
      <c r="I298" s="8" t="str">
        <f t="shared" si="4"/>
        <v>唐雅林通讯补助</v>
      </c>
      <c r="J298" s="37">
        <f>IF(SUMPRODUCT((I$3:I298=I298)*1)=1,1,0)</f>
        <v>0</v>
      </c>
      <c r="K298" s="7"/>
    </row>
    <row r="299" spans="1:11" ht="13.5">
      <c r="A299" s="19">
        <v>45181</v>
      </c>
      <c r="B299" s="8" t="s">
        <v>130</v>
      </c>
      <c r="C299" s="8" t="s">
        <v>65</v>
      </c>
      <c r="D299" s="8" t="str">
        <f>LEFT(C299,3)</f>
        <v>辽宁省</v>
      </c>
      <c r="E299" s="8" t="s">
        <v>142</v>
      </c>
      <c r="F299" s="8" t="str">
        <f>VLOOKUP(E299,费用类别!A:B,2,0)</f>
        <v>停车费</v>
      </c>
      <c r="G299" s="9">
        <v>29</v>
      </c>
      <c r="H299" s="20" t="str">
        <f>IF(WEEKDAY(A299,2)&gt;5,"是","否")</f>
        <v>否</v>
      </c>
      <c r="I299" s="8" t="str">
        <f t="shared" si="4"/>
        <v>邹佳楠停车费</v>
      </c>
      <c r="J299" s="37">
        <f>IF(SUMPRODUCT((I$3:I299=I299)*1)=1,1,0)</f>
        <v>1</v>
      </c>
      <c r="K299" s="7"/>
    </row>
    <row r="300" spans="1:11" ht="13.5">
      <c r="A300" s="19">
        <v>45181</v>
      </c>
      <c r="B300" s="8" t="s">
        <v>130</v>
      </c>
      <c r="C300" s="8" t="s">
        <v>50</v>
      </c>
      <c r="D300" s="8" t="str">
        <f>LEFT(C300,3)</f>
        <v>四川省</v>
      </c>
      <c r="E300" s="8" t="s">
        <v>139</v>
      </c>
      <c r="F300" s="8" t="str">
        <f>VLOOKUP(E300,费用类别!A:B,2,0)</f>
        <v>火车票</v>
      </c>
      <c r="G300" s="9">
        <v>902.1</v>
      </c>
      <c r="H300" s="20" t="str">
        <f>IF(WEEKDAY(A300,2)&gt;5,"是","否")</f>
        <v>否</v>
      </c>
      <c r="I300" s="8" t="str">
        <f t="shared" si="4"/>
        <v>邹佳楠火车票</v>
      </c>
      <c r="J300" s="37">
        <f>IF(SUMPRODUCT((I$3:I300=I300)*1)=1,1,0)</f>
        <v>1</v>
      </c>
      <c r="K300" s="7"/>
    </row>
    <row r="301" spans="1:11" ht="13.5">
      <c r="A301" s="19">
        <v>45181</v>
      </c>
      <c r="B301" s="8" t="s">
        <v>108</v>
      </c>
      <c r="C301" s="8" t="s">
        <v>11</v>
      </c>
      <c r="D301" s="8" t="str">
        <f>LEFT(C301,3)</f>
        <v>福建省</v>
      </c>
      <c r="E301" s="8" t="s">
        <v>137</v>
      </c>
      <c r="F301" s="8" t="str">
        <f>VLOOKUP(E301,费用类别!A:B,2,0)</f>
        <v>餐饮费</v>
      </c>
      <c r="G301" s="9">
        <v>140</v>
      </c>
      <c r="H301" s="20" t="str">
        <f>IF(WEEKDAY(A301,2)&gt;5,"是","否")</f>
        <v>否</v>
      </c>
      <c r="I301" s="8" t="str">
        <f t="shared" si="4"/>
        <v>孟天祥餐饮费</v>
      </c>
      <c r="J301" s="37">
        <f>IF(SUMPRODUCT((I$3:I301=I301)*1)=1,1,0)</f>
        <v>1</v>
      </c>
      <c r="K301" s="7"/>
    </row>
    <row r="302" spans="1:11" ht="13.5">
      <c r="A302" s="19">
        <v>45182</v>
      </c>
      <c r="B302" s="8" t="s">
        <v>110</v>
      </c>
      <c r="C302" s="8" t="s">
        <v>13</v>
      </c>
      <c r="D302" s="8" t="str">
        <f>LEFT(C302,3)</f>
        <v>上海市</v>
      </c>
      <c r="E302" s="8" t="s">
        <v>139</v>
      </c>
      <c r="F302" s="8" t="str">
        <f>VLOOKUP(E302,费用类别!A:B,2,0)</f>
        <v>火车票</v>
      </c>
      <c r="G302" s="9">
        <v>345</v>
      </c>
      <c r="H302" s="20" t="str">
        <f>IF(WEEKDAY(A302,2)&gt;5,"是","否")</f>
        <v>否</v>
      </c>
      <c r="I302" s="8" t="str">
        <f t="shared" si="4"/>
        <v>王天宇火车票</v>
      </c>
      <c r="J302" s="37">
        <f>IF(SUMPRODUCT((I$3:I302=I302)*1)=1,1,0)</f>
        <v>0</v>
      </c>
      <c r="K302" s="7"/>
    </row>
    <row r="303" spans="1:11" ht="13.5">
      <c r="A303" s="19">
        <v>45182</v>
      </c>
      <c r="B303" s="8" t="s">
        <v>125</v>
      </c>
      <c r="C303" s="8" t="s">
        <v>38</v>
      </c>
      <c r="D303" s="8" t="str">
        <f>LEFT(C303,3)</f>
        <v>上海市</v>
      </c>
      <c r="E303" s="8" t="s">
        <v>140</v>
      </c>
      <c r="F303" s="8" t="str">
        <f>VLOOKUP(E303,费用类别!A:B,2,0)</f>
        <v>高速道桥费</v>
      </c>
      <c r="G303" s="9">
        <v>1150.8333333333301</v>
      </c>
      <c r="H303" s="20" t="str">
        <f>IF(WEEKDAY(A303,2)&gt;5,"是","否")</f>
        <v>否</v>
      </c>
      <c r="I303" s="8" t="str">
        <f t="shared" si="4"/>
        <v>边金双高速道桥费</v>
      </c>
      <c r="J303" s="37">
        <f>IF(SUMPRODUCT((I$3:I303=I303)*1)=1,1,0)</f>
        <v>0</v>
      </c>
      <c r="K303" s="7"/>
    </row>
    <row r="304" spans="1:11" ht="13.5">
      <c r="A304" s="19">
        <v>45182</v>
      </c>
      <c r="B304" s="8" t="s">
        <v>121</v>
      </c>
      <c r="C304" s="8" t="s">
        <v>47</v>
      </c>
      <c r="D304" s="8" t="str">
        <f>LEFT(C304,3)</f>
        <v>北京市</v>
      </c>
      <c r="E304" s="8" t="s">
        <v>136</v>
      </c>
      <c r="F304" s="8" t="str">
        <f>VLOOKUP(E304,费用类别!A:B,2,0)</f>
        <v>酒店住宿</v>
      </c>
      <c r="G304" s="9">
        <v>680.4</v>
      </c>
      <c r="H304" s="20" t="str">
        <f>IF(WEEKDAY(A304,2)&gt;5,"是","否")</f>
        <v>否</v>
      </c>
      <c r="I304" s="8" t="str">
        <f t="shared" si="4"/>
        <v>关天胜酒店住宿</v>
      </c>
      <c r="J304" s="37">
        <f>IF(SUMPRODUCT((I$3:I304=I304)*1)=1,1,0)</f>
        <v>1</v>
      </c>
      <c r="K304" s="7"/>
    </row>
    <row r="305" spans="1:11" ht="13.5">
      <c r="A305" s="19">
        <v>45182</v>
      </c>
      <c r="B305" s="8" t="s">
        <v>116</v>
      </c>
      <c r="C305" s="8" t="s">
        <v>20</v>
      </c>
      <c r="D305" s="8" t="str">
        <f>LEFT(C305,3)</f>
        <v>北京市</v>
      </c>
      <c r="E305" s="8" t="s">
        <v>143</v>
      </c>
      <c r="F305" s="8" t="str">
        <f>VLOOKUP(E305,费用类别!A:B,2,0)</f>
        <v>通讯补助</v>
      </c>
      <c r="G305" s="9">
        <v>532.6</v>
      </c>
      <c r="H305" s="20" t="str">
        <f>IF(WEEKDAY(A305,2)&gt;5,"是","否")</f>
        <v>否</v>
      </c>
      <c r="I305" s="8" t="str">
        <f t="shared" si="4"/>
        <v>徐志晨通讯补助</v>
      </c>
      <c r="J305" s="37">
        <f>IF(SUMPRODUCT((I$3:I305=I305)*1)=1,1,0)</f>
        <v>1</v>
      </c>
      <c r="K305" s="7"/>
    </row>
    <row r="306" spans="1:11" ht="13.5">
      <c r="A306" s="19">
        <v>45182</v>
      </c>
      <c r="B306" s="8" t="s">
        <v>120</v>
      </c>
      <c r="C306" s="8" t="s">
        <v>24</v>
      </c>
      <c r="D306" s="8" t="str">
        <f>LEFT(C306,3)</f>
        <v>四川省</v>
      </c>
      <c r="E306" s="8" t="s">
        <v>139</v>
      </c>
      <c r="F306" s="8" t="str">
        <f>VLOOKUP(E306,费用类别!A:B,2,0)</f>
        <v>火车票</v>
      </c>
      <c r="G306" s="9">
        <v>29</v>
      </c>
      <c r="H306" s="20" t="str">
        <f>IF(WEEKDAY(A306,2)&gt;5,"是","否")</f>
        <v>否</v>
      </c>
      <c r="I306" s="8" t="str">
        <f t="shared" si="4"/>
        <v>谢丽秋火车票</v>
      </c>
      <c r="J306" s="37">
        <f>IF(SUMPRODUCT((I$3:I306=I306)*1)=1,1,0)</f>
        <v>0</v>
      </c>
      <c r="K306" s="7"/>
    </row>
    <row r="307" spans="1:11" ht="13.5">
      <c r="A307" s="19">
        <v>45183</v>
      </c>
      <c r="B307" s="8" t="s">
        <v>117</v>
      </c>
      <c r="C307" s="8" t="s">
        <v>21</v>
      </c>
      <c r="D307" s="8" t="str">
        <f>LEFT(C307,3)</f>
        <v>贵州省</v>
      </c>
      <c r="E307" s="8" t="s">
        <v>140</v>
      </c>
      <c r="F307" s="8" t="str">
        <f>VLOOKUP(E307,费用类别!A:B,2,0)</f>
        <v>高速道桥费</v>
      </c>
      <c r="G307" s="9">
        <v>532.6</v>
      </c>
      <c r="H307" s="20" t="str">
        <f>IF(WEEKDAY(A307,2)&gt;5,"是","否")</f>
        <v>否</v>
      </c>
      <c r="I307" s="8" t="str">
        <f t="shared" si="4"/>
        <v>张哲宇高速道桥费</v>
      </c>
      <c r="J307" s="37">
        <f>IF(SUMPRODUCT((I$3:I307=I307)*1)=1,1,0)</f>
        <v>0</v>
      </c>
      <c r="K307" s="7"/>
    </row>
    <row r="308" spans="1:11" ht="13.5">
      <c r="A308" s="19">
        <v>45184</v>
      </c>
      <c r="B308" s="8" t="s">
        <v>113</v>
      </c>
      <c r="C308" s="8" t="s">
        <v>57</v>
      </c>
      <c r="D308" s="8" t="str">
        <f>LEFT(C308,3)</f>
        <v>上海市</v>
      </c>
      <c r="E308" s="8" t="s">
        <v>143</v>
      </c>
      <c r="F308" s="8" t="str">
        <f>VLOOKUP(E308,费用类别!A:B,2,0)</f>
        <v>通讯补助</v>
      </c>
      <c r="G308" s="9">
        <v>200</v>
      </c>
      <c r="H308" s="20" t="str">
        <f>IF(WEEKDAY(A308,2)&gt;5,"是","否")</f>
        <v>否</v>
      </c>
      <c r="I308" s="8" t="str">
        <f t="shared" si="4"/>
        <v>王崇江通讯补助</v>
      </c>
      <c r="J308" s="37">
        <f>IF(SUMPRODUCT((I$3:I308=I308)*1)=1,1,0)</f>
        <v>0</v>
      </c>
      <c r="K308" s="7"/>
    </row>
    <row r="309" spans="1:11" ht="13.5">
      <c r="A309" s="19">
        <v>45184</v>
      </c>
      <c r="B309" s="8" t="s">
        <v>115</v>
      </c>
      <c r="C309" s="8" t="s">
        <v>92</v>
      </c>
      <c r="D309" s="8" t="str">
        <f>LEFT(C309,3)</f>
        <v>江苏省</v>
      </c>
      <c r="E309" s="8" t="s">
        <v>139</v>
      </c>
      <c r="F309" s="8" t="str">
        <f>VLOOKUP(E309,费用类别!A:B,2,0)</f>
        <v>火车票</v>
      </c>
      <c r="G309" s="9">
        <v>843.33333333333303</v>
      </c>
      <c r="H309" s="20" t="str">
        <f>IF(WEEKDAY(A309,2)&gt;5,"是","否")</f>
        <v>否</v>
      </c>
      <c r="I309" s="8" t="str">
        <f t="shared" si="4"/>
        <v>刘露露火车票</v>
      </c>
      <c r="J309" s="37">
        <f>IF(SUMPRODUCT((I$3:I309=I309)*1)=1,1,0)</f>
        <v>0</v>
      </c>
      <c r="K309" s="7"/>
    </row>
    <row r="310" spans="1:11" ht="13.5">
      <c r="A310" s="19">
        <v>45185</v>
      </c>
      <c r="B310" s="8" t="s">
        <v>124</v>
      </c>
      <c r="C310" s="8" t="s">
        <v>62</v>
      </c>
      <c r="D310" s="8" t="str">
        <f>LEFT(C310,3)</f>
        <v>浙江省</v>
      </c>
      <c r="E310" s="8" t="s">
        <v>137</v>
      </c>
      <c r="F310" s="8" t="str">
        <f>VLOOKUP(E310,费用类别!A:B,2,0)</f>
        <v>餐饮费</v>
      </c>
      <c r="G310" s="9">
        <v>140</v>
      </c>
      <c r="H310" s="20" t="str">
        <f>IF(WEEKDAY(A310,2)&gt;5,"是","否")</f>
        <v>是</v>
      </c>
      <c r="I310" s="8" t="str">
        <f t="shared" si="4"/>
        <v>王雅林餐饮费</v>
      </c>
      <c r="J310" s="37">
        <f>IF(SUMPRODUCT((I$3:I310=I310)*1)=1,1,0)</f>
        <v>0</v>
      </c>
      <c r="K310" s="7"/>
    </row>
    <row r="311" spans="1:11" ht="13.5">
      <c r="A311" s="19">
        <v>45185</v>
      </c>
      <c r="B311" s="8" t="s">
        <v>125</v>
      </c>
      <c r="C311" s="8" t="s">
        <v>60</v>
      </c>
      <c r="D311" s="8" t="str">
        <f>LEFT(C311,3)</f>
        <v>河北省</v>
      </c>
      <c r="E311" s="8" t="s">
        <v>143</v>
      </c>
      <c r="F311" s="8" t="str">
        <f>VLOOKUP(E311,费用类别!A:B,2,0)</f>
        <v>通讯补助</v>
      </c>
      <c r="G311" s="9">
        <v>500</v>
      </c>
      <c r="H311" s="20" t="str">
        <f>IF(WEEKDAY(A311,2)&gt;5,"是","否")</f>
        <v>是</v>
      </c>
      <c r="I311" s="8" t="str">
        <f t="shared" si="4"/>
        <v>边金双通讯补助</v>
      </c>
      <c r="J311" s="37">
        <f>IF(SUMPRODUCT((I$3:I311=I311)*1)=1,1,0)</f>
        <v>0</v>
      </c>
      <c r="K311" s="7"/>
    </row>
    <row r="312" spans="1:11" ht="13.5">
      <c r="A312" s="19">
        <v>45186</v>
      </c>
      <c r="B312" s="8" t="s">
        <v>110</v>
      </c>
      <c r="C312" s="8" t="s">
        <v>59</v>
      </c>
      <c r="D312" s="8" t="str">
        <f>LEFT(C312,3)</f>
        <v>北京市</v>
      </c>
      <c r="E312" s="8" t="s">
        <v>137</v>
      </c>
      <c r="F312" s="8" t="str">
        <f>VLOOKUP(E312,费用类别!A:B,2,0)</f>
        <v>餐饮费</v>
      </c>
      <c r="G312" s="9">
        <v>300</v>
      </c>
      <c r="H312" s="20" t="str">
        <f>IF(WEEKDAY(A312,2)&gt;5,"是","否")</f>
        <v>是</v>
      </c>
      <c r="I312" s="8" t="str">
        <f t="shared" si="4"/>
        <v>王天宇餐饮费</v>
      </c>
      <c r="J312" s="37">
        <f>IF(SUMPRODUCT((I$3:I312=I312)*1)=1,1,0)</f>
        <v>0</v>
      </c>
      <c r="K312" s="7"/>
    </row>
    <row r="313" spans="1:11" ht="13.5">
      <c r="A313" s="19">
        <v>45186</v>
      </c>
      <c r="B313" s="8" t="s">
        <v>111</v>
      </c>
      <c r="C313" s="8" t="s">
        <v>68</v>
      </c>
      <c r="D313" s="8" t="str">
        <f>LEFT(C313,3)</f>
        <v>杭州市</v>
      </c>
      <c r="E313" s="8" t="s">
        <v>137</v>
      </c>
      <c r="F313" s="8" t="str">
        <f>VLOOKUP(E313,费用类别!A:B,2,0)</f>
        <v>餐饮费</v>
      </c>
      <c r="G313" s="9">
        <v>976</v>
      </c>
      <c r="H313" s="20" t="str">
        <f>IF(WEEKDAY(A313,2)&gt;5,"是","否")</f>
        <v>是</v>
      </c>
      <c r="I313" s="8" t="str">
        <f t="shared" si="4"/>
        <v>方文成餐饮费</v>
      </c>
      <c r="J313" s="37">
        <f>IF(SUMPRODUCT((I$3:I313=I313)*1)=1,1,0)</f>
        <v>0</v>
      </c>
      <c r="K313" s="7"/>
    </row>
    <row r="314" spans="1:11" ht="13.5">
      <c r="A314" s="19">
        <v>45186</v>
      </c>
      <c r="B314" s="8" t="s">
        <v>112</v>
      </c>
      <c r="C314" s="8" t="s">
        <v>156</v>
      </c>
      <c r="D314" s="8" t="str">
        <f>LEFT(C314,3)</f>
        <v>河北省</v>
      </c>
      <c r="E314" s="8" t="s">
        <v>140</v>
      </c>
      <c r="F314" s="8" t="str">
        <f>VLOOKUP(E314,费用类别!A:B,2,0)</f>
        <v>高速道桥费</v>
      </c>
      <c r="G314" s="9">
        <v>843.33333333333303</v>
      </c>
      <c r="H314" s="20" t="str">
        <f>IF(WEEKDAY(A314,2)&gt;5,"是","否")</f>
        <v>是</v>
      </c>
      <c r="I314" s="8" t="str">
        <f t="shared" si="4"/>
        <v>钱顺卓高速道桥费</v>
      </c>
      <c r="J314" s="37">
        <f>IF(SUMPRODUCT((I$3:I314=I314)*1)=1,1,0)</f>
        <v>0</v>
      </c>
      <c r="K314" s="7"/>
    </row>
    <row r="315" spans="1:11" ht="13.5">
      <c r="A315" s="19">
        <v>45189</v>
      </c>
      <c r="B315" s="8" t="s">
        <v>130</v>
      </c>
      <c r="C315" s="8" t="s">
        <v>96</v>
      </c>
      <c r="D315" s="8" t="str">
        <f>LEFT(C315,3)</f>
        <v>北京市</v>
      </c>
      <c r="E315" s="8" t="s">
        <v>135</v>
      </c>
      <c r="F315" s="8" t="str">
        <f>VLOOKUP(E315,费用类别!A:B,2,0)</f>
        <v>飞机票</v>
      </c>
      <c r="G315" s="9">
        <v>100</v>
      </c>
      <c r="H315" s="20" t="str">
        <f>IF(WEEKDAY(A315,2)&gt;5,"是","否")</f>
        <v>否</v>
      </c>
      <c r="I315" s="8" t="str">
        <f t="shared" si="4"/>
        <v>邹佳楠飞机票</v>
      </c>
      <c r="J315" s="37">
        <f>IF(SUMPRODUCT((I$3:I315=I315)*1)=1,1,0)</f>
        <v>0</v>
      </c>
      <c r="K315" s="7"/>
    </row>
    <row r="316" spans="1:11" ht="13.5">
      <c r="A316" s="19">
        <v>45189</v>
      </c>
      <c r="B316" s="8" t="s">
        <v>117</v>
      </c>
      <c r="C316" s="8" t="s">
        <v>70</v>
      </c>
      <c r="D316" s="8" t="str">
        <f>LEFT(C316,3)</f>
        <v>湖北省</v>
      </c>
      <c r="E316" s="8" t="s">
        <v>139</v>
      </c>
      <c r="F316" s="8" t="str">
        <f>VLOOKUP(E316,费用类别!A:B,2,0)</f>
        <v>火车票</v>
      </c>
      <c r="G316" s="9">
        <v>140</v>
      </c>
      <c r="H316" s="20" t="str">
        <f>IF(WEEKDAY(A316,2)&gt;5,"是","否")</f>
        <v>否</v>
      </c>
      <c r="I316" s="8" t="str">
        <f t="shared" si="4"/>
        <v>张哲宇火车票</v>
      </c>
      <c r="J316" s="37">
        <f>IF(SUMPRODUCT((I$3:I316=I316)*1)=1,1,0)</f>
        <v>0</v>
      </c>
      <c r="K316" s="7"/>
    </row>
    <row r="317" spans="1:11" ht="13.5">
      <c r="A317" s="19">
        <v>45189</v>
      </c>
      <c r="B317" s="8" t="s">
        <v>126</v>
      </c>
      <c r="C317" s="8" t="s">
        <v>90</v>
      </c>
      <c r="D317" s="8" t="str">
        <f>LEFT(C317,3)</f>
        <v>四川省</v>
      </c>
      <c r="E317" s="8" t="s">
        <v>137</v>
      </c>
      <c r="F317" s="8" t="str">
        <f>VLOOKUP(E317,费用类别!A:B,2,0)</f>
        <v>餐饮费</v>
      </c>
      <c r="G317" s="9">
        <v>843.33333333333303</v>
      </c>
      <c r="H317" s="20" t="str">
        <f>IF(WEEKDAY(A317,2)&gt;5,"是","否")</f>
        <v>否</v>
      </c>
      <c r="I317" s="8" t="str">
        <f t="shared" si="4"/>
        <v>赵琳艳餐饮费</v>
      </c>
      <c r="J317" s="37">
        <f>IF(SUMPRODUCT((I$3:I317=I317)*1)=1,1,0)</f>
        <v>0</v>
      </c>
      <c r="K317" s="7"/>
    </row>
    <row r="318" spans="1:11" ht="13.5">
      <c r="A318" s="19">
        <v>45190</v>
      </c>
      <c r="B318" s="8" t="s">
        <v>118</v>
      </c>
      <c r="C318" s="8" t="s">
        <v>95</v>
      </c>
      <c r="D318" s="8" t="str">
        <f>LEFT(C318,3)</f>
        <v>浙江省</v>
      </c>
      <c r="E318" s="8" t="s">
        <v>144</v>
      </c>
      <c r="F318" s="8" t="str">
        <f>VLOOKUP(E318,费用类别!A:B,2,0)</f>
        <v>其他</v>
      </c>
      <c r="G318" s="9">
        <v>200</v>
      </c>
      <c r="H318" s="20" t="str">
        <f>IF(WEEKDAY(A318,2)&gt;5,"是","否")</f>
        <v>否</v>
      </c>
      <c r="I318" s="8" t="str">
        <f t="shared" si="4"/>
        <v>王炫皓其他</v>
      </c>
      <c r="J318" s="37">
        <f>IF(SUMPRODUCT((I$3:I318=I318)*1)=1,1,0)</f>
        <v>0</v>
      </c>
      <c r="K318" s="7"/>
    </row>
    <row r="319" spans="1:11" ht="13.5">
      <c r="A319" s="19">
        <v>45190</v>
      </c>
      <c r="B319" s="8" t="s">
        <v>111</v>
      </c>
      <c r="C319" s="8" t="s">
        <v>31</v>
      </c>
      <c r="D319" s="8" t="str">
        <f>LEFT(C319,3)</f>
        <v>广东省</v>
      </c>
      <c r="E319" s="8" t="s">
        <v>140</v>
      </c>
      <c r="F319" s="8" t="str">
        <f>VLOOKUP(E319,费用类别!A:B,2,0)</f>
        <v>高速道桥费</v>
      </c>
      <c r="G319" s="9">
        <v>345</v>
      </c>
      <c r="H319" s="20" t="str">
        <f>IF(WEEKDAY(A319,2)&gt;5,"是","否")</f>
        <v>否</v>
      </c>
      <c r="I319" s="8" t="str">
        <f t="shared" si="4"/>
        <v>方文成高速道桥费</v>
      </c>
      <c r="J319" s="37">
        <f>IF(SUMPRODUCT((I$3:I319=I319)*1)=1,1,0)</f>
        <v>0</v>
      </c>
      <c r="K319" s="7"/>
    </row>
    <row r="320" spans="1:11" ht="13.5">
      <c r="A320" s="19">
        <v>45190</v>
      </c>
      <c r="B320" s="8" t="s">
        <v>125</v>
      </c>
      <c r="C320" s="8" t="s">
        <v>60</v>
      </c>
      <c r="D320" s="8" t="str">
        <f>LEFT(C320,3)</f>
        <v>河北省</v>
      </c>
      <c r="E320" s="8" t="s">
        <v>143</v>
      </c>
      <c r="F320" s="8" t="str">
        <f>VLOOKUP(E320,费用类别!A:B,2,0)</f>
        <v>通讯补助</v>
      </c>
      <c r="G320" s="9">
        <v>200</v>
      </c>
      <c r="H320" s="20" t="str">
        <f>IF(WEEKDAY(A320,2)&gt;5,"是","否")</f>
        <v>否</v>
      </c>
      <c r="I320" s="8" t="str">
        <f t="shared" si="4"/>
        <v>边金双通讯补助</v>
      </c>
      <c r="J320" s="37">
        <f>IF(SUMPRODUCT((I$3:I320=I320)*1)=1,1,0)</f>
        <v>0</v>
      </c>
      <c r="K320" s="7"/>
    </row>
    <row r="321" spans="1:11" ht="13.5">
      <c r="A321" s="19">
        <v>45190</v>
      </c>
      <c r="B321" s="8" t="s">
        <v>126</v>
      </c>
      <c r="C321" s="8" t="s">
        <v>39</v>
      </c>
      <c r="D321" s="8" t="str">
        <f>LEFT(C321,3)</f>
        <v>上海市</v>
      </c>
      <c r="E321" s="8" t="s">
        <v>136</v>
      </c>
      <c r="F321" s="8" t="str">
        <f>VLOOKUP(E321,费用类别!A:B,2,0)</f>
        <v>酒店住宿</v>
      </c>
      <c r="G321" s="9">
        <v>22</v>
      </c>
      <c r="H321" s="20" t="str">
        <f>IF(WEEKDAY(A321,2)&gt;5,"是","否")</f>
        <v>否</v>
      </c>
      <c r="I321" s="8" t="str">
        <f t="shared" si="4"/>
        <v>赵琳艳酒店住宿</v>
      </c>
      <c r="J321" s="37">
        <f>IF(SUMPRODUCT((I$3:I321=I321)*1)=1,1,0)</f>
        <v>0</v>
      </c>
      <c r="K321" s="7"/>
    </row>
    <row r="322" spans="1:11" ht="13.5">
      <c r="A322" s="19">
        <v>45191</v>
      </c>
      <c r="B322" s="8" t="s">
        <v>124</v>
      </c>
      <c r="C322" s="8" t="s">
        <v>62</v>
      </c>
      <c r="D322" s="8" t="str">
        <f>LEFT(C322,3)</f>
        <v>浙江省</v>
      </c>
      <c r="E322" s="8" t="s">
        <v>137</v>
      </c>
      <c r="F322" s="8" t="str">
        <f>VLOOKUP(E322,费用类别!A:B,2,0)</f>
        <v>餐饮费</v>
      </c>
      <c r="G322" s="9">
        <v>22</v>
      </c>
      <c r="H322" s="20" t="str">
        <f>IF(WEEKDAY(A322,2)&gt;5,"是","否")</f>
        <v>否</v>
      </c>
      <c r="I322" s="8" t="str">
        <f t="shared" si="4"/>
        <v>王雅林餐饮费</v>
      </c>
      <c r="J322" s="37">
        <f>IF(SUMPRODUCT((I$3:I322=I322)*1)=1,1,0)</f>
        <v>0</v>
      </c>
      <c r="K322" s="7"/>
    </row>
    <row r="323" spans="1:11" ht="13.5">
      <c r="A323" s="19">
        <v>45191</v>
      </c>
      <c r="B323" s="8" t="s">
        <v>133</v>
      </c>
      <c r="C323" s="8" t="s">
        <v>67</v>
      </c>
      <c r="D323" s="8" t="str">
        <f>LEFT(C323,3)</f>
        <v>大连市</v>
      </c>
      <c r="E323" s="8" t="s">
        <v>144</v>
      </c>
      <c r="F323" s="8" t="str">
        <f>VLOOKUP(E323,费用类别!A:B,2,0)</f>
        <v>其他</v>
      </c>
      <c r="G323" s="9">
        <v>458.7</v>
      </c>
      <c r="H323" s="20" t="str">
        <f>IF(WEEKDAY(A323,2)&gt;5,"是","否")</f>
        <v>否</v>
      </c>
      <c r="I323" s="8" t="str">
        <f t="shared" ref="I323:I386" si="5">B323&amp;F323</f>
        <v>杨国强其他</v>
      </c>
      <c r="J323" s="37">
        <f>IF(SUMPRODUCT((I$3:I323=I323)*1)=1,1,0)</f>
        <v>1</v>
      </c>
      <c r="K323" s="7"/>
    </row>
    <row r="324" spans="1:11" ht="13.5">
      <c r="A324" s="19">
        <v>45191</v>
      </c>
      <c r="B324" s="8" t="s">
        <v>109</v>
      </c>
      <c r="C324" s="8" t="s">
        <v>69</v>
      </c>
      <c r="D324" s="8" t="str">
        <f>LEFT(C324,3)</f>
        <v>北京市</v>
      </c>
      <c r="E324" s="8" t="s">
        <v>138</v>
      </c>
      <c r="F324" s="8" t="str">
        <f>VLOOKUP(E324,费用类别!A:B,2,0)</f>
        <v>出租车费</v>
      </c>
      <c r="G324" s="9">
        <v>606.5</v>
      </c>
      <c r="H324" s="20" t="str">
        <f>IF(WEEKDAY(A324,2)&gt;5,"是","否")</f>
        <v>否</v>
      </c>
      <c r="I324" s="8" t="str">
        <f t="shared" si="5"/>
        <v>陈祥通出租车费</v>
      </c>
      <c r="J324" s="37">
        <f>IF(SUMPRODUCT((I$3:I324=I324)*1)=1,1,0)</f>
        <v>0</v>
      </c>
      <c r="K324" s="7"/>
    </row>
    <row r="325" spans="1:11" ht="13.5">
      <c r="A325" s="19">
        <v>45191</v>
      </c>
      <c r="B325" s="8" t="s">
        <v>120</v>
      </c>
      <c r="C325" s="8" t="s">
        <v>33</v>
      </c>
      <c r="D325" s="8" t="str">
        <f>LEFT(C325,3)</f>
        <v>天津市</v>
      </c>
      <c r="E325" s="8" t="s">
        <v>141</v>
      </c>
      <c r="F325" s="8" t="str">
        <f>VLOOKUP(E325,费用类别!A:B,2,0)</f>
        <v>燃油费</v>
      </c>
      <c r="G325" s="9">
        <v>345</v>
      </c>
      <c r="H325" s="20" t="str">
        <f>IF(WEEKDAY(A325,2)&gt;5,"是","否")</f>
        <v>否</v>
      </c>
      <c r="I325" s="8" t="str">
        <f t="shared" si="5"/>
        <v>谢丽秋燃油费</v>
      </c>
      <c r="J325" s="37">
        <f>IF(SUMPRODUCT((I$3:I325=I325)*1)=1,1,0)</f>
        <v>1</v>
      </c>
      <c r="K325" s="7"/>
    </row>
    <row r="326" spans="1:11" ht="13.5">
      <c r="A326" s="19">
        <v>45192</v>
      </c>
      <c r="B326" s="8" t="s">
        <v>111</v>
      </c>
      <c r="C326" s="8" t="s">
        <v>31</v>
      </c>
      <c r="D326" s="8" t="str">
        <f>LEFT(C326,3)</f>
        <v>广东省</v>
      </c>
      <c r="E326" s="8" t="s">
        <v>136</v>
      </c>
      <c r="F326" s="8" t="str">
        <f>VLOOKUP(E326,费用类别!A:B,2,0)</f>
        <v>酒店住宿</v>
      </c>
      <c r="G326" s="9">
        <v>1271.5999999999999</v>
      </c>
      <c r="H326" s="20" t="str">
        <f>IF(WEEKDAY(A326,2)&gt;5,"是","否")</f>
        <v>是</v>
      </c>
      <c r="I326" s="8" t="str">
        <f t="shared" si="5"/>
        <v>方文成酒店住宿</v>
      </c>
      <c r="J326" s="37">
        <f>IF(SUMPRODUCT((I$3:I326=I326)*1)=1,1,0)</f>
        <v>1</v>
      </c>
      <c r="K326" s="7"/>
    </row>
    <row r="327" spans="1:11" ht="13.5">
      <c r="A327" s="19">
        <v>45192</v>
      </c>
      <c r="B327" s="8" t="s">
        <v>112</v>
      </c>
      <c r="C327" s="8" t="s">
        <v>28</v>
      </c>
      <c r="D327" s="8" t="str">
        <f>LEFT(C327,3)</f>
        <v>北京市</v>
      </c>
      <c r="E327" s="8" t="s">
        <v>140</v>
      </c>
      <c r="F327" s="8" t="str">
        <f>VLOOKUP(E327,费用类别!A:B,2,0)</f>
        <v>高速道桥费</v>
      </c>
      <c r="G327" s="9">
        <v>1123.8</v>
      </c>
      <c r="H327" s="20" t="str">
        <f>IF(WEEKDAY(A327,2)&gt;5,"是","否")</f>
        <v>是</v>
      </c>
      <c r="I327" s="8" t="str">
        <f t="shared" si="5"/>
        <v>钱顺卓高速道桥费</v>
      </c>
      <c r="J327" s="37">
        <f>IF(SUMPRODUCT((I$3:I327=I327)*1)=1,1,0)</f>
        <v>0</v>
      </c>
      <c r="K327" s="7"/>
    </row>
    <row r="328" spans="1:11" ht="13.5">
      <c r="A328" s="19">
        <v>45192</v>
      </c>
      <c r="B328" s="8" t="s">
        <v>112</v>
      </c>
      <c r="C328" s="8" t="s">
        <v>86</v>
      </c>
      <c r="D328" s="8" t="str">
        <f>LEFT(C328,3)</f>
        <v>广东省</v>
      </c>
      <c r="E328" s="8" t="s">
        <v>139</v>
      </c>
      <c r="F328" s="8" t="str">
        <f>VLOOKUP(E328,费用类别!A:B,2,0)</f>
        <v>火车票</v>
      </c>
      <c r="G328" s="9">
        <v>500</v>
      </c>
      <c r="H328" s="20" t="str">
        <f>IF(WEEKDAY(A328,2)&gt;5,"是","否")</f>
        <v>是</v>
      </c>
      <c r="I328" s="8" t="str">
        <f t="shared" si="5"/>
        <v>钱顺卓火车票</v>
      </c>
      <c r="J328" s="37">
        <f>IF(SUMPRODUCT((I$3:I328=I328)*1)=1,1,0)</f>
        <v>0</v>
      </c>
      <c r="K328" s="7"/>
    </row>
    <row r="329" spans="1:11" ht="13.5">
      <c r="A329" s="19">
        <v>45196</v>
      </c>
      <c r="B329" s="8" t="s">
        <v>118</v>
      </c>
      <c r="C329" s="8" t="s">
        <v>22</v>
      </c>
      <c r="D329" s="8" t="str">
        <f>LEFT(C329,3)</f>
        <v>贵州省</v>
      </c>
      <c r="E329" s="8" t="s">
        <v>141</v>
      </c>
      <c r="F329" s="8" t="str">
        <f>VLOOKUP(E329,费用类别!A:B,2,0)</f>
        <v>燃油费</v>
      </c>
      <c r="G329" s="9">
        <v>606.5</v>
      </c>
      <c r="H329" s="20" t="str">
        <f>IF(WEEKDAY(A329,2)&gt;5,"是","否")</f>
        <v>否</v>
      </c>
      <c r="I329" s="8" t="str">
        <f t="shared" si="5"/>
        <v>王炫皓燃油费</v>
      </c>
      <c r="J329" s="37">
        <f>IF(SUMPRODUCT((I$3:I329=I329)*1)=1,1,0)</f>
        <v>0</v>
      </c>
      <c r="K329" s="7"/>
    </row>
    <row r="330" spans="1:11" ht="13.5">
      <c r="A330" s="19">
        <v>45196</v>
      </c>
      <c r="B330" s="8" t="s">
        <v>121</v>
      </c>
      <c r="C330" s="8" t="s">
        <v>26</v>
      </c>
      <c r="D330" s="8" t="str">
        <f>LEFT(C330,3)</f>
        <v>浙江省</v>
      </c>
      <c r="E330" s="8" t="s">
        <v>138</v>
      </c>
      <c r="F330" s="8" t="str">
        <f>VLOOKUP(E330,费用类别!A:B,2,0)</f>
        <v>出租车费</v>
      </c>
      <c r="G330" s="9">
        <v>902.1</v>
      </c>
      <c r="H330" s="20" t="str">
        <f>IF(WEEKDAY(A330,2)&gt;5,"是","否")</f>
        <v>否</v>
      </c>
      <c r="I330" s="8" t="str">
        <f t="shared" si="5"/>
        <v>关天胜出租车费</v>
      </c>
      <c r="J330" s="37">
        <f>IF(SUMPRODUCT((I$3:I330=I330)*1)=1,1,0)</f>
        <v>0</v>
      </c>
      <c r="K330" s="7"/>
    </row>
    <row r="331" spans="1:11" ht="13.5">
      <c r="A331" s="19">
        <v>45197</v>
      </c>
      <c r="B331" s="8" t="s">
        <v>113</v>
      </c>
      <c r="C331" s="8" t="s">
        <v>100</v>
      </c>
      <c r="D331" s="8" t="str">
        <f>LEFT(C331,3)</f>
        <v>上海市</v>
      </c>
      <c r="E331" s="8" t="s">
        <v>141</v>
      </c>
      <c r="F331" s="8" t="str">
        <f>VLOOKUP(E331,费用类别!A:B,2,0)</f>
        <v>燃油费</v>
      </c>
      <c r="G331" s="9">
        <v>140</v>
      </c>
      <c r="H331" s="20" t="str">
        <f>IF(WEEKDAY(A331,2)&gt;5,"是","否")</f>
        <v>否</v>
      </c>
      <c r="I331" s="8" t="str">
        <f t="shared" si="5"/>
        <v>王崇江燃油费</v>
      </c>
      <c r="J331" s="37">
        <f>IF(SUMPRODUCT((I$3:I331=I331)*1)=1,1,0)</f>
        <v>0</v>
      </c>
      <c r="K331" s="7"/>
    </row>
    <row r="332" spans="1:11" ht="13.5">
      <c r="A332" s="19">
        <v>45197</v>
      </c>
      <c r="B332" s="8" t="s">
        <v>113</v>
      </c>
      <c r="C332" s="8" t="s">
        <v>25</v>
      </c>
      <c r="D332" s="8" t="str">
        <f>LEFT(C332,3)</f>
        <v>山西省</v>
      </c>
      <c r="E332" s="8" t="s">
        <v>140</v>
      </c>
      <c r="F332" s="8" t="str">
        <f>VLOOKUP(E332,费用类别!A:B,2,0)</f>
        <v>高速道桥费</v>
      </c>
      <c r="G332" s="9">
        <v>500</v>
      </c>
      <c r="H332" s="20" t="str">
        <f>IF(WEEKDAY(A332,2)&gt;5,"是","否")</f>
        <v>否</v>
      </c>
      <c r="I332" s="8" t="str">
        <f t="shared" si="5"/>
        <v>王崇江高速道桥费</v>
      </c>
      <c r="J332" s="37">
        <f>IF(SUMPRODUCT((I$3:I332=I332)*1)=1,1,0)</f>
        <v>0</v>
      </c>
      <c r="K332" s="7"/>
    </row>
    <row r="333" spans="1:11" ht="13.5">
      <c r="A333" s="19">
        <v>45197</v>
      </c>
      <c r="B333" s="8" t="s">
        <v>123</v>
      </c>
      <c r="C333" s="8" t="s">
        <v>58</v>
      </c>
      <c r="D333" s="8" t="str">
        <f>LEFT(C333,3)</f>
        <v>安徽省</v>
      </c>
      <c r="E333" s="8" t="s">
        <v>139</v>
      </c>
      <c r="F333" s="8" t="str">
        <f>VLOOKUP(E333,费用类别!A:B,2,0)</f>
        <v>火车票</v>
      </c>
      <c r="G333" s="9">
        <v>638.33333333333303</v>
      </c>
      <c r="H333" s="20" t="str">
        <f>IF(WEEKDAY(A333,2)&gt;5,"是","否")</f>
        <v>否</v>
      </c>
      <c r="I333" s="8" t="str">
        <f t="shared" si="5"/>
        <v>李晓梅火车票</v>
      </c>
      <c r="J333" s="37">
        <f>IF(SUMPRODUCT((I$3:I333=I333)*1)=1,1,0)</f>
        <v>0</v>
      </c>
      <c r="K333" s="7"/>
    </row>
    <row r="334" spans="1:11" ht="13.5">
      <c r="A334" s="19">
        <v>45197</v>
      </c>
      <c r="B334" s="8" t="s">
        <v>116</v>
      </c>
      <c r="C334" s="8" t="s">
        <v>20</v>
      </c>
      <c r="D334" s="8" t="str">
        <f>LEFT(C334,3)</f>
        <v>北京市</v>
      </c>
      <c r="E334" s="8" t="s">
        <v>139</v>
      </c>
      <c r="F334" s="8" t="str">
        <f>VLOOKUP(E334,费用类别!A:B,2,0)</f>
        <v>火车票</v>
      </c>
      <c r="G334" s="9">
        <v>458.7</v>
      </c>
      <c r="H334" s="20" t="str">
        <f>IF(WEEKDAY(A334,2)&gt;5,"是","否")</f>
        <v>否</v>
      </c>
      <c r="I334" s="8" t="str">
        <f t="shared" si="5"/>
        <v>徐志晨火车票</v>
      </c>
      <c r="J334" s="37">
        <f>IF(SUMPRODUCT((I$3:I334=I334)*1)=1,1,0)</f>
        <v>0</v>
      </c>
      <c r="K334" s="7"/>
    </row>
    <row r="335" spans="1:11" ht="13.5">
      <c r="A335" s="19">
        <v>45198</v>
      </c>
      <c r="B335" s="8" t="s">
        <v>121</v>
      </c>
      <c r="C335" s="8" t="s">
        <v>26</v>
      </c>
      <c r="D335" s="8" t="str">
        <f>LEFT(C335,3)</f>
        <v>浙江省</v>
      </c>
      <c r="E335" s="8" t="s">
        <v>141</v>
      </c>
      <c r="F335" s="8" t="str">
        <f>VLOOKUP(E335,费用类别!A:B,2,0)</f>
        <v>燃油费</v>
      </c>
      <c r="G335" s="9">
        <v>976</v>
      </c>
      <c r="H335" s="20" t="str">
        <f>IF(WEEKDAY(A335,2)&gt;5,"是","否")</f>
        <v>否</v>
      </c>
      <c r="I335" s="8" t="str">
        <f t="shared" si="5"/>
        <v>关天胜燃油费</v>
      </c>
      <c r="J335" s="37">
        <f>IF(SUMPRODUCT((I$3:I335=I335)*1)=1,1,0)</f>
        <v>0</v>
      </c>
      <c r="K335" s="7"/>
    </row>
    <row r="336" spans="1:11" ht="13.5">
      <c r="A336" s="19">
        <v>45198</v>
      </c>
      <c r="B336" s="8" t="s">
        <v>130</v>
      </c>
      <c r="C336" s="8" t="s">
        <v>88</v>
      </c>
      <c r="D336" s="8" t="str">
        <f>LEFT(C336,3)</f>
        <v>广东省</v>
      </c>
      <c r="E336" s="8" t="s">
        <v>141</v>
      </c>
      <c r="F336" s="8" t="str">
        <f>VLOOKUP(E336,费用类别!A:B,2,0)</f>
        <v>燃油费</v>
      </c>
      <c r="G336" s="9">
        <v>532.6</v>
      </c>
      <c r="H336" s="20" t="str">
        <f>IF(WEEKDAY(A336,2)&gt;5,"是","否")</f>
        <v>否</v>
      </c>
      <c r="I336" s="8" t="str">
        <f t="shared" si="5"/>
        <v>邹佳楠燃油费</v>
      </c>
      <c r="J336" s="37">
        <f>IF(SUMPRODUCT((I$3:I336=I336)*1)=1,1,0)</f>
        <v>0</v>
      </c>
      <c r="K336" s="7"/>
    </row>
    <row r="337" spans="1:11" ht="13.5">
      <c r="A337" s="19">
        <v>45199</v>
      </c>
      <c r="B337" s="8" t="s">
        <v>121</v>
      </c>
      <c r="C337" s="8" t="s">
        <v>85</v>
      </c>
      <c r="D337" s="8" t="str">
        <f>LEFT(C337,3)</f>
        <v>上海市</v>
      </c>
      <c r="E337" s="8" t="s">
        <v>140</v>
      </c>
      <c r="F337" s="8" t="str">
        <f>VLOOKUP(E337,费用类别!A:B,2,0)</f>
        <v>高速道桥费</v>
      </c>
      <c r="G337" s="9">
        <v>1458.3333333333301</v>
      </c>
      <c r="H337" s="20" t="str">
        <f>IF(WEEKDAY(A337,2)&gt;5,"是","否")</f>
        <v>是</v>
      </c>
      <c r="I337" s="8" t="str">
        <f t="shared" si="5"/>
        <v>关天胜高速道桥费</v>
      </c>
      <c r="J337" s="37">
        <f>IF(SUMPRODUCT((I$3:I337=I337)*1)=1,1,0)</f>
        <v>1</v>
      </c>
      <c r="K337" s="7"/>
    </row>
    <row r="338" spans="1:11" ht="13.5">
      <c r="A338" s="19">
        <v>45199</v>
      </c>
      <c r="B338" s="8" t="s">
        <v>109</v>
      </c>
      <c r="C338" s="8" t="s">
        <v>19</v>
      </c>
      <c r="D338" s="8" t="str">
        <f>LEFT(C338,3)</f>
        <v>北京市</v>
      </c>
      <c r="E338" s="8" t="s">
        <v>142</v>
      </c>
      <c r="F338" s="8" t="str">
        <f>VLOOKUP(E338,费用类别!A:B,2,0)</f>
        <v>停车费</v>
      </c>
      <c r="G338" s="9">
        <v>458.7</v>
      </c>
      <c r="H338" s="20" t="str">
        <f>IF(WEEKDAY(A338,2)&gt;5,"是","否")</f>
        <v>是</v>
      </c>
      <c r="I338" s="8" t="str">
        <f t="shared" si="5"/>
        <v>陈祥通停车费</v>
      </c>
      <c r="J338" s="37">
        <f>IF(SUMPRODUCT((I$3:I338=I338)*1)=1,1,0)</f>
        <v>1</v>
      </c>
      <c r="K338" s="7"/>
    </row>
    <row r="339" spans="1:11" ht="13.5">
      <c r="A339" s="19">
        <v>45199</v>
      </c>
      <c r="B339" s="8" t="s">
        <v>120</v>
      </c>
      <c r="C339" s="8" t="s">
        <v>33</v>
      </c>
      <c r="D339" s="8" t="str">
        <f>LEFT(C339,3)</f>
        <v>天津市</v>
      </c>
      <c r="E339" s="8" t="s">
        <v>141</v>
      </c>
      <c r="F339" s="8" t="str">
        <f>VLOOKUP(E339,费用类别!A:B,2,0)</f>
        <v>燃油费</v>
      </c>
      <c r="G339" s="9">
        <v>3000</v>
      </c>
      <c r="H339" s="20" t="str">
        <f>IF(WEEKDAY(A339,2)&gt;5,"是","否")</f>
        <v>是</v>
      </c>
      <c r="I339" s="8" t="str">
        <f t="shared" si="5"/>
        <v>谢丽秋燃油费</v>
      </c>
      <c r="J339" s="37">
        <f>IF(SUMPRODUCT((I$3:I339=I339)*1)=1,1,0)</f>
        <v>0</v>
      </c>
      <c r="K339" s="7"/>
    </row>
    <row r="340" spans="1:11" ht="13.5">
      <c r="A340" s="19">
        <v>45200</v>
      </c>
      <c r="B340" s="8" t="s">
        <v>130</v>
      </c>
      <c r="C340" s="8" t="s">
        <v>65</v>
      </c>
      <c r="D340" s="8" t="str">
        <f>LEFT(C340,3)</f>
        <v>辽宁省</v>
      </c>
      <c r="E340" s="8" t="s">
        <v>141</v>
      </c>
      <c r="F340" s="8" t="str">
        <f>VLOOKUP(E340,费用类别!A:B,2,0)</f>
        <v>燃油费</v>
      </c>
      <c r="G340" s="9">
        <v>754.3</v>
      </c>
      <c r="H340" s="20" t="str">
        <f>IF(WEEKDAY(A340,2)&gt;5,"是","否")</f>
        <v>是</v>
      </c>
      <c r="I340" s="8" t="str">
        <f t="shared" si="5"/>
        <v>邹佳楠燃油费</v>
      </c>
      <c r="J340" s="37">
        <f>IF(SUMPRODUCT((I$3:I340=I340)*1)=1,1,0)</f>
        <v>0</v>
      </c>
      <c r="K340" s="7"/>
    </row>
    <row r="341" spans="1:11" ht="13.5">
      <c r="A341" s="19">
        <v>45201</v>
      </c>
      <c r="B341" s="8" t="s">
        <v>119</v>
      </c>
      <c r="C341" s="8" t="s">
        <v>23</v>
      </c>
      <c r="D341" s="8" t="str">
        <f>LEFT(C341,3)</f>
        <v>辽宁省</v>
      </c>
      <c r="E341" s="8" t="s">
        <v>138</v>
      </c>
      <c r="F341" s="8" t="str">
        <f>VLOOKUP(E341,费用类别!A:B,2,0)</f>
        <v>出租车费</v>
      </c>
      <c r="G341" s="9">
        <v>388</v>
      </c>
      <c r="H341" s="20" t="str">
        <f>IF(WEEKDAY(A341,2)&gt;5,"是","否")</f>
        <v>否</v>
      </c>
      <c r="I341" s="8" t="str">
        <f t="shared" si="5"/>
        <v>王海德出租车费</v>
      </c>
      <c r="J341" s="37">
        <f>IF(SUMPRODUCT((I$3:I341=I341)*1)=1,1,0)</f>
        <v>0</v>
      </c>
      <c r="K341" s="7"/>
    </row>
    <row r="342" spans="1:11" ht="13.5">
      <c r="A342" s="19">
        <v>45201</v>
      </c>
      <c r="B342" s="8" t="s">
        <v>122</v>
      </c>
      <c r="C342" s="8" t="s">
        <v>52</v>
      </c>
      <c r="D342" s="8" t="str">
        <f>LEFT(C342,3)</f>
        <v>江苏省</v>
      </c>
      <c r="E342" s="8" t="s">
        <v>139</v>
      </c>
      <c r="F342" s="8" t="str">
        <f>VLOOKUP(E342,费用类别!A:B,2,0)</f>
        <v>火车票</v>
      </c>
      <c r="G342" s="9">
        <v>945.83333333333303</v>
      </c>
      <c r="H342" s="20" t="str">
        <f>IF(WEEKDAY(A342,2)&gt;5,"是","否")</f>
        <v>否</v>
      </c>
      <c r="I342" s="8" t="str">
        <f t="shared" si="5"/>
        <v>刘长辉火车票</v>
      </c>
      <c r="J342" s="37">
        <f>IF(SUMPRODUCT((I$3:I342=I342)*1)=1,1,0)</f>
        <v>0</v>
      </c>
      <c r="K342" s="7"/>
    </row>
    <row r="343" spans="1:11" ht="13.5">
      <c r="A343" s="19">
        <v>45201</v>
      </c>
      <c r="B343" s="8" t="s">
        <v>134</v>
      </c>
      <c r="C343" s="8" t="s">
        <v>71</v>
      </c>
      <c r="D343" s="8" t="str">
        <f>LEFT(C343,3)</f>
        <v>河南省</v>
      </c>
      <c r="E343" s="8" t="s">
        <v>140</v>
      </c>
      <c r="F343" s="8" t="str">
        <f>VLOOKUP(E343,费用类别!A:B,2,0)</f>
        <v>高速道桥费</v>
      </c>
      <c r="G343" s="9">
        <v>200</v>
      </c>
      <c r="H343" s="20" t="str">
        <f>IF(WEEKDAY(A343,2)&gt;5,"是","否")</f>
        <v>否</v>
      </c>
      <c r="I343" s="8" t="str">
        <f t="shared" si="5"/>
        <v>唐雅林高速道桥费</v>
      </c>
      <c r="J343" s="37">
        <f>IF(SUMPRODUCT((I$3:I343=I343)*1)=1,1,0)</f>
        <v>0</v>
      </c>
      <c r="K343" s="7"/>
    </row>
    <row r="344" spans="1:11" ht="13.5">
      <c r="A344" s="19">
        <v>45202</v>
      </c>
      <c r="B344" s="8" t="s">
        <v>118</v>
      </c>
      <c r="C344" s="8" t="s">
        <v>95</v>
      </c>
      <c r="D344" s="8" t="str">
        <f>LEFT(C344,3)</f>
        <v>浙江省</v>
      </c>
      <c r="E344" s="8" t="s">
        <v>144</v>
      </c>
      <c r="F344" s="8" t="str">
        <f>VLOOKUP(E344,费用类别!A:B,2,0)</f>
        <v>其他</v>
      </c>
      <c r="G344" s="9">
        <v>300</v>
      </c>
      <c r="H344" s="20" t="str">
        <f>IF(WEEKDAY(A344,2)&gt;5,"是","否")</f>
        <v>否</v>
      </c>
      <c r="I344" s="8" t="str">
        <f t="shared" si="5"/>
        <v>王炫皓其他</v>
      </c>
      <c r="J344" s="37">
        <f>IF(SUMPRODUCT((I$3:I344=I344)*1)=1,1,0)</f>
        <v>0</v>
      </c>
      <c r="K344" s="7"/>
    </row>
    <row r="345" spans="1:11" ht="13.5">
      <c r="A345" s="19">
        <v>45203</v>
      </c>
      <c r="B345" s="8" t="s">
        <v>122</v>
      </c>
      <c r="C345" s="8" t="s">
        <v>29</v>
      </c>
      <c r="D345" s="8" t="str">
        <f>LEFT(C345,3)</f>
        <v>福建省</v>
      </c>
      <c r="E345" s="8" t="s">
        <v>141</v>
      </c>
      <c r="F345" s="8" t="str">
        <f>VLOOKUP(E345,费用类别!A:B,2,0)</f>
        <v>燃油费</v>
      </c>
      <c r="G345" s="9">
        <v>140</v>
      </c>
      <c r="H345" s="20" t="str">
        <f>IF(WEEKDAY(A345,2)&gt;5,"是","否")</f>
        <v>否</v>
      </c>
      <c r="I345" s="8" t="str">
        <f t="shared" si="5"/>
        <v>刘长辉燃油费</v>
      </c>
      <c r="J345" s="37">
        <f>IF(SUMPRODUCT((I$3:I345=I345)*1)=1,1,0)</f>
        <v>0</v>
      </c>
      <c r="K345" s="7"/>
    </row>
    <row r="346" spans="1:11" ht="13.5">
      <c r="A346" s="19">
        <v>45203</v>
      </c>
      <c r="B346" s="8" t="s">
        <v>123</v>
      </c>
      <c r="C346" s="8" t="s">
        <v>58</v>
      </c>
      <c r="D346" s="8" t="str">
        <f>LEFT(C346,3)</f>
        <v>安徽省</v>
      </c>
      <c r="E346" s="8" t="s">
        <v>144</v>
      </c>
      <c r="F346" s="8" t="str">
        <f>VLOOKUP(E346,费用类别!A:B,2,0)</f>
        <v>其他</v>
      </c>
      <c r="G346" s="9">
        <v>3000</v>
      </c>
      <c r="H346" s="20" t="str">
        <f>IF(WEEKDAY(A346,2)&gt;5,"是","否")</f>
        <v>否</v>
      </c>
      <c r="I346" s="8" t="str">
        <f t="shared" si="5"/>
        <v>李晓梅其他</v>
      </c>
      <c r="J346" s="37">
        <f>IF(SUMPRODUCT((I$3:I346=I346)*1)=1,1,0)</f>
        <v>1</v>
      </c>
      <c r="K346" s="7"/>
    </row>
    <row r="347" spans="1:11" ht="13.5">
      <c r="A347" s="19">
        <v>45203</v>
      </c>
      <c r="B347" s="8" t="s">
        <v>134</v>
      </c>
      <c r="C347" s="8" t="s">
        <v>27</v>
      </c>
      <c r="D347" s="8" t="str">
        <f>LEFT(C347,3)</f>
        <v>浙江省</v>
      </c>
      <c r="E347" s="8" t="s">
        <v>139</v>
      </c>
      <c r="F347" s="8" t="str">
        <f>VLOOKUP(E347,费用类别!A:B,2,0)</f>
        <v>火车票</v>
      </c>
      <c r="G347" s="9">
        <v>1049.9000000000001</v>
      </c>
      <c r="H347" s="20" t="str">
        <f>IF(WEEKDAY(A347,2)&gt;5,"是","否")</f>
        <v>否</v>
      </c>
      <c r="I347" s="8" t="str">
        <f t="shared" si="5"/>
        <v>唐雅林火车票</v>
      </c>
      <c r="J347" s="37">
        <f>IF(SUMPRODUCT((I$3:I347=I347)*1)=1,1,0)</f>
        <v>0</v>
      </c>
      <c r="K347" s="7"/>
    </row>
    <row r="348" spans="1:11" ht="13.5">
      <c r="A348" s="19">
        <v>45205</v>
      </c>
      <c r="B348" s="8" t="s">
        <v>131</v>
      </c>
      <c r="C348" s="8" t="s">
        <v>61</v>
      </c>
      <c r="D348" s="8" t="str">
        <f>LEFT(C348,3)</f>
        <v>天津市</v>
      </c>
      <c r="E348" s="8" t="s">
        <v>136</v>
      </c>
      <c r="F348" s="8" t="str">
        <f>VLOOKUP(E348,费用类别!A:B,2,0)</f>
        <v>酒店住宿</v>
      </c>
      <c r="G348" s="9">
        <v>2500</v>
      </c>
      <c r="H348" s="20" t="str">
        <f>IF(WEEKDAY(A348,2)&gt;5,"是","否")</f>
        <v>否</v>
      </c>
      <c r="I348" s="8" t="str">
        <f t="shared" si="5"/>
        <v>王欣荣酒店住宿</v>
      </c>
      <c r="J348" s="37">
        <f>IF(SUMPRODUCT((I$3:I348=I348)*1)=1,1,0)</f>
        <v>0</v>
      </c>
      <c r="K348" s="7"/>
    </row>
    <row r="349" spans="1:11" ht="13.5">
      <c r="A349" s="19">
        <v>45205</v>
      </c>
      <c r="B349" s="8" t="s">
        <v>122</v>
      </c>
      <c r="C349" s="8" t="s">
        <v>29</v>
      </c>
      <c r="D349" s="8" t="str">
        <f>LEFT(C349,3)</f>
        <v>福建省</v>
      </c>
      <c r="E349" s="8" t="s">
        <v>141</v>
      </c>
      <c r="F349" s="8" t="str">
        <f>VLOOKUP(E349,费用类别!A:B,2,0)</f>
        <v>燃油费</v>
      </c>
      <c r="G349" s="9">
        <v>1197.7</v>
      </c>
      <c r="H349" s="20" t="str">
        <f>IF(WEEKDAY(A349,2)&gt;5,"是","否")</f>
        <v>否</v>
      </c>
      <c r="I349" s="8" t="str">
        <f t="shared" si="5"/>
        <v>刘长辉燃油费</v>
      </c>
      <c r="J349" s="37">
        <f>IF(SUMPRODUCT((I$3:I349=I349)*1)=1,1,0)</f>
        <v>0</v>
      </c>
      <c r="K349" s="7"/>
    </row>
    <row r="350" spans="1:11" ht="13.5">
      <c r="A350" s="19">
        <v>45205</v>
      </c>
      <c r="B350" s="8" t="s">
        <v>117</v>
      </c>
      <c r="C350" s="8" t="s">
        <v>63</v>
      </c>
      <c r="D350" s="8" t="str">
        <f>LEFT(C350,3)</f>
        <v>江西省</v>
      </c>
      <c r="E350" s="8" t="s">
        <v>139</v>
      </c>
      <c r="F350" s="8" t="str">
        <f>VLOOKUP(E350,费用类别!A:B,2,0)</f>
        <v>火车票</v>
      </c>
      <c r="G350" s="9">
        <v>606.5</v>
      </c>
      <c r="H350" s="20" t="str">
        <f>IF(WEEKDAY(A350,2)&gt;5,"是","否")</f>
        <v>否</v>
      </c>
      <c r="I350" s="8" t="str">
        <f t="shared" si="5"/>
        <v>张哲宇火车票</v>
      </c>
      <c r="J350" s="37">
        <f>IF(SUMPRODUCT((I$3:I350=I350)*1)=1,1,0)</f>
        <v>0</v>
      </c>
      <c r="K350" s="7"/>
    </row>
    <row r="351" spans="1:11" ht="13.5">
      <c r="A351" s="19">
        <v>45207</v>
      </c>
      <c r="B351" s="8" t="s">
        <v>123</v>
      </c>
      <c r="C351" s="8" t="s">
        <v>58</v>
      </c>
      <c r="D351" s="8" t="str">
        <f>LEFT(C351,3)</f>
        <v>安徽省</v>
      </c>
      <c r="E351" s="8" t="s">
        <v>141</v>
      </c>
      <c r="F351" s="8" t="str">
        <f>VLOOKUP(E351,费用类别!A:B,2,0)</f>
        <v>燃油费</v>
      </c>
      <c r="G351" s="9">
        <v>2500</v>
      </c>
      <c r="H351" s="20" t="str">
        <f>IF(WEEKDAY(A351,2)&gt;5,"是","否")</f>
        <v>是</v>
      </c>
      <c r="I351" s="8" t="str">
        <f t="shared" si="5"/>
        <v>李晓梅燃油费</v>
      </c>
      <c r="J351" s="37">
        <f>IF(SUMPRODUCT((I$3:I351=I351)*1)=1,1,0)</f>
        <v>0</v>
      </c>
      <c r="K351" s="7"/>
    </row>
    <row r="352" spans="1:11" ht="13.5">
      <c r="A352" s="19">
        <v>45208</v>
      </c>
      <c r="B352" s="8" t="s">
        <v>111</v>
      </c>
      <c r="C352" s="8" t="s">
        <v>31</v>
      </c>
      <c r="D352" s="8" t="str">
        <f>LEFT(C352,3)</f>
        <v>广东省</v>
      </c>
      <c r="E352" s="8" t="s">
        <v>143</v>
      </c>
      <c r="F352" s="8" t="str">
        <f>VLOOKUP(E352,费用类别!A:B,2,0)</f>
        <v>通讯补助</v>
      </c>
      <c r="G352" s="9">
        <v>345</v>
      </c>
      <c r="H352" s="20" t="str">
        <f>IF(WEEKDAY(A352,2)&gt;5,"是","否")</f>
        <v>否</v>
      </c>
      <c r="I352" s="8" t="str">
        <f t="shared" si="5"/>
        <v>方文成通讯补助</v>
      </c>
      <c r="J352" s="37">
        <f>IF(SUMPRODUCT((I$3:I352=I352)*1)=1,1,0)</f>
        <v>0</v>
      </c>
      <c r="K352" s="7"/>
    </row>
    <row r="353" spans="1:11" ht="13.5">
      <c r="A353" s="19">
        <v>45208</v>
      </c>
      <c r="B353" s="8" t="s">
        <v>125</v>
      </c>
      <c r="C353" s="8" t="s">
        <v>87</v>
      </c>
      <c r="D353" s="8" t="str">
        <f>LEFT(C353,3)</f>
        <v>上海市</v>
      </c>
      <c r="E353" s="8" t="s">
        <v>140</v>
      </c>
      <c r="F353" s="8" t="str">
        <f>VLOOKUP(E353,费用类别!A:B,2,0)</f>
        <v>高速道桥费</v>
      </c>
      <c r="G353" s="9">
        <v>458.7</v>
      </c>
      <c r="H353" s="20" t="str">
        <f>IF(WEEKDAY(A353,2)&gt;5,"是","否")</f>
        <v>否</v>
      </c>
      <c r="I353" s="8" t="str">
        <f t="shared" si="5"/>
        <v>边金双高速道桥费</v>
      </c>
      <c r="J353" s="37">
        <f>IF(SUMPRODUCT((I$3:I353=I353)*1)=1,1,0)</f>
        <v>0</v>
      </c>
      <c r="K353" s="7"/>
    </row>
    <row r="354" spans="1:11" ht="13.5">
      <c r="A354" s="19">
        <v>45209</v>
      </c>
      <c r="B354" s="8" t="s">
        <v>112</v>
      </c>
      <c r="C354" s="8" t="s">
        <v>86</v>
      </c>
      <c r="D354" s="8" t="str">
        <f>LEFT(C354,3)</f>
        <v>广东省</v>
      </c>
      <c r="E354" s="8" t="s">
        <v>141</v>
      </c>
      <c r="F354" s="8" t="str">
        <f>VLOOKUP(E354,费用类别!A:B,2,0)</f>
        <v>燃油费</v>
      </c>
      <c r="G354" s="9">
        <v>1560.8333333333301</v>
      </c>
      <c r="H354" s="20" t="str">
        <f>IF(WEEKDAY(A354,2)&gt;5,"是","否")</f>
        <v>否</v>
      </c>
      <c r="I354" s="8" t="str">
        <f t="shared" si="5"/>
        <v>钱顺卓燃油费</v>
      </c>
      <c r="J354" s="37">
        <f>IF(SUMPRODUCT((I$3:I354=I354)*1)=1,1,0)</f>
        <v>0</v>
      </c>
      <c r="K354" s="7"/>
    </row>
    <row r="355" spans="1:11" ht="13.5">
      <c r="A355" s="19">
        <v>45211</v>
      </c>
      <c r="B355" s="8" t="s">
        <v>111</v>
      </c>
      <c r="C355" s="8" t="s">
        <v>14</v>
      </c>
      <c r="D355" s="8" t="str">
        <f>LEFT(C355,3)</f>
        <v>上海市</v>
      </c>
      <c r="E355" s="8" t="s">
        <v>137</v>
      </c>
      <c r="F355" s="8" t="str">
        <f>VLOOKUP(E355,费用类别!A:B,2,0)</f>
        <v>餐饮费</v>
      </c>
      <c r="G355" s="9">
        <v>3000</v>
      </c>
      <c r="H355" s="20" t="str">
        <f>IF(WEEKDAY(A355,2)&gt;5,"是","否")</f>
        <v>否</v>
      </c>
      <c r="I355" s="8" t="str">
        <f t="shared" si="5"/>
        <v>方文成餐饮费</v>
      </c>
      <c r="J355" s="37">
        <f>IF(SUMPRODUCT((I$3:I355=I355)*1)=1,1,0)</f>
        <v>0</v>
      </c>
      <c r="K355" s="7"/>
    </row>
    <row r="356" spans="1:11" ht="13.5">
      <c r="A356" s="19">
        <v>45211</v>
      </c>
      <c r="B356" s="8" t="s">
        <v>120</v>
      </c>
      <c r="C356" s="8" t="s">
        <v>94</v>
      </c>
      <c r="D356" s="8" t="str">
        <f>LEFT(C356,3)</f>
        <v>贵州省</v>
      </c>
      <c r="E356" s="8" t="s">
        <v>143</v>
      </c>
      <c r="F356" s="8" t="str">
        <f>VLOOKUP(E356,费用类别!A:B,2,0)</f>
        <v>通讯补助</v>
      </c>
      <c r="G356" s="9">
        <v>120</v>
      </c>
      <c r="H356" s="20" t="str">
        <f>IF(WEEKDAY(A356,2)&gt;5,"是","否")</f>
        <v>否</v>
      </c>
      <c r="I356" s="8" t="str">
        <f t="shared" si="5"/>
        <v>谢丽秋通讯补助</v>
      </c>
      <c r="J356" s="37">
        <f>IF(SUMPRODUCT((I$3:I356=I356)*1)=1,1,0)</f>
        <v>0</v>
      </c>
      <c r="K356" s="7"/>
    </row>
    <row r="357" spans="1:11" ht="13.5">
      <c r="A357" s="19">
        <v>45212</v>
      </c>
      <c r="B357" s="8" t="s">
        <v>113</v>
      </c>
      <c r="C357" s="8" t="s">
        <v>16</v>
      </c>
      <c r="D357" s="8" t="str">
        <f>LEFT(C357,3)</f>
        <v>云南省</v>
      </c>
      <c r="E357" s="8" t="s">
        <v>139</v>
      </c>
      <c r="F357" s="8" t="str">
        <f>VLOOKUP(E357,费用类别!A:B,2,0)</f>
        <v>火车票</v>
      </c>
      <c r="G357" s="9">
        <v>100</v>
      </c>
      <c r="H357" s="20" t="str">
        <f>IF(WEEKDAY(A357,2)&gt;5,"是","否")</f>
        <v>否</v>
      </c>
      <c r="I357" s="8" t="str">
        <f t="shared" si="5"/>
        <v>王崇江火车票</v>
      </c>
      <c r="J357" s="37">
        <f>IF(SUMPRODUCT((I$3:I357=I357)*1)=1,1,0)</f>
        <v>0</v>
      </c>
      <c r="K357" s="7"/>
    </row>
    <row r="358" spans="1:11" ht="13.5">
      <c r="A358" s="19">
        <v>45213</v>
      </c>
      <c r="B358" s="8" t="s">
        <v>131</v>
      </c>
      <c r="C358" s="8" t="s">
        <v>61</v>
      </c>
      <c r="D358" s="8" t="str">
        <f>LEFT(C358,3)</f>
        <v>天津市</v>
      </c>
      <c r="E358" s="8" t="s">
        <v>140</v>
      </c>
      <c r="F358" s="8" t="str">
        <f>VLOOKUP(E358,费用类别!A:B,2,0)</f>
        <v>高速道桥费</v>
      </c>
      <c r="G358" s="9">
        <v>458.7</v>
      </c>
      <c r="H358" s="20" t="str">
        <f>IF(WEEKDAY(A358,2)&gt;5,"是","否")</f>
        <v>是</v>
      </c>
      <c r="I358" s="8" t="str">
        <f t="shared" si="5"/>
        <v>王欣荣高速道桥费</v>
      </c>
      <c r="J358" s="37">
        <f>IF(SUMPRODUCT((I$3:I358=I358)*1)=1,1,0)</f>
        <v>1</v>
      </c>
      <c r="K358" s="7"/>
    </row>
    <row r="359" spans="1:11" ht="13.5">
      <c r="A359" s="19">
        <v>45213</v>
      </c>
      <c r="B359" s="8" t="s">
        <v>115</v>
      </c>
      <c r="C359" s="8" t="s">
        <v>45</v>
      </c>
      <c r="D359" s="8" t="str">
        <f>LEFT(C359,3)</f>
        <v>天津市</v>
      </c>
      <c r="E359" s="8" t="s">
        <v>140</v>
      </c>
      <c r="F359" s="8" t="str">
        <f>VLOOKUP(E359,费用类别!A:B,2,0)</f>
        <v>高速道桥费</v>
      </c>
      <c r="G359" s="9">
        <v>535.83333333333303</v>
      </c>
      <c r="H359" s="20" t="str">
        <f>IF(WEEKDAY(A359,2)&gt;5,"是","否")</f>
        <v>是</v>
      </c>
      <c r="I359" s="8" t="str">
        <f t="shared" si="5"/>
        <v>刘露露高速道桥费</v>
      </c>
      <c r="J359" s="37">
        <f>IF(SUMPRODUCT((I$3:I359=I359)*1)=1,1,0)</f>
        <v>0</v>
      </c>
      <c r="K359" s="7"/>
    </row>
    <row r="360" spans="1:11" ht="13.5">
      <c r="A360" s="19">
        <v>45213</v>
      </c>
      <c r="B360" s="8" t="s">
        <v>123</v>
      </c>
      <c r="C360" s="8" t="s">
        <v>30</v>
      </c>
      <c r="D360" s="8" t="str">
        <f>LEFT(C360,3)</f>
        <v>广东省</v>
      </c>
      <c r="E360" s="8" t="s">
        <v>138</v>
      </c>
      <c r="F360" s="8" t="str">
        <f>VLOOKUP(E360,费用类别!A:B,2,0)</f>
        <v>出租车费</v>
      </c>
      <c r="G360" s="9">
        <v>2500</v>
      </c>
      <c r="H360" s="20" t="str">
        <f>IF(WEEKDAY(A360,2)&gt;5,"是","否")</f>
        <v>是</v>
      </c>
      <c r="I360" s="8" t="str">
        <f t="shared" si="5"/>
        <v>李晓梅出租车费</v>
      </c>
      <c r="J360" s="37">
        <f>IF(SUMPRODUCT((I$3:I360=I360)*1)=1,1,0)</f>
        <v>1</v>
      </c>
      <c r="K360" s="7"/>
    </row>
    <row r="361" spans="1:11" ht="13.5">
      <c r="A361" s="19">
        <v>45213</v>
      </c>
      <c r="B361" s="8" t="s">
        <v>134</v>
      </c>
      <c r="C361" s="8" t="s">
        <v>27</v>
      </c>
      <c r="D361" s="8" t="str">
        <f>LEFT(C361,3)</f>
        <v>浙江省</v>
      </c>
      <c r="E361" s="8" t="s">
        <v>139</v>
      </c>
      <c r="F361" s="8" t="str">
        <f>VLOOKUP(E361,费用类别!A:B,2,0)</f>
        <v>火车票</v>
      </c>
      <c r="G361" s="9">
        <v>532.6</v>
      </c>
      <c r="H361" s="20" t="str">
        <f>IF(WEEKDAY(A361,2)&gt;5,"是","否")</f>
        <v>是</v>
      </c>
      <c r="I361" s="8" t="str">
        <f t="shared" si="5"/>
        <v>唐雅林火车票</v>
      </c>
      <c r="J361" s="37">
        <f>IF(SUMPRODUCT((I$3:I361=I361)*1)=1,1,0)</f>
        <v>0</v>
      </c>
      <c r="K361" s="7"/>
    </row>
    <row r="362" spans="1:11" ht="13.5">
      <c r="A362" s="19">
        <v>45214</v>
      </c>
      <c r="B362" s="8" t="s">
        <v>109</v>
      </c>
      <c r="C362" s="8" t="s">
        <v>40</v>
      </c>
      <c r="D362" s="8" t="str">
        <f>LEFT(C362,3)</f>
        <v>山东省</v>
      </c>
      <c r="E362" s="8" t="s">
        <v>142</v>
      </c>
      <c r="F362" s="8" t="str">
        <f>VLOOKUP(E362,费用类别!A:B,2,0)</f>
        <v>停车费</v>
      </c>
      <c r="G362" s="9">
        <v>1355.8333333333301</v>
      </c>
      <c r="H362" s="20" t="str">
        <f>IF(WEEKDAY(A362,2)&gt;5,"是","否")</f>
        <v>是</v>
      </c>
      <c r="I362" s="8" t="str">
        <f t="shared" si="5"/>
        <v>陈祥通停车费</v>
      </c>
      <c r="J362" s="37">
        <f>IF(SUMPRODUCT((I$3:I362=I362)*1)=1,1,0)</f>
        <v>0</v>
      </c>
      <c r="K362" s="7"/>
    </row>
    <row r="363" spans="1:11" ht="13.5">
      <c r="A363" s="19">
        <v>45214</v>
      </c>
      <c r="B363" s="8" t="s">
        <v>116</v>
      </c>
      <c r="C363" s="8" t="s">
        <v>66</v>
      </c>
      <c r="D363" s="8" t="str">
        <f>LEFT(C363,3)</f>
        <v>福建省</v>
      </c>
      <c r="E363" s="8" t="s">
        <v>143</v>
      </c>
      <c r="F363" s="8" t="str">
        <f>VLOOKUP(E363,费用类别!A:B,2,0)</f>
        <v>通讯补助</v>
      </c>
      <c r="G363" s="9">
        <v>500</v>
      </c>
      <c r="H363" s="20" t="str">
        <f>IF(WEEKDAY(A363,2)&gt;5,"是","否")</f>
        <v>是</v>
      </c>
      <c r="I363" s="8" t="str">
        <f t="shared" si="5"/>
        <v>徐志晨通讯补助</v>
      </c>
      <c r="J363" s="37">
        <f>IF(SUMPRODUCT((I$3:I363=I363)*1)=1,1,0)</f>
        <v>0</v>
      </c>
      <c r="K363" s="7"/>
    </row>
    <row r="364" spans="1:11" ht="13.5">
      <c r="A364" s="19">
        <v>45214</v>
      </c>
      <c r="B364" s="8" t="s">
        <v>116</v>
      </c>
      <c r="C364" s="8" t="s">
        <v>66</v>
      </c>
      <c r="D364" s="8" t="str">
        <f>LEFT(C364,3)</f>
        <v>福建省</v>
      </c>
      <c r="E364" s="8" t="s">
        <v>135</v>
      </c>
      <c r="F364" s="8" t="str">
        <f>VLOOKUP(E364,费用类别!A:B,2,0)</f>
        <v>飞机票</v>
      </c>
      <c r="G364" s="9">
        <v>828.2</v>
      </c>
      <c r="H364" s="20" t="str">
        <f>IF(WEEKDAY(A364,2)&gt;5,"是","否")</f>
        <v>是</v>
      </c>
      <c r="I364" s="8" t="str">
        <f t="shared" si="5"/>
        <v>徐志晨飞机票</v>
      </c>
      <c r="J364" s="37">
        <f>IF(SUMPRODUCT((I$3:I364=I364)*1)=1,1,0)</f>
        <v>0</v>
      </c>
      <c r="K364" s="7"/>
    </row>
    <row r="365" spans="1:11" ht="13.5">
      <c r="A365" s="19">
        <v>45214</v>
      </c>
      <c r="B365" s="8" t="s">
        <v>134</v>
      </c>
      <c r="C365" s="8" t="s">
        <v>81</v>
      </c>
      <c r="D365" s="8" t="str">
        <f>LEFT(C365,3)</f>
        <v>浙江省</v>
      </c>
      <c r="E365" s="8" t="s">
        <v>142</v>
      </c>
      <c r="F365" s="8" t="str">
        <f>VLOOKUP(E365,费用类别!A:B,2,0)</f>
        <v>停车费</v>
      </c>
      <c r="G365" s="9">
        <v>945.83333333333303</v>
      </c>
      <c r="H365" s="20" t="str">
        <f>IF(WEEKDAY(A365,2)&gt;5,"是","否")</f>
        <v>是</v>
      </c>
      <c r="I365" s="8" t="str">
        <f t="shared" si="5"/>
        <v>唐雅林停车费</v>
      </c>
      <c r="J365" s="37">
        <f>IF(SUMPRODUCT((I$3:I365=I365)*1)=1,1,0)</f>
        <v>0</v>
      </c>
      <c r="K365" s="7"/>
    </row>
    <row r="366" spans="1:11" ht="13.5">
      <c r="A366" s="19">
        <v>45214</v>
      </c>
      <c r="B366" s="8" t="s">
        <v>120</v>
      </c>
      <c r="C366" s="8" t="s">
        <v>33</v>
      </c>
      <c r="D366" s="8" t="str">
        <f>LEFT(C366,3)</f>
        <v>天津市</v>
      </c>
      <c r="E366" s="8" t="s">
        <v>138</v>
      </c>
      <c r="F366" s="8" t="str">
        <f>VLOOKUP(E366,费用类别!A:B,2,0)</f>
        <v>出租车费</v>
      </c>
      <c r="G366" s="9">
        <v>200</v>
      </c>
      <c r="H366" s="20" t="str">
        <f>IF(WEEKDAY(A366,2)&gt;5,"是","否")</f>
        <v>是</v>
      </c>
      <c r="I366" s="8" t="str">
        <f t="shared" si="5"/>
        <v>谢丽秋出租车费</v>
      </c>
      <c r="J366" s="37">
        <f>IF(SUMPRODUCT((I$3:I366=I366)*1)=1,1,0)</f>
        <v>0</v>
      </c>
      <c r="K366" s="7"/>
    </row>
    <row r="367" spans="1:11" ht="13.5">
      <c r="A367" s="19">
        <v>45216</v>
      </c>
      <c r="B367" s="8" t="s">
        <v>113</v>
      </c>
      <c r="C367" s="8" t="s">
        <v>80</v>
      </c>
      <c r="D367" s="8" t="str">
        <f>LEFT(C367,3)</f>
        <v>广东省</v>
      </c>
      <c r="E367" s="8" t="s">
        <v>135</v>
      </c>
      <c r="F367" s="8" t="str">
        <f>VLOOKUP(E367,费用类别!A:B,2,0)</f>
        <v>飞机票</v>
      </c>
      <c r="G367" s="9">
        <v>140</v>
      </c>
      <c r="H367" s="20" t="str">
        <f>IF(WEEKDAY(A367,2)&gt;5,"是","否")</f>
        <v>否</v>
      </c>
      <c r="I367" s="8" t="str">
        <f t="shared" si="5"/>
        <v>王崇江飞机票</v>
      </c>
      <c r="J367" s="37">
        <f>IF(SUMPRODUCT((I$3:I367=I367)*1)=1,1,0)</f>
        <v>1</v>
      </c>
      <c r="K367" s="7"/>
    </row>
    <row r="368" spans="1:11" ht="13.5">
      <c r="A368" s="19">
        <v>45216</v>
      </c>
      <c r="B368" s="8" t="s">
        <v>134</v>
      </c>
      <c r="C368" s="8" t="s">
        <v>84</v>
      </c>
      <c r="D368" s="8" t="str">
        <f>LEFT(C368,3)</f>
        <v>北京市</v>
      </c>
      <c r="E368" s="8" t="s">
        <v>140</v>
      </c>
      <c r="F368" s="8" t="str">
        <f>VLOOKUP(E368,费用类别!A:B,2,0)</f>
        <v>高速道桥费</v>
      </c>
      <c r="G368" s="9">
        <v>388</v>
      </c>
      <c r="H368" s="20" t="str">
        <f>IF(WEEKDAY(A368,2)&gt;5,"是","否")</f>
        <v>否</v>
      </c>
      <c r="I368" s="8" t="str">
        <f t="shared" si="5"/>
        <v>唐雅林高速道桥费</v>
      </c>
      <c r="J368" s="37">
        <f>IF(SUMPRODUCT((I$3:I368=I368)*1)=1,1,0)</f>
        <v>0</v>
      </c>
      <c r="K368" s="7"/>
    </row>
    <row r="369" spans="1:11" ht="13.5">
      <c r="A369" s="19">
        <v>45217</v>
      </c>
      <c r="B369" s="8" t="s">
        <v>110</v>
      </c>
      <c r="C369" s="8" t="s">
        <v>59</v>
      </c>
      <c r="D369" s="8" t="str">
        <f>LEFT(C369,3)</f>
        <v>北京市</v>
      </c>
      <c r="E369" s="8" t="s">
        <v>142</v>
      </c>
      <c r="F369" s="8" t="str">
        <f>VLOOKUP(E369,费用类别!A:B,2,0)</f>
        <v>停车费</v>
      </c>
      <c r="G369" s="9">
        <v>29</v>
      </c>
      <c r="H369" s="20" t="str">
        <f>IF(WEEKDAY(A369,2)&gt;5,"是","否")</f>
        <v>否</v>
      </c>
      <c r="I369" s="8" t="str">
        <f t="shared" si="5"/>
        <v>王天宇停车费</v>
      </c>
      <c r="J369" s="37">
        <f>IF(SUMPRODUCT((I$3:I369=I369)*1)=1,1,0)</f>
        <v>0</v>
      </c>
      <c r="K369" s="7"/>
    </row>
    <row r="370" spans="1:11" ht="13.5">
      <c r="A370" s="19">
        <v>45218</v>
      </c>
      <c r="B370" s="8" t="s">
        <v>108</v>
      </c>
      <c r="C370" s="8" t="s">
        <v>11</v>
      </c>
      <c r="D370" s="8" t="str">
        <f>LEFT(C370,3)</f>
        <v>福建省</v>
      </c>
      <c r="E370" s="8" t="s">
        <v>141</v>
      </c>
      <c r="F370" s="8" t="str">
        <f>VLOOKUP(E370,费用类别!A:B,2,0)</f>
        <v>燃油费</v>
      </c>
      <c r="G370" s="9">
        <v>1271.5999999999999</v>
      </c>
      <c r="H370" s="20" t="str">
        <f>IF(WEEKDAY(A370,2)&gt;5,"是","否")</f>
        <v>否</v>
      </c>
      <c r="I370" s="8" t="str">
        <f t="shared" si="5"/>
        <v>孟天祥燃油费</v>
      </c>
      <c r="J370" s="37">
        <f>IF(SUMPRODUCT((I$3:I370=I370)*1)=1,1,0)</f>
        <v>1</v>
      </c>
      <c r="K370" s="7"/>
    </row>
    <row r="371" spans="1:11" ht="13.5">
      <c r="A371" s="19">
        <v>45218</v>
      </c>
      <c r="B371" s="8" t="s">
        <v>126</v>
      </c>
      <c r="C371" s="8" t="s">
        <v>90</v>
      </c>
      <c r="D371" s="8" t="str">
        <f>LEFT(C371,3)</f>
        <v>四川省</v>
      </c>
      <c r="E371" s="8" t="s">
        <v>137</v>
      </c>
      <c r="F371" s="8" t="str">
        <f>VLOOKUP(E371,费用类别!A:B,2,0)</f>
        <v>餐饮费</v>
      </c>
      <c r="G371" s="9">
        <v>638.33333333333303</v>
      </c>
      <c r="H371" s="20" t="str">
        <f>IF(WEEKDAY(A371,2)&gt;5,"是","否")</f>
        <v>否</v>
      </c>
      <c r="I371" s="8" t="str">
        <f t="shared" si="5"/>
        <v>赵琳艳餐饮费</v>
      </c>
      <c r="J371" s="37">
        <f>IF(SUMPRODUCT((I$3:I371=I371)*1)=1,1,0)</f>
        <v>0</v>
      </c>
      <c r="K371" s="7"/>
    </row>
    <row r="372" spans="1:11" ht="13.5">
      <c r="A372" s="19">
        <v>45219</v>
      </c>
      <c r="B372" s="8" t="s">
        <v>134</v>
      </c>
      <c r="C372" s="8" t="s">
        <v>35</v>
      </c>
      <c r="D372" s="8" t="str">
        <f>LEFT(C372,3)</f>
        <v>广东省</v>
      </c>
      <c r="E372" s="8" t="s">
        <v>139</v>
      </c>
      <c r="F372" s="8" t="str">
        <f>VLOOKUP(E372,费用类别!A:B,2,0)</f>
        <v>火车票</v>
      </c>
      <c r="G372" s="9">
        <v>740.83333333333303</v>
      </c>
      <c r="H372" s="20" t="str">
        <f>IF(WEEKDAY(A372,2)&gt;5,"是","否")</f>
        <v>否</v>
      </c>
      <c r="I372" s="8" t="str">
        <f t="shared" si="5"/>
        <v>唐雅林火车票</v>
      </c>
      <c r="J372" s="37">
        <f>IF(SUMPRODUCT((I$3:I372=I372)*1)=1,1,0)</f>
        <v>0</v>
      </c>
      <c r="K372" s="7"/>
    </row>
    <row r="373" spans="1:11" ht="13.5">
      <c r="A373" s="19">
        <v>45220</v>
      </c>
      <c r="B373" s="8" t="s">
        <v>113</v>
      </c>
      <c r="C373" s="8" t="s">
        <v>34</v>
      </c>
      <c r="D373" s="8" t="str">
        <f>LEFT(C373,3)</f>
        <v>山东省</v>
      </c>
      <c r="E373" s="8" t="s">
        <v>139</v>
      </c>
      <c r="F373" s="8" t="str">
        <f>VLOOKUP(E373,费用类别!A:B,2,0)</f>
        <v>火车票</v>
      </c>
      <c r="G373" s="9">
        <v>3000</v>
      </c>
      <c r="H373" s="20" t="str">
        <f>IF(WEEKDAY(A373,2)&gt;5,"是","否")</f>
        <v>是</v>
      </c>
      <c r="I373" s="8" t="str">
        <f t="shared" si="5"/>
        <v>王崇江火车票</v>
      </c>
      <c r="J373" s="37">
        <f>IF(SUMPRODUCT((I$3:I373=I373)*1)=1,1,0)</f>
        <v>0</v>
      </c>
      <c r="K373" s="7"/>
    </row>
    <row r="374" spans="1:11" ht="13.5">
      <c r="A374" s="19">
        <v>45222</v>
      </c>
      <c r="B374" s="8" t="s">
        <v>134</v>
      </c>
      <c r="C374" s="8" t="s">
        <v>81</v>
      </c>
      <c r="D374" s="8" t="str">
        <f>LEFT(C374,3)</f>
        <v>浙江省</v>
      </c>
      <c r="E374" s="8" t="s">
        <v>136</v>
      </c>
      <c r="F374" s="8" t="str">
        <f>VLOOKUP(E374,费用类别!A:B,2,0)</f>
        <v>酒店住宿</v>
      </c>
      <c r="G374" s="9">
        <v>200</v>
      </c>
      <c r="H374" s="20" t="str">
        <f>IF(WEEKDAY(A374,2)&gt;5,"是","否")</f>
        <v>否</v>
      </c>
      <c r="I374" s="8" t="str">
        <f t="shared" si="5"/>
        <v>唐雅林酒店住宿</v>
      </c>
      <c r="J374" s="37">
        <f>IF(SUMPRODUCT((I$3:I374=I374)*1)=1,1,0)</f>
        <v>1</v>
      </c>
      <c r="K374" s="7"/>
    </row>
    <row r="375" spans="1:11" ht="13.5">
      <c r="A375" s="19">
        <v>45223</v>
      </c>
      <c r="B375" s="8" t="s">
        <v>115</v>
      </c>
      <c r="C375" s="8" t="s">
        <v>56</v>
      </c>
      <c r="D375" s="8" t="str">
        <f>LEFT(C375,3)</f>
        <v>北京市</v>
      </c>
      <c r="E375" s="8" t="s">
        <v>139</v>
      </c>
      <c r="F375" s="8" t="str">
        <f>VLOOKUP(E375,费用类别!A:B,2,0)</f>
        <v>火车票</v>
      </c>
      <c r="G375" s="9">
        <v>300</v>
      </c>
      <c r="H375" s="20" t="str">
        <f>IF(WEEKDAY(A375,2)&gt;5,"是","否")</f>
        <v>否</v>
      </c>
      <c r="I375" s="8" t="str">
        <f t="shared" si="5"/>
        <v>刘露露火车票</v>
      </c>
      <c r="J375" s="37">
        <f>IF(SUMPRODUCT((I$3:I375=I375)*1)=1,1,0)</f>
        <v>0</v>
      </c>
      <c r="K375" s="7"/>
    </row>
    <row r="376" spans="1:11" ht="13.5">
      <c r="A376" s="19">
        <v>45223</v>
      </c>
      <c r="B376" s="8" t="s">
        <v>108</v>
      </c>
      <c r="C376" s="8" t="s">
        <v>11</v>
      </c>
      <c r="D376" s="8" t="str">
        <f>LEFT(C376,3)</f>
        <v>福建省</v>
      </c>
      <c r="E376" s="8" t="s">
        <v>141</v>
      </c>
      <c r="F376" s="8" t="str">
        <f>VLOOKUP(E376,费用类别!A:B,2,0)</f>
        <v>燃油费</v>
      </c>
      <c r="G376" s="9">
        <v>345</v>
      </c>
      <c r="H376" s="20" t="str">
        <f>IF(WEEKDAY(A376,2)&gt;5,"是","否")</f>
        <v>否</v>
      </c>
      <c r="I376" s="8" t="str">
        <f t="shared" si="5"/>
        <v>孟天祥燃油费</v>
      </c>
      <c r="J376" s="37">
        <f>IF(SUMPRODUCT((I$3:I376=I376)*1)=1,1,0)</f>
        <v>0</v>
      </c>
      <c r="K376" s="7"/>
    </row>
    <row r="377" spans="1:11" ht="13.5">
      <c r="A377" s="19">
        <v>45223</v>
      </c>
      <c r="B377" s="8" t="s">
        <v>134</v>
      </c>
      <c r="C377" s="8" t="s">
        <v>84</v>
      </c>
      <c r="D377" s="8" t="str">
        <f>LEFT(C377,3)</f>
        <v>北京市</v>
      </c>
      <c r="E377" s="8" t="s">
        <v>139</v>
      </c>
      <c r="F377" s="8" t="str">
        <f>VLOOKUP(E377,费用类别!A:B,2,0)</f>
        <v>火车票</v>
      </c>
      <c r="G377" s="9">
        <v>1355.8333333333301</v>
      </c>
      <c r="H377" s="20" t="str">
        <f>IF(WEEKDAY(A377,2)&gt;5,"是","否")</f>
        <v>否</v>
      </c>
      <c r="I377" s="8" t="str">
        <f t="shared" si="5"/>
        <v>唐雅林火车票</v>
      </c>
      <c r="J377" s="37">
        <f>IF(SUMPRODUCT((I$3:I377=I377)*1)=1,1,0)</f>
        <v>0</v>
      </c>
      <c r="K377" s="7"/>
    </row>
    <row r="378" spans="1:11" ht="13.5">
      <c r="A378" s="19">
        <v>45225</v>
      </c>
      <c r="B378" s="8" t="s">
        <v>111</v>
      </c>
      <c r="C378" s="8" t="s">
        <v>73</v>
      </c>
      <c r="D378" s="8" t="str">
        <f>LEFT(C378,3)</f>
        <v>上海市</v>
      </c>
      <c r="E378" s="8" t="s">
        <v>137</v>
      </c>
      <c r="F378" s="8" t="str">
        <f>VLOOKUP(E378,费用类别!A:B,2,0)</f>
        <v>餐饮费</v>
      </c>
      <c r="G378" s="9">
        <v>140</v>
      </c>
      <c r="H378" s="20" t="str">
        <f>IF(WEEKDAY(A378,2)&gt;5,"是","否")</f>
        <v>否</v>
      </c>
      <c r="I378" s="8" t="str">
        <f t="shared" si="5"/>
        <v>方文成餐饮费</v>
      </c>
      <c r="J378" s="37">
        <f>IF(SUMPRODUCT((I$3:I378=I378)*1)=1,1,0)</f>
        <v>0</v>
      </c>
      <c r="K378" s="7"/>
    </row>
    <row r="379" spans="1:11" ht="13.5">
      <c r="A379" s="19">
        <v>45226</v>
      </c>
      <c r="B379" s="8" t="s">
        <v>124</v>
      </c>
      <c r="C379" s="8" t="s">
        <v>99</v>
      </c>
      <c r="D379" s="8" t="str">
        <f>LEFT(C379,3)</f>
        <v>云南省</v>
      </c>
      <c r="E379" s="8" t="s">
        <v>140</v>
      </c>
      <c r="F379" s="8" t="str">
        <f>VLOOKUP(E379,费用类别!A:B,2,0)</f>
        <v>高速道桥费</v>
      </c>
      <c r="G379" s="9">
        <v>2500</v>
      </c>
      <c r="H379" s="20" t="str">
        <f>IF(WEEKDAY(A379,2)&gt;5,"是","否")</f>
        <v>否</v>
      </c>
      <c r="I379" s="8" t="str">
        <f t="shared" si="5"/>
        <v>王雅林高速道桥费</v>
      </c>
      <c r="J379" s="37">
        <f>IF(SUMPRODUCT((I$3:I379=I379)*1)=1,1,0)</f>
        <v>0</v>
      </c>
      <c r="K379" s="7"/>
    </row>
    <row r="380" spans="1:11" ht="13.5">
      <c r="A380" s="19">
        <v>45226</v>
      </c>
      <c r="B380" s="8" t="s">
        <v>115</v>
      </c>
      <c r="C380" s="8" t="s">
        <v>51</v>
      </c>
      <c r="D380" s="8" t="str">
        <f>LEFT(C380,3)</f>
        <v>四川省</v>
      </c>
      <c r="E380" s="8" t="s">
        <v>138</v>
      </c>
      <c r="F380" s="8" t="str">
        <f>VLOOKUP(E380,费用类别!A:B,2,0)</f>
        <v>出租车费</v>
      </c>
      <c r="G380" s="9">
        <v>843.33333333333303</v>
      </c>
      <c r="H380" s="20" t="str">
        <f>IF(WEEKDAY(A380,2)&gt;5,"是","否")</f>
        <v>否</v>
      </c>
      <c r="I380" s="8" t="str">
        <f t="shared" si="5"/>
        <v>刘露露出租车费</v>
      </c>
      <c r="J380" s="37">
        <f>IF(SUMPRODUCT((I$3:I380=I380)*1)=1,1,0)</f>
        <v>1</v>
      </c>
      <c r="K380" s="7"/>
    </row>
    <row r="381" spans="1:11" ht="13.5">
      <c r="A381" s="19">
        <v>45226</v>
      </c>
      <c r="B381" s="8" t="s">
        <v>112</v>
      </c>
      <c r="C381" s="8" t="s">
        <v>28</v>
      </c>
      <c r="D381" s="8" t="str">
        <f>LEFT(C381,3)</f>
        <v>北京市</v>
      </c>
      <c r="E381" s="8" t="s">
        <v>140</v>
      </c>
      <c r="F381" s="8" t="str">
        <f>VLOOKUP(E381,费用类别!A:B,2,0)</f>
        <v>高速道桥费</v>
      </c>
      <c r="G381" s="9">
        <v>606.5</v>
      </c>
      <c r="H381" s="20" t="str">
        <f>IF(WEEKDAY(A381,2)&gt;5,"是","否")</f>
        <v>否</v>
      </c>
      <c r="I381" s="8" t="str">
        <f t="shared" si="5"/>
        <v>钱顺卓高速道桥费</v>
      </c>
      <c r="J381" s="37">
        <f>IF(SUMPRODUCT((I$3:I381=I381)*1)=1,1,0)</f>
        <v>0</v>
      </c>
      <c r="K381" s="7"/>
    </row>
    <row r="382" spans="1:11" ht="13.5">
      <c r="A382" s="19">
        <v>45227</v>
      </c>
      <c r="B382" s="8" t="s">
        <v>111</v>
      </c>
      <c r="C382" s="8" t="s">
        <v>68</v>
      </c>
      <c r="D382" s="8" t="str">
        <f>LEFT(C382,3)</f>
        <v>杭州市</v>
      </c>
      <c r="E382" s="8" t="s">
        <v>137</v>
      </c>
      <c r="F382" s="8" t="str">
        <f>VLOOKUP(E382,费用类别!A:B,2,0)</f>
        <v>餐饮费</v>
      </c>
      <c r="G382" s="9">
        <v>532.6</v>
      </c>
      <c r="H382" s="20" t="str">
        <f>IF(WEEKDAY(A382,2)&gt;5,"是","否")</f>
        <v>是</v>
      </c>
      <c r="I382" s="8" t="str">
        <f t="shared" si="5"/>
        <v>方文成餐饮费</v>
      </c>
      <c r="J382" s="37">
        <f>IF(SUMPRODUCT((I$3:I382=I382)*1)=1,1,0)</f>
        <v>0</v>
      </c>
      <c r="K382" s="7"/>
    </row>
    <row r="383" spans="1:11" ht="13.5">
      <c r="A383" s="19">
        <v>45227</v>
      </c>
      <c r="B383" s="8" t="s">
        <v>108</v>
      </c>
      <c r="C383" s="8" t="s">
        <v>74</v>
      </c>
      <c r="D383" s="8" t="str">
        <f>LEFT(C383,3)</f>
        <v>北京市</v>
      </c>
      <c r="E383" s="8" t="s">
        <v>138</v>
      </c>
      <c r="F383" s="8" t="str">
        <f>VLOOKUP(E383,费用类别!A:B,2,0)</f>
        <v>出租车费</v>
      </c>
      <c r="G383" s="9">
        <v>200</v>
      </c>
      <c r="H383" s="20" t="str">
        <f>IF(WEEKDAY(A383,2)&gt;5,"是","否")</f>
        <v>是</v>
      </c>
      <c r="I383" s="8" t="str">
        <f t="shared" si="5"/>
        <v>孟天祥出租车费</v>
      </c>
      <c r="J383" s="37">
        <f>IF(SUMPRODUCT((I$3:I383=I383)*1)=1,1,0)</f>
        <v>0</v>
      </c>
      <c r="K383" s="7"/>
    </row>
    <row r="384" spans="1:11" ht="13.5">
      <c r="A384" s="19">
        <v>45227</v>
      </c>
      <c r="B384" s="8" t="s">
        <v>108</v>
      </c>
      <c r="C384" s="8" t="s">
        <v>53</v>
      </c>
      <c r="D384" s="8" t="str">
        <f>LEFT(C384,3)</f>
        <v>重庆市</v>
      </c>
      <c r="E384" s="8" t="s">
        <v>142</v>
      </c>
      <c r="F384" s="8" t="str">
        <f>VLOOKUP(E384,费用类别!A:B,2,0)</f>
        <v>停车费</v>
      </c>
      <c r="G384" s="9">
        <v>1048.3333333333301</v>
      </c>
      <c r="H384" s="20" t="str">
        <f>IF(WEEKDAY(A384,2)&gt;5,"是","否")</f>
        <v>是</v>
      </c>
      <c r="I384" s="8" t="str">
        <f t="shared" si="5"/>
        <v>孟天祥停车费</v>
      </c>
      <c r="J384" s="37">
        <f>IF(SUMPRODUCT((I$3:I384=I384)*1)=1,1,0)</f>
        <v>0</v>
      </c>
      <c r="K384" s="7"/>
    </row>
    <row r="385" spans="1:11" ht="13.5">
      <c r="A385" s="19">
        <v>45227</v>
      </c>
      <c r="B385" s="8" t="s">
        <v>132</v>
      </c>
      <c r="C385" s="8" t="s">
        <v>93</v>
      </c>
      <c r="D385" s="8" t="str">
        <f>LEFT(C385,3)</f>
        <v>浙江省</v>
      </c>
      <c r="E385" s="8" t="s">
        <v>142</v>
      </c>
      <c r="F385" s="8" t="str">
        <f>VLOOKUP(E385,费用类别!A:B,2,0)</f>
        <v>停车费</v>
      </c>
      <c r="G385" s="9">
        <v>945.83333333333303</v>
      </c>
      <c r="H385" s="20" t="str">
        <f>IF(WEEKDAY(A385,2)&gt;5,"是","否")</f>
        <v>是</v>
      </c>
      <c r="I385" s="8" t="str">
        <f t="shared" si="5"/>
        <v>徐亚楠停车费</v>
      </c>
      <c r="J385" s="37">
        <f>IF(SUMPRODUCT((I$3:I385=I385)*1)=1,1,0)</f>
        <v>0</v>
      </c>
      <c r="K385" s="7"/>
    </row>
    <row r="386" spans="1:11" ht="13.5">
      <c r="A386" s="19">
        <v>45230</v>
      </c>
      <c r="B386" s="8" t="s">
        <v>115</v>
      </c>
      <c r="C386" s="8" t="s">
        <v>157</v>
      </c>
      <c r="D386" s="8" t="str">
        <f>LEFT(C386,3)</f>
        <v>山西省</v>
      </c>
      <c r="E386" s="8" t="s">
        <v>142</v>
      </c>
      <c r="F386" s="8" t="str">
        <f>VLOOKUP(E386,费用类别!A:B,2,0)</f>
        <v>停车费</v>
      </c>
      <c r="G386" s="9">
        <v>246</v>
      </c>
      <c r="H386" s="20" t="str">
        <f>IF(WEEKDAY(A386,2)&gt;5,"是","否")</f>
        <v>否</v>
      </c>
      <c r="I386" s="8" t="str">
        <f t="shared" si="5"/>
        <v>刘露露停车费</v>
      </c>
      <c r="J386" s="37">
        <f>IF(SUMPRODUCT((I$3:I386=I386)*1)=1,1,0)</f>
        <v>0</v>
      </c>
      <c r="K386" s="7"/>
    </row>
    <row r="387" spans="1:11" ht="13.5">
      <c r="A387" s="19">
        <v>45230</v>
      </c>
      <c r="B387" s="8" t="s">
        <v>126</v>
      </c>
      <c r="C387" s="8" t="s">
        <v>39</v>
      </c>
      <c r="D387" s="8" t="str">
        <f>LEFT(C387,3)</f>
        <v>上海市</v>
      </c>
      <c r="E387" s="8" t="s">
        <v>141</v>
      </c>
      <c r="F387" s="8" t="str">
        <f>VLOOKUP(E387,费用类别!A:B,2,0)</f>
        <v>燃油费</v>
      </c>
      <c r="G387" s="9">
        <v>1253.3333333333301</v>
      </c>
      <c r="H387" s="20" t="str">
        <f>IF(WEEKDAY(A387,2)&gt;5,"是","否")</f>
        <v>否</v>
      </c>
      <c r="I387" s="8" t="str">
        <f t="shared" ref="I387:I401" si="6">B387&amp;F387</f>
        <v>赵琳艳燃油费</v>
      </c>
      <c r="J387" s="37">
        <f>IF(SUMPRODUCT((I$3:I387=I387)*1)=1,1,0)</f>
        <v>1</v>
      </c>
      <c r="K387" s="7"/>
    </row>
    <row r="388" spans="1:11" ht="13.5">
      <c r="A388" s="19">
        <v>45236</v>
      </c>
      <c r="B388" s="8" t="s">
        <v>125</v>
      </c>
      <c r="C388" s="8" t="s">
        <v>49</v>
      </c>
      <c r="D388" s="8" t="str">
        <f>LEFT(C388,3)</f>
        <v>江苏省</v>
      </c>
      <c r="E388" s="8" t="s">
        <v>144</v>
      </c>
      <c r="F388" s="8" t="str">
        <f>VLOOKUP(E388,费用类别!A:B,2,0)</f>
        <v>其他</v>
      </c>
      <c r="G388" s="9">
        <v>945.83333333333303</v>
      </c>
      <c r="H388" s="20" t="str">
        <f>IF(WEEKDAY(A388,2)&gt;5,"是","否")</f>
        <v>否</v>
      </c>
      <c r="I388" s="8" t="str">
        <f t="shared" si="6"/>
        <v>边金双其他</v>
      </c>
      <c r="J388" s="37">
        <f>IF(SUMPRODUCT((I$3:I388=I388)*1)=1,1,0)</f>
        <v>1</v>
      </c>
      <c r="K388" s="7"/>
    </row>
    <row r="389" spans="1:11" ht="13.5">
      <c r="A389" s="19">
        <v>45238</v>
      </c>
      <c r="B389" s="8" t="s">
        <v>129</v>
      </c>
      <c r="C389" s="8" t="s">
        <v>83</v>
      </c>
      <c r="D389" s="8" t="str">
        <f>LEFT(C389,3)</f>
        <v>北京市</v>
      </c>
      <c r="E389" s="8" t="s">
        <v>141</v>
      </c>
      <c r="F389" s="8" t="str">
        <f>VLOOKUP(E389,费用类别!A:B,2,0)</f>
        <v>燃油费</v>
      </c>
      <c r="G389" s="9">
        <v>1253.3333333333301</v>
      </c>
      <c r="H389" s="20" t="str">
        <f>IF(WEEKDAY(A389,2)&gt;5,"是","否")</f>
        <v>否</v>
      </c>
      <c r="I389" s="8" t="str">
        <f t="shared" si="6"/>
        <v>李雅洁燃油费</v>
      </c>
      <c r="J389" s="37">
        <f>IF(SUMPRODUCT((I$3:I389=I389)*1)=1,1,0)</f>
        <v>1</v>
      </c>
      <c r="K389" s="7"/>
    </row>
    <row r="390" spans="1:11" ht="13.5">
      <c r="A390" s="19">
        <v>45243</v>
      </c>
      <c r="B390" s="8" t="s">
        <v>130</v>
      </c>
      <c r="C390" s="8" t="s">
        <v>96</v>
      </c>
      <c r="D390" s="8" t="str">
        <f>LEFT(C390,3)</f>
        <v>北京市</v>
      </c>
      <c r="E390" s="8" t="s">
        <v>137</v>
      </c>
      <c r="F390" s="8" t="str">
        <f>VLOOKUP(E390,费用类别!A:B,2,0)</f>
        <v>餐饮费</v>
      </c>
      <c r="G390" s="9">
        <v>3000</v>
      </c>
      <c r="H390" s="20" t="str">
        <f>IF(WEEKDAY(A390,2)&gt;5,"是","否")</f>
        <v>否</v>
      </c>
      <c r="I390" s="8" t="str">
        <f t="shared" si="6"/>
        <v>邹佳楠餐饮费</v>
      </c>
      <c r="J390" s="37">
        <f>IF(SUMPRODUCT((I$3:I390=I390)*1)=1,1,0)</f>
        <v>0</v>
      </c>
      <c r="K390" s="7"/>
    </row>
    <row r="391" spans="1:11" ht="13.5">
      <c r="A391" s="19">
        <v>45243</v>
      </c>
      <c r="B391" s="8" t="s">
        <v>112</v>
      </c>
      <c r="C391" s="8" t="s">
        <v>55</v>
      </c>
      <c r="D391" s="8" t="str">
        <f>LEFT(C391,3)</f>
        <v>福建省</v>
      </c>
      <c r="E391" s="8" t="s">
        <v>144</v>
      </c>
      <c r="F391" s="8" t="str">
        <f>VLOOKUP(E391,费用类别!A:B,2,0)</f>
        <v>其他</v>
      </c>
      <c r="G391" s="9">
        <v>1253.3333333333301</v>
      </c>
      <c r="H391" s="20" t="str">
        <f>IF(WEEKDAY(A391,2)&gt;5,"是","否")</f>
        <v>否</v>
      </c>
      <c r="I391" s="8" t="str">
        <f t="shared" si="6"/>
        <v>钱顺卓其他</v>
      </c>
      <c r="J391" s="37">
        <f>IF(SUMPRODUCT((I$3:I391=I391)*1)=1,1,0)</f>
        <v>0</v>
      </c>
      <c r="K391" s="7"/>
    </row>
    <row r="392" spans="1:11" ht="13.5">
      <c r="A392" s="19">
        <v>45245</v>
      </c>
      <c r="B392" s="8" t="s">
        <v>109</v>
      </c>
      <c r="C392" s="8" t="s">
        <v>105</v>
      </c>
      <c r="D392" s="8" t="str">
        <f>LEFT(C392,3)</f>
        <v>河南省</v>
      </c>
      <c r="E392" s="8" t="s">
        <v>140</v>
      </c>
      <c r="F392" s="8" t="str">
        <f>VLOOKUP(E392,费用类别!A:B,2,0)</f>
        <v>高速道桥费</v>
      </c>
      <c r="G392" s="9">
        <v>29</v>
      </c>
      <c r="H392" s="20" t="str">
        <f>IF(WEEKDAY(A392,2)&gt;5,"是","否")</f>
        <v>否</v>
      </c>
      <c r="I392" s="8" t="str">
        <f t="shared" si="6"/>
        <v>陈祥通高速道桥费</v>
      </c>
      <c r="J392" s="37">
        <f>IF(SUMPRODUCT((I$3:I392=I392)*1)=1,1,0)</f>
        <v>0</v>
      </c>
      <c r="K392" s="7"/>
    </row>
    <row r="393" spans="1:11" ht="13.5">
      <c r="A393" s="19">
        <v>45246</v>
      </c>
      <c r="B393" s="8" t="s">
        <v>124</v>
      </c>
      <c r="C393" s="8" t="s">
        <v>32</v>
      </c>
      <c r="D393" s="8" t="str">
        <f>LEFT(C393,3)</f>
        <v>江苏省</v>
      </c>
      <c r="E393" s="8" t="s">
        <v>144</v>
      </c>
      <c r="F393" s="8" t="str">
        <f>VLOOKUP(E393,费用类别!A:B,2,0)</f>
        <v>其他</v>
      </c>
      <c r="G393" s="9">
        <v>433.33333333333297</v>
      </c>
      <c r="H393" s="20" t="str">
        <f>IF(WEEKDAY(A393,2)&gt;5,"是","否")</f>
        <v>否</v>
      </c>
      <c r="I393" s="8" t="str">
        <f t="shared" si="6"/>
        <v>王雅林其他</v>
      </c>
      <c r="J393" s="37">
        <f>IF(SUMPRODUCT((I$3:I393=I393)*1)=1,1,0)</f>
        <v>1</v>
      </c>
      <c r="K393" s="7"/>
    </row>
    <row r="394" spans="1:11" ht="13.5">
      <c r="A394" s="19">
        <v>45246</v>
      </c>
      <c r="B394" s="8" t="s">
        <v>117</v>
      </c>
      <c r="C394" s="8" t="s">
        <v>37</v>
      </c>
      <c r="D394" s="8" t="str">
        <f>LEFT(C394,3)</f>
        <v>北京市</v>
      </c>
      <c r="E394" s="8" t="s">
        <v>139</v>
      </c>
      <c r="F394" s="8" t="str">
        <f>VLOOKUP(E394,费用类别!A:B,2,0)</f>
        <v>火车票</v>
      </c>
      <c r="G394" s="9">
        <v>1048.3333333333301</v>
      </c>
      <c r="H394" s="20" t="str">
        <f>IF(WEEKDAY(A394,2)&gt;5,"是","否")</f>
        <v>否</v>
      </c>
      <c r="I394" s="8" t="str">
        <f t="shared" si="6"/>
        <v>张哲宇火车票</v>
      </c>
      <c r="J394" s="37">
        <f>IF(SUMPRODUCT((I$3:I394=I394)*1)=1,1,0)</f>
        <v>0</v>
      </c>
      <c r="K394" s="7"/>
    </row>
    <row r="395" spans="1:11" ht="13.5">
      <c r="A395" s="19">
        <v>45246</v>
      </c>
      <c r="B395" s="8" t="s">
        <v>134</v>
      </c>
      <c r="C395" s="8" t="s">
        <v>27</v>
      </c>
      <c r="D395" s="8" t="str">
        <f>LEFT(C395,3)</f>
        <v>浙江省</v>
      </c>
      <c r="E395" s="8" t="s">
        <v>139</v>
      </c>
      <c r="F395" s="8" t="str">
        <f>VLOOKUP(E395,费用类别!A:B,2,0)</f>
        <v>火车票</v>
      </c>
      <c r="G395" s="9">
        <v>976</v>
      </c>
      <c r="H395" s="20" t="str">
        <f>IF(WEEKDAY(A395,2)&gt;5,"是","否")</f>
        <v>否</v>
      </c>
      <c r="I395" s="8" t="str">
        <f t="shared" si="6"/>
        <v>唐雅林火车票</v>
      </c>
      <c r="J395" s="37">
        <f>IF(SUMPRODUCT((I$3:I395=I395)*1)=1,1,0)</f>
        <v>0</v>
      </c>
      <c r="K395" s="7"/>
    </row>
    <row r="396" spans="1:11" ht="13.5">
      <c r="A396" s="19">
        <v>45252</v>
      </c>
      <c r="B396" s="8" t="s">
        <v>113</v>
      </c>
      <c r="C396" s="8" t="s">
        <v>25</v>
      </c>
      <c r="D396" s="8" t="str">
        <f>LEFT(C396,3)</f>
        <v>山西省</v>
      </c>
      <c r="E396" s="8" t="s">
        <v>137</v>
      </c>
      <c r="F396" s="8" t="str">
        <f>VLOOKUP(E396,费用类别!A:B,2,0)</f>
        <v>餐饮费</v>
      </c>
      <c r="G396" s="9">
        <v>828.2</v>
      </c>
      <c r="H396" s="20" t="str">
        <f>IF(WEEKDAY(A396,2)&gt;5,"是","否")</f>
        <v>否</v>
      </c>
      <c r="I396" s="8" t="str">
        <f t="shared" si="6"/>
        <v>王崇江餐饮费</v>
      </c>
      <c r="J396" s="37">
        <f>IF(SUMPRODUCT((I$3:I396=I396)*1)=1,1,0)</f>
        <v>0</v>
      </c>
      <c r="K396" s="7"/>
    </row>
    <row r="397" spans="1:11" ht="13.5">
      <c r="A397" s="19">
        <v>45255</v>
      </c>
      <c r="B397" s="8" t="s">
        <v>123</v>
      </c>
      <c r="C397" s="8" t="s">
        <v>30</v>
      </c>
      <c r="D397" s="8" t="str">
        <f>LEFT(C397,3)</f>
        <v>广东省</v>
      </c>
      <c r="E397" s="8" t="s">
        <v>135</v>
      </c>
      <c r="F397" s="8" t="str">
        <f>VLOOKUP(E397,费用类别!A:B,2,0)</f>
        <v>飞机票</v>
      </c>
      <c r="G397" s="9">
        <v>1197.7</v>
      </c>
      <c r="H397" s="20" t="str">
        <f>IF(WEEKDAY(A397,2)&gt;5,"是","否")</f>
        <v>是</v>
      </c>
      <c r="I397" s="8" t="str">
        <f t="shared" si="6"/>
        <v>李晓梅飞机票</v>
      </c>
      <c r="J397" s="37">
        <f>IF(SUMPRODUCT((I$3:I397=I397)*1)=1,1,0)</f>
        <v>1</v>
      </c>
      <c r="K397" s="7"/>
    </row>
    <row r="398" spans="1:11" ht="13.5">
      <c r="A398" s="19">
        <v>45255</v>
      </c>
      <c r="B398" s="8" t="s">
        <v>120</v>
      </c>
      <c r="C398" s="8" t="s">
        <v>24</v>
      </c>
      <c r="D398" s="8" t="str">
        <f>LEFT(C398,3)</f>
        <v>四川省</v>
      </c>
      <c r="E398" s="8" t="s">
        <v>136</v>
      </c>
      <c r="F398" s="8" t="str">
        <f>VLOOKUP(E398,费用类别!A:B,2,0)</f>
        <v>酒店住宿</v>
      </c>
      <c r="G398" s="9">
        <v>754.3</v>
      </c>
      <c r="H398" s="20" t="str">
        <f>IF(WEEKDAY(A398,2)&gt;5,"是","否")</f>
        <v>是</v>
      </c>
      <c r="I398" s="8" t="str">
        <f t="shared" si="6"/>
        <v>谢丽秋酒店住宿</v>
      </c>
      <c r="J398" s="37">
        <f>IF(SUMPRODUCT((I$3:I398=I398)*1)=1,1,0)</f>
        <v>1</v>
      </c>
      <c r="K398" s="7"/>
    </row>
    <row r="399" spans="1:11" ht="13.5">
      <c r="A399" s="19">
        <v>45262</v>
      </c>
      <c r="B399" s="8" t="s">
        <v>121</v>
      </c>
      <c r="C399" s="8" t="s">
        <v>47</v>
      </c>
      <c r="D399" s="8" t="str">
        <f>LEFT(C399,3)</f>
        <v>北京市</v>
      </c>
      <c r="E399" s="8" t="s">
        <v>142</v>
      </c>
      <c r="F399" s="8" t="str">
        <f>VLOOKUP(E399,费用类别!A:B,2,0)</f>
        <v>停车费</v>
      </c>
      <c r="G399" s="9">
        <v>740.83333333333303</v>
      </c>
      <c r="H399" s="20" t="str">
        <f>IF(WEEKDAY(A399,2)&gt;5,"是","否")</f>
        <v>是</v>
      </c>
      <c r="I399" s="8" t="str">
        <f t="shared" si="6"/>
        <v>关天胜停车费</v>
      </c>
      <c r="J399" s="37">
        <f>IF(SUMPRODUCT((I$3:I399=I399)*1)=1,1,0)</f>
        <v>0</v>
      </c>
      <c r="K399" s="7"/>
    </row>
    <row r="400" spans="1:11" ht="13.5">
      <c r="A400" s="19">
        <v>45264</v>
      </c>
      <c r="B400" s="8" t="s">
        <v>129</v>
      </c>
      <c r="C400" s="8" t="s">
        <v>83</v>
      </c>
      <c r="D400" s="8" t="str">
        <f>LEFT(C400,3)</f>
        <v>北京市</v>
      </c>
      <c r="E400" s="8" t="s">
        <v>139</v>
      </c>
      <c r="F400" s="8" t="str">
        <f>VLOOKUP(E400,费用类别!A:B,2,0)</f>
        <v>火车票</v>
      </c>
      <c r="G400" s="9">
        <v>246</v>
      </c>
      <c r="H400" s="20" t="str">
        <f>IF(WEEKDAY(A400,2)&gt;5,"是","否")</f>
        <v>否</v>
      </c>
      <c r="I400" s="8" t="str">
        <f t="shared" si="6"/>
        <v>李雅洁火车票</v>
      </c>
      <c r="J400" s="37">
        <f>IF(SUMPRODUCT((I$3:I400=I400)*1)=1,1,0)</f>
        <v>0</v>
      </c>
      <c r="K400" s="7"/>
    </row>
    <row r="401" spans="1:11" ht="13.5">
      <c r="A401" s="24">
        <v>45271</v>
      </c>
      <c r="B401" s="25" t="s">
        <v>111</v>
      </c>
      <c r="C401" s="25" t="s">
        <v>79</v>
      </c>
      <c r="D401" s="25" t="str">
        <f>LEFT(C401,3)</f>
        <v>吉林省</v>
      </c>
      <c r="E401" s="25" t="s">
        <v>144</v>
      </c>
      <c r="F401" s="25" t="str">
        <f>VLOOKUP(E401,费用类别!A:B,2,0)</f>
        <v>其他</v>
      </c>
      <c r="G401" s="26">
        <v>2500</v>
      </c>
      <c r="H401" s="27" t="str">
        <f>IF(WEEKDAY(A401,2)&gt;5,"是","否")</f>
        <v>否</v>
      </c>
      <c r="I401" s="25" t="str">
        <f t="shared" si="6"/>
        <v>方文成其他</v>
      </c>
      <c r="J401" s="37">
        <f>IF(SUMPRODUCT((I$3:I401=I401)*1)=1,1,0)</f>
        <v>1</v>
      </c>
      <c r="K401" s="7"/>
    </row>
  </sheetData>
  <sortState sortMethod="stroke" ref="A3:H401">
    <sortCondition ref="A3:A401"/>
    <sortCondition ref="B3:B401"/>
  </sortState>
  <mergeCells count="1">
    <mergeCell ref="A1:H1"/>
  </mergeCells>
  <phoneticPr fontId="1" type="noConversion"/>
  <conditionalFormatting sqref="A3:J401">
    <cfRule type="expression" dxfId="0" priority="1">
      <formula>$G3&gt;1500</formula>
    </cfRule>
  </conditionalFormatting>
  <pageMargins left="0.7" right="0.7" top="0.75" bottom="0.75" header="0.3" footer="0.3"/>
  <pageSetup paperSize="9" orientation="portrait" r:id="rId2"/>
  <drawing r:id="rId3"/>
  <tableParts count="1">
    <tablePart r:id="rId4"/>
  </tableParts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3" sqref="B3:B12"/>
    </sheetView>
  </sheetViews>
  <sheetFormatPr defaultColWidth="9" defaultRowHeight="13.5"/>
  <cols>
    <col min="1" max="1" width="17.375" style="5" customWidth="1"/>
    <col min="2" max="2" width="20.875" style="5" customWidth="1"/>
    <col min="3" max="16384" width="9" style="5"/>
  </cols>
  <sheetData>
    <row r="1" spans="1:2" ht="28.5" customHeight="1">
      <c r="A1" s="18" t="s">
        <v>149</v>
      </c>
      <c r="B1" s="18"/>
    </row>
    <row r="2" spans="1:2">
      <c r="A2" s="5" t="s">
        <v>150</v>
      </c>
      <c r="B2" s="5" t="s">
        <v>2</v>
      </c>
    </row>
    <row r="3" spans="1:2">
      <c r="A3" s="5" t="s">
        <v>137</v>
      </c>
      <c r="B3" s="5" t="s">
        <v>5</v>
      </c>
    </row>
    <row r="4" spans="1:2">
      <c r="A4" s="5" t="s">
        <v>138</v>
      </c>
      <c r="B4" s="5" t="s">
        <v>4</v>
      </c>
    </row>
    <row r="5" spans="1:2">
      <c r="A5" s="5" t="s">
        <v>135</v>
      </c>
      <c r="B5" s="5" t="s">
        <v>6</v>
      </c>
    </row>
    <row r="6" spans="1:2">
      <c r="A6" s="5" t="s">
        <v>140</v>
      </c>
      <c r="B6" s="5" t="s">
        <v>9</v>
      </c>
    </row>
    <row r="7" spans="1:2">
      <c r="A7" s="5" t="s">
        <v>139</v>
      </c>
      <c r="B7" s="5" t="s">
        <v>8</v>
      </c>
    </row>
    <row r="8" spans="1:2">
      <c r="A8" s="5" t="s">
        <v>136</v>
      </c>
      <c r="B8" s="5" t="s">
        <v>7</v>
      </c>
    </row>
    <row r="9" spans="1:2">
      <c r="A9" s="5" t="s">
        <v>144</v>
      </c>
      <c r="B9" s="5" t="s">
        <v>148</v>
      </c>
    </row>
    <row r="10" spans="1:2">
      <c r="A10" s="5" t="s">
        <v>141</v>
      </c>
      <c r="B10" s="5" t="s">
        <v>145</v>
      </c>
    </row>
    <row r="11" spans="1:2">
      <c r="A11" s="5" t="s">
        <v>142</v>
      </c>
      <c r="B11" s="5" t="s">
        <v>146</v>
      </c>
    </row>
    <row r="12" spans="1:2">
      <c r="A12" s="5" t="s">
        <v>143</v>
      </c>
      <c r="B12" s="5" t="s">
        <v>147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3.5"/>
  <cols>
    <col min="1" max="1" width="11.625" bestFit="1" customWidth="1"/>
    <col min="2" max="4" width="11.375" customWidth="1"/>
    <col min="5" max="6" width="19.75" customWidth="1"/>
  </cols>
  <sheetData>
    <row r="1" spans="1:6">
      <c r="A1" s="10" t="s">
        <v>2</v>
      </c>
      <c r="B1" s="10" t="s">
        <v>159</v>
      </c>
      <c r="C1" s="10" t="s">
        <v>160</v>
      </c>
      <c r="D1" s="10" t="s">
        <v>161</v>
      </c>
      <c r="E1" s="10" t="s">
        <v>177</v>
      </c>
      <c r="F1" s="11" t="s">
        <v>162</v>
      </c>
    </row>
    <row r="2" spans="1:6">
      <c r="A2" s="12" t="s">
        <v>5</v>
      </c>
      <c r="B2" s="12">
        <f>COUNTIFS(费用报销管理!$F$3:$F$401,A2,费用报销管理!$J$3:$J$401,1)</f>
        <v>19</v>
      </c>
      <c r="C2" s="12">
        <f>COUNTIF(费用报销管理!$F$3:$F$401,A2)</f>
        <v>37</v>
      </c>
      <c r="D2" s="38">
        <f>SUMIF(费用报销管理!$F$3:$F$401,A2,费用报销管理!$G$3:$G$401)</f>
        <v>29726.933333333316</v>
      </c>
      <c r="E2" s="38">
        <f>D2/C2</f>
        <v>803.43063063063016</v>
      </c>
      <c r="F2" s="39">
        <f>D2/B2</f>
        <v>1564.5754385964904</v>
      </c>
    </row>
    <row r="3" spans="1:6">
      <c r="A3" s="12" t="s">
        <v>4</v>
      </c>
      <c r="B3" s="12">
        <f>COUNTIFS(费用报销管理!$F$3:$F$401,A3,费用报销管理!$J$3:$J$401,1)</f>
        <v>22</v>
      </c>
      <c r="C3" s="12">
        <f>COUNTIF(费用报销管理!$F$3:$F$401,A3)</f>
        <v>36</v>
      </c>
      <c r="D3" s="38">
        <f>SUMIF(费用报销管理!$F$3:$F$401,A3,费用报销管理!$G$3:$G$401)</f>
        <v>23297.066666666655</v>
      </c>
      <c r="E3" s="38">
        <f t="shared" ref="E3:E11" si="0">D3/C3</f>
        <v>647.1407407407404</v>
      </c>
      <c r="F3" s="39">
        <f t="shared" ref="F3:F11" si="1">D3/B3</f>
        <v>1058.9575757575751</v>
      </c>
    </row>
    <row r="4" spans="1:6">
      <c r="A4" s="12" t="s">
        <v>6</v>
      </c>
      <c r="B4" s="12">
        <f>COUNTIFS(费用报销管理!$F$3:$F$401,A4,费用报销管理!$J$3:$J$401,1)</f>
        <v>12</v>
      </c>
      <c r="C4" s="12">
        <f>COUNTIF(费用报销管理!$F$3:$F$401,A4)</f>
        <v>18</v>
      </c>
      <c r="D4" s="38">
        <f>SUMIF(费用报销管理!$F$3:$F$401,A4,费用报销管理!$G$3:$G$401)</f>
        <v>13257.799999999992</v>
      </c>
      <c r="E4" s="38">
        <f t="shared" si="0"/>
        <v>736.54444444444403</v>
      </c>
      <c r="F4" s="39">
        <f t="shared" si="1"/>
        <v>1104.8166666666659</v>
      </c>
    </row>
    <row r="5" spans="1:6">
      <c r="A5" s="12" t="s">
        <v>9</v>
      </c>
      <c r="B5" s="12">
        <f>COUNTIFS(费用报销管理!$F$3:$F$401,A5,费用报销管理!$J$3:$J$401,1)</f>
        <v>21</v>
      </c>
      <c r="C5" s="12">
        <f>COUNTIF(费用报销管理!$F$3:$F$401,A5)</f>
        <v>64</v>
      </c>
      <c r="D5" s="38">
        <f>SUMIF(费用报销管理!$F$3:$F$401,A5,费用报销管理!$G$3:$G$401)</f>
        <v>48669.033333333289</v>
      </c>
      <c r="E5" s="38">
        <f t="shared" si="0"/>
        <v>760.45364583333264</v>
      </c>
      <c r="F5" s="39">
        <f t="shared" si="1"/>
        <v>2317.5730158730139</v>
      </c>
    </row>
    <row r="6" spans="1:6">
      <c r="A6" s="12" t="s">
        <v>8</v>
      </c>
      <c r="B6" s="12">
        <f>COUNTIFS(费用报销管理!$F$3:$F$401,A6,费用报销管理!$J$3:$J$401,1)</f>
        <v>24</v>
      </c>
      <c r="C6" s="12">
        <f>COUNTIF(费用报销管理!$F$3:$F$401,A6)</f>
        <v>65</v>
      </c>
      <c r="D6" s="38">
        <f>SUMIF(费用报销管理!$F$3:$F$401,A6,费用报销管理!$G$3:$G$401)</f>
        <v>42066.533333333296</v>
      </c>
      <c r="E6" s="38">
        <f t="shared" si="0"/>
        <v>647.17743589743532</v>
      </c>
      <c r="F6" s="39">
        <f t="shared" si="1"/>
        <v>1752.7722222222208</v>
      </c>
    </row>
    <row r="7" spans="1:6">
      <c r="A7" s="12" t="s">
        <v>7</v>
      </c>
      <c r="B7" s="12">
        <f>COUNTIFS(费用报销管理!$F$3:$F$401,A7,费用报销管理!$J$3:$J$401,1)</f>
        <v>12</v>
      </c>
      <c r="C7" s="12">
        <f>COUNTIF(费用报销管理!$F$3:$F$401,A7)</f>
        <v>18</v>
      </c>
      <c r="D7" s="38">
        <f>SUMIF(费用报销管理!$F$3:$F$401,A7,费用报销管理!$G$3:$G$401)</f>
        <v>15842.399999999989</v>
      </c>
      <c r="E7" s="38">
        <f t="shared" si="0"/>
        <v>880.13333333333276</v>
      </c>
      <c r="F7" s="39">
        <f t="shared" si="1"/>
        <v>1320.1999999999991</v>
      </c>
    </row>
    <row r="8" spans="1:6">
      <c r="A8" s="12" t="s">
        <v>148</v>
      </c>
      <c r="B8" s="12">
        <f>COUNTIFS(费用报销管理!$F$3:$F$401,A8,费用报销管理!$J$3:$J$401,1)</f>
        <v>17</v>
      </c>
      <c r="C8" s="12">
        <f>COUNTIF(费用报销管理!$F$3:$F$401,A8)</f>
        <v>25</v>
      </c>
      <c r="D8" s="38">
        <f>SUMIF(费用报销管理!$F$3:$F$401,A8,费用报销管理!$G$3:$G$401)</f>
        <v>16861.166666666664</v>
      </c>
      <c r="E8" s="38">
        <f t="shared" si="0"/>
        <v>674.4466666666666</v>
      </c>
      <c r="F8" s="39">
        <f t="shared" si="1"/>
        <v>991.83333333333314</v>
      </c>
    </row>
    <row r="9" spans="1:6">
      <c r="A9" s="12" t="s">
        <v>145</v>
      </c>
      <c r="B9" s="12">
        <f>COUNTIFS(费用报销管理!$F$3:$F$401,A9,费用报销管理!$J$3:$J$401,1)</f>
        <v>24</v>
      </c>
      <c r="C9" s="12">
        <f>COUNTIF(费用报销管理!$F$3:$F$401,A9)</f>
        <v>64</v>
      </c>
      <c r="D9" s="38">
        <f>SUMIF(费用报销管理!$F$3:$F$401,A9,费用报销管理!$G$3:$G$401)</f>
        <v>48291.36666666661</v>
      </c>
      <c r="E9" s="38">
        <f t="shared" si="0"/>
        <v>754.55260416666579</v>
      </c>
      <c r="F9" s="39">
        <f t="shared" si="1"/>
        <v>2012.1402777777755</v>
      </c>
    </row>
    <row r="10" spans="1:6">
      <c r="A10" s="12" t="s">
        <v>146</v>
      </c>
      <c r="B10" s="12">
        <f>COUNTIFS(费用报销管理!$F$3:$F$401,A10,费用报销管理!$J$3:$J$401,1)</f>
        <v>21</v>
      </c>
      <c r="C10" s="12">
        <f>COUNTIF(费用报销管理!$F$3:$F$401,A10)</f>
        <v>36</v>
      </c>
      <c r="D10" s="38">
        <f>SUMIF(费用报销管理!$F$3:$F$401,A10,费用报销管理!$G$3:$G$401)</f>
        <v>24579.466666666645</v>
      </c>
      <c r="E10" s="38">
        <f t="shared" si="0"/>
        <v>682.76296296296232</v>
      </c>
      <c r="F10" s="39">
        <f t="shared" si="1"/>
        <v>1170.4507936507925</v>
      </c>
    </row>
    <row r="11" spans="1:6">
      <c r="A11" s="13" t="s">
        <v>147</v>
      </c>
      <c r="B11" s="12">
        <f>COUNTIFS(费用报销管理!$F$3:$F$401,A11,费用报销管理!$J$3:$J$401,1)</f>
        <v>19</v>
      </c>
      <c r="C11" s="12">
        <f>COUNTIF(费用报销管理!$F$3:$F$401,A11)</f>
        <v>36</v>
      </c>
      <c r="D11" s="38">
        <f>SUMIF(费用报销管理!$F$3:$F$401,A11,费用报销管理!$G$3:$G$401)</f>
        <v>25583.33333333331</v>
      </c>
      <c r="E11" s="38">
        <f t="shared" si="0"/>
        <v>710.64814814814747</v>
      </c>
      <c r="F11" s="39">
        <f t="shared" si="1"/>
        <v>1346.4912280701742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sqref="A1:L13"/>
    </sheetView>
  </sheetViews>
  <sheetFormatPr defaultRowHeight="13.5"/>
  <cols>
    <col min="2" max="2" width="11.625" bestFit="1" customWidth="1"/>
    <col min="3" max="3" width="11.375" customWidth="1"/>
    <col min="4" max="4" width="11.625" bestFit="1" customWidth="1"/>
    <col min="5" max="5" width="13.5" customWidth="1"/>
    <col min="6" max="6" width="11.625" bestFit="1" customWidth="1"/>
    <col min="7" max="7" width="11.375" customWidth="1"/>
    <col min="8" max="8" width="11.625" bestFit="1" customWidth="1"/>
    <col min="9" max="9" width="12.75" bestFit="1" customWidth="1"/>
    <col min="10" max="10" width="11.625" bestFit="1" customWidth="1"/>
    <col min="11" max="12" width="12.75" bestFit="1" customWidth="1"/>
  </cols>
  <sheetData>
    <row r="1" spans="1:12">
      <c r="A1" s="15" t="s">
        <v>163</v>
      </c>
      <c r="B1" s="15" t="s">
        <v>5</v>
      </c>
      <c r="C1" s="15" t="s">
        <v>4</v>
      </c>
      <c r="D1" s="15" t="s">
        <v>6</v>
      </c>
      <c r="E1" s="15" t="s">
        <v>9</v>
      </c>
      <c r="F1" s="15" t="s">
        <v>8</v>
      </c>
      <c r="G1" s="15" t="s">
        <v>7</v>
      </c>
      <c r="H1" s="15" t="s">
        <v>148</v>
      </c>
      <c r="I1" s="15" t="s">
        <v>145</v>
      </c>
      <c r="J1" s="15" t="s">
        <v>146</v>
      </c>
      <c r="K1" s="15" t="s">
        <v>147</v>
      </c>
      <c r="L1" s="15" t="s">
        <v>164</v>
      </c>
    </row>
    <row r="2" spans="1:12">
      <c r="A2" s="14" t="s">
        <v>165</v>
      </c>
      <c r="B2" s="40">
        <f>SUMIFS(费用报销管理!$G$3:$G$401,费用报销管理!$A$3:$A$401,"&gt;="&amp;DATE(2023,1,1),费用报销管理!$A$3:$A$401,"&lt;"&amp;DATE(2023,2,1),费用报销管理!$F$3:$F$401,B$1)</f>
        <v>3000</v>
      </c>
      <c r="C2" s="40">
        <f>SUMIFS(费用报销管理!$G$3:$G$401,费用报销管理!$A$3:$A$401,"&gt;="&amp;DATE(2023,1,1),费用报销管理!$A$3:$A$401,"&lt;"&amp;DATE(2023,2,1),费用报销管理!$F$3:$F$401,C$1)</f>
        <v>0</v>
      </c>
      <c r="D2" s="40">
        <f>SUMIFS(费用报销管理!$G$3:$G$401,费用报销管理!$A$3:$A$401,"&gt;="&amp;DATE(2023,1,1),费用报销管理!$A$3:$A$401,"&lt;"&amp;DATE(2023,2,1),费用报销管理!$F$3:$F$401,D$1)</f>
        <v>0</v>
      </c>
      <c r="E2" s="40">
        <f>SUMIFS(费用报销管理!$G$3:$G$401,费用报销管理!$A$3:$A$401,"&gt;="&amp;DATE(2023,1,1),费用报销管理!$A$3:$A$401,"&lt;"&amp;DATE(2023,2,1),费用报销管理!$F$3:$F$401,E$1)</f>
        <v>0</v>
      </c>
      <c r="F2" s="40">
        <f>SUMIFS(费用报销管理!$G$3:$G$401,费用报销管理!$A$3:$A$401,"&gt;="&amp;DATE(2023,1,1),费用报销管理!$A$3:$A$401,"&lt;"&amp;DATE(2023,2,1),费用报销管理!$F$3:$F$401,F$1)</f>
        <v>0</v>
      </c>
      <c r="G2" s="40">
        <f>SUMIFS(费用报销管理!$G$3:$G$401,费用报销管理!$A$3:$A$401,"&gt;="&amp;DATE(2023,1,1),费用报销管理!$A$3:$A$401,"&lt;"&amp;DATE(2023,2,1),费用报销管理!$F$3:$F$401,G$1)</f>
        <v>0</v>
      </c>
      <c r="H2" s="40">
        <f>SUMIFS(费用报销管理!$G$3:$G$401,费用报销管理!$A$3:$A$401,"&gt;="&amp;DATE(2023,1,1),费用报销管理!$A$3:$A$401,"&lt;"&amp;DATE(2023,2,1),费用报销管理!$F$3:$F$401,H$1)</f>
        <v>0</v>
      </c>
      <c r="I2" s="40">
        <f>SUMIFS(费用报销管理!$G$3:$G$401,费用报销管理!$A$3:$A$401,"&gt;="&amp;DATE(2023,1,1),费用报销管理!$A$3:$A$401,"&lt;"&amp;DATE(2023,2,1),费用报销管理!$F$3:$F$401,I$1)</f>
        <v>0</v>
      </c>
      <c r="J2" s="40">
        <f>SUMIFS(费用报销管理!$G$3:$G$401,费用报销管理!$A$3:$A$401,"&gt;="&amp;DATE(2023,1,1),费用报销管理!$A$3:$A$401,"&lt;"&amp;DATE(2023,2,1),费用报销管理!$F$3:$F$401,J$1)</f>
        <v>0</v>
      </c>
      <c r="K2" s="40">
        <f>SUMIFS(费用报销管理!$G$3:$G$401,费用报销管理!$A$3:$A$401,"&gt;="&amp;DATE(2023,1,1),费用报销管理!$A$3:$A$401,"&lt;"&amp;DATE(2023,2,1),费用报销管理!$F$3:$F$401,K$1)</f>
        <v>0</v>
      </c>
      <c r="L2" s="40">
        <f>SUM(B2:K2)</f>
        <v>3000</v>
      </c>
    </row>
    <row r="3" spans="1:12">
      <c r="A3" s="14" t="s">
        <v>166</v>
      </c>
      <c r="B3" s="40">
        <f>SUMIFS(费用报销管理!$G$3:$G$401,费用报销管理!$A$3:$A$401,"&gt;="&amp;DATE(2023,2,1),费用报销管理!$A$3:$A$401,"&lt;"&amp;DATE(2023,3,1),费用报销管理!$F$3:$F$401,B$1)</f>
        <v>0</v>
      </c>
      <c r="C3" s="40">
        <f>SUMIFS(费用报销管理!$G$3:$G$401,费用报销管理!$A$3:$A$401,"&gt;="&amp;DATE(2023,2,1),费用报销管理!$A$3:$A$401,"&lt;"&amp;DATE(2023,3,1),费用报销管理!$F$3:$F$401,C$1)</f>
        <v>300</v>
      </c>
      <c r="D3" s="40">
        <f>SUMIFS(费用报销管理!$G$3:$G$401,费用报销管理!$A$3:$A$401,"&gt;="&amp;DATE(2023,2,1),费用报销管理!$A$3:$A$401,"&lt;"&amp;DATE(2023,3,1),费用报销管理!$F$3:$F$401,D$1)</f>
        <v>0</v>
      </c>
      <c r="E3" s="40">
        <f>SUMIFS(费用报销管理!$G$3:$G$401,费用报销管理!$A$3:$A$401,"&gt;="&amp;DATE(2023,2,1),费用报销管理!$A$3:$A$401,"&lt;"&amp;DATE(2023,3,1),费用报销管理!$F$3:$F$401,E$1)</f>
        <v>0</v>
      </c>
      <c r="F3" s="40">
        <f>SUMIFS(费用报销管理!$G$3:$G$401,费用报销管理!$A$3:$A$401,"&gt;="&amp;DATE(2023,2,1),费用报销管理!$A$3:$A$401,"&lt;"&amp;DATE(2023,3,1),费用报销管理!$F$3:$F$401,F$1)</f>
        <v>0</v>
      </c>
      <c r="G3" s="40">
        <f>SUMIFS(费用报销管理!$G$3:$G$401,费用报销管理!$A$3:$A$401,"&gt;="&amp;DATE(2023,2,1),费用报销管理!$A$3:$A$401,"&lt;"&amp;DATE(2023,3,1),费用报销管理!$F$3:$F$401,G$1)</f>
        <v>200</v>
      </c>
      <c r="H3" s="40">
        <f>SUMIFS(费用报销管理!$G$3:$G$401,费用报销管理!$A$3:$A$401,"&gt;="&amp;DATE(2023,2,1),费用报销管理!$A$3:$A$401,"&lt;"&amp;DATE(2023,3,1),费用报销管理!$F$3:$F$401,H$1)</f>
        <v>0</v>
      </c>
      <c r="I3" s="40">
        <f>SUMIFS(费用报销管理!$G$3:$G$401,费用报销管理!$A$3:$A$401,"&gt;="&amp;DATE(2023,2,1),费用报销管理!$A$3:$A$401,"&lt;"&amp;DATE(2023,3,1),费用报销管理!$F$3:$F$401,I$1)</f>
        <v>22</v>
      </c>
      <c r="J3" s="40">
        <f>SUMIFS(费用报销管理!$G$3:$G$401,费用报销管理!$A$3:$A$401,"&gt;="&amp;DATE(2023,2,1),费用报销管理!$A$3:$A$401,"&lt;"&amp;DATE(2023,3,1),费用报销管理!$F$3:$F$401,J$1)</f>
        <v>0</v>
      </c>
      <c r="K3" s="40">
        <f>SUMIFS(费用报销管理!$G$3:$G$401,费用报销管理!$A$3:$A$401,"&gt;="&amp;DATE(2023,2,1),费用报销管理!$A$3:$A$401,"&lt;"&amp;DATE(2023,3,1),费用报销管理!$F$3:$F$401,K$1)</f>
        <v>0</v>
      </c>
      <c r="L3" s="40">
        <f t="shared" ref="L3:L13" si="0">SUM(B3:K3)</f>
        <v>522</v>
      </c>
    </row>
    <row r="4" spans="1:12">
      <c r="A4" s="14" t="s">
        <v>167</v>
      </c>
      <c r="B4" s="40">
        <f>SUMIFS(费用报销管理!$G$3:$G$401,费用报销管理!$A$3:$A$401,"&gt;="&amp;DATE(2023,3,1),费用报销管理!$A$3:$A$401,"&lt;"&amp;DATE(2023,4,1),费用报销管理!$F$3:$F$401,B$1)</f>
        <v>388</v>
      </c>
      <c r="C4" s="40">
        <f>SUMIFS(费用报销管理!$G$3:$G$401,费用报销管理!$A$3:$A$401,"&gt;="&amp;DATE(2023,3,1),费用报销管理!$A$3:$A$401,"&lt;"&amp;DATE(2023,4,1),费用报销管理!$F$3:$F$401,C$1)</f>
        <v>0</v>
      </c>
      <c r="D4" s="40">
        <f>SUMIFS(费用报销管理!$G$3:$G$401,费用报销管理!$A$3:$A$401,"&gt;="&amp;DATE(2023,3,1),费用报销管理!$A$3:$A$401,"&lt;"&amp;DATE(2023,4,1),费用报销管理!$F$3:$F$401,D$1)</f>
        <v>120</v>
      </c>
      <c r="E4" s="40">
        <f>SUMIFS(费用报销管理!$G$3:$G$401,费用报销管理!$A$3:$A$401,"&gt;="&amp;DATE(2023,3,1),费用报销管理!$A$3:$A$401,"&lt;"&amp;DATE(2023,4,1),费用报销管理!$F$3:$F$401,E$1)</f>
        <v>3642.333333333333</v>
      </c>
      <c r="F4" s="40">
        <f>SUMIFS(费用报销管理!$G$3:$G$401,费用报销管理!$A$3:$A$401,"&gt;="&amp;DATE(2023,3,1),费用报销管理!$A$3:$A$401,"&lt;"&amp;DATE(2023,4,1),费用报销管理!$F$3:$F$401,F$1)</f>
        <v>1239.0999999999999</v>
      </c>
      <c r="G4" s="40">
        <f>SUMIFS(费用报销管理!$G$3:$G$401,费用报销管理!$A$3:$A$401,"&gt;="&amp;DATE(2023,3,1),费用报销管理!$A$3:$A$401,"&lt;"&amp;DATE(2023,4,1),费用报销管理!$F$3:$F$401,G$1)</f>
        <v>0</v>
      </c>
      <c r="H4" s="40">
        <f>SUMIFS(费用报销管理!$G$3:$G$401,费用报销管理!$A$3:$A$401,"&gt;="&amp;DATE(2023,3,1),费用报销管理!$A$3:$A$401,"&lt;"&amp;DATE(2023,4,1),费用报销管理!$F$3:$F$401,H$1)</f>
        <v>0</v>
      </c>
      <c r="I4" s="40">
        <f>SUMIFS(费用报销管理!$G$3:$G$401,费用报销管理!$A$3:$A$401,"&gt;="&amp;DATE(2023,3,1),费用报销管理!$A$3:$A$401,"&lt;"&amp;DATE(2023,4,1),费用报销管理!$F$3:$F$401,I$1)</f>
        <v>1847.9333333333329</v>
      </c>
      <c r="J4" s="40">
        <f>SUMIFS(费用报销管理!$G$3:$G$401,费用报销管理!$A$3:$A$401,"&gt;="&amp;DATE(2023,3,1),费用报销管理!$A$3:$A$401,"&lt;"&amp;DATE(2023,4,1),费用报销管理!$F$3:$F$401,J$1)</f>
        <v>0</v>
      </c>
      <c r="K4" s="40">
        <f>SUMIFS(费用报销管理!$G$3:$G$401,费用报销管理!$A$3:$A$401,"&gt;="&amp;DATE(2023,3,1),费用报销管理!$A$3:$A$401,"&lt;"&amp;DATE(2023,4,1),费用报销管理!$F$3:$F$401,K$1)</f>
        <v>1437.9</v>
      </c>
      <c r="L4" s="40">
        <f t="shared" si="0"/>
        <v>8675.2666666666646</v>
      </c>
    </row>
    <row r="5" spans="1:12">
      <c r="A5" s="14" t="s">
        <v>168</v>
      </c>
      <c r="B5" s="40">
        <f>SUMIFS(费用报销管理!$G$3:$G$401,费用报销管理!$A$3:$A$401,"&gt;="&amp;DATE(2023,4,1),费用报销管理!$A$3:$A$401,"&lt;"&amp;DATE(2023,5,1),费用报销管理!$F$3:$F$401,B$1)</f>
        <v>2391.6666666666633</v>
      </c>
      <c r="C5" s="40">
        <f>SUMIFS(费用报销管理!$G$3:$G$401,费用报销管理!$A$3:$A$401,"&gt;="&amp;DATE(2023,4,1),费用报销管理!$A$3:$A$401,"&lt;"&amp;DATE(2023,5,1),费用报销管理!$F$3:$F$401,C$1)</f>
        <v>606.5</v>
      </c>
      <c r="D5" s="40">
        <f>SUMIFS(费用报销管理!$G$3:$G$401,费用报销管理!$A$3:$A$401,"&gt;="&amp;DATE(2023,4,1),费用报销管理!$A$3:$A$401,"&lt;"&amp;DATE(2023,5,1),费用报销管理!$F$3:$F$401,D$1)</f>
        <v>1048.3333333333301</v>
      </c>
      <c r="E5" s="40">
        <f>SUMIFS(费用报销管理!$G$3:$G$401,费用报销管理!$A$3:$A$401,"&gt;="&amp;DATE(2023,4,1),费用报销管理!$A$3:$A$401,"&lt;"&amp;DATE(2023,5,1),费用报销管理!$F$3:$F$401,E$1)</f>
        <v>605</v>
      </c>
      <c r="F5" s="40">
        <f>SUMIFS(费用报销管理!$G$3:$G$401,费用报销管理!$A$3:$A$401,"&gt;="&amp;DATE(2023,4,1),费用报销管理!$A$3:$A$401,"&lt;"&amp;DATE(2023,5,1),费用报销管理!$F$3:$F$401,F$1)</f>
        <v>640</v>
      </c>
      <c r="G5" s="40">
        <f>SUMIFS(费用报销管理!$G$3:$G$401,费用报销管理!$A$3:$A$401,"&gt;="&amp;DATE(2023,4,1),费用报销管理!$A$3:$A$401,"&lt;"&amp;DATE(2023,5,1),费用报销管理!$F$3:$F$401,G$1)</f>
        <v>1150.8333333333301</v>
      </c>
      <c r="H5" s="40">
        <f>SUMIFS(费用报销管理!$G$3:$G$401,费用报销管理!$A$3:$A$401,"&gt;="&amp;DATE(2023,4,1),费用报销管理!$A$3:$A$401,"&lt;"&amp;DATE(2023,5,1),费用报销管理!$F$3:$F$401,H$1)</f>
        <v>0</v>
      </c>
      <c r="I5" s="40">
        <f>SUMIFS(费用报销管理!$G$3:$G$401,费用报销管理!$A$3:$A$401,"&gt;="&amp;DATE(2023,4,1),费用报销管理!$A$3:$A$401,"&lt;"&amp;DATE(2023,5,1),费用报销管理!$F$3:$F$401,I$1)</f>
        <v>1049.9000000000001</v>
      </c>
      <c r="J5" s="40">
        <f>SUMIFS(费用报销管理!$G$3:$G$401,费用报销管理!$A$3:$A$401,"&gt;="&amp;DATE(2023,4,1),费用报销管理!$A$3:$A$401,"&lt;"&amp;DATE(2023,5,1),费用报销管理!$F$3:$F$401,J$1)</f>
        <v>345</v>
      </c>
      <c r="K5" s="40">
        <f>SUMIFS(费用报销管理!$G$3:$G$401,费用报销管理!$A$3:$A$401,"&gt;="&amp;DATE(2023,4,1),费用报销管理!$A$3:$A$401,"&lt;"&amp;DATE(2023,5,1),费用报销管理!$F$3:$F$401,K$1)</f>
        <v>0</v>
      </c>
      <c r="L5" s="40">
        <f t="shared" si="0"/>
        <v>7837.2333333333245</v>
      </c>
    </row>
    <row r="6" spans="1:12">
      <c r="A6" s="14" t="s">
        <v>169</v>
      </c>
      <c r="B6" s="40">
        <f>SUMIFS(费用报销管理!$G$3:$G$401,费用报销管理!$A$3:$A$401,"&gt;="&amp;DATE(2023,5,1),费用报销管理!$A$3:$A$401,"&lt;"&amp;DATE(2023,6,1),费用报销管理!$F$3:$F$401,B$1)</f>
        <v>120</v>
      </c>
      <c r="C6" s="40">
        <f>SUMIFS(费用报销管理!$G$3:$G$401,费用报销管理!$A$3:$A$401,"&gt;="&amp;DATE(2023,5,1),费用报销管理!$A$3:$A$401,"&lt;"&amp;DATE(2023,6,1),费用报销管理!$F$3:$F$401,C$1)</f>
        <v>1929.1666666666631</v>
      </c>
      <c r="D6" s="40">
        <f>SUMIFS(费用报销管理!$G$3:$G$401,费用报销管理!$A$3:$A$401,"&gt;="&amp;DATE(2023,5,1),费用报销管理!$A$3:$A$401,"&lt;"&amp;DATE(2023,6,1),费用报销管理!$F$3:$F$401,D$1)</f>
        <v>0</v>
      </c>
      <c r="E6" s="40">
        <f>SUMIFS(费用报销管理!$G$3:$G$401,费用报销管理!$A$3:$A$401,"&gt;="&amp;DATE(2023,5,1),费用报销管理!$A$3:$A$401,"&lt;"&amp;DATE(2023,6,1),费用报销管理!$F$3:$F$401,E$1)</f>
        <v>4401.4666666666626</v>
      </c>
      <c r="F6" s="40">
        <f>SUMIFS(费用报销管理!$G$3:$G$401,费用报销管理!$A$3:$A$401,"&gt;="&amp;DATE(2023,5,1),费用报销管理!$A$3:$A$401,"&lt;"&amp;DATE(2023,6,1),费用报销管理!$F$3:$F$401,F$1)</f>
        <v>4034.7666666666632</v>
      </c>
      <c r="G6" s="40">
        <f>SUMIFS(费用报销管理!$G$3:$G$401,费用报销管理!$A$3:$A$401,"&gt;="&amp;DATE(2023,5,1),费用报销管理!$A$3:$A$401,"&lt;"&amp;DATE(2023,6,1),费用报销管理!$F$3:$F$401,G$1)</f>
        <v>0</v>
      </c>
      <c r="H6" s="40">
        <f>SUMIFS(费用报销管理!$G$3:$G$401,费用报销管理!$A$3:$A$401,"&gt;="&amp;DATE(2023,5,1),费用报销管理!$A$3:$A$401,"&lt;"&amp;DATE(2023,6,1),费用报销管理!$F$3:$F$401,H$1)</f>
        <v>29</v>
      </c>
      <c r="I6" s="40">
        <f>SUMIFS(费用报销管理!$G$3:$G$401,费用报销管理!$A$3:$A$401,"&gt;="&amp;DATE(2023,5,1),费用报销管理!$A$3:$A$401,"&lt;"&amp;DATE(2023,6,1),费用报销管理!$F$3:$F$401,I$1)</f>
        <v>3822.566666666663</v>
      </c>
      <c r="J6" s="40">
        <f>SUMIFS(费用报销管理!$G$3:$G$401,费用报销管理!$A$3:$A$401,"&gt;="&amp;DATE(2023,5,1),费用报销管理!$A$3:$A$401,"&lt;"&amp;DATE(2023,6,1),费用报销管理!$F$3:$F$401,J$1)</f>
        <v>6515.1666666666661</v>
      </c>
      <c r="K6" s="40">
        <f>SUMIFS(费用报销管理!$G$3:$G$401,费用报销管理!$A$3:$A$401,"&gt;="&amp;DATE(2023,5,1),费用报销管理!$A$3:$A$401,"&lt;"&amp;DATE(2023,6,1),费用报销管理!$F$3:$F$401,K$1)</f>
        <v>1576.6666666666661</v>
      </c>
      <c r="L6" s="40">
        <f t="shared" si="0"/>
        <v>22428.799999999981</v>
      </c>
    </row>
    <row r="7" spans="1:12">
      <c r="A7" s="14" t="s">
        <v>170</v>
      </c>
      <c r="B7" s="40">
        <f>SUMIFS(费用报销管理!$G$3:$G$401,费用报销管理!$A$3:$A$401,"&gt;="&amp;DATE(2023,6,1),费用报销管理!$A$3:$A$401,"&lt;"&amp;DATE(2023,7,1),费用报销管理!$F$3:$F$401,B$1)</f>
        <v>2900</v>
      </c>
      <c r="C7" s="40">
        <f>SUMIFS(费用报销管理!$G$3:$G$401,费用报销管理!$A$3:$A$401,"&gt;="&amp;DATE(2023,6,1),费用报销管理!$A$3:$A$401,"&lt;"&amp;DATE(2023,7,1),费用报销管理!$F$3:$F$401,C$1)</f>
        <v>5389.4333333333288</v>
      </c>
      <c r="D7" s="40">
        <f>SUMIFS(费用报销管理!$G$3:$G$401,费用报销管理!$A$3:$A$401,"&gt;="&amp;DATE(2023,6,1),费用报销管理!$A$3:$A$401,"&lt;"&amp;DATE(2023,7,1),费用报销管理!$F$3:$F$401,D$1)</f>
        <v>1906.6666666666631</v>
      </c>
      <c r="E7" s="40">
        <f>SUMIFS(费用报销管理!$G$3:$G$401,费用报销管理!$A$3:$A$401,"&gt;="&amp;DATE(2023,6,1),费用报销管理!$A$3:$A$401,"&lt;"&amp;DATE(2023,7,1),费用报销管理!$F$3:$F$401,E$1)</f>
        <v>9647.0666666666639</v>
      </c>
      <c r="F7" s="40">
        <f>SUMIFS(费用报销管理!$G$3:$G$401,费用报销管理!$A$3:$A$401,"&gt;="&amp;DATE(2023,6,1),费用报销管理!$A$3:$A$401,"&lt;"&amp;DATE(2023,7,1),费用报销管理!$F$3:$F$401,F$1)</f>
        <v>9063.9999999999927</v>
      </c>
      <c r="G7" s="40">
        <f>SUMIFS(费用报销管理!$G$3:$G$401,费用报销管理!$A$3:$A$401,"&gt;="&amp;DATE(2023,6,1),费用报销管理!$A$3:$A$401,"&lt;"&amp;DATE(2023,7,1),费用报销管理!$F$3:$F$401,G$1)</f>
        <v>945.83333333333303</v>
      </c>
      <c r="H7" s="40">
        <f>SUMIFS(费用报销管理!$G$3:$G$401,费用报销管理!$A$3:$A$401,"&gt;="&amp;DATE(2023,6,1),费用报销管理!$A$3:$A$401,"&lt;"&amp;DATE(2023,7,1),费用报销管理!$F$3:$F$401,H$1)</f>
        <v>2213.1333333333332</v>
      </c>
      <c r="I7" s="40">
        <f>SUMIFS(费用报销管理!$G$3:$G$401,费用报销管理!$A$3:$A$401,"&gt;="&amp;DATE(2023,6,1),费用报销管理!$A$3:$A$401,"&lt;"&amp;DATE(2023,7,1),费用报销管理!$F$3:$F$401,I$1)</f>
        <v>7987.6666666666597</v>
      </c>
      <c r="J7" s="40">
        <f>SUMIFS(费用报销管理!$G$3:$G$401,费用报销管理!$A$3:$A$401,"&gt;="&amp;DATE(2023,6,1),费用报销管理!$A$3:$A$401,"&lt;"&amp;DATE(2023,7,1),费用报销管理!$F$3:$F$401,J$1)</f>
        <v>3035.3999999999996</v>
      </c>
      <c r="K7" s="40"/>
      <c r="L7" s="40">
        <f t="shared" si="0"/>
        <v>43089.199999999975</v>
      </c>
    </row>
    <row r="8" spans="1:12">
      <c r="A8" s="14" t="s">
        <v>171</v>
      </c>
      <c r="B8" s="40">
        <f>SUMIFS(费用报销管理!$G$3:$G$401,费用报销管理!$A$3:$A$401,"&gt;="&amp;DATE(2023,7,1),费用报销管理!$A$3:$A$401,"&lt;"&amp;DATE(2023,8,1),费用报销管理!$F$3:$F$401,B$1)</f>
        <v>2804.3</v>
      </c>
      <c r="C8" s="40">
        <f>SUMIFS(费用报销管理!$G$3:$G$401,费用报销管理!$A$3:$A$401,"&gt;="&amp;DATE(2023,7,1),费用报销管理!$A$3:$A$401,"&lt;"&amp;DATE(2023,8,1),费用报销管理!$F$3:$F$401,C$1)</f>
        <v>2312.6333333333332</v>
      </c>
      <c r="D8" s="40">
        <f>SUMIFS(费用报销管理!$G$3:$G$401,费用报销管理!$A$3:$A$401,"&gt;="&amp;DATE(2023,7,1),费用报销管理!$A$3:$A$401,"&lt;"&amp;DATE(2023,8,1),费用报销管理!$F$3:$F$401,D$1)</f>
        <v>6588.566666666663</v>
      </c>
      <c r="E8" s="40">
        <f>SUMIFS(费用报销管理!$G$3:$G$401,费用报销管理!$A$3:$A$401,"&gt;="&amp;DATE(2023,7,1),费用报销管理!$A$3:$A$401,"&lt;"&amp;DATE(2023,8,1),费用报销管理!$F$3:$F$401,E$1)</f>
        <v>10349.166666666655</v>
      </c>
      <c r="F8" s="40">
        <f>SUMIFS(费用报销管理!$G$3:$G$401,费用报销管理!$A$3:$A$401,"&gt;="&amp;DATE(2023,7,1),费用报销管理!$A$3:$A$401,"&lt;"&amp;DATE(2023,8,1),费用报销管理!$F$3:$F$401,F$1)</f>
        <v>6401.3333333333321</v>
      </c>
      <c r="G8" s="40">
        <f>SUMIFS(费用报销管理!$G$3:$G$401,费用报销管理!$A$3:$A$401,"&gt;="&amp;DATE(2023,7,1),费用报销管理!$A$3:$A$401,"&lt;"&amp;DATE(2023,8,1),费用报销管理!$F$3:$F$401,G$1)</f>
        <v>5798.7666666666628</v>
      </c>
      <c r="H8" s="40">
        <f>SUMIFS(费用报销管理!$G$3:$G$401,费用报销管理!$A$3:$A$401,"&gt;="&amp;DATE(2023,7,1),费用报销管理!$A$3:$A$401,"&lt;"&amp;DATE(2023,8,1),费用报销管理!$F$3:$F$401,H$1)</f>
        <v>3440.833333333333</v>
      </c>
      <c r="I8" s="40">
        <f>SUMIFS(费用报销管理!$G$3:$G$401,费用报销管理!$A$3:$A$401,"&gt;="&amp;DATE(2023,7,1),费用报销管理!$A$3:$A$401,"&lt;"&amp;DATE(2023,8,1),费用报销管理!$F$3:$F$401,I$1)</f>
        <v>7193.6999999999925</v>
      </c>
      <c r="J8" s="40">
        <f>SUMIFS(费用报销管理!$G$3:$G$401,费用报销管理!$A$3:$A$401,"&gt;="&amp;DATE(2023,7,1),费用报销管理!$A$3:$A$401,"&lt;"&amp;DATE(2023,8,1),费用报销管理!$F$3:$F$401,J$1)</f>
        <v>3888.1666666666606</v>
      </c>
      <c r="K8" s="40">
        <f>SUMIFS(费用报销管理!$G$3:$G$401,费用报销管理!$A$3:$A$401,"&gt;="&amp;DATE(2023,7,1),费用报销管理!$A$3:$A$401,"&lt;"&amp;DATE(2023,8,1),费用报销管理!$F$3:$F$401,K$1)</f>
        <v>1008</v>
      </c>
      <c r="L8" s="40">
        <f t="shared" si="0"/>
        <v>49785.466666666631</v>
      </c>
    </row>
    <row r="9" spans="1:12">
      <c r="A9" s="14" t="s">
        <v>172</v>
      </c>
      <c r="B9" s="40">
        <f>SUMIFS(费用报销管理!$G$3:$G$401,费用报销管理!$A$3:$A$401,"&gt;="&amp;DATE(2023,8,1),费用报销管理!$A$3:$A$401,"&lt;"&amp;DATE(2023,9,1),费用报销管理!$F$3:$F$401,B$1)</f>
        <v>6201.666666666657</v>
      </c>
      <c r="C9" s="40">
        <f>SUMIFS(费用报销管理!$G$3:$G$401,费用报销管理!$A$3:$A$401,"&gt;="&amp;DATE(2023,8,1),费用报销管理!$A$3:$A$401,"&lt;"&amp;DATE(2023,9,1),费用报销管理!$F$3:$F$401,C$1)</f>
        <v>5432.7333333333327</v>
      </c>
      <c r="D9" s="40">
        <f>SUMIFS(费用报销管理!$G$3:$G$401,费用报销管理!$A$3:$A$401,"&gt;="&amp;DATE(2023,8,1),费用报销管理!$A$3:$A$401,"&lt;"&amp;DATE(2023,9,1),费用报销管理!$F$3:$F$401,D$1)</f>
        <v>983.33333333333303</v>
      </c>
      <c r="E9" s="40">
        <f>SUMIFS(费用报销管理!$G$3:$G$401,费用报销管理!$A$3:$A$401,"&gt;="&amp;DATE(2023,8,1),费用报销管理!$A$3:$A$401,"&lt;"&amp;DATE(2023,9,1),费用报销管理!$F$3:$F$401,E$1)</f>
        <v>6653.1999999999971</v>
      </c>
      <c r="F9" s="40">
        <f>SUMIFS(费用报销管理!$G$3:$G$401,费用报销管理!$A$3:$A$401,"&gt;="&amp;DATE(2023,8,1),费用报销管理!$A$3:$A$401,"&lt;"&amp;DATE(2023,9,1),费用报销管理!$F$3:$F$401,F$1)</f>
        <v>4733.6999999999962</v>
      </c>
      <c r="G9" s="40">
        <f>SUMIFS(费用报销管理!$G$3:$G$401,费用报销管理!$A$3:$A$401,"&gt;="&amp;DATE(2023,8,1),费用报销管理!$A$3:$A$401,"&lt;"&amp;DATE(2023,9,1),费用报销管理!$F$3:$F$401,G$1)</f>
        <v>962.83333333333303</v>
      </c>
      <c r="H9" s="40">
        <f>SUMIFS(费用报销管理!$G$3:$G$401,费用报销管理!$A$3:$A$401,"&gt;="&amp;DATE(2023,8,1),费用报销管理!$A$3:$A$401,"&lt;"&amp;DATE(2023,9,1),费用报销管理!$F$3:$F$401,H$1)</f>
        <v>1480.5</v>
      </c>
      <c r="I9" s="40">
        <f>SUMIFS(费用报销管理!$G$3:$G$401,费用报销管理!$A$3:$A$401,"&gt;="&amp;DATE(2023,8,1),费用报销管理!$A$3:$A$401,"&lt;"&amp;DATE(2023,9,1),费用报销管理!$F$3:$F$401,I$1)</f>
        <v>5228.4999999999991</v>
      </c>
      <c r="J9" s="40">
        <f>SUMIFS(费用报销管理!$G$3:$G$401,费用报销管理!$A$3:$A$401,"&gt;="&amp;DATE(2023,8,1),费用报销管理!$A$3:$A$401,"&lt;"&amp;DATE(2023,9,1),费用报销管理!$F$3:$F$401,J$1)</f>
        <v>1960.5333333333331</v>
      </c>
      <c r="K9" s="40">
        <f>SUMIFS(费用报销管理!$G$3:$G$401,费用报销管理!$A$3:$A$401,"&gt;="&amp;DATE(2023,8,1),费用报销管理!$A$3:$A$401,"&lt;"&amp;DATE(2023,9,1),费用报销管理!$F$3:$F$401,K$1)</f>
        <v>14039.399999999989</v>
      </c>
      <c r="L9" s="40">
        <f t="shared" si="0"/>
        <v>47676.399999999972</v>
      </c>
    </row>
    <row r="10" spans="1:12">
      <c r="A10" s="14" t="s">
        <v>173</v>
      </c>
      <c r="B10" s="40">
        <f>SUMIFS(费用报销管理!$G$3:$G$401,费用报销管理!$A$3:$A$401,"&gt;="&amp;DATE(2023,9,1),费用报销管理!$A$3:$A$401,"&lt;"&amp;DATE(2023,10,1),费用报销管理!$F$3:$F$401,B$1)</f>
        <v>3782.1666666666661</v>
      </c>
      <c r="C10" s="40">
        <f>SUMIFS(费用报销管理!$G$3:$G$401,费用报销管理!$A$3:$A$401,"&gt;="&amp;DATE(2023,9,1),费用报销管理!$A$3:$A$401,"&lt;"&amp;DATE(2023,10,1),费用报销管理!$F$3:$F$401,C$1)</f>
        <v>3195.266666666666</v>
      </c>
      <c r="D10" s="40">
        <f>SUMIFS(费用报销管理!$G$3:$G$401,费用报销管理!$A$3:$A$401,"&gt;="&amp;DATE(2023,9,1),费用报销管理!$A$3:$A$401,"&lt;"&amp;DATE(2023,10,1),费用报销管理!$F$3:$F$401,D$1)</f>
        <v>445</v>
      </c>
      <c r="E10" s="40">
        <f>SUMIFS(费用报销管理!$G$3:$G$401,费用报销管理!$A$3:$A$401,"&gt;="&amp;DATE(2023,9,1),费用报销管理!$A$3:$A$401,"&lt;"&amp;DATE(2023,10,1),费用报销管理!$F$3:$F$401,E$1)</f>
        <v>8194.0666666666566</v>
      </c>
      <c r="F10" s="40">
        <f>SUMIFS(费用报销管理!$G$3:$G$401,费用报销管理!$A$3:$A$401,"&gt;="&amp;DATE(2023,9,1),费用报销管理!$A$3:$A$401,"&lt;"&amp;DATE(2023,10,1),费用报销管理!$F$3:$F$401,F$1)</f>
        <v>5051.7999999999984</v>
      </c>
      <c r="G10" s="40">
        <f>SUMIFS(费用报销管理!$G$3:$G$401,费用报销管理!$A$3:$A$401,"&gt;="&amp;DATE(2023,9,1),费用报销管理!$A$3:$A$401,"&lt;"&amp;DATE(2023,10,1),费用报销管理!$F$3:$F$401,G$1)</f>
        <v>3329.8333333333298</v>
      </c>
      <c r="H10" s="40">
        <f>SUMIFS(费用报销管理!$G$3:$G$401,费用报销管理!$A$3:$A$401,"&gt;="&amp;DATE(2023,9,1),费用报销管理!$A$3:$A$401,"&lt;"&amp;DATE(2023,10,1),费用报销管理!$F$3:$F$401,H$1)</f>
        <v>1265.2</v>
      </c>
      <c r="I10" s="40">
        <f>SUMIFS(费用报销管理!$G$3:$G$401,费用报销管理!$A$3:$A$401,"&gt;="&amp;DATE(2023,9,1),费用报销管理!$A$3:$A$401,"&lt;"&amp;DATE(2023,10,1),费用报销管理!$F$3:$F$401,I$1)</f>
        <v>10862.999999999993</v>
      </c>
      <c r="J10" s="40">
        <f>SUMIFS(费用报销管理!$G$3:$G$401,费用报销管理!$A$3:$A$401,"&gt;="&amp;DATE(2023,9,1),费用报销管理!$A$3:$A$401,"&lt;"&amp;DATE(2023,10,1),费用报销管理!$F$3:$F$401,J$1)</f>
        <v>3523.5333333333328</v>
      </c>
      <c r="K10" s="40">
        <f>SUMIFS(费用报销管理!$G$3:$G$401,费用报销管理!$A$3:$A$401,"&gt;="&amp;DATE(2023,9,1),费用报销管理!$A$3:$A$401,"&lt;"&amp;DATE(2023,10,1),费用报销管理!$F$3:$F$401,K$1)</f>
        <v>6394.3666666666631</v>
      </c>
      <c r="L10" s="40">
        <f t="shared" si="0"/>
        <v>46044.233333333308</v>
      </c>
    </row>
    <row r="11" spans="1:12">
      <c r="A11" s="14" t="s">
        <v>174</v>
      </c>
      <c r="B11" s="40">
        <f>SUMIFS(费用报销管理!$G$3:$G$401,费用报销管理!$A$3:$A$401,"&gt;="&amp;DATE(2023,10,1),费用报销管理!$A$3:$A$401,"&lt;"&amp;DATE(2023,11,1),费用报销管理!$F$3:$F$401,B$1)</f>
        <v>4310.9333333333334</v>
      </c>
      <c r="C11" s="40">
        <f>SUMIFS(费用报销管理!$G$3:$G$401,费用报销管理!$A$3:$A$401,"&gt;="&amp;DATE(2023,10,1),费用报销管理!$A$3:$A$401,"&lt;"&amp;DATE(2023,11,1),费用报销管理!$F$3:$F$401,C$1)</f>
        <v>4131.333333333333</v>
      </c>
      <c r="D11" s="40">
        <f>SUMIFS(费用报销管理!$G$3:$G$401,费用报销管理!$A$3:$A$401,"&gt;="&amp;DATE(2023,10,1),费用报销管理!$A$3:$A$401,"&lt;"&amp;DATE(2023,11,1),费用报销管理!$F$3:$F$401,D$1)</f>
        <v>968.2</v>
      </c>
      <c r="E11" s="40">
        <f>SUMIFS(费用报销管理!$G$3:$G$401,费用报销管理!$A$3:$A$401,"&gt;="&amp;DATE(2023,10,1),费用报销管理!$A$3:$A$401,"&lt;"&amp;DATE(2023,11,1),费用报销管理!$F$3:$F$401,E$1)</f>
        <v>5147.7333333333336</v>
      </c>
      <c r="F11" s="40">
        <f>SUMIFS(费用报销管理!$G$3:$G$401,费用报销管理!$A$3:$A$401,"&gt;="&amp;DATE(2023,10,1),费用报销管理!$A$3:$A$401,"&lt;"&amp;DATE(2023,11,1),费用报销管理!$F$3:$F$401,F$1)</f>
        <v>8631.4999999999964</v>
      </c>
      <c r="G11" s="40">
        <f>SUMIFS(费用报销管理!$G$3:$G$401,费用报销管理!$A$3:$A$401,"&gt;="&amp;DATE(2023,10,1),费用报销管理!$A$3:$A$401,"&lt;"&amp;DATE(2023,11,1),费用报销管理!$F$3:$F$401,G$1)</f>
        <v>2700</v>
      </c>
      <c r="H11" s="40">
        <f>SUMIFS(费用报销管理!$G$3:$G$401,费用报销管理!$A$3:$A$401,"&gt;="&amp;DATE(2023,10,1),费用报销管理!$A$3:$A$401,"&lt;"&amp;DATE(2023,11,1),费用报销管理!$F$3:$F$401,H$1)</f>
        <v>3300</v>
      </c>
      <c r="I11" s="40">
        <f>SUMIFS(费用报销管理!$G$3:$G$401,费用报销管理!$A$3:$A$401,"&gt;="&amp;DATE(2023,10,1),费用报销管理!$A$3:$A$401,"&lt;"&amp;DATE(2023,11,1),费用报销管理!$F$3:$F$401,I$1)</f>
        <v>9022.766666666661</v>
      </c>
      <c r="J11" s="40">
        <f>SUMIFS(费用报销管理!$G$3:$G$401,费用报销管理!$A$3:$A$401,"&gt;="&amp;DATE(2023,10,1),费用报销管理!$A$3:$A$401,"&lt;"&amp;DATE(2023,11,1),费用报销管理!$F$3:$F$401,J$1)</f>
        <v>4570.8333333333267</v>
      </c>
      <c r="K11" s="40">
        <f>SUMIFS(费用报销管理!$G$3:$G$401,费用报销管理!$A$3:$A$401,"&gt;="&amp;DATE(2023,10,1),费用报销管理!$A$3:$A$401,"&lt;"&amp;DATE(2023,11,1),费用报销管理!$F$3:$F$401,K$1)</f>
        <v>965</v>
      </c>
      <c r="L11" s="40">
        <f t="shared" si="0"/>
        <v>43748.299999999988</v>
      </c>
    </row>
    <row r="12" spans="1:12">
      <c r="A12" s="14" t="s">
        <v>175</v>
      </c>
      <c r="B12" s="40">
        <f>SUMIFS(费用报销管理!$G$3:$G$401,费用报销管理!$A$3:$A$401,"&gt;="&amp;DATE(2023,11,1),费用报销管理!$A$3:$A$401,"&lt;"&amp;DATE(2023,12,1),费用报销管理!$F$3:$F$401,B$1)</f>
        <v>3828.2</v>
      </c>
      <c r="C12" s="40">
        <f>SUMIFS(费用报销管理!$G$3:$G$401,费用报销管理!$A$3:$A$401,"&gt;="&amp;DATE(2023,11,1),费用报销管理!$A$3:$A$401,"&lt;"&amp;DATE(2023,12,1),费用报销管理!$F$3:$F$401,C$1)</f>
        <v>0</v>
      </c>
      <c r="D12" s="40">
        <f>SUMIFS(费用报销管理!$G$3:$G$401,费用报销管理!$A$3:$A$401,"&gt;="&amp;DATE(2023,11,1),费用报销管理!$A$3:$A$401,"&lt;"&amp;DATE(2023,12,1),费用报销管理!$F$3:$F$401,D$1)</f>
        <v>1197.7</v>
      </c>
      <c r="E12" s="40">
        <f>SUMIFS(费用报销管理!$G$3:$G$401,费用报销管理!$A$3:$A$401,"&gt;="&amp;DATE(2023,11,1),费用报销管理!$A$3:$A$401,"&lt;"&amp;DATE(2023,12,1),费用报销管理!$F$3:$F$401,E$1)</f>
        <v>29</v>
      </c>
      <c r="F12" s="40">
        <f>SUMIFS(费用报销管理!$G$3:$G$401,费用报销管理!$A$3:$A$401,"&gt;="&amp;DATE(2023,11,1),费用报销管理!$A$3:$A$401,"&lt;"&amp;DATE(2023,12,1),费用报销管理!$F$3:$F$401,F$1)</f>
        <v>2024.3333333333301</v>
      </c>
      <c r="G12" s="40">
        <f>SUMIFS(费用报销管理!$G$3:$G$401,费用报销管理!$A$3:$A$401,"&gt;="&amp;DATE(2023,11,1),费用报销管理!$A$3:$A$401,"&lt;"&amp;DATE(2023,12,1),费用报销管理!$F$3:$F$401,G$1)</f>
        <v>754.3</v>
      </c>
      <c r="H12" s="40">
        <f>SUMIFS(费用报销管理!$G$3:$G$401,费用报销管理!$A$3:$A$401,"&gt;="&amp;DATE(2023,11,1),费用报销管理!$A$3:$A$401,"&lt;"&amp;DATE(2023,12,1),费用报销管理!$F$3:$F$401,H$1)</f>
        <v>2632.4999999999964</v>
      </c>
      <c r="I12" s="40">
        <f>SUMIFS(费用报销管理!$G$3:$G$401,费用报销管理!$A$3:$A$401,"&gt;="&amp;DATE(2023,11,1),费用报销管理!$A$3:$A$401,"&lt;"&amp;DATE(2023,12,1),费用报销管理!$F$3:$F$401,I$1)</f>
        <v>1253.3333333333301</v>
      </c>
      <c r="J12" s="40">
        <f>SUMIFS(费用报销管理!$G$3:$G$401,费用报销管理!$A$3:$A$401,"&gt;="&amp;DATE(2023,11,1),费用报销管理!$A$3:$A$401,"&lt;"&amp;DATE(2023,12,1),费用报销管理!$F$3:$F$401,J$1)</f>
        <v>0</v>
      </c>
      <c r="K12" s="40">
        <f>SUMIFS(费用报销管理!$G$3:$G$401,费用报销管理!$A$3:$A$401,"&gt;="&amp;DATE(2023,11,1),费用报销管理!$A$3:$A$401,"&lt;"&amp;DATE(2023,12,1),费用报销管理!$F$3:$F$401,K$1)</f>
        <v>0</v>
      </c>
      <c r="L12" s="40">
        <f t="shared" si="0"/>
        <v>11719.366666666656</v>
      </c>
    </row>
    <row r="13" spans="1:12">
      <c r="A13" s="14" t="s">
        <v>176</v>
      </c>
      <c r="B13" s="40">
        <f>SUMIFS(费用报销管理!$G$3:$G$401,费用报销管理!$A$3:$A$401,"&gt;="&amp;DATE(2023,12,1),费用报销管理!$A$3:$A$401,"&lt;"&amp;DATE(2024,1,1),费用报销管理!$F$3:$F$401,B$1)</f>
        <v>0</v>
      </c>
      <c r="C13" s="40">
        <f>SUMIFS(费用报销管理!$G$3:$G$401,费用报销管理!$A$3:$A$401,"&gt;="&amp;DATE(2023,12,1),费用报销管理!$A$3:$A$401,"&lt;"&amp;DATE(2024,1,1),费用报销管理!$F$3:$F$401,C$1)</f>
        <v>0</v>
      </c>
      <c r="D13" s="40">
        <f>SUMIFS(费用报销管理!$G$3:$G$401,费用报销管理!$A$3:$A$401,"&gt;="&amp;DATE(2023,12,1),费用报销管理!$A$3:$A$401,"&lt;"&amp;DATE(2024,1,1),费用报销管理!$F$3:$F$401,D$1)</f>
        <v>0</v>
      </c>
      <c r="E13" s="40">
        <f>SUMIFS(费用报销管理!$G$3:$G$401,费用报销管理!$A$3:$A$401,"&gt;="&amp;DATE(2023,12,1),费用报销管理!$A$3:$A$401,"&lt;"&amp;DATE(2024,1,1),费用报销管理!$F$3:$F$401,E$1)</f>
        <v>0</v>
      </c>
      <c r="F13" s="40">
        <f>SUMIFS(费用报销管理!$G$3:$G$401,费用报销管理!$A$3:$A$401,"&gt;="&amp;DATE(2023,12,1),费用报销管理!$A$3:$A$401,"&lt;"&amp;DATE(2024,1,1),费用报销管理!$F$3:$F$401,F$1)</f>
        <v>246</v>
      </c>
      <c r="G13" s="40">
        <f>SUMIFS(费用报销管理!$G$3:$G$401,费用报销管理!$A$3:$A$401,"&gt;="&amp;DATE(2023,12,1),费用报销管理!$A$3:$A$401,"&lt;"&amp;DATE(2024,1,1),费用报销管理!$F$3:$F$401,G$1)</f>
        <v>0</v>
      </c>
      <c r="H13" s="40">
        <f>SUMIFS(费用报销管理!$G$3:$G$401,费用报销管理!$A$3:$A$401,"&gt;="&amp;DATE(2023,12,1),费用报销管理!$A$3:$A$401,"&lt;"&amp;DATE(2024,1,1),费用报销管理!$F$3:$F$401,H$1)</f>
        <v>2500</v>
      </c>
      <c r="I13" s="40">
        <f>SUMIFS(费用报销管理!$G$3:$G$401,费用报销管理!$A$3:$A$401,"&gt;="&amp;DATE(2023,12,1),费用报销管理!$A$3:$A$401,"&lt;"&amp;DATE(2024,1,1),费用报销管理!$F$3:$F$401,I$1)</f>
        <v>0</v>
      </c>
      <c r="J13" s="40">
        <f>SUMIFS(费用报销管理!$G$3:$G$401,费用报销管理!$A$3:$A$401,"&gt;="&amp;DATE(2023,12,1),费用报销管理!$A$3:$A$401,"&lt;"&amp;DATE(2024,1,1),费用报销管理!$F$3:$F$401,J$1)</f>
        <v>740.83333333333303</v>
      </c>
      <c r="K13" s="40">
        <f>SUMIFS(费用报销管理!$G$3:$G$401,费用报销管理!$A$3:$A$401,"&gt;="&amp;DATE(2023,12,1),费用报销管理!$A$3:$A$401,"&lt;"&amp;DATE(2024,1,1),费用报销管理!$F$3:$F$401,K$1)</f>
        <v>0</v>
      </c>
      <c r="L13" s="40">
        <f t="shared" si="0"/>
        <v>3486.833333333333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abSelected="1" workbookViewId="0">
      <selection activeCell="D28" sqref="D28"/>
    </sheetView>
  </sheetViews>
  <sheetFormatPr defaultRowHeight="13.5"/>
  <sheetData/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2" orientation="landscape" r:id="rId1"/>
  <headerFooter>
    <oddHeader>&amp;C2023年报销费用统计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费用报销管理</vt:lpstr>
      <vt:lpstr>费用类别</vt:lpstr>
      <vt:lpstr>按类别统计</vt:lpstr>
      <vt:lpstr>按月份统计</vt:lpstr>
      <vt:lpstr>打印内容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2024-01-02T02:38:13Z</dcterms:created>
  <dcterms:modified xsi:type="dcterms:W3CDTF">2024-10-16T03:16:54Z</dcterms:modified>
</cp:coreProperties>
</file>