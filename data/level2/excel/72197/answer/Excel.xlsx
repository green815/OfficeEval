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585" yWindow="2580" windowWidth="11715" windowHeight="9345" activeTab="1"/>
  </bookViews>
  <sheets>
    <sheet name="商品销售透视表" sheetId="6" r:id="rId1"/>
    <sheet name="销售情况表" sheetId="1" r:id="rId2"/>
    <sheet name="商品单价" sheetId="2" r:id="rId3"/>
    <sheet name="月统计表" sheetId="5" r:id="rId4"/>
  </sheet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E6" i="5" l="1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J33" i="1"/>
  <c r="I33" i="1"/>
  <c r="F33" i="1"/>
  <c r="J32" i="1"/>
  <c r="F32" i="1"/>
  <c r="J31" i="1"/>
  <c r="F31" i="1"/>
  <c r="J30" i="1"/>
  <c r="I30" i="1"/>
  <c r="H30" i="1"/>
  <c r="F30" i="1"/>
  <c r="J29" i="1"/>
  <c r="I29" i="1"/>
  <c r="F29" i="1"/>
  <c r="J28" i="1"/>
  <c r="F28" i="1"/>
  <c r="J27" i="1"/>
  <c r="I27" i="1"/>
  <c r="F27" i="1"/>
  <c r="J26" i="1"/>
  <c r="F26" i="1"/>
  <c r="J25" i="1"/>
  <c r="F25" i="1"/>
  <c r="J24" i="1"/>
  <c r="F24" i="1"/>
  <c r="J23" i="1"/>
  <c r="F23" i="1"/>
  <c r="J22" i="1"/>
  <c r="F22" i="1"/>
  <c r="J21" i="1"/>
  <c r="F21" i="1"/>
  <c r="J20" i="1"/>
  <c r="I20" i="1"/>
  <c r="F20" i="1"/>
  <c r="J19" i="1"/>
  <c r="F19" i="1"/>
  <c r="J18" i="1"/>
  <c r="F18" i="1"/>
  <c r="J17" i="1"/>
  <c r="F17" i="1"/>
  <c r="J16" i="1"/>
  <c r="F16" i="1"/>
  <c r="J15" i="1"/>
  <c r="F15" i="1"/>
  <c r="J14" i="1"/>
  <c r="I14" i="1"/>
  <c r="H14" i="1"/>
  <c r="F14" i="1"/>
  <c r="J13" i="1"/>
  <c r="F13" i="1"/>
  <c r="J12" i="1"/>
  <c r="F12" i="1"/>
  <c r="J11" i="1"/>
  <c r="F11" i="1"/>
  <c r="J10" i="1"/>
  <c r="F10" i="1"/>
  <c r="J9" i="1"/>
  <c r="I9" i="1"/>
  <c r="F9" i="1"/>
  <c r="J8" i="1"/>
  <c r="F8" i="1"/>
  <c r="J7" i="1"/>
  <c r="F7" i="1"/>
  <c r="J6" i="1"/>
  <c r="F6" i="1"/>
  <c r="J5" i="1"/>
  <c r="I5" i="1"/>
  <c r="H5" i="1"/>
  <c r="F5" i="1"/>
  <c r="J4" i="1"/>
  <c r="F4" i="1"/>
  <c r="J3" i="1"/>
  <c r="F3" i="1"/>
</calcChain>
</file>

<file path=xl/sharedStrings.xml><?xml version="1.0" encoding="utf-8"?>
<sst xmlns="http://schemas.openxmlformats.org/spreadsheetml/2006/main" count="200" uniqueCount="84">
  <si>
    <t>客户姓名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</si>
  <si>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</si>
  <si>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</si>
  <si>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</si>
  <si>
    <t>011203</t>
    <phoneticPr fontId="1" type="noConversion"/>
  </si>
  <si>
    <t>011201</t>
    <phoneticPr fontId="1" type="noConversion"/>
  </si>
  <si>
    <t>批发</t>
    <phoneticPr fontId="1" type="noConversion"/>
  </si>
  <si>
    <t>团购</t>
    <phoneticPr fontId="1" type="noConversion"/>
  </si>
  <si>
    <t>孙毅</t>
    <phoneticPr fontId="1" type="noConversion"/>
  </si>
  <si>
    <t>李涛</t>
    <phoneticPr fontId="1" type="noConversion"/>
  </si>
  <si>
    <t>李浩</t>
    <phoneticPr fontId="1" type="noConversion"/>
  </si>
  <si>
    <t>吴亦凡</t>
    <phoneticPr fontId="1" type="noConversion"/>
  </si>
  <si>
    <t>周霞</t>
    <phoneticPr fontId="1" type="noConversion"/>
  </si>
  <si>
    <t>郑雅婷</t>
    <phoneticPr fontId="1" type="noConversion"/>
  </si>
  <si>
    <t>王伟</t>
    <phoneticPr fontId="1" type="noConversion"/>
  </si>
  <si>
    <t>冯志刚</t>
    <phoneticPr fontId="1" type="noConversion"/>
  </si>
  <si>
    <t>陈华</t>
    <phoneticPr fontId="1" type="noConversion"/>
  </si>
  <si>
    <t>卫东</t>
    <phoneticPr fontId="1" type="noConversion"/>
  </si>
  <si>
    <t>彭军</t>
    <phoneticPr fontId="1" type="noConversion"/>
  </si>
  <si>
    <t>申新</t>
    <phoneticPr fontId="1" type="noConversion"/>
  </si>
  <si>
    <t>韩希</t>
    <phoneticPr fontId="1" type="noConversion"/>
  </si>
  <si>
    <t>朱玲玲</t>
    <phoneticPr fontId="1" type="noConversion"/>
  </si>
  <si>
    <t>尤勇</t>
    <phoneticPr fontId="1" type="noConversion"/>
  </si>
  <si>
    <t>吕林</t>
    <phoneticPr fontId="1" type="noConversion"/>
  </si>
  <si>
    <t>施琅</t>
    <phoneticPr fontId="1" type="noConversion"/>
  </si>
  <si>
    <t>咨询日期</t>
    <phoneticPr fontId="1" type="noConversion"/>
  </si>
  <si>
    <t>咨询时间</t>
    <phoneticPr fontId="1" type="noConversion"/>
  </si>
  <si>
    <t>钱平</t>
    <phoneticPr fontId="1" type="noConversion"/>
  </si>
  <si>
    <t>预购数量</t>
    <phoneticPr fontId="1" type="noConversion"/>
  </si>
  <si>
    <t>成交数量</t>
    <phoneticPr fontId="1" type="noConversion"/>
  </si>
  <si>
    <t>011204</t>
  </si>
  <si>
    <t>011202</t>
  </si>
  <si>
    <t>011203</t>
  </si>
  <si>
    <t>011205</t>
  </si>
  <si>
    <t>咨询商品编码</t>
    <phoneticPr fontId="1" type="noConversion"/>
  </si>
  <si>
    <t>商品价格表</t>
    <phoneticPr fontId="1" type="noConversion"/>
  </si>
  <si>
    <t>商品编码</t>
    <phoneticPr fontId="1" type="noConversion"/>
  </si>
  <si>
    <t>单价</t>
    <phoneticPr fontId="1" type="noConversion"/>
  </si>
  <si>
    <t>鹏程公司销售情况表格</t>
    <phoneticPr fontId="1" type="noConversion"/>
  </si>
  <si>
    <t>高明</t>
    <phoneticPr fontId="1" type="noConversion"/>
  </si>
  <si>
    <t>李子</t>
    <phoneticPr fontId="1" type="noConversion"/>
  </si>
  <si>
    <t>彭强</t>
    <phoneticPr fontId="1" type="noConversion"/>
  </si>
  <si>
    <t>方明</t>
    <phoneticPr fontId="1" type="noConversion"/>
  </si>
  <si>
    <t>男</t>
    <phoneticPr fontId="1" type="noConversion"/>
  </si>
  <si>
    <t>女</t>
    <phoneticPr fontId="1" type="noConversion"/>
  </si>
  <si>
    <t>田秘</t>
    <phoneticPr fontId="1" type="noConversion"/>
  </si>
  <si>
    <t>平长</t>
    <phoneticPr fontId="1" type="noConversion"/>
  </si>
  <si>
    <t>谷新</t>
    <phoneticPr fontId="1" type="noConversion"/>
  </si>
  <si>
    <t>廖元</t>
    <phoneticPr fontId="1" type="noConversion"/>
  </si>
  <si>
    <t>周长</t>
    <phoneticPr fontId="1" type="noConversion"/>
  </si>
  <si>
    <t>女</t>
    <phoneticPr fontId="1" type="noConversion"/>
  </si>
  <si>
    <t>男</t>
    <phoneticPr fontId="1" type="noConversion"/>
  </si>
  <si>
    <t>011205</t>
    <phoneticPr fontId="1" type="noConversion"/>
  </si>
  <si>
    <t>曾华</t>
    <phoneticPr fontId="1" type="noConversion"/>
  </si>
  <si>
    <t>王瑞</t>
    <phoneticPr fontId="1" type="noConversion"/>
  </si>
  <si>
    <t>郝置</t>
    <phoneticPr fontId="1" type="noConversion"/>
  </si>
  <si>
    <t>薛包</t>
    <phoneticPr fontId="1" type="noConversion"/>
  </si>
  <si>
    <t>011204</t>
    <phoneticPr fontId="1" type="noConversion"/>
  </si>
  <si>
    <t>011202</t>
    <phoneticPr fontId="1" type="noConversion"/>
  </si>
  <si>
    <t>销售经理</t>
    <phoneticPr fontId="1" type="noConversion"/>
  </si>
  <si>
    <t>张乐</t>
    <phoneticPr fontId="1" type="noConversion"/>
  </si>
  <si>
    <t>李耀</t>
    <phoneticPr fontId="1" type="noConversion"/>
  </si>
  <si>
    <t>高友</t>
    <phoneticPr fontId="1" type="noConversion"/>
  </si>
  <si>
    <t>总和</t>
    <phoneticPr fontId="1" type="noConversion"/>
  </si>
  <si>
    <t>总计</t>
    <phoneticPr fontId="1" type="noConversion"/>
  </si>
  <si>
    <t>销售经理成交金额按月统计表(单位：元)</t>
    <phoneticPr fontId="1" type="noConversion"/>
  </si>
  <si>
    <t>预购类型</t>
    <phoneticPr fontId="1" type="noConversion"/>
  </si>
  <si>
    <t>销售经理</t>
    <phoneticPr fontId="1" type="noConversion"/>
  </si>
  <si>
    <t>男</t>
  </si>
  <si>
    <t>女</t>
  </si>
  <si>
    <t>商品单价</t>
  </si>
  <si>
    <t>成交金额</t>
    <phoneticPr fontId="1" type="noConversion"/>
  </si>
  <si>
    <t>销售经理</t>
  </si>
  <si>
    <t>(全部)</t>
  </si>
  <si>
    <t>011201</t>
  </si>
  <si>
    <t>总计</t>
  </si>
  <si>
    <t>批发</t>
  </si>
  <si>
    <t>团购</t>
  </si>
  <si>
    <t>预购类型</t>
  </si>
  <si>
    <t>商品编码</t>
  </si>
  <si>
    <t>成交额汇总</t>
  </si>
  <si>
    <t>成交额</t>
  </si>
  <si>
    <t>成交额占比 汇总</t>
  </si>
  <si>
    <t xml:space="preserve">成交额占比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</si>
</sst>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[$-F400]h:mm:ss\ AM/PM"/>
    <numFmt numFmtId="177" formatCode="#,##0_ "/>
    <numFmt numFmtId="178" formatCode="#,##0.00_ "/>
    <numFmt numFmtId="179" formatCode="[DBNum1][$-804]General&quot;月&quot;"/>
    <numFmt numFmtId="180" formatCode="yyyy/mm/dd"/>
  </numFmts>
  <fonts count="12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3"/>
      <color theme="3"/>
      <name val="宋体"/>
      <family val="2"/>
      <charset val="134"/>
      <scheme val="minor"/>
    </font>
    <font>
      <b/>
      <sz val="13"/>
      <color theme="3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4"/>
      <name val="微软雅黑"/>
      <family val="2"/>
      <charset val="134"/>
    </font>
    <font>
      <sz val="11"/>
      <name val="楷体"/>
      <family val="3"/>
      <charset val="134"/>
    </font>
    <font>
      <sz val="18"/>
      <name val="楷体"/>
      <family val="3"/>
      <charset val="134"/>
    </font>
    <font>
      <sz val="12"/>
      <color rgb="FFC00000"/>
      <name val="宋体"/>
      <family val="3"/>
      <charset val="134"/>
    </font>
    <font>
      <sz val="12"/>
      <color rgb="FF7030A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ck">
        <color theme="4" tint="0.499984740745262"/>
      </top>
      <bottom/>
      <diagonal/>
    </border>
    <border>
      <left/>
      <right style="thin">
        <color theme="4" tint="0.39997558519241921"/>
      </right>
      <top style="thick">
        <color theme="4" tint="0.499984740745262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0" fontId="3" fillId="0" borderId="1" applyNumberFormat="0" applyFill="0" applyAlignment="0" applyProtection="0">
      <alignment vertical="center"/>
    </xf>
  </cellStyleXfs>
  <cellXfs count="48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78" fontId="6" fillId="3" borderId="7" xfId="0" applyNumberFormat="1" applyFont="1" applyFill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178" fontId="6" fillId="0" borderId="7" xfId="0" applyNumberFormat="1" applyFont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178" fontId="6" fillId="3" borderId="3" xfId="0" applyNumberFormat="1" applyFont="1" applyFill="1" applyBorder="1" applyAlignment="1">
      <alignment horizontal="right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178" fontId="6" fillId="0" borderId="9" xfId="0" applyNumberFormat="1" applyFont="1" applyBorder="1" applyAlignment="1">
      <alignment horizontal="center" vertical="center"/>
    </xf>
    <xf numFmtId="178" fontId="6" fillId="5" borderId="10" xfId="0" applyNumberFormat="1" applyFont="1" applyFill="1" applyBorder="1" applyAlignment="1">
      <alignment horizontal="center" vertical="center"/>
    </xf>
    <xf numFmtId="178" fontId="6" fillId="5" borderId="12" xfId="0" applyNumberFormat="1" applyFont="1" applyFill="1" applyBorder="1" applyAlignment="1">
      <alignment horizontal="center" vertical="center"/>
    </xf>
    <xf numFmtId="179" fontId="5" fillId="4" borderId="9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pivotButton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7" fontId="10" fillId="0" borderId="0" xfId="0" applyNumberFormat="1" applyFont="1">
      <alignment vertical="center"/>
    </xf>
    <xf numFmtId="10" fontId="10" fillId="0" borderId="0" xfId="0" applyNumberFormat="1" applyFont="1">
      <alignment vertical="center"/>
    </xf>
    <xf numFmtId="0" fontId="11" fillId="0" borderId="0" xfId="0" applyFont="1" applyAlignment="1">
      <alignment horizontal="center" vertical="center" wrapText="1"/>
    </xf>
    <xf numFmtId="177" fontId="11" fillId="0" borderId="0" xfId="0" applyNumberFormat="1" applyFont="1">
      <alignment vertical="center"/>
    </xf>
    <xf numFmtId="10" fontId="11" fillId="0" borderId="0" xfId="0" applyNumberFormat="1" applyFo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标题 2" xfId="1" builtinId="17"/>
    <cellStyle name="常规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numFmt numFmtId="177" formatCode="#,##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numFmt numFmtId="177" formatCode="#,##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numFmt numFmtId="177" formatCode="#,##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numFmt numFmtId="176" formatCode="[$-F400]h:mm:ss\ AM/P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numFmt numFmtId="180" formatCode="yyyy/mm/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楷体"/>
        <scheme val="none"/>
      </font>
      <alignment horizontal="center" vertical="center" textRotation="0" wrapText="0" indent="0" justifyLastLine="0" shrinkToFit="0" readingOrder="0"/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7"/>
      </font>
    </dxf>
    <dxf>
      <font>
        <color theme="7"/>
      </font>
    </dxf>
    <dxf>
      <font>
        <color theme="7"/>
      </font>
    </dxf>
    <dxf>
      <numFmt numFmtId="177" formatCode="#,##0_ "/>
    </dxf>
    <dxf>
      <numFmt numFmtId="177" formatCode="#,##0_ "/>
    </dxf>
    <dxf>
      <numFmt numFmtId="177" formatCode="#,##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90088839403947"/>
          <c:y val="4.3496427813054406E-2"/>
          <c:w val="0.76102570585531526"/>
          <c:h val="0.883184560269820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月统计表!$B$2</c:f>
              <c:strCache>
                <c:ptCount val="1"/>
                <c:pt idx="0">
                  <c:v>一月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月统计表!$A$3:$A$5</c:f>
              <c:strCache>
                <c:ptCount val="3"/>
                <c:pt idx="0">
                  <c:v>张乐</c:v>
                </c:pt>
                <c:pt idx="1">
                  <c:v>李耀</c:v>
                </c:pt>
                <c:pt idx="2">
                  <c:v>高友</c:v>
                </c:pt>
              </c:strCache>
            </c:strRef>
          </c:cat>
          <c:val>
            <c:numRef>
              <c:f>月统计表!$B$3:$B$5</c:f>
              <c:numCache>
                <c:formatCode>#,##0.00_ </c:formatCode>
                <c:ptCount val="3"/>
                <c:pt idx="0">
                  <c:v>388800</c:v>
                </c:pt>
                <c:pt idx="1">
                  <c:v>416950</c:v>
                </c:pt>
                <c:pt idx="2">
                  <c:v>506325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3-478B-92F1-9AD030FB5CF7}"/>
            </c:ext>
          </c:extLst>
        </c:ser>
        <c:ser>
          <c:idx val="1"/>
          <c:order val="1"/>
          <c:tx>
            <c:strRef>
              <c:f>月统计表!$C$2</c:f>
              <c:strCache>
                <c:ptCount val="1"/>
                <c:pt idx="0">
                  <c:v>二月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月统计表!$A$3:$A$5</c:f>
              <c:strCache>
                <c:ptCount val="3"/>
                <c:pt idx="0">
                  <c:v>张乐</c:v>
                </c:pt>
                <c:pt idx="1">
                  <c:v>李耀</c:v>
                </c:pt>
                <c:pt idx="2">
                  <c:v>高友</c:v>
                </c:pt>
              </c:strCache>
            </c:strRef>
          </c:cat>
          <c:val>
            <c:numRef>
              <c:f>月统计表!$C$3:$C$5</c:f>
              <c:numCache>
                <c:formatCode>#,##0.00_ </c:formatCode>
                <c:ptCount val="3"/>
                <c:pt idx="0">
                  <c:v>243863</c:v>
                </c:pt>
                <c:pt idx="1">
                  <c:v>653154</c:v>
                </c:pt>
                <c:pt idx="2">
                  <c:v>939400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93-478B-92F1-9AD030FB5CF7}"/>
            </c:ext>
          </c:extLst>
        </c:ser>
        <c:ser>
          <c:idx val="2"/>
          <c:order val="2"/>
          <c:tx>
            <c:strRef>
              <c:f>月统计表!$D$2</c:f>
              <c:strCache>
                <c:ptCount val="1"/>
                <c:pt idx="0">
                  <c:v>三月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月统计表!$A$3:$A$5</c:f>
              <c:strCache>
                <c:ptCount val="3"/>
                <c:pt idx="0">
                  <c:v>张乐</c:v>
                </c:pt>
                <c:pt idx="1">
                  <c:v>李耀</c:v>
                </c:pt>
                <c:pt idx="2">
                  <c:v>高友</c:v>
                </c:pt>
              </c:strCache>
            </c:strRef>
          </c:cat>
          <c:val>
            <c:numRef>
              <c:f>月统计表!$D$3:$D$5</c:f>
              <c:numCache>
                <c:formatCode>#,##0.00_ </c:formatCode>
                <c:ptCount val="3"/>
                <c:pt idx="0">
                  <c:v>94683</c:v>
                </c:pt>
                <c:pt idx="1">
                  <c:v>114900</c:v>
                </c:pt>
                <c:pt idx="2">
                  <c:v>652000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93-478B-92F1-9AD030FB5C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59998272"/>
        <c:axId val="459997616"/>
      </c:barChart>
      <c:catAx>
        <c:axId val="45999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997616"/>
        <c:crosses val="autoZero"/>
        <c:auto val="1"/>
        <c:lblAlgn val="ctr"/>
        <c:lblOffset val="100"/>
        <c:noMultiLvlLbl val="0"/>
      </c:catAx>
      <c:valAx>
        <c:axId val="45999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.00_ 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998272"/>
        <c:crosses val="autoZero"/>
        <c:crossBetween val="between"/>
        <c:majorUnit val="250000"/>
        <c:dispUnits>
          <c:builtInUnit val="tenThousands"/>
          <c:dispUnits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</xdr:colOff>
      <xdr:row>2</xdr:row>
      <xdr:rowOff>61912</xdr:rowOff>
    </xdr:from>
    <xdr:to>
      <xdr:col>14</xdr:col>
      <xdr:colOff>609600</xdr:colOff>
      <xdr:row>19</xdr:row>
      <xdr:rowOff>133351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292.428438541669" createdVersion="6" refreshedVersion="6" minRefreshableVersion="3" recordCount="31">
  <cacheSource type="worksheet">
    <worksheetSource name="表1"/>
  </cacheSource>
  <cacheFields count="11">
    <cacheField name="客户姓名" numFmtId="0">
      <sharedItems/>
    </cacheField>
    <cacheField name="性别" numFmtId="0">
      <sharedItems/>
    </cacheField>
    <cacheField name="咨询日期" numFmtId="180">
      <sharedItems containsSemiMixedTypes="0" containsNonDate="0" containsDate="1" containsString="0" minDate="2014-01-05T00:00:00" maxDate="2014-03-29T00:00:00"/>
    </cacheField>
    <cacheField name="咨询时间" numFmtId="176">
      <sharedItems containsSemiMixedTypes="0" containsNonDate="0" containsDate="1" containsString="0" minDate="1899-12-30T08:47:34" maxDate="1899-12-30T21:24:07"/>
    </cacheField>
    <cacheField name="咨询商品编码" numFmtId="49">
      <sharedItems count="5">
        <s v="011201"/>
        <s v="011202"/>
        <s v="011205"/>
        <s v="011203"/>
        <s v="011204"/>
      </sharedItems>
    </cacheField>
    <cacheField name="商品单价" numFmtId="0">
      <sharedItems containsSemiMixedTypes="0" containsString="0" containsNumber="1" minValue="18" maxValue="326"/>
    </cacheField>
    <cacheField name="预购类型" numFmtId="0">
      <sharedItems count="2">
        <s v="团购"/>
        <s v="批发"/>
      </sharedItems>
    </cacheField>
    <cacheField name="预购数量" numFmtId="177">
      <sharedItems containsSemiMixedTypes="0" containsString="0" containsNumber="1" containsInteger="1" minValue="0" maxValue="3000"/>
    </cacheField>
    <cacheField name="成交数量" numFmtId="177">
      <sharedItems containsSemiMixedTypes="0" containsString="0" containsNumber="1" containsInteger="1" minValue="0" maxValue="2000"/>
    </cacheField>
    <cacheField name="成交金额" numFmtId="177">
      <sharedItems containsSemiMixedTypes="0" containsString="0" containsNumber="1" containsInteger="1" minValue="0" maxValue="652000"/>
    </cacheField>
    <cacheField name="销售经理" numFmtId="0">
      <sharedItems count="3">
        <s v="张乐"/>
        <s v="高友"/>
        <s v="李耀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s v="陈华"/>
    <s v="男"/>
    <d v="2014-01-05T00:00:00"/>
    <d v="1899-12-30T09:10:13"/>
    <x v="0"/>
    <n v="78.5"/>
    <x v="0"/>
    <n v="800"/>
    <n v="800"/>
    <n v="62800"/>
    <x v="0"/>
  </r>
  <r>
    <s v="高明"/>
    <s v="男"/>
    <d v="2014-01-08T00:00:00"/>
    <d v="1899-12-30T10:22:31"/>
    <x v="1"/>
    <n v="326"/>
    <x v="1"/>
    <n v="3000"/>
    <n v="1000"/>
    <n v="326000"/>
    <x v="0"/>
  </r>
  <r>
    <s v="李子"/>
    <s v="男"/>
    <d v="2014-01-10T00:00:00"/>
    <d v="1899-12-30T12:21:09"/>
    <x v="0"/>
    <n v="78.5"/>
    <x v="0"/>
    <n v="0"/>
    <n v="0"/>
    <n v="0"/>
    <x v="1"/>
  </r>
  <r>
    <s v="尤勇"/>
    <s v="男"/>
    <d v="2014-01-12T00:00:00"/>
    <d v="1899-12-30T09:41:34"/>
    <x v="0"/>
    <n v="78.5"/>
    <x v="0"/>
    <n v="700"/>
    <n v="700"/>
    <n v="54950"/>
    <x v="2"/>
  </r>
  <r>
    <s v="郑雅婷"/>
    <s v="女"/>
    <d v="2014-01-14T00:00:00"/>
    <d v="1899-12-30T15:10:35"/>
    <x v="2"/>
    <n v="298"/>
    <x v="1"/>
    <n v="1500"/>
    <n v="1500"/>
    <n v="447000"/>
    <x v="1"/>
  </r>
  <r>
    <s v="彭强"/>
    <s v="男"/>
    <d v="2014-01-17T00:00:00"/>
    <d v="1899-12-30T10:48:12"/>
    <x v="3"/>
    <n v="18"/>
    <x v="1"/>
    <n v="2500"/>
    <n v="2000"/>
    <n v="36000"/>
    <x v="2"/>
  </r>
  <r>
    <s v="申新"/>
    <s v="女"/>
    <d v="2014-01-21T00:00:00"/>
    <d v="1899-12-30T13:20:45"/>
    <x v="4"/>
    <n v="169.5"/>
    <x v="0"/>
    <n v="200"/>
    <n v="0"/>
    <n v="0"/>
    <x v="0"/>
  </r>
  <r>
    <s v="孙毅"/>
    <s v="男"/>
    <d v="2014-01-23T00:00:00"/>
    <d v="1899-12-30T12:43:05"/>
    <x v="1"/>
    <n v="326"/>
    <x v="1"/>
    <n v="1000"/>
    <n v="1000"/>
    <n v="326000"/>
    <x v="2"/>
  </r>
  <r>
    <s v="方明"/>
    <s v="女"/>
    <d v="2014-01-25T00:00:00"/>
    <d v="1899-12-30T17:25:31"/>
    <x v="4"/>
    <n v="169.5"/>
    <x v="0"/>
    <n v="350"/>
    <n v="350"/>
    <n v="59325"/>
    <x v="1"/>
  </r>
  <r>
    <s v="谷新"/>
    <s v="男"/>
    <d v="2014-02-02T00:00:00"/>
    <d v="1899-12-30T11:23:15"/>
    <x v="1"/>
    <n v="326"/>
    <x v="0"/>
    <n v="400"/>
    <n v="400"/>
    <n v="130400"/>
    <x v="1"/>
  </r>
  <r>
    <s v="平长"/>
    <s v="男"/>
    <d v="2014-02-04T00:00:00"/>
    <d v="1899-12-30T09:10:13"/>
    <x v="4"/>
    <n v="169.5"/>
    <x v="1"/>
    <n v="1000"/>
    <n v="1000"/>
    <n v="169500"/>
    <x v="2"/>
  </r>
  <r>
    <s v="田秘"/>
    <s v="女"/>
    <d v="2014-02-04T00:00:00"/>
    <d v="1899-12-30T09:22:31"/>
    <x v="3"/>
    <n v="18"/>
    <x v="0"/>
    <n v="0"/>
    <n v="0"/>
    <n v="0"/>
    <x v="1"/>
  </r>
  <r>
    <s v="廖元"/>
    <s v="男"/>
    <d v="2014-02-09T00:00:00"/>
    <d v="1899-12-30T10:47:34"/>
    <x v="0"/>
    <n v="78.5"/>
    <x v="1"/>
    <n v="2000"/>
    <n v="2000"/>
    <n v="157000"/>
    <x v="1"/>
  </r>
  <r>
    <s v="钱平"/>
    <s v="男"/>
    <d v="2014-02-14T00:00:00"/>
    <d v="1899-12-30T13:00:23"/>
    <x v="3"/>
    <n v="18"/>
    <x v="1"/>
    <n v="1000"/>
    <n v="1000"/>
    <n v="18000"/>
    <x v="0"/>
  </r>
  <r>
    <s v="李涛"/>
    <s v="女"/>
    <d v="2014-02-15T00:00:00"/>
    <d v="1899-12-30T15:33:40"/>
    <x v="0"/>
    <n v="78.5"/>
    <x v="0"/>
    <n v="500"/>
    <n v="500"/>
    <n v="39250"/>
    <x v="0"/>
  </r>
  <r>
    <s v="朱玲玲"/>
    <s v="女"/>
    <d v="2014-02-16T00:00:00"/>
    <d v="1899-12-30T16:57:12"/>
    <x v="4"/>
    <n v="169.5"/>
    <x v="1"/>
    <n v="1000"/>
    <n v="1000"/>
    <n v="169500"/>
    <x v="0"/>
  </r>
  <r>
    <s v="周霞"/>
    <s v="女"/>
    <d v="2014-02-20T00:00:00"/>
    <d v="1899-12-30T17:23:34"/>
    <x v="1"/>
    <n v="326"/>
    <x v="1"/>
    <n v="2000"/>
    <n v="2000"/>
    <n v="652000"/>
    <x v="1"/>
  </r>
  <r>
    <s v="吕林"/>
    <s v="男"/>
    <d v="2014-02-21T00:00:00"/>
    <d v="1899-12-30T21:24:07"/>
    <x v="1"/>
    <n v="326"/>
    <x v="0"/>
    <n v="10"/>
    <n v="0"/>
    <n v="0"/>
    <x v="2"/>
  </r>
  <r>
    <s v="施琅"/>
    <s v="男"/>
    <d v="2014-02-22T00:00:00"/>
    <d v="1899-12-30T13:23:34"/>
    <x v="0"/>
    <n v="78.5"/>
    <x v="0"/>
    <n v="220"/>
    <n v="218"/>
    <n v="17113"/>
    <x v="0"/>
  </r>
  <r>
    <s v="韩希"/>
    <s v="女"/>
    <d v="2014-02-25T00:00:00"/>
    <d v="1899-12-30T12:23:23"/>
    <x v="2"/>
    <n v="298"/>
    <x v="0"/>
    <n v="123"/>
    <n v="123"/>
    <n v="36654"/>
    <x v="2"/>
  </r>
  <r>
    <s v="冯志刚"/>
    <s v="男"/>
    <d v="2014-02-27T00:00:00"/>
    <d v="1899-12-30T12:13:00"/>
    <x v="2"/>
    <n v="298"/>
    <x v="1"/>
    <n v="1500"/>
    <n v="1500"/>
    <n v="447000"/>
    <x v="2"/>
  </r>
  <r>
    <s v="李浩"/>
    <s v="男"/>
    <d v="2014-03-01T00:00:00"/>
    <d v="1899-12-30T11:23:11"/>
    <x v="3"/>
    <n v="18"/>
    <x v="0"/>
    <n v="8"/>
    <n v="8"/>
    <n v="144"/>
    <x v="0"/>
  </r>
  <r>
    <s v="王伟"/>
    <s v="男"/>
    <d v="2014-03-02T00:00:00"/>
    <d v="1899-12-30T15:32:28"/>
    <x v="4"/>
    <n v="169.5"/>
    <x v="0"/>
    <n v="2"/>
    <n v="2"/>
    <n v="339"/>
    <x v="0"/>
  </r>
  <r>
    <s v="王瑞"/>
    <s v="女"/>
    <d v="2014-03-08T00:00:00"/>
    <d v="1899-12-30T11:27:17"/>
    <x v="4"/>
    <n v="169.5"/>
    <x v="0"/>
    <n v="400"/>
    <n v="400"/>
    <n v="67800"/>
    <x v="2"/>
  </r>
  <r>
    <s v="周长"/>
    <s v="男"/>
    <d v="2014-03-11T00:00:00"/>
    <d v="1899-12-30T12:51:23"/>
    <x v="3"/>
    <n v="18"/>
    <x v="0"/>
    <n v="800"/>
    <n v="0"/>
    <n v="0"/>
    <x v="1"/>
  </r>
  <r>
    <s v="卫东"/>
    <s v="男"/>
    <d v="2014-03-14T00:00:00"/>
    <d v="1899-12-30T08:47:34"/>
    <x v="1"/>
    <n v="326"/>
    <x v="1"/>
    <n v="2000"/>
    <n v="2000"/>
    <n v="652000"/>
    <x v="1"/>
  </r>
  <r>
    <s v="郝置"/>
    <s v="男"/>
    <d v="2014-03-17T00:00:00"/>
    <d v="1899-12-30T13:28:31"/>
    <x v="1"/>
    <n v="326"/>
    <x v="0"/>
    <n v="900"/>
    <n v="0"/>
    <n v="0"/>
    <x v="0"/>
  </r>
  <r>
    <s v="薛包"/>
    <s v="男"/>
    <d v="2014-03-19T00:00:00"/>
    <d v="1899-12-30T16:35:10"/>
    <x v="2"/>
    <n v="298"/>
    <x v="0"/>
    <n v="0"/>
    <n v="0"/>
    <n v="0"/>
    <x v="2"/>
  </r>
  <r>
    <s v="曾华"/>
    <s v="女"/>
    <d v="2014-03-23T00:00:00"/>
    <d v="1899-12-30T17:55:31"/>
    <x v="0"/>
    <n v="78.5"/>
    <x v="1"/>
    <n v="1200"/>
    <n v="1200"/>
    <n v="94200"/>
    <x v="0"/>
  </r>
  <r>
    <s v="吴亦凡"/>
    <s v="女"/>
    <d v="2014-03-24T00:00:00"/>
    <d v="1899-12-30T10:43:02"/>
    <x v="0"/>
    <n v="78.5"/>
    <x v="0"/>
    <n v="600"/>
    <n v="600"/>
    <n v="47100"/>
    <x v="2"/>
  </r>
  <r>
    <s v="彭军"/>
    <s v="男"/>
    <d v="2014-03-28T00:00:00"/>
    <d v="1899-12-30T11:24:07"/>
    <x v="3"/>
    <n v="18"/>
    <x v="0"/>
    <n v="5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mergeItem="1" createdVersion="6" indent="0" outline="1" outlineData="1" multipleFieldFilters="0" rowHeaderCaption="商品编码" colHeaderCaption="预购类型">
  <location ref="A3:G11" firstHeaderRow="1" firstDataRow="3" firstDataCol="1" rowPageCount="1" colPageCount="1"/>
  <pivotFields count="11">
    <pivotField showAll="0"/>
    <pivotField showAll="0"/>
    <pivotField numFmtId="180" showAll="0"/>
    <pivotField numFmtId="176"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77" showAll="0"/>
    <pivotField numFmtId="177" showAll="0"/>
    <pivotField dataField="1" numFmtId="177" showAll="0"/>
    <pivotField axis="axisPage" showAll="0">
      <items count="4">
        <item x="1"/>
        <item x="2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10" hier="-1"/>
  </pageFields>
  <dataFields count="2">
    <dataField name="成交额" fld="9" baseField="0" baseItem="0"/>
    <dataField name="成交额占比 " fld="9" showDataAs="percentOfCol" baseField="0" baseItem="0" numFmtId="10"/>
  </dataFields>
  <formats count="12">
    <format dxfId="24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22">
      <pivotArea field="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21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0"/>
          </reference>
        </references>
      </pivotArea>
    </format>
    <format dxfId="20">
      <pivotArea dataOnly="0" labelOnly="1" fieldPosition="0">
        <references count="1">
          <reference field="6" count="1">
            <x v="0"/>
          </reference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18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"/>
          </reference>
        </references>
      </pivotArea>
    </format>
    <format dxfId="17">
      <pivotArea dataOnly="0" labelOnly="1" fieldPosition="0">
        <references count="1">
          <reference field="6" count="1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15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0"/>
          </reference>
        </references>
      </pivotArea>
    </format>
    <format dxfId="14">
      <pivotArea dataOnly="0" labelOnly="1" fieldPosition="0">
        <references count="1">
          <reference field="6" count="1">
            <x v="0"/>
          </reference>
        </references>
      </pivotArea>
    </format>
    <format dxfId="1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</formats>
  <pivotTableStyleInfo name="PivotStyleMedium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K33" totalsRowShown="0" headerRowDxfId="12" dataDxfId="11">
  <sortState ref="A3:I33">
    <sortCondition ref="C3:C33"/>
    <sortCondition ref="D3:D33"/>
  </sortState>
  <tableColumns count="11">
    <tableColumn id="1" name="客户姓名" dataDxfId="10"/>
    <tableColumn id="2" name="性别" dataDxfId="9"/>
    <tableColumn id="3" name="咨询日期" dataDxfId="8"/>
    <tableColumn id="4" name="咨询时间" dataDxfId="7"/>
    <tableColumn id="5" name="咨询商品编码" dataDxfId="6"/>
    <tableColumn id="10" name="商品单价" dataDxfId="5">
      <calculatedColumnFormula>VLOOKUP(E3,商品单价!$A$2:$B$7,2,0)</calculatedColumnFormula>
    </tableColumn>
    <tableColumn id="6" name="预购类型" dataDxfId="4"/>
    <tableColumn id="7" name="预购数量" dataDxfId="3"/>
    <tableColumn id="8" name="成交数量" dataDxfId="2"/>
    <tableColumn id="11" name="成交金额" dataDxfId="1">
      <calculatedColumnFormula>F3*I3</calculatedColumnFormula>
    </tableColumn>
    <tableColumn id="9" name="销售经理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E18" sqref="E18"/>
    </sheetView>
  </sheetViews>
  <sheetFormatPr defaultRowHeight="14.25" x14ac:dyDescent="0.15"/>
  <cols>
    <col min="1" max="2" width="14.25" bestFit="1" customWidth="1"/>
    <col min="3" max="3" width="13.875" bestFit="1" customWidth="1"/>
    <col min="4" max="4" width="10.75" bestFit="1" customWidth="1"/>
    <col min="5" max="5" width="13.875" bestFit="1" customWidth="1"/>
    <col min="6" max="6" width="13.25" bestFit="1" customWidth="1"/>
    <col min="7" max="7" width="18.625" bestFit="1" customWidth="1"/>
  </cols>
  <sheetData>
    <row r="1" spans="1:7" x14ac:dyDescent="0.15">
      <c r="A1" s="28" t="s">
        <v>72</v>
      </c>
      <c r="B1" t="s">
        <v>73</v>
      </c>
    </row>
    <row r="3" spans="1:7" x14ac:dyDescent="0.15">
      <c r="A3" s="4"/>
      <c r="B3" s="32" t="s">
        <v>78</v>
      </c>
      <c r="C3" s="4"/>
      <c r="D3" s="4"/>
      <c r="E3" s="4"/>
      <c r="F3" s="4"/>
      <c r="G3" s="4"/>
    </row>
    <row r="4" spans="1:7" x14ac:dyDescent="0.15">
      <c r="A4" s="4"/>
      <c r="B4" s="39" t="s">
        <v>76</v>
      </c>
      <c r="C4" s="40"/>
      <c r="D4" s="41" t="s">
        <v>77</v>
      </c>
      <c r="E4" s="42"/>
      <c r="F4" s="43" t="s">
        <v>80</v>
      </c>
      <c r="G4" s="43" t="s">
        <v>82</v>
      </c>
    </row>
    <row r="5" spans="1:7" x14ac:dyDescent="0.15">
      <c r="A5" s="32" t="s">
        <v>79</v>
      </c>
      <c r="B5" s="36" t="s">
        <v>81</v>
      </c>
      <c r="C5" s="36" t="s">
        <v>83</v>
      </c>
      <c r="D5" s="33" t="s">
        <v>81</v>
      </c>
      <c r="E5" s="33" t="s">
        <v>83</v>
      </c>
      <c r="F5" s="44"/>
      <c r="G5" s="44"/>
    </row>
    <row r="6" spans="1:7" x14ac:dyDescent="0.15">
      <c r="A6" s="29" t="s">
        <v>74</v>
      </c>
      <c r="B6" s="37">
        <v>251200</v>
      </c>
      <c r="C6" s="38">
        <v>7.1890561501917458E-2</v>
      </c>
      <c r="D6" s="34">
        <v>221213</v>
      </c>
      <c r="E6" s="35">
        <v>0.42881124303368062</v>
      </c>
      <c r="F6" s="31">
        <v>472413</v>
      </c>
      <c r="G6" s="30">
        <v>0.11780652481562065</v>
      </c>
    </row>
    <row r="7" spans="1:7" x14ac:dyDescent="0.15">
      <c r="A7" s="29" t="s">
        <v>31</v>
      </c>
      <c r="B7" s="37">
        <v>1956000</v>
      </c>
      <c r="C7" s="38">
        <v>0.55978478621715988</v>
      </c>
      <c r="D7" s="34">
        <v>130400</v>
      </c>
      <c r="E7" s="35">
        <v>0.25277441240610615</v>
      </c>
      <c r="F7" s="31">
        <v>2086400</v>
      </c>
      <c r="G7" s="30">
        <v>0.5202895207695617</v>
      </c>
    </row>
    <row r="8" spans="1:7" x14ac:dyDescent="0.15">
      <c r="A8" s="29" t="s">
        <v>32</v>
      </c>
      <c r="B8" s="37">
        <v>54000</v>
      </c>
      <c r="C8" s="38">
        <v>1.5454181214584167E-2</v>
      </c>
      <c r="D8" s="34">
        <v>144</v>
      </c>
      <c r="E8" s="35">
        <v>2.7913738793312334E-4</v>
      </c>
      <c r="F8" s="31">
        <v>54144</v>
      </c>
      <c r="G8" s="30">
        <v>1.3501991858007644E-2</v>
      </c>
    </row>
    <row r="9" spans="1:7" x14ac:dyDescent="0.15">
      <c r="A9" s="29" t="s">
        <v>30</v>
      </c>
      <c r="B9" s="37">
        <v>339000</v>
      </c>
      <c r="C9" s="38">
        <v>9.7017915402667271E-2</v>
      </c>
      <c r="D9" s="34">
        <v>127464</v>
      </c>
      <c r="E9" s="35">
        <v>0.247083111218803</v>
      </c>
      <c r="F9" s="31">
        <v>466464</v>
      </c>
      <c r="G9" s="30">
        <v>0.11632301141499847</v>
      </c>
    </row>
    <row r="10" spans="1:7" x14ac:dyDescent="0.15">
      <c r="A10" s="29" t="s">
        <v>33</v>
      </c>
      <c r="B10" s="37">
        <v>894000</v>
      </c>
      <c r="C10" s="38">
        <v>0.25585255566367121</v>
      </c>
      <c r="D10" s="34">
        <v>36654</v>
      </c>
      <c r="E10" s="35">
        <v>7.1052095953477098E-2</v>
      </c>
      <c r="F10" s="31">
        <v>930654</v>
      </c>
      <c r="G10" s="30">
        <v>0.23207895114181157</v>
      </c>
    </row>
    <row r="11" spans="1:7" x14ac:dyDescent="0.15">
      <c r="A11" s="29" t="s">
        <v>75</v>
      </c>
      <c r="B11" s="37">
        <v>3494200</v>
      </c>
      <c r="C11" s="38">
        <v>1</v>
      </c>
      <c r="D11" s="34">
        <v>515875</v>
      </c>
      <c r="E11" s="35">
        <v>1</v>
      </c>
      <c r="F11" s="31">
        <v>4010075</v>
      </c>
      <c r="G11" s="30">
        <v>1</v>
      </c>
    </row>
  </sheetData>
  <mergeCells count="4">
    <mergeCell ref="B4:C4"/>
    <mergeCell ref="D4:E4"/>
    <mergeCell ref="F4:F5"/>
    <mergeCell ref="G4:G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3"/>
  <sheetViews>
    <sheetView tabSelected="1" workbookViewId="0">
      <selection activeCell="M8" sqref="M8"/>
    </sheetView>
  </sheetViews>
  <sheetFormatPr defaultRowHeight="14.25" x14ac:dyDescent="0.15"/>
  <cols>
    <col min="1" max="1" width="10.75" customWidth="1"/>
    <col min="2" max="2" width="6.75" customWidth="1"/>
    <col min="3" max="3" width="11.625" bestFit="1" customWidth="1"/>
    <col min="4" max="4" width="10.75" customWidth="1"/>
    <col min="5" max="5" width="14.75" style="1" customWidth="1"/>
    <col min="6" max="6" width="14.75" style="27" customWidth="1"/>
    <col min="7" max="11" width="10.75" customWidth="1"/>
    <col min="14" max="14" width="9.5" bestFit="1" customWidth="1"/>
    <col min="15" max="15" width="10.5" bestFit="1" customWidth="1"/>
  </cols>
  <sheetData>
    <row r="1" spans="1:15" ht="33" customHeight="1" x14ac:dyDescent="0.15">
      <c r="A1" s="45" t="s">
        <v>38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5" ht="16.5" customHeight="1" x14ac:dyDescent="0.15">
      <c r="A2" s="21" t="s">
        <v>0</v>
      </c>
      <c r="B2" s="21" t="s">
        <v>1</v>
      </c>
      <c r="C2" s="21" t="s">
        <v>25</v>
      </c>
      <c r="D2" s="21" t="s">
        <v>26</v>
      </c>
      <c r="E2" s="22" t="s">
        <v>34</v>
      </c>
      <c r="F2" s="26" t="s">
        <v>70</v>
      </c>
      <c r="G2" s="21" t="s">
        <v>66</v>
      </c>
      <c r="H2" s="21" t="s">
        <v>28</v>
      </c>
      <c r="I2" s="21" t="s">
        <v>29</v>
      </c>
      <c r="J2" s="21" t="s">
        <v>71</v>
      </c>
      <c r="K2" s="21" t="s">
        <v>67</v>
      </c>
      <c r="L2" s="3"/>
    </row>
    <row r="3" spans="1:15" ht="16.5" customHeight="1" x14ac:dyDescent="0.15">
      <c r="A3" s="21" t="s">
        <v>16</v>
      </c>
      <c r="B3" s="21" t="s">
        <v>2</v>
      </c>
      <c r="C3" s="25">
        <v>41644</v>
      </c>
      <c r="D3" s="23">
        <v>0.38209490740740742</v>
      </c>
      <c r="E3" s="22" t="s">
        <v>5</v>
      </c>
      <c r="F3" s="26">
        <f>VLOOKUP(E3,商品单价!$A$2:$B$7,2,0)</f>
        <v>78.5</v>
      </c>
      <c r="G3" s="21" t="s">
        <v>7</v>
      </c>
      <c r="H3" s="24">
        <v>800</v>
      </c>
      <c r="I3" s="24">
        <v>800</v>
      </c>
      <c r="J3" s="24">
        <f t="shared" ref="J3:J33" si="0">F3*I3</f>
        <v>62800</v>
      </c>
      <c r="K3" s="21" t="s">
        <v>60</v>
      </c>
    </row>
    <row r="4" spans="1:15" ht="16.5" customHeight="1" x14ac:dyDescent="0.15">
      <c r="A4" s="21" t="s">
        <v>39</v>
      </c>
      <c r="B4" s="21" t="s">
        <v>43</v>
      </c>
      <c r="C4" s="25">
        <v>41647</v>
      </c>
      <c r="D4" s="23">
        <v>0.43230324074074072</v>
      </c>
      <c r="E4" s="22" t="s">
        <v>58</v>
      </c>
      <c r="F4" s="26">
        <f>VLOOKUP(E4,商品单价!$A$2:$B$7,2,0)</f>
        <v>326</v>
      </c>
      <c r="G4" s="21" t="s">
        <v>6</v>
      </c>
      <c r="H4" s="24">
        <v>3000</v>
      </c>
      <c r="I4" s="24">
        <v>1000</v>
      </c>
      <c r="J4" s="24">
        <f t="shared" si="0"/>
        <v>326000</v>
      </c>
      <c r="K4" s="21" t="s">
        <v>60</v>
      </c>
    </row>
    <row r="5" spans="1:15" ht="16.5" customHeight="1" x14ac:dyDescent="0.15">
      <c r="A5" s="21" t="s">
        <v>40</v>
      </c>
      <c r="B5" s="21" t="s">
        <v>43</v>
      </c>
      <c r="C5" s="25">
        <v>41649</v>
      </c>
      <c r="D5" s="23">
        <v>0.51468749999999996</v>
      </c>
      <c r="E5" s="22" t="s">
        <v>5</v>
      </c>
      <c r="F5" s="26">
        <f>VLOOKUP(E5,商品单价!$A$2:$B$7,2,0)</f>
        <v>78.5</v>
      </c>
      <c r="G5" s="21" t="s">
        <v>7</v>
      </c>
      <c r="H5" s="24">
        <f>0</f>
        <v>0</v>
      </c>
      <c r="I5" s="24">
        <f>0</f>
        <v>0</v>
      </c>
      <c r="J5" s="24">
        <f t="shared" si="0"/>
        <v>0</v>
      </c>
      <c r="K5" s="21" t="s">
        <v>62</v>
      </c>
    </row>
    <row r="6" spans="1:15" ht="16.5" customHeight="1" x14ac:dyDescent="0.15">
      <c r="A6" s="21" t="s">
        <v>22</v>
      </c>
      <c r="B6" s="21" t="s">
        <v>68</v>
      </c>
      <c r="C6" s="25">
        <v>41651</v>
      </c>
      <c r="D6" s="23">
        <v>0.40386574074074072</v>
      </c>
      <c r="E6" s="22" t="s">
        <v>5</v>
      </c>
      <c r="F6" s="26">
        <f>VLOOKUP(E6,商品单价!$A$2:$B$7,2,0)</f>
        <v>78.5</v>
      </c>
      <c r="G6" s="21" t="s">
        <v>7</v>
      </c>
      <c r="H6" s="24">
        <v>700</v>
      </c>
      <c r="I6" s="24">
        <v>700</v>
      </c>
      <c r="J6" s="24">
        <f t="shared" si="0"/>
        <v>54950</v>
      </c>
      <c r="K6" s="21" t="s">
        <v>61</v>
      </c>
    </row>
    <row r="7" spans="1:15" ht="16.5" customHeight="1" x14ac:dyDescent="0.15">
      <c r="A7" s="21" t="s">
        <v>13</v>
      </c>
      <c r="B7" s="21" t="s">
        <v>69</v>
      </c>
      <c r="C7" s="25">
        <v>41653</v>
      </c>
      <c r="D7" s="23">
        <v>0.632349537037037</v>
      </c>
      <c r="E7" s="22" t="s">
        <v>52</v>
      </c>
      <c r="F7" s="26">
        <f>VLOOKUP(E7,商品单价!$A$2:$B$7,2,0)</f>
        <v>298</v>
      </c>
      <c r="G7" s="21" t="s">
        <v>6</v>
      </c>
      <c r="H7" s="24">
        <v>1500</v>
      </c>
      <c r="I7" s="24">
        <v>1500</v>
      </c>
      <c r="J7" s="24">
        <f t="shared" si="0"/>
        <v>447000</v>
      </c>
      <c r="K7" s="21" t="s">
        <v>62</v>
      </c>
    </row>
    <row r="8" spans="1:15" ht="16.5" customHeight="1" x14ac:dyDescent="0.15">
      <c r="A8" s="21" t="s">
        <v>41</v>
      </c>
      <c r="B8" s="21" t="s">
        <v>43</v>
      </c>
      <c r="C8" s="25">
        <v>41656</v>
      </c>
      <c r="D8" s="23">
        <v>0.45013888888888887</v>
      </c>
      <c r="E8" s="22" t="s">
        <v>32</v>
      </c>
      <c r="F8" s="26">
        <f>VLOOKUP(E8,商品单价!$A$2:$B$7,2,0)</f>
        <v>18</v>
      </c>
      <c r="G8" s="21" t="s">
        <v>6</v>
      </c>
      <c r="H8" s="24">
        <v>2500</v>
      </c>
      <c r="I8" s="24">
        <v>2000</v>
      </c>
      <c r="J8" s="24">
        <f t="shared" si="0"/>
        <v>36000</v>
      </c>
      <c r="K8" s="21" t="s">
        <v>61</v>
      </c>
    </row>
    <row r="9" spans="1:15" ht="16.5" customHeight="1" x14ac:dyDescent="0.15">
      <c r="A9" s="21" t="s">
        <v>19</v>
      </c>
      <c r="B9" s="21" t="s">
        <v>3</v>
      </c>
      <c r="C9" s="25">
        <v>41660</v>
      </c>
      <c r="D9" s="23">
        <v>0.55607638888888888</v>
      </c>
      <c r="E9" s="22" t="s">
        <v>30</v>
      </c>
      <c r="F9" s="26">
        <f>VLOOKUP(E9,商品单价!$A$2:$B$7,2,0)</f>
        <v>169.5</v>
      </c>
      <c r="G9" s="21" t="s">
        <v>7</v>
      </c>
      <c r="H9" s="24">
        <v>200</v>
      </c>
      <c r="I9" s="24">
        <f>0</f>
        <v>0</v>
      </c>
      <c r="J9" s="24">
        <f t="shared" si="0"/>
        <v>0</v>
      </c>
      <c r="K9" s="21" t="s">
        <v>60</v>
      </c>
    </row>
    <row r="10" spans="1:15" ht="16.5" customHeight="1" x14ac:dyDescent="0.15">
      <c r="A10" s="21" t="s">
        <v>8</v>
      </c>
      <c r="B10" s="21" t="s">
        <v>68</v>
      </c>
      <c r="C10" s="25">
        <v>41662</v>
      </c>
      <c r="D10" s="23">
        <v>0.52991898148148142</v>
      </c>
      <c r="E10" s="22" t="s">
        <v>58</v>
      </c>
      <c r="F10" s="26">
        <f>VLOOKUP(E10,商品单价!$A$2:$B$7,2,0)</f>
        <v>326</v>
      </c>
      <c r="G10" s="21" t="s">
        <v>6</v>
      </c>
      <c r="H10" s="24">
        <v>1000</v>
      </c>
      <c r="I10" s="24">
        <v>1000</v>
      </c>
      <c r="J10" s="24">
        <f t="shared" si="0"/>
        <v>326000</v>
      </c>
      <c r="K10" s="21" t="s">
        <v>61</v>
      </c>
    </row>
    <row r="11" spans="1:15" ht="16.5" customHeight="1" x14ac:dyDescent="0.15">
      <c r="A11" s="21" t="s">
        <v>42</v>
      </c>
      <c r="B11" s="21" t="s">
        <v>44</v>
      </c>
      <c r="C11" s="25">
        <v>41664</v>
      </c>
      <c r="D11" s="23">
        <v>0.72605324074074085</v>
      </c>
      <c r="E11" s="22" t="s">
        <v>30</v>
      </c>
      <c r="F11" s="26">
        <f>VLOOKUP(E11,商品单价!$A$2:$B$7,2,0)</f>
        <v>169.5</v>
      </c>
      <c r="G11" s="21" t="s">
        <v>7</v>
      </c>
      <c r="H11" s="24">
        <v>350</v>
      </c>
      <c r="I11" s="24">
        <v>350</v>
      </c>
      <c r="J11" s="24">
        <f t="shared" si="0"/>
        <v>59325</v>
      </c>
      <c r="K11" s="21" t="s">
        <v>62</v>
      </c>
    </row>
    <row r="12" spans="1:15" ht="16.5" customHeight="1" x14ac:dyDescent="0.15">
      <c r="A12" s="21" t="s">
        <v>47</v>
      </c>
      <c r="B12" s="21" t="s">
        <v>51</v>
      </c>
      <c r="C12" s="25">
        <v>41672</v>
      </c>
      <c r="D12" s="23">
        <v>0.47447916666666662</v>
      </c>
      <c r="E12" s="22" t="s">
        <v>31</v>
      </c>
      <c r="F12" s="26">
        <f>VLOOKUP(E12,商品单价!$A$2:$B$7,2,0)</f>
        <v>326</v>
      </c>
      <c r="G12" s="21" t="s">
        <v>7</v>
      </c>
      <c r="H12" s="24">
        <v>400</v>
      </c>
      <c r="I12" s="24">
        <v>400</v>
      </c>
      <c r="J12" s="24">
        <f t="shared" si="0"/>
        <v>130400</v>
      </c>
      <c r="K12" s="21" t="s">
        <v>62</v>
      </c>
      <c r="N12" s="2"/>
      <c r="O12" s="2"/>
    </row>
    <row r="13" spans="1:15" ht="16.5" customHeight="1" x14ac:dyDescent="0.15">
      <c r="A13" s="21" t="s">
        <v>46</v>
      </c>
      <c r="B13" s="21" t="s">
        <v>43</v>
      </c>
      <c r="C13" s="25">
        <v>41674</v>
      </c>
      <c r="D13" s="23">
        <v>0.38209490740740742</v>
      </c>
      <c r="E13" s="22" t="s">
        <v>30</v>
      </c>
      <c r="F13" s="26">
        <f>VLOOKUP(E13,商品单价!$A$2:$B$7,2,0)</f>
        <v>169.5</v>
      </c>
      <c r="G13" s="21" t="s">
        <v>6</v>
      </c>
      <c r="H13" s="24">
        <v>1000</v>
      </c>
      <c r="I13" s="24">
        <v>1000</v>
      </c>
      <c r="J13" s="24">
        <f t="shared" si="0"/>
        <v>169500</v>
      </c>
      <c r="K13" s="21" t="s">
        <v>61</v>
      </c>
    </row>
    <row r="14" spans="1:15" ht="16.5" customHeight="1" x14ac:dyDescent="0.15">
      <c r="A14" s="21" t="s">
        <v>45</v>
      </c>
      <c r="B14" s="21" t="s">
        <v>50</v>
      </c>
      <c r="C14" s="25">
        <v>41674</v>
      </c>
      <c r="D14" s="23">
        <v>0.39063657407407404</v>
      </c>
      <c r="E14" s="22" t="s">
        <v>32</v>
      </c>
      <c r="F14" s="26">
        <f>VLOOKUP(E14,商品单价!$A$2:$B$7,2,0)</f>
        <v>18</v>
      </c>
      <c r="G14" s="21" t="s">
        <v>7</v>
      </c>
      <c r="H14" s="24">
        <f>0</f>
        <v>0</v>
      </c>
      <c r="I14" s="24">
        <f>0</f>
        <v>0</v>
      </c>
      <c r="J14" s="24">
        <f t="shared" si="0"/>
        <v>0</v>
      </c>
      <c r="K14" s="21" t="s">
        <v>62</v>
      </c>
    </row>
    <row r="15" spans="1:15" ht="16.5" customHeight="1" x14ac:dyDescent="0.15">
      <c r="A15" s="21" t="s">
        <v>48</v>
      </c>
      <c r="B15" s="21" t="s">
        <v>68</v>
      </c>
      <c r="C15" s="25">
        <v>41679</v>
      </c>
      <c r="D15" s="23">
        <v>0.44969907407407406</v>
      </c>
      <c r="E15" s="22" t="s">
        <v>5</v>
      </c>
      <c r="F15" s="26">
        <f>VLOOKUP(E15,商品单价!$A$2:$B$7,2,0)</f>
        <v>78.5</v>
      </c>
      <c r="G15" s="21" t="s">
        <v>6</v>
      </c>
      <c r="H15" s="24">
        <v>2000</v>
      </c>
      <c r="I15" s="24">
        <v>2000</v>
      </c>
      <c r="J15" s="24">
        <f t="shared" si="0"/>
        <v>157000</v>
      </c>
      <c r="K15" s="21" t="s">
        <v>62</v>
      </c>
    </row>
    <row r="16" spans="1:15" ht="16.5" customHeight="1" x14ac:dyDescent="0.15">
      <c r="A16" s="21" t="s">
        <v>27</v>
      </c>
      <c r="B16" s="21" t="s">
        <v>2</v>
      </c>
      <c r="C16" s="25">
        <v>41684</v>
      </c>
      <c r="D16" s="23">
        <v>0.54193287037037041</v>
      </c>
      <c r="E16" s="22" t="s">
        <v>4</v>
      </c>
      <c r="F16" s="26">
        <f>VLOOKUP(E16,商品单价!$A$2:$B$7,2,0)</f>
        <v>18</v>
      </c>
      <c r="G16" s="21" t="s">
        <v>6</v>
      </c>
      <c r="H16" s="24">
        <v>1000</v>
      </c>
      <c r="I16" s="24">
        <v>1000</v>
      </c>
      <c r="J16" s="24">
        <f t="shared" si="0"/>
        <v>18000</v>
      </c>
      <c r="K16" s="21" t="s">
        <v>60</v>
      </c>
    </row>
    <row r="17" spans="1:11" ht="16.5" customHeight="1" x14ac:dyDescent="0.15">
      <c r="A17" s="21" t="s">
        <v>9</v>
      </c>
      <c r="B17" s="21" t="s">
        <v>3</v>
      </c>
      <c r="C17" s="25">
        <v>41685</v>
      </c>
      <c r="D17" s="23">
        <v>0.64837962962962969</v>
      </c>
      <c r="E17" s="22" t="s">
        <v>5</v>
      </c>
      <c r="F17" s="26">
        <f>VLOOKUP(E17,商品单价!$A$2:$B$7,2,0)</f>
        <v>78.5</v>
      </c>
      <c r="G17" s="21" t="s">
        <v>7</v>
      </c>
      <c r="H17" s="24">
        <v>500</v>
      </c>
      <c r="I17" s="24">
        <v>500</v>
      </c>
      <c r="J17" s="24">
        <f t="shared" si="0"/>
        <v>39250</v>
      </c>
      <c r="K17" s="21" t="s">
        <v>60</v>
      </c>
    </row>
    <row r="18" spans="1:11" ht="16.5" customHeight="1" x14ac:dyDescent="0.15">
      <c r="A18" s="21" t="s">
        <v>21</v>
      </c>
      <c r="B18" s="21" t="s">
        <v>3</v>
      </c>
      <c r="C18" s="25">
        <v>41686</v>
      </c>
      <c r="D18" s="23">
        <v>0.70638888888888884</v>
      </c>
      <c r="E18" s="22" t="s">
        <v>57</v>
      </c>
      <c r="F18" s="26">
        <f>VLOOKUP(E18,商品单价!$A$2:$B$7,2,0)</f>
        <v>169.5</v>
      </c>
      <c r="G18" s="21" t="s">
        <v>6</v>
      </c>
      <c r="H18" s="24">
        <v>1000</v>
      </c>
      <c r="I18" s="24">
        <v>1000</v>
      </c>
      <c r="J18" s="24">
        <f t="shared" si="0"/>
        <v>169500</v>
      </c>
      <c r="K18" s="21" t="s">
        <v>60</v>
      </c>
    </row>
    <row r="19" spans="1:11" ht="16.5" customHeight="1" x14ac:dyDescent="0.15">
      <c r="A19" s="21" t="s">
        <v>12</v>
      </c>
      <c r="B19" s="21" t="s">
        <v>3</v>
      </c>
      <c r="C19" s="25">
        <v>41690</v>
      </c>
      <c r="D19" s="23">
        <v>0.72469907407407408</v>
      </c>
      <c r="E19" s="22" t="s">
        <v>31</v>
      </c>
      <c r="F19" s="26">
        <f>VLOOKUP(E19,商品单价!$A$2:$B$7,2,0)</f>
        <v>326</v>
      </c>
      <c r="G19" s="21" t="s">
        <v>6</v>
      </c>
      <c r="H19" s="24">
        <v>2000</v>
      </c>
      <c r="I19" s="24">
        <v>2000</v>
      </c>
      <c r="J19" s="24">
        <f t="shared" si="0"/>
        <v>652000</v>
      </c>
      <c r="K19" s="21" t="s">
        <v>62</v>
      </c>
    </row>
    <row r="20" spans="1:11" ht="16.5" customHeight="1" x14ac:dyDescent="0.15">
      <c r="A20" s="21" t="s">
        <v>23</v>
      </c>
      <c r="B20" s="21" t="s">
        <v>68</v>
      </c>
      <c r="C20" s="25">
        <v>41691</v>
      </c>
      <c r="D20" s="23">
        <v>0.89174768518518521</v>
      </c>
      <c r="E20" s="22" t="s">
        <v>31</v>
      </c>
      <c r="F20" s="26">
        <f>VLOOKUP(E20,商品单价!$A$2:$B$7,2,0)</f>
        <v>326</v>
      </c>
      <c r="G20" s="21" t="s">
        <v>7</v>
      </c>
      <c r="H20" s="24">
        <v>10</v>
      </c>
      <c r="I20" s="24">
        <f>0</f>
        <v>0</v>
      </c>
      <c r="J20" s="24">
        <f t="shared" si="0"/>
        <v>0</v>
      </c>
      <c r="K20" s="21" t="s">
        <v>61</v>
      </c>
    </row>
    <row r="21" spans="1:11" ht="16.5" customHeight="1" x14ac:dyDescent="0.15">
      <c r="A21" s="21" t="s">
        <v>24</v>
      </c>
      <c r="B21" s="21" t="s">
        <v>68</v>
      </c>
      <c r="C21" s="25">
        <v>41692</v>
      </c>
      <c r="D21" s="23">
        <v>0.55803240740740734</v>
      </c>
      <c r="E21" s="22" t="s">
        <v>5</v>
      </c>
      <c r="F21" s="26">
        <f>VLOOKUP(E21,商品单价!$A$2:$B$7,2,0)</f>
        <v>78.5</v>
      </c>
      <c r="G21" s="21" t="s">
        <v>7</v>
      </c>
      <c r="H21" s="24">
        <v>220</v>
      </c>
      <c r="I21" s="24">
        <v>218</v>
      </c>
      <c r="J21" s="24">
        <f t="shared" si="0"/>
        <v>17113</v>
      </c>
      <c r="K21" s="21" t="s">
        <v>60</v>
      </c>
    </row>
    <row r="22" spans="1:11" ht="16.5" customHeight="1" x14ac:dyDescent="0.15">
      <c r="A22" s="21" t="s">
        <v>20</v>
      </c>
      <c r="B22" s="21" t="s">
        <v>3</v>
      </c>
      <c r="C22" s="25">
        <v>41695</v>
      </c>
      <c r="D22" s="23">
        <v>0.51623842592592595</v>
      </c>
      <c r="E22" s="22" t="s">
        <v>33</v>
      </c>
      <c r="F22" s="26">
        <f>VLOOKUP(E22,商品单价!$A$2:$B$7,2,0)</f>
        <v>298</v>
      </c>
      <c r="G22" s="21" t="s">
        <v>7</v>
      </c>
      <c r="H22" s="24">
        <v>123</v>
      </c>
      <c r="I22" s="24">
        <v>123</v>
      </c>
      <c r="J22" s="24">
        <f t="shared" si="0"/>
        <v>36654</v>
      </c>
      <c r="K22" s="21" t="s">
        <v>61</v>
      </c>
    </row>
    <row r="23" spans="1:11" ht="16.5" customHeight="1" x14ac:dyDescent="0.15">
      <c r="A23" s="21" t="s">
        <v>15</v>
      </c>
      <c r="B23" s="21" t="s">
        <v>2</v>
      </c>
      <c r="C23" s="25">
        <v>41697</v>
      </c>
      <c r="D23" s="23">
        <v>0.50902777777777775</v>
      </c>
      <c r="E23" s="22" t="s">
        <v>33</v>
      </c>
      <c r="F23" s="26">
        <f>VLOOKUP(E23,商品单价!$A$2:$B$7,2,0)</f>
        <v>298</v>
      </c>
      <c r="G23" s="21" t="s">
        <v>6</v>
      </c>
      <c r="H23" s="24">
        <v>1500</v>
      </c>
      <c r="I23" s="24">
        <v>1500</v>
      </c>
      <c r="J23" s="24">
        <f t="shared" si="0"/>
        <v>447000</v>
      </c>
      <c r="K23" s="21" t="s">
        <v>61</v>
      </c>
    </row>
    <row r="24" spans="1:11" ht="16.5" customHeight="1" x14ac:dyDescent="0.15">
      <c r="A24" s="21" t="s">
        <v>10</v>
      </c>
      <c r="B24" s="21" t="s">
        <v>2</v>
      </c>
      <c r="C24" s="25">
        <v>41699</v>
      </c>
      <c r="D24" s="23">
        <v>0.47443287037037035</v>
      </c>
      <c r="E24" s="22" t="s">
        <v>4</v>
      </c>
      <c r="F24" s="26">
        <f>VLOOKUP(E24,商品单价!$A$2:$B$7,2,0)</f>
        <v>18</v>
      </c>
      <c r="G24" s="21" t="s">
        <v>7</v>
      </c>
      <c r="H24" s="24">
        <v>8</v>
      </c>
      <c r="I24" s="24">
        <v>8</v>
      </c>
      <c r="J24" s="24">
        <f t="shared" si="0"/>
        <v>144</v>
      </c>
      <c r="K24" s="21" t="s">
        <v>60</v>
      </c>
    </row>
    <row r="25" spans="1:11" ht="16.5" customHeight="1" x14ac:dyDescent="0.15">
      <c r="A25" s="21" t="s">
        <v>14</v>
      </c>
      <c r="B25" s="21" t="s">
        <v>2</v>
      </c>
      <c r="C25" s="25">
        <v>41700</v>
      </c>
      <c r="D25" s="23">
        <v>0.64754629629629623</v>
      </c>
      <c r="E25" s="22" t="s">
        <v>30</v>
      </c>
      <c r="F25" s="26">
        <f>VLOOKUP(E25,商品单价!$A$2:$B$7,2,0)</f>
        <v>169.5</v>
      </c>
      <c r="G25" s="21" t="s">
        <v>7</v>
      </c>
      <c r="H25" s="24">
        <v>2</v>
      </c>
      <c r="I25" s="24">
        <v>2</v>
      </c>
      <c r="J25" s="24">
        <f t="shared" si="0"/>
        <v>339</v>
      </c>
      <c r="K25" s="21" t="s">
        <v>60</v>
      </c>
    </row>
    <row r="26" spans="1:11" ht="16.5" customHeight="1" x14ac:dyDescent="0.15">
      <c r="A26" s="21" t="s">
        <v>54</v>
      </c>
      <c r="B26" s="21" t="s">
        <v>69</v>
      </c>
      <c r="C26" s="25">
        <v>41706</v>
      </c>
      <c r="D26" s="23">
        <v>0.47728009259259263</v>
      </c>
      <c r="E26" s="22" t="s">
        <v>57</v>
      </c>
      <c r="F26" s="26">
        <f>VLOOKUP(E26,商品单价!$A$2:$B$7,2,0)</f>
        <v>169.5</v>
      </c>
      <c r="G26" s="21" t="s">
        <v>7</v>
      </c>
      <c r="H26" s="24">
        <v>400</v>
      </c>
      <c r="I26" s="24">
        <v>400</v>
      </c>
      <c r="J26" s="24">
        <f t="shared" si="0"/>
        <v>67800</v>
      </c>
      <c r="K26" s="21" t="s">
        <v>61</v>
      </c>
    </row>
    <row r="27" spans="1:11" ht="16.5" customHeight="1" x14ac:dyDescent="0.15">
      <c r="A27" s="21" t="s">
        <v>49</v>
      </c>
      <c r="B27" s="21" t="s">
        <v>68</v>
      </c>
      <c r="C27" s="25">
        <v>41709</v>
      </c>
      <c r="D27" s="23">
        <v>0.53568287037037032</v>
      </c>
      <c r="E27" s="22" t="s">
        <v>32</v>
      </c>
      <c r="F27" s="26">
        <f>VLOOKUP(E27,商品单价!$A$2:$B$7,2,0)</f>
        <v>18</v>
      </c>
      <c r="G27" s="21" t="s">
        <v>7</v>
      </c>
      <c r="H27" s="24">
        <v>800</v>
      </c>
      <c r="I27" s="24">
        <f>0</f>
        <v>0</v>
      </c>
      <c r="J27" s="24">
        <f t="shared" si="0"/>
        <v>0</v>
      </c>
      <c r="K27" s="21" t="s">
        <v>62</v>
      </c>
    </row>
    <row r="28" spans="1:11" ht="16.5" customHeight="1" x14ac:dyDescent="0.15">
      <c r="A28" s="21" t="s">
        <v>17</v>
      </c>
      <c r="B28" s="21" t="s">
        <v>2</v>
      </c>
      <c r="C28" s="25">
        <v>41712</v>
      </c>
      <c r="D28" s="23">
        <v>0.36636574074074074</v>
      </c>
      <c r="E28" s="22" t="s">
        <v>31</v>
      </c>
      <c r="F28" s="26">
        <f>VLOOKUP(E28,商品单价!$A$2:$B$7,2,0)</f>
        <v>326</v>
      </c>
      <c r="G28" s="21" t="s">
        <v>6</v>
      </c>
      <c r="H28" s="24">
        <v>2000</v>
      </c>
      <c r="I28" s="24">
        <v>2000</v>
      </c>
      <c r="J28" s="24">
        <f t="shared" si="0"/>
        <v>652000</v>
      </c>
      <c r="K28" s="21" t="s">
        <v>62</v>
      </c>
    </row>
    <row r="29" spans="1:11" ht="16.5" customHeight="1" x14ac:dyDescent="0.15">
      <c r="A29" s="21" t="s">
        <v>55</v>
      </c>
      <c r="B29" s="21" t="s">
        <v>68</v>
      </c>
      <c r="C29" s="25">
        <v>41715</v>
      </c>
      <c r="D29" s="23">
        <v>0.56146990740740743</v>
      </c>
      <c r="E29" s="22" t="s">
        <v>58</v>
      </c>
      <c r="F29" s="26">
        <f>VLOOKUP(E29,商品单价!$A$2:$B$7,2,0)</f>
        <v>326</v>
      </c>
      <c r="G29" s="21" t="s">
        <v>7</v>
      </c>
      <c r="H29" s="24">
        <v>900</v>
      </c>
      <c r="I29" s="24">
        <f>0</f>
        <v>0</v>
      </c>
      <c r="J29" s="24">
        <f t="shared" si="0"/>
        <v>0</v>
      </c>
      <c r="K29" s="21" t="s">
        <v>60</v>
      </c>
    </row>
    <row r="30" spans="1:11" ht="16.5" customHeight="1" x14ac:dyDescent="0.15">
      <c r="A30" s="21" t="s">
        <v>56</v>
      </c>
      <c r="B30" s="21" t="s">
        <v>43</v>
      </c>
      <c r="C30" s="25">
        <v>41717</v>
      </c>
      <c r="D30" s="23">
        <v>0.69108796296296304</v>
      </c>
      <c r="E30" s="22" t="s">
        <v>52</v>
      </c>
      <c r="F30" s="26">
        <f>VLOOKUP(E30,商品单价!$A$2:$B$7,2,0)</f>
        <v>298</v>
      </c>
      <c r="G30" s="21" t="s">
        <v>7</v>
      </c>
      <c r="H30" s="24">
        <f>0</f>
        <v>0</v>
      </c>
      <c r="I30" s="24">
        <f>0</f>
        <v>0</v>
      </c>
      <c r="J30" s="24">
        <f t="shared" si="0"/>
        <v>0</v>
      </c>
      <c r="K30" s="21" t="s">
        <v>61</v>
      </c>
    </row>
    <row r="31" spans="1:11" ht="16.5" customHeight="1" x14ac:dyDescent="0.15">
      <c r="A31" s="21" t="s">
        <v>53</v>
      </c>
      <c r="B31" s="21" t="s">
        <v>69</v>
      </c>
      <c r="C31" s="25">
        <v>41721</v>
      </c>
      <c r="D31" s="23">
        <v>0.74688657407407411</v>
      </c>
      <c r="E31" s="22" t="s">
        <v>5</v>
      </c>
      <c r="F31" s="26">
        <f>VLOOKUP(E31,商品单价!$A$2:$B$7,2,0)</f>
        <v>78.5</v>
      </c>
      <c r="G31" s="21" t="s">
        <v>6</v>
      </c>
      <c r="H31" s="24">
        <v>1200</v>
      </c>
      <c r="I31" s="24">
        <v>1200</v>
      </c>
      <c r="J31" s="24">
        <f t="shared" si="0"/>
        <v>94200</v>
      </c>
      <c r="K31" s="21" t="s">
        <v>60</v>
      </c>
    </row>
    <row r="32" spans="1:11" ht="16.5" customHeight="1" x14ac:dyDescent="0.15">
      <c r="A32" s="21" t="s">
        <v>11</v>
      </c>
      <c r="B32" s="21" t="s">
        <v>3</v>
      </c>
      <c r="C32" s="25">
        <v>41722</v>
      </c>
      <c r="D32" s="23">
        <v>0.44655092592592593</v>
      </c>
      <c r="E32" s="22" t="s">
        <v>5</v>
      </c>
      <c r="F32" s="26">
        <f>VLOOKUP(E32,商品单价!$A$2:$B$7,2,0)</f>
        <v>78.5</v>
      </c>
      <c r="G32" s="21" t="s">
        <v>7</v>
      </c>
      <c r="H32" s="24">
        <v>600</v>
      </c>
      <c r="I32" s="24">
        <v>600</v>
      </c>
      <c r="J32" s="24">
        <f t="shared" si="0"/>
        <v>47100</v>
      </c>
      <c r="K32" s="21" t="s">
        <v>61</v>
      </c>
    </row>
    <row r="33" spans="1:11" ht="16.5" customHeight="1" x14ac:dyDescent="0.15">
      <c r="A33" s="21" t="s">
        <v>18</v>
      </c>
      <c r="B33" s="21" t="s">
        <v>2</v>
      </c>
      <c r="C33" s="25">
        <v>41726</v>
      </c>
      <c r="D33" s="23">
        <v>0.47508101851851853</v>
      </c>
      <c r="E33" s="22" t="s">
        <v>32</v>
      </c>
      <c r="F33" s="26">
        <f>VLOOKUP(E33,商品单价!$A$2:$B$7,2,0)</f>
        <v>18</v>
      </c>
      <c r="G33" s="21" t="s">
        <v>7</v>
      </c>
      <c r="H33" s="24">
        <v>5</v>
      </c>
      <c r="I33" s="24">
        <f>0</f>
        <v>0</v>
      </c>
      <c r="J33" s="24">
        <f t="shared" si="0"/>
        <v>0</v>
      </c>
      <c r="K33" s="21" t="s">
        <v>60</v>
      </c>
    </row>
  </sheetData>
  <sortState ref="A3:J33">
    <sortCondition ref="C3:C33"/>
    <sortCondition ref="D3:D33"/>
  </sortState>
  <mergeCells count="1">
    <mergeCell ref="A1:K1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89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4" sqref="A4"/>
    </sheetView>
  </sheetViews>
  <sheetFormatPr defaultRowHeight="14.25" x14ac:dyDescent="0.15"/>
  <cols>
    <col min="1" max="1" width="15.375" customWidth="1"/>
    <col min="2" max="2" width="10.75" customWidth="1"/>
  </cols>
  <sheetData>
    <row r="1" spans="1:2" ht="24" customHeight="1" thickBot="1" x14ac:dyDescent="0.2">
      <c r="A1" s="46" t="s">
        <v>35</v>
      </c>
      <c r="B1" s="46"/>
    </row>
    <row r="2" spans="1:2" ht="15.75" thickTop="1" x14ac:dyDescent="0.15">
      <c r="A2" s="5" t="s">
        <v>36</v>
      </c>
      <c r="B2" s="6" t="s">
        <v>37</v>
      </c>
    </row>
    <row r="3" spans="1:2" ht="16.5" x14ac:dyDescent="0.15">
      <c r="A3" s="7" t="s">
        <v>5</v>
      </c>
      <c r="B3" s="8">
        <v>78.5</v>
      </c>
    </row>
    <row r="4" spans="1:2" ht="16.5" x14ac:dyDescent="0.15">
      <c r="A4" s="9" t="s">
        <v>58</v>
      </c>
      <c r="B4" s="10">
        <v>326</v>
      </c>
    </row>
    <row r="5" spans="1:2" ht="16.5" x14ac:dyDescent="0.15">
      <c r="A5" s="7" t="s">
        <v>4</v>
      </c>
      <c r="B5" s="8">
        <v>18</v>
      </c>
    </row>
    <row r="6" spans="1:2" ht="16.5" x14ac:dyDescent="0.15">
      <c r="A6" s="9" t="s">
        <v>57</v>
      </c>
      <c r="B6" s="10">
        <v>169.5</v>
      </c>
    </row>
    <row r="7" spans="1:2" ht="16.5" x14ac:dyDescent="0.15">
      <c r="A7" s="11" t="s">
        <v>52</v>
      </c>
      <c r="B7" s="12">
        <v>298</v>
      </c>
    </row>
  </sheetData>
  <mergeCells count="1">
    <mergeCell ref="A1:B1"/>
  </mergeCells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topLeftCell="E1" workbookViewId="0">
      <selection activeCell="E11" sqref="E11"/>
    </sheetView>
  </sheetViews>
  <sheetFormatPr defaultRowHeight="14.25" x14ac:dyDescent="0.15"/>
  <cols>
    <col min="1" max="1" width="12.625" customWidth="1"/>
    <col min="2" max="5" width="18.25" customWidth="1"/>
    <col min="6" max="6" width="3.125" customWidth="1"/>
  </cols>
  <sheetData>
    <row r="1" spans="1:5" ht="24.75" customHeight="1" x14ac:dyDescent="0.15">
      <c r="A1" s="47" t="s">
        <v>65</v>
      </c>
      <c r="B1" s="47"/>
      <c r="C1" s="47"/>
      <c r="D1" s="47"/>
      <c r="E1" s="47"/>
    </row>
    <row r="2" spans="1:5" ht="27" customHeight="1" x14ac:dyDescent="0.15">
      <c r="A2" s="13" t="s">
        <v>59</v>
      </c>
      <c r="B2" s="20">
        <v>1</v>
      </c>
      <c r="C2" s="20">
        <v>2</v>
      </c>
      <c r="D2" s="20">
        <v>3</v>
      </c>
      <c r="E2" s="14" t="s">
        <v>63</v>
      </c>
    </row>
    <row r="3" spans="1:5" ht="27" customHeight="1" x14ac:dyDescent="0.15">
      <c r="A3" s="15" t="s">
        <v>60</v>
      </c>
      <c r="B3" s="17">
        <f>SUMIFS(销售情况表!$J$3:$J$33,销售情况表!$K$3:$K$33,$A3,销售情况表!$C$3:$C$33,"&gt;=2014-1-1",销售情况表!$C$3:$C$33,"&lt;2014-2-1")</f>
        <v>388800</v>
      </c>
      <c r="C3" s="17">
        <f>SUMIFS(销售情况表!$J$3:$J$33,销售情况表!$K$3:$K$33,$A3,销售情况表!$C$3:$C$33,"&gt;=2014-2-1",销售情况表!$C$3:$C$33,"&lt;2014-3-1")</f>
        <v>243863</v>
      </c>
      <c r="D3" s="17">
        <f>SUMIFS(销售情况表!$J$3:$J$33,销售情况表!$K$3:$K$33,$A3,销售情况表!$C$3:$C$33,"&gt;=2014-3-1",销售情况表!$C$3:$C$33,"&lt;2014-4-1")</f>
        <v>94683</v>
      </c>
      <c r="E3" s="18">
        <f>SUM(B3:D3)</f>
        <v>727346</v>
      </c>
    </row>
    <row r="4" spans="1:5" ht="27" customHeight="1" x14ac:dyDescent="0.15">
      <c r="A4" s="15" t="s">
        <v>61</v>
      </c>
      <c r="B4" s="17">
        <f>SUMIFS(销售情况表!$J$3:$J$33,销售情况表!$K$3:$K$33,$A4,销售情况表!$C$3:$C$33,"&gt;=2014-1-1",销售情况表!$C$3:$C$33,"&lt;2014-2-1")</f>
        <v>416950</v>
      </c>
      <c r="C4" s="17">
        <f>SUMIFS(销售情况表!$J$3:$J$33,销售情况表!$K$3:$K$33,$A4,销售情况表!$C$3:$C$33,"&gt;=2014-2-1",销售情况表!$C$3:$C$33,"&lt;2014-3-1")</f>
        <v>653154</v>
      </c>
      <c r="D4" s="17">
        <f>SUMIFS(销售情况表!$J$3:$J$33,销售情况表!$K$3:$K$33,$A4,销售情况表!$C$3:$C$33,"&gt;=2014-3-1",销售情况表!$C$3:$C$33,"&lt;2014-4-1")</f>
        <v>114900</v>
      </c>
      <c r="E4" s="18">
        <f>SUM(B4:D4)</f>
        <v>1185004</v>
      </c>
    </row>
    <row r="5" spans="1:5" ht="27" customHeight="1" x14ac:dyDescent="0.15">
      <c r="A5" s="15" t="s">
        <v>62</v>
      </c>
      <c r="B5" s="17">
        <f>SUMIFS(销售情况表!$J$3:$J$33,销售情况表!$K$3:$K$33,$A5,销售情况表!$C$3:$C$33,"&gt;=2014-1-1",销售情况表!$C$3:$C$33,"&lt;2014-2-1")</f>
        <v>506325</v>
      </c>
      <c r="C5" s="17">
        <f>SUMIFS(销售情况表!$J$3:$J$33,销售情况表!$K$3:$K$33,$A5,销售情况表!$C$3:$C$33,"&gt;=2014-2-1",销售情况表!$C$3:$C$33,"&lt;2014-3-1")</f>
        <v>939400</v>
      </c>
      <c r="D5" s="17">
        <f>SUMIFS(销售情况表!$J$3:$J$33,销售情况表!$K$3:$K$33,$A5,销售情况表!$C$3:$C$33,"&gt;=2014-3-1",销售情况表!$C$3:$C$33,"&lt;2014-4-1")</f>
        <v>652000</v>
      </c>
      <c r="E5" s="18">
        <f>SUM(B5:D5)</f>
        <v>2097725</v>
      </c>
    </row>
    <row r="6" spans="1:5" ht="27" customHeight="1" x14ac:dyDescent="0.15">
      <c r="A6" s="16" t="s">
        <v>64</v>
      </c>
      <c r="B6" s="19">
        <f>SUM(B3:B5)</f>
        <v>1312075</v>
      </c>
      <c r="C6" s="19">
        <f>SUM(C3:C5)</f>
        <v>1836417</v>
      </c>
      <c r="D6" s="19">
        <f>SUM(D3:D5)</f>
        <v>861583</v>
      </c>
      <c r="E6" s="19">
        <f>SUM(E3:E5)</f>
        <v>4010075</v>
      </c>
    </row>
    <row r="7" spans="1:5" x14ac:dyDescent="0.15">
      <c r="A7" s="4"/>
      <c r="B7" s="4"/>
      <c r="C7" s="4"/>
      <c r="D7" s="4"/>
      <c r="E7" s="4"/>
    </row>
    <row r="8" spans="1:5" x14ac:dyDescent="0.15">
      <c r="A8" s="4"/>
      <c r="B8" s="4"/>
      <c r="C8" s="4"/>
      <c r="D8" s="4"/>
      <c r="E8" s="4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商品销售透视表</vt:lpstr>
      <vt:lpstr>销售情况表</vt:lpstr>
      <vt:lpstr>商品单价</vt:lpstr>
      <vt:lpstr>月统计表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</cp:lastModifiedBy>
  <dcterms:created xsi:type="dcterms:W3CDTF">2014-05-17T03:36:56Z</dcterms:created>
  <dcterms:modified xsi:type="dcterms:W3CDTF">2021-04-13T01:42:00Z</dcterms:modified>
</cp:coreProperties>
</file>