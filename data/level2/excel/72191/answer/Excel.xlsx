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高校题库制作系统-副本\StartFile\ExtractFile\"/>
    </mc:Choice>
  </mc:AlternateContent>
  <bookViews>
    <workbookView xWindow="240" yWindow="765" windowWidth="13860" windowHeight="3825" activeTab="2"/>
  </bookViews>
  <sheets>
    <sheet name="2015年8月" sheetId="1" r:id="rId1"/>
    <sheet name="分类汇总" sheetId="6" r:id="rId2"/>
    <sheet name="收入分布" sheetId="7" r:id="rId3"/>
    <sheet name="部门信息" sheetId="4" r:id="rId4"/>
    <sheet name="工资薪金所得税率" sheetId="5" r:id="rId5"/>
  </sheets>
  <definedNames>
    <definedName name="_xlnm._FilterDatabase" localSheetId="0" hidden="1">'2015年8月'!$A$2:$M$351</definedName>
    <definedName name="_xlnm._FilterDatabase" localSheetId="1" hidden="1">分类汇总!$A$2:$M$355</definedName>
    <definedName name="_xlnm.Print_Area" localSheetId="2">收入分布!$A$1:$G$25</definedName>
  </definedNames>
  <calcPr calcId="162913"/>
</workbook>
</file>

<file path=xl/calcChain.xml><?xml version="1.0" encoding="utf-8"?>
<calcChain xmlns="http://schemas.openxmlformats.org/spreadsheetml/2006/main">
  <c r="C3" i="7" l="1"/>
  <c r="C4" i="7"/>
  <c r="C5" i="7"/>
  <c r="C2" i="7"/>
  <c r="B5" i="7"/>
  <c r="B4" i="7"/>
  <c r="B3" i="7"/>
  <c r="B2" i="7"/>
  <c r="M357" i="6"/>
  <c r="M356" i="6"/>
  <c r="M317" i="6"/>
  <c r="M235" i="6"/>
  <c r="M82" i="6"/>
  <c r="M37" i="6"/>
  <c r="I234" i="6"/>
  <c r="D234" i="6"/>
  <c r="I36" i="6"/>
  <c r="D36" i="6"/>
  <c r="I316" i="6"/>
  <c r="D316" i="6"/>
  <c r="K233" i="6"/>
  <c r="L233" i="6" s="1"/>
  <c r="I233" i="6"/>
  <c r="D233" i="6"/>
  <c r="K355" i="6"/>
  <c r="L355" i="6" s="1"/>
  <c r="M355" i="6" s="1"/>
  <c r="I355" i="6"/>
  <c r="D355" i="6"/>
  <c r="I35" i="6"/>
  <c r="D35" i="6"/>
  <c r="I232" i="6"/>
  <c r="D232" i="6"/>
  <c r="K315" i="6"/>
  <c r="L315" i="6" s="1"/>
  <c r="I315" i="6"/>
  <c r="D315" i="6"/>
  <c r="K231" i="6"/>
  <c r="L231" i="6" s="1"/>
  <c r="M231" i="6" s="1"/>
  <c r="I231" i="6"/>
  <c r="D231" i="6"/>
  <c r="I354" i="6"/>
  <c r="D354" i="6"/>
  <c r="I230" i="6"/>
  <c r="D230" i="6"/>
  <c r="K34" i="6"/>
  <c r="L34" i="6" s="1"/>
  <c r="I34" i="6"/>
  <c r="D34" i="6"/>
  <c r="K229" i="6"/>
  <c r="L229" i="6" s="1"/>
  <c r="M229" i="6" s="1"/>
  <c r="I229" i="6"/>
  <c r="D229" i="6"/>
  <c r="I314" i="6"/>
  <c r="D314" i="6"/>
  <c r="I313" i="6"/>
  <c r="D313" i="6"/>
  <c r="K228" i="6"/>
  <c r="L228" i="6" s="1"/>
  <c r="I228" i="6"/>
  <c r="D228" i="6"/>
  <c r="K227" i="6"/>
  <c r="L227" i="6" s="1"/>
  <c r="M227" i="6" s="1"/>
  <c r="I227" i="6"/>
  <c r="D227" i="6"/>
  <c r="I33" i="6"/>
  <c r="D33" i="6"/>
  <c r="I226" i="6"/>
  <c r="D226" i="6"/>
  <c r="K225" i="6"/>
  <c r="L225" i="6" s="1"/>
  <c r="I225" i="6"/>
  <c r="D225" i="6"/>
  <c r="K224" i="6"/>
  <c r="L224" i="6" s="1"/>
  <c r="M224" i="6" s="1"/>
  <c r="I224" i="6"/>
  <c r="D224" i="6"/>
  <c r="I223" i="6"/>
  <c r="D223" i="6"/>
  <c r="I222" i="6"/>
  <c r="D222" i="6"/>
  <c r="K221" i="6"/>
  <c r="L221" i="6" s="1"/>
  <c r="I221" i="6"/>
  <c r="D221" i="6"/>
  <c r="K353" i="6"/>
  <c r="L353" i="6" s="1"/>
  <c r="M353" i="6" s="1"/>
  <c r="I353" i="6"/>
  <c r="D353" i="6"/>
  <c r="I220" i="6"/>
  <c r="D220" i="6"/>
  <c r="I81" i="6"/>
  <c r="D81" i="6"/>
  <c r="K80" i="6"/>
  <c r="L80" i="6" s="1"/>
  <c r="I80" i="6"/>
  <c r="D80" i="6"/>
  <c r="K219" i="6"/>
  <c r="L219" i="6" s="1"/>
  <c r="M219" i="6" s="1"/>
  <c r="I219" i="6"/>
  <c r="D219" i="6"/>
  <c r="I218" i="6"/>
  <c r="D218" i="6"/>
  <c r="I312" i="6"/>
  <c r="D312" i="6"/>
  <c r="K32" i="6"/>
  <c r="L32" i="6" s="1"/>
  <c r="I32" i="6"/>
  <c r="D32" i="6"/>
  <c r="K31" i="6"/>
  <c r="L31" i="6" s="1"/>
  <c r="M31" i="6" s="1"/>
  <c r="I31" i="6"/>
  <c r="D31" i="6"/>
  <c r="I311" i="6"/>
  <c r="D311" i="6"/>
  <c r="I217" i="6"/>
  <c r="D217" i="6"/>
  <c r="K352" i="6"/>
  <c r="L352" i="6" s="1"/>
  <c r="I352" i="6"/>
  <c r="D352" i="6"/>
  <c r="K216" i="6"/>
  <c r="L216" i="6" s="1"/>
  <c r="M216" i="6" s="1"/>
  <c r="I216" i="6"/>
  <c r="D216" i="6"/>
  <c r="I215" i="6"/>
  <c r="D215" i="6"/>
  <c r="I214" i="6"/>
  <c r="D214" i="6"/>
  <c r="K310" i="6"/>
  <c r="L310" i="6" s="1"/>
  <c r="I310" i="6"/>
  <c r="D310" i="6"/>
  <c r="K351" i="6"/>
  <c r="L351" i="6" s="1"/>
  <c r="M351" i="6" s="1"/>
  <c r="I351" i="6"/>
  <c r="D351" i="6"/>
  <c r="I213" i="6"/>
  <c r="D213" i="6"/>
  <c r="I212" i="6"/>
  <c r="D212" i="6"/>
  <c r="K79" i="6"/>
  <c r="L79" i="6" s="1"/>
  <c r="I79" i="6"/>
  <c r="D79" i="6"/>
  <c r="K211" i="6"/>
  <c r="L211" i="6" s="1"/>
  <c r="M211" i="6" s="1"/>
  <c r="I211" i="6"/>
  <c r="D211" i="6"/>
  <c r="I30" i="6"/>
  <c r="D30" i="6"/>
  <c r="I210" i="6"/>
  <c r="D210" i="6"/>
  <c r="K209" i="6"/>
  <c r="L209" i="6" s="1"/>
  <c r="I209" i="6"/>
  <c r="D209" i="6"/>
  <c r="K208" i="6"/>
  <c r="L208" i="6" s="1"/>
  <c r="M208" i="6" s="1"/>
  <c r="I208" i="6"/>
  <c r="D208" i="6"/>
  <c r="I207" i="6"/>
  <c r="D207" i="6"/>
  <c r="I350" i="6"/>
  <c r="D350" i="6"/>
  <c r="K206" i="6"/>
  <c r="L206" i="6" s="1"/>
  <c r="I206" i="6"/>
  <c r="D206" i="6"/>
  <c r="K309" i="6"/>
  <c r="L309" i="6" s="1"/>
  <c r="M309" i="6" s="1"/>
  <c r="I309" i="6"/>
  <c r="D309" i="6"/>
  <c r="I205" i="6"/>
  <c r="D205" i="6"/>
  <c r="I349" i="6"/>
  <c r="D349" i="6"/>
  <c r="K78" i="6"/>
  <c r="L78" i="6" s="1"/>
  <c r="I78" i="6"/>
  <c r="D78" i="6"/>
  <c r="K77" i="6"/>
  <c r="L77" i="6" s="1"/>
  <c r="M77" i="6" s="1"/>
  <c r="I77" i="6"/>
  <c r="D77" i="6"/>
  <c r="I308" i="6"/>
  <c r="D308" i="6"/>
  <c r="I307" i="6"/>
  <c r="D307" i="6"/>
  <c r="K204" i="6"/>
  <c r="L204" i="6" s="1"/>
  <c r="I204" i="6"/>
  <c r="D204" i="6"/>
  <c r="K76" i="6"/>
  <c r="L76" i="6" s="1"/>
  <c r="I76" i="6"/>
  <c r="D76" i="6"/>
  <c r="I203" i="6"/>
  <c r="D203" i="6"/>
  <c r="I202" i="6"/>
  <c r="D202" i="6"/>
  <c r="K75" i="6"/>
  <c r="L75" i="6" s="1"/>
  <c r="I75" i="6"/>
  <c r="D75" i="6"/>
  <c r="K74" i="6"/>
  <c r="L74" i="6" s="1"/>
  <c r="I74" i="6"/>
  <c r="D74" i="6"/>
  <c r="I306" i="6"/>
  <c r="D306" i="6"/>
  <c r="I201" i="6"/>
  <c r="D201" i="6"/>
  <c r="K200" i="6"/>
  <c r="L200" i="6" s="1"/>
  <c r="I200" i="6"/>
  <c r="D200" i="6"/>
  <c r="K199" i="6"/>
  <c r="L199" i="6" s="1"/>
  <c r="I199" i="6"/>
  <c r="D199" i="6"/>
  <c r="I198" i="6"/>
  <c r="D198" i="6"/>
  <c r="I29" i="6"/>
  <c r="D29" i="6"/>
  <c r="K197" i="6"/>
  <c r="L197" i="6" s="1"/>
  <c r="I197" i="6"/>
  <c r="D197" i="6"/>
  <c r="K305" i="6"/>
  <c r="L305" i="6" s="1"/>
  <c r="I305" i="6"/>
  <c r="D305" i="6"/>
  <c r="I348" i="6"/>
  <c r="D348" i="6"/>
  <c r="I73" i="6"/>
  <c r="D73" i="6"/>
  <c r="K196" i="6"/>
  <c r="L196" i="6" s="1"/>
  <c r="I196" i="6"/>
  <c r="D196" i="6"/>
  <c r="K28" i="6"/>
  <c r="L28" i="6" s="1"/>
  <c r="I28" i="6"/>
  <c r="D28" i="6"/>
  <c r="I304" i="6"/>
  <c r="D304" i="6"/>
  <c r="I347" i="6"/>
  <c r="D347" i="6"/>
  <c r="K195" i="6"/>
  <c r="L195" i="6" s="1"/>
  <c r="I195" i="6"/>
  <c r="D195" i="6"/>
  <c r="K194" i="6"/>
  <c r="L194" i="6" s="1"/>
  <c r="I194" i="6"/>
  <c r="D194" i="6"/>
  <c r="I346" i="6"/>
  <c r="D346" i="6"/>
  <c r="I193" i="6"/>
  <c r="D193" i="6"/>
  <c r="K345" i="6"/>
  <c r="L345" i="6" s="1"/>
  <c r="I345" i="6"/>
  <c r="D345" i="6"/>
  <c r="K303" i="6"/>
  <c r="L303" i="6" s="1"/>
  <c r="I303" i="6"/>
  <c r="D303" i="6"/>
  <c r="L192" i="6"/>
  <c r="I192" i="6"/>
  <c r="K192" i="6" s="1"/>
  <c r="D192" i="6"/>
  <c r="I302" i="6"/>
  <c r="D302" i="6"/>
  <c r="K72" i="6"/>
  <c r="L72" i="6" s="1"/>
  <c r="I72" i="6"/>
  <c r="D72" i="6"/>
  <c r="K344" i="6"/>
  <c r="L344" i="6" s="1"/>
  <c r="I344" i="6"/>
  <c r="D344" i="6"/>
  <c r="I27" i="6"/>
  <c r="D27" i="6"/>
  <c r="I26" i="6"/>
  <c r="D26" i="6"/>
  <c r="K301" i="6"/>
  <c r="L301" i="6" s="1"/>
  <c r="I301" i="6"/>
  <c r="D301" i="6"/>
  <c r="K191" i="6"/>
  <c r="L191" i="6" s="1"/>
  <c r="I191" i="6"/>
  <c r="D191" i="6"/>
  <c r="I190" i="6"/>
  <c r="K190" i="6" s="1"/>
  <c r="L190" i="6" s="1"/>
  <c r="D190" i="6"/>
  <c r="I343" i="6"/>
  <c r="D343" i="6"/>
  <c r="K300" i="6"/>
  <c r="L300" i="6" s="1"/>
  <c r="I300" i="6"/>
  <c r="D300" i="6"/>
  <c r="I189" i="6"/>
  <c r="K189" i="6" s="1"/>
  <c r="L189" i="6" s="1"/>
  <c r="D189" i="6"/>
  <c r="L188" i="6"/>
  <c r="M188" i="6" s="1"/>
  <c r="I188" i="6"/>
  <c r="K188" i="6" s="1"/>
  <c r="D188" i="6"/>
  <c r="M299" i="6"/>
  <c r="I299" i="6"/>
  <c r="K299" i="6" s="1"/>
  <c r="L299" i="6" s="1"/>
  <c r="D299" i="6"/>
  <c r="I298" i="6"/>
  <c r="D298" i="6"/>
  <c r="K187" i="6"/>
  <c r="L187" i="6" s="1"/>
  <c r="I187" i="6"/>
  <c r="D187" i="6"/>
  <c r="I186" i="6"/>
  <c r="D186" i="6"/>
  <c r="I71" i="6"/>
  <c r="D71" i="6"/>
  <c r="K297" i="6"/>
  <c r="L297" i="6" s="1"/>
  <c r="I297" i="6"/>
  <c r="D297" i="6"/>
  <c r="I342" i="6"/>
  <c r="K342" i="6" s="1"/>
  <c r="L342" i="6" s="1"/>
  <c r="D342" i="6"/>
  <c r="I185" i="6"/>
  <c r="K185" i="6" s="1"/>
  <c r="L185" i="6" s="1"/>
  <c r="M185" i="6" s="1"/>
  <c r="D185" i="6"/>
  <c r="M184" i="6"/>
  <c r="I184" i="6"/>
  <c r="K184" i="6" s="1"/>
  <c r="L184" i="6" s="1"/>
  <c r="D184" i="6"/>
  <c r="I70" i="6"/>
  <c r="D70" i="6"/>
  <c r="I296" i="6"/>
  <c r="D296" i="6"/>
  <c r="K183" i="6"/>
  <c r="L183" i="6" s="1"/>
  <c r="M183" i="6" s="1"/>
  <c r="I183" i="6"/>
  <c r="D183" i="6"/>
  <c r="I25" i="6"/>
  <c r="K25" i="6" s="1"/>
  <c r="L25" i="6" s="1"/>
  <c r="M25" i="6" s="1"/>
  <c r="D25" i="6"/>
  <c r="K24" i="6"/>
  <c r="L24" i="6" s="1"/>
  <c r="M24" i="6" s="1"/>
  <c r="I24" i="6"/>
  <c r="D24" i="6"/>
  <c r="I182" i="6"/>
  <c r="K182" i="6" s="1"/>
  <c r="L182" i="6" s="1"/>
  <c r="D182" i="6"/>
  <c r="I181" i="6"/>
  <c r="D181" i="6"/>
  <c r="M295" i="6"/>
  <c r="I295" i="6"/>
  <c r="K295" i="6" s="1"/>
  <c r="L295" i="6" s="1"/>
  <c r="D295" i="6"/>
  <c r="I294" i="6"/>
  <c r="D294" i="6"/>
  <c r="K180" i="6"/>
  <c r="L180" i="6" s="1"/>
  <c r="M180" i="6" s="1"/>
  <c r="I180" i="6"/>
  <c r="D180" i="6"/>
  <c r="I179" i="6"/>
  <c r="D179" i="6"/>
  <c r="I293" i="6"/>
  <c r="K293" i="6" s="1"/>
  <c r="L293" i="6" s="1"/>
  <c r="M293" i="6" s="1"/>
  <c r="D293" i="6"/>
  <c r="I178" i="6"/>
  <c r="D178" i="6"/>
  <c r="K177" i="6"/>
  <c r="L177" i="6" s="1"/>
  <c r="M177" i="6" s="1"/>
  <c r="I177" i="6"/>
  <c r="D177" i="6"/>
  <c r="I176" i="6"/>
  <c r="D176" i="6"/>
  <c r="K292" i="6"/>
  <c r="L292" i="6" s="1"/>
  <c r="M292" i="6" s="1"/>
  <c r="I292" i="6"/>
  <c r="D292" i="6"/>
  <c r="I175" i="6"/>
  <c r="D175" i="6"/>
  <c r="I291" i="6"/>
  <c r="K291" i="6" s="1"/>
  <c r="L291" i="6" s="1"/>
  <c r="M291" i="6" s="1"/>
  <c r="D291" i="6"/>
  <c r="I174" i="6"/>
  <c r="D174" i="6"/>
  <c r="K290" i="6"/>
  <c r="L290" i="6" s="1"/>
  <c r="M290" i="6" s="1"/>
  <c r="I290" i="6"/>
  <c r="D290" i="6"/>
  <c r="I341" i="6"/>
  <c r="D341" i="6"/>
  <c r="I173" i="6"/>
  <c r="K173" i="6" s="1"/>
  <c r="L173" i="6" s="1"/>
  <c r="M173" i="6" s="1"/>
  <c r="D173" i="6"/>
  <c r="I172" i="6"/>
  <c r="D172" i="6"/>
  <c r="I69" i="6"/>
  <c r="D69" i="6"/>
  <c r="I289" i="6"/>
  <c r="D289" i="6"/>
  <c r="K288" i="6"/>
  <c r="L288" i="6" s="1"/>
  <c r="M288" i="6" s="1"/>
  <c r="I288" i="6"/>
  <c r="D288" i="6"/>
  <c r="I23" i="6"/>
  <c r="D23" i="6"/>
  <c r="I171" i="6"/>
  <c r="K171" i="6" s="1"/>
  <c r="L171" i="6" s="1"/>
  <c r="D171" i="6"/>
  <c r="I170" i="6"/>
  <c r="D170" i="6"/>
  <c r="I169" i="6"/>
  <c r="K169" i="6" s="1"/>
  <c r="L169" i="6" s="1"/>
  <c r="M169" i="6" s="1"/>
  <c r="D169" i="6"/>
  <c r="L168" i="6"/>
  <c r="M168" i="6" s="1"/>
  <c r="I168" i="6"/>
  <c r="K168" i="6" s="1"/>
  <c r="D168" i="6"/>
  <c r="I287" i="6"/>
  <c r="K287" i="6" s="1"/>
  <c r="L287" i="6" s="1"/>
  <c r="M287" i="6" s="1"/>
  <c r="D287" i="6"/>
  <c r="K340" i="6"/>
  <c r="L340" i="6" s="1"/>
  <c r="I340" i="6"/>
  <c r="D340" i="6"/>
  <c r="K286" i="6"/>
  <c r="L286" i="6" s="1"/>
  <c r="M286" i="6" s="1"/>
  <c r="I286" i="6"/>
  <c r="D286" i="6"/>
  <c r="I167" i="6"/>
  <c r="K167" i="6" s="1"/>
  <c r="L167" i="6" s="1"/>
  <c r="M167" i="6" s="1"/>
  <c r="D167" i="6"/>
  <c r="I339" i="6"/>
  <c r="K339" i="6" s="1"/>
  <c r="L339" i="6" s="1"/>
  <c r="M339" i="6" s="1"/>
  <c r="D339" i="6"/>
  <c r="I22" i="6"/>
  <c r="D22" i="6"/>
  <c r="I166" i="6"/>
  <c r="K166" i="6" s="1"/>
  <c r="L166" i="6" s="1"/>
  <c r="M166" i="6" s="1"/>
  <c r="D166" i="6"/>
  <c r="I165" i="6"/>
  <c r="K165" i="6" s="1"/>
  <c r="L165" i="6" s="1"/>
  <c r="D165" i="6"/>
  <c r="I285" i="6"/>
  <c r="D285" i="6"/>
  <c r="I68" i="6"/>
  <c r="K68" i="6" s="1"/>
  <c r="L68" i="6" s="1"/>
  <c r="D68" i="6"/>
  <c r="K164" i="6"/>
  <c r="L164" i="6" s="1"/>
  <c r="M164" i="6" s="1"/>
  <c r="I164" i="6"/>
  <c r="D164" i="6"/>
  <c r="I163" i="6"/>
  <c r="K163" i="6" s="1"/>
  <c r="L163" i="6" s="1"/>
  <c r="D163" i="6"/>
  <c r="I284" i="6"/>
  <c r="K284" i="6" s="1"/>
  <c r="L284" i="6" s="1"/>
  <c r="D284" i="6"/>
  <c r="I338" i="6"/>
  <c r="D338" i="6"/>
  <c r="I67" i="6"/>
  <c r="K67" i="6" s="1"/>
  <c r="L67" i="6" s="1"/>
  <c r="M67" i="6" s="1"/>
  <c r="D67" i="6"/>
  <c r="L66" i="6"/>
  <c r="M66" i="6" s="1"/>
  <c r="I66" i="6"/>
  <c r="K66" i="6" s="1"/>
  <c r="D66" i="6"/>
  <c r="I283" i="6"/>
  <c r="K283" i="6" s="1"/>
  <c r="L283" i="6" s="1"/>
  <c r="M283" i="6" s="1"/>
  <c r="D283" i="6"/>
  <c r="K21" i="6"/>
  <c r="L21" i="6" s="1"/>
  <c r="I21" i="6"/>
  <c r="D21" i="6"/>
  <c r="K162" i="6"/>
  <c r="L162" i="6" s="1"/>
  <c r="M162" i="6" s="1"/>
  <c r="I162" i="6"/>
  <c r="D162" i="6"/>
  <c r="I161" i="6"/>
  <c r="K161" i="6" s="1"/>
  <c r="L161" i="6" s="1"/>
  <c r="M161" i="6" s="1"/>
  <c r="D161" i="6"/>
  <c r="I337" i="6"/>
  <c r="K337" i="6" s="1"/>
  <c r="L337" i="6" s="1"/>
  <c r="M337" i="6" s="1"/>
  <c r="D337" i="6"/>
  <c r="I160" i="6"/>
  <c r="D160" i="6"/>
  <c r="I159" i="6"/>
  <c r="K159" i="6" s="1"/>
  <c r="L159" i="6" s="1"/>
  <c r="M159" i="6" s="1"/>
  <c r="D159" i="6"/>
  <c r="I20" i="6"/>
  <c r="K20" i="6" s="1"/>
  <c r="L20" i="6" s="1"/>
  <c r="D20" i="6"/>
  <c r="I158" i="6"/>
  <c r="D158" i="6"/>
  <c r="I157" i="6"/>
  <c r="K157" i="6" s="1"/>
  <c r="L157" i="6" s="1"/>
  <c r="D157" i="6"/>
  <c r="K282" i="6"/>
  <c r="L282" i="6" s="1"/>
  <c r="M282" i="6" s="1"/>
  <c r="I282" i="6"/>
  <c r="D282" i="6"/>
  <c r="I65" i="6"/>
  <c r="K65" i="6" s="1"/>
  <c r="L65" i="6" s="1"/>
  <c r="D65" i="6"/>
  <c r="I156" i="6"/>
  <c r="K156" i="6" s="1"/>
  <c r="L156" i="6" s="1"/>
  <c r="D156" i="6"/>
  <c r="I64" i="6"/>
  <c r="D64" i="6"/>
  <c r="I63" i="6"/>
  <c r="K63" i="6" s="1"/>
  <c r="L63" i="6" s="1"/>
  <c r="M63" i="6" s="1"/>
  <c r="D63" i="6"/>
  <c r="L281" i="6"/>
  <c r="M281" i="6" s="1"/>
  <c r="I281" i="6"/>
  <c r="K281" i="6" s="1"/>
  <c r="D281" i="6"/>
  <c r="I62" i="6"/>
  <c r="K62" i="6" s="1"/>
  <c r="L62" i="6" s="1"/>
  <c r="M62" i="6" s="1"/>
  <c r="D62" i="6"/>
  <c r="K19" i="6"/>
  <c r="L19" i="6" s="1"/>
  <c r="I19" i="6"/>
  <c r="D19" i="6"/>
  <c r="K280" i="6"/>
  <c r="L280" i="6" s="1"/>
  <c r="M280" i="6" s="1"/>
  <c r="I280" i="6"/>
  <c r="D280" i="6"/>
  <c r="I155" i="6"/>
  <c r="K155" i="6" s="1"/>
  <c r="L155" i="6" s="1"/>
  <c r="M155" i="6" s="1"/>
  <c r="D155" i="6"/>
  <c r="I336" i="6"/>
  <c r="K336" i="6" s="1"/>
  <c r="L336" i="6" s="1"/>
  <c r="M336" i="6" s="1"/>
  <c r="D336" i="6"/>
  <c r="I154" i="6"/>
  <c r="D154" i="6"/>
  <c r="I279" i="6"/>
  <c r="K279" i="6" s="1"/>
  <c r="L279" i="6" s="1"/>
  <c r="M279" i="6" s="1"/>
  <c r="D279" i="6"/>
  <c r="I153" i="6"/>
  <c r="K153" i="6" s="1"/>
  <c r="L153" i="6" s="1"/>
  <c r="D153" i="6"/>
  <c r="I152" i="6"/>
  <c r="D152" i="6"/>
  <c r="I278" i="6"/>
  <c r="K278" i="6" s="1"/>
  <c r="L278" i="6" s="1"/>
  <c r="D278" i="6"/>
  <c r="K61" i="6"/>
  <c r="L61" i="6" s="1"/>
  <c r="M61" i="6" s="1"/>
  <c r="I61" i="6"/>
  <c r="D61" i="6"/>
  <c r="I60" i="6"/>
  <c r="K60" i="6" s="1"/>
  <c r="L60" i="6" s="1"/>
  <c r="D60" i="6"/>
  <c r="I151" i="6"/>
  <c r="D151" i="6"/>
  <c r="I277" i="6"/>
  <c r="D277" i="6"/>
  <c r="I150" i="6"/>
  <c r="K150" i="6" s="1"/>
  <c r="L150" i="6" s="1"/>
  <c r="M150" i="6" s="1"/>
  <c r="D150" i="6"/>
  <c r="L149" i="6"/>
  <c r="M149" i="6" s="1"/>
  <c r="I149" i="6"/>
  <c r="K149" i="6" s="1"/>
  <c r="D149" i="6"/>
  <c r="I148" i="6"/>
  <c r="K148" i="6" s="1"/>
  <c r="L148" i="6" s="1"/>
  <c r="M148" i="6" s="1"/>
  <c r="D148" i="6"/>
  <c r="K147" i="6"/>
  <c r="L147" i="6" s="1"/>
  <c r="I147" i="6"/>
  <c r="D147" i="6"/>
  <c r="K146" i="6"/>
  <c r="L146" i="6" s="1"/>
  <c r="M146" i="6" s="1"/>
  <c r="I146" i="6"/>
  <c r="D146" i="6"/>
  <c r="I145" i="6"/>
  <c r="K145" i="6" s="1"/>
  <c r="L145" i="6" s="1"/>
  <c r="D145" i="6"/>
  <c r="I18" i="6"/>
  <c r="K18" i="6" s="1"/>
  <c r="L18" i="6" s="1"/>
  <c r="M18" i="6" s="1"/>
  <c r="D18" i="6"/>
  <c r="I276" i="6"/>
  <c r="D276" i="6"/>
  <c r="M275" i="6"/>
  <c r="I275" i="6"/>
  <c r="K275" i="6" s="1"/>
  <c r="L275" i="6" s="1"/>
  <c r="D275" i="6"/>
  <c r="I59" i="6"/>
  <c r="K59" i="6" s="1"/>
  <c r="L59" i="6" s="1"/>
  <c r="D59" i="6"/>
  <c r="I274" i="6"/>
  <c r="D274" i="6"/>
  <c r="I273" i="6"/>
  <c r="K273" i="6" s="1"/>
  <c r="L273" i="6" s="1"/>
  <c r="D273" i="6"/>
  <c r="K58" i="6"/>
  <c r="L58" i="6" s="1"/>
  <c r="M58" i="6" s="1"/>
  <c r="I58" i="6"/>
  <c r="D58" i="6"/>
  <c r="I57" i="6"/>
  <c r="D57" i="6"/>
  <c r="I144" i="6"/>
  <c r="D144" i="6"/>
  <c r="I17" i="6"/>
  <c r="D17" i="6"/>
  <c r="I56" i="6"/>
  <c r="K56" i="6" s="1"/>
  <c r="L56" i="6" s="1"/>
  <c r="M56" i="6" s="1"/>
  <c r="D56" i="6"/>
  <c r="L272" i="6"/>
  <c r="M272" i="6" s="1"/>
  <c r="I272" i="6"/>
  <c r="K272" i="6" s="1"/>
  <c r="D272" i="6"/>
  <c r="I335" i="6"/>
  <c r="K335" i="6" s="1"/>
  <c r="L335" i="6" s="1"/>
  <c r="M335" i="6" s="1"/>
  <c r="D335" i="6"/>
  <c r="K143" i="6"/>
  <c r="L143" i="6" s="1"/>
  <c r="I143" i="6"/>
  <c r="D143" i="6"/>
  <c r="K142" i="6"/>
  <c r="L142" i="6" s="1"/>
  <c r="M142" i="6" s="1"/>
  <c r="I142" i="6"/>
  <c r="D142" i="6"/>
  <c r="I141" i="6"/>
  <c r="D141" i="6"/>
  <c r="I271" i="6"/>
  <c r="K271" i="6" s="1"/>
  <c r="L271" i="6" s="1"/>
  <c r="M271" i="6" s="1"/>
  <c r="D271" i="6"/>
  <c r="M55" i="6"/>
  <c r="I55" i="6"/>
  <c r="K55" i="6" s="1"/>
  <c r="L55" i="6" s="1"/>
  <c r="D55" i="6"/>
  <c r="I140" i="6"/>
  <c r="D140" i="6"/>
  <c r="I139" i="6"/>
  <c r="D139" i="6"/>
  <c r="L270" i="6"/>
  <c r="M270" i="6" s="1"/>
  <c r="I270" i="6"/>
  <c r="K270" i="6" s="1"/>
  <c r="D270" i="6"/>
  <c r="M138" i="6"/>
  <c r="I138" i="6"/>
  <c r="K138" i="6" s="1"/>
  <c r="L138" i="6" s="1"/>
  <c r="D138" i="6"/>
  <c r="I137" i="6"/>
  <c r="D137" i="6"/>
  <c r="I269" i="6"/>
  <c r="D269" i="6"/>
  <c r="I16" i="6"/>
  <c r="K16" i="6" s="1"/>
  <c r="L16" i="6" s="1"/>
  <c r="M16" i="6" s="1"/>
  <c r="D16" i="6"/>
  <c r="M136" i="6"/>
  <c r="I136" i="6"/>
  <c r="K136" i="6" s="1"/>
  <c r="L136" i="6" s="1"/>
  <c r="D136" i="6"/>
  <c r="I135" i="6"/>
  <c r="D135" i="6"/>
  <c r="I268" i="6"/>
  <c r="D268" i="6"/>
  <c r="L15" i="6"/>
  <c r="M15" i="6" s="1"/>
  <c r="I15" i="6"/>
  <c r="K15" i="6" s="1"/>
  <c r="D15" i="6"/>
  <c r="M267" i="6"/>
  <c r="I267" i="6"/>
  <c r="K267" i="6" s="1"/>
  <c r="L267" i="6" s="1"/>
  <c r="D267" i="6"/>
  <c r="I266" i="6"/>
  <c r="D266" i="6"/>
  <c r="I134" i="6"/>
  <c r="D134" i="6"/>
  <c r="I54" i="6"/>
  <c r="K54" i="6" s="1"/>
  <c r="L54" i="6" s="1"/>
  <c r="M54" i="6" s="1"/>
  <c r="D54" i="6"/>
  <c r="M133" i="6"/>
  <c r="I133" i="6"/>
  <c r="K133" i="6" s="1"/>
  <c r="L133" i="6" s="1"/>
  <c r="D133" i="6"/>
  <c r="I14" i="6"/>
  <c r="D14" i="6"/>
  <c r="I132" i="6"/>
  <c r="D132" i="6"/>
  <c r="L131" i="6"/>
  <c r="M131" i="6" s="1"/>
  <c r="I131" i="6"/>
  <c r="K131" i="6" s="1"/>
  <c r="D131" i="6"/>
  <c r="M265" i="6"/>
  <c r="I265" i="6"/>
  <c r="K265" i="6" s="1"/>
  <c r="L265" i="6" s="1"/>
  <c r="D265" i="6"/>
  <c r="I130" i="6"/>
  <c r="D130" i="6"/>
  <c r="I334" i="6"/>
  <c r="D334" i="6"/>
  <c r="I264" i="6"/>
  <c r="K264" i="6" s="1"/>
  <c r="L264" i="6" s="1"/>
  <c r="M264" i="6" s="1"/>
  <c r="D264" i="6"/>
  <c r="M263" i="6"/>
  <c r="I263" i="6"/>
  <c r="K263" i="6" s="1"/>
  <c r="L263" i="6" s="1"/>
  <c r="D263" i="6"/>
  <c r="I129" i="6"/>
  <c r="D129" i="6"/>
  <c r="I333" i="6"/>
  <c r="D333" i="6"/>
  <c r="L53" i="6"/>
  <c r="M53" i="6" s="1"/>
  <c r="I53" i="6"/>
  <c r="K53" i="6" s="1"/>
  <c r="D53" i="6"/>
  <c r="M128" i="6"/>
  <c r="I128" i="6"/>
  <c r="K128" i="6" s="1"/>
  <c r="L128" i="6" s="1"/>
  <c r="D128" i="6"/>
  <c r="I332" i="6"/>
  <c r="D332" i="6"/>
  <c r="I52" i="6"/>
  <c r="D52" i="6"/>
  <c r="I127" i="6"/>
  <c r="K127" i="6" s="1"/>
  <c r="L127" i="6" s="1"/>
  <c r="M127" i="6" s="1"/>
  <c r="D127" i="6"/>
  <c r="M331" i="6"/>
  <c r="I331" i="6"/>
  <c r="K331" i="6" s="1"/>
  <c r="L331" i="6" s="1"/>
  <c r="D331" i="6"/>
  <c r="I13" i="6"/>
  <c r="D13" i="6"/>
  <c r="I51" i="6"/>
  <c r="D51" i="6"/>
  <c r="L262" i="6"/>
  <c r="M262" i="6" s="1"/>
  <c r="I262" i="6"/>
  <c r="K262" i="6" s="1"/>
  <c r="D262" i="6"/>
  <c r="I126" i="6"/>
  <c r="K126" i="6" s="1"/>
  <c r="L126" i="6" s="1"/>
  <c r="M126" i="6" s="1"/>
  <c r="D126" i="6"/>
  <c r="I261" i="6"/>
  <c r="D261" i="6"/>
  <c r="I12" i="6"/>
  <c r="K12" i="6" s="1"/>
  <c r="L12" i="6" s="1"/>
  <c r="D12" i="6"/>
  <c r="K260" i="6"/>
  <c r="L260" i="6" s="1"/>
  <c r="M260" i="6" s="1"/>
  <c r="I260" i="6"/>
  <c r="D260" i="6"/>
  <c r="I50" i="6"/>
  <c r="K50" i="6" s="1"/>
  <c r="L50" i="6" s="1"/>
  <c r="D50" i="6"/>
  <c r="I125" i="6"/>
  <c r="K125" i="6" s="1"/>
  <c r="L125" i="6" s="1"/>
  <c r="D125" i="6"/>
  <c r="K124" i="6"/>
  <c r="L124" i="6" s="1"/>
  <c r="I124" i="6"/>
  <c r="D124" i="6"/>
  <c r="K11" i="6"/>
  <c r="L11" i="6" s="1"/>
  <c r="M11" i="6" s="1"/>
  <c r="I11" i="6"/>
  <c r="D11" i="6"/>
  <c r="I330" i="6"/>
  <c r="K330" i="6" s="1"/>
  <c r="L330" i="6" s="1"/>
  <c r="M330" i="6" s="1"/>
  <c r="D330" i="6"/>
  <c r="I49" i="6"/>
  <c r="K49" i="6" s="1"/>
  <c r="L49" i="6" s="1"/>
  <c r="M49" i="6" s="1"/>
  <c r="D49" i="6"/>
  <c r="I259" i="6"/>
  <c r="D259" i="6"/>
  <c r="I123" i="6"/>
  <c r="K123" i="6" s="1"/>
  <c r="L123" i="6" s="1"/>
  <c r="M123" i="6" s="1"/>
  <c r="D123" i="6"/>
  <c r="I258" i="6"/>
  <c r="K258" i="6" s="1"/>
  <c r="L258" i="6" s="1"/>
  <c r="D258" i="6"/>
  <c r="I329" i="6"/>
  <c r="D329" i="6"/>
  <c r="I10" i="6"/>
  <c r="D10" i="6"/>
  <c r="K122" i="6"/>
  <c r="L122" i="6" s="1"/>
  <c r="M122" i="6" s="1"/>
  <c r="I122" i="6"/>
  <c r="D122" i="6"/>
  <c r="I121" i="6"/>
  <c r="K121" i="6" s="1"/>
  <c r="L121" i="6" s="1"/>
  <c r="D121" i="6"/>
  <c r="I120" i="6"/>
  <c r="K120" i="6" s="1"/>
  <c r="L120" i="6" s="1"/>
  <c r="D120" i="6"/>
  <c r="I48" i="6"/>
  <c r="K48" i="6" s="1"/>
  <c r="L48" i="6" s="1"/>
  <c r="M48" i="6" s="1"/>
  <c r="D48" i="6"/>
  <c r="I257" i="6"/>
  <c r="K257" i="6" s="1"/>
  <c r="L257" i="6" s="1"/>
  <c r="M257" i="6" s="1"/>
  <c r="D257" i="6"/>
  <c r="I119" i="6"/>
  <c r="D119" i="6"/>
  <c r="K118" i="6"/>
  <c r="L118" i="6" s="1"/>
  <c r="I118" i="6"/>
  <c r="D118" i="6"/>
  <c r="I117" i="6"/>
  <c r="K117" i="6" s="1"/>
  <c r="L117" i="6" s="1"/>
  <c r="M117" i="6" s="1"/>
  <c r="D117" i="6"/>
  <c r="I116" i="6"/>
  <c r="K116" i="6" s="1"/>
  <c r="L116" i="6" s="1"/>
  <c r="M116" i="6" s="1"/>
  <c r="D116" i="6"/>
  <c r="I256" i="6"/>
  <c r="D256" i="6"/>
  <c r="I9" i="6"/>
  <c r="K9" i="6" s="1"/>
  <c r="L9" i="6" s="1"/>
  <c r="D9" i="6"/>
  <c r="I115" i="6"/>
  <c r="K115" i="6" s="1"/>
  <c r="L115" i="6" s="1"/>
  <c r="M115" i="6" s="1"/>
  <c r="D115" i="6"/>
  <c r="I328" i="6"/>
  <c r="K328" i="6" s="1"/>
  <c r="L328" i="6" s="1"/>
  <c r="M328" i="6" s="1"/>
  <c r="D328" i="6"/>
  <c r="I255" i="6"/>
  <c r="D255" i="6"/>
  <c r="K114" i="6"/>
  <c r="L114" i="6" s="1"/>
  <c r="I114" i="6"/>
  <c r="D114" i="6"/>
  <c r="I327" i="6"/>
  <c r="K327" i="6" s="1"/>
  <c r="L327" i="6" s="1"/>
  <c r="M327" i="6" s="1"/>
  <c r="D327" i="6"/>
  <c r="I254" i="6"/>
  <c r="K254" i="6" s="1"/>
  <c r="L254" i="6" s="1"/>
  <c r="M254" i="6" s="1"/>
  <c r="D254" i="6"/>
  <c r="I253" i="6"/>
  <c r="D253" i="6"/>
  <c r="I113" i="6"/>
  <c r="K113" i="6" s="1"/>
  <c r="L113" i="6" s="1"/>
  <c r="D113" i="6"/>
  <c r="I326" i="6"/>
  <c r="K326" i="6" s="1"/>
  <c r="L326" i="6" s="1"/>
  <c r="M326" i="6" s="1"/>
  <c r="D326" i="6"/>
  <c r="I112" i="6"/>
  <c r="K112" i="6" s="1"/>
  <c r="L112" i="6" s="1"/>
  <c r="M112" i="6" s="1"/>
  <c r="D112" i="6"/>
  <c r="I325" i="6"/>
  <c r="D325" i="6"/>
  <c r="K111" i="6"/>
  <c r="L111" i="6" s="1"/>
  <c r="I111" i="6"/>
  <c r="D111" i="6"/>
  <c r="I110" i="6"/>
  <c r="K110" i="6" s="1"/>
  <c r="L110" i="6" s="1"/>
  <c r="M110" i="6" s="1"/>
  <c r="D110" i="6"/>
  <c r="I109" i="6"/>
  <c r="K109" i="6" s="1"/>
  <c r="L109" i="6" s="1"/>
  <c r="M109" i="6" s="1"/>
  <c r="D109" i="6"/>
  <c r="I108" i="6"/>
  <c r="D108" i="6"/>
  <c r="I47" i="6"/>
  <c r="K47" i="6" s="1"/>
  <c r="L47" i="6" s="1"/>
  <c r="D47" i="6"/>
  <c r="I324" i="6"/>
  <c r="K324" i="6" s="1"/>
  <c r="L324" i="6" s="1"/>
  <c r="M324" i="6" s="1"/>
  <c r="D324" i="6"/>
  <c r="I107" i="6"/>
  <c r="K107" i="6" s="1"/>
  <c r="L107" i="6" s="1"/>
  <c r="M107" i="6" s="1"/>
  <c r="D107" i="6"/>
  <c r="I106" i="6"/>
  <c r="D106" i="6"/>
  <c r="K105" i="6"/>
  <c r="L105" i="6" s="1"/>
  <c r="I105" i="6"/>
  <c r="D105" i="6"/>
  <c r="I252" i="6"/>
  <c r="K252" i="6" s="1"/>
  <c r="L252" i="6" s="1"/>
  <c r="M252" i="6" s="1"/>
  <c r="D252" i="6"/>
  <c r="I323" i="6"/>
  <c r="K323" i="6" s="1"/>
  <c r="L323" i="6" s="1"/>
  <c r="M323" i="6" s="1"/>
  <c r="D323" i="6"/>
  <c r="I104" i="6"/>
  <c r="D104" i="6"/>
  <c r="I251" i="6"/>
  <c r="K251" i="6" s="1"/>
  <c r="L251" i="6" s="1"/>
  <c r="D251" i="6"/>
  <c r="I103" i="6"/>
  <c r="K103" i="6" s="1"/>
  <c r="L103" i="6" s="1"/>
  <c r="M103" i="6" s="1"/>
  <c r="D103" i="6"/>
  <c r="I102" i="6"/>
  <c r="K102" i="6" s="1"/>
  <c r="L102" i="6" s="1"/>
  <c r="M102" i="6" s="1"/>
  <c r="D102" i="6"/>
  <c r="I46" i="6"/>
  <c r="D46" i="6"/>
  <c r="K45" i="6"/>
  <c r="L45" i="6" s="1"/>
  <c r="I45" i="6"/>
  <c r="D45" i="6"/>
  <c r="I101" i="6"/>
  <c r="K101" i="6" s="1"/>
  <c r="L101" i="6" s="1"/>
  <c r="M101" i="6" s="1"/>
  <c r="D101" i="6"/>
  <c r="I100" i="6"/>
  <c r="K100" i="6" s="1"/>
  <c r="L100" i="6" s="1"/>
  <c r="M100" i="6" s="1"/>
  <c r="D100" i="6"/>
  <c r="I99" i="6"/>
  <c r="D99" i="6"/>
  <c r="I8" i="6"/>
  <c r="K8" i="6" s="1"/>
  <c r="L8" i="6" s="1"/>
  <c r="D8" i="6"/>
  <c r="I44" i="6"/>
  <c r="K44" i="6" s="1"/>
  <c r="L44" i="6" s="1"/>
  <c r="M44" i="6" s="1"/>
  <c r="D44" i="6"/>
  <c r="I322" i="6"/>
  <c r="K322" i="6" s="1"/>
  <c r="L322" i="6" s="1"/>
  <c r="M322" i="6" s="1"/>
  <c r="D322" i="6"/>
  <c r="I43" i="6"/>
  <c r="D43" i="6"/>
  <c r="K98" i="6"/>
  <c r="L98" i="6" s="1"/>
  <c r="I98" i="6"/>
  <c r="D98" i="6"/>
  <c r="K97" i="6"/>
  <c r="L97" i="6" s="1"/>
  <c r="M97" i="6" s="1"/>
  <c r="I97" i="6"/>
  <c r="D97" i="6"/>
  <c r="I96" i="6"/>
  <c r="K96" i="6" s="1"/>
  <c r="L96" i="6" s="1"/>
  <c r="M96" i="6" s="1"/>
  <c r="D96" i="6"/>
  <c r="I95" i="6"/>
  <c r="D95" i="6"/>
  <c r="I250" i="6"/>
  <c r="K250" i="6" s="1"/>
  <c r="L250" i="6" s="1"/>
  <c r="D250" i="6"/>
  <c r="L249" i="6"/>
  <c r="M249" i="6" s="1"/>
  <c r="I249" i="6"/>
  <c r="K249" i="6" s="1"/>
  <c r="D249" i="6"/>
  <c r="I248" i="6"/>
  <c r="K248" i="6" s="1"/>
  <c r="L248" i="6" s="1"/>
  <c r="M248" i="6" s="1"/>
  <c r="D248" i="6"/>
  <c r="I247" i="6"/>
  <c r="D247" i="6"/>
  <c r="K42" i="6"/>
  <c r="L42" i="6" s="1"/>
  <c r="I42" i="6"/>
  <c r="D42" i="6"/>
  <c r="K7" i="6"/>
  <c r="L7" i="6" s="1"/>
  <c r="M7" i="6" s="1"/>
  <c r="I7" i="6"/>
  <c r="D7" i="6"/>
  <c r="I41" i="6"/>
  <c r="K41" i="6" s="1"/>
  <c r="L41" i="6" s="1"/>
  <c r="M41" i="6" s="1"/>
  <c r="D41" i="6"/>
  <c r="I94" i="6"/>
  <c r="D94" i="6"/>
  <c r="I6" i="6"/>
  <c r="K6" i="6" s="1"/>
  <c r="L6" i="6" s="1"/>
  <c r="D6" i="6"/>
  <c r="L321" i="6"/>
  <c r="M321" i="6" s="1"/>
  <c r="I321" i="6"/>
  <c r="K321" i="6" s="1"/>
  <c r="D321" i="6"/>
  <c r="I246" i="6"/>
  <c r="K246" i="6" s="1"/>
  <c r="L246" i="6" s="1"/>
  <c r="M246" i="6" s="1"/>
  <c r="D246" i="6"/>
  <c r="I93" i="6"/>
  <c r="D93" i="6"/>
  <c r="K92" i="6"/>
  <c r="L92" i="6" s="1"/>
  <c r="I92" i="6"/>
  <c r="D92" i="6"/>
  <c r="K91" i="6"/>
  <c r="L91" i="6" s="1"/>
  <c r="M91" i="6" s="1"/>
  <c r="I91" i="6"/>
  <c r="D91" i="6"/>
  <c r="I40" i="6"/>
  <c r="K40" i="6" s="1"/>
  <c r="L40" i="6" s="1"/>
  <c r="M40" i="6" s="1"/>
  <c r="D40" i="6"/>
  <c r="I90" i="6"/>
  <c r="D90" i="6"/>
  <c r="K245" i="6"/>
  <c r="L245" i="6" s="1"/>
  <c r="I245" i="6"/>
  <c r="D245" i="6"/>
  <c r="L89" i="6"/>
  <c r="M89" i="6" s="1"/>
  <c r="K89" i="6"/>
  <c r="I89" i="6"/>
  <c r="D89" i="6"/>
  <c r="I39" i="6"/>
  <c r="K39" i="6" s="1"/>
  <c r="L39" i="6" s="1"/>
  <c r="M39" i="6" s="1"/>
  <c r="D39" i="6"/>
  <c r="I244" i="6"/>
  <c r="D244" i="6"/>
  <c r="K88" i="6"/>
  <c r="L88" i="6" s="1"/>
  <c r="I88" i="6"/>
  <c r="D88" i="6"/>
  <c r="K243" i="6"/>
  <c r="L243" i="6" s="1"/>
  <c r="M243" i="6" s="1"/>
  <c r="I243" i="6"/>
  <c r="D243" i="6"/>
  <c r="I87" i="6"/>
  <c r="K87" i="6" s="1"/>
  <c r="L87" i="6" s="1"/>
  <c r="M87" i="6" s="1"/>
  <c r="D87" i="6"/>
  <c r="I242" i="6"/>
  <c r="D242" i="6"/>
  <c r="I5" i="6"/>
  <c r="K5" i="6" s="1"/>
  <c r="L5" i="6" s="1"/>
  <c r="D5" i="6"/>
  <c r="I86" i="6"/>
  <c r="K86" i="6" s="1"/>
  <c r="L86" i="6" s="1"/>
  <c r="M86" i="6" s="1"/>
  <c r="D86" i="6"/>
  <c r="I241" i="6"/>
  <c r="K241" i="6" s="1"/>
  <c r="L241" i="6" s="1"/>
  <c r="M241" i="6" s="1"/>
  <c r="D241" i="6"/>
  <c r="I38" i="6"/>
  <c r="D38" i="6"/>
  <c r="I240" i="6"/>
  <c r="D240" i="6"/>
  <c r="I239" i="6"/>
  <c r="K239" i="6" s="1"/>
  <c r="L239" i="6" s="1"/>
  <c r="M239" i="6" s="1"/>
  <c r="D239" i="6"/>
  <c r="I238" i="6"/>
  <c r="K238" i="6" s="1"/>
  <c r="L238" i="6" s="1"/>
  <c r="M238" i="6" s="1"/>
  <c r="D238" i="6"/>
  <c r="I4" i="6"/>
  <c r="D4" i="6"/>
  <c r="K237" i="6"/>
  <c r="L237" i="6" s="1"/>
  <c r="I237" i="6"/>
  <c r="D237" i="6"/>
  <c r="L320" i="6"/>
  <c r="M320" i="6" s="1"/>
  <c r="K320" i="6"/>
  <c r="I320" i="6"/>
  <c r="D320" i="6"/>
  <c r="I85" i="6"/>
  <c r="K85" i="6" s="1"/>
  <c r="L85" i="6" s="1"/>
  <c r="M85" i="6" s="1"/>
  <c r="D85" i="6"/>
  <c r="I84" i="6"/>
  <c r="D84" i="6"/>
  <c r="K319" i="6"/>
  <c r="L319" i="6" s="1"/>
  <c r="I319" i="6"/>
  <c r="D319" i="6"/>
  <c r="K236" i="6"/>
  <c r="L236" i="6" s="1"/>
  <c r="M236" i="6" s="1"/>
  <c r="I236" i="6"/>
  <c r="D236" i="6"/>
  <c r="I318" i="6"/>
  <c r="K318" i="6" s="1"/>
  <c r="L318" i="6" s="1"/>
  <c r="M318" i="6" s="1"/>
  <c r="D318" i="6"/>
  <c r="I3" i="6"/>
  <c r="D3" i="6"/>
  <c r="I83" i="6"/>
  <c r="K83" i="6" s="1"/>
  <c r="L83" i="6" s="1"/>
  <c r="D83" i="6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" i="1"/>
  <c r="K27" i="6" l="1"/>
  <c r="L27" i="6" s="1"/>
  <c r="M27" i="6" s="1"/>
  <c r="K186" i="6"/>
  <c r="L186" i="6" s="1"/>
  <c r="M186" i="6" s="1"/>
  <c r="K346" i="6"/>
  <c r="L346" i="6" s="1"/>
  <c r="M346" i="6" s="1"/>
  <c r="K348" i="6"/>
  <c r="L348" i="6" s="1"/>
  <c r="M348" i="6"/>
  <c r="K306" i="6"/>
  <c r="L306" i="6" s="1"/>
  <c r="M306" i="6" s="1"/>
  <c r="K308" i="6"/>
  <c r="L308" i="6" s="1"/>
  <c r="M308" i="6"/>
  <c r="K207" i="6"/>
  <c r="L207" i="6" s="1"/>
  <c r="M207" i="6" s="1"/>
  <c r="K213" i="6"/>
  <c r="L213" i="6" s="1"/>
  <c r="M213" i="6"/>
  <c r="K311" i="6"/>
  <c r="L311" i="6" s="1"/>
  <c r="M311" i="6" s="1"/>
  <c r="K220" i="6"/>
  <c r="L220" i="6" s="1"/>
  <c r="M220" i="6"/>
  <c r="K33" i="6"/>
  <c r="L33" i="6" s="1"/>
  <c r="M33" i="6" s="1"/>
  <c r="K354" i="6"/>
  <c r="L354" i="6" s="1"/>
  <c r="M354" i="6"/>
  <c r="K36" i="6"/>
  <c r="L36" i="6" s="1"/>
  <c r="M36" i="6" s="1"/>
  <c r="K240" i="6"/>
  <c r="L240" i="6" s="1"/>
  <c r="M240" i="6" s="1"/>
  <c r="K69" i="6"/>
  <c r="L69" i="6" s="1"/>
  <c r="M69" i="6" s="1"/>
  <c r="M319" i="6"/>
  <c r="M88" i="6"/>
  <c r="K141" i="6"/>
  <c r="L141" i="6" s="1"/>
  <c r="M141" i="6"/>
  <c r="K304" i="6"/>
  <c r="L304" i="6" s="1"/>
  <c r="M304" i="6"/>
  <c r="K198" i="6"/>
  <c r="L198" i="6" s="1"/>
  <c r="M198" i="6"/>
  <c r="K203" i="6"/>
  <c r="L203" i="6" s="1"/>
  <c r="M203" i="6"/>
  <c r="K205" i="6"/>
  <c r="L205" i="6" s="1"/>
  <c r="M205" i="6"/>
  <c r="K30" i="6"/>
  <c r="L30" i="6" s="1"/>
  <c r="M30" i="6"/>
  <c r="K215" i="6"/>
  <c r="L215" i="6" s="1"/>
  <c r="M215" i="6"/>
  <c r="K218" i="6"/>
  <c r="L218" i="6" s="1"/>
  <c r="M218" i="6"/>
  <c r="K223" i="6"/>
  <c r="L223" i="6" s="1"/>
  <c r="M223" i="6"/>
  <c r="K314" i="6"/>
  <c r="L314" i="6" s="1"/>
  <c r="M314" i="6"/>
  <c r="K35" i="6"/>
  <c r="L35" i="6" s="1"/>
  <c r="M35" i="6"/>
  <c r="M92" i="6"/>
  <c r="M98" i="6"/>
  <c r="M45" i="6"/>
  <c r="M111" i="6"/>
  <c r="M118" i="6"/>
  <c r="M190" i="6"/>
  <c r="M72" i="6"/>
  <c r="M192" i="6"/>
  <c r="M42" i="6"/>
  <c r="M105" i="6"/>
  <c r="M114" i="6"/>
  <c r="K51" i="6"/>
  <c r="L51" i="6" s="1"/>
  <c r="M51" i="6" s="1"/>
  <c r="K52" i="6"/>
  <c r="L52" i="6" s="1"/>
  <c r="M52" i="6" s="1"/>
  <c r="K333" i="6"/>
  <c r="L333" i="6" s="1"/>
  <c r="M333" i="6" s="1"/>
  <c r="K334" i="6"/>
  <c r="L334" i="6" s="1"/>
  <c r="M334" i="6" s="1"/>
  <c r="K132" i="6"/>
  <c r="L132" i="6" s="1"/>
  <c r="M132" i="6" s="1"/>
  <c r="K134" i="6"/>
  <c r="L134" i="6" s="1"/>
  <c r="M134" i="6" s="1"/>
  <c r="K268" i="6"/>
  <c r="L268" i="6" s="1"/>
  <c r="M268" i="6" s="1"/>
  <c r="K269" i="6"/>
  <c r="L269" i="6" s="1"/>
  <c r="M269" i="6" s="1"/>
  <c r="K139" i="6"/>
  <c r="L139" i="6" s="1"/>
  <c r="M139" i="6" s="1"/>
  <c r="M145" i="6"/>
  <c r="M191" i="6"/>
  <c r="M301" i="6"/>
  <c r="M303" i="6"/>
  <c r="M345" i="6"/>
  <c r="M194" i="6"/>
  <c r="M195" i="6"/>
  <c r="M28" i="6"/>
  <c r="M196" i="6"/>
  <c r="M305" i="6"/>
  <c r="M197" i="6"/>
  <c r="M199" i="6"/>
  <c r="M200" i="6"/>
  <c r="M74" i="6"/>
  <c r="M75" i="6"/>
  <c r="M76" i="6"/>
  <c r="M204" i="6"/>
  <c r="M78" i="6"/>
  <c r="M206" i="6"/>
  <c r="M209" i="6"/>
  <c r="M79" i="6"/>
  <c r="M310" i="6"/>
  <c r="M352" i="6"/>
  <c r="M32" i="6"/>
  <c r="M80" i="6"/>
  <c r="M221" i="6"/>
  <c r="M225" i="6"/>
  <c r="M228" i="6"/>
  <c r="M34" i="6"/>
  <c r="M315" i="6"/>
  <c r="M233" i="6"/>
  <c r="M83" i="6"/>
  <c r="M5" i="6"/>
  <c r="M6" i="6"/>
  <c r="M8" i="6"/>
  <c r="M47" i="6"/>
  <c r="M9" i="6"/>
  <c r="M237" i="6"/>
  <c r="M245" i="6"/>
  <c r="M250" i="6"/>
  <c r="M251" i="6"/>
  <c r="M113" i="6"/>
  <c r="M120" i="6"/>
  <c r="M108" i="6"/>
  <c r="K3" i="6"/>
  <c r="L3" i="6" s="1"/>
  <c r="M3" i="6" s="1"/>
  <c r="K84" i="6"/>
  <c r="L84" i="6" s="1"/>
  <c r="M84" i="6" s="1"/>
  <c r="K4" i="6"/>
  <c r="L4" i="6" s="1"/>
  <c r="M4" i="6" s="1"/>
  <c r="K38" i="6"/>
  <c r="L38" i="6" s="1"/>
  <c r="M38" i="6" s="1"/>
  <c r="K242" i="6"/>
  <c r="L242" i="6" s="1"/>
  <c r="M242" i="6" s="1"/>
  <c r="K244" i="6"/>
  <c r="L244" i="6" s="1"/>
  <c r="M244" i="6" s="1"/>
  <c r="K90" i="6"/>
  <c r="L90" i="6" s="1"/>
  <c r="M90" i="6" s="1"/>
  <c r="K93" i="6"/>
  <c r="L93" i="6" s="1"/>
  <c r="M93" i="6" s="1"/>
  <c r="K94" i="6"/>
  <c r="L94" i="6" s="1"/>
  <c r="M94" i="6" s="1"/>
  <c r="K247" i="6"/>
  <c r="L247" i="6" s="1"/>
  <c r="M247" i="6" s="1"/>
  <c r="K95" i="6"/>
  <c r="L95" i="6" s="1"/>
  <c r="M95" i="6" s="1"/>
  <c r="K43" i="6"/>
  <c r="L43" i="6" s="1"/>
  <c r="M43" i="6" s="1"/>
  <c r="K99" i="6"/>
  <c r="L99" i="6" s="1"/>
  <c r="M99" i="6" s="1"/>
  <c r="K46" i="6"/>
  <c r="L46" i="6" s="1"/>
  <c r="M46" i="6" s="1"/>
  <c r="K104" i="6"/>
  <c r="L104" i="6" s="1"/>
  <c r="M104" i="6" s="1"/>
  <c r="K106" i="6"/>
  <c r="L106" i="6" s="1"/>
  <c r="M106" i="6" s="1"/>
  <c r="K108" i="6"/>
  <c r="L108" i="6" s="1"/>
  <c r="K325" i="6"/>
  <c r="L325" i="6" s="1"/>
  <c r="M325" i="6" s="1"/>
  <c r="K253" i="6"/>
  <c r="L253" i="6" s="1"/>
  <c r="M253" i="6" s="1"/>
  <c r="K255" i="6"/>
  <c r="L255" i="6" s="1"/>
  <c r="M255" i="6" s="1"/>
  <c r="K256" i="6"/>
  <c r="L256" i="6" s="1"/>
  <c r="M256" i="6" s="1"/>
  <c r="K119" i="6"/>
  <c r="L119" i="6" s="1"/>
  <c r="M119" i="6" s="1"/>
  <c r="M10" i="6"/>
  <c r="M121" i="6"/>
  <c r="K10" i="6"/>
  <c r="L10" i="6" s="1"/>
  <c r="K329" i="6"/>
  <c r="L329" i="6" s="1"/>
  <c r="M329" i="6" s="1"/>
  <c r="M259" i="6"/>
  <c r="M12" i="6"/>
  <c r="K17" i="6"/>
  <c r="L17" i="6" s="1"/>
  <c r="M17" i="6" s="1"/>
  <c r="K57" i="6"/>
  <c r="L57" i="6" s="1"/>
  <c r="M57" i="6" s="1"/>
  <c r="K277" i="6"/>
  <c r="L277" i="6" s="1"/>
  <c r="M277" i="6" s="1"/>
  <c r="M258" i="6"/>
  <c r="K259" i="6"/>
  <c r="L259" i="6" s="1"/>
  <c r="M124" i="6"/>
  <c r="M125" i="6"/>
  <c r="M50" i="6"/>
  <c r="K261" i="6"/>
  <c r="L261" i="6" s="1"/>
  <c r="M261" i="6" s="1"/>
  <c r="K13" i="6"/>
  <c r="L13" i="6" s="1"/>
  <c r="M13" i="6"/>
  <c r="K332" i="6"/>
  <c r="L332" i="6" s="1"/>
  <c r="M332" i="6" s="1"/>
  <c r="K129" i="6"/>
  <c r="L129" i="6" s="1"/>
  <c r="M129" i="6"/>
  <c r="K130" i="6"/>
  <c r="L130" i="6" s="1"/>
  <c r="M130" i="6" s="1"/>
  <c r="K14" i="6"/>
  <c r="L14" i="6" s="1"/>
  <c r="M14" i="6"/>
  <c r="K266" i="6"/>
  <c r="L266" i="6" s="1"/>
  <c r="M266" i="6" s="1"/>
  <c r="K135" i="6"/>
  <c r="L135" i="6" s="1"/>
  <c r="M135" i="6" s="1"/>
  <c r="K137" i="6"/>
  <c r="L137" i="6" s="1"/>
  <c r="M137" i="6" s="1"/>
  <c r="K140" i="6"/>
  <c r="L140" i="6" s="1"/>
  <c r="M140" i="6"/>
  <c r="K144" i="6"/>
  <c r="L144" i="6" s="1"/>
  <c r="M144" i="6" s="1"/>
  <c r="K151" i="6"/>
  <c r="L151" i="6" s="1"/>
  <c r="M151" i="6"/>
  <c r="K274" i="6"/>
  <c r="L274" i="6" s="1"/>
  <c r="M274" i="6" s="1"/>
  <c r="M60" i="6"/>
  <c r="K152" i="6"/>
  <c r="L152" i="6" s="1"/>
  <c r="M152" i="6" s="1"/>
  <c r="M156" i="6"/>
  <c r="M65" i="6"/>
  <c r="K158" i="6"/>
  <c r="L158" i="6" s="1"/>
  <c r="M158" i="6" s="1"/>
  <c r="M284" i="6"/>
  <c r="M163" i="6"/>
  <c r="K285" i="6"/>
  <c r="L285" i="6" s="1"/>
  <c r="M285" i="6" s="1"/>
  <c r="M171" i="6"/>
  <c r="K172" i="6"/>
  <c r="L172" i="6" s="1"/>
  <c r="M172" i="6" s="1"/>
  <c r="M176" i="6"/>
  <c r="K176" i="6"/>
  <c r="L176" i="6" s="1"/>
  <c r="K181" i="6"/>
  <c r="L181" i="6" s="1"/>
  <c r="M181" i="6" s="1"/>
  <c r="K296" i="6"/>
  <c r="L296" i="6" s="1"/>
  <c r="M296" i="6" s="1"/>
  <c r="K343" i="6"/>
  <c r="L343" i="6" s="1"/>
  <c r="M343" i="6"/>
  <c r="M143" i="6"/>
  <c r="M59" i="6"/>
  <c r="K276" i="6"/>
  <c r="L276" i="6" s="1"/>
  <c r="M276" i="6" s="1"/>
  <c r="M147" i="6"/>
  <c r="M153" i="6"/>
  <c r="K154" i="6"/>
  <c r="L154" i="6" s="1"/>
  <c r="M154" i="6" s="1"/>
  <c r="M19" i="6"/>
  <c r="M20" i="6"/>
  <c r="K160" i="6"/>
  <c r="L160" i="6" s="1"/>
  <c r="M160" i="6" s="1"/>
  <c r="M21" i="6"/>
  <c r="M165" i="6"/>
  <c r="K22" i="6"/>
  <c r="L22" i="6" s="1"/>
  <c r="M22" i="6" s="1"/>
  <c r="M340" i="6"/>
  <c r="K289" i="6"/>
  <c r="L289" i="6" s="1"/>
  <c r="M289" i="6" s="1"/>
  <c r="K175" i="6"/>
  <c r="L175" i="6" s="1"/>
  <c r="M175" i="6" s="1"/>
  <c r="K294" i="6"/>
  <c r="L294" i="6" s="1"/>
  <c r="M294" i="6"/>
  <c r="M187" i="6"/>
  <c r="K298" i="6"/>
  <c r="L298" i="6" s="1"/>
  <c r="M298" i="6" s="1"/>
  <c r="M344" i="6"/>
  <c r="K23" i="6"/>
  <c r="L23" i="6" s="1"/>
  <c r="M23" i="6" s="1"/>
  <c r="K174" i="6"/>
  <c r="L174" i="6" s="1"/>
  <c r="M174" i="6" s="1"/>
  <c r="K179" i="6"/>
  <c r="L179" i="6" s="1"/>
  <c r="M179" i="6" s="1"/>
  <c r="K71" i="6"/>
  <c r="L71" i="6" s="1"/>
  <c r="M71" i="6" s="1"/>
  <c r="M273" i="6"/>
  <c r="M278" i="6"/>
  <c r="K64" i="6"/>
  <c r="L64" i="6" s="1"/>
  <c r="M64" i="6" s="1"/>
  <c r="M157" i="6"/>
  <c r="K338" i="6"/>
  <c r="L338" i="6" s="1"/>
  <c r="M338" i="6" s="1"/>
  <c r="M68" i="6"/>
  <c r="K170" i="6"/>
  <c r="L170" i="6" s="1"/>
  <c r="M170" i="6" s="1"/>
  <c r="K341" i="6"/>
  <c r="L341" i="6" s="1"/>
  <c r="M341" i="6"/>
  <c r="K178" i="6"/>
  <c r="L178" i="6" s="1"/>
  <c r="M178" i="6" s="1"/>
  <c r="K70" i="6"/>
  <c r="L70" i="6" s="1"/>
  <c r="M70" i="6" s="1"/>
  <c r="M182" i="6"/>
  <c r="M342" i="6"/>
  <c r="M297" i="6"/>
  <c r="K26" i="6"/>
  <c r="L26" i="6" s="1"/>
  <c r="M26" i="6"/>
  <c r="K193" i="6"/>
  <c r="L193" i="6" s="1"/>
  <c r="M193" i="6" s="1"/>
  <c r="K347" i="6"/>
  <c r="L347" i="6" s="1"/>
  <c r="M347" i="6"/>
  <c r="K73" i="6"/>
  <c r="L73" i="6" s="1"/>
  <c r="M73" i="6" s="1"/>
  <c r="K29" i="6"/>
  <c r="L29" i="6" s="1"/>
  <c r="M29" i="6"/>
  <c r="K201" i="6"/>
  <c r="L201" i="6" s="1"/>
  <c r="M201" i="6" s="1"/>
  <c r="K202" i="6"/>
  <c r="L202" i="6" s="1"/>
  <c r="M202" i="6" s="1"/>
  <c r="K307" i="6"/>
  <c r="L307" i="6" s="1"/>
  <c r="M307" i="6" s="1"/>
  <c r="K349" i="6"/>
  <c r="L349" i="6" s="1"/>
  <c r="M349" i="6"/>
  <c r="K350" i="6"/>
  <c r="L350" i="6" s="1"/>
  <c r="M350" i="6" s="1"/>
  <c r="K210" i="6"/>
  <c r="L210" i="6" s="1"/>
  <c r="M210" i="6"/>
  <c r="K212" i="6"/>
  <c r="L212" i="6" s="1"/>
  <c r="M212" i="6" s="1"/>
  <c r="K214" i="6"/>
  <c r="L214" i="6" s="1"/>
  <c r="M214" i="6"/>
  <c r="K217" i="6"/>
  <c r="L217" i="6" s="1"/>
  <c r="M217" i="6" s="1"/>
  <c r="K312" i="6"/>
  <c r="L312" i="6" s="1"/>
  <c r="M312" i="6" s="1"/>
  <c r="K81" i="6"/>
  <c r="L81" i="6" s="1"/>
  <c r="M81" i="6" s="1"/>
  <c r="K222" i="6"/>
  <c r="L222" i="6" s="1"/>
  <c r="M222" i="6"/>
  <c r="K226" i="6"/>
  <c r="L226" i="6" s="1"/>
  <c r="M226" i="6" s="1"/>
  <c r="K313" i="6"/>
  <c r="L313" i="6" s="1"/>
  <c r="M313" i="6" s="1"/>
  <c r="K230" i="6"/>
  <c r="L230" i="6" s="1"/>
  <c r="M230" i="6" s="1"/>
  <c r="K232" i="6"/>
  <c r="L232" i="6" s="1"/>
  <c r="M232" i="6" s="1"/>
  <c r="K316" i="6"/>
  <c r="L316" i="6" s="1"/>
  <c r="M316" i="6" s="1"/>
  <c r="M189" i="6"/>
  <c r="M300" i="6"/>
  <c r="K302" i="6"/>
  <c r="L302" i="6" s="1"/>
  <c r="M302" i="6" s="1"/>
  <c r="K234" i="6"/>
  <c r="L234" i="6" s="1"/>
  <c r="M234" i="6" s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3" i="1"/>
  <c r="I115" i="1" l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114" i="1"/>
</calcChain>
</file>

<file path=xl/sharedStrings.xml><?xml version="1.0" encoding="utf-8"?>
<sst xmlns="http://schemas.openxmlformats.org/spreadsheetml/2006/main" count="1465" uniqueCount="747">
  <si>
    <t>姓名</t>
  </si>
  <si>
    <t>齐飞扬</t>
  </si>
  <si>
    <t>苏解放</t>
  </si>
  <si>
    <t>谢如康</t>
  </si>
  <si>
    <t>陈万地</t>
  </si>
  <si>
    <t>刘康锋</t>
  </si>
  <si>
    <t>刘鹏举</t>
  </si>
  <si>
    <t>孙玉敏</t>
  </si>
  <si>
    <t>王清华</t>
  </si>
  <si>
    <t>包宏伟</t>
  </si>
  <si>
    <t>吉祥</t>
  </si>
  <si>
    <t>李娜娜</t>
  </si>
  <si>
    <t>倪冬声</t>
  </si>
  <si>
    <t>序号</t>
    <phoneticPr fontId="1" type="noConversion"/>
  </si>
  <si>
    <t>员工工号</t>
    <phoneticPr fontId="1" type="noConversion"/>
  </si>
  <si>
    <t>部门</t>
    <phoneticPr fontId="1" type="noConversion"/>
  </si>
  <si>
    <t>基础工资</t>
    <phoneticPr fontId="1" type="noConversion"/>
  </si>
  <si>
    <t>奖金</t>
    <phoneticPr fontId="1" type="noConversion"/>
  </si>
  <si>
    <t>补贴</t>
    <phoneticPr fontId="1" type="noConversion"/>
  </si>
  <si>
    <t>扣除病事假</t>
    <phoneticPr fontId="1" type="noConversion"/>
  </si>
  <si>
    <t>应付工资合计</t>
    <phoneticPr fontId="1" type="noConversion"/>
  </si>
  <si>
    <t>扣除社保</t>
    <phoneticPr fontId="1" type="noConversion"/>
  </si>
  <si>
    <t>应纳税所得额</t>
    <phoneticPr fontId="1" type="noConversion"/>
  </si>
  <si>
    <t>应交个人所得税</t>
    <phoneticPr fontId="1" type="noConversion"/>
  </si>
  <si>
    <t>实发工资</t>
    <phoneticPr fontId="1" type="noConversion"/>
  </si>
  <si>
    <t>闫朝霞</t>
    <phoneticPr fontId="1" type="noConversion"/>
  </si>
  <si>
    <t>李燕</t>
    <phoneticPr fontId="1" type="noConversion"/>
  </si>
  <si>
    <t>张惠</t>
    <phoneticPr fontId="1" type="noConversion"/>
  </si>
  <si>
    <t>包一兰</t>
  </si>
  <si>
    <t>蔡迪嘉</t>
  </si>
  <si>
    <t>曹雅君</t>
  </si>
  <si>
    <t>曾雪依</t>
  </si>
  <si>
    <t>常援琪</t>
  </si>
  <si>
    <t>陈贝嘉</t>
  </si>
  <si>
    <t>陈贝一</t>
  </si>
  <si>
    <t>陈府华</t>
  </si>
  <si>
    <t>陈润祺</t>
  </si>
  <si>
    <t>陈嵩吟</t>
  </si>
  <si>
    <t>程晓洁</t>
  </si>
  <si>
    <t>程心怡</t>
  </si>
  <si>
    <t>程孜懿</t>
  </si>
  <si>
    <t>崔梦鑫</t>
  </si>
  <si>
    <t>崔艺萱</t>
  </si>
  <si>
    <t>党靖雯</t>
  </si>
  <si>
    <t>邓智航</t>
  </si>
  <si>
    <t>丁雪飞</t>
  </si>
  <si>
    <t>董安妮</t>
  </si>
  <si>
    <t>杜格格</t>
  </si>
  <si>
    <t>杜思雨</t>
  </si>
  <si>
    <t>杜悦</t>
  </si>
  <si>
    <t>段雨佳</t>
  </si>
  <si>
    <t>樊佳磊</t>
  </si>
  <si>
    <t>范丁玉</t>
  </si>
  <si>
    <t>范林瑶</t>
  </si>
  <si>
    <t>范梦琪</t>
  </si>
  <si>
    <t>范振勤</t>
  </si>
  <si>
    <t>范芷瑜</t>
  </si>
  <si>
    <t>冯佳慧</t>
  </si>
  <si>
    <t>冯嘉欣</t>
  </si>
  <si>
    <t>冯艺帆</t>
  </si>
  <si>
    <t>付晨霖</t>
  </si>
  <si>
    <t>付晓</t>
  </si>
  <si>
    <t>付一冉</t>
  </si>
  <si>
    <t>付梓兵</t>
  </si>
  <si>
    <t>高继航</t>
  </si>
  <si>
    <t>高继阳</t>
  </si>
  <si>
    <t>高铭莉</t>
  </si>
  <si>
    <t>高惟逸</t>
  </si>
  <si>
    <t>高雅轩</t>
  </si>
  <si>
    <t>高艺嘉</t>
  </si>
  <si>
    <t>高镱校</t>
  </si>
  <si>
    <t>耿悦棋</t>
  </si>
  <si>
    <t>弓佳琪</t>
  </si>
  <si>
    <t>谷胜昊</t>
  </si>
  <si>
    <t>桂晨曦</t>
  </si>
  <si>
    <t>郭珂颖</t>
  </si>
  <si>
    <t>郭琳琳</t>
  </si>
  <si>
    <t>郭若斐</t>
  </si>
  <si>
    <t>郭雨昕</t>
  </si>
  <si>
    <t>郭子菡</t>
  </si>
  <si>
    <t>郭紫琳</t>
  </si>
  <si>
    <t>海敬</t>
  </si>
  <si>
    <t>韩安宁</t>
  </si>
  <si>
    <t>韩贝宁</t>
  </si>
  <si>
    <t>韩冰天</t>
  </si>
  <si>
    <t>韩姝</t>
  </si>
  <si>
    <t>韩园</t>
  </si>
  <si>
    <t>韩子薇</t>
  </si>
  <si>
    <t>郝晶晶</t>
  </si>
  <si>
    <t>郝宇晶</t>
  </si>
  <si>
    <t>郝宇淼</t>
  </si>
  <si>
    <t>何雨润</t>
  </si>
  <si>
    <t>胡静宜</t>
  </si>
  <si>
    <t>胡玮鑫</t>
  </si>
  <si>
    <t>胡宇晨</t>
  </si>
  <si>
    <t>胡煜垚</t>
  </si>
  <si>
    <t>胡子鸣</t>
  </si>
  <si>
    <t>黄梦圆</t>
  </si>
  <si>
    <t>黄圣雅</t>
  </si>
  <si>
    <t>黄雨佳</t>
  </si>
  <si>
    <t>黄梓童</t>
  </si>
  <si>
    <t>贾烨</t>
  </si>
  <si>
    <t>江洲</t>
  </si>
  <si>
    <t>姜梦涵</t>
  </si>
  <si>
    <t>焦雪巍</t>
  </si>
  <si>
    <t>金笑含</t>
  </si>
  <si>
    <t>金雨馨</t>
  </si>
  <si>
    <t>康晶菡</t>
  </si>
  <si>
    <t>康璐</t>
  </si>
  <si>
    <t>康雪蓓</t>
  </si>
  <si>
    <t>康译文</t>
  </si>
  <si>
    <t>李崇智</t>
  </si>
  <si>
    <t>李放</t>
  </si>
  <si>
    <t>李涵安</t>
  </si>
  <si>
    <t>李湖龙</t>
  </si>
  <si>
    <t>李惠嘉</t>
  </si>
  <si>
    <t>李佳欣</t>
  </si>
  <si>
    <t>李佳一</t>
  </si>
  <si>
    <t>李嘉雪</t>
  </si>
  <si>
    <t>李菁菁</t>
  </si>
  <si>
    <t>李婧茹</t>
  </si>
  <si>
    <t>李铃坪</t>
  </si>
  <si>
    <t>李美桦</t>
  </si>
  <si>
    <t>李梦珂</t>
  </si>
  <si>
    <t>李梦骐</t>
  </si>
  <si>
    <t>李明蔚</t>
  </si>
  <si>
    <t>李培育</t>
  </si>
  <si>
    <t>李琪</t>
  </si>
  <si>
    <t>李宛樾</t>
  </si>
  <si>
    <t>李婉茹</t>
  </si>
  <si>
    <t>李翔</t>
  </si>
  <si>
    <t>李笑</t>
  </si>
  <si>
    <t>李欣雨</t>
  </si>
  <si>
    <t>李雅琪</t>
  </si>
  <si>
    <t>李怡雪</t>
  </si>
  <si>
    <t>李宜庭</t>
  </si>
  <si>
    <t>李艺昕</t>
  </si>
  <si>
    <t>李永远</t>
  </si>
  <si>
    <t>李月</t>
  </si>
  <si>
    <t>李玥瑶</t>
  </si>
  <si>
    <t>梁朝正</t>
  </si>
  <si>
    <t>梁锦</t>
  </si>
  <si>
    <t>梁怡欣</t>
  </si>
  <si>
    <t>刘贝</t>
  </si>
  <si>
    <t>刘聪慧</t>
  </si>
  <si>
    <t>刘德容</t>
  </si>
  <si>
    <t>刘港</t>
  </si>
  <si>
    <t>刘寒齐</t>
  </si>
  <si>
    <t>刘家行</t>
  </si>
  <si>
    <t>刘家旭</t>
  </si>
  <si>
    <t>刘镭霆</t>
  </si>
  <si>
    <t>刘孟坤</t>
  </si>
  <si>
    <t>刘梦云</t>
  </si>
  <si>
    <t>刘妙溪</t>
  </si>
  <si>
    <t>刘世英</t>
  </si>
  <si>
    <t>刘庶贺</t>
  </si>
  <si>
    <t>刘向洋</t>
  </si>
  <si>
    <t>刘啸洋</t>
  </si>
  <si>
    <t>刘心宇</t>
  </si>
  <si>
    <t>刘昕</t>
  </si>
  <si>
    <t>刘妍</t>
  </si>
  <si>
    <t>刘洋</t>
  </si>
  <si>
    <t>刘姿彤</t>
  </si>
  <si>
    <t>刘子怡</t>
  </si>
  <si>
    <t>娄容荣</t>
  </si>
  <si>
    <t>卢美珩</t>
  </si>
  <si>
    <t>卢蓉洁</t>
  </si>
  <si>
    <t>卢润瑶</t>
  </si>
  <si>
    <t>卢欣怡</t>
  </si>
  <si>
    <t>卢祎玮</t>
  </si>
  <si>
    <t>栾家晨</t>
  </si>
  <si>
    <t>罗典</t>
  </si>
  <si>
    <t>罗嘉</t>
  </si>
  <si>
    <t>罗妍</t>
  </si>
  <si>
    <t>罗羿</t>
  </si>
  <si>
    <t>吕霏</t>
  </si>
  <si>
    <t>吕韦</t>
  </si>
  <si>
    <t>吕笑颜</t>
  </si>
  <si>
    <t>马路遥</t>
  </si>
  <si>
    <t>马橤</t>
  </si>
  <si>
    <t>马小珂</t>
  </si>
  <si>
    <t>马鑫瑞</t>
  </si>
  <si>
    <t>马芝帆</t>
  </si>
  <si>
    <t>买依依</t>
  </si>
  <si>
    <t>毛鑫雨</t>
  </si>
  <si>
    <t>孟冠政</t>
  </si>
  <si>
    <t>孟沛杉</t>
  </si>
  <si>
    <t>孟其鸿</t>
  </si>
  <si>
    <t>孟淇</t>
  </si>
  <si>
    <t>孟子明</t>
  </si>
  <si>
    <t>苗雨菲</t>
  </si>
  <si>
    <t>苗卓然</t>
  </si>
  <si>
    <t>闵丹阳</t>
  </si>
  <si>
    <t>莫玉湘</t>
  </si>
  <si>
    <t>宁慧</t>
  </si>
  <si>
    <t>牛钰睿</t>
  </si>
  <si>
    <t>牛子颖</t>
  </si>
  <si>
    <t>乔悦文</t>
  </si>
  <si>
    <t>秦梦慧</t>
  </si>
  <si>
    <t>秦宇萱</t>
  </si>
  <si>
    <t>饶雨萱</t>
  </si>
  <si>
    <t>任家漪R</t>
  </si>
  <si>
    <t>任雅睿</t>
  </si>
  <si>
    <t>荣佳</t>
  </si>
  <si>
    <t>申芳赫</t>
  </si>
  <si>
    <t>沈嘉仪</t>
  </si>
  <si>
    <t>沈馨儒</t>
  </si>
  <si>
    <t>盛莹莹</t>
  </si>
  <si>
    <t>石苑蓓</t>
  </si>
  <si>
    <t>宋涵</t>
  </si>
  <si>
    <t>宋佳峥</t>
  </si>
  <si>
    <t>宋梦婷</t>
  </si>
  <si>
    <t>宋祺雯</t>
  </si>
  <si>
    <t>宋晓</t>
  </si>
  <si>
    <t>宋欣蔚</t>
  </si>
  <si>
    <t>宋奕璇</t>
  </si>
  <si>
    <t>苏畅</t>
  </si>
  <si>
    <t>苏子涵</t>
  </si>
  <si>
    <t>孙萌</t>
  </si>
  <si>
    <t>孙梦洁</t>
  </si>
  <si>
    <t>孙榕</t>
  </si>
  <si>
    <t>孙文婧</t>
  </si>
  <si>
    <t>谭子琦</t>
  </si>
  <si>
    <t>陶子溪</t>
  </si>
  <si>
    <t>田文倩</t>
  </si>
  <si>
    <t>铁金梦</t>
  </si>
  <si>
    <t>王豪</t>
  </si>
  <si>
    <t>王佳慧</t>
  </si>
  <si>
    <t>王佳薇</t>
  </si>
  <si>
    <t>王嘉宁</t>
  </si>
  <si>
    <t>王嘉蔚</t>
  </si>
  <si>
    <t>王嘉文</t>
  </si>
  <si>
    <t>王敬</t>
  </si>
  <si>
    <t>王珺</t>
  </si>
  <si>
    <t>王凯文</t>
  </si>
  <si>
    <t>王乐语</t>
  </si>
  <si>
    <t>王萌萌</t>
  </si>
  <si>
    <t>王梦茜</t>
  </si>
  <si>
    <t>王宁</t>
  </si>
  <si>
    <t>王沛</t>
  </si>
  <si>
    <t>王鹏飞W</t>
  </si>
  <si>
    <t>王琪</t>
  </si>
  <si>
    <t>王睿</t>
  </si>
  <si>
    <t>王偲</t>
  </si>
  <si>
    <t>王彤</t>
  </si>
  <si>
    <t>王彤婕</t>
  </si>
  <si>
    <t>王婉晴</t>
  </si>
  <si>
    <t>王婉颖</t>
  </si>
  <si>
    <t>王唯</t>
  </si>
  <si>
    <t>王晓</t>
  </si>
  <si>
    <t>王晓晗</t>
  </si>
  <si>
    <t>王馨语</t>
  </si>
  <si>
    <t>王亚辰</t>
  </si>
  <si>
    <t>王亚楠</t>
  </si>
  <si>
    <t>王瑶</t>
  </si>
  <si>
    <t>王怡飞</t>
  </si>
  <si>
    <t>王怡琳</t>
  </si>
  <si>
    <t>王艺</t>
  </si>
  <si>
    <t>王艺博</t>
  </si>
  <si>
    <t>王艺丹</t>
  </si>
  <si>
    <t>王燚</t>
  </si>
  <si>
    <t>王滢滢</t>
  </si>
  <si>
    <t>王子玥</t>
  </si>
  <si>
    <t>王紫怡</t>
  </si>
  <si>
    <t>魏佳瑶</t>
  </si>
  <si>
    <t>魏一凡</t>
  </si>
  <si>
    <t>魏钰函</t>
  </si>
  <si>
    <t>吴金灿</t>
  </si>
  <si>
    <t>吴思桐</t>
  </si>
  <si>
    <t>吴子昕</t>
  </si>
  <si>
    <t>席慕</t>
  </si>
  <si>
    <t>肖欣怡</t>
  </si>
  <si>
    <t>谢箐</t>
  </si>
  <si>
    <t>谢若凌</t>
  </si>
  <si>
    <t>徐冰琦</t>
  </si>
  <si>
    <t>徐靓洁</t>
  </si>
  <si>
    <t>徐如成</t>
  </si>
  <si>
    <t>徐唯一</t>
  </si>
  <si>
    <t>徐薪</t>
  </si>
  <si>
    <t>徐子怡</t>
  </si>
  <si>
    <t>许琬婷</t>
  </si>
  <si>
    <t>许艳亮</t>
  </si>
  <si>
    <t>薛惠文</t>
  </si>
  <si>
    <t>薛宇格</t>
  </si>
  <si>
    <t>荀康乐</t>
  </si>
  <si>
    <t>闫嘉文</t>
  </si>
  <si>
    <t>闫珂</t>
  </si>
  <si>
    <t>闫舒雯</t>
  </si>
  <si>
    <t>燕宏鑫</t>
  </si>
  <si>
    <t>杨靖莹</t>
  </si>
  <si>
    <t>杨款款</t>
  </si>
  <si>
    <t>杨璐煜</t>
  </si>
  <si>
    <t>杨美涵</t>
  </si>
  <si>
    <t>杨梦瑶</t>
  </si>
  <si>
    <t>杨霈</t>
  </si>
  <si>
    <t>杨鹏远</t>
  </si>
  <si>
    <t>杨舒涵</t>
  </si>
  <si>
    <t>杨薇潼</t>
  </si>
  <si>
    <t>杨昱淼</t>
  </si>
  <si>
    <t>杨子暄</t>
  </si>
  <si>
    <t>姚婉菁</t>
  </si>
  <si>
    <t>姚雯</t>
  </si>
  <si>
    <t>易欣</t>
  </si>
  <si>
    <t>尹誉</t>
  </si>
  <si>
    <t>余晓辉</t>
  </si>
  <si>
    <t>余怡诺</t>
  </si>
  <si>
    <t>袁亚男</t>
  </si>
  <si>
    <t>袁怡宁</t>
  </si>
  <si>
    <t>翟雯婧</t>
  </si>
  <si>
    <t>翟笑晨</t>
  </si>
  <si>
    <t>张蓓琰</t>
  </si>
  <si>
    <t>张度</t>
  </si>
  <si>
    <t>张格</t>
  </si>
  <si>
    <t>张佳琪</t>
  </si>
  <si>
    <t>张佳钰</t>
  </si>
  <si>
    <t>张婧雯</t>
  </si>
  <si>
    <t>张珂瑜</t>
  </si>
  <si>
    <t>张诺琛</t>
  </si>
  <si>
    <t>张茜</t>
  </si>
  <si>
    <t>张俏颜</t>
  </si>
  <si>
    <t>张琼</t>
  </si>
  <si>
    <t>张芮</t>
  </si>
  <si>
    <t>张双锦</t>
  </si>
  <si>
    <t>张巍</t>
  </si>
  <si>
    <t>张玮豪</t>
  </si>
  <si>
    <t>张文馨</t>
  </si>
  <si>
    <t>张雯</t>
  </si>
  <si>
    <t>张馨</t>
  </si>
  <si>
    <t>张雪</t>
  </si>
  <si>
    <t>张一涵</t>
  </si>
  <si>
    <t>张怡</t>
  </si>
  <si>
    <t>张艺馨</t>
  </si>
  <si>
    <t>张奕涵</t>
  </si>
  <si>
    <t>张予菲</t>
  </si>
  <si>
    <t>张宇轩</t>
  </si>
  <si>
    <t>张雨涵</t>
  </si>
  <si>
    <t>张玉薇</t>
  </si>
  <si>
    <t>张煜</t>
  </si>
  <si>
    <t>张越</t>
  </si>
  <si>
    <t>张喆</t>
  </si>
  <si>
    <t>张子涵</t>
  </si>
  <si>
    <t>张子玄</t>
  </si>
  <si>
    <t>张子璇</t>
  </si>
  <si>
    <t>张子卓</t>
  </si>
  <si>
    <t>赵琪</t>
  </si>
  <si>
    <t>赵世楠</t>
  </si>
  <si>
    <t>赵思婕</t>
  </si>
  <si>
    <t>赵思琪</t>
  </si>
  <si>
    <t>赵晓坤</t>
  </si>
  <si>
    <t>赵子钧</t>
  </si>
  <si>
    <t>赵子绅</t>
  </si>
  <si>
    <t>郑昊</t>
  </si>
  <si>
    <t>郑馨</t>
  </si>
  <si>
    <t>周乐琪</t>
  </si>
  <si>
    <t>朱婧</t>
  </si>
  <si>
    <t>朱琳</t>
  </si>
  <si>
    <t>朱琪帆</t>
  </si>
  <si>
    <t>朱文博</t>
  </si>
  <si>
    <t>朱亚婷</t>
  </si>
  <si>
    <t>朱怡滢</t>
  </si>
  <si>
    <t>朱滢</t>
  </si>
  <si>
    <t>朱姿</t>
  </si>
  <si>
    <t>部门</t>
  </si>
  <si>
    <t>管理</t>
  </si>
  <si>
    <t>行政</t>
  </si>
  <si>
    <t>人事</t>
  </si>
  <si>
    <t>研发</t>
  </si>
  <si>
    <t>M</t>
    <phoneticPr fontId="1" type="noConversion"/>
  </si>
  <si>
    <t>A</t>
    <phoneticPr fontId="1" type="noConversion"/>
  </si>
  <si>
    <t>H</t>
    <phoneticPr fontId="1" type="noConversion"/>
  </si>
  <si>
    <t>R</t>
    <phoneticPr fontId="1" type="noConversion"/>
  </si>
  <si>
    <t>S</t>
    <phoneticPr fontId="1" type="noConversion"/>
  </si>
  <si>
    <t>部门代码</t>
    <phoneticPr fontId="1" type="noConversion"/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</si>
  <si>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</si>
  <si>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</si>
  <si>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</si>
  <si>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</si>
  <si>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</si>
  <si>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</si>
  <si>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</si>
  <si>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</si>
  <si>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</si>
  <si>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</si>
  <si>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</si>
  <si>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</si>
  <si>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</si>
  <si>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</si>
  <si>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</si>
  <si>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</si>
  <si>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</si>
  <si>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</si>
  <si>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</si>
  <si>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</si>
  <si>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</si>
  <si>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</si>
  <si>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</si>
  <si>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</si>
  <si>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</si>
  <si>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</si>
  <si>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</si>
  <si>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</si>
  <si>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</si>
  <si>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</si>
  <si>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</si>
  <si>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</si>
  <si>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</si>
  <si>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</si>
  <si>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</si>
  <si>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</si>
  <si>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</si>
  <si>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</si>
  <si>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</si>
  <si>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</si>
  <si>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</si>
  <si>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</si>
  <si>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</si>
  <si>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</si>
  <si>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</si>
  <si>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</si>
  <si>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</si>
  <si>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</si>
  <si>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</si>
  <si>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</si>
  <si>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</si>
  <si>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</si>
  <si>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</si>
  <si>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</si>
  <si>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</si>
  <si>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</si>
  <si>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</si>
  <si>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</si>
  <si>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</si>
  <si>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</si>
  <si>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</si>
  <si>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</si>
  <si>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</si>
  <si>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</si>
  <si>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</si>
  <si>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</si>
  <si>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</si>
  <si>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</si>
  <si>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</si>
  <si>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</si>
  <si>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</si>
  <si>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</si>
  <si>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</si>
  <si>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</si>
  <si>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</si>
  <si>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</si>
  <si>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</si>
  <si>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</si>
  <si>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</si>
  <si>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</si>
  <si>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</si>
  <si>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H0001</t>
  </si>
  <si>
    <t>H0002</t>
  </si>
  <si>
    <t>H0003</t>
  </si>
  <si>
    <t>H0004</t>
  </si>
  <si>
    <t>H0005</t>
  </si>
  <si>
    <t>H0006</t>
  </si>
  <si>
    <t>H0007</t>
  </si>
  <si>
    <t>H0008</t>
  </si>
  <si>
    <t>H0009</t>
  </si>
  <si>
    <t>H0010</t>
  </si>
  <si>
    <t>H0011</t>
  </si>
  <si>
    <t>H0012</t>
  </si>
  <si>
    <t>H0013</t>
  </si>
  <si>
    <t>H0014</t>
  </si>
  <si>
    <t>H0015</t>
  </si>
  <si>
    <t>H0016</t>
  </si>
  <si>
    <t>H0017</t>
  </si>
  <si>
    <t>H0018</t>
  </si>
  <si>
    <t>H0019</t>
  </si>
  <si>
    <t>H0020</t>
  </si>
  <si>
    <t>H0021</t>
  </si>
  <si>
    <t>H0022</t>
  </si>
  <si>
    <t>H0023</t>
  </si>
  <si>
    <t>H0024</t>
  </si>
  <si>
    <t>H0025</t>
  </si>
  <si>
    <t>H0026</t>
  </si>
  <si>
    <t>H0027</t>
  </si>
  <si>
    <t>H0028</t>
  </si>
  <si>
    <t>H0029</t>
  </si>
  <si>
    <t>H0030</t>
  </si>
  <si>
    <t>H0031</t>
  </si>
  <si>
    <t>H0032</t>
  </si>
  <si>
    <t>H0033</t>
  </si>
  <si>
    <t>H0034</t>
  </si>
  <si>
    <t>H0035</t>
  </si>
  <si>
    <t>H0036</t>
  </si>
  <si>
    <t>H0037</t>
  </si>
  <si>
    <t>H0038</t>
  </si>
  <si>
    <t>H0039</t>
  </si>
  <si>
    <t>H0040</t>
  </si>
  <si>
    <t>H0041</t>
  </si>
  <si>
    <t>H0042</t>
  </si>
  <si>
    <t>H0043</t>
  </si>
  <si>
    <t>H0044</t>
  </si>
  <si>
    <t>M0001</t>
  </si>
  <si>
    <t>M0002</t>
  </si>
  <si>
    <t>M0003</t>
  </si>
  <si>
    <t>M0004</t>
  </si>
  <si>
    <t>M0005</t>
  </si>
  <si>
    <t>M0006</t>
  </si>
  <si>
    <t>M0007</t>
  </si>
  <si>
    <t>M0008</t>
  </si>
  <si>
    <t>M0009</t>
  </si>
  <si>
    <t>M0010</t>
  </si>
  <si>
    <t>M0011</t>
  </si>
  <si>
    <t>M0012</t>
  </si>
  <si>
    <t>M0013</t>
  </si>
  <si>
    <t>M0014</t>
  </si>
  <si>
    <t>M0015</t>
  </si>
  <si>
    <t>M0016</t>
  </si>
  <si>
    <t>M0017</t>
  </si>
  <si>
    <t>M0018</t>
  </si>
  <si>
    <t>M0019</t>
  </si>
  <si>
    <t>M0020</t>
  </si>
  <si>
    <t>M0021</t>
  </si>
  <si>
    <t>M0022</t>
  </si>
  <si>
    <t>M0023</t>
  </si>
  <si>
    <t>M0024</t>
  </si>
  <si>
    <t>M0025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</si>
  <si>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</si>
  <si>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</si>
  <si>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</si>
  <si>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</si>
  <si>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</si>
  <si>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</si>
  <si>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</si>
  <si>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</si>
  <si>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</si>
  <si>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R0001</t>
  </si>
  <si>
    <t>R0002</t>
  </si>
  <si>
    <t>R0003</t>
  </si>
  <si>
    <t>R0004</t>
  </si>
  <si>
    <t>R0005</t>
  </si>
  <si>
    <t>R0006</t>
  </si>
  <si>
    <t>R0007</t>
  </si>
  <si>
    <t>R0008</t>
  </si>
  <si>
    <t>R0009</t>
  </si>
  <si>
    <t>R0010</t>
  </si>
  <si>
    <t>R0011</t>
  </si>
  <si>
    <t>R0012</t>
  </si>
  <si>
    <t>R0013</t>
  </si>
  <si>
    <t>R0014</t>
  </si>
  <si>
    <t>R0015</t>
  </si>
  <si>
    <t>R0016</t>
  </si>
  <si>
    <t>R0017</t>
  </si>
  <si>
    <t>R0018</t>
  </si>
  <si>
    <t>R0019</t>
  </si>
  <si>
    <t>R0020</t>
  </si>
  <si>
    <t>R0021</t>
  </si>
  <si>
    <t>R0022</t>
  </si>
  <si>
    <t>R0023</t>
  </si>
  <si>
    <t>R0024</t>
  </si>
  <si>
    <t>R0025</t>
  </si>
  <si>
    <t>R0026</t>
  </si>
  <si>
    <t>R0027</t>
  </si>
  <si>
    <t>R0028</t>
  </si>
  <si>
    <t>R0029</t>
  </si>
  <si>
    <t>R0030</t>
  </si>
  <si>
    <t>R0031</t>
  </si>
  <si>
    <t>R0032</t>
  </si>
  <si>
    <t>R0033</t>
  </si>
  <si>
    <t>R0034</t>
  </si>
  <si>
    <t>R0035</t>
  </si>
  <si>
    <t>R0036</t>
  </si>
  <si>
    <t>R0037</t>
  </si>
  <si>
    <t>R0038</t>
  </si>
  <si>
    <t>S0001</t>
  </si>
  <si>
    <t>S0002</t>
  </si>
  <si>
    <t>S0003</t>
  </si>
  <si>
    <t>S0004</t>
  </si>
  <si>
    <t>S0005</t>
  </si>
  <si>
    <t>S0006</t>
  </si>
  <si>
    <t>S0007</t>
  </si>
  <si>
    <t>S0008</t>
  </si>
  <si>
    <t>S0009</t>
  </si>
  <si>
    <t>S0010</t>
  </si>
  <si>
    <t>S0011</t>
  </si>
  <si>
    <t>S0012</t>
  </si>
  <si>
    <t>S0013</t>
  </si>
  <si>
    <t>S0014</t>
  </si>
  <si>
    <t>S0015</t>
  </si>
  <si>
    <t>S0016</t>
  </si>
  <si>
    <t>S0017</t>
  </si>
  <si>
    <t>S0018</t>
  </si>
  <si>
    <t>S0019</t>
  </si>
  <si>
    <t>S0020</t>
  </si>
  <si>
    <t>S0021</t>
  </si>
  <si>
    <t>S0022</t>
  </si>
  <si>
    <t>S0023</t>
  </si>
  <si>
    <t>S0024</t>
  </si>
  <si>
    <t>S0025</t>
  </si>
  <si>
    <t>S0026</t>
  </si>
  <si>
    <t>S0027</t>
  </si>
  <si>
    <t>S0028</t>
  </si>
  <si>
    <t>S0029</t>
  </si>
  <si>
    <t>S0030</t>
  </si>
  <si>
    <t>S0031</t>
  </si>
  <si>
    <t>S0032</t>
  </si>
  <si>
    <t>S0033</t>
  </si>
  <si>
    <t>S0034</t>
  </si>
  <si>
    <t>S0035</t>
  </si>
  <si>
    <t>S0036</t>
  </si>
  <si>
    <t>S0037</t>
  </si>
  <si>
    <t>S0038</t>
  </si>
  <si>
    <t>S0039</t>
  </si>
  <si>
    <t>S0040</t>
  </si>
  <si>
    <t>S0041</t>
  </si>
  <si>
    <t>S0042</t>
  </si>
  <si>
    <t>S0043</t>
  </si>
  <si>
    <t>S0044</t>
  </si>
  <si>
    <t>S0045</t>
  </si>
  <si>
    <t>S0046</t>
  </si>
  <si>
    <t>S0047</t>
  </si>
  <si>
    <t>S0048</t>
  </si>
  <si>
    <t>S0049</t>
  </si>
  <si>
    <t>S0050</t>
  </si>
  <si>
    <t>S0051</t>
  </si>
  <si>
    <t>S0052</t>
  </si>
  <si>
    <t>S0053</t>
  </si>
  <si>
    <t>S0054</t>
  </si>
  <si>
    <t>S0055</t>
  </si>
  <si>
    <t>S0056</t>
  </si>
  <si>
    <t>S0057</t>
  </si>
  <si>
    <t>S0058</t>
  </si>
  <si>
    <t>S0059</t>
  </si>
  <si>
    <t>S0060</t>
  </si>
  <si>
    <t>S0061</t>
  </si>
  <si>
    <t>S0062</t>
  </si>
  <si>
    <t>S0063</t>
  </si>
  <si>
    <t>S0064</t>
  </si>
  <si>
    <t>S0065</t>
  </si>
  <si>
    <t>S0066</t>
  </si>
  <si>
    <t>S0067</t>
  </si>
  <si>
    <t>S0068</t>
  </si>
  <si>
    <t>S0069</t>
  </si>
  <si>
    <t>S0070</t>
  </si>
  <si>
    <t>S0071</t>
  </si>
  <si>
    <t>S0072</t>
  </si>
  <si>
    <t>S0073</t>
  </si>
  <si>
    <t>S0074</t>
  </si>
  <si>
    <t>S0075</t>
  </si>
  <si>
    <t>S0076</t>
  </si>
  <si>
    <t>S0077</t>
  </si>
  <si>
    <t>S0078</t>
  </si>
  <si>
    <t>S0079</t>
  </si>
  <si>
    <t>S0080</t>
  </si>
  <si>
    <t>S0081</t>
  </si>
  <si>
    <t>S0082</t>
  </si>
  <si>
    <t>S0083</t>
  </si>
  <si>
    <t>S0084</t>
  </si>
  <si>
    <t>S0085</t>
  </si>
  <si>
    <t>S0086</t>
  </si>
  <si>
    <t>S0087</t>
  </si>
  <si>
    <t>S0088</t>
  </si>
  <si>
    <t>S0089</t>
  </si>
  <si>
    <t>S0090</t>
  </si>
  <si>
    <t>S0091</t>
  </si>
  <si>
    <t>S0092</t>
  </si>
  <si>
    <t>S0093</t>
  </si>
  <si>
    <t>S0094</t>
  </si>
  <si>
    <t>S0095</t>
  </si>
  <si>
    <t>S0096</t>
  </si>
  <si>
    <t>S0097</t>
  </si>
  <si>
    <t>S0098</t>
  </si>
  <si>
    <t>S0099</t>
  </si>
  <si>
    <t>S0100</t>
  </si>
  <si>
    <t>S0101</t>
  </si>
  <si>
    <t>S0102</t>
  </si>
  <si>
    <t>S0103</t>
  </si>
  <si>
    <t>S0104</t>
  </si>
  <si>
    <t>S0105</t>
  </si>
  <si>
    <t>S0106</t>
  </si>
  <si>
    <t>S0107</t>
  </si>
  <si>
    <t>S0108</t>
  </si>
  <si>
    <t>S0109</t>
  </si>
  <si>
    <t>S0110</t>
  </si>
  <si>
    <t>S0111</t>
  </si>
  <si>
    <t>S0112</t>
  </si>
  <si>
    <t>S0113</t>
  </si>
  <si>
    <t>S0114</t>
  </si>
  <si>
    <t>S0115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</si>
  <si>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</si>
  <si>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</si>
  <si>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</si>
  <si>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</si>
  <si>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</si>
  <si>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</si>
  <si>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</si>
  <si>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</si>
  <si>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</si>
  <si>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S0125</t>
  </si>
  <si>
    <t>S0126</t>
  </si>
  <si>
    <t>S0127</t>
  </si>
  <si>
    <t>S0128</t>
  </si>
  <si>
    <t>S0129</t>
  </si>
  <si>
    <t>S0130</t>
  </si>
  <si>
    <t>S0131</t>
  </si>
  <si>
    <t>S0132</t>
  </si>
  <si>
    <t>S0133</t>
  </si>
  <si>
    <t>S0134</t>
  </si>
  <si>
    <t>S0135</t>
  </si>
  <si>
    <t>S0136</t>
  </si>
  <si>
    <t>S0137</t>
  </si>
  <si>
    <t>S0138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</si>
  <si>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</si>
  <si>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</si>
  <si>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</si>
  <si>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</si>
  <si>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</si>
  <si>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</si>
  <si>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</si>
  <si>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</si>
  <si>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</si>
  <si>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S0148</t>
  </si>
  <si>
    <t>S0149</t>
  </si>
  <si>
    <t>S0150</t>
  </si>
  <si>
    <t>S0151</t>
  </si>
  <si>
    <t>S0152</t>
  </si>
  <si>
    <t>东方公司2015年8月员工工资表</t>
    <phoneticPr fontId="1" type="noConversion"/>
  </si>
  <si>
    <t>全月应纳税所得额</t>
    <phoneticPr fontId="3" type="noConversion"/>
  </si>
  <si>
    <t>税率</t>
    <phoneticPr fontId="3" type="noConversion"/>
  </si>
  <si>
    <t>速算扣除数（元）</t>
    <phoneticPr fontId="3" type="noConversion"/>
  </si>
  <si>
    <t>不超过1500元</t>
    <phoneticPr fontId="3" type="noConversion"/>
  </si>
  <si>
    <t>超过1500元至4500元</t>
    <phoneticPr fontId="3" type="noConversion"/>
  </si>
  <si>
    <t>超过4500元至9000元</t>
    <phoneticPr fontId="3" type="noConversion"/>
  </si>
  <si>
    <t>超过9000元至35000元</t>
    <phoneticPr fontId="3" type="noConversion"/>
  </si>
  <si>
    <t>超过35000元至55000元</t>
    <phoneticPr fontId="3" type="noConversion"/>
  </si>
  <si>
    <t>超过55000元至80000元</t>
    <phoneticPr fontId="3" type="noConversion"/>
  </si>
  <si>
    <t>超过80000元</t>
    <phoneticPr fontId="3" type="noConversion"/>
  </si>
  <si>
    <t>市场</t>
    <phoneticPr fontId="1" type="noConversion"/>
  </si>
  <si>
    <t>管理 平均值</t>
  </si>
  <si>
    <t>人事 平均值</t>
  </si>
  <si>
    <t>市场 平均值</t>
  </si>
  <si>
    <t>行政 平均值</t>
  </si>
  <si>
    <t>研发 平均值</t>
  </si>
  <si>
    <t>总计平均值</t>
  </si>
  <si>
    <t>收入分组</t>
    <phoneticPr fontId="1" type="noConversion"/>
  </si>
  <si>
    <t>3500元以下</t>
    <phoneticPr fontId="1" type="noConversion"/>
  </si>
  <si>
    <t>3500-7999.99元</t>
    <phoneticPr fontId="1" type="noConversion"/>
  </si>
  <si>
    <t>8000-12999.99元</t>
    <phoneticPr fontId="1" type="noConversion"/>
  </si>
  <si>
    <t>13000元及以上</t>
    <phoneticPr fontId="1" type="noConversion"/>
  </si>
  <si>
    <t>人数</t>
    <phoneticPr fontId="1" type="noConversion"/>
  </si>
  <si>
    <t>比例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</si>
</sst>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 &quot;¥&quot;* #,##0.00_ ;_ &quot;¥&quot;* \-#,##0.00_ ;_ &quot;¥&quot;* &quot;-&quot;??_ ;_ @_ "/>
    <numFmt numFmtId="176" formatCode="000"/>
  </numFmts>
  <fonts count="6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8"/>
      <color theme="3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/>
    <xf numFmtId="0" fontId="5" fillId="0" borderId="0" applyNumberFormat="0" applyFill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2" fillId="0" borderId="0" xfId="1" applyAlignment="1">
      <alignment horizontal="center"/>
    </xf>
    <xf numFmtId="0" fontId="2" fillId="0" borderId="0" xfId="1"/>
    <xf numFmtId="9" fontId="2" fillId="0" borderId="0" xfId="1" applyNumberFormat="1" applyAlignment="1">
      <alignment horizontal="center"/>
    </xf>
    <xf numFmtId="0" fontId="0" fillId="0" borderId="0" xfId="0" applyAlignment="1">
      <alignment horizontal="centerContinuous" vertical="center"/>
    </xf>
    <xf numFmtId="0" fontId="5" fillId="0" borderId="0" xfId="2" applyAlignment="1">
      <alignment horizontal="centerContinuous" vertical="center"/>
    </xf>
    <xf numFmtId="44" fontId="0" fillId="0" borderId="0" xfId="0" applyNumberFormat="1" applyAlignment="1">
      <alignment horizontal="centerContinuous" vertical="center"/>
    </xf>
    <xf numFmtId="44" fontId="0" fillId="0" borderId="0" xfId="0" applyNumberFormat="1">
      <alignment vertical="center"/>
    </xf>
    <xf numFmtId="0" fontId="0" fillId="0" borderId="1" xfId="0" applyBorder="1">
      <alignment vertical="center"/>
    </xf>
    <xf numFmtId="44" fontId="0" fillId="0" borderId="1" xfId="0" applyNumberFormat="1" applyBorder="1">
      <alignment vertical="center"/>
    </xf>
    <xf numFmtId="176" fontId="0" fillId="0" borderId="1" xfId="0" applyNumberFormat="1" applyBorder="1">
      <alignment vertical="center"/>
    </xf>
    <xf numFmtId="0" fontId="4" fillId="0" borderId="1" xfId="0" applyFont="1" applyBorder="1">
      <alignment vertical="center"/>
    </xf>
    <xf numFmtId="176" fontId="0" fillId="0" borderId="0" xfId="0" applyNumberFormat="1" applyBorder="1">
      <alignment vertical="center"/>
    </xf>
    <xf numFmtId="0" fontId="0" fillId="0" borderId="0" xfId="0" applyBorder="1">
      <alignment vertical="center"/>
    </xf>
    <xf numFmtId="44" fontId="0" fillId="0" borderId="0" xfId="0" applyNumberFormat="1" applyBorder="1">
      <alignment vertical="center"/>
    </xf>
    <xf numFmtId="0" fontId="4" fillId="0" borderId="0" xfId="0" applyFont="1" applyBorder="1">
      <alignment vertical="center"/>
    </xf>
    <xf numFmtId="9" fontId="0" fillId="0" borderId="0" xfId="0" applyNumberFormat="1">
      <alignment vertical="center"/>
    </xf>
  </cellXfs>
  <cellStyles count="3">
    <cellStyle name="标题" xfId="2" builtinId="15" customBuiltin="1"/>
    <cellStyle name="常规" xfId="0" builtinId="0"/>
    <cellStyle name="常规 2" xfId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收入分布!$B$1</c:f>
              <c:strCache>
                <c:ptCount val="1"/>
                <c:pt idx="0">
                  <c:v>人数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收入分布!$A$2:$A$5</c:f>
              <c:strCache>
                <c:ptCount val="4"/>
                <c:pt idx="0">
                  <c:v>3500元以下</c:v>
                </c:pt>
                <c:pt idx="1">
                  <c:v>3500-7999.99元</c:v>
                </c:pt>
                <c:pt idx="2">
                  <c:v>8000-12999.99元</c:v>
                </c:pt>
                <c:pt idx="3">
                  <c:v>13000元及以上</c:v>
                </c:pt>
              </c:strCache>
            </c:strRef>
          </c:cat>
          <c:val>
            <c:numRef>
              <c:f>收入分布!$B$2:$B$5</c:f>
              <c:numCache>
                <c:formatCode>General</c:formatCode>
                <c:ptCount val="4"/>
                <c:pt idx="0">
                  <c:v>10</c:v>
                </c:pt>
                <c:pt idx="1">
                  <c:v>126</c:v>
                </c:pt>
                <c:pt idx="2">
                  <c:v>137</c:v>
                </c:pt>
                <c:pt idx="3">
                  <c:v>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C7-43A7-8F39-296D592B48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-27"/>
        <c:axId val="612507760"/>
        <c:axId val="612508088"/>
      </c:barChart>
      <c:catAx>
        <c:axId val="61250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2508088"/>
        <c:crosses val="autoZero"/>
        <c:auto val="1"/>
        <c:lblAlgn val="ctr"/>
        <c:lblOffset val="100"/>
        <c:noMultiLvlLbl val="0"/>
      </c:catAx>
      <c:valAx>
        <c:axId val="612508088"/>
        <c:scaling>
          <c:orientation val="minMax"/>
          <c:max val="140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612507760"/>
        <c:crosses val="autoZero"/>
        <c:crossBetween val="between"/>
        <c:majorUnit val="35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</xdr:row>
      <xdr:rowOff>80962</xdr:rowOff>
    </xdr:from>
    <xdr:to>
      <xdr:col>6</xdr:col>
      <xdr:colOff>600075</xdr:colOff>
      <xdr:row>24</xdr:row>
      <xdr:rowOff>95250</xdr:rowOff>
    </xdr:to>
    <xdr:graphicFrame macro="">
      <xdr:nvGraphicFramePr>
        <xdr:cNvPr id="3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1"/>
  <sheetViews>
    <sheetView workbookViewId="0">
      <selection activeCell="A2" sqref="A2:M351"/>
    </sheetView>
  </sheetViews>
  <sheetFormatPr defaultRowHeight="13.5" x14ac:dyDescent="0.15"/>
  <cols>
    <col min="1" max="1" width="9.125" customWidth="1"/>
    <col min="2" max="2" width="9.25" bestFit="1" customWidth="1"/>
    <col min="5" max="5" width="13.875" style="8" bestFit="1" customWidth="1"/>
    <col min="6" max="6" width="12.75" style="8" bestFit="1" customWidth="1"/>
    <col min="7" max="7" width="10.5" style="8" bestFit="1" customWidth="1"/>
    <col min="8" max="8" width="11.5" style="8" bestFit="1" customWidth="1"/>
    <col min="9" max="9" width="13.875" style="8" bestFit="1" customWidth="1"/>
    <col min="10" max="10" width="12.75" style="8" bestFit="1" customWidth="1"/>
    <col min="11" max="11" width="12.75" style="8" customWidth="1"/>
    <col min="12" max="12" width="14.75" style="8" customWidth="1"/>
    <col min="13" max="13" width="13.875" style="8" bestFit="1" customWidth="1"/>
  </cols>
  <sheetData>
    <row r="1" spans="1:13" ht="25.5" customHeight="1" x14ac:dyDescent="0.15">
      <c r="A1" s="6" t="s">
        <v>722</v>
      </c>
      <c r="B1" s="5"/>
      <c r="C1" s="5"/>
      <c r="D1" s="5"/>
      <c r="E1" s="7"/>
      <c r="F1" s="7"/>
      <c r="G1" s="7"/>
      <c r="H1" s="7"/>
      <c r="I1" s="7"/>
      <c r="J1" s="7"/>
      <c r="K1" s="7"/>
      <c r="L1" s="7"/>
      <c r="M1" s="7"/>
    </row>
    <row r="2" spans="1:13" x14ac:dyDescent="0.15">
      <c r="A2" s="9" t="s">
        <v>13</v>
      </c>
      <c r="B2" s="9" t="s">
        <v>14</v>
      </c>
      <c r="C2" s="9" t="s">
        <v>0</v>
      </c>
      <c r="D2" s="9" t="s">
        <v>15</v>
      </c>
      <c r="E2" s="10" t="s">
        <v>16</v>
      </c>
      <c r="F2" s="10" t="s">
        <v>17</v>
      </c>
      <c r="G2" s="10" t="s">
        <v>18</v>
      </c>
      <c r="H2" s="10" t="s">
        <v>19</v>
      </c>
      <c r="I2" s="10" t="s">
        <v>20</v>
      </c>
      <c r="J2" s="10" t="s">
        <v>21</v>
      </c>
      <c r="K2" s="10" t="s">
        <v>22</v>
      </c>
      <c r="L2" s="10" t="s">
        <v>23</v>
      </c>
      <c r="M2" s="10" t="s">
        <v>24</v>
      </c>
    </row>
    <row r="3" spans="1:13" x14ac:dyDescent="0.15">
      <c r="A3" s="11">
        <v>1</v>
      </c>
      <c r="B3" s="9" t="s">
        <v>710</v>
      </c>
      <c r="C3" s="9" t="s">
        <v>9</v>
      </c>
      <c r="D3" s="9" t="str">
        <f>VLOOKUP(LEFT(B3,1),部门信息!$B$1:$C$6,2,0)</f>
        <v>市场</v>
      </c>
      <c r="E3" s="10">
        <v>3400</v>
      </c>
      <c r="F3" s="10">
        <v>100</v>
      </c>
      <c r="G3" s="10">
        <v>135</v>
      </c>
      <c r="H3" s="10">
        <v>164</v>
      </c>
      <c r="I3" s="10">
        <f t="shared" ref="I3:I66" si="0">E3+F3+G3-H3</f>
        <v>3471</v>
      </c>
      <c r="J3" s="10">
        <v>442</v>
      </c>
      <c r="K3" s="10">
        <f>IF(I3-J3-3500&gt;0,I3-J3-3500,0)</f>
        <v>0</v>
      </c>
      <c r="L3" s="10">
        <f>IF(K3&gt;80000,K3*0.45-13505,IF(K3&gt;55000,K3*0.35-5505,IF(K3&gt;35000,K3*0.3-2755,IF(K3&gt;9000,K3*0.25-1005,IF(K3&gt;4500,K3*0.2-555,IF(K3&gt;1500,K3*0.1-105,IF(K3&gt;0,K3*0.03,0)))))))</f>
        <v>0</v>
      </c>
      <c r="M3" s="10">
        <f>I3-J3-L3</f>
        <v>3029</v>
      </c>
    </row>
    <row r="4" spans="1:13" x14ac:dyDescent="0.15">
      <c r="A4" s="11">
        <v>2</v>
      </c>
      <c r="B4" s="9" t="s">
        <v>505</v>
      </c>
      <c r="C4" s="9" t="s">
        <v>28</v>
      </c>
      <c r="D4" s="9" t="str">
        <f>VLOOKUP(LEFT(B4,1),部门信息!$B$1:$C$6,2,0)</f>
        <v>管理</v>
      </c>
      <c r="E4" s="10">
        <v>7000</v>
      </c>
      <c r="F4" s="10">
        <v>100</v>
      </c>
      <c r="G4" s="10">
        <v>225</v>
      </c>
      <c r="H4" s="10">
        <v>271</v>
      </c>
      <c r="I4" s="10">
        <f t="shared" si="0"/>
        <v>7054</v>
      </c>
      <c r="J4" s="10">
        <v>910</v>
      </c>
      <c r="K4" s="10">
        <f t="shared" ref="K4:K67" si="1">IF(I4-J4-3500&gt;0,I4-J4-3500,0)</f>
        <v>2644</v>
      </c>
      <c r="L4" s="10">
        <f t="shared" ref="L4:L67" si="2">IF(K4&gt;80000,K4*0.45-13505,IF(K4&gt;55000,K4*0.35-5505,IF(K4&gt;35000,K4*0.3-2755,IF(K4&gt;9000,K4*0.25-1005,IF(K4&gt;4500,K4*0.2-555,IF(K4&gt;1500,K4*0.1-105,IF(K4&gt;0,K4*0.03,0)))))))</f>
        <v>159.40000000000003</v>
      </c>
      <c r="M4" s="10">
        <f t="shared" ref="M4:M67" si="3">I4-J4-L4</f>
        <v>5984.6</v>
      </c>
    </row>
    <row r="5" spans="1:13" x14ac:dyDescent="0.15">
      <c r="A5" s="11">
        <v>3</v>
      </c>
      <c r="B5" s="9" t="s">
        <v>547</v>
      </c>
      <c r="C5" s="9" t="s">
        <v>29</v>
      </c>
      <c r="D5" s="9" t="str">
        <f>VLOOKUP(LEFT(B5,1),部门信息!$B$1:$C$6,2,0)</f>
        <v>研发</v>
      </c>
      <c r="E5" s="10">
        <v>11500</v>
      </c>
      <c r="F5" s="10">
        <v>0</v>
      </c>
      <c r="G5" s="10">
        <v>405</v>
      </c>
      <c r="H5" s="10">
        <v>34</v>
      </c>
      <c r="I5" s="10">
        <f t="shared" si="0"/>
        <v>11871</v>
      </c>
      <c r="J5" s="10">
        <v>1610</v>
      </c>
      <c r="K5" s="10">
        <f t="shared" si="1"/>
        <v>6761</v>
      </c>
      <c r="L5" s="10">
        <f t="shared" si="2"/>
        <v>797.2</v>
      </c>
      <c r="M5" s="10">
        <f t="shared" si="3"/>
        <v>9463.7999999999993</v>
      </c>
    </row>
    <row r="6" spans="1:13" x14ac:dyDescent="0.15">
      <c r="A6" s="11">
        <v>4</v>
      </c>
      <c r="B6" s="9" t="s">
        <v>436</v>
      </c>
      <c r="C6" s="9" t="s">
        <v>30</v>
      </c>
      <c r="D6" s="9" t="str">
        <f>VLOOKUP(LEFT(B6,1),部门信息!$B$1:$C$6,2,0)</f>
        <v>行政</v>
      </c>
      <c r="E6" s="10">
        <v>9600</v>
      </c>
      <c r="F6" s="10">
        <v>400</v>
      </c>
      <c r="G6" s="10">
        <v>225</v>
      </c>
      <c r="H6" s="10">
        <v>0</v>
      </c>
      <c r="I6" s="10">
        <f t="shared" si="0"/>
        <v>10225</v>
      </c>
      <c r="J6" s="10">
        <v>1344</v>
      </c>
      <c r="K6" s="10">
        <f t="shared" si="1"/>
        <v>5381</v>
      </c>
      <c r="L6" s="10">
        <f t="shared" si="2"/>
        <v>521.20000000000005</v>
      </c>
      <c r="M6" s="10">
        <f t="shared" si="3"/>
        <v>8359.7999999999993</v>
      </c>
    </row>
    <row r="7" spans="1:13" x14ac:dyDescent="0.15">
      <c r="A7" s="11">
        <v>5</v>
      </c>
      <c r="B7" s="9" t="s">
        <v>545</v>
      </c>
      <c r="C7" s="9" t="s">
        <v>31</v>
      </c>
      <c r="D7" s="9" t="str">
        <f>VLOOKUP(LEFT(B7,1),部门信息!$B$1:$C$6,2,0)</f>
        <v>研发</v>
      </c>
      <c r="E7" s="10">
        <v>16400</v>
      </c>
      <c r="F7" s="10">
        <v>700</v>
      </c>
      <c r="G7" s="10">
        <v>450</v>
      </c>
      <c r="H7" s="10">
        <v>314</v>
      </c>
      <c r="I7" s="10">
        <f t="shared" si="0"/>
        <v>17236</v>
      </c>
      <c r="J7" s="10">
        <v>2460</v>
      </c>
      <c r="K7" s="10">
        <f t="shared" si="1"/>
        <v>11276</v>
      </c>
      <c r="L7" s="10">
        <f t="shared" si="2"/>
        <v>1814</v>
      </c>
      <c r="M7" s="10">
        <f t="shared" si="3"/>
        <v>12962</v>
      </c>
    </row>
    <row r="8" spans="1:13" x14ac:dyDescent="0.15">
      <c r="A8" s="11">
        <v>6</v>
      </c>
      <c r="B8" s="9" t="s">
        <v>617</v>
      </c>
      <c r="C8" s="9" t="s">
        <v>32</v>
      </c>
      <c r="D8" s="9" t="str">
        <f>VLOOKUP(LEFT(B8,1),部门信息!$B$1:$C$6,2,0)</f>
        <v>市场</v>
      </c>
      <c r="E8" s="10">
        <v>12700</v>
      </c>
      <c r="F8" s="10">
        <v>500</v>
      </c>
      <c r="G8" s="10">
        <v>405</v>
      </c>
      <c r="H8" s="10">
        <v>0</v>
      </c>
      <c r="I8" s="10">
        <f t="shared" si="0"/>
        <v>13605</v>
      </c>
      <c r="J8" s="10">
        <v>1651</v>
      </c>
      <c r="K8" s="10">
        <f t="shared" si="1"/>
        <v>8454</v>
      </c>
      <c r="L8" s="10">
        <f t="shared" si="2"/>
        <v>1135.8000000000002</v>
      </c>
      <c r="M8" s="10">
        <f t="shared" si="3"/>
        <v>10818.2</v>
      </c>
    </row>
    <row r="9" spans="1:13" x14ac:dyDescent="0.15">
      <c r="A9" s="11">
        <v>7</v>
      </c>
      <c r="B9" s="9" t="s">
        <v>652</v>
      </c>
      <c r="C9" s="9" t="s">
        <v>33</v>
      </c>
      <c r="D9" s="9" t="str">
        <f>VLOOKUP(LEFT(B9,1),部门信息!$B$1:$C$6,2,0)</f>
        <v>市场</v>
      </c>
      <c r="E9" s="10">
        <v>8100</v>
      </c>
      <c r="F9" s="10">
        <v>600</v>
      </c>
      <c r="G9" s="10">
        <v>360</v>
      </c>
      <c r="H9" s="10">
        <v>293</v>
      </c>
      <c r="I9" s="10">
        <f t="shared" si="0"/>
        <v>8767</v>
      </c>
      <c r="J9" s="10">
        <v>972</v>
      </c>
      <c r="K9" s="10">
        <f t="shared" si="1"/>
        <v>4295</v>
      </c>
      <c r="L9" s="10">
        <f t="shared" si="2"/>
        <v>324.5</v>
      </c>
      <c r="M9" s="10">
        <f t="shared" si="3"/>
        <v>7470.5</v>
      </c>
    </row>
    <row r="10" spans="1:13" x14ac:dyDescent="0.15">
      <c r="A10" s="11">
        <v>8</v>
      </c>
      <c r="B10" s="9" t="s">
        <v>564</v>
      </c>
      <c r="C10" s="9" t="s">
        <v>34</v>
      </c>
      <c r="D10" s="9" t="str">
        <f>VLOOKUP(LEFT(B10,1),部门信息!$B$1:$C$6,2,0)</f>
        <v>研发</v>
      </c>
      <c r="E10" s="10">
        <v>8200</v>
      </c>
      <c r="F10" s="10">
        <v>800</v>
      </c>
      <c r="G10" s="10">
        <v>180</v>
      </c>
      <c r="H10" s="10">
        <v>0</v>
      </c>
      <c r="I10" s="10">
        <f t="shared" si="0"/>
        <v>9180</v>
      </c>
      <c r="J10" s="10">
        <v>1148</v>
      </c>
      <c r="K10" s="10">
        <f t="shared" si="1"/>
        <v>4532</v>
      </c>
      <c r="L10" s="10">
        <f t="shared" si="2"/>
        <v>351.40000000000009</v>
      </c>
      <c r="M10" s="10">
        <f t="shared" si="3"/>
        <v>7680.6</v>
      </c>
    </row>
    <row r="11" spans="1:13" x14ac:dyDescent="0.15">
      <c r="A11" s="11">
        <v>9</v>
      </c>
      <c r="B11" s="9" t="s">
        <v>433</v>
      </c>
      <c r="C11" s="9" t="s">
        <v>35</v>
      </c>
      <c r="D11" s="9" t="str">
        <f>VLOOKUP(LEFT(B11,1),部门信息!$B$1:$C$6,2,0)</f>
        <v>行政</v>
      </c>
      <c r="E11" s="10">
        <v>4800</v>
      </c>
      <c r="F11" s="10">
        <v>300</v>
      </c>
      <c r="G11" s="10">
        <v>315</v>
      </c>
      <c r="H11" s="10">
        <v>0</v>
      </c>
      <c r="I11" s="10">
        <f t="shared" si="0"/>
        <v>5415</v>
      </c>
      <c r="J11" s="10">
        <v>576</v>
      </c>
      <c r="K11" s="10">
        <f t="shared" si="1"/>
        <v>1339</v>
      </c>
      <c r="L11" s="10">
        <f t="shared" si="2"/>
        <v>40.17</v>
      </c>
      <c r="M11" s="10">
        <f t="shared" si="3"/>
        <v>4798.83</v>
      </c>
    </row>
    <row r="12" spans="1:13" x14ac:dyDescent="0.15">
      <c r="A12" s="11">
        <v>10</v>
      </c>
      <c r="B12" s="9" t="s">
        <v>499</v>
      </c>
      <c r="C12" s="9" t="s">
        <v>36</v>
      </c>
      <c r="D12" s="9" t="str">
        <f>VLOOKUP(LEFT(B12,1),部门信息!$B$1:$C$6,2,0)</f>
        <v>管理</v>
      </c>
      <c r="E12" s="10">
        <v>4300</v>
      </c>
      <c r="F12" s="10">
        <v>700</v>
      </c>
      <c r="G12" s="10">
        <v>90</v>
      </c>
      <c r="H12" s="10">
        <v>0</v>
      </c>
      <c r="I12" s="10">
        <f t="shared" si="0"/>
        <v>5090</v>
      </c>
      <c r="J12" s="10">
        <v>688</v>
      </c>
      <c r="K12" s="10">
        <f t="shared" si="1"/>
        <v>902</v>
      </c>
      <c r="L12" s="10">
        <f t="shared" si="2"/>
        <v>27.06</v>
      </c>
      <c r="M12" s="10">
        <f t="shared" si="3"/>
        <v>4374.9399999999996</v>
      </c>
    </row>
    <row r="13" spans="1:13" x14ac:dyDescent="0.15">
      <c r="A13" s="11">
        <v>11</v>
      </c>
      <c r="B13" s="9" t="s">
        <v>386</v>
      </c>
      <c r="C13" s="9" t="s">
        <v>37</v>
      </c>
      <c r="D13" s="9" t="str">
        <f>VLOOKUP(LEFT(B13,1),部门信息!$B$1:$C$6,2,0)</f>
        <v>行政</v>
      </c>
      <c r="E13" s="10">
        <v>6500</v>
      </c>
      <c r="F13" s="10">
        <v>100</v>
      </c>
      <c r="G13" s="10">
        <v>315</v>
      </c>
      <c r="H13" s="10">
        <v>231</v>
      </c>
      <c r="I13" s="10">
        <f t="shared" si="0"/>
        <v>6684</v>
      </c>
      <c r="J13" s="10">
        <v>1040</v>
      </c>
      <c r="K13" s="10">
        <f t="shared" si="1"/>
        <v>2144</v>
      </c>
      <c r="L13" s="10">
        <f t="shared" si="2"/>
        <v>109.4</v>
      </c>
      <c r="M13" s="10">
        <f t="shared" si="3"/>
        <v>5534.6</v>
      </c>
    </row>
    <row r="14" spans="1:13" x14ac:dyDescent="0.15">
      <c r="A14" s="11">
        <v>12</v>
      </c>
      <c r="B14" s="9" t="s">
        <v>374</v>
      </c>
      <c r="C14" s="9" t="s">
        <v>4</v>
      </c>
      <c r="D14" s="9" t="str">
        <f>VLOOKUP(LEFT(B14,1),部门信息!$B$1:$C$6,2,0)</f>
        <v>行政</v>
      </c>
      <c r="E14" s="10">
        <v>13300</v>
      </c>
      <c r="F14" s="10">
        <v>300</v>
      </c>
      <c r="G14" s="10">
        <v>90</v>
      </c>
      <c r="H14" s="10">
        <v>7</v>
      </c>
      <c r="I14" s="10">
        <f t="shared" si="0"/>
        <v>13683</v>
      </c>
      <c r="J14" s="10">
        <v>1729</v>
      </c>
      <c r="K14" s="10">
        <f t="shared" si="1"/>
        <v>8454</v>
      </c>
      <c r="L14" s="10">
        <f t="shared" si="2"/>
        <v>1135.8000000000002</v>
      </c>
      <c r="M14" s="10">
        <f t="shared" si="3"/>
        <v>10818.2</v>
      </c>
    </row>
    <row r="15" spans="1:13" x14ac:dyDescent="0.15">
      <c r="A15" s="11">
        <v>13</v>
      </c>
      <c r="B15" s="9" t="s">
        <v>448</v>
      </c>
      <c r="C15" s="9" t="s">
        <v>38</v>
      </c>
      <c r="D15" s="9" t="str">
        <f>VLOOKUP(LEFT(B15,1),部门信息!$B$1:$C$6,2,0)</f>
        <v>行政</v>
      </c>
      <c r="E15" s="10">
        <v>8300</v>
      </c>
      <c r="F15" s="10">
        <v>400</v>
      </c>
      <c r="G15" s="10">
        <v>180</v>
      </c>
      <c r="H15" s="10">
        <v>412</v>
      </c>
      <c r="I15" s="10">
        <f t="shared" si="0"/>
        <v>8468</v>
      </c>
      <c r="J15" s="10">
        <v>996</v>
      </c>
      <c r="K15" s="10">
        <f t="shared" si="1"/>
        <v>3972</v>
      </c>
      <c r="L15" s="10">
        <f t="shared" si="2"/>
        <v>292.20000000000005</v>
      </c>
      <c r="M15" s="10">
        <f t="shared" si="3"/>
        <v>7179.8</v>
      </c>
    </row>
    <row r="16" spans="1:13" x14ac:dyDescent="0.15">
      <c r="A16" s="11">
        <v>14</v>
      </c>
      <c r="B16" s="9" t="s">
        <v>463</v>
      </c>
      <c r="C16" s="9" t="s">
        <v>39</v>
      </c>
      <c r="D16" s="9" t="str">
        <f>VLOOKUP(LEFT(B16,1),部门信息!$B$1:$C$6,2,0)</f>
        <v>人事</v>
      </c>
      <c r="E16" s="10">
        <v>8000</v>
      </c>
      <c r="F16" s="10">
        <v>600</v>
      </c>
      <c r="G16" s="10">
        <v>45</v>
      </c>
      <c r="H16" s="10">
        <v>414</v>
      </c>
      <c r="I16" s="10">
        <f t="shared" si="0"/>
        <v>8231</v>
      </c>
      <c r="J16" s="10">
        <v>1280</v>
      </c>
      <c r="K16" s="10">
        <f t="shared" si="1"/>
        <v>3451</v>
      </c>
      <c r="L16" s="10">
        <f t="shared" si="2"/>
        <v>240.10000000000002</v>
      </c>
      <c r="M16" s="10">
        <f t="shared" si="3"/>
        <v>6710.9</v>
      </c>
    </row>
    <row r="17" spans="1:13" x14ac:dyDescent="0.15">
      <c r="A17" s="11">
        <v>15</v>
      </c>
      <c r="B17" s="9" t="s">
        <v>452</v>
      </c>
      <c r="C17" s="9" t="s">
        <v>40</v>
      </c>
      <c r="D17" s="9" t="str">
        <f>VLOOKUP(LEFT(B17,1),部门信息!$B$1:$C$6,2,0)</f>
        <v>行政</v>
      </c>
      <c r="E17" s="10">
        <v>6900</v>
      </c>
      <c r="F17" s="10">
        <v>400</v>
      </c>
      <c r="G17" s="10">
        <v>225</v>
      </c>
      <c r="H17" s="10">
        <v>179</v>
      </c>
      <c r="I17" s="10">
        <f t="shared" si="0"/>
        <v>7346</v>
      </c>
      <c r="J17" s="10">
        <v>897</v>
      </c>
      <c r="K17" s="10">
        <f t="shared" si="1"/>
        <v>2949</v>
      </c>
      <c r="L17" s="10">
        <f t="shared" si="2"/>
        <v>189.90000000000003</v>
      </c>
      <c r="M17" s="10">
        <f t="shared" si="3"/>
        <v>6259.1</v>
      </c>
    </row>
    <row r="18" spans="1:13" x14ac:dyDescent="0.15">
      <c r="A18" s="11">
        <v>16</v>
      </c>
      <c r="B18" s="9" t="s">
        <v>702</v>
      </c>
      <c r="C18" s="9" t="s">
        <v>41</v>
      </c>
      <c r="D18" s="9" t="str">
        <f>VLOOKUP(LEFT(B18,1),部门信息!$B$1:$C$6,2,0)</f>
        <v>市场</v>
      </c>
      <c r="E18" s="10">
        <v>11500</v>
      </c>
      <c r="F18" s="10">
        <v>400</v>
      </c>
      <c r="G18" s="10">
        <v>315</v>
      </c>
      <c r="H18" s="10">
        <v>355</v>
      </c>
      <c r="I18" s="10">
        <f t="shared" si="0"/>
        <v>11860</v>
      </c>
      <c r="J18" s="10">
        <v>1610</v>
      </c>
      <c r="K18" s="10">
        <f t="shared" si="1"/>
        <v>6750</v>
      </c>
      <c r="L18" s="10">
        <f t="shared" si="2"/>
        <v>795</v>
      </c>
      <c r="M18" s="10">
        <f t="shared" si="3"/>
        <v>9455</v>
      </c>
    </row>
    <row r="19" spans="1:13" x14ac:dyDescent="0.15">
      <c r="A19" s="11">
        <v>17</v>
      </c>
      <c r="B19" s="9" t="s">
        <v>504</v>
      </c>
      <c r="C19" s="9" t="s">
        <v>42</v>
      </c>
      <c r="D19" s="9" t="str">
        <f>VLOOKUP(LEFT(B19,1),部门信息!$B$1:$C$6,2,0)</f>
        <v>管理</v>
      </c>
      <c r="E19" s="10">
        <v>8500</v>
      </c>
      <c r="F19" s="10">
        <v>700</v>
      </c>
      <c r="G19" s="10">
        <v>180</v>
      </c>
      <c r="H19" s="10">
        <v>388</v>
      </c>
      <c r="I19" s="10">
        <f t="shared" si="0"/>
        <v>8992</v>
      </c>
      <c r="J19" s="10">
        <v>1275</v>
      </c>
      <c r="K19" s="10">
        <f t="shared" si="1"/>
        <v>4217</v>
      </c>
      <c r="L19" s="10">
        <f t="shared" si="2"/>
        <v>316.70000000000005</v>
      </c>
      <c r="M19" s="10">
        <f t="shared" si="3"/>
        <v>7400.3</v>
      </c>
    </row>
    <row r="20" spans="1:13" x14ac:dyDescent="0.15">
      <c r="A20" s="11">
        <v>18</v>
      </c>
      <c r="B20" s="9" t="s">
        <v>416</v>
      </c>
      <c r="C20" s="9" t="s">
        <v>43</v>
      </c>
      <c r="D20" s="9" t="str">
        <f>VLOOKUP(LEFT(B20,1),部门信息!$B$1:$C$6,2,0)</f>
        <v>行政</v>
      </c>
      <c r="E20" s="10">
        <v>5000</v>
      </c>
      <c r="F20" s="10">
        <v>400</v>
      </c>
      <c r="G20" s="10">
        <v>180</v>
      </c>
      <c r="H20" s="10">
        <v>0</v>
      </c>
      <c r="I20" s="10">
        <f t="shared" si="0"/>
        <v>5580</v>
      </c>
      <c r="J20" s="10">
        <v>800</v>
      </c>
      <c r="K20" s="10">
        <f t="shared" si="1"/>
        <v>1280</v>
      </c>
      <c r="L20" s="10">
        <f t="shared" si="2"/>
        <v>38.4</v>
      </c>
      <c r="M20" s="10">
        <f t="shared" si="3"/>
        <v>4741.6000000000004</v>
      </c>
    </row>
    <row r="21" spans="1:13" x14ac:dyDescent="0.15">
      <c r="A21" s="11">
        <v>19</v>
      </c>
      <c r="B21" s="9" t="s">
        <v>626</v>
      </c>
      <c r="C21" s="9" t="s">
        <v>44</v>
      </c>
      <c r="D21" s="9" t="str">
        <f>VLOOKUP(LEFT(B21,1),部门信息!$B$1:$C$6,2,0)</f>
        <v>市场</v>
      </c>
      <c r="E21" s="10">
        <v>19200</v>
      </c>
      <c r="F21" s="10">
        <v>200</v>
      </c>
      <c r="G21" s="10">
        <v>90</v>
      </c>
      <c r="H21" s="10">
        <v>0</v>
      </c>
      <c r="I21" s="10">
        <f t="shared" si="0"/>
        <v>19490</v>
      </c>
      <c r="J21" s="10">
        <v>2880</v>
      </c>
      <c r="K21" s="10">
        <f t="shared" si="1"/>
        <v>13110</v>
      </c>
      <c r="L21" s="10">
        <f t="shared" si="2"/>
        <v>2272.5</v>
      </c>
      <c r="M21" s="10">
        <f t="shared" si="3"/>
        <v>14337.5</v>
      </c>
    </row>
    <row r="22" spans="1:13" x14ac:dyDescent="0.15">
      <c r="A22" s="11">
        <v>20</v>
      </c>
      <c r="B22" s="9" t="s">
        <v>412</v>
      </c>
      <c r="C22" s="9" t="s">
        <v>45</v>
      </c>
      <c r="D22" s="9" t="str">
        <f>VLOOKUP(LEFT(B22,1),部门信息!$B$1:$C$6,2,0)</f>
        <v>行政</v>
      </c>
      <c r="E22" s="10">
        <v>5900</v>
      </c>
      <c r="F22" s="10">
        <v>900</v>
      </c>
      <c r="G22" s="10">
        <v>90</v>
      </c>
      <c r="H22" s="10">
        <v>121</v>
      </c>
      <c r="I22" s="10">
        <f t="shared" si="0"/>
        <v>6769</v>
      </c>
      <c r="J22" s="10">
        <v>708</v>
      </c>
      <c r="K22" s="10">
        <f t="shared" si="1"/>
        <v>2561</v>
      </c>
      <c r="L22" s="10">
        <f t="shared" si="2"/>
        <v>151.10000000000002</v>
      </c>
      <c r="M22" s="10">
        <f t="shared" si="3"/>
        <v>5909.9</v>
      </c>
    </row>
    <row r="23" spans="1:13" x14ac:dyDescent="0.15">
      <c r="A23" s="11">
        <v>21</v>
      </c>
      <c r="B23" s="9" t="s">
        <v>691</v>
      </c>
      <c r="C23" s="9" t="s">
        <v>46</v>
      </c>
      <c r="D23" s="9" t="str">
        <f>VLOOKUP(LEFT(B23,1),部门信息!$B$1:$C$6,2,0)</f>
        <v>市场</v>
      </c>
      <c r="E23" s="10">
        <v>19100</v>
      </c>
      <c r="F23" s="10">
        <v>700</v>
      </c>
      <c r="G23" s="10">
        <v>315</v>
      </c>
      <c r="H23" s="10">
        <v>0</v>
      </c>
      <c r="I23" s="10">
        <f t="shared" si="0"/>
        <v>20115</v>
      </c>
      <c r="J23" s="10">
        <v>2865</v>
      </c>
      <c r="K23" s="10">
        <f t="shared" si="1"/>
        <v>13750</v>
      </c>
      <c r="L23" s="10">
        <f t="shared" si="2"/>
        <v>2432.5</v>
      </c>
      <c r="M23" s="10">
        <f t="shared" si="3"/>
        <v>14817.5</v>
      </c>
    </row>
    <row r="24" spans="1:13" x14ac:dyDescent="0.15">
      <c r="A24" s="11">
        <v>22</v>
      </c>
      <c r="B24" s="9" t="s">
        <v>378</v>
      </c>
      <c r="C24" s="9" t="s">
        <v>47</v>
      </c>
      <c r="D24" s="9" t="str">
        <f>VLOOKUP(LEFT(B24,1),部门信息!$B$1:$C$6,2,0)</f>
        <v>行政</v>
      </c>
      <c r="E24" s="10">
        <v>8400</v>
      </c>
      <c r="F24" s="10">
        <v>800</v>
      </c>
      <c r="G24" s="10">
        <v>315</v>
      </c>
      <c r="H24" s="10">
        <v>280</v>
      </c>
      <c r="I24" s="10">
        <f t="shared" si="0"/>
        <v>9235</v>
      </c>
      <c r="J24" s="10">
        <v>1344</v>
      </c>
      <c r="K24" s="10">
        <f t="shared" si="1"/>
        <v>4391</v>
      </c>
      <c r="L24" s="10">
        <f t="shared" si="2"/>
        <v>334.1</v>
      </c>
      <c r="M24" s="10">
        <f t="shared" si="3"/>
        <v>7556.9</v>
      </c>
    </row>
    <row r="25" spans="1:13" x14ac:dyDescent="0.15">
      <c r="A25" s="11">
        <v>23</v>
      </c>
      <c r="B25" s="9" t="s">
        <v>493</v>
      </c>
      <c r="C25" s="9" t="s">
        <v>48</v>
      </c>
      <c r="D25" s="9" t="str">
        <f>VLOOKUP(LEFT(B25,1),部门信息!$B$1:$C$6,2,0)</f>
        <v>人事</v>
      </c>
      <c r="E25" s="10">
        <v>9200</v>
      </c>
      <c r="F25" s="10">
        <v>200</v>
      </c>
      <c r="G25" s="10">
        <v>360</v>
      </c>
      <c r="H25" s="10">
        <v>0</v>
      </c>
      <c r="I25" s="10">
        <f t="shared" si="0"/>
        <v>9760</v>
      </c>
      <c r="J25" s="10">
        <v>1288</v>
      </c>
      <c r="K25" s="10">
        <f t="shared" si="1"/>
        <v>4972</v>
      </c>
      <c r="L25" s="10">
        <f t="shared" si="2"/>
        <v>439.40000000000009</v>
      </c>
      <c r="M25" s="10">
        <f t="shared" si="3"/>
        <v>8032.6</v>
      </c>
    </row>
    <row r="26" spans="1:13" x14ac:dyDescent="0.15">
      <c r="A26" s="11">
        <v>24</v>
      </c>
      <c r="B26" s="9" t="s">
        <v>594</v>
      </c>
      <c r="C26" s="9" t="s">
        <v>49</v>
      </c>
      <c r="D26" s="9" t="str">
        <f>VLOOKUP(LEFT(B26,1),部门信息!$B$1:$C$6,2,0)</f>
        <v>市场</v>
      </c>
      <c r="E26" s="10">
        <v>14500</v>
      </c>
      <c r="F26" s="10">
        <v>1000</v>
      </c>
      <c r="G26" s="10">
        <v>45</v>
      </c>
      <c r="H26" s="10">
        <v>32</v>
      </c>
      <c r="I26" s="10">
        <f t="shared" si="0"/>
        <v>15513</v>
      </c>
      <c r="J26" s="10">
        <v>1885</v>
      </c>
      <c r="K26" s="10">
        <f t="shared" si="1"/>
        <v>10128</v>
      </c>
      <c r="L26" s="10">
        <f t="shared" si="2"/>
        <v>1527</v>
      </c>
      <c r="M26" s="10">
        <f t="shared" si="3"/>
        <v>12101</v>
      </c>
    </row>
    <row r="27" spans="1:13" x14ac:dyDescent="0.15">
      <c r="A27" s="11">
        <v>25</v>
      </c>
      <c r="B27" s="9" t="s">
        <v>389</v>
      </c>
      <c r="C27" s="9" t="s">
        <v>50</v>
      </c>
      <c r="D27" s="9" t="str">
        <f>VLOOKUP(LEFT(B27,1),部门信息!$B$1:$C$6,2,0)</f>
        <v>行政</v>
      </c>
      <c r="E27" s="10">
        <v>15600</v>
      </c>
      <c r="F27" s="10">
        <v>800</v>
      </c>
      <c r="G27" s="10">
        <v>450</v>
      </c>
      <c r="H27" s="10">
        <v>0</v>
      </c>
      <c r="I27" s="10">
        <f t="shared" si="0"/>
        <v>16850</v>
      </c>
      <c r="J27" s="10">
        <v>2496</v>
      </c>
      <c r="K27" s="10">
        <f t="shared" si="1"/>
        <v>10854</v>
      </c>
      <c r="L27" s="10">
        <f t="shared" si="2"/>
        <v>1708.5</v>
      </c>
      <c r="M27" s="10">
        <f t="shared" si="3"/>
        <v>12645.5</v>
      </c>
    </row>
    <row r="28" spans="1:13" x14ac:dyDescent="0.15">
      <c r="A28" s="11">
        <v>26</v>
      </c>
      <c r="B28" s="9" t="s">
        <v>684</v>
      </c>
      <c r="C28" s="9" t="s">
        <v>51</v>
      </c>
      <c r="D28" s="9" t="str">
        <f>VLOOKUP(LEFT(B28,1),部门信息!$B$1:$C$6,2,0)</f>
        <v>市场</v>
      </c>
      <c r="E28" s="10">
        <v>8500</v>
      </c>
      <c r="F28" s="10">
        <v>400</v>
      </c>
      <c r="G28" s="10">
        <v>225</v>
      </c>
      <c r="H28" s="10">
        <v>348</v>
      </c>
      <c r="I28" s="10">
        <f t="shared" si="0"/>
        <v>8777</v>
      </c>
      <c r="J28" s="10">
        <v>1190</v>
      </c>
      <c r="K28" s="10">
        <f t="shared" si="1"/>
        <v>4087</v>
      </c>
      <c r="L28" s="10">
        <f t="shared" si="2"/>
        <v>303.70000000000005</v>
      </c>
      <c r="M28" s="10">
        <f t="shared" si="3"/>
        <v>7283.3</v>
      </c>
    </row>
    <row r="29" spans="1:13" x14ac:dyDescent="0.15">
      <c r="A29" s="11">
        <v>27</v>
      </c>
      <c r="B29" s="9" t="s">
        <v>459</v>
      </c>
      <c r="C29" s="9" t="s">
        <v>52</v>
      </c>
      <c r="D29" s="9" t="str">
        <f>VLOOKUP(LEFT(B29,1),部门信息!$B$1:$C$6,2,0)</f>
        <v>人事</v>
      </c>
      <c r="E29" s="10">
        <v>6000</v>
      </c>
      <c r="F29" s="10">
        <v>600</v>
      </c>
      <c r="G29" s="10">
        <v>90</v>
      </c>
      <c r="H29" s="10">
        <v>189</v>
      </c>
      <c r="I29" s="10">
        <f t="shared" si="0"/>
        <v>6501</v>
      </c>
      <c r="J29" s="10">
        <v>900</v>
      </c>
      <c r="K29" s="10">
        <f t="shared" si="1"/>
        <v>2101</v>
      </c>
      <c r="L29" s="10">
        <f t="shared" si="2"/>
        <v>105.10000000000002</v>
      </c>
      <c r="M29" s="10">
        <f t="shared" si="3"/>
        <v>5495.9</v>
      </c>
    </row>
    <row r="30" spans="1:13" x14ac:dyDescent="0.15">
      <c r="A30" s="11">
        <v>28</v>
      </c>
      <c r="B30" s="9" t="s">
        <v>720</v>
      </c>
      <c r="C30" s="9" t="s">
        <v>53</v>
      </c>
      <c r="D30" s="9" t="str">
        <f>VLOOKUP(LEFT(B30,1),部门信息!$B$1:$C$6,2,0)</f>
        <v>市场</v>
      </c>
      <c r="E30" s="10">
        <v>15400</v>
      </c>
      <c r="F30" s="10">
        <v>900</v>
      </c>
      <c r="G30" s="10">
        <v>360</v>
      </c>
      <c r="H30" s="10">
        <v>0</v>
      </c>
      <c r="I30" s="10">
        <f t="shared" si="0"/>
        <v>16660</v>
      </c>
      <c r="J30" s="10">
        <v>1848</v>
      </c>
      <c r="K30" s="10">
        <f t="shared" si="1"/>
        <v>11312</v>
      </c>
      <c r="L30" s="10">
        <f t="shared" si="2"/>
        <v>1823</v>
      </c>
      <c r="M30" s="10">
        <f t="shared" si="3"/>
        <v>12989</v>
      </c>
    </row>
    <row r="31" spans="1:13" x14ac:dyDescent="0.15">
      <c r="A31" s="11">
        <v>29</v>
      </c>
      <c r="B31" s="9" t="s">
        <v>716</v>
      </c>
      <c r="C31" s="9" t="s">
        <v>54</v>
      </c>
      <c r="D31" s="9" t="str">
        <f>VLOOKUP(LEFT(B31,1),部门信息!$B$1:$C$6,2,0)</f>
        <v>市场</v>
      </c>
      <c r="E31" s="10">
        <v>14700</v>
      </c>
      <c r="F31" s="10">
        <v>800</v>
      </c>
      <c r="G31" s="10">
        <v>225</v>
      </c>
      <c r="H31" s="10">
        <v>0</v>
      </c>
      <c r="I31" s="10">
        <f t="shared" si="0"/>
        <v>15725</v>
      </c>
      <c r="J31" s="10">
        <v>2058</v>
      </c>
      <c r="K31" s="10">
        <f t="shared" si="1"/>
        <v>10167</v>
      </c>
      <c r="L31" s="10">
        <f t="shared" si="2"/>
        <v>1536.75</v>
      </c>
      <c r="M31" s="10">
        <f t="shared" si="3"/>
        <v>12130.25</v>
      </c>
    </row>
    <row r="32" spans="1:13" x14ac:dyDescent="0.15">
      <c r="A32" s="11">
        <v>30</v>
      </c>
      <c r="B32" s="9" t="s">
        <v>662</v>
      </c>
      <c r="C32" s="9" t="s">
        <v>55</v>
      </c>
      <c r="D32" s="9" t="str">
        <f>VLOOKUP(LEFT(B32,1),部门信息!$B$1:$C$6,2,0)</f>
        <v>市场</v>
      </c>
      <c r="E32" s="10">
        <v>3400</v>
      </c>
      <c r="F32" s="10">
        <v>500</v>
      </c>
      <c r="G32" s="10">
        <v>315</v>
      </c>
      <c r="H32" s="10">
        <v>0</v>
      </c>
      <c r="I32" s="10">
        <f t="shared" si="0"/>
        <v>4215</v>
      </c>
      <c r="J32" s="10">
        <v>544</v>
      </c>
      <c r="K32" s="10">
        <f t="shared" si="1"/>
        <v>171</v>
      </c>
      <c r="L32" s="10">
        <f t="shared" si="2"/>
        <v>5.13</v>
      </c>
      <c r="M32" s="10">
        <f t="shared" si="3"/>
        <v>3665.87</v>
      </c>
    </row>
    <row r="33" spans="1:13" x14ac:dyDescent="0.15">
      <c r="A33" s="11">
        <v>31</v>
      </c>
      <c r="B33" s="9" t="s">
        <v>428</v>
      </c>
      <c r="C33" s="9" t="s">
        <v>56</v>
      </c>
      <c r="D33" s="9" t="str">
        <f>VLOOKUP(LEFT(B33,1),部门信息!$B$1:$C$6,2,0)</f>
        <v>行政</v>
      </c>
      <c r="E33" s="10">
        <v>15100</v>
      </c>
      <c r="F33" s="10">
        <v>0</v>
      </c>
      <c r="G33" s="10">
        <v>180</v>
      </c>
      <c r="H33" s="10">
        <v>0</v>
      </c>
      <c r="I33" s="10">
        <f t="shared" si="0"/>
        <v>15280</v>
      </c>
      <c r="J33" s="10">
        <v>2416</v>
      </c>
      <c r="K33" s="10">
        <f t="shared" si="1"/>
        <v>9364</v>
      </c>
      <c r="L33" s="10">
        <f t="shared" si="2"/>
        <v>1336</v>
      </c>
      <c r="M33" s="10">
        <f t="shared" si="3"/>
        <v>11528</v>
      </c>
    </row>
    <row r="34" spans="1:13" x14ac:dyDescent="0.15">
      <c r="A34" s="11">
        <v>32</v>
      </c>
      <c r="B34" s="9" t="s">
        <v>565</v>
      </c>
      <c r="C34" s="9" t="s">
        <v>57</v>
      </c>
      <c r="D34" s="9" t="str">
        <f>VLOOKUP(LEFT(B34,1),部门信息!$B$1:$C$6,2,0)</f>
        <v>研发</v>
      </c>
      <c r="E34" s="10">
        <v>18600</v>
      </c>
      <c r="F34" s="10">
        <v>300</v>
      </c>
      <c r="G34" s="10">
        <v>405</v>
      </c>
      <c r="H34" s="10">
        <v>0</v>
      </c>
      <c r="I34" s="10">
        <f t="shared" si="0"/>
        <v>19305</v>
      </c>
      <c r="J34" s="10">
        <v>2976</v>
      </c>
      <c r="K34" s="10">
        <f t="shared" si="1"/>
        <v>12829</v>
      </c>
      <c r="L34" s="10">
        <f t="shared" si="2"/>
        <v>2202.25</v>
      </c>
      <c r="M34" s="10">
        <f t="shared" si="3"/>
        <v>14126.75</v>
      </c>
    </row>
    <row r="35" spans="1:13" x14ac:dyDescent="0.15">
      <c r="A35" s="11">
        <v>33</v>
      </c>
      <c r="B35" s="9" t="s">
        <v>520</v>
      </c>
      <c r="C35" s="9" t="s">
        <v>58</v>
      </c>
      <c r="D35" s="9" t="str">
        <f>VLOOKUP(LEFT(B35,1),部门信息!$B$1:$C$6,2,0)</f>
        <v>管理</v>
      </c>
      <c r="E35" s="10">
        <v>6100</v>
      </c>
      <c r="F35" s="10">
        <v>900</v>
      </c>
      <c r="G35" s="10">
        <v>450</v>
      </c>
      <c r="H35" s="10">
        <v>143</v>
      </c>
      <c r="I35" s="10">
        <f t="shared" si="0"/>
        <v>7307</v>
      </c>
      <c r="J35" s="10">
        <v>915</v>
      </c>
      <c r="K35" s="10">
        <f t="shared" si="1"/>
        <v>2892</v>
      </c>
      <c r="L35" s="10">
        <f t="shared" si="2"/>
        <v>184.2</v>
      </c>
      <c r="M35" s="10">
        <f t="shared" si="3"/>
        <v>6207.8</v>
      </c>
    </row>
    <row r="36" spans="1:13" x14ac:dyDescent="0.15">
      <c r="A36" s="11">
        <v>34</v>
      </c>
      <c r="B36" s="9" t="s">
        <v>622</v>
      </c>
      <c r="C36" s="9" t="s">
        <v>59</v>
      </c>
      <c r="D36" s="9" t="str">
        <f>VLOOKUP(LEFT(B36,1),部门信息!$B$1:$C$6,2,0)</f>
        <v>市场</v>
      </c>
      <c r="E36" s="10">
        <v>16500</v>
      </c>
      <c r="F36" s="10">
        <v>900</v>
      </c>
      <c r="G36" s="10">
        <v>135</v>
      </c>
      <c r="H36" s="10">
        <v>143</v>
      </c>
      <c r="I36" s="10">
        <f t="shared" si="0"/>
        <v>17392</v>
      </c>
      <c r="J36" s="10">
        <v>2640</v>
      </c>
      <c r="K36" s="10">
        <f t="shared" si="1"/>
        <v>11252</v>
      </c>
      <c r="L36" s="10">
        <f t="shared" si="2"/>
        <v>1808</v>
      </c>
      <c r="M36" s="10">
        <f t="shared" si="3"/>
        <v>12944</v>
      </c>
    </row>
    <row r="37" spans="1:13" x14ac:dyDescent="0.15">
      <c r="A37" s="11">
        <v>35</v>
      </c>
      <c r="B37" s="9" t="s">
        <v>469</v>
      </c>
      <c r="C37" s="9" t="s">
        <v>60</v>
      </c>
      <c r="D37" s="9" t="str">
        <f>VLOOKUP(LEFT(B37,1),部门信息!$B$1:$C$6,2,0)</f>
        <v>人事</v>
      </c>
      <c r="E37" s="10">
        <v>19200</v>
      </c>
      <c r="F37" s="10">
        <v>1000</v>
      </c>
      <c r="G37" s="10">
        <v>405</v>
      </c>
      <c r="H37" s="10">
        <v>0</v>
      </c>
      <c r="I37" s="10">
        <f t="shared" si="0"/>
        <v>20605</v>
      </c>
      <c r="J37" s="10">
        <v>2880</v>
      </c>
      <c r="K37" s="10">
        <f t="shared" si="1"/>
        <v>14225</v>
      </c>
      <c r="L37" s="10">
        <f t="shared" si="2"/>
        <v>2551.25</v>
      </c>
      <c r="M37" s="10">
        <f t="shared" si="3"/>
        <v>15173.75</v>
      </c>
    </row>
    <row r="38" spans="1:13" x14ac:dyDescent="0.15">
      <c r="A38" s="11">
        <v>36</v>
      </c>
      <c r="B38" s="9" t="s">
        <v>498</v>
      </c>
      <c r="C38" s="9" t="s">
        <v>61</v>
      </c>
      <c r="D38" s="9" t="str">
        <f>VLOOKUP(LEFT(B38,1),部门信息!$B$1:$C$6,2,0)</f>
        <v>管理</v>
      </c>
      <c r="E38" s="10">
        <v>19100</v>
      </c>
      <c r="F38" s="10">
        <v>300</v>
      </c>
      <c r="G38" s="10">
        <v>135</v>
      </c>
      <c r="H38" s="10">
        <v>380</v>
      </c>
      <c r="I38" s="10">
        <f t="shared" si="0"/>
        <v>19155</v>
      </c>
      <c r="J38" s="10">
        <v>2483</v>
      </c>
      <c r="K38" s="10">
        <f t="shared" si="1"/>
        <v>13172</v>
      </c>
      <c r="L38" s="10">
        <f t="shared" si="2"/>
        <v>2288</v>
      </c>
      <c r="M38" s="10">
        <f t="shared" si="3"/>
        <v>14384</v>
      </c>
    </row>
    <row r="39" spans="1:13" x14ac:dyDescent="0.15">
      <c r="A39" s="11">
        <v>37</v>
      </c>
      <c r="B39" s="9" t="s">
        <v>486</v>
      </c>
      <c r="C39" s="9" t="s">
        <v>62</v>
      </c>
      <c r="D39" s="9" t="str">
        <f>VLOOKUP(LEFT(B39,1),部门信息!$B$1:$C$6,2,0)</f>
        <v>人事</v>
      </c>
      <c r="E39" s="10">
        <v>17100</v>
      </c>
      <c r="F39" s="10">
        <v>900</v>
      </c>
      <c r="G39" s="10">
        <v>90</v>
      </c>
      <c r="H39" s="10">
        <v>139</v>
      </c>
      <c r="I39" s="10">
        <f t="shared" si="0"/>
        <v>17951</v>
      </c>
      <c r="J39" s="10">
        <v>2223</v>
      </c>
      <c r="K39" s="10">
        <f t="shared" si="1"/>
        <v>12228</v>
      </c>
      <c r="L39" s="10">
        <f t="shared" si="2"/>
        <v>2052</v>
      </c>
      <c r="M39" s="10">
        <f t="shared" si="3"/>
        <v>13676</v>
      </c>
    </row>
    <row r="40" spans="1:13" x14ac:dyDescent="0.15">
      <c r="A40" s="11">
        <v>38</v>
      </c>
      <c r="B40" s="9" t="s">
        <v>422</v>
      </c>
      <c r="C40" s="9" t="s">
        <v>63</v>
      </c>
      <c r="D40" s="9" t="str">
        <f>VLOOKUP(LEFT(B40,1),部门信息!$B$1:$C$6,2,0)</f>
        <v>行政</v>
      </c>
      <c r="E40" s="10">
        <v>17600</v>
      </c>
      <c r="F40" s="10">
        <v>300</v>
      </c>
      <c r="G40" s="10">
        <v>180</v>
      </c>
      <c r="H40" s="10">
        <v>0</v>
      </c>
      <c r="I40" s="10">
        <f t="shared" si="0"/>
        <v>18080</v>
      </c>
      <c r="J40" s="10">
        <v>2816</v>
      </c>
      <c r="K40" s="10">
        <f t="shared" si="1"/>
        <v>11764</v>
      </c>
      <c r="L40" s="10">
        <f t="shared" si="2"/>
        <v>1936</v>
      </c>
      <c r="M40" s="10">
        <f t="shared" si="3"/>
        <v>13328</v>
      </c>
    </row>
    <row r="41" spans="1:13" x14ac:dyDescent="0.15">
      <c r="A41" s="11">
        <v>39</v>
      </c>
      <c r="B41" s="9" t="s">
        <v>437</v>
      </c>
      <c r="C41" s="9" t="s">
        <v>64</v>
      </c>
      <c r="D41" s="9" t="str">
        <f>VLOOKUP(LEFT(B41,1),部门信息!$B$1:$C$6,2,0)</f>
        <v>行政</v>
      </c>
      <c r="E41" s="10">
        <v>7800</v>
      </c>
      <c r="F41" s="10">
        <v>400</v>
      </c>
      <c r="G41" s="10">
        <v>135</v>
      </c>
      <c r="H41" s="10">
        <v>463</v>
      </c>
      <c r="I41" s="10">
        <f t="shared" si="0"/>
        <v>7872</v>
      </c>
      <c r="J41" s="10">
        <v>936</v>
      </c>
      <c r="K41" s="10">
        <f t="shared" si="1"/>
        <v>3436</v>
      </c>
      <c r="L41" s="10">
        <f t="shared" si="2"/>
        <v>238.60000000000002</v>
      </c>
      <c r="M41" s="10">
        <f t="shared" si="3"/>
        <v>6697.4</v>
      </c>
    </row>
    <row r="42" spans="1:13" x14ac:dyDescent="0.15">
      <c r="A42" s="11">
        <v>40</v>
      </c>
      <c r="B42" s="9" t="s">
        <v>449</v>
      </c>
      <c r="C42" s="9" t="s">
        <v>65</v>
      </c>
      <c r="D42" s="9" t="str">
        <f>VLOOKUP(LEFT(B42,1),部门信息!$B$1:$C$6,2,0)</f>
        <v>行政</v>
      </c>
      <c r="E42" s="10">
        <v>20000</v>
      </c>
      <c r="F42" s="10">
        <v>900</v>
      </c>
      <c r="G42" s="10">
        <v>135</v>
      </c>
      <c r="H42" s="10">
        <v>299</v>
      </c>
      <c r="I42" s="10">
        <f t="shared" si="0"/>
        <v>20736</v>
      </c>
      <c r="J42" s="10">
        <v>3000</v>
      </c>
      <c r="K42" s="10">
        <f t="shared" si="1"/>
        <v>14236</v>
      </c>
      <c r="L42" s="10">
        <f t="shared" si="2"/>
        <v>2554</v>
      </c>
      <c r="M42" s="10">
        <f t="shared" si="3"/>
        <v>15182</v>
      </c>
    </row>
    <row r="43" spans="1:13" x14ac:dyDescent="0.15">
      <c r="A43" s="11">
        <v>41</v>
      </c>
      <c r="B43" s="9" t="s">
        <v>418</v>
      </c>
      <c r="C43" s="9" t="s">
        <v>66</v>
      </c>
      <c r="D43" s="9" t="str">
        <f>VLOOKUP(LEFT(B43,1),部门信息!$B$1:$C$6,2,0)</f>
        <v>行政</v>
      </c>
      <c r="E43" s="10">
        <v>15800</v>
      </c>
      <c r="F43" s="10">
        <v>100</v>
      </c>
      <c r="G43" s="10">
        <v>315</v>
      </c>
      <c r="H43" s="10">
        <v>29</v>
      </c>
      <c r="I43" s="10">
        <f t="shared" si="0"/>
        <v>16186</v>
      </c>
      <c r="J43" s="10">
        <v>2212</v>
      </c>
      <c r="K43" s="10">
        <f t="shared" si="1"/>
        <v>10474</v>
      </c>
      <c r="L43" s="10">
        <f t="shared" si="2"/>
        <v>1613.5</v>
      </c>
      <c r="M43" s="10">
        <f t="shared" si="3"/>
        <v>12360.5</v>
      </c>
    </row>
    <row r="44" spans="1:13" x14ac:dyDescent="0.15">
      <c r="A44" s="11">
        <v>42</v>
      </c>
      <c r="B44" s="9" t="s">
        <v>701</v>
      </c>
      <c r="C44" s="9" t="s">
        <v>67</v>
      </c>
      <c r="D44" s="9" t="str">
        <f>VLOOKUP(LEFT(B44,1),部门信息!$B$1:$C$6,2,0)</f>
        <v>市场</v>
      </c>
      <c r="E44" s="10">
        <v>8200</v>
      </c>
      <c r="F44" s="10">
        <v>300</v>
      </c>
      <c r="G44" s="10">
        <v>450</v>
      </c>
      <c r="H44" s="10">
        <v>0</v>
      </c>
      <c r="I44" s="10">
        <f t="shared" si="0"/>
        <v>8950</v>
      </c>
      <c r="J44" s="10">
        <v>1148</v>
      </c>
      <c r="K44" s="10">
        <f t="shared" si="1"/>
        <v>4302</v>
      </c>
      <c r="L44" s="10">
        <f t="shared" si="2"/>
        <v>325.20000000000005</v>
      </c>
      <c r="M44" s="10">
        <f t="shared" si="3"/>
        <v>7476.8</v>
      </c>
    </row>
    <row r="45" spans="1:13" x14ac:dyDescent="0.15">
      <c r="A45" s="11">
        <v>43</v>
      </c>
      <c r="B45" s="9" t="s">
        <v>574</v>
      </c>
      <c r="C45" s="9" t="s">
        <v>68</v>
      </c>
      <c r="D45" s="9" t="str">
        <f>VLOOKUP(LEFT(B45,1),部门信息!$B$1:$C$6,2,0)</f>
        <v>市场</v>
      </c>
      <c r="E45" s="10">
        <v>10400</v>
      </c>
      <c r="F45" s="10">
        <v>400</v>
      </c>
      <c r="G45" s="10">
        <v>225</v>
      </c>
      <c r="H45" s="10">
        <v>0</v>
      </c>
      <c r="I45" s="10">
        <f t="shared" si="0"/>
        <v>11025</v>
      </c>
      <c r="J45" s="10">
        <v>1560</v>
      </c>
      <c r="K45" s="10">
        <f t="shared" si="1"/>
        <v>5965</v>
      </c>
      <c r="L45" s="10">
        <f t="shared" si="2"/>
        <v>638</v>
      </c>
      <c r="M45" s="10">
        <f t="shared" si="3"/>
        <v>8827</v>
      </c>
    </row>
    <row r="46" spans="1:13" x14ac:dyDescent="0.15">
      <c r="A46" s="11">
        <v>44</v>
      </c>
      <c r="B46" s="9" t="s">
        <v>644</v>
      </c>
      <c r="C46" s="9" t="s">
        <v>69</v>
      </c>
      <c r="D46" s="9" t="str">
        <f>VLOOKUP(LEFT(B46,1),部门信息!$B$1:$C$6,2,0)</f>
        <v>市场</v>
      </c>
      <c r="E46" s="10">
        <v>4900</v>
      </c>
      <c r="F46" s="10">
        <v>900</v>
      </c>
      <c r="G46" s="10">
        <v>45</v>
      </c>
      <c r="H46" s="10">
        <v>0</v>
      </c>
      <c r="I46" s="10">
        <f t="shared" si="0"/>
        <v>5845</v>
      </c>
      <c r="J46" s="10">
        <v>784</v>
      </c>
      <c r="K46" s="10">
        <f t="shared" si="1"/>
        <v>1561</v>
      </c>
      <c r="L46" s="10">
        <f t="shared" si="2"/>
        <v>51.100000000000023</v>
      </c>
      <c r="M46" s="10">
        <f t="shared" si="3"/>
        <v>5009.8999999999996</v>
      </c>
    </row>
    <row r="47" spans="1:13" x14ac:dyDescent="0.15">
      <c r="A47" s="11">
        <v>45</v>
      </c>
      <c r="B47" s="9" t="s">
        <v>603</v>
      </c>
      <c r="C47" s="9" t="s">
        <v>70</v>
      </c>
      <c r="D47" s="9" t="str">
        <f>VLOOKUP(LEFT(B47,1),部门信息!$B$1:$C$6,2,0)</f>
        <v>市场</v>
      </c>
      <c r="E47" s="10">
        <v>20000</v>
      </c>
      <c r="F47" s="10">
        <v>0</v>
      </c>
      <c r="G47" s="10">
        <v>225</v>
      </c>
      <c r="H47" s="10">
        <v>302</v>
      </c>
      <c r="I47" s="10">
        <f t="shared" si="0"/>
        <v>19923</v>
      </c>
      <c r="J47" s="10">
        <v>2400</v>
      </c>
      <c r="K47" s="10">
        <f t="shared" si="1"/>
        <v>14023</v>
      </c>
      <c r="L47" s="10">
        <f t="shared" si="2"/>
        <v>2500.75</v>
      </c>
      <c r="M47" s="10">
        <f t="shared" si="3"/>
        <v>15022.25</v>
      </c>
    </row>
    <row r="48" spans="1:13" x14ac:dyDescent="0.15">
      <c r="A48" s="11">
        <v>46</v>
      </c>
      <c r="B48" s="9" t="s">
        <v>477</v>
      </c>
      <c r="C48" s="9" t="s">
        <v>71</v>
      </c>
      <c r="D48" s="9" t="str">
        <f>VLOOKUP(LEFT(B48,1),部门信息!$B$1:$C$6,2,0)</f>
        <v>人事</v>
      </c>
      <c r="E48" s="10">
        <v>7100</v>
      </c>
      <c r="F48" s="10">
        <v>600</v>
      </c>
      <c r="G48" s="10">
        <v>405</v>
      </c>
      <c r="H48" s="10">
        <v>0</v>
      </c>
      <c r="I48" s="10">
        <f t="shared" si="0"/>
        <v>8105</v>
      </c>
      <c r="J48" s="10">
        <v>852</v>
      </c>
      <c r="K48" s="10">
        <f t="shared" si="1"/>
        <v>3753</v>
      </c>
      <c r="L48" s="10">
        <f t="shared" si="2"/>
        <v>270.3</v>
      </c>
      <c r="M48" s="10">
        <f t="shared" si="3"/>
        <v>6982.7</v>
      </c>
    </row>
    <row r="49" spans="1:13" x14ac:dyDescent="0.15">
      <c r="A49" s="11">
        <v>47</v>
      </c>
      <c r="B49" s="9" t="s">
        <v>569</v>
      </c>
      <c r="C49" s="9" t="s">
        <v>72</v>
      </c>
      <c r="D49" s="9" t="str">
        <f>VLOOKUP(LEFT(B49,1),部门信息!$B$1:$C$6,2,0)</f>
        <v>研发</v>
      </c>
      <c r="E49" s="10">
        <v>17200</v>
      </c>
      <c r="F49" s="10">
        <v>600</v>
      </c>
      <c r="G49" s="10">
        <v>450</v>
      </c>
      <c r="H49" s="10">
        <v>0</v>
      </c>
      <c r="I49" s="10">
        <f t="shared" si="0"/>
        <v>18250</v>
      </c>
      <c r="J49" s="10">
        <v>2064</v>
      </c>
      <c r="K49" s="10">
        <f t="shared" si="1"/>
        <v>12686</v>
      </c>
      <c r="L49" s="10">
        <f t="shared" si="2"/>
        <v>2166.5</v>
      </c>
      <c r="M49" s="10">
        <f t="shared" si="3"/>
        <v>14019.5</v>
      </c>
    </row>
    <row r="50" spans="1:13" x14ac:dyDescent="0.15">
      <c r="A50" s="11">
        <v>48</v>
      </c>
      <c r="B50" s="9" t="s">
        <v>490</v>
      </c>
      <c r="C50" s="9" t="s">
        <v>73</v>
      </c>
      <c r="D50" s="9" t="str">
        <f>VLOOKUP(LEFT(B50,1),部门信息!$B$1:$C$6,2,0)</f>
        <v>人事</v>
      </c>
      <c r="E50" s="10">
        <v>15600</v>
      </c>
      <c r="F50" s="10">
        <v>0</v>
      </c>
      <c r="G50" s="10">
        <v>180</v>
      </c>
      <c r="H50" s="10">
        <v>456</v>
      </c>
      <c r="I50" s="10">
        <f t="shared" si="0"/>
        <v>15324</v>
      </c>
      <c r="J50" s="10">
        <v>2496</v>
      </c>
      <c r="K50" s="10">
        <f t="shared" si="1"/>
        <v>9328</v>
      </c>
      <c r="L50" s="10">
        <f t="shared" si="2"/>
        <v>1327</v>
      </c>
      <c r="M50" s="10">
        <f t="shared" si="3"/>
        <v>11501</v>
      </c>
    </row>
    <row r="51" spans="1:13" x14ac:dyDescent="0.15">
      <c r="A51" s="11">
        <v>49</v>
      </c>
      <c r="B51" s="9" t="s">
        <v>506</v>
      </c>
      <c r="C51" s="9" t="s">
        <v>74</v>
      </c>
      <c r="D51" s="9" t="str">
        <f>VLOOKUP(LEFT(B51,1),部门信息!$B$1:$C$6,2,0)</f>
        <v>管理</v>
      </c>
      <c r="E51" s="10">
        <v>8200</v>
      </c>
      <c r="F51" s="10">
        <v>800</v>
      </c>
      <c r="G51" s="10">
        <v>135</v>
      </c>
      <c r="H51" s="10">
        <v>76</v>
      </c>
      <c r="I51" s="10">
        <f t="shared" si="0"/>
        <v>9059</v>
      </c>
      <c r="J51" s="10">
        <v>984</v>
      </c>
      <c r="K51" s="10">
        <f t="shared" si="1"/>
        <v>4575</v>
      </c>
      <c r="L51" s="10">
        <f t="shared" si="2"/>
        <v>360</v>
      </c>
      <c r="M51" s="10">
        <f t="shared" si="3"/>
        <v>7715</v>
      </c>
    </row>
    <row r="52" spans="1:13" x14ac:dyDescent="0.15">
      <c r="A52" s="11">
        <v>50</v>
      </c>
      <c r="B52" s="9" t="s">
        <v>703</v>
      </c>
      <c r="C52" s="9" t="s">
        <v>75</v>
      </c>
      <c r="D52" s="9" t="str">
        <f>VLOOKUP(LEFT(B52,1),部门信息!$B$1:$C$6,2,0)</f>
        <v>市场</v>
      </c>
      <c r="E52" s="10">
        <v>16000</v>
      </c>
      <c r="F52" s="10">
        <v>700</v>
      </c>
      <c r="G52" s="10">
        <v>225</v>
      </c>
      <c r="H52" s="10">
        <v>0</v>
      </c>
      <c r="I52" s="10">
        <f t="shared" si="0"/>
        <v>16925</v>
      </c>
      <c r="J52" s="10">
        <v>2240</v>
      </c>
      <c r="K52" s="10">
        <f t="shared" si="1"/>
        <v>11185</v>
      </c>
      <c r="L52" s="10">
        <f t="shared" si="2"/>
        <v>1791.25</v>
      </c>
      <c r="M52" s="10">
        <f t="shared" si="3"/>
        <v>12893.75</v>
      </c>
    </row>
    <row r="53" spans="1:13" x14ac:dyDescent="0.15">
      <c r="A53" s="11">
        <v>51</v>
      </c>
      <c r="B53" s="9" t="s">
        <v>712</v>
      </c>
      <c r="C53" s="9" t="s">
        <v>76</v>
      </c>
      <c r="D53" s="9" t="str">
        <f>VLOOKUP(LEFT(B53,1),部门信息!$B$1:$C$6,2,0)</f>
        <v>市场</v>
      </c>
      <c r="E53" s="10">
        <v>4300</v>
      </c>
      <c r="F53" s="10">
        <v>900</v>
      </c>
      <c r="G53" s="10">
        <v>180</v>
      </c>
      <c r="H53" s="10">
        <v>0</v>
      </c>
      <c r="I53" s="10">
        <f t="shared" si="0"/>
        <v>5380</v>
      </c>
      <c r="J53" s="10">
        <v>688</v>
      </c>
      <c r="K53" s="10">
        <f t="shared" si="1"/>
        <v>1192</v>
      </c>
      <c r="L53" s="10">
        <f t="shared" si="2"/>
        <v>35.76</v>
      </c>
      <c r="M53" s="10">
        <f t="shared" si="3"/>
        <v>4656.24</v>
      </c>
    </row>
    <row r="54" spans="1:13" x14ac:dyDescent="0.15">
      <c r="A54" s="11">
        <v>52</v>
      </c>
      <c r="B54" s="9" t="s">
        <v>666</v>
      </c>
      <c r="C54" s="9" t="s">
        <v>77</v>
      </c>
      <c r="D54" s="9" t="str">
        <f>VLOOKUP(LEFT(B54,1),部门信息!$B$1:$C$6,2,0)</f>
        <v>市场</v>
      </c>
      <c r="E54" s="10">
        <v>18600</v>
      </c>
      <c r="F54" s="10">
        <v>400</v>
      </c>
      <c r="G54" s="10">
        <v>450</v>
      </c>
      <c r="H54" s="10">
        <v>130</v>
      </c>
      <c r="I54" s="10">
        <f t="shared" si="0"/>
        <v>19320</v>
      </c>
      <c r="J54" s="10">
        <v>2418</v>
      </c>
      <c r="K54" s="10">
        <f t="shared" si="1"/>
        <v>13402</v>
      </c>
      <c r="L54" s="10">
        <f t="shared" si="2"/>
        <v>2345.5</v>
      </c>
      <c r="M54" s="10">
        <f t="shared" si="3"/>
        <v>14556.5</v>
      </c>
    </row>
    <row r="55" spans="1:13" x14ac:dyDescent="0.15">
      <c r="A55" s="11">
        <v>53</v>
      </c>
      <c r="B55" s="9" t="s">
        <v>473</v>
      </c>
      <c r="C55" s="9" t="s">
        <v>78</v>
      </c>
      <c r="D55" s="9" t="str">
        <f>VLOOKUP(LEFT(B55,1),部门信息!$B$1:$C$6,2,0)</f>
        <v>人事</v>
      </c>
      <c r="E55" s="10">
        <v>5800</v>
      </c>
      <c r="F55" s="10">
        <v>700</v>
      </c>
      <c r="G55" s="10">
        <v>135</v>
      </c>
      <c r="H55" s="10">
        <v>0</v>
      </c>
      <c r="I55" s="10">
        <f t="shared" si="0"/>
        <v>6635</v>
      </c>
      <c r="J55" s="10">
        <v>696</v>
      </c>
      <c r="K55" s="10">
        <f t="shared" si="1"/>
        <v>2439</v>
      </c>
      <c r="L55" s="10">
        <f t="shared" si="2"/>
        <v>138.9</v>
      </c>
      <c r="M55" s="10">
        <f t="shared" si="3"/>
        <v>5800.1</v>
      </c>
    </row>
    <row r="56" spans="1:13" x14ac:dyDescent="0.15">
      <c r="A56" s="11">
        <v>54</v>
      </c>
      <c r="B56" s="9" t="s">
        <v>474</v>
      </c>
      <c r="C56" s="9" t="s">
        <v>79</v>
      </c>
      <c r="D56" s="9" t="str">
        <f>VLOOKUP(LEFT(B56,1),部门信息!$B$1:$C$6,2,0)</f>
        <v>人事</v>
      </c>
      <c r="E56" s="10">
        <v>9000</v>
      </c>
      <c r="F56" s="10">
        <v>100</v>
      </c>
      <c r="G56" s="10">
        <v>180</v>
      </c>
      <c r="H56" s="10">
        <v>0</v>
      </c>
      <c r="I56" s="10">
        <f t="shared" si="0"/>
        <v>9280</v>
      </c>
      <c r="J56" s="10">
        <v>1260</v>
      </c>
      <c r="K56" s="10">
        <f t="shared" si="1"/>
        <v>4520</v>
      </c>
      <c r="L56" s="10">
        <f t="shared" si="2"/>
        <v>349</v>
      </c>
      <c r="M56" s="10">
        <f t="shared" si="3"/>
        <v>7671</v>
      </c>
    </row>
    <row r="57" spans="1:13" x14ac:dyDescent="0.15">
      <c r="A57" s="11">
        <v>55</v>
      </c>
      <c r="B57" s="9" t="s">
        <v>611</v>
      </c>
      <c r="C57" s="9" t="s">
        <v>80</v>
      </c>
      <c r="D57" s="9" t="str">
        <f>VLOOKUP(LEFT(B57,1),部门信息!$B$1:$C$6,2,0)</f>
        <v>市场</v>
      </c>
      <c r="E57" s="10">
        <v>7600</v>
      </c>
      <c r="F57" s="10">
        <v>400</v>
      </c>
      <c r="G57" s="10">
        <v>270</v>
      </c>
      <c r="H57" s="10">
        <v>0</v>
      </c>
      <c r="I57" s="10">
        <f t="shared" si="0"/>
        <v>8270</v>
      </c>
      <c r="J57" s="10">
        <v>1064</v>
      </c>
      <c r="K57" s="10">
        <f t="shared" si="1"/>
        <v>3706</v>
      </c>
      <c r="L57" s="10">
        <f t="shared" si="2"/>
        <v>265.60000000000002</v>
      </c>
      <c r="M57" s="10">
        <f t="shared" si="3"/>
        <v>6940.4</v>
      </c>
    </row>
    <row r="58" spans="1:13" x14ac:dyDescent="0.15">
      <c r="A58" s="11">
        <v>56</v>
      </c>
      <c r="B58" s="9" t="s">
        <v>686</v>
      </c>
      <c r="C58" s="9" t="s">
        <v>81</v>
      </c>
      <c r="D58" s="9" t="str">
        <f>VLOOKUP(LEFT(B58,1),部门信息!$B$1:$C$6,2,0)</f>
        <v>市场</v>
      </c>
      <c r="E58" s="10">
        <v>18300</v>
      </c>
      <c r="F58" s="10">
        <v>100</v>
      </c>
      <c r="G58" s="10">
        <v>270</v>
      </c>
      <c r="H58" s="10">
        <v>0</v>
      </c>
      <c r="I58" s="10">
        <f t="shared" si="0"/>
        <v>18670</v>
      </c>
      <c r="J58" s="10">
        <v>2562</v>
      </c>
      <c r="K58" s="10">
        <f t="shared" si="1"/>
        <v>12608</v>
      </c>
      <c r="L58" s="10">
        <f t="shared" si="2"/>
        <v>2147</v>
      </c>
      <c r="M58" s="10">
        <f t="shared" si="3"/>
        <v>13961</v>
      </c>
    </row>
    <row r="59" spans="1:13" x14ac:dyDescent="0.15">
      <c r="A59" s="11">
        <v>57</v>
      </c>
      <c r="B59" s="9" t="s">
        <v>431</v>
      </c>
      <c r="C59" s="9" t="s">
        <v>82</v>
      </c>
      <c r="D59" s="9" t="str">
        <f>VLOOKUP(LEFT(B59,1),部门信息!$B$1:$C$6,2,0)</f>
        <v>行政</v>
      </c>
      <c r="E59" s="10">
        <v>5200</v>
      </c>
      <c r="F59" s="10">
        <v>500</v>
      </c>
      <c r="G59" s="10">
        <v>270</v>
      </c>
      <c r="H59" s="10">
        <v>347</v>
      </c>
      <c r="I59" s="10">
        <f t="shared" si="0"/>
        <v>5623</v>
      </c>
      <c r="J59" s="10">
        <v>832</v>
      </c>
      <c r="K59" s="10">
        <f t="shared" si="1"/>
        <v>1291</v>
      </c>
      <c r="L59" s="10">
        <f t="shared" si="2"/>
        <v>38.729999999999997</v>
      </c>
      <c r="M59" s="10">
        <f t="shared" si="3"/>
        <v>4752.2700000000004</v>
      </c>
    </row>
    <row r="60" spans="1:13" x14ac:dyDescent="0.15">
      <c r="A60" s="11">
        <v>58</v>
      </c>
      <c r="B60" s="9" t="s">
        <v>682</v>
      </c>
      <c r="C60" s="9" t="s">
        <v>83</v>
      </c>
      <c r="D60" s="9" t="str">
        <f>VLOOKUP(LEFT(B60,1),部门信息!$B$1:$C$6,2,0)</f>
        <v>市场</v>
      </c>
      <c r="E60" s="10">
        <v>13200</v>
      </c>
      <c r="F60" s="10">
        <v>1000</v>
      </c>
      <c r="G60" s="10">
        <v>45</v>
      </c>
      <c r="H60" s="10">
        <v>137</v>
      </c>
      <c r="I60" s="10">
        <f t="shared" si="0"/>
        <v>14108</v>
      </c>
      <c r="J60" s="10">
        <v>1716</v>
      </c>
      <c r="K60" s="10">
        <f t="shared" si="1"/>
        <v>8892</v>
      </c>
      <c r="L60" s="10">
        <f t="shared" si="2"/>
        <v>1223.4000000000001</v>
      </c>
      <c r="M60" s="10">
        <f t="shared" si="3"/>
        <v>11168.6</v>
      </c>
    </row>
    <row r="61" spans="1:13" x14ac:dyDescent="0.15">
      <c r="A61" s="11">
        <v>59</v>
      </c>
      <c r="B61" s="9" t="s">
        <v>566</v>
      </c>
      <c r="C61" s="9" t="s">
        <v>84</v>
      </c>
      <c r="D61" s="9" t="str">
        <f>VLOOKUP(LEFT(B61,1),部门信息!$B$1:$C$6,2,0)</f>
        <v>研发</v>
      </c>
      <c r="E61" s="10">
        <v>11200</v>
      </c>
      <c r="F61" s="10">
        <v>800</v>
      </c>
      <c r="G61" s="10">
        <v>405</v>
      </c>
      <c r="H61" s="10">
        <v>377</v>
      </c>
      <c r="I61" s="10">
        <f t="shared" si="0"/>
        <v>12028</v>
      </c>
      <c r="J61" s="10">
        <v>1456</v>
      </c>
      <c r="K61" s="10">
        <f t="shared" si="1"/>
        <v>7072</v>
      </c>
      <c r="L61" s="10">
        <f t="shared" si="2"/>
        <v>859.40000000000009</v>
      </c>
      <c r="M61" s="10">
        <f t="shared" si="3"/>
        <v>9712.6</v>
      </c>
    </row>
    <row r="62" spans="1:13" x14ac:dyDescent="0.15">
      <c r="A62" s="11">
        <v>60</v>
      </c>
      <c r="B62" s="9" t="s">
        <v>434</v>
      </c>
      <c r="C62" s="9" t="s">
        <v>85</v>
      </c>
      <c r="D62" s="9" t="str">
        <f>VLOOKUP(LEFT(B62,1),部门信息!$B$1:$C$6,2,0)</f>
        <v>行政</v>
      </c>
      <c r="E62" s="10">
        <v>18500</v>
      </c>
      <c r="F62" s="10">
        <v>100</v>
      </c>
      <c r="G62" s="10">
        <v>225</v>
      </c>
      <c r="H62" s="10">
        <v>0</v>
      </c>
      <c r="I62" s="10">
        <f t="shared" si="0"/>
        <v>18825</v>
      </c>
      <c r="J62" s="10">
        <v>2775</v>
      </c>
      <c r="K62" s="10">
        <f t="shared" si="1"/>
        <v>12550</v>
      </c>
      <c r="L62" s="10">
        <f t="shared" si="2"/>
        <v>2132.5</v>
      </c>
      <c r="M62" s="10">
        <f t="shared" si="3"/>
        <v>13917.5</v>
      </c>
    </row>
    <row r="63" spans="1:13" x14ac:dyDescent="0.15">
      <c r="A63" s="11">
        <v>61</v>
      </c>
      <c r="B63" s="9" t="s">
        <v>647</v>
      </c>
      <c r="C63" s="9" t="s">
        <v>86</v>
      </c>
      <c r="D63" s="9" t="str">
        <f>VLOOKUP(LEFT(B63,1),部门信息!$B$1:$C$6,2,0)</f>
        <v>市场</v>
      </c>
      <c r="E63" s="10">
        <v>8600</v>
      </c>
      <c r="F63" s="10">
        <v>100</v>
      </c>
      <c r="G63" s="10">
        <v>270</v>
      </c>
      <c r="H63" s="10">
        <v>0</v>
      </c>
      <c r="I63" s="10">
        <f t="shared" si="0"/>
        <v>8970</v>
      </c>
      <c r="J63" s="10">
        <v>1032</v>
      </c>
      <c r="K63" s="10">
        <f t="shared" si="1"/>
        <v>4438</v>
      </c>
      <c r="L63" s="10">
        <f t="shared" si="2"/>
        <v>338.8</v>
      </c>
      <c r="M63" s="10">
        <f t="shared" si="3"/>
        <v>7599.2</v>
      </c>
    </row>
    <row r="64" spans="1:13" x14ac:dyDescent="0.15">
      <c r="A64" s="11">
        <v>62</v>
      </c>
      <c r="B64" s="9" t="s">
        <v>705</v>
      </c>
      <c r="C64" s="9" t="s">
        <v>87</v>
      </c>
      <c r="D64" s="9" t="str">
        <f>VLOOKUP(LEFT(B64,1),部门信息!$B$1:$C$6,2,0)</f>
        <v>市场</v>
      </c>
      <c r="E64" s="10">
        <v>11000</v>
      </c>
      <c r="F64" s="10">
        <v>600</v>
      </c>
      <c r="G64" s="10">
        <v>405</v>
      </c>
      <c r="H64" s="10">
        <v>328</v>
      </c>
      <c r="I64" s="10">
        <f t="shared" si="0"/>
        <v>11677</v>
      </c>
      <c r="J64" s="10">
        <v>1650</v>
      </c>
      <c r="K64" s="10">
        <f t="shared" si="1"/>
        <v>6527</v>
      </c>
      <c r="L64" s="10">
        <f t="shared" si="2"/>
        <v>750.40000000000009</v>
      </c>
      <c r="M64" s="10">
        <f t="shared" si="3"/>
        <v>9276.6</v>
      </c>
    </row>
    <row r="65" spans="1:13" x14ac:dyDescent="0.15">
      <c r="A65" s="11">
        <v>63</v>
      </c>
      <c r="B65" s="9" t="s">
        <v>630</v>
      </c>
      <c r="C65" s="9" t="s">
        <v>88</v>
      </c>
      <c r="D65" s="9" t="str">
        <f>VLOOKUP(LEFT(B65,1),部门信息!$B$1:$C$6,2,0)</f>
        <v>市场</v>
      </c>
      <c r="E65" s="10">
        <v>10200</v>
      </c>
      <c r="F65" s="10">
        <v>600</v>
      </c>
      <c r="G65" s="10">
        <v>315</v>
      </c>
      <c r="H65" s="10">
        <v>1</v>
      </c>
      <c r="I65" s="10">
        <f t="shared" si="0"/>
        <v>11114</v>
      </c>
      <c r="J65" s="10">
        <v>1224</v>
      </c>
      <c r="K65" s="10">
        <f t="shared" si="1"/>
        <v>6390</v>
      </c>
      <c r="L65" s="10">
        <f t="shared" si="2"/>
        <v>723</v>
      </c>
      <c r="M65" s="10">
        <f t="shared" si="3"/>
        <v>9167</v>
      </c>
    </row>
    <row r="66" spans="1:13" x14ac:dyDescent="0.15">
      <c r="A66" s="11">
        <v>64</v>
      </c>
      <c r="B66" s="9" t="s">
        <v>557</v>
      </c>
      <c r="C66" s="9" t="s">
        <v>89</v>
      </c>
      <c r="D66" s="9" t="str">
        <f>VLOOKUP(LEFT(B66,1),部门信息!$B$1:$C$6,2,0)</f>
        <v>研发</v>
      </c>
      <c r="E66" s="10">
        <v>13100</v>
      </c>
      <c r="F66" s="10">
        <v>200</v>
      </c>
      <c r="G66" s="10">
        <v>405</v>
      </c>
      <c r="H66" s="10">
        <v>0</v>
      </c>
      <c r="I66" s="10">
        <f t="shared" si="0"/>
        <v>13705</v>
      </c>
      <c r="J66" s="10">
        <v>1834</v>
      </c>
      <c r="K66" s="10">
        <f t="shared" si="1"/>
        <v>8371</v>
      </c>
      <c r="L66" s="10">
        <f t="shared" si="2"/>
        <v>1119.2</v>
      </c>
      <c r="M66" s="10">
        <f t="shared" si="3"/>
        <v>10751.8</v>
      </c>
    </row>
    <row r="67" spans="1:13" x14ac:dyDescent="0.15">
      <c r="A67" s="11">
        <v>65</v>
      </c>
      <c r="B67" s="9" t="s">
        <v>481</v>
      </c>
      <c r="C67" s="9" t="s">
        <v>90</v>
      </c>
      <c r="D67" s="9" t="str">
        <f>VLOOKUP(LEFT(B67,1),部门信息!$B$1:$C$6,2,0)</f>
        <v>人事</v>
      </c>
      <c r="E67" s="10">
        <v>10600</v>
      </c>
      <c r="F67" s="10">
        <v>300</v>
      </c>
      <c r="G67" s="10">
        <v>270</v>
      </c>
      <c r="H67" s="10">
        <v>0</v>
      </c>
      <c r="I67" s="10">
        <f t="shared" ref="I67:I130" si="4">E67+F67+G67-H67</f>
        <v>11170</v>
      </c>
      <c r="J67" s="10">
        <v>1378</v>
      </c>
      <c r="K67" s="10">
        <f t="shared" si="1"/>
        <v>6292</v>
      </c>
      <c r="L67" s="10">
        <f t="shared" si="2"/>
        <v>703.40000000000009</v>
      </c>
      <c r="M67" s="10">
        <f t="shared" si="3"/>
        <v>9088.6</v>
      </c>
    </row>
    <row r="68" spans="1:13" x14ac:dyDescent="0.15">
      <c r="A68" s="11">
        <v>66</v>
      </c>
      <c r="B68" s="9" t="s">
        <v>668</v>
      </c>
      <c r="C68" s="9" t="s">
        <v>91</v>
      </c>
      <c r="D68" s="9" t="str">
        <f>VLOOKUP(LEFT(B68,1),部门信息!$B$1:$C$6,2,0)</f>
        <v>市场</v>
      </c>
      <c r="E68" s="10">
        <v>8900</v>
      </c>
      <c r="F68" s="10">
        <v>100</v>
      </c>
      <c r="G68" s="10">
        <v>90</v>
      </c>
      <c r="H68" s="10">
        <v>0</v>
      </c>
      <c r="I68" s="10">
        <f t="shared" si="4"/>
        <v>9090</v>
      </c>
      <c r="J68" s="10">
        <v>1068</v>
      </c>
      <c r="K68" s="10">
        <f t="shared" ref="K68:K131" si="5">IF(I68-J68-3500&gt;0,I68-J68-3500,0)</f>
        <v>4522</v>
      </c>
      <c r="L68" s="10">
        <f t="shared" ref="L68:L131" si="6">IF(K68&gt;80000,K68*0.45-13505,IF(K68&gt;55000,K68*0.35-5505,IF(K68&gt;35000,K68*0.3-2755,IF(K68&gt;9000,K68*0.25-1005,IF(K68&gt;4500,K68*0.2-555,IF(K68&gt;1500,K68*0.1-105,IF(K68&gt;0,K68*0.03,0)))))))</f>
        <v>349.40000000000009</v>
      </c>
      <c r="M68" s="10">
        <f t="shared" ref="M68:M131" si="7">I68-J68-L68</f>
        <v>7672.6</v>
      </c>
    </row>
    <row r="69" spans="1:13" x14ac:dyDescent="0.15">
      <c r="A69" s="11">
        <v>67</v>
      </c>
      <c r="B69" s="9" t="s">
        <v>664</v>
      </c>
      <c r="C69" s="9" t="s">
        <v>92</v>
      </c>
      <c r="D69" s="9" t="str">
        <f>VLOOKUP(LEFT(B69,1),部门信息!$B$1:$C$6,2,0)</f>
        <v>市场</v>
      </c>
      <c r="E69" s="10">
        <v>10700</v>
      </c>
      <c r="F69" s="10">
        <v>200</v>
      </c>
      <c r="G69" s="10">
        <v>225</v>
      </c>
      <c r="H69" s="10">
        <v>169</v>
      </c>
      <c r="I69" s="10">
        <f t="shared" si="4"/>
        <v>10956</v>
      </c>
      <c r="J69" s="10">
        <v>1605</v>
      </c>
      <c r="K69" s="10">
        <f t="shared" si="5"/>
        <v>5851</v>
      </c>
      <c r="L69" s="10">
        <f t="shared" si="6"/>
        <v>615.20000000000005</v>
      </c>
      <c r="M69" s="10">
        <f t="shared" si="7"/>
        <v>8735.7999999999993</v>
      </c>
    </row>
    <row r="70" spans="1:13" x14ac:dyDescent="0.15">
      <c r="A70" s="11">
        <v>68</v>
      </c>
      <c r="B70" s="9" t="s">
        <v>706</v>
      </c>
      <c r="C70" s="9" t="s">
        <v>93</v>
      </c>
      <c r="D70" s="9" t="str">
        <f>VLOOKUP(LEFT(B70,1),部门信息!$B$1:$C$6,2,0)</f>
        <v>市场</v>
      </c>
      <c r="E70" s="10">
        <v>10400</v>
      </c>
      <c r="F70" s="10">
        <v>400</v>
      </c>
      <c r="G70" s="10">
        <v>90</v>
      </c>
      <c r="H70" s="10">
        <v>0</v>
      </c>
      <c r="I70" s="10">
        <f t="shared" si="4"/>
        <v>10890</v>
      </c>
      <c r="J70" s="10">
        <v>1248</v>
      </c>
      <c r="K70" s="10">
        <f t="shared" si="5"/>
        <v>6142</v>
      </c>
      <c r="L70" s="10">
        <f t="shared" si="6"/>
        <v>673.40000000000009</v>
      </c>
      <c r="M70" s="10">
        <f t="shared" si="7"/>
        <v>8968.6</v>
      </c>
    </row>
    <row r="71" spans="1:13" x14ac:dyDescent="0.15">
      <c r="A71" s="11">
        <v>69</v>
      </c>
      <c r="B71" s="9" t="s">
        <v>648</v>
      </c>
      <c r="C71" s="9" t="s">
        <v>94</v>
      </c>
      <c r="D71" s="9" t="str">
        <f>VLOOKUP(LEFT(B71,1),部门信息!$B$1:$C$6,2,0)</f>
        <v>市场</v>
      </c>
      <c r="E71" s="10">
        <v>5700</v>
      </c>
      <c r="F71" s="10">
        <v>600</v>
      </c>
      <c r="G71" s="10">
        <v>270</v>
      </c>
      <c r="H71" s="10">
        <v>0</v>
      </c>
      <c r="I71" s="10">
        <f t="shared" si="4"/>
        <v>6570</v>
      </c>
      <c r="J71" s="10">
        <v>684</v>
      </c>
      <c r="K71" s="10">
        <f t="shared" si="5"/>
        <v>2386</v>
      </c>
      <c r="L71" s="10">
        <f t="shared" si="6"/>
        <v>133.60000000000002</v>
      </c>
      <c r="M71" s="10">
        <f t="shared" si="7"/>
        <v>5752.4</v>
      </c>
    </row>
    <row r="72" spans="1:13" x14ac:dyDescent="0.15">
      <c r="A72" s="11">
        <v>70</v>
      </c>
      <c r="B72" s="9" t="s">
        <v>562</v>
      </c>
      <c r="C72" s="9" t="s">
        <v>95</v>
      </c>
      <c r="D72" s="9" t="str">
        <f>VLOOKUP(LEFT(B72,1),部门信息!$B$1:$C$6,2,0)</f>
        <v>研发</v>
      </c>
      <c r="E72" s="10">
        <v>8700</v>
      </c>
      <c r="F72" s="10">
        <v>500</v>
      </c>
      <c r="G72" s="10">
        <v>180</v>
      </c>
      <c r="H72" s="10">
        <v>0</v>
      </c>
      <c r="I72" s="10">
        <f t="shared" si="4"/>
        <v>9380</v>
      </c>
      <c r="J72" s="10">
        <v>1392</v>
      </c>
      <c r="K72" s="10">
        <f t="shared" si="5"/>
        <v>4488</v>
      </c>
      <c r="L72" s="10">
        <f t="shared" si="6"/>
        <v>343.8</v>
      </c>
      <c r="M72" s="10">
        <f t="shared" si="7"/>
        <v>7644.2</v>
      </c>
    </row>
    <row r="73" spans="1:13" x14ac:dyDescent="0.15">
      <c r="A73" s="11">
        <v>71</v>
      </c>
      <c r="B73" s="9" t="s">
        <v>693</v>
      </c>
      <c r="C73" s="9" t="s">
        <v>96</v>
      </c>
      <c r="D73" s="9" t="str">
        <f>VLOOKUP(LEFT(B73,1),部门信息!$B$1:$C$6,2,0)</f>
        <v>市场</v>
      </c>
      <c r="E73" s="10">
        <v>18600</v>
      </c>
      <c r="F73" s="10">
        <v>300</v>
      </c>
      <c r="G73" s="10">
        <v>225</v>
      </c>
      <c r="H73" s="10">
        <v>405</v>
      </c>
      <c r="I73" s="10">
        <f t="shared" si="4"/>
        <v>18720</v>
      </c>
      <c r="J73" s="10">
        <v>2232</v>
      </c>
      <c r="K73" s="10">
        <f t="shared" si="5"/>
        <v>12988</v>
      </c>
      <c r="L73" s="10">
        <f t="shared" si="6"/>
        <v>2242</v>
      </c>
      <c r="M73" s="10">
        <f t="shared" si="7"/>
        <v>14246</v>
      </c>
    </row>
    <row r="74" spans="1:13" x14ac:dyDescent="0.15">
      <c r="A74" s="11">
        <v>72</v>
      </c>
      <c r="B74" s="9" t="s">
        <v>555</v>
      </c>
      <c r="C74" s="9" t="s">
        <v>97</v>
      </c>
      <c r="D74" s="9" t="str">
        <f>VLOOKUP(LEFT(B74,1),部门信息!$B$1:$C$6,2,0)</f>
        <v>研发</v>
      </c>
      <c r="E74" s="10">
        <v>17300</v>
      </c>
      <c r="F74" s="10">
        <v>900</v>
      </c>
      <c r="G74" s="10">
        <v>360</v>
      </c>
      <c r="H74" s="10">
        <v>269</v>
      </c>
      <c r="I74" s="10">
        <f t="shared" si="4"/>
        <v>18291</v>
      </c>
      <c r="J74" s="10">
        <v>2422</v>
      </c>
      <c r="K74" s="10">
        <f t="shared" si="5"/>
        <v>12369</v>
      </c>
      <c r="L74" s="10">
        <f t="shared" si="6"/>
        <v>2087.25</v>
      </c>
      <c r="M74" s="10">
        <f t="shared" si="7"/>
        <v>13781.75</v>
      </c>
    </row>
    <row r="75" spans="1:13" x14ac:dyDescent="0.15">
      <c r="A75" s="11">
        <v>73</v>
      </c>
      <c r="B75" s="9" t="s">
        <v>669</v>
      </c>
      <c r="C75" s="9" t="s">
        <v>98</v>
      </c>
      <c r="D75" s="9" t="str">
        <f>VLOOKUP(LEFT(B75,1),部门信息!$B$1:$C$6,2,0)</f>
        <v>市场</v>
      </c>
      <c r="E75" s="10">
        <v>19400</v>
      </c>
      <c r="F75" s="10">
        <v>800</v>
      </c>
      <c r="G75" s="10">
        <v>45</v>
      </c>
      <c r="H75" s="10">
        <v>78</v>
      </c>
      <c r="I75" s="10">
        <f t="shared" si="4"/>
        <v>20167</v>
      </c>
      <c r="J75" s="10">
        <v>2716</v>
      </c>
      <c r="K75" s="10">
        <f t="shared" si="5"/>
        <v>13951</v>
      </c>
      <c r="L75" s="10">
        <f t="shared" si="6"/>
        <v>2482.75</v>
      </c>
      <c r="M75" s="10">
        <f t="shared" si="7"/>
        <v>14968.25</v>
      </c>
    </row>
    <row r="76" spans="1:13" x14ac:dyDescent="0.15">
      <c r="A76" s="11">
        <v>74</v>
      </c>
      <c r="B76" s="9" t="s">
        <v>447</v>
      </c>
      <c r="C76" s="9" t="s">
        <v>99</v>
      </c>
      <c r="D76" s="9" t="str">
        <f>VLOOKUP(LEFT(B76,1),部门信息!$B$1:$C$6,2,0)</f>
        <v>行政</v>
      </c>
      <c r="E76" s="10">
        <v>9300</v>
      </c>
      <c r="F76" s="10">
        <v>0</v>
      </c>
      <c r="G76" s="10">
        <v>180</v>
      </c>
      <c r="H76" s="10">
        <v>0</v>
      </c>
      <c r="I76" s="10">
        <f t="shared" si="4"/>
        <v>9480</v>
      </c>
      <c r="J76" s="10">
        <v>1116</v>
      </c>
      <c r="K76" s="10">
        <f t="shared" si="5"/>
        <v>4864</v>
      </c>
      <c r="L76" s="10">
        <f t="shared" si="6"/>
        <v>417.80000000000007</v>
      </c>
      <c r="M76" s="10">
        <f t="shared" si="7"/>
        <v>7946.2</v>
      </c>
    </row>
    <row r="77" spans="1:13" x14ac:dyDescent="0.15">
      <c r="A77" s="11">
        <v>75</v>
      </c>
      <c r="B77" s="9" t="s">
        <v>407</v>
      </c>
      <c r="C77" s="9" t="s">
        <v>100</v>
      </c>
      <c r="D77" s="9" t="str">
        <f>VLOOKUP(LEFT(B77,1),部门信息!$B$1:$C$6,2,0)</f>
        <v>行政</v>
      </c>
      <c r="E77" s="10">
        <v>5200</v>
      </c>
      <c r="F77" s="10">
        <v>300</v>
      </c>
      <c r="G77" s="10">
        <v>180</v>
      </c>
      <c r="H77" s="10">
        <v>0</v>
      </c>
      <c r="I77" s="10">
        <f t="shared" si="4"/>
        <v>5680</v>
      </c>
      <c r="J77" s="10">
        <v>728</v>
      </c>
      <c r="K77" s="10">
        <f t="shared" si="5"/>
        <v>1452</v>
      </c>
      <c r="L77" s="10">
        <f t="shared" si="6"/>
        <v>43.559999999999995</v>
      </c>
      <c r="M77" s="10">
        <f t="shared" si="7"/>
        <v>4908.4399999999996</v>
      </c>
    </row>
    <row r="78" spans="1:13" x14ac:dyDescent="0.15">
      <c r="A78" s="11">
        <v>76</v>
      </c>
      <c r="B78" s="9" t="s">
        <v>535</v>
      </c>
      <c r="C78" s="9" t="s">
        <v>10</v>
      </c>
      <c r="D78" s="9" t="str">
        <f>VLOOKUP(LEFT(B78,1),部门信息!$B$1:$C$6,2,0)</f>
        <v>研发</v>
      </c>
      <c r="E78" s="10">
        <v>4100</v>
      </c>
      <c r="F78" s="10">
        <v>600</v>
      </c>
      <c r="G78" s="10">
        <v>360</v>
      </c>
      <c r="H78" s="10">
        <v>0</v>
      </c>
      <c r="I78" s="10">
        <f t="shared" si="4"/>
        <v>5060</v>
      </c>
      <c r="J78" s="10">
        <v>656</v>
      </c>
      <c r="K78" s="10">
        <f t="shared" si="5"/>
        <v>904</v>
      </c>
      <c r="L78" s="10">
        <f t="shared" si="6"/>
        <v>27.119999999999997</v>
      </c>
      <c r="M78" s="10">
        <f t="shared" si="7"/>
        <v>4376.88</v>
      </c>
    </row>
    <row r="79" spans="1:13" x14ac:dyDescent="0.15">
      <c r="A79" s="11">
        <v>77</v>
      </c>
      <c r="B79" s="9" t="s">
        <v>721</v>
      </c>
      <c r="C79" s="9" t="s">
        <v>101</v>
      </c>
      <c r="D79" s="9" t="str">
        <f>VLOOKUP(LEFT(B79,1),部门信息!$B$1:$C$6,2,0)</f>
        <v>市场</v>
      </c>
      <c r="E79" s="10">
        <v>14400</v>
      </c>
      <c r="F79" s="10">
        <v>400</v>
      </c>
      <c r="G79" s="10">
        <v>180</v>
      </c>
      <c r="H79" s="10">
        <v>411</v>
      </c>
      <c r="I79" s="10">
        <f t="shared" si="4"/>
        <v>14569</v>
      </c>
      <c r="J79" s="10">
        <v>1728</v>
      </c>
      <c r="K79" s="10">
        <f t="shared" si="5"/>
        <v>9341</v>
      </c>
      <c r="L79" s="10">
        <f t="shared" si="6"/>
        <v>1330.25</v>
      </c>
      <c r="M79" s="10">
        <f t="shared" si="7"/>
        <v>11510.75</v>
      </c>
    </row>
    <row r="80" spans="1:13" x14ac:dyDescent="0.15">
      <c r="A80" s="11">
        <v>78</v>
      </c>
      <c r="B80" s="9" t="s">
        <v>451</v>
      </c>
      <c r="C80" s="9" t="s">
        <v>102</v>
      </c>
      <c r="D80" s="9" t="str">
        <f>VLOOKUP(LEFT(B80,1),部门信息!$B$1:$C$6,2,0)</f>
        <v>行政</v>
      </c>
      <c r="E80" s="10">
        <v>6700</v>
      </c>
      <c r="F80" s="10">
        <v>600</v>
      </c>
      <c r="G80" s="10">
        <v>315</v>
      </c>
      <c r="H80" s="10">
        <v>288</v>
      </c>
      <c r="I80" s="10">
        <f t="shared" si="4"/>
        <v>7327</v>
      </c>
      <c r="J80" s="10">
        <v>938</v>
      </c>
      <c r="K80" s="10">
        <f t="shared" si="5"/>
        <v>2889</v>
      </c>
      <c r="L80" s="10">
        <f t="shared" si="6"/>
        <v>183.90000000000003</v>
      </c>
      <c r="M80" s="10">
        <f t="shared" si="7"/>
        <v>6205.1</v>
      </c>
    </row>
    <row r="81" spans="1:13" x14ac:dyDescent="0.15">
      <c r="A81" s="11">
        <v>79</v>
      </c>
      <c r="B81" s="9" t="s">
        <v>546</v>
      </c>
      <c r="C81" s="9" t="s">
        <v>103</v>
      </c>
      <c r="D81" s="9" t="str">
        <f>VLOOKUP(LEFT(B81,1),部门信息!$B$1:$C$6,2,0)</f>
        <v>研发</v>
      </c>
      <c r="E81" s="10">
        <v>18700</v>
      </c>
      <c r="F81" s="10">
        <v>100</v>
      </c>
      <c r="G81" s="10">
        <v>180</v>
      </c>
      <c r="H81" s="10">
        <v>0</v>
      </c>
      <c r="I81" s="10">
        <f t="shared" si="4"/>
        <v>18980</v>
      </c>
      <c r="J81" s="10">
        <v>2805</v>
      </c>
      <c r="K81" s="10">
        <f t="shared" si="5"/>
        <v>12675</v>
      </c>
      <c r="L81" s="10">
        <f t="shared" si="6"/>
        <v>2163.75</v>
      </c>
      <c r="M81" s="10">
        <f t="shared" si="7"/>
        <v>14011.25</v>
      </c>
    </row>
    <row r="82" spans="1:13" x14ac:dyDescent="0.15">
      <c r="A82" s="11">
        <v>80</v>
      </c>
      <c r="B82" s="9" t="s">
        <v>655</v>
      </c>
      <c r="C82" s="9" t="s">
        <v>104</v>
      </c>
      <c r="D82" s="9" t="str">
        <f>VLOOKUP(LEFT(B82,1),部门信息!$B$1:$C$6,2,0)</f>
        <v>市场</v>
      </c>
      <c r="E82" s="10">
        <v>7700</v>
      </c>
      <c r="F82" s="10">
        <v>100</v>
      </c>
      <c r="G82" s="10">
        <v>225</v>
      </c>
      <c r="H82" s="10">
        <v>72</v>
      </c>
      <c r="I82" s="10">
        <f t="shared" si="4"/>
        <v>7953</v>
      </c>
      <c r="J82" s="10">
        <v>1232</v>
      </c>
      <c r="K82" s="10">
        <f t="shared" si="5"/>
        <v>3221</v>
      </c>
      <c r="L82" s="10">
        <f t="shared" si="6"/>
        <v>217.10000000000002</v>
      </c>
      <c r="M82" s="10">
        <f t="shared" si="7"/>
        <v>6503.9</v>
      </c>
    </row>
    <row r="83" spans="1:13" x14ac:dyDescent="0.15">
      <c r="A83" s="11">
        <v>81</v>
      </c>
      <c r="B83" s="9" t="s">
        <v>523</v>
      </c>
      <c r="C83" s="9" t="s">
        <v>105</v>
      </c>
      <c r="D83" s="9" t="str">
        <f>VLOOKUP(LEFT(B83,1),部门信息!$B$1:$C$6,2,0)</f>
        <v>管理</v>
      </c>
      <c r="E83" s="10">
        <v>14400</v>
      </c>
      <c r="F83" s="10">
        <v>500</v>
      </c>
      <c r="G83" s="10">
        <v>270</v>
      </c>
      <c r="H83" s="10">
        <v>0</v>
      </c>
      <c r="I83" s="10">
        <f t="shared" si="4"/>
        <v>15170</v>
      </c>
      <c r="J83" s="10">
        <v>1872</v>
      </c>
      <c r="K83" s="10">
        <f t="shared" si="5"/>
        <v>9798</v>
      </c>
      <c r="L83" s="10">
        <f t="shared" si="6"/>
        <v>1444.5</v>
      </c>
      <c r="M83" s="10">
        <f t="shared" si="7"/>
        <v>11853.5</v>
      </c>
    </row>
    <row r="84" spans="1:13" x14ac:dyDescent="0.15">
      <c r="A84" s="11">
        <v>82</v>
      </c>
      <c r="B84" s="9" t="s">
        <v>394</v>
      </c>
      <c r="C84" s="9" t="s">
        <v>106</v>
      </c>
      <c r="D84" s="9" t="str">
        <f>VLOOKUP(LEFT(B84,1),部门信息!$B$1:$C$6,2,0)</f>
        <v>行政</v>
      </c>
      <c r="E84" s="10">
        <v>4900</v>
      </c>
      <c r="F84" s="10">
        <v>900</v>
      </c>
      <c r="G84" s="10">
        <v>450</v>
      </c>
      <c r="H84" s="10">
        <v>0</v>
      </c>
      <c r="I84" s="10">
        <f t="shared" si="4"/>
        <v>6250</v>
      </c>
      <c r="J84" s="10">
        <v>784</v>
      </c>
      <c r="K84" s="10">
        <f t="shared" si="5"/>
        <v>1966</v>
      </c>
      <c r="L84" s="10">
        <f t="shared" si="6"/>
        <v>91.600000000000023</v>
      </c>
      <c r="M84" s="10">
        <f t="shared" si="7"/>
        <v>5374.4</v>
      </c>
    </row>
    <row r="85" spans="1:13" x14ac:dyDescent="0.15">
      <c r="A85" s="11">
        <v>83</v>
      </c>
      <c r="B85" s="9" t="s">
        <v>590</v>
      </c>
      <c r="C85" s="9" t="s">
        <v>107</v>
      </c>
      <c r="D85" s="9" t="str">
        <f>VLOOKUP(LEFT(B85,1),部门信息!$B$1:$C$6,2,0)</f>
        <v>市场</v>
      </c>
      <c r="E85" s="10">
        <v>12300</v>
      </c>
      <c r="F85" s="10">
        <v>500</v>
      </c>
      <c r="G85" s="10">
        <v>360</v>
      </c>
      <c r="H85" s="10">
        <v>0</v>
      </c>
      <c r="I85" s="10">
        <f t="shared" si="4"/>
        <v>13160</v>
      </c>
      <c r="J85" s="10">
        <v>1845</v>
      </c>
      <c r="K85" s="10">
        <f t="shared" si="5"/>
        <v>7815</v>
      </c>
      <c r="L85" s="10">
        <f t="shared" si="6"/>
        <v>1008</v>
      </c>
      <c r="M85" s="10">
        <f t="shared" si="7"/>
        <v>10307</v>
      </c>
    </row>
    <row r="86" spans="1:13" x14ac:dyDescent="0.15">
      <c r="A86" s="11">
        <v>84</v>
      </c>
      <c r="B86" s="9" t="s">
        <v>620</v>
      </c>
      <c r="C86" s="9" t="s">
        <v>108</v>
      </c>
      <c r="D86" s="9" t="str">
        <f>VLOOKUP(LEFT(B86,1),部门信息!$B$1:$C$6,2,0)</f>
        <v>市场</v>
      </c>
      <c r="E86" s="10">
        <v>17500</v>
      </c>
      <c r="F86" s="10">
        <v>200</v>
      </c>
      <c r="G86" s="10">
        <v>315</v>
      </c>
      <c r="H86" s="10">
        <v>0</v>
      </c>
      <c r="I86" s="10">
        <f t="shared" si="4"/>
        <v>18015</v>
      </c>
      <c r="J86" s="10">
        <v>2800</v>
      </c>
      <c r="K86" s="10">
        <f t="shared" si="5"/>
        <v>11715</v>
      </c>
      <c r="L86" s="10">
        <f t="shared" si="6"/>
        <v>1923.75</v>
      </c>
      <c r="M86" s="10">
        <f t="shared" si="7"/>
        <v>13291.25</v>
      </c>
    </row>
    <row r="87" spans="1:13" x14ac:dyDescent="0.15">
      <c r="A87" s="11">
        <v>85</v>
      </c>
      <c r="B87" s="9" t="s">
        <v>612</v>
      </c>
      <c r="C87" s="9" t="s">
        <v>109</v>
      </c>
      <c r="D87" s="9" t="str">
        <f>VLOOKUP(LEFT(B87,1),部门信息!$B$1:$C$6,2,0)</f>
        <v>市场</v>
      </c>
      <c r="E87" s="10">
        <v>5300</v>
      </c>
      <c r="F87" s="10">
        <v>200</v>
      </c>
      <c r="G87" s="10">
        <v>270</v>
      </c>
      <c r="H87" s="10">
        <v>213</v>
      </c>
      <c r="I87" s="10">
        <f t="shared" si="4"/>
        <v>5557</v>
      </c>
      <c r="J87" s="10">
        <v>689</v>
      </c>
      <c r="K87" s="10">
        <f t="shared" si="5"/>
        <v>1368</v>
      </c>
      <c r="L87" s="10">
        <f t="shared" si="6"/>
        <v>41.04</v>
      </c>
      <c r="M87" s="10">
        <f t="shared" si="7"/>
        <v>4826.96</v>
      </c>
    </row>
    <row r="88" spans="1:13" x14ac:dyDescent="0.15">
      <c r="A88" s="11">
        <v>86</v>
      </c>
      <c r="B88" s="9" t="s">
        <v>621</v>
      </c>
      <c r="C88" s="9" t="s">
        <v>110</v>
      </c>
      <c r="D88" s="9" t="str">
        <f>VLOOKUP(LEFT(B88,1),部门信息!$B$1:$C$6,2,0)</f>
        <v>市场</v>
      </c>
      <c r="E88" s="10">
        <v>3000</v>
      </c>
      <c r="F88" s="10">
        <v>200</v>
      </c>
      <c r="G88" s="10">
        <v>450</v>
      </c>
      <c r="H88" s="10">
        <v>0</v>
      </c>
      <c r="I88" s="10">
        <f t="shared" si="4"/>
        <v>3650</v>
      </c>
      <c r="J88" s="10">
        <v>480</v>
      </c>
      <c r="K88" s="10">
        <f t="shared" si="5"/>
        <v>0</v>
      </c>
      <c r="L88" s="10">
        <f t="shared" si="6"/>
        <v>0</v>
      </c>
      <c r="M88" s="10">
        <f t="shared" si="7"/>
        <v>3170</v>
      </c>
    </row>
    <row r="89" spans="1:13" x14ac:dyDescent="0.15">
      <c r="A89" s="11">
        <v>87</v>
      </c>
      <c r="B89" s="9" t="s">
        <v>410</v>
      </c>
      <c r="C89" s="9" t="s">
        <v>111</v>
      </c>
      <c r="D89" s="9" t="str">
        <f>VLOOKUP(LEFT(B89,1),部门信息!$B$1:$C$6,2,0)</f>
        <v>行政</v>
      </c>
      <c r="E89" s="10">
        <v>9000</v>
      </c>
      <c r="F89" s="10">
        <v>300</v>
      </c>
      <c r="G89" s="10">
        <v>135</v>
      </c>
      <c r="H89" s="10">
        <v>302</v>
      </c>
      <c r="I89" s="10">
        <f t="shared" si="4"/>
        <v>9133</v>
      </c>
      <c r="J89" s="10">
        <v>1260</v>
      </c>
      <c r="K89" s="10">
        <f t="shared" si="5"/>
        <v>4373</v>
      </c>
      <c r="L89" s="10">
        <f t="shared" si="6"/>
        <v>332.3</v>
      </c>
      <c r="M89" s="10">
        <f t="shared" si="7"/>
        <v>7540.7</v>
      </c>
    </row>
    <row r="90" spans="1:13" x14ac:dyDescent="0.15">
      <c r="A90" s="11">
        <v>88</v>
      </c>
      <c r="B90" s="9" t="s">
        <v>478</v>
      </c>
      <c r="C90" s="9" t="s">
        <v>112</v>
      </c>
      <c r="D90" s="9" t="str">
        <f>VLOOKUP(LEFT(B90,1),部门信息!$B$1:$C$6,2,0)</f>
        <v>人事</v>
      </c>
      <c r="E90" s="10">
        <v>8900</v>
      </c>
      <c r="F90" s="10">
        <v>0</v>
      </c>
      <c r="G90" s="10">
        <v>450</v>
      </c>
      <c r="H90" s="10">
        <v>0</v>
      </c>
      <c r="I90" s="10">
        <f t="shared" si="4"/>
        <v>9350</v>
      </c>
      <c r="J90" s="10">
        <v>1335</v>
      </c>
      <c r="K90" s="10">
        <f t="shared" si="5"/>
        <v>4515</v>
      </c>
      <c r="L90" s="10">
        <f t="shared" si="6"/>
        <v>348</v>
      </c>
      <c r="M90" s="10">
        <f t="shared" si="7"/>
        <v>7667</v>
      </c>
    </row>
    <row r="91" spans="1:13" x14ac:dyDescent="0.15">
      <c r="A91" s="11">
        <v>89</v>
      </c>
      <c r="B91" s="9" t="s">
        <v>586</v>
      </c>
      <c r="C91" s="9" t="s">
        <v>113</v>
      </c>
      <c r="D91" s="9" t="str">
        <f>VLOOKUP(LEFT(B91,1),部门信息!$B$1:$C$6,2,0)</f>
        <v>市场</v>
      </c>
      <c r="E91" s="10">
        <v>13600</v>
      </c>
      <c r="F91" s="10">
        <v>100</v>
      </c>
      <c r="G91" s="10">
        <v>180</v>
      </c>
      <c r="H91" s="10">
        <v>0</v>
      </c>
      <c r="I91" s="10">
        <f t="shared" si="4"/>
        <v>13880</v>
      </c>
      <c r="J91" s="10">
        <v>1768</v>
      </c>
      <c r="K91" s="10">
        <f t="shared" si="5"/>
        <v>8612</v>
      </c>
      <c r="L91" s="10">
        <f t="shared" si="6"/>
        <v>1167.4000000000001</v>
      </c>
      <c r="M91" s="10">
        <f t="shared" si="7"/>
        <v>10944.6</v>
      </c>
    </row>
    <row r="92" spans="1:13" x14ac:dyDescent="0.15">
      <c r="A92" s="11">
        <v>90</v>
      </c>
      <c r="B92" s="9" t="s">
        <v>643</v>
      </c>
      <c r="C92" s="9" t="s">
        <v>114</v>
      </c>
      <c r="D92" s="9" t="str">
        <f>VLOOKUP(LEFT(B92,1),部门信息!$B$1:$C$6,2,0)</f>
        <v>市场</v>
      </c>
      <c r="E92" s="10">
        <v>16700</v>
      </c>
      <c r="F92" s="10">
        <v>400</v>
      </c>
      <c r="G92" s="10">
        <v>360</v>
      </c>
      <c r="H92" s="10">
        <v>0</v>
      </c>
      <c r="I92" s="10">
        <f t="shared" si="4"/>
        <v>17460</v>
      </c>
      <c r="J92" s="10">
        <v>2338</v>
      </c>
      <c r="K92" s="10">
        <f t="shared" si="5"/>
        <v>11622</v>
      </c>
      <c r="L92" s="10">
        <f t="shared" si="6"/>
        <v>1900.5</v>
      </c>
      <c r="M92" s="10">
        <f t="shared" si="7"/>
        <v>13221.5</v>
      </c>
    </row>
    <row r="93" spans="1:13" x14ac:dyDescent="0.15">
      <c r="A93" s="11">
        <v>91</v>
      </c>
      <c r="B93" s="9" t="s">
        <v>576</v>
      </c>
      <c r="C93" s="9" t="s">
        <v>115</v>
      </c>
      <c r="D93" s="9" t="str">
        <f>VLOOKUP(LEFT(B93,1),部门信息!$B$1:$C$6,2,0)</f>
        <v>市场</v>
      </c>
      <c r="E93" s="10">
        <v>13900</v>
      </c>
      <c r="F93" s="10">
        <v>1000</v>
      </c>
      <c r="G93" s="10">
        <v>135</v>
      </c>
      <c r="H93" s="10">
        <v>85</v>
      </c>
      <c r="I93" s="10">
        <f t="shared" si="4"/>
        <v>14950</v>
      </c>
      <c r="J93" s="10">
        <v>1807</v>
      </c>
      <c r="K93" s="10">
        <f t="shared" si="5"/>
        <v>9643</v>
      </c>
      <c r="L93" s="10">
        <f t="shared" si="6"/>
        <v>1405.75</v>
      </c>
      <c r="M93" s="10">
        <f t="shared" si="7"/>
        <v>11737.25</v>
      </c>
    </row>
    <row r="94" spans="1:13" x14ac:dyDescent="0.15">
      <c r="A94" s="11">
        <v>92</v>
      </c>
      <c r="B94" s="9" t="s">
        <v>517</v>
      </c>
      <c r="C94" s="9" t="s">
        <v>116</v>
      </c>
      <c r="D94" s="9" t="str">
        <f>VLOOKUP(LEFT(B94,1),部门信息!$B$1:$C$6,2,0)</f>
        <v>管理</v>
      </c>
      <c r="E94" s="10">
        <v>9600</v>
      </c>
      <c r="F94" s="10">
        <v>300</v>
      </c>
      <c r="G94" s="10">
        <v>225</v>
      </c>
      <c r="H94" s="10">
        <v>0</v>
      </c>
      <c r="I94" s="10">
        <f t="shared" si="4"/>
        <v>10125</v>
      </c>
      <c r="J94" s="10">
        <v>1344</v>
      </c>
      <c r="K94" s="10">
        <f t="shared" si="5"/>
        <v>5281</v>
      </c>
      <c r="L94" s="10">
        <f t="shared" si="6"/>
        <v>501.20000000000005</v>
      </c>
      <c r="M94" s="10">
        <f t="shared" si="7"/>
        <v>8279.7999999999993</v>
      </c>
    </row>
    <row r="95" spans="1:13" x14ac:dyDescent="0.15">
      <c r="A95" s="11">
        <v>93</v>
      </c>
      <c r="B95" s="9" t="s">
        <v>540</v>
      </c>
      <c r="C95" s="9" t="s">
        <v>117</v>
      </c>
      <c r="D95" s="9" t="str">
        <f>VLOOKUP(LEFT(B95,1),部门信息!$B$1:$C$6,2,0)</f>
        <v>研发</v>
      </c>
      <c r="E95" s="10">
        <v>7800</v>
      </c>
      <c r="F95" s="10">
        <v>200</v>
      </c>
      <c r="G95" s="10">
        <v>180</v>
      </c>
      <c r="H95" s="10">
        <v>0</v>
      </c>
      <c r="I95" s="10">
        <f t="shared" si="4"/>
        <v>8180</v>
      </c>
      <c r="J95" s="10">
        <v>1248</v>
      </c>
      <c r="K95" s="10">
        <f t="shared" si="5"/>
        <v>3432</v>
      </c>
      <c r="L95" s="10">
        <f t="shared" si="6"/>
        <v>238.20000000000005</v>
      </c>
      <c r="M95" s="10">
        <f t="shared" si="7"/>
        <v>6693.8</v>
      </c>
    </row>
    <row r="96" spans="1:13" x14ac:dyDescent="0.15">
      <c r="A96" s="11">
        <v>94</v>
      </c>
      <c r="B96" s="9" t="s">
        <v>401</v>
      </c>
      <c r="C96" s="9" t="s">
        <v>118</v>
      </c>
      <c r="D96" s="9" t="str">
        <f>VLOOKUP(LEFT(B96,1),部门信息!$B$1:$C$6,2,0)</f>
        <v>行政</v>
      </c>
      <c r="E96" s="10">
        <v>16500</v>
      </c>
      <c r="F96" s="10">
        <v>800</v>
      </c>
      <c r="G96" s="10">
        <v>180</v>
      </c>
      <c r="H96" s="10">
        <v>0</v>
      </c>
      <c r="I96" s="10">
        <f t="shared" si="4"/>
        <v>17480</v>
      </c>
      <c r="J96" s="10">
        <v>2640</v>
      </c>
      <c r="K96" s="10">
        <f t="shared" si="5"/>
        <v>11340</v>
      </c>
      <c r="L96" s="10">
        <f t="shared" si="6"/>
        <v>1830</v>
      </c>
      <c r="M96" s="10">
        <f t="shared" si="7"/>
        <v>13010</v>
      </c>
    </row>
    <row r="97" spans="1:13" x14ac:dyDescent="0.15">
      <c r="A97" s="11">
        <v>95</v>
      </c>
      <c r="B97" s="9" t="s">
        <v>572</v>
      </c>
      <c r="C97" s="9" t="s">
        <v>119</v>
      </c>
      <c r="D97" s="9" t="str">
        <f>VLOOKUP(LEFT(B97,1),部门信息!$B$1:$C$6,2,0)</f>
        <v>市场</v>
      </c>
      <c r="E97" s="10">
        <v>7800</v>
      </c>
      <c r="F97" s="10">
        <v>1000</v>
      </c>
      <c r="G97" s="10">
        <v>270</v>
      </c>
      <c r="H97" s="10">
        <v>0</v>
      </c>
      <c r="I97" s="10">
        <f t="shared" si="4"/>
        <v>9070</v>
      </c>
      <c r="J97" s="10">
        <v>1170</v>
      </c>
      <c r="K97" s="10">
        <f t="shared" si="5"/>
        <v>4400</v>
      </c>
      <c r="L97" s="10">
        <f t="shared" si="6"/>
        <v>335</v>
      </c>
      <c r="M97" s="10">
        <f t="shared" si="7"/>
        <v>7565</v>
      </c>
    </row>
    <row r="98" spans="1:13" x14ac:dyDescent="0.15">
      <c r="A98" s="11">
        <v>96</v>
      </c>
      <c r="B98" s="9" t="s">
        <v>403</v>
      </c>
      <c r="C98" s="9" t="s">
        <v>120</v>
      </c>
      <c r="D98" s="9" t="str">
        <f>VLOOKUP(LEFT(B98,1),部门信息!$B$1:$C$6,2,0)</f>
        <v>行政</v>
      </c>
      <c r="E98" s="10">
        <v>13300</v>
      </c>
      <c r="F98" s="10">
        <v>800</v>
      </c>
      <c r="G98" s="10">
        <v>405</v>
      </c>
      <c r="H98" s="10">
        <v>427</v>
      </c>
      <c r="I98" s="10">
        <f t="shared" si="4"/>
        <v>14078</v>
      </c>
      <c r="J98" s="10">
        <v>2128</v>
      </c>
      <c r="K98" s="10">
        <f t="shared" si="5"/>
        <v>8450</v>
      </c>
      <c r="L98" s="10">
        <f t="shared" si="6"/>
        <v>1135</v>
      </c>
      <c r="M98" s="10">
        <f t="shared" si="7"/>
        <v>10815</v>
      </c>
    </row>
    <row r="99" spans="1:13" x14ac:dyDescent="0.15">
      <c r="A99" s="11">
        <v>97</v>
      </c>
      <c r="B99" s="9" t="s">
        <v>476</v>
      </c>
      <c r="C99" s="9" t="s">
        <v>121</v>
      </c>
      <c r="D99" s="9" t="str">
        <f>VLOOKUP(LEFT(B99,1),部门信息!$B$1:$C$6,2,0)</f>
        <v>人事</v>
      </c>
      <c r="E99" s="10">
        <v>9200</v>
      </c>
      <c r="F99" s="10">
        <v>900</v>
      </c>
      <c r="G99" s="10">
        <v>225</v>
      </c>
      <c r="H99" s="10">
        <v>0</v>
      </c>
      <c r="I99" s="10">
        <f t="shared" si="4"/>
        <v>10325</v>
      </c>
      <c r="J99" s="10">
        <v>1196</v>
      </c>
      <c r="K99" s="10">
        <f t="shared" si="5"/>
        <v>5629</v>
      </c>
      <c r="L99" s="10">
        <f t="shared" si="6"/>
        <v>570.79999999999995</v>
      </c>
      <c r="M99" s="10">
        <f t="shared" si="7"/>
        <v>8558.2000000000007</v>
      </c>
    </row>
    <row r="100" spans="1:13" x14ac:dyDescent="0.15">
      <c r="A100" s="11">
        <v>98</v>
      </c>
      <c r="B100" s="9" t="s">
        <v>543</v>
      </c>
      <c r="C100" s="9" t="s">
        <v>122</v>
      </c>
      <c r="D100" s="9" t="str">
        <f>VLOOKUP(LEFT(B100,1),部门信息!$B$1:$C$6,2,0)</f>
        <v>研发</v>
      </c>
      <c r="E100" s="10">
        <v>12600</v>
      </c>
      <c r="F100" s="10">
        <v>1000</v>
      </c>
      <c r="G100" s="10">
        <v>405</v>
      </c>
      <c r="H100" s="10">
        <v>41</v>
      </c>
      <c r="I100" s="10">
        <f t="shared" si="4"/>
        <v>13964</v>
      </c>
      <c r="J100" s="10">
        <v>1890</v>
      </c>
      <c r="K100" s="10">
        <f t="shared" si="5"/>
        <v>8574</v>
      </c>
      <c r="L100" s="10">
        <f t="shared" si="6"/>
        <v>1159.8000000000002</v>
      </c>
      <c r="M100" s="10">
        <f t="shared" si="7"/>
        <v>10914.2</v>
      </c>
    </row>
    <row r="101" spans="1:13" x14ac:dyDescent="0.15">
      <c r="A101" s="11">
        <v>99</v>
      </c>
      <c r="B101" s="9" t="s">
        <v>527</v>
      </c>
      <c r="C101" s="9" t="s">
        <v>123</v>
      </c>
      <c r="D101" s="9" t="str">
        <f>VLOOKUP(LEFT(B101,1),部门信息!$B$1:$C$6,2,0)</f>
        <v>管理</v>
      </c>
      <c r="E101" s="10">
        <v>15300</v>
      </c>
      <c r="F101" s="10">
        <v>1000</v>
      </c>
      <c r="G101" s="10">
        <v>135</v>
      </c>
      <c r="H101" s="10">
        <v>178</v>
      </c>
      <c r="I101" s="10">
        <f t="shared" si="4"/>
        <v>16257</v>
      </c>
      <c r="J101" s="10">
        <v>2448</v>
      </c>
      <c r="K101" s="10">
        <f t="shared" si="5"/>
        <v>10309</v>
      </c>
      <c r="L101" s="10">
        <f t="shared" si="6"/>
        <v>1572.25</v>
      </c>
      <c r="M101" s="10">
        <f t="shared" si="7"/>
        <v>12236.75</v>
      </c>
    </row>
    <row r="102" spans="1:13" x14ac:dyDescent="0.15">
      <c r="A102" s="11">
        <v>100</v>
      </c>
      <c r="B102" s="9" t="s">
        <v>717</v>
      </c>
      <c r="C102" s="9" t="s">
        <v>124</v>
      </c>
      <c r="D102" s="9" t="str">
        <f>VLOOKUP(LEFT(B102,1),部门信息!$B$1:$C$6,2,0)</f>
        <v>市场</v>
      </c>
      <c r="E102" s="10">
        <v>15200</v>
      </c>
      <c r="F102" s="10">
        <v>100</v>
      </c>
      <c r="G102" s="10">
        <v>45</v>
      </c>
      <c r="H102" s="10">
        <v>0</v>
      </c>
      <c r="I102" s="10">
        <f t="shared" si="4"/>
        <v>15345</v>
      </c>
      <c r="J102" s="10">
        <v>2432</v>
      </c>
      <c r="K102" s="10">
        <f t="shared" si="5"/>
        <v>9413</v>
      </c>
      <c r="L102" s="10">
        <f t="shared" si="6"/>
        <v>1348.25</v>
      </c>
      <c r="M102" s="10">
        <f t="shared" si="7"/>
        <v>11564.75</v>
      </c>
    </row>
    <row r="103" spans="1:13" x14ac:dyDescent="0.15">
      <c r="A103" s="11">
        <v>101</v>
      </c>
      <c r="B103" s="9" t="s">
        <v>608</v>
      </c>
      <c r="C103" s="9" t="s">
        <v>125</v>
      </c>
      <c r="D103" s="9" t="str">
        <f>VLOOKUP(LEFT(B103,1),部门信息!$B$1:$C$6,2,0)</f>
        <v>市场</v>
      </c>
      <c r="E103" s="10">
        <v>11000</v>
      </c>
      <c r="F103" s="10">
        <v>100</v>
      </c>
      <c r="G103" s="10">
        <v>450</v>
      </c>
      <c r="H103" s="10">
        <v>32</v>
      </c>
      <c r="I103" s="10">
        <f t="shared" si="4"/>
        <v>11518</v>
      </c>
      <c r="J103" s="10">
        <v>1650</v>
      </c>
      <c r="K103" s="10">
        <f t="shared" si="5"/>
        <v>6368</v>
      </c>
      <c r="L103" s="10">
        <f t="shared" si="6"/>
        <v>718.60000000000014</v>
      </c>
      <c r="M103" s="10">
        <f t="shared" si="7"/>
        <v>9149.4</v>
      </c>
    </row>
    <row r="104" spans="1:13" x14ac:dyDescent="0.15">
      <c r="A104" s="11">
        <v>102</v>
      </c>
      <c r="B104" s="9" t="s">
        <v>456</v>
      </c>
      <c r="C104" s="9" t="s">
        <v>11</v>
      </c>
      <c r="D104" s="9" t="str">
        <f>VLOOKUP(LEFT(B104,1),部门信息!$B$1:$C$6,2,0)</f>
        <v>人事</v>
      </c>
      <c r="E104" s="10">
        <v>6800</v>
      </c>
      <c r="F104" s="10">
        <v>0</v>
      </c>
      <c r="G104" s="10">
        <v>450</v>
      </c>
      <c r="H104" s="10">
        <v>0</v>
      </c>
      <c r="I104" s="10">
        <f t="shared" si="4"/>
        <v>7250</v>
      </c>
      <c r="J104" s="10">
        <v>816</v>
      </c>
      <c r="K104" s="10">
        <f t="shared" si="5"/>
        <v>2934</v>
      </c>
      <c r="L104" s="10">
        <f t="shared" si="6"/>
        <v>188.40000000000003</v>
      </c>
      <c r="M104" s="10">
        <f t="shared" si="7"/>
        <v>6245.6</v>
      </c>
    </row>
    <row r="105" spans="1:13" x14ac:dyDescent="0.15">
      <c r="A105" s="11">
        <v>103</v>
      </c>
      <c r="B105" s="9" t="s">
        <v>409</v>
      </c>
      <c r="C105" s="9" t="s">
        <v>126</v>
      </c>
      <c r="D105" s="9" t="str">
        <f>VLOOKUP(LEFT(B105,1),部门信息!$B$1:$C$6,2,0)</f>
        <v>行政</v>
      </c>
      <c r="E105" s="10">
        <v>13700</v>
      </c>
      <c r="F105" s="10">
        <v>300</v>
      </c>
      <c r="G105" s="10">
        <v>270</v>
      </c>
      <c r="H105" s="10">
        <v>169</v>
      </c>
      <c r="I105" s="10">
        <f t="shared" si="4"/>
        <v>14101</v>
      </c>
      <c r="J105" s="10">
        <v>2192</v>
      </c>
      <c r="K105" s="10">
        <f t="shared" si="5"/>
        <v>8409</v>
      </c>
      <c r="L105" s="10">
        <f t="shared" si="6"/>
        <v>1126.8000000000002</v>
      </c>
      <c r="M105" s="10">
        <f t="shared" si="7"/>
        <v>10782.2</v>
      </c>
    </row>
    <row r="106" spans="1:13" x14ac:dyDescent="0.15">
      <c r="A106" s="11">
        <v>104</v>
      </c>
      <c r="B106" s="9" t="s">
        <v>514</v>
      </c>
      <c r="C106" s="9" t="s">
        <v>127</v>
      </c>
      <c r="D106" s="9" t="str">
        <f>VLOOKUP(LEFT(B106,1),部门信息!$B$1:$C$6,2,0)</f>
        <v>管理</v>
      </c>
      <c r="E106" s="10">
        <v>10900</v>
      </c>
      <c r="F106" s="10">
        <v>500</v>
      </c>
      <c r="G106" s="10">
        <v>225</v>
      </c>
      <c r="H106" s="10">
        <v>0</v>
      </c>
      <c r="I106" s="10">
        <f t="shared" si="4"/>
        <v>11625</v>
      </c>
      <c r="J106" s="10">
        <v>1417</v>
      </c>
      <c r="K106" s="10">
        <f t="shared" si="5"/>
        <v>6708</v>
      </c>
      <c r="L106" s="10">
        <f t="shared" si="6"/>
        <v>786.60000000000014</v>
      </c>
      <c r="M106" s="10">
        <f t="shared" si="7"/>
        <v>9421.4</v>
      </c>
    </row>
    <row r="107" spans="1:13" x14ac:dyDescent="0.15">
      <c r="A107" s="11">
        <v>105</v>
      </c>
      <c r="B107" s="9" t="s">
        <v>453</v>
      </c>
      <c r="C107" s="9" t="s">
        <v>128</v>
      </c>
      <c r="D107" s="9" t="str">
        <f>VLOOKUP(LEFT(B107,1),部门信息!$B$1:$C$6,2,0)</f>
        <v>行政</v>
      </c>
      <c r="E107" s="10">
        <v>4300</v>
      </c>
      <c r="F107" s="10">
        <v>800</v>
      </c>
      <c r="G107" s="10">
        <v>45</v>
      </c>
      <c r="H107" s="10">
        <v>93</v>
      </c>
      <c r="I107" s="10">
        <f t="shared" si="4"/>
        <v>5052</v>
      </c>
      <c r="J107" s="10">
        <v>645</v>
      </c>
      <c r="K107" s="10">
        <f t="shared" si="5"/>
        <v>907</v>
      </c>
      <c r="L107" s="10">
        <f t="shared" si="6"/>
        <v>27.209999999999997</v>
      </c>
      <c r="M107" s="10">
        <f t="shared" si="7"/>
        <v>4379.79</v>
      </c>
    </row>
    <row r="108" spans="1:13" x14ac:dyDescent="0.15">
      <c r="A108" s="11">
        <v>106</v>
      </c>
      <c r="B108" s="9" t="s">
        <v>696</v>
      </c>
      <c r="C108" s="9" t="s">
        <v>129</v>
      </c>
      <c r="D108" s="9" t="str">
        <f>VLOOKUP(LEFT(B108,1),部门信息!$B$1:$C$6,2,0)</f>
        <v>市场</v>
      </c>
      <c r="E108" s="10">
        <v>12700</v>
      </c>
      <c r="F108" s="10">
        <v>0</v>
      </c>
      <c r="G108" s="10">
        <v>405</v>
      </c>
      <c r="H108" s="10">
        <v>0</v>
      </c>
      <c r="I108" s="10">
        <f t="shared" si="4"/>
        <v>13105</v>
      </c>
      <c r="J108" s="10">
        <v>1905</v>
      </c>
      <c r="K108" s="10">
        <f t="shared" si="5"/>
        <v>7700</v>
      </c>
      <c r="L108" s="10">
        <f t="shared" si="6"/>
        <v>985</v>
      </c>
      <c r="M108" s="10">
        <f t="shared" si="7"/>
        <v>10215</v>
      </c>
    </row>
    <row r="109" spans="1:13" x14ac:dyDescent="0.15">
      <c r="A109" s="11">
        <v>107</v>
      </c>
      <c r="B109" s="9" t="s">
        <v>375</v>
      </c>
      <c r="C109" s="9" t="s">
        <v>130</v>
      </c>
      <c r="D109" s="9" t="str">
        <f>VLOOKUP(LEFT(B109,1),部门信息!$B$1:$C$6,2,0)</f>
        <v>行政</v>
      </c>
      <c r="E109" s="10">
        <v>6800</v>
      </c>
      <c r="F109" s="10">
        <v>500</v>
      </c>
      <c r="G109" s="10">
        <v>180</v>
      </c>
      <c r="H109" s="10">
        <v>0</v>
      </c>
      <c r="I109" s="10">
        <f t="shared" si="4"/>
        <v>7480</v>
      </c>
      <c r="J109" s="10">
        <v>1088</v>
      </c>
      <c r="K109" s="10">
        <f t="shared" si="5"/>
        <v>2892</v>
      </c>
      <c r="L109" s="10">
        <f t="shared" si="6"/>
        <v>184.2</v>
      </c>
      <c r="M109" s="10">
        <f t="shared" si="7"/>
        <v>6207.8</v>
      </c>
    </row>
    <row r="110" spans="1:13" x14ac:dyDescent="0.15">
      <c r="A110" s="11">
        <v>108</v>
      </c>
      <c r="B110" s="9" t="s">
        <v>466</v>
      </c>
      <c r="C110" s="9" t="s">
        <v>131</v>
      </c>
      <c r="D110" s="9" t="str">
        <f>VLOOKUP(LEFT(B110,1),部门信息!$B$1:$C$6,2,0)</f>
        <v>人事</v>
      </c>
      <c r="E110" s="10">
        <v>13300</v>
      </c>
      <c r="F110" s="10">
        <v>300</v>
      </c>
      <c r="G110" s="10">
        <v>225</v>
      </c>
      <c r="H110" s="10">
        <v>0</v>
      </c>
      <c r="I110" s="10">
        <f t="shared" si="4"/>
        <v>13825</v>
      </c>
      <c r="J110" s="10">
        <v>1862</v>
      </c>
      <c r="K110" s="10">
        <f t="shared" si="5"/>
        <v>8463</v>
      </c>
      <c r="L110" s="10">
        <f t="shared" si="6"/>
        <v>1137.6000000000001</v>
      </c>
      <c r="M110" s="10">
        <f t="shared" si="7"/>
        <v>10825.4</v>
      </c>
    </row>
    <row r="111" spans="1:13" x14ac:dyDescent="0.15">
      <c r="A111" s="11">
        <v>109</v>
      </c>
      <c r="B111" s="9" t="s">
        <v>530</v>
      </c>
      <c r="C111" s="9" t="s">
        <v>132</v>
      </c>
      <c r="D111" s="9" t="str">
        <f>VLOOKUP(LEFT(B111,1),部门信息!$B$1:$C$6,2,0)</f>
        <v>管理</v>
      </c>
      <c r="E111" s="10">
        <v>3700</v>
      </c>
      <c r="F111" s="10">
        <v>1000</v>
      </c>
      <c r="G111" s="10">
        <v>45</v>
      </c>
      <c r="H111" s="10">
        <v>0</v>
      </c>
      <c r="I111" s="10">
        <f t="shared" si="4"/>
        <v>4745</v>
      </c>
      <c r="J111" s="10">
        <v>518</v>
      </c>
      <c r="K111" s="10">
        <f t="shared" si="5"/>
        <v>727</v>
      </c>
      <c r="L111" s="10">
        <f t="shared" si="6"/>
        <v>21.81</v>
      </c>
      <c r="M111" s="10">
        <f t="shared" si="7"/>
        <v>4205.1899999999996</v>
      </c>
    </row>
    <row r="112" spans="1:13" x14ac:dyDescent="0.15">
      <c r="A112" s="11">
        <v>110</v>
      </c>
      <c r="B112" s="9" t="s">
        <v>552</v>
      </c>
      <c r="C112" s="9" t="s">
        <v>133</v>
      </c>
      <c r="D112" s="9" t="str">
        <f>VLOOKUP(LEFT(B112,1),部门信息!$B$1:$C$6,2,0)</f>
        <v>研发</v>
      </c>
      <c r="E112" s="10">
        <v>7000</v>
      </c>
      <c r="F112" s="10">
        <v>1000</v>
      </c>
      <c r="G112" s="10">
        <v>225</v>
      </c>
      <c r="H112" s="10">
        <v>43</v>
      </c>
      <c r="I112" s="10">
        <f t="shared" si="4"/>
        <v>8182</v>
      </c>
      <c r="J112" s="10">
        <v>1050</v>
      </c>
      <c r="K112" s="10">
        <f t="shared" si="5"/>
        <v>3632</v>
      </c>
      <c r="L112" s="10">
        <f t="shared" si="6"/>
        <v>258.20000000000005</v>
      </c>
      <c r="M112" s="10">
        <f t="shared" si="7"/>
        <v>6873.8</v>
      </c>
    </row>
    <row r="113" spans="1:13" x14ac:dyDescent="0.15">
      <c r="A113" s="11">
        <v>111</v>
      </c>
      <c r="B113" s="9" t="s">
        <v>591</v>
      </c>
      <c r="C113" s="9" t="s">
        <v>26</v>
      </c>
      <c r="D113" s="9" t="str">
        <f>VLOOKUP(LEFT(B113,1),部门信息!$B$1:$C$6,2,0)</f>
        <v>市场</v>
      </c>
      <c r="E113" s="10">
        <v>8800</v>
      </c>
      <c r="F113" s="10">
        <v>200</v>
      </c>
      <c r="G113" s="10">
        <v>45</v>
      </c>
      <c r="H113" s="10">
        <v>222</v>
      </c>
      <c r="I113" s="10">
        <f t="shared" si="4"/>
        <v>8823</v>
      </c>
      <c r="J113" s="10">
        <v>1144</v>
      </c>
      <c r="K113" s="10">
        <f t="shared" si="5"/>
        <v>4179</v>
      </c>
      <c r="L113" s="10">
        <f t="shared" si="6"/>
        <v>312.90000000000003</v>
      </c>
      <c r="M113" s="10">
        <f t="shared" si="7"/>
        <v>7366.1</v>
      </c>
    </row>
    <row r="114" spans="1:13" x14ac:dyDescent="0.15">
      <c r="A114" s="11">
        <v>112</v>
      </c>
      <c r="B114" s="9" t="s">
        <v>460</v>
      </c>
      <c r="C114" s="9" t="s">
        <v>134</v>
      </c>
      <c r="D114" s="9" t="str">
        <f>VLOOKUP(LEFT(B114,1),部门信息!$B$1:$C$6,2,0)</f>
        <v>人事</v>
      </c>
      <c r="E114" s="10">
        <v>15100</v>
      </c>
      <c r="F114" s="10">
        <v>200</v>
      </c>
      <c r="G114" s="10">
        <v>135</v>
      </c>
      <c r="H114" s="10">
        <v>496</v>
      </c>
      <c r="I114" s="10">
        <f t="shared" si="4"/>
        <v>14939</v>
      </c>
      <c r="J114" s="10">
        <v>2416</v>
      </c>
      <c r="K114" s="10">
        <f t="shared" si="5"/>
        <v>9023</v>
      </c>
      <c r="L114" s="10">
        <f t="shared" si="6"/>
        <v>1250.75</v>
      </c>
      <c r="M114" s="10">
        <f t="shared" si="7"/>
        <v>11272.25</v>
      </c>
    </row>
    <row r="115" spans="1:13" x14ac:dyDescent="0.15">
      <c r="A115" s="11">
        <v>113</v>
      </c>
      <c r="B115" s="9" t="s">
        <v>534</v>
      </c>
      <c r="C115" s="9" t="s">
        <v>135</v>
      </c>
      <c r="D115" s="9" t="str">
        <f>VLOOKUP(LEFT(B115,1),部门信息!$B$1:$C$6,2,0)</f>
        <v>研发</v>
      </c>
      <c r="E115" s="10">
        <v>3500</v>
      </c>
      <c r="F115" s="10">
        <v>0</v>
      </c>
      <c r="G115" s="10">
        <v>360</v>
      </c>
      <c r="H115" s="10">
        <v>220</v>
      </c>
      <c r="I115" s="10">
        <f t="shared" si="4"/>
        <v>3640</v>
      </c>
      <c r="J115" s="10">
        <v>490</v>
      </c>
      <c r="K115" s="10">
        <f t="shared" si="5"/>
        <v>0</v>
      </c>
      <c r="L115" s="10">
        <f t="shared" si="6"/>
        <v>0</v>
      </c>
      <c r="M115" s="10">
        <f t="shared" si="7"/>
        <v>3150</v>
      </c>
    </row>
    <row r="116" spans="1:13" x14ac:dyDescent="0.15">
      <c r="A116" s="11">
        <v>114</v>
      </c>
      <c r="B116" s="9" t="s">
        <v>653</v>
      </c>
      <c r="C116" s="9" t="s">
        <v>136</v>
      </c>
      <c r="D116" s="9" t="str">
        <f>VLOOKUP(LEFT(B116,1),部门信息!$B$1:$C$6,2,0)</f>
        <v>市场</v>
      </c>
      <c r="E116" s="10">
        <v>11000</v>
      </c>
      <c r="F116" s="10">
        <v>1000</v>
      </c>
      <c r="G116" s="10">
        <v>315</v>
      </c>
      <c r="H116" s="10">
        <v>340</v>
      </c>
      <c r="I116" s="10">
        <f t="shared" si="4"/>
        <v>11975</v>
      </c>
      <c r="J116" s="10">
        <v>1760</v>
      </c>
      <c r="K116" s="10">
        <f t="shared" si="5"/>
        <v>6715</v>
      </c>
      <c r="L116" s="10">
        <f t="shared" si="6"/>
        <v>788</v>
      </c>
      <c r="M116" s="10">
        <f t="shared" si="7"/>
        <v>9427</v>
      </c>
    </row>
    <row r="117" spans="1:13" x14ac:dyDescent="0.15">
      <c r="A117" s="11">
        <v>115</v>
      </c>
      <c r="B117" s="9" t="s">
        <v>496</v>
      </c>
      <c r="C117" s="9" t="s">
        <v>137</v>
      </c>
      <c r="D117" s="9" t="str">
        <f>VLOOKUP(LEFT(B117,1),部门信息!$B$1:$C$6,2,0)</f>
        <v>人事</v>
      </c>
      <c r="E117" s="10">
        <v>7600</v>
      </c>
      <c r="F117" s="10">
        <v>300</v>
      </c>
      <c r="G117" s="10">
        <v>450</v>
      </c>
      <c r="H117" s="10">
        <v>0</v>
      </c>
      <c r="I117" s="10">
        <f t="shared" si="4"/>
        <v>8350</v>
      </c>
      <c r="J117" s="10">
        <v>988</v>
      </c>
      <c r="K117" s="10">
        <f t="shared" si="5"/>
        <v>3862</v>
      </c>
      <c r="L117" s="10">
        <f t="shared" si="6"/>
        <v>281.20000000000005</v>
      </c>
      <c r="M117" s="10">
        <f t="shared" si="7"/>
        <v>7080.8</v>
      </c>
    </row>
    <row r="118" spans="1:13" x14ac:dyDescent="0.15">
      <c r="A118" s="11">
        <v>116</v>
      </c>
      <c r="B118" s="9" t="s">
        <v>532</v>
      </c>
      <c r="C118" s="9" t="s">
        <v>138</v>
      </c>
      <c r="D118" s="9" t="str">
        <f>VLOOKUP(LEFT(B118,1),部门信息!$B$1:$C$6,2,0)</f>
        <v>研发</v>
      </c>
      <c r="E118" s="10">
        <v>16300</v>
      </c>
      <c r="F118" s="10">
        <v>0</v>
      </c>
      <c r="G118" s="10">
        <v>315</v>
      </c>
      <c r="H118" s="10">
        <v>0</v>
      </c>
      <c r="I118" s="10">
        <f t="shared" si="4"/>
        <v>16615</v>
      </c>
      <c r="J118" s="10">
        <v>2608</v>
      </c>
      <c r="K118" s="10">
        <f t="shared" si="5"/>
        <v>10507</v>
      </c>
      <c r="L118" s="10">
        <f t="shared" si="6"/>
        <v>1621.75</v>
      </c>
      <c r="M118" s="10">
        <f t="shared" si="7"/>
        <v>12385.25</v>
      </c>
    </row>
    <row r="119" spans="1:13" x14ac:dyDescent="0.15">
      <c r="A119" s="11">
        <v>117</v>
      </c>
      <c r="B119" s="9" t="s">
        <v>670</v>
      </c>
      <c r="C119" s="9" t="s">
        <v>139</v>
      </c>
      <c r="D119" s="9" t="str">
        <f>VLOOKUP(LEFT(B119,1),部门信息!$B$1:$C$6,2,0)</f>
        <v>市场</v>
      </c>
      <c r="E119" s="10">
        <v>7000</v>
      </c>
      <c r="F119" s="10">
        <v>0</v>
      </c>
      <c r="G119" s="10">
        <v>315</v>
      </c>
      <c r="H119" s="10">
        <v>181</v>
      </c>
      <c r="I119" s="10">
        <f t="shared" si="4"/>
        <v>7134</v>
      </c>
      <c r="J119" s="10">
        <v>1050</v>
      </c>
      <c r="K119" s="10">
        <f t="shared" si="5"/>
        <v>2584</v>
      </c>
      <c r="L119" s="10">
        <f t="shared" si="6"/>
        <v>153.40000000000003</v>
      </c>
      <c r="M119" s="10">
        <f t="shared" si="7"/>
        <v>5930.6</v>
      </c>
    </row>
    <row r="120" spans="1:13" x14ac:dyDescent="0.15">
      <c r="A120" s="11">
        <v>118</v>
      </c>
      <c r="B120" s="9" t="s">
        <v>380</v>
      </c>
      <c r="C120" s="9" t="s">
        <v>140</v>
      </c>
      <c r="D120" s="9" t="str">
        <f>VLOOKUP(LEFT(B120,1),部门信息!$B$1:$C$6,2,0)</f>
        <v>行政</v>
      </c>
      <c r="E120" s="10">
        <v>8200</v>
      </c>
      <c r="F120" s="10">
        <v>700</v>
      </c>
      <c r="G120" s="10">
        <v>450</v>
      </c>
      <c r="H120" s="10">
        <v>0</v>
      </c>
      <c r="I120" s="10">
        <f t="shared" si="4"/>
        <v>9350</v>
      </c>
      <c r="J120" s="10">
        <v>1066</v>
      </c>
      <c r="K120" s="10">
        <f t="shared" si="5"/>
        <v>4784</v>
      </c>
      <c r="L120" s="10">
        <f t="shared" si="6"/>
        <v>401.80000000000007</v>
      </c>
      <c r="M120" s="10">
        <f t="shared" si="7"/>
        <v>7882.2</v>
      </c>
    </row>
    <row r="121" spans="1:13" x14ac:dyDescent="0.15">
      <c r="A121" s="11">
        <v>119</v>
      </c>
      <c r="B121" s="9" t="s">
        <v>399</v>
      </c>
      <c r="C121" s="9" t="s">
        <v>141</v>
      </c>
      <c r="D121" s="9" t="str">
        <f>VLOOKUP(LEFT(B121,1),部门信息!$B$1:$C$6,2,0)</f>
        <v>行政</v>
      </c>
      <c r="E121" s="10">
        <v>11300</v>
      </c>
      <c r="F121" s="10">
        <v>800</v>
      </c>
      <c r="G121" s="10">
        <v>360</v>
      </c>
      <c r="H121" s="10">
        <v>108</v>
      </c>
      <c r="I121" s="10">
        <f t="shared" si="4"/>
        <v>12352</v>
      </c>
      <c r="J121" s="10">
        <v>1469</v>
      </c>
      <c r="K121" s="10">
        <f t="shared" si="5"/>
        <v>7383</v>
      </c>
      <c r="L121" s="10">
        <f t="shared" si="6"/>
        <v>921.60000000000014</v>
      </c>
      <c r="M121" s="10">
        <f t="shared" si="7"/>
        <v>9961.4</v>
      </c>
    </row>
    <row r="122" spans="1:13" x14ac:dyDescent="0.15">
      <c r="A122" s="11">
        <v>120</v>
      </c>
      <c r="B122" s="9" t="s">
        <v>533</v>
      </c>
      <c r="C122" s="9" t="s">
        <v>142</v>
      </c>
      <c r="D122" s="9" t="str">
        <f>VLOOKUP(LEFT(B122,1),部门信息!$B$1:$C$6,2,0)</f>
        <v>研发</v>
      </c>
      <c r="E122" s="10">
        <v>19800</v>
      </c>
      <c r="F122" s="10">
        <v>700</v>
      </c>
      <c r="G122" s="10">
        <v>450</v>
      </c>
      <c r="H122" s="10">
        <v>282</v>
      </c>
      <c r="I122" s="10">
        <f t="shared" si="4"/>
        <v>20668</v>
      </c>
      <c r="J122" s="10">
        <v>2376</v>
      </c>
      <c r="K122" s="10">
        <f t="shared" si="5"/>
        <v>14792</v>
      </c>
      <c r="L122" s="10">
        <f t="shared" si="6"/>
        <v>2693</v>
      </c>
      <c r="M122" s="10">
        <f t="shared" si="7"/>
        <v>15599</v>
      </c>
    </row>
    <row r="123" spans="1:13" x14ac:dyDescent="0.15">
      <c r="A123" s="11">
        <v>121</v>
      </c>
      <c r="B123" s="9" t="s">
        <v>679</v>
      </c>
      <c r="C123" s="9" t="s">
        <v>143</v>
      </c>
      <c r="D123" s="9" t="str">
        <f>VLOOKUP(LEFT(B123,1),部门信息!$B$1:$C$6,2,0)</f>
        <v>市场</v>
      </c>
      <c r="E123" s="10">
        <v>12000</v>
      </c>
      <c r="F123" s="10">
        <v>300</v>
      </c>
      <c r="G123" s="10">
        <v>225</v>
      </c>
      <c r="H123" s="10">
        <v>0</v>
      </c>
      <c r="I123" s="10">
        <f t="shared" si="4"/>
        <v>12525</v>
      </c>
      <c r="J123" s="10">
        <v>1920</v>
      </c>
      <c r="K123" s="10">
        <f t="shared" si="5"/>
        <v>7105</v>
      </c>
      <c r="L123" s="10">
        <f t="shared" si="6"/>
        <v>866</v>
      </c>
      <c r="M123" s="10">
        <f t="shared" si="7"/>
        <v>9739</v>
      </c>
    </row>
    <row r="124" spans="1:13" x14ac:dyDescent="0.15">
      <c r="A124" s="11">
        <v>122</v>
      </c>
      <c r="B124" s="9" t="s">
        <v>444</v>
      </c>
      <c r="C124" s="9" t="s">
        <v>144</v>
      </c>
      <c r="D124" s="9" t="str">
        <f>VLOOKUP(LEFT(B124,1),部门信息!$B$1:$C$6,2,0)</f>
        <v>行政</v>
      </c>
      <c r="E124" s="10">
        <v>8800</v>
      </c>
      <c r="F124" s="10">
        <v>0</v>
      </c>
      <c r="G124" s="10">
        <v>180</v>
      </c>
      <c r="H124" s="10">
        <v>158</v>
      </c>
      <c r="I124" s="10">
        <f t="shared" si="4"/>
        <v>8822</v>
      </c>
      <c r="J124" s="10">
        <v>1144</v>
      </c>
      <c r="K124" s="10">
        <f t="shared" si="5"/>
        <v>4178</v>
      </c>
      <c r="L124" s="10">
        <f t="shared" si="6"/>
        <v>312.8</v>
      </c>
      <c r="M124" s="10">
        <f t="shared" si="7"/>
        <v>7365.2</v>
      </c>
    </row>
    <row r="125" spans="1:13" x14ac:dyDescent="0.15">
      <c r="A125" s="11">
        <v>123</v>
      </c>
      <c r="B125" s="9" t="s">
        <v>588</v>
      </c>
      <c r="C125" s="9" t="s">
        <v>145</v>
      </c>
      <c r="D125" s="9" t="str">
        <f>VLOOKUP(LEFT(B125,1),部门信息!$B$1:$C$6,2,0)</f>
        <v>市场</v>
      </c>
      <c r="E125" s="10">
        <v>19200</v>
      </c>
      <c r="F125" s="10">
        <v>1000</v>
      </c>
      <c r="G125" s="10">
        <v>405</v>
      </c>
      <c r="H125" s="10">
        <v>167</v>
      </c>
      <c r="I125" s="10">
        <f t="shared" si="4"/>
        <v>20438</v>
      </c>
      <c r="J125" s="10">
        <v>2304</v>
      </c>
      <c r="K125" s="10">
        <f t="shared" si="5"/>
        <v>14634</v>
      </c>
      <c r="L125" s="10">
        <f t="shared" si="6"/>
        <v>2653.5</v>
      </c>
      <c r="M125" s="10">
        <f t="shared" si="7"/>
        <v>15480.5</v>
      </c>
    </row>
    <row r="126" spans="1:13" x14ac:dyDescent="0.15">
      <c r="A126" s="11">
        <v>124</v>
      </c>
      <c r="B126" s="9" t="s">
        <v>690</v>
      </c>
      <c r="C126" s="9" t="s">
        <v>146</v>
      </c>
      <c r="D126" s="9" t="str">
        <f>VLOOKUP(LEFT(B126,1),部门信息!$B$1:$C$6,2,0)</f>
        <v>市场</v>
      </c>
      <c r="E126" s="10">
        <v>7600</v>
      </c>
      <c r="F126" s="10">
        <v>800</v>
      </c>
      <c r="G126" s="10">
        <v>405</v>
      </c>
      <c r="H126" s="10">
        <v>199</v>
      </c>
      <c r="I126" s="10">
        <f t="shared" si="4"/>
        <v>8606</v>
      </c>
      <c r="J126" s="10">
        <v>1216</v>
      </c>
      <c r="K126" s="10">
        <f t="shared" si="5"/>
        <v>3890</v>
      </c>
      <c r="L126" s="10">
        <f t="shared" si="6"/>
        <v>284</v>
      </c>
      <c r="M126" s="10">
        <f t="shared" si="7"/>
        <v>7106</v>
      </c>
    </row>
    <row r="127" spans="1:13" x14ac:dyDescent="0.15">
      <c r="A127" s="11">
        <v>125</v>
      </c>
      <c r="B127" s="9" t="s">
        <v>519</v>
      </c>
      <c r="C127" s="9" t="s">
        <v>147</v>
      </c>
      <c r="D127" s="9" t="str">
        <f>VLOOKUP(LEFT(B127,1),部门信息!$B$1:$C$6,2,0)</f>
        <v>管理</v>
      </c>
      <c r="E127" s="10">
        <v>8600</v>
      </c>
      <c r="F127" s="10">
        <v>300</v>
      </c>
      <c r="G127" s="10">
        <v>405</v>
      </c>
      <c r="H127" s="10">
        <v>0</v>
      </c>
      <c r="I127" s="10">
        <f t="shared" si="4"/>
        <v>9305</v>
      </c>
      <c r="J127" s="10">
        <v>1204</v>
      </c>
      <c r="K127" s="10">
        <f t="shared" si="5"/>
        <v>4601</v>
      </c>
      <c r="L127" s="10">
        <f t="shared" si="6"/>
        <v>365.20000000000005</v>
      </c>
      <c r="M127" s="10">
        <f t="shared" si="7"/>
        <v>7735.8</v>
      </c>
    </row>
    <row r="128" spans="1:13" x14ac:dyDescent="0.15">
      <c r="A128" s="11">
        <v>126</v>
      </c>
      <c r="B128" s="9" t="s">
        <v>606</v>
      </c>
      <c r="C128" s="9" t="s">
        <v>148</v>
      </c>
      <c r="D128" s="9" t="str">
        <f>VLOOKUP(LEFT(B128,1),部门信息!$B$1:$C$6,2,0)</f>
        <v>市场</v>
      </c>
      <c r="E128" s="10">
        <v>4000</v>
      </c>
      <c r="F128" s="10">
        <v>600</v>
      </c>
      <c r="G128" s="10">
        <v>180</v>
      </c>
      <c r="H128" s="10">
        <v>162</v>
      </c>
      <c r="I128" s="10">
        <f t="shared" si="4"/>
        <v>4618</v>
      </c>
      <c r="J128" s="10">
        <v>600</v>
      </c>
      <c r="K128" s="10">
        <f t="shared" si="5"/>
        <v>518</v>
      </c>
      <c r="L128" s="10">
        <f t="shared" si="6"/>
        <v>15.54</v>
      </c>
      <c r="M128" s="10">
        <f t="shared" si="7"/>
        <v>4002.46</v>
      </c>
    </row>
    <row r="129" spans="1:13" x14ac:dyDescent="0.15">
      <c r="A129" s="11">
        <v>127</v>
      </c>
      <c r="B129" s="9" t="s">
        <v>494</v>
      </c>
      <c r="C129" s="9" t="s">
        <v>149</v>
      </c>
      <c r="D129" s="9" t="str">
        <f>VLOOKUP(LEFT(B129,1),部门信息!$B$1:$C$6,2,0)</f>
        <v>人事</v>
      </c>
      <c r="E129" s="10">
        <v>4700</v>
      </c>
      <c r="F129" s="10">
        <v>100</v>
      </c>
      <c r="G129" s="10">
        <v>270</v>
      </c>
      <c r="H129" s="10">
        <v>291</v>
      </c>
      <c r="I129" s="10">
        <f t="shared" si="4"/>
        <v>4779</v>
      </c>
      <c r="J129" s="10">
        <v>564</v>
      </c>
      <c r="K129" s="10">
        <f t="shared" si="5"/>
        <v>715</v>
      </c>
      <c r="L129" s="10">
        <f t="shared" si="6"/>
        <v>21.45</v>
      </c>
      <c r="M129" s="10">
        <f t="shared" si="7"/>
        <v>4193.55</v>
      </c>
    </row>
    <row r="130" spans="1:13" x14ac:dyDescent="0.15">
      <c r="A130" s="11">
        <v>128</v>
      </c>
      <c r="B130" s="9" t="s">
        <v>573</v>
      </c>
      <c r="C130" s="9" t="s">
        <v>5</v>
      </c>
      <c r="D130" s="9" t="str">
        <f>VLOOKUP(LEFT(B130,1),部门信息!$B$1:$C$6,2,0)</f>
        <v>市场</v>
      </c>
      <c r="E130" s="10">
        <v>7800</v>
      </c>
      <c r="F130" s="10">
        <v>100</v>
      </c>
      <c r="G130" s="10">
        <v>135</v>
      </c>
      <c r="H130" s="10">
        <v>0</v>
      </c>
      <c r="I130" s="10">
        <f t="shared" si="4"/>
        <v>8035</v>
      </c>
      <c r="J130" s="10">
        <v>1170</v>
      </c>
      <c r="K130" s="10">
        <f t="shared" si="5"/>
        <v>3365</v>
      </c>
      <c r="L130" s="10">
        <f t="shared" si="6"/>
        <v>231.5</v>
      </c>
      <c r="M130" s="10">
        <f t="shared" si="7"/>
        <v>6633.5</v>
      </c>
    </row>
    <row r="131" spans="1:13" x14ac:dyDescent="0.15">
      <c r="A131" s="11">
        <v>129</v>
      </c>
      <c r="B131" s="9" t="s">
        <v>421</v>
      </c>
      <c r="C131" s="9" t="s">
        <v>150</v>
      </c>
      <c r="D131" s="9" t="str">
        <f>VLOOKUP(LEFT(B131,1),部门信息!$B$1:$C$6,2,0)</f>
        <v>行政</v>
      </c>
      <c r="E131" s="10">
        <v>6400</v>
      </c>
      <c r="F131" s="10">
        <v>100</v>
      </c>
      <c r="G131" s="10">
        <v>135</v>
      </c>
      <c r="H131" s="10">
        <v>369</v>
      </c>
      <c r="I131" s="10">
        <f t="shared" ref="I131:I194" si="8">E131+F131+G131-H131</f>
        <v>6266</v>
      </c>
      <c r="J131" s="10">
        <v>768</v>
      </c>
      <c r="K131" s="10">
        <f t="shared" si="5"/>
        <v>1998</v>
      </c>
      <c r="L131" s="10">
        <f t="shared" si="6"/>
        <v>94.800000000000011</v>
      </c>
      <c r="M131" s="10">
        <f t="shared" si="7"/>
        <v>5403.2</v>
      </c>
    </row>
    <row r="132" spans="1:13" x14ac:dyDescent="0.15">
      <c r="A132" s="11">
        <v>130</v>
      </c>
      <c r="B132" s="9" t="s">
        <v>435</v>
      </c>
      <c r="C132" s="9" t="s">
        <v>151</v>
      </c>
      <c r="D132" s="9" t="str">
        <f>VLOOKUP(LEFT(B132,1),部门信息!$B$1:$C$6,2,0)</f>
        <v>行政</v>
      </c>
      <c r="E132" s="10">
        <v>9900</v>
      </c>
      <c r="F132" s="10">
        <v>500</v>
      </c>
      <c r="G132" s="10">
        <v>270</v>
      </c>
      <c r="H132" s="10">
        <v>0</v>
      </c>
      <c r="I132" s="10">
        <f t="shared" si="8"/>
        <v>10670</v>
      </c>
      <c r="J132" s="10">
        <v>1188</v>
      </c>
      <c r="K132" s="10">
        <f t="shared" ref="K132:K195" si="9">IF(I132-J132-3500&gt;0,I132-J132-3500,0)</f>
        <v>5982</v>
      </c>
      <c r="L132" s="10">
        <f t="shared" ref="L132:L195" si="10">IF(K132&gt;80000,K132*0.45-13505,IF(K132&gt;55000,K132*0.35-5505,IF(K132&gt;35000,K132*0.3-2755,IF(K132&gt;9000,K132*0.25-1005,IF(K132&gt;4500,K132*0.2-555,IF(K132&gt;1500,K132*0.1-105,IF(K132&gt;0,K132*0.03,0)))))))</f>
        <v>641.40000000000009</v>
      </c>
      <c r="M132" s="10">
        <f t="shared" ref="M132:M195" si="11">I132-J132-L132</f>
        <v>8840.6</v>
      </c>
    </row>
    <row r="133" spans="1:13" x14ac:dyDescent="0.15">
      <c r="A133" s="11">
        <v>131</v>
      </c>
      <c r="B133" s="9" t="s">
        <v>529</v>
      </c>
      <c r="C133" s="9" t="s">
        <v>152</v>
      </c>
      <c r="D133" s="9" t="str">
        <f>VLOOKUP(LEFT(B133,1),部门信息!$B$1:$C$6,2,0)</f>
        <v>管理</v>
      </c>
      <c r="E133" s="10">
        <v>4100</v>
      </c>
      <c r="F133" s="10">
        <v>700</v>
      </c>
      <c r="G133" s="10">
        <v>90</v>
      </c>
      <c r="H133" s="10">
        <v>0</v>
      </c>
      <c r="I133" s="10">
        <f t="shared" si="8"/>
        <v>4890</v>
      </c>
      <c r="J133" s="10">
        <v>615</v>
      </c>
      <c r="K133" s="10">
        <f t="shared" si="9"/>
        <v>775</v>
      </c>
      <c r="L133" s="10">
        <f t="shared" si="10"/>
        <v>23.25</v>
      </c>
      <c r="M133" s="10">
        <f t="shared" si="11"/>
        <v>4251.75</v>
      </c>
    </row>
    <row r="134" spans="1:13" x14ac:dyDescent="0.15">
      <c r="A134" s="11">
        <v>132</v>
      </c>
      <c r="B134" s="9" t="s">
        <v>415</v>
      </c>
      <c r="C134" s="9" t="s">
        <v>153</v>
      </c>
      <c r="D134" s="9" t="str">
        <f>VLOOKUP(LEFT(B134,1),部门信息!$B$1:$C$6,2,0)</f>
        <v>行政</v>
      </c>
      <c r="E134" s="10">
        <v>15100</v>
      </c>
      <c r="F134" s="10">
        <v>900</v>
      </c>
      <c r="G134" s="10">
        <v>225</v>
      </c>
      <c r="H134" s="10">
        <v>0</v>
      </c>
      <c r="I134" s="10">
        <f t="shared" si="8"/>
        <v>16225</v>
      </c>
      <c r="J134" s="10">
        <v>2265</v>
      </c>
      <c r="K134" s="10">
        <f t="shared" si="9"/>
        <v>10460</v>
      </c>
      <c r="L134" s="10">
        <f t="shared" si="10"/>
        <v>1610</v>
      </c>
      <c r="M134" s="10">
        <f t="shared" si="11"/>
        <v>12350</v>
      </c>
    </row>
    <row r="135" spans="1:13" x14ac:dyDescent="0.15">
      <c r="A135" s="11">
        <v>133</v>
      </c>
      <c r="B135" s="9" t="s">
        <v>605</v>
      </c>
      <c r="C135" s="9" t="s">
        <v>6</v>
      </c>
      <c r="D135" s="9" t="str">
        <f>VLOOKUP(LEFT(B135,1),部门信息!$B$1:$C$6,2,0)</f>
        <v>市场</v>
      </c>
      <c r="E135" s="10">
        <v>15600</v>
      </c>
      <c r="F135" s="10">
        <v>400</v>
      </c>
      <c r="G135" s="10">
        <v>225</v>
      </c>
      <c r="H135" s="10">
        <v>0</v>
      </c>
      <c r="I135" s="10">
        <f t="shared" si="8"/>
        <v>16225</v>
      </c>
      <c r="J135" s="10">
        <v>2028</v>
      </c>
      <c r="K135" s="10">
        <f t="shared" si="9"/>
        <v>10697</v>
      </c>
      <c r="L135" s="10">
        <f t="shared" si="10"/>
        <v>1669.25</v>
      </c>
      <c r="M135" s="10">
        <f t="shared" si="11"/>
        <v>12527.75</v>
      </c>
    </row>
    <row r="136" spans="1:13" x14ac:dyDescent="0.15">
      <c r="A136" s="11">
        <v>134</v>
      </c>
      <c r="B136" s="9" t="s">
        <v>654</v>
      </c>
      <c r="C136" s="9" t="s">
        <v>154</v>
      </c>
      <c r="D136" s="9" t="str">
        <f>VLOOKUP(LEFT(B136,1),部门信息!$B$1:$C$6,2,0)</f>
        <v>市场</v>
      </c>
      <c r="E136" s="10">
        <v>17200</v>
      </c>
      <c r="F136" s="10">
        <v>500</v>
      </c>
      <c r="G136" s="10">
        <v>360</v>
      </c>
      <c r="H136" s="10">
        <v>0</v>
      </c>
      <c r="I136" s="10">
        <f t="shared" si="8"/>
        <v>18060</v>
      </c>
      <c r="J136" s="10">
        <v>2580</v>
      </c>
      <c r="K136" s="10">
        <f t="shared" si="9"/>
        <v>11980</v>
      </c>
      <c r="L136" s="10">
        <f t="shared" si="10"/>
        <v>1990</v>
      </c>
      <c r="M136" s="10">
        <f t="shared" si="11"/>
        <v>13490</v>
      </c>
    </row>
    <row r="137" spans="1:13" x14ac:dyDescent="0.15">
      <c r="A137" s="11">
        <v>135</v>
      </c>
      <c r="B137" s="9" t="s">
        <v>507</v>
      </c>
      <c r="C137" s="9" t="s">
        <v>155</v>
      </c>
      <c r="D137" s="9" t="str">
        <f>VLOOKUP(LEFT(B137,1),部门信息!$B$1:$C$6,2,0)</f>
        <v>管理</v>
      </c>
      <c r="E137" s="10">
        <v>19300</v>
      </c>
      <c r="F137" s="10">
        <v>100</v>
      </c>
      <c r="G137" s="10">
        <v>180</v>
      </c>
      <c r="H137" s="10">
        <v>84</v>
      </c>
      <c r="I137" s="10">
        <f t="shared" si="8"/>
        <v>19496</v>
      </c>
      <c r="J137" s="10">
        <v>3088</v>
      </c>
      <c r="K137" s="10">
        <f t="shared" si="9"/>
        <v>12908</v>
      </c>
      <c r="L137" s="10">
        <f t="shared" si="10"/>
        <v>2222</v>
      </c>
      <c r="M137" s="10">
        <f t="shared" si="11"/>
        <v>14186</v>
      </c>
    </row>
    <row r="138" spans="1:13" x14ac:dyDescent="0.15">
      <c r="A138" s="11">
        <v>136</v>
      </c>
      <c r="B138" s="9" t="s">
        <v>445</v>
      </c>
      <c r="C138" s="9" t="s">
        <v>156</v>
      </c>
      <c r="D138" s="9" t="str">
        <f>VLOOKUP(LEFT(B138,1),部门信息!$B$1:$C$6,2,0)</f>
        <v>行政</v>
      </c>
      <c r="E138" s="10">
        <v>13200</v>
      </c>
      <c r="F138" s="10">
        <v>300</v>
      </c>
      <c r="G138" s="10">
        <v>315</v>
      </c>
      <c r="H138" s="10">
        <v>365</v>
      </c>
      <c r="I138" s="10">
        <f t="shared" si="8"/>
        <v>13450</v>
      </c>
      <c r="J138" s="10">
        <v>1848</v>
      </c>
      <c r="K138" s="10">
        <f t="shared" si="9"/>
        <v>8102</v>
      </c>
      <c r="L138" s="10">
        <f t="shared" si="10"/>
        <v>1065.4000000000001</v>
      </c>
      <c r="M138" s="10">
        <f t="shared" si="11"/>
        <v>10536.6</v>
      </c>
    </row>
    <row r="139" spans="1:13" x14ac:dyDescent="0.15">
      <c r="A139" s="11">
        <v>137</v>
      </c>
      <c r="B139" s="9" t="s">
        <v>660</v>
      </c>
      <c r="C139" s="9" t="s">
        <v>157</v>
      </c>
      <c r="D139" s="9" t="str">
        <f>VLOOKUP(LEFT(B139,1),部门信息!$B$1:$C$6,2,0)</f>
        <v>市场</v>
      </c>
      <c r="E139" s="10">
        <v>17900</v>
      </c>
      <c r="F139" s="10">
        <v>300</v>
      </c>
      <c r="G139" s="10">
        <v>45</v>
      </c>
      <c r="H139" s="10">
        <v>0</v>
      </c>
      <c r="I139" s="10">
        <f t="shared" si="8"/>
        <v>18245</v>
      </c>
      <c r="J139" s="10">
        <v>2864</v>
      </c>
      <c r="K139" s="10">
        <f t="shared" si="9"/>
        <v>11881</v>
      </c>
      <c r="L139" s="10">
        <f t="shared" si="10"/>
        <v>1965.25</v>
      </c>
      <c r="M139" s="10">
        <f t="shared" si="11"/>
        <v>13415.75</v>
      </c>
    </row>
    <row r="140" spans="1:13" x14ac:dyDescent="0.15">
      <c r="A140" s="11">
        <v>138</v>
      </c>
      <c r="B140" s="9" t="s">
        <v>639</v>
      </c>
      <c r="C140" s="9" t="s">
        <v>158</v>
      </c>
      <c r="D140" s="9" t="str">
        <f>VLOOKUP(LEFT(B140,1),部门信息!$B$1:$C$6,2,0)</f>
        <v>市场</v>
      </c>
      <c r="E140" s="10">
        <v>17300</v>
      </c>
      <c r="F140" s="10">
        <v>400</v>
      </c>
      <c r="G140" s="10">
        <v>315</v>
      </c>
      <c r="H140" s="10">
        <v>112</v>
      </c>
      <c r="I140" s="10">
        <f t="shared" si="8"/>
        <v>17903</v>
      </c>
      <c r="J140" s="10">
        <v>2422</v>
      </c>
      <c r="K140" s="10">
        <f t="shared" si="9"/>
        <v>11981</v>
      </c>
      <c r="L140" s="10">
        <f t="shared" si="10"/>
        <v>1990.25</v>
      </c>
      <c r="M140" s="10">
        <f t="shared" si="11"/>
        <v>13490.75</v>
      </c>
    </row>
    <row r="141" spans="1:13" x14ac:dyDescent="0.15">
      <c r="A141" s="11">
        <v>139</v>
      </c>
      <c r="B141" s="9" t="s">
        <v>419</v>
      </c>
      <c r="C141" s="9" t="s">
        <v>159</v>
      </c>
      <c r="D141" s="9" t="str">
        <f>VLOOKUP(LEFT(B141,1),部门信息!$B$1:$C$6,2,0)</f>
        <v>行政</v>
      </c>
      <c r="E141" s="10">
        <v>16800</v>
      </c>
      <c r="F141" s="10">
        <v>100</v>
      </c>
      <c r="G141" s="10">
        <v>135</v>
      </c>
      <c r="H141" s="10">
        <v>0</v>
      </c>
      <c r="I141" s="10">
        <f t="shared" si="8"/>
        <v>17035</v>
      </c>
      <c r="J141" s="10">
        <v>2688</v>
      </c>
      <c r="K141" s="10">
        <f t="shared" si="9"/>
        <v>10847</v>
      </c>
      <c r="L141" s="10">
        <f t="shared" si="10"/>
        <v>1706.75</v>
      </c>
      <c r="M141" s="10">
        <f t="shared" si="11"/>
        <v>12640.25</v>
      </c>
    </row>
    <row r="142" spans="1:13" x14ac:dyDescent="0.15">
      <c r="A142" s="11">
        <v>140</v>
      </c>
      <c r="B142" s="9" t="s">
        <v>663</v>
      </c>
      <c r="C142" s="9" t="s">
        <v>160</v>
      </c>
      <c r="D142" s="9" t="str">
        <f>VLOOKUP(LEFT(B142,1),部门信息!$B$1:$C$6,2,0)</f>
        <v>市场</v>
      </c>
      <c r="E142" s="10">
        <v>3300</v>
      </c>
      <c r="F142" s="10">
        <v>300</v>
      </c>
      <c r="G142" s="10">
        <v>360</v>
      </c>
      <c r="H142" s="10">
        <v>0</v>
      </c>
      <c r="I142" s="10">
        <f t="shared" si="8"/>
        <v>3960</v>
      </c>
      <c r="J142" s="10">
        <v>528</v>
      </c>
      <c r="K142" s="10">
        <f t="shared" si="9"/>
        <v>0</v>
      </c>
      <c r="L142" s="10">
        <f t="shared" si="10"/>
        <v>0</v>
      </c>
      <c r="M142" s="10">
        <f t="shared" si="11"/>
        <v>3432</v>
      </c>
    </row>
    <row r="143" spans="1:13" x14ac:dyDescent="0.15">
      <c r="A143" s="11">
        <v>141</v>
      </c>
      <c r="B143" s="9" t="s">
        <v>714</v>
      </c>
      <c r="C143" s="9" t="s">
        <v>161</v>
      </c>
      <c r="D143" s="9" t="str">
        <f>VLOOKUP(LEFT(B143,1),部门信息!$B$1:$C$6,2,0)</f>
        <v>市场</v>
      </c>
      <c r="E143" s="10">
        <v>15000</v>
      </c>
      <c r="F143" s="10">
        <v>500</v>
      </c>
      <c r="G143" s="10">
        <v>90</v>
      </c>
      <c r="H143" s="10">
        <v>0</v>
      </c>
      <c r="I143" s="10">
        <f t="shared" si="8"/>
        <v>15590</v>
      </c>
      <c r="J143" s="10">
        <v>1800</v>
      </c>
      <c r="K143" s="10">
        <f t="shared" si="9"/>
        <v>10290</v>
      </c>
      <c r="L143" s="10">
        <f t="shared" si="10"/>
        <v>1567.5</v>
      </c>
      <c r="M143" s="10">
        <f t="shared" si="11"/>
        <v>12222.5</v>
      </c>
    </row>
    <row r="144" spans="1:13" x14ac:dyDescent="0.15">
      <c r="A144" s="11">
        <v>142</v>
      </c>
      <c r="B144" s="9" t="s">
        <v>464</v>
      </c>
      <c r="C144" s="9" t="s">
        <v>162</v>
      </c>
      <c r="D144" s="9" t="str">
        <f>VLOOKUP(LEFT(B144,1),部门信息!$B$1:$C$6,2,0)</f>
        <v>人事</v>
      </c>
      <c r="E144" s="10">
        <v>5000</v>
      </c>
      <c r="F144" s="10">
        <v>500</v>
      </c>
      <c r="G144" s="10">
        <v>315</v>
      </c>
      <c r="H144" s="10">
        <v>0</v>
      </c>
      <c r="I144" s="10">
        <f t="shared" si="8"/>
        <v>5815</v>
      </c>
      <c r="J144" s="10">
        <v>800</v>
      </c>
      <c r="K144" s="10">
        <f t="shared" si="9"/>
        <v>1515</v>
      </c>
      <c r="L144" s="10">
        <f t="shared" si="10"/>
        <v>46.5</v>
      </c>
      <c r="M144" s="10">
        <f t="shared" si="11"/>
        <v>4968.5</v>
      </c>
    </row>
    <row r="145" spans="1:13" x14ac:dyDescent="0.15">
      <c r="A145" s="11">
        <v>143</v>
      </c>
      <c r="B145" s="9" t="s">
        <v>382</v>
      </c>
      <c r="C145" s="9" t="s">
        <v>163</v>
      </c>
      <c r="D145" s="9" t="str">
        <f>VLOOKUP(LEFT(B145,1),部门信息!$B$1:$C$6,2,0)</f>
        <v>行政</v>
      </c>
      <c r="E145" s="10">
        <v>6300</v>
      </c>
      <c r="F145" s="10">
        <v>100</v>
      </c>
      <c r="G145" s="10">
        <v>405</v>
      </c>
      <c r="H145" s="10">
        <v>401</v>
      </c>
      <c r="I145" s="10">
        <f t="shared" si="8"/>
        <v>6404</v>
      </c>
      <c r="J145" s="10">
        <v>882</v>
      </c>
      <c r="K145" s="10">
        <f t="shared" si="9"/>
        <v>2022</v>
      </c>
      <c r="L145" s="10">
        <f t="shared" si="10"/>
        <v>97.200000000000017</v>
      </c>
      <c r="M145" s="10">
        <f t="shared" si="11"/>
        <v>5424.8</v>
      </c>
    </row>
    <row r="146" spans="1:13" x14ac:dyDescent="0.15">
      <c r="A146" s="11">
        <v>144</v>
      </c>
      <c r="B146" s="9" t="s">
        <v>633</v>
      </c>
      <c r="C146" s="9" t="s">
        <v>164</v>
      </c>
      <c r="D146" s="9" t="str">
        <f>VLOOKUP(LEFT(B146,1),部门信息!$B$1:$C$6,2,0)</f>
        <v>市场</v>
      </c>
      <c r="E146" s="10">
        <v>19900</v>
      </c>
      <c r="F146" s="10">
        <v>900</v>
      </c>
      <c r="G146" s="10">
        <v>315</v>
      </c>
      <c r="H146" s="10">
        <v>377</v>
      </c>
      <c r="I146" s="10">
        <f t="shared" si="8"/>
        <v>20738</v>
      </c>
      <c r="J146" s="10">
        <v>2388</v>
      </c>
      <c r="K146" s="10">
        <f t="shared" si="9"/>
        <v>14850</v>
      </c>
      <c r="L146" s="10">
        <f t="shared" si="10"/>
        <v>2707.5</v>
      </c>
      <c r="M146" s="10">
        <f t="shared" si="11"/>
        <v>15642.5</v>
      </c>
    </row>
    <row r="147" spans="1:13" x14ac:dyDescent="0.15">
      <c r="A147" s="11">
        <v>145</v>
      </c>
      <c r="B147" s="9" t="s">
        <v>629</v>
      </c>
      <c r="C147" s="9" t="s">
        <v>165</v>
      </c>
      <c r="D147" s="9" t="str">
        <f>VLOOKUP(LEFT(B147,1),部门信息!$B$1:$C$6,2,0)</f>
        <v>市场</v>
      </c>
      <c r="E147" s="10">
        <v>5600</v>
      </c>
      <c r="F147" s="10">
        <v>300</v>
      </c>
      <c r="G147" s="10">
        <v>135</v>
      </c>
      <c r="H147" s="10">
        <v>320</v>
      </c>
      <c r="I147" s="10">
        <f t="shared" si="8"/>
        <v>5715</v>
      </c>
      <c r="J147" s="10">
        <v>896</v>
      </c>
      <c r="K147" s="10">
        <f t="shared" si="9"/>
        <v>1319</v>
      </c>
      <c r="L147" s="10">
        <f t="shared" si="10"/>
        <v>39.57</v>
      </c>
      <c r="M147" s="10">
        <f t="shared" si="11"/>
        <v>4779.43</v>
      </c>
    </row>
    <row r="148" spans="1:13" x14ac:dyDescent="0.15">
      <c r="A148" s="11">
        <v>146</v>
      </c>
      <c r="B148" s="9" t="s">
        <v>579</v>
      </c>
      <c r="C148" s="9" t="s">
        <v>166</v>
      </c>
      <c r="D148" s="9" t="str">
        <f>VLOOKUP(LEFT(B148,1),部门信息!$B$1:$C$6,2,0)</f>
        <v>市场</v>
      </c>
      <c r="E148" s="10">
        <v>18500</v>
      </c>
      <c r="F148" s="10">
        <v>600</v>
      </c>
      <c r="G148" s="10">
        <v>360</v>
      </c>
      <c r="H148" s="10">
        <v>0</v>
      </c>
      <c r="I148" s="10">
        <f t="shared" si="8"/>
        <v>19460</v>
      </c>
      <c r="J148" s="10">
        <v>2960</v>
      </c>
      <c r="K148" s="10">
        <f t="shared" si="9"/>
        <v>13000</v>
      </c>
      <c r="L148" s="10">
        <f t="shared" si="10"/>
        <v>2245</v>
      </c>
      <c r="M148" s="10">
        <f t="shared" si="11"/>
        <v>14255</v>
      </c>
    </row>
    <row r="149" spans="1:13" x14ac:dyDescent="0.15">
      <c r="A149" s="11">
        <v>147</v>
      </c>
      <c r="B149" s="9" t="s">
        <v>548</v>
      </c>
      <c r="C149" s="9" t="s">
        <v>167</v>
      </c>
      <c r="D149" s="9" t="str">
        <f>VLOOKUP(LEFT(B149,1),部门信息!$B$1:$C$6,2,0)</f>
        <v>研发</v>
      </c>
      <c r="E149" s="10">
        <v>11000</v>
      </c>
      <c r="F149" s="10">
        <v>600</v>
      </c>
      <c r="G149" s="10">
        <v>180</v>
      </c>
      <c r="H149" s="10">
        <v>0</v>
      </c>
      <c r="I149" s="10">
        <f t="shared" si="8"/>
        <v>11780</v>
      </c>
      <c r="J149" s="10">
        <v>1320</v>
      </c>
      <c r="K149" s="10">
        <f t="shared" si="9"/>
        <v>6960</v>
      </c>
      <c r="L149" s="10">
        <f t="shared" si="10"/>
        <v>837</v>
      </c>
      <c r="M149" s="10">
        <f t="shared" si="11"/>
        <v>9623</v>
      </c>
    </row>
    <row r="150" spans="1:13" x14ac:dyDescent="0.15">
      <c r="A150" s="11">
        <v>148</v>
      </c>
      <c r="B150" s="9" t="s">
        <v>405</v>
      </c>
      <c r="C150" s="9" t="s">
        <v>168</v>
      </c>
      <c r="D150" s="9" t="str">
        <f>VLOOKUP(LEFT(B150,1),部门信息!$B$1:$C$6,2,0)</f>
        <v>行政</v>
      </c>
      <c r="E150" s="10">
        <v>9000</v>
      </c>
      <c r="F150" s="10">
        <v>100</v>
      </c>
      <c r="G150" s="10">
        <v>45</v>
      </c>
      <c r="H150" s="10">
        <v>0</v>
      </c>
      <c r="I150" s="10">
        <f t="shared" si="8"/>
        <v>9145</v>
      </c>
      <c r="J150" s="10">
        <v>1080</v>
      </c>
      <c r="K150" s="10">
        <f t="shared" si="9"/>
        <v>4565</v>
      </c>
      <c r="L150" s="10">
        <f t="shared" si="10"/>
        <v>358</v>
      </c>
      <c r="M150" s="10">
        <f t="shared" si="11"/>
        <v>7707</v>
      </c>
    </row>
    <row r="151" spans="1:13" x14ac:dyDescent="0.15">
      <c r="A151" s="11">
        <v>149</v>
      </c>
      <c r="B151" s="9" t="s">
        <v>475</v>
      </c>
      <c r="C151" s="9" t="s">
        <v>169</v>
      </c>
      <c r="D151" s="9" t="str">
        <f>VLOOKUP(LEFT(B151,1),部门信息!$B$1:$C$6,2,0)</f>
        <v>人事</v>
      </c>
      <c r="E151" s="10">
        <v>9700</v>
      </c>
      <c r="F151" s="10">
        <v>200</v>
      </c>
      <c r="G151" s="10">
        <v>405</v>
      </c>
      <c r="H151" s="10">
        <v>467</v>
      </c>
      <c r="I151" s="10">
        <f t="shared" si="8"/>
        <v>9838</v>
      </c>
      <c r="J151" s="10">
        <v>1261</v>
      </c>
      <c r="K151" s="10">
        <f t="shared" si="9"/>
        <v>5077</v>
      </c>
      <c r="L151" s="10">
        <f t="shared" si="10"/>
        <v>460.40000000000009</v>
      </c>
      <c r="M151" s="10">
        <f t="shared" si="11"/>
        <v>8116.6</v>
      </c>
    </row>
    <row r="152" spans="1:13" x14ac:dyDescent="0.15">
      <c r="A152" s="11">
        <v>150</v>
      </c>
      <c r="B152" s="9" t="s">
        <v>521</v>
      </c>
      <c r="C152" s="9" t="s">
        <v>170</v>
      </c>
      <c r="D152" s="9" t="str">
        <f>VLOOKUP(LEFT(B152,1),部门信息!$B$1:$C$6,2,0)</f>
        <v>管理</v>
      </c>
      <c r="E152" s="10">
        <v>9400</v>
      </c>
      <c r="F152" s="10">
        <v>200</v>
      </c>
      <c r="G152" s="10">
        <v>450</v>
      </c>
      <c r="H152" s="10">
        <v>0</v>
      </c>
      <c r="I152" s="10">
        <f t="shared" si="8"/>
        <v>10050</v>
      </c>
      <c r="J152" s="10">
        <v>1504</v>
      </c>
      <c r="K152" s="10">
        <f t="shared" si="9"/>
        <v>5046</v>
      </c>
      <c r="L152" s="10">
        <f t="shared" si="10"/>
        <v>454.20000000000005</v>
      </c>
      <c r="M152" s="10">
        <f t="shared" si="11"/>
        <v>8091.8</v>
      </c>
    </row>
    <row r="153" spans="1:13" x14ac:dyDescent="0.15">
      <c r="A153" s="11">
        <v>151</v>
      </c>
      <c r="B153" s="9" t="s">
        <v>634</v>
      </c>
      <c r="C153" s="9" t="s">
        <v>171</v>
      </c>
      <c r="D153" s="9" t="str">
        <f>VLOOKUP(LEFT(B153,1),部门信息!$B$1:$C$6,2,0)</f>
        <v>市场</v>
      </c>
      <c r="E153" s="10">
        <v>20000</v>
      </c>
      <c r="F153" s="10">
        <v>900</v>
      </c>
      <c r="G153" s="10">
        <v>270</v>
      </c>
      <c r="H153" s="10">
        <v>40</v>
      </c>
      <c r="I153" s="10">
        <f t="shared" si="8"/>
        <v>21130</v>
      </c>
      <c r="J153" s="10">
        <v>2800</v>
      </c>
      <c r="K153" s="10">
        <f t="shared" si="9"/>
        <v>14830</v>
      </c>
      <c r="L153" s="10">
        <f t="shared" si="10"/>
        <v>2702.5</v>
      </c>
      <c r="M153" s="10">
        <f t="shared" si="11"/>
        <v>15627.5</v>
      </c>
    </row>
    <row r="154" spans="1:13" x14ac:dyDescent="0.15">
      <c r="A154" s="11">
        <v>152</v>
      </c>
      <c r="B154" s="9" t="s">
        <v>457</v>
      </c>
      <c r="C154" s="9" t="s">
        <v>172</v>
      </c>
      <c r="D154" s="9" t="str">
        <f>VLOOKUP(LEFT(B154,1),部门信息!$B$1:$C$6,2,0)</f>
        <v>人事</v>
      </c>
      <c r="E154" s="10">
        <v>18700</v>
      </c>
      <c r="F154" s="10">
        <v>200</v>
      </c>
      <c r="G154" s="10">
        <v>225</v>
      </c>
      <c r="H154" s="10">
        <v>0</v>
      </c>
      <c r="I154" s="10">
        <f t="shared" si="8"/>
        <v>19125</v>
      </c>
      <c r="J154" s="10">
        <v>2805</v>
      </c>
      <c r="K154" s="10">
        <f t="shared" si="9"/>
        <v>12820</v>
      </c>
      <c r="L154" s="10">
        <f t="shared" si="10"/>
        <v>2200</v>
      </c>
      <c r="M154" s="10">
        <f t="shared" si="11"/>
        <v>14120</v>
      </c>
    </row>
    <row r="155" spans="1:13" x14ac:dyDescent="0.15">
      <c r="A155" s="11">
        <v>153</v>
      </c>
      <c r="B155" s="9" t="s">
        <v>491</v>
      </c>
      <c r="C155" s="9" t="s">
        <v>173</v>
      </c>
      <c r="D155" s="9" t="str">
        <f>VLOOKUP(LEFT(B155,1),部门信息!$B$1:$C$6,2,0)</f>
        <v>人事</v>
      </c>
      <c r="E155" s="10">
        <v>17000</v>
      </c>
      <c r="F155" s="10">
        <v>500</v>
      </c>
      <c r="G155" s="10">
        <v>450</v>
      </c>
      <c r="H155" s="10">
        <v>0</v>
      </c>
      <c r="I155" s="10">
        <f t="shared" si="8"/>
        <v>17950</v>
      </c>
      <c r="J155" s="10">
        <v>2380</v>
      </c>
      <c r="K155" s="10">
        <f t="shared" si="9"/>
        <v>12070</v>
      </c>
      <c r="L155" s="10">
        <f t="shared" si="10"/>
        <v>2012.5</v>
      </c>
      <c r="M155" s="10">
        <f t="shared" si="11"/>
        <v>13557.5</v>
      </c>
    </row>
    <row r="156" spans="1:13" x14ac:dyDescent="0.15">
      <c r="A156" s="11">
        <v>154</v>
      </c>
      <c r="B156" s="9" t="s">
        <v>414</v>
      </c>
      <c r="C156" s="9" t="s">
        <v>174</v>
      </c>
      <c r="D156" s="9" t="str">
        <f>VLOOKUP(LEFT(B156,1),部门信息!$B$1:$C$6,2,0)</f>
        <v>行政</v>
      </c>
      <c r="E156" s="10">
        <v>11500</v>
      </c>
      <c r="F156" s="10">
        <v>200</v>
      </c>
      <c r="G156" s="10">
        <v>45</v>
      </c>
      <c r="H156" s="10">
        <v>485</v>
      </c>
      <c r="I156" s="10">
        <f t="shared" si="8"/>
        <v>11260</v>
      </c>
      <c r="J156" s="10">
        <v>1380</v>
      </c>
      <c r="K156" s="10">
        <f t="shared" si="9"/>
        <v>6380</v>
      </c>
      <c r="L156" s="10">
        <f t="shared" si="10"/>
        <v>721</v>
      </c>
      <c r="M156" s="10">
        <f t="shared" si="11"/>
        <v>9159</v>
      </c>
    </row>
    <row r="157" spans="1:13" x14ac:dyDescent="0.15">
      <c r="A157" s="11">
        <v>155</v>
      </c>
      <c r="B157" s="9" t="s">
        <v>397</v>
      </c>
      <c r="C157" s="9" t="s">
        <v>175</v>
      </c>
      <c r="D157" s="9" t="str">
        <f>VLOOKUP(LEFT(B157,1),部门信息!$B$1:$C$6,2,0)</f>
        <v>行政</v>
      </c>
      <c r="E157" s="10">
        <v>11100</v>
      </c>
      <c r="F157" s="10">
        <v>600</v>
      </c>
      <c r="G157" s="10">
        <v>135</v>
      </c>
      <c r="H157" s="10">
        <v>0</v>
      </c>
      <c r="I157" s="10">
        <f t="shared" si="8"/>
        <v>11835</v>
      </c>
      <c r="J157" s="10">
        <v>1443</v>
      </c>
      <c r="K157" s="10">
        <f t="shared" si="9"/>
        <v>6892</v>
      </c>
      <c r="L157" s="10">
        <f t="shared" si="10"/>
        <v>823.40000000000009</v>
      </c>
      <c r="M157" s="10">
        <f t="shared" si="11"/>
        <v>9568.6</v>
      </c>
    </row>
    <row r="158" spans="1:13" x14ac:dyDescent="0.15">
      <c r="A158" s="11">
        <v>156</v>
      </c>
      <c r="B158" s="9" t="s">
        <v>495</v>
      </c>
      <c r="C158" s="9" t="s">
        <v>176</v>
      </c>
      <c r="D158" s="9" t="str">
        <f>VLOOKUP(LEFT(B158,1),部门信息!$B$1:$C$6,2,0)</f>
        <v>人事</v>
      </c>
      <c r="E158" s="10">
        <v>18700</v>
      </c>
      <c r="F158" s="10">
        <v>400</v>
      </c>
      <c r="G158" s="10">
        <v>225</v>
      </c>
      <c r="H158" s="10">
        <v>178</v>
      </c>
      <c r="I158" s="10">
        <f t="shared" si="8"/>
        <v>19147</v>
      </c>
      <c r="J158" s="10">
        <v>2992</v>
      </c>
      <c r="K158" s="10">
        <f t="shared" si="9"/>
        <v>12655</v>
      </c>
      <c r="L158" s="10">
        <f t="shared" si="10"/>
        <v>2158.75</v>
      </c>
      <c r="M158" s="10">
        <f t="shared" si="11"/>
        <v>13996.25</v>
      </c>
    </row>
    <row r="159" spans="1:13" x14ac:dyDescent="0.15">
      <c r="A159" s="11">
        <v>157</v>
      </c>
      <c r="B159" s="9" t="s">
        <v>446</v>
      </c>
      <c r="C159" s="9" t="s">
        <v>177</v>
      </c>
      <c r="D159" s="9" t="str">
        <f>VLOOKUP(LEFT(B159,1),部门信息!$B$1:$C$6,2,0)</f>
        <v>行政</v>
      </c>
      <c r="E159" s="10">
        <v>16300</v>
      </c>
      <c r="F159" s="10">
        <v>100</v>
      </c>
      <c r="G159" s="10">
        <v>135</v>
      </c>
      <c r="H159" s="10">
        <v>46</v>
      </c>
      <c r="I159" s="10">
        <f t="shared" si="8"/>
        <v>16489</v>
      </c>
      <c r="J159" s="10">
        <v>2119</v>
      </c>
      <c r="K159" s="10">
        <f t="shared" si="9"/>
        <v>10870</v>
      </c>
      <c r="L159" s="10">
        <f t="shared" si="10"/>
        <v>1712.5</v>
      </c>
      <c r="M159" s="10">
        <f t="shared" si="11"/>
        <v>12657.5</v>
      </c>
    </row>
    <row r="160" spans="1:13" x14ac:dyDescent="0.15">
      <c r="A160" s="11">
        <v>158</v>
      </c>
      <c r="B160" s="9" t="s">
        <v>387</v>
      </c>
      <c r="C160" s="9" t="s">
        <v>178</v>
      </c>
      <c r="D160" s="9" t="str">
        <f>VLOOKUP(LEFT(B160,1),部门信息!$B$1:$C$6,2,0)</f>
        <v>行政</v>
      </c>
      <c r="E160" s="10">
        <v>12100</v>
      </c>
      <c r="F160" s="10">
        <v>500</v>
      </c>
      <c r="G160" s="10">
        <v>45</v>
      </c>
      <c r="H160" s="10">
        <v>404</v>
      </c>
      <c r="I160" s="10">
        <f t="shared" si="8"/>
        <v>12241</v>
      </c>
      <c r="J160" s="10">
        <v>1452</v>
      </c>
      <c r="K160" s="10">
        <f t="shared" si="9"/>
        <v>7289</v>
      </c>
      <c r="L160" s="10">
        <f t="shared" si="10"/>
        <v>902.80000000000018</v>
      </c>
      <c r="M160" s="10">
        <f t="shared" si="11"/>
        <v>9886.2000000000007</v>
      </c>
    </row>
    <row r="161" spans="1:13" x14ac:dyDescent="0.15">
      <c r="A161" s="11">
        <v>159</v>
      </c>
      <c r="B161" s="9" t="s">
        <v>508</v>
      </c>
      <c r="C161" s="9" t="s">
        <v>179</v>
      </c>
      <c r="D161" s="9" t="str">
        <f>VLOOKUP(LEFT(B161,1),部门信息!$B$1:$C$6,2,0)</f>
        <v>管理</v>
      </c>
      <c r="E161" s="10">
        <v>17300</v>
      </c>
      <c r="F161" s="10">
        <v>500</v>
      </c>
      <c r="G161" s="10">
        <v>360</v>
      </c>
      <c r="H161" s="10">
        <v>328</v>
      </c>
      <c r="I161" s="10">
        <f t="shared" si="8"/>
        <v>17832</v>
      </c>
      <c r="J161" s="10">
        <v>2422</v>
      </c>
      <c r="K161" s="10">
        <f t="shared" si="9"/>
        <v>11910</v>
      </c>
      <c r="L161" s="10">
        <f t="shared" si="10"/>
        <v>1972.5</v>
      </c>
      <c r="M161" s="10">
        <f t="shared" si="11"/>
        <v>13437.5</v>
      </c>
    </row>
    <row r="162" spans="1:13" x14ac:dyDescent="0.15">
      <c r="A162" s="11">
        <v>160</v>
      </c>
      <c r="B162" s="9" t="s">
        <v>671</v>
      </c>
      <c r="C162" s="9" t="s">
        <v>180</v>
      </c>
      <c r="D162" s="9" t="str">
        <f>VLOOKUP(LEFT(B162,1),部门信息!$B$1:$C$6,2,0)</f>
        <v>市场</v>
      </c>
      <c r="E162" s="10">
        <v>16200</v>
      </c>
      <c r="F162" s="10">
        <v>500</v>
      </c>
      <c r="G162" s="10">
        <v>405</v>
      </c>
      <c r="H162" s="10">
        <v>117</v>
      </c>
      <c r="I162" s="10">
        <f t="shared" si="8"/>
        <v>16988</v>
      </c>
      <c r="J162" s="10">
        <v>2430</v>
      </c>
      <c r="K162" s="10">
        <f t="shared" si="9"/>
        <v>11058</v>
      </c>
      <c r="L162" s="10">
        <f t="shared" si="10"/>
        <v>1759.5</v>
      </c>
      <c r="M162" s="10">
        <f t="shared" si="11"/>
        <v>12798.5</v>
      </c>
    </row>
    <row r="163" spans="1:13" x14ac:dyDescent="0.15">
      <c r="A163" s="11">
        <v>161</v>
      </c>
      <c r="B163" s="9" t="s">
        <v>649</v>
      </c>
      <c r="C163" s="9" t="s">
        <v>181</v>
      </c>
      <c r="D163" s="9" t="str">
        <f>VLOOKUP(LEFT(B163,1),部门信息!$B$1:$C$6,2,0)</f>
        <v>市场</v>
      </c>
      <c r="E163" s="10">
        <v>3800</v>
      </c>
      <c r="F163" s="10">
        <v>0</v>
      </c>
      <c r="G163" s="10">
        <v>315</v>
      </c>
      <c r="H163" s="10">
        <v>234</v>
      </c>
      <c r="I163" s="10">
        <f t="shared" si="8"/>
        <v>3881</v>
      </c>
      <c r="J163" s="10">
        <v>570</v>
      </c>
      <c r="K163" s="10">
        <f t="shared" si="9"/>
        <v>0</v>
      </c>
      <c r="L163" s="10">
        <f t="shared" si="10"/>
        <v>0</v>
      </c>
      <c r="M163" s="10">
        <f t="shared" si="11"/>
        <v>3311</v>
      </c>
    </row>
    <row r="164" spans="1:13" x14ac:dyDescent="0.15">
      <c r="A164" s="11">
        <v>162</v>
      </c>
      <c r="B164" s="9" t="s">
        <v>677</v>
      </c>
      <c r="C164" s="9" t="s">
        <v>182</v>
      </c>
      <c r="D164" s="9" t="str">
        <f>VLOOKUP(LEFT(B164,1),部门信息!$B$1:$C$6,2,0)</f>
        <v>市场</v>
      </c>
      <c r="E164" s="10">
        <v>4100</v>
      </c>
      <c r="F164" s="10">
        <v>700</v>
      </c>
      <c r="G164" s="10">
        <v>90</v>
      </c>
      <c r="H164" s="10">
        <v>0</v>
      </c>
      <c r="I164" s="10">
        <f t="shared" si="8"/>
        <v>4890</v>
      </c>
      <c r="J164" s="10">
        <v>615</v>
      </c>
      <c r="K164" s="10">
        <f t="shared" si="9"/>
        <v>775</v>
      </c>
      <c r="L164" s="10">
        <f t="shared" si="10"/>
        <v>23.25</v>
      </c>
      <c r="M164" s="10">
        <f t="shared" si="11"/>
        <v>4251.75</v>
      </c>
    </row>
    <row r="165" spans="1:13" x14ac:dyDescent="0.15">
      <c r="A165" s="11">
        <v>163</v>
      </c>
      <c r="B165" s="9" t="s">
        <v>597</v>
      </c>
      <c r="C165" s="9" t="s">
        <v>183</v>
      </c>
      <c r="D165" s="9" t="str">
        <f>VLOOKUP(LEFT(B165,1),部门信息!$B$1:$C$6,2,0)</f>
        <v>市场</v>
      </c>
      <c r="E165" s="10">
        <v>13700</v>
      </c>
      <c r="F165" s="10">
        <v>700</v>
      </c>
      <c r="G165" s="10">
        <v>45</v>
      </c>
      <c r="H165" s="10">
        <v>108</v>
      </c>
      <c r="I165" s="10">
        <f t="shared" si="8"/>
        <v>14337</v>
      </c>
      <c r="J165" s="10">
        <v>2192</v>
      </c>
      <c r="K165" s="10">
        <f t="shared" si="9"/>
        <v>8645</v>
      </c>
      <c r="L165" s="10">
        <f t="shared" si="10"/>
        <v>1174</v>
      </c>
      <c r="M165" s="10">
        <f t="shared" si="11"/>
        <v>10971</v>
      </c>
    </row>
    <row r="166" spans="1:13" x14ac:dyDescent="0.15">
      <c r="A166" s="11">
        <v>164</v>
      </c>
      <c r="B166" s="9" t="s">
        <v>616</v>
      </c>
      <c r="C166" s="9" t="s">
        <v>184</v>
      </c>
      <c r="D166" s="9" t="str">
        <f>VLOOKUP(LEFT(B166,1),部门信息!$B$1:$C$6,2,0)</f>
        <v>市场</v>
      </c>
      <c r="E166" s="10">
        <v>15900</v>
      </c>
      <c r="F166" s="10">
        <v>600</v>
      </c>
      <c r="G166" s="10">
        <v>135</v>
      </c>
      <c r="H166" s="10">
        <v>0</v>
      </c>
      <c r="I166" s="10">
        <f t="shared" si="8"/>
        <v>16635</v>
      </c>
      <c r="J166" s="10">
        <v>2226</v>
      </c>
      <c r="K166" s="10">
        <f t="shared" si="9"/>
        <v>10909</v>
      </c>
      <c r="L166" s="10">
        <f t="shared" si="10"/>
        <v>1722.25</v>
      </c>
      <c r="M166" s="10">
        <f t="shared" si="11"/>
        <v>12686.75</v>
      </c>
    </row>
    <row r="167" spans="1:13" x14ac:dyDescent="0.15">
      <c r="A167" s="11">
        <v>165</v>
      </c>
      <c r="B167" s="9" t="s">
        <v>645</v>
      </c>
      <c r="C167" s="9" t="s">
        <v>185</v>
      </c>
      <c r="D167" s="9" t="str">
        <f>VLOOKUP(LEFT(B167,1),部门信息!$B$1:$C$6,2,0)</f>
        <v>市场</v>
      </c>
      <c r="E167" s="10">
        <v>12500</v>
      </c>
      <c r="F167" s="10">
        <v>500</v>
      </c>
      <c r="G167" s="10">
        <v>270</v>
      </c>
      <c r="H167" s="10">
        <v>0</v>
      </c>
      <c r="I167" s="10">
        <f t="shared" si="8"/>
        <v>13270</v>
      </c>
      <c r="J167" s="10">
        <v>1750</v>
      </c>
      <c r="K167" s="10">
        <f t="shared" si="9"/>
        <v>8020</v>
      </c>
      <c r="L167" s="10">
        <f t="shared" si="10"/>
        <v>1049</v>
      </c>
      <c r="M167" s="10">
        <f t="shared" si="11"/>
        <v>10471</v>
      </c>
    </row>
    <row r="168" spans="1:13" x14ac:dyDescent="0.15">
      <c r="A168" s="11">
        <v>166</v>
      </c>
      <c r="B168" s="9" t="s">
        <v>443</v>
      </c>
      <c r="C168" s="9" t="s">
        <v>186</v>
      </c>
      <c r="D168" s="9" t="str">
        <f>VLOOKUP(LEFT(B168,1),部门信息!$B$1:$C$6,2,0)</f>
        <v>行政</v>
      </c>
      <c r="E168" s="10">
        <v>5000</v>
      </c>
      <c r="F168" s="10">
        <v>600</v>
      </c>
      <c r="G168" s="10">
        <v>90</v>
      </c>
      <c r="H168" s="10">
        <v>0</v>
      </c>
      <c r="I168" s="10">
        <f t="shared" si="8"/>
        <v>5690</v>
      </c>
      <c r="J168" s="10">
        <v>800</v>
      </c>
      <c r="K168" s="10">
        <f t="shared" si="9"/>
        <v>1390</v>
      </c>
      <c r="L168" s="10">
        <f t="shared" si="10"/>
        <v>41.699999999999996</v>
      </c>
      <c r="M168" s="10">
        <f t="shared" si="11"/>
        <v>4848.3</v>
      </c>
    </row>
    <row r="169" spans="1:13" x14ac:dyDescent="0.15">
      <c r="A169" s="11">
        <v>167</v>
      </c>
      <c r="B169" s="9" t="s">
        <v>604</v>
      </c>
      <c r="C169" s="9" t="s">
        <v>187</v>
      </c>
      <c r="D169" s="9" t="str">
        <f>VLOOKUP(LEFT(B169,1),部门信息!$B$1:$C$6,2,0)</f>
        <v>市场</v>
      </c>
      <c r="E169" s="10">
        <v>13400</v>
      </c>
      <c r="F169" s="10">
        <v>100</v>
      </c>
      <c r="G169" s="10">
        <v>270</v>
      </c>
      <c r="H169" s="10">
        <v>135</v>
      </c>
      <c r="I169" s="10">
        <f t="shared" si="8"/>
        <v>13635</v>
      </c>
      <c r="J169" s="10">
        <v>2010</v>
      </c>
      <c r="K169" s="10">
        <f t="shared" si="9"/>
        <v>8125</v>
      </c>
      <c r="L169" s="10">
        <f t="shared" si="10"/>
        <v>1070</v>
      </c>
      <c r="M169" s="10">
        <f t="shared" si="11"/>
        <v>10555</v>
      </c>
    </row>
    <row r="170" spans="1:13" x14ac:dyDescent="0.15">
      <c r="A170" s="11">
        <v>168</v>
      </c>
      <c r="B170" s="9" t="s">
        <v>482</v>
      </c>
      <c r="C170" s="9" t="s">
        <v>188</v>
      </c>
      <c r="D170" s="9" t="str">
        <f>VLOOKUP(LEFT(B170,1),部门信息!$B$1:$C$6,2,0)</f>
        <v>人事</v>
      </c>
      <c r="E170" s="10">
        <v>18300</v>
      </c>
      <c r="F170" s="10">
        <v>200</v>
      </c>
      <c r="G170" s="10">
        <v>360</v>
      </c>
      <c r="H170" s="10">
        <v>156</v>
      </c>
      <c r="I170" s="10">
        <f t="shared" si="8"/>
        <v>18704</v>
      </c>
      <c r="J170" s="10">
        <v>2379</v>
      </c>
      <c r="K170" s="10">
        <f t="shared" si="9"/>
        <v>12825</v>
      </c>
      <c r="L170" s="10">
        <f t="shared" si="10"/>
        <v>2201.25</v>
      </c>
      <c r="M170" s="10">
        <f t="shared" si="11"/>
        <v>14123.75</v>
      </c>
    </row>
    <row r="171" spans="1:13" x14ac:dyDescent="0.15">
      <c r="A171" s="11">
        <v>169</v>
      </c>
      <c r="B171" s="9" t="s">
        <v>461</v>
      </c>
      <c r="C171" s="9" t="s">
        <v>189</v>
      </c>
      <c r="D171" s="9" t="str">
        <f>VLOOKUP(LEFT(B171,1),部门信息!$B$1:$C$6,2,0)</f>
        <v>人事</v>
      </c>
      <c r="E171" s="10">
        <v>17100</v>
      </c>
      <c r="F171" s="10">
        <v>1000</v>
      </c>
      <c r="G171" s="10">
        <v>135</v>
      </c>
      <c r="H171" s="10">
        <v>241</v>
      </c>
      <c r="I171" s="10">
        <f t="shared" si="8"/>
        <v>17994</v>
      </c>
      <c r="J171" s="10">
        <v>2736</v>
      </c>
      <c r="K171" s="10">
        <f t="shared" si="9"/>
        <v>11758</v>
      </c>
      <c r="L171" s="10">
        <f t="shared" si="10"/>
        <v>1934.5</v>
      </c>
      <c r="M171" s="10">
        <f t="shared" si="11"/>
        <v>13323.5</v>
      </c>
    </row>
    <row r="172" spans="1:13" x14ac:dyDescent="0.15">
      <c r="A172" s="11">
        <v>170</v>
      </c>
      <c r="B172" s="9" t="s">
        <v>381</v>
      </c>
      <c r="C172" s="9" t="s">
        <v>190</v>
      </c>
      <c r="D172" s="9" t="str">
        <f>VLOOKUP(LEFT(B172,1),部门信息!$B$1:$C$6,2,0)</f>
        <v>行政</v>
      </c>
      <c r="E172" s="10">
        <v>12700</v>
      </c>
      <c r="F172" s="10">
        <v>700</v>
      </c>
      <c r="G172" s="10">
        <v>45</v>
      </c>
      <c r="H172" s="10">
        <v>459</v>
      </c>
      <c r="I172" s="10">
        <f t="shared" si="8"/>
        <v>12986</v>
      </c>
      <c r="J172" s="10">
        <v>2032</v>
      </c>
      <c r="K172" s="10">
        <f t="shared" si="9"/>
        <v>7454</v>
      </c>
      <c r="L172" s="10">
        <f t="shared" si="10"/>
        <v>935.80000000000018</v>
      </c>
      <c r="M172" s="10">
        <f t="shared" si="11"/>
        <v>10018.200000000001</v>
      </c>
    </row>
    <row r="173" spans="1:13" x14ac:dyDescent="0.15">
      <c r="A173" s="11">
        <v>171</v>
      </c>
      <c r="B173" s="9" t="s">
        <v>601</v>
      </c>
      <c r="C173" s="9" t="s">
        <v>191</v>
      </c>
      <c r="D173" s="9" t="str">
        <f>VLOOKUP(LEFT(B173,1),部门信息!$B$1:$C$6,2,0)</f>
        <v>市场</v>
      </c>
      <c r="E173" s="10">
        <v>12900</v>
      </c>
      <c r="F173" s="10">
        <v>300</v>
      </c>
      <c r="G173" s="10">
        <v>270</v>
      </c>
      <c r="H173" s="10">
        <v>0</v>
      </c>
      <c r="I173" s="10">
        <f t="shared" si="8"/>
        <v>13470</v>
      </c>
      <c r="J173" s="10">
        <v>1935</v>
      </c>
      <c r="K173" s="10">
        <f t="shared" si="9"/>
        <v>8035</v>
      </c>
      <c r="L173" s="10">
        <f t="shared" si="10"/>
        <v>1052</v>
      </c>
      <c r="M173" s="10">
        <f t="shared" si="11"/>
        <v>10483</v>
      </c>
    </row>
    <row r="174" spans="1:13" x14ac:dyDescent="0.15">
      <c r="A174" s="11">
        <v>172</v>
      </c>
      <c r="B174" s="9" t="s">
        <v>672</v>
      </c>
      <c r="C174" s="9" t="s">
        <v>192</v>
      </c>
      <c r="D174" s="9" t="str">
        <f>VLOOKUP(LEFT(B174,1),部门信息!$B$1:$C$6,2,0)</f>
        <v>市场</v>
      </c>
      <c r="E174" s="10">
        <v>16900</v>
      </c>
      <c r="F174" s="10">
        <v>100</v>
      </c>
      <c r="G174" s="10">
        <v>270</v>
      </c>
      <c r="H174" s="10">
        <v>365</v>
      </c>
      <c r="I174" s="10">
        <f t="shared" si="8"/>
        <v>16905</v>
      </c>
      <c r="J174" s="10">
        <v>2704</v>
      </c>
      <c r="K174" s="10">
        <f t="shared" si="9"/>
        <v>10701</v>
      </c>
      <c r="L174" s="10">
        <f t="shared" si="10"/>
        <v>1670.25</v>
      </c>
      <c r="M174" s="10">
        <f t="shared" si="11"/>
        <v>12530.75</v>
      </c>
    </row>
    <row r="175" spans="1:13" x14ac:dyDescent="0.15">
      <c r="A175" s="11">
        <v>173</v>
      </c>
      <c r="B175" s="9" t="s">
        <v>429</v>
      </c>
      <c r="C175" s="9" t="s">
        <v>193</v>
      </c>
      <c r="D175" s="9" t="str">
        <f>VLOOKUP(LEFT(B175,1),部门信息!$B$1:$C$6,2,0)</f>
        <v>行政</v>
      </c>
      <c r="E175" s="10">
        <v>9900</v>
      </c>
      <c r="F175" s="10">
        <v>800</v>
      </c>
      <c r="G175" s="10">
        <v>45</v>
      </c>
      <c r="H175" s="10">
        <v>101</v>
      </c>
      <c r="I175" s="10">
        <f t="shared" si="8"/>
        <v>10644</v>
      </c>
      <c r="J175" s="10">
        <v>1584</v>
      </c>
      <c r="K175" s="10">
        <f t="shared" si="9"/>
        <v>5560</v>
      </c>
      <c r="L175" s="10">
        <f t="shared" si="10"/>
        <v>557</v>
      </c>
      <c r="M175" s="10">
        <f t="shared" si="11"/>
        <v>8503</v>
      </c>
    </row>
    <row r="176" spans="1:13" x14ac:dyDescent="0.15">
      <c r="A176" s="11">
        <v>174</v>
      </c>
      <c r="B176" s="9" t="s">
        <v>585</v>
      </c>
      <c r="C176" s="9" t="s">
        <v>12</v>
      </c>
      <c r="D176" s="9" t="str">
        <f>VLOOKUP(LEFT(B176,1),部门信息!$B$1:$C$6,2,0)</f>
        <v>市场</v>
      </c>
      <c r="E176" s="10">
        <v>15200</v>
      </c>
      <c r="F176" s="10">
        <v>300</v>
      </c>
      <c r="G176" s="10">
        <v>270</v>
      </c>
      <c r="H176" s="10">
        <v>223</v>
      </c>
      <c r="I176" s="10">
        <f t="shared" si="8"/>
        <v>15547</v>
      </c>
      <c r="J176" s="10">
        <v>1976</v>
      </c>
      <c r="K176" s="10">
        <f t="shared" si="9"/>
        <v>10071</v>
      </c>
      <c r="L176" s="10">
        <f t="shared" si="10"/>
        <v>1512.75</v>
      </c>
      <c r="M176" s="10">
        <f t="shared" si="11"/>
        <v>12058.25</v>
      </c>
    </row>
    <row r="177" spans="1:13" x14ac:dyDescent="0.15">
      <c r="A177" s="11">
        <v>175</v>
      </c>
      <c r="B177" s="9" t="s">
        <v>551</v>
      </c>
      <c r="C177" s="9" t="s">
        <v>194</v>
      </c>
      <c r="D177" s="9" t="str">
        <f>VLOOKUP(LEFT(B177,1),部门信息!$B$1:$C$6,2,0)</f>
        <v>研发</v>
      </c>
      <c r="E177" s="10">
        <v>18700</v>
      </c>
      <c r="F177" s="10">
        <v>100</v>
      </c>
      <c r="G177" s="10">
        <v>270</v>
      </c>
      <c r="H177" s="10">
        <v>294</v>
      </c>
      <c r="I177" s="10">
        <f t="shared" si="8"/>
        <v>18776</v>
      </c>
      <c r="J177" s="10">
        <v>2431</v>
      </c>
      <c r="K177" s="10">
        <f t="shared" si="9"/>
        <v>12845</v>
      </c>
      <c r="L177" s="10">
        <f t="shared" si="10"/>
        <v>2206.25</v>
      </c>
      <c r="M177" s="10">
        <f t="shared" si="11"/>
        <v>14138.75</v>
      </c>
    </row>
    <row r="178" spans="1:13" x14ac:dyDescent="0.15">
      <c r="A178" s="11">
        <v>176</v>
      </c>
      <c r="B178" s="9" t="s">
        <v>680</v>
      </c>
      <c r="C178" s="9" t="s">
        <v>195</v>
      </c>
      <c r="D178" s="9" t="str">
        <f>VLOOKUP(LEFT(B178,1),部门信息!$B$1:$C$6,2,0)</f>
        <v>市场</v>
      </c>
      <c r="E178" s="10">
        <v>16800</v>
      </c>
      <c r="F178" s="10">
        <v>400</v>
      </c>
      <c r="G178" s="10">
        <v>450</v>
      </c>
      <c r="H178" s="10">
        <v>290</v>
      </c>
      <c r="I178" s="10">
        <f t="shared" si="8"/>
        <v>17360</v>
      </c>
      <c r="J178" s="10">
        <v>2016</v>
      </c>
      <c r="K178" s="10">
        <f t="shared" si="9"/>
        <v>11844</v>
      </c>
      <c r="L178" s="10">
        <f t="shared" si="10"/>
        <v>1956</v>
      </c>
      <c r="M178" s="10">
        <f t="shared" si="11"/>
        <v>13388</v>
      </c>
    </row>
    <row r="179" spans="1:13" x14ac:dyDescent="0.15">
      <c r="A179" s="11">
        <v>177</v>
      </c>
      <c r="B179" s="9" t="s">
        <v>390</v>
      </c>
      <c r="C179" s="9" t="s">
        <v>196</v>
      </c>
      <c r="D179" s="9" t="str">
        <f>VLOOKUP(LEFT(B179,1),部门信息!$B$1:$C$6,2,0)</f>
        <v>行政</v>
      </c>
      <c r="E179" s="10">
        <v>12300</v>
      </c>
      <c r="F179" s="10">
        <v>300</v>
      </c>
      <c r="G179" s="10">
        <v>270</v>
      </c>
      <c r="H179" s="10">
        <v>419</v>
      </c>
      <c r="I179" s="10">
        <f t="shared" si="8"/>
        <v>12451</v>
      </c>
      <c r="J179" s="10">
        <v>1722</v>
      </c>
      <c r="K179" s="10">
        <f t="shared" si="9"/>
        <v>7229</v>
      </c>
      <c r="L179" s="10">
        <f t="shared" si="10"/>
        <v>890.80000000000018</v>
      </c>
      <c r="M179" s="10">
        <f t="shared" si="11"/>
        <v>9838.2000000000007</v>
      </c>
    </row>
    <row r="180" spans="1:13" x14ac:dyDescent="0.15">
      <c r="A180" s="11">
        <v>178</v>
      </c>
      <c r="B180" s="9" t="s">
        <v>524</v>
      </c>
      <c r="C180" s="9" t="s">
        <v>1</v>
      </c>
      <c r="D180" s="9" t="str">
        <f>VLOOKUP(LEFT(B180,1),部门信息!$B$1:$C$6,2,0)</f>
        <v>管理</v>
      </c>
      <c r="E180" s="10">
        <v>16700</v>
      </c>
      <c r="F180" s="10">
        <v>700</v>
      </c>
      <c r="G180" s="10">
        <v>450</v>
      </c>
      <c r="H180" s="10">
        <v>0</v>
      </c>
      <c r="I180" s="10">
        <f t="shared" si="8"/>
        <v>17850</v>
      </c>
      <c r="J180" s="10">
        <v>2338</v>
      </c>
      <c r="K180" s="10">
        <f t="shared" si="9"/>
        <v>12012</v>
      </c>
      <c r="L180" s="10">
        <f t="shared" si="10"/>
        <v>1998</v>
      </c>
      <c r="M180" s="10">
        <f t="shared" si="11"/>
        <v>13514</v>
      </c>
    </row>
    <row r="181" spans="1:13" x14ac:dyDescent="0.15">
      <c r="A181" s="11">
        <v>179</v>
      </c>
      <c r="B181" s="9" t="s">
        <v>471</v>
      </c>
      <c r="C181" s="9" t="s">
        <v>197</v>
      </c>
      <c r="D181" s="9" t="str">
        <f>VLOOKUP(LEFT(B181,1),部门信息!$B$1:$C$6,2,0)</f>
        <v>人事</v>
      </c>
      <c r="E181" s="10">
        <v>14600</v>
      </c>
      <c r="F181" s="10">
        <v>500</v>
      </c>
      <c r="G181" s="10">
        <v>315</v>
      </c>
      <c r="H181" s="10">
        <v>0</v>
      </c>
      <c r="I181" s="10">
        <f t="shared" si="8"/>
        <v>15415</v>
      </c>
      <c r="J181" s="10">
        <v>1752</v>
      </c>
      <c r="K181" s="10">
        <f t="shared" si="9"/>
        <v>10163</v>
      </c>
      <c r="L181" s="10">
        <f t="shared" si="10"/>
        <v>1535.75</v>
      </c>
      <c r="M181" s="10">
        <f t="shared" si="11"/>
        <v>12127.25</v>
      </c>
    </row>
    <row r="182" spans="1:13" x14ac:dyDescent="0.15">
      <c r="A182" s="11">
        <v>180</v>
      </c>
      <c r="B182" s="9" t="s">
        <v>377</v>
      </c>
      <c r="C182" s="9" t="s">
        <v>198</v>
      </c>
      <c r="D182" s="9" t="str">
        <f>VLOOKUP(LEFT(B182,1),部门信息!$B$1:$C$6,2,0)</f>
        <v>行政</v>
      </c>
      <c r="E182" s="10">
        <v>3300</v>
      </c>
      <c r="F182" s="10">
        <v>600</v>
      </c>
      <c r="G182" s="10">
        <v>180</v>
      </c>
      <c r="H182" s="10">
        <v>168</v>
      </c>
      <c r="I182" s="10">
        <f t="shared" si="8"/>
        <v>3912</v>
      </c>
      <c r="J182" s="10">
        <v>396</v>
      </c>
      <c r="K182" s="10">
        <f t="shared" si="9"/>
        <v>16</v>
      </c>
      <c r="L182" s="10">
        <f t="shared" si="10"/>
        <v>0.48</v>
      </c>
      <c r="M182" s="10">
        <f t="shared" si="11"/>
        <v>3515.52</v>
      </c>
    </row>
    <row r="183" spans="1:13" x14ac:dyDescent="0.15">
      <c r="A183" s="11">
        <v>181</v>
      </c>
      <c r="B183" s="9" t="s">
        <v>454</v>
      </c>
      <c r="C183" s="9" t="s">
        <v>199</v>
      </c>
      <c r="D183" s="9" t="str">
        <f>VLOOKUP(LEFT(B183,1),部门信息!$B$1:$C$6,2,0)</f>
        <v>人事</v>
      </c>
      <c r="E183" s="10">
        <v>10400</v>
      </c>
      <c r="F183" s="10">
        <v>1000</v>
      </c>
      <c r="G183" s="10">
        <v>315</v>
      </c>
      <c r="H183" s="10">
        <v>0</v>
      </c>
      <c r="I183" s="10">
        <f t="shared" si="8"/>
        <v>11715</v>
      </c>
      <c r="J183" s="10">
        <v>1664</v>
      </c>
      <c r="K183" s="10">
        <f t="shared" si="9"/>
        <v>6551</v>
      </c>
      <c r="L183" s="10">
        <f t="shared" si="10"/>
        <v>755.2</v>
      </c>
      <c r="M183" s="10">
        <f t="shared" si="11"/>
        <v>9295.7999999999993</v>
      </c>
    </row>
    <row r="184" spans="1:13" x14ac:dyDescent="0.15">
      <c r="A184" s="11">
        <v>182</v>
      </c>
      <c r="B184" s="9" t="s">
        <v>455</v>
      </c>
      <c r="C184" s="9" t="s">
        <v>200</v>
      </c>
      <c r="D184" s="9" t="str">
        <f>VLOOKUP(LEFT(B184,1),部门信息!$B$1:$C$6,2,0)</f>
        <v>人事</v>
      </c>
      <c r="E184" s="10">
        <v>7300</v>
      </c>
      <c r="F184" s="10">
        <v>900</v>
      </c>
      <c r="G184" s="10">
        <v>180</v>
      </c>
      <c r="H184" s="10">
        <v>103</v>
      </c>
      <c r="I184" s="10">
        <f t="shared" si="8"/>
        <v>8277</v>
      </c>
      <c r="J184" s="10">
        <v>876</v>
      </c>
      <c r="K184" s="10">
        <f t="shared" si="9"/>
        <v>3901</v>
      </c>
      <c r="L184" s="10">
        <f t="shared" si="10"/>
        <v>285.10000000000002</v>
      </c>
      <c r="M184" s="10">
        <f t="shared" si="11"/>
        <v>7115.9</v>
      </c>
    </row>
    <row r="185" spans="1:13" x14ac:dyDescent="0.15">
      <c r="A185" s="11">
        <v>183</v>
      </c>
      <c r="B185" s="9" t="s">
        <v>709</v>
      </c>
      <c r="C185" s="9" t="s">
        <v>201</v>
      </c>
      <c r="D185" s="9" t="str">
        <f>VLOOKUP(LEFT(B185,1),部门信息!$B$1:$C$6,2,0)</f>
        <v>市场</v>
      </c>
      <c r="E185" s="10">
        <v>16400</v>
      </c>
      <c r="F185" s="10">
        <v>600</v>
      </c>
      <c r="G185" s="10">
        <v>90</v>
      </c>
      <c r="H185" s="10">
        <v>0</v>
      </c>
      <c r="I185" s="10">
        <f t="shared" si="8"/>
        <v>17090</v>
      </c>
      <c r="J185" s="10">
        <v>2132</v>
      </c>
      <c r="K185" s="10">
        <f t="shared" si="9"/>
        <v>11458</v>
      </c>
      <c r="L185" s="10">
        <f t="shared" si="10"/>
        <v>1859.5</v>
      </c>
      <c r="M185" s="10">
        <f t="shared" si="11"/>
        <v>13098.5</v>
      </c>
    </row>
    <row r="186" spans="1:13" x14ac:dyDescent="0.15">
      <c r="A186" s="11">
        <v>184</v>
      </c>
      <c r="B186" s="9" t="s">
        <v>468</v>
      </c>
      <c r="C186" s="9" t="s">
        <v>202</v>
      </c>
      <c r="D186" s="9" t="str">
        <f>VLOOKUP(LEFT(B186,1),部门信息!$B$1:$C$6,2,0)</f>
        <v>人事</v>
      </c>
      <c r="E186" s="10">
        <v>3700</v>
      </c>
      <c r="F186" s="10">
        <v>100</v>
      </c>
      <c r="G186" s="10">
        <v>135</v>
      </c>
      <c r="H186" s="10">
        <v>403</v>
      </c>
      <c r="I186" s="10">
        <f t="shared" si="8"/>
        <v>3532</v>
      </c>
      <c r="J186" s="10">
        <v>481</v>
      </c>
      <c r="K186" s="10">
        <f t="shared" si="9"/>
        <v>0</v>
      </c>
      <c r="L186" s="10">
        <f t="shared" si="10"/>
        <v>0</v>
      </c>
      <c r="M186" s="10">
        <f t="shared" si="11"/>
        <v>3051</v>
      </c>
    </row>
    <row r="187" spans="1:13" x14ac:dyDescent="0.15">
      <c r="A187" s="11">
        <v>185</v>
      </c>
      <c r="B187" s="9" t="s">
        <v>383</v>
      </c>
      <c r="C187" s="9" t="s">
        <v>203</v>
      </c>
      <c r="D187" s="9" t="str">
        <f>VLOOKUP(LEFT(B187,1),部门信息!$B$1:$C$6,2,0)</f>
        <v>行政</v>
      </c>
      <c r="E187" s="10">
        <v>9400</v>
      </c>
      <c r="F187" s="10">
        <v>400</v>
      </c>
      <c r="G187" s="10">
        <v>135</v>
      </c>
      <c r="H187" s="10">
        <v>58</v>
      </c>
      <c r="I187" s="10">
        <f t="shared" si="8"/>
        <v>9877</v>
      </c>
      <c r="J187" s="10">
        <v>1316</v>
      </c>
      <c r="K187" s="10">
        <f t="shared" si="9"/>
        <v>5061</v>
      </c>
      <c r="L187" s="10">
        <f t="shared" si="10"/>
        <v>457.20000000000005</v>
      </c>
      <c r="M187" s="10">
        <f t="shared" si="11"/>
        <v>8103.8</v>
      </c>
    </row>
    <row r="188" spans="1:13" x14ac:dyDescent="0.15">
      <c r="A188" s="11">
        <v>186</v>
      </c>
      <c r="B188" s="9" t="s">
        <v>632</v>
      </c>
      <c r="C188" s="9" t="s">
        <v>204</v>
      </c>
      <c r="D188" s="9" t="str">
        <f>VLOOKUP(LEFT(B188,1),部门信息!$B$1:$C$6,2,0)</f>
        <v>市场</v>
      </c>
      <c r="E188" s="10">
        <v>13100</v>
      </c>
      <c r="F188" s="10">
        <v>0</v>
      </c>
      <c r="G188" s="10">
        <v>135</v>
      </c>
      <c r="H188" s="10">
        <v>0</v>
      </c>
      <c r="I188" s="10">
        <f t="shared" si="8"/>
        <v>13235</v>
      </c>
      <c r="J188" s="10">
        <v>1965</v>
      </c>
      <c r="K188" s="10">
        <f t="shared" si="9"/>
        <v>7770</v>
      </c>
      <c r="L188" s="10">
        <f t="shared" si="10"/>
        <v>999</v>
      </c>
      <c r="M188" s="10">
        <f t="shared" si="11"/>
        <v>10271</v>
      </c>
    </row>
    <row r="189" spans="1:13" x14ac:dyDescent="0.15">
      <c r="A189" s="11">
        <v>187</v>
      </c>
      <c r="B189" s="9" t="s">
        <v>676</v>
      </c>
      <c r="C189" s="9" t="s">
        <v>205</v>
      </c>
      <c r="D189" s="9" t="str">
        <f>VLOOKUP(LEFT(B189,1),部门信息!$B$1:$C$6,2,0)</f>
        <v>市场</v>
      </c>
      <c r="E189" s="10">
        <v>9500</v>
      </c>
      <c r="F189" s="10">
        <v>1000</v>
      </c>
      <c r="G189" s="10">
        <v>45</v>
      </c>
      <c r="H189" s="10">
        <v>0</v>
      </c>
      <c r="I189" s="10">
        <f t="shared" si="8"/>
        <v>10545</v>
      </c>
      <c r="J189" s="10">
        <v>1235</v>
      </c>
      <c r="K189" s="10">
        <f t="shared" si="9"/>
        <v>5810</v>
      </c>
      <c r="L189" s="10">
        <f t="shared" si="10"/>
        <v>607</v>
      </c>
      <c r="M189" s="10">
        <f t="shared" si="11"/>
        <v>8703</v>
      </c>
    </row>
    <row r="190" spans="1:13" x14ac:dyDescent="0.15">
      <c r="A190" s="11">
        <v>188</v>
      </c>
      <c r="B190" s="9" t="s">
        <v>510</v>
      </c>
      <c r="C190" s="9" t="s">
        <v>206</v>
      </c>
      <c r="D190" s="9" t="str">
        <f>VLOOKUP(LEFT(B190,1),部门信息!$B$1:$C$6,2,0)</f>
        <v>管理</v>
      </c>
      <c r="E190" s="10">
        <v>6300</v>
      </c>
      <c r="F190" s="10">
        <v>100</v>
      </c>
      <c r="G190" s="10">
        <v>180</v>
      </c>
      <c r="H190" s="10">
        <v>290</v>
      </c>
      <c r="I190" s="10">
        <f t="shared" si="8"/>
        <v>6290</v>
      </c>
      <c r="J190" s="10">
        <v>819</v>
      </c>
      <c r="K190" s="10">
        <f t="shared" si="9"/>
        <v>1971</v>
      </c>
      <c r="L190" s="10">
        <f t="shared" si="10"/>
        <v>92.100000000000023</v>
      </c>
      <c r="M190" s="10">
        <f t="shared" si="11"/>
        <v>5378.9</v>
      </c>
    </row>
    <row r="191" spans="1:13" x14ac:dyDescent="0.15">
      <c r="A191" s="11">
        <v>189</v>
      </c>
      <c r="B191" s="9" t="s">
        <v>577</v>
      </c>
      <c r="C191" s="9" t="s">
        <v>207</v>
      </c>
      <c r="D191" s="9" t="str">
        <f>VLOOKUP(LEFT(B191,1),部门信息!$B$1:$C$6,2,0)</f>
        <v>市场</v>
      </c>
      <c r="E191" s="10">
        <v>19400</v>
      </c>
      <c r="F191" s="10">
        <v>700</v>
      </c>
      <c r="G191" s="10">
        <v>90</v>
      </c>
      <c r="H191" s="10">
        <v>123</v>
      </c>
      <c r="I191" s="10">
        <f t="shared" si="8"/>
        <v>20067</v>
      </c>
      <c r="J191" s="10">
        <v>2910</v>
      </c>
      <c r="K191" s="10">
        <f t="shared" si="9"/>
        <v>13657</v>
      </c>
      <c r="L191" s="10">
        <f t="shared" si="10"/>
        <v>2409.25</v>
      </c>
      <c r="M191" s="10">
        <f t="shared" si="11"/>
        <v>14747.75</v>
      </c>
    </row>
    <row r="192" spans="1:13" x14ac:dyDescent="0.15">
      <c r="A192" s="11">
        <v>190</v>
      </c>
      <c r="B192" s="9" t="s">
        <v>642</v>
      </c>
      <c r="C192" s="9" t="s">
        <v>208</v>
      </c>
      <c r="D192" s="9" t="str">
        <f>VLOOKUP(LEFT(B192,1),部门信息!$B$1:$C$6,2,0)</f>
        <v>市场</v>
      </c>
      <c r="E192" s="10">
        <v>18000</v>
      </c>
      <c r="F192" s="10">
        <v>300</v>
      </c>
      <c r="G192" s="10">
        <v>450</v>
      </c>
      <c r="H192" s="10">
        <v>276</v>
      </c>
      <c r="I192" s="10">
        <f t="shared" si="8"/>
        <v>18474</v>
      </c>
      <c r="J192" s="10">
        <v>2340</v>
      </c>
      <c r="K192" s="10">
        <f t="shared" si="9"/>
        <v>12634</v>
      </c>
      <c r="L192" s="10">
        <f t="shared" si="10"/>
        <v>2153.5</v>
      </c>
      <c r="M192" s="10">
        <f t="shared" si="11"/>
        <v>13980.5</v>
      </c>
    </row>
    <row r="193" spans="1:13" x14ac:dyDescent="0.15">
      <c r="A193" s="11">
        <v>191</v>
      </c>
      <c r="B193" s="9" t="s">
        <v>550</v>
      </c>
      <c r="C193" s="9" t="s">
        <v>209</v>
      </c>
      <c r="D193" s="9" t="str">
        <f>VLOOKUP(LEFT(B193,1),部门信息!$B$1:$C$6,2,0)</f>
        <v>研发</v>
      </c>
      <c r="E193" s="10">
        <v>5400</v>
      </c>
      <c r="F193" s="10">
        <v>600</v>
      </c>
      <c r="G193" s="10">
        <v>90</v>
      </c>
      <c r="H193" s="10">
        <v>41</v>
      </c>
      <c r="I193" s="10">
        <f t="shared" si="8"/>
        <v>6049</v>
      </c>
      <c r="J193" s="10">
        <v>810</v>
      </c>
      <c r="K193" s="10">
        <f t="shared" si="9"/>
        <v>1739</v>
      </c>
      <c r="L193" s="10">
        <f t="shared" si="10"/>
        <v>68.900000000000006</v>
      </c>
      <c r="M193" s="10">
        <f t="shared" si="11"/>
        <v>5170.1000000000004</v>
      </c>
    </row>
    <row r="194" spans="1:13" x14ac:dyDescent="0.15">
      <c r="A194" s="11">
        <v>192</v>
      </c>
      <c r="B194" s="9" t="s">
        <v>674</v>
      </c>
      <c r="C194" s="9" t="s">
        <v>210</v>
      </c>
      <c r="D194" s="9" t="str">
        <f>VLOOKUP(LEFT(B194,1),部门信息!$B$1:$C$6,2,0)</f>
        <v>市场</v>
      </c>
      <c r="E194" s="10">
        <v>16300</v>
      </c>
      <c r="F194" s="10">
        <v>100</v>
      </c>
      <c r="G194" s="10">
        <v>45</v>
      </c>
      <c r="H194" s="10">
        <v>0</v>
      </c>
      <c r="I194" s="10">
        <f t="shared" si="8"/>
        <v>16445</v>
      </c>
      <c r="J194" s="10">
        <v>2445</v>
      </c>
      <c r="K194" s="10">
        <f t="shared" si="9"/>
        <v>10500</v>
      </c>
      <c r="L194" s="10">
        <f t="shared" si="10"/>
        <v>1620</v>
      </c>
      <c r="M194" s="10">
        <f t="shared" si="11"/>
        <v>12380</v>
      </c>
    </row>
    <row r="195" spans="1:13" x14ac:dyDescent="0.15">
      <c r="A195" s="11">
        <v>193</v>
      </c>
      <c r="B195" s="9" t="s">
        <v>656</v>
      </c>
      <c r="C195" s="9" t="s">
        <v>211</v>
      </c>
      <c r="D195" s="9" t="str">
        <f>VLOOKUP(LEFT(B195,1),部门信息!$B$1:$C$6,2,0)</f>
        <v>市场</v>
      </c>
      <c r="E195" s="10">
        <v>16200</v>
      </c>
      <c r="F195" s="10">
        <v>900</v>
      </c>
      <c r="G195" s="10">
        <v>270</v>
      </c>
      <c r="H195" s="10">
        <v>0</v>
      </c>
      <c r="I195" s="10">
        <f t="shared" ref="I195:I258" si="12">E195+F195+G195-H195</f>
        <v>17370</v>
      </c>
      <c r="J195" s="10">
        <v>2430</v>
      </c>
      <c r="K195" s="10">
        <f t="shared" si="9"/>
        <v>11440</v>
      </c>
      <c r="L195" s="10">
        <f t="shared" si="10"/>
        <v>1855</v>
      </c>
      <c r="M195" s="10">
        <f t="shared" si="11"/>
        <v>13085</v>
      </c>
    </row>
    <row r="196" spans="1:13" x14ac:dyDescent="0.15">
      <c r="A196" s="11">
        <v>194</v>
      </c>
      <c r="B196" s="9" t="s">
        <v>502</v>
      </c>
      <c r="C196" s="9" t="s">
        <v>212</v>
      </c>
      <c r="D196" s="9" t="str">
        <f>VLOOKUP(LEFT(B196,1),部门信息!$B$1:$C$6,2,0)</f>
        <v>管理</v>
      </c>
      <c r="E196" s="10">
        <v>4000</v>
      </c>
      <c r="F196" s="10">
        <v>1000</v>
      </c>
      <c r="G196" s="10">
        <v>180</v>
      </c>
      <c r="H196" s="10">
        <v>335</v>
      </c>
      <c r="I196" s="10">
        <f t="shared" si="12"/>
        <v>4845</v>
      </c>
      <c r="J196" s="10">
        <v>480</v>
      </c>
      <c r="K196" s="10">
        <f t="shared" ref="K196:K259" si="13">IF(I196-J196-3500&gt;0,I196-J196-3500,0)</f>
        <v>865</v>
      </c>
      <c r="L196" s="10">
        <f t="shared" ref="L196:L259" si="14">IF(K196&gt;80000,K196*0.45-13505,IF(K196&gt;55000,K196*0.35-5505,IF(K196&gt;35000,K196*0.3-2755,IF(K196&gt;9000,K196*0.25-1005,IF(K196&gt;4500,K196*0.2-555,IF(K196&gt;1500,K196*0.1-105,IF(K196&gt;0,K196*0.03,0)))))))</f>
        <v>25.95</v>
      </c>
      <c r="M196" s="10">
        <f t="shared" ref="M196:M259" si="15">I196-J196-L196</f>
        <v>4339.05</v>
      </c>
    </row>
    <row r="197" spans="1:13" x14ac:dyDescent="0.15">
      <c r="A197" s="11">
        <v>195</v>
      </c>
      <c r="B197" s="9" t="s">
        <v>413</v>
      </c>
      <c r="C197" s="9" t="s">
        <v>213</v>
      </c>
      <c r="D197" s="9" t="str">
        <f>VLOOKUP(LEFT(B197,1),部门信息!$B$1:$C$6,2,0)</f>
        <v>行政</v>
      </c>
      <c r="E197" s="10">
        <v>18100</v>
      </c>
      <c r="F197" s="10">
        <v>200</v>
      </c>
      <c r="G197" s="10">
        <v>360</v>
      </c>
      <c r="H197" s="10">
        <v>439</v>
      </c>
      <c r="I197" s="10">
        <f t="shared" si="12"/>
        <v>18221</v>
      </c>
      <c r="J197" s="10">
        <v>2896</v>
      </c>
      <c r="K197" s="10">
        <f t="shared" si="13"/>
        <v>11825</v>
      </c>
      <c r="L197" s="10">
        <f t="shared" si="14"/>
        <v>1951.25</v>
      </c>
      <c r="M197" s="10">
        <f t="shared" si="15"/>
        <v>13373.75</v>
      </c>
    </row>
    <row r="198" spans="1:13" x14ac:dyDescent="0.15">
      <c r="A198" s="11">
        <v>196</v>
      </c>
      <c r="B198" s="9" t="s">
        <v>485</v>
      </c>
      <c r="C198" s="9" t="s">
        <v>214</v>
      </c>
      <c r="D198" s="9" t="str">
        <f>VLOOKUP(LEFT(B198,1),部门信息!$B$1:$C$6,2,0)</f>
        <v>人事</v>
      </c>
      <c r="E198" s="10">
        <v>9000</v>
      </c>
      <c r="F198" s="10">
        <v>0</v>
      </c>
      <c r="G198" s="10">
        <v>270</v>
      </c>
      <c r="H198" s="10">
        <v>405</v>
      </c>
      <c r="I198" s="10">
        <f t="shared" si="12"/>
        <v>8865</v>
      </c>
      <c r="J198" s="10">
        <v>1260</v>
      </c>
      <c r="K198" s="10">
        <f t="shared" si="13"/>
        <v>4105</v>
      </c>
      <c r="L198" s="10">
        <f t="shared" si="14"/>
        <v>305.5</v>
      </c>
      <c r="M198" s="10">
        <f t="shared" si="15"/>
        <v>7299.5</v>
      </c>
    </row>
    <row r="199" spans="1:13" x14ac:dyDescent="0.15">
      <c r="A199" s="11">
        <v>197</v>
      </c>
      <c r="B199" s="9" t="s">
        <v>497</v>
      </c>
      <c r="C199" s="9" t="s">
        <v>215</v>
      </c>
      <c r="D199" s="9" t="str">
        <f>VLOOKUP(LEFT(B199,1),部门信息!$B$1:$C$6,2,0)</f>
        <v>人事</v>
      </c>
      <c r="E199" s="10">
        <v>8200</v>
      </c>
      <c r="F199" s="10">
        <v>900</v>
      </c>
      <c r="G199" s="10">
        <v>405</v>
      </c>
      <c r="H199" s="10">
        <v>0</v>
      </c>
      <c r="I199" s="10">
        <f t="shared" si="12"/>
        <v>9505</v>
      </c>
      <c r="J199" s="10">
        <v>1148</v>
      </c>
      <c r="K199" s="10">
        <f t="shared" si="13"/>
        <v>4857</v>
      </c>
      <c r="L199" s="10">
        <f t="shared" si="14"/>
        <v>416.40000000000009</v>
      </c>
      <c r="M199" s="10">
        <f t="shared" si="15"/>
        <v>7940.6</v>
      </c>
    </row>
    <row r="200" spans="1:13" x14ac:dyDescent="0.15">
      <c r="A200" s="11">
        <v>198</v>
      </c>
      <c r="B200" s="9" t="s">
        <v>541</v>
      </c>
      <c r="C200" s="9" t="s">
        <v>216</v>
      </c>
      <c r="D200" s="9" t="str">
        <f>VLOOKUP(LEFT(B200,1),部门信息!$B$1:$C$6,2,0)</f>
        <v>研发</v>
      </c>
      <c r="E200" s="10">
        <v>16600</v>
      </c>
      <c r="F200" s="10">
        <v>400</v>
      </c>
      <c r="G200" s="10">
        <v>180</v>
      </c>
      <c r="H200" s="10">
        <v>0</v>
      </c>
      <c r="I200" s="10">
        <f t="shared" si="12"/>
        <v>17180</v>
      </c>
      <c r="J200" s="10">
        <v>2490</v>
      </c>
      <c r="K200" s="10">
        <f t="shared" si="13"/>
        <v>11190</v>
      </c>
      <c r="L200" s="10">
        <f t="shared" si="14"/>
        <v>1792.5</v>
      </c>
      <c r="M200" s="10">
        <f t="shared" si="15"/>
        <v>12897.5</v>
      </c>
    </row>
    <row r="201" spans="1:13" x14ac:dyDescent="0.15">
      <c r="A201" s="11">
        <v>199</v>
      </c>
      <c r="B201" s="9" t="s">
        <v>392</v>
      </c>
      <c r="C201" s="9" t="s">
        <v>2</v>
      </c>
      <c r="D201" s="9" t="str">
        <f>VLOOKUP(LEFT(B201,1),部门信息!$B$1:$C$6,2,0)</f>
        <v>行政</v>
      </c>
      <c r="E201" s="10">
        <v>16400</v>
      </c>
      <c r="F201" s="10">
        <v>700</v>
      </c>
      <c r="G201" s="10">
        <v>225</v>
      </c>
      <c r="H201" s="10">
        <v>146</v>
      </c>
      <c r="I201" s="10">
        <f t="shared" si="12"/>
        <v>17179</v>
      </c>
      <c r="J201" s="10">
        <v>1968</v>
      </c>
      <c r="K201" s="10">
        <f t="shared" si="13"/>
        <v>11711</v>
      </c>
      <c r="L201" s="10">
        <f t="shared" si="14"/>
        <v>1922.75</v>
      </c>
      <c r="M201" s="10">
        <f t="shared" si="15"/>
        <v>13288.25</v>
      </c>
    </row>
    <row r="202" spans="1:13" x14ac:dyDescent="0.15">
      <c r="A202" s="11">
        <v>200</v>
      </c>
      <c r="B202" s="9" t="s">
        <v>582</v>
      </c>
      <c r="C202" s="9" t="s">
        <v>217</v>
      </c>
      <c r="D202" s="9" t="str">
        <f>VLOOKUP(LEFT(B202,1),部门信息!$B$1:$C$6,2,0)</f>
        <v>市场</v>
      </c>
      <c r="E202" s="10">
        <v>17800</v>
      </c>
      <c r="F202" s="10">
        <v>400</v>
      </c>
      <c r="G202" s="10">
        <v>180</v>
      </c>
      <c r="H202" s="10">
        <v>334</v>
      </c>
      <c r="I202" s="10">
        <f t="shared" si="12"/>
        <v>18046</v>
      </c>
      <c r="J202" s="10">
        <v>2314</v>
      </c>
      <c r="K202" s="10">
        <f t="shared" si="13"/>
        <v>12232</v>
      </c>
      <c r="L202" s="10">
        <f t="shared" si="14"/>
        <v>2053</v>
      </c>
      <c r="M202" s="10">
        <f t="shared" si="15"/>
        <v>13679</v>
      </c>
    </row>
    <row r="203" spans="1:13" x14ac:dyDescent="0.15">
      <c r="A203" s="11">
        <v>201</v>
      </c>
      <c r="B203" s="9" t="s">
        <v>619</v>
      </c>
      <c r="C203" s="9" t="s">
        <v>218</v>
      </c>
      <c r="D203" s="9" t="str">
        <f>VLOOKUP(LEFT(B203,1),部门信息!$B$1:$C$6,2,0)</f>
        <v>市场</v>
      </c>
      <c r="E203" s="10">
        <v>7800</v>
      </c>
      <c r="F203" s="10">
        <v>600</v>
      </c>
      <c r="G203" s="10">
        <v>135</v>
      </c>
      <c r="H203" s="10">
        <v>364</v>
      </c>
      <c r="I203" s="10">
        <f t="shared" si="12"/>
        <v>8171</v>
      </c>
      <c r="J203" s="10">
        <v>1248</v>
      </c>
      <c r="K203" s="10">
        <f t="shared" si="13"/>
        <v>3423</v>
      </c>
      <c r="L203" s="10">
        <f t="shared" si="14"/>
        <v>237.3</v>
      </c>
      <c r="M203" s="10">
        <f t="shared" si="15"/>
        <v>6685.7</v>
      </c>
    </row>
    <row r="204" spans="1:13" x14ac:dyDescent="0.15">
      <c r="A204" s="11">
        <v>202</v>
      </c>
      <c r="B204" s="9" t="s">
        <v>483</v>
      </c>
      <c r="C204" s="9" t="s">
        <v>219</v>
      </c>
      <c r="D204" s="9" t="str">
        <f>VLOOKUP(LEFT(B204,1),部门信息!$B$1:$C$6,2,0)</f>
        <v>人事</v>
      </c>
      <c r="E204" s="10">
        <v>14800</v>
      </c>
      <c r="F204" s="10">
        <v>400</v>
      </c>
      <c r="G204" s="10">
        <v>180</v>
      </c>
      <c r="H204" s="10">
        <v>389</v>
      </c>
      <c r="I204" s="10">
        <f t="shared" si="12"/>
        <v>14991</v>
      </c>
      <c r="J204" s="10">
        <v>1776</v>
      </c>
      <c r="K204" s="10">
        <f t="shared" si="13"/>
        <v>9715</v>
      </c>
      <c r="L204" s="10">
        <f t="shared" si="14"/>
        <v>1423.75</v>
      </c>
      <c r="M204" s="10">
        <f t="shared" si="15"/>
        <v>11791.25</v>
      </c>
    </row>
    <row r="205" spans="1:13" x14ac:dyDescent="0.15">
      <c r="A205" s="11">
        <v>203</v>
      </c>
      <c r="B205" s="9" t="s">
        <v>391</v>
      </c>
      <c r="C205" s="9" t="s">
        <v>220</v>
      </c>
      <c r="D205" s="9" t="str">
        <f>VLOOKUP(LEFT(B205,1),部门信息!$B$1:$C$6,2,0)</f>
        <v>行政</v>
      </c>
      <c r="E205" s="10">
        <v>7100</v>
      </c>
      <c r="F205" s="10">
        <v>900</v>
      </c>
      <c r="G205" s="10">
        <v>135</v>
      </c>
      <c r="H205" s="10">
        <v>366</v>
      </c>
      <c r="I205" s="10">
        <f t="shared" si="12"/>
        <v>7769</v>
      </c>
      <c r="J205" s="10">
        <v>994</v>
      </c>
      <c r="K205" s="10">
        <f t="shared" si="13"/>
        <v>3275</v>
      </c>
      <c r="L205" s="10">
        <f t="shared" si="14"/>
        <v>222.5</v>
      </c>
      <c r="M205" s="10">
        <f t="shared" si="15"/>
        <v>6552.5</v>
      </c>
    </row>
    <row r="206" spans="1:13" x14ac:dyDescent="0.15">
      <c r="A206" s="11">
        <v>204</v>
      </c>
      <c r="B206" s="9" t="s">
        <v>694</v>
      </c>
      <c r="C206" s="9" t="s">
        <v>221</v>
      </c>
      <c r="D206" s="9" t="str">
        <f>VLOOKUP(LEFT(B206,1),部门信息!$B$1:$C$6,2,0)</f>
        <v>市场</v>
      </c>
      <c r="E206" s="10">
        <v>16200</v>
      </c>
      <c r="F206" s="10">
        <v>400</v>
      </c>
      <c r="G206" s="10">
        <v>135</v>
      </c>
      <c r="H206" s="10">
        <v>0</v>
      </c>
      <c r="I206" s="10">
        <f t="shared" si="12"/>
        <v>16735</v>
      </c>
      <c r="J206" s="10">
        <v>2430</v>
      </c>
      <c r="K206" s="10">
        <f t="shared" si="13"/>
        <v>10805</v>
      </c>
      <c r="L206" s="10">
        <f t="shared" si="14"/>
        <v>1696.25</v>
      </c>
      <c r="M206" s="10">
        <f t="shared" si="15"/>
        <v>12608.75</v>
      </c>
    </row>
    <row r="207" spans="1:13" x14ac:dyDescent="0.15">
      <c r="A207" s="11">
        <v>205</v>
      </c>
      <c r="B207" s="9" t="s">
        <v>575</v>
      </c>
      <c r="C207" s="9" t="s">
        <v>7</v>
      </c>
      <c r="D207" s="9" t="str">
        <f>VLOOKUP(LEFT(B207,1),部门信息!$B$1:$C$6,2,0)</f>
        <v>市场</v>
      </c>
      <c r="E207" s="10">
        <v>18500</v>
      </c>
      <c r="F207" s="10">
        <v>700</v>
      </c>
      <c r="G207" s="10">
        <v>135</v>
      </c>
      <c r="H207" s="10">
        <v>0</v>
      </c>
      <c r="I207" s="10">
        <f t="shared" si="12"/>
        <v>19335</v>
      </c>
      <c r="J207" s="10">
        <v>2405</v>
      </c>
      <c r="K207" s="10">
        <f t="shared" si="13"/>
        <v>13430</v>
      </c>
      <c r="L207" s="10">
        <f t="shared" si="14"/>
        <v>2352.5</v>
      </c>
      <c r="M207" s="10">
        <f t="shared" si="15"/>
        <v>14577.5</v>
      </c>
    </row>
    <row r="208" spans="1:13" x14ac:dyDescent="0.15">
      <c r="A208" s="11">
        <v>206</v>
      </c>
      <c r="B208" s="9" t="s">
        <v>528</v>
      </c>
      <c r="C208" s="9" t="s">
        <v>222</v>
      </c>
      <c r="D208" s="9" t="str">
        <f>VLOOKUP(LEFT(B208,1),部门信息!$B$1:$C$6,2,0)</f>
        <v>管理</v>
      </c>
      <c r="E208" s="10">
        <v>4600</v>
      </c>
      <c r="F208" s="10">
        <v>100</v>
      </c>
      <c r="G208" s="10">
        <v>225</v>
      </c>
      <c r="H208" s="10">
        <v>437</v>
      </c>
      <c r="I208" s="10">
        <f t="shared" si="12"/>
        <v>4488</v>
      </c>
      <c r="J208" s="10">
        <v>736</v>
      </c>
      <c r="K208" s="10">
        <f t="shared" si="13"/>
        <v>252</v>
      </c>
      <c r="L208" s="10">
        <f t="shared" si="14"/>
        <v>7.56</v>
      </c>
      <c r="M208" s="10">
        <f t="shared" si="15"/>
        <v>3744.44</v>
      </c>
    </row>
    <row r="209" spans="1:13" x14ac:dyDescent="0.15">
      <c r="A209" s="11">
        <v>207</v>
      </c>
      <c r="B209" s="9" t="s">
        <v>558</v>
      </c>
      <c r="C209" s="9" t="s">
        <v>223</v>
      </c>
      <c r="D209" s="9" t="str">
        <f>VLOOKUP(LEFT(B209,1),部门信息!$B$1:$C$6,2,0)</f>
        <v>研发</v>
      </c>
      <c r="E209" s="10">
        <v>4400</v>
      </c>
      <c r="F209" s="10">
        <v>700</v>
      </c>
      <c r="G209" s="10">
        <v>225</v>
      </c>
      <c r="H209" s="10">
        <v>24</v>
      </c>
      <c r="I209" s="10">
        <f t="shared" si="12"/>
        <v>5301</v>
      </c>
      <c r="J209" s="10">
        <v>572</v>
      </c>
      <c r="K209" s="10">
        <f t="shared" si="13"/>
        <v>1229</v>
      </c>
      <c r="L209" s="10">
        <f t="shared" si="14"/>
        <v>36.869999999999997</v>
      </c>
      <c r="M209" s="10">
        <f t="shared" si="15"/>
        <v>4692.13</v>
      </c>
    </row>
    <row r="210" spans="1:13" x14ac:dyDescent="0.15">
      <c r="A210" s="11">
        <v>208</v>
      </c>
      <c r="B210" s="9" t="s">
        <v>675</v>
      </c>
      <c r="C210" s="9" t="s">
        <v>224</v>
      </c>
      <c r="D210" s="9" t="str">
        <f>VLOOKUP(LEFT(B210,1),部门信息!$B$1:$C$6,2,0)</f>
        <v>市场</v>
      </c>
      <c r="E210" s="10">
        <v>18000</v>
      </c>
      <c r="F210" s="10">
        <v>900</v>
      </c>
      <c r="G210" s="10">
        <v>270</v>
      </c>
      <c r="H210" s="10">
        <v>186</v>
      </c>
      <c r="I210" s="10">
        <f t="shared" si="12"/>
        <v>18984</v>
      </c>
      <c r="J210" s="10">
        <v>2160</v>
      </c>
      <c r="K210" s="10">
        <f t="shared" si="13"/>
        <v>13324</v>
      </c>
      <c r="L210" s="10">
        <f t="shared" si="14"/>
        <v>2326</v>
      </c>
      <c r="M210" s="10">
        <f t="shared" si="15"/>
        <v>14498</v>
      </c>
    </row>
    <row r="211" spans="1:13" x14ac:dyDescent="0.15">
      <c r="A211" s="11">
        <v>209</v>
      </c>
      <c r="B211" s="9" t="s">
        <v>424</v>
      </c>
      <c r="C211" s="9" t="s">
        <v>225</v>
      </c>
      <c r="D211" s="9" t="str">
        <f>VLOOKUP(LEFT(B211,1),部门信息!$B$1:$C$6,2,0)</f>
        <v>行政</v>
      </c>
      <c r="E211" s="10">
        <v>17900</v>
      </c>
      <c r="F211" s="10">
        <v>0</v>
      </c>
      <c r="G211" s="10">
        <v>225</v>
      </c>
      <c r="H211" s="10">
        <v>489</v>
      </c>
      <c r="I211" s="10">
        <f t="shared" si="12"/>
        <v>17636</v>
      </c>
      <c r="J211" s="10">
        <v>2864</v>
      </c>
      <c r="K211" s="10">
        <f t="shared" si="13"/>
        <v>11272</v>
      </c>
      <c r="L211" s="10">
        <f t="shared" si="14"/>
        <v>1813</v>
      </c>
      <c r="M211" s="10">
        <f t="shared" si="15"/>
        <v>12959</v>
      </c>
    </row>
    <row r="212" spans="1:13" x14ac:dyDescent="0.15">
      <c r="A212" s="11">
        <v>210</v>
      </c>
      <c r="B212" s="9" t="s">
        <v>563</v>
      </c>
      <c r="C212" s="9" t="s">
        <v>226</v>
      </c>
      <c r="D212" s="9" t="str">
        <f>VLOOKUP(LEFT(B212,1),部门信息!$B$1:$C$6,2,0)</f>
        <v>研发</v>
      </c>
      <c r="E212" s="10">
        <v>15600</v>
      </c>
      <c r="F212" s="10">
        <v>300</v>
      </c>
      <c r="G212" s="10">
        <v>270</v>
      </c>
      <c r="H212" s="10">
        <v>269</v>
      </c>
      <c r="I212" s="10">
        <f t="shared" si="12"/>
        <v>15901</v>
      </c>
      <c r="J212" s="10">
        <v>2340</v>
      </c>
      <c r="K212" s="10">
        <f t="shared" si="13"/>
        <v>10061</v>
      </c>
      <c r="L212" s="10">
        <f t="shared" si="14"/>
        <v>1510.25</v>
      </c>
      <c r="M212" s="10">
        <f t="shared" si="15"/>
        <v>12050.75</v>
      </c>
    </row>
    <row r="213" spans="1:13" x14ac:dyDescent="0.15">
      <c r="A213" s="11">
        <v>211</v>
      </c>
      <c r="B213" s="9" t="s">
        <v>423</v>
      </c>
      <c r="C213" s="9" t="s">
        <v>227</v>
      </c>
      <c r="D213" s="9" t="str">
        <f>VLOOKUP(LEFT(B213,1),部门信息!$B$1:$C$6,2,0)</f>
        <v>行政</v>
      </c>
      <c r="E213" s="10">
        <v>4800</v>
      </c>
      <c r="F213" s="10">
        <v>300</v>
      </c>
      <c r="G213" s="10">
        <v>315</v>
      </c>
      <c r="H213" s="10">
        <v>0</v>
      </c>
      <c r="I213" s="10">
        <f t="shared" si="12"/>
        <v>5415</v>
      </c>
      <c r="J213" s="10">
        <v>576</v>
      </c>
      <c r="K213" s="10">
        <f t="shared" si="13"/>
        <v>1339</v>
      </c>
      <c r="L213" s="10">
        <f t="shared" si="14"/>
        <v>40.17</v>
      </c>
      <c r="M213" s="10">
        <f t="shared" si="15"/>
        <v>4798.83</v>
      </c>
    </row>
    <row r="214" spans="1:13" x14ac:dyDescent="0.15">
      <c r="A214" s="11">
        <v>212</v>
      </c>
      <c r="B214" s="9" t="s">
        <v>583</v>
      </c>
      <c r="C214" s="9" t="s">
        <v>228</v>
      </c>
      <c r="D214" s="9" t="str">
        <f>VLOOKUP(LEFT(B214,1),部门信息!$B$1:$C$6,2,0)</f>
        <v>市场</v>
      </c>
      <c r="E214" s="10">
        <v>12700</v>
      </c>
      <c r="F214" s="10">
        <v>900</v>
      </c>
      <c r="G214" s="10">
        <v>270</v>
      </c>
      <c r="H214" s="10">
        <v>226</v>
      </c>
      <c r="I214" s="10">
        <f t="shared" si="12"/>
        <v>13644</v>
      </c>
      <c r="J214" s="10">
        <v>1778</v>
      </c>
      <c r="K214" s="10">
        <f t="shared" si="13"/>
        <v>8366</v>
      </c>
      <c r="L214" s="10">
        <f t="shared" si="14"/>
        <v>1118.2</v>
      </c>
      <c r="M214" s="10">
        <f t="shared" si="15"/>
        <v>10747.8</v>
      </c>
    </row>
    <row r="215" spans="1:13" x14ac:dyDescent="0.15">
      <c r="A215" s="11">
        <v>213</v>
      </c>
      <c r="B215" s="9" t="s">
        <v>641</v>
      </c>
      <c r="C215" s="9" t="s">
        <v>229</v>
      </c>
      <c r="D215" s="9" t="str">
        <f>VLOOKUP(LEFT(B215,1),部门信息!$B$1:$C$6,2,0)</f>
        <v>市场</v>
      </c>
      <c r="E215" s="10">
        <v>9200</v>
      </c>
      <c r="F215" s="10">
        <v>900</v>
      </c>
      <c r="G215" s="10">
        <v>270</v>
      </c>
      <c r="H215" s="10">
        <v>0</v>
      </c>
      <c r="I215" s="10">
        <f t="shared" si="12"/>
        <v>10370</v>
      </c>
      <c r="J215" s="10">
        <v>1196</v>
      </c>
      <c r="K215" s="10">
        <f t="shared" si="13"/>
        <v>5674</v>
      </c>
      <c r="L215" s="10">
        <f t="shared" si="14"/>
        <v>579.79999999999995</v>
      </c>
      <c r="M215" s="10">
        <f t="shared" si="15"/>
        <v>8594.2000000000007</v>
      </c>
    </row>
    <row r="216" spans="1:13" x14ac:dyDescent="0.15">
      <c r="A216" s="11">
        <v>214</v>
      </c>
      <c r="B216" s="9" t="s">
        <v>618</v>
      </c>
      <c r="C216" s="9" t="s">
        <v>230</v>
      </c>
      <c r="D216" s="9" t="str">
        <f>VLOOKUP(LEFT(B216,1),部门信息!$B$1:$C$6,2,0)</f>
        <v>市场</v>
      </c>
      <c r="E216" s="10">
        <v>18200</v>
      </c>
      <c r="F216" s="10">
        <v>1000</v>
      </c>
      <c r="G216" s="10">
        <v>270</v>
      </c>
      <c r="H216" s="10">
        <v>434</v>
      </c>
      <c r="I216" s="10">
        <f t="shared" si="12"/>
        <v>19036</v>
      </c>
      <c r="J216" s="10">
        <v>2366</v>
      </c>
      <c r="K216" s="10">
        <f t="shared" si="13"/>
        <v>13170</v>
      </c>
      <c r="L216" s="10">
        <f t="shared" si="14"/>
        <v>2287.5</v>
      </c>
      <c r="M216" s="10">
        <f t="shared" si="15"/>
        <v>14382.5</v>
      </c>
    </row>
    <row r="217" spans="1:13" x14ac:dyDescent="0.15">
      <c r="A217" s="11">
        <v>215</v>
      </c>
      <c r="B217" s="9" t="s">
        <v>581</v>
      </c>
      <c r="C217" s="9" t="s">
        <v>231</v>
      </c>
      <c r="D217" s="9" t="str">
        <f>VLOOKUP(LEFT(B217,1),部门信息!$B$1:$C$6,2,0)</f>
        <v>市场</v>
      </c>
      <c r="E217" s="10">
        <v>14000</v>
      </c>
      <c r="F217" s="10">
        <v>1000</v>
      </c>
      <c r="G217" s="10">
        <v>360</v>
      </c>
      <c r="H217" s="10">
        <v>0</v>
      </c>
      <c r="I217" s="10">
        <f t="shared" si="12"/>
        <v>15360</v>
      </c>
      <c r="J217" s="10">
        <v>2240</v>
      </c>
      <c r="K217" s="10">
        <f t="shared" si="13"/>
        <v>9620</v>
      </c>
      <c r="L217" s="10">
        <f t="shared" si="14"/>
        <v>1400</v>
      </c>
      <c r="M217" s="10">
        <f t="shared" si="15"/>
        <v>11720</v>
      </c>
    </row>
    <row r="218" spans="1:13" x14ac:dyDescent="0.15">
      <c r="A218" s="11">
        <v>216</v>
      </c>
      <c r="B218" s="9" t="s">
        <v>512</v>
      </c>
      <c r="C218" s="9" t="s">
        <v>232</v>
      </c>
      <c r="D218" s="9" t="str">
        <f>VLOOKUP(LEFT(B218,1),部门信息!$B$1:$C$6,2,0)</f>
        <v>管理</v>
      </c>
      <c r="E218" s="10">
        <v>9300</v>
      </c>
      <c r="F218" s="10">
        <v>1000</v>
      </c>
      <c r="G218" s="10">
        <v>225</v>
      </c>
      <c r="H218" s="10">
        <v>0</v>
      </c>
      <c r="I218" s="10">
        <f t="shared" si="12"/>
        <v>10525</v>
      </c>
      <c r="J218" s="10">
        <v>1209</v>
      </c>
      <c r="K218" s="10">
        <f t="shared" si="13"/>
        <v>5816</v>
      </c>
      <c r="L218" s="10">
        <f t="shared" si="14"/>
        <v>608.20000000000005</v>
      </c>
      <c r="M218" s="10">
        <f t="shared" si="15"/>
        <v>8707.7999999999993</v>
      </c>
    </row>
    <row r="219" spans="1:13" x14ac:dyDescent="0.15">
      <c r="A219" s="11">
        <v>217</v>
      </c>
      <c r="B219" s="9" t="s">
        <v>427</v>
      </c>
      <c r="C219" s="9" t="s">
        <v>233</v>
      </c>
      <c r="D219" s="9" t="str">
        <f>VLOOKUP(LEFT(B219,1),部门信息!$B$1:$C$6,2,0)</f>
        <v>行政</v>
      </c>
      <c r="E219" s="10">
        <v>18200</v>
      </c>
      <c r="F219" s="10">
        <v>700</v>
      </c>
      <c r="G219" s="10">
        <v>90</v>
      </c>
      <c r="H219" s="10">
        <v>143</v>
      </c>
      <c r="I219" s="10">
        <f t="shared" si="12"/>
        <v>18847</v>
      </c>
      <c r="J219" s="10">
        <v>2548</v>
      </c>
      <c r="K219" s="10">
        <f t="shared" si="13"/>
        <v>12799</v>
      </c>
      <c r="L219" s="10">
        <f t="shared" si="14"/>
        <v>2194.75</v>
      </c>
      <c r="M219" s="10">
        <f t="shared" si="15"/>
        <v>14104.25</v>
      </c>
    </row>
    <row r="220" spans="1:13" x14ac:dyDescent="0.15">
      <c r="A220" s="11">
        <v>218</v>
      </c>
      <c r="B220" s="9" t="s">
        <v>395</v>
      </c>
      <c r="C220" s="9" t="s">
        <v>234</v>
      </c>
      <c r="D220" s="9" t="str">
        <f>VLOOKUP(LEFT(B220,1),部门信息!$B$1:$C$6,2,0)</f>
        <v>行政</v>
      </c>
      <c r="E220" s="10">
        <v>3500</v>
      </c>
      <c r="F220" s="10">
        <v>300</v>
      </c>
      <c r="G220" s="10">
        <v>315</v>
      </c>
      <c r="H220" s="10">
        <v>0</v>
      </c>
      <c r="I220" s="10">
        <f t="shared" si="12"/>
        <v>4115</v>
      </c>
      <c r="J220" s="10">
        <v>560</v>
      </c>
      <c r="K220" s="10">
        <f t="shared" si="13"/>
        <v>55</v>
      </c>
      <c r="L220" s="10">
        <f t="shared" si="14"/>
        <v>1.65</v>
      </c>
      <c r="M220" s="10">
        <f t="shared" si="15"/>
        <v>3553.35</v>
      </c>
    </row>
    <row r="221" spans="1:13" x14ac:dyDescent="0.15">
      <c r="A221" s="11">
        <v>219</v>
      </c>
      <c r="B221" s="9" t="s">
        <v>472</v>
      </c>
      <c r="C221" s="9" t="s">
        <v>235</v>
      </c>
      <c r="D221" s="9" t="str">
        <f>VLOOKUP(LEFT(B221,1),部门信息!$B$1:$C$6,2,0)</f>
        <v>人事</v>
      </c>
      <c r="E221" s="10">
        <v>16500</v>
      </c>
      <c r="F221" s="10">
        <v>400</v>
      </c>
      <c r="G221" s="10">
        <v>90</v>
      </c>
      <c r="H221" s="10">
        <v>343</v>
      </c>
      <c r="I221" s="10">
        <f t="shared" si="12"/>
        <v>16647</v>
      </c>
      <c r="J221" s="10">
        <v>2310</v>
      </c>
      <c r="K221" s="10">
        <f t="shared" si="13"/>
        <v>10837</v>
      </c>
      <c r="L221" s="10">
        <f t="shared" si="14"/>
        <v>1704.25</v>
      </c>
      <c r="M221" s="10">
        <f t="shared" si="15"/>
        <v>12632.75</v>
      </c>
    </row>
    <row r="222" spans="1:13" x14ac:dyDescent="0.15">
      <c r="A222" s="11">
        <v>220</v>
      </c>
      <c r="B222" s="9" t="s">
        <v>667</v>
      </c>
      <c r="C222" s="9" t="s">
        <v>236</v>
      </c>
      <c r="D222" s="9" t="str">
        <f>VLOOKUP(LEFT(B222,1),部门信息!$B$1:$C$6,2,0)</f>
        <v>市场</v>
      </c>
      <c r="E222" s="10">
        <v>5300</v>
      </c>
      <c r="F222" s="10">
        <v>800</v>
      </c>
      <c r="G222" s="10">
        <v>180</v>
      </c>
      <c r="H222" s="10">
        <v>462</v>
      </c>
      <c r="I222" s="10">
        <f t="shared" si="12"/>
        <v>5818</v>
      </c>
      <c r="J222" s="10">
        <v>689</v>
      </c>
      <c r="K222" s="10">
        <f t="shared" si="13"/>
        <v>1629</v>
      </c>
      <c r="L222" s="10">
        <f t="shared" si="14"/>
        <v>57.900000000000006</v>
      </c>
      <c r="M222" s="10">
        <f t="shared" si="15"/>
        <v>5071.1000000000004</v>
      </c>
    </row>
    <row r="223" spans="1:13" x14ac:dyDescent="0.15">
      <c r="A223" s="11">
        <v>221</v>
      </c>
      <c r="B223" s="9" t="s">
        <v>673</v>
      </c>
      <c r="C223" s="9" t="s">
        <v>237</v>
      </c>
      <c r="D223" s="9" t="str">
        <f>VLOOKUP(LEFT(B223,1),部门信息!$B$1:$C$6,2,0)</f>
        <v>市场</v>
      </c>
      <c r="E223" s="10">
        <v>9200</v>
      </c>
      <c r="F223" s="10">
        <v>800</v>
      </c>
      <c r="G223" s="10">
        <v>225</v>
      </c>
      <c r="H223" s="10">
        <v>0</v>
      </c>
      <c r="I223" s="10">
        <f t="shared" si="12"/>
        <v>10225</v>
      </c>
      <c r="J223" s="10">
        <v>1472</v>
      </c>
      <c r="K223" s="10">
        <f t="shared" si="13"/>
        <v>5253</v>
      </c>
      <c r="L223" s="10">
        <f t="shared" si="14"/>
        <v>495.60000000000014</v>
      </c>
      <c r="M223" s="10">
        <f t="shared" si="15"/>
        <v>8257.4</v>
      </c>
    </row>
    <row r="224" spans="1:13" x14ac:dyDescent="0.15">
      <c r="A224" s="11">
        <v>222</v>
      </c>
      <c r="B224" s="9" t="s">
        <v>539</v>
      </c>
      <c r="C224" s="9" t="s">
        <v>238</v>
      </c>
      <c r="D224" s="9" t="str">
        <f>VLOOKUP(LEFT(B224,1),部门信息!$B$1:$C$6,2,0)</f>
        <v>研发</v>
      </c>
      <c r="E224" s="10">
        <v>17200</v>
      </c>
      <c r="F224" s="10">
        <v>300</v>
      </c>
      <c r="G224" s="10">
        <v>360</v>
      </c>
      <c r="H224" s="10">
        <v>0</v>
      </c>
      <c r="I224" s="10">
        <f t="shared" si="12"/>
        <v>17860</v>
      </c>
      <c r="J224" s="10">
        <v>2580</v>
      </c>
      <c r="K224" s="10">
        <f t="shared" si="13"/>
        <v>11780</v>
      </c>
      <c r="L224" s="10">
        <f t="shared" si="14"/>
        <v>1940</v>
      </c>
      <c r="M224" s="10">
        <f t="shared" si="15"/>
        <v>13340</v>
      </c>
    </row>
    <row r="225" spans="1:13" x14ac:dyDescent="0.15">
      <c r="A225" s="11">
        <v>223</v>
      </c>
      <c r="B225" s="9" t="s">
        <v>404</v>
      </c>
      <c r="C225" s="9" t="s">
        <v>239</v>
      </c>
      <c r="D225" s="9" t="str">
        <f>VLOOKUP(LEFT(B225,1),部门信息!$B$1:$C$6,2,0)</f>
        <v>行政</v>
      </c>
      <c r="E225" s="10">
        <v>4300</v>
      </c>
      <c r="F225" s="10">
        <v>900</v>
      </c>
      <c r="G225" s="10">
        <v>315</v>
      </c>
      <c r="H225" s="10">
        <v>306</v>
      </c>
      <c r="I225" s="10">
        <f t="shared" si="12"/>
        <v>5209</v>
      </c>
      <c r="J225" s="10">
        <v>645</v>
      </c>
      <c r="K225" s="10">
        <f t="shared" si="13"/>
        <v>1064</v>
      </c>
      <c r="L225" s="10">
        <f t="shared" si="14"/>
        <v>31.919999999999998</v>
      </c>
      <c r="M225" s="10">
        <f t="shared" si="15"/>
        <v>4532.08</v>
      </c>
    </row>
    <row r="226" spans="1:13" x14ac:dyDescent="0.15">
      <c r="A226" s="11">
        <v>224</v>
      </c>
      <c r="B226" s="9" t="s">
        <v>570</v>
      </c>
      <c r="C226" s="9" t="s">
        <v>240</v>
      </c>
      <c r="D226" s="9" t="str">
        <f>VLOOKUP(LEFT(B226,1),部门信息!$B$1:$C$6,2,0)</f>
        <v>市场</v>
      </c>
      <c r="E226" s="10">
        <v>13700</v>
      </c>
      <c r="F226" s="10">
        <v>100</v>
      </c>
      <c r="G226" s="10">
        <v>405</v>
      </c>
      <c r="H226" s="10">
        <v>0</v>
      </c>
      <c r="I226" s="10">
        <f t="shared" si="12"/>
        <v>14205</v>
      </c>
      <c r="J226" s="10">
        <v>1781</v>
      </c>
      <c r="K226" s="10">
        <f t="shared" si="13"/>
        <v>8924</v>
      </c>
      <c r="L226" s="10">
        <f t="shared" si="14"/>
        <v>1229.8000000000002</v>
      </c>
      <c r="M226" s="10">
        <f t="shared" si="15"/>
        <v>11194.2</v>
      </c>
    </row>
    <row r="227" spans="1:13" x14ac:dyDescent="0.15">
      <c r="A227" s="11">
        <v>225</v>
      </c>
      <c r="B227" s="9" t="s">
        <v>393</v>
      </c>
      <c r="C227" s="9" t="s">
        <v>241</v>
      </c>
      <c r="D227" s="9" t="str">
        <f>VLOOKUP(LEFT(B227,1),部门信息!$B$1:$C$6,2,0)</f>
        <v>行政</v>
      </c>
      <c r="E227" s="10">
        <v>15100</v>
      </c>
      <c r="F227" s="10">
        <v>0</v>
      </c>
      <c r="G227" s="10">
        <v>405</v>
      </c>
      <c r="H227" s="10">
        <v>49</v>
      </c>
      <c r="I227" s="10">
        <f t="shared" si="12"/>
        <v>15456</v>
      </c>
      <c r="J227" s="10">
        <v>1812</v>
      </c>
      <c r="K227" s="10">
        <f t="shared" si="13"/>
        <v>10144</v>
      </c>
      <c r="L227" s="10">
        <f t="shared" si="14"/>
        <v>1531</v>
      </c>
      <c r="M227" s="10">
        <f t="shared" si="15"/>
        <v>12113</v>
      </c>
    </row>
    <row r="228" spans="1:13" x14ac:dyDescent="0.15">
      <c r="A228" s="11">
        <v>226</v>
      </c>
      <c r="B228" s="9" t="s">
        <v>628</v>
      </c>
      <c r="C228" s="9" t="s">
        <v>8</v>
      </c>
      <c r="D228" s="9" t="str">
        <f>VLOOKUP(LEFT(B228,1),部门信息!$B$1:$C$6,2,0)</f>
        <v>市场</v>
      </c>
      <c r="E228" s="10">
        <v>4600</v>
      </c>
      <c r="F228" s="10">
        <v>300</v>
      </c>
      <c r="G228" s="10">
        <v>45</v>
      </c>
      <c r="H228" s="10">
        <v>0</v>
      </c>
      <c r="I228" s="10">
        <f t="shared" si="12"/>
        <v>4945</v>
      </c>
      <c r="J228" s="10">
        <v>552</v>
      </c>
      <c r="K228" s="10">
        <f t="shared" si="13"/>
        <v>893</v>
      </c>
      <c r="L228" s="10">
        <f t="shared" si="14"/>
        <v>26.79</v>
      </c>
      <c r="M228" s="10">
        <f t="shared" si="15"/>
        <v>4366.21</v>
      </c>
    </row>
    <row r="229" spans="1:13" x14ac:dyDescent="0.15">
      <c r="A229" s="11">
        <v>227</v>
      </c>
      <c r="B229" s="9" t="s">
        <v>430</v>
      </c>
      <c r="C229" s="9" t="s">
        <v>242</v>
      </c>
      <c r="D229" s="9" t="str">
        <f>VLOOKUP(LEFT(B229,1),部门信息!$B$1:$C$6,2,0)</f>
        <v>行政</v>
      </c>
      <c r="E229" s="10">
        <v>5100</v>
      </c>
      <c r="F229" s="10">
        <v>100</v>
      </c>
      <c r="G229" s="10">
        <v>45</v>
      </c>
      <c r="H229" s="10">
        <v>0</v>
      </c>
      <c r="I229" s="10">
        <f t="shared" si="12"/>
        <v>5245</v>
      </c>
      <c r="J229" s="10">
        <v>612</v>
      </c>
      <c r="K229" s="10">
        <f t="shared" si="13"/>
        <v>1133</v>
      </c>
      <c r="L229" s="10">
        <f t="shared" si="14"/>
        <v>33.99</v>
      </c>
      <c r="M229" s="10">
        <f t="shared" si="15"/>
        <v>4599.01</v>
      </c>
    </row>
    <row r="230" spans="1:13" x14ac:dyDescent="0.15">
      <c r="A230" s="11">
        <v>228</v>
      </c>
      <c r="B230" s="9" t="s">
        <v>578</v>
      </c>
      <c r="C230" s="9" t="s">
        <v>243</v>
      </c>
      <c r="D230" s="9" t="str">
        <f>VLOOKUP(LEFT(B230,1),部门信息!$B$1:$C$6,2,0)</f>
        <v>市场</v>
      </c>
      <c r="E230" s="10">
        <v>13100</v>
      </c>
      <c r="F230" s="10">
        <v>200</v>
      </c>
      <c r="G230" s="10">
        <v>45</v>
      </c>
      <c r="H230" s="10">
        <v>302</v>
      </c>
      <c r="I230" s="10">
        <f t="shared" si="12"/>
        <v>13043</v>
      </c>
      <c r="J230" s="10">
        <v>1703</v>
      </c>
      <c r="K230" s="10">
        <f t="shared" si="13"/>
        <v>7840</v>
      </c>
      <c r="L230" s="10">
        <f t="shared" si="14"/>
        <v>1013</v>
      </c>
      <c r="M230" s="10">
        <f t="shared" si="15"/>
        <v>10327</v>
      </c>
    </row>
    <row r="231" spans="1:13" x14ac:dyDescent="0.15">
      <c r="A231" s="11">
        <v>229</v>
      </c>
      <c r="B231" s="9" t="s">
        <v>571</v>
      </c>
      <c r="C231" s="9" t="s">
        <v>244</v>
      </c>
      <c r="D231" s="9" t="str">
        <f>VLOOKUP(LEFT(B231,1),部门信息!$B$1:$C$6,2,0)</f>
        <v>市场</v>
      </c>
      <c r="E231" s="10">
        <v>10300</v>
      </c>
      <c r="F231" s="10">
        <v>600</v>
      </c>
      <c r="G231" s="10">
        <v>45</v>
      </c>
      <c r="H231" s="10">
        <v>167</v>
      </c>
      <c r="I231" s="10">
        <f t="shared" si="12"/>
        <v>10778</v>
      </c>
      <c r="J231" s="10">
        <v>1545</v>
      </c>
      <c r="K231" s="10">
        <f t="shared" si="13"/>
        <v>5733</v>
      </c>
      <c r="L231" s="10">
        <f t="shared" si="14"/>
        <v>591.60000000000014</v>
      </c>
      <c r="M231" s="10">
        <f t="shared" si="15"/>
        <v>8641.4</v>
      </c>
    </row>
    <row r="232" spans="1:13" x14ac:dyDescent="0.15">
      <c r="A232" s="11">
        <v>230</v>
      </c>
      <c r="B232" s="9" t="s">
        <v>592</v>
      </c>
      <c r="C232" s="9" t="s">
        <v>245</v>
      </c>
      <c r="D232" s="9" t="str">
        <f>VLOOKUP(LEFT(B232,1),部门信息!$B$1:$C$6,2,0)</f>
        <v>市场</v>
      </c>
      <c r="E232" s="10">
        <v>15100</v>
      </c>
      <c r="F232" s="10">
        <v>400</v>
      </c>
      <c r="G232" s="10">
        <v>225</v>
      </c>
      <c r="H232" s="10">
        <v>363</v>
      </c>
      <c r="I232" s="10">
        <f t="shared" si="12"/>
        <v>15362</v>
      </c>
      <c r="J232" s="10">
        <v>1812</v>
      </c>
      <c r="K232" s="10">
        <f t="shared" si="13"/>
        <v>10050</v>
      </c>
      <c r="L232" s="10">
        <f t="shared" si="14"/>
        <v>1507.5</v>
      </c>
      <c r="M232" s="10">
        <f t="shared" si="15"/>
        <v>12042.5</v>
      </c>
    </row>
    <row r="233" spans="1:13" x14ac:dyDescent="0.15">
      <c r="A233" s="11">
        <v>231</v>
      </c>
      <c r="B233" s="9" t="s">
        <v>440</v>
      </c>
      <c r="C233" s="9" t="s">
        <v>246</v>
      </c>
      <c r="D233" s="9" t="str">
        <f>VLOOKUP(LEFT(B233,1),部门信息!$B$1:$C$6,2,0)</f>
        <v>行政</v>
      </c>
      <c r="E233" s="10">
        <v>3100</v>
      </c>
      <c r="F233" s="10">
        <v>700</v>
      </c>
      <c r="G233" s="10">
        <v>360</v>
      </c>
      <c r="H233" s="10">
        <v>0</v>
      </c>
      <c r="I233" s="10">
        <f t="shared" si="12"/>
        <v>4160</v>
      </c>
      <c r="J233" s="10">
        <v>496</v>
      </c>
      <c r="K233" s="10">
        <f t="shared" si="13"/>
        <v>164</v>
      </c>
      <c r="L233" s="10">
        <f t="shared" si="14"/>
        <v>4.92</v>
      </c>
      <c r="M233" s="10">
        <f t="shared" si="15"/>
        <v>3659.08</v>
      </c>
    </row>
    <row r="234" spans="1:13" x14ac:dyDescent="0.15">
      <c r="A234" s="11">
        <v>232</v>
      </c>
      <c r="B234" s="9" t="s">
        <v>638</v>
      </c>
      <c r="C234" s="9" t="s">
        <v>247</v>
      </c>
      <c r="D234" s="9" t="str">
        <f>VLOOKUP(LEFT(B234,1),部门信息!$B$1:$C$6,2,0)</f>
        <v>市场</v>
      </c>
      <c r="E234" s="10">
        <v>8500</v>
      </c>
      <c r="F234" s="10">
        <v>100</v>
      </c>
      <c r="G234" s="10">
        <v>315</v>
      </c>
      <c r="H234" s="10">
        <v>444</v>
      </c>
      <c r="I234" s="10">
        <f t="shared" si="12"/>
        <v>8471</v>
      </c>
      <c r="J234" s="10">
        <v>1105</v>
      </c>
      <c r="K234" s="10">
        <f t="shared" si="13"/>
        <v>3866</v>
      </c>
      <c r="L234" s="10">
        <f t="shared" si="14"/>
        <v>281.60000000000002</v>
      </c>
      <c r="M234" s="10">
        <f t="shared" si="15"/>
        <v>7084.4</v>
      </c>
    </row>
    <row r="235" spans="1:13" x14ac:dyDescent="0.15">
      <c r="A235" s="11">
        <v>233</v>
      </c>
      <c r="B235" s="9" t="s">
        <v>719</v>
      </c>
      <c r="C235" s="9" t="s">
        <v>248</v>
      </c>
      <c r="D235" s="9" t="str">
        <f>VLOOKUP(LEFT(B235,1),部门信息!$B$1:$C$6,2,0)</f>
        <v>市场</v>
      </c>
      <c r="E235" s="10">
        <v>7000</v>
      </c>
      <c r="F235" s="10">
        <v>700</v>
      </c>
      <c r="G235" s="10">
        <v>180</v>
      </c>
      <c r="H235" s="10">
        <v>0</v>
      </c>
      <c r="I235" s="10">
        <f t="shared" si="12"/>
        <v>7880</v>
      </c>
      <c r="J235" s="10">
        <v>1120</v>
      </c>
      <c r="K235" s="10">
        <f t="shared" si="13"/>
        <v>3260</v>
      </c>
      <c r="L235" s="10">
        <f t="shared" si="14"/>
        <v>221</v>
      </c>
      <c r="M235" s="10">
        <f t="shared" si="15"/>
        <v>6539</v>
      </c>
    </row>
    <row r="236" spans="1:13" x14ac:dyDescent="0.15">
      <c r="A236" s="11">
        <v>234</v>
      </c>
      <c r="B236" s="9" t="s">
        <v>388</v>
      </c>
      <c r="C236" s="9" t="s">
        <v>249</v>
      </c>
      <c r="D236" s="9" t="str">
        <f>VLOOKUP(LEFT(B236,1),部门信息!$B$1:$C$6,2,0)</f>
        <v>行政</v>
      </c>
      <c r="E236" s="10">
        <v>12700</v>
      </c>
      <c r="F236" s="10">
        <v>900</v>
      </c>
      <c r="G236" s="10">
        <v>270</v>
      </c>
      <c r="H236" s="10">
        <v>398</v>
      </c>
      <c r="I236" s="10">
        <f t="shared" si="12"/>
        <v>13472</v>
      </c>
      <c r="J236" s="10">
        <v>1651</v>
      </c>
      <c r="K236" s="10">
        <f t="shared" si="13"/>
        <v>8321</v>
      </c>
      <c r="L236" s="10">
        <f t="shared" si="14"/>
        <v>1109.2</v>
      </c>
      <c r="M236" s="10">
        <f t="shared" si="15"/>
        <v>10711.8</v>
      </c>
    </row>
    <row r="237" spans="1:13" x14ac:dyDescent="0.15">
      <c r="A237" s="11">
        <v>235</v>
      </c>
      <c r="B237" s="9" t="s">
        <v>396</v>
      </c>
      <c r="C237" s="9" t="s">
        <v>250</v>
      </c>
      <c r="D237" s="9" t="str">
        <f>VLOOKUP(LEFT(B237,1),部门信息!$B$1:$C$6,2,0)</f>
        <v>行政</v>
      </c>
      <c r="E237" s="10">
        <v>6800</v>
      </c>
      <c r="F237" s="10">
        <v>600</v>
      </c>
      <c r="G237" s="10">
        <v>450</v>
      </c>
      <c r="H237" s="10">
        <v>401</v>
      </c>
      <c r="I237" s="10">
        <f t="shared" si="12"/>
        <v>7449</v>
      </c>
      <c r="J237" s="10">
        <v>1020</v>
      </c>
      <c r="K237" s="10">
        <f t="shared" si="13"/>
        <v>2929</v>
      </c>
      <c r="L237" s="10">
        <f t="shared" si="14"/>
        <v>187.90000000000003</v>
      </c>
      <c r="M237" s="10">
        <f t="shared" si="15"/>
        <v>6241.1</v>
      </c>
    </row>
    <row r="238" spans="1:13" x14ac:dyDescent="0.15">
      <c r="A238" s="11">
        <v>236</v>
      </c>
      <c r="B238" s="9" t="s">
        <v>635</v>
      </c>
      <c r="C238" s="9" t="s">
        <v>251</v>
      </c>
      <c r="D238" s="9" t="str">
        <f>VLOOKUP(LEFT(B238,1),部门信息!$B$1:$C$6,2,0)</f>
        <v>市场</v>
      </c>
      <c r="E238" s="10">
        <v>4200</v>
      </c>
      <c r="F238" s="10">
        <v>600</v>
      </c>
      <c r="G238" s="10">
        <v>405</v>
      </c>
      <c r="H238" s="10">
        <v>0</v>
      </c>
      <c r="I238" s="10">
        <f t="shared" si="12"/>
        <v>5205</v>
      </c>
      <c r="J238" s="10">
        <v>630</v>
      </c>
      <c r="K238" s="10">
        <f t="shared" si="13"/>
        <v>1075</v>
      </c>
      <c r="L238" s="10">
        <f t="shared" si="14"/>
        <v>32.25</v>
      </c>
      <c r="M238" s="10">
        <f t="shared" si="15"/>
        <v>4542.75</v>
      </c>
    </row>
    <row r="239" spans="1:13" x14ac:dyDescent="0.15">
      <c r="A239" s="11">
        <v>237</v>
      </c>
      <c r="B239" s="9" t="s">
        <v>599</v>
      </c>
      <c r="C239" s="9" t="s">
        <v>252</v>
      </c>
      <c r="D239" s="9" t="str">
        <f>VLOOKUP(LEFT(B239,1),部门信息!$B$1:$C$6,2,0)</f>
        <v>市场</v>
      </c>
      <c r="E239" s="10">
        <v>11100</v>
      </c>
      <c r="F239" s="10">
        <v>900</v>
      </c>
      <c r="G239" s="10">
        <v>315</v>
      </c>
      <c r="H239" s="10">
        <v>423</v>
      </c>
      <c r="I239" s="10">
        <f t="shared" si="12"/>
        <v>11892</v>
      </c>
      <c r="J239" s="10">
        <v>1776</v>
      </c>
      <c r="K239" s="10">
        <f t="shared" si="13"/>
        <v>6616</v>
      </c>
      <c r="L239" s="10">
        <f t="shared" si="14"/>
        <v>768.2</v>
      </c>
      <c r="M239" s="10">
        <f t="shared" si="15"/>
        <v>9347.7999999999993</v>
      </c>
    </row>
    <row r="240" spans="1:13" x14ac:dyDescent="0.15">
      <c r="A240" s="11">
        <v>238</v>
      </c>
      <c r="B240" s="9" t="s">
        <v>525</v>
      </c>
      <c r="C240" s="9" t="s">
        <v>253</v>
      </c>
      <c r="D240" s="9" t="str">
        <f>VLOOKUP(LEFT(B240,1),部门信息!$B$1:$C$6,2,0)</f>
        <v>管理</v>
      </c>
      <c r="E240" s="10">
        <v>12400</v>
      </c>
      <c r="F240" s="10">
        <v>200</v>
      </c>
      <c r="G240" s="10">
        <v>225</v>
      </c>
      <c r="H240" s="10">
        <v>148</v>
      </c>
      <c r="I240" s="10">
        <f t="shared" si="12"/>
        <v>12677</v>
      </c>
      <c r="J240" s="10">
        <v>1612</v>
      </c>
      <c r="K240" s="10">
        <f t="shared" si="13"/>
        <v>7565</v>
      </c>
      <c r="L240" s="10">
        <f t="shared" si="14"/>
        <v>958</v>
      </c>
      <c r="M240" s="10">
        <f t="shared" si="15"/>
        <v>10107</v>
      </c>
    </row>
    <row r="241" spans="1:13" x14ac:dyDescent="0.15">
      <c r="A241" s="11">
        <v>239</v>
      </c>
      <c r="B241" s="9" t="s">
        <v>515</v>
      </c>
      <c r="C241" s="9" t="s">
        <v>254</v>
      </c>
      <c r="D241" s="9" t="str">
        <f>VLOOKUP(LEFT(B241,1),部门信息!$B$1:$C$6,2,0)</f>
        <v>管理</v>
      </c>
      <c r="E241" s="10">
        <v>17600</v>
      </c>
      <c r="F241" s="10">
        <v>500</v>
      </c>
      <c r="G241" s="10">
        <v>45</v>
      </c>
      <c r="H241" s="10">
        <v>79</v>
      </c>
      <c r="I241" s="10">
        <f t="shared" si="12"/>
        <v>18066</v>
      </c>
      <c r="J241" s="10">
        <v>2464</v>
      </c>
      <c r="K241" s="10">
        <f t="shared" si="13"/>
        <v>12102</v>
      </c>
      <c r="L241" s="10">
        <f t="shared" si="14"/>
        <v>2020.5</v>
      </c>
      <c r="M241" s="10">
        <f t="shared" si="15"/>
        <v>13581.5</v>
      </c>
    </row>
    <row r="242" spans="1:13" x14ac:dyDescent="0.15">
      <c r="A242" s="11">
        <v>240</v>
      </c>
      <c r="B242" s="9" t="s">
        <v>602</v>
      </c>
      <c r="C242" s="9" t="s">
        <v>255</v>
      </c>
      <c r="D242" s="9" t="str">
        <f>VLOOKUP(LEFT(B242,1),部门信息!$B$1:$C$6,2,0)</f>
        <v>市场</v>
      </c>
      <c r="E242" s="10">
        <v>8400</v>
      </c>
      <c r="F242" s="10">
        <v>100</v>
      </c>
      <c r="G242" s="10">
        <v>405</v>
      </c>
      <c r="H242" s="10">
        <v>0</v>
      </c>
      <c r="I242" s="10">
        <f t="shared" si="12"/>
        <v>8905</v>
      </c>
      <c r="J242" s="10">
        <v>1008</v>
      </c>
      <c r="K242" s="10">
        <f t="shared" si="13"/>
        <v>4397</v>
      </c>
      <c r="L242" s="10">
        <f t="shared" si="14"/>
        <v>334.70000000000005</v>
      </c>
      <c r="M242" s="10">
        <f t="shared" si="15"/>
        <v>7562.3</v>
      </c>
    </row>
    <row r="243" spans="1:13" x14ac:dyDescent="0.15">
      <c r="A243" s="11">
        <v>241</v>
      </c>
      <c r="B243" s="9" t="s">
        <v>425</v>
      </c>
      <c r="C243" s="9" t="s">
        <v>256</v>
      </c>
      <c r="D243" s="9" t="str">
        <f>VLOOKUP(LEFT(B243,1),部门信息!$B$1:$C$6,2,0)</f>
        <v>行政</v>
      </c>
      <c r="E243" s="10">
        <v>13700</v>
      </c>
      <c r="F243" s="10">
        <v>600</v>
      </c>
      <c r="G243" s="10">
        <v>90</v>
      </c>
      <c r="H243" s="10">
        <v>0</v>
      </c>
      <c r="I243" s="10">
        <f t="shared" si="12"/>
        <v>14390</v>
      </c>
      <c r="J243" s="10">
        <v>1644</v>
      </c>
      <c r="K243" s="10">
        <f t="shared" si="13"/>
        <v>9246</v>
      </c>
      <c r="L243" s="10">
        <f t="shared" si="14"/>
        <v>1306.5</v>
      </c>
      <c r="M243" s="10">
        <f t="shared" si="15"/>
        <v>11439.5</v>
      </c>
    </row>
    <row r="244" spans="1:13" x14ac:dyDescent="0.15">
      <c r="A244" s="11">
        <v>242</v>
      </c>
      <c r="B244" s="9" t="s">
        <v>465</v>
      </c>
      <c r="C244" s="9" t="s">
        <v>257</v>
      </c>
      <c r="D244" s="9" t="str">
        <f>VLOOKUP(LEFT(B244,1),部门信息!$B$1:$C$6,2,0)</f>
        <v>人事</v>
      </c>
      <c r="E244" s="10">
        <v>15800</v>
      </c>
      <c r="F244" s="10">
        <v>1000</v>
      </c>
      <c r="G244" s="10">
        <v>270</v>
      </c>
      <c r="H244" s="10">
        <v>0</v>
      </c>
      <c r="I244" s="10">
        <f t="shared" si="12"/>
        <v>17070</v>
      </c>
      <c r="J244" s="10">
        <v>2054</v>
      </c>
      <c r="K244" s="10">
        <f t="shared" si="13"/>
        <v>11516</v>
      </c>
      <c r="L244" s="10">
        <f t="shared" si="14"/>
        <v>1874</v>
      </c>
      <c r="M244" s="10">
        <f t="shared" si="15"/>
        <v>13142</v>
      </c>
    </row>
    <row r="245" spans="1:13" x14ac:dyDescent="0.15">
      <c r="A245" s="11">
        <v>243</v>
      </c>
      <c r="B245" s="9" t="s">
        <v>631</v>
      </c>
      <c r="C245" s="9" t="s">
        <v>258</v>
      </c>
      <c r="D245" s="9" t="str">
        <f>VLOOKUP(LEFT(B245,1),部门信息!$B$1:$C$6,2,0)</f>
        <v>市场</v>
      </c>
      <c r="E245" s="10">
        <v>11400</v>
      </c>
      <c r="F245" s="10">
        <v>200</v>
      </c>
      <c r="G245" s="10">
        <v>90</v>
      </c>
      <c r="H245" s="10">
        <v>441</v>
      </c>
      <c r="I245" s="10">
        <f t="shared" si="12"/>
        <v>11249</v>
      </c>
      <c r="J245" s="10">
        <v>1710</v>
      </c>
      <c r="K245" s="10">
        <f t="shared" si="13"/>
        <v>6039</v>
      </c>
      <c r="L245" s="10">
        <f t="shared" si="14"/>
        <v>652.79999999999995</v>
      </c>
      <c r="M245" s="10">
        <f t="shared" si="15"/>
        <v>8886.2000000000007</v>
      </c>
    </row>
    <row r="246" spans="1:13" x14ac:dyDescent="0.15">
      <c r="A246" s="11">
        <v>244</v>
      </c>
      <c r="B246" s="9" t="s">
        <v>615</v>
      </c>
      <c r="C246" s="9" t="s">
        <v>259</v>
      </c>
      <c r="D246" s="9" t="str">
        <f>VLOOKUP(LEFT(B246,1),部门信息!$B$1:$C$6,2,0)</f>
        <v>市场</v>
      </c>
      <c r="E246" s="10">
        <v>15100</v>
      </c>
      <c r="F246" s="10">
        <v>300</v>
      </c>
      <c r="G246" s="10">
        <v>45</v>
      </c>
      <c r="H246" s="10">
        <v>134</v>
      </c>
      <c r="I246" s="10">
        <f t="shared" si="12"/>
        <v>15311</v>
      </c>
      <c r="J246" s="10">
        <v>1963</v>
      </c>
      <c r="K246" s="10">
        <f t="shared" si="13"/>
        <v>9848</v>
      </c>
      <c r="L246" s="10">
        <f t="shared" si="14"/>
        <v>1457</v>
      </c>
      <c r="M246" s="10">
        <f t="shared" si="15"/>
        <v>11891</v>
      </c>
    </row>
    <row r="247" spans="1:13" x14ac:dyDescent="0.15">
      <c r="A247" s="11">
        <v>245</v>
      </c>
      <c r="B247" s="9" t="s">
        <v>554</v>
      </c>
      <c r="C247" s="9" t="s">
        <v>260</v>
      </c>
      <c r="D247" s="9" t="str">
        <f>VLOOKUP(LEFT(B247,1),部门信息!$B$1:$C$6,2,0)</f>
        <v>研发</v>
      </c>
      <c r="E247" s="10">
        <v>15300</v>
      </c>
      <c r="F247" s="10">
        <v>100</v>
      </c>
      <c r="G247" s="10">
        <v>90</v>
      </c>
      <c r="H247" s="10">
        <v>105</v>
      </c>
      <c r="I247" s="10">
        <f t="shared" si="12"/>
        <v>15385</v>
      </c>
      <c r="J247" s="10">
        <v>2142</v>
      </c>
      <c r="K247" s="10">
        <f t="shared" si="13"/>
        <v>9743</v>
      </c>
      <c r="L247" s="10">
        <f t="shared" si="14"/>
        <v>1430.75</v>
      </c>
      <c r="M247" s="10">
        <f t="shared" si="15"/>
        <v>11812.25</v>
      </c>
    </row>
    <row r="248" spans="1:13" x14ac:dyDescent="0.15">
      <c r="A248" s="11">
        <v>246</v>
      </c>
      <c r="B248" s="9" t="s">
        <v>426</v>
      </c>
      <c r="C248" s="9" t="s">
        <v>261</v>
      </c>
      <c r="D248" s="9" t="str">
        <f>VLOOKUP(LEFT(B248,1),部门信息!$B$1:$C$6,2,0)</f>
        <v>行政</v>
      </c>
      <c r="E248" s="10">
        <v>12400</v>
      </c>
      <c r="F248" s="10">
        <v>300</v>
      </c>
      <c r="G248" s="10">
        <v>360</v>
      </c>
      <c r="H248" s="10">
        <v>30</v>
      </c>
      <c r="I248" s="10">
        <f t="shared" si="12"/>
        <v>13030</v>
      </c>
      <c r="J248" s="10">
        <v>1612</v>
      </c>
      <c r="K248" s="10">
        <f t="shared" si="13"/>
        <v>7918</v>
      </c>
      <c r="L248" s="10">
        <f t="shared" si="14"/>
        <v>1028.6000000000001</v>
      </c>
      <c r="M248" s="10">
        <f t="shared" si="15"/>
        <v>10389.4</v>
      </c>
    </row>
    <row r="249" spans="1:13" x14ac:dyDescent="0.15">
      <c r="A249" s="11">
        <v>247</v>
      </c>
      <c r="B249" s="9" t="s">
        <v>487</v>
      </c>
      <c r="C249" s="9" t="s">
        <v>262</v>
      </c>
      <c r="D249" s="9" t="str">
        <f>VLOOKUP(LEFT(B249,1),部门信息!$B$1:$C$6,2,0)</f>
        <v>人事</v>
      </c>
      <c r="E249" s="10">
        <v>5000</v>
      </c>
      <c r="F249" s="10">
        <v>900</v>
      </c>
      <c r="G249" s="10">
        <v>135</v>
      </c>
      <c r="H249" s="10">
        <v>78</v>
      </c>
      <c r="I249" s="10">
        <f t="shared" si="12"/>
        <v>5957</v>
      </c>
      <c r="J249" s="10">
        <v>650</v>
      </c>
      <c r="K249" s="10">
        <f t="shared" si="13"/>
        <v>1807</v>
      </c>
      <c r="L249" s="10">
        <f t="shared" si="14"/>
        <v>75.700000000000017</v>
      </c>
      <c r="M249" s="10">
        <f t="shared" si="15"/>
        <v>5231.3</v>
      </c>
    </row>
    <row r="250" spans="1:13" x14ac:dyDescent="0.15">
      <c r="A250" s="11">
        <v>248</v>
      </c>
      <c r="B250" s="9" t="s">
        <v>636</v>
      </c>
      <c r="C250" s="9" t="s">
        <v>263</v>
      </c>
      <c r="D250" s="9" t="str">
        <f>VLOOKUP(LEFT(B250,1),部门信息!$B$1:$C$6,2,0)</f>
        <v>市场</v>
      </c>
      <c r="E250" s="10">
        <v>18000</v>
      </c>
      <c r="F250" s="10">
        <v>300</v>
      </c>
      <c r="G250" s="10">
        <v>450</v>
      </c>
      <c r="H250" s="10">
        <v>227</v>
      </c>
      <c r="I250" s="10">
        <f t="shared" si="12"/>
        <v>18523</v>
      </c>
      <c r="J250" s="10">
        <v>2700</v>
      </c>
      <c r="K250" s="10">
        <f t="shared" si="13"/>
        <v>12323</v>
      </c>
      <c r="L250" s="10">
        <f t="shared" si="14"/>
        <v>2075.75</v>
      </c>
      <c r="M250" s="10">
        <f t="shared" si="15"/>
        <v>13747.25</v>
      </c>
    </row>
    <row r="251" spans="1:13" x14ac:dyDescent="0.15">
      <c r="A251" s="11">
        <v>249</v>
      </c>
      <c r="B251" s="9" t="s">
        <v>595</v>
      </c>
      <c r="C251" s="9" t="s">
        <v>264</v>
      </c>
      <c r="D251" s="9" t="str">
        <f>VLOOKUP(LEFT(B251,1),部门信息!$B$1:$C$6,2,0)</f>
        <v>市场</v>
      </c>
      <c r="E251" s="10">
        <v>11200</v>
      </c>
      <c r="F251" s="10">
        <v>200</v>
      </c>
      <c r="G251" s="10">
        <v>270</v>
      </c>
      <c r="H251" s="10">
        <v>119</v>
      </c>
      <c r="I251" s="10">
        <f t="shared" si="12"/>
        <v>11551</v>
      </c>
      <c r="J251" s="10">
        <v>1792</v>
      </c>
      <c r="K251" s="10">
        <f t="shared" si="13"/>
        <v>6259</v>
      </c>
      <c r="L251" s="10">
        <f t="shared" si="14"/>
        <v>696.80000000000018</v>
      </c>
      <c r="M251" s="10">
        <f t="shared" si="15"/>
        <v>9062.2000000000007</v>
      </c>
    </row>
    <row r="252" spans="1:13" x14ac:dyDescent="0.15">
      <c r="A252" s="11">
        <v>250</v>
      </c>
      <c r="B252" s="9" t="s">
        <v>411</v>
      </c>
      <c r="C252" s="9" t="s">
        <v>265</v>
      </c>
      <c r="D252" s="9" t="str">
        <f>VLOOKUP(LEFT(B252,1),部门信息!$B$1:$C$6,2,0)</f>
        <v>行政</v>
      </c>
      <c r="E252" s="10">
        <v>11700</v>
      </c>
      <c r="F252" s="10">
        <v>400</v>
      </c>
      <c r="G252" s="10">
        <v>135</v>
      </c>
      <c r="H252" s="10">
        <v>302</v>
      </c>
      <c r="I252" s="10">
        <f t="shared" si="12"/>
        <v>11933</v>
      </c>
      <c r="J252" s="10">
        <v>1755</v>
      </c>
      <c r="K252" s="10">
        <f t="shared" si="13"/>
        <v>6678</v>
      </c>
      <c r="L252" s="10">
        <f t="shared" si="14"/>
        <v>780.60000000000014</v>
      </c>
      <c r="M252" s="10">
        <f t="shared" si="15"/>
        <v>9397.4</v>
      </c>
    </row>
    <row r="253" spans="1:13" x14ac:dyDescent="0.15">
      <c r="A253" s="11">
        <v>251</v>
      </c>
      <c r="B253" s="9" t="s">
        <v>442</v>
      </c>
      <c r="C253" s="9" t="s">
        <v>266</v>
      </c>
      <c r="D253" s="9" t="str">
        <f>VLOOKUP(LEFT(B253,1),部门信息!$B$1:$C$6,2,0)</f>
        <v>行政</v>
      </c>
      <c r="E253" s="10">
        <v>6600</v>
      </c>
      <c r="F253" s="10">
        <v>800</v>
      </c>
      <c r="G253" s="10">
        <v>180</v>
      </c>
      <c r="H253" s="10">
        <v>374</v>
      </c>
      <c r="I253" s="10">
        <f t="shared" si="12"/>
        <v>7206</v>
      </c>
      <c r="J253" s="10">
        <v>858</v>
      </c>
      <c r="K253" s="10">
        <f t="shared" si="13"/>
        <v>2848</v>
      </c>
      <c r="L253" s="10">
        <f t="shared" si="14"/>
        <v>179.8</v>
      </c>
      <c r="M253" s="10">
        <f t="shared" si="15"/>
        <v>6168.2</v>
      </c>
    </row>
    <row r="254" spans="1:13" x14ac:dyDescent="0.15">
      <c r="A254" s="11">
        <v>252</v>
      </c>
      <c r="B254" s="9" t="s">
        <v>707</v>
      </c>
      <c r="C254" s="9" t="s">
        <v>267</v>
      </c>
      <c r="D254" s="9" t="str">
        <f>VLOOKUP(LEFT(B254,1),部门信息!$B$1:$C$6,2,0)</f>
        <v>市场</v>
      </c>
      <c r="E254" s="10">
        <v>9600</v>
      </c>
      <c r="F254" s="10">
        <v>300</v>
      </c>
      <c r="G254" s="10">
        <v>450</v>
      </c>
      <c r="H254" s="10">
        <v>0</v>
      </c>
      <c r="I254" s="10">
        <f t="shared" si="12"/>
        <v>10350</v>
      </c>
      <c r="J254" s="10">
        <v>1536</v>
      </c>
      <c r="K254" s="10">
        <f t="shared" si="13"/>
        <v>5314</v>
      </c>
      <c r="L254" s="10">
        <f t="shared" si="14"/>
        <v>507.79999999999995</v>
      </c>
      <c r="M254" s="10">
        <f t="shared" si="15"/>
        <v>8306.2000000000007</v>
      </c>
    </row>
    <row r="255" spans="1:13" x14ac:dyDescent="0.15">
      <c r="A255" s="11">
        <v>253</v>
      </c>
      <c r="B255" s="9" t="s">
        <v>678</v>
      </c>
      <c r="C255" s="9" t="s">
        <v>268</v>
      </c>
      <c r="D255" s="9" t="str">
        <f>VLOOKUP(LEFT(B255,1),部门信息!$B$1:$C$6,2,0)</f>
        <v>市场</v>
      </c>
      <c r="E255" s="10">
        <v>19800</v>
      </c>
      <c r="F255" s="10">
        <v>500</v>
      </c>
      <c r="G255" s="10">
        <v>270</v>
      </c>
      <c r="H255" s="10">
        <v>81</v>
      </c>
      <c r="I255" s="10">
        <f t="shared" si="12"/>
        <v>20489</v>
      </c>
      <c r="J255" s="10">
        <v>2772</v>
      </c>
      <c r="K255" s="10">
        <f t="shared" si="13"/>
        <v>14217</v>
      </c>
      <c r="L255" s="10">
        <f t="shared" si="14"/>
        <v>2549.25</v>
      </c>
      <c r="M255" s="10">
        <f t="shared" si="15"/>
        <v>15167.75</v>
      </c>
    </row>
    <row r="256" spans="1:13" x14ac:dyDescent="0.15">
      <c r="A256" s="11">
        <v>254</v>
      </c>
      <c r="B256" s="9" t="s">
        <v>441</v>
      </c>
      <c r="C256" s="9" t="s">
        <v>269</v>
      </c>
      <c r="D256" s="9" t="str">
        <f>VLOOKUP(LEFT(B256,1),部门信息!$B$1:$C$6,2,0)</f>
        <v>行政</v>
      </c>
      <c r="E256" s="10">
        <v>4400</v>
      </c>
      <c r="F256" s="10">
        <v>0</v>
      </c>
      <c r="G256" s="10">
        <v>315</v>
      </c>
      <c r="H256" s="10">
        <v>161</v>
      </c>
      <c r="I256" s="10">
        <f t="shared" si="12"/>
        <v>4554</v>
      </c>
      <c r="J256" s="10">
        <v>572</v>
      </c>
      <c r="K256" s="10">
        <f t="shared" si="13"/>
        <v>482</v>
      </c>
      <c r="L256" s="10">
        <f t="shared" si="14"/>
        <v>14.459999999999999</v>
      </c>
      <c r="M256" s="10">
        <f t="shared" si="15"/>
        <v>3967.54</v>
      </c>
    </row>
    <row r="257" spans="1:13" x14ac:dyDescent="0.15">
      <c r="A257" s="11">
        <v>255</v>
      </c>
      <c r="B257" s="9" t="s">
        <v>559</v>
      </c>
      <c r="C257" s="9" t="s">
        <v>270</v>
      </c>
      <c r="D257" s="9" t="str">
        <f>VLOOKUP(LEFT(B257,1),部门信息!$B$1:$C$6,2,0)</f>
        <v>研发</v>
      </c>
      <c r="E257" s="10">
        <v>5100</v>
      </c>
      <c r="F257" s="10">
        <v>700</v>
      </c>
      <c r="G257" s="10">
        <v>225</v>
      </c>
      <c r="H257" s="10">
        <v>0</v>
      </c>
      <c r="I257" s="10">
        <f t="shared" si="12"/>
        <v>6025</v>
      </c>
      <c r="J257" s="10">
        <v>765</v>
      </c>
      <c r="K257" s="10">
        <f t="shared" si="13"/>
        <v>1760</v>
      </c>
      <c r="L257" s="10">
        <f t="shared" si="14"/>
        <v>71</v>
      </c>
      <c r="M257" s="10">
        <f t="shared" si="15"/>
        <v>5189</v>
      </c>
    </row>
    <row r="258" spans="1:13" x14ac:dyDescent="0.15">
      <c r="A258" s="11">
        <v>256</v>
      </c>
      <c r="B258" s="9" t="s">
        <v>683</v>
      </c>
      <c r="C258" s="9" t="s">
        <v>271</v>
      </c>
      <c r="D258" s="9" t="str">
        <f>VLOOKUP(LEFT(B258,1),部门信息!$B$1:$C$6,2,0)</f>
        <v>市场</v>
      </c>
      <c r="E258" s="10">
        <v>12100</v>
      </c>
      <c r="F258" s="10">
        <v>700</v>
      </c>
      <c r="G258" s="10">
        <v>405</v>
      </c>
      <c r="H258" s="10">
        <v>0</v>
      </c>
      <c r="I258" s="10">
        <f t="shared" si="12"/>
        <v>13205</v>
      </c>
      <c r="J258" s="10">
        <v>1694</v>
      </c>
      <c r="K258" s="10">
        <f t="shared" si="13"/>
        <v>8011</v>
      </c>
      <c r="L258" s="10">
        <f t="shared" si="14"/>
        <v>1047.2</v>
      </c>
      <c r="M258" s="10">
        <f t="shared" si="15"/>
        <v>10463.799999999999</v>
      </c>
    </row>
    <row r="259" spans="1:13" x14ac:dyDescent="0.15">
      <c r="A259" s="11">
        <v>257</v>
      </c>
      <c r="B259" s="9" t="s">
        <v>687</v>
      </c>
      <c r="C259" s="9" t="s">
        <v>272</v>
      </c>
      <c r="D259" s="9" t="str">
        <f>VLOOKUP(LEFT(B259,1),部门信息!$B$1:$C$6,2,0)</f>
        <v>市场</v>
      </c>
      <c r="E259" s="10">
        <v>14600</v>
      </c>
      <c r="F259" s="10">
        <v>500</v>
      </c>
      <c r="G259" s="10">
        <v>405</v>
      </c>
      <c r="H259" s="10">
        <v>288</v>
      </c>
      <c r="I259" s="10">
        <f t="shared" ref="I259:I322" si="16">E259+F259+G259-H259</f>
        <v>15217</v>
      </c>
      <c r="J259" s="10">
        <v>2336</v>
      </c>
      <c r="K259" s="10">
        <f t="shared" si="13"/>
        <v>9381</v>
      </c>
      <c r="L259" s="10">
        <f t="shared" si="14"/>
        <v>1340.25</v>
      </c>
      <c r="M259" s="10">
        <f t="shared" si="15"/>
        <v>11540.75</v>
      </c>
    </row>
    <row r="260" spans="1:13" x14ac:dyDescent="0.15">
      <c r="A260" s="11">
        <v>258</v>
      </c>
      <c r="B260" s="9" t="s">
        <v>438</v>
      </c>
      <c r="C260" s="9" t="s">
        <v>3</v>
      </c>
      <c r="D260" s="9" t="str">
        <f>VLOOKUP(LEFT(B260,1),部门信息!$B$1:$C$6,2,0)</f>
        <v>行政</v>
      </c>
      <c r="E260" s="10">
        <v>16000</v>
      </c>
      <c r="F260" s="10">
        <v>100</v>
      </c>
      <c r="G260" s="10">
        <v>405</v>
      </c>
      <c r="H260" s="10">
        <v>62</v>
      </c>
      <c r="I260" s="10">
        <f t="shared" si="16"/>
        <v>16443</v>
      </c>
      <c r="J260" s="10">
        <v>1920</v>
      </c>
      <c r="K260" s="10">
        <f t="shared" ref="K260:K323" si="17">IF(I260-J260-3500&gt;0,I260-J260-3500,0)</f>
        <v>11023</v>
      </c>
      <c r="L260" s="10">
        <f t="shared" ref="L260:L323" si="18">IF(K260&gt;80000,K260*0.45-13505,IF(K260&gt;55000,K260*0.35-5505,IF(K260&gt;35000,K260*0.3-2755,IF(K260&gt;9000,K260*0.25-1005,IF(K260&gt;4500,K260*0.2-555,IF(K260&gt;1500,K260*0.1-105,IF(K260&gt;0,K260*0.03,0)))))))</f>
        <v>1750.75</v>
      </c>
      <c r="M260" s="10">
        <f t="shared" ref="M260:M323" si="19">I260-J260-L260</f>
        <v>12772.25</v>
      </c>
    </row>
    <row r="261" spans="1:13" x14ac:dyDescent="0.15">
      <c r="A261" s="11">
        <v>259</v>
      </c>
      <c r="B261" s="9" t="s">
        <v>516</v>
      </c>
      <c r="C261" s="9" t="s">
        <v>273</v>
      </c>
      <c r="D261" s="9" t="str">
        <f>VLOOKUP(LEFT(B261,1),部门信息!$B$1:$C$6,2,0)</f>
        <v>管理</v>
      </c>
      <c r="E261" s="10">
        <v>7000</v>
      </c>
      <c r="F261" s="10">
        <v>500</v>
      </c>
      <c r="G261" s="10">
        <v>360</v>
      </c>
      <c r="H261" s="10">
        <v>197</v>
      </c>
      <c r="I261" s="10">
        <f t="shared" si="16"/>
        <v>7663</v>
      </c>
      <c r="J261" s="10">
        <v>1120</v>
      </c>
      <c r="K261" s="10">
        <f t="shared" si="17"/>
        <v>3043</v>
      </c>
      <c r="L261" s="10">
        <f t="shared" si="18"/>
        <v>199.3</v>
      </c>
      <c r="M261" s="10">
        <f t="shared" si="19"/>
        <v>6343.7</v>
      </c>
    </row>
    <row r="262" spans="1:13" x14ac:dyDescent="0.15">
      <c r="A262" s="11">
        <v>260</v>
      </c>
      <c r="B262" s="9" t="s">
        <v>511</v>
      </c>
      <c r="C262" s="9" t="s">
        <v>274</v>
      </c>
      <c r="D262" s="9" t="str">
        <f>VLOOKUP(LEFT(B262,1),部门信息!$B$1:$C$6,2,0)</f>
        <v>管理</v>
      </c>
      <c r="E262" s="10">
        <v>6700</v>
      </c>
      <c r="F262" s="10">
        <v>700</v>
      </c>
      <c r="G262" s="10">
        <v>450</v>
      </c>
      <c r="H262" s="10">
        <v>144</v>
      </c>
      <c r="I262" s="10">
        <f t="shared" si="16"/>
        <v>7706</v>
      </c>
      <c r="J262" s="10">
        <v>871</v>
      </c>
      <c r="K262" s="10">
        <f t="shared" si="17"/>
        <v>3335</v>
      </c>
      <c r="L262" s="10">
        <f t="shared" si="18"/>
        <v>228.5</v>
      </c>
      <c r="M262" s="10">
        <f t="shared" si="19"/>
        <v>6606.5</v>
      </c>
    </row>
    <row r="263" spans="1:13" x14ac:dyDescent="0.15">
      <c r="A263" s="11">
        <v>261</v>
      </c>
      <c r="B263" s="9" t="s">
        <v>538</v>
      </c>
      <c r="C263" s="9" t="s">
        <v>275</v>
      </c>
      <c r="D263" s="9" t="str">
        <f>VLOOKUP(LEFT(B263,1),部门信息!$B$1:$C$6,2,0)</f>
        <v>研发</v>
      </c>
      <c r="E263" s="10">
        <v>17000</v>
      </c>
      <c r="F263" s="10">
        <v>700</v>
      </c>
      <c r="G263" s="10">
        <v>180</v>
      </c>
      <c r="H263" s="10">
        <v>129</v>
      </c>
      <c r="I263" s="10">
        <f t="shared" si="16"/>
        <v>17751</v>
      </c>
      <c r="J263" s="10">
        <v>2720</v>
      </c>
      <c r="K263" s="10">
        <f t="shared" si="17"/>
        <v>11531</v>
      </c>
      <c r="L263" s="10">
        <f t="shared" si="18"/>
        <v>1877.75</v>
      </c>
      <c r="M263" s="10">
        <f t="shared" si="19"/>
        <v>13153.25</v>
      </c>
    </row>
    <row r="264" spans="1:13" x14ac:dyDescent="0.15">
      <c r="A264" s="11">
        <v>262</v>
      </c>
      <c r="B264" s="9" t="s">
        <v>480</v>
      </c>
      <c r="C264" s="9" t="s">
        <v>276</v>
      </c>
      <c r="D264" s="9" t="str">
        <f>VLOOKUP(LEFT(B264,1),部门信息!$B$1:$C$6,2,0)</f>
        <v>人事</v>
      </c>
      <c r="E264" s="10">
        <v>8900</v>
      </c>
      <c r="F264" s="10">
        <v>100</v>
      </c>
      <c r="G264" s="10">
        <v>135</v>
      </c>
      <c r="H264" s="10">
        <v>63</v>
      </c>
      <c r="I264" s="10">
        <f t="shared" si="16"/>
        <v>9072</v>
      </c>
      <c r="J264" s="10">
        <v>1246</v>
      </c>
      <c r="K264" s="10">
        <f t="shared" si="17"/>
        <v>4326</v>
      </c>
      <c r="L264" s="10">
        <f t="shared" si="18"/>
        <v>327.60000000000002</v>
      </c>
      <c r="M264" s="10">
        <f t="shared" si="19"/>
        <v>7498.4</v>
      </c>
    </row>
    <row r="265" spans="1:13" x14ac:dyDescent="0.15">
      <c r="A265" s="11">
        <v>263</v>
      </c>
      <c r="B265" s="9" t="s">
        <v>408</v>
      </c>
      <c r="C265" s="9" t="s">
        <v>277</v>
      </c>
      <c r="D265" s="9" t="str">
        <f>VLOOKUP(LEFT(B265,1),部门信息!$B$1:$C$6,2,0)</f>
        <v>行政</v>
      </c>
      <c r="E265" s="10">
        <v>9500</v>
      </c>
      <c r="F265" s="10">
        <v>100</v>
      </c>
      <c r="G265" s="10">
        <v>225</v>
      </c>
      <c r="H265" s="10">
        <v>0</v>
      </c>
      <c r="I265" s="10">
        <f t="shared" si="16"/>
        <v>9825</v>
      </c>
      <c r="J265" s="10">
        <v>1520</v>
      </c>
      <c r="K265" s="10">
        <f t="shared" si="17"/>
        <v>4805</v>
      </c>
      <c r="L265" s="10">
        <f t="shared" si="18"/>
        <v>406</v>
      </c>
      <c r="M265" s="10">
        <f t="shared" si="19"/>
        <v>7899</v>
      </c>
    </row>
    <row r="266" spans="1:13" x14ac:dyDescent="0.15">
      <c r="A266" s="11">
        <v>264</v>
      </c>
      <c r="B266" s="9" t="s">
        <v>685</v>
      </c>
      <c r="C266" s="9" t="s">
        <v>278</v>
      </c>
      <c r="D266" s="9" t="str">
        <f>VLOOKUP(LEFT(B266,1),部门信息!$B$1:$C$6,2,0)</f>
        <v>市场</v>
      </c>
      <c r="E266" s="10">
        <v>5900</v>
      </c>
      <c r="F266" s="10">
        <v>400</v>
      </c>
      <c r="G266" s="10">
        <v>270</v>
      </c>
      <c r="H266" s="10">
        <v>306</v>
      </c>
      <c r="I266" s="10">
        <f t="shared" si="16"/>
        <v>6264</v>
      </c>
      <c r="J266" s="10">
        <v>708</v>
      </c>
      <c r="K266" s="10">
        <f t="shared" si="17"/>
        <v>2056</v>
      </c>
      <c r="L266" s="10">
        <f t="shared" si="18"/>
        <v>100.60000000000002</v>
      </c>
      <c r="M266" s="10">
        <f t="shared" si="19"/>
        <v>5455.4</v>
      </c>
    </row>
    <row r="267" spans="1:13" x14ac:dyDescent="0.15">
      <c r="A267" s="11">
        <v>265</v>
      </c>
      <c r="B267" s="9" t="s">
        <v>420</v>
      </c>
      <c r="C267" s="9" t="s">
        <v>279</v>
      </c>
      <c r="D267" s="9" t="str">
        <f>VLOOKUP(LEFT(B267,1),部门信息!$B$1:$C$6,2,0)</f>
        <v>行政</v>
      </c>
      <c r="E267" s="10">
        <v>11500</v>
      </c>
      <c r="F267" s="10">
        <v>900</v>
      </c>
      <c r="G267" s="10">
        <v>270</v>
      </c>
      <c r="H267" s="10">
        <v>0</v>
      </c>
      <c r="I267" s="10">
        <f t="shared" si="16"/>
        <v>12670</v>
      </c>
      <c r="J267" s="10">
        <v>1725</v>
      </c>
      <c r="K267" s="10">
        <f t="shared" si="17"/>
        <v>7445</v>
      </c>
      <c r="L267" s="10">
        <f t="shared" si="18"/>
        <v>934</v>
      </c>
      <c r="M267" s="10">
        <f t="shared" si="19"/>
        <v>10011</v>
      </c>
    </row>
    <row r="268" spans="1:13" x14ac:dyDescent="0.15">
      <c r="A268" s="11">
        <v>266</v>
      </c>
      <c r="B268" s="9" t="s">
        <v>567</v>
      </c>
      <c r="C268" s="9" t="s">
        <v>280</v>
      </c>
      <c r="D268" s="9" t="str">
        <f>VLOOKUP(LEFT(B268,1),部门信息!$B$1:$C$6,2,0)</f>
        <v>研发</v>
      </c>
      <c r="E268" s="10">
        <v>5900</v>
      </c>
      <c r="F268" s="10">
        <v>600</v>
      </c>
      <c r="G268" s="10">
        <v>315</v>
      </c>
      <c r="H268" s="10">
        <v>238</v>
      </c>
      <c r="I268" s="10">
        <f t="shared" si="16"/>
        <v>6577</v>
      </c>
      <c r="J268" s="10">
        <v>944</v>
      </c>
      <c r="K268" s="10">
        <f t="shared" si="17"/>
        <v>2133</v>
      </c>
      <c r="L268" s="10">
        <f t="shared" si="18"/>
        <v>108.30000000000001</v>
      </c>
      <c r="M268" s="10">
        <f t="shared" si="19"/>
        <v>5524.7</v>
      </c>
    </row>
    <row r="269" spans="1:13" x14ac:dyDescent="0.15">
      <c r="A269" s="11">
        <v>267</v>
      </c>
      <c r="B269" s="9" t="s">
        <v>580</v>
      </c>
      <c r="C269" s="9" t="s">
        <v>281</v>
      </c>
      <c r="D269" s="9" t="str">
        <f>VLOOKUP(LEFT(B269,1),部门信息!$B$1:$C$6,2,0)</f>
        <v>市场</v>
      </c>
      <c r="E269" s="10">
        <v>5200</v>
      </c>
      <c r="F269" s="10">
        <v>300</v>
      </c>
      <c r="G269" s="10">
        <v>405</v>
      </c>
      <c r="H269" s="10">
        <v>0</v>
      </c>
      <c r="I269" s="10">
        <f t="shared" si="16"/>
        <v>5905</v>
      </c>
      <c r="J269" s="10">
        <v>728</v>
      </c>
      <c r="K269" s="10">
        <f t="shared" si="17"/>
        <v>1677</v>
      </c>
      <c r="L269" s="10">
        <f t="shared" si="18"/>
        <v>62.700000000000017</v>
      </c>
      <c r="M269" s="10">
        <f t="shared" si="19"/>
        <v>5114.3</v>
      </c>
    </row>
    <row r="270" spans="1:13" x14ac:dyDescent="0.15">
      <c r="A270" s="11">
        <v>268</v>
      </c>
      <c r="B270" s="9" t="s">
        <v>536</v>
      </c>
      <c r="C270" s="9" t="s">
        <v>282</v>
      </c>
      <c r="D270" s="9" t="str">
        <f>VLOOKUP(LEFT(B270,1),部门信息!$B$1:$C$6,2,0)</f>
        <v>研发</v>
      </c>
      <c r="E270" s="10">
        <v>14100</v>
      </c>
      <c r="F270" s="10">
        <v>800</v>
      </c>
      <c r="G270" s="10">
        <v>405</v>
      </c>
      <c r="H270" s="10">
        <v>309</v>
      </c>
      <c r="I270" s="10">
        <f t="shared" si="16"/>
        <v>14996</v>
      </c>
      <c r="J270" s="10">
        <v>2115</v>
      </c>
      <c r="K270" s="10">
        <f t="shared" si="17"/>
        <v>9381</v>
      </c>
      <c r="L270" s="10">
        <f t="shared" si="18"/>
        <v>1340.25</v>
      </c>
      <c r="M270" s="10">
        <f t="shared" si="19"/>
        <v>11540.75</v>
      </c>
    </row>
    <row r="271" spans="1:13" x14ac:dyDescent="0.15">
      <c r="A271" s="11">
        <v>269</v>
      </c>
      <c r="B271" s="9" t="s">
        <v>600</v>
      </c>
      <c r="C271" s="9" t="s">
        <v>283</v>
      </c>
      <c r="D271" s="9" t="str">
        <f>VLOOKUP(LEFT(B271,1),部门信息!$B$1:$C$6,2,0)</f>
        <v>市场</v>
      </c>
      <c r="E271" s="10">
        <v>18100</v>
      </c>
      <c r="F271" s="10">
        <v>800</v>
      </c>
      <c r="G271" s="10">
        <v>135</v>
      </c>
      <c r="H271" s="10">
        <v>319</v>
      </c>
      <c r="I271" s="10">
        <f t="shared" si="16"/>
        <v>18716</v>
      </c>
      <c r="J271" s="10">
        <v>2534</v>
      </c>
      <c r="K271" s="10">
        <f t="shared" si="17"/>
        <v>12682</v>
      </c>
      <c r="L271" s="10">
        <f t="shared" si="18"/>
        <v>2165.5</v>
      </c>
      <c r="M271" s="10">
        <f t="shared" si="19"/>
        <v>14016.5</v>
      </c>
    </row>
    <row r="272" spans="1:13" x14ac:dyDescent="0.15">
      <c r="A272" s="11">
        <v>270</v>
      </c>
      <c r="B272" s="9" t="s">
        <v>659</v>
      </c>
      <c r="C272" s="9" t="s">
        <v>284</v>
      </c>
      <c r="D272" s="9" t="str">
        <f>VLOOKUP(LEFT(B272,1),部门信息!$B$1:$C$6,2,0)</f>
        <v>市场</v>
      </c>
      <c r="E272" s="10">
        <v>7700</v>
      </c>
      <c r="F272" s="10">
        <v>1000</v>
      </c>
      <c r="G272" s="10">
        <v>315</v>
      </c>
      <c r="H272" s="10">
        <v>95</v>
      </c>
      <c r="I272" s="10">
        <f t="shared" si="16"/>
        <v>8920</v>
      </c>
      <c r="J272" s="10">
        <v>924</v>
      </c>
      <c r="K272" s="10">
        <f t="shared" si="17"/>
        <v>4496</v>
      </c>
      <c r="L272" s="10">
        <f t="shared" si="18"/>
        <v>344.6</v>
      </c>
      <c r="M272" s="10">
        <f t="shared" si="19"/>
        <v>7651.4</v>
      </c>
    </row>
    <row r="273" spans="1:13" x14ac:dyDescent="0.15">
      <c r="A273" s="11">
        <v>271</v>
      </c>
      <c r="B273" s="9" t="s">
        <v>544</v>
      </c>
      <c r="C273" s="9" t="s">
        <v>25</v>
      </c>
      <c r="D273" s="9" t="str">
        <f>VLOOKUP(LEFT(B273,1),部门信息!$B$1:$C$6,2,0)</f>
        <v>研发</v>
      </c>
      <c r="E273" s="10">
        <v>5200</v>
      </c>
      <c r="F273" s="10">
        <v>600</v>
      </c>
      <c r="G273" s="10">
        <v>45</v>
      </c>
      <c r="H273" s="10">
        <v>0</v>
      </c>
      <c r="I273" s="10">
        <f t="shared" si="16"/>
        <v>5845</v>
      </c>
      <c r="J273" s="10">
        <v>624</v>
      </c>
      <c r="K273" s="10">
        <f t="shared" si="17"/>
        <v>1721</v>
      </c>
      <c r="L273" s="10">
        <f t="shared" si="18"/>
        <v>67.100000000000023</v>
      </c>
      <c r="M273" s="10">
        <f t="shared" si="19"/>
        <v>5153.8999999999996</v>
      </c>
    </row>
    <row r="274" spans="1:13" x14ac:dyDescent="0.15">
      <c r="A274" s="11">
        <v>272</v>
      </c>
      <c r="B274" s="9" t="s">
        <v>406</v>
      </c>
      <c r="C274" s="9" t="s">
        <v>285</v>
      </c>
      <c r="D274" s="9" t="str">
        <f>VLOOKUP(LEFT(B274,1),部门信息!$B$1:$C$6,2,0)</f>
        <v>行政</v>
      </c>
      <c r="E274" s="10">
        <v>15600</v>
      </c>
      <c r="F274" s="10">
        <v>100</v>
      </c>
      <c r="G274" s="10">
        <v>315</v>
      </c>
      <c r="H274" s="10">
        <v>0</v>
      </c>
      <c r="I274" s="10">
        <f t="shared" si="16"/>
        <v>16015</v>
      </c>
      <c r="J274" s="10">
        <v>2496</v>
      </c>
      <c r="K274" s="10">
        <f t="shared" si="17"/>
        <v>10019</v>
      </c>
      <c r="L274" s="10">
        <f t="shared" si="18"/>
        <v>1499.75</v>
      </c>
      <c r="M274" s="10">
        <f t="shared" si="19"/>
        <v>12019.25</v>
      </c>
    </row>
    <row r="275" spans="1:13" x14ac:dyDescent="0.15">
      <c r="A275" s="11">
        <v>273</v>
      </c>
      <c r="B275" s="9" t="s">
        <v>522</v>
      </c>
      <c r="C275" s="9" t="s">
        <v>286</v>
      </c>
      <c r="D275" s="9" t="str">
        <f>VLOOKUP(LEFT(B275,1),部门信息!$B$1:$C$6,2,0)</f>
        <v>管理</v>
      </c>
      <c r="E275" s="10">
        <v>7200</v>
      </c>
      <c r="F275" s="10">
        <v>500</v>
      </c>
      <c r="G275" s="10">
        <v>45</v>
      </c>
      <c r="H275" s="10">
        <v>0</v>
      </c>
      <c r="I275" s="10">
        <f t="shared" si="16"/>
        <v>7745</v>
      </c>
      <c r="J275" s="10">
        <v>1152</v>
      </c>
      <c r="K275" s="10">
        <f t="shared" si="17"/>
        <v>3093</v>
      </c>
      <c r="L275" s="10">
        <f t="shared" si="18"/>
        <v>204.3</v>
      </c>
      <c r="M275" s="10">
        <f t="shared" si="19"/>
        <v>6388.7</v>
      </c>
    </row>
    <row r="276" spans="1:13" x14ac:dyDescent="0.15">
      <c r="A276" s="11">
        <v>274</v>
      </c>
      <c r="B276" s="9" t="s">
        <v>681</v>
      </c>
      <c r="C276" s="9" t="s">
        <v>287</v>
      </c>
      <c r="D276" s="9" t="str">
        <f>VLOOKUP(LEFT(B276,1),部门信息!$B$1:$C$6,2,0)</f>
        <v>市场</v>
      </c>
      <c r="E276" s="10">
        <v>11000</v>
      </c>
      <c r="F276" s="10">
        <v>0</v>
      </c>
      <c r="G276" s="10">
        <v>450</v>
      </c>
      <c r="H276" s="10">
        <v>116</v>
      </c>
      <c r="I276" s="10">
        <f t="shared" si="16"/>
        <v>11334</v>
      </c>
      <c r="J276" s="10">
        <v>1540</v>
      </c>
      <c r="K276" s="10">
        <f t="shared" si="17"/>
        <v>6294</v>
      </c>
      <c r="L276" s="10">
        <f t="shared" si="18"/>
        <v>703.80000000000018</v>
      </c>
      <c r="M276" s="10">
        <f t="shared" si="19"/>
        <v>9090.2000000000007</v>
      </c>
    </row>
    <row r="277" spans="1:13" x14ac:dyDescent="0.15">
      <c r="A277" s="11">
        <v>275</v>
      </c>
      <c r="B277" s="9" t="s">
        <v>488</v>
      </c>
      <c r="C277" s="9" t="s">
        <v>288</v>
      </c>
      <c r="D277" s="9" t="str">
        <f>VLOOKUP(LEFT(B277,1),部门信息!$B$1:$C$6,2,0)</f>
        <v>人事</v>
      </c>
      <c r="E277" s="10">
        <v>13800</v>
      </c>
      <c r="F277" s="10">
        <v>1000</v>
      </c>
      <c r="G277" s="10">
        <v>270</v>
      </c>
      <c r="H277" s="10">
        <v>0</v>
      </c>
      <c r="I277" s="10">
        <f t="shared" si="16"/>
        <v>15070</v>
      </c>
      <c r="J277" s="10">
        <v>2070</v>
      </c>
      <c r="K277" s="10">
        <f t="shared" si="17"/>
        <v>9500</v>
      </c>
      <c r="L277" s="10">
        <f t="shared" si="18"/>
        <v>1370</v>
      </c>
      <c r="M277" s="10">
        <f t="shared" si="19"/>
        <v>11630</v>
      </c>
    </row>
    <row r="278" spans="1:13" x14ac:dyDescent="0.15">
      <c r="A278" s="11">
        <v>276</v>
      </c>
      <c r="B278" s="9" t="s">
        <v>568</v>
      </c>
      <c r="C278" s="9" t="s">
        <v>289</v>
      </c>
      <c r="D278" s="9" t="str">
        <f>VLOOKUP(LEFT(B278,1),部门信息!$B$1:$C$6,2,0)</f>
        <v>研发</v>
      </c>
      <c r="E278" s="10">
        <v>5100</v>
      </c>
      <c r="F278" s="10">
        <v>900</v>
      </c>
      <c r="G278" s="10">
        <v>360</v>
      </c>
      <c r="H278" s="10">
        <v>0</v>
      </c>
      <c r="I278" s="10">
        <f t="shared" si="16"/>
        <v>6360</v>
      </c>
      <c r="J278" s="10">
        <v>612</v>
      </c>
      <c r="K278" s="10">
        <f t="shared" si="17"/>
        <v>2248</v>
      </c>
      <c r="L278" s="10">
        <f t="shared" si="18"/>
        <v>119.80000000000001</v>
      </c>
      <c r="M278" s="10">
        <f t="shared" si="19"/>
        <v>5628.2</v>
      </c>
    </row>
    <row r="279" spans="1:13" x14ac:dyDescent="0.15">
      <c r="A279" s="11">
        <v>277</v>
      </c>
      <c r="B279" s="9" t="s">
        <v>373</v>
      </c>
      <c r="C279" s="9" t="s">
        <v>290</v>
      </c>
      <c r="D279" s="9" t="str">
        <f>VLOOKUP(LEFT(B279,1),部门信息!$B$1:$C$6,2,0)</f>
        <v>行政</v>
      </c>
      <c r="E279" s="10">
        <v>12800</v>
      </c>
      <c r="F279" s="10">
        <v>100</v>
      </c>
      <c r="G279" s="10">
        <v>135</v>
      </c>
      <c r="H279" s="10">
        <v>0</v>
      </c>
      <c r="I279" s="10">
        <f t="shared" si="16"/>
        <v>13035</v>
      </c>
      <c r="J279" s="10">
        <v>1536</v>
      </c>
      <c r="K279" s="10">
        <f t="shared" si="17"/>
        <v>7999</v>
      </c>
      <c r="L279" s="10">
        <f t="shared" si="18"/>
        <v>1044.8000000000002</v>
      </c>
      <c r="M279" s="10">
        <f t="shared" si="19"/>
        <v>10454.200000000001</v>
      </c>
    </row>
    <row r="280" spans="1:13" x14ac:dyDescent="0.15">
      <c r="A280" s="11">
        <v>278</v>
      </c>
      <c r="B280" s="9" t="s">
        <v>692</v>
      </c>
      <c r="C280" s="9" t="s">
        <v>291</v>
      </c>
      <c r="D280" s="9" t="str">
        <f>VLOOKUP(LEFT(B280,1),部门信息!$B$1:$C$6,2,0)</f>
        <v>市场</v>
      </c>
      <c r="E280" s="10">
        <v>3500</v>
      </c>
      <c r="F280" s="10">
        <v>300</v>
      </c>
      <c r="G280" s="10">
        <v>90</v>
      </c>
      <c r="H280" s="10">
        <v>0</v>
      </c>
      <c r="I280" s="10">
        <f t="shared" si="16"/>
        <v>3890</v>
      </c>
      <c r="J280" s="10">
        <v>455</v>
      </c>
      <c r="K280" s="10">
        <f t="shared" si="17"/>
        <v>0</v>
      </c>
      <c r="L280" s="10">
        <f t="shared" si="18"/>
        <v>0</v>
      </c>
      <c r="M280" s="10">
        <f t="shared" si="19"/>
        <v>3435</v>
      </c>
    </row>
    <row r="281" spans="1:13" x14ac:dyDescent="0.15">
      <c r="A281" s="11">
        <v>279</v>
      </c>
      <c r="B281" s="9" t="s">
        <v>503</v>
      </c>
      <c r="C281" s="9" t="s">
        <v>292</v>
      </c>
      <c r="D281" s="9" t="str">
        <f>VLOOKUP(LEFT(B281,1),部门信息!$B$1:$C$6,2,0)</f>
        <v>管理</v>
      </c>
      <c r="E281" s="10">
        <v>17300</v>
      </c>
      <c r="F281" s="10">
        <v>900</v>
      </c>
      <c r="G281" s="10">
        <v>405</v>
      </c>
      <c r="H281" s="10">
        <v>479</v>
      </c>
      <c r="I281" s="10">
        <f t="shared" si="16"/>
        <v>18126</v>
      </c>
      <c r="J281" s="10">
        <v>2249</v>
      </c>
      <c r="K281" s="10">
        <f t="shared" si="17"/>
        <v>12377</v>
      </c>
      <c r="L281" s="10">
        <f t="shared" si="18"/>
        <v>2089.25</v>
      </c>
      <c r="M281" s="10">
        <f t="shared" si="19"/>
        <v>13787.75</v>
      </c>
    </row>
    <row r="282" spans="1:13" x14ac:dyDescent="0.15">
      <c r="A282" s="11">
        <v>280</v>
      </c>
      <c r="B282" s="9" t="s">
        <v>689</v>
      </c>
      <c r="C282" s="9" t="s">
        <v>293</v>
      </c>
      <c r="D282" s="9" t="str">
        <f>VLOOKUP(LEFT(B282,1),部门信息!$B$1:$C$6,2,0)</f>
        <v>市场</v>
      </c>
      <c r="E282" s="10">
        <v>14800</v>
      </c>
      <c r="F282" s="10">
        <v>900</v>
      </c>
      <c r="G282" s="10">
        <v>405</v>
      </c>
      <c r="H282" s="10">
        <v>420</v>
      </c>
      <c r="I282" s="10">
        <f t="shared" si="16"/>
        <v>15685</v>
      </c>
      <c r="J282" s="10">
        <v>2220</v>
      </c>
      <c r="K282" s="10">
        <f t="shared" si="17"/>
        <v>9965</v>
      </c>
      <c r="L282" s="10">
        <f t="shared" si="18"/>
        <v>1486.25</v>
      </c>
      <c r="M282" s="10">
        <f t="shared" si="19"/>
        <v>11978.75</v>
      </c>
    </row>
    <row r="283" spans="1:13" x14ac:dyDescent="0.15">
      <c r="A283" s="11">
        <v>281</v>
      </c>
      <c r="B283" s="9" t="s">
        <v>598</v>
      </c>
      <c r="C283" s="9" t="s">
        <v>294</v>
      </c>
      <c r="D283" s="9" t="str">
        <f>VLOOKUP(LEFT(B283,1),部门信息!$B$1:$C$6,2,0)</f>
        <v>市场</v>
      </c>
      <c r="E283" s="10">
        <v>17000</v>
      </c>
      <c r="F283" s="10">
        <v>800</v>
      </c>
      <c r="G283" s="10">
        <v>90</v>
      </c>
      <c r="H283" s="10">
        <v>232</v>
      </c>
      <c r="I283" s="10">
        <f t="shared" si="16"/>
        <v>17658</v>
      </c>
      <c r="J283" s="10">
        <v>2040</v>
      </c>
      <c r="K283" s="10">
        <f t="shared" si="17"/>
        <v>12118</v>
      </c>
      <c r="L283" s="10">
        <f t="shared" si="18"/>
        <v>2024.5</v>
      </c>
      <c r="M283" s="10">
        <f t="shared" si="19"/>
        <v>13593.5</v>
      </c>
    </row>
    <row r="284" spans="1:13" x14ac:dyDescent="0.15">
      <c r="A284" s="11">
        <v>282</v>
      </c>
      <c r="B284" s="9" t="s">
        <v>640</v>
      </c>
      <c r="C284" s="9" t="s">
        <v>295</v>
      </c>
      <c r="D284" s="9" t="str">
        <f>VLOOKUP(LEFT(B284,1),部门信息!$B$1:$C$6,2,0)</f>
        <v>市场</v>
      </c>
      <c r="E284" s="10">
        <v>15500</v>
      </c>
      <c r="F284" s="10">
        <v>500</v>
      </c>
      <c r="G284" s="10">
        <v>45</v>
      </c>
      <c r="H284" s="10">
        <v>300</v>
      </c>
      <c r="I284" s="10">
        <f t="shared" si="16"/>
        <v>15745</v>
      </c>
      <c r="J284" s="10">
        <v>2015</v>
      </c>
      <c r="K284" s="10">
        <f t="shared" si="17"/>
        <v>10230</v>
      </c>
      <c r="L284" s="10">
        <f t="shared" si="18"/>
        <v>1552.5</v>
      </c>
      <c r="M284" s="10">
        <f t="shared" si="19"/>
        <v>12177.5</v>
      </c>
    </row>
    <row r="285" spans="1:13" x14ac:dyDescent="0.15">
      <c r="A285" s="11">
        <v>283</v>
      </c>
      <c r="B285" s="9" t="s">
        <v>704</v>
      </c>
      <c r="C285" s="9" t="s">
        <v>296</v>
      </c>
      <c r="D285" s="9" t="str">
        <f>VLOOKUP(LEFT(B285,1),部门信息!$B$1:$C$6,2,0)</f>
        <v>市场</v>
      </c>
      <c r="E285" s="10">
        <v>18900</v>
      </c>
      <c r="F285" s="10">
        <v>0</v>
      </c>
      <c r="G285" s="10">
        <v>315</v>
      </c>
      <c r="H285" s="10">
        <v>154</v>
      </c>
      <c r="I285" s="10">
        <f t="shared" si="16"/>
        <v>19061</v>
      </c>
      <c r="J285" s="10">
        <v>2835</v>
      </c>
      <c r="K285" s="10">
        <f t="shared" si="17"/>
        <v>12726</v>
      </c>
      <c r="L285" s="10">
        <f t="shared" si="18"/>
        <v>2176.5</v>
      </c>
      <c r="M285" s="10">
        <f t="shared" si="19"/>
        <v>14049.5</v>
      </c>
    </row>
    <row r="286" spans="1:13" x14ac:dyDescent="0.15">
      <c r="A286" s="11">
        <v>284</v>
      </c>
      <c r="B286" s="9" t="s">
        <v>379</v>
      </c>
      <c r="C286" s="9" t="s">
        <v>297</v>
      </c>
      <c r="D286" s="9" t="str">
        <f>VLOOKUP(LEFT(B286,1),部门信息!$B$1:$C$6,2,0)</f>
        <v>行政</v>
      </c>
      <c r="E286" s="10">
        <v>17400</v>
      </c>
      <c r="F286" s="10">
        <v>600</v>
      </c>
      <c r="G286" s="10">
        <v>225</v>
      </c>
      <c r="H286" s="10">
        <v>0</v>
      </c>
      <c r="I286" s="10">
        <f t="shared" si="16"/>
        <v>18225</v>
      </c>
      <c r="J286" s="10">
        <v>2436</v>
      </c>
      <c r="K286" s="10">
        <f t="shared" si="17"/>
        <v>12289</v>
      </c>
      <c r="L286" s="10">
        <f t="shared" si="18"/>
        <v>2067.25</v>
      </c>
      <c r="M286" s="10">
        <f t="shared" si="19"/>
        <v>13721.75</v>
      </c>
    </row>
    <row r="287" spans="1:13" x14ac:dyDescent="0.15">
      <c r="A287" s="11">
        <v>285</v>
      </c>
      <c r="B287" s="9" t="s">
        <v>489</v>
      </c>
      <c r="C287" s="9" t="s">
        <v>298</v>
      </c>
      <c r="D287" s="9" t="str">
        <f>VLOOKUP(LEFT(B287,1),部门信息!$B$1:$C$6,2,0)</f>
        <v>人事</v>
      </c>
      <c r="E287" s="10">
        <v>13400</v>
      </c>
      <c r="F287" s="10">
        <v>0</v>
      </c>
      <c r="G287" s="10">
        <v>270</v>
      </c>
      <c r="H287" s="10">
        <v>345</v>
      </c>
      <c r="I287" s="10">
        <f t="shared" si="16"/>
        <v>13325</v>
      </c>
      <c r="J287" s="10">
        <v>1742</v>
      </c>
      <c r="K287" s="10">
        <f t="shared" si="17"/>
        <v>8083</v>
      </c>
      <c r="L287" s="10">
        <f t="shared" si="18"/>
        <v>1061.6000000000001</v>
      </c>
      <c r="M287" s="10">
        <f t="shared" si="19"/>
        <v>10521.4</v>
      </c>
    </row>
    <row r="288" spans="1:13" x14ac:dyDescent="0.15">
      <c r="A288" s="11">
        <v>286</v>
      </c>
      <c r="B288" s="9" t="s">
        <v>479</v>
      </c>
      <c r="C288" s="9" t="s">
        <v>299</v>
      </c>
      <c r="D288" s="9" t="str">
        <f>VLOOKUP(LEFT(B288,1),部门信息!$B$1:$C$6,2,0)</f>
        <v>人事</v>
      </c>
      <c r="E288" s="10">
        <v>8800</v>
      </c>
      <c r="F288" s="10">
        <v>500</v>
      </c>
      <c r="G288" s="10">
        <v>45</v>
      </c>
      <c r="H288" s="10">
        <v>275</v>
      </c>
      <c r="I288" s="10">
        <f t="shared" si="16"/>
        <v>9070</v>
      </c>
      <c r="J288" s="10">
        <v>1056</v>
      </c>
      <c r="K288" s="10">
        <f t="shared" si="17"/>
        <v>4514</v>
      </c>
      <c r="L288" s="10">
        <f t="shared" si="18"/>
        <v>347.80000000000007</v>
      </c>
      <c r="M288" s="10">
        <f t="shared" si="19"/>
        <v>7666.2</v>
      </c>
    </row>
    <row r="289" spans="1:13" x14ac:dyDescent="0.15">
      <c r="A289" s="11">
        <v>287</v>
      </c>
      <c r="B289" s="9" t="s">
        <v>658</v>
      </c>
      <c r="C289" s="9" t="s">
        <v>300</v>
      </c>
      <c r="D289" s="9" t="str">
        <f>VLOOKUP(LEFT(B289,1),部门信息!$B$1:$C$6,2,0)</f>
        <v>市场</v>
      </c>
      <c r="E289" s="10">
        <v>14900</v>
      </c>
      <c r="F289" s="10">
        <v>0</v>
      </c>
      <c r="G289" s="10">
        <v>225</v>
      </c>
      <c r="H289" s="10">
        <v>100</v>
      </c>
      <c r="I289" s="10">
        <f t="shared" si="16"/>
        <v>15025</v>
      </c>
      <c r="J289" s="10">
        <v>2086</v>
      </c>
      <c r="K289" s="10">
        <f t="shared" si="17"/>
        <v>9439</v>
      </c>
      <c r="L289" s="10">
        <f t="shared" si="18"/>
        <v>1354.75</v>
      </c>
      <c r="M289" s="10">
        <f t="shared" si="19"/>
        <v>11584.25</v>
      </c>
    </row>
    <row r="290" spans="1:13" x14ac:dyDescent="0.15">
      <c r="A290" s="11">
        <v>288</v>
      </c>
      <c r="B290" s="9" t="s">
        <v>609</v>
      </c>
      <c r="C290" s="9" t="s">
        <v>301</v>
      </c>
      <c r="D290" s="9" t="str">
        <f>VLOOKUP(LEFT(B290,1),部门信息!$B$1:$C$6,2,0)</f>
        <v>市场</v>
      </c>
      <c r="E290" s="10">
        <v>19300</v>
      </c>
      <c r="F290" s="10">
        <v>200</v>
      </c>
      <c r="G290" s="10">
        <v>225</v>
      </c>
      <c r="H290" s="10">
        <v>0</v>
      </c>
      <c r="I290" s="10">
        <f t="shared" si="16"/>
        <v>19725</v>
      </c>
      <c r="J290" s="10">
        <v>3088</v>
      </c>
      <c r="K290" s="10">
        <f t="shared" si="17"/>
        <v>13137</v>
      </c>
      <c r="L290" s="10">
        <f t="shared" si="18"/>
        <v>2279.25</v>
      </c>
      <c r="M290" s="10">
        <f t="shared" si="19"/>
        <v>14357.75</v>
      </c>
    </row>
    <row r="291" spans="1:13" x14ac:dyDescent="0.15">
      <c r="A291" s="11">
        <v>289</v>
      </c>
      <c r="B291" s="9" t="s">
        <v>467</v>
      </c>
      <c r="C291" s="9" t="s">
        <v>302</v>
      </c>
      <c r="D291" s="9" t="str">
        <f>VLOOKUP(LEFT(B291,1),部门信息!$B$1:$C$6,2,0)</f>
        <v>人事</v>
      </c>
      <c r="E291" s="10">
        <v>19500</v>
      </c>
      <c r="F291" s="10">
        <v>100</v>
      </c>
      <c r="G291" s="10">
        <v>315</v>
      </c>
      <c r="H291" s="10">
        <v>112</v>
      </c>
      <c r="I291" s="10">
        <f t="shared" si="16"/>
        <v>19803</v>
      </c>
      <c r="J291" s="10">
        <v>3120</v>
      </c>
      <c r="K291" s="10">
        <f t="shared" si="17"/>
        <v>13183</v>
      </c>
      <c r="L291" s="10">
        <f t="shared" si="18"/>
        <v>2290.75</v>
      </c>
      <c r="M291" s="10">
        <f t="shared" si="19"/>
        <v>14392.25</v>
      </c>
    </row>
    <row r="292" spans="1:13" x14ac:dyDescent="0.15">
      <c r="A292" s="11">
        <v>290</v>
      </c>
      <c r="B292" s="9" t="s">
        <v>593</v>
      </c>
      <c r="C292" s="9" t="s">
        <v>303</v>
      </c>
      <c r="D292" s="9" t="str">
        <f>VLOOKUP(LEFT(B292,1),部门信息!$B$1:$C$6,2,0)</f>
        <v>市场</v>
      </c>
      <c r="E292" s="10">
        <v>17800</v>
      </c>
      <c r="F292" s="10">
        <v>500</v>
      </c>
      <c r="G292" s="10">
        <v>45</v>
      </c>
      <c r="H292" s="10">
        <v>0</v>
      </c>
      <c r="I292" s="10">
        <f t="shared" si="16"/>
        <v>18345</v>
      </c>
      <c r="J292" s="10">
        <v>2314</v>
      </c>
      <c r="K292" s="10">
        <f t="shared" si="17"/>
        <v>12531</v>
      </c>
      <c r="L292" s="10">
        <f t="shared" si="18"/>
        <v>2127.75</v>
      </c>
      <c r="M292" s="10">
        <f t="shared" si="19"/>
        <v>13903.25</v>
      </c>
    </row>
    <row r="293" spans="1:13" x14ac:dyDescent="0.15">
      <c r="A293" s="11">
        <v>291</v>
      </c>
      <c r="B293" s="9" t="s">
        <v>450</v>
      </c>
      <c r="C293" s="9" t="s">
        <v>304</v>
      </c>
      <c r="D293" s="9" t="str">
        <f>VLOOKUP(LEFT(B293,1),部门信息!$B$1:$C$6,2,0)</f>
        <v>行政</v>
      </c>
      <c r="E293" s="10">
        <v>19800</v>
      </c>
      <c r="F293" s="10">
        <v>800</v>
      </c>
      <c r="G293" s="10">
        <v>270</v>
      </c>
      <c r="H293" s="10">
        <v>393</v>
      </c>
      <c r="I293" s="10">
        <f t="shared" si="16"/>
        <v>20477</v>
      </c>
      <c r="J293" s="10">
        <v>2772</v>
      </c>
      <c r="K293" s="10">
        <f t="shared" si="17"/>
        <v>14205</v>
      </c>
      <c r="L293" s="10">
        <f t="shared" si="18"/>
        <v>2546.25</v>
      </c>
      <c r="M293" s="10">
        <f t="shared" si="19"/>
        <v>15158.75</v>
      </c>
    </row>
    <row r="294" spans="1:13" x14ac:dyDescent="0.15">
      <c r="A294" s="11">
        <v>292</v>
      </c>
      <c r="B294" s="9" t="s">
        <v>402</v>
      </c>
      <c r="C294" s="9" t="s">
        <v>305</v>
      </c>
      <c r="D294" s="9" t="str">
        <f>VLOOKUP(LEFT(B294,1),部门信息!$B$1:$C$6,2,0)</f>
        <v>行政</v>
      </c>
      <c r="E294" s="10">
        <v>7300</v>
      </c>
      <c r="F294" s="10">
        <v>1000</v>
      </c>
      <c r="G294" s="10">
        <v>135</v>
      </c>
      <c r="H294" s="10">
        <v>0</v>
      </c>
      <c r="I294" s="10">
        <f t="shared" si="16"/>
        <v>8435</v>
      </c>
      <c r="J294" s="10">
        <v>1022</v>
      </c>
      <c r="K294" s="10">
        <f t="shared" si="17"/>
        <v>3913</v>
      </c>
      <c r="L294" s="10">
        <f t="shared" si="18"/>
        <v>286.3</v>
      </c>
      <c r="M294" s="10">
        <f t="shared" si="19"/>
        <v>7126.7</v>
      </c>
    </row>
    <row r="295" spans="1:13" x14ac:dyDescent="0.15">
      <c r="A295" s="11">
        <v>293</v>
      </c>
      <c r="B295" s="9" t="s">
        <v>484</v>
      </c>
      <c r="C295" s="9" t="s">
        <v>306</v>
      </c>
      <c r="D295" s="9" t="str">
        <f>VLOOKUP(LEFT(B295,1),部门信息!$B$1:$C$6,2,0)</f>
        <v>人事</v>
      </c>
      <c r="E295" s="10">
        <v>16200</v>
      </c>
      <c r="F295" s="10">
        <v>1000</v>
      </c>
      <c r="G295" s="10">
        <v>360</v>
      </c>
      <c r="H295" s="10">
        <v>340</v>
      </c>
      <c r="I295" s="10">
        <f t="shared" si="16"/>
        <v>17220</v>
      </c>
      <c r="J295" s="10">
        <v>2268</v>
      </c>
      <c r="K295" s="10">
        <f t="shared" si="17"/>
        <v>11452</v>
      </c>
      <c r="L295" s="10">
        <f t="shared" si="18"/>
        <v>1858</v>
      </c>
      <c r="M295" s="10">
        <f t="shared" si="19"/>
        <v>13094</v>
      </c>
    </row>
    <row r="296" spans="1:13" x14ac:dyDescent="0.15">
      <c r="A296" s="11">
        <v>294</v>
      </c>
      <c r="B296" s="9" t="s">
        <v>492</v>
      </c>
      <c r="C296" s="9" t="s">
        <v>307</v>
      </c>
      <c r="D296" s="9" t="str">
        <f>VLOOKUP(LEFT(B296,1),部门信息!$B$1:$C$6,2,0)</f>
        <v>人事</v>
      </c>
      <c r="E296" s="10">
        <v>6700</v>
      </c>
      <c r="F296" s="10">
        <v>100</v>
      </c>
      <c r="G296" s="10">
        <v>90</v>
      </c>
      <c r="H296" s="10">
        <v>0</v>
      </c>
      <c r="I296" s="10">
        <f t="shared" si="16"/>
        <v>6890</v>
      </c>
      <c r="J296" s="10">
        <v>1005</v>
      </c>
      <c r="K296" s="10">
        <f t="shared" si="17"/>
        <v>2385</v>
      </c>
      <c r="L296" s="10">
        <f t="shared" si="18"/>
        <v>133.5</v>
      </c>
      <c r="M296" s="10">
        <f t="shared" si="19"/>
        <v>5751.5</v>
      </c>
    </row>
    <row r="297" spans="1:13" x14ac:dyDescent="0.15">
      <c r="A297" s="11">
        <v>295</v>
      </c>
      <c r="B297" s="9" t="s">
        <v>560</v>
      </c>
      <c r="C297" s="9" t="s">
        <v>308</v>
      </c>
      <c r="D297" s="9" t="str">
        <f>VLOOKUP(LEFT(B297,1),部门信息!$B$1:$C$6,2,0)</f>
        <v>研发</v>
      </c>
      <c r="E297" s="10">
        <v>3900</v>
      </c>
      <c r="F297" s="10">
        <v>100</v>
      </c>
      <c r="G297" s="10">
        <v>450</v>
      </c>
      <c r="H297" s="10">
        <v>0</v>
      </c>
      <c r="I297" s="10">
        <f t="shared" si="16"/>
        <v>4450</v>
      </c>
      <c r="J297" s="10">
        <v>468</v>
      </c>
      <c r="K297" s="10">
        <f t="shared" si="17"/>
        <v>482</v>
      </c>
      <c r="L297" s="10">
        <f t="shared" si="18"/>
        <v>14.459999999999999</v>
      </c>
      <c r="M297" s="10">
        <f t="shared" si="19"/>
        <v>3967.54</v>
      </c>
    </row>
    <row r="298" spans="1:13" x14ac:dyDescent="0.15">
      <c r="A298" s="11">
        <v>296</v>
      </c>
      <c r="B298" s="9" t="s">
        <v>589</v>
      </c>
      <c r="C298" s="9" t="s">
        <v>309</v>
      </c>
      <c r="D298" s="9" t="str">
        <f>VLOOKUP(LEFT(B298,1),部门信息!$B$1:$C$6,2,0)</f>
        <v>市场</v>
      </c>
      <c r="E298" s="10">
        <v>12200</v>
      </c>
      <c r="F298" s="10">
        <v>800</v>
      </c>
      <c r="G298" s="10">
        <v>45</v>
      </c>
      <c r="H298" s="10">
        <v>86</v>
      </c>
      <c r="I298" s="10">
        <f t="shared" si="16"/>
        <v>12959</v>
      </c>
      <c r="J298" s="10">
        <v>1586</v>
      </c>
      <c r="K298" s="10">
        <f t="shared" si="17"/>
        <v>7873</v>
      </c>
      <c r="L298" s="10">
        <f t="shared" si="18"/>
        <v>1019.6000000000001</v>
      </c>
      <c r="M298" s="10">
        <f t="shared" si="19"/>
        <v>10353.4</v>
      </c>
    </row>
    <row r="299" spans="1:13" x14ac:dyDescent="0.15">
      <c r="A299" s="11">
        <v>297</v>
      </c>
      <c r="B299" s="9" t="s">
        <v>417</v>
      </c>
      <c r="C299" s="9" t="s">
        <v>310</v>
      </c>
      <c r="D299" s="9" t="str">
        <f>VLOOKUP(LEFT(B299,1),部门信息!$B$1:$C$6,2,0)</f>
        <v>行政</v>
      </c>
      <c r="E299" s="10">
        <v>8300</v>
      </c>
      <c r="F299" s="10">
        <v>400</v>
      </c>
      <c r="G299" s="10">
        <v>45</v>
      </c>
      <c r="H299" s="10">
        <v>0</v>
      </c>
      <c r="I299" s="10">
        <f t="shared" si="16"/>
        <v>8745</v>
      </c>
      <c r="J299" s="10">
        <v>1079</v>
      </c>
      <c r="K299" s="10">
        <f t="shared" si="17"/>
        <v>4166</v>
      </c>
      <c r="L299" s="10">
        <f t="shared" si="18"/>
        <v>311.60000000000002</v>
      </c>
      <c r="M299" s="10">
        <f t="shared" si="19"/>
        <v>7354.4</v>
      </c>
    </row>
    <row r="300" spans="1:13" x14ac:dyDescent="0.15">
      <c r="A300" s="11">
        <v>298</v>
      </c>
      <c r="B300" s="9" t="s">
        <v>711</v>
      </c>
      <c r="C300" s="9" t="s">
        <v>311</v>
      </c>
      <c r="D300" s="9" t="str">
        <f>VLOOKUP(LEFT(B300,1),部门信息!$B$1:$C$6,2,0)</f>
        <v>市场</v>
      </c>
      <c r="E300" s="10">
        <v>15300</v>
      </c>
      <c r="F300" s="10">
        <v>100</v>
      </c>
      <c r="G300" s="10">
        <v>405</v>
      </c>
      <c r="H300" s="10">
        <v>348</v>
      </c>
      <c r="I300" s="10">
        <f t="shared" si="16"/>
        <v>15457</v>
      </c>
      <c r="J300" s="10">
        <v>1989</v>
      </c>
      <c r="K300" s="10">
        <f t="shared" si="17"/>
        <v>9968</v>
      </c>
      <c r="L300" s="10">
        <f t="shared" si="18"/>
        <v>1487</v>
      </c>
      <c r="M300" s="10">
        <f t="shared" si="19"/>
        <v>11981</v>
      </c>
    </row>
    <row r="301" spans="1:13" x14ac:dyDescent="0.15">
      <c r="A301" s="11">
        <v>299</v>
      </c>
      <c r="B301" s="9" t="s">
        <v>561</v>
      </c>
      <c r="C301" s="9" t="s">
        <v>312</v>
      </c>
      <c r="D301" s="9" t="str">
        <f>VLOOKUP(LEFT(B301,1),部门信息!$B$1:$C$6,2,0)</f>
        <v>研发</v>
      </c>
      <c r="E301" s="10">
        <v>7700</v>
      </c>
      <c r="F301" s="10">
        <v>300</v>
      </c>
      <c r="G301" s="10">
        <v>360</v>
      </c>
      <c r="H301" s="10">
        <v>395</v>
      </c>
      <c r="I301" s="10">
        <f t="shared" si="16"/>
        <v>7965</v>
      </c>
      <c r="J301" s="10">
        <v>924</v>
      </c>
      <c r="K301" s="10">
        <f t="shared" si="17"/>
        <v>3541</v>
      </c>
      <c r="L301" s="10">
        <f t="shared" si="18"/>
        <v>249.10000000000002</v>
      </c>
      <c r="M301" s="10">
        <f t="shared" si="19"/>
        <v>6791.9</v>
      </c>
    </row>
    <row r="302" spans="1:13" x14ac:dyDescent="0.15">
      <c r="A302" s="11">
        <v>300</v>
      </c>
      <c r="B302" s="9" t="s">
        <v>623</v>
      </c>
      <c r="C302" s="9" t="s">
        <v>27</v>
      </c>
      <c r="D302" s="9" t="str">
        <f>VLOOKUP(LEFT(B302,1),部门信息!$B$1:$C$6,2,0)</f>
        <v>市场</v>
      </c>
      <c r="E302" s="10">
        <v>11300</v>
      </c>
      <c r="F302" s="10">
        <v>0</v>
      </c>
      <c r="G302" s="10">
        <v>90</v>
      </c>
      <c r="H302" s="10">
        <v>367</v>
      </c>
      <c r="I302" s="10">
        <f t="shared" si="16"/>
        <v>11023</v>
      </c>
      <c r="J302" s="10">
        <v>1469</v>
      </c>
      <c r="K302" s="10">
        <f t="shared" si="17"/>
        <v>6054</v>
      </c>
      <c r="L302" s="10">
        <f t="shared" si="18"/>
        <v>655.8</v>
      </c>
      <c r="M302" s="10">
        <f t="shared" si="19"/>
        <v>8898.2000000000007</v>
      </c>
    </row>
    <row r="303" spans="1:13" x14ac:dyDescent="0.15">
      <c r="A303" s="11">
        <v>301</v>
      </c>
      <c r="B303" s="9" t="s">
        <v>715</v>
      </c>
      <c r="C303" s="9" t="s">
        <v>313</v>
      </c>
      <c r="D303" s="9" t="str">
        <f>VLOOKUP(LEFT(B303,1),部门信息!$B$1:$C$6,2,0)</f>
        <v>市场</v>
      </c>
      <c r="E303" s="10">
        <v>9100</v>
      </c>
      <c r="F303" s="10">
        <v>1000</v>
      </c>
      <c r="G303" s="10">
        <v>45</v>
      </c>
      <c r="H303" s="10">
        <v>0</v>
      </c>
      <c r="I303" s="10">
        <f t="shared" si="16"/>
        <v>10145</v>
      </c>
      <c r="J303" s="10">
        <v>1456</v>
      </c>
      <c r="K303" s="10">
        <f t="shared" si="17"/>
        <v>5189</v>
      </c>
      <c r="L303" s="10">
        <f t="shared" si="18"/>
        <v>482.79999999999995</v>
      </c>
      <c r="M303" s="10">
        <f t="shared" si="19"/>
        <v>8206.2000000000007</v>
      </c>
    </row>
    <row r="304" spans="1:13" x14ac:dyDescent="0.15">
      <c r="A304" s="11">
        <v>302</v>
      </c>
      <c r="B304" s="9" t="s">
        <v>610</v>
      </c>
      <c r="C304" s="9" t="s">
        <v>314</v>
      </c>
      <c r="D304" s="9" t="str">
        <f>VLOOKUP(LEFT(B304,1),部门信息!$B$1:$C$6,2,0)</f>
        <v>市场</v>
      </c>
      <c r="E304" s="10">
        <v>7800</v>
      </c>
      <c r="F304" s="10">
        <v>900</v>
      </c>
      <c r="G304" s="10">
        <v>270</v>
      </c>
      <c r="H304" s="10">
        <v>0</v>
      </c>
      <c r="I304" s="10">
        <f t="shared" si="16"/>
        <v>8970</v>
      </c>
      <c r="J304" s="10">
        <v>936</v>
      </c>
      <c r="K304" s="10">
        <f t="shared" si="17"/>
        <v>4534</v>
      </c>
      <c r="L304" s="10">
        <f t="shared" si="18"/>
        <v>351.80000000000007</v>
      </c>
      <c r="M304" s="10">
        <f t="shared" si="19"/>
        <v>7682.2</v>
      </c>
    </row>
    <row r="305" spans="1:13" x14ac:dyDescent="0.15">
      <c r="A305" s="11">
        <v>303</v>
      </c>
      <c r="B305" s="9" t="s">
        <v>661</v>
      </c>
      <c r="C305" s="9" t="s">
        <v>315</v>
      </c>
      <c r="D305" s="9" t="str">
        <f>VLOOKUP(LEFT(B305,1),部门信息!$B$1:$C$6,2,0)</f>
        <v>市场</v>
      </c>
      <c r="E305" s="10">
        <v>3900</v>
      </c>
      <c r="F305" s="10">
        <v>300</v>
      </c>
      <c r="G305" s="10">
        <v>405</v>
      </c>
      <c r="H305" s="10">
        <v>0</v>
      </c>
      <c r="I305" s="10">
        <f t="shared" si="16"/>
        <v>4605</v>
      </c>
      <c r="J305" s="10">
        <v>546</v>
      </c>
      <c r="K305" s="10">
        <f t="shared" si="17"/>
        <v>559</v>
      </c>
      <c r="L305" s="10">
        <f t="shared" si="18"/>
        <v>16.77</v>
      </c>
      <c r="M305" s="10">
        <f t="shared" si="19"/>
        <v>4042.23</v>
      </c>
    </row>
    <row r="306" spans="1:13" x14ac:dyDescent="0.15">
      <c r="A306" s="11">
        <v>304</v>
      </c>
      <c r="B306" s="9" t="s">
        <v>518</v>
      </c>
      <c r="C306" s="9" t="s">
        <v>316</v>
      </c>
      <c r="D306" s="9" t="str">
        <f>VLOOKUP(LEFT(B306,1),部门信息!$B$1:$C$6,2,0)</f>
        <v>管理</v>
      </c>
      <c r="E306" s="10">
        <v>16700</v>
      </c>
      <c r="F306" s="10">
        <v>500</v>
      </c>
      <c r="G306" s="10">
        <v>225</v>
      </c>
      <c r="H306" s="10">
        <v>0</v>
      </c>
      <c r="I306" s="10">
        <f t="shared" si="16"/>
        <v>17425</v>
      </c>
      <c r="J306" s="10">
        <v>2505</v>
      </c>
      <c r="K306" s="10">
        <f t="shared" si="17"/>
        <v>11420</v>
      </c>
      <c r="L306" s="10">
        <f t="shared" si="18"/>
        <v>1850</v>
      </c>
      <c r="M306" s="10">
        <f t="shared" si="19"/>
        <v>13070</v>
      </c>
    </row>
    <row r="307" spans="1:13" x14ac:dyDescent="0.15">
      <c r="A307" s="11">
        <v>305</v>
      </c>
      <c r="B307" s="9" t="s">
        <v>596</v>
      </c>
      <c r="C307" s="9" t="s">
        <v>317</v>
      </c>
      <c r="D307" s="9" t="str">
        <f>VLOOKUP(LEFT(B307,1),部门信息!$B$1:$C$6,2,0)</f>
        <v>市场</v>
      </c>
      <c r="E307" s="10">
        <v>8100</v>
      </c>
      <c r="F307" s="10">
        <v>700</v>
      </c>
      <c r="G307" s="10">
        <v>225</v>
      </c>
      <c r="H307" s="10">
        <v>0</v>
      </c>
      <c r="I307" s="10">
        <f t="shared" si="16"/>
        <v>9025</v>
      </c>
      <c r="J307" s="10">
        <v>972</v>
      </c>
      <c r="K307" s="10">
        <f t="shared" si="17"/>
        <v>4553</v>
      </c>
      <c r="L307" s="10">
        <f t="shared" si="18"/>
        <v>355.6</v>
      </c>
      <c r="M307" s="10">
        <f t="shared" si="19"/>
        <v>7697.4</v>
      </c>
    </row>
    <row r="308" spans="1:13" x14ac:dyDescent="0.15">
      <c r="A308" s="11">
        <v>306</v>
      </c>
      <c r="B308" s="9" t="s">
        <v>458</v>
      </c>
      <c r="C308" s="9" t="s">
        <v>318</v>
      </c>
      <c r="D308" s="9" t="str">
        <f>VLOOKUP(LEFT(B308,1),部门信息!$B$1:$C$6,2,0)</f>
        <v>人事</v>
      </c>
      <c r="E308" s="10">
        <v>16900</v>
      </c>
      <c r="F308" s="10">
        <v>200</v>
      </c>
      <c r="G308" s="10">
        <v>360</v>
      </c>
      <c r="H308" s="10">
        <v>450</v>
      </c>
      <c r="I308" s="10">
        <f t="shared" si="16"/>
        <v>17010</v>
      </c>
      <c r="J308" s="10">
        <v>2535</v>
      </c>
      <c r="K308" s="10">
        <f t="shared" si="17"/>
        <v>10975</v>
      </c>
      <c r="L308" s="10">
        <f t="shared" si="18"/>
        <v>1738.75</v>
      </c>
      <c r="M308" s="10">
        <f t="shared" si="19"/>
        <v>12736.25</v>
      </c>
    </row>
    <row r="309" spans="1:13" x14ac:dyDescent="0.15">
      <c r="A309" s="11">
        <v>307</v>
      </c>
      <c r="B309" s="9" t="s">
        <v>665</v>
      </c>
      <c r="C309" s="9" t="s">
        <v>319</v>
      </c>
      <c r="D309" s="9" t="str">
        <f>VLOOKUP(LEFT(B309,1),部门信息!$B$1:$C$6,2,0)</f>
        <v>市场</v>
      </c>
      <c r="E309" s="10">
        <v>15100</v>
      </c>
      <c r="F309" s="10">
        <v>1000</v>
      </c>
      <c r="G309" s="10">
        <v>405</v>
      </c>
      <c r="H309" s="10">
        <v>0</v>
      </c>
      <c r="I309" s="10">
        <f t="shared" si="16"/>
        <v>16505</v>
      </c>
      <c r="J309" s="10">
        <v>2265</v>
      </c>
      <c r="K309" s="10">
        <f t="shared" si="17"/>
        <v>10740</v>
      </c>
      <c r="L309" s="10">
        <f t="shared" si="18"/>
        <v>1680</v>
      </c>
      <c r="M309" s="10">
        <f t="shared" si="19"/>
        <v>12560</v>
      </c>
    </row>
    <row r="310" spans="1:13" x14ac:dyDescent="0.15">
      <c r="A310" s="11">
        <v>308</v>
      </c>
      <c r="B310" s="9" t="s">
        <v>651</v>
      </c>
      <c r="C310" s="9" t="s">
        <v>320</v>
      </c>
      <c r="D310" s="9" t="str">
        <f>VLOOKUP(LEFT(B310,1),部门信息!$B$1:$C$6,2,0)</f>
        <v>市场</v>
      </c>
      <c r="E310" s="10">
        <v>9300</v>
      </c>
      <c r="F310" s="10">
        <v>400</v>
      </c>
      <c r="G310" s="10">
        <v>360</v>
      </c>
      <c r="H310" s="10">
        <v>306</v>
      </c>
      <c r="I310" s="10">
        <f t="shared" si="16"/>
        <v>9754</v>
      </c>
      <c r="J310" s="10">
        <v>1488</v>
      </c>
      <c r="K310" s="10">
        <f t="shared" si="17"/>
        <v>4766</v>
      </c>
      <c r="L310" s="10">
        <f t="shared" si="18"/>
        <v>398.20000000000005</v>
      </c>
      <c r="M310" s="10">
        <f t="shared" si="19"/>
        <v>7867.8</v>
      </c>
    </row>
    <row r="311" spans="1:13" x14ac:dyDescent="0.15">
      <c r="A311" s="11">
        <v>309</v>
      </c>
      <c r="B311" s="9" t="s">
        <v>537</v>
      </c>
      <c r="C311" s="9" t="s">
        <v>321</v>
      </c>
      <c r="D311" s="9" t="str">
        <f>VLOOKUP(LEFT(B311,1),部门信息!$B$1:$C$6,2,0)</f>
        <v>研发</v>
      </c>
      <c r="E311" s="10">
        <v>3200</v>
      </c>
      <c r="F311" s="10">
        <v>700</v>
      </c>
      <c r="G311" s="10">
        <v>45</v>
      </c>
      <c r="H311" s="10">
        <v>151</v>
      </c>
      <c r="I311" s="10">
        <f t="shared" si="16"/>
        <v>3794</v>
      </c>
      <c r="J311" s="10">
        <v>512</v>
      </c>
      <c r="K311" s="10">
        <f t="shared" si="17"/>
        <v>0</v>
      </c>
      <c r="L311" s="10">
        <f t="shared" si="18"/>
        <v>0</v>
      </c>
      <c r="M311" s="10">
        <f t="shared" si="19"/>
        <v>3282</v>
      </c>
    </row>
    <row r="312" spans="1:13" x14ac:dyDescent="0.15">
      <c r="A312" s="11">
        <v>310</v>
      </c>
      <c r="B312" s="9" t="s">
        <v>384</v>
      </c>
      <c r="C312" s="9" t="s">
        <v>322</v>
      </c>
      <c r="D312" s="9" t="str">
        <f>VLOOKUP(LEFT(B312,1),部门信息!$B$1:$C$6,2,0)</f>
        <v>行政</v>
      </c>
      <c r="E312" s="10">
        <v>10800</v>
      </c>
      <c r="F312" s="10">
        <v>300</v>
      </c>
      <c r="G312" s="10">
        <v>360</v>
      </c>
      <c r="H312" s="10">
        <v>0</v>
      </c>
      <c r="I312" s="10">
        <f t="shared" si="16"/>
        <v>11460</v>
      </c>
      <c r="J312" s="10">
        <v>1512</v>
      </c>
      <c r="K312" s="10">
        <f t="shared" si="17"/>
        <v>6448</v>
      </c>
      <c r="L312" s="10">
        <f t="shared" si="18"/>
        <v>734.60000000000014</v>
      </c>
      <c r="M312" s="10">
        <f t="shared" si="19"/>
        <v>9213.4</v>
      </c>
    </row>
    <row r="313" spans="1:13" x14ac:dyDescent="0.15">
      <c r="A313" s="11">
        <v>311</v>
      </c>
      <c r="B313" s="9" t="s">
        <v>614</v>
      </c>
      <c r="C313" s="9" t="s">
        <v>323</v>
      </c>
      <c r="D313" s="9" t="str">
        <f>VLOOKUP(LEFT(B313,1),部门信息!$B$1:$C$6,2,0)</f>
        <v>市场</v>
      </c>
      <c r="E313" s="10">
        <v>4200</v>
      </c>
      <c r="F313" s="10">
        <v>100</v>
      </c>
      <c r="G313" s="10">
        <v>450</v>
      </c>
      <c r="H313" s="10">
        <v>481</v>
      </c>
      <c r="I313" s="10">
        <f t="shared" si="16"/>
        <v>4269</v>
      </c>
      <c r="J313" s="10">
        <v>672</v>
      </c>
      <c r="K313" s="10">
        <f t="shared" si="17"/>
        <v>97</v>
      </c>
      <c r="L313" s="10">
        <f t="shared" si="18"/>
        <v>2.9099999999999997</v>
      </c>
      <c r="M313" s="10">
        <f t="shared" si="19"/>
        <v>3594.09</v>
      </c>
    </row>
    <row r="314" spans="1:13" x14ac:dyDescent="0.15">
      <c r="A314" s="11">
        <v>312</v>
      </c>
      <c r="B314" s="9" t="s">
        <v>607</v>
      </c>
      <c r="C314" s="9" t="s">
        <v>324</v>
      </c>
      <c r="D314" s="9" t="str">
        <f>VLOOKUP(LEFT(B314,1),部门信息!$B$1:$C$6,2,0)</f>
        <v>市场</v>
      </c>
      <c r="E314" s="10">
        <v>11300</v>
      </c>
      <c r="F314" s="10">
        <v>600</v>
      </c>
      <c r="G314" s="10">
        <v>360</v>
      </c>
      <c r="H314" s="10">
        <v>30</v>
      </c>
      <c r="I314" s="10">
        <f t="shared" si="16"/>
        <v>12230</v>
      </c>
      <c r="J314" s="10">
        <v>1695</v>
      </c>
      <c r="K314" s="10">
        <f t="shared" si="17"/>
        <v>7035</v>
      </c>
      <c r="L314" s="10">
        <f t="shared" si="18"/>
        <v>852</v>
      </c>
      <c r="M314" s="10">
        <f t="shared" si="19"/>
        <v>9683</v>
      </c>
    </row>
    <row r="315" spans="1:13" x14ac:dyDescent="0.15">
      <c r="A315" s="11">
        <v>313</v>
      </c>
      <c r="B315" s="9" t="s">
        <v>697</v>
      </c>
      <c r="C315" s="9" t="s">
        <v>325</v>
      </c>
      <c r="D315" s="9" t="str">
        <f>VLOOKUP(LEFT(B315,1),部门信息!$B$1:$C$6,2,0)</f>
        <v>市场</v>
      </c>
      <c r="E315" s="10">
        <v>19500</v>
      </c>
      <c r="F315" s="10">
        <v>600</v>
      </c>
      <c r="G315" s="10">
        <v>405</v>
      </c>
      <c r="H315" s="10">
        <v>215</v>
      </c>
      <c r="I315" s="10">
        <f t="shared" si="16"/>
        <v>20290</v>
      </c>
      <c r="J315" s="10">
        <v>2340</v>
      </c>
      <c r="K315" s="10">
        <f t="shared" si="17"/>
        <v>14450</v>
      </c>
      <c r="L315" s="10">
        <f t="shared" si="18"/>
        <v>2607.5</v>
      </c>
      <c r="M315" s="10">
        <f t="shared" si="19"/>
        <v>15342.5</v>
      </c>
    </row>
    <row r="316" spans="1:13" x14ac:dyDescent="0.15">
      <c r="A316" s="11">
        <v>314</v>
      </c>
      <c r="B316" s="9" t="s">
        <v>553</v>
      </c>
      <c r="C316" s="9" t="s">
        <v>326</v>
      </c>
      <c r="D316" s="9" t="str">
        <f>VLOOKUP(LEFT(B316,1),部门信息!$B$1:$C$6,2,0)</f>
        <v>研发</v>
      </c>
      <c r="E316" s="10">
        <v>8900</v>
      </c>
      <c r="F316" s="10">
        <v>600</v>
      </c>
      <c r="G316" s="10">
        <v>315</v>
      </c>
      <c r="H316" s="10">
        <v>128</v>
      </c>
      <c r="I316" s="10">
        <f t="shared" si="16"/>
        <v>9687</v>
      </c>
      <c r="J316" s="10">
        <v>1068</v>
      </c>
      <c r="K316" s="10">
        <f t="shared" si="17"/>
        <v>5119</v>
      </c>
      <c r="L316" s="10">
        <f t="shared" si="18"/>
        <v>468.80000000000007</v>
      </c>
      <c r="M316" s="10">
        <f t="shared" si="19"/>
        <v>8150.2</v>
      </c>
    </row>
    <row r="317" spans="1:13" x14ac:dyDescent="0.15">
      <c r="A317" s="11">
        <v>315</v>
      </c>
      <c r="B317" s="9" t="s">
        <v>700</v>
      </c>
      <c r="C317" s="9" t="s">
        <v>327</v>
      </c>
      <c r="D317" s="9" t="str">
        <f>VLOOKUP(LEFT(B317,1),部门信息!$B$1:$C$6,2,0)</f>
        <v>市场</v>
      </c>
      <c r="E317" s="10">
        <v>8100</v>
      </c>
      <c r="F317" s="10">
        <v>400</v>
      </c>
      <c r="G317" s="10">
        <v>90</v>
      </c>
      <c r="H317" s="10">
        <v>429</v>
      </c>
      <c r="I317" s="10">
        <f t="shared" si="16"/>
        <v>8161</v>
      </c>
      <c r="J317" s="10">
        <v>1296</v>
      </c>
      <c r="K317" s="10">
        <f t="shared" si="17"/>
        <v>3365</v>
      </c>
      <c r="L317" s="10">
        <f t="shared" si="18"/>
        <v>231.5</v>
      </c>
      <c r="M317" s="10">
        <f t="shared" si="19"/>
        <v>6633.5</v>
      </c>
    </row>
    <row r="318" spans="1:13" x14ac:dyDescent="0.15">
      <c r="A318" s="11">
        <v>316</v>
      </c>
      <c r="B318" s="9" t="s">
        <v>376</v>
      </c>
      <c r="C318" s="9" t="s">
        <v>328</v>
      </c>
      <c r="D318" s="9" t="str">
        <f>VLOOKUP(LEFT(B318,1),部门信息!$B$1:$C$6,2,0)</f>
        <v>行政</v>
      </c>
      <c r="E318" s="10">
        <v>18700</v>
      </c>
      <c r="F318" s="10">
        <v>600</v>
      </c>
      <c r="G318" s="10">
        <v>90</v>
      </c>
      <c r="H318" s="10">
        <v>258</v>
      </c>
      <c r="I318" s="10">
        <f t="shared" si="16"/>
        <v>19132</v>
      </c>
      <c r="J318" s="10">
        <v>2992</v>
      </c>
      <c r="K318" s="10">
        <f t="shared" si="17"/>
        <v>12640</v>
      </c>
      <c r="L318" s="10">
        <f t="shared" si="18"/>
        <v>2155</v>
      </c>
      <c r="M318" s="10">
        <f t="shared" si="19"/>
        <v>13985</v>
      </c>
    </row>
    <row r="319" spans="1:13" x14ac:dyDescent="0.15">
      <c r="A319" s="11">
        <v>317</v>
      </c>
      <c r="B319" s="9" t="s">
        <v>500</v>
      </c>
      <c r="C319" s="9" t="s">
        <v>329</v>
      </c>
      <c r="D319" s="9" t="str">
        <f>VLOOKUP(LEFT(B319,1),部门信息!$B$1:$C$6,2,0)</f>
        <v>管理</v>
      </c>
      <c r="E319" s="10">
        <v>8000</v>
      </c>
      <c r="F319" s="10">
        <v>400</v>
      </c>
      <c r="G319" s="10">
        <v>135</v>
      </c>
      <c r="H319" s="10">
        <v>0</v>
      </c>
      <c r="I319" s="10">
        <f t="shared" si="16"/>
        <v>8535</v>
      </c>
      <c r="J319" s="10">
        <v>1200</v>
      </c>
      <c r="K319" s="10">
        <f t="shared" si="17"/>
        <v>3835</v>
      </c>
      <c r="L319" s="10">
        <f t="shared" si="18"/>
        <v>278.5</v>
      </c>
      <c r="M319" s="10">
        <f t="shared" si="19"/>
        <v>7056.5</v>
      </c>
    </row>
    <row r="320" spans="1:13" x14ac:dyDescent="0.15">
      <c r="A320" s="11">
        <v>318</v>
      </c>
      <c r="B320" s="9" t="s">
        <v>531</v>
      </c>
      <c r="C320" s="9" t="s">
        <v>330</v>
      </c>
      <c r="D320" s="9" t="str">
        <f>VLOOKUP(LEFT(B320,1),部门信息!$B$1:$C$6,2,0)</f>
        <v>管理</v>
      </c>
      <c r="E320" s="10">
        <v>15300</v>
      </c>
      <c r="F320" s="10">
        <v>0</v>
      </c>
      <c r="G320" s="10">
        <v>45</v>
      </c>
      <c r="H320" s="10">
        <v>177</v>
      </c>
      <c r="I320" s="10">
        <f t="shared" si="16"/>
        <v>15168</v>
      </c>
      <c r="J320" s="10">
        <v>2295</v>
      </c>
      <c r="K320" s="10">
        <f t="shared" si="17"/>
        <v>9373</v>
      </c>
      <c r="L320" s="10">
        <f t="shared" si="18"/>
        <v>1338.25</v>
      </c>
      <c r="M320" s="10">
        <f t="shared" si="19"/>
        <v>11534.75</v>
      </c>
    </row>
    <row r="321" spans="1:13" x14ac:dyDescent="0.15">
      <c r="A321" s="11">
        <v>319</v>
      </c>
      <c r="B321" s="9" t="s">
        <v>439</v>
      </c>
      <c r="C321" s="9" t="s">
        <v>331</v>
      </c>
      <c r="D321" s="9" t="str">
        <f>VLOOKUP(LEFT(B321,1),部门信息!$B$1:$C$6,2,0)</f>
        <v>行政</v>
      </c>
      <c r="E321" s="10">
        <v>7900</v>
      </c>
      <c r="F321" s="10">
        <v>500</v>
      </c>
      <c r="G321" s="10">
        <v>270</v>
      </c>
      <c r="H321" s="10">
        <v>0</v>
      </c>
      <c r="I321" s="10">
        <f t="shared" si="16"/>
        <v>8670</v>
      </c>
      <c r="J321" s="10">
        <v>948</v>
      </c>
      <c r="K321" s="10">
        <f t="shared" si="17"/>
        <v>4222</v>
      </c>
      <c r="L321" s="10">
        <f t="shared" si="18"/>
        <v>317.20000000000005</v>
      </c>
      <c r="M321" s="10">
        <f t="shared" si="19"/>
        <v>7404.8</v>
      </c>
    </row>
    <row r="322" spans="1:13" x14ac:dyDescent="0.15">
      <c r="A322" s="11">
        <v>320</v>
      </c>
      <c r="B322" s="9" t="s">
        <v>584</v>
      </c>
      <c r="C322" s="9" t="s">
        <v>332</v>
      </c>
      <c r="D322" s="9" t="str">
        <f>VLOOKUP(LEFT(B322,1),部门信息!$B$1:$C$6,2,0)</f>
        <v>市场</v>
      </c>
      <c r="E322" s="10">
        <v>11600</v>
      </c>
      <c r="F322" s="10">
        <v>700</v>
      </c>
      <c r="G322" s="10">
        <v>360</v>
      </c>
      <c r="H322" s="10">
        <v>0</v>
      </c>
      <c r="I322" s="10">
        <f t="shared" si="16"/>
        <v>12660</v>
      </c>
      <c r="J322" s="10">
        <v>1508</v>
      </c>
      <c r="K322" s="10">
        <f t="shared" si="17"/>
        <v>7652</v>
      </c>
      <c r="L322" s="10">
        <f t="shared" si="18"/>
        <v>975.40000000000009</v>
      </c>
      <c r="M322" s="10">
        <f t="shared" si="19"/>
        <v>10176.6</v>
      </c>
    </row>
    <row r="323" spans="1:13" x14ac:dyDescent="0.15">
      <c r="A323" s="11">
        <v>321</v>
      </c>
      <c r="B323" s="9" t="s">
        <v>613</v>
      </c>
      <c r="C323" s="9" t="s">
        <v>333</v>
      </c>
      <c r="D323" s="9" t="str">
        <f>VLOOKUP(LEFT(B323,1),部门信息!$B$1:$C$6,2,0)</f>
        <v>市场</v>
      </c>
      <c r="E323" s="10">
        <v>18900</v>
      </c>
      <c r="F323" s="10">
        <v>400</v>
      </c>
      <c r="G323" s="10">
        <v>90</v>
      </c>
      <c r="H323" s="10">
        <v>0</v>
      </c>
      <c r="I323" s="10">
        <f t="shared" ref="I323:I351" si="20">E323+F323+G323-H323</f>
        <v>19390</v>
      </c>
      <c r="J323" s="10">
        <v>2268</v>
      </c>
      <c r="K323" s="10">
        <f t="shared" si="17"/>
        <v>13622</v>
      </c>
      <c r="L323" s="10">
        <f t="shared" si="18"/>
        <v>2400.5</v>
      </c>
      <c r="M323" s="10">
        <f t="shared" si="19"/>
        <v>14721.5</v>
      </c>
    </row>
    <row r="324" spans="1:13" x14ac:dyDescent="0.15">
      <c r="A324" s="11">
        <v>322</v>
      </c>
      <c r="B324" s="9" t="s">
        <v>470</v>
      </c>
      <c r="C324" s="9" t="s">
        <v>334</v>
      </c>
      <c r="D324" s="9" t="str">
        <f>VLOOKUP(LEFT(B324,1),部门信息!$B$1:$C$6,2,0)</f>
        <v>人事</v>
      </c>
      <c r="E324" s="10">
        <v>5500</v>
      </c>
      <c r="F324" s="10">
        <v>0</v>
      </c>
      <c r="G324" s="10">
        <v>180</v>
      </c>
      <c r="H324" s="10">
        <v>15</v>
      </c>
      <c r="I324" s="10">
        <f t="shared" si="20"/>
        <v>5665</v>
      </c>
      <c r="J324" s="10">
        <v>715</v>
      </c>
      <c r="K324" s="10">
        <f t="shared" ref="K324:K351" si="21">IF(I324-J324-3500&gt;0,I324-J324-3500,0)</f>
        <v>1450</v>
      </c>
      <c r="L324" s="10">
        <f t="shared" ref="L324:L351" si="22">IF(K324&gt;80000,K324*0.45-13505,IF(K324&gt;55000,K324*0.35-5505,IF(K324&gt;35000,K324*0.3-2755,IF(K324&gt;9000,K324*0.25-1005,IF(K324&gt;4500,K324*0.2-555,IF(K324&gt;1500,K324*0.1-105,IF(K324&gt;0,K324*0.03,0)))))))</f>
        <v>43.5</v>
      </c>
      <c r="M324" s="10">
        <f t="shared" ref="M324:M351" si="23">I324-J324-L324</f>
        <v>4906.5</v>
      </c>
    </row>
    <row r="325" spans="1:13" x14ac:dyDescent="0.15">
      <c r="A325" s="11">
        <v>323</v>
      </c>
      <c r="B325" s="9" t="s">
        <v>462</v>
      </c>
      <c r="C325" s="9" t="s">
        <v>335</v>
      </c>
      <c r="D325" s="9" t="str">
        <f>VLOOKUP(LEFT(B325,1),部门信息!$B$1:$C$6,2,0)</f>
        <v>人事</v>
      </c>
      <c r="E325" s="10">
        <v>19600</v>
      </c>
      <c r="F325" s="10">
        <v>900</v>
      </c>
      <c r="G325" s="10">
        <v>135</v>
      </c>
      <c r="H325" s="10">
        <v>0</v>
      </c>
      <c r="I325" s="10">
        <f t="shared" si="20"/>
        <v>20635</v>
      </c>
      <c r="J325" s="10">
        <v>2744</v>
      </c>
      <c r="K325" s="10">
        <f t="shared" si="21"/>
        <v>14391</v>
      </c>
      <c r="L325" s="10">
        <f t="shared" si="22"/>
        <v>2592.75</v>
      </c>
      <c r="M325" s="10">
        <f t="shared" si="23"/>
        <v>15298.25</v>
      </c>
    </row>
    <row r="326" spans="1:13" x14ac:dyDescent="0.15">
      <c r="A326" s="11">
        <v>324</v>
      </c>
      <c r="B326" s="9" t="s">
        <v>698</v>
      </c>
      <c r="C326" s="9" t="s">
        <v>336</v>
      </c>
      <c r="D326" s="9" t="str">
        <f>VLOOKUP(LEFT(B326,1),部门信息!$B$1:$C$6,2,0)</f>
        <v>市场</v>
      </c>
      <c r="E326" s="10">
        <v>7400</v>
      </c>
      <c r="F326" s="10">
        <v>1000</v>
      </c>
      <c r="G326" s="10">
        <v>315</v>
      </c>
      <c r="H326" s="10">
        <v>0</v>
      </c>
      <c r="I326" s="10">
        <f t="shared" si="20"/>
        <v>8715</v>
      </c>
      <c r="J326" s="10">
        <v>1036</v>
      </c>
      <c r="K326" s="10">
        <f t="shared" si="21"/>
        <v>4179</v>
      </c>
      <c r="L326" s="10">
        <f t="shared" si="22"/>
        <v>312.90000000000003</v>
      </c>
      <c r="M326" s="10">
        <f t="shared" si="23"/>
        <v>7366.1</v>
      </c>
    </row>
    <row r="327" spans="1:13" x14ac:dyDescent="0.15">
      <c r="A327" s="11">
        <v>325</v>
      </c>
      <c r="B327" s="9" t="s">
        <v>556</v>
      </c>
      <c r="C327" s="9" t="s">
        <v>337</v>
      </c>
      <c r="D327" s="9" t="str">
        <f>VLOOKUP(LEFT(B327,1),部门信息!$B$1:$C$6,2,0)</f>
        <v>研发</v>
      </c>
      <c r="E327" s="10">
        <v>7400</v>
      </c>
      <c r="F327" s="10">
        <v>100</v>
      </c>
      <c r="G327" s="10">
        <v>225</v>
      </c>
      <c r="H327" s="10">
        <v>249</v>
      </c>
      <c r="I327" s="10">
        <f t="shared" si="20"/>
        <v>7476</v>
      </c>
      <c r="J327" s="10">
        <v>1036</v>
      </c>
      <c r="K327" s="10">
        <f t="shared" si="21"/>
        <v>2940</v>
      </c>
      <c r="L327" s="10">
        <f t="shared" si="22"/>
        <v>189</v>
      </c>
      <c r="M327" s="10">
        <f t="shared" si="23"/>
        <v>6251</v>
      </c>
    </row>
    <row r="328" spans="1:13" x14ac:dyDescent="0.15">
      <c r="A328" s="11">
        <v>326</v>
      </c>
      <c r="B328" s="9" t="s">
        <v>718</v>
      </c>
      <c r="C328" s="9" t="s">
        <v>338</v>
      </c>
      <c r="D328" s="9" t="str">
        <f>VLOOKUP(LEFT(B328,1),部门信息!$B$1:$C$6,2,0)</f>
        <v>市场</v>
      </c>
      <c r="E328" s="10">
        <v>11300</v>
      </c>
      <c r="F328" s="10">
        <v>800</v>
      </c>
      <c r="G328" s="10">
        <v>315</v>
      </c>
      <c r="H328" s="10">
        <v>111</v>
      </c>
      <c r="I328" s="10">
        <f t="shared" si="20"/>
        <v>12304</v>
      </c>
      <c r="J328" s="10">
        <v>1469</v>
      </c>
      <c r="K328" s="10">
        <f t="shared" si="21"/>
        <v>7335</v>
      </c>
      <c r="L328" s="10">
        <f t="shared" si="22"/>
        <v>912</v>
      </c>
      <c r="M328" s="10">
        <f t="shared" si="23"/>
        <v>9923</v>
      </c>
    </row>
    <row r="329" spans="1:13" x14ac:dyDescent="0.15">
      <c r="A329" s="11">
        <v>327</v>
      </c>
      <c r="B329" s="9" t="s">
        <v>627</v>
      </c>
      <c r="C329" s="9" t="s">
        <v>339</v>
      </c>
      <c r="D329" s="9" t="str">
        <f>VLOOKUP(LEFT(B329,1),部门信息!$B$1:$C$6,2,0)</f>
        <v>市场</v>
      </c>
      <c r="E329" s="10">
        <v>4700</v>
      </c>
      <c r="F329" s="10">
        <v>0</v>
      </c>
      <c r="G329" s="10">
        <v>45</v>
      </c>
      <c r="H329" s="10">
        <v>112</v>
      </c>
      <c r="I329" s="10">
        <f t="shared" si="20"/>
        <v>4633</v>
      </c>
      <c r="J329" s="10">
        <v>752</v>
      </c>
      <c r="K329" s="10">
        <f t="shared" si="21"/>
        <v>381</v>
      </c>
      <c r="L329" s="10">
        <f t="shared" si="22"/>
        <v>11.43</v>
      </c>
      <c r="M329" s="10">
        <f t="shared" si="23"/>
        <v>3869.57</v>
      </c>
    </row>
    <row r="330" spans="1:13" x14ac:dyDescent="0.15">
      <c r="A330" s="11">
        <v>328</v>
      </c>
      <c r="B330" s="9" t="s">
        <v>625</v>
      </c>
      <c r="C330" s="9" t="s">
        <v>340</v>
      </c>
      <c r="D330" s="9" t="str">
        <f>VLOOKUP(LEFT(B330,1),部门信息!$B$1:$C$6,2,0)</f>
        <v>市场</v>
      </c>
      <c r="E330" s="10">
        <v>13900</v>
      </c>
      <c r="F330" s="10">
        <v>500</v>
      </c>
      <c r="G330" s="10">
        <v>450</v>
      </c>
      <c r="H330" s="10">
        <v>0</v>
      </c>
      <c r="I330" s="10">
        <f t="shared" si="20"/>
        <v>14850</v>
      </c>
      <c r="J330" s="10">
        <v>2224</v>
      </c>
      <c r="K330" s="10">
        <f t="shared" si="21"/>
        <v>9126</v>
      </c>
      <c r="L330" s="10">
        <f t="shared" si="22"/>
        <v>1276.5</v>
      </c>
      <c r="M330" s="10">
        <f t="shared" si="23"/>
        <v>11349.5</v>
      </c>
    </row>
    <row r="331" spans="1:13" x14ac:dyDescent="0.15">
      <c r="A331" s="11">
        <v>329</v>
      </c>
      <c r="B331" s="9" t="s">
        <v>657</v>
      </c>
      <c r="C331" s="9" t="s">
        <v>341</v>
      </c>
      <c r="D331" s="9" t="str">
        <f>VLOOKUP(LEFT(B331,1),部门信息!$B$1:$C$6,2,0)</f>
        <v>市场</v>
      </c>
      <c r="E331" s="10">
        <v>19500</v>
      </c>
      <c r="F331" s="10">
        <v>900</v>
      </c>
      <c r="G331" s="10">
        <v>45</v>
      </c>
      <c r="H331" s="10">
        <v>426</v>
      </c>
      <c r="I331" s="10">
        <f t="shared" si="20"/>
        <v>20019</v>
      </c>
      <c r="J331" s="10">
        <v>2925</v>
      </c>
      <c r="K331" s="10">
        <f t="shared" si="21"/>
        <v>13594</v>
      </c>
      <c r="L331" s="10">
        <f t="shared" si="22"/>
        <v>2393.5</v>
      </c>
      <c r="M331" s="10">
        <f t="shared" si="23"/>
        <v>14700.5</v>
      </c>
    </row>
    <row r="332" spans="1:13" x14ac:dyDescent="0.15">
      <c r="A332" s="11">
        <v>330</v>
      </c>
      <c r="B332" s="9" t="s">
        <v>713</v>
      </c>
      <c r="C332" s="9" t="s">
        <v>342</v>
      </c>
      <c r="D332" s="9" t="str">
        <f>VLOOKUP(LEFT(B332,1),部门信息!$B$1:$C$6,2,0)</f>
        <v>市场</v>
      </c>
      <c r="E332" s="10">
        <v>13500</v>
      </c>
      <c r="F332" s="10">
        <v>0</v>
      </c>
      <c r="G332" s="10">
        <v>45</v>
      </c>
      <c r="H332" s="10">
        <v>277</v>
      </c>
      <c r="I332" s="10">
        <f t="shared" si="20"/>
        <v>13268</v>
      </c>
      <c r="J332" s="10">
        <v>1890</v>
      </c>
      <c r="K332" s="10">
        <f t="shared" si="21"/>
        <v>7878</v>
      </c>
      <c r="L332" s="10">
        <f t="shared" si="22"/>
        <v>1020.6000000000001</v>
      </c>
      <c r="M332" s="10">
        <f t="shared" si="23"/>
        <v>10357.4</v>
      </c>
    </row>
    <row r="333" spans="1:13" x14ac:dyDescent="0.15">
      <c r="A333" s="11">
        <v>331</v>
      </c>
      <c r="B333" s="9" t="s">
        <v>695</v>
      </c>
      <c r="C333" s="9" t="s">
        <v>343</v>
      </c>
      <c r="D333" s="9" t="str">
        <f>VLOOKUP(LEFT(B333,1),部门信息!$B$1:$C$6,2,0)</f>
        <v>市场</v>
      </c>
      <c r="E333" s="10">
        <v>5000</v>
      </c>
      <c r="F333" s="10">
        <v>400</v>
      </c>
      <c r="G333" s="10">
        <v>45</v>
      </c>
      <c r="H333" s="10">
        <v>0</v>
      </c>
      <c r="I333" s="10">
        <f t="shared" si="20"/>
        <v>5445</v>
      </c>
      <c r="J333" s="10">
        <v>800</v>
      </c>
      <c r="K333" s="10">
        <f t="shared" si="21"/>
        <v>1145</v>
      </c>
      <c r="L333" s="10">
        <f t="shared" si="22"/>
        <v>34.35</v>
      </c>
      <c r="M333" s="10">
        <f t="shared" si="23"/>
        <v>4610.6499999999996</v>
      </c>
    </row>
    <row r="334" spans="1:13" x14ac:dyDescent="0.15">
      <c r="A334" s="11">
        <v>332</v>
      </c>
      <c r="B334" s="9" t="s">
        <v>513</v>
      </c>
      <c r="C334" s="9" t="s">
        <v>344</v>
      </c>
      <c r="D334" s="9" t="str">
        <f>VLOOKUP(LEFT(B334,1),部门信息!$B$1:$C$6,2,0)</f>
        <v>管理</v>
      </c>
      <c r="E334" s="10">
        <v>19200</v>
      </c>
      <c r="F334" s="10">
        <v>900</v>
      </c>
      <c r="G334" s="10">
        <v>450</v>
      </c>
      <c r="H334" s="10">
        <v>299</v>
      </c>
      <c r="I334" s="10">
        <f t="shared" si="20"/>
        <v>20251</v>
      </c>
      <c r="J334" s="10">
        <v>3072</v>
      </c>
      <c r="K334" s="10">
        <f t="shared" si="21"/>
        <v>13679</v>
      </c>
      <c r="L334" s="10">
        <f t="shared" si="22"/>
        <v>2414.75</v>
      </c>
      <c r="M334" s="10">
        <f t="shared" si="23"/>
        <v>14764.25</v>
      </c>
    </row>
    <row r="335" spans="1:13" x14ac:dyDescent="0.15">
      <c r="A335" s="11">
        <v>333</v>
      </c>
      <c r="B335" s="9" t="s">
        <v>708</v>
      </c>
      <c r="C335" s="9" t="s">
        <v>345</v>
      </c>
      <c r="D335" s="9" t="str">
        <f>VLOOKUP(LEFT(B335,1),部门信息!$B$1:$C$6,2,0)</f>
        <v>市场</v>
      </c>
      <c r="E335" s="10">
        <v>5500</v>
      </c>
      <c r="F335" s="10">
        <v>600</v>
      </c>
      <c r="G335" s="10">
        <v>180</v>
      </c>
      <c r="H335" s="10">
        <v>40</v>
      </c>
      <c r="I335" s="10">
        <f t="shared" si="20"/>
        <v>6240</v>
      </c>
      <c r="J335" s="10">
        <v>770</v>
      </c>
      <c r="K335" s="10">
        <f t="shared" si="21"/>
        <v>1970</v>
      </c>
      <c r="L335" s="10">
        <f t="shared" si="22"/>
        <v>92</v>
      </c>
      <c r="M335" s="10">
        <f t="shared" si="23"/>
        <v>5378</v>
      </c>
    </row>
    <row r="336" spans="1:13" x14ac:dyDescent="0.15">
      <c r="A336" s="11">
        <v>334</v>
      </c>
      <c r="B336" s="9" t="s">
        <v>637</v>
      </c>
      <c r="C336" s="9" t="s">
        <v>346</v>
      </c>
      <c r="D336" s="9" t="str">
        <f>VLOOKUP(LEFT(B336,1),部门信息!$B$1:$C$6,2,0)</f>
        <v>市场</v>
      </c>
      <c r="E336" s="10">
        <v>3400</v>
      </c>
      <c r="F336" s="10">
        <v>100</v>
      </c>
      <c r="G336" s="10">
        <v>405</v>
      </c>
      <c r="H336" s="10">
        <v>407</v>
      </c>
      <c r="I336" s="10">
        <f t="shared" si="20"/>
        <v>3498</v>
      </c>
      <c r="J336" s="10">
        <v>544</v>
      </c>
      <c r="K336" s="10">
        <f t="shared" si="21"/>
        <v>0</v>
      </c>
      <c r="L336" s="10">
        <f t="shared" si="22"/>
        <v>0</v>
      </c>
      <c r="M336" s="10">
        <f t="shared" si="23"/>
        <v>2954</v>
      </c>
    </row>
    <row r="337" spans="1:13" x14ac:dyDescent="0.15">
      <c r="A337" s="11">
        <v>335</v>
      </c>
      <c r="B337" s="9" t="s">
        <v>385</v>
      </c>
      <c r="C337" s="9" t="s">
        <v>347</v>
      </c>
      <c r="D337" s="9" t="str">
        <f>VLOOKUP(LEFT(B337,1),部门信息!$B$1:$C$6,2,0)</f>
        <v>行政</v>
      </c>
      <c r="E337" s="10">
        <v>10800</v>
      </c>
      <c r="F337" s="10">
        <v>600</v>
      </c>
      <c r="G337" s="10">
        <v>360</v>
      </c>
      <c r="H337" s="10">
        <v>138</v>
      </c>
      <c r="I337" s="10">
        <f t="shared" si="20"/>
        <v>11622</v>
      </c>
      <c r="J337" s="10">
        <v>1512</v>
      </c>
      <c r="K337" s="10">
        <f t="shared" si="21"/>
        <v>6610</v>
      </c>
      <c r="L337" s="10">
        <f t="shared" si="22"/>
        <v>767</v>
      </c>
      <c r="M337" s="10">
        <f t="shared" si="23"/>
        <v>9343</v>
      </c>
    </row>
    <row r="338" spans="1:13" x14ac:dyDescent="0.15">
      <c r="A338" s="11">
        <v>336</v>
      </c>
      <c r="B338" s="9" t="s">
        <v>400</v>
      </c>
      <c r="C338" s="9" t="s">
        <v>348</v>
      </c>
      <c r="D338" s="9" t="str">
        <f>VLOOKUP(LEFT(B338,1),部门信息!$B$1:$C$6,2,0)</f>
        <v>行政</v>
      </c>
      <c r="E338" s="10">
        <v>9100</v>
      </c>
      <c r="F338" s="10">
        <v>200</v>
      </c>
      <c r="G338" s="10">
        <v>360</v>
      </c>
      <c r="H338" s="10">
        <v>245</v>
      </c>
      <c r="I338" s="10">
        <f t="shared" si="20"/>
        <v>9415</v>
      </c>
      <c r="J338" s="10">
        <v>1365</v>
      </c>
      <c r="K338" s="10">
        <f t="shared" si="21"/>
        <v>4550</v>
      </c>
      <c r="L338" s="10">
        <f t="shared" si="22"/>
        <v>355</v>
      </c>
      <c r="M338" s="10">
        <f t="shared" si="23"/>
        <v>7695</v>
      </c>
    </row>
    <row r="339" spans="1:13" x14ac:dyDescent="0.15">
      <c r="A339" s="11">
        <v>337</v>
      </c>
      <c r="B339" s="9" t="s">
        <v>650</v>
      </c>
      <c r="C339" s="9" t="s">
        <v>349</v>
      </c>
      <c r="D339" s="9" t="str">
        <f>VLOOKUP(LEFT(B339,1),部门信息!$B$1:$C$6,2,0)</f>
        <v>市场</v>
      </c>
      <c r="E339" s="10">
        <v>3000</v>
      </c>
      <c r="F339" s="10">
        <v>600</v>
      </c>
      <c r="G339" s="10">
        <v>45</v>
      </c>
      <c r="H339" s="10">
        <v>0</v>
      </c>
      <c r="I339" s="10">
        <f t="shared" si="20"/>
        <v>3645</v>
      </c>
      <c r="J339" s="10">
        <v>360</v>
      </c>
      <c r="K339" s="10">
        <f t="shared" si="21"/>
        <v>0</v>
      </c>
      <c r="L339" s="10">
        <f t="shared" si="22"/>
        <v>0</v>
      </c>
      <c r="M339" s="10">
        <f t="shared" si="23"/>
        <v>3285</v>
      </c>
    </row>
    <row r="340" spans="1:13" x14ac:dyDescent="0.15">
      <c r="A340" s="11">
        <v>338</v>
      </c>
      <c r="B340" s="9" t="s">
        <v>526</v>
      </c>
      <c r="C340" s="9" t="s">
        <v>350</v>
      </c>
      <c r="D340" s="9" t="str">
        <f>VLOOKUP(LEFT(B340,1),部门信息!$B$1:$C$6,2,0)</f>
        <v>管理</v>
      </c>
      <c r="E340" s="10">
        <v>17300</v>
      </c>
      <c r="F340" s="10">
        <v>300</v>
      </c>
      <c r="G340" s="10">
        <v>450</v>
      </c>
      <c r="H340" s="10">
        <v>488</v>
      </c>
      <c r="I340" s="10">
        <f t="shared" si="20"/>
        <v>17562</v>
      </c>
      <c r="J340" s="10">
        <v>2422</v>
      </c>
      <c r="K340" s="10">
        <f t="shared" si="21"/>
        <v>11640</v>
      </c>
      <c r="L340" s="10">
        <f t="shared" si="22"/>
        <v>1905</v>
      </c>
      <c r="M340" s="10">
        <f t="shared" si="23"/>
        <v>13235</v>
      </c>
    </row>
    <row r="341" spans="1:13" x14ac:dyDescent="0.15">
      <c r="A341" s="11">
        <v>339</v>
      </c>
      <c r="B341" s="9" t="s">
        <v>699</v>
      </c>
      <c r="C341" s="9" t="s">
        <v>351</v>
      </c>
      <c r="D341" s="9" t="str">
        <f>VLOOKUP(LEFT(B341,1),部门信息!$B$1:$C$6,2,0)</f>
        <v>市场</v>
      </c>
      <c r="E341" s="10">
        <v>13400</v>
      </c>
      <c r="F341" s="10">
        <v>100</v>
      </c>
      <c r="G341" s="10">
        <v>450</v>
      </c>
      <c r="H341" s="10">
        <v>0</v>
      </c>
      <c r="I341" s="10">
        <f t="shared" si="20"/>
        <v>13950</v>
      </c>
      <c r="J341" s="10">
        <v>2010</v>
      </c>
      <c r="K341" s="10">
        <f t="shared" si="21"/>
        <v>8440</v>
      </c>
      <c r="L341" s="10">
        <f t="shared" si="22"/>
        <v>1133</v>
      </c>
      <c r="M341" s="10">
        <f t="shared" si="23"/>
        <v>10807</v>
      </c>
    </row>
    <row r="342" spans="1:13" x14ac:dyDescent="0.15">
      <c r="A342" s="11">
        <v>340</v>
      </c>
      <c r="B342" s="9" t="s">
        <v>542</v>
      </c>
      <c r="C342" s="9" t="s">
        <v>352</v>
      </c>
      <c r="D342" s="9" t="str">
        <f>VLOOKUP(LEFT(B342,1),部门信息!$B$1:$C$6,2,0)</f>
        <v>研发</v>
      </c>
      <c r="E342" s="10">
        <v>3600</v>
      </c>
      <c r="F342" s="10">
        <v>600</v>
      </c>
      <c r="G342" s="10">
        <v>450</v>
      </c>
      <c r="H342" s="10">
        <v>0</v>
      </c>
      <c r="I342" s="10">
        <f t="shared" si="20"/>
        <v>4650</v>
      </c>
      <c r="J342" s="10">
        <v>504</v>
      </c>
      <c r="K342" s="10">
        <f t="shared" si="21"/>
        <v>646</v>
      </c>
      <c r="L342" s="10">
        <f t="shared" si="22"/>
        <v>19.38</v>
      </c>
      <c r="M342" s="10">
        <f t="shared" si="23"/>
        <v>4126.62</v>
      </c>
    </row>
    <row r="343" spans="1:13" x14ac:dyDescent="0.15">
      <c r="A343" s="11">
        <v>341</v>
      </c>
      <c r="B343" s="9" t="s">
        <v>624</v>
      </c>
      <c r="C343" s="9" t="s">
        <v>353</v>
      </c>
      <c r="D343" s="9" t="str">
        <f>VLOOKUP(LEFT(B343,1),部门信息!$B$1:$C$6,2,0)</f>
        <v>市场</v>
      </c>
      <c r="E343" s="10">
        <v>6800</v>
      </c>
      <c r="F343" s="10">
        <v>100</v>
      </c>
      <c r="G343" s="10">
        <v>405</v>
      </c>
      <c r="H343" s="10">
        <v>0</v>
      </c>
      <c r="I343" s="10">
        <f t="shared" si="20"/>
        <v>7305</v>
      </c>
      <c r="J343" s="10">
        <v>1088</v>
      </c>
      <c r="K343" s="10">
        <f t="shared" si="21"/>
        <v>2717</v>
      </c>
      <c r="L343" s="10">
        <f t="shared" si="22"/>
        <v>166.7</v>
      </c>
      <c r="M343" s="10">
        <f t="shared" si="23"/>
        <v>6050.3</v>
      </c>
    </row>
    <row r="344" spans="1:13" x14ac:dyDescent="0.15">
      <c r="A344" s="11">
        <v>342</v>
      </c>
      <c r="B344" s="9" t="s">
        <v>432</v>
      </c>
      <c r="C344" s="9" t="s">
        <v>354</v>
      </c>
      <c r="D344" s="9" t="str">
        <f>VLOOKUP(LEFT(B344,1),部门信息!$B$1:$C$6,2,0)</f>
        <v>行政</v>
      </c>
      <c r="E344" s="10">
        <v>10400</v>
      </c>
      <c r="F344" s="10">
        <v>300</v>
      </c>
      <c r="G344" s="10">
        <v>90</v>
      </c>
      <c r="H344" s="10">
        <v>435</v>
      </c>
      <c r="I344" s="10">
        <f t="shared" si="20"/>
        <v>10355</v>
      </c>
      <c r="J344" s="10">
        <v>1456</v>
      </c>
      <c r="K344" s="10">
        <f t="shared" si="21"/>
        <v>5399</v>
      </c>
      <c r="L344" s="10">
        <f t="shared" si="22"/>
        <v>524.79999999999995</v>
      </c>
      <c r="M344" s="10">
        <f t="shared" si="23"/>
        <v>8374.2000000000007</v>
      </c>
    </row>
    <row r="345" spans="1:13" x14ac:dyDescent="0.15">
      <c r="A345" s="11">
        <v>343</v>
      </c>
      <c r="B345" s="9" t="s">
        <v>646</v>
      </c>
      <c r="C345" s="9" t="s">
        <v>355</v>
      </c>
      <c r="D345" s="9" t="str">
        <f>VLOOKUP(LEFT(B345,1),部门信息!$B$1:$C$6,2,0)</f>
        <v>市场</v>
      </c>
      <c r="E345" s="10">
        <v>11100</v>
      </c>
      <c r="F345" s="10">
        <v>1000</v>
      </c>
      <c r="G345" s="10">
        <v>270</v>
      </c>
      <c r="H345" s="10">
        <v>284</v>
      </c>
      <c r="I345" s="10">
        <f t="shared" si="20"/>
        <v>12086</v>
      </c>
      <c r="J345" s="10">
        <v>1776</v>
      </c>
      <c r="K345" s="10">
        <f t="shared" si="21"/>
        <v>6810</v>
      </c>
      <c r="L345" s="10">
        <f t="shared" si="22"/>
        <v>807</v>
      </c>
      <c r="M345" s="10">
        <f t="shared" si="23"/>
        <v>9503</v>
      </c>
    </row>
    <row r="346" spans="1:13" x14ac:dyDescent="0.15">
      <c r="A346" s="11">
        <v>344</v>
      </c>
      <c r="B346" s="9" t="s">
        <v>509</v>
      </c>
      <c r="C346" s="9" t="s">
        <v>356</v>
      </c>
      <c r="D346" s="9" t="str">
        <f>VLOOKUP(LEFT(B346,1),部门信息!$B$1:$C$6,2,0)</f>
        <v>管理</v>
      </c>
      <c r="E346" s="10">
        <v>18500</v>
      </c>
      <c r="F346" s="10">
        <v>1000</v>
      </c>
      <c r="G346" s="10">
        <v>450</v>
      </c>
      <c r="H346" s="10">
        <v>0</v>
      </c>
      <c r="I346" s="10">
        <f t="shared" si="20"/>
        <v>19950</v>
      </c>
      <c r="J346" s="10">
        <v>2405</v>
      </c>
      <c r="K346" s="10">
        <f t="shared" si="21"/>
        <v>14045</v>
      </c>
      <c r="L346" s="10">
        <f t="shared" si="22"/>
        <v>2506.25</v>
      </c>
      <c r="M346" s="10">
        <f t="shared" si="23"/>
        <v>15038.75</v>
      </c>
    </row>
    <row r="347" spans="1:13" x14ac:dyDescent="0.15">
      <c r="A347" s="11">
        <v>345</v>
      </c>
      <c r="B347" s="9" t="s">
        <v>549</v>
      </c>
      <c r="C347" s="9" t="s">
        <v>357</v>
      </c>
      <c r="D347" s="9" t="str">
        <f>VLOOKUP(LEFT(B347,1),部门信息!$B$1:$C$6,2,0)</f>
        <v>研发</v>
      </c>
      <c r="E347" s="10">
        <v>10800</v>
      </c>
      <c r="F347" s="10">
        <v>700</v>
      </c>
      <c r="G347" s="10">
        <v>225</v>
      </c>
      <c r="H347" s="10">
        <v>0</v>
      </c>
      <c r="I347" s="10">
        <f t="shared" si="20"/>
        <v>11725</v>
      </c>
      <c r="J347" s="10">
        <v>1728</v>
      </c>
      <c r="K347" s="10">
        <f t="shared" si="21"/>
        <v>6497</v>
      </c>
      <c r="L347" s="10">
        <f t="shared" si="22"/>
        <v>744.40000000000009</v>
      </c>
      <c r="M347" s="10">
        <f t="shared" si="23"/>
        <v>9252.6</v>
      </c>
    </row>
    <row r="348" spans="1:13" x14ac:dyDescent="0.15">
      <c r="A348" s="11">
        <v>346</v>
      </c>
      <c r="B348" s="9" t="s">
        <v>688</v>
      </c>
      <c r="C348" s="9" t="s">
        <v>358</v>
      </c>
      <c r="D348" s="9" t="str">
        <f>VLOOKUP(LEFT(B348,1),部门信息!$B$1:$C$6,2,0)</f>
        <v>市场</v>
      </c>
      <c r="E348" s="10">
        <v>14900</v>
      </c>
      <c r="F348" s="10">
        <v>600</v>
      </c>
      <c r="G348" s="10">
        <v>180</v>
      </c>
      <c r="H348" s="10">
        <v>149</v>
      </c>
      <c r="I348" s="10">
        <f t="shared" si="20"/>
        <v>15531</v>
      </c>
      <c r="J348" s="10">
        <v>2384</v>
      </c>
      <c r="K348" s="10">
        <f t="shared" si="21"/>
        <v>9647</v>
      </c>
      <c r="L348" s="10">
        <f t="shared" si="22"/>
        <v>1406.75</v>
      </c>
      <c r="M348" s="10">
        <f t="shared" si="23"/>
        <v>11740.25</v>
      </c>
    </row>
    <row r="349" spans="1:13" x14ac:dyDescent="0.15">
      <c r="A349" s="11">
        <v>347</v>
      </c>
      <c r="B349" s="9" t="s">
        <v>398</v>
      </c>
      <c r="C349" s="9" t="s">
        <v>359</v>
      </c>
      <c r="D349" s="9" t="str">
        <f>VLOOKUP(LEFT(B349,1),部门信息!$B$1:$C$6,2,0)</f>
        <v>行政</v>
      </c>
      <c r="E349" s="10">
        <v>11100</v>
      </c>
      <c r="F349" s="10">
        <v>200</v>
      </c>
      <c r="G349" s="10">
        <v>360</v>
      </c>
      <c r="H349" s="10">
        <v>0</v>
      </c>
      <c r="I349" s="10">
        <f t="shared" si="20"/>
        <v>11660</v>
      </c>
      <c r="J349" s="10">
        <v>1443</v>
      </c>
      <c r="K349" s="10">
        <f t="shared" si="21"/>
        <v>6717</v>
      </c>
      <c r="L349" s="10">
        <f t="shared" si="22"/>
        <v>788.40000000000009</v>
      </c>
      <c r="M349" s="10">
        <f t="shared" si="23"/>
        <v>9428.6</v>
      </c>
    </row>
    <row r="350" spans="1:13" x14ac:dyDescent="0.15">
      <c r="A350" s="11">
        <v>348</v>
      </c>
      <c r="B350" s="9" t="s">
        <v>501</v>
      </c>
      <c r="C350" s="9" t="s">
        <v>360</v>
      </c>
      <c r="D350" s="9" t="str">
        <f>VLOOKUP(LEFT(B350,1),部门信息!$B$1:$C$6,2,0)</f>
        <v>管理</v>
      </c>
      <c r="E350" s="10">
        <v>18400</v>
      </c>
      <c r="F350" s="10">
        <v>200</v>
      </c>
      <c r="G350" s="10">
        <v>225</v>
      </c>
      <c r="H350" s="10">
        <v>100</v>
      </c>
      <c r="I350" s="10">
        <f t="shared" si="20"/>
        <v>18725</v>
      </c>
      <c r="J350" s="10">
        <v>2760</v>
      </c>
      <c r="K350" s="10">
        <f t="shared" si="21"/>
        <v>12465</v>
      </c>
      <c r="L350" s="10">
        <f t="shared" si="22"/>
        <v>2111.25</v>
      </c>
      <c r="M350" s="10">
        <f t="shared" si="23"/>
        <v>13853.75</v>
      </c>
    </row>
    <row r="351" spans="1:13" x14ac:dyDescent="0.15">
      <c r="A351" s="11">
        <v>349</v>
      </c>
      <c r="B351" s="9" t="s">
        <v>587</v>
      </c>
      <c r="C351" s="9" t="s">
        <v>361</v>
      </c>
      <c r="D351" s="9" t="str">
        <f>VLOOKUP(LEFT(B351,1),部门信息!$B$1:$C$6,2,0)</f>
        <v>市场</v>
      </c>
      <c r="E351" s="10">
        <v>17900</v>
      </c>
      <c r="F351" s="10">
        <v>600</v>
      </c>
      <c r="G351" s="10">
        <v>225</v>
      </c>
      <c r="H351" s="10">
        <v>0</v>
      </c>
      <c r="I351" s="10">
        <f t="shared" si="20"/>
        <v>18725</v>
      </c>
      <c r="J351" s="10">
        <v>2327</v>
      </c>
      <c r="K351" s="10">
        <f t="shared" si="21"/>
        <v>12898</v>
      </c>
      <c r="L351" s="10">
        <f t="shared" si="22"/>
        <v>2219.5</v>
      </c>
      <c r="M351" s="10">
        <f t="shared" si="23"/>
        <v>14178.5</v>
      </c>
    </row>
  </sheetData>
  <sortState ref="A3:M351">
    <sortCondition ref="C3"/>
  </sortState>
  <phoneticPr fontId="1" type="noConversion"/>
  <conditionalFormatting sqref="H2:H1048576">
    <cfRule type="cellIs" dxfId="1" priority="1" operator="lessThan">
      <formula>0</formula>
    </cfRule>
  </conditionalFormatting>
  <pageMargins left="0.7" right="0.7" top="0.75" bottom="0.75" header="0.3" footer="0.3"/>
  <pageSetup paperSize="8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57"/>
  <sheetViews>
    <sheetView topLeftCell="A25" workbookViewId="0">
      <selection activeCell="D9" sqref="D9"/>
    </sheetView>
  </sheetViews>
  <sheetFormatPr defaultRowHeight="13.5" outlineLevelRow="2" x14ac:dyDescent="0.15"/>
  <cols>
    <col min="1" max="1" width="9.125" customWidth="1"/>
    <col min="2" max="2" width="9.25" bestFit="1" customWidth="1"/>
    <col min="5" max="5" width="13.875" style="8" bestFit="1" customWidth="1"/>
    <col min="6" max="6" width="12.75" style="8" bestFit="1" customWidth="1"/>
    <col min="7" max="7" width="10.5" style="8" bestFit="1" customWidth="1"/>
    <col min="8" max="8" width="11.5" style="8" bestFit="1" customWidth="1"/>
    <col min="9" max="9" width="13.875" style="8" bestFit="1" customWidth="1"/>
    <col min="10" max="10" width="12.75" style="8" bestFit="1" customWidth="1"/>
    <col min="11" max="11" width="12.75" style="8" customWidth="1"/>
    <col min="12" max="12" width="14.75" style="8" customWidth="1"/>
    <col min="13" max="13" width="13.875" style="8" bestFit="1" customWidth="1"/>
  </cols>
  <sheetData>
    <row r="1" spans="1:13" ht="25.5" customHeight="1" x14ac:dyDescent="0.15">
      <c r="A1" s="6" t="s">
        <v>722</v>
      </c>
      <c r="B1" s="5"/>
      <c r="C1" s="5"/>
      <c r="D1" s="5"/>
      <c r="E1" s="7"/>
      <c r="F1" s="7"/>
      <c r="G1" s="7"/>
      <c r="H1" s="7"/>
      <c r="I1" s="7"/>
      <c r="J1" s="7"/>
      <c r="K1" s="7"/>
      <c r="L1" s="7"/>
      <c r="M1" s="7"/>
    </row>
    <row r="2" spans="1:13" x14ac:dyDescent="0.15">
      <c r="A2" s="9" t="s">
        <v>13</v>
      </c>
      <c r="B2" s="9" t="s">
        <v>14</v>
      </c>
      <c r="C2" s="9" t="s">
        <v>0</v>
      </c>
      <c r="D2" s="9" t="s">
        <v>15</v>
      </c>
      <c r="E2" s="10" t="s">
        <v>16</v>
      </c>
      <c r="F2" s="10" t="s">
        <v>17</v>
      </c>
      <c r="G2" s="10" t="s">
        <v>18</v>
      </c>
      <c r="H2" s="10" t="s">
        <v>19</v>
      </c>
      <c r="I2" s="10" t="s">
        <v>20</v>
      </c>
      <c r="J2" s="10" t="s">
        <v>21</v>
      </c>
      <c r="K2" s="10" t="s">
        <v>22</v>
      </c>
      <c r="L2" s="10" t="s">
        <v>23</v>
      </c>
      <c r="M2" s="10" t="s">
        <v>24</v>
      </c>
    </row>
    <row r="3" spans="1:13" outlineLevel="2" x14ac:dyDescent="0.15">
      <c r="A3" s="11">
        <v>2</v>
      </c>
      <c r="B3" s="9" t="s">
        <v>505</v>
      </c>
      <c r="C3" s="9" t="s">
        <v>28</v>
      </c>
      <c r="D3" s="9" t="str">
        <f>VLOOKUP(LEFT(B3,1),部门信息!$B$1:$C$6,2,0)</f>
        <v>管理</v>
      </c>
      <c r="E3" s="10">
        <v>7000</v>
      </c>
      <c r="F3" s="10">
        <v>100</v>
      </c>
      <c r="G3" s="10">
        <v>225</v>
      </c>
      <c r="H3" s="10">
        <v>271</v>
      </c>
      <c r="I3" s="10">
        <f>E3+F3+G3-H3</f>
        <v>7054</v>
      </c>
      <c r="J3" s="10">
        <v>910</v>
      </c>
      <c r="K3" s="10">
        <f>IF(I3-J3-3500&gt;0,I3-J3-3500,0)</f>
        <v>2644</v>
      </c>
      <c r="L3" s="10">
        <f>IF(K3&gt;80000,K3*0.45-13505,IF(K3&gt;55000,K3*0.35-5505,IF(K3&gt;35000,K3*0.3-2755,IF(K3&gt;9000,K3*0.25-1005,IF(K3&gt;4500,K3*0.2-555,IF(K3&gt;1500,K3*0.1-105,IF(K3&gt;0,K3*0.03,0)))))))</f>
        <v>159.40000000000003</v>
      </c>
      <c r="M3" s="10">
        <f>I3-J3-L3</f>
        <v>5984.6</v>
      </c>
    </row>
    <row r="4" spans="1:13" outlineLevel="2" x14ac:dyDescent="0.15">
      <c r="A4" s="11">
        <v>10</v>
      </c>
      <c r="B4" s="9" t="s">
        <v>499</v>
      </c>
      <c r="C4" s="9" t="s">
        <v>36</v>
      </c>
      <c r="D4" s="9" t="str">
        <f>VLOOKUP(LEFT(B4,1),部门信息!$B$1:$C$6,2,0)</f>
        <v>管理</v>
      </c>
      <c r="E4" s="10">
        <v>4300</v>
      </c>
      <c r="F4" s="10">
        <v>700</v>
      </c>
      <c r="G4" s="10">
        <v>90</v>
      </c>
      <c r="H4" s="10">
        <v>0</v>
      </c>
      <c r="I4" s="10">
        <f>E4+F4+G4-H4</f>
        <v>5090</v>
      </c>
      <c r="J4" s="10">
        <v>688</v>
      </c>
      <c r="K4" s="10">
        <f>IF(I4-J4-3500&gt;0,I4-J4-3500,0)</f>
        <v>902</v>
      </c>
      <c r="L4" s="10">
        <f>IF(K4&gt;80000,K4*0.45-13505,IF(K4&gt;55000,K4*0.35-5505,IF(K4&gt;35000,K4*0.3-2755,IF(K4&gt;9000,K4*0.25-1005,IF(K4&gt;4500,K4*0.2-555,IF(K4&gt;1500,K4*0.1-105,IF(K4&gt;0,K4*0.03,0)))))))</f>
        <v>27.06</v>
      </c>
      <c r="M4" s="10">
        <f>I4-J4-L4</f>
        <v>4374.9399999999996</v>
      </c>
    </row>
    <row r="5" spans="1:13" outlineLevel="2" x14ac:dyDescent="0.15">
      <c r="A5" s="11">
        <v>17</v>
      </c>
      <c r="B5" s="9" t="s">
        <v>504</v>
      </c>
      <c r="C5" s="9" t="s">
        <v>42</v>
      </c>
      <c r="D5" s="9" t="str">
        <f>VLOOKUP(LEFT(B5,1),部门信息!$B$1:$C$6,2,0)</f>
        <v>管理</v>
      </c>
      <c r="E5" s="10">
        <v>8500</v>
      </c>
      <c r="F5" s="10">
        <v>700</v>
      </c>
      <c r="G5" s="10">
        <v>180</v>
      </c>
      <c r="H5" s="10">
        <v>388</v>
      </c>
      <c r="I5" s="10">
        <f>E5+F5+G5-H5</f>
        <v>8992</v>
      </c>
      <c r="J5" s="10">
        <v>1275</v>
      </c>
      <c r="K5" s="10">
        <f>IF(I5-J5-3500&gt;0,I5-J5-3500,0)</f>
        <v>4217</v>
      </c>
      <c r="L5" s="10">
        <f>IF(K5&gt;80000,K5*0.45-13505,IF(K5&gt;55000,K5*0.35-5505,IF(K5&gt;35000,K5*0.3-2755,IF(K5&gt;9000,K5*0.25-1005,IF(K5&gt;4500,K5*0.2-555,IF(K5&gt;1500,K5*0.1-105,IF(K5&gt;0,K5*0.03,0)))))))</f>
        <v>316.70000000000005</v>
      </c>
      <c r="M5" s="10">
        <f>I5-J5-L5</f>
        <v>7400.3</v>
      </c>
    </row>
    <row r="6" spans="1:13" outlineLevel="2" x14ac:dyDescent="0.15">
      <c r="A6" s="11">
        <v>33</v>
      </c>
      <c r="B6" s="9" t="s">
        <v>520</v>
      </c>
      <c r="C6" s="9" t="s">
        <v>58</v>
      </c>
      <c r="D6" s="9" t="str">
        <f>VLOOKUP(LEFT(B6,1),部门信息!$B$1:$C$6,2,0)</f>
        <v>管理</v>
      </c>
      <c r="E6" s="10">
        <v>6100</v>
      </c>
      <c r="F6" s="10">
        <v>900</v>
      </c>
      <c r="G6" s="10">
        <v>450</v>
      </c>
      <c r="H6" s="10">
        <v>143</v>
      </c>
      <c r="I6" s="10">
        <f>E6+F6+G6-H6</f>
        <v>7307</v>
      </c>
      <c r="J6" s="10">
        <v>915</v>
      </c>
      <c r="K6" s="10">
        <f>IF(I6-J6-3500&gt;0,I6-J6-3500,0)</f>
        <v>2892</v>
      </c>
      <c r="L6" s="10">
        <f>IF(K6&gt;80000,K6*0.45-13505,IF(K6&gt;55000,K6*0.35-5505,IF(K6&gt;35000,K6*0.3-2755,IF(K6&gt;9000,K6*0.25-1005,IF(K6&gt;4500,K6*0.2-555,IF(K6&gt;1500,K6*0.1-105,IF(K6&gt;0,K6*0.03,0)))))))</f>
        <v>184.2</v>
      </c>
      <c r="M6" s="10">
        <f>I6-J6-L6</f>
        <v>6207.8</v>
      </c>
    </row>
    <row r="7" spans="1:13" outlineLevel="2" x14ac:dyDescent="0.15">
      <c r="A7" s="11">
        <v>36</v>
      </c>
      <c r="B7" s="9" t="s">
        <v>498</v>
      </c>
      <c r="C7" s="9" t="s">
        <v>61</v>
      </c>
      <c r="D7" s="9" t="str">
        <f>VLOOKUP(LEFT(B7,1),部门信息!$B$1:$C$6,2,0)</f>
        <v>管理</v>
      </c>
      <c r="E7" s="10">
        <v>19100</v>
      </c>
      <c r="F7" s="10">
        <v>300</v>
      </c>
      <c r="G7" s="10">
        <v>135</v>
      </c>
      <c r="H7" s="10">
        <v>380</v>
      </c>
      <c r="I7" s="10">
        <f>E7+F7+G7-H7</f>
        <v>19155</v>
      </c>
      <c r="J7" s="10">
        <v>2483</v>
      </c>
      <c r="K7" s="10">
        <f>IF(I7-J7-3500&gt;0,I7-J7-3500,0)</f>
        <v>13172</v>
      </c>
      <c r="L7" s="10">
        <f>IF(K7&gt;80000,K7*0.45-13505,IF(K7&gt;55000,K7*0.35-5505,IF(K7&gt;35000,K7*0.3-2755,IF(K7&gt;9000,K7*0.25-1005,IF(K7&gt;4500,K7*0.2-555,IF(K7&gt;1500,K7*0.1-105,IF(K7&gt;0,K7*0.03,0)))))))</f>
        <v>2288</v>
      </c>
      <c r="M7" s="10">
        <f>I7-J7-L7</f>
        <v>14384</v>
      </c>
    </row>
    <row r="8" spans="1:13" outlineLevel="2" x14ac:dyDescent="0.15">
      <c r="A8" s="11">
        <v>49</v>
      </c>
      <c r="B8" s="9" t="s">
        <v>506</v>
      </c>
      <c r="C8" s="9" t="s">
        <v>74</v>
      </c>
      <c r="D8" s="9" t="str">
        <f>VLOOKUP(LEFT(B8,1),部门信息!$B$1:$C$6,2,0)</f>
        <v>管理</v>
      </c>
      <c r="E8" s="10">
        <v>8200</v>
      </c>
      <c r="F8" s="10">
        <v>800</v>
      </c>
      <c r="G8" s="10">
        <v>135</v>
      </c>
      <c r="H8" s="10">
        <v>76</v>
      </c>
      <c r="I8" s="10">
        <f>E8+F8+G8-H8</f>
        <v>9059</v>
      </c>
      <c r="J8" s="10">
        <v>984</v>
      </c>
      <c r="K8" s="10">
        <f>IF(I8-J8-3500&gt;0,I8-J8-3500,0)</f>
        <v>4575</v>
      </c>
      <c r="L8" s="10">
        <f>IF(K8&gt;80000,K8*0.45-13505,IF(K8&gt;55000,K8*0.35-5505,IF(K8&gt;35000,K8*0.3-2755,IF(K8&gt;9000,K8*0.25-1005,IF(K8&gt;4500,K8*0.2-555,IF(K8&gt;1500,K8*0.1-105,IF(K8&gt;0,K8*0.03,0)))))))</f>
        <v>360</v>
      </c>
      <c r="M8" s="10">
        <f>I8-J8-L8</f>
        <v>7715</v>
      </c>
    </row>
    <row r="9" spans="1:13" outlineLevel="2" x14ac:dyDescent="0.15">
      <c r="A9" s="11">
        <v>81</v>
      </c>
      <c r="B9" s="9" t="s">
        <v>523</v>
      </c>
      <c r="C9" s="9" t="s">
        <v>105</v>
      </c>
      <c r="D9" s="9" t="str">
        <f>VLOOKUP(LEFT(B9,1),部门信息!$B$1:$C$6,2,0)</f>
        <v>管理</v>
      </c>
      <c r="E9" s="10">
        <v>14400</v>
      </c>
      <c r="F9" s="10">
        <v>500</v>
      </c>
      <c r="G9" s="10">
        <v>270</v>
      </c>
      <c r="H9" s="10">
        <v>0</v>
      </c>
      <c r="I9" s="10">
        <f>E9+F9+G9-H9</f>
        <v>15170</v>
      </c>
      <c r="J9" s="10">
        <v>1872</v>
      </c>
      <c r="K9" s="10">
        <f>IF(I9-J9-3500&gt;0,I9-J9-3500,0)</f>
        <v>9798</v>
      </c>
      <c r="L9" s="10">
        <f>IF(K9&gt;80000,K9*0.45-13505,IF(K9&gt;55000,K9*0.35-5505,IF(K9&gt;35000,K9*0.3-2755,IF(K9&gt;9000,K9*0.25-1005,IF(K9&gt;4500,K9*0.2-555,IF(K9&gt;1500,K9*0.1-105,IF(K9&gt;0,K9*0.03,0)))))))</f>
        <v>1444.5</v>
      </c>
      <c r="M9" s="10">
        <f>I9-J9-L9</f>
        <v>11853.5</v>
      </c>
    </row>
    <row r="10" spans="1:13" outlineLevel="2" x14ac:dyDescent="0.15">
      <c r="A10" s="11">
        <v>92</v>
      </c>
      <c r="B10" s="9" t="s">
        <v>517</v>
      </c>
      <c r="C10" s="9" t="s">
        <v>116</v>
      </c>
      <c r="D10" s="9" t="str">
        <f>VLOOKUP(LEFT(B10,1),部门信息!$B$1:$C$6,2,0)</f>
        <v>管理</v>
      </c>
      <c r="E10" s="10">
        <v>9600</v>
      </c>
      <c r="F10" s="10">
        <v>300</v>
      </c>
      <c r="G10" s="10">
        <v>225</v>
      </c>
      <c r="H10" s="10">
        <v>0</v>
      </c>
      <c r="I10" s="10">
        <f>E10+F10+G10-H10</f>
        <v>10125</v>
      </c>
      <c r="J10" s="10">
        <v>1344</v>
      </c>
      <c r="K10" s="10">
        <f>IF(I10-J10-3500&gt;0,I10-J10-3500,0)</f>
        <v>5281</v>
      </c>
      <c r="L10" s="10">
        <f>IF(K10&gt;80000,K10*0.45-13505,IF(K10&gt;55000,K10*0.35-5505,IF(K10&gt;35000,K10*0.3-2755,IF(K10&gt;9000,K10*0.25-1005,IF(K10&gt;4500,K10*0.2-555,IF(K10&gt;1500,K10*0.1-105,IF(K10&gt;0,K10*0.03,0)))))))</f>
        <v>501.20000000000005</v>
      </c>
      <c r="M10" s="10">
        <f>I10-J10-L10</f>
        <v>8279.7999999999993</v>
      </c>
    </row>
    <row r="11" spans="1:13" outlineLevel="2" x14ac:dyDescent="0.15">
      <c r="A11" s="11">
        <v>99</v>
      </c>
      <c r="B11" s="9" t="s">
        <v>527</v>
      </c>
      <c r="C11" s="9" t="s">
        <v>123</v>
      </c>
      <c r="D11" s="9" t="str">
        <f>VLOOKUP(LEFT(B11,1),部门信息!$B$1:$C$6,2,0)</f>
        <v>管理</v>
      </c>
      <c r="E11" s="10">
        <v>15300</v>
      </c>
      <c r="F11" s="10">
        <v>1000</v>
      </c>
      <c r="G11" s="10">
        <v>135</v>
      </c>
      <c r="H11" s="10">
        <v>178</v>
      </c>
      <c r="I11" s="10">
        <f>E11+F11+G11-H11</f>
        <v>16257</v>
      </c>
      <c r="J11" s="10">
        <v>2448</v>
      </c>
      <c r="K11" s="10">
        <f>IF(I11-J11-3500&gt;0,I11-J11-3500,0)</f>
        <v>10309</v>
      </c>
      <c r="L11" s="10">
        <f>IF(K11&gt;80000,K11*0.45-13505,IF(K11&gt;55000,K11*0.35-5505,IF(K11&gt;35000,K11*0.3-2755,IF(K11&gt;9000,K11*0.25-1005,IF(K11&gt;4500,K11*0.2-555,IF(K11&gt;1500,K11*0.1-105,IF(K11&gt;0,K11*0.03,0)))))))</f>
        <v>1572.25</v>
      </c>
      <c r="M11" s="10">
        <f>I11-J11-L11</f>
        <v>12236.75</v>
      </c>
    </row>
    <row r="12" spans="1:13" outlineLevel="2" x14ac:dyDescent="0.15">
      <c r="A12" s="11">
        <v>104</v>
      </c>
      <c r="B12" s="9" t="s">
        <v>514</v>
      </c>
      <c r="C12" s="9" t="s">
        <v>127</v>
      </c>
      <c r="D12" s="9" t="str">
        <f>VLOOKUP(LEFT(B12,1),部门信息!$B$1:$C$6,2,0)</f>
        <v>管理</v>
      </c>
      <c r="E12" s="10">
        <v>10900</v>
      </c>
      <c r="F12" s="10">
        <v>500</v>
      </c>
      <c r="G12" s="10">
        <v>225</v>
      </c>
      <c r="H12" s="10">
        <v>0</v>
      </c>
      <c r="I12" s="10">
        <f>E12+F12+G12-H12</f>
        <v>11625</v>
      </c>
      <c r="J12" s="10">
        <v>1417</v>
      </c>
      <c r="K12" s="10">
        <f>IF(I12-J12-3500&gt;0,I12-J12-3500,0)</f>
        <v>6708</v>
      </c>
      <c r="L12" s="10">
        <f>IF(K12&gt;80000,K12*0.45-13505,IF(K12&gt;55000,K12*0.35-5505,IF(K12&gt;35000,K12*0.3-2755,IF(K12&gt;9000,K12*0.25-1005,IF(K12&gt;4500,K12*0.2-555,IF(K12&gt;1500,K12*0.1-105,IF(K12&gt;0,K12*0.03,0)))))))</f>
        <v>786.60000000000014</v>
      </c>
      <c r="M12" s="10">
        <f>I12-J12-L12</f>
        <v>9421.4</v>
      </c>
    </row>
    <row r="13" spans="1:13" outlineLevel="2" x14ac:dyDescent="0.15">
      <c r="A13" s="11">
        <v>109</v>
      </c>
      <c r="B13" s="9" t="s">
        <v>530</v>
      </c>
      <c r="C13" s="9" t="s">
        <v>132</v>
      </c>
      <c r="D13" s="9" t="str">
        <f>VLOOKUP(LEFT(B13,1),部门信息!$B$1:$C$6,2,0)</f>
        <v>管理</v>
      </c>
      <c r="E13" s="10">
        <v>3700</v>
      </c>
      <c r="F13" s="10">
        <v>1000</v>
      </c>
      <c r="G13" s="10">
        <v>45</v>
      </c>
      <c r="H13" s="10">
        <v>0</v>
      </c>
      <c r="I13" s="10">
        <f>E13+F13+G13-H13</f>
        <v>4745</v>
      </c>
      <c r="J13" s="10">
        <v>518</v>
      </c>
      <c r="K13" s="10">
        <f>IF(I13-J13-3500&gt;0,I13-J13-3500,0)</f>
        <v>727</v>
      </c>
      <c r="L13" s="10">
        <f>IF(K13&gt;80000,K13*0.45-13505,IF(K13&gt;55000,K13*0.35-5505,IF(K13&gt;35000,K13*0.3-2755,IF(K13&gt;9000,K13*0.25-1005,IF(K13&gt;4500,K13*0.2-555,IF(K13&gt;1500,K13*0.1-105,IF(K13&gt;0,K13*0.03,0)))))))</f>
        <v>21.81</v>
      </c>
      <c r="M13" s="10">
        <f>I13-J13-L13</f>
        <v>4205.1899999999996</v>
      </c>
    </row>
    <row r="14" spans="1:13" outlineLevel="2" x14ac:dyDescent="0.15">
      <c r="A14" s="11">
        <v>125</v>
      </c>
      <c r="B14" s="9" t="s">
        <v>519</v>
      </c>
      <c r="C14" s="9" t="s">
        <v>147</v>
      </c>
      <c r="D14" s="9" t="str">
        <f>VLOOKUP(LEFT(B14,1),部门信息!$B$1:$C$6,2,0)</f>
        <v>管理</v>
      </c>
      <c r="E14" s="10">
        <v>8600</v>
      </c>
      <c r="F14" s="10">
        <v>300</v>
      </c>
      <c r="G14" s="10">
        <v>405</v>
      </c>
      <c r="H14" s="10">
        <v>0</v>
      </c>
      <c r="I14" s="10">
        <f>E14+F14+G14-H14</f>
        <v>9305</v>
      </c>
      <c r="J14" s="10">
        <v>1204</v>
      </c>
      <c r="K14" s="10">
        <f>IF(I14-J14-3500&gt;0,I14-J14-3500,0)</f>
        <v>4601</v>
      </c>
      <c r="L14" s="10">
        <f>IF(K14&gt;80000,K14*0.45-13505,IF(K14&gt;55000,K14*0.35-5505,IF(K14&gt;35000,K14*0.3-2755,IF(K14&gt;9000,K14*0.25-1005,IF(K14&gt;4500,K14*0.2-555,IF(K14&gt;1500,K14*0.1-105,IF(K14&gt;0,K14*0.03,0)))))))</f>
        <v>365.20000000000005</v>
      </c>
      <c r="M14" s="10">
        <f>I14-J14-L14</f>
        <v>7735.8</v>
      </c>
    </row>
    <row r="15" spans="1:13" outlineLevel="2" x14ac:dyDescent="0.15">
      <c r="A15" s="11">
        <v>131</v>
      </c>
      <c r="B15" s="9" t="s">
        <v>529</v>
      </c>
      <c r="C15" s="9" t="s">
        <v>152</v>
      </c>
      <c r="D15" s="9" t="str">
        <f>VLOOKUP(LEFT(B15,1),部门信息!$B$1:$C$6,2,0)</f>
        <v>管理</v>
      </c>
      <c r="E15" s="10">
        <v>4100</v>
      </c>
      <c r="F15" s="10">
        <v>700</v>
      </c>
      <c r="G15" s="10">
        <v>90</v>
      </c>
      <c r="H15" s="10">
        <v>0</v>
      </c>
      <c r="I15" s="10">
        <f>E15+F15+G15-H15</f>
        <v>4890</v>
      </c>
      <c r="J15" s="10">
        <v>615</v>
      </c>
      <c r="K15" s="10">
        <f>IF(I15-J15-3500&gt;0,I15-J15-3500,0)</f>
        <v>775</v>
      </c>
      <c r="L15" s="10">
        <f>IF(K15&gt;80000,K15*0.45-13505,IF(K15&gt;55000,K15*0.35-5505,IF(K15&gt;35000,K15*0.3-2755,IF(K15&gt;9000,K15*0.25-1005,IF(K15&gt;4500,K15*0.2-555,IF(K15&gt;1500,K15*0.1-105,IF(K15&gt;0,K15*0.03,0)))))))</f>
        <v>23.25</v>
      </c>
      <c r="M15" s="10">
        <f>I15-J15-L15</f>
        <v>4251.75</v>
      </c>
    </row>
    <row r="16" spans="1:13" outlineLevel="2" x14ac:dyDescent="0.15">
      <c r="A16" s="11">
        <v>135</v>
      </c>
      <c r="B16" s="9" t="s">
        <v>507</v>
      </c>
      <c r="C16" s="9" t="s">
        <v>155</v>
      </c>
      <c r="D16" s="9" t="str">
        <f>VLOOKUP(LEFT(B16,1),部门信息!$B$1:$C$6,2,0)</f>
        <v>管理</v>
      </c>
      <c r="E16" s="10">
        <v>19300</v>
      </c>
      <c r="F16" s="10">
        <v>100</v>
      </c>
      <c r="G16" s="10">
        <v>180</v>
      </c>
      <c r="H16" s="10">
        <v>84</v>
      </c>
      <c r="I16" s="10">
        <f>E16+F16+G16-H16</f>
        <v>19496</v>
      </c>
      <c r="J16" s="10">
        <v>3088</v>
      </c>
      <c r="K16" s="10">
        <f>IF(I16-J16-3500&gt;0,I16-J16-3500,0)</f>
        <v>12908</v>
      </c>
      <c r="L16" s="10">
        <f>IF(K16&gt;80000,K16*0.45-13505,IF(K16&gt;55000,K16*0.35-5505,IF(K16&gt;35000,K16*0.3-2755,IF(K16&gt;9000,K16*0.25-1005,IF(K16&gt;4500,K16*0.2-555,IF(K16&gt;1500,K16*0.1-105,IF(K16&gt;0,K16*0.03,0)))))))</f>
        <v>2222</v>
      </c>
      <c r="M16" s="10">
        <f>I16-J16-L16</f>
        <v>14186</v>
      </c>
    </row>
    <row r="17" spans="1:13" outlineLevel="2" x14ac:dyDescent="0.15">
      <c r="A17" s="11">
        <v>150</v>
      </c>
      <c r="B17" s="9" t="s">
        <v>521</v>
      </c>
      <c r="C17" s="9" t="s">
        <v>170</v>
      </c>
      <c r="D17" s="9" t="str">
        <f>VLOOKUP(LEFT(B17,1),部门信息!$B$1:$C$6,2,0)</f>
        <v>管理</v>
      </c>
      <c r="E17" s="10">
        <v>9400</v>
      </c>
      <c r="F17" s="10">
        <v>200</v>
      </c>
      <c r="G17" s="10">
        <v>450</v>
      </c>
      <c r="H17" s="10">
        <v>0</v>
      </c>
      <c r="I17" s="10">
        <f>E17+F17+G17-H17</f>
        <v>10050</v>
      </c>
      <c r="J17" s="10">
        <v>1504</v>
      </c>
      <c r="K17" s="10">
        <f>IF(I17-J17-3500&gt;0,I17-J17-3500,0)</f>
        <v>5046</v>
      </c>
      <c r="L17" s="10">
        <f>IF(K17&gt;80000,K17*0.45-13505,IF(K17&gt;55000,K17*0.35-5505,IF(K17&gt;35000,K17*0.3-2755,IF(K17&gt;9000,K17*0.25-1005,IF(K17&gt;4500,K17*0.2-555,IF(K17&gt;1500,K17*0.1-105,IF(K17&gt;0,K17*0.03,0)))))))</f>
        <v>454.20000000000005</v>
      </c>
      <c r="M17" s="10">
        <f>I17-J17-L17</f>
        <v>8091.8</v>
      </c>
    </row>
    <row r="18" spans="1:13" outlineLevel="2" x14ac:dyDescent="0.15">
      <c r="A18" s="11">
        <v>159</v>
      </c>
      <c r="B18" s="9" t="s">
        <v>508</v>
      </c>
      <c r="C18" s="9" t="s">
        <v>179</v>
      </c>
      <c r="D18" s="9" t="str">
        <f>VLOOKUP(LEFT(B18,1),部门信息!$B$1:$C$6,2,0)</f>
        <v>管理</v>
      </c>
      <c r="E18" s="10">
        <v>17300</v>
      </c>
      <c r="F18" s="10">
        <v>500</v>
      </c>
      <c r="G18" s="10">
        <v>360</v>
      </c>
      <c r="H18" s="10">
        <v>328</v>
      </c>
      <c r="I18" s="10">
        <f>E18+F18+G18-H18</f>
        <v>17832</v>
      </c>
      <c r="J18" s="10">
        <v>2422</v>
      </c>
      <c r="K18" s="10">
        <f>IF(I18-J18-3500&gt;0,I18-J18-3500,0)</f>
        <v>11910</v>
      </c>
      <c r="L18" s="10">
        <f>IF(K18&gt;80000,K18*0.45-13505,IF(K18&gt;55000,K18*0.35-5505,IF(K18&gt;35000,K18*0.3-2755,IF(K18&gt;9000,K18*0.25-1005,IF(K18&gt;4500,K18*0.2-555,IF(K18&gt;1500,K18*0.1-105,IF(K18&gt;0,K18*0.03,0)))))))</f>
        <v>1972.5</v>
      </c>
      <c r="M18" s="10">
        <f>I18-J18-L18</f>
        <v>13437.5</v>
      </c>
    </row>
    <row r="19" spans="1:13" outlineLevel="2" x14ac:dyDescent="0.15">
      <c r="A19" s="11">
        <v>178</v>
      </c>
      <c r="B19" s="9" t="s">
        <v>524</v>
      </c>
      <c r="C19" s="9" t="s">
        <v>1</v>
      </c>
      <c r="D19" s="9" t="str">
        <f>VLOOKUP(LEFT(B19,1),部门信息!$B$1:$C$6,2,0)</f>
        <v>管理</v>
      </c>
      <c r="E19" s="10">
        <v>16700</v>
      </c>
      <c r="F19" s="10">
        <v>700</v>
      </c>
      <c r="G19" s="10">
        <v>450</v>
      </c>
      <c r="H19" s="10">
        <v>0</v>
      </c>
      <c r="I19" s="10">
        <f>E19+F19+G19-H19</f>
        <v>17850</v>
      </c>
      <c r="J19" s="10">
        <v>2338</v>
      </c>
      <c r="K19" s="10">
        <f>IF(I19-J19-3500&gt;0,I19-J19-3500,0)</f>
        <v>12012</v>
      </c>
      <c r="L19" s="10">
        <f>IF(K19&gt;80000,K19*0.45-13505,IF(K19&gt;55000,K19*0.35-5505,IF(K19&gt;35000,K19*0.3-2755,IF(K19&gt;9000,K19*0.25-1005,IF(K19&gt;4500,K19*0.2-555,IF(K19&gt;1500,K19*0.1-105,IF(K19&gt;0,K19*0.03,0)))))))</f>
        <v>1998</v>
      </c>
      <c r="M19" s="10">
        <f>I19-J19-L19</f>
        <v>13514</v>
      </c>
    </row>
    <row r="20" spans="1:13" outlineLevel="2" x14ac:dyDescent="0.15">
      <c r="A20" s="11">
        <v>188</v>
      </c>
      <c r="B20" s="9" t="s">
        <v>510</v>
      </c>
      <c r="C20" s="9" t="s">
        <v>206</v>
      </c>
      <c r="D20" s="9" t="str">
        <f>VLOOKUP(LEFT(B20,1),部门信息!$B$1:$C$6,2,0)</f>
        <v>管理</v>
      </c>
      <c r="E20" s="10">
        <v>6300</v>
      </c>
      <c r="F20" s="10">
        <v>100</v>
      </c>
      <c r="G20" s="10">
        <v>180</v>
      </c>
      <c r="H20" s="10">
        <v>290</v>
      </c>
      <c r="I20" s="10">
        <f>E20+F20+G20-H20</f>
        <v>6290</v>
      </c>
      <c r="J20" s="10">
        <v>819</v>
      </c>
      <c r="K20" s="10">
        <f>IF(I20-J20-3500&gt;0,I20-J20-3500,0)</f>
        <v>1971</v>
      </c>
      <c r="L20" s="10">
        <f>IF(K20&gt;80000,K20*0.45-13505,IF(K20&gt;55000,K20*0.35-5505,IF(K20&gt;35000,K20*0.3-2755,IF(K20&gt;9000,K20*0.25-1005,IF(K20&gt;4500,K20*0.2-555,IF(K20&gt;1500,K20*0.1-105,IF(K20&gt;0,K20*0.03,0)))))))</f>
        <v>92.100000000000023</v>
      </c>
      <c r="M20" s="10">
        <f>I20-J20-L20</f>
        <v>5378.9</v>
      </c>
    </row>
    <row r="21" spans="1:13" outlineLevel="2" x14ac:dyDescent="0.15">
      <c r="A21" s="11">
        <v>194</v>
      </c>
      <c r="B21" s="9" t="s">
        <v>502</v>
      </c>
      <c r="C21" s="9" t="s">
        <v>212</v>
      </c>
      <c r="D21" s="9" t="str">
        <f>VLOOKUP(LEFT(B21,1),部门信息!$B$1:$C$6,2,0)</f>
        <v>管理</v>
      </c>
      <c r="E21" s="10">
        <v>4000</v>
      </c>
      <c r="F21" s="10">
        <v>1000</v>
      </c>
      <c r="G21" s="10">
        <v>180</v>
      </c>
      <c r="H21" s="10">
        <v>335</v>
      </c>
      <c r="I21" s="10">
        <f>E21+F21+G21-H21</f>
        <v>4845</v>
      </c>
      <c r="J21" s="10">
        <v>480</v>
      </c>
      <c r="K21" s="10">
        <f>IF(I21-J21-3500&gt;0,I21-J21-3500,0)</f>
        <v>865</v>
      </c>
      <c r="L21" s="10">
        <f>IF(K21&gt;80000,K21*0.45-13505,IF(K21&gt;55000,K21*0.35-5505,IF(K21&gt;35000,K21*0.3-2755,IF(K21&gt;9000,K21*0.25-1005,IF(K21&gt;4500,K21*0.2-555,IF(K21&gt;1500,K21*0.1-105,IF(K21&gt;0,K21*0.03,0)))))))</f>
        <v>25.95</v>
      </c>
      <c r="M21" s="10">
        <f>I21-J21-L21</f>
        <v>4339.05</v>
      </c>
    </row>
    <row r="22" spans="1:13" outlineLevel="2" x14ac:dyDescent="0.15">
      <c r="A22" s="11">
        <v>206</v>
      </c>
      <c r="B22" s="9" t="s">
        <v>528</v>
      </c>
      <c r="C22" s="9" t="s">
        <v>222</v>
      </c>
      <c r="D22" s="9" t="str">
        <f>VLOOKUP(LEFT(B22,1),部门信息!$B$1:$C$6,2,0)</f>
        <v>管理</v>
      </c>
      <c r="E22" s="10">
        <v>4600</v>
      </c>
      <c r="F22" s="10">
        <v>100</v>
      </c>
      <c r="G22" s="10">
        <v>225</v>
      </c>
      <c r="H22" s="10">
        <v>437</v>
      </c>
      <c r="I22" s="10">
        <f>E22+F22+G22-H22</f>
        <v>4488</v>
      </c>
      <c r="J22" s="10">
        <v>736</v>
      </c>
      <c r="K22" s="10">
        <f>IF(I22-J22-3500&gt;0,I22-J22-3500,0)</f>
        <v>252</v>
      </c>
      <c r="L22" s="10">
        <f>IF(K22&gt;80000,K22*0.45-13505,IF(K22&gt;55000,K22*0.35-5505,IF(K22&gt;35000,K22*0.3-2755,IF(K22&gt;9000,K22*0.25-1005,IF(K22&gt;4500,K22*0.2-555,IF(K22&gt;1500,K22*0.1-105,IF(K22&gt;0,K22*0.03,0)))))))</f>
        <v>7.56</v>
      </c>
      <c r="M22" s="10">
        <f>I22-J22-L22</f>
        <v>3744.44</v>
      </c>
    </row>
    <row r="23" spans="1:13" outlineLevel="2" x14ac:dyDescent="0.15">
      <c r="A23" s="11">
        <v>216</v>
      </c>
      <c r="B23" s="9" t="s">
        <v>512</v>
      </c>
      <c r="C23" s="9" t="s">
        <v>232</v>
      </c>
      <c r="D23" s="9" t="str">
        <f>VLOOKUP(LEFT(B23,1),部门信息!$B$1:$C$6,2,0)</f>
        <v>管理</v>
      </c>
      <c r="E23" s="10">
        <v>9300</v>
      </c>
      <c r="F23" s="10">
        <v>1000</v>
      </c>
      <c r="G23" s="10">
        <v>225</v>
      </c>
      <c r="H23" s="10">
        <v>0</v>
      </c>
      <c r="I23" s="10">
        <f>E23+F23+G23-H23</f>
        <v>10525</v>
      </c>
      <c r="J23" s="10">
        <v>1209</v>
      </c>
      <c r="K23" s="10">
        <f>IF(I23-J23-3500&gt;0,I23-J23-3500,0)</f>
        <v>5816</v>
      </c>
      <c r="L23" s="10">
        <f>IF(K23&gt;80000,K23*0.45-13505,IF(K23&gt;55000,K23*0.35-5505,IF(K23&gt;35000,K23*0.3-2755,IF(K23&gt;9000,K23*0.25-1005,IF(K23&gt;4500,K23*0.2-555,IF(K23&gt;1500,K23*0.1-105,IF(K23&gt;0,K23*0.03,0)))))))</f>
        <v>608.20000000000005</v>
      </c>
      <c r="M23" s="10">
        <f>I23-J23-L23</f>
        <v>8707.7999999999993</v>
      </c>
    </row>
    <row r="24" spans="1:13" outlineLevel="2" x14ac:dyDescent="0.15">
      <c r="A24" s="11">
        <v>238</v>
      </c>
      <c r="B24" s="9" t="s">
        <v>525</v>
      </c>
      <c r="C24" s="9" t="s">
        <v>253</v>
      </c>
      <c r="D24" s="9" t="str">
        <f>VLOOKUP(LEFT(B24,1),部门信息!$B$1:$C$6,2,0)</f>
        <v>管理</v>
      </c>
      <c r="E24" s="10">
        <v>12400</v>
      </c>
      <c r="F24" s="10">
        <v>200</v>
      </c>
      <c r="G24" s="10">
        <v>225</v>
      </c>
      <c r="H24" s="10">
        <v>148</v>
      </c>
      <c r="I24" s="10">
        <f>E24+F24+G24-H24</f>
        <v>12677</v>
      </c>
      <c r="J24" s="10">
        <v>1612</v>
      </c>
      <c r="K24" s="10">
        <f>IF(I24-J24-3500&gt;0,I24-J24-3500,0)</f>
        <v>7565</v>
      </c>
      <c r="L24" s="10">
        <f>IF(K24&gt;80000,K24*0.45-13505,IF(K24&gt;55000,K24*0.35-5505,IF(K24&gt;35000,K24*0.3-2755,IF(K24&gt;9000,K24*0.25-1005,IF(K24&gt;4500,K24*0.2-555,IF(K24&gt;1500,K24*0.1-105,IF(K24&gt;0,K24*0.03,0)))))))</f>
        <v>958</v>
      </c>
      <c r="M24" s="10">
        <f>I24-J24-L24</f>
        <v>10107</v>
      </c>
    </row>
    <row r="25" spans="1:13" outlineLevel="2" x14ac:dyDescent="0.15">
      <c r="A25" s="11">
        <v>239</v>
      </c>
      <c r="B25" s="9" t="s">
        <v>515</v>
      </c>
      <c r="C25" s="9" t="s">
        <v>254</v>
      </c>
      <c r="D25" s="9" t="str">
        <f>VLOOKUP(LEFT(B25,1),部门信息!$B$1:$C$6,2,0)</f>
        <v>管理</v>
      </c>
      <c r="E25" s="10">
        <v>17600</v>
      </c>
      <c r="F25" s="10">
        <v>500</v>
      </c>
      <c r="G25" s="10">
        <v>45</v>
      </c>
      <c r="H25" s="10">
        <v>79</v>
      </c>
      <c r="I25" s="10">
        <f>E25+F25+G25-H25</f>
        <v>18066</v>
      </c>
      <c r="J25" s="10">
        <v>2464</v>
      </c>
      <c r="K25" s="10">
        <f>IF(I25-J25-3500&gt;0,I25-J25-3500,0)</f>
        <v>12102</v>
      </c>
      <c r="L25" s="10">
        <f>IF(K25&gt;80000,K25*0.45-13505,IF(K25&gt;55000,K25*0.35-5505,IF(K25&gt;35000,K25*0.3-2755,IF(K25&gt;9000,K25*0.25-1005,IF(K25&gt;4500,K25*0.2-555,IF(K25&gt;1500,K25*0.1-105,IF(K25&gt;0,K25*0.03,0)))))))</f>
        <v>2020.5</v>
      </c>
      <c r="M25" s="10">
        <f>I25-J25-L25</f>
        <v>13581.5</v>
      </c>
    </row>
    <row r="26" spans="1:13" outlineLevel="2" x14ac:dyDescent="0.15">
      <c r="A26" s="11">
        <v>259</v>
      </c>
      <c r="B26" s="9" t="s">
        <v>516</v>
      </c>
      <c r="C26" s="9" t="s">
        <v>273</v>
      </c>
      <c r="D26" s="9" t="str">
        <f>VLOOKUP(LEFT(B26,1),部门信息!$B$1:$C$6,2,0)</f>
        <v>管理</v>
      </c>
      <c r="E26" s="10">
        <v>7000</v>
      </c>
      <c r="F26" s="10">
        <v>500</v>
      </c>
      <c r="G26" s="10">
        <v>360</v>
      </c>
      <c r="H26" s="10">
        <v>197</v>
      </c>
      <c r="I26" s="10">
        <f>E26+F26+G26-H26</f>
        <v>7663</v>
      </c>
      <c r="J26" s="10">
        <v>1120</v>
      </c>
      <c r="K26" s="10">
        <f>IF(I26-J26-3500&gt;0,I26-J26-3500,0)</f>
        <v>3043</v>
      </c>
      <c r="L26" s="10">
        <f>IF(K26&gt;80000,K26*0.45-13505,IF(K26&gt;55000,K26*0.35-5505,IF(K26&gt;35000,K26*0.3-2755,IF(K26&gt;9000,K26*0.25-1005,IF(K26&gt;4500,K26*0.2-555,IF(K26&gt;1500,K26*0.1-105,IF(K26&gt;0,K26*0.03,0)))))))</f>
        <v>199.3</v>
      </c>
      <c r="M26" s="10">
        <f>I26-J26-L26</f>
        <v>6343.7</v>
      </c>
    </row>
    <row r="27" spans="1:13" outlineLevel="2" x14ac:dyDescent="0.15">
      <c r="A27" s="11">
        <v>260</v>
      </c>
      <c r="B27" s="9" t="s">
        <v>511</v>
      </c>
      <c r="C27" s="9" t="s">
        <v>274</v>
      </c>
      <c r="D27" s="9" t="str">
        <f>VLOOKUP(LEFT(B27,1),部门信息!$B$1:$C$6,2,0)</f>
        <v>管理</v>
      </c>
      <c r="E27" s="10">
        <v>6700</v>
      </c>
      <c r="F27" s="10">
        <v>700</v>
      </c>
      <c r="G27" s="10">
        <v>450</v>
      </c>
      <c r="H27" s="10">
        <v>144</v>
      </c>
      <c r="I27" s="10">
        <f>E27+F27+G27-H27</f>
        <v>7706</v>
      </c>
      <c r="J27" s="10">
        <v>871</v>
      </c>
      <c r="K27" s="10">
        <f>IF(I27-J27-3500&gt;0,I27-J27-3500,0)</f>
        <v>3335</v>
      </c>
      <c r="L27" s="10">
        <f>IF(K27&gt;80000,K27*0.45-13505,IF(K27&gt;55000,K27*0.35-5505,IF(K27&gt;35000,K27*0.3-2755,IF(K27&gt;9000,K27*0.25-1005,IF(K27&gt;4500,K27*0.2-555,IF(K27&gt;1500,K27*0.1-105,IF(K27&gt;0,K27*0.03,0)))))))</f>
        <v>228.5</v>
      </c>
      <c r="M27" s="10">
        <f>I27-J27-L27</f>
        <v>6606.5</v>
      </c>
    </row>
    <row r="28" spans="1:13" outlineLevel="2" x14ac:dyDescent="0.15">
      <c r="A28" s="11">
        <v>273</v>
      </c>
      <c r="B28" s="9" t="s">
        <v>522</v>
      </c>
      <c r="C28" s="9" t="s">
        <v>286</v>
      </c>
      <c r="D28" s="9" t="str">
        <f>VLOOKUP(LEFT(B28,1),部门信息!$B$1:$C$6,2,0)</f>
        <v>管理</v>
      </c>
      <c r="E28" s="10">
        <v>7200</v>
      </c>
      <c r="F28" s="10">
        <v>500</v>
      </c>
      <c r="G28" s="10">
        <v>45</v>
      </c>
      <c r="H28" s="10">
        <v>0</v>
      </c>
      <c r="I28" s="10">
        <f>E28+F28+G28-H28</f>
        <v>7745</v>
      </c>
      <c r="J28" s="10">
        <v>1152</v>
      </c>
      <c r="K28" s="10">
        <f>IF(I28-J28-3500&gt;0,I28-J28-3500,0)</f>
        <v>3093</v>
      </c>
      <c r="L28" s="10">
        <f>IF(K28&gt;80000,K28*0.45-13505,IF(K28&gt;55000,K28*0.35-5505,IF(K28&gt;35000,K28*0.3-2755,IF(K28&gt;9000,K28*0.25-1005,IF(K28&gt;4500,K28*0.2-555,IF(K28&gt;1500,K28*0.1-105,IF(K28&gt;0,K28*0.03,0)))))))</f>
        <v>204.3</v>
      </c>
      <c r="M28" s="10">
        <f>I28-J28-L28</f>
        <v>6388.7</v>
      </c>
    </row>
    <row r="29" spans="1:13" outlineLevel="2" x14ac:dyDescent="0.15">
      <c r="A29" s="11">
        <v>279</v>
      </c>
      <c r="B29" s="9" t="s">
        <v>503</v>
      </c>
      <c r="C29" s="9" t="s">
        <v>292</v>
      </c>
      <c r="D29" s="9" t="str">
        <f>VLOOKUP(LEFT(B29,1),部门信息!$B$1:$C$6,2,0)</f>
        <v>管理</v>
      </c>
      <c r="E29" s="10">
        <v>17300</v>
      </c>
      <c r="F29" s="10">
        <v>900</v>
      </c>
      <c r="G29" s="10">
        <v>405</v>
      </c>
      <c r="H29" s="10">
        <v>479</v>
      </c>
      <c r="I29" s="10">
        <f>E29+F29+G29-H29</f>
        <v>18126</v>
      </c>
      <c r="J29" s="10">
        <v>2249</v>
      </c>
      <c r="K29" s="10">
        <f>IF(I29-J29-3500&gt;0,I29-J29-3500,0)</f>
        <v>12377</v>
      </c>
      <c r="L29" s="10">
        <f>IF(K29&gt;80000,K29*0.45-13505,IF(K29&gt;55000,K29*0.35-5505,IF(K29&gt;35000,K29*0.3-2755,IF(K29&gt;9000,K29*0.25-1005,IF(K29&gt;4500,K29*0.2-555,IF(K29&gt;1500,K29*0.1-105,IF(K29&gt;0,K29*0.03,0)))))))</f>
        <v>2089.25</v>
      </c>
      <c r="M29" s="10">
        <f>I29-J29-L29</f>
        <v>13787.75</v>
      </c>
    </row>
    <row r="30" spans="1:13" outlineLevel="2" x14ac:dyDescent="0.15">
      <c r="A30" s="11">
        <v>304</v>
      </c>
      <c r="B30" s="9" t="s">
        <v>518</v>
      </c>
      <c r="C30" s="9" t="s">
        <v>316</v>
      </c>
      <c r="D30" s="9" t="str">
        <f>VLOOKUP(LEFT(B30,1),部门信息!$B$1:$C$6,2,0)</f>
        <v>管理</v>
      </c>
      <c r="E30" s="10">
        <v>16700</v>
      </c>
      <c r="F30" s="10">
        <v>500</v>
      </c>
      <c r="G30" s="10">
        <v>225</v>
      </c>
      <c r="H30" s="10">
        <v>0</v>
      </c>
      <c r="I30" s="10">
        <f>E30+F30+G30-H30</f>
        <v>17425</v>
      </c>
      <c r="J30" s="10">
        <v>2505</v>
      </c>
      <c r="K30" s="10">
        <f>IF(I30-J30-3500&gt;0,I30-J30-3500,0)</f>
        <v>11420</v>
      </c>
      <c r="L30" s="10">
        <f>IF(K30&gt;80000,K30*0.45-13505,IF(K30&gt;55000,K30*0.35-5505,IF(K30&gt;35000,K30*0.3-2755,IF(K30&gt;9000,K30*0.25-1005,IF(K30&gt;4500,K30*0.2-555,IF(K30&gt;1500,K30*0.1-105,IF(K30&gt;0,K30*0.03,0)))))))</f>
        <v>1850</v>
      </c>
      <c r="M30" s="10">
        <f>I30-J30-L30</f>
        <v>13070</v>
      </c>
    </row>
    <row r="31" spans="1:13" outlineLevel="2" x14ac:dyDescent="0.15">
      <c r="A31" s="11">
        <v>317</v>
      </c>
      <c r="B31" s="9" t="s">
        <v>500</v>
      </c>
      <c r="C31" s="9" t="s">
        <v>329</v>
      </c>
      <c r="D31" s="9" t="str">
        <f>VLOOKUP(LEFT(B31,1),部门信息!$B$1:$C$6,2,0)</f>
        <v>管理</v>
      </c>
      <c r="E31" s="10">
        <v>8000</v>
      </c>
      <c r="F31" s="10">
        <v>400</v>
      </c>
      <c r="G31" s="10">
        <v>135</v>
      </c>
      <c r="H31" s="10">
        <v>0</v>
      </c>
      <c r="I31" s="10">
        <f>E31+F31+G31-H31</f>
        <v>8535</v>
      </c>
      <c r="J31" s="10">
        <v>1200</v>
      </c>
      <c r="K31" s="10">
        <f>IF(I31-J31-3500&gt;0,I31-J31-3500,0)</f>
        <v>3835</v>
      </c>
      <c r="L31" s="10">
        <f>IF(K31&gt;80000,K31*0.45-13505,IF(K31&gt;55000,K31*0.35-5505,IF(K31&gt;35000,K31*0.3-2755,IF(K31&gt;9000,K31*0.25-1005,IF(K31&gt;4500,K31*0.2-555,IF(K31&gt;1500,K31*0.1-105,IF(K31&gt;0,K31*0.03,0)))))))</f>
        <v>278.5</v>
      </c>
      <c r="M31" s="10">
        <f>I31-J31-L31</f>
        <v>7056.5</v>
      </c>
    </row>
    <row r="32" spans="1:13" outlineLevel="2" x14ac:dyDescent="0.15">
      <c r="A32" s="11">
        <v>318</v>
      </c>
      <c r="B32" s="9" t="s">
        <v>531</v>
      </c>
      <c r="C32" s="9" t="s">
        <v>330</v>
      </c>
      <c r="D32" s="9" t="str">
        <f>VLOOKUP(LEFT(B32,1),部门信息!$B$1:$C$6,2,0)</f>
        <v>管理</v>
      </c>
      <c r="E32" s="10">
        <v>15300</v>
      </c>
      <c r="F32" s="10">
        <v>0</v>
      </c>
      <c r="G32" s="10">
        <v>45</v>
      </c>
      <c r="H32" s="10">
        <v>177</v>
      </c>
      <c r="I32" s="10">
        <f>E32+F32+G32-H32</f>
        <v>15168</v>
      </c>
      <c r="J32" s="10">
        <v>2295</v>
      </c>
      <c r="K32" s="10">
        <f>IF(I32-J32-3500&gt;0,I32-J32-3500,0)</f>
        <v>9373</v>
      </c>
      <c r="L32" s="10">
        <f>IF(K32&gt;80000,K32*0.45-13505,IF(K32&gt;55000,K32*0.35-5505,IF(K32&gt;35000,K32*0.3-2755,IF(K32&gt;9000,K32*0.25-1005,IF(K32&gt;4500,K32*0.2-555,IF(K32&gt;1500,K32*0.1-105,IF(K32&gt;0,K32*0.03,0)))))))</f>
        <v>1338.25</v>
      </c>
      <c r="M32" s="10">
        <f>I32-J32-L32</f>
        <v>11534.75</v>
      </c>
    </row>
    <row r="33" spans="1:13" outlineLevel="2" x14ac:dyDescent="0.15">
      <c r="A33" s="11">
        <v>332</v>
      </c>
      <c r="B33" s="9" t="s">
        <v>513</v>
      </c>
      <c r="C33" s="9" t="s">
        <v>344</v>
      </c>
      <c r="D33" s="9" t="str">
        <f>VLOOKUP(LEFT(B33,1),部门信息!$B$1:$C$6,2,0)</f>
        <v>管理</v>
      </c>
      <c r="E33" s="10">
        <v>19200</v>
      </c>
      <c r="F33" s="10">
        <v>900</v>
      </c>
      <c r="G33" s="10">
        <v>450</v>
      </c>
      <c r="H33" s="10">
        <v>299</v>
      </c>
      <c r="I33" s="10">
        <f>E33+F33+G33-H33</f>
        <v>20251</v>
      </c>
      <c r="J33" s="10">
        <v>3072</v>
      </c>
      <c r="K33" s="10">
        <f>IF(I33-J33-3500&gt;0,I33-J33-3500,0)</f>
        <v>13679</v>
      </c>
      <c r="L33" s="10">
        <f>IF(K33&gt;80000,K33*0.45-13505,IF(K33&gt;55000,K33*0.35-5505,IF(K33&gt;35000,K33*0.3-2755,IF(K33&gt;9000,K33*0.25-1005,IF(K33&gt;4500,K33*0.2-555,IF(K33&gt;1500,K33*0.1-105,IF(K33&gt;0,K33*0.03,0)))))))</f>
        <v>2414.75</v>
      </c>
      <c r="M33" s="10">
        <f>I33-J33-L33</f>
        <v>14764.25</v>
      </c>
    </row>
    <row r="34" spans="1:13" outlineLevel="2" x14ac:dyDescent="0.15">
      <c r="A34" s="11">
        <v>338</v>
      </c>
      <c r="B34" s="9" t="s">
        <v>526</v>
      </c>
      <c r="C34" s="9" t="s">
        <v>350</v>
      </c>
      <c r="D34" s="9" t="str">
        <f>VLOOKUP(LEFT(B34,1),部门信息!$B$1:$C$6,2,0)</f>
        <v>管理</v>
      </c>
      <c r="E34" s="10">
        <v>17300</v>
      </c>
      <c r="F34" s="10">
        <v>300</v>
      </c>
      <c r="G34" s="10">
        <v>450</v>
      </c>
      <c r="H34" s="10">
        <v>488</v>
      </c>
      <c r="I34" s="10">
        <f>E34+F34+G34-H34</f>
        <v>17562</v>
      </c>
      <c r="J34" s="10">
        <v>2422</v>
      </c>
      <c r="K34" s="10">
        <f>IF(I34-J34-3500&gt;0,I34-J34-3500,0)</f>
        <v>11640</v>
      </c>
      <c r="L34" s="10">
        <f>IF(K34&gt;80000,K34*0.45-13505,IF(K34&gt;55000,K34*0.35-5505,IF(K34&gt;35000,K34*0.3-2755,IF(K34&gt;9000,K34*0.25-1005,IF(K34&gt;4500,K34*0.2-555,IF(K34&gt;1500,K34*0.1-105,IF(K34&gt;0,K34*0.03,0)))))))</f>
        <v>1905</v>
      </c>
      <c r="M34" s="10">
        <f>I34-J34-L34</f>
        <v>13235</v>
      </c>
    </row>
    <row r="35" spans="1:13" outlineLevel="2" x14ac:dyDescent="0.15">
      <c r="A35" s="11">
        <v>344</v>
      </c>
      <c r="B35" s="9" t="s">
        <v>509</v>
      </c>
      <c r="C35" s="9" t="s">
        <v>356</v>
      </c>
      <c r="D35" s="9" t="str">
        <f>VLOOKUP(LEFT(B35,1),部门信息!$B$1:$C$6,2,0)</f>
        <v>管理</v>
      </c>
      <c r="E35" s="10">
        <v>18500</v>
      </c>
      <c r="F35" s="10">
        <v>1000</v>
      </c>
      <c r="G35" s="10">
        <v>450</v>
      </c>
      <c r="H35" s="10">
        <v>0</v>
      </c>
      <c r="I35" s="10">
        <f>E35+F35+G35-H35</f>
        <v>19950</v>
      </c>
      <c r="J35" s="10">
        <v>2405</v>
      </c>
      <c r="K35" s="10">
        <f>IF(I35-J35-3500&gt;0,I35-J35-3500,0)</f>
        <v>14045</v>
      </c>
      <c r="L35" s="10">
        <f>IF(K35&gt;80000,K35*0.45-13505,IF(K35&gt;55000,K35*0.35-5505,IF(K35&gt;35000,K35*0.3-2755,IF(K35&gt;9000,K35*0.25-1005,IF(K35&gt;4500,K35*0.2-555,IF(K35&gt;1500,K35*0.1-105,IF(K35&gt;0,K35*0.03,0)))))))</f>
        <v>2506.25</v>
      </c>
      <c r="M35" s="10">
        <f>I35-J35-L35</f>
        <v>15038.75</v>
      </c>
    </row>
    <row r="36" spans="1:13" outlineLevel="2" x14ac:dyDescent="0.15">
      <c r="A36" s="11">
        <v>348</v>
      </c>
      <c r="B36" s="9" t="s">
        <v>501</v>
      </c>
      <c r="C36" s="9" t="s">
        <v>360</v>
      </c>
      <c r="D36" s="9" t="str">
        <f>VLOOKUP(LEFT(B36,1),部门信息!$B$1:$C$6,2,0)</f>
        <v>管理</v>
      </c>
      <c r="E36" s="10">
        <v>18400</v>
      </c>
      <c r="F36" s="10">
        <v>200</v>
      </c>
      <c r="G36" s="10">
        <v>225</v>
      </c>
      <c r="H36" s="10">
        <v>100</v>
      </c>
      <c r="I36" s="10">
        <f>E36+F36+G36-H36</f>
        <v>18725</v>
      </c>
      <c r="J36" s="10">
        <v>2760</v>
      </c>
      <c r="K36" s="10">
        <f>IF(I36-J36-3500&gt;0,I36-J36-3500,0)</f>
        <v>12465</v>
      </c>
      <c r="L36" s="10">
        <f>IF(K36&gt;80000,K36*0.45-13505,IF(K36&gt;55000,K36*0.35-5505,IF(K36&gt;35000,K36*0.3-2755,IF(K36&gt;9000,K36*0.25-1005,IF(K36&gt;4500,K36*0.2-555,IF(K36&gt;1500,K36*0.1-105,IF(K36&gt;0,K36*0.03,0)))))))</f>
        <v>2111.25</v>
      </c>
      <c r="M36" s="10">
        <f>I36-J36-L36</f>
        <v>13853.75</v>
      </c>
    </row>
    <row r="37" spans="1:13" outlineLevel="1" x14ac:dyDescent="0.15">
      <c r="A37" s="11"/>
      <c r="B37" s="9"/>
      <c r="C37" s="9"/>
      <c r="D37" s="12" t="s">
        <v>734</v>
      </c>
      <c r="E37" s="10"/>
      <c r="F37" s="10"/>
      <c r="G37" s="10"/>
      <c r="H37" s="10"/>
      <c r="I37" s="10"/>
      <c r="J37" s="10"/>
      <c r="K37" s="10"/>
      <c r="L37" s="10"/>
      <c r="M37" s="10">
        <f>SUBTOTAL(1,M3:M36)</f>
        <v>9435.8373529411765</v>
      </c>
    </row>
    <row r="38" spans="1:13" outlineLevel="2" x14ac:dyDescent="0.15">
      <c r="A38" s="11">
        <v>14</v>
      </c>
      <c r="B38" s="9" t="s">
        <v>463</v>
      </c>
      <c r="C38" s="9" t="s">
        <v>39</v>
      </c>
      <c r="D38" s="9" t="str">
        <f>VLOOKUP(LEFT(B38,1),部门信息!$B$1:$C$6,2,0)</f>
        <v>人事</v>
      </c>
      <c r="E38" s="10">
        <v>8000</v>
      </c>
      <c r="F38" s="10">
        <v>600</v>
      </c>
      <c r="G38" s="10">
        <v>45</v>
      </c>
      <c r="H38" s="10">
        <v>414</v>
      </c>
      <c r="I38" s="10">
        <f>E38+F38+G38-H38</f>
        <v>8231</v>
      </c>
      <c r="J38" s="10">
        <v>1280</v>
      </c>
      <c r="K38" s="10">
        <f>IF(I38-J38-3500&gt;0,I38-J38-3500,0)</f>
        <v>3451</v>
      </c>
      <c r="L38" s="10">
        <f>IF(K38&gt;80000,K38*0.45-13505,IF(K38&gt;55000,K38*0.35-5505,IF(K38&gt;35000,K38*0.3-2755,IF(K38&gt;9000,K38*0.25-1005,IF(K38&gt;4500,K38*0.2-555,IF(K38&gt;1500,K38*0.1-105,IF(K38&gt;0,K38*0.03,0)))))))</f>
        <v>240.10000000000002</v>
      </c>
      <c r="M38" s="10">
        <f>I38-J38-L38</f>
        <v>6710.9</v>
      </c>
    </row>
    <row r="39" spans="1:13" outlineLevel="2" x14ac:dyDescent="0.15">
      <c r="A39" s="11">
        <v>23</v>
      </c>
      <c r="B39" s="9" t="s">
        <v>493</v>
      </c>
      <c r="C39" s="9" t="s">
        <v>48</v>
      </c>
      <c r="D39" s="9" t="str">
        <f>VLOOKUP(LEFT(B39,1),部门信息!$B$1:$C$6,2,0)</f>
        <v>人事</v>
      </c>
      <c r="E39" s="10">
        <v>9200</v>
      </c>
      <c r="F39" s="10">
        <v>200</v>
      </c>
      <c r="G39" s="10">
        <v>360</v>
      </c>
      <c r="H39" s="10">
        <v>0</v>
      </c>
      <c r="I39" s="10">
        <f>E39+F39+G39-H39</f>
        <v>9760</v>
      </c>
      <c r="J39" s="10">
        <v>1288</v>
      </c>
      <c r="K39" s="10">
        <f>IF(I39-J39-3500&gt;0,I39-J39-3500,0)</f>
        <v>4972</v>
      </c>
      <c r="L39" s="10">
        <f>IF(K39&gt;80000,K39*0.45-13505,IF(K39&gt;55000,K39*0.35-5505,IF(K39&gt;35000,K39*0.3-2755,IF(K39&gt;9000,K39*0.25-1005,IF(K39&gt;4500,K39*0.2-555,IF(K39&gt;1500,K39*0.1-105,IF(K39&gt;0,K39*0.03,0)))))))</f>
        <v>439.40000000000009</v>
      </c>
      <c r="M39" s="10">
        <f>I39-J39-L39</f>
        <v>8032.6</v>
      </c>
    </row>
    <row r="40" spans="1:13" outlineLevel="2" x14ac:dyDescent="0.15">
      <c r="A40" s="11">
        <v>27</v>
      </c>
      <c r="B40" s="9" t="s">
        <v>459</v>
      </c>
      <c r="C40" s="9" t="s">
        <v>52</v>
      </c>
      <c r="D40" s="9" t="str">
        <f>VLOOKUP(LEFT(B40,1),部门信息!$B$1:$C$6,2,0)</f>
        <v>人事</v>
      </c>
      <c r="E40" s="10">
        <v>6000</v>
      </c>
      <c r="F40" s="10">
        <v>600</v>
      </c>
      <c r="G40" s="10">
        <v>90</v>
      </c>
      <c r="H40" s="10">
        <v>189</v>
      </c>
      <c r="I40" s="10">
        <f>E40+F40+G40-H40</f>
        <v>6501</v>
      </c>
      <c r="J40" s="10">
        <v>900</v>
      </c>
      <c r="K40" s="10">
        <f>IF(I40-J40-3500&gt;0,I40-J40-3500,0)</f>
        <v>2101</v>
      </c>
      <c r="L40" s="10">
        <f>IF(K40&gt;80000,K40*0.45-13505,IF(K40&gt;55000,K40*0.35-5505,IF(K40&gt;35000,K40*0.3-2755,IF(K40&gt;9000,K40*0.25-1005,IF(K40&gt;4500,K40*0.2-555,IF(K40&gt;1500,K40*0.1-105,IF(K40&gt;0,K40*0.03,0)))))))</f>
        <v>105.10000000000002</v>
      </c>
      <c r="M40" s="10">
        <f>I40-J40-L40</f>
        <v>5495.9</v>
      </c>
    </row>
    <row r="41" spans="1:13" outlineLevel="2" x14ac:dyDescent="0.15">
      <c r="A41" s="11">
        <v>35</v>
      </c>
      <c r="B41" s="9" t="s">
        <v>469</v>
      </c>
      <c r="C41" s="9" t="s">
        <v>60</v>
      </c>
      <c r="D41" s="9" t="str">
        <f>VLOOKUP(LEFT(B41,1),部门信息!$B$1:$C$6,2,0)</f>
        <v>人事</v>
      </c>
      <c r="E41" s="10">
        <v>19200</v>
      </c>
      <c r="F41" s="10">
        <v>1000</v>
      </c>
      <c r="G41" s="10">
        <v>405</v>
      </c>
      <c r="H41" s="10">
        <v>0</v>
      </c>
      <c r="I41" s="10">
        <f>E41+F41+G41-H41</f>
        <v>20605</v>
      </c>
      <c r="J41" s="10">
        <v>2880</v>
      </c>
      <c r="K41" s="10">
        <f>IF(I41-J41-3500&gt;0,I41-J41-3500,0)</f>
        <v>14225</v>
      </c>
      <c r="L41" s="10">
        <f>IF(K41&gt;80000,K41*0.45-13505,IF(K41&gt;55000,K41*0.35-5505,IF(K41&gt;35000,K41*0.3-2755,IF(K41&gt;9000,K41*0.25-1005,IF(K41&gt;4500,K41*0.2-555,IF(K41&gt;1500,K41*0.1-105,IF(K41&gt;0,K41*0.03,0)))))))</f>
        <v>2551.25</v>
      </c>
      <c r="M41" s="10">
        <f>I41-J41-L41</f>
        <v>15173.75</v>
      </c>
    </row>
    <row r="42" spans="1:13" outlineLevel="2" x14ac:dyDescent="0.15">
      <c r="A42" s="11">
        <v>37</v>
      </c>
      <c r="B42" s="9" t="s">
        <v>486</v>
      </c>
      <c r="C42" s="9" t="s">
        <v>62</v>
      </c>
      <c r="D42" s="9" t="str">
        <f>VLOOKUP(LEFT(B42,1),部门信息!$B$1:$C$6,2,0)</f>
        <v>人事</v>
      </c>
      <c r="E42" s="10">
        <v>17100</v>
      </c>
      <c r="F42" s="10">
        <v>900</v>
      </c>
      <c r="G42" s="10">
        <v>90</v>
      </c>
      <c r="H42" s="10">
        <v>139</v>
      </c>
      <c r="I42" s="10">
        <f>E42+F42+G42-H42</f>
        <v>17951</v>
      </c>
      <c r="J42" s="10">
        <v>2223</v>
      </c>
      <c r="K42" s="10">
        <f>IF(I42-J42-3500&gt;0,I42-J42-3500,0)</f>
        <v>12228</v>
      </c>
      <c r="L42" s="10">
        <f>IF(K42&gt;80000,K42*0.45-13505,IF(K42&gt;55000,K42*0.35-5505,IF(K42&gt;35000,K42*0.3-2755,IF(K42&gt;9000,K42*0.25-1005,IF(K42&gt;4500,K42*0.2-555,IF(K42&gt;1500,K42*0.1-105,IF(K42&gt;0,K42*0.03,0)))))))</f>
        <v>2052</v>
      </c>
      <c r="M42" s="10">
        <f>I42-J42-L42</f>
        <v>13676</v>
      </c>
    </row>
    <row r="43" spans="1:13" outlineLevel="2" x14ac:dyDescent="0.15">
      <c r="A43" s="11">
        <v>46</v>
      </c>
      <c r="B43" s="9" t="s">
        <v>477</v>
      </c>
      <c r="C43" s="9" t="s">
        <v>71</v>
      </c>
      <c r="D43" s="9" t="str">
        <f>VLOOKUP(LEFT(B43,1),部门信息!$B$1:$C$6,2,0)</f>
        <v>人事</v>
      </c>
      <c r="E43" s="10">
        <v>7100</v>
      </c>
      <c r="F43" s="10">
        <v>600</v>
      </c>
      <c r="G43" s="10">
        <v>405</v>
      </c>
      <c r="H43" s="10">
        <v>0</v>
      </c>
      <c r="I43" s="10">
        <f>E43+F43+G43-H43</f>
        <v>8105</v>
      </c>
      <c r="J43" s="10">
        <v>852</v>
      </c>
      <c r="K43" s="10">
        <f>IF(I43-J43-3500&gt;0,I43-J43-3500,0)</f>
        <v>3753</v>
      </c>
      <c r="L43" s="10">
        <f>IF(K43&gt;80000,K43*0.45-13505,IF(K43&gt;55000,K43*0.35-5505,IF(K43&gt;35000,K43*0.3-2755,IF(K43&gt;9000,K43*0.25-1005,IF(K43&gt;4500,K43*0.2-555,IF(K43&gt;1500,K43*0.1-105,IF(K43&gt;0,K43*0.03,0)))))))</f>
        <v>270.3</v>
      </c>
      <c r="M43" s="10">
        <f>I43-J43-L43</f>
        <v>6982.7</v>
      </c>
    </row>
    <row r="44" spans="1:13" outlineLevel="2" x14ac:dyDescent="0.15">
      <c r="A44" s="11">
        <v>48</v>
      </c>
      <c r="B44" s="9" t="s">
        <v>490</v>
      </c>
      <c r="C44" s="9" t="s">
        <v>73</v>
      </c>
      <c r="D44" s="9" t="str">
        <f>VLOOKUP(LEFT(B44,1),部门信息!$B$1:$C$6,2,0)</f>
        <v>人事</v>
      </c>
      <c r="E44" s="10">
        <v>15600</v>
      </c>
      <c r="F44" s="10">
        <v>0</v>
      </c>
      <c r="G44" s="10">
        <v>180</v>
      </c>
      <c r="H44" s="10">
        <v>456</v>
      </c>
      <c r="I44" s="10">
        <f>E44+F44+G44-H44</f>
        <v>15324</v>
      </c>
      <c r="J44" s="10">
        <v>2496</v>
      </c>
      <c r="K44" s="10">
        <f>IF(I44-J44-3500&gt;0,I44-J44-3500,0)</f>
        <v>9328</v>
      </c>
      <c r="L44" s="10">
        <f>IF(K44&gt;80000,K44*0.45-13505,IF(K44&gt;55000,K44*0.35-5505,IF(K44&gt;35000,K44*0.3-2755,IF(K44&gt;9000,K44*0.25-1005,IF(K44&gt;4500,K44*0.2-555,IF(K44&gt;1500,K44*0.1-105,IF(K44&gt;0,K44*0.03,0)))))))</f>
        <v>1327</v>
      </c>
      <c r="M44" s="10">
        <f>I44-J44-L44</f>
        <v>11501</v>
      </c>
    </row>
    <row r="45" spans="1:13" outlineLevel="2" x14ac:dyDescent="0.15">
      <c r="A45" s="11">
        <v>53</v>
      </c>
      <c r="B45" s="9" t="s">
        <v>473</v>
      </c>
      <c r="C45" s="9" t="s">
        <v>78</v>
      </c>
      <c r="D45" s="9" t="str">
        <f>VLOOKUP(LEFT(B45,1),部门信息!$B$1:$C$6,2,0)</f>
        <v>人事</v>
      </c>
      <c r="E45" s="10">
        <v>5800</v>
      </c>
      <c r="F45" s="10">
        <v>700</v>
      </c>
      <c r="G45" s="10">
        <v>135</v>
      </c>
      <c r="H45" s="10">
        <v>0</v>
      </c>
      <c r="I45" s="10">
        <f>E45+F45+G45-H45</f>
        <v>6635</v>
      </c>
      <c r="J45" s="10">
        <v>696</v>
      </c>
      <c r="K45" s="10">
        <f>IF(I45-J45-3500&gt;0,I45-J45-3500,0)</f>
        <v>2439</v>
      </c>
      <c r="L45" s="10">
        <f>IF(K45&gt;80000,K45*0.45-13505,IF(K45&gt;55000,K45*0.35-5505,IF(K45&gt;35000,K45*0.3-2755,IF(K45&gt;9000,K45*0.25-1005,IF(K45&gt;4500,K45*0.2-555,IF(K45&gt;1500,K45*0.1-105,IF(K45&gt;0,K45*0.03,0)))))))</f>
        <v>138.9</v>
      </c>
      <c r="M45" s="10">
        <f>I45-J45-L45</f>
        <v>5800.1</v>
      </c>
    </row>
    <row r="46" spans="1:13" outlineLevel="2" x14ac:dyDescent="0.15">
      <c r="A46" s="11">
        <v>54</v>
      </c>
      <c r="B46" s="9" t="s">
        <v>474</v>
      </c>
      <c r="C46" s="9" t="s">
        <v>79</v>
      </c>
      <c r="D46" s="9" t="str">
        <f>VLOOKUP(LEFT(B46,1),部门信息!$B$1:$C$6,2,0)</f>
        <v>人事</v>
      </c>
      <c r="E46" s="10">
        <v>9000</v>
      </c>
      <c r="F46" s="10">
        <v>100</v>
      </c>
      <c r="G46" s="10">
        <v>180</v>
      </c>
      <c r="H46" s="10">
        <v>0</v>
      </c>
      <c r="I46" s="10">
        <f>E46+F46+G46-H46</f>
        <v>9280</v>
      </c>
      <c r="J46" s="10">
        <v>1260</v>
      </c>
      <c r="K46" s="10">
        <f>IF(I46-J46-3500&gt;0,I46-J46-3500,0)</f>
        <v>4520</v>
      </c>
      <c r="L46" s="10">
        <f>IF(K46&gt;80000,K46*0.45-13505,IF(K46&gt;55000,K46*0.35-5505,IF(K46&gt;35000,K46*0.3-2755,IF(K46&gt;9000,K46*0.25-1005,IF(K46&gt;4500,K46*0.2-555,IF(K46&gt;1500,K46*0.1-105,IF(K46&gt;0,K46*0.03,0)))))))</f>
        <v>349</v>
      </c>
      <c r="M46" s="10">
        <f>I46-J46-L46</f>
        <v>7671</v>
      </c>
    </row>
    <row r="47" spans="1:13" outlineLevel="2" x14ac:dyDescent="0.15">
      <c r="A47" s="11">
        <v>65</v>
      </c>
      <c r="B47" s="9" t="s">
        <v>481</v>
      </c>
      <c r="C47" s="9" t="s">
        <v>90</v>
      </c>
      <c r="D47" s="9" t="str">
        <f>VLOOKUP(LEFT(B47,1),部门信息!$B$1:$C$6,2,0)</f>
        <v>人事</v>
      </c>
      <c r="E47" s="10">
        <v>10600</v>
      </c>
      <c r="F47" s="10">
        <v>300</v>
      </c>
      <c r="G47" s="10">
        <v>270</v>
      </c>
      <c r="H47" s="10">
        <v>0</v>
      </c>
      <c r="I47" s="10">
        <f>E47+F47+G47-H47</f>
        <v>11170</v>
      </c>
      <c r="J47" s="10">
        <v>1378</v>
      </c>
      <c r="K47" s="10">
        <f>IF(I47-J47-3500&gt;0,I47-J47-3500,0)</f>
        <v>6292</v>
      </c>
      <c r="L47" s="10">
        <f>IF(K47&gt;80000,K47*0.45-13505,IF(K47&gt;55000,K47*0.35-5505,IF(K47&gt;35000,K47*0.3-2755,IF(K47&gt;9000,K47*0.25-1005,IF(K47&gt;4500,K47*0.2-555,IF(K47&gt;1500,K47*0.1-105,IF(K47&gt;0,K47*0.03,0)))))))</f>
        <v>703.40000000000009</v>
      </c>
      <c r="M47" s="10">
        <f>I47-J47-L47</f>
        <v>9088.6</v>
      </c>
    </row>
    <row r="48" spans="1:13" outlineLevel="2" x14ac:dyDescent="0.15">
      <c r="A48" s="11">
        <v>88</v>
      </c>
      <c r="B48" s="9" t="s">
        <v>478</v>
      </c>
      <c r="C48" s="9" t="s">
        <v>112</v>
      </c>
      <c r="D48" s="9" t="str">
        <f>VLOOKUP(LEFT(B48,1),部门信息!$B$1:$C$6,2,0)</f>
        <v>人事</v>
      </c>
      <c r="E48" s="10">
        <v>8900</v>
      </c>
      <c r="F48" s="10">
        <v>0</v>
      </c>
      <c r="G48" s="10">
        <v>450</v>
      </c>
      <c r="H48" s="10">
        <v>0</v>
      </c>
      <c r="I48" s="10">
        <f>E48+F48+G48-H48</f>
        <v>9350</v>
      </c>
      <c r="J48" s="10">
        <v>1335</v>
      </c>
      <c r="K48" s="10">
        <f>IF(I48-J48-3500&gt;0,I48-J48-3500,0)</f>
        <v>4515</v>
      </c>
      <c r="L48" s="10">
        <f>IF(K48&gt;80000,K48*0.45-13505,IF(K48&gt;55000,K48*0.35-5505,IF(K48&gt;35000,K48*0.3-2755,IF(K48&gt;9000,K48*0.25-1005,IF(K48&gt;4500,K48*0.2-555,IF(K48&gt;1500,K48*0.1-105,IF(K48&gt;0,K48*0.03,0)))))))</f>
        <v>348</v>
      </c>
      <c r="M48" s="10">
        <f>I48-J48-L48</f>
        <v>7667</v>
      </c>
    </row>
    <row r="49" spans="1:13" outlineLevel="2" x14ac:dyDescent="0.15">
      <c r="A49" s="11">
        <v>97</v>
      </c>
      <c r="B49" s="9" t="s">
        <v>476</v>
      </c>
      <c r="C49" s="9" t="s">
        <v>121</v>
      </c>
      <c r="D49" s="9" t="str">
        <f>VLOOKUP(LEFT(B49,1),部门信息!$B$1:$C$6,2,0)</f>
        <v>人事</v>
      </c>
      <c r="E49" s="10">
        <v>9200</v>
      </c>
      <c r="F49" s="10">
        <v>900</v>
      </c>
      <c r="G49" s="10">
        <v>225</v>
      </c>
      <c r="H49" s="10">
        <v>0</v>
      </c>
      <c r="I49" s="10">
        <f>E49+F49+G49-H49</f>
        <v>10325</v>
      </c>
      <c r="J49" s="10">
        <v>1196</v>
      </c>
      <c r="K49" s="10">
        <f>IF(I49-J49-3500&gt;0,I49-J49-3500,0)</f>
        <v>5629</v>
      </c>
      <c r="L49" s="10">
        <f>IF(K49&gt;80000,K49*0.45-13505,IF(K49&gt;55000,K49*0.35-5505,IF(K49&gt;35000,K49*0.3-2755,IF(K49&gt;9000,K49*0.25-1005,IF(K49&gt;4500,K49*0.2-555,IF(K49&gt;1500,K49*0.1-105,IF(K49&gt;0,K49*0.03,0)))))))</f>
        <v>570.79999999999995</v>
      </c>
      <c r="M49" s="10">
        <f>I49-J49-L49</f>
        <v>8558.2000000000007</v>
      </c>
    </row>
    <row r="50" spans="1:13" outlineLevel="2" x14ac:dyDescent="0.15">
      <c r="A50" s="11">
        <v>102</v>
      </c>
      <c r="B50" s="9" t="s">
        <v>456</v>
      </c>
      <c r="C50" s="9" t="s">
        <v>11</v>
      </c>
      <c r="D50" s="9" t="str">
        <f>VLOOKUP(LEFT(B50,1),部门信息!$B$1:$C$6,2,0)</f>
        <v>人事</v>
      </c>
      <c r="E50" s="10">
        <v>6800</v>
      </c>
      <c r="F50" s="10">
        <v>0</v>
      </c>
      <c r="G50" s="10">
        <v>450</v>
      </c>
      <c r="H50" s="10">
        <v>0</v>
      </c>
      <c r="I50" s="10">
        <f>E50+F50+G50-H50</f>
        <v>7250</v>
      </c>
      <c r="J50" s="10">
        <v>816</v>
      </c>
      <c r="K50" s="10">
        <f>IF(I50-J50-3500&gt;0,I50-J50-3500,0)</f>
        <v>2934</v>
      </c>
      <c r="L50" s="10">
        <f>IF(K50&gt;80000,K50*0.45-13505,IF(K50&gt;55000,K50*0.35-5505,IF(K50&gt;35000,K50*0.3-2755,IF(K50&gt;9000,K50*0.25-1005,IF(K50&gt;4500,K50*0.2-555,IF(K50&gt;1500,K50*0.1-105,IF(K50&gt;0,K50*0.03,0)))))))</f>
        <v>188.40000000000003</v>
      </c>
      <c r="M50" s="10">
        <f>I50-J50-L50</f>
        <v>6245.6</v>
      </c>
    </row>
    <row r="51" spans="1:13" outlineLevel="2" x14ac:dyDescent="0.15">
      <c r="A51" s="11">
        <v>108</v>
      </c>
      <c r="B51" s="9" t="s">
        <v>466</v>
      </c>
      <c r="C51" s="9" t="s">
        <v>131</v>
      </c>
      <c r="D51" s="9" t="str">
        <f>VLOOKUP(LEFT(B51,1),部门信息!$B$1:$C$6,2,0)</f>
        <v>人事</v>
      </c>
      <c r="E51" s="10">
        <v>13300</v>
      </c>
      <c r="F51" s="10">
        <v>300</v>
      </c>
      <c r="G51" s="10">
        <v>225</v>
      </c>
      <c r="H51" s="10">
        <v>0</v>
      </c>
      <c r="I51" s="10">
        <f>E51+F51+G51-H51</f>
        <v>13825</v>
      </c>
      <c r="J51" s="10">
        <v>1862</v>
      </c>
      <c r="K51" s="10">
        <f>IF(I51-J51-3500&gt;0,I51-J51-3500,0)</f>
        <v>8463</v>
      </c>
      <c r="L51" s="10">
        <f>IF(K51&gt;80000,K51*0.45-13505,IF(K51&gt;55000,K51*0.35-5505,IF(K51&gt;35000,K51*0.3-2755,IF(K51&gt;9000,K51*0.25-1005,IF(K51&gt;4500,K51*0.2-555,IF(K51&gt;1500,K51*0.1-105,IF(K51&gt;0,K51*0.03,0)))))))</f>
        <v>1137.6000000000001</v>
      </c>
      <c r="M51" s="10">
        <f>I51-J51-L51</f>
        <v>10825.4</v>
      </c>
    </row>
    <row r="52" spans="1:13" outlineLevel="2" x14ac:dyDescent="0.15">
      <c r="A52" s="11">
        <v>112</v>
      </c>
      <c r="B52" s="9" t="s">
        <v>460</v>
      </c>
      <c r="C52" s="9" t="s">
        <v>134</v>
      </c>
      <c r="D52" s="9" t="str">
        <f>VLOOKUP(LEFT(B52,1),部门信息!$B$1:$C$6,2,0)</f>
        <v>人事</v>
      </c>
      <c r="E52" s="10">
        <v>15100</v>
      </c>
      <c r="F52" s="10">
        <v>200</v>
      </c>
      <c r="G52" s="10">
        <v>135</v>
      </c>
      <c r="H52" s="10">
        <v>496</v>
      </c>
      <c r="I52" s="10">
        <f>E52+F52+G52-H52</f>
        <v>14939</v>
      </c>
      <c r="J52" s="10">
        <v>2416</v>
      </c>
      <c r="K52" s="10">
        <f>IF(I52-J52-3500&gt;0,I52-J52-3500,0)</f>
        <v>9023</v>
      </c>
      <c r="L52" s="10">
        <f>IF(K52&gt;80000,K52*0.45-13505,IF(K52&gt;55000,K52*0.35-5505,IF(K52&gt;35000,K52*0.3-2755,IF(K52&gt;9000,K52*0.25-1005,IF(K52&gt;4500,K52*0.2-555,IF(K52&gt;1500,K52*0.1-105,IF(K52&gt;0,K52*0.03,0)))))))</f>
        <v>1250.75</v>
      </c>
      <c r="M52" s="10">
        <f>I52-J52-L52</f>
        <v>11272.25</v>
      </c>
    </row>
    <row r="53" spans="1:13" outlineLevel="2" x14ac:dyDescent="0.15">
      <c r="A53" s="11">
        <v>115</v>
      </c>
      <c r="B53" s="9" t="s">
        <v>496</v>
      </c>
      <c r="C53" s="9" t="s">
        <v>137</v>
      </c>
      <c r="D53" s="9" t="str">
        <f>VLOOKUP(LEFT(B53,1),部门信息!$B$1:$C$6,2,0)</f>
        <v>人事</v>
      </c>
      <c r="E53" s="10">
        <v>7600</v>
      </c>
      <c r="F53" s="10">
        <v>300</v>
      </c>
      <c r="G53" s="10">
        <v>450</v>
      </c>
      <c r="H53" s="10">
        <v>0</v>
      </c>
      <c r="I53" s="10">
        <f>E53+F53+G53-H53</f>
        <v>8350</v>
      </c>
      <c r="J53" s="10">
        <v>988</v>
      </c>
      <c r="K53" s="10">
        <f>IF(I53-J53-3500&gt;0,I53-J53-3500,0)</f>
        <v>3862</v>
      </c>
      <c r="L53" s="10">
        <f>IF(K53&gt;80000,K53*0.45-13505,IF(K53&gt;55000,K53*0.35-5505,IF(K53&gt;35000,K53*0.3-2755,IF(K53&gt;9000,K53*0.25-1005,IF(K53&gt;4500,K53*0.2-555,IF(K53&gt;1500,K53*0.1-105,IF(K53&gt;0,K53*0.03,0)))))))</f>
        <v>281.20000000000005</v>
      </c>
      <c r="M53" s="10">
        <f>I53-J53-L53</f>
        <v>7080.8</v>
      </c>
    </row>
    <row r="54" spans="1:13" outlineLevel="2" x14ac:dyDescent="0.15">
      <c r="A54" s="11">
        <v>127</v>
      </c>
      <c r="B54" s="9" t="s">
        <v>494</v>
      </c>
      <c r="C54" s="9" t="s">
        <v>149</v>
      </c>
      <c r="D54" s="9" t="str">
        <f>VLOOKUP(LEFT(B54,1),部门信息!$B$1:$C$6,2,0)</f>
        <v>人事</v>
      </c>
      <c r="E54" s="10">
        <v>4700</v>
      </c>
      <c r="F54" s="10">
        <v>100</v>
      </c>
      <c r="G54" s="10">
        <v>270</v>
      </c>
      <c r="H54" s="10">
        <v>291</v>
      </c>
      <c r="I54" s="10">
        <f>E54+F54+G54-H54</f>
        <v>4779</v>
      </c>
      <c r="J54" s="10">
        <v>564</v>
      </c>
      <c r="K54" s="10">
        <f>IF(I54-J54-3500&gt;0,I54-J54-3500,0)</f>
        <v>715</v>
      </c>
      <c r="L54" s="10">
        <f>IF(K54&gt;80000,K54*0.45-13505,IF(K54&gt;55000,K54*0.35-5505,IF(K54&gt;35000,K54*0.3-2755,IF(K54&gt;9000,K54*0.25-1005,IF(K54&gt;4500,K54*0.2-555,IF(K54&gt;1500,K54*0.1-105,IF(K54&gt;0,K54*0.03,0)))))))</f>
        <v>21.45</v>
      </c>
      <c r="M54" s="10">
        <f>I54-J54-L54</f>
        <v>4193.55</v>
      </c>
    </row>
    <row r="55" spans="1:13" outlineLevel="2" x14ac:dyDescent="0.15">
      <c r="A55" s="11">
        <v>142</v>
      </c>
      <c r="B55" s="9" t="s">
        <v>464</v>
      </c>
      <c r="C55" s="9" t="s">
        <v>162</v>
      </c>
      <c r="D55" s="9" t="str">
        <f>VLOOKUP(LEFT(B55,1),部门信息!$B$1:$C$6,2,0)</f>
        <v>人事</v>
      </c>
      <c r="E55" s="10">
        <v>5000</v>
      </c>
      <c r="F55" s="10">
        <v>500</v>
      </c>
      <c r="G55" s="10">
        <v>315</v>
      </c>
      <c r="H55" s="10">
        <v>0</v>
      </c>
      <c r="I55" s="10">
        <f>E55+F55+G55-H55</f>
        <v>5815</v>
      </c>
      <c r="J55" s="10">
        <v>800</v>
      </c>
      <c r="K55" s="10">
        <f>IF(I55-J55-3500&gt;0,I55-J55-3500,0)</f>
        <v>1515</v>
      </c>
      <c r="L55" s="10">
        <f>IF(K55&gt;80000,K55*0.45-13505,IF(K55&gt;55000,K55*0.35-5505,IF(K55&gt;35000,K55*0.3-2755,IF(K55&gt;9000,K55*0.25-1005,IF(K55&gt;4500,K55*0.2-555,IF(K55&gt;1500,K55*0.1-105,IF(K55&gt;0,K55*0.03,0)))))))</f>
        <v>46.5</v>
      </c>
      <c r="M55" s="10">
        <f>I55-J55-L55</f>
        <v>4968.5</v>
      </c>
    </row>
    <row r="56" spans="1:13" outlineLevel="2" x14ac:dyDescent="0.15">
      <c r="A56" s="11">
        <v>149</v>
      </c>
      <c r="B56" s="9" t="s">
        <v>475</v>
      </c>
      <c r="C56" s="9" t="s">
        <v>169</v>
      </c>
      <c r="D56" s="9" t="str">
        <f>VLOOKUP(LEFT(B56,1),部门信息!$B$1:$C$6,2,0)</f>
        <v>人事</v>
      </c>
      <c r="E56" s="10">
        <v>9700</v>
      </c>
      <c r="F56" s="10">
        <v>200</v>
      </c>
      <c r="G56" s="10">
        <v>405</v>
      </c>
      <c r="H56" s="10">
        <v>467</v>
      </c>
      <c r="I56" s="10">
        <f>E56+F56+G56-H56</f>
        <v>9838</v>
      </c>
      <c r="J56" s="10">
        <v>1261</v>
      </c>
      <c r="K56" s="10">
        <f>IF(I56-J56-3500&gt;0,I56-J56-3500,0)</f>
        <v>5077</v>
      </c>
      <c r="L56" s="10">
        <f>IF(K56&gt;80000,K56*0.45-13505,IF(K56&gt;55000,K56*0.35-5505,IF(K56&gt;35000,K56*0.3-2755,IF(K56&gt;9000,K56*0.25-1005,IF(K56&gt;4500,K56*0.2-555,IF(K56&gt;1500,K56*0.1-105,IF(K56&gt;0,K56*0.03,0)))))))</f>
        <v>460.40000000000009</v>
      </c>
      <c r="M56" s="10">
        <f>I56-J56-L56</f>
        <v>8116.6</v>
      </c>
    </row>
    <row r="57" spans="1:13" outlineLevel="2" x14ac:dyDescent="0.15">
      <c r="A57" s="11">
        <v>152</v>
      </c>
      <c r="B57" s="9" t="s">
        <v>457</v>
      </c>
      <c r="C57" s="9" t="s">
        <v>172</v>
      </c>
      <c r="D57" s="9" t="str">
        <f>VLOOKUP(LEFT(B57,1),部门信息!$B$1:$C$6,2,0)</f>
        <v>人事</v>
      </c>
      <c r="E57" s="10">
        <v>18700</v>
      </c>
      <c r="F57" s="10">
        <v>200</v>
      </c>
      <c r="G57" s="10">
        <v>225</v>
      </c>
      <c r="H57" s="10">
        <v>0</v>
      </c>
      <c r="I57" s="10">
        <f>E57+F57+G57-H57</f>
        <v>19125</v>
      </c>
      <c r="J57" s="10">
        <v>2805</v>
      </c>
      <c r="K57" s="10">
        <f>IF(I57-J57-3500&gt;0,I57-J57-3500,0)</f>
        <v>12820</v>
      </c>
      <c r="L57" s="10">
        <f>IF(K57&gt;80000,K57*0.45-13505,IF(K57&gt;55000,K57*0.35-5505,IF(K57&gt;35000,K57*0.3-2755,IF(K57&gt;9000,K57*0.25-1005,IF(K57&gt;4500,K57*0.2-555,IF(K57&gt;1500,K57*0.1-105,IF(K57&gt;0,K57*0.03,0)))))))</f>
        <v>2200</v>
      </c>
      <c r="M57" s="10">
        <f>I57-J57-L57</f>
        <v>14120</v>
      </c>
    </row>
    <row r="58" spans="1:13" outlineLevel="2" x14ac:dyDescent="0.15">
      <c r="A58" s="11">
        <v>153</v>
      </c>
      <c r="B58" s="9" t="s">
        <v>491</v>
      </c>
      <c r="C58" s="9" t="s">
        <v>173</v>
      </c>
      <c r="D58" s="9" t="str">
        <f>VLOOKUP(LEFT(B58,1),部门信息!$B$1:$C$6,2,0)</f>
        <v>人事</v>
      </c>
      <c r="E58" s="10">
        <v>17000</v>
      </c>
      <c r="F58" s="10">
        <v>500</v>
      </c>
      <c r="G58" s="10">
        <v>450</v>
      </c>
      <c r="H58" s="10">
        <v>0</v>
      </c>
      <c r="I58" s="10">
        <f>E58+F58+G58-H58</f>
        <v>17950</v>
      </c>
      <c r="J58" s="10">
        <v>2380</v>
      </c>
      <c r="K58" s="10">
        <f>IF(I58-J58-3500&gt;0,I58-J58-3500,0)</f>
        <v>12070</v>
      </c>
      <c r="L58" s="10">
        <f>IF(K58&gt;80000,K58*0.45-13505,IF(K58&gt;55000,K58*0.35-5505,IF(K58&gt;35000,K58*0.3-2755,IF(K58&gt;9000,K58*0.25-1005,IF(K58&gt;4500,K58*0.2-555,IF(K58&gt;1500,K58*0.1-105,IF(K58&gt;0,K58*0.03,0)))))))</f>
        <v>2012.5</v>
      </c>
      <c r="M58" s="10">
        <f>I58-J58-L58</f>
        <v>13557.5</v>
      </c>
    </row>
    <row r="59" spans="1:13" outlineLevel="2" x14ac:dyDescent="0.15">
      <c r="A59" s="11">
        <v>156</v>
      </c>
      <c r="B59" s="9" t="s">
        <v>495</v>
      </c>
      <c r="C59" s="9" t="s">
        <v>176</v>
      </c>
      <c r="D59" s="9" t="str">
        <f>VLOOKUP(LEFT(B59,1),部门信息!$B$1:$C$6,2,0)</f>
        <v>人事</v>
      </c>
      <c r="E59" s="10">
        <v>18700</v>
      </c>
      <c r="F59" s="10">
        <v>400</v>
      </c>
      <c r="G59" s="10">
        <v>225</v>
      </c>
      <c r="H59" s="10">
        <v>178</v>
      </c>
      <c r="I59" s="10">
        <f>E59+F59+G59-H59</f>
        <v>19147</v>
      </c>
      <c r="J59" s="10">
        <v>2992</v>
      </c>
      <c r="K59" s="10">
        <f>IF(I59-J59-3500&gt;0,I59-J59-3500,0)</f>
        <v>12655</v>
      </c>
      <c r="L59" s="10">
        <f>IF(K59&gt;80000,K59*0.45-13505,IF(K59&gt;55000,K59*0.35-5505,IF(K59&gt;35000,K59*0.3-2755,IF(K59&gt;9000,K59*0.25-1005,IF(K59&gt;4500,K59*0.2-555,IF(K59&gt;1500,K59*0.1-105,IF(K59&gt;0,K59*0.03,0)))))))</f>
        <v>2158.75</v>
      </c>
      <c r="M59" s="10">
        <f>I59-J59-L59</f>
        <v>13996.25</v>
      </c>
    </row>
    <row r="60" spans="1:13" outlineLevel="2" x14ac:dyDescent="0.15">
      <c r="A60" s="11">
        <v>168</v>
      </c>
      <c r="B60" s="9" t="s">
        <v>482</v>
      </c>
      <c r="C60" s="9" t="s">
        <v>188</v>
      </c>
      <c r="D60" s="9" t="str">
        <f>VLOOKUP(LEFT(B60,1),部门信息!$B$1:$C$6,2,0)</f>
        <v>人事</v>
      </c>
      <c r="E60" s="10">
        <v>18300</v>
      </c>
      <c r="F60" s="10">
        <v>200</v>
      </c>
      <c r="G60" s="10">
        <v>360</v>
      </c>
      <c r="H60" s="10">
        <v>156</v>
      </c>
      <c r="I60" s="10">
        <f>E60+F60+G60-H60</f>
        <v>18704</v>
      </c>
      <c r="J60" s="10">
        <v>2379</v>
      </c>
      <c r="K60" s="10">
        <f>IF(I60-J60-3500&gt;0,I60-J60-3500,0)</f>
        <v>12825</v>
      </c>
      <c r="L60" s="10">
        <f>IF(K60&gt;80000,K60*0.45-13505,IF(K60&gt;55000,K60*0.35-5505,IF(K60&gt;35000,K60*0.3-2755,IF(K60&gt;9000,K60*0.25-1005,IF(K60&gt;4500,K60*0.2-555,IF(K60&gt;1500,K60*0.1-105,IF(K60&gt;0,K60*0.03,0)))))))</f>
        <v>2201.25</v>
      </c>
      <c r="M60" s="10">
        <f>I60-J60-L60</f>
        <v>14123.75</v>
      </c>
    </row>
    <row r="61" spans="1:13" outlineLevel="2" x14ac:dyDescent="0.15">
      <c r="A61" s="11">
        <v>169</v>
      </c>
      <c r="B61" s="9" t="s">
        <v>461</v>
      </c>
      <c r="C61" s="9" t="s">
        <v>189</v>
      </c>
      <c r="D61" s="9" t="str">
        <f>VLOOKUP(LEFT(B61,1),部门信息!$B$1:$C$6,2,0)</f>
        <v>人事</v>
      </c>
      <c r="E61" s="10">
        <v>17100</v>
      </c>
      <c r="F61" s="10">
        <v>1000</v>
      </c>
      <c r="G61" s="10">
        <v>135</v>
      </c>
      <c r="H61" s="10">
        <v>241</v>
      </c>
      <c r="I61" s="10">
        <f>E61+F61+G61-H61</f>
        <v>17994</v>
      </c>
      <c r="J61" s="10">
        <v>2736</v>
      </c>
      <c r="K61" s="10">
        <f>IF(I61-J61-3500&gt;0,I61-J61-3500,0)</f>
        <v>11758</v>
      </c>
      <c r="L61" s="10">
        <f>IF(K61&gt;80000,K61*0.45-13505,IF(K61&gt;55000,K61*0.35-5505,IF(K61&gt;35000,K61*0.3-2755,IF(K61&gt;9000,K61*0.25-1005,IF(K61&gt;4500,K61*0.2-555,IF(K61&gt;1500,K61*0.1-105,IF(K61&gt;0,K61*0.03,0)))))))</f>
        <v>1934.5</v>
      </c>
      <c r="M61" s="10">
        <f>I61-J61-L61</f>
        <v>13323.5</v>
      </c>
    </row>
    <row r="62" spans="1:13" outlineLevel="2" x14ac:dyDescent="0.15">
      <c r="A62" s="11">
        <v>179</v>
      </c>
      <c r="B62" s="9" t="s">
        <v>471</v>
      </c>
      <c r="C62" s="9" t="s">
        <v>197</v>
      </c>
      <c r="D62" s="9" t="str">
        <f>VLOOKUP(LEFT(B62,1),部门信息!$B$1:$C$6,2,0)</f>
        <v>人事</v>
      </c>
      <c r="E62" s="10">
        <v>14600</v>
      </c>
      <c r="F62" s="10">
        <v>500</v>
      </c>
      <c r="G62" s="10">
        <v>315</v>
      </c>
      <c r="H62" s="10">
        <v>0</v>
      </c>
      <c r="I62" s="10">
        <f>E62+F62+G62-H62</f>
        <v>15415</v>
      </c>
      <c r="J62" s="10">
        <v>1752</v>
      </c>
      <c r="K62" s="10">
        <f>IF(I62-J62-3500&gt;0,I62-J62-3500,0)</f>
        <v>10163</v>
      </c>
      <c r="L62" s="10">
        <f>IF(K62&gt;80000,K62*0.45-13505,IF(K62&gt;55000,K62*0.35-5505,IF(K62&gt;35000,K62*0.3-2755,IF(K62&gt;9000,K62*0.25-1005,IF(K62&gt;4500,K62*0.2-555,IF(K62&gt;1500,K62*0.1-105,IF(K62&gt;0,K62*0.03,0)))))))</f>
        <v>1535.75</v>
      </c>
      <c r="M62" s="10">
        <f>I62-J62-L62</f>
        <v>12127.25</v>
      </c>
    </row>
    <row r="63" spans="1:13" outlineLevel="2" x14ac:dyDescent="0.15">
      <c r="A63" s="11">
        <v>181</v>
      </c>
      <c r="B63" s="9" t="s">
        <v>454</v>
      </c>
      <c r="C63" s="9" t="s">
        <v>199</v>
      </c>
      <c r="D63" s="9" t="str">
        <f>VLOOKUP(LEFT(B63,1),部门信息!$B$1:$C$6,2,0)</f>
        <v>人事</v>
      </c>
      <c r="E63" s="10">
        <v>10400</v>
      </c>
      <c r="F63" s="10">
        <v>1000</v>
      </c>
      <c r="G63" s="10">
        <v>315</v>
      </c>
      <c r="H63" s="10">
        <v>0</v>
      </c>
      <c r="I63" s="10">
        <f>E63+F63+G63-H63</f>
        <v>11715</v>
      </c>
      <c r="J63" s="10">
        <v>1664</v>
      </c>
      <c r="K63" s="10">
        <f>IF(I63-J63-3500&gt;0,I63-J63-3500,0)</f>
        <v>6551</v>
      </c>
      <c r="L63" s="10">
        <f>IF(K63&gt;80000,K63*0.45-13505,IF(K63&gt;55000,K63*0.35-5505,IF(K63&gt;35000,K63*0.3-2755,IF(K63&gt;9000,K63*0.25-1005,IF(K63&gt;4500,K63*0.2-555,IF(K63&gt;1500,K63*0.1-105,IF(K63&gt;0,K63*0.03,0)))))))</f>
        <v>755.2</v>
      </c>
      <c r="M63" s="10">
        <f>I63-J63-L63</f>
        <v>9295.7999999999993</v>
      </c>
    </row>
    <row r="64" spans="1:13" outlineLevel="2" x14ac:dyDescent="0.15">
      <c r="A64" s="11">
        <v>182</v>
      </c>
      <c r="B64" s="9" t="s">
        <v>455</v>
      </c>
      <c r="C64" s="9" t="s">
        <v>200</v>
      </c>
      <c r="D64" s="9" t="str">
        <f>VLOOKUP(LEFT(B64,1),部门信息!$B$1:$C$6,2,0)</f>
        <v>人事</v>
      </c>
      <c r="E64" s="10">
        <v>7300</v>
      </c>
      <c r="F64" s="10">
        <v>900</v>
      </c>
      <c r="G64" s="10">
        <v>180</v>
      </c>
      <c r="H64" s="10">
        <v>103</v>
      </c>
      <c r="I64" s="10">
        <f>E64+F64+G64-H64</f>
        <v>8277</v>
      </c>
      <c r="J64" s="10">
        <v>876</v>
      </c>
      <c r="K64" s="10">
        <f>IF(I64-J64-3500&gt;0,I64-J64-3500,0)</f>
        <v>3901</v>
      </c>
      <c r="L64" s="10">
        <f>IF(K64&gt;80000,K64*0.45-13505,IF(K64&gt;55000,K64*0.35-5505,IF(K64&gt;35000,K64*0.3-2755,IF(K64&gt;9000,K64*0.25-1005,IF(K64&gt;4500,K64*0.2-555,IF(K64&gt;1500,K64*0.1-105,IF(K64&gt;0,K64*0.03,0)))))))</f>
        <v>285.10000000000002</v>
      </c>
      <c r="M64" s="10">
        <f>I64-J64-L64</f>
        <v>7115.9</v>
      </c>
    </row>
    <row r="65" spans="1:13" outlineLevel="2" x14ac:dyDescent="0.15">
      <c r="A65" s="11">
        <v>184</v>
      </c>
      <c r="B65" s="9" t="s">
        <v>468</v>
      </c>
      <c r="C65" s="9" t="s">
        <v>202</v>
      </c>
      <c r="D65" s="9" t="str">
        <f>VLOOKUP(LEFT(B65,1),部门信息!$B$1:$C$6,2,0)</f>
        <v>人事</v>
      </c>
      <c r="E65" s="10">
        <v>3700</v>
      </c>
      <c r="F65" s="10">
        <v>100</v>
      </c>
      <c r="G65" s="10">
        <v>135</v>
      </c>
      <c r="H65" s="10">
        <v>403</v>
      </c>
      <c r="I65" s="10">
        <f>E65+F65+G65-H65</f>
        <v>3532</v>
      </c>
      <c r="J65" s="10">
        <v>481</v>
      </c>
      <c r="K65" s="10">
        <f>IF(I65-J65-3500&gt;0,I65-J65-3500,0)</f>
        <v>0</v>
      </c>
      <c r="L65" s="10">
        <f>IF(K65&gt;80000,K65*0.45-13505,IF(K65&gt;55000,K65*0.35-5505,IF(K65&gt;35000,K65*0.3-2755,IF(K65&gt;9000,K65*0.25-1005,IF(K65&gt;4500,K65*0.2-555,IF(K65&gt;1500,K65*0.1-105,IF(K65&gt;0,K65*0.03,0)))))))</f>
        <v>0</v>
      </c>
      <c r="M65" s="10">
        <f>I65-J65-L65</f>
        <v>3051</v>
      </c>
    </row>
    <row r="66" spans="1:13" outlineLevel="2" x14ac:dyDescent="0.15">
      <c r="A66" s="11">
        <v>196</v>
      </c>
      <c r="B66" s="9" t="s">
        <v>485</v>
      </c>
      <c r="C66" s="9" t="s">
        <v>214</v>
      </c>
      <c r="D66" s="9" t="str">
        <f>VLOOKUP(LEFT(B66,1),部门信息!$B$1:$C$6,2,0)</f>
        <v>人事</v>
      </c>
      <c r="E66" s="10">
        <v>9000</v>
      </c>
      <c r="F66" s="10">
        <v>0</v>
      </c>
      <c r="G66" s="10">
        <v>270</v>
      </c>
      <c r="H66" s="10">
        <v>405</v>
      </c>
      <c r="I66" s="10">
        <f>E66+F66+G66-H66</f>
        <v>8865</v>
      </c>
      <c r="J66" s="10">
        <v>1260</v>
      </c>
      <c r="K66" s="10">
        <f>IF(I66-J66-3500&gt;0,I66-J66-3500,0)</f>
        <v>4105</v>
      </c>
      <c r="L66" s="10">
        <f>IF(K66&gt;80000,K66*0.45-13505,IF(K66&gt;55000,K66*0.35-5505,IF(K66&gt;35000,K66*0.3-2755,IF(K66&gt;9000,K66*0.25-1005,IF(K66&gt;4500,K66*0.2-555,IF(K66&gt;1500,K66*0.1-105,IF(K66&gt;0,K66*0.03,0)))))))</f>
        <v>305.5</v>
      </c>
      <c r="M66" s="10">
        <f>I66-J66-L66</f>
        <v>7299.5</v>
      </c>
    </row>
    <row r="67" spans="1:13" outlineLevel="2" x14ac:dyDescent="0.15">
      <c r="A67" s="11">
        <v>197</v>
      </c>
      <c r="B67" s="9" t="s">
        <v>497</v>
      </c>
      <c r="C67" s="9" t="s">
        <v>215</v>
      </c>
      <c r="D67" s="9" t="str">
        <f>VLOOKUP(LEFT(B67,1),部门信息!$B$1:$C$6,2,0)</f>
        <v>人事</v>
      </c>
      <c r="E67" s="10">
        <v>8200</v>
      </c>
      <c r="F67" s="10">
        <v>900</v>
      </c>
      <c r="G67" s="10">
        <v>405</v>
      </c>
      <c r="H67" s="10">
        <v>0</v>
      </c>
      <c r="I67" s="10">
        <f>E67+F67+G67-H67</f>
        <v>9505</v>
      </c>
      <c r="J67" s="10">
        <v>1148</v>
      </c>
      <c r="K67" s="10">
        <f>IF(I67-J67-3500&gt;0,I67-J67-3500,0)</f>
        <v>4857</v>
      </c>
      <c r="L67" s="10">
        <f>IF(K67&gt;80000,K67*0.45-13505,IF(K67&gt;55000,K67*0.35-5505,IF(K67&gt;35000,K67*0.3-2755,IF(K67&gt;9000,K67*0.25-1005,IF(K67&gt;4500,K67*0.2-555,IF(K67&gt;1500,K67*0.1-105,IF(K67&gt;0,K67*0.03,0)))))))</f>
        <v>416.40000000000009</v>
      </c>
      <c r="M67" s="10">
        <f>I67-J67-L67</f>
        <v>7940.6</v>
      </c>
    </row>
    <row r="68" spans="1:13" outlineLevel="2" x14ac:dyDescent="0.15">
      <c r="A68" s="11">
        <v>202</v>
      </c>
      <c r="B68" s="9" t="s">
        <v>483</v>
      </c>
      <c r="C68" s="9" t="s">
        <v>219</v>
      </c>
      <c r="D68" s="9" t="str">
        <f>VLOOKUP(LEFT(B68,1),部门信息!$B$1:$C$6,2,0)</f>
        <v>人事</v>
      </c>
      <c r="E68" s="10">
        <v>14800</v>
      </c>
      <c r="F68" s="10">
        <v>400</v>
      </c>
      <c r="G68" s="10">
        <v>180</v>
      </c>
      <c r="H68" s="10">
        <v>389</v>
      </c>
      <c r="I68" s="10">
        <f>E68+F68+G68-H68</f>
        <v>14991</v>
      </c>
      <c r="J68" s="10">
        <v>1776</v>
      </c>
      <c r="K68" s="10">
        <f>IF(I68-J68-3500&gt;0,I68-J68-3500,0)</f>
        <v>9715</v>
      </c>
      <c r="L68" s="10">
        <f>IF(K68&gt;80000,K68*0.45-13505,IF(K68&gt;55000,K68*0.35-5505,IF(K68&gt;35000,K68*0.3-2755,IF(K68&gt;9000,K68*0.25-1005,IF(K68&gt;4500,K68*0.2-555,IF(K68&gt;1500,K68*0.1-105,IF(K68&gt;0,K68*0.03,0)))))))</f>
        <v>1423.75</v>
      </c>
      <c r="M68" s="10">
        <f>I68-J68-L68</f>
        <v>11791.25</v>
      </c>
    </row>
    <row r="69" spans="1:13" outlineLevel="2" x14ac:dyDescent="0.15">
      <c r="A69" s="11">
        <v>219</v>
      </c>
      <c r="B69" s="9" t="s">
        <v>472</v>
      </c>
      <c r="C69" s="9" t="s">
        <v>235</v>
      </c>
      <c r="D69" s="9" t="str">
        <f>VLOOKUP(LEFT(B69,1),部门信息!$B$1:$C$6,2,0)</f>
        <v>人事</v>
      </c>
      <c r="E69" s="10">
        <v>16500</v>
      </c>
      <c r="F69" s="10">
        <v>400</v>
      </c>
      <c r="G69" s="10">
        <v>90</v>
      </c>
      <c r="H69" s="10">
        <v>343</v>
      </c>
      <c r="I69" s="10">
        <f>E69+F69+G69-H69</f>
        <v>16647</v>
      </c>
      <c r="J69" s="10">
        <v>2310</v>
      </c>
      <c r="K69" s="10">
        <f>IF(I69-J69-3500&gt;0,I69-J69-3500,0)</f>
        <v>10837</v>
      </c>
      <c r="L69" s="10">
        <f>IF(K69&gt;80000,K69*0.45-13505,IF(K69&gt;55000,K69*0.35-5505,IF(K69&gt;35000,K69*0.3-2755,IF(K69&gt;9000,K69*0.25-1005,IF(K69&gt;4500,K69*0.2-555,IF(K69&gt;1500,K69*0.1-105,IF(K69&gt;0,K69*0.03,0)))))))</f>
        <v>1704.25</v>
      </c>
      <c r="M69" s="10">
        <f>I69-J69-L69</f>
        <v>12632.75</v>
      </c>
    </row>
    <row r="70" spans="1:13" outlineLevel="2" x14ac:dyDescent="0.15">
      <c r="A70" s="11">
        <v>242</v>
      </c>
      <c r="B70" s="9" t="s">
        <v>465</v>
      </c>
      <c r="C70" s="9" t="s">
        <v>257</v>
      </c>
      <c r="D70" s="9" t="str">
        <f>VLOOKUP(LEFT(B70,1),部门信息!$B$1:$C$6,2,0)</f>
        <v>人事</v>
      </c>
      <c r="E70" s="10">
        <v>15800</v>
      </c>
      <c r="F70" s="10">
        <v>1000</v>
      </c>
      <c r="G70" s="10">
        <v>270</v>
      </c>
      <c r="H70" s="10">
        <v>0</v>
      </c>
      <c r="I70" s="10">
        <f>E70+F70+G70-H70</f>
        <v>17070</v>
      </c>
      <c r="J70" s="10">
        <v>2054</v>
      </c>
      <c r="K70" s="10">
        <f>IF(I70-J70-3500&gt;0,I70-J70-3500,0)</f>
        <v>11516</v>
      </c>
      <c r="L70" s="10">
        <f>IF(K70&gt;80000,K70*0.45-13505,IF(K70&gt;55000,K70*0.35-5505,IF(K70&gt;35000,K70*0.3-2755,IF(K70&gt;9000,K70*0.25-1005,IF(K70&gt;4500,K70*0.2-555,IF(K70&gt;1500,K70*0.1-105,IF(K70&gt;0,K70*0.03,0)))))))</f>
        <v>1874</v>
      </c>
      <c r="M70" s="10">
        <f>I70-J70-L70</f>
        <v>13142</v>
      </c>
    </row>
    <row r="71" spans="1:13" outlineLevel="2" x14ac:dyDescent="0.15">
      <c r="A71" s="11">
        <v>247</v>
      </c>
      <c r="B71" s="9" t="s">
        <v>487</v>
      </c>
      <c r="C71" s="9" t="s">
        <v>262</v>
      </c>
      <c r="D71" s="9" t="str">
        <f>VLOOKUP(LEFT(B71,1),部门信息!$B$1:$C$6,2,0)</f>
        <v>人事</v>
      </c>
      <c r="E71" s="10">
        <v>5000</v>
      </c>
      <c r="F71" s="10">
        <v>900</v>
      </c>
      <c r="G71" s="10">
        <v>135</v>
      </c>
      <c r="H71" s="10">
        <v>78</v>
      </c>
      <c r="I71" s="10">
        <f>E71+F71+G71-H71</f>
        <v>5957</v>
      </c>
      <c r="J71" s="10">
        <v>650</v>
      </c>
      <c r="K71" s="10">
        <f>IF(I71-J71-3500&gt;0,I71-J71-3500,0)</f>
        <v>1807</v>
      </c>
      <c r="L71" s="10">
        <f>IF(K71&gt;80000,K71*0.45-13505,IF(K71&gt;55000,K71*0.35-5505,IF(K71&gt;35000,K71*0.3-2755,IF(K71&gt;9000,K71*0.25-1005,IF(K71&gt;4500,K71*0.2-555,IF(K71&gt;1500,K71*0.1-105,IF(K71&gt;0,K71*0.03,0)))))))</f>
        <v>75.700000000000017</v>
      </c>
      <c r="M71" s="10">
        <f>I71-J71-L71</f>
        <v>5231.3</v>
      </c>
    </row>
    <row r="72" spans="1:13" outlineLevel="2" x14ac:dyDescent="0.15">
      <c r="A72" s="11">
        <v>262</v>
      </c>
      <c r="B72" s="9" t="s">
        <v>480</v>
      </c>
      <c r="C72" s="9" t="s">
        <v>276</v>
      </c>
      <c r="D72" s="9" t="str">
        <f>VLOOKUP(LEFT(B72,1),部门信息!$B$1:$C$6,2,0)</f>
        <v>人事</v>
      </c>
      <c r="E72" s="10">
        <v>8900</v>
      </c>
      <c r="F72" s="10">
        <v>100</v>
      </c>
      <c r="G72" s="10">
        <v>135</v>
      </c>
      <c r="H72" s="10">
        <v>63</v>
      </c>
      <c r="I72" s="10">
        <f>E72+F72+G72-H72</f>
        <v>9072</v>
      </c>
      <c r="J72" s="10">
        <v>1246</v>
      </c>
      <c r="K72" s="10">
        <f>IF(I72-J72-3500&gt;0,I72-J72-3500,0)</f>
        <v>4326</v>
      </c>
      <c r="L72" s="10">
        <f>IF(K72&gt;80000,K72*0.45-13505,IF(K72&gt;55000,K72*0.35-5505,IF(K72&gt;35000,K72*0.3-2755,IF(K72&gt;9000,K72*0.25-1005,IF(K72&gt;4500,K72*0.2-555,IF(K72&gt;1500,K72*0.1-105,IF(K72&gt;0,K72*0.03,0)))))))</f>
        <v>327.60000000000002</v>
      </c>
      <c r="M72" s="10">
        <f>I72-J72-L72</f>
        <v>7498.4</v>
      </c>
    </row>
    <row r="73" spans="1:13" outlineLevel="2" x14ac:dyDescent="0.15">
      <c r="A73" s="11">
        <v>275</v>
      </c>
      <c r="B73" s="9" t="s">
        <v>488</v>
      </c>
      <c r="C73" s="9" t="s">
        <v>288</v>
      </c>
      <c r="D73" s="9" t="str">
        <f>VLOOKUP(LEFT(B73,1),部门信息!$B$1:$C$6,2,0)</f>
        <v>人事</v>
      </c>
      <c r="E73" s="10">
        <v>13800</v>
      </c>
      <c r="F73" s="10">
        <v>1000</v>
      </c>
      <c r="G73" s="10">
        <v>270</v>
      </c>
      <c r="H73" s="10">
        <v>0</v>
      </c>
      <c r="I73" s="10">
        <f>E73+F73+G73-H73</f>
        <v>15070</v>
      </c>
      <c r="J73" s="10">
        <v>2070</v>
      </c>
      <c r="K73" s="10">
        <f>IF(I73-J73-3500&gt;0,I73-J73-3500,0)</f>
        <v>9500</v>
      </c>
      <c r="L73" s="10">
        <f>IF(K73&gt;80000,K73*0.45-13505,IF(K73&gt;55000,K73*0.35-5505,IF(K73&gt;35000,K73*0.3-2755,IF(K73&gt;9000,K73*0.25-1005,IF(K73&gt;4500,K73*0.2-555,IF(K73&gt;1500,K73*0.1-105,IF(K73&gt;0,K73*0.03,0)))))))</f>
        <v>1370</v>
      </c>
      <c r="M73" s="10">
        <f>I73-J73-L73</f>
        <v>11630</v>
      </c>
    </row>
    <row r="74" spans="1:13" outlineLevel="2" x14ac:dyDescent="0.15">
      <c r="A74" s="11">
        <v>285</v>
      </c>
      <c r="B74" s="9" t="s">
        <v>489</v>
      </c>
      <c r="C74" s="9" t="s">
        <v>298</v>
      </c>
      <c r="D74" s="9" t="str">
        <f>VLOOKUP(LEFT(B74,1),部门信息!$B$1:$C$6,2,0)</f>
        <v>人事</v>
      </c>
      <c r="E74" s="10">
        <v>13400</v>
      </c>
      <c r="F74" s="10">
        <v>0</v>
      </c>
      <c r="G74" s="10">
        <v>270</v>
      </c>
      <c r="H74" s="10">
        <v>345</v>
      </c>
      <c r="I74" s="10">
        <f>E74+F74+G74-H74</f>
        <v>13325</v>
      </c>
      <c r="J74" s="10">
        <v>1742</v>
      </c>
      <c r="K74" s="10">
        <f>IF(I74-J74-3500&gt;0,I74-J74-3500,0)</f>
        <v>8083</v>
      </c>
      <c r="L74" s="10">
        <f>IF(K74&gt;80000,K74*0.45-13505,IF(K74&gt;55000,K74*0.35-5505,IF(K74&gt;35000,K74*0.3-2755,IF(K74&gt;9000,K74*0.25-1005,IF(K74&gt;4500,K74*0.2-555,IF(K74&gt;1500,K74*0.1-105,IF(K74&gt;0,K74*0.03,0)))))))</f>
        <v>1061.6000000000001</v>
      </c>
      <c r="M74" s="10">
        <f>I74-J74-L74</f>
        <v>10521.4</v>
      </c>
    </row>
    <row r="75" spans="1:13" outlineLevel="2" x14ac:dyDescent="0.15">
      <c r="A75" s="11">
        <v>286</v>
      </c>
      <c r="B75" s="9" t="s">
        <v>479</v>
      </c>
      <c r="C75" s="9" t="s">
        <v>299</v>
      </c>
      <c r="D75" s="9" t="str">
        <f>VLOOKUP(LEFT(B75,1),部门信息!$B$1:$C$6,2,0)</f>
        <v>人事</v>
      </c>
      <c r="E75" s="10">
        <v>8800</v>
      </c>
      <c r="F75" s="10">
        <v>500</v>
      </c>
      <c r="G75" s="10">
        <v>45</v>
      </c>
      <c r="H75" s="10">
        <v>275</v>
      </c>
      <c r="I75" s="10">
        <f>E75+F75+G75-H75</f>
        <v>9070</v>
      </c>
      <c r="J75" s="10">
        <v>1056</v>
      </c>
      <c r="K75" s="10">
        <f>IF(I75-J75-3500&gt;0,I75-J75-3500,0)</f>
        <v>4514</v>
      </c>
      <c r="L75" s="10">
        <f>IF(K75&gt;80000,K75*0.45-13505,IF(K75&gt;55000,K75*0.35-5505,IF(K75&gt;35000,K75*0.3-2755,IF(K75&gt;9000,K75*0.25-1005,IF(K75&gt;4500,K75*0.2-555,IF(K75&gt;1500,K75*0.1-105,IF(K75&gt;0,K75*0.03,0)))))))</f>
        <v>347.80000000000007</v>
      </c>
      <c r="M75" s="10">
        <f>I75-J75-L75</f>
        <v>7666.2</v>
      </c>
    </row>
    <row r="76" spans="1:13" outlineLevel="2" x14ac:dyDescent="0.15">
      <c r="A76" s="11">
        <v>289</v>
      </c>
      <c r="B76" s="9" t="s">
        <v>467</v>
      </c>
      <c r="C76" s="9" t="s">
        <v>302</v>
      </c>
      <c r="D76" s="9" t="str">
        <f>VLOOKUP(LEFT(B76,1),部门信息!$B$1:$C$6,2,0)</f>
        <v>人事</v>
      </c>
      <c r="E76" s="10">
        <v>19500</v>
      </c>
      <c r="F76" s="10">
        <v>100</v>
      </c>
      <c r="G76" s="10">
        <v>315</v>
      </c>
      <c r="H76" s="10">
        <v>112</v>
      </c>
      <c r="I76" s="10">
        <f>E76+F76+G76-H76</f>
        <v>19803</v>
      </c>
      <c r="J76" s="10">
        <v>3120</v>
      </c>
      <c r="K76" s="10">
        <f>IF(I76-J76-3500&gt;0,I76-J76-3500,0)</f>
        <v>13183</v>
      </c>
      <c r="L76" s="10">
        <f>IF(K76&gt;80000,K76*0.45-13505,IF(K76&gt;55000,K76*0.35-5505,IF(K76&gt;35000,K76*0.3-2755,IF(K76&gt;9000,K76*0.25-1005,IF(K76&gt;4500,K76*0.2-555,IF(K76&gt;1500,K76*0.1-105,IF(K76&gt;0,K76*0.03,0)))))))</f>
        <v>2290.75</v>
      </c>
      <c r="M76" s="10">
        <f>I76-J76-L76</f>
        <v>14392.25</v>
      </c>
    </row>
    <row r="77" spans="1:13" outlineLevel="2" x14ac:dyDescent="0.15">
      <c r="A77" s="11">
        <v>293</v>
      </c>
      <c r="B77" s="9" t="s">
        <v>484</v>
      </c>
      <c r="C77" s="9" t="s">
        <v>306</v>
      </c>
      <c r="D77" s="9" t="str">
        <f>VLOOKUP(LEFT(B77,1),部门信息!$B$1:$C$6,2,0)</f>
        <v>人事</v>
      </c>
      <c r="E77" s="10">
        <v>16200</v>
      </c>
      <c r="F77" s="10">
        <v>1000</v>
      </c>
      <c r="G77" s="10">
        <v>360</v>
      </c>
      <c r="H77" s="10">
        <v>340</v>
      </c>
      <c r="I77" s="10">
        <f>E77+F77+G77-H77</f>
        <v>17220</v>
      </c>
      <c r="J77" s="10">
        <v>2268</v>
      </c>
      <c r="K77" s="10">
        <f>IF(I77-J77-3500&gt;0,I77-J77-3500,0)</f>
        <v>11452</v>
      </c>
      <c r="L77" s="10">
        <f>IF(K77&gt;80000,K77*0.45-13505,IF(K77&gt;55000,K77*0.35-5505,IF(K77&gt;35000,K77*0.3-2755,IF(K77&gt;9000,K77*0.25-1005,IF(K77&gt;4500,K77*0.2-555,IF(K77&gt;1500,K77*0.1-105,IF(K77&gt;0,K77*0.03,0)))))))</f>
        <v>1858</v>
      </c>
      <c r="M77" s="10">
        <f>I77-J77-L77</f>
        <v>13094</v>
      </c>
    </row>
    <row r="78" spans="1:13" outlineLevel="2" x14ac:dyDescent="0.15">
      <c r="A78" s="11">
        <v>294</v>
      </c>
      <c r="B78" s="9" t="s">
        <v>492</v>
      </c>
      <c r="C78" s="9" t="s">
        <v>307</v>
      </c>
      <c r="D78" s="9" t="str">
        <f>VLOOKUP(LEFT(B78,1),部门信息!$B$1:$C$6,2,0)</f>
        <v>人事</v>
      </c>
      <c r="E78" s="10">
        <v>6700</v>
      </c>
      <c r="F78" s="10">
        <v>100</v>
      </c>
      <c r="G78" s="10">
        <v>90</v>
      </c>
      <c r="H78" s="10">
        <v>0</v>
      </c>
      <c r="I78" s="10">
        <f>E78+F78+G78-H78</f>
        <v>6890</v>
      </c>
      <c r="J78" s="10">
        <v>1005</v>
      </c>
      <c r="K78" s="10">
        <f>IF(I78-J78-3500&gt;0,I78-J78-3500,0)</f>
        <v>2385</v>
      </c>
      <c r="L78" s="10">
        <f>IF(K78&gt;80000,K78*0.45-13505,IF(K78&gt;55000,K78*0.35-5505,IF(K78&gt;35000,K78*0.3-2755,IF(K78&gt;9000,K78*0.25-1005,IF(K78&gt;4500,K78*0.2-555,IF(K78&gt;1500,K78*0.1-105,IF(K78&gt;0,K78*0.03,0)))))))</f>
        <v>133.5</v>
      </c>
      <c r="M78" s="10">
        <f>I78-J78-L78</f>
        <v>5751.5</v>
      </c>
    </row>
    <row r="79" spans="1:13" outlineLevel="2" x14ac:dyDescent="0.15">
      <c r="A79" s="11">
        <v>306</v>
      </c>
      <c r="B79" s="9" t="s">
        <v>458</v>
      </c>
      <c r="C79" s="9" t="s">
        <v>318</v>
      </c>
      <c r="D79" s="9" t="str">
        <f>VLOOKUP(LEFT(B79,1),部门信息!$B$1:$C$6,2,0)</f>
        <v>人事</v>
      </c>
      <c r="E79" s="10">
        <v>16900</v>
      </c>
      <c r="F79" s="10">
        <v>200</v>
      </c>
      <c r="G79" s="10">
        <v>360</v>
      </c>
      <c r="H79" s="10">
        <v>450</v>
      </c>
      <c r="I79" s="10">
        <f>E79+F79+G79-H79</f>
        <v>17010</v>
      </c>
      <c r="J79" s="10">
        <v>2535</v>
      </c>
      <c r="K79" s="10">
        <f>IF(I79-J79-3500&gt;0,I79-J79-3500,0)</f>
        <v>10975</v>
      </c>
      <c r="L79" s="10">
        <f>IF(K79&gt;80000,K79*0.45-13505,IF(K79&gt;55000,K79*0.35-5505,IF(K79&gt;35000,K79*0.3-2755,IF(K79&gt;9000,K79*0.25-1005,IF(K79&gt;4500,K79*0.2-555,IF(K79&gt;1500,K79*0.1-105,IF(K79&gt;0,K79*0.03,0)))))))</f>
        <v>1738.75</v>
      </c>
      <c r="M79" s="10">
        <f>I79-J79-L79</f>
        <v>12736.25</v>
      </c>
    </row>
    <row r="80" spans="1:13" outlineLevel="2" x14ac:dyDescent="0.15">
      <c r="A80" s="11">
        <v>322</v>
      </c>
      <c r="B80" s="9" t="s">
        <v>470</v>
      </c>
      <c r="C80" s="9" t="s">
        <v>334</v>
      </c>
      <c r="D80" s="9" t="str">
        <f>VLOOKUP(LEFT(B80,1),部门信息!$B$1:$C$6,2,0)</f>
        <v>人事</v>
      </c>
      <c r="E80" s="10">
        <v>5500</v>
      </c>
      <c r="F80" s="10">
        <v>0</v>
      </c>
      <c r="G80" s="10">
        <v>180</v>
      </c>
      <c r="H80" s="10">
        <v>15</v>
      </c>
      <c r="I80" s="10">
        <f>E80+F80+G80-H80</f>
        <v>5665</v>
      </c>
      <c r="J80" s="10">
        <v>715</v>
      </c>
      <c r="K80" s="10">
        <f>IF(I80-J80-3500&gt;0,I80-J80-3500,0)</f>
        <v>1450</v>
      </c>
      <c r="L80" s="10">
        <f>IF(K80&gt;80000,K80*0.45-13505,IF(K80&gt;55000,K80*0.35-5505,IF(K80&gt;35000,K80*0.3-2755,IF(K80&gt;9000,K80*0.25-1005,IF(K80&gt;4500,K80*0.2-555,IF(K80&gt;1500,K80*0.1-105,IF(K80&gt;0,K80*0.03,0)))))))</f>
        <v>43.5</v>
      </c>
      <c r="M80" s="10">
        <f>I80-J80-L80</f>
        <v>4906.5</v>
      </c>
    </row>
    <row r="81" spans="1:13" outlineLevel="2" x14ac:dyDescent="0.15">
      <c r="A81" s="11">
        <v>323</v>
      </c>
      <c r="B81" s="9" t="s">
        <v>462</v>
      </c>
      <c r="C81" s="9" t="s">
        <v>335</v>
      </c>
      <c r="D81" s="9" t="str">
        <f>VLOOKUP(LEFT(B81,1),部门信息!$B$1:$C$6,2,0)</f>
        <v>人事</v>
      </c>
      <c r="E81" s="10">
        <v>19600</v>
      </c>
      <c r="F81" s="10">
        <v>900</v>
      </c>
      <c r="G81" s="10">
        <v>135</v>
      </c>
      <c r="H81" s="10">
        <v>0</v>
      </c>
      <c r="I81" s="10">
        <f>E81+F81+G81-H81</f>
        <v>20635</v>
      </c>
      <c r="J81" s="10">
        <v>2744</v>
      </c>
      <c r="K81" s="10">
        <f>IF(I81-J81-3500&gt;0,I81-J81-3500,0)</f>
        <v>14391</v>
      </c>
      <c r="L81" s="10">
        <f>IF(K81&gt;80000,K81*0.45-13505,IF(K81&gt;55000,K81*0.35-5505,IF(K81&gt;35000,K81*0.3-2755,IF(K81&gt;9000,K81*0.25-1005,IF(K81&gt;4500,K81*0.2-555,IF(K81&gt;1500,K81*0.1-105,IF(K81&gt;0,K81*0.03,0)))))))</f>
        <v>2592.75</v>
      </c>
      <c r="M81" s="10">
        <f>I81-J81-L81</f>
        <v>15298.25</v>
      </c>
    </row>
    <row r="82" spans="1:13" outlineLevel="1" x14ac:dyDescent="0.15">
      <c r="A82" s="11"/>
      <c r="B82" s="9"/>
      <c r="C82" s="9"/>
      <c r="D82" s="12" t="s">
        <v>735</v>
      </c>
      <c r="E82" s="10"/>
      <c r="F82" s="10"/>
      <c r="G82" s="10"/>
      <c r="H82" s="10"/>
      <c r="I82" s="10"/>
      <c r="J82" s="10"/>
      <c r="K82" s="10"/>
      <c r="L82" s="10"/>
      <c r="M82" s="10">
        <f>SUBTOTAL(1,M38:M81)</f>
        <v>9575.0806818181809</v>
      </c>
    </row>
    <row r="83" spans="1:13" outlineLevel="2" x14ac:dyDescent="0.15">
      <c r="A83" s="11">
        <v>1</v>
      </c>
      <c r="B83" s="9" t="s">
        <v>710</v>
      </c>
      <c r="C83" s="9" t="s">
        <v>9</v>
      </c>
      <c r="D83" s="9" t="str">
        <f>VLOOKUP(LEFT(B83,1),部门信息!$B$1:$C$6,2,0)</f>
        <v>市场</v>
      </c>
      <c r="E83" s="10">
        <v>3400</v>
      </c>
      <c r="F83" s="10">
        <v>100</v>
      </c>
      <c r="G83" s="10">
        <v>135</v>
      </c>
      <c r="H83" s="10">
        <v>164</v>
      </c>
      <c r="I83" s="10">
        <f>E83+F83+G83-H83</f>
        <v>3471</v>
      </c>
      <c r="J83" s="10">
        <v>442</v>
      </c>
      <c r="K83" s="10">
        <f>IF(I83-J83-3500&gt;0,I83-J83-3500,0)</f>
        <v>0</v>
      </c>
      <c r="L83" s="10">
        <f>IF(K83&gt;80000,K83*0.45-13505,IF(K83&gt;55000,K83*0.35-5505,IF(K83&gt;35000,K83*0.3-2755,IF(K83&gt;9000,K83*0.25-1005,IF(K83&gt;4500,K83*0.2-555,IF(K83&gt;1500,K83*0.1-105,IF(K83&gt;0,K83*0.03,0)))))))</f>
        <v>0</v>
      </c>
      <c r="M83" s="10">
        <f>I83-J83-L83</f>
        <v>3029</v>
      </c>
    </row>
    <row r="84" spans="1:13" outlineLevel="2" x14ac:dyDescent="0.15">
      <c r="A84" s="11">
        <v>6</v>
      </c>
      <c r="B84" s="9" t="s">
        <v>617</v>
      </c>
      <c r="C84" s="9" t="s">
        <v>32</v>
      </c>
      <c r="D84" s="9" t="str">
        <f>VLOOKUP(LEFT(B84,1),部门信息!$B$1:$C$6,2,0)</f>
        <v>市场</v>
      </c>
      <c r="E84" s="10">
        <v>12700</v>
      </c>
      <c r="F84" s="10">
        <v>500</v>
      </c>
      <c r="G84" s="10">
        <v>405</v>
      </c>
      <c r="H84" s="10">
        <v>0</v>
      </c>
      <c r="I84" s="10">
        <f>E84+F84+G84-H84</f>
        <v>13605</v>
      </c>
      <c r="J84" s="10">
        <v>1651</v>
      </c>
      <c r="K84" s="10">
        <f>IF(I84-J84-3500&gt;0,I84-J84-3500,0)</f>
        <v>8454</v>
      </c>
      <c r="L84" s="10">
        <f>IF(K84&gt;80000,K84*0.45-13505,IF(K84&gt;55000,K84*0.35-5505,IF(K84&gt;35000,K84*0.3-2755,IF(K84&gt;9000,K84*0.25-1005,IF(K84&gt;4500,K84*0.2-555,IF(K84&gt;1500,K84*0.1-105,IF(K84&gt;0,K84*0.03,0)))))))</f>
        <v>1135.8000000000002</v>
      </c>
      <c r="M84" s="10">
        <f>I84-J84-L84</f>
        <v>10818.2</v>
      </c>
    </row>
    <row r="85" spans="1:13" outlineLevel="2" x14ac:dyDescent="0.15">
      <c r="A85" s="11">
        <v>7</v>
      </c>
      <c r="B85" s="9" t="s">
        <v>652</v>
      </c>
      <c r="C85" s="9" t="s">
        <v>33</v>
      </c>
      <c r="D85" s="9" t="str">
        <f>VLOOKUP(LEFT(B85,1),部门信息!$B$1:$C$6,2,0)</f>
        <v>市场</v>
      </c>
      <c r="E85" s="10">
        <v>8100</v>
      </c>
      <c r="F85" s="10">
        <v>600</v>
      </c>
      <c r="G85" s="10">
        <v>360</v>
      </c>
      <c r="H85" s="10">
        <v>293</v>
      </c>
      <c r="I85" s="10">
        <f>E85+F85+G85-H85</f>
        <v>8767</v>
      </c>
      <c r="J85" s="10">
        <v>972</v>
      </c>
      <c r="K85" s="10">
        <f>IF(I85-J85-3500&gt;0,I85-J85-3500,0)</f>
        <v>4295</v>
      </c>
      <c r="L85" s="10">
        <f>IF(K85&gt;80000,K85*0.45-13505,IF(K85&gt;55000,K85*0.35-5505,IF(K85&gt;35000,K85*0.3-2755,IF(K85&gt;9000,K85*0.25-1005,IF(K85&gt;4500,K85*0.2-555,IF(K85&gt;1500,K85*0.1-105,IF(K85&gt;0,K85*0.03,0)))))))</f>
        <v>324.5</v>
      </c>
      <c r="M85" s="10">
        <f>I85-J85-L85</f>
        <v>7470.5</v>
      </c>
    </row>
    <row r="86" spans="1:13" outlineLevel="2" x14ac:dyDescent="0.15">
      <c r="A86" s="11">
        <v>16</v>
      </c>
      <c r="B86" s="9" t="s">
        <v>702</v>
      </c>
      <c r="C86" s="9" t="s">
        <v>41</v>
      </c>
      <c r="D86" s="9" t="str">
        <f>VLOOKUP(LEFT(B86,1),部门信息!$B$1:$C$6,2,0)</f>
        <v>市场</v>
      </c>
      <c r="E86" s="10">
        <v>11500</v>
      </c>
      <c r="F86" s="10">
        <v>400</v>
      </c>
      <c r="G86" s="10">
        <v>315</v>
      </c>
      <c r="H86" s="10">
        <v>355</v>
      </c>
      <c r="I86" s="10">
        <f>E86+F86+G86-H86</f>
        <v>11860</v>
      </c>
      <c r="J86" s="10">
        <v>1610</v>
      </c>
      <c r="K86" s="10">
        <f>IF(I86-J86-3500&gt;0,I86-J86-3500,0)</f>
        <v>6750</v>
      </c>
      <c r="L86" s="10">
        <f>IF(K86&gt;80000,K86*0.45-13505,IF(K86&gt;55000,K86*0.35-5505,IF(K86&gt;35000,K86*0.3-2755,IF(K86&gt;9000,K86*0.25-1005,IF(K86&gt;4500,K86*0.2-555,IF(K86&gt;1500,K86*0.1-105,IF(K86&gt;0,K86*0.03,0)))))))</f>
        <v>795</v>
      </c>
      <c r="M86" s="10">
        <f>I86-J86-L86</f>
        <v>9455</v>
      </c>
    </row>
    <row r="87" spans="1:13" outlineLevel="2" x14ac:dyDescent="0.15">
      <c r="A87" s="11">
        <v>19</v>
      </c>
      <c r="B87" s="9" t="s">
        <v>626</v>
      </c>
      <c r="C87" s="9" t="s">
        <v>44</v>
      </c>
      <c r="D87" s="9" t="str">
        <f>VLOOKUP(LEFT(B87,1),部门信息!$B$1:$C$6,2,0)</f>
        <v>市场</v>
      </c>
      <c r="E87" s="10">
        <v>19200</v>
      </c>
      <c r="F87" s="10">
        <v>200</v>
      </c>
      <c r="G87" s="10">
        <v>90</v>
      </c>
      <c r="H87" s="10">
        <v>0</v>
      </c>
      <c r="I87" s="10">
        <f>E87+F87+G87-H87</f>
        <v>19490</v>
      </c>
      <c r="J87" s="10">
        <v>2880</v>
      </c>
      <c r="K87" s="10">
        <f>IF(I87-J87-3500&gt;0,I87-J87-3500,0)</f>
        <v>13110</v>
      </c>
      <c r="L87" s="10">
        <f>IF(K87&gt;80000,K87*0.45-13505,IF(K87&gt;55000,K87*0.35-5505,IF(K87&gt;35000,K87*0.3-2755,IF(K87&gt;9000,K87*0.25-1005,IF(K87&gt;4500,K87*0.2-555,IF(K87&gt;1500,K87*0.1-105,IF(K87&gt;0,K87*0.03,0)))))))</f>
        <v>2272.5</v>
      </c>
      <c r="M87" s="10">
        <f>I87-J87-L87</f>
        <v>14337.5</v>
      </c>
    </row>
    <row r="88" spans="1:13" outlineLevel="2" x14ac:dyDescent="0.15">
      <c r="A88" s="11">
        <v>21</v>
      </c>
      <c r="B88" s="9" t="s">
        <v>691</v>
      </c>
      <c r="C88" s="9" t="s">
        <v>46</v>
      </c>
      <c r="D88" s="9" t="str">
        <f>VLOOKUP(LEFT(B88,1),部门信息!$B$1:$C$6,2,0)</f>
        <v>市场</v>
      </c>
      <c r="E88" s="10">
        <v>19100</v>
      </c>
      <c r="F88" s="10">
        <v>700</v>
      </c>
      <c r="G88" s="10">
        <v>315</v>
      </c>
      <c r="H88" s="10">
        <v>0</v>
      </c>
      <c r="I88" s="10">
        <f>E88+F88+G88-H88</f>
        <v>20115</v>
      </c>
      <c r="J88" s="10">
        <v>2865</v>
      </c>
      <c r="K88" s="10">
        <f>IF(I88-J88-3500&gt;0,I88-J88-3500,0)</f>
        <v>13750</v>
      </c>
      <c r="L88" s="10">
        <f>IF(K88&gt;80000,K88*0.45-13505,IF(K88&gt;55000,K88*0.35-5505,IF(K88&gt;35000,K88*0.3-2755,IF(K88&gt;9000,K88*0.25-1005,IF(K88&gt;4500,K88*0.2-555,IF(K88&gt;1500,K88*0.1-105,IF(K88&gt;0,K88*0.03,0)))))))</f>
        <v>2432.5</v>
      </c>
      <c r="M88" s="10">
        <f>I88-J88-L88</f>
        <v>14817.5</v>
      </c>
    </row>
    <row r="89" spans="1:13" outlineLevel="2" x14ac:dyDescent="0.15">
      <c r="A89" s="11">
        <v>24</v>
      </c>
      <c r="B89" s="9" t="s">
        <v>594</v>
      </c>
      <c r="C89" s="9" t="s">
        <v>49</v>
      </c>
      <c r="D89" s="9" t="str">
        <f>VLOOKUP(LEFT(B89,1),部门信息!$B$1:$C$6,2,0)</f>
        <v>市场</v>
      </c>
      <c r="E89" s="10">
        <v>14500</v>
      </c>
      <c r="F89" s="10">
        <v>1000</v>
      </c>
      <c r="G89" s="10">
        <v>45</v>
      </c>
      <c r="H89" s="10">
        <v>32</v>
      </c>
      <c r="I89" s="10">
        <f>E89+F89+G89-H89</f>
        <v>15513</v>
      </c>
      <c r="J89" s="10">
        <v>1885</v>
      </c>
      <c r="K89" s="10">
        <f>IF(I89-J89-3500&gt;0,I89-J89-3500,0)</f>
        <v>10128</v>
      </c>
      <c r="L89" s="10">
        <f>IF(K89&gt;80000,K89*0.45-13505,IF(K89&gt;55000,K89*0.35-5505,IF(K89&gt;35000,K89*0.3-2755,IF(K89&gt;9000,K89*0.25-1005,IF(K89&gt;4500,K89*0.2-555,IF(K89&gt;1500,K89*0.1-105,IF(K89&gt;0,K89*0.03,0)))))))</f>
        <v>1527</v>
      </c>
      <c r="M89" s="10">
        <f>I89-J89-L89</f>
        <v>12101</v>
      </c>
    </row>
    <row r="90" spans="1:13" outlineLevel="2" x14ac:dyDescent="0.15">
      <c r="A90" s="11">
        <v>26</v>
      </c>
      <c r="B90" s="9" t="s">
        <v>684</v>
      </c>
      <c r="C90" s="9" t="s">
        <v>51</v>
      </c>
      <c r="D90" s="9" t="str">
        <f>VLOOKUP(LEFT(B90,1),部门信息!$B$1:$C$6,2,0)</f>
        <v>市场</v>
      </c>
      <c r="E90" s="10">
        <v>8500</v>
      </c>
      <c r="F90" s="10">
        <v>400</v>
      </c>
      <c r="G90" s="10">
        <v>225</v>
      </c>
      <c r="H90" s="10">
        <v>348</v>
      </c>
      <c r="I90" s="10">
        <f>E90+F90+G90-H90</f>
        <v>8777</v>
      </c>
      <c r="J90" s="10">
        <v>1190</v>
      </c>
      <c r="K90" s="10">
        <f>IF(I90-J90-3500&gt;0,I90-J90-3500,0)</f>
        <v>4087</v>
      </c>
      <c r="L90" s="10">
        <f>IF(K90&gt;80000,K90*0.45-13505,IF(K90&gt;55000,K90*0.35-5505,IF(K90&gt;35000,K90*0.3-2755,IF(K90&gt;9000,K90*0.25-1005,IF(K90&gt;4500,K90*0.2-555,IF(K90&gt;1500,K90*0.1-105,IF(K90&gt;0,K90*0.03,0)))))))</f>
        <v>303.70000000000005</v>
      </c>
      <c r="M90" s="10">
        <f>I90-J90-L90</f>
        <v>7283.3</v>
      </c>
    </row>
    <row r="91" spans="1:13" outlineLevel="2" x14ac:dyDescent="0.15">
      <c r="A91" s="11">
        <v>28</v>
      </c>
      <c r="B91" s="9" t="s">
        <v>720</v>
      </c>
      <c r="C91" s="9" t="s">
        <v>53</v>
      </c>
      <c r="D91" s="9" t="str">
        <f>VLOOKUP(LEFT(B91,1),部门信息!$B$1:$C$6,2,0)</f>
        <v>市场</v>
      </c>
      <c r="E91" s="10">
        <v>15400</v>
      </c>
      <c r="F91" s="10">
        <v>900</v>
      </c>
      <c r="G91" s="10">
        <v>360</v>
      </c>
      <c r="H91" s="10">
        <v>0</v>
      </c>
      <c r="I91" s="10">
        <f>E91+F91+G91-H91</f>
        <v>16660</v>
      </c>
      <c r="J91" s="10">
        <v>1848</v>
      </c>
      <c r="K91" s="10">
        <f>IF(I91-J91-3500&gt;0,I91-J91-3500,0)</f>
        <v>11312</v>
      </c>
      <c r="L91" s="10">
        <f>IF(K91&gt;80000,K91*0.45-13505,IF(K91&gt;55000,K91*0.35-5505,IF(K91&gt;35000,K91*0.3-2755,IF(K91&gt;9000,K91*0.25-1005,IF(K91&gt;4500,K91*0.2-555,IF(K91&gt;1500,K91*0.1-105,IF(K91&gt;0,K91*0.03,0)))))))</f>
        <v>1823</v>
      </c>
      <c r="M91" s="10">
        <f>I91-J91-L91</f>
        <v>12989</v>
      </c>
    </row>
    <row r="92" spans="1:13" outlineLevel="2" x14ac:dyDescent="0.15">
      <c r="A92" s="11">
        <v>29</v>
      </c>
      <c r="B92" s="9" t="s">
        <v>716</v>
      </c>
      <c r="C92" s="9" t="s">
        <v>54</v>
      </c>
      <c r="D92" s="9" t="str">
        <f>VLOOKUP(LEFT(B92,1),部门信息!$B$1:$C$6,2,0)</f>
        <v>市场</v>
      </c>
      <c r="E92" s="10">
        <v>14700</v>
      </c>
      <c r="F92" s="10">
        <v>800</v>
      </c>
      <c r="G92" s="10">
        <v>225</v>
      </c>
      <c r="H92" s="10">
        <v>0</v>
      </c>
      <c r="I92" s="10">
        <f>E92+F92+G92-H92</f>
        <v>15725</v>
      </c>
      <c r="J92" s="10">
        <v>2058</v>
      </c>
      <c r="K92" s="10">
        <f>IF(I92-J92-3500&gt;0,I92-J92-3500,0)</f>
        <v>10167</v>
      </c>
      <c r="L92" s="10">
        <f>IF(K92&gt;80000,K92*0.45-13505,IF(K92&gt;55000,K92*0.35-5505,IF(K92&gt;35000,K92*0.3-2755,IF(K92&gt;9000,K92*0.25-1005,IF(K92&gt;4500,K92*0.2-555,IF(K92&gt;1500,K92*0.1-105,IF(K92&gt;0,K92*0.03,0)))))))</f>
        <v>1536.75</v>
      </c>
      <c r="M92" s="10">
        <f>I92-J92-L92</f>
        <v>12130.25</v>
      </c>
    </row>
    <row r="93" spans="1:13" outlineLevel="2" x14ac:dyDescent="0.15">
      <c r="A93" s="11">
        <v>30</v>
      </c>
      <c r="B93" s="9" t="s">
        <v>662</v>
      </c>
      <c r="C93" s="9" t="s">
        <v>55</v>
      </c>
      <c r="D93" s="9" t="str">
        <f>VLOOKUP(LEFT(B93,1),部门信息!$B$1:$C$6,2,0)</f>
        <v>市场</v>
      </c>
      <c r="E93" s="10">
        <v>3400</v>
      </c>
      <c r="F93" s="10">
        <v>500</v>
      </c>
      <c r="G93" s="10">
        <v>315</v>
      </c>
      <c r="H93" s="10">
        <v>0</v>
      </c>
      <c r="I93" s="10">
        <f>E93+F93+G93-H93</f>
        <v>4215</v>
      </c>
      <c r="J93" s="10">
        <v>544</v>
      </c>
      <c r="K93" s="10">
        <f>IF(I93-J93-3500&gt;0,I93-J93-3500,0)</f>
        <v>171</v>
      </c>
      <c r="L93" s="10">
        <f>IF(K93&gt;80000,K93*0.45-13505,IF(K93&gt;55000,K93*0.35-5505,IF(K93&gt;35000,K93*0.3-2755,IF(K93&gt;9000,K93*0.25-1005,IF(K93&gt;4500,K93*0.2-555,IF(K93&gt;1500,K93*0.1-105,IF(K93&gt;0,K93*0.03,0)))))))</f>
        <v>5.13</v>
      </c>
      <c r="M93" s="10">
        <f>I93-J93-L93</f>
        <v>3665.87</v>
      </c>
    </row>
    <row r="94" spans="1:13" outlineLevel="2" x14ac:dyDescent="0.15">
      <c r="A94" s="11">
        <v>34</v>
      </c>
      <c r="B94" s="9" t="s">
        <v>622</v>
      </c>
      <c r="C94" s="9" t="s">
        <v>59</v>
      </c>
      <c r="D94" s="9" t="str">
        <f>VLOOKUP(LEFT(B94,1),部门信息!$B$1:$C$6,2,0)</f>
        <v>市场</v>
      </c>
      <c r="E94" s="10">
        <v>16500</v>
      </c>
      <c r="F94" s="10">
        <v>900</v>
      </c>
      <c r="G94" s="10">
        <v>135</v>
      </c>
      <c r="H94" s="10">
        <v>143</v>
      </c>
      <c r="I94" s="10">
        <f>E94+F94+G94-H94</f>
        <v>17392</v>
      </c>
      <c r="J94" s="10">
        <v>2640</v>
      </c>
      <c r="K94" s="10">
        <f>IF(I94-J94-3500&gt;0,I94-J94-3500,0)</f>
        <v>11252</v>
      </c>
      <c r="L94" s="10">
        <f>IF(K94&gt;80000,K94*0.45-13505,IF(K94&gt;55000,K94*0.35-5505,IF(K94&gt;35000,K94*0.3-2755,IF(K94&gt;9000,K94*0.25-1005,IF(K94&gt;4500,K94*0.2-555,IF(K94&gt;1500,K94*0.1-105,IF(K94&gt;0,K94*0.03,0)))))))</f>
        <v>1808</v>
      </c>
      <c r="M94" s="10">
        <f>I94-J94-L94</f>
        <v>12944</v>
      </c>
    </row>
    <row r="95" spans="1:13" outlineLevel="2" x14ac:dyDescent="0.15">
      <c r="A95" s="11">
        <v>42</v>
      </c>
      <c r="B95" s="9" t="s">
        <v>701</v>
      </c>
      <c r="C95" s="9" t="s">
        <v>67</v>
      </c>
      <c r="D95" s="9" t="str">
        <f>VLOOKUP(LEFT(B95,1),部门信息!$B$1:$C$6,2,0)</f>
        <v>市场</v>
      </c>
      <c r="E95" s="10">
        <v>8200</v>
      </c>
      <c r="F95" s="10">
        <v>300</v>
      </c>
      <c r="G95" s="10">
        <v>450</v>
      </c>
      <c r="H95" s="10">
        <v>0</v>
      </c>
      <c r="I95" s="10">
        <f>E95+F95+G95-H95</f>
        <v>8950</v>
      </c>
      <c r="J95" s="10">
        <v>1148</v>
      </c>
      <c r="K95" s="10">
        <f>IF(I95-J95-3500&gt;0,I95-J95-3500,0)</f>
        <v>4302</v>
      </c>
      <c r="L95" s="10">
        <f>IF(K95&gt;80000,K95*0.45-13505,IF(K95&gt;55000,K95*0.35-5505,IF(K95&gt;35000,K95*0.3-2755,IF(K95&gt;9000,K95*0.25-1005,IF(K95&gt;4500,K95*0.2-555,IF(K95&gt;1500,K95*0.1-105,IF(K95&gt;0,K95*0.03,0)))))))</f>
        <v>325.20000000000005</v>
      </c>
      <c r="M95" s="10">
        <f>I95-J95-L95</f>
        <v>7476.8</v>
      </c>
    </row>
    <row r="96" spans="1:13" outlineLevel="2" x14ac:dyDescent="0.15">
      <c r="A96" s="11">
        <v>43</v>
      </c>
      <c r="B96" s="9" t="s">
        <v>574</v>
      </c>
      <c r="C96" s="9" t="s">
        <v>68</v>
      </c>
      <c r="D96" s="9" t="str">
        <f>VLOOKUP(LEFT(B96,1),部门信息!$B$1:$C$6,2,0)</f>
        <v>市场</v>
      </c>
      <c r="E96" s="10">
        <v>10400</v>
      </c>
      <c r="F96" s="10">
        <v>400</v>
      </c>
      <c r="G96" s="10">
        <v>225</v>
      </c>
      <c r="H96" s="10">
        <v>0</v>
      </c>
      <c r="I96" s="10">
        <f>E96+F96+G96-H96</f>
        <v>11025</v>
      </c>
      <c r="J96" s="10">
        <v>1560</v>
      </c>
      <c r="K96" s="10">
        <f>IF(I96-J96-3500&gt;0,I96-J96-3500,0)</f>
        <v>5965</v>
      </c>
      <c r="L96" s="10">
        <f>IF(K96&gt;80000,K96*0.45-13505,IF(K96&gt;55000,K96*0.35-5505,IF(K96&gt;35000,K96*0.3-2755,IF(K96&gt;9000,K96*0.25-1005,IF(K96&gt;4500,K96*0.2-555,IF(K96&gt;1500,K96*0.1-105,IF(K96&gt;0,K96*0.03,0)))))))</f>
        <v>638</v>
      </c>
      <c r="M96" s="10">
        <f>I96-J96-L96</f>
        <v>8827</v>
      </c>
    </row>
    <row r="97" spans="1:13" outlineLevel="2" x14ac:dyDescent="0.15">
      <c r="A97" s="11">
        <v>44</v>
      </c>
      <c r="B97" s="9" t="s">
        <v>644</v>
      </c>
      <c r="C97" s="9" t="s">
        <v>69</v>
      </c>
      <c r="D97" s="9" t="str">
        <f>VLOOKUP(LEFT(B97,1),部门信息!$B$1:$C$6,2,0)</f>
        <v>市场</v>
      </c>
      <c r="E97" s="10">
        <v>4900</v>
      </c>
      <c r="F97" s="10">
        <v>900</v>
      </c>
      <c r="G97" s="10">
        <v>45</v>
      </c>
      <c r="H97" s="10">
        <v>0</v>
      </c>
      <c r="I97" s="10">
        <f>E97+F97+G97-H97</f>
        <v>5845</v>
      </c>
      <c r="J97" s="10">
        <v>784</v>
      </c>
      <c r="K97" s="10">
        <f>IF(I97-J97-3500&gt;0,I97-J97-3500,0)</f>
        <v>1561</v>
      </c>
      <c r="L97" s="10">
        <f>IF(K97&gt;80000,K97*0.45-13505,IF(K97&gt;55000,K97*0.35-5505,IF(K97&gt;35000,K97*0.3-2755,IF(K97&gt;9000,K97*0.25-1005,IF(K97&gt;4500,K97*0.2-555,IF(K97&gt;1500,K97*0.1-105,IF(K97&gt;0,K97*0.03,0)))))))</f>
        <v>51.100000000000023</v>
      </c>
      <c r="M97" s="10">
        <f>I97-J97-L97</f>
        <v>5009.8999999999996</v>
      </c>
    </row>
    <row r="98" spans="1:13" outlineLevel="2" x14ac:dyDescent="0.15">
      <c r="A98" s="11">
        <v>45</v>
      </c>
      <c r="B98" s="9" t="s">
        <v>603</v>
      </c>
      <c r="C98" s="9" t="s">
        <v>70</v>
      </c>
      <c r="D98" s="9" t="str">
        <f>VLOOKUP(LEFT(B98,1),部门信息!$B$1:$C$6,2,0)</f>
        <v>市场</v>
      </c>
      <c r="E98" s="10">
        <v>20000</v>
      </c>
      <c r="F98" s="10">
        <v>0</v>
      </c>
      <c r="G98" s="10">
        <v>225</v>
      </c>
      <c r="H98" s="10">
        <v>302</v>
      </c>
      <c r="I98" s="10">
        <f>E98+F98+G98-H98</f>
        <v>19923</v>
      </c>
      <c r="J98" s="10">
        <v>2400</v>
      </c>
      <c r="K98" s="10">
        <f>IF(I98-J98-3500&gt;0,I98-J98-3500,0)</f>
        <v>14023</v>
      </c>
      <c r="L98" s="10">
        <f>IF(K98&gt;80000,K98*0.45-13505,IF(K98&gt;55000,K98*0.35-5505,IF(K98&gt;35000,K98*0.3-2755,IF(K98&gt;9000,K98*0.25-1005,IF(K98&gt;4500,K98*0.2-555,IF(K98&gt;1500,K98*0.1-105,IF(K98&gt;0,K98*0.03,0)))))))</f>
        <v>2500.75</v>
      </c>
      <c r="M98" s="10">
        <f>I98-J98-L98</f>
        <v>15022.25</v>
      </c>
    </row>
    <row r="99" spans="1:13" outlineLevel="2" x14ac:dyDescent="0.15">
      <c r="A99" s="11">
        <v>50</v>
      </c>
      <c r="B99" s="9" t="s">
        <v>703</v>
      </c>
      <c r="C99" s="9" t="s">
        <v>75</v>
      </c>
      <c r="D99" s="9" t="str">
        <f>VLOOKUP(LEFT(B99,1),部门信息!$B$1:$C$6,2,0)</f>
        <v>市场</v>
      </c>
      <c r="E99" s="10">
        <v>16000</v>
      </c>
      <c r="F99" s="10">
        <v>700</v>
      </c>
      <c r="G99" s="10">
        <v>225</v>
      </c>
      <c r="H99" s="10">
        <v>0</v>
      </c>
      <c r="I99" s="10">
        <f>E99+F99+G99-H99</f>
        <v>16925</v>
      </c>
      <c r="J99" s="10">
        <v>2240</v>
      </c>
      <c r="K99" s="10">
        <f>IF(I99-J99-3500&gt;0,I99-J99-3500,0)</f>
        <v>11185</v>
      </c>
      <c r="L99" s="10">
        <f>IF(K99&gt;80000,K99*0.45-13505,IF(K99&gt;55000,K99*0.35-5505,IF(K99&gt;35000,K99*0.3-2755,IF(K99&gt;9000,K99*0.25-1005,IF(K99&gt;4500,K99*0.2-555,IF(K99&gt;1500,K99*0.1-105,IF(K99&gt;0,K99*0.03,0)))))))</f>
        <v>1791.25</v>
      </c>
      <c r="M99" s="10">
        <f>I99-J99-L99</f>
        <v>12893.75</v>
      </c>
    </row>
    <row r="100" spans="1:13" outlineLevel="2" x14ac:dyDescent="0.15">
      <c r="A100" s="11">
        <v>51</v>
      </c>
      <c r="B100" s="9" t="s">
        <v>712</v>
      </c>
      <c r="C100" s="9" t="s">
        <v>76</v>
      </c>
      <c r="D100" s="9" t="str">
        <f>VLOOKUP(LEFT(B100,1),部门信息!$B$1:$C$6,2,0)</f>
        <v>市场</v>
      </c>
      <c r="E100" s="10">
        <v>4300</v>
      </c>
      <c r="F100" s="10">
        <v>900</v>
      </c>
      <c r="G100" s="10">
        <v>180</v>
      </c>
      <c r="H100" s="10">
        <v>0</v>
      </c>
      <c r="I100" s="10">
        <f>E100+F100+G100-H100</f>
        <v>5380</v>
      </c>
      <c r="J100" s="10">
        <v>688</v>
      </c>
      <c r="K100" s="10">
        <f>IF(I100-J100-3500&gt;0,I100-J100-3500,0)</f>
        <v>1192</v>
      </c>
      <c r="L100" s="10">
        <f>IF(K100&gt;80000,K100*0.45-13505,IF(K100&gt;55000,K100*0.35-5505,IF(K100&gt;35000,K100*0.3-2755,IF(K100&gt;9000,K100*0.25-1005,IF(K100&gt;4500,K100*0.2-555,IF(K100&gt;1500,K100*0.1-105,IF(K100&gt;0,K100*0.03,0)))))))</f>
        <v>35.76</v>
      </c>
      <c r="M100" s="10">
        <f>I100-J100-L100</f>
        <v>4656.24</v>
      </c>
    </row>
    <row r="101" spans="1:13" outlineLevel="2" x14ac:dyDescent="0.15">
      <c r="A101" s="11">
        <v>52</v>
      </c>
      <c r="B101" s="9" t="s">
        <v>666</v>
      </c>
      <c r="C101" s="9" t="s">
        <v>77</v>
      </c>
      <c r="D101" s="9" t="str">
        <f>VLOOKUP(LEFT(B101,1),部门信息!$B$1:$C$6,2,0)</f>
        <v>市场</v>
      </c>
      <c r="E101" s="10">
        <v>18600</v>
      </c>
      <c r="F101" s="10">
        <v>400</v>
      </c>
      <c r="G101" s="10">
        <v>450</v>
      </c>
      <c r="H101" s="10">
        <v>130</v>
      </c>
      <c r="I101" s="10">
        <f>E101+F101+G101-H101</f>
        <v>19320</v>
      </c>
      <c r="J101" s="10">
        <v>2418</v>
      </c>
      <c r="K101" s="10">
        <f>IF(I101-J101-3500&gt;0,I101-J101-3500,0)</f>
        <v>13402</v>
      </c>
      <c r="L101" s="10">
        <f>IF(K101&gt;80000,K101*0.45-13505,IF(K101&gt;55000,K101*0.35-5505,IF(K101&gt;35000,K101*0.3-2755,IF(K101&gt;9000,K101*0.25-1005,IF(K101&gt;4500,K101*0.2-555,IF(K101&gt;1500,K101*0.1-105,IF(K101&gt;0,K101*0.03,0)))))))</f>
        <v>2345.5</v>
      </c>
      <c r="M101" s="10">
        <f>I101-J101-L101</f>
        <v>14556.5</v>
      </c>
    </row>
    <row r="102" spans="1:13" outlineLevel="2" x14ac:dyDescent="0.15">
      <c r="A102" s="11">
        <v>55</v>
      </c>
      <c r="B102" s="9" t="s">
        <v>611</v>
      </c>
      <c r="C102" s="9" t="s">
        <v>80</v>
      </c>
      <c r="D102" s="9" t="str">
        <f>VLOOKUP(LEFT(B102,1),部门信息!$B$1:$C$6,2,0)</f>
        <v>市场</v>
      </c>
      <c r="E102" s="10">
        <v>7600</v>
      </c>
      <c r="F102" s="10">
        <v>400</v>
      </c>
      <c r="G102" s="10">
        <v>270</v>
      </c>
      <c r="H102" s="10">
        <v>0</v>
      </c>
      <c r="I102" s="10">
        <f>E102+F102+G102-H102</f>
        <v>8270</v>
      </c>
      <c r="J102" s="10">
        <v>1064</v>
      </c>
      <c r="K102" s="10">
        <f>IF(I102-J102-3500&gt;0,I102-J102-3500,0)</f>
        <v>3706</v>
      </c>
      <c r="L102" s="10">
        <f>IF(K102&gt;80000,K102*0.45-13505,IF(K102&gt;55000,K102*0.35-5505,IF(K102&gt;35000,K102*0.3-2755,IF(K102&gt;9000,K102*0.25-1005,IF(K102&gt;4500,K102*0.2-555,IF(K102&gt;1500,K102*0.1-105,IF(K102&gt;0,K102*0.03,0)))))))</f>
        <v>265.60000000000002</v>
      </c>
      <c r="M102" s="10">
        <f>I102-J102-L102</f>
        <v>6940.4</v>
      </c>
    </row>
    <row r="103" spans="1:13" outlineLevel="2" x14ac:dyDescent="0.15">
      <c r="A103" s="11">
        <v>56</v>
      </c>
      <c r="B103" s="9" t="s">
        <v>686</v>
      </c>
      <c r="C103" s="9" t="s">
        <v>81</v>
      </c>
      <c r="D103" s="9" t="str">
        <f>VLOOKUP(LEFT(B103,1),部门信息!$B$1:$C$6,2,0)</f>
        <v>市场</v>
      </c>
      <c r="E103" s="10">
        <v>18300</v>
      </c>
      <c r="F103" s="10">
        <v>100</v>
      </c>
      <c r="G103" s="10">
        <v>270</v>
      </c>
      <c r="H103" s="10">
        <v>0</v>
      </c>
      <c r="I103" s="10">
        <f>E103+F103+G103-H103</f>
        <v>18670</v>
      </c>
      <c r="J103" s="10">
        <v>2562</v>
      </c>
      <c r="K103" s="10">
        <f>IF(I103-J103-3500&gt;0,I103-J103-3500,0)</f>
        <v>12608</v>
      </c>
      <c r="L103" s="10">
        <f>IF(K103&gt;80000,K103*0.45-13505,IF(K103&gt;55000,K103*0.35-5505,IF(K103&gt;35000,K103*0.3-2755,IF(K103&gt;9000,K103*0.25-1005,IF(K103&gt;4500,K103*0.2-555,IF(K103&gt;1500,K103*0.1-105,IF(K103&gt;0,K103*0.03,0)))))))</f>
        <v>2147</v>
      </c>
      <c r="M103" s="10">
        <f>I103-J103-L103</f>
        <v>13961</v>
      </c>
    </row>
    <row r="104" spans="1:13" outlineLevel="2" x14ac:dyDescent="0.15">
      <c r="A104" s="11">
        <v>58</v>
      </c>
      <c r="B104" s="9" t="s">
        <v>682</v>
      </c>
      <c r="C104" s="9" t="s">
        <v>83</v>
      </c>
      <c r="D104" s="9" t="str">
        <f>VLOOKUP(LEFT(B104,1),部门信息!$B$1:$C$6,2,0)</f>
        <v>市场</v>
      </c>
      <c r="E104" s="10">
        <v>13200</v>
      </c>
      <c r="F104" s="10">
        <v>1000</v>
      </c>
      <c r="G104" s="10">
        <v>45</v>
      </c>
      <c r="H104" s="10">
        <v>137</v>
      </c>
      <c r="I104" s="10">
        <f>E104+F104+G104-H104</f>
        <v>14108</v>
      </c>
      <c r="J104" s="10">
        <v>1716</v>
      </c>
      <c r="K104" s="10">
        <f>IF(I104-J104-3500&gt;0,I104-J104-3500,0)</f>
        <v>8892</v>
      </c>
      <c r="L104" s="10">
        <f>IF(K104&gt;80000,K104*0.45-13505,IF(K104&gt;55000,K104*0.35-5505,IF(K104&gt;35000,K104*0.3-2755,IF(K104&gt;9000,K104*0.25-1005,IF(K104&gt;4500,K104*0.2-555,IF(K104&gt;1500,K104*0.1-105,IF(K104&gt;0,K104*0.03,0)))))))</f>
        <v>1223.4000000000001</v>
      </c>
      <c r="M104" s="10">
        <f>I104-J104-L104</f>
        <v>11168.6</v>
      </c>
    </row>
    <row r="105" spans="1:13" outlineLevel="2" x14ac:dyDescent="0.15">
      <c r="A105" s="11">
        <v>61</v>
      </c>
      <c r="B105" s="9" t="s">
        <v>647</v>
      </c>
      <c r="C105" s="9" t="s">
        <v>86</v>
      </c>
      <c r="D105" s="9" t="str">
        <f>VLOOKUP(LEFT(B105,1),部门信息!$B$1:$C$6,2,0)</f>
        <v>市场</v>
      </c>
      <c r="E105" s="10">
        <v>8600</v>
      </c>
      <c r="F105" s="10">
        <v>100</v>
      </c>
      <c r="G105" s="10">
        <v>270</v>
      </c>
      <c r="H105" s="10">
        <v>0</v>
      </c>
      <c r="I105" s="10">
        <f>E105+F105+G105-H105</f>
        <v>8970</v>
      </c>
      <c r="J105" s="10">
        <v>1032</v>
      </c>
      <c r="K105" s="10">
        <f>IF(I105-J105-3500&gt;0,I105-J105-3500,0)</f>
        <v>4438</v>
      </c>
      <c r="L105" s="10">
        <f>IF(K105&gt;80000,K105*0.45-13505,IF(K105&gt;55000,K105*0.35-5505,IF(K105&gt;35000,K105*0.3-2755,IF(K105&gt;9000,K105*0.25-1005,IF(K105&gt;4500,K105*0.2-555,IF(K105&gt;1500,K105*0.1-105,IF(K105&gt;0,K105*0.03,0)))))))</f>
        <v>338.8</v>
      </c>
      <c r="M105" s="10">
        <f>I105-J105-L105</f>
        <v>7599.2</v>
      </c>
    </row>
    <row r="106" spans="1:13" outlineLevel="2" x14ac:dyDescent="0.15">
      <c r="A106" s="11">
        <v>62</v>
      </c>
      <c r="B106" s="9" t="s">
        <v>705</v>
      </c>
      <c r="C106" s="9" t="s">
        <v>87</v>
      </c>
      <c r="D106" s="9" t="str">
        <f>VLOOKUP(LEFT(B106,1),部门信息!$B$1:$C$6,2,0)</f>
        <v>市场</v>
      </c>
      <c r="E106" s="10">
        <v>11000</v>
      </c>
      <c r="F106" s="10">
        <v>600</v>
      </c>
      <c r="G106" s="10">
        <v>405</v>
      </c>
      <c r="H106" s="10">
        <v>328</v>
      </c>
      <c r="I106" s="10">
        <f>E106+F106+G106-H106</f>
        <v>11677</v>
      </c>
      <c r="J106" s="10">
        <v>1650</v>
      </c>
      <c r="K106" s="10">
        <f>IF(I106-J106-3500&gt;0,I106-J106-3500,0)</f>
        <v>6527</v>
      </c>
      <c r="L106" s="10">
        <f>IF(K106&gt;80000,K106*0.45-13505,IF(K106&gt;55000,K106*0.35-5505,IF(K106&gt;35000,K106*0.3-2755,IF(K106&gt;9000,K106*0.25-1005,IF(K106&gt;4500,K106*0.2-555,IF(K106&gt;1500,K106*0.1-105,IF(K106&gt;0,K106*0.03,0)))))))</f>
        <v>750.40000000000009</v>
      </c>
      <c r="M106" s="10">
        <f>I106-J106-L106</f>
        <v>9276.6</v>
      </c>
    </row>
    <row r="107" spans="1:13" outlineLevel="2" x14ac:dyDescent="0.15">
      <c r="A107" s="11">
        <v>63</v>
      </c>
      <c r="B107" s="9" t="s">
        <v>630</v>
      </c>
      <c r="C107" s="9" t="s">
        <v>88</v>
      </c>
      <c r="D107" s="9" t="str">
        <f>VLOOKUP(LEFT(B107,1),部门信息!$B$1:$C$6,2,0)</f>
        <v>市场</v>
      </c>
      <c r="E107" s="10">
        <v>10200</v>
      </c>
      <c r="F107" s="10">
        <v>600</v>
      </c>
      <c r="G107" s="10">
        <v>315</v>
      </c>
      <c r="H107" s="10">
        <v>1</v>
      </c>
      <c r="I107" s="10">
        <f>E107+F107+G107-H107</f>
        <v>11114</v>
      </c>
      <c r="J107" s="10">
        <v>1224</v>
      </c>
      <c r="K107" s="10">
        <f>IF(I107-J107-3500&gt;0,I107-J107-3500,0)</f>
        <v>6390</v>
      </c>
      <c r="L107" s="10">
        <f>IF(K107&gt;80000,K107*0.45-13505,IF(K107&gt;55000,K107*0.35-5505,IF(K107&gt;35000,K107*0.3-2755,IF(K107&gt;9000,K107*0.25-1005,IF(K107&gt;4500,K107*0.2-555,IF(K107&gt;1500,K107*0.1-105,IF(K107&gt;0,K107*0.03,0)))))))</f>
        <v>723</v>
      </c>
      <c r="M107" s="10">
        <f>I107-J107-L107</f>
        <v>9167</v>
      </c>
    </row>
    <row r="108" spans="1:13" outlineLevel="2" x14ac:dyDescent="0.15">
      <c r="A108" s="11">
        <v>66</v>
      </c>
      <c r="B108" s="9" t="s">
        <v>668</v>
      </c>
      <c r="C108" s="9" t="s">
        <v>91</v>
      </c>
      <c r="D108" s="9" t="str">
        <f>VLOOKUP(LEFT(B108,1),部门信息!$B$1:$C$6,2,0)</f>
        <v>市场</v>
      </c>
      <c r="E108" s="10">
        <v>8900</v>
      </c>
      <c r="F108" s="10">
        <v>100</v>
      </c>
      <c r="G108" s="10">
        <v>90</v>
      </c>
      <c r="H108" s="10">
        <v>0</v>
      </c>
      <c r="I108" s="10">
        <f>E108+F108+G108-H108</f>
        <v>9090</v>
      </c>
      <c r="J108" s="10">
        <v>1068</v>
      </c>
      <c r="K108" s="10">
        <f>IF(I108-J108-3500&gt;0,I108-J108-3500,0)</f>
        <v>4522</v>
      </c>
      <c r="L108" s="10">
        <f>IF(K108&gt;80000,K108*0.45-13505,IF(K108&gt;55000,K108*0.35-5505,IF(K108&gt;35000,K108*0.3-2755,IF(K108&gt;9000,K108*0.25-1005,IF(K108&gt;4500,K108*0.2-555,IF(K108&gt;1500,K108*0.1-105,IF(K108&gt;0,K108*0.03,0)))))))</f>
        <v>349.40000000000009</v>
      </c>
      <c r="M108" s="10">
        <f>I108-J108-L108</f>
        <v>7672.6</v>
      </c>
    </row>
    <row r="109" spans="1:13" outlineLevel="2" x14ac:dyDescent="0.15">
      <c r="A109" s="11">
        <v>67</v>
      </c>
      <c r="B109" s="9" t="s">
        <v>664</v>
      </c>
      <c r="C109" s="9" t="s">
        <v>92</v>
      </c>
      <c r="D109" s="9" t="str">
        <f>VLOOKUP(LEFT(B109,1),部门信息!$B$1:$C$6,2,0)</f>
        <v>市场</v>
      </c>
      <c r="E109" s="10">
        <v>10700</v>
      </c>
      <c r="F109" s="10">
        <v>200</v>
      </c>
      <c r="G109" s="10">
        <v>225</v>
      </c>
      <c r="H109" s="10">
        <v>169</v>
      </c>
      <c r="I109" s="10">
        <f>E109+F109+G109-H109</f>
        <v>10956</v>
      </c>
      <c r="J109" s="10">
        <v>1605</v>
      </c>
      <c r="K109" s="10">
        <f>IF(I109-J109-3500&gt;0,I109-J109-3500,0)</f>
        <v>5851</v>
      </c>
      <c r="L109" s="10">
        <f>IF(K109&gt;80000,K109*0.45-13505,IF(K109&gt;55000,K109*0.35-5505,IF(K109&gt;35000,K109*0.3-2755,IF(K109&gt;9000,K109*0.25-1005,IF(K109&gt;4500,K109*0.2-555,IF(K109&gt;1500,K109*0.1-105,IF(K109&gt;0,K109*0.03,0)))))))</f>
        <v>615.20000000000005</v>
      </c>
      <c r="M109" s="10">
        <f>I109-J109-L109</f>
        <v>8735.7999999999993</v>
      </c>
    </row>
    <row r="110" spans="1:13" outlineLevel="2" x14ac:dyDescent="0.15">
      <c r="A110" s="11">
        <v>68</v>
      </c>
      <c r="B110" s="9" t="s">
        <v>706</v>
      </c>
      <c r="C110" s="9" t="s">
        <v>93</v>
      </c>
      <c r="D110" s="9" t="str">
        <f>VLOOKUP(LEFT(B110,1),部门信息!$B$1:$C$6,2,0)</f>
        <v>市场</v>
      </c>
      <c r="E110" s="10">
        <v>10400</v>
      </c>
      <c r="F110" s="10">
        <v>400</v>
      </c>
      <c r="G110" s="10">
        <v>90</v>
      </c>
      <c r="H110" s="10">
        <v>0</v>
      </c>
      <c r="I110" s="10">
        <f>E110+F110+G110-H110</f>
        <v>10890</v>
      </c>
      <c r="J110" s="10">
        <v>1248</v>
      </c>
      <c r="K110" s="10">
        <f>IF(I110-J110-3500&gt;0,I110-J110-3500,0)</f>
        <v>6142</v>
      </c>
      <c r="L110" s="10">
        <f>IF(K110&gt;80000,K110*0.45-13505,IF(K110&gt;55000,K110*0.35-5505,IF(K110&gt;35000,K110*0.3-2755,IF(K110&gt;9000,K110*0.25-1005,IF(K110&gt;4500,K110*0.2-555,IF(K110&gt;1500,K110*0.1-105,IF(K110&gt;0,K110*0.03,0)))))))</f>
        <v>673.40000000000009</v>
      </c>
      <c r="M110" s="10">
        <f>I110-J110-L110</f>
        <v>8968.6</v>
      </c>
    </row>
    <row r="111" spans="1:13" outlineLevel="2" x14ac:dyDescent="0.15">
      <c r="A111" s="11">
        <v>69</v>
      </c>
      <c r="B111" s="9" t="s">
        <v>648</v>
      </c>
      <c r="C111" s="9" t="s">
        <v>94</v>
      </c>
      <c r="D111" s="9" t="str">
        <f>VLOOKUP(LEFT(B111,1),部门信息!$B$1:$C$6,2,0)</f>
        <v>市场</v>
      </c>
      <c r="E111" s="10">
        <v>5700</v>
      </c>
      <c r="F111" s="10">
        <v>600</v>
      </c>
      <c r="G111" s="10">
        <v>270</v>
      </c>
      <c r="H111" s="10">
        <v>0</v>
      </c>
      <c r="I111" s="10">
        <f>E111+F111+G111-H111</f>
        <v>6570</v>
      </c>
      <c r="J111" s="10">
        <v>684</v>
      </c>
      <c r="K111" s="10">
        <f>IF(I111-J111-3500&gt;0,I111-J111-3500,0)</f>
        <v>2386</v>
      </c>
      <c r="L111" s="10">
        <f>IF(K111&gt;80000,K111*0.45-13505,IF(K111&gt;55000,K111*0.35-5505,IF(K111&gt;35000,K111*0.3-2755,IF(K111&gt;9000,K111*0.25-1005,IF(K111&gt;4500,K111*0.2-555,IF(K111&gt;1500,K111*0.1-105,IF(K111&gt;0,K111*0.03,0)))))))</f>
        <v>133.60000000000002</v>
      </c>
      <c r="M111" s="10">
        <f>I111-J111-L111</f>
        <v>5752.4</v>
      </c>
    </row>
    <row r="112" spans="1:13" outlineLevel="2" x14ac:dyDescent="0.15">
      <c r="A112" s="11">
        <v>71</v>
      </c>
      <c r="B112" s="9" t="s">
        <v>693</v>
      </c>
      <c r="C112" s="9" t="s">
        <v>96</v>
      </c>
      <c r="D112" s="9" t="str">
        <f>VLOOKUP(LEFT(B112,1),部门信息!$B$1:$C$6,2,0)</f>
        <v>市场</v>
      </c>
      <c r="E112" s="10">
        <v>18600</v>
      </c>
      <c r="F112" s="10">
        <v>300</v>
      </c>
      <c r="G112" s="10">
        <v>225</v>
      </c>
      <c r="H112" s="10">
        <v>405</v>
      </c>
      <c r="I112" s="10">
        <f>E112+F112+G112-H112</f>
        <v>18720</v>
      </c>
      <c r="J112" s="10">
        <v>2232</v>
      </c>
      <c r="K112" s="10">
        <f>IF(I112-J112-3500&gt;0,I112-J112-3500,0)</f>
        <v>12988</v>
      </c>
      <c r="L112" s="10">
        <f>IF(K112&gt;80000,K112*0.45-13505,IF(K112&gt;55000,K112*0.35-5505,IF(K112&gt;35000,K112*0.3-2755,IF(K112&gt;9000,K112*0.25-1005,IF(K112&gt;4500,K112*0.2-555,IF(K112&gt;1500,K112*0.1-105,IF(K112&gt;0,K112*0.03,0)))))))</f>
        <v>2242</v>
      </c>
      <c r="M112" s="10">
        <f>I112-J112-L112</f>
        <v>14246</v>
      </c>
    </row>
    <row r="113" spans="1:13" outlineLevel="2" x14ac:dyDescent="0.15">
      <c r="A113" s="11">
        <v>73</v>
      </c>
      <c r="B113" s="9" t="s">
        <v>669</v>
      </c>
      <c r="C113" s="9" t="s">
        <v>98</v>
      </c>
      <c r="D113" s="9" t="str">
        <f>VLOOKUP(LEFT(B113,1),部门信息!$B$1:$C$6,2,0)</f>
        <v>市场</v>
      </c>
      <c r="E113" s="10">
        <v>19400</v>
      </c>
      <c r="F113" s="10">
        <v>800</v>
      </c>
      <c r="G113" s="10">
        <v>45</v>
      </c>
      <c r="H113" s="10">
        <v>78</v>
      </c>
      <c r="I113" s="10">
        <f>E113+F113+G113-H113</f>
        <v>20167</v>
      </c>
      <c r="J113" s="10">
        <v>2716</v>
      </c>
      <c r="K113" s="10">
        <f>IF(I113-J113-3500&gt;0,I113-J113-3500,0)</f>
        <v>13951</v>
      </c>
      <c r="L113" s="10">
        <f>IF(K113&gt;80000,K113*0.45-13505,IF(K113&gt;55000,K113*0.35-5505,IF(K113&gt;35000,K113*0.3-2755,IF(K113&gt;9000,K113*0.25-1005,IF(K113&gt;4500,K113*0.2-555,IF(K113&gt;1500,K113*0.1-105,IF(K113&gt;0,K113*0.03,0)))))))</f>
        <v>2482.75</v>
      </c>
      <c r="M113" s="10">
        <f>I113-J113-L113</f>
        <v>14968.25</v>
      </c>
    </row>
    <row r="114" spans="1:13" outlineLevel="2" x14ac:dyDescent="0.15">
      <c r="A114" s="11">
        <v>77</v>
      </c>
      <c r="B114" s="9" t="s">
        <v>721</v>
      </c>
      <c r="C114" s="9" t="s">
        <v>101</v>
      </c>
      <c r="D114" s="9" t="str">
        <f>VLOOKUP(LEFT(B114,1),部门信息!$B$1:$C$6,2,0)</f>
        <v>市场</v>
      </c>
      <c r="E114" s="10">
        <v>14400</v>
      </c>
      <c r="F114" s="10">
        <v>400</v>
      </c>
      <c r="G114" s="10">
        <v>180</v>
      </c>
      <c r="H114" s="10">
        <v>411</v>
      </c>
      <c r="I114" s="10">
        <f>E114+F114+G114-H114</f>
        <v>14569</v>
      </c>
      <c r="J114" s="10">
        <v>1728</v>
      </c>
      <c r="K114" s="10">
        <f>IF(I114-J114-3500&gt;0,I114-J114-3500,0)</f>
        <v>9341</v>
      </c>
      <c r="L114" s="10">
        <f>IF(K114&gt;80000,K114*0.45-13505,IF(K114&gt;55000,K114*0.35-5505,IF(K114&gt;35000,K114*0.3-2755,IF(K114&gt;9000,K114*0.25-1005,IF(K114&gt;4500,K114*0.2-555,IF(K114&gt;1500,K114*0.1-105,IF(K114&gt;0,K114*0.03,0)))))))</f>
        <v>1330.25</v>
      </c>
      <c r="M114" s="10">
        <f>I114-J114-L114</f>
        <v>11510.75</v>
      </c>
    </row>
    <row r="115" spans="1:13" outlineLevel="2" x14ac:dyDescent="0.15">
      <c r="A115" s="11">
        <v>80</v>
      </c>
      <c r="B115" s="9" t="s">
        <v>655</v>
      </c>
      <c r="C115" s="9" t="s">
        <v>104</v>
      </c>
      <c r="D115" s="9" t="str">
        <f>VLOOKUP(LEFT(B115,1),部门信息!$B$1:$C$6,2,0)</f>
        <v>市场</v>
      </c>
      <c r="E115" s="10">
        <v>7700</v>
      </c>
      <c r="F115" s="10">
        <v>100</v>
      </c>
      <c r="G115" s="10">
        <v>225</v>
      </c>
      <c r="H115" s="10">
        <v>72</v>
      </c>
      <c r="I115" s="10">
        <f>E115+F115+G115-H115</f>
        <v>7953</v>
      </c>
      <c r="J115" s="10">
        <v>1232</v>
      </c>
      <c r="K115" s="10">
        <f>IF(I115-J115-3500&gt;0,I115-J115-3500,0)</f>
        <v>3221</v>
      </c>
      <c r="L115" s="10">
        <f>IF(K115&gt;80000,K115*0.45-13505,IF(K115&gt;55000,K115*0.35-5505,IF(K115&gt;35000,K115*0.3-2755,IF(K115&gt;9000,K115*0.25-1005,IF(K115&gt;4500,K115*0.2-555,IF(K115&gt;1500,K115*0.1-105,IF(K115&gt;0,K115*0.03,0)))))))</f>
        <v>217.10000000000002</v>
      </c>
      <c r="M115" s="10">
        <f>I115-J115-L115</f>
        <v>6503.9</v>
      </c>
    </row>
    <row r="116" spans="1:13" outlineLevel="2" x14ac:dyDescent="0.15">
      <c r="A116" s="11">
        <v>83</v>
      </c>
      <c r="B116" s="9" t="s">
        <v>590</v>
      </c>
      <c r="C116" s="9" t="s">
        <v>107</v>
      </c>
      <c r="D116" s="9" t="str">
        <f>VLOOKUP(LEFT(B116,1),部门信息!$B$1:$C$6,2,0)</f>
        <v>市场</v>
      </c>
      <c r="E116" s="10">
        <v>12300</v>
      </c>
      <c r="F116" s="10">
        <v>500</v>
      </c>
      <c r="G116" s="10">
        <v>360</v>
      </c>
      <c r="H116" s="10">
        <v>0</v>
      </c>
      <c r="I116" s="10">
        <f>E116+F116+G116-H116</f>
        <v>13160</v>
      </c>
      <c r="J116" s="10">
        <v>1845</v>
      </c>
      <c r="K116" s="10">
        <f>IF(I116-J116-3500&gt;0,I116-J116-3500,0)</f>
        <v>7815</v>
      </c>
      <c r="L116" s="10">
        <f>IF(K116&gt;80000,K116*0.45-13505,IF(K116&gt;55000,K116*0.35-5505,IF(K116&gt;35000,K116*0.3-2755,IF(K116&gt;9000,K116*0.25-1005,IF(K116&gt;4500,K116*0.2-555,IF(K116&gt;1500,K116*0.1-105,IF(K116&gt;0,K116*0.03,0)))))))</f>
        <v>1008</v>
      </c>
      <c r="M116" s="10">
        <f>I116-J116-L116</f>
        <v>10307</v>
      </c>
    </row>
    <row r="117" spans="1:13" outlineLevel="2" x14ac:dyDescent="0.15">
      <c r="A117" s="11">
        <v>84</v>
      </c>
      <c r="B117" s="9" t="s">
        <v>620</v>
      </c>
      <c r="C117" s="9" t="s">
        <v>108</v>
      </c>
      <c r="D117" s="9" t="str">
        <f>VLOOKUP(LEFT(B117,1),部门信息!$B$1:$C$6,2,0)</f>
        <v>市场</v>
      </c>
      <c r="E117" s="10">
        <v>17500</v>
      </c>
      <c r="F117" s="10">
        <v>200</v>
      </c>
      <c r="G117" s="10">
        <v>315</v>
      </c>
      <c r="H117" s="10">
        <v>0</v>
      </c>
      <c r="I117" s="10">
        <f>E117+F117+G117-H117</f>
        <v>18015</v>
      </c>
      <c r="J117" s="10">
        <v>2800</v>
      </c>
      <c r="K117" s="10">
        <f>IF(I117-J117-3500&gt;0,I117-J117-3500,0)</f>
        <v>11715</v>
      </c>
      <c r="L117" s="10">
        <f>IF(K117&gt;80000,K117*0.45-13505,IF(K117&gt;55000,K117*0.35-5505,IF(K117&gt;35000,K117*0.3-2755,IF(K117&gt;9000,K117*0.25-1005,IF(K117&gt;4500,K117*0.2-555,IF(K117&gt;1500,K117*0.1-105,IF(K117&gt;0,K117*0.03,0)))))))</f>
        <v>1923.75</v>
      </c>
      <c r="M117" s="10">
        <f>I117-J117-L117</f>
        <v>13291.25</v>
      </c>
    </row>
    <row r="118" spans="1:13" outlineLevel="2" x14ac:dyDescent="0.15">
      <c r="A118" s="11">
        <v>85</v>
      </c>
      <c r="B118" s="9" t="s">
        <v>612</v>
      </c>
      <c r="C118" s="9" t="s">
        <v>109</v>
      </c>
      <c r="D118" s="9" t="str">
        <f>VLOOKUP(LEFT(B118,1),部门信息!$B$1:$C$6,2,0)</f>
        <v>市场</v>
      </c>
      <c r="E118" s="10">
        <v>5300</v>
      </c>
      <c r="F118" s="10">
        <v>200</v>
      </c>
      <c r="G118" s="10">
        <v>270</v>
      </c>
      <c r="H118" s="10">
        <v>213</v>
      </c>
      <c r="I118" s="10">
        <f>E118+F118+G118-H118</f>
        <v>5557</v>
      </c>
      <c r="J118" s="10">
        <v>689</v>
      </c>
      <c r="K118" s="10">
        <f>IF(I118-J118-3500&gt;0,I118-J118-3500,0)</f>
        <v>1368</v>
      </c>
      <c r="L118" s="10">
        <f>IF(K118&gt;80000,K118*0.45-13505,IF(K118&gt;55000,K118*0.35-5505,IF(K118&gt;35000,K118*0.3-2755,IF(K118&gt;9000,K118*0.25-1005,IF(K118&gt;4500,K118*0.2-555,IF(K118&gt;1500,K118*0.1-105,IF(K118&gt;0,K118*0.03,0)))))))</f>
        <v>41.04</v>
      </c>
      <c r="M118" s="10">
        <f>I118-J118-L118</f>
        <v>4826.96</v>
      </c>
    </row>
    <row r="119" spans="1:13" outlineLevel="2" x14ac:dyDescent="0.15">
      <c r="A119" s="11">
        <v>86</v>
      </c>
      <c r="B119" s="9" t="s">
        <v>621</v>
      </c>
      <c r="C119" s="9" t="s">
        <v>110</v>
      </c>
      <c r="D119" s="9" t="str">
        <f>VLOOKUP(LEFT(B119,1),部门信息!$B$1:$C$6,2,0)</f>
        <v>市场</v>
      </c>
      <c r="E119" s="10">
        <v>3000</v>
      </c>
      <c r="F119" s="10">
        <v>200</v>
      </c>
      <c r="G119" s="10">
        <v>450</v>
      </c>
      <c r="H119" s="10">
        <v>0</v>
      </c>
      <c r="I119" s="10">
        <f>E119+F119+G119-H119</f>
        <v>3650</v>
      </c>
      <c r="J119" s="10">
        <v>480</v>
      </c>
      <c r="K119" s="10">
        <f>IF(I119-J119-3500&gt;0,I119-J119-3500,0)</f>
        <v>0</v>
      </c>
      <c r="L119" s="10">
        <f>IF(K119&gt;80000,K119*0.45-13505,IF(K119&gt;55000,K119*0.35-5505,IF(K119&gt;35000,K119*0.3-2755,IF(K119&gt;9000,K119*0.25-1005,IF(K119&gt;4500,K119*0.2-555,IF(K119&gt;1500,K119*0.1-105,IF(K119&gt;0,K119*0.03,0)))))))</f>
        <v>0</v>
      </c>
      <c r="M119" s="10">
        <f>I119-J119-L119</f>
        <v>3170</v>
      </c>
    </row>
    <row r="120" spans="1:13" outlineLevel="2" x14ac:dyDescent="0.15">
      <c r="A120" s="11">
        <v>89</v>
      </c>
      <c r="B120" s="9" t="s">
        <v>586</v>
      </c>
      <c r="C120" s="9" t="s">
        <v>113</v>
      </c>
      <c r="D120" s="9" t="str">
        <f>VLOOKUP(LEFT(B120,1),部门信息!$B$1:$C$6,2,0)</f>
        <v>市场</v>
      </c>
      <c r="E120" s="10">
        <v>13600</v>
      </c>
      <c r="F120" s="10">
        <v>100</v>
      </c>
      <c r="G120" s="10">
        <v>180</v>
      </c>
      <c r="H120" s="10">
        <v>0</v>
      </c>
      <c r="I120" s="10">
        <f>E120+F120+G120-H120</f>
        <v>13880</v>
      </c>
      <c r="J120" s="10">
        <v>1768</v>
      </c>
      <c r="K120" s="10">
        <f>IF(I120-J120-3500&gt;0,I120-J120-3500,0)</f>
        <v>8612</v>
      </c>
      <c r="L120" s="10">
        <f>IF(K120&gt;80000,K120*0.45-13505,IF(K120&gt;55000,K120*0.35-5505,IF(K120&gt;35000,K120*0.3-2755,IF(K120&gt;9000,K120*0.25-1005,IF(K120&gt;4500,K120*0.2-555,IF(K120&gt;1500,K120*0.1-105,IF(K120&gt;0,K120*0.03,0)))))))</f>
        <v>1167.4000000000001</v>
      </c>
      <c r="M120" s="10">
        <f>I120-J120-L120</f>
        <v>10944.6</v>
      </c>
    </row>
    <row r="121" spans="1:13" outlineLevel="2" x14ac:dyDescent="0.15">
      <c r="A121" s="11">
        <v>90</v>
      </c>
      <c r="B121" s="9" t="s">
        <v>643</v>
      </c>
      <c r="C121" s="9" t="s">
        <v>114</v>
      </c>
      <c r="D121" s="9" t="str">
        <f>VLOOKUP(LEFT(B121,1),部门信息!$B$1:$C$6,2,0)</f>
        <v>市场</v>
      </c>
      <c r="E121" s="10">
        <v>16700</v>
      </c>
      <c r="F121" s="10">
        <v>400</v>
      </c>
      <c r="G121" s="10">
        <v>360</v>
      </c>
      <c r="H121" s="10">
        <v>0</v>
      </c>
      <c r="I121" s="10">
        <f>E121+F121+G121-H121</f>
        <v>17460</v>
      </c>
      <c r="J121" s="10">
        <v>2338</v>
      </c>
      <c r="K121" s="10">
        <f>IF(I121-J121-3500&gt;0,I121-J121-3500,0)</f>
        <v>11622</v>
      </c>
      <c r="L121" s="10">
        <f>IF(K121&gt;80000,K121*0.45-13505,IF(K121&gt;55000,K121*0.35-5505,IF(K121&gt;35000,K121*0.3-2755,IF(K121&gt;9000,K121*0.25-1005,IF(K121&gt;4500,K121*0.2-555,IF(K121&gt;1500,K121*0.1-105,IF(K121&gt;0,K121*0.03,0)))))))</f>
        <v>1900.5</v>
      </c>
      <c r="M121" s="10">
        <f>I121-J121-L121</f>
        <v>13221.5</v>
      </c>
    </row>
    <row r="122" spans="1:13" outlineLevel="2" x14ac:dyDescent="0.15">
      <c r="A122" s="11">
        <v>91</v>
      </c>
      <c r="B122" s="9" t="s">
        <v>576</v>
      </c>
      <c r="C122" s="9" t="s">
        <v>115</v>
      </c>
      <c r="D122" s="9" t="str">
        <f>VLOOKUP(LEFT(B122,1),部门信息!$B$1:$C$6,2,0)</f>
        <v>市场</v>
      </c>
      <c r="E122" s="10">
        <v>13900</v>
      </c>
      <c r="F122" s="10">
        <v>1000</v>
      </c>
      <c r="G122" s="10">
        <v>135</v>
      </c>
      <c r="H122" s="10">
        <v>85</v>
      </c>
      <c r="I122" s="10">
        <f>E122+F122+G122-H122</f>
        <v>14950</v>
      </c>
      <c r="J122" s="10">
        <v>1807</v>
      </c>
      <c r="K122" s="10">
        <f>IF(I122-J122-3500&gt;0,I122-J122-3500,0)</f>
        <v>9643</v>
      </c>
      <c r="L122" s="10">
        <f>IF(K122&gt;80000,K122*0.45-13505,IF(K122&gt;55000,K122*0.35-5505,IF(K122&gt;35000,K122*0.3-2755,IF(K122&gt;9000,K122*0.25-1005,IF(K122&gt;4500,K122*0.2-555,IF(K122&gt;1500,K122*0.1-105,IF(K122&gt;0,K122*0.03,0)))))))</f>
        <v>1405.75</v>
      </c>
      <c r="M122" s="10">
        <f>I122-J122-L122</f>
        <v>11737.25</v>
      </c>
    </row>
    <row r="123" spans="1:13" outlineLevel="2" x14ac:dyDescent="0.15">
      <c r="A123" s="11">
        <v>95</v>
      </c>
      <c r="B123" s="9" t="s">
        <v>572</v>
      </c>
      <c r="C123" s="9" t="s">
        <v>119</v>
      </c>
      <c r="D123" s="9" t="str">
        <f>VLOOKUP(LEFT(B123,1),部门信息!$B$1:$C$6,2,0)</f>
        <v>市场</v>
      </c>
      <c r="E123" s="10">
        <v>7800</v>
      </c>
      <c r="F123" s="10">
        <v>1000</v>
      </c>
      <c r="G123" s="10">
        <v>270</v>
      </c>
      <c r="H123" s="10">
        <v>0</v>
      </c>
      <c r="I123" s="10">
        <f>E123+F123+G123-H123</f>
        <v>9070</v>
      </c>
      <c r="J123" s="10">
        <v>1170</v>
      </c>
      <c r="K123" s="10">
        <f>IF(I123-J123-3500&gt;0,I123-J123-3500,0)</f>
        <v>4400</v>
      </c>
      <c r="L123" s="10">
        <f>IF(K123&gt;80000,K123*0.45-13505,IF(K123&gt;55000,K123*0.35-5505,IF(K123&gt;35000,K123*0.3-2755,IF(K123&gt;9000,K123*0.25-1005,IF(K123&gt;4500,K123*0.2-555,IF(K123&gt;1500,K123*0.1-105,IF(K123&gt;0,K123*0.03,0)))))))</f>
        <v>335</v>
      </c>
      <c r="M123" s="10">
        <f>I123-J123-L123</f>
        <v>7565</v>
      </c>
    </row>
    <row r="124" spans="1:13" outlineLevel="2" x14ac:dyDescent="0.15">
      <c r="A124" s="11">
        <v>100</v>
      </c>
      <c r="B124" s="9" t="s">
        <v>717</v>
      </c>
      <c r="C124" s="9" t="s">
        <v>124</v>
      </c>
      <c r="D124" s="9" t="str">
        <f>VLOOKUP(LEFT(B124,1),部门信息!$B$1:$C$6,2,0)</f>
        <v>市场</v>
      </c>
      <c r="E124" s="10">
        <v>15200</v>
      </c>
      <c r="F124" s="10">
        <v>100</v>
      </c>
      <c r="G124" s="10">
        <v>45</v>
      </c>
      <c r="H124" s="10">
        <v>0</v>
      </c>
      <c r="I124" s="10">
        <f>E124+F124+G124-H124</f>
        <v>15345</v>
      </c>
      <c r="J124" s="10">
        <v>2432</v>
      </c>
      <c r="K124" s="10">
        <f>IF(I124-J124-3500&gt;0,I124-J124-3500,0)</f>
        <v>9413</v>
      </c>
      <c r="L124" s="10">
        <f>IF(K124&gt;80000,K124*0.45-13505,IF(K124&gt;55000,K124*0.35-5505,IF(K124&gt;35000,K124*0.3-2755,IF(K124&gt;9000,K124*0.25-1005,IF(K124&gt;4500,K124*0.2-555,IF(K124&gt;1500,K124*0.1-105,IF(K124&gt;0,K124*0.03,0)))))))</f>
        <v>1348.25</v>
      </c>
      <c r="M124" s="10">
        <f>I124-J124-L124</f>
        <v>11564.75</v>
      </c>
    </row>
    <row r="125" spans="1:13" outlineLevel="2" x14ac:dyDescent="0.15">
      <c r="A125" s="11">
        <v>101</v>
      </c>
      <c r="B125" s="9" t="s">
        <v>608</v>
      </c>
      <c r="C125" s="9" t="s">
        <v>125</v>
      </c>
      <c r="D125" s="9" t="str">
        <f>VLOOKUP(LEFT(B125,1),部门信息!$B$1:$C$6,2,0)</f>
        <v>市场</v>
      </c>
      <c r="E125" s="10">
        <v>11000</v>
      </c>
      <c r="F125" s="10">
        <v>100</v>
      </c>
      <c r="G125" s="10">
        <v>450</v>
      </c>
      <c r="H125" s="10">
        <v>32</v>
      </c>
      <c r="I125" s="10">
        <f>E125+F125+G125-H125</f>
        <v>11518</v>
      </c>
      <c r="J125" s="10">
        <v>1650</v>
      </c>
      <c r="K125" s="10">
        <f>IF(I125-J125-3500&gt;0,I125-J125-3500,0)</f>
        <v>6368</v>
      </c>
      <c r="L125" s="10">
        <f>IF(K125&gt;80000,K125*0.45-13505,IF(K125&gt;55000,K125*0.35-5505,IF(K125&gt;35000,K125*0.3-2755,IF(K125&gt;9000,K125*0.25-1005,IF(K125&gt;4500,K125*0.2-555,IF(K125&gt;1500,K125*0.1-105,IF(K125&gt;0,K125*0.03,0)))))))</f>
        <v>718.60000000000014</v>
      </c>
      <c r="M125" s="10">
        <f>I125-J125-L125</f>
        <v>9149.4</v>
      </c>
    </row>
    <row r="126" spans="1:13" outlineLevel="2" x14ac:dyDescent="0.15">
      <c r="A126" s="11">
        <v>106</v>
      </c>
      <c r="B126" s="9" t="s">
        <v>696</v>
      </c>
      <c r="C126" s="9" t="s">
        <v>129</v>
      </c>
      <c r="D126" s="9" t="str">
        <f>VLOOKUP(LEFT(B126,1),部门信息!$B$1:$C$6,2,0)</f>
        <v>市场</v>
      </c>
      <c r="E126" s="10">
        <v>12700</v>
      </c>
      <c r="F126" s="10">
        <v>0</v>
      </c>
      <c r="G126" s="10">
        <v>405</v>
      </c>
      <c r="H126" s="10">
        <v>0</v>
      </c>
      <c r="I126" s="10">
        <f>E126+F126+G126-H126</f>
        <v>13105</v>
      </c>
      <c r="J126" s="10">
        <v>1905</v>
      </c>
      <c r="K126" s="10">
        <f>IF(I126-J126-3500&gt;0,I126-J126-3500,0)</f>
        <v>7700</v>
      </c>
      <c r="L126" s="10">
        <f>IF(K126&gt;80000,K126*0.45-13505,IF(K126&gt;55000,K126*0.35-5505,IF(K126&gt;35000,K126*0.3-2755,IF(K126&gt;9000,K126*0.25-1005,IF(K126&gt;4500,K126*0.2-555,IF(K126&gt;1500,K126*0.1-105,IF(K126&gt;0,K126*0.03,0)))))))</f>
        <v>985</v>
      </c>
      <c r="M126" s="10">
        <f>I126-J126-L126</f>
        <v>10215</v>
      </c>
    </row>
    <row r="127" spans="1:13" outlineLevel="2" x14ac:dyDescent="0.15">
      <c r="A127" s="11">
        <v>111</v>
      </c>
      <c r="B127" s="9" t="s">
        <v>591</v>
      </c>
      <c r="C127" s="9" t="s">
        <v>26</v>
      </c>
      <c r="D127" s="9" t="str">
        <f>VLOOKUP(LEFT(B127,1),部门信息!$B$1:$C$6,2,0)</f>
        <v>市场</v>
      </c>
      <c r="E127" s="10">
        <v>8800</v>
      </c>
      <c r="F127" s="10">
        <v>200</v>
      </c>
      <c r="G127" s="10">
        <v>45</v>
      </c>
      <c r="H127" s="10">
        <v>222</v>
      </c>
      <c r="I127" s="10">
        <f>E127+F127+G127-H127</f>
        <v>8823</v>
      </c>
      <c r="J127" s="10">
        <v>1144</v>
      </c>
      <c r="K127" s="10">
        <f>IF(I127-J127-3500&gt;0,I127-J127-3500,0)</f>
        <v>4179</v>
      </c>
      <c r="L127" s="10">
        <f>IF(K127&gt;80000,K127*0.45-13505,IF(K127&gt;55000,K127*0.35-5505,IF(K127&gt;35000,K127*0.3-2755,IF(K127&gt;9000,K127*0.25-1005,IF(K127&gt;4500,K127*0.2-555,IF(K127&gt;1500,K127*0.1-105,IF(K127&gt;0,K127*0.03,0)))))))</f>
        <v>312.90000000000003</v>
      </c>
      <c r="M127" s="10">
        <f>I127-J127-L127</f>
        <v>7366.1</v>
      </c>
    </row>
    <row r="128" spans="1:13" outlineLevel="2" x14ac:dyDescent="0.15">
      <c r="A128" s="11">
        <v>114</v>
      </c>
      <c r="B128" s="9" t="s">
        <v>653</v>
      </c>
      <c r="C128" s="9" t="s">
        <v>136</v>
      </c>
      <c r="D128" s="9" t="str">
        <f>VLOOKUP(LEFT(B128,1),部门信息!$B$1:$C$6,2,0)</f>
        <v>市场</v>
      </c>
      <c r="E128" s="10">
        <v>11000</v>
      </c>
      <c r="F128" s="10">
        <v>1000</v>
      </c>
      <c r="G128" s="10">
        <v>315</v>
      </c>
      <c r="H128" s="10">
        <v>340</v>
      </c>
      <c r="I128" s="10">
        <f>E128+F128+G128-H128</f>
        <v>11975</v>
      </c>
      <c r="J128" s="10">
        <v>1760</v>
      </c>
      <c r="K128" s="10">
        <f>IF(I128-J128-3500&gt;0,I128-J128-3500,0)</f>
        <v>6715</v>
      </c>
      <c r="L128" s="10">
        <f>IF(K128&gt;80000,K128*0.45-13505,IF(K128&gt;55000,K128*0.35-5505,IF(K128&gt;35000,K128*0.3-2755,IF(K128&gt;9000,K128*0.25-1005,IF(K128&gt;4500,K128*0.2-555,IF(K128&gt;1500,K128*0.1-105,IF(K128&gt;0,K128*0.03,0)))))))</f>
        <v>788</v>
      </c>
      <c r="M128" s="10">
        <f>I128-J128-L128</f>
        <v>9427</v>
      </c>
    </row>
    <row r="129" spans="1:13" outlineLevel="2" x14ac:dyDescent="0.15">
      <c r="A129" s="11">
        <v>117</v>
      </c>
      <c r="B129" s="9" t="s">
        <v>670</v>
      </c>
      <c r="C129" s="9" t="s">
        <v>139</v>
      </c>
      <c r="D129" s="9" t="str">
        <f>VLOOKUP(LEFT(B129,1),部门信息!$B$1:$C$6,2,0)</f>
        <v>市场</v>
      </c>
      <c r="E129" s="10">
        <v>7000</v>
      </c>
      <c r="F129" s="10">
        <v>0</v>
      </c>
      <c r="G129" s="10">
        <v>315</v>
      </c>
      <c r="H129" s="10">
        <v>181</v>
      </c>
      <c r="I129" s="10">
        <f>E129+F129+G129-H129</f>
        <v>7134</v>
      </c>
      <c r="J129" s="10">
        <v>1050</v>
      </c>
      <c r="K129" s="10">
        <f>IF(I129-J129-3500&gt;0,I129-J129-3500,0)</f>
        <v>2584</v>
      </c>
      <c r="L129" s="10">
        <f>IF(K129&gt;80000,K129*0.45-13505,IF(K129&gt;55000,K129*0.35-5505,IF(K129&gt;35000,K129*0.3-2755,IF(K129&gt;9000,K129*0.25-1005,IF(K129&gt;4500,K129*0.2-555,IF(K129&gt;1500,K129*0.1-105,IF(K129&gt;0,K129*0.03,0)))))))</f>
        <v>153.40000000000003</v>
      </c>
      <c r="M129" s="10">
        <f>I129-J129-L129</f>
        <v>5930.6</v>
      </c>
    </row>
    <row r="130" spans="1:13" outlineLevel="2" x14ac:dyDescent="0.15">
      <c r="A130" s="11">
        <v>121</v>
      </c>
      <c r="B130" s="9" t="s">
        <v>679</v>
      </c>
      <c r="C130" s="9" t="s">
        <v>143</v>
      </c>
      <c r="D130" s="9" t="str">
        <f>VLOOKUP(LEFT(B130,1),部门信息!$B$1:$C$6,2,0)</f>
        <v>市场</v>
      </c>
      <c r="E130" s="10">
        <v>12000</v>
      </c>
      <c r="F130" s="10">
        <v>300</v>
      </c>
      <c r="G130" s="10">
        <v>225</v>
      </c>
      <c r="H130" s="10">
        <v>0</v>
      </c>
      <c r="I130" s="10">
        <f>E130+F130+G130-H130</f>
        <v>12525</v>
      </c>
      <c r="J130" s="10">
        <v>1920</v>
      </c>
      <c r="K130" s="10">
        <f>IF(I130-J130-3500&gt;0,I130-J130-3500,0)</f>
        <v>7105</v>
      </c>
      <c r="L130" s="10">
        <f>IF(K130&gt;80000,K130*0.45-13505,IF(K130&gt;55000,K130*0.35-5505,IF(K130&gt;35000,K130*0.3-2755,IF(K130&gt;9000,K130*0.25-1005,IF(K130&gt;4500,K130*0.2-555,IF(K130&gt;1500,K130*0.1-105,IF(K130&gt;0,K130*0.03,0)))))))</f>
        <v>866</v>
      </c>
      <c r="M130" s="10">
        <f>I130-J130-L130</f>
        <v>9739</v>
      </c>
    </row>
    <row r="131" spans="1:13" outlineLevel="2" x14ac:dyDescent="0.15">
      <c r="A131" s="11">
        <v>123</v>
      </c>
      <c r="B131" s="9" t="s">
        <v>588</v>
      </c>
      <c r="C131" s="9" t="s">
        <v>145</v>
      </c>
      <c r="D131" s="9" t="str">
        <f>VLOOKUP(LEFT(B131,1),部门信息!$B$1:$C$6,2,0)</f>
        <v>市场</v>
      </c>
      <c r="E131" s="10">
        <v>19200</v>
      </c>
      <c r="F131" s="10">
        <v>1000</v>
      </c>
      <c r="G131" s="10">
        <v>405</v>
      </c>
      <c r="H131" s="10">
        <v>167</v>
      </c>
      <c r="I131" s="10">
        <f>E131+F131+G131-H131</f>
        <v>20438</v>
      </c>
      <c r="J131" s="10">
        <v>2304</v>
      </c>
      <c r="K131" s="10">
        <f>IF(I131-J131-3500&gt;0,I131-J131-3500,0)</f>
        <v>14634</v>
      </c>
      <c r="L131" s="10">
        <f>IF(K131&gt;80000,K131*0.45-13505,IF(K131&gt;55000,K131*0.35-5505,IF(K131&gt;35000,K131*0.3-2755,IF(K131&gt;9000,K131*0.25-1005,IF(K131&gt;4500,K131*0.2-555,IF(K131&gt;1500,K131*0.1-105,IF(K131&gt;0,K131*0.03,0)))))))</f>
        <v>2653.5</v>
      </c>
      <c r="M131" s="10">
        <f>I131-J131-L131</f>
        <v>15480.5</v>
      </c>
    </row>
    <row r="132" spans="1:13" outlineLevel="2" x14ac:dyDescent="0.15">
      <c r="A132" s="11">
        <v>124</v>
      </c>
      <c r="B132" s="9" t="s">
        <v>690</v>
      </c>
      <c r="C132" s="9" t="s">
        <v>146</v>
      </c>
      <c r="D132" s="9" t="str">
        <f>VLOOKUP(LEFT(B132,1),部门信息!$B$1:$C$6,2,0)</f>
        <v>市场</v>
      </c>
      <c r="E132" s="10">
        <v>7600</v>
      </c>
      <c r="F132" s="10">
        <v>800</v>
      </c>
      <c r="G132" s="10">
        <v>405</v>
      </c>
      <c r="H132" s="10">
        <v>199</v>
      </c>
      <c r="I132" s="10">
        <f>E132+F132+G132-H132</f>
        <v>8606</v>
      </c>
      <c r="J132" s="10">
        <v>1216</v>
      </c>
      <c r="K132" s="10">
        <f>IF(I132-J132-3500&gt;0,I132-J132-3500,0)</f>
        <v>3890</v>
      </c>
      <c r="L132" s="10">
        <f>IF(K132&gt;80000,K132*0.45-13505,IF(K132&gt;55000,K132*0.35-5505,IF(K132&gt;35000,K132*0.3-2755,IF(K132&gt;9000,K132*0.25-1005,IF(K132&gt;4500,K132*0.2-555,IF(K132&gt;1500,K132*0.1-105,IF(K132&gt;0,K132*0.03,0)))))))</f>
        <v>284</v>
      </c>
      <c r="M132" s="10">
        <f>I132-J132-L132</f>
        <v>7106</v>
      </c>
    </row>
    <row r="133" spans="1:13" outlineLevel="2" x14ac:dyDescent="0.15">
      <c r="A133" s="11">
        <v>126</v>
      </c>
      <c r="B133" s="9" t="s">
        <v>606</v>
      </c>
      <c r="C133" s="9" t="s">
        <v>148</v>
      </c>
      <c r="D133" s="9" t="str">
        <f>VLOOKUP(LEFT(B133,1),部门信息!$B$1:$C$6,2,0)</f>
        <v>市场</v>
      </c>
      <c r="E133" s="10">
        <v>4000</v>
      </c>
      <c r="F133" s="10">
        <v>600</v>
      </c>
      <c r="G133" s="10">
        <v>180</v>
      </c>
      <c r="H133" s="10">
        <v>162</v>
      </c>
      <c r="I133" s="10">
        <f>E133+F133+G133-H133</f>
        <v>4618</v>
      </c>
      <c r="J133" s="10">
        <v>600</v>
      </c>
      <c r="K133" s="10">
        <f>IF(I133-J133-3500&gt;0,I133-J133-3500,0)</f>
        <v>518</v>
      </c>
      <c r="L133" s="10">
        <f>IF(K133&gt;80000,K133*0.45-13505,IF(K133&gt;55000,K133*0.35-5505,IF(K133&gt;35000,K133*0.3-2755,IF(K133&gt;9000,K133*0.25-1005,IF(K133&gt;4500,K133*0.2-555,IF(K133&gt;1500,K133*0.1-105,IF(K133&gt;0,K133*0.03,0)))))))</f>
        <v>15.54</v>
      </c>
      <c r="M133" s="10">
        <f>I133-J133-L133</f>
        <v>4002.46</v>
      </c>
    </row>
    <row r="134" spans="1:13" outlineLevel="2" x14ac:dyDescent="0.15">
      <c r="A134" s="11">
        <v>128</v>
      </c>
      <c r="B134" s="9" t="s">
        <v>573</v>
      </c>
      <c r="C134" s="9" t="s">
        <v>5</v>
      </c>
      <c r="D134" s="9" t="str">
        <f>VLOOKUP(LEFT(B134,1),部门信息!$B$1:$C$6,2,0)</f>
        <v>市场</v>
      </c>
      <c r="E134" s="10">
        <v>7800</v>
      </c>
      <c r="F134" s="10">
        <v>100</v>
      </c>
      <c r="G134" s="10">
        <v>135</v>
      </c>
      <c r="H134" s="10">
        <v>0</v>
      </c>
      <c r="I134" s="10">
        <f>E134+F134+G134-H134</f>
        <v>8035</v>
      </c>
      <c r="J134" s="10">
        <v>1170</v>
      </c>
      <c r="K134" s="10">
        <f>IF(I134-J134-3500&gt;0,I134-J134-3500,0)</f>
        <v>3365</v>
      </c>
      <c r="L134" s="10">
        <f>IF(K134&gt;80000,K134*0.45-13505,IF(K134&gt;55000,K134*0.35-5505,IF(K134&gt;35000,K134*0.3-2755,IF(K134&gt;9000,K134*0.25-1005,IF(K134&gt;4500,K134*0.2-555,IF(K134&gt;1500,K134*0.1-105,IF(K134&gt;0,K134*0.03,0)))))))</f>
        <v>231.5</v>
      </c>
      <c r="M134" s="10">
        <f>I134-J134-L134</f>
        <v>6633.5</v>
      </c>
    </row>
    <row r="135" spans="1:13" outlineLevel="2" x14ac:dyDescent="0.15">
      <c r="A135" s="11">
        <v>133</v>
      </c>
      <c r="B135" s="9" t="s">
        <v>605</v>
      </c>
      <c r="C135" s="9" t="s">
        <v>6</v>
      </c>
      <c r="D135" s="9" t="str">
        <f>VLOOKUP(LEFT(B135,1),部门信息!$B$1:$C$6,2,0)</f>
        <v>市场</v>
      </c>
      <c r="E135" s="10">
        <v>15600</v>
      </c>
      <c r="F135" s="10">
        <v>400</v>
      </c>
      <c r="G135" s="10">
        <v>225</v>
      </c>
      <c r="H135" s="10">
        <v>0</v>
      </c>
      <c r="I135" s="10">
        <f>E135+F135+G135-H135</f>
        <v>16225</v>
      </c>
      <c r="J135" s="10">
        <v>2028</v>
      </c>
      <c r="K135" s="10">
        <f>IF(I135-J135-3500&gt;0,I135-J135-3500,0)</f>
        <v>10697</v>
      </c>
      <c r="L135" s="10">
        <f>IF(K135&gt;80000,K135*0.45-13505,IF(K135&gt;55000,K135*0.35-5505,IF(K135&gt;35000,K135*0.3-2755,IF(K135&gt;9000,K135*0.25-1005,IF(K135&gt;4500,K135*0.2-555,IF(K135&gt;1500,K135*0.1-105,IF(K135&gt;0,K135*0.03,0)))))))</f>
        <v>1669.25</v>
      </c>
      <c r="M135" s="10">
        <f>I135-J135-L135</f>
        <v>12527.75</v>
      </c>
    </row>
    <row r="136" spans="1:13" outlineLevel="2" x14ac:dyDescent="0.15">
      <c r="A136" s="11">
        <v>134</v>
      </c>
      <c r="B136" s="9" t="s">
        <v>654</v>
      </c>
      <c r="C136" s="9" t="s">
        <v>154</v>
      </c>
      <c r="D136" s="9" t="str">
        <f>VLOOKUP(LEFT(B136,1),部门信息!$B$1:$C$6,2,0)</f>
        <v>市场</v>
      </c>
      <c r="E136" s="10">
        <v>17200</v>
      </c>
      <c r="F136" s="10">
        <v>500</v>
      </c>
      <c r="G136" s="10">
        <v>360</v>
      </c>
      <c r="H136" s="10">
        <v>0</v>
      </c>
      <c r="I136" s="10">
        <f>E136+F136+G136-H136</f>
        <v>18060</v>
      </c>
      <c r="J136" s="10">
        <v>2580</v>
      </c>
      <c r="K136" s="10">
        <f>IF(I136-J136-3500&gt;0,I136-J136-3500,0)</f>
        <v>11980</v>
      </c>
      <c r="L136" s="10">
        <f>IF(K136&gt;80000,K136*0.45-13505,IF(K136&gt;55000,K136*0.35-5505,IF(K136&gt;35000,K136*0.3-2755,IF(K136&gt;9000,K136*0.25-1005,IF(K136&gt;4500,K136*0.2-555,IF(K136&gt;1500,K136*0.1-105,IF(K136&gt;0,K136*0.03,0)))))))</f>
        <v>1990</v>
      </c>
      <c r="M136" s="10">
        <f>I136-J136-L136</f>
        <v>13490</v>
      </c>
    </row>
    <row r="137" spans="1:13" outlineLevel="2" x14ac:dyDescent="0.15">
      <c r="A137" s="11">
        <v>137</v>
      </c>
      <c r="B137" s="9" t="s">
        <v>660</v>
      </c>
      <c r="C137" s="9" t="s">
        <v>157</v>
      </c>
      <c r="D137" s="9" t="str">
        <f>VLOOKUP(LEFT(B137,1),部门信息!$B$1:$C$6,2,0)</f>
        <v>市场</v>
      </c>
      <c r="E137" s="10">
        <v>17900</v>
      </c>
      <c r="F137" s="10">
        <v>300</v>
      </c>
      <c r="G137" s="10">
        <v>45</v>
      </c>
      <c r="H137" s="10">
        <v>0</v>
      </c>
      <c r="I137" s="10">
        <f>E137+F137+G137-H137</f>
        <v>18245</v>
      </c>
      <c r="J137" s="10">
        <v>2864</v>
      </c>
      <c r="K137" s="10">
        <f>IF(I137-J137-3500&gt;0,I137-J137-3500,0)</f>
        <v>11881</v>
      </c>
      <c r="L137" s="10">
        <f>IF(K137&gt;80000,K137*0.45-13505,IF(K137&gt;55000,K137*0.35-5505,IF(K137&gt;35000,K137*0.3-2755,IF(K137&gt;9000,K137*0.25-1005,IF(K137&gt;4500,K137*0.2-555,IF(K137&gt;1500,K137*0.1-105,IF(K137&gt;0,K137*0.03,0)))))))</f>
        <v>1965.25</v>
      </c>
      <c r="M137" s="10">
        <f>I137-J137-L137</f>
        <v>13415.75</v>
      </c>
    </row>
    <row r="138" spans="1:13" outlineLevel="2" x14ac:dyDescent="0.15">
      <c r="A138" s="11">
        <v>138</v>
      </c>
      <c r="B138" s="9" t="s">
        <v>639</v>
      </c>
      <c r="C138" s="9" t="s">
        <v>158</v>
      </c>
      <c r="D138" s="9" t="str">
        <f>VLOOKUP(LEFT(B138,1),部门信息!$B$1:$C$6,2,0)</f>
        <v>市场</v>
      </c>
      <c r="E138" s="10">
        <v>17300</v>
      </c>
      <c r="F138" s="10">
        <v>400</v>
      </c>
      <c r="G138" s="10">
        <v>315</v>
      </c>
      <c r="H138" s="10">
        <v>112</v>
      </c>
      <c r="I138" s="10">
        <f>E138+F138+G138-H138</f>
        <v>17903</v>
      </c>
      <c r="J138" s="10">
        <v>2422</v>
      </c>
      <c r="K138" s="10">
        <f>IF(I138-J138-3500&gt;0,I138-J138-3500,0)</f>
        <v>11981</v>
      </c>
      <c r="L138" s="10">
        <f>IF(K138&gt;80000,K138*0.45-13505,IF(K138&gt;55000,K138*0.35-5505,IF(K138&gt;35000,K138*0.3-2755,IF(K138&gt;9000,K138*0.25-1005,IF(K138&gt;4500,K138*0.2-555,IF(K138&gt;1500,K138*0.1-105,IF(K138&gt;0,K138*0.03,0)))))))</f>
        <v>1990.25</v>
      </c>
      <c r="M138" s="10">
        <f>I138-J138-L138</f>
        <v>13490.75</v>
      </c>
    </row>
    <row r="139" spans="1:13" outlineLevel="2" x14ac:dyDescent="0.15">
      <c r="A139" s="11">
        <v>140</v>
      </c>
      <c r="B139" s="9" t="s">
        <v>663</v>
      </c>
      <c r="C139" s="9" t="s">
        <v>160</v>
      </c>
      <c r="D139" s="9" t="str">
        <f>VLOOKUP(LEFT(B139,1),部门信息!$B$1:$C$6,2,0)</f>
        <v>市场</v>
      </c>
      <c r="E139" s="10">
        <v>3300</v>
      </c>
      <c r="F139" s="10">
        <v>300</v>
      </c>
      <c r="G139" s="10">
        <v>360</v>
      </c>
      <c r="H139" s="10">
        <v>0</v>
      </c>
      <c r="I139" s="10">
        <f>E139+F139+G139-H139</f>
        <v>3960</v>
      </c>
      <c r="J139" s="10">
        <v>528</v>
      </c>
      <c r="K139" s="10">
        <f>IF(I139-J139-3500&gt;0,I139-J139-3500,0)</f>
        <v>0</v>
      </c>
      <c r="L139" s="10">
        <f>IF(K139&gt;80000,K139*0.45-13505,IF(K139&gt;55000,K139*0.35-5505,IF(K139&gt;35000,K139*0.3-2755,IF(K139&gt;9000,K139*0.25-1005,IF(K139&gt;4500,K139*0.2-555,IF(K139&gt;1500,K139*0.1-105,IF(K139&gt;0,K139*0.03,0)))))))</f>
        <v>0</v>
      </c>
      <c r="M139" s="10">
        <f>I139-J139-L139</f>
        <v>3432</v>
      </c>
    </row>
    <row r="140" spans="1:13" outlineLevel="2" x14ac:dyDescent="0.15">
      <c r="A140" s="11">
        <v>141</v>
      </c>
      <c r="B140" s="9" t="s">
        <v>714</v>
      </c>
      <c r="C140" s="9" t="s">
        <v>161</v>
      </c>
      <c r="D140" s="9" t="str">
        <f>VLOOKUP(LEFT(B140,1),部门信息!$B$1:$C$6,2,0)</f>
        <v>市场</v>
      </c>
      <c r="E140" s="10">
        <v>15000</v>
      </c>
      <c r="F140" s="10">
        <v>500</v>
      </c>
      <c r="G140" s="10">
        <v>90</v>
      </c>
      <c r="H140" s="10">
        <v>0</v>
      </c>
      <c r="I140" s="10">
        <f>E140+F140+G140-H140</f>
        <v>15590</v>
      </c>
      <c r="J140" s="10">
        <v>1800</v>
      </c>
      <c r="K140" s="10">
        <f>IF(I140-J140-3500&gt;0,I140-J140-3500,0)</f>
        <v>10290</v>
      </c>
      <c r="L140" s="10">
        <f>IF(K140&gt;80000,K140*0.45-13505,IF(K140&gt;55000,K140*0.35-5505,IF(K140&gt;35000,K140*0.3-2755,IF(K140&gt;9000,K140*0.25-1005,IF(K140&gt;4500,K140*0.2-555,IF(K140&gt;1500,K140*0.1-105,IF(K140&gt;0,K140*0.03,0)))))))</f>
        <v>1567.5</v>
      </c>
      <c r="M140" s="10">
        <f>I140-J140-L140</f>
        <v>12222.5</v>
      </c>
    </row>
    <row r="141" spans="1:13" outlineLevel="2" x14ac:dyDescent="0.15">
      <c r="A141" s="11">
        <v>144</v>
      </c>
      <c r="B141" s="9" t="s">
        <v>633</v>
      </c>
      <c r="C141" s="9" t="s">
        <v>164</v>
      </c>
      <c r="D141" s="9" t="str">
        <f>VLOOKUP(LEFT(B141,1),部门信息!$B$1:$C$6,2,0)</f>
        <v>市场</v>
      </c>
      <c r="E141" s="10">
        <v>19900</v>
      </c>
      <c r="F141" s="10">
        <v>900</v>
      </c>
      <c r="G141" s="10">
        <v>315</v>
      </c>
      <c r="H141" s="10">
        <v>377</v>
      </c>
      <c r="I141" s="10">
        <f>E141+F141+G141-H141</f>
        <v>20738</v>
      </c>
      <c r="J141" s="10">
        <v>2388</v>
      </c>
      <c r="K141" s="10">
        <f>IF(I141-J141-3500&gt;0,I141-J141-3500,0)</f>
        <v>14850</v>
      </c>
      <c r="L141" s="10">
        <f>IF(K141&gt;80000,K141*0.45-13505,IF(K141&gt;55000,K141*0.35-5505,IF(K141&gt;35000,K141*0.3-2755,IF(K141&gt;9000,K141*0.25-1005,IF(K141&gt;4500,K141*0.2-555,IF(K141&gt;1500,K141*0.1-105,IF(K141&gt;0,K141*0.03,0)))))))</f>
        <v>2707.5</v>
      </c>
      <c r="M141" s="10">
        <f>I141-J141-L141</f>
        <v>15642.5</v>
      </c>
    </row>
    <row r="142" spans="1:13" outlineLevel="2" x14ac:dyDescent="0.15">
      <c r="A142" s="11">
        <v>145</v>
      </c>
      <c r="B142" s="9" t="s">
        <v>629</v>
      </c>
      <c r="C142" s="9" t="s">
        <v>165</v>
      </c>
      <c r="D142" s="9" t="str">
        <f>VLOOKUP(LEFT(B142,1),部门信息!$B$1:$C$6,2,0)</f>
        <v>市场</v>
      </c>
      <c r="E142" s="10">
        <v>5600</v>
      </c>
      <c r="F142" s="10">
        <v>300</v>
      </c>
      <c r="G142" s="10">
        <v>135</v>
      </c>
      <c r="H142" s="10">
        <v>320</v>
      </c>
      <c r="I142" s="10">
        <f>E142+F142+G142-H142</f>
        <v>5715</v>
      </c>
      <c r="J142" s="10">
        <v>896</v>
      </c>
      <c r="K142" s="10">
        <f>IF(I142-J142-3500&gt;0,I142-J142-3500,0)</f>
        <v>1319</v>
      </c>
      <c r="L142" s="10">
        <f>IF(K142&gt;80000,K142*0.45-13505,IF(K142&gt;55000,K142*0.35-5505,IF(K142&gt;35000,K142*0.3-2755,IF(K142&gt;9000,K142*0.25-1005,IF(K142&gt;4500,K142*0.2-555,IF(K142&gt;1500,K142*0.1-105,IF(K142&gt;0,K142*0.03,0)))))))</f>
        <v>39.57</v>
      </c>
      <c r="M142" s="10">
        <f>I142-J142-L142</f>
        <v>4779.43</v>
      </c>
    </row>
    <row r="143" spans="1:13" outlineLevel="2" x14ac:dyDescent="0.15">
      <c r="A143" s="11">
        <v>146</v>
      </c>
      <c r="B143" s="9" t="s">
        <v>579</v>
      </c>
      <c r="C143" s="9" t="s">
        <v>166</v>
      </c>
      <c r="D143" s="9" t="str">
        <f>VLOOKUP(LEFT(B143,1),部门信息!$B$1:$C$6,2,0)</f>
        <v>市场</v>
      </c>
      <c r="E143" s="10">
        <v>18500</v>
      </c>
      <c r="F143" s="10">
        <v>600</v>
      </c>
      <c r="G143" s="10">
        <v>360</v>
      </c>
      <c r="H143" s="10">
        <v>0</v>
      </c>
      <c r="I143" s="10">
        <f>E143+F143+G143-H143</f>
        <v>19460</v>
      </c>
      <c r="J143" s="10">
        <v>2960</v>
      </c>
      <c r="K143" s="10">
        <f>IF(I143-J143-3500&gt;0,I143-J143-3500,0)</f>
        <v>13000</v>
      </c>
      <c r="L143" s="10">
        <f>IF(K143&gt;80000,K143*0.45-13505,IF(K143&gt;55000,K143*0.35-5505,IF(K143&gt;35000,K143*0.3-2755,IF(K143&gt;9000,K143*0.25-1005,IF(K143&gt;4500,K143*0.2-555,IF(K143&gt;1500,K143*0.1-105,IF(K143&gt;0,K143*0.03,0)))))))</f>
        <v>2245</v>
      </c>
      <c r="M143" s="10">
        <f>I143-J143-L143</f>
        <v>14255</v>
      </c>
    </row>
    <row r="144" spans="1:13" outlineLevel="2" x14ac:dyDescent="0.15">
      <c r="A144" s="11">
        <v>151</v>
      </c>
      <c r="B144" s="9" t="s">
        <v>634</v>
      </c>
      <c r="C144" s="9" t="s">
        <v>171</v>
      </c>
      <c r="D144" s="9" t="str">
        <f>VLOOKUP(LEFT(B144,1),部门信息!$B$1:$C$6,2,0)</f>
        <v>市场</v>
      </c>
      <c r="E144" s="10">
        <v>20000</v>
      </c>
      <c r="F144" s="10">
        <v>900</v>
      </c>
      <c r="G144" s="10">
        <v>270</v>
      </c>
      <c r="H144" s="10">
        <v>40</v>
      </c>
      <c r="I144" s="10">
        <f>E144+F144+G144-H144</f>
        <v>21130</v>
      </c>
      <c r="J144" s="10">
        <v>2800</v>
      </c>
      <c r="K144" s="10">
        <f>IF(I144-J144-3500&gt;0,I144-J144-3500,0)</f>
        <v>14830</v>
      </c>
      <c r="L144" s="10">
        <f>IF(K144&gt;80000,K144*0.45-13505,IF(K144&gt;55000,K144*0.35-5505,IF(K144&gt;35000,K144*0.3-2755,IF(K144&gt;9000,K144*0.25-1005,IF(K144&gt;4500,K144*0.2-555,IF(K144&gt;1500,K144*0.1-105,IF(K144&gt;0,K144*0.03,0)))))))</f>
        <v>2702.5</v>
      </c>
      <c r="M144" s="10">
        <f>I144-J144-L144</f>
        <v>15627.5</v>
      </c>
    </row>
    <row r="145" spans="1:13" outlineLevel="2" x14ac:dyDescent="0.15">
      <c r="A145" s="11">
        <v>160</v>
      </c>
      <c r="B145" s="9" t="s">
        <v>671</v>
      </c>
      <c r="C145" s="9" t="s">
        <v>180</v>
      </c>
      <c r="D145" s="9" t="str">
        <f>VLOOKUP(LEFT(B145,1),部门信息!$B$1:$C$6,2,0)</f>
        <v>市场</v>
      </c>
      <c r="E145" s="10">
        <v>16200</v>
      </c>
      <c r="F145" s="10">
        <v>500</v>
      </c>
      <c r="G145" s="10">
        <v>405</v>
      </c>
      <c r="H145" s="10">
        <v>117</v>
      </c>
      <c r="I145" s="10">
        <f>E145+F145+G145-H145</f>
        <v>16988</v>
      </c>
      <c r="J145" s="10">
        <v>2430</v>
      </c>
      <c r="K145" s="10">
        <f>IF(I145-J145-3500&gt;0,I145-J145-3500,0)</f>
        <v>11058</v>
      </c>
      <c r="L145" s="10">
        <f>IF(K145&gt;80000,K145*0.45-13505,IF(K145&gt;55000,K145*0.35-5505,IF(K145&gt;35000,K145*0.3-2755,IF(K145&gt;9000,K145*0.25-1005,IF(K145&gt;4500,K145*0.2-555,IF(K145&gt;1500,K145*0.1-105,IF(K145&gt;0,K145*0.03,0)))))))</f>
        <v>1759.5</v>
      </c>
      <c r="M145" s="10">
        <f>I145-J145-L145</f>
        <v>12798.5</v>
      </c>
    </row>
    <row r="146" spans="1:13" outlineLevel="2" x14ac:dyDescent="0.15">
      <c r="A146" s="11">
        <v>161</v>
      </c>
      <c r="B146" s="9" t="s">
        <v>649</v>
      </c>
      <c r="C146" s="9" t="s">
        <v>181</v>
      </c>
      <c r="D146" s="9" t="str">
        <f>VLOOKUP(LEFT(B146,1),部门信息!$B$1:$C$6,2,0)</f>
        <v>市场</v>
      </c>
      <c r="E146" s="10">
        <v>3800</v>
      </c>
      <c r="F146" s="10">
        <v>0</v>
      </c>
      <c r="G146" s="10">
        <v>315</v>
      </c>
      <c r="H146" s="10">
        <v>234</v>
      </c>
      <c r="I146" s="10">
        <f>E146+F146+G146-H146</f>
        <v>3881</v>
      </c>
      <c r="J146" s="10">
        <v>570</v>
      </c>
      <c r="K146" s="10">
        <f>IF(I146-J146-3500&gt;0,I146-J146-3500,0)</f>
        <v>0</v>
      </c>
      <c r="L146" s="10">
        <f>IF(K146&gt;80000,K146*0.45-13505,IF(K146&gt;55000,K146*0.35-5505,IF(K146&gt;35000,K146*0.3-2755,IF(K146&gt;9000,K146*0.25-1005,IF(K146&gt;4500,K146*0.2-555,IF(K146&gt;1500,K146*0.1-105,IF(K146&gt;0,K146*0.03,0)))))))</f>
        <v>0</v>
      </c>
      <c r="M146" s="10">
        <f>I146-J146-L146</f>
        <v>3311</v>
      </c>
    </row>
    <row r="147" spans="1:13" outlineLevel="2" x14ac:dyDescent="0.15">
      <c r="A147" s="11">
        <v>162</v>
      </c>
      <c r="B147" s="9" t="s">
        <v>677</v>
      </c>
      <c r="C147" s="9" t="s">
        <v>182</v>
      </c>
      <c r="D147" s="9" t="str">
        <f>VLOOKUP(LEFT(B147,1),部门信息!$B$1:$C$6,2,0)</f>
        <v>市场</v>
      </c>
      <c r="E147" s="10">
        <v>4100</v>
      </c>
      <c r="F147" s="10">
        <v>700</v>
      </c>
      <c r="G147" s="10">
        <v>90</v>
      </c>
      <c r="H147" s="10">
        <v>0</v>
      </c>
      <c r="I147" s="10">
        <f>E147+F147+G147-H147</f>
        <v>4890</v>
      </c>
      <c r="J147" s="10">
        <v>615</v>
      </c>
      <c r="K147" s="10">
        <f>IF(I147-J147-3500&gt;0,I147-J147-3500,0)</f>
        <v>775</v>
      </c>
      <c r="L147" s="10">
        <f>IF(K147&gt;80000,K147*0.45-13505,IF(K147&gt;55000,K147*0.35-5505,IF(K147&gt;35000,K147*0.3-2755,IF(K147&gt;9000,K147*0.25-1005,IF(K147&gt;4500,K147*0.2-555,IF(K147&gt;1500,K147*0.1-105,IF(K147&gt;0,K147*0.03,0)))))))</f>
        <v>23.25</v>
      </c>
      <c r="M147" s="10">
        <f>I147-J147-L147</f>
        <v>4251.75</v>
      </c>
    </row>
    <row r="148" spans="1:13" outlineLevel="2" x14ac:dyDescent="0.15">
      <c r="A148" s="11">
        <v>163</v>
      </c>
      <c r="B148" s="9" t="s">
        <v>597</v>
      </c>
      <c r="C148" s="9" t="s">
        <v>183</v>
      </c>
      <c r="D148" s="9" t="str">
        <f>VLOOKUP(LEFT(B148,1),部门信息!$B$1:$C$6,2,0)</f>
        <v>市场</v>
      </c>
      <c r="E148" s="10">
        <v>13700</v>
      </c>
      <c r="F148" s="10">
        <v>700</v>
      </c>
      <c r="G148" s="10">
        <v>45</v>
      </c>
      <c r="H148" s="10">
        <v>108</v>
      </c>
      <c r="I148" s="10">
        <f>E148+F148+G148-H148</f>
        <v>14337</v>
      </c>
      <c r="J148" s="10">
        <v>2192</v>
      </c>
      <c r="K148" s="10">
        <f>IF(I148-J148-3500&gt;0,I148-J148-3500,0)</f>
        <v>8645</v>
      </c>
      <c r="L148" s="10">
        <f>IF(K148&gt;80000,K148*0.45-13505,IF(K148&gt;55000,K148*0.35-5505,IF(K148&gt;35000,K148*0.3-2755,IF(K148&gt;9000,K148*0.25-1005,IF(K148&gt;4500,K148*0.2-555,IF(K148&gt;1500,K148*0.1-105,IF(K148&gt;0,K148*0.03,0)))))))</f>
        <v>1174</v>
      </c>
      <c r="M148" s="10">
        <f>I148-J148-L148</f>
        <v>10971</v>
      </c>
    </row>
    <row r="149" spans="1:13" outlineLevel="2" x14ac:dyDescent="0.15">
      <c r="A149" s="11">
        <v>164</v>
      </c>
      <c r="B149" s="9" t="s">
        <v>616</v>
      </c>
      <c r="C149" s="9" t="s">
        <v>184</v>
      </c>
      <c r="D149" s="9" t="str">
        <f>VLOOKUP(LEFT(B149,1),部门信息!$B$1:$C$6,2,0)</f>
        <v>市场</v>
      </c>
      <c r="E149" s="10">
        <v>15900</v>
      </c>
      <c r="F149" s="10">
        <v>600</v>
      </c>
      <c r="G149" s="10">
        <v>135</v>
      </c>
      <c r="H149" s="10">
        <v>0</v>
      </c>
      <c r="I149" s="10">
        <f>E149+F149+G149-H149</f>
        <v>16635</v>
      </c>
      <c r="J149" s="10">
        <v>2226</v>
      </c>
      <c r="K149" s="10">
        <f>IF(I149-J149-3500&gt;0,I149-J149-3500,0)</f>
        <v>10909</v>
      </c>
      <c r="L149" s="10">
        <f>IF(K149&gt;80000,K149*0.45-13505,IF(K149&gt;55000,K149*0.35-5505,IF(K149&gt;35000,K149*0.3-2755,IF(K149&gt;9000,K149*0.25-1005,IF(K149&gt;4500,K149*0.2-555,IF(K149&gt;1500,K149*0.1-105,IF(K149&gt;0,K149*0.03,0)))))))</f>
        <v>1722.25</v>
      </c>
      <c r="M149" s="10">
        <f>I149-J149-L149</f>
        <v>12686.75</v>
      </c>
    </row>
    <row r="150" spans="1:13" outlineLevel="2" x14ac:dyDescent="0.15">
      <c r="A150" s="11">
        <v>165</v>
      </c>
      <c r="B150" s="9" t="s">
        <v>645</v>
      </c>
      <c r="C150" s="9" t="s">
        <v>185</v>
      </c>
      <c r="D150" s="9" t="str">
        <f>VLOOKUP(LEFT(B150,1),部门信息!$B$1:$C$6,2,0)</f>
        <v>市场</v>
      </c>
      <c r="E150" s="10">
        <v>12500</v>
      </c>
      <c r="F150" s="10">
        <v>500</v>
      </c>
      <c r="G150" s="10">
        <v>270</v>
      </c>
      <c r="H150" s="10">
        <v>0</v>
      </c>
      <c r="I150" s="10">
        <f>E150+F150+G150-H150</f>
        <v>13270</v>
      </c>
      <c r="J150" s="10">
        <v>1750</v>
      </c>
      <c r="K150" s="10">
        <f>IF(I150-J150-3500&gt;0,I150-J150-3500,0)</f>
        <v>8020</v>
      </c>
      <c r="L150" s="10">
        <f>IF(K150&gt;80000,K150*0.45-13505,IF(K150&gt;55000,K150*0.35-5505,IF(K150&gt;35000,K150*0.3-2755,IF(K150&gt;9000,K150*0.25-1005,IF(K150&gt;4500,K150*0.2-555,IF(K150&gt;1500,K150*0.1-105,IF(K150&gt;0,K150*0.03,0)))))))</f>
        <v>1049</v>
      </c>
      <c r="M150" s="10">
        <f>I150-J150-L150</f>
        <v>10471</v>
      </c>
    </row>
    <row r="151" spans="1:13" outlineLevel="2" x14ac:dyDescent="0.15">
      <c r="A151" s="11">
        <v>167</v>
      </c>
      <c r="B151" s="9" t="s">
        <v>604</v>
      </c>
      <c r="C151" s="9" t="s">
        <v>187</v>
      </c>
      <c r="D151" s="9" t="str">
        <f>VLOOKUP(LEFT(B151,1),部门信息!$B$1:$C$6,2,0)</f>
        <v>市场</v>
      </c>
      <c r="E151" s="10">
        <v>13400</v>
      </c>
      <c r="F151" s="10">
        <v>100</v>
      </c>
      <c r="G151" s="10">
        <v>270</v>
      </c>
      <c r="H151" s="10">
        <v>135</v>
      </c>
      <c r="I151" s="10">
        <f>E151+F151+G151-H151</f>
        <v>13635</v>
      </c>
      <c r="J151" s="10">
        <v>2010</v>
      </c>
      <c r="K151" s="10">
        <f>IF(I151-J151-3500&gt;0,I151-J151-3500,0)</f>
        <v>8125</v>
      </c>
      <c r="L151" s="10">
        <f>IF(K151&gt;80000,K151*0.45-13505,IF(K151&gt;55000,K151*0.35-5505,IF(K151&gt;35000,K151*0.3-2755,IF(K151&gt;9000,K151*0.25-1005,IF(K151&gt;4500,K151*0.2-555,IF(K151&gt;1500,K151*0.1-105,IF(K151&gt;0,K151*0.03,0)))))))</f>
        <v>1070</v>
      </c>
      <c r="M151" s="10">
        <f>I151-J151-L151</f>
        <v>10555</v>
      </c>
    </row>
    <row r="152" spans="1:13" outlineLevel="2" x14ac:dyDescent="0.15">
      <c r="A152" s="11">
        <v>171</v>
      </c>
      <c r="B152" s="9" t="s">
        <v>601</v>
      </c>
      <c r="C152" s="9" t="s">
        <v>191</v>
      </c>
      <c r="D152" s="9" t="str">
        <f>VLOOKUP(LEFT(B152,1),部门信息!$B$1:$C$6,2,0)</f>
        <v>市场</v>
      </c>
      <c r="E152" s="10">
        <v>12900</v>
      </c>
      <c r="F152" s="10">
        <v>300</v>
      </c>
      <c r="G152" s="10">
        <v>270</v>
      </c>
      <c r="H152" s="10">
        <v>0</v>
      </c>
      <c r="I152" s="10">
        <f>E152+F152+G152-H152</f>
        <v>13470</v>
      </c>
      <c r="J152" s="10">
        <v>1935</v>
      </c>
      <c r="K152" s="10">
        <f>IF(I152-J152-3500&gt;0,I152-J152-3500,0)</f>
        <v>8035</v>
      </c>
      <c r="L152" s="10">
        <f>IF(K152&gt;80000,K152*0.45-13505,IF(K152&gt;55000,K152*0.35-5505,IF(K152&gt;35000,K152*0.3-2755,IF(K152&gt;9000,K152*0.25-1005,IF(K152&gt;4500,K152*0.2-555,IF(K152&gt;1500,K152*0.1-105,IF(K152&gt;0,K152*0.03,0)))))))</f>
        <v>1052</v>
      </c>
      <c r="M152" s="10">
        <f>I152-J152-L152</f>
        <v>10483</v>
      </c>
    </row>
    <row r="153" spans="1:13" outlineLevel="2" x14ac:dyDescent="0.15">
      <c r="A153" s="11">
        <v>172</v>
      </c>
      <c r="B153" s="9" t="s">
        <v>672</v>
      </c>
      <c r="C153" s="9" t="s">
        <v>192</v>
      </c>
      <c r="D153" s="9" t="str">
        <f>VLOOKUP(LEFT(B153,1),部门信息!$B$1:$C$6,2,0)</f>
        <v>市场</v>
      </c>
      <c r="E153" s="10">
        <v>16900</v>
      </c>
      <c r="F153" s="10">
        <v>100</v>
      </c>
      <c r="G153" s="10">
        <v>270</v>
      </c>
      <c r="H153" s="10">
        <v>365</v>
      </c>
      <c r="I153" s="10">
        <f>E153+F153+G153-H153</f>
        <v>16905</v>
      </c>
      <c r="J153" s="10">
        <v>2704</v>
      </c>
      <c r="K153" s="10">
        <f>IF(I153-J153-3500&gt;0,I153-J153-3500,0)</f>
        <v>10701</v>
      </c>
      <c r="L153" s="10">
        <f>IF(K153&gt;80000,K153*0.45-13505,IF(K153&gt;55000,K153*0.35-5505,IF(K153&gt;35000,K153*0.3-2755,IF(K153&gt;9000,K153*0.25-1005,IF(K153&gt;4500,K153*0.2-555,IF(K153&gt;1500,K153*0.1-105,IF(K153&gt;0,K153*0.03,0)))))))</f>
        <v>1670.25</v>
      </c>
      <c r="M153" s="10">
        <f>I153-J153-L153</f>
        <v>12530.75</v>
      </c>
    </row>
    <row r="154" spans="1:13" outlineLevel="2" x14ac:dyDescent="0.15">
      <c r="A154" s="11">
        <v>174</v>
      </c>
      <c r="B154" s="9" t="s">
        <v>585</v>
      </c>
      <c r="C154" s="9" t="s">
        <v>12</v>
      </c>
      <c r="D154" s="9" t="str">
        <f>VLOOKUP(LEFT(B154,1),部门信息!$B$1:$C$6,2,0)</f>
        <v>市场</v>
      </c>
      <c r="E154" s="10">
        <v>15200</v>
      </c>
      <c r="F154" s="10">
        <v>300</v>
      </c>
      <c r="G154" s="10">
        <v>270</v>
      </c>
      <c r="H154" s="10">
        <v>223</v>
      </c>
      <c r="I154" s="10">
        <f>E154+F154+G154-H154</f>
        <v>15547</v>
      </c>
      <c r="J154" s="10">
        <v>1976</v>
      </c>
      <c r="K154" s="10">
        <f>IF(I154-J154-3500&gt;0,I154-J154-3500,0)</f>
        <v>10071</v>
      </c>
      <c r="L154" s="10">
        <f>IF(K154&gt;80000,K154*0.45-13505,IF(K154&gt;55000,K154*0.35-5505,IF(K154&gt;35000,K154*0.3-2755,IF(K154&gt;9000,K154*0.25-1005,IF(K154&gt;4500,K154*0.2-555,IF(K154&gt;1500,K154*0.1-105,IF(K154&gt;0,K154*0.03,0)))))))</f>
        <v>1512.75</v>
      </c>
      <c r="M154" s="10">
        <f>I154-J154-L154</f>
        <v>12058.25</v>
      </c>
    </row>
    <row r="155" spans="1:13" outlineLevel="2" x14ac:dyDescent="0.15">
      <c r="A155" s="11">
        <v>176</v>
      </c>
      <c r="B155" s="9" t="s">
        <v>680</v>
      </c>
      <c r="C155" s="9" t="s">
        <v>195</v>
      </c>
      <c r="D155" s="9" t="str">
        <f>VLOOKUP(LEFT(B155,1),部门信息!$B$1:$C$6,2,0)</f>
        <v>市场</v>
      </c>
      <c r="E155" s="10">
        <v>16800</v>
      </c>
      <c r="F155" s="10">
        <v>400</v>
      </c>
      <c r="G155" s="10">
        <v>450</v>
      </c>
      <c r="H155" s="10">
        <v>290</v>
      </c>
      <c r="I155" s="10">
        <f>E155+F155+G155-H155</f>
        <v>17360</v>
      </c>
      <c r="J155" s="10">
        <v>2016</v>
      </c>
      <c r="K155" s="10">
        <f>IF(I155-J155-3500&gt;0,I155-J155-3500,0)</f>
        <v>11844</v>
      </c>
      <c r="L155" s="10">
        <f>IF(K155&gt;80000,K155*0.45-13505,IF(K155&gt;55000,K155*0.35-5505,IF(K155&gt;35000,K155*0.3-2755,IF(K155&gt;9000,K155*0.25-1005,IF(K155&gt;4500,K155*0.2-555,IF(K155&gt;1500,K155*0.1-105,IF(K155&gt;0,K155*0.03,0)))))))</f>
        <v>1956</v>
      </c>
      <c r="M155" s="10">
        <f>I155-J155-L155</f>
        <v>13388</v>
      </c>
    </row>
    <row r="156" spans="1:13" outlineLevel="2" x14ac:dyDescent="0.15">
      <c r="A156" s="11">
        <v>183</v>
      </c>
      <c r="B156" s="9" t="s">
        <v>709</v>
      </c>
      <c r="C156" s="9" t="s">
        <v>201</v>
      </c>
      <c r="D156" s="9" t="str">
        <f>VLOOKUP(LEFT(B156,1),部门信息!$B$1:$C$6,2,0)</f>
        <v>市场</v>
      </c>
      <c r="E156" s="10">
        <v>16400</v>
      </c>
      <c r="F156" s="10">
        <v>600</v>
      </c>
      <c r="G156" s="10">
        <v>90</v>
      </c>
      <c r="H156" s="10">
        <v>0</v>
      </c>
      <c r="I156" s="10">
        <f>E156+F156+G156-H156</f>
        <v>17090</v>
      </c>
      <c r="J156" s="10">
        <v>2132</v>
      </c>
      <c r="K156" s="10">
        <f>IF(I156-J156-3500&gt;0,I156-J156-3500,0)</f>
        <v>11458</v>
      </c>
      <c r="L156" s="10">
        <f>IF(K156&gt;80000,K156*0.45-13505,IF(K156&gt;55000,K156*0.35-5505,IF(K156&gt;35000,K156*0.3-2755,IF(K156&gt;9000,K156*0.25-1005,IF(K156&gt;4500,K156*0.2-555,IF(K156&gt;1500,K156*0.1-105,IF(K156&gt;0,K156*0.03,0)))))))</f>
        <v>1859.5</v>
      </c>
      <c r="M156" s="10">
        <f>I156-J156-L156</f>
        <v>13098.5</v>
      </c>
    </row>
    <row r="157" spans="1:13" outlineLevel="2" x14ac:dyDescent="0.15">
      <c r="A157" s="11">
        <v>186</v>
      </c>
      <c r="B157" s="9" t="s">
        <v>632</v>
      </c>
      <c r="C157" s="9" t="s">
        <v>204</v>
      </c>
      <c r="D157" s="9" t="str">
        <f>VLOOKUP(LEFT(B157,1),部门信息!$B$1:$C$6,2,0)</f>
        <v>市场</v>
      </c>
      <c r="E157" s="10">
        <v>13100</v>
      </c>
      <c r="F157" s="10">
        <v>0</v>
      </c>
      <c r="G157" s="10">
        <v>135</v>
      </c>
      <c r="H157" s="10">
        <v>0</v>
      </c>
      <c r="I157" s="10">
        <f>E157+F157+G157-H157</f>
        <v>13235</v>
      </c>
      <c r="J157" s="10">
        <v>1965</v>
      </c>
      <c r="K157" s="10">
        <f>IF(I157-J157-3500&gt;0,I157-J157-3500,0)</f>
        <v>7770</v>
      </c>
      <c r="L157" s="10">
        <f>IF(K157&gt;80000,K157*0.45-13505,IF(K157&gt;55000,K157*0.35-5505,IF(K157&gt;35000,K157*0.3-2755,IF(K157&gt;9000,K157*0.25-1005,IF(K157&gt;4500,K157*0.2-555,IF(K157&gt;1500,K157*0.1-105,IF(K157&gt;0,K157*0.03,0)))))))</f>
        <v>999</v>
      </c>
      <c r="M157" s="10">
        <f>I157-J157-L157</f>
        <v>10271</v>
      </c>
    </row>
    <row r="158" spans="1:13" outlineLevel="2" x14ac:dyDescent="0.15">
      <c r="A158" s="11">
        <v>187</v>
      </c>
      <c r="B158" s="9" t="s">
        <v>676</v>
      </c>
      <c r="C158" s="9" t="s">
        <v>205</v>
      </c>
      <c r="D158" s="9" t="str">
        <f>VLOOKUP(LEFT(B158,1),部门信息!$B$1:$C$6,2,0)</f>
        <v>市场</v>
      </c>
      <c r="E158" s="10">
        <v>9500</v>
      </c>
      <c r="F158" s="10">
        <v>1000</v>
      </c>
      <c r="G158" s="10">
        <v>45</v>
      </c>
      <c r="H158" s="10">
        <v>0</v>
      </c>
      <c r="I158" s="10">
        <f>E158+F158+G158-H158</f>
        <v>10545</v>
      </c>
      <c r="J158" s="10">
        <v>1235</v>
      </c>
      <c r="K158" s="10">
        <f>IF(I158-J158-3500&gt;0,I158-J158-3500,0)</f>
        <v>5810</v>
      </c>
      <c r="L158" s="10">
        <f>IF(K158&gt;80000,K158*0.45-13505,IF(K158&gt;55000,K158*0.35-5505,IF(K158&gt;35000,K158*0.3-2755,IF(K158&gt;9000,K158*0.25-1005,IF(K158&gt;4500,K158*0.2-555,IF(K158&gt;1500,K158*0.1-105,IF(K158&gt;0,K158*0.03,0)))))))</f>
        <v>607</v>
      </c>
      <c r="M158" s="10">
        <f>I158-J158-L158</f>
        <v>8703</v>
      </c>
    </row>
    <row r="159" spans="1:13" outlineLevel="2" x14ac:dyDescent="0.15">
      <c r="A159" s="11">
        <v>189</v>
      </c>
      <c r="B159" s="9" t="s">
        <v>577</v>
      </c>
      <c r="C159" s="9" t="s">
        <v>207</v>
      </c>
      <c r="D159" s="9" t="str">
        <f>VLOOKUP(LEFT(B159,1),部门信息!$B$1:$C$6,2,0)</f>
        <v>市场</v>
      </c>
      <c r="E159" s="10">
        <v>19400</v>
      </c>
      <c r="F159" s="10">
        <v>700</v>
      </c>
      <c r="G159" s="10">
        <v>90</v>
      </c>
      <c r="H159" s="10">
        <v>123</v>
      </c>
      <c r="I159" s="10">
        <f>E159+F159+G159-H159</f>
        <v>20067</v>
      </c>
      <c r="J159" s="10">
        <v>2910</v>
      </c>
      <c r="K159" s="10">
        <f>IF(I159-J159-3500&gt;0,I159-J159-3500,0)</f>
        <v>13657</v>
      </c>
      <c r="L159" s="10">
        <f>IF(K159&gt;80000,K159*0.45-13505,IF(K159&gt;55000,K159*0.35-5505,IF(K159&gt;35000,K159*0.3-2755,IF(K159&gt;9000,K159*0.25-1005,IF(K159&gt;4500,K159*0.2-555,IF(K159&gt;1500,K159*0.1-105,IF(K159&gt;0,K159*0.03,0)))))))</f>
        <v>2409.25</v>
      </c>
      <c r="M159" s="10">
        <f>I159-J159-L159</f>
        <v>14747.75</v>
      </c>
    </row>
    <row r="160" spans="1:13" outlineLevel="2" x14ac:dyDescent="0.15">
      <c r="A160" s="11">
        <v>190</v>
      </c>
      <c r="B160" s="9" t="s">
        <v>642</v>
      </c>
      <c r="C160" s="9" t="s">
        <v>208</v>
      </c>
      <c r="D160" s="9" t="str">
        <f>VLOOKUP(LEFT(B160,1),部门信息!$B$1:$C$6,2,0)</f>
        <v>市场</v>
      </c>
      <c r="E160" s="10">
        <v>18000</v>
      </c>
      <c r="F160" s="10">
        <v>300</v>
      </c>
      <c r="G160" s="10">
        <v>450</v>
      </c>
      <c r="H160" s="10">
        <v>276</v>
      </c>
      <c r="I160" s="10">
        <f>E160+F160+G160-H160</f>
        <v>18474</v>
      </c>
      <c r="J160" s="10">
        <v>2340</v>
      </c>
      <c r="K160" s="10">
        <f>IF(I160-J160-3500&gt;0,I160-J160-3500,0)</f>
        <v>12634</v>
      </c>
      <c r="L160" s="10">
        <f>IF(K160&gt;80000,K160*0.45-13505,IF(K160&gt;55000,K160*0.35-5505,IF(K160&gt;35000,K160*0.3-2755,IF(K160&gt;9000,K160*0.25-1005,IF(K160&gt;4500,K160*0.2-555,IF(K160&gt;1500,K160*0.1-105,IF(K160&gt;0,K160*0.03,0)))))))</f>
        <v>2153.5</v>
      </c>
      <c r="M160" s="10">
        <f>I160-J160-L160</f>
        <v>13980.5</v>
      </c>
    </row>
    <row r="161" spans="1:13" outlineLevel="2" x14ac:dyDescent="0.15">
      <c r="A161" s="11">
        <v>192</v>
      </c>
      <c r="B161" s="9" t="s">
        <v>674</v>
      </c>
      <c r="C161" s="9" t="s">
        <v>210</v>
      </c>
      <c r="D161" s="9" t="str">
        <f>VLOOKUP(LEFT(B161,1),部门信息!$B$1:$C$6,2,0)</f>
        <v>市场</v>
      </c>
      <c r="E161" s="10">
        <v>16300</v>
      </c>
      <c r="F161" s="10">
        <v>100</v>
      </c>
      <c r="G161" s="10">
        <v>45</v>
      </c>
      <c r="H161" s="10">
        <v>0</v>
      </c>
      <c r="I161" s="10">
        <f>E161+F161+G161-H161</f>
        <v>16445</v>
      </c>
      <c r="J161" s="10">
        <v>2445</v>
      </c>
      <c r="K161" s="10">
        <f>IF(I161-J161-3500&gt;0,I161-J161-3500,0)</f>
        <v>10500</v>
      </c>
      <c r="L161" s="10">
        <f>IF(K161&gt;80000,K161*0.45-13505,IF(K161&gt;55000,K161*0.35-5505,IF(K161&gt;35000,K161*0.3-2755,IF(K161&gt;9000,K161*0.25-1005,IF(K161&gt;4500,K161*0.2-555,IF(K161&gt;1500,K161*0.1-105,IF(K161&gt;0,K161*0.03,0)))))))</f>
        <v>1620</v>
      </c>
      <c r="M161" s="10">
        <f>I161-J161-L161</f>
        <v>12380</v>
      </c>
    </row>
    <row r="162" spans="1:13" outlineLevel="2" x14ac:dyDescent="0.15">
      <c r="A162" s="11">
        <v>193</v>
      </c>
      <c r="B162" s="9" t="s">
        <v>656</v>
      </c>
      <c r="C162" s="9" t="s">
        <v>211</v>
      </c>
      <c r="D162" s="9" t="str">
        <f>VLOOKUP(LEFT(B162,1),部门信息!$B$1:$C$6,2,0)</f>
        <v>市场</v>
      </c>
      <c r="E162" s="10">
        <v>16200</v>
      </c>
      <c r="F162" s="10">
        <v>900</v>
      </c>
      <c r="G162" s="10">
        <v>270</v>
      </c>
      <c r="H162" s="10">
        <v>0</v>
      </c>
      <c r="I162" s="10">
        <f>E162+F162+G162-H162</f>
        <v>17370</v>
      </c>
      <c r="J162" s="10">
        <v>2430</v>
      </c>
      <c r="K162" s="10">
        <f>IF(I162-J162-3500&gt;0,I162-J162-3500,0)</f>
        <v>11440</v>
      </c>
      <c r="L162" s="10">
        <f>IF(K162&gt;80000,K162*0.45-13505,IF(K162&gt;55000,K162*0.35-5505,IF(K162&gt;35000,K162*0.3-2755,IF(K162&gt;9000,K162*0.25-1005,IF(K162&gt;4500,K162*0.2-555,IF(K162&gt;1500,K162*0.1-105,IF(K162&gt;0,K162*0.03,0)))))))</f>
        <v>1855</v>
      </c>
      <c r="M162" s="10">
        <f>I162-J162-L162</f>
        <v>13085</v>
      </c>
    </row>
    <row r="163" spans="1:13" outlineLevel="2" x14ac:dyDescent="0.15">
      <c r="A163" s="11">
        <v>200</v>
      </c>
      <c r="B163" s="9" t="s">
        <v>582</v>
      </c>
      <c r="C163" s="9" t="s">
        <v>217</v>
      </c>
      <c r="D163" s="9" t="str">
        <f>VLOOKUP(LEFT(B163,1),部门信息!$B$1:$C$6,2,0)</f>
        <v>市场</v>
      </c>
      <c r="E163" s="10">
        <v>17800</v>
      </c>
      <c r="F163" s="10">
        <v>400</v>
      </c>
      <c r="G163" s="10">
        <v>180</v>
      </c>
      <c r="H163" s="10">
        <v>334</v>
      </c>
      <c r="I163" s="10">
        <f>E163+F163+G163-H163</f>
        <v>18046</v>
      </c>
      <c r="J163" s="10">
        <v>2314</v>
      </c>
      <c r="K163" s="10">
        <f>IF(I163-J163-3500&gt;0,I163-J163-3500,0)</f>
        <v>12232</v>
      </c>
      <c r="L163" s="10">
        <f>IF(K163&gt;80000,K163*0.45-13505,IF(K163&gt;55000,K163*0.35-5505,IF(K163&gt;35000,K163*0.3-2755,IF(K163&gt;9000,K163*0.25-1005,IF(K163&gt;4500,K163*0.2-555,IF(K163&gt;1500,K163*0.1-105,IF(K163&gt;0,K163*0.03,0)))))))</f>
        <v>2053</v>
      </c>
      <c r="M163" s="10">
        <f>I163-J163-L163</f>
        <v>13679</v>
      </c>
    </row>
    <row r="164" spans="1:13" outlineLevel="2" x14ac:dyDescent="0.15">
      <c r="A164" s="11">
        <v>201</v>
      </c>
      <c r="B164" s="9" t="s">
        <v>619</v>
      </c>
      <c r="C164" s="9" t="s">
        <v>218</v>
      </c>
      <c r="D164" s="9" t="str">
        <f>VLOOKUP(LEFT(B164,1),部门信息!$B$1:$C$6,2,0)</f>
        <v>市场</v>
      </c>
      <c r="E164" s="10">
        <v>7800</v>
      </c>
      <c r="F164" s="10">
        <v>600</v>
      </c>
      <c r="G164" s="10">
        <v>135</v>
      </c>
      <c r="H164" s="10">
        <v>364</v>
      </c>
      <c r="I164" s="10">
        <f>E164+F164+G164-H164</f>
        <v>8171</v>
      </c>
      <c r="J164" s="10">
        <v>1248</v>
      </c>
      <c r="K164" s="10">
        <f>IF(I164-J164-3500&gt;0,I164-J164-3500,0)</f>
        <v>3423</v>
      </c>
      <c r="L164" s="10">
        <f>IF(K164&gt;80000,K164*0.45-13505,IF(K164&gt;55000,K164*0.35-5505,IF(K164&gt;35000,K164*0.3-2755,IF(K164&gt;9000,K164*0.25-1005,IF(K164&gt;4500,K164*0.2-555,IF(K164&gt;1500,K164*0.1-105,IF(K164&gt;0,K164*0.03,0)))))))</f>
        <v>237.3</v>
      </c>
      <c r="M164" s="10">
        <f>I164-J164-L164</f>
        <v>6685.7</v>
      </c>
    </row>
    <row r="165" spans="1:13" outlineLevel="2" x14ac:dyDescent="0.15">
      <c r="A165" s="11">
        <v>204</v>
      </c>
      <c r="B165" s="9" t="s">
        <v>694</v>
      </c>
      <c r="C165" s="9" t="s">
        <v>221</v>
      </c>
      <c r="D165" s="9" t="str">
        <f>VLOOKUP(LEFT(B165,1),部门信息!$B$1:$C$6,2,0)</f>
        <v>市场</v>
      </c>
      <c r="E165" s="10">
        <v>16200</v>
      </c>
      <c r="F165" s="10">
        <v>400</v>
      </c>
      <c r="G165" s="10">
        <v>135</v>
      </c>
      <c r="H165" s="10">
        <v>0</v>
      </c>
      <c r="I165" s="10">
        <f>E165+F165+G165-H165</f>
        <v>16735</v>
      </c>
      <c r="J165" s="10">
        <v>2430</v>
      </c>
      <c r="K165" s="10">
        <f>IF(I165-J165-3500&gt;0,I165-J165-3500,0)</f>
        <v>10805</v>
      </c>
      <c r="L165" s="10">
        <f>IF(K165&gt;80000,K165*0.45-13505,IF(K165&gt;55000,K165*0.35-5505,IF(K165&gt;35000,K165*0.3-2755,IF(K165&gt;9000,K165*0.25-1005,IF(K165&gt;4500,K165*0.2-555,IF(K165&gt;1500,K165*0.1-105,IF(K165&gt;0,K165*0.03,0)))))))</f>
        <v>1696.25</v>
      </c>
      <c r="M165" s="10">
        <f>I165-J165-L165</f>
        <v>12608.75</v>
      </c>
    </row>
    <row r="166" spans="1:13" outlineLevel="2" x14ac:dyDescent="0.15">
      <c r="A166" s="11">
        <v>205</v>
      </c>
      <c r="B166" s="9" t="s">
        <v>575</v>
      </c>
      <c r="C166" s="9" t="s">
        <v>7</v>
      </c>
      <c r="D166" s="9" t="str">
        <f>VLOOKUP(LEFT(B166,1),部门信息!$B$1:$C$6,2,0)</f>
        <v>市场</v>
      </c>
      <c r="E166" s="10">
        <v>18500</v>
      </c>
      <c r="F166" s="10">
        <v>700</v>
      </c>
      <c r="G166" s="10">
        <v>135</v>
      </c>
      <c r="H166" s="10">
        <v>0</v>
      </c>
      <c r="I166" s="10">
        <f>E166+F166+G166-H166</f>
        <v>19335</v>
      </c>
      <c r="J166" s="10">
        <v>2405</v>
      </c>
      <c r="K166" s="10">
        <f>IF(I166-J166-3500&gt;0,I166-J166-3500,0)</f>
        <v>13430</v>
      </c>
      <c r="L166" s="10">
        <f>IF(K166&gt;80000,K166*0.45-13505,IF(K166&gt;55000,K166*0.35-5505,IF(K166&gt;35000,K166*0.3-2755,IF(K166&gt;9000,K166*0.25-1005,IF(K166&gt;4500,K166*0.2-555,IF(K166&gt;1500,K166*0.1-105,IF(K166&gt;0,K166*0.03,0)))))))</f>
        <v>2352.5</v>
      </c>
      <c r="M166" s="10">
        <f>I166-J166-L166</f>
        <v>14577.5</v>
      </c>
    </row>
    <row r="167" spans="1:13" outlineLevel="2" x14ac:dyDescent="0.15">
      <c r="A167" s="11">
        <v>208</v>
      </c>
      <c r="B167" s="9" t="s">
        <v>675</v>
      </c>
      <c r="C167" s="9" t="s">
        <v>224</v>
      </c>
      <c r="D167" s="9" t="str">
        <f>VLOOKUP(LEFT(B167,1),部门信息!$B$1:$C$6,2,0)</f>
        <v>市场</v>
      </c>
      <c r="E167" s="10">
        <v>18000</v>
      </c>
      <c r="F167" s="10">
        <v>900</v>
      </c>
      <c r="G167" s="10">
        <v>270</v>
      </c>
      <c r="H167" s="10">
        <v>186</v>
      </c>
      <c r="I167" s="10">
        <f>E167+F167+G167-H167</f>
        <v>18984</v>
      </c>
      <c r="J167" s="10">
        <v>2160</v>
      </c>
      <c r="K167" s="10">
        <f>IF(I167-J167-3500&gt;0,I167-J167-3500,0)</f>
        <v>13324</v>
      </c>
      <c r="L167" s="10">
        <f>IF(K167&gt;80000,K167*0.45-13505,IF(K167&gt;55000,K167*0.35-5505,IF(K167&gt;35000,K167*0.3-2755,IF(K167&gt;9000,K167*0.25-1005,IF(K167&gt;4500,K167*0.2-555,IF(K167&gt;1500,K167*0.1-105,IF(K167&gt;0,K167*0.03,0)))))))</f>
        <v>2326</v>
      </c>
      <c r="M167" s="10">
        <f>I167-J167-L167</f>
        <v>14498</v>
      </c>
    </row>
    <row r="168" spans="1:13" outlineLevel="2" x14ac:dyDescent="0.15">
      <c r="A168" s="11">
        <v>212</v>
      </c>
      <c r="B168" s="9" t="s">
        <v>583</v>
      </c>
      <c r="C168" s="9" t="s">
        <v>228</v>
      </c>
      <c r="D168" s="9" t="str">
        <f>VLOOKUP(LEFT(B168,1),部门信息!$B$1:$C$6,2,0)</f>
        <v>市场</v>
      </c>
      <c r="E168" s="10">
        <v>12700</v>
      </c>
      <c r="F168" s="10">
        <v>900</v>
      </c>
      <c r="G168" s="10">
        <v>270</v>
      </c>
      <c r="H168" s="10">
        <v>226</v>
      </c>
      <c r="I168" s="10">
        <f>E168+F168+G168-H168</f>
        <v>13644</v>
      </c>
      <c r="J168" s="10">
        <v>1778</v>
      </c>
      <c r="K168" s="10">
        <f>IF(I168-J168-3500&gt;0,I168-J168-3500,0)</f>
        <v>8366</v>
      </c>
      <c r="L168" s="10">
        <f>IF(K168&gt;80000,K168*0.45-13505,IF(K168&gt;55000,K168*0.35-5505,IF(K168&gt;35000,K168*0.3-2755,IF(K168&gt;9000,K168*0.25-1005,IF(K168&gt;4500,K168*0.2-555,IF(K168&gt;1500,K168*0.1-105,IF(K168&gt;0,K168*0.03,0)))))))</f>
        <v>1118.2</v>
      </c>
      <c r="M168" s="10">
        <f>I168-J168-L168</f>
        <v>10747.8</v>
      </c>
    </row>
    <row r="169" spans="1:13" outlineLevel="2" x14ac:dyDescent="0.15">
      <c r="A169" s="11">
        <v>213</v>
      </c>
      <c r="B169" s="9" t="s">
        <v>641</v>
      </c>
      <c r="C169" s="9" t="s">
        <v>229</v>
      </c>
      <c r="D169" s="9" t="str">
        <f>VLOOKUP(LEFT(B169,1),部门信息!$B$1:$C$6,2,0)</f>
        <v>市场</v>
      </c>
      <c r="E169" s="10">
        <v>9200</v>
      </c>
      <c r="F169" s="10">
        <v>900</v>
      </c>
      <c r="G169" s="10">
        <v>270</v>
      </c>
      <c r="H169" s="10">
        <v>0</v>
      </c>
      <c r="I169" s="10">
        <f>E169+F169+G169-H169</f>
        <v>10370</v>
      </c>
      <c r="J169" s="10">
        <v>1196</v>
      </c>
      <c r="K169" s="10">
        <f>IF(I169-J169-3500&gt;0,I169-J169-3500,0)</f>
        <v>5674</v>
      </c>
      <c r="L169" s="10">
        <f>IF(K169&gt;80000,K169*0.45-13505,IF(K169&gt;55000,K169*0.35-5505,IF(K169&gt;35000,K169*0.3-2755,IF(K169&gt;9000,K169*0.25-1005,IF(K169&gt;4500,K169*0.2-555,IF(K169&gt;1500,K169*0.1-105,IF(K169&gt;0,K169*0.03,0)))))))</f>
        <v>579.79999999999995</v>
      </c>
      <c r="M169" s="10">
        <f>I169-J169-L169</f>
        <v>8594.2000000000007</v>
      </c>
    </row>
    <row r="170" spans="1:13" outlineLevel="2" x14ac:dyDescent="0.15">
      <c r="A170" s="11">
        <v>214</v>
      </c>
      <c r="B170" s="9" t="s">
        <v>618</v>
      </c>
      <c r="C170" s="9" t="s">
        <v>230</v>
      </c>
      <c r="D170" s="9" t="str">
        <f>VLOOKUP(LEFT(B170,1),部门信息!$B$1:$C$6,2,0)</f>
        <v>市场</v>
      </c>
      <c r="E170" s="10">
        <v>18200</v>
      </c>
      <c r="F170" s="10">
        <v>1000</v>
      </c>
      <c r="G170" s="10">
        <v>270</v>
      </c>
      <c r="H170" s="10">
        <v>434</v>
      </c>
      <c r="I170" s="10">
        <f>E170+F170+G170-H170</f>
        <v>19036</v>
      </c>
      <c r="J170" s="10">
        <v>2366</v>
      </c>
      <c r="K170" s="10">
        <f>IF(I170-J170-3500&gt;0,I170-J170-3500,0)</f>
        <v>13170</v>
      </c>
      <c r="L170" s="10">
        <f>IF(K170&gt;80000,K170*0.45-13505,IF(K170&gt;55000,K170*0.35-5505,IF(K170&gt;35000,K170*0.3-2755,IF(K170&gt;9000,K170*0.25-1005,IF(K170&gt;4500,K170*0.2-555,IF(K170&gt;1500,K170*0.1-105,IF(K170&gt;0,K170*0.03,0)))))))</f>
        <v>2287.5</v>
      </c>
      <c r="M170" s="10">
        <f>I170-J170-L170</f>
        <v>14382.5</v>
      </c>
    </row>
    <row r="171" spans="1:13" outlineLevel="2" x14ac:dyDescent="0.15">
      <c r="A171" s="11">
        <v>215</v>
      </c>
      <c r="B171" s="9" t="s">
        <v>581</v>
      </c>
      <c r="C171" s="9" t="s">
        <v>231</v>
      </c>
      <c r="D171" s="9" t="str">
        <f>VLOOKUP(LEFT(B171,1),部门信息!$B$1:$C$6,2,0)</f>
        <v>市场</v>
      </c>
      <c r="E171" s="10">
        <v>14000</v>
      </c>
      <c r="F171" s="10">
        <v>1000</v>
      </c>
      <c r="G171" s="10">
        <v>360</v>
      </c>
      <c r="H171" s="10">
        <v>0</v>
      </c>
      <c r="I171" s="10">
        <f>E171+F171+G171-H171</f>
        <v>15360</v>
      </c>
      <c r="J171" s="10">
        <v>2240</v>
      </c>
      <c r="K171" s="10">
        <f>IF(I171-J171-3500&gt;0,I171-J171-3500,0)</f>
        <v>9620</v>
      </c>
      <c r="L171" s="10">
        <f>IF(K171&gt;80000,K171*0.45-13505,IF(K171&gt;55000,K171*0.35-5505,IF(K171&gt;35000,K171*0.3-2755,IF(K171&gt;9000,K171*0.25-1005,IF(K171&gt;4500,K171*0.2-555,IF(K171&gt;1500,K171*0.1-105,IF(K171&gt;0,K171*0.03,0)))))))</f>
        <v>1400</v>
      </c>
      <c r="M171" s="10">
        <f>I171-J171-L171</f>
        <v>11720</v>
      </c>
    </row>
    <row r="172" spans="1:13" outlineLevel="2" x14ac:dyDescent="0.15">
      <c r="A172" s="11">
        <v>220</v>
      </c>
      <c r="B172" s="9" t="s">
        <v>667</v>
      </c>
      <c r="C172" s="9" t="s">
        <v>236</v>
      </c>
      <c r="D172" s="9" t="str">
        <f>VLOOKUP(LEFT(B172,1),部门信息!$B$1:$C$6,2,0)</f>
        <v>市场</v>
      </c>
      <c r="E172" s="10">
        <v>5300</v>
      </c>
      <c r="F172" s="10">
        <v>800</v>
      </c>
      <c r="G172" s="10">
        <v>180</v>
      </c>
      <c r="H172" s="10">
        <v>462</v>
      </c>
      <c r="I172" s="10">
        <f>E172+F172+G172-H172</f>
        <v>5818</v>
      </c>
      <c r="J172" s="10">
        <v>689</v>
      </c>
      <c r="K172" s="10">
        <f>IF(I172-J172-3500&gt;0,I172-J172-3500,0)</f>
        <v>1629</v>
      </c>
      <c r="L172" s="10">
        <f>IF(K172&gt;80000,K172*0.45-13505,IF(K172&gt;55000,K172*0.35-5505,IF(K172&gt;35000,K172*0.3-2755,IF(K172&gt;9000,K172*0.25-1005,IF(K172&gt;4500,K172*0.2-555,IF(K172&gt;1500,K172*0.1-105,IF(K172&gt;0,K172*0.03,0)))))))</f>
        <v>57.900000000000006</v>
      </c>
      <c r="M172" s="10">
        <f>I172-J172-L172</f>
        <v>5071.1000000000004</v>
      </c>
    </row>
    <row r="173" spans="1:13" outlineLevel="2" x14ac:dyDescent="0.15">
      <c r="A173" s="11">
        <v>221</v>
      </c>
      <c r="B173" s="9" t="s">
        <v>673</v>
      </c>
      <c r="C173" s="9" t="s">
        <v>237</v>
      </c>
      <c r="D173" s="9" t="str">
        <f>VLOOKUP(LEFT(B173,1),部门信息!$B$1:$C$6,2,0)</f>
        <v>市场</v>
      </c>
      <c r="E173" s="10">
        <v>9200</v>
      </c>
      <c r="F173" s="10">
        <v>800</v>
      </c>
      <c r="G173" s="10">
        <v>225</v>
      </c>
      <c r="H173" s="10">
        <v>0</v>
      </c>
      <c r="I173" s="10">
        <f>E173+F173+G173-H173</f>
        <v>10225</v>
      </c>
      <c r="J173" s="10">
        <v>1472</v>
      </c>
      <c r="K173" s="10">
        <f>IF(I173-J173-3500&gt;0,I173-J173-3500,0)</f>
        <v>5253</v>
      </c>
      <c r="L173" s="10">
        <f>IF(K173&gt;80000,K173*0.45-13505,IF(K173&gt;55000,K173*0.35-5505,IF(K173&gt;35000,K173*0.3-2755,IF(K173&gt;9000,K173*0.25-1005,IF(K173&gt;4500,K173*0.2-555,IF(K173&gt;1500,K173*0.1-105,IF(K173&gt;0,K173*0.03,0)))))))</f>
        <v>495.60000000000014</v>
      </c>
      <c r="M173" s="10">
        <f>I173-J173-L173</f>
        <v>8257.4</v>
      </c>
    </row>
    <row r="174" spans="1:13" outlineLevel="2" x14ac:dyDescent="0.15">
      <c r="A174" s="11">
        <v>224</v>
      </c>
      <c r="B174" s="9" t="s">
        <v>570</v>
      </c>
      <c r="C174" s="9" t="s">
        <v>240</v>
      </c>
      <c r="D174" s="9" t="str">
        <f>VLOOKUP(LEFT(B174,1),部门信息!$B$1:$C$6,2,0)</f>
        <v>市场</v>
      </c>
      <c r="E174" s="10">
        <v>13700</v>
      </c>
      <c r="F174" s="10">
        <v>100</v>
      </c>
      <c r="G174" s="10">
        <v>405</v>
      </c>
      <c r="H174" s="10">
        <v>0</v>
      </c>
      <c r="I174" s="10">
        <f>E174+F174+G174-H174</f>
        <v>14205</v>
      </c>
      <c r="J174" s="10">
        <v>1781</v>
      </c>
      <c r="K174" s="10">
        <f>IF(I174-J174-3500&gt;0,I174-J174-3500,0)</f>
        <v>8924</v>
      </c>
      <c r="L174" s="10">
        <f>IF(K174&gt;80000,K174*0.45-13505,IF(K174&gt;55000,K174*0.35-5505,IF(K174&gt;35000,K174*0.3-2755,IF(K174&gt;9000,K174*0.25-1005,IF(K174&gt;4500,K174*0.2-555,IF(K174&gt;1500,K174*0.1-105,IF(K174&gt;0,K174*0.03,0)))))))</f>
        <v>1229.8000000000002</v>
      </c>
      <c r="M174" s="10">
        <f>I174-J174-L174</f>
        <v>11194.2</v>
      </c>
    </row>
    <row r="175" spans="1:13" outlineLevel="2" x14ac:dyDescent="0.15">
      <c r="A175" s="11">
        <v>226</v>
      </c>
      <c r="B175" s="9" t="s">
        <v>628</v>
      </c>
      <c r="C175" s="9" t="s">
        <v>8</v>
      </c>
      <c r="D175" s="9" t="str">
        <f>VLOOKUP(LEFT(B175,1),部门信息!$B$1:$C$6,2,0)</f>
        <v>市场</v>
      </c>
      <c r="E175" s="10">
        <v>4600</v>
      </c>
      <c r="F175" s="10">
        <v>300</v>
      </c>
      <c r="G175" s="10">
        <v>45</v>
      </c>
      <c r="H175" s="10">
        <v>0</v>
      </c>
      <c r="I175" s="10">
        <f>E175+F175+G175-H175</f>
        <v>4945</v>
      </c>
      <c r="J175" s="10">
        <v>552</v>
      </c>
      <c r="K175" s="10">
        <f>IF(I175-J175-3500&gt;0,I175-J175-3500,0)</f>
        <v>893</v>
      </c>
      <c r="L175" s="10">
        <f>IF(K175&gt;80000,K175*0.45-13505,IF(K175&gt;55000,K175*0.35-5505,IF(K175&gt;35000,K175*0.3-2755,IF(K175&gt;9000,K175*0.25-1005,IF(K175&gt;4500,K175*0.2-555,IF(K175&gt;1500,K175*0.1-105,IF(K175&gt;0,K175*0.03,0)))))))</f>
        <v>26.79</v>
      </c>
      <c r="M175" s="10">
        <f>I175-J175-L175</f>
        <v>4366.21</v>
      </c>
    </row>
    <row r="176" spans="1:13" outlineLevel="2" x14ac:dyDescent="0.15">
      <c r="A176" s="11">
        <v>228</v>
      </c>
      <c r="B176" s="9" t="s">
        <v>578</v>
      </c>
      <c r="C176" s="9" t="s">
        <v>243</v>
      </c>
      <c r="D176" s="9" t="str">
        <f>VLOOKUP(LEFT(B176,1),部门信息!$B$1:$C$6,2,0)</f>
        <v>市场</v>
      </c>
      <c r="E176" s="10">
        <v>13100</v>
      </c>
      <c r="F176" s="10">
        <v>200</v>
      </c>
      <c r="G176" s="10">
        <v>45</v>
      </c>
      <c r="H176" s="10">
        <v>302</v>
      </c>
      <c r="I176" s="10">
        <f>E176+F176+G176-H176</f>
        <v>13043</v>
      </c>
      <c r="J176" s="10">
        <v>1703</v>
      </c>
      <c r="K176" s="10">
        <f>IF(I176-J176-3500&gt;0,I176-J176-3500,0)</f>
        <v>7840</v>
      </c>
      <c r="L176" s="10">
        <f>IF(K176&gt;80000,K176*0.45-13505,IF(K176&gt;55000,K176*0.35-5505,IF(K176&gt;35000,K176*0.3-2755,IF(K176&gt;9000,K176*0.25-1005,IF(K176&gt;4500,K176*0.2-555,IF(K176&gt;1500,K176*0.1-105,IF(K176&gt;0,K176*0.03,0)))))))</f>
        <v>1013</v>
      </c>
      <c r="M176" s="10">
        <f>I176-J176-L176</f>
        <v>10327</v>
      </c>
    </row>
    <row r="177" spans="1:13" outlineLevel="2" x14ac:dyDescent="0.15">
      <c r="A177" s="11">
        <v>229</v>
      </c>
      <c r="B177" s="9" t="s">
        <v>571</v>
      </c>
      <c r="C177" s="9" t="s">
        <v>244</v>
      </c>
      <c r="D177" s="9" t="str">
        <f>VLOOKUP(LEFT(B177,1),部门信息!$B$1:$C$6,2,0)</f>
        <v>市场</v>
      </c>
      <c r="E177" s="10">
        <v>10300</v>
      </c>
      <c r="F177" s="10">
        <v>600</v>
      </c>
      <c r="G177" s="10">
        <v>45</v>
      </c>
      <c r="H177" s="10">
        <v>167</v>
      </c>
      <c r="I177" s="10">
        <f>E177+F177+G177-H177</f>
        <v>10778</v>
      </c>
      <c r="J177" s="10">
        <v>1545</v>
      </c>
      <c r="K177" s="10">
        <f>IF(I177-J177-3500&gt;0,I177-J177-3500,0)</f>
        <v>5733</v>
      </c>
      <c r="L177" s="10">
        <f>IF(K177&gt;80000,K177*0.45-13505,IF(K177&gt;55000,K177*0.35-5505,IF(K177&gt;35000,K177*0.3-2755,IF(K177&gt;9000,K177*0.25-1005,IF(K177&gt;4500,K177*0.2-555,IF(K177&gt;1500,K177*0.1-105,IF(K177&gt;0,K177*0.03,0)))))))</f>
        <v>591.60000000000014</v>
      </c>
      <c r="M177" s="10">
        <f>I177-J177-L177</f>
        <v>8641.4</v>
      </c>
    </row>
    <row r="178" spans="1:13" outlineLevel="2" x14ac:dyDescent="0.15">
      <c r="A178" s="11">
        <v>230</v>
      </c>
      <c r="B178" s="9" t="s">
        <v>592</v>
      </c>
      <c r="C178" s="9" t="s">
        <v>245</v>
      </c>
      <c r="D178" s="9" t="str">
        <f>VLOOKUP(LEFT(B178,1),部门信息!$B$1:$C$6,2,0)</f>
        <v>市场</v>
      </c>
      <c r="E178" s="10">
        <v>15100</v>
      </c>
      <c r="F178" s="10">
        <v>400</v>
      </c>
      <c r="G178" s="10">
        <v>225</v>
      </c>
      <c r="H178" s="10">
        <v>363</v>
      </c>
      <c r="I178" s="10">
        <f>E178+F178+G178-H178</f>
        <v>15362</v>
      </c>
      <c r="J178" s="10">
        <v>1812</v>
      </c>
      <c r="K178" s="10">
        <f>IF(I178-J178-3500&gt;0,I178-J178-3500,0)</f>
        <v>10050</v>
      </c>
      <c r="L178" s="10">
        <f>IF(K178&gt;80000,K178*0.45-13505,IF(K178&gt;55000,K178*0.35-5505,IF(K178&gt;35000,K178*0.3-2755,IF(K178&gt;9000,K178*0.25-1005,IF(K178&gt;4500,K178*0.2-555,IF(K178&gt;1500,K178*0.1-105,IF(K178&gt;0,K178*0.03,0)))))))</f>
        <v>1507.5</v>
      </c>
      <c r="M178" s="10">
        <f>I178-J178-L178</f>
        <v>12042.5</v>
      </c>
    </row>
    <row r="179" spans="1:13" outlineLevel="2" x14ac:dyDescent="0.15">
      <c r="A179" s="11">
        <v>232</v>
      </c>
      <c r="B179" s="9" t="s">
        <v>638</v>
      </c>
      <c r="C179" s="9" t="s">
        <v>247</v>
      </c>
      <c r="D179" s="9" t="str">
        <f>VLOOKUP(LEFT(B179,1),部门信息!$B$1:$C$6,2,0)</f>
        <v>市场</v>
      </c>
      <c r="E179" s="10">
        <v>8500</v>
      </c>
      <c r="F179" s="10">
        <v>100</v>
      </c>
      <c r="G179" s="10">
        <v>315</v>
      </c>
      <c r="H179" s="10">
        <v>444</v>
      </c>
      <c r="I179" s="10">
        <f>E179+F179+G179-H179</f>
        <v>8471</v>
      </c>
      <c r="J179" s="10">
        <v>1105</v>
      </c>
      <c r="K179" s="10">
        <f>IF(I179-J179-3500&gt;0,I179-J179-3500,0)</f>
        <v>3866</v>
      </c>
      <c r="L179" s="10">
        <f>IF(K179&gt;80000,K179*0.45-13505,IF(K179&gt;55000,K179*0.35-5505,IF(K179&gt;35000,K179*0.3-2755,IF(K179&gt;9000,K179*0.25-1005,IF(K179&gt;4500,K179*0.2-555,IF(K179&gt;1500,K179*0.1-105,IF(K179&gt;0,K179*0.03,0)))))))</f>
        <v>281.60000000000002</v>
      </c>
      <c r="M179" s="10">
        <f>I179-J179-L179</f>
        <v>7084.4</v>
      </c>
    </row>
    <row r="180" spans="1:13" outlineLevel="2" x14ac:dyDescent="0.15">
      <c r="A180" s="11">
        <v>233</v>
      </c>
      <c r="B180" s="9" t="s">
        <v>719</v>
      </c>
      <c r="C180" s="9" t="s">
        <v>248</v>
      </c>
      <c r="D180" s="9" t="str">
        <f>VLOOKUP(LEFT(B180,1),部门信息!$B$1:$C$6,2,0)</f>
        <v>市场</v>
      </c>
      <c r="E180" s="10">
        <v>7000</v>
      </c>
      <c r="F180" s="10">
        <v>700</v>
      </c>
      <c r="G180" s="10">
        <v>180</v>
      </c>
      <c r="H180" s="10">
        <v>0</v>
      </c>
      <c r="I180" s="10">
        <f>E180+F180+G180-H180</f>
        <v>7880</v>
      </c>
      <c r="J180" s="10">
        <v>1120</v>
      </c>
      <c r="K180" s="10">
        <f>IF(I180-J180-3500&gt;0,I180-J180-3500,0)</f>
        <v>3260</v>
      </c>
      <c r="L180" s="10">
        <f>IF(K180&gt;80000,K180*0.45-13505,IF(K180&gt;55000,K180*0.35-5505,IF(K180&gt;35000,K180*0.3-2755,IF(K180&gt;9000,K180*0.25-1005,IF(K180&gt;4500,K180*0.2-555,IF(K180&gt;1500,K180*0.1-105,IF(K180&gt;0,K180*0.03,0)))))))</f>
        <v>221</v>
      </c>
      <c r="M180" s="10">
        <f>I180-J180-L180</f>
        <v>6539</v>
      </c>
    </row>
    <row r="181" spans="1:13" outlineLevel="2" x14ac:dyDescent="0.15">
      <c r="A181" s="11">
        <v>236</v>
      </c>
      <c r="B181" s="9" t="s">
        <v>635</v>
      </c>
      <c r="C181" s="9" t="s">
        <v>251</v>
      </c>
      <c r="D181" s="9" t="str">
        <f>VLOOKUP(LEFT(B181,1),部门信息!$B$1:$C$6,2,0)</f>
        <v>市场</v>
      </c>
      <c r="E181" s="10">
        <v>4200</v>
      </c>
      <c r="F181" s="10">
        <v>600</v>
      </c>
      <c r="G181" s="10">
        <v>405</v>
      </c>
      <c r="H181" s="10">
        <v>0</v>
      </c>
      <c r="I181" s="10">
        <f>E181+F181+G181-H181</f>
        <v>5205</v>
      </c>
      <c r="J181" s="10">
        <v>630</v>
      </c>
      <c r="K181" s="10">
        <f>IF(I181-J181-3500&gt;0,I181-J181-3500,0)</f>
        <v>1075</v>
      </c>
      <c r="L181" s="10">
        <f>IF(K181&gt;80000,K181*0.45-13505,IF(K181&gt;55000,K181*0.35-5505,IF(K181&gt;35000,K181*0.3-2755,IF(K181&gt;9000,K181*0.25-1005,IF(K181&gt;4500,K181*0.2-555,IF(K181&gt;1500,K181*0.1-105,IF(K181&gt;0,K181*0.03,0)))))))</f>
        <v>32.25</v>
      </c>
      <c r="M181" s="10">
        <f>I181-J181-L181</f>
        <v>4542.75</v>
      </c>
    </row>
    <row r="182" spans="1:13" outlineLevel="2" x14ac:dyDescent="0.15">
      <c r="A182" s="11">
        <v>237</v>
      </c>
      <c r="B182" s="9" t="s">
        <v>599</v>
      </c>
      <c r="C182" s="9" t="s">
        <v>252</v>
      </c>
      <c r="D182" s="9" t="str">
        <f>VLOOKUP(LEFT(B182,1),部门信息!$B$1:$C$6,2,0)</f>
        <v>市场</v>
      </c>
      <c r="E182" s="10">
        <v>11100</v>
      </c>
      <c r="F182" s="10">
        <v>900</v>
      </c>
      <c r="G182" s="10">
        <v>315</v>
      </c>
      <c r="H182" s="10">
        <v>423</v>
      </c>
      <c r="I182" s="10">
        <f>E182+F182+G182-H182</f>
        <v>11892</v>
      </c>
      <c r="J182" s="10">
        <v>1776</v>
      </c>
      <c r="K182" s="10">
        <f>IF(I182-J182-3500&gt;0,I182-J182-3500,0)</f>
        <v>6616</v>
      </c>
      <c r="L182" s="10">
        <f>IF(K182&gt;80000,K182*0.45-13505,IF(K182&gt;55000,K182*0.35-5505,IF(K182&gt;35000,K182*0.3-2755,IF(K182&gt;9000,K182*0.25-1005,IF(K182&gt;4500,K182*0.2-555,IF(K182&gt;1500,K182*0.1-105,IF(K182&gt;0,K182*0.03,0)))))))</f>
        <v>768.2</v>
      </c>
      <c r="M182" s="10">
        <f>I182-J182-L182</f>
        <v>9347.7999999999993</v>
      </c>
    </row>
    <row r="183" spans="1:13" outlineLevel="2" x14ac:dyDescent="0.15">
      <c r="A183" s="11">
        <v>240</v>
      </c>
      <c r="B183" s="9" t="s">
        <v>602</v>
      </c>
      <c r="C183" s="9" t="s">
        <v>255</v>
      </c>
      <c r="D183" s="9" t="str">
        <f>VLOOKUP(LEFT(B183,1),部门信息!$B$1:$C$6,2,0)</f>
        <v>市场</v>
      </c>
      <c r="E183" s="10">
        <v>8400</v>
      </c>
      <c r="F183" s="10">
        <v>100</v>
      </c>
      <c r="G183" s="10">
        <v>405</v>
      </c>
      <c r="H183" s="10">
        <v>0</v>
      </c>
      <c r="I183" s="10">
        <f>E183+F183+G183-H183</f>
        <v>8905</v>
      </c>
      <c r="J183" s="10">
        <v>1008</v>
      </c>
      <c r="K183" s="10">
        <f>IF(I183-J183-3500&gt;0,I183-J183-3500,0)</f>
        <v>4397</v>
      </c>
      <c r="L183" s="10">
        <f>IF(K183&gt;80000,K183*0.45-13505,IF(K183&gt;55000,K183*0.35-5505,IF(K183&gt;35000,K183*0.3-2755,IF(K183&gt;9000,K183*0.25-1005,IF(K183&gt;4500,K183*0.2-555,IF(K183&gt;1500,K183*0.1-105,IF(K183&gt;0,K183*0.03,0)))))))</f>
        <v>334.70000000000005</v>
      </c>
      <c r="M183" s="10">
        <f>I183-J183-L183</f>
        <v>7562.3</v>
      </c>
    </row>
    <row r="184" spans="1:13" outlineLevel="2" x14ac:dyDescent="0.15">
      <c r="A184" s="11">
        <v>243</v>
      </c>
      <c r="B184" s="9" t="s">
        <v>631</v>
      </c>
      <c r="C184" s="9" t="s">
        <v>258</v>
      </c>
      <c r="D184" s="9" t="str">
        <f>VLOOKUP(LEFT(B184,1),部门信息!$B$1:$C$6,2,0)</f>
        <v>市场</v>
      </c>
      <c r="E184" s="10">
        <v>11400</v>
      </c>
      <c r="F184" s="10">
        <v>200</v>
      </c>
      <c r="G184" s="10">
        <v>90</v>
      </c>
      <c r="H184" s="10">
        <v>441</v>
      </c>
      <c r="I184" s="10">
        <f>E184+F184+G184-H184</f>
        <v>11249</v>
      </c>
      <c r="J184" s="10">
        <v>1710</v>
      </c>
      <c r="K184" s="10">
        <f>IF(I184-J184-3500&gt;0,I184-J184-3500,0)</f>
        <v>6039</v>
      </c>
      <c r="L184" s="10">
        <f>IF(K184&gt;80000,K184*0.45-13505,IF(K184&gt;55000,K184*0.35-5505,IF(K184&gt;35000,K184*0.3-2755,IF(K184&gt;9000,K184*0.25-1005,IF(K184&gt;4500,K184*0.2-555,IF(K184&gt;1500,K184*0.1-105,IF(K184&gt;0,K184*0.03,0)))))))</f>
        <v>652.79999999999995</v>
      </c>
      <c r="M184" s="10">
        <f>I184-J184-L184</f>
        <v>8886.2000000000007</v>
      </c>
    </row>
    <row r="185" spans="1:13" outlineLevel="2" x14ac:dyDescent="0.15">
      <c r="A185" s="11">
        <v>244</v>
      </c>
      <c r="B185" s="9" t="s">
        <v>615</v>
      </c>
      <c r="C185" s="9" t="s">
        <v>259</v>
      </c>
      <c r="D185" s="9" t="str">
        <f>VLOOKUP(LEFT(B185,1),部门信息!$B$1:$C$6,2,0)</f>
        <v>市场</v>
      </c>
      <c r="E185" s="10">
        <v>15100</v>
      </c>
      <c r="F185" s="10">
        <v>300</v>
      </c>
      <c r="G185" s="10">
        <v>45</v>
      </c>
      <c r="H185" s="10">
        <v>134</v>
      </c>
      <c r="I185" s="10">
        <f>E185+F185+G185-H185</f>
        <v>15311</v>
      </c>
      <c r="J185" s="10">
        <v>1963</v>
      </c>
      <c r="K185" s="10">
        <f>IF(I185-J185-3500&gt;0,I185-J185-3500,0)</f>
        <v>9848</v>
      </c>
      <c r="L185" s="10">
        <f>IF(K185&gt;80000,K185*0.45-13505,IF(K185&gt;55000,K185*0.35-5505,IF(K185&gt;35000,K185*0.3-2755,IF(K185&gt;9000,K185*0.25-1005,IF(K185&gt;4500,K185*0.2-555,IF(K185&gt;1500,K185*0.1-105,IF(K185&gt;0,K185*0.03,0)))))))</f>
        <v>1457</v>
      </c>
      <c r="M185" s="10">
        <f>I185-J185-L185</f>
        <v>11891</v>
      </c>
    </row>
    <row r="186" spans="1:13" outlineLevel="2" x14ac:dyDescent="0.15">
      <c r="A186" s="11">
        <v>248</v>
      </c>
      <c r="B186" s="9" t="s">
        <v>636</v>
      </c>
      <c r="C186" s="9" t="s">
        <v>263</v>
      </c>
      <c r="D186" s="9" t="str">
        <f>VLOOKUP(LEFT(B186,1),部门信息!$B$1:$C$6,2,0)</f>
        <v>市场</v>
      </c>
      <c r="E186" s="10">
        <v>18000</v>
      </c>
      <c r="F186" s="10">
        <v>300</v>
      </c>
      <c r="G186" s="10">
        <v>450</v>
      </c>
      <c r="H186" s="10">
        <v>227</v>
      </c>
      <c r="I186" s="10">
        <f>E186+F186+G186-H186</f>
        <v>18523</v>
      </c>
      <c r="J186" s="10">
        <v>2700</v>
      </c>
      <c r="K186" s="10">
        <f>IF(I186-J186-3500&gt;0,I186-J186-3500,0)</f>
        <v>12323</v>
      </c>
      <c r="L186" s="10">
        <f>IF(K186&gt;80000,K186*0.45-13505,IF(K186&gt;55000,K186*0.35-5505,IF(K186&gt;35000,K186*0.3-2755,IF(K186&gt;9000,K186*0.25-1005,IF(K186&gt;4500,K186*0.2-555,IF(K186&gt;1500,K186*0.1-105,IF(K186&gt;0,K186*0.03,0)))))))</f>
        <v>2075.75</v>
      </c>
      <c r="M186" s="10">
        <f>I186-J186-L186</f>
        <v>13747.25</v>
      </c>
    </row>
    <row r="187" spans="1:13" outlineLevel="2" x14ac:dyDescent="0.15">
      <c r="A187" s="11">
        <v>249</v>
      </c>
      <c r="B187" s="9" t="s">
        <v>595</v>
      </c>
      <c r="C187" s="9" t="s">
        <v>264</v>
      </c>
      <c r="D187" s="9" t="str">
        <f>VLOOKUP(LEFT(B187,1),部门信息!$B$1:$C$6,2,0)</f>
        <v>市场</v>
      </c>
      <c r="E187" s="10">
        <v>11200</v>
      </c>
      <c r="F187" s="10">
        <v>200</v>
      </c>
      <c r="G187" s="10">
        <v>270</v>
      </c>
      <c r="H187" s="10">
        <v>119</v>
      </c>
      <c r="I187" s="10">
        <f>E187+F187+G187-H187</f>
        <v>11551</v>
      </c>
      <c r="J187" s="10">
        <v>1792</v>
      </c>
      <c r="K187" s="10">
        <f>IF(I187-J187-3500&gt;0,I187-J187-3500,0)</f>
        <v>6259</v>
      </c>
      <c r="L187" s="10">
        <f>IF(K187&gt;80000,K187*0.45-13505,IF(K187&gt;55000,K187*0.35-5505,IF(K187&gt;35000,K187*0.3-2755,IF(K187&gt;9000,K187*0.25-1005,IF(K187&gt;4500,K187*0.2-555,IF(K187&gt;1500,K187*0.1-105,IF(K187&gt;0,K187*0.03,0)))))))</f>
        <v>696.80000000000018</v>
      </c>
      <c r="M187" s="10">
        <f>I187-J187-L187</f>
        <v>9062.2000000000007</v>
      </c>
    </row>
    <row r="188" spans="1:13" outlineLevel="2" x14ac:dyDescent="0.15">
      <c r="A188" s="11">
        <v>252</v>
      </c>
      <c r="B188" s="9" t="s">
        <v>707</v>
      </c>
      <c r="C188" s="9" t="s">
        <v>267</v>
      </c>
      <c r="D188" s="9" t="str">
        <f>VLOOKUP(LEFT(B188,1),部门信息!$B$1:$C$6,2,0)</f>
        <v>市场</v>
      </c>
      <c r="E188" s="10">
        <v>9600</v>
      </c>
      <c r="F188" s="10">
        <v>300</v>
      </c>
      <c r="G188" s="10">
        <v>450</v>
      </c>
      <c r="H188" s="10">
        <v>0</v>
      </c>
      <c r="I188" s="10">
        <f>E188+F188+G188-H188</f>
        <v>10350</v>
      </c>
      <c r="J188" s="10">
        <v>1536</v>
      </c>
      <c r="K188" s="10">
        <f>IF(I188-J188-3500&gt;0,I188-J188-3500,0)</f>
        <v>5314</v>
      </c>
      <c r="L188" s="10">
        <f>IF(K188&gt;80000,K188*0.45-13505,IF(K188&gt;55000,K188*0.35-5505,IF(K188&gt;35000,K188*0.3-2755,IF(K188&gt;9000,K188*0.25-1005,IF(K188&gt;4500,K188*0.2-555,IF(K188&gt;1500,K188*0.1-105,IF(K188&gt;0,K188*0.03,0)))))))</f>
        <v>507.79999999999995</v>
      </c>
      <c r="M188" s="10">
        <f>I188-J188-L188</f>
        <v>8306.2000000000007</v>
      </c>
    </row>
    <row r="189" spans="1:13" outlineLevel="2" x14ac:dyDescent="0.15">
      <c r="A189" s="11">
        <v>253</v>
      </c>
      <c r="B189" s="9" t="s">
        <v>678</v>
      </c>
      <c r="C189" s="9" t="s">
        <v>268</v>
      </c>
      <c r="D189" s="9" t="str">
        <f>VLOOKUP(LEFT(B189,1),部门信息!$B$1:$C$6,2,0)</f>
        <v>市场</v>
      </c>
      <c r="E189" s="10">
        <v>19800</v>
      </c>
      <c r="F189" s="10">
        <v>500</v>
      </c>
      <c r="G189" s="10">
        <v>270</v>
      </c>
      <c r="H189" s="10">
        <v>81</v>
      </c>
      <c r="I189" s="10">
        <f>E189+F189+G189-H189</f>
        <v>20489</v>
      </c>
      <c r="J189" s="10">
        <v>2772</v>
      </c>
      <c r="K189" s="10">
        <f>IF(I189-J189-3500&gt;0,I189-J189-3500,0)</f>
        <v>14217</v>
      </c>
      <c r="L189" s="10">
        <f>IF(K189&gt;80000,K189*0.45-13505,IF(K189&gt;55000,K189*0.35-5505,IF(K189&gt;35000,K189*0.3-2755,IF(K189&gt;9000,K189*0.25-1005,IF(K189&gt;4500,K189*0.2-555,IF(K189&gt;1500,K189*0.1-105,IF(K189&gt;0,K189*0.03,0)))))))</f>
        <v>2549.25</v>
      </c>
      <c r="M189" s="10">
        <f>I189-J189-L189</f>
        <v>15167.75</v>
      </c>
    </row>
    <row r="190" spans="1:13" outlineLevel="2" x14ac:dyDescent="0.15">
      <c r="A190" s="11">
        <v>256</v>
      </c>
      <c r="B190" s="9" t="s">
        <v>683</v>
      </c>
      <c r="C190" s="9" t="s">
        <v>271</v>
      </c>
      <c r="D190" s="9" t="str">
        <f>VLOOKUP(LEFT(B190,1),部门信息!$B$1:$C$6,2,0)</f>
        <v>市场</v>
      </c>
      <c r="E190" s="10">
        <v>12100</v>
      </c>
      <c r="F190" s="10">
        <v>700</v>
      </c>
      <c r="G190" s="10">
        <v>405</v>
      </c>
      <c r="H190" s="10">
        <v>0</v>
      </c>
      <c r="I190" s="10">
        <f>E190+F190+G190-H190</f>
        <v>13205</v>
      </c>
      <c r="J190" s="10">
        <v>1694</v>
      </c>
      <c r="K190" s="10">
        <f>IF(I190-J190-3500&gt;0,I190-J190-3500,0)</f>
        <v>8011</v>
      </c>
      <c r="L190" s="10">
        <f>IF(K190&gt;80000,K190*0.45-13505,IF(K190&gt;55000,K190*0.35-5505,IF(K190&gt;35000,K190*0.3-2755,IF(K190&gt;9000,K190*0.25-1005,IF(K190&gt;4500,K190*0.2-555,IF(K190&gt;1500,K190*0.1-105,IF(K190&gt;0,K190*0.03,0)))))))</f>
        <v>1047.2</v>
      </c>
      <c r="M190" s="10">
        <f>I190-J190-L190</f>
        <v>10463.799999999999</v>
      </c>
    </row>
    <row r="191" spans="1:13" outlineLevel="2" x14ac:dyDescent="0.15">
      <c r="A191" s="11">
        <v>257</v>
      </c>
      <c r="B191" s="9" t="s">
        <v>687</v>
      </c>
      <c r="C191" s="9" t="s">
        <v>272</v>
      </c>
      <c r="D191" s="9" t="str">
        <f>VLOOKUP(LEFT(B191,1),部门信息!$B$1:$C$6,2,0)</f>
        <v>市场</v>
      </c>
      <c r="E191" s="10">
        <v>14600</v>
      </c>
      <c r="F191" s="10">
        <v>500</v>
      </c>
      <c r="G191" s="10">
        <v>405</v>
      </c>
      <c r="H191" s="10">
        <v>288</v>
      </c>
      <c r="I191" s="10">
        <f>E191+F191+G191-H191</f>
        <v>15217</v>
      </c>
      <c r="J191" s="10">
        <v>2336</v>
      </c>
      <c r="K191" s="10">
        <f>IF(I191-J191-3500&gt;0,I191-J191-3500,0)</f>
        <v>9381</v>
      </c>
      <c r="L191" s="10">
        <f>IF(K191&gt;80000,K191*0.45-13505,IF(K191&gt;55000,K191*0.35-5505,IF(K191&gt;35000,K191*0.3-2755,IF(K191&gt;9000,K191*0.25-1005,IF(K191&gt;4500,K191*0.2-555,IF(K191&gt;1500,K191*0.1-105,IF(K191&gt;0,K191*0.03,0)))))))</f>
        <v>1340.25</v>
      </c>
      <c r="M191" s="10">
        <f>I191-J191-L191</f>
        <v>11540.75</v>
      </c>
    </row>
    <row r="192" spans="1:13" outlineLevel="2" x14ac:dyDescent="0.15">
      <c r="A192" s="11">
        <v>264</v>
      </c>
      <c r="B192" s="9" t="s">
        <v>685</v>
      </c>
      <c r="C192" s="9" t="s">
        <v>278</v>
      </c>
      <c r="D192" s="9" t="str">
        <f>VLOOKUP(LEFT(B192,1),部门信息!$B$1:$C$6,2,0)</f>
        <v>市场</v>
      </c>
      <c r="E192" s="10">
        <v>5900</v>
      </c>
      <c r="F192" s="10">
        <v>400</v>
      </c>
      <c r="G192" s="10">
        <v>270</v>
      </c>
      <c r="H192" s="10">
        <v>306</v>
      </c>
      <c r="I192" s="10">
        <f>E192+F192+G192-H192</f>
        <v>6264</v>
      </c>
      <c r="J192" s="10">
        <v>708</v>
      </c>
      <c r="K192" s="10">
        <f>IF(I192-J192-3500&gt;0,I192-J192-3500,0)</f>
        <v>2056</v>
      </c>
      <c r="L192" s="10">
        <f>IF(K192&gt;80000,K192*0.45-13505,IF(K192&gt;55000,K192*0.35-5505,IF(K192&gt;35000,K192*0.3-2755,IF(K192&gt;9000,K192*0.25-1005,IF(K192&gt;4500,K192*0.2-555,IF(K192&gt;1500,K192*0.1-105,IF(K192&gt;0,K192*0.03,0)))))))</f>
        <v>100.60000000000002</v>
      </c>
      <c r="M192" s="10">
        <f>I192-J192-L192</f>
        <v>5455.4</v>
      </c>
    </row>
    <row r="193" spans="1:13" outlineLevel="2" x14ac:dyDescent="0.15">
      <c r="A193" s="11">
        <v>267</v>
      </c>
      <c r="B193" s="9" t="s">
        <v>580</v>
      </c>
      <c r="C193" s="9" t="s">
        <v>281</v>
      </c>
      <c r="D193" s="9" t="str">
        <f>VLOOKUP(LEFT(B193,1),部门信息!$B$1:$C$6,2,0)</f>
        <v>市场</v>
      </c>
      <c r="E193" s="10">
        <v>5200</v>
      </c>
      <c r="F193" s="10">
        <v>300</v>
      </c>
      <c r="G193" s="10">
        <v>405</v>
      </c>
      <c r="H193" s="10">
        <v>0</v>
      </c>
      <c r="I193" s="10">
        <f>E193+F193+G193-H193</f>
        <v>5905</v>
      </c>
      <c r="J193" s="10">
        <v>728</v>
      </c>
      <c r="K193" s="10">
        <f>IF(I193-J193-3500&gt;0,I193-J193-3500,0)</f>
        <v>1677</v>
      </c>
      <c r="L193" s="10">
        <f>IF(K193&gt;80000,K193*0.45-13505,IF(K193&gt;55000,K193*0.35-5505,IF(K193&gt;35000,K193*0.3-2755,IF(K193&gt;9000,K193*0.25-1005,IF(K193&gt;4500,K193*0.2-555,IF(K193&gt;1500,K193*0.1-105,IF(K193&gt;0,K193*0.03,0)))))))</f>
        <v>62.700000000000017</v>
      </c>
      <c r="M193" s="10">
        <f>I193-J193-L193</f>
        <v>5114.3</v>
      </c>
    </row>
    <row r="194" spans="1:13" outlineLevel="2" x14ac:dyDescent="0.15">
      <c r="A194" s="11">
        <v>269</v>
      </c>
      <c r="B194" s="9" t="s">
        <v>600</v>
      </c>
      <c r="C194" s="9" t="s">
        <v>283</v>
      </c>
      <c r="D194" s="9" t="str">
        <f>VLOOKUP(LEFT(B194,1),部门信息!$B$1:$C$6,2,0)</f>
        <v>市场</v>
      </c>
      <c r="E194" s="10">
        <v>18100</v>
      </c>
      <c r="F194" s="10">
        <v>800</v>
      </c>
      <c r="G194" s="10">
        <v>135</v>
      </c>
      <c r="H194" s="10">
        <v>319</v>
      </c>
      <c r="I194" s="10">
        <f>E194+F194+G194-H194</f>
        <v>18716</v>
      </c>
      <c r="J194" s="10">
        <v>2534</v>
      </c>
      <c r="K194" s="10">
        <f>IF(I194-J194-3500&gt;0,I194-J194-3500,0)</f>
        <v>12682</v>
      </c>
      <c r="L194" s="10">
        <f>IF(K194&gt;80000,K194*0.45-13505,IF(K194&gt;55000,K194*0.35-5505,IF(K194&gt;35000,K194*0.3-2755,IF(K194&gt;9000,K194*0.25-1005,IF(K194&gt;4500,K194*0.2-555,IF(K194&gt;1500,K194*0.1-105,IF(K194&gt;0,K194*0.03,0)))))))</f>
        <v>2165.5</v>
      </c>
      <c r="M194" s="10">
        <f>I194-J194-L194</f>
        <v>14016.5</v>
      </c>
    </row>
    <row r="195" spans="1:13" outlineLevel="2" x14ac:dyDescent="0.15">
      <c r="A195" s="11">
        <v>270</v>
      </c>
      <c r="B195" s="9" t="s">
        <v>659</v>
      </c>
      <c r="C195" s="9" t="s">
        <v>284</v>
      </c>
      <c r="D195" s="9" t="str">
        <f>VLOOKUP(LEFT(B195,1),部门信息!$B$1:$C$6,2,0)</f>
        <v>市场</v>
      </c>
      <c r="E195" s="10">
        <v>7700</v>
      </c>
      <c r="F195" s="10">
        <v>1000</v>
      </c>
      <c r="G195" s="10">
        <v>315</v>
      </c>
      <c r="H195" s="10">
        <v>95</v>
      </c>
      <c r="I195" s="10">
        <f>E195+F195+G195-H195</f>
        <v>8920</v>
      </c>
      <c r="J195" s="10">
        <v>924</v>
      </c>
      <c r="K195" s="10">
        <f>IF(I195-J195-3500&gt;0,I195-J195-3500,0)</f>
        <v>4496</v>
      </c>
      <c r="L195" s="10">
        <f>IF(K195&gt;80000,K195*0.45-13505,IF(K195&gt;55000,K195*0.35-5505,IF(K195&gt;35000,K195*0.3-2755,IF(K195&gt;9000,K195*0.25-1005,IF(K195&gt;4500,K195*0.2-555,IF(K195&gt;1500,K195*0.1-105,IF(K195&gt;0,K195*0.03,0)))))))</f>
        <v>344.6</v>
      </c>
      <c r="M195" s="10">
        <f>I195-J195-L195</f>
        <v>7651.4</v>
      </c>
    </row>
    <row r="196" spans="1:13" outlineLevel="2" x14ac:dyDescent="0.15">
      <c r="A196" s="11">
        <v>274</v>
      </c>
      <c r="B196" s="9" t="s">
        <v>681</v>
      </c>
      <c r="C196" s="9" t="s">
        <v>287</v>
      </c>
      <c r="D196" s="9" t="str">
        <f>VLOOKUP(LEFT(B196,1),部门信息!$B$1:$C$6,2,0)</f>
        <v>市场</v>
      </c>
      <c r="E196" s="10">
        <v>11000</v>
      </c>
      <c r="F196" s="10">
        <v>0</v>
      </c>
      <c r="G196" s="10">
        <v>450</v>
      </c>
      <c r="H196" s="10">
        <v>116</v>
      </c>
      <c r="I196" s="10">
        <f>E196+F196+G196-H196</f>
        <v>11334</v>
      </c>
      <c r="J196" s="10">
        <v>1540</v>
      </c>
      <c r="K196" s="10">
        <f>IF(I196-J196-3500&gt;0,I196-J196-3500,0)</f>
        <v>6294</v>
      </c>
      <c r="L196" s="10">
        <f>IF(K196&gt;80000,K196*0.45-13505,IF(K196&gt;55000,K196*0.35-5505,IF(K196&gt;35000,K196*0.3-2755,IF(K196&gt;9000,K196*0.25-1005,IF(K196&gt;4500,K196*0.2-555,IF(K196&gt;1500,K196*0.1-105,IF(K196&gt;0,K196*0.03,0)))))))</f>
        <v>703.80000000000018</v>
      </c>
      <c r="M196" s="10">
        <f>I196-J196-L196</f>
        <v>9090.2000000000007</v>
      </c>
    </row>
    <row r="197" spans="1:13" outlineLevel="2" x14ac:dyDescent="0.15">
      <c r="A197" s="11">
        <v>278</v>
      </c>
      <c r="B197" s="9" t="s">
        <v>692</v>
      </c>
      <c r="C197" s="9" t="s">
        <v>291</v>
      </c>
      <c r="D197" s="9" t="str">
        <f>VLOOKUP(LEFT(B197,1),部门信息!$B$1:$C$6,2,0)</f>
        <v>市场</v>
      </c>
      <c r="E197" s="10">
        <v>3500</v>
      </c>
      <c r="F197" s="10">
        <v>300</v>
      </c>
      <c r="G197" s="10">
        <v>90</v>
      </c>
      <c r="H197" s="10">
        <v>0</v>
      </c>
      <c r="I197" s="10">
        <f>E197+F197+G197-H197</f>
        <v>3890</v>
      </c>
      <c r="J197" s="10">
        <v>455</v>
      </c>
      <c r="K197" s="10">
        <f>IF(I197-J197-3500&gt;0,I197-J197-3500,0)</f>
        <v>0</v>
      </c>
      <c r="L197" s="10">
        <f>IF(K197&gt;80000,K197*0.45-13505,IF(K197&gt;55000,K197*0.35-5505,IF(K197&gt;35000,K197*0.3-2755,IF(K197&gt;9000,K197*0.25-1005,IF(K197&gt;4500,K197*0.2-555,IF(K197&gt;1500,K197*0.1-105,IF(K197&gt;0,K197*0.03,0)))))))</f>
        <v>0</v>
      </c>
      <c r="M197" s="10">
        <f>I197-J197-L197</f>
        <v>3435</v>
      </c>
    </row>
    <row r="198" spans="1:13" outlineLevel="2" x14ac:dyDescent="0.15">
      <c r="A198" s="11">
        <v>280</v>
      </c>
      <c r="B198" s="9" t="s">
        <v>689</v>
      </c>
      <c r="C198" s="9" t="s">
        <v>293</v>
      </c>
      <c r="D198" s="9" t="str">
        <f>VLOOKUP(LEFT(B198,1),部门信息!$B$1:$C$6,2,0)</f>
        <v>市场</v>
      </c>
      <c r="E198" s="10">
        <v>14800</v>
      </c>
      <c r="F198" s="10">
        <v>900</v>
      </c>
      <c r="G198" s="10">
        <v>405</v>
      </c>
      <c r="H198" s="10">
        <v>420</v>
      </c>
      <c r="I198" s="10">
        <f>E198+F198+G198-H198</f>
        <v>15685</v>
      </c>
      <c r="J198" s="10">
        <v>2220</v>
      </c>
      <c r="K198" s="10">
        <f>IF(I198-J198-3500&gt;0,I198-J198-3500,0)</f>
        <v>9965</v>
      </c>
      <c r="L198" s="10">
        <f>IF(K198&gt;80000,K198*0.45-13505,IF(K198&gt;55000,K198*0.35-5505,IF(K198&gt;35000,K198*0.3-2755,IF(K198&gt;9000,K198*0.25-1005,IF(K198&gt;4500,K198*0.2-555,IF(K198&gt;1500,K198*0.1-105,IF(K198&gt;0,K198*0.03,0)))))))</f>
        <v>1486.25</v>
      </c>
      <c r="M198" s="10">
        <f>I198-J198-L198</f>
        <v>11978.75</v>
      </c>
    </row>
    <row r="199" spans="1:13" outlineLevel="2" x14ac:dyDescent="0.15">
      <c r="A199" s="11">
        <v>281</v>
      </c>
      <c r="B199" s="9" t="s">
        <v>598</v>
      </c>
      <c r="C199" s="9" t="s">
        <v>294</v>
      </c>
      <c r="D199" s="9" t="str">
        <f>VLOOKUP(LEFT(B199,1),部门信息!$B$1:$C$6,2,0)</f>
        <v>市场</v>
      </c>
      <c r="E199" s="10">
        <v>17000</v>
      </c>
      <c r="F199" s="10">
        <v>800</v>
      </c>
      <c r="G199" s="10">
        <v>90</v>
      </c>
      <c r="H199" s="10">
        <v>232</v>
      </c>
      <c r="I199" s="10">
        <f>E199+F199+G199-H199</f>
        <v>17658</v>
      </c>
      <c r="J199" s="10">
        <v>2040</v>
      </c>
      <c r="K199" s="10">
        <f>IF(I199-J199-3500&gt;0,I199-J199-3500,0)</f>
        <v>12118</v>
      </c>
      <c r="L199" s="10">
        <f>IF(K199&gt;80000,K199*0.45-13505,IF(K199&gt;55000,K199*0.35-5505,IF(K199&gt;35000,K199*0.3-2755,IF(K199&gt;9000,K199*0.25-1005,IF(K199&gt;4500,K199*0.2-555,IF(K199&gt;1500,K199*0.1-105,IF(K199&gt;0,K199*0.03,0)))))))</f>
        <v>2024.5</v>
      </c>
      <c r="M199" s="10">
        <f>I199-J199-L199</f>
        <v>13593.5</v>
      </c>
    </row>
    <row r="200" spans="1:13" outlineLevel="2" x14ac:dyDescent="0.15">
      <c r="A200" s="11">
        <v>282</v>
      </c>
      <c r="B200" s="9" t="s">
        <v>640</v>
      </c>
      <c r="C200" s="9" t="s">
        <v>295</v>
      </c>
      <c r="D200" s="9" t="str">
        <f>VLOOKUP(LEFT(B200,1),部门信息!$B$1:$C$6,2,0)</f>
        <v>市场</v>
      </c>
      <c r="E200" s="10">
        <v>15500</v>
      </c>
      <c r="F200" s="10">
        <v>500</v>
      </c>
      <c r="G200" s="10">
        <v>45</v>
      </c>
      <c r="H200" s="10">
        <v>300</v>
      </c>
      <c r="I200" s="10">
        <f>E200+F200+G200-H200</f>
        <v>15745</v>
      </c>
      <c r="J200" s="10">
        <v>2015</v>
      </c>
      <c r="K200" s="10">
        <f>IF(I200-J200-3500&gt;0,I200-J200-3500,0)</f>
        <v>10230</v>
      </c>
      <c r="L200" s="10">
        <f>IF(K200&gt;80000,K200*0.45-13505,IF(K200&gt;55000,K200*0.35-5505,IF(K200&gt;35000,K200*0.3-2755,IF(K200&gt;9000,K200*0.25-1005,IF(K200&gt;4500,K200*0.2-555,IF(K200&gt;1500,K200*0.1-105,IF(K200&gt;0,K200*0.03,0)))))))</f>
        <v>1552.5</v>
      </c>
      <c r="M200" s="10">
        <f>I200-J200-L200</f>
        <v>12177.5</v>
      </c>
    </row>
    <row r="201" spans="1:13" outlineLevel="2" x14ac:dyDescent="0.15">
      <c r="A201" s="11">
        <v>283</v>
      </c>
      <c r="B201" s="9" t="s">
        <v>704</v>
      </c>
      <c r="C201" s="9" t="s">
        <v>296</v>
      </c>
      <c r="D201" s="9" t="str">
        <f>VLOOKUP(LEFT(B201,1),部门信息!$B$1:$C$6,2,0)</f>
        <v>市场</v>
      </c>
      <c r="E201" s="10">
        <v>18900</v>
      </c>
      <c r="F201" s="10">
        <v>0</v>
      </c>
      <c r="G201" s="10">
        <v>315</v>
      </c>
      <c r="H201" s="10">
        <v>154</v>
      </c>
      <c r="I201" s="10">
        <f>E201+F201+G201-H201</f>
        <v>19061</v>
      </c>
      <c r="J201" s="10">
        <v>2835</v>
      </c>
      <c r="K201" s="10">
        <f>IF(I201-J201-3500&gt;0,I201-J201-3500,0)</f>
        <v>12726</v>
      </c>
      <c r="L201" s="10">
        <f>IF(K201&gt;80000,K201*0.45-13505,IF(K201&gt;55000,K201*0.35-5505,IF(K201&gt;35000,K201*0.3-2755,IF(K201&gt;9000,K201*0.25-1005,IF(K201&gt;4500,K201*0.2-555,IF(K201&gt;1500,K201*0.1-105,IF(K201&gt;0,K201*0.03,0)))))))</f>
        <v>2176.5</v>
      </c>
      <c r="M201" s="10">
        <f>I201-J201-L201</f>
        <v>14049.5</v>
      </c>
    </row>
    <row r="202" spans="1:13" outlineLevel="2" x14ac:dyDescent="0.15">
      <c r="A202" s="11">
        <v>287</v>
      </c>
      <c r="B202" s="9" t="s">
        <v>658</v>
      </c>
      <c r="C202" s="9" t="s">
        <v>300</v>
      </c>
      <c r="D202" s="9" t="str">
        <f>VLOOKUP(LEFT(B202,1),部门信息!$B$1:$C$6,2,0)</f>
        <v>市场</v>
      </c>
      <c r="E202" s="10">
        <v>14900</v>
      </c>
      <c r="F202" s="10">
        <v>0</v>
      </c>
      <c r="G202" s="10">
        <v>225</v>
      </c>
      <c r="H202" s="10">
        <v>100</v>
      </c>
      <c r="I202" s="10">
        <f>E202+F202+G202-H202</f>
        <v>15025</v>
      </c>
      <c r="J202" s="10">
        <v>2086</v>
      </c>
      <c r="K202" s="10">
        <f>IF(I202-J202-3500&gt;0,I202-J202-3500,0)</f>
        <v>9439</v>
      </c>
      <c r="L202" s="10">
        <f>IF(K202&gt;80000,K202*0.45-13505,IF(K202&gt;55000,K202*0.35-5505,IF(K202&gt;35000,K202*0.3-2755,IF(K202&gt;9000,K202*0.25-1005,IF(K202&gt;4500,K202*0.2-555,IF(K202&gt;1500,K202*0.1-105,IF(K202&gt;0,K202*0.03,0)))))))</f>
        <v>1354.75</v>
      </c>
      <c r="M202" s="10">
        <f>I202-J202-L202</f>
        <v>11584.25</v>
      </c>
    </row>
    <row r="203" spans="1:13" outlineLevel="2" x14ac:dyDescent="0.15">
      <c r="A203" s="11">
        <v>288</v>
      </c>
      <c r="B203" s="9" t="s">
        <v>609</v>
      </c>
      <c r="C203" s="9" t="s">
        <v>301</v>
      </c>
      <c r="D203" s="9" t="str">
        <f>VLOOKUP(LEFT(B203,1),部门信息!$B$1:$C$6,2,0)</f>
        <v>市场</v>
      </c>
      <c r="E203" s="10">
        <v>19300</v>
      </c>
      <c r="F203" s="10">
        <v>200</v>
      </c>
      <c r="G203" s="10">
        <v>225</v>
      </c>
      <c r="H203" s="10">
        <v>0</v>
      </c>
      <c r="I203" s="10">
        <f>E203+F203+G203-H203</f>
        <v>19725</v>
      </c>
      <c r="J203" s="10">
        <v>3088</v>
      </c>
      <c r="K203" s="10">
        <f>IF(I203-J203-3500&gt;0,I203-J203-3500,0)</f>
        <v>13137</v>
      </c>
      <c r="L203" s="10">
        <f>IF(K203&gt;80000,K203*0.45-13505,IF(K203&gt;55000,K203*0.35-5505,IF(K203&gt;35000,K203*0.3-2755,IF(K203&gt;9000,K203*0.25-1005,IF(K203&gt;4500,K203*0.2-555,IF(K203&gt;1500,K203*0.1-105,IF(K203&gt;0,K203*0.03,0)))))))</f>
        <v>2279.25</v>
      </c>
      <c r="M203" s="10">
        <f>I203-J203-L203</f>
        <v>14357.75</v>
      </c>
    </row>
    <row r="204" spans="1:13" outlineLevel="2" x14ac:dyDescent="0.15">
      <c r="A204" s="11">
        <v>290</v>
      </c>
      <c r="B204" s="9" t="s">
        <v>593</v>
      </c>
      <c r="C204" s="9" t="s">
        <v>303</v>
      </c>
      <c r="D204" s="9" t="str">
        <f>VLOOKUP(LEFT(B204,1),部门信息!$B$1:$C$6,2,0)</f>
        <v>市场</v>
      </c>
      <c r="E204" s="10">
        <v>17800</v>
      </c>
      <c r="F204" s="10">
        <v>500</v>
      </c>
      <c r="G204" s="10">
        <v>45</v>
      </c>
      <c r="H204" s="10">
        <v>0</v>
      </c>
      <c r="I204" s="10">
        <f>E204+F204+G204-H204</f>
        <v>18345</v>
      </c>
      <c r="J204" s="10">
        <v>2314</v>
      </c>
      <c r="K204" s="10">
        <f>IF(I204-J204-3500&gt;0,I204-J204-3500,0)</f>
        <v>12531</v>
      </c>
      <c r="L204" s="10">
        <f>IF(K204&gt;80000,K204*0.45-13505,IF(K204&gt;55000,K204*0.35-5505,IF(K204&gt;35000,K204*0.3-2755,IF(K204&gt;9000,K204*0.25-1005,IF(K204&gt;4500,K204*0.2-555,IF(K204&gt;1500,K204*0.1-105,IF(K204&gt;0,K204*0.03,0)))))))</f>
        <v>2127.75</v>
      </c>
      <c r="M204" s="10">
        <f>I204-J204-L204</f>
        <v>13903.25</v>
      </c>
    </row>
    <row r="205" spans="1:13" outlineLevel="2" x14ac:dyDescent="0.15">
      <c r="A205" s="11">
        <v>296</v>
      </c>
      <c r="B205" s="9" t="s">
        <v>589</v>
      </c>
      <c r="C205" s="9" t="s">
        <v>309</v>
      </c>
      <c r="D205" s="9" t="str">
        <f>VLOOKUP(LEFT(B205,1),部门信息!$B$1:$C$6,2,0)</f>
        <v>市场</v>
      </c>
      <c r="E205" s="10">
        <v>12200</v>
      </c>
      <c r="F205" s="10">
        <v>800</v>
      </c>
      <c r="G205" s="10">
        <v>45</v>
      </c>
      <c r="H205" s="10">
        <v>86</v>
      </c>
      <c r="I205" s="10">
        <f>E205+F205+G205-H205</f>
        <v>12959</v>
      </c>
      <c r="J205" s="10">
        <v>1586</v>
      </c>
      <c r="K205" s="10">
        <f>IF(I205-J205-3500&gt;0,I205-J205-3500,0)</f>
        <v>7873</v>
      </c>
      <c r="L205" s="10">
        <f>IF(K205&gt;80000,K205*0.45-13505,IF(K205&gt;55000,K205*0.35-5505,IF(K205&gt;35000,K205*0.3-2755,IF(K205&gt;9000,K205*0.25-1005,IF(K205&gt;4500,K205*0.2-555,IF(K205&gt;1500,K205*0.1-105,IF(K205&gt;0,K205*0.03,0)))))))</f>
        <v>1019.6000000000001</v>
      </c>
      <c r="M205" s="10">
        <f>I205-J205-L205</f>
        <v>10353.4</v>
      </c>
    </row>
    <row r="206" spans="1:13" outlineLevel="2" x14ac:dyDescent="0.15">
      <c r="A206" s="11">
        <v>298</v>
      </c>
      <c r="B206" s="9" t="s">
        <v>711</v>
      </c>
      <c r="C206" s="9" t="s">
        <v>311</v>
      </c>
      <c r="D206" s="9" t="str">
        <f>VLOOKUP(LEFT(B206,1),部门信息!$B$1:$C$6,2,0)</f>
        <v>市场</v>
      </c>
      <c r="E206" s="10">
        <v>15300</v>
      </c>
      <c r="F206" s="10">
        <v>100</v>
      </c>
      <c r="G206" s="10">
        <v>405</v>
      </c>
      <c r="H206" s="10">
        <v>348</v>
      </c>
      <c r="I206" s="10">
        <f>E206+F206+G206-H206</f>
        <v>15457</v>
      </c>
      <c r="J206" s="10">
        <v>1989</v>
      </c>
      <c r="K206" s="10">
        <f>IF(I206-J206-3500&gt;0,I206-J206-3500,0)</f>
        <v>9968</v>
      </c>
      <c r="L206" s="10">
        <f>IF(K206&gt;80000,K206*0.45-13505,IF(K206&gt;55000,K206*0.35-5505,IF(K206&gt;35000,K206*0.3-2755,IF(K206&gt;9000,K206*0.25-1005,IF(K206&gt;4500,K206*0.2-555,IF(K206&gt;1500,K206*0.1-105,IF(K206&gt;0,K206*0.03,0)))))))</f>
        <v>1487</v>
      </c>
      <c r="M206" s="10">
        <f>I206-J206-L206</f>
        <v>11981</v>
      </c>
    </row>
    <row r="207" spans="1:13" outlineLevel="2" x14ac:dyDescent="0.15">
      <c r="A207" s="11">
        <v>300</v>
      </c>
      <c r="B207" s="9" t="s">
        <v>623</v>
      </c>
      <c r="C207" s="9" t="s">
        <v>27</v>
      </c>
      <c r="D207" s="9" t="str">
        <f>VLOOKUP(LEFT(B207,1),部门信息!$B$1:$C$6,2,0)</f>
        <v>市场</v>
      </c>
      <c r="E207" s="10">
        <v>11300</v>
      </c>
      <c r="F207" s="10">
        <v>0</v>
      </c>
      <c r="G207" s="10">
        <v>90</v>
      </c>
      <c r="H207" s="10">
        <v>367</v>
      </c>
      <c r="I207" s="10">
        <f>E207+F207+G207-H207</f>
        <v>11023</v>
      </c>
      <c r="J207" s="10">
        <v>1469</v>
      </c>
      <c r="K207" s="10">
        <f>IF(I207-J207-3500&gt;0,I207-J207-3500,0)</f>
        <v>6054</v>
      </c>
      <c r="L207" s="10">
        <f>IF(K207&gt;80000,K207*0.45-13505,IF(K207&gt;55000,K207*0.35-5505,IF(K207&gt;35000,K207*0.3-2755,IF(K207&gt;9000,K207*0.25-1005,IF(K207&gt;4500,K207*0.2-555,IF(K207&gt;1500,K207*0.1-105,IF(K207&gt;0,K207*0.03,0)))))))</f>
        <v>655.8</v>
      </c>
      <c r="M207" s="10">
        <f>I207-J207-L207</f>
        <v>8898.2000000000007</v>
      </c>
    </row>
    <row r="208" spans="1:13" outlineLevel="2" x14ac:dyDescent="0.15">
      <c r="A208" s="11">
        <v>301</v>
      </c>
      <c r="B208" s="9" t="s">
        <v>715</v>
      </c>
      <c r="C208" s="9" t="s">
        <v>313</v>
      </c>
      <c r="D208" s="9" t="str">
        <f>VLOOKUP(LEFT(B208,1),部门信息!$B$1:$C$6,2,0)</f>
        <v>市场</v>
      </c>
      <c r="E208" s="10">
        <v>9100</v>
      </c>
      <c r="F208" s="10">
        <v>1000</v>
      </c>
      <c r="G208" s="10">
        <v>45</v>
      </c>
      <c r="H208" s="10">
        <v>0</v>
      </c>
      <c r="I208" s="10">
        <f>E208+F208+G208-H208</f>
        <v>10145</v>
      </c>
      <c r="J208" s="10">
        <v>1456</v>
      </c>
      <c r="K208" s="10">
        <f>IF(I208-J208-3500&gt;0,I208-J208-3500,0)</f>
        <v>5189</v>
      </c>
      <c r="L208" s="10">
        <f>IF(K208&gt;80000,K208*0.45-13505,IF(K208&gt;55000,K208*0.35-5505,IF(K208&gt;35000,K208*0.3-2755,IF(K208&gt;9000,K208*0.25-1005,IF(K208&gt;4500,K208*0.2-555,IF(K208&gt;1500,K208*0.1-105,IF(K208&gt;0,K208*0.03,0)))))))</f>
        <v>482.79999999999995</v>
      </c>
      <c r="M208" s="10">
        <f>I208-J208-L208</f>
        <v>8206.2000000000007</v>
      </c>
    </row>
    <row r="209" spans="1:13" outlineLevel="2" x14ac:dyDescent="0.15">
      <c r="A209" s="11">
        <v>302</v>
      </c>
      <c r="B209" s="9" t="s">
        <v>610</v>
      </c>
      <c r="C209" s="9" t="s">
        <v>314</v>
      </c>
      <c r="D209" s="9" t="str">
        <f>VLOOKUP(LEFT(B209,1),部门信息!$B$1:$C$6,2,0)</f>
        <v>市场</v>
      </c>
      <c r="E209" s="10">
        <v>7800</v>
      </c>
      <c r="F209" s="10">
        <v>900</v>
      </c>
      <c r="G209" s="10">
        <v>270</v>
      </c>
      <c r="H209" s="10">
        <v>0</v>
      </c>
      <c r="I209" s="10">
        <f>E209+F209+G209-H209</f>
        <v>8970</v>
      </c>
      <c r="J209" s="10">
        <v>936</v>
      </c>
      <c r="K209" s="10">
        <f>IF(I209-J209-3500&gt;0,I209-J209-3500,0)</f>
        <v>4534</v>
      </c>
      <c r="L209" s="10">
        <f>IF(K209&gt;80000,K209*0.45-13505,IF(K209&gt;55000,K209*0.35-5505,IF(K209&gt;35000,K209*0.3-2755,IF(K209&gt;9000,K209*0.25-1005,IF(K209&gt;4500,K209*0.2-555,IF(K209&gt;1500,K209*0.1-105,IF(K209&gt;0,K209*0.03,0)))))))</f>
        <v>351.80000000000007</v>
      </c>
      <c r="M209" s="10">
        <f>I209-J209-L209</f>
        <v>7682.2</v>
      </c>
    </row>
    <row r="210" spans="1:13" outlineLevel="2" x14ac:dyDescent="0.15">
      <c r="A210" s="11">
        <v>303</v>
      </c>
      <c r="B210" s="9" t="s">
        <v>661</v>
      </c>
      <c r="C210" s="9" t="s">
        <v>315</v>
      </c>
      <c r="D210" s="9" t="str">
        <f>VLOOKUP(LEFT(B210,1),部门信息!$B$1:$C$6,2,0)</f>
        <v>市场</v>
      </c>
      <c r="E210" s="10">
        <v>3900</v>
      </c>
      <c r="F210" s="10">
        <v>300</v>
      </c>
      <c r="G210" s="10">
        <v>405</v>
      </c>
      <c r="H210" s="10">
        <v>0</v>
      </c>
      <c r="I210" s="10">
        <f>E210+F210+G210-H210</f>
        <v>4605</v>
      </c>
      <c r="J210" s="10">
        <v>546</v>
      </c>
      <c r="K210" s="10">
        <f>IF(I210-J210-3500&gt;0,I210-J210-3500,0)</f>
        <v>559</v>
      </c>
      <c r="L210" s="10">
        <f>IF(K210&gt;80000,K210*0.45-13505,IF(K210&gt;55000,K210*0.35-5505,IF(K210&gt;35000,K210*0.3-2755,IF(K210&gt;9000,K210*0.25-1005,IF(K210&gt;4500,K210*0.2-555,IF(K210&gt;1500,K210*0.1-105,IF(K210&gt;0,K210*0.03,0)))))))</f>
        <v>16.77</v>
      </c>
      <c r="M210" s="10">
        <f>I210-J210-L210</f>
        <v>4042.23</v>
      </c>
    </row>
    <row r="211" spans="1:13" outlineLevel="2" x14ac:dyDescent="0.15">
      <c r="A211" s="11">
        <v>305</v>
      </c>
      <c r="B211" s="9" t="s">
        <v>596</v>
      </c>
      <c r="C211" s="9" t="s">
        <v>317</v>
      </c>
      <c r="D211" s="9" t="str">
        <f>VLOOKUP(LEFT(B211,1),部门信息!$B$1:$C$6,2,0)</f>
        <v>市场</v>
      </c>
      <c r="E211" s="10">
        <v>8100</v>
      </c>
      <c r="F211" s="10">
        <v>700</v>
      </c>
      <c r="G211" s="10">
        <v>225</v>
      </c>
      <c r="H211" s="10">
        <v>0</v>
      </c>
      <c r="I211" s="10">
        <f>E211+F211+G211-H211</f>
        <v>9025</v>
      </c>
      <c r="J211" s="10">
        <v>972</v>
      </c>
      <c r="K211" s="10">
        <f>IF(I211-J211-3500&gt;0,I211-J211-3500,0)</f>
        <v>4553</v>
      </c>
      <c r="L211" s="10">
        <f>IF(K211&gt;80000,K211*0.45-13505,IF(K211&gt;55000,K211*0.35-5505,IF(K211&gt;35000,K211*0.3-2755,IF(K211&gt;9000,K211*0.25-1005,IF(K211&gt;4500,K211*0.2-555,IF(K211&gt;1500,K211*0.1-105,IF(K211&gt;0,K211*0.03,0)))))))</f>
        <v>355.6</v>
      </c>
      <c r="M211" s="10">
        <f>I211-J211-L211</f>
        <v>7697.4</v>
      </c>
    </row>
    <row r="212" spans="1:13" outlineLevel="2" x14ac:dyDescent="0.15">
      <c r="A212" s="11">
        <v>307</v>
      </c>
      <c r="B212" s="9" t="s">
        <v>665</v>
      </c>
      <c r="C212" s="9" t="s">
        <v>319</v>
      </c>
      <c r="D212" s="9" t="str">
        <f>VLOOKUP(LEFT(B212,1),部门信息!$B$1:$C$6,2,0)</f>
        <v>市场</v>
      </c>
      <c r="E212" s="10">
        <v>15100</v>
      </c>
      <c r="F212" s="10">
        <v>1000</v>
      </c>
      <c r="G212" s="10">
        <v>405</v>
      </c>
      <c r="H212" s="10">
        <v>0</v>
      </c>
      <c r="I212" s="10">
        <f>E212+F212+G212-H212</f>
        <v>16505</v>
      </c>
      <c r="J212" s="10">
        <v>2265</v>
      </c>
      <c r="K212" s="10">
        <f>IF(I212-J212-3500&gt;0,I212-J212-3500,0)</f>
        <v>10740</v>
      </c>
      <c r="L212" s="10">
        <f>IF(K212&gt;80000,K212*0.45-13505,IF(K212&gt;55000,K212*0.35-5505,IF(K212&gt;35000,K212*0.3-2755,IF(K212&gt;9000,K212*0.25-1005,IF(K212&gt;4500,K212*0.2-555,IF(K212&gt;1500,K212*0.1-105,IF(K212&gt;0,K212*0.03,0)))))))</f>
        <v>1680</v>
      </c>
      <c r="M212" s="10">
        <f>I212-J212-L212</f>
        <v>12560</v>
      </c>
    </row>
    <row r="213" spans="1:13" outlineLevel="2" x14ac:dyDescent="0.15">
      <c r="A213" s="11">
        <v>308</v>
      </c>
      <c r="B213" s="9" t="s">
        <v>651</v>
      </c>
      <c r="C213" s="9" t="s">
        <v>320</v>
      </c>
      <c r="D213" s="9" t="str">
        <f>VLOOKUP(LEFT(B213,1),部门信息!$B$1:$C$6,2,0)</f>
        <v>市场</v>
      </c>
      <c r="E213" s="10">
        <v>9300</v>
      </c>
      <c r="F213" s="10">
        <v>400</v>
      </c>
      <c r="G213" s="10">
        <v>360</v>
      </c>
      <c r="H213" s="10">
        <v>306</v>
      </c>
      <c r="I213" s="10">
        <f>E213+F213+G213-H213</f>
        <v>9754</v>
      </c>
      <c r="J213" s="10">
        <v>1488</v>
      </c>
      <c r="K213" s="10">
        <f>IF(I213-J213-3500&gt;0,I213-J213-3500,0)</f>
        <v>4766</v>
      </c>
      <c r="L213" s="10">
        <f>IF(K213&gt;80000,K213*0.45-13505,IF(K213&gt;55000,K213*0.35-5505,IF(K213&gt;35000,K213*0.3-2755,IF(K213&gt;9000,K213*0.25-1005,IF(K213&gt;4500,K213*0.2-555,IF(K213&gt;1500,K213*0.1-105,IF(K213&gt;0,K213*0.03,0)))))))</f>
        <v>398.20000000000005</v>
      </c>
      <c r="M213" s="10">
        <f>I213-J213-L213</f>
        <v>7867.8</v>
      </c>
    </row>
    <row r="214" spans="1:13" outlineLevel="2" x14ac:dyDescent="0.15">
      <c r="A214" s="11">
        <v>311</v>
      </c>
      <c r="B214" s="9" t="s">
        <v>614</v>
      </c>
      <c r="C214" s="9" t="s">
        <v>323</v>
      </c>
      <c r="D214" s="9" t="str">
        <f>VLOOKUP(LEFT(B214,1),部门信息!$B$1:$C$6,2,0)</f>
        <v>市场</v>
      </c>
      <c r="E214" s="10">
        <v>4200</v>
      </c>
      <c r="F214" s="10">
        <v>100</v>
      </c>
      <c r="G214" s="10">
        <v>450</v>
      </c>
      <c r="H214" s="10">
        <v>481</v>
      </c>
      <c r="I214" s="10">
        <f>E214+F214+G214-H214</f>
        <v>4269</v>
      </c>
      <c r="J214" s="10">
        <v>672</v>
      </c>
      <c r="K214" s="10">
        <f>IF(I214-J214-3500&gt;0,I214-J214-3500,0)</f>
        <v>97</v>
      </c>
      <c r="L214" s="10">
        <f>IF(K214&gt;80000,K214*0.45-13505,IF(K214&gt;55000,K214*0.35-5505,IF(K214&gt;35000,K214*0.3-2755,IF(K214&gt;9000,K214*0.25-1005,IF(K214&gt;4500,K214*0.2-555,IF(K214&gt;1500,K214*0.1-105,IF(K214&gt;0,K214*0.03,0)))))))</f>
        <v>2.9099999999999997</v>
      </c>
      <c r="M214" s="10">
        <f>I214-J214-L214</f>
        <v>3594.09</v>
      </c>
    </row>
    <row r="215" spans="1:13" outlineLevel="2" x14ac:dyDescent="0.15">
      <c r="A215" s="11">
        <v>312</v>
      </c>
      <c r="B215" s="9" t="s">
        <v>607</v>
      </c>
      <c r="C215" s="9" t="s">
        <v>324</v>
      </c>
      <c r="D215" s="9" t="str">
        <f>VLOOKUP(LEFT(B215,1),部门信息!$B$1:$C$6,2,0)</f>
        <v>市场</v>
      </c>
      <c r="E215" s="10">
        <v>11300</v>
      </c>
      <c r="F215" s="10">
        <v>600</v>
      </c>
      <c r="G215" s="10">
        <v>360</v>
      </c>
      <c r="H215" s="10">
        <v>30</v>
      </c>
      <c r="I215" s="10">
        <f>E215+F215+G215-H215</f>
        <v>12230</v>
      </c>
      <c r="J215" s="10">
        <v>1695</v>
      </c>
      <c r="K215" s="10">
        <f>IF(I215-J215-3500&gt;0,I215-J215-3500,0)</f>
        <v>7035</v>
      </c>
      <c r="L215" s="10">
        <f>IF(K215&gt;80000,K215*0.45-13505,IF(K215&gt;55000,K215*0.35-5505,IF(K215&gt;35000,K215*0.3-2755,IF(K215&gt;9000,K215*0.25-1005,IF(K215&gt;4500,K215*0.2-555,IF(K215&gt;1500,K215*0.1-105,IF(K215&gt;0,K215*0.03,0)))))))</f>
        <v>852</v>
      </c>
      <c r="M215" s="10">
        <f>I215-J215-L215</f>
        <v>9683</v>
      </c>
    </row>
    <row r="216" spans="1:13" outlineLevel="2" x14ac:dyDescent="0.15">
      <c r="A216" s="11">
        <v>313</v>
      </c>
      <c r="B216" s="9" t="s">
        <v>697</v>
      </c>
      <c r="C216" s="9" t="s">
        <v>325</v>
      </c>
      <c r="D216" s="9" t="str">
        <f>VLOOKUP(LEFT(B216,1),部门信息!$B$1:$C$6,2,0)</f>
        <v>市场</v>
      </c>
      <c r="E216" s="10">
        <v>19500</v>
      </c>
      <c r="F216" s="10">
        <v>600</v>
      </c>
      <c r="G216" s="10">
        <v>405</v>
      </c>
      <c r="H216" s="10">
        <v>215</v>
      </c>
      <c r="I216" s="10">
        <f>E216+F216+G216-H216</f>
        <v>20290</v>
      </c>
      <c r="J216" s="10">
        <v>2340</v>
      </c>
      <c r="K216" s="10">
        <f>IF(I216-J216-3500&gt;0,I216-J216-3500,0)</f>
        <v>14450</v>
      </c>
      <c r="L216" s="10">
        <f>IF(K216&gt;80000,K216*0.45-13505,IF(K216&gt;55000,K216*0.35-5505,IF(K216&gt;35000,K216*0.3-2755,IF(K216&gt;9000,K216*0.25-1005,IF(K216&gt;4500,K216*0.2-555,IF(K216&gt;1500,K216*0.1-105,IF(K216&gt;0,K216*0.03,0)))))))</f>
        <v>2607.5</v>
      </c>
      <c r="M216" s="10">
        <f>I216-J216-L216</f>
        <v>15342.5</v>
      </c>
    </row>
    <row r="217" spans="1:13" outlineLevel="2" x14ac:dyDescent="0.15">
      <c r="A217" s="11">
        <v>315</v>
      </c>
      <c r="B217" s="9" t="s">
        <v>700</v>
      </c>
      <c r="C217" s="9" t="s">
        <v>327</v>
      </c>
      <c r="D217" s="9" t="str">
        <f>VLOOKUP(LEFT(B217,1),部门信息!$B$1:$C$6,2,0)</f>
        <v>市场</v>
      </c>
      <c r="E217" s="10">
        <v>8100</v>
      </c>
      <c r="F217" s="10">
        <v>400</v>
      </c>
      <c r="G217" s="10">
        <v>90</v>
      </c>
      <c r="H217" s="10">
        <v>429</v>
      </c>
      <c r="I217" s="10">
        <f>E217+F217+G217-H217</f>
        <v>8161</v>
      </c>
      <c r="J217" s="10">
        <v>1296</v>
      </c>
      <c r="K217" s="10">
        <f>IF(I217-J217-3500&gt;0,I217-J217-3500,0)</f>
        <v>3365</v>
      </c>
      <c r="L217" s="10">
        <f>IF(K217&gt;80000,K217*0.45-13505,IF(K217&gt;55000,K217*0.35-5505,IF(K217&gt;35000,K217*0.3-2755,IF(K217&gt;9000,K217*0.25-1005,IF(K217&gt;4500,K217*0.2-555,IF(K217&gt;1500,K217*0.1-105,IF(K217&gt;0,K217*0.03,0)))))))</f>
        <v>231.5</v>
      </c>
      <c r="M217" s="10">
        <f>I217-J217-L217</f>
        <v>6633.5</v>
      </c>
    </row>
    <row r="218" spans="1:13" outlineLevel="2" x14ac:dyDescent="0.15">
      <c r="A218" s="11">
        <v>320</v>
      </c>
      <c r="B218" s="9" t="s">
        <v>584</v>
      </c>
      <c r="C218" s="9" t="s">
        <v>332</v>
      </c>
      <c r="D218" s="9" t="str">
        <f>VLOOKUP(LEFT(B218,1),部门信息!$B$1:$C$6,2,0)</f>
        <v>市场</v>
      </c>
      <c r="E218" s="10">
        <v>11600</v>
      </c>
      <c r="F218" s="10">
        <v>700</v>
      </c>
      <c r="G218" s="10">
        <v>360</v>
      </c>
      <c r="H218" s="10">
        <v>0</v>
      </c>
      <c r="I218" s="10">
        <f>E218+F218+G218-H218</f>
        <v>12660</v>
      </c>
      <c r="J218" s="10">
        <v>1508</v>
      </c>
      <c r="K218" s="10">
        <f>IF(I218-J218-3500&gt;0,I218-J218-3500,0)</f>
        <v>7652</v>
      </c>
      <c r="L218" s="10">
        <f>IF(K218&gt;80000,K218*0.45-13505,IF(K218&gt;55000,K218*0.35-5505,IF(K218&gt;35000,K218*0.3-2755,IF(K218&gt;9000,K218*0.25-1005,IF(K218&gt;4500,K218*0.2-555,IF(K218&gt;1500,K218*0.1-105,IF(K218&gt;0,K218*0.03,0)))))))</f>
        <v>975.40000000000009</v>
      </c>
      <c r="M218" s="10">
        <f>I218-J218-L218</f>
        <v>10176.6</v>
      </c>
    </row>
    <row r="219" spans="1:13" outlineLevel="2" x14ac:dyDescent="0.15">
      <c r="A219" s="11">
        <v>321</v>
      </c>
      <c r="B219" s="9" t="s">
        <v>613</v>
      </c>
      <c r="C219" s="9" t="s">
        <v>333</v>
      </c>
      <c r="D219" s="9" t="str">
        <f>VLOOKUP(LEFT(B219,1),部门信息!$B$1:$C$6,2,0)</f>
        <v>市场</v>
      </c>
      <c r="E219" s="10">
        <v>18900</v>
      </c>
      <c r="F219" s="10">
        <v>400</v>
      </c>
      <c r="G219" s="10">
        <v>90</v>
      </c>
      <c r="H219" s="10">
        <v>0</v>
      </c>
      <c r="I219" s="10">
        <f>E219+F219+G219-H219</f>
        <v>19390</v>
      </c>
      <c r="J219" s="10">
        <v>2268</v>
      </c>
      <c r="K219" s="10">
        <f>IF(I219-J219-3500&gt;0,I219-J219-3500,0)</f>
        <v>13622</v>
      </c>
      <c r="L219" s="10">
        <f>IF(K219&gt;80000,K219*0.45-13505,IF(K219&gt;55000,K219*0.35-5505,IF(K219&gt;35000,K219*0.3-2755,IF(K219&gt;9000,K219*0.25-1005,IF(K219&gt;4500,K219*0.2-555,IF(K219&gt;1500,K219*0.1-105,IF(K219&gt;0,K219*0.03,0)))))))</f>
        <v>2400.5</v>
      </c>
      <c r="M219" s="10">
        <f>I219-J219-L219</f>
        <v>14721.5</v>
      </c>
    </row>
    <row r="220" spans="1:13" outlineLevel="2" x14ac:dyDescent="0.15">
      <c r="A220" s="11">
        <v>324</v>
      </c>
      <c r="B220" s="9" t="s">
        <v>698</v>
      </c>
      <c r="C220" s="9" t="s">
        <v>336</v>
      </c>
      <c r="D220" s="9" t="str">
        <f>VLOOKUP(LEFT(B220,1),部门信息!$B$1:$C$6,2,0)</f>
        <v>市场</v>
      </c>
      <c r="E220" s="10">
        <v>7400</v>
      </c>
      <c r="F220" s="10">
        <v>1000</v>
      </c>
      <c r="G220" s="10">
        <v>315</v>
      </c>
      <c r="H220" s="10">
        <v>0</v>
      </c>
      <c r="I220" s="10">
        <f>E220+F220+G220-H220</f>
        <v>8715</v>
      </c>
      <c r="J220" s="10">
        <v>1036</v>
      </c>
      <c r="K220" s="10">
        <f>IF(I220-J220-3500&gt;0,I220-J220-3500,0)</f>
        <v>4179</v>
      </c>
      <c r="L220" s="10">
        <f>IF(K220&gt;80000,K220*0.45-13505,IF(K220&gt;55000,K220*0.35-5505,IF(K220&gt;35000,K220*0.3-2755,IF(K220&gt;9000,K220*0.25-1005,IF(K220&gt;4500,K220*0.2-555,IF(K220&gt;1500,K220*0.1-105,IF(K220&gt;0,K220*0.03,0)))))))</f>
        <v>312.90000000000003</v>
      </c>
      <c r="M220" s="10">
        <f>I220-J220-L220</f>
        <v>7366.1</v>
      </c>
    </row>
    <row r="221" spans="1:13" outlineLevel="2" x14ac:dyDescent="0.15">
      <c r="A221" s="11">
        <v>326</v>
      </c>
      <c r="B221" s="9" t="s">
        <v>718</v>
      </c>
      <c r="C221" s="9" t="s">
        <v>338</v>
      </c>
      <c r="D221" s="9" t="str">
        <f>VLOOKUP(LEFT(B221,1),部门信息!$B$1:$C$6,2,0)</f>
        <v>市场</v>
      </c>
      <c r="E221" s="10">
        <v>11300</v>
      </c>
      <c r="F221" s="10">
        <v>800</v>
      </c>
      <c r="G221" s="10">
        <v>315</v>
      </c>
      <c r="H221" s="10">
        <v>111</v>
      </c>
      <c r="I221" s="10">
        <f>E221+F221+G221-H221</f>
        <v>12304</v>
      </c>
      <c r="J221" s="10">
        <v>1469</v>
      </c>
      <c r="K221" s="10">
        <f>IF(I221-J221-3500&gt;0,I221-J221-3500,0)</f>
        <v>7335</v>
      </c>
      <c r="L221" s="10">
        <f>IF(K221&gt;80000,K221*0.45-13505,IF(K221&gt;55000,K221*0.35-5505,IF(K221&gt;35000,K221*0.3-2755,IF(K221&gt;9000,K221*0.25-1005,IF(K221&gt;4500,K221*0.2-555,IF(K221&gt;1500,K221*0.1-105,IF(K221&gt;0,K221*0.03,0)))))))</f>
        <v>912</v>
      </c>
      <c r="M221" s="10">
        <f>I221-J221-L221</f>
        <v>9923</v>
      </c>
    </row>
    <row r="222" spans="1:13" outlineLevel="2" x14ac:dyDescent="0.15">
      <c r="A222" s="11">
        <v>327</v>
      </c>
      <c r="B222" s="9" t="s">
        <v>627</v>
      </c>
      <c r="C222" s="9" t="s">
        <v>339</v>
      </c>
      <c r="D222" s="9" t="str">
        <f>VLOOKUP(LEFT(B222,1),部门信息!$B$1:$C$6,2,0)</f>
        <v>市场</v>
      </c>
      <c r="E222" s="10">
        <v>4700</v>
      </c>
      <c r="F222" s="10">
        <v>0</v>
      </c>
      <c r="G222" s="10">
        <v>45</v>
      </c>
      <c r="H222" s="10">
        <v>112</v>
      </c>
      <c r="I222" s="10">
        <f>E222+F222+G222-H222</f>
        <v>4633</v>
      </c>
      <c r="J222" s="10">
        <v>752</v>
      </c>
      <c r="K222" s="10">
        <f>IF(I222-J222-3500&gt;0,I222-J222-3500,0)</f>
        <v>381</v>
      </c>
      <c r="L222" s="10">
        <f>IF(K222&gt;80000,K222*0.45-13505,IF(K222&gt;55000,K222*0.35-5505,IF(K222&gt;35000,K222*0.3-2755,IF(K222&gt;9000,K222*0.25-1005,IF(K222&gt;4500,K222*0.2-555,IF(K222&gt;1500,K222*0.1-105,IF(K222&gt;0,K222*0.03,0)))))))</f>
        <v>11.43</v>
      </c>
      <c r="M222" s="10">
        <f>I222-J222-L222</f>
        <v>3869.57</v>
      </c>
    </row>
    <row r="223" spans="1:13" outlineLevel="2" x14ac:dyDescent="0.15">
      <c r="A223" s="11">
        <v>328</v>
      </c>
      <c r="B223" s="9" t="s">
        <v>625</v>
      </c>
      <c r="C223" s="9" t="s">
        <v>340</v>
      </c>
      <c r="D223" s="9" t="str">
        <f>VLOOKUP(LEFT(B223,1),部门信息!$B$1:$C$6,2,0)</f>
        <v>市场</v>
      </c>
      <c r="E223" s="10">
        <v>13900</v>
      </c>
      <c r="F223" s="10">
        <v>500</v>
      </c>
      <c r="G223" s="10">
        <v>450</v>
      </c>
      <c r="H223" s="10">
        <v>0</v>
      </c>
      <c r="I223" s="10">
        <f>E223+F223+G223-H223</f>
        <v>14850</v>
      </c>
      <c r="J223" s="10">
        <v>2224</v>
      </c>
      <c r="K223" s="10">
        <f>IF(I223-J223-3500&gt;0,I223-J223-3500,0)</f>
        <v>9126</v>
      </c>
      <c r="L223" s="10">
        <f>IF(K223&gt;80000,K223*0.45-13505,IF(K223&gt;55000,K223*0.35-5505,IF(K223&gt;35000,K223*0.3-2755,IF(K223&gt;9000,K223*0.25-1005,IF(K223&gt;4500,K223*0.2-555,IF(K223&gt;1500,K223*0.1-105,IF(K223&gt;0,K223*0.03,0)))))))</f>
        <v>1276.5</v>
      </c>
      <c r="M223" s="10">
        <f>I223-J223-L223</f>
        <v>11349.5</v>
      </c>
    </row>
    <row r="224" spans="1:13" outlineLevel="2" x14ac:dyDescent="0.15">
      <c r="A224" s="11">
        <v>329</v>
      </c>
      <c r="B224" s="9" t="s">
        <v>657</v>
      </c>
      <c r="C224" s="9" t="s">
        <v>341</v>
      </c>
      <c r="D224" s="9" t="str">
        <f>VLOOKUP(LEFT(B224,1),部门信息!$B$1:$C$6,2,0)</f>
        <v>市场</v>
      </c>
      <c r="E224" s="10">
        <v>19500</v>
      </c>
      <c r="F224" s="10">
        <v>900</v>
      </c>
      <c r="G224" s="10">
        <v>45</v>
      </c>
      <c r="H224" s="10">
        <v>426</v>
      </c>
      <c r="I224" s="10">
        <f>E224+F224+G224-H224</f>
        <v>20019</v>
      </c>
      <c r="J224" s="10">
        <v>2925</v>
      </c>
      <c r="K224" s="10">
        <f>IF(I224-J224-3500&gt;0,I224-J224-3500,0)</f>
        <v>13594</v>
      </c>
      <c r="L224" s="10">
        <f>IF(K224&gt;80000,K224*0.45-13505,IF(K224&gt;55000,K224*0.35-5505,IF(K224&gt;35000,K224*0.3-2755,IF(K224&gt;9000,K224*0.25-1005,IF(K224&gt;4500,K224*0.2-555,IF(K224&gt;1500,K224*0.1-105,IF(K224&gt;0,K224*0.03,0)))))))</f>
        <v>2393.5</v>
      </c>
      <c r="M224" s="10">
        <f>I224-J224-L224</f>
        <v>14700.5</v>
      </c>
    </row>
    <row r="225" spans="1:13" outlineLevel="2" x14ac:dyDescent="0.15">
      <c r="A225" s="11">
        <v>330</v>
      </c>
      <c r="B225" s="9" t="s">
        <v>713</v>
      </c>
      <c r="C225" s="9" t="s">
        <v>342</v>
      </c>
      <c r="D225" s="9" t="str">
        <f>VLOOKUP(LEFT(B225,1),部门信息!$B$1:$C$6,2,0)</f>
        <v>市场</v>
      </c>
      <c r="E225" s="10">
        <v>13500</v>
      </c>
      <c r="F225" s="10">
        <v>0</v>
      </c>
      <c r="G225" s="10">
        <v>45</v>
      </c>
      <c r="H225" s="10">
        <v>277</v>
      </c>
      <c r="I225" s="10">
        <f>E225+F225+G225-H225</f>
        <v>13268</v>
      </c>
      <c r="J225" s="10">
        <v>1890</v>
      </c>
      <c r="K225" s="10">
        <f>IF(I225-J225-3500&gt;0,I225-J225-3500,0)</f>
        <v>7878</v>
      </c>
      <c r="L225" s="10">
        <f>IF(K225&gt;80000,K225*0.45-13505,IF(K225&gt;55000,K225*0.35-5505,IF(K225&gt;35000,K225*0.3-2755,IF(K225&gt;9000,K225*0.25-1005,IF(K225&gt;4500,K225*0.2-555,IF(K225&gt;1500,K225*0.1-105,IF(K225&gt;0,K225*0.03,0)))))))</f>
        <v>1020.6000000000001</v>
      </c>
      <c r="M225" s="10">
        <f>I225-J225-L225</f>
        <v>10357.4</v>
      </c>
    </row>
    <row r="226" spans="1:13" outlineLevel="2" x14ac:dyDescent="0.15">
      <c r="A226" s="11">
        <v>331</v>
      </c>
      <c r="B226" s="9" t="s">
        <v>695</v>
      </c>
      <c r="C226" s="9" t="s">
        <v>343</v>
      </c>
      <c r="D226" s="9" t="str">
        <f>VLOOKUP(LEFT(B226,1),部门信息!$B$1:$C$6,2,0)</f>
        <v>市场</v>
      </c>
      <c r="E226" s="10">
        <v>5000</v>
      </c>
      <c r="F226" s="10">
        <v>400</v>
      </c>
      <c r="G226" s="10">
        <v>45</v>
      </c>
      <c r="H226" s="10">
        <v>0</v>
      </c>
      <c r="I226" s="10">
        <f>E226+F226+G226-H226</f>
        <v>5445</v>
      </c>
      <c r="J226" s="10">
        <v>800</v>
      </c>
      <c r="K226" s="10">
        <f>IF(I226-J226-3500&gt;0,I226-J226-3500,0)</f>
        <v>1145</v>
      </c>
      <c r="L226" s="10">
        <f>IF(K226&gt;80000,K226*0.45-13505,IF(K226&gt;55000,K226*0.35-5505,IF(K226&gt;35000,K226*0.3-2755,IF(K226&gt;9000,K226*0.25-1005,IF(K226&gt;4500,K226*0.2-555,IF(K226&gt;1500,K226*0.1-105,IF(K226&gt;0,K226*0.03,0)))))))</f>
        <v>34.35</v>
      </c>
      <c r="M226" s="10">
        <f>I226-J226-L226</f>
        <v>4610.6499999999996</v>
      </c>
    </row>
    <row r="227" spans="1:13" outlineLevel="2" x14ac:dyDescent="0.15">
      <c r="A227" s="11">
        <v>333</v>
      </c>
      <c r="B227" s="9" t="s">
        <v>708</v>
      </c>
      <c r="C227" s="9" t="s">
        <v>345</v>
      </c>
      <c r="D227" s="9" t="str">
        <f>VLOOKUP(LEFT(B227,1),部门信息!$B$1:$C$6,2,0)</f>
        <v>市场</v>
      </c>
      <c r="E227" s="10">
        <v>5500</v>
      </c>
      <c r="F227" s="10">
        <v>600</v>
      </c>
      <c r="G227" s="10">
        <v>180</v>
      </c>
      <c r="H227" s="10">
        <v>40</v>
      </c>
      <c r="I227" s="10">
        <f>E227+F227+G227-H227</f>
        <v>6240</v>
      </c>
      <c r="J227" s="10">
        <v>770</v>
      </c>
      <c r="K227" s="10">
        <f>IF(I227-J227-3500&gt;0,I227-J227-3500,0)</f>
        <v>1970</v>
      </c>
      <c r="L227" s="10">
        <f>IF(K227&gt;80000,K227*0.45-13505,IF(K227&gt;55000,K227*0.35-5505,IF(K227&gt;35000,K227*0.3-2755,IF(K227&gt;9000,K227*0.25-1005,IF(K227&gt;4500,K227*0.2-555,IF(K227&gt;1500,K227*0.1-105,IF(K227&gt;0,K227*0.03,0)))))))</f>
        <v>92</v>
      </c>
      <c r="M227" s="10">
        <f>I227-J227-L227</f>
        <v>5378</v>
      </c>
    </row>
    <row r="228" spans="1:13" outlineLevel="2" x14ac:dyDescent="0.15">
      <c r="A228" s="11">
        <v>334</v>
      </c>
      <c r="B228" s="9" t="s">
        <v>637</v>
      </c>
      <c r="C228" s="9" t="s">
        <v>346</v>
      </c>
      <c r="D228" s="9" t="str">
        <f>VLOOKUP(LEFT(B228,1),部门信息!$B$1:$C$6,2,0)</f>
        <v>市场</v>
      </c>
      <c r="E228" s="10">
        <v>3400</v>
      </c>
      <c r="F228" s="10">
        <v>100</v>
      </c>
      <c r="G228" s="10">
        <v>405</v>
      </c>
      <c r="H228" s="10">
        <v>407</v>
      </c>
      <c r="I228" s="10">
        <f>E228+F228+G228-H228</f>
        <v>3498</v>
      </c>
      <c r="J228" s="10">
        <v>544</v>
      </c>
      <c r="K228" s="10">
        <f>IF(I228-J228-3500&gt;0,I228-J228-3500,0)</f>
        <v>0</v>
      </c>
      <c r="L228" s="10">
        <f>IF(K228&gt;80000,K228*0.45-13505,IF(K228&gt;55000,K228*0.35-5505,IF(K228&gt;35000,K228*0.3-2755,IF(K228&gt;9000,K228*0.25-1005,IF(K228&gt;4500,K228*0.2-555,IF(K228&gt;1500,K228*0.1-105,IF(K228&gt;0,K228*0.03,0)))))))</f>
        <v>0</v>
      </c>
      <c r="M228" s="10">
        <f>I228-J228-L228</f>
        <v>2954</v>
      </c>
    </row>
    <row r="229" spans="1:13" outlineLevel="2" x14ac:dyDescent="0.15">
      <c r="A229" s="11">
        <v>337</v>
      </c>
      <c r="B229" s="9" t="s">
        <v>650</v>
      </c>
      <c r="C229" s="9" t="s">
        <v>349</v>
      </c>
      <c r="D229" s="9" t="str">
        <f>VLOOKUP(LEFT(B229,1),部门信息!$B$1:$C$6,2,0)</f>
        <v>市场</v>
      </c>
      <c r="E229" s="10">
        <v>3000</v>
      </c>
      <c r="F229" s="10">
        <v>600</v>
      </c>
      <c r="G229" s="10">
        <v>45</v>
      </c>
      <c r="H229" s="10">
        <v>0</v>
      </c>
      <c r="I229" s="10">
        <f>E229+F229+G229-H229</f>
        <v>3645</v>
      </c>
      <c r="J229" s="10">
        <v>360</v>
      </c>
      <c r="K229" s="10">
        <f>IF(I229-J229-3500&gt;0,I229-J229-3500,0)</f>
        <v>0</v>
      </c>
      <c r="L229" s="10">
        <f>IF(K229&gt;80000,K229*0.45-13505,IF(K229&gt;55000,K229*0.35-5505,IF(K229&gt;35000,K229*0.3-2755,IF(K229&gt;9000,K229*0.25-1005,IF(K229&gt;4500,K229*0.2-555,IF(K229&gt;1500,K229*0.1-105,IF(K229&gt;0,K229*0.03,0)))))))</f>
        <v>0</v>
      </c>
      <c r="M229" s="10">
        <f>I229-J229-L229</f>
        <v>3285</v>
      </c>
    </row>
    <row r="230" spans="1:13" outlineLevel="2" x14ac:dyDescent="0.15">
      <c r="A230" s="11">
        <v>339</v>
      </c>
      <c r="B230" s="9" t="s">
        <v>699</v>
      </c>
      <c r="C230" s="9" t="s">
        <v>351</v>
      </c>
      <c r="D230" s="9" t="str">
        <f>VLOOKUP(LEFT(B230,1),部门信息!$B$1:$C$6,2,0)</f>
        <v>市场</v>
      </c>
      <c r="E230" s="10">
        <v>13400</v>
      </c>
      <c r="F230" s="10">
        <v>100</v>
      </c>
      <c r="G230" s="10">
        <v>450</v>
      </c>
      <c r="H230" s="10">
        <v>0</v>
      </c>
      <c r="I230" s="10">
        <f>E230+F230+G230-H230</f>
        <v>13950</v>
      </c>
      <c r="J230" s="10">
        <v>2010</v>
      </c>
      <c r="K230" s="10">
        <f>IF(I230-J230-3500&gt;0,I230-J230-3500,0)</f>
        <v>8440</v>
      </c>
      <c r="L230" s="10">
        <f>IF(K230&gt;80000,K230*0.45-13505,IF(K230&gt;55000,K230*0.35-5505,IF(K230&gt;35000,K230*0.3-2755,IF(K230&gt;9000,K230*0.25-1005,IF(K230&gt;4500,K230*0.2-555,IF(K230&gt;1500,K230*0.1-105,IF(K230&gt;0,K230*0.03,0)))))))</f>
        <v>1133</v>
      </c>
      <c r="M230" s="10">
        <f>I230-J230-L230</f>
        <v>10807</v>
      </c>
    </row>
    <row r="231" spans="1:13" outlineLevel="2" x14ac:dyDescent="0.15">
      <c r="A231" s="11">
        <v>341</v>
      </c>
      <c r="B231" s="9" t="s">
        <v>624</v>
      </c>
      <c r="C231" s="9" t="s">
        <v>353</v>
      </c>
      <c r="D231" s="9" t="str">
        <f>VLOOKUP(LEFT(B231,1),部门信息!$B$1:$C$6,2,0)</f>
        <v>市场</v>
      </c>
      <c r="E231" s="10">
        <v>6800</v>
      </c>
      <c r="F231" s="10">
        <v>100</v>
      </c>
      <c r="G231" s="10">
        <v>405</v>
      </c>
      <c r="H231" s="10">
        <v>0</v>
      </c>
      <c r="I231" s="10">
        <f>E231+F231+G231-H231</f>
        <v>7305</v>
      </c>
      <c r="J231" s="10">
        <v>1088</v>
      </c>
      <c r="K231" s="10">
        <f>IF(I231-J231-3500&gt;0,I231-J231-3500,0)</f>
        <v>2717</v>
      </c>
      <c r="L231" s="10">
        <f>IF(K231&gt;80000,K231*0.45-13505,IF(K231&gt;55000,K231*0.35-5505,IF(K231&gt;35000,K231*0.3-2755,IF(K231&gt;9000,K231*0.25-1005,IF(K231&gt;4500,K231*0.2-555,IF(K231&gt;1500,K231*0.1-105,IF(K231&gt;0,K231*0.03,0)))))))</f>
        <v>166.7</v>
      </c>
      <c r="M231" s="10">
        <f>I231-J231-L231</f>
        <v>6050.3</v>
      </c>
    </row>
    <row r="232" spans="1:13" outlineLevel="2" x14ac:dyDescent="0.15">
      <c r="A232" s="11">
        <v>343</v>
      </c>
      <c r="B232" s="9" t="s">
        <v>646</v>
      </c>
      <c r="C232" s="9" t="s">
        <v>355</v>
      </c>
      <c r="D232" s="9" t="str">
        <f>VLOOKUP(LEFT(B232,1),部门信息!$B$1:$C$6,2,0)</f>
        <v>市场</v>
      </c>
      <c r="E232" s="10">
        <v>11100</v>
      </c>
      <c r="F232" s="10">
        <v>1000</v>
      </c>
      <c r="G232" s="10">
        <v>270</v>
      </c>
      <c r="H232" s="10">
        <v>284</v>
      </c>
      <c r="I232" s="10">
        <f>E232+F232+G232-H232</f>
        <v>12086</v>
      </c>
      <c r="J232" s="10">
        <v>1776</v>
      </c>
      <c r="K232" s="10">
        <f>IF(I232-J232-3500&gt;0,I232-J232-3500,0)</f>
        <v>6810</v>
      </c>
      <c r="L232" s="10">
        <f>IF(K232&gt;80000,K232*0.45-13505,IF(K232&gt;55000,K232*0.35-5505,IF(K232&gt;35000,K232*0.3-2755,IF(K232&gt;9000,K232*0.25-1005,IF(K232&gt;4500,K232*0.2-555,IF(K232&gt;1500,K232*0.1-105,IF(K232&gt;0,K232*0.03,0)))))))</f>
        <v>807</v>
      </c>
      <c r="M232" s="10">
        <f>I232-J232-L232</f>
        <v>9503</v>
      </c>
    </row>
    <row r="233" spans="1:13" outlineLevel="2" x14ac:dyDescent="0.15">
      <c r="A233" s="11">
        <v>346</v>
      </c>
      <c r="B233" s="9" t="s">
        <v>688</v>
      </c>
      <c r="C233" s="9" t="s">
        <v>358</v>
      </c>
      <c r="D233" s="9" t="str">
        <f>VLOOKUP(LEFT(B233,1),部门信息!$B$1:$C$6,2,0)</f>
        <v>市场</v>
      </c>
      <c r="E233" s="10">
        <v>14900</v>
      </c>
      <c r="F233" s="10">
        <v>600</v>
      </c>
      <c r="G233" s="10">
        <v>180</v>
      </c>
      <c r="H233" s="10">
        <v>149</v>
      </c>
      <c r="I233" s="10">
        <f>E233+F233+G233-H233</f>
        <v>15531</v>
      </c>
      <c r="J233" s="10">
        <v>2384</v>
      </c>
      <c r="K233" s="10">
        <f>IF(I233-J233-3500&gt;0,I233-J233-3500,0)</f>
        <v>9647</v>
      </c>
      <c r="L233" s="10">
        <f>IF(K233&gt;80000,K233*0.45-13505,IF(K233&gt;55000,K233*0.35-5505,IF(K233&gt;35000,K233*0.3-2755,IF(K233&gt;9000,K233*0.25-1005,IF(K233&gt;4500,K233*0.2-555,IF(K233&gt;1500,K233*0.1-105,IF(K233&gt;0,K233*0.03,0)))))))</f>
        <v>1406.75</v>
      </c>
      <c r="M233" s="10">
        <f>I233-J233-L233</f>
        <v>11740.25</v>
      </c>
    </row>
    <row r="234" spans="1:13" outlineLevel="2" x14ac:dyDescent="0.15">
      <c r="A234" s="11">
        <v>349</v>
      </c>
      <c r="B234" s="9" t="s">
        <v>587</v>
      </c>
      <c r="C234" s="9" t="s">
        <v>361</v>
      </c>
      <c r="D234" s="9" t="str">
        <f>VLOOKUP(LEFT(B234,1),部门信息!$B$1:$C$6,2,0)</f>
        <v>市场</v>
      </c>
      <c r="E234" s="10">
        <v>17900</v>
      </c>
      <c r="F234" s="10">
        <v>600</v>
      </c>
      <c r="G234" s="10">
        <v>225</v>
      </c>
      <c r="H234" s="10">
        <v>0</v>
      </c>
      <c r="I234" s="10">
        <f>E234+F234+G234-H234</f>
        <v>18725</v>
      </c>
      <c r="J234" s="10">
        <v>2327</v>
      </c>
      <c r="K234" s="10">
        <f>IF(I234-J234-3500&gt;0,I234-J234-3500,0)</f>
        <v>12898</v>
      </c>
      <c r="L234" s="10">
        <f>IF(K234&gt;80000,K234*0.45-13505,IF(K234&gt;55000,K234*0.35-5505,IF(K234&gt;35000,K234*0.3-2755,IF(K234&gt;9000,K234*0.25-1005,IF(K234&gt;4500,K234*0.2-555,IF(K234&gt;1500,K234*0.1-105,IF(K234&gt;0,K234*0.03,0)))))))</f>
        <v>2219.5</v>
      </c>
      <c r="M234" s="10">
        <f>I234-J234-L234</f>
        <v>14178.5</v>
      </c>
    </row>
    <row r="235" spans="1:13" outlineLevel="1" x14ac:dyDescent="0.15">
      <c r="A235" s="11"/>
      <c r="B235" s="9"/>
      <c r="C235" s="9"/>
      <c r="D235" s="12" t="s">
        <v>736</v>
      </c>
      <c r="E235" s="10"/>
      <c r="F235" s="10"/>
      <c r="G235" s="10"/>
      <c r="H235" s="10"/>
      <c r="I235" s="10"/>
      <c r="J235" s="10"/>
      <c r="K235" s="10"/>
      <c r="L235" s="10"/>
      <c r="M235" s="10">
        <f>SUBTOTAL(1,M83:M234)</f>
        <v>9932.5053289473653</v>
      </c>
    </row>
    <row r="236" spans="1:13" outlineLevel="2" x14ac:dyDescent="0.15">
      <c r="A236" s="11">
        <v>4</v>
      </c>
      <c r="B236" s="9" t="s">
        <v>436</v>
      </c>
      <c r="C236" s="9" t="s">
        <v>30</v>
      </c>
      <c r="D236" s="9" t="str">
        <f>VLOOKUP(LEFT(B236,1),部门信息!$B$1:$C$6,2,0)</f>
        <v>行政</v>
      </c>
      <c r="E236" s="10">
        <v>9600</v>
      </c>
      <c r="F236" s="10">
        <v>400</v>
      </c>
      <c r="G236" s="10">
        <v>225</v>
      </c>
      <c r="H236" s="10">
        <v>0</v>
      </c>
      <c r="I236" s="10">
        <f>E236+F236+G236-H236</f>
        <v>10225</v>
      </c>
      <c r="J236" s="10">
        <v>1344</v>
      </c>
      <c r="K236" s="10">
        <f>IF(I236-J236-3500&gt;0,I236-J236-3500,0)</f>
        <v>5381</v>
      </c>
      <c r="L236" s="10">
        <f>IF(K236&gt;80000,K236*0.45-13505,IF(K236&gt;55000,K236*0.35-5505,IF(K236&gt;35000,K236*0.3-2755,IF(K236&gt;9000,K236*0.25-1005,IF(K236&gt;4500,K236*0.2-555,IF(K236&gt;1500,K236*0.1-105,IF(K236&gt;0,K236*0.03,0)))))))</f>
        <v>521.20000000000005</v>
      </c>
      <c r="M236" s="10">
        <f>I236-J236-L236</f>
        <v>8359.7999999999993</v>
      </c>
    </row>
    <row r="237" spans="1:13" outlineLevel="2" x14ac:dyDescent="0.15">
      <c r="A237" s="11">
        <v>9</v>
      </c>
      <c r="B237" s="9" t="s">
        <v>433</v>
      </c>
      <c r="C237" s="9" t="s">
        <v>35</v>
      </c>
      <c r="D237" s="9" t="str">
        <f>VLOOKUP(LEFT(B237,1),部门信息!$B$1:$C$6,2,0)</f>
        <v>行政</v>
      </c>
      <c r="E237" s="10">
        <v>4800</v>
      </c>
      <c r="F237" s="10">
        <v>300</v>
      </c>
      <c r="G237" s="10">
        <v>315</v>
      </c>
      <c r="H237" s="10">
        <v>0</v>
      </c>
      <c r="I237" s="10">
        <f>E237+F237+G237-H237</f>
        <v>5415</v>
      </c>
      <c r="J237" s="10">
        <v>576</v>
      </c>
      <c r="K237" s="10">
        <f>IF(I237-J237-3500&gt;0,I237-J237-3500,0)</f>
        <v>1339</v>
      </c>
      <c r="L237" s="10">
        <f>IF(K237&gt;80000,K237*0.45-13505,IF(K237&gt;55000,K237*0.35-5505,IF(K237&gt;35000,K237*0.3-2755,IF(K237&gt;9000,K237*0.25-1005,IF(K237&gt;4500,K237*0.2-555,IF(K237&gt;1500,K237*0.1-105,IF(K237&gt;0,K237*0.03,0)))))))</f>
        <v>40.17</v>
      </c>
      <c r="M237" s="10">
        <f>I237-J237-L237</f>
        <v>4798.83</v>
      </c>
    </row>
    <row r="238" spans="1:13" outlineLevel="2" x14ac:dyDescent="0.15">
      <c r="A238" s="11">
        <v>11</v>
      </c>
      <c r="B238" s="9" t="s">
        <v>386</v>
      </c>
      <c r="C238" s="9" t="s">
        <v>37</v>
      </c>
      <c r="D238" s="9" t="str">
        <f>VLOOKUP(LEFT(B238,1),部门信息!$B$1:$C$6,2,0)</f>
        <v>行政</v>
      </c>
      <c r="E238" s="10">
        <v>6500</v>
      </c>
      <c r="F238" s="10">
        <v>100</v>
      </c>
      <c r="G238" s="10">
        <v>315</v>
      </c>
      <c r="H238" s="10">
        <v>231</v>
      </c>
      <c r="I238" s="10">
        <f>E238+F238+G238-H238</f>
        <v>6684</v>
      </c>
      <c r="J238" s="10">
        <v>1040</v>
      </c>
      <c r="K238" s="10">
        <f>IF(I238-J238-3500&gt;0,I238-J238-3500,0)</f>
        <v>2144</v>
      </c>
      <c r="L238" s="10">
        <f>IF(K238&gt;80000,K238*0.45-13505,IF(K238&gt;55000,K238*0.35-5505,IF(K238&gt;35000,K238*0.3-2755,IF(K238&gt;9000,K238*0.25-1005,IF(K238&gt;4500,K238*0.2-555,IF(K238&gt;1500,K238*0.1-105,IF(K238&gt;0,K238*0.03,0)))))))</f>
        <v>109.4</v>
      </c>
      <c r="M238" s="10">
        <f>I238-J238-L238</f>
        <v>5534.6</v>
      </c>
    </row>
    <row r="239" spans="1:13" outlineLevel="2" x14ac:dyDescent="0.15">
      <c r="A239" s="11">
        <v>12</v>
      </c>
      <c r="B239" s="9" t="s">
        <v>374</v>
      </c>
      <c r="C239" s="9" t="s">
        <v>4</v>
      </c>
      <c r="D239" s="9" t="str">
        <f>VLOOKUP(LEFT(B239,1),部门信息!$B$1:$C$6,2,0)</f>
        <v>行政</v>
      </c>
      <c r="E239" s="10">
        <v>13300</v>
      </c>
      <c r="F239" s="10">
        <v>300</v>
      </c>
      <c r="G239" s="10">
        <v>90</v>
      </c>
      <c r="H239" s="10">
        <v>7</v>
      </c>
      <c r="I239" s="10">
        <f>E239+F239+G239-H239</f>
        <v>13683</v>
      </c>
      <c r="J239" s="10">
        <v>1729</v>
      </c>
      <c r="K239" s="10">
        <f>IF(I239-J239-3500&gt;0,I239-J239-3500,0)</f>
        <v>8454</v>
      </c>
      <c r="L239" s="10">
        <f>IF(K239&gt;80000,K239*0.45-13505,IF(K239&gt;55000,K239*0.35-5505,IF(K239&gt;35000,K239*0.3-2755,IF(K239&gt;9000,K239*0.25-1005,IF(K239&gt;4500,K239*0.2-555,IF(K239&gt;1500,K239*0.1-105,IF(K239&gt;0,K239*0.03,0)))))))</f>
        <v>1135.8000000000002</v>
      </c>
      <c r="M239" s="10">
        <f>I239-J239-L239</f>
        <v>10818.2</v>
      </c>
    </row>
    <row r="240" spans="1:13" outlineLevel="2" x14ac:dyDescent="0.15">
      <c r="A240" s="11">
        <v>13</v>
      </c>
      <c r="B240" s="9" t="s">
        <v>448</v>
      </c>
      <c r="C240" s="9" t="s">
        <v>38</v>
      </c>
      <c r="D240" s="9" t="str">
        <f>VLOOKUP(LEFT(B240,1),部门信息!$B$1:$C$6,2,0)</f>
        <v>行政</v>
      </c>
      <c r="E240" s="10">
        <v>8300</v>
      </c>
      <c r="F240" s="10">
        <v>400</v>
      </c>
      <c r="G240" s="10">
        <v>180</v>
      </c>
      <c r="H240" s="10">
        <v>412</v>
      </c>
      <c r="I240" s="10">
        <f>E240+F240+G240-H240</f>
        <v>8468</v>
      </c>
      <c r="J240" s="10">
        <v>996</v>
      </c>
      <c r="K240" s="10">
        <f>IF(I240-J240-3500&gt;0,I240-J240-3500,0)</f>
        <v>3972</v>
      </c>
      <c r="L240" s="10">
        <f>IF(K240&gt;80000,K240*0.45-13505,IF(K240&gt;55000,K240*0.35-5505,IF(K240&gt;35000,K240*0.3-2755,IF(K240&gt;9000,K240*0.25-1005,IF(K240&gt;4500,K240*0.2-555,IF(K240&gt;1500,K240*0.1-105,IF(K240&gt;0,K240*0.03,0)))))))</f>
        <v>292.20000000000005</v>
      </c>
      <c r="M240" s="10">
        <f>I240-J240-L240</f>
        <v>7179.8</v>
      </c>
    </row>
    <row r="241" spans="1:13" outlineLevel="2" x14ac:dyDescent="0.15">
      <c r="A241" s="11">
        <v>15</v>
      </c>
      <c r="B241" s="9" t="s">
        <v>452</v>
      </c>
      <c r="C241" s="9" t="s">
        <v>40</v>
      </c>
      <c r="D241" s="9" t="str">
        <f>VLOOKUP(LEFT(B241,1),部门信息!$B$1:$C$6,2,0)</f>
        <v>行政</v>
      </c>
      <c r="E241" s="10">
        <v>6900</v>
      </c>
      <c r="F241" s="10">
        <v>400</v>
      </c>
      <c r="G241" s="10">
        <v>225</v>
      </c>
      <c r="H241" s="10">
        <v>179</v>
      </c>
      <c r="I241" s="10">
        <f>E241+F241+G241-H241</f>
        <v>7346</v>
      </c>
      <c r="J241" s="10">
        <v>897</v>
      </c>
      <c r="K241" s="10">
        <f>IF(I241-J241-3500&gt;0,I241-J241-3500,0)</f>
        <v>2949</v>
      </c>
      <c r="L241" s="10">
        <f>IF(K241&gt;80000,K241*0.45-13505,IF(K241&gt;55000,K241*0.35-5505,IF(K241&gt;35000,K241*0.3-2755,IF(K241&gt;9000,K241*0.25-1005,IF(K241&gt;4500,K241*0.2-555,IF(K241&gt;1500,K241*0.1-105,IF(K241&gt;0,K241*0.03,0)))))))</f>
        <v>189.90000000000003</v>
      </c>
      <c r="M241" s="10">
        <f>I241-J241-L241</f>
        <v>6259.1</v>
      </c>
    </row>
    <row r="242" spans="1:13" outlineLevel="2" x14ac:dyDescent="0.15">
      <c r="A242" s="11">
        <v>18</v>
      </c>
      <c r="B242" s="9" t="s">
        <v>416</v>
      </c>
      <c r="C242" s="9" t="s">
        <v>43</v>
      </c>
      <c r="D242" s="9" t="str">
        <f>VLOOKUP(LEFT(B242,1),部门信息!$B$1:$C$6,2,0)</f>
        <v>行政</v>
      </c>
      <c r="E242" s="10">
        <v>5000</v>
      </c>
      <c r="F242" s="10">
        <v>400</v>
      </c>
      <c r="G242" s="10">
        <v>180</v>
      </c>
      <c r="H242" s="10">
        <v>0</v>
      </c>
      <c r="I242" s="10">
        <f>E242+F242+G242-H242</f>
        <v>5580</v>
      </c>
      <c r="J242" s="10">
        <v>800</v>
      </c>
      <c r="K242" s="10">
        <f>IF(I242-J242-3500&gt;0,I242-J242-3500,0)</f>
        <v>1280</v>
      </c>
      <c r="L242" s="10">
        <f>IF(K242&gt;80000,K242*0.45-13505,IF(K242&gt;55000,K242*0.35-5505,IF(K242&gt;35000,K242*0.3-2755,IF(K242&gt;9000,K242*0.25-1005,IF(K242&gt;4500,K242*0.2-555,IF(K242&gt;1500,K242*0.1-105,IF(K242&gt;0,K242*0.03,0)))))))</f>
        <v>38.4</v>
      </c>
      <c r="M242" s="10">
        <f>I242-J242-L242</f>
        <v>4741.6000000000004</v>
      </c>
    </row>
    <row r="243" spans="1:13" outlineLevel="2" x14ac:dyDescent="0.15">
      <c r="A243" s="11">
        <v>20</v>
      </c>
      <c r="B243" s="9" t="s">
        <v>412</v>
      </c>
      <c r="C243" s="9" t="s">
        <v>45</v>
      </c>
      <c r="D243" s="9" t="str">
        <f>VLOOKUP(LEFT(B243,1),部门信息!$B$1:$C$6,2,0)</f>
        <v>行政</v>
      </c>
      <c r="E243" s="10">
        <v>5900</v>
      </c>
      <c r="F243" s="10">
        <v>900</v>
      </c>
      <c r="G243" s="10">
        <v>90</v>
      </c>
      <c r="H243" s="10">
        <v>121</v>
      </c>
      <c r="I243" s="10">
        <f>E243+F243+G243-H243</f>
        <v>6769</v>
      </c>
      <c r="J243" s="10">
        <v>708</v>
      </c>
      <c r="K243" s="10">
        <f>IF(I243-J243-3500&gt;0,I243-J243-3500,0)</f>
        <v>2561</v>
      </c>
      <c r="L243" s="10">
        <f>IF(K243&gt;80000,K243*0.45-13505,IF(K243&gt;55000,K243*0.35-5505,IF(K243&gt;35000,K243*0.3-2755,IF(K243&gt;9000,K243*0.25-1005,IF(K243&gt;4500,K243*0.2-555,IF(K243&gt;1500,K243*0.1-105,IF(K243&gt;0,K243*0.03,0)))))))</f>
        <v>151.10000000000002</v>
      </c>
      <c r="M243" s="10">
        <f>I243-J243-L243</f>
        <v>5909.9</v>
      </c>
    </row>
    <row r="244" spans="1:13" outlineLevel="2" x14ac:dyDescent="0.15">
      <c r="A244" s="11">
        <v>22</v>
      </c>
      <c r="B244" s="9" t="s">
        <v>378</v>
      </c>
      <c r="C244" s="9" t="s">
        <v>47</v>
      </c>
      <c r="D244" s="9" t="str">
        <f>VLOOKUP(LEFT(B244,1),部门信息!$B$1:$C$6,2,0)</f>
        <v>行政</v>
      </c>
      <c r="E244" s="10">
        <v>8400</v>
      </c>
      <c r="F244" s="10">
        <v>800</v>
      </c>
      <c r="G244" s="10">
        <v>315</v>
      </c>
      <c r="H244" s="10">
        <v>280</v>
      </c>
      <c r="I244" s="10">
        <f>E244+F244+G244-H244</f>
        <v>9235</v>
      </c>
      <c r="J244" s="10">
        <v>1344</v>
      </c>
      <c r="K244" s="10">
        <f>IF(I244-J244-3500&gt;0,I244-J244-3500,0)</f>
        <v>4391</v>
      </c>
      <c r="L244" s="10">
        <f>IF(K244&gt;80000,K244*0.45-13505,IF(K244&gt;55000,K244*0.35-5505,IF(K244&gt;35000,K244*0.3-2755,IF(K244&gt;9000,K244*0.25-1005,IF(K244&gt;4500,K244*0.2-555,IF(K244&gt;1500,K244*0.1-105,IF(K244&gt;0,K244*0.03,0)))))))</f>
        <v>334.1</v>
      </c>
      <c r="M244" s="10">
        <f>I244-J244-L244</f>
        <v>7556.9</v>
      </c>
    </row>
    <row r="245" spans="1:13" outlineLevel="2" x14ac:dyDescent="0.15">
      <c r="A245" s="11">
        <v>25</v>
      </c>
      <c r="B245" s="9" t="s">
        <v>389</v>
      </c>
      <c r="C245" s="9" t="s">
        <v>50</v>
      </c>
      <c r="D245" s="9" t="str">
        <f>VLOOKUP(LEFT(B245,1),部门信息!$B$1:$C$6,2,0)</f>
        <v>行政</v>
      </c>
      <c r="E245" s="10">
        <v>15600</v>
      </c>
      <c r="F245" s="10">
        <v>800</v>
      </c>
      <c r="G245" s="10">
        <v>450</v>
      </c>
      <c r="H245" s="10">
        <v>0</v>
      </c>
      <c r="I245" s="10">
        <f>E245+F245+G245-H245</f>
        <v>16850</v>
      </c>
      <c r="J245" s="10">
        <v>2496</v>
      </c>
      <c r="K245" s="10">
        <f>IF(I245-J245-3500&gt;0,I245-J245-3500,0)</f>
        <v>10854</v>
      </c>
      <c r="L245" s="10">
        <f>IF(K245&gt;80000,K245*0.45-13505,IF(K245&gt;55000,K245*0.35-5505,IF(K245&gt;35000,K245*0.3-2755,IF(K245&gt;9000,K245*0.25-1005,IF(K245&gt;4500,K245*0.2-555,IF(K245&gt;1500,K245*0.1-105,IF(K245&gt;0,K245*0.03,0)))))))</f>
        <v>1708.5</v>
      </c>
      <c r="M245" s="10">
        <f>I245-J245-L245</f>
        <v>12645.5</v>
      </c>
    </row>
    <row r="246" spans="1:13" outlineLevel="2" x14ac:dyDescent="0.15">
      <c r="A246" s="11">
        <v>31</v>
      </c>
      <c r="B246" s="9" t="s">
        <v>428</v>
      </c>
      <c r="C246" s="9" t="s">
        <v>56</v>
      </c>
      <c r="D246" s="9" t="str">
        <f>VLOOKUP(LEFT(B246,1),部门信息!$B$1:$C$6,2,0)</f>
        <v>行政</v>
      </c>
      <c r="E246" s="10">
        <v>15100</v>
      </c>
      <c r="F246" s="10">
        <v>0</v>
      </c>
      <c r="G246" s="10">
        <v>180</v>
      </c>
      <c r="H246" s="10">
        <v>0</v>
      </c>
      <c r="I246" s="10">
        <f>E246+F246+G246-H246</f>
        <v>15280</v>
      </c>
      <c r="J246" s="10">
        <v>2416</v>
      </c>
      <c r="K246" s="10">
        <f>IF(I246-J246-3500&gt;0,I246-J246-3500,0)</f>
        <v>9364</v>
      </c>
      <c r="L246" s="10">
        <f>IF(K246&gt;80000,K246*0.45-13505,IF(K246&gt;55000,K246*0.35-5505,IF(K246&gt;35000,K246*0.3-2755,IF(K246&gt;9000,K246*0.25-1005,IF(K246&gt;4500,K246*0.2-555,IF(K246&gt;1500,K246*0.1-105,IF(K246&gt;0,K246*0.03,0)))))))</f>
        <v>1336</v>
      </c>
      <c r="M246" s="10">
        <f>I246-J246-L246</f>
        <v>11528</v>
      </c>
    </row>
    <row r="247" spans="1:13" outlineLevel="2" x14ac:dyDescent="0.15">
      <c r="A247" s="11">
        <v>38</v>
      </c>
      <c r="B247" s="9" t="s">
        <v>422</v>
      </c>
      <c r="C247" s="9" t="s">
        <v>63</v>
      </c>
      <c r="D247" s="9" t="str">
        <f>VLOOKUP(LEFT(B247,1),部门信息!$B$1:$C$6,2,0)</f>
        <v>行政</v>
      </c>
      <c r="E247" s="10">
        <v>17600</v>
      </c>
      <c r="F247" s="10">
        <v>300</v>
      </c>
      <c r="G247" s="10">
        <v>180</v>
      </c>
      <c r="H247" s="10">
        <v>0</v>
      </c>
      <c r="I247" s="10">
        <f>E247+F247+G247-H247</f>
        <v>18080</v>
      </c>
      <c r="J247" s="10">
        <v>2816</v>
      </c>
      <c r="K247" s="10">
        <f>IF(I247-J247-3500&gt;0,I247-J247-3500,0)</f>
        <v>11764</v>
      </c>
      <c r="L247" s="10">
        <f>IF(K247&gt;80000,K247*0.45-13505,IF(K247&gt;55000,K247*0.35-5505,IF(K247&gt;35000,K247*0.3-2755,IF(K247&gt;9000,K247*0.25-1005,IF(K247&gt;4500,K247*0.2-555,IF(K247&gt;1500,K247*0.1-105,IF(K247&gt;0,K247*0.03,0)))))))</f>
        <v>1936</v>
      </c>
      <c r="M247" s="10">
        <f>I247-J247-L247</f>
        <v>13328</v>
      </c>
    </row>
    <row r="248" spans="1:13" outlineLevel="2" x14ac:dyDescent="0.15">
      <c r="A248" s="11">
        <v>39</v>
      </c>
      <c r="B248" s="9" t="s">
        <v>437</v>
      </c>
      <c r="C248" s="9" t="s">
        <v>64</v>
      </c>
      <c r="D248" s="9" t="str">
        <f>VLOOKUP(LEFT(B248,1),部门信息!$B$1:$C$6,2,0)</f>
        <v>行政</v>
      </c>
      <c r="E248" s="10">
        <v>7800</v>
      </c>
      <c r="F248" s="10">
        <v>400</v>
      </c>
      <c r="G248" s="10">
        <v>135</v>
      </c>
      <c r="H248" s="10">
        <v>463</v>
      </c>
      <c r="I248" s="10">
        <f>E248+F248+G248-H248</f>
        <v>7872</v>
      </c>
      <c r="J248" s="10">
        <v>936</v>
      </c>
      <c r="K248" s="10">
        <f>IF(I248-J248-3500&gt;0,I248-J248-3500,0)</f>
        <v>3436</v>
      </c>
      <c r="L248" s="10">
        <f>IF(K248&gt;80000,K248*0.45-13505,IF(K248&gt;55000,K248*0.35-5505,IF(K248&gt;35000,K248*0.3-2755,IF(K248&gt;9000,K248*0.25-1005,IF(K248&gt;4500,K248*0.2-555,IF(K248&gt;1500,K248*0.1-105,IF(K248&gt;0,K248*0.03,0)))))))</f>
        <v>238.60000000000002</v>
      </c>
      <c r="M248" s="10">
        <f>I248-J248-L248</f>
        <v>6697.4</v>
      </c>
    </row>
    <row r="249" spans="1:13" outlineLevel="2" x14ac:dyDescent="0.15">
      <c r="A249" s="11">
        <v>40</v>
      </c>
      <c r="B249" s="9" t="s">
        <v>449</v>
      </c>
      <c r="C249" s="9" t="s">
        <v>65</v>
      </c>
      <c r="D249" s="9" t="str">
        <f>VLOOKUP(LEFT(B249,1),部门信息!$B$1:$C$6,2,0)</f>
        <v>行政</v>
      </c>
      <c r="E249" s="10">
        <v>20000</v>
      </c>
      <c r="F249" s="10">
        <v>900</v>
      </c>
      <c r="G249" s="10">
        <v>135</v>
      </c>
      <c r="H249" s="10">
        <v>299</v>
      </c>
      <c r="I249" s="10">
        <f>E249+F249+G249-H249</f>
        <v>20736</v>
      </c>
      <c r="J249" s="10">
        <v>3000</v>
      </c>
      <c r="K249" s="10">
        <f>IF(I249-J249-3500&gt;0,I249-J249-3500,0)</f>
        <v>14236</v>
      </c>
      <c r="L249" s="10">
        <f>IF(K249&gt;80000,K249*0.45-13505,IF(K249&gt;55000,K249*0.35-5505,IF(K249&gt;35000,K249*0.3-2755,IF(K249&gt;9000,K249*0.25-1005,IF(K249&gt;4500,K249*0.2-555,IF(K249&gt;1500,K249*0.1-105,IF(K249&gt;0,K249*0.03,0)))))))</f>
        <v>2554</v>
      </c>
      <c r="M249" s="10">
        <f>I249-J249-L249</f>
        <v>15182</v>
      </c>
    </row>
    <row r="250" spans="1:13" outlineLevel="2" x14ac:dyDescent="0.15">
      <c r="A250" s="11">
        <v>41</v>
      </c>
      <c r="B250" s="9" t="s">
        <v>418</v>
      </c>
      <c r="C250" s="9" t="s">
        <v>66</v>
      </c>
      <c r="D250" s="9" t="str">
        <f>VLOOKUP(LEFT(B250,1),部门信息!$B$1:$C$6,2,0)</f>
        <v>行政</v>
      </c>
      <c r="E250" s="10">
        <v>15800</v>
      </c>
      <c r="F250" s="10">
        <v>100</v>
      </c>
      <c r="G250" s="10">
        <v>315</v>
      </c>
      <c r="H250" s="10">
        <v>29</v>
      </c>
      <c r="I250" s="10">
        <f>E250+F250+G250-H250</f>
        <v>16186</v>
      </c>
      <c r="J250" s="10">
        <v>2212</v>
      </c>
      <c r="K250" s="10">
        <f>IF(I250-J250-3500&gt;0,I250-J250-3500,0)</f>
        <v>10474</v>
      </c>
      <c r="L250" s="10">
        <f>IF(K250&gt;80000,K250*0.45-13505,IF(K250&gt;55000,K250*0.35-5505,IF(K250&gt;35000,K250*0.3-2755,IF(K250&gt;9000,K250*0.25-1005,IF(K250&gt;4500,K250*0.2-555,IF(K250&gt;1500,K250*0.1-105,IF(K250&gt;0,K250*0.03,0)))))))</f>
        <v>1613.5</v>
      </c>
      <c r="M250" s="10">
        <f>I250-J250-L250</f>
        <v>12360.5</v>
      </c>
    </row>
    <row r="251" spans="1:13" outlineLevel="2" x14ac:dyDescent="0.15">
      <c r="A251" s="11">
        <v>57</v>
      </c>
      <c r="B251" s="9" t="s">
        <v>431</v>
      </c>
      <c r="C251" s="9" t="s">
        <v>82</v>
      </c>
      <c r="D251" s="9" t="str">
        <f>VLOOKUP(LEFT(B251,1),部门信息!$B$1:$C$6,2,0)</f>
        <v>行政</v>
      </c>
      <c r="E251" s="10">
        <v>5200</v>
      </c>
      <c r="F251" s="10">
        <v>500</v>
      </c>
      <c r="G251" s="10">
        <v>270</v>
      </c>
      <c r="H251" s="10">
        <v>347</v>
      </c>
      <c r="I251" s="10">
        <f>E251+F251+G251-H251</f>
        <v>5623</v>
      </c>
      <c r="J251" s="10">
        <v>832</v>
      </c>
      <c r="K251" s="10">
        <f>IF(I251-J251-3500&gt;0,I251-J251-3500,0)</f>
        <v>1291</v>
      </c>
      <c r="L251" s="10">
        <f>IF(K251&gt;80000,K251*0.45-13505,IF(K251&gt;55000,K251*0.35-5505,IF(K251&gt;35000,K251*0.3-2755,IF(K251&gt;9000,K251*0.25-1005,IF(K251&gt;4500,K251*0.2-555,IF(K251&gt;1500,K251*0.1-105,IF(K251&gt;0,K251*0.03,0)))))))</f>
        <v>38.729999999999997</v>
      </c>
      <c r="M251" s="10">
        <f>I251-J251-L251</f>
        <v>4752.2700000000004</v>
      </c>
    </row>
    <row r="252" spans="1:13" outlineLevel="2" x14ac:dyDescent="0.15">
      <c r="A252" s="11">
        <v>60</v>
      </c>
      <c r="B252" s="9" t="s">
        <v>434</v>
      </c>
      <c r="C252" s="9" t="s">
        <v>85</v>
      </c>
      <c r="D252" s="9" t="str">
        <f>VLOOKUP(LEFT(B252,1),部门信息!$B$1:$C$6,2,0)</f>
        <v>行政</v>
      </c>
      <c r="E252" s="10">
        <v>18500</v>
      </c>
      <c r="F252" s="10">
        <v>100</v>
      </c>
      <c r="G252" s="10">
        <v>225</v>
      </c>
      <c r="H252" s="10">
        <v>0</v>
      </c>
      <c r="I252" s="10">
        <f>E252+F252+G252-H252</f>
        <v>18825</v>
      </c>
      <c r="J252" s="10">
        <v>2775</v>
      </c>
      <c r="K252" s="10">
        <f>IF(I252-J252-3500&gt;0,I252-J252-3500,0)</f>
        <v>12550</v>
      </c>
      <c r="L252" s="10">
        <f>IF(K252&gt;80000,K252*0.45-13505,IF(K252&gt;55000,K252*0.35-5505,IF(K252&gt;35000,K252*0.3-2755,IF(K252&gt;9000,K252*0.25-1005,IF(K252&gt;4500,K252*0.2-555,IF(K252&gt;1500,K252*0.1-105,IF(K252&gt;0,K252*0.03,0)))))))</f>
        <v>2132.5</v>
      </c>
      <c r="M252" s="10">
        <f>I252-J252-L252</f>
        <v>13917.5</v>
      </c>
    </row>
    <row r="253" spans="1:13" outlineLevel="2" x14ac:dyDescent="0.15">
      <c r="A253" s="11">
        <v>74</v>
      </c>
      <c r="B253" s="9" t="s">
        <v>447</v>
      </c>
      <c r="C253" s="9" t="s">
        <v>99</v>
      </c>
      <c r="D253" s="9" t="str">
        <f>VLOOKUP(LEFT(B253,1),部门信息!$B$1:$C$6,2,0)</f>
        <v>行政</v>
      </c>
      <c r="E253" s="10">
        <v>9300</v>
      </c>
      <c r="F253" s="10">
        <v>0</v>
      </c>
      <c r="G253" s="10">
        <v>180</v>
      </c>
      <c r="H253" s="10">
        <v>0</v>
      </c>
      <c r="I253" s="10">
        <f>E253+F253+G253-H253</f>
        <v>9480</v>
      </c>
      <c r="J253" s="10">
        <v>1116</v>
      </c>
      <c r="K253" s="10">
        <f>IF(I253-J253-3500&gt;0,I253-J253-3500,0)</f>
        <v>4864</v>
      </c>
      <c r="L253" s="10">
        <f>IF(K253&gt;80000,K253*0.45-13505,IF(K253&gt;55000,K253*0.35-5505,IF(K253&gt;35000,K253*0.3-2755,IF(K253&gt;9000,K253*0.25-1005,IF(K253&gt;4500,K253*0.2-555,IF(K253&gt;1500,K253*0.1-105,IF(K253&gt;0,K253*0.03,0)))))))</f>
        <v>417.80000000000007</v>
      </c>
      <c r="M253" s="10">
        <f>I253-J253-L253</f>
        <v>7946.2</v>
      </c>
    </row>
    <row r="254" spans="1:13" outlineLevel="2" x14ac:dyDescent="0.15">
      <c r="A254" s="11">
        <v>75</v>
      </c>
      <c r="B254" s="9" t="s">
        <v>407</v>
      </c>
      <c r="C254" s="9" t="s">
        <v>100</v>
      </c>
      <c r="D254" s="9" t="str">
        <f>VLOOKUP(LEFT(B254,1),部门信息!$B$1:$C$6,2,0)</f>
        <v>行政</v>
      </c>
      <c r="E254" s="10">
        <v>5200</v>
      </c>
      <c r="F254" s="10">
        <v>300</v>
      </c>
      <c r="G254" s="10">
        <v>180</v>
      </c>
      <c r="H254" s="10">
        <v>0</v>
      </c>
      <c r="I254" s="10">
        <f>E254+F254+G254-H254</f>
        <v>5680</v>
      </c>
      <c r="J254" s="10">
        <v>728</v>
      </c>
      <c r="K254" s="10">
        <f>IF(I254-J254-3500&gt;0,I254-J254-3500,0)</f>
        <v>1452</v>
      </c>
      <c r="L254" s="10">
        <f>IF(K254&gt;80000,K254*0.45-13505,IF(K254&gt;55000,K254*0.35-5505,IF(K254&gt;35000,K254*0.3-2755,IF(K254&gt;9000,K254*0.25-1005,IF(K254&gt;4500,K254*0.2-555,IF(K254&gt;1500,K254*0.1-105,IF(K254&gt;0,K254*0.03,0)))))))</f>
        <v>43.559999999999995</v>
      </c>
      <c r="M254" s="10">
        <f>I254-J254-L254</f>
        <v>4908.4399999999996</v>
      </c>
    </row>
    <row r="255" spans="1:13" outlineLevel="2" x14ac:dyDescent="0.15">
      <c r="A255" s="11">
        <v>78</v>
      </c>
      <c r="B255" s="9" t="s">
        <v>451</v>
      </c>
      <c r="C255" s="9" t="s">
        <v>102</v>
      </c>
      <c r="D255" s="9" t="str">
        <f>VLOOKUP(LEFT(B255,1),部门信息!$B$1:$C$6,2,0)</f>
        <v>行政</v>
      </c>
      <c r="E255" s="10">
        <v>6700</v>
      </c>
      <c r="F255" s="10">
        <v>600</v>
      </c>
      <c r="G255" s="10">
        <v>315</v>
      </c>
      <c r="H255" s="10">
        <v>288</v>
      </c>
      <c r="I255" s="10">
        <f>E255+F255+G255-H255</f>
        <v>7327</v>
      </c>
      <c r="J255" s="10">
        <v>938</v>
      </c>
      <c r="K255" s="10">
        <f>IF(I255-J255-3500&gt;0,I255-J255-3500,0)</f>
        <v>2889</v>
      </c>
      <c r="L255" s="10">
        <f>IF(K255&gt;80000,K255*0.45-13505,IF(K255&gt;55000,K255*0.35-5505,IF(K255&gt;35000,K255*0.3-2755,IF(K255&gt;9000,K255*0.25-1005,IF(K255&gt;4500,K255*0.2-555,IF(K255&gt;1500,K255*0.1-105,IF(K255&gt;0,K255*0.03,0)))))))</f>
        <v>183.90000000000003</v>
      </c>
      <c r="M255" s="10">
        <f>I255-J255-L255</f>
        <v>6205.1</v>
      </c>
    </row>
    <row r="256" spans="1:13" outlineLevel="2" x14ac:dyDescent="0.15">
      <c r="A256" s="11">
        <v>82</v>
      </c>
      <c r="B256" s="9" t="s">
        <v>394</v>
      </c>
      <c r="C256" s="9" t="s">
        <v>106</v>
      </c>
      <c r="D256" s="9" t="str">
        <f>VLOOKUP(LEFT(B256,1),部门信息!$B$1:$C$6,2,0)</f>
        <v>行政</v>
      </c>
      <c r="E256" s="10">
        <v>4900</v>
      </c>
      <c r="F256" s="10">
        <v>900</v>
      </c>
      <c r="G256" s="10">
        <v>450</v>
      </c>
      <c r="H256" s="10">
        <v>0</v>
      </c>
      <c r="I256" s="10">
        <f>E256+F256+G256-H256</f>
        <v>6250</v>
      </c>
      <c r="J256" s="10">
        <v>784</v>
      </c>
      <c r="K256" s="10">
        <f>IF(I256-J256-3500&gt;0,I256-J256-3500,0)</f>
        <v>1966</v>
      </c>
      <c r="L256" s="10">
        <f>IF(K256&gt;80000,K256*0.45-13505,IF(K256&gt;55000,K256*0.35-5505,IF(K256&gt;35000,K256*0.3-2755,IF(K256&gt;9000,K256*0.25-1005,IF(K256&gt;4500,K256*0.2-555,IF(K256&gt;1500,K256*0.1-105,IF(K256&gt;0,K256*0.03,0)))))))</f>
        <v>91.600000000000023</v>
      </c>
      <c r="M256" s="10">
        <f>I256-J256-L256</f>
        <v>5374.4</v>
      </c>
    </row>
    <row r="257" spans="1:13" outlineLevel="2" x14ac:dyDescent="0.15">
      <c r="A257" s="11">
        <v>87</v>
      </c>
      <c r="B257" s="9" t="s">
        <v>410</v>
      </c>
      <c r="C257" s="9" t="s">
        <v>111</v>
      </c>
      <c r="D257" s="9" t="str">
        <f>VLOOKUP(LEFT(B257,1),部门信息!$B$1:$C$6,2,0)</f>
        <v>行政</v>
      </c>
      <c r="E257" s="10">
        <v>9000</v>
      </c>
      <c r="F257" s="10">
        <v>300</v>
      </c>
      <c r="G257" s="10">
        <v>135</v>
      </c>
      <c r="H257" s="10">
        <v>302</v>
      </c>
      <c r="I257" s="10">
        <f>E257+F257+G257-H257</f>
        <v>9133</v>
      </c>
      <c r="J257" s="10">
        <v>1260</v>
      </c>
      <c r="K257" s="10">
        <f>IF(I257-J257-3500&gt;0,I257-J257-3500,0)</f>
        <v>4373</v>
      </c>
      <c r="L257" s="10">
        <f>IF(K257&gt;80000,K257*0.45-13505,IF(K257&gt;55000,K257*0.35-5505,IF(K257&gt;35000,K257*0.3-2755,IF(K257&gt;9000,K257*0.25-1005,IF(K257&gt;4500,K257*0.2-555,IF(K257&gt;1500,K257*0.1-105,IF(K257&gt;0,K257*0.03,0)))))))</f>
        <v>332.3</v>
      </c>
      <c r="M257" s="10">
        <f>I257-J257-L257</f>
        <v>7540.7</v>
      </c>
    </row>
    <row r="258" spans="1:13" outlineLevel="2" x14ac:dyDescent="0.15">
      <c r="A258" s="11">
        <v>94</v>
      </c>
      <c r="B258" s="9" t="s">
        <v>401</v>
      </c>
      <c r="C258" s="9" t="s">
        <v>118</v>
      </c>
      <c r="D258" s="9" t="str">
        <f>VLOOKUP(LEFT(B258,1),部门信息!$B$1:$C$6,2,0)</f>
        <v>行政</v>
      </c>
      <c r="E258" s="10">
        <v>16500</v>
      </c>
      <c r="F258" s="10">
        <v>800</v>
      </c>
      <c r="G258" s="10">
        <v>180</v>
      </c>
      <c r="H258" s="10">
        <v>0</v>
      </c>
      <c r="I258" s="10">
        <f>E258+F258+G258-H258</f>
        <v>17480</v>
      </c>
      <c r="J258" s="10">
        <v>2640</v>
      </c>
      <c r="K258" s="10">
        <f>IF(I258-J258-3500&gt;0,I258-J258-3500,0)</f>
        <v>11340</v>
      </c>
      <c r="L258" s="10">
        <f>IF(K258&gt;80000,K258*0.45-13505,IF(K258&gt;55000,K258*0.35-5505,IF(K258&gt;35000,K258*0.3-2755,IF(K258&gt;9000,K258*0.25-1005,IF(K258&gt;4500,K258*0.2-555,IF(K258&gt;1500,K258*0.1-105,IF(K258&gt;0,K258*0.03,0)))))))</f>
        <v>1830</v>
      </c>
      <c r="M258" s="10">
        <f>I258-J258-L258</f>
        <v>13010</v>
      </c>
    </row>
    <row r="259" spans="1:13" outlineLevel="2" x14ac:dyDescent="0.15">
      <c r="A259" s="11">
        <v>96</v>
      </c>
      <c r="B259" s="9" t="s">
        <v>403</v>
      </c>
      <c r="C259" s="9" t="s">
        <v>120</v>
      </c>
      <c r="D259" s="9" t="str">
        <f>VLOOKUP(LEFT(B259,1),部门信息!$B$1:$C$6,2,0)</f>
        <v>行政</v>
      </c>
      <c r="E259" s="10">
        <v>13300</v>
      </c>
      <c r="F259" s="10">
        <v>800</v>
      </c>
      <c r="G259" s="10">
        <v>405</v>
      </c>
      <c r="H259" s="10">
        <v>427</v>
      </c>
      <c r="I259" s="10">
        <f>E259+F259+G259-H259</f>
        <v>14078</v>
      </c>
      <c r="J259" s="10">
        <v>2128</v>
      </c>
      <c r="K259" s="10">
        <f>IF(I259-J259-3500&gt;0,I259-J259-3500,0)</f>
        <v>8450</v>
      </c>
      <c r="L259" s="10">
        <f>IF(K259&gt;80000,K259*0.45-13505,IF(K259&gt;55000,K259*0.35-5505,IF(K259&gt;35000,K259*0.3-2755,IF(K259&gt;9000,K259*0.25-1005,IF(K259&gt;4500,K259*0.2-555,IF(K259&gt;1500,K259*0.1-105,IF(K259&gt;0,K259*0.03,0)))))))</f>
        <v>1135</v>
      </c>
      <c r="M259" s="10">
        <f>I259-J259-L259</f>
        <v>10815</v>
      </c>
    </row>
    <row r="260" spans="1:13" outlineLevel="2" x14ac:dyDescent="0.15">
      <c r="A260" s="11">
        <v>103</v>
      </c>
      <c r="B260" s="9" t="s">
        <v>409</v>
      </c>
      <c r="C260" s="9" t="s">
        <v>126</v>
      </c>
      <c r="D260" s="9" t="str">
        <f>VLOOKUP(LEFT(B260,1),部门信息!$B$1:$C$6,2,0)</f>
        <v>行政</v>
      </c>
      <c r="E260" s="10">
        <v>13700</v>
      </c>
      <c r="F260" s="10">
        <v>300</v>
      </c>
      <c r="G260" s="10">
        <v>270</v>
      </c>
      <c r="H260" s="10">
        <v>169</v>
      </c>
      <c r="I260" s="10">
        <f>E260+F260+G260-H260</f>
        <v>14101</v>
      </c>
      <c r="J260" s="10">
        <v>2192</v>
      </c>
      <c r="K260" s="10">
        <f>IF(I260-J260-3500&gt;0,I260-J260-3500,0)</f>
        <v>8409</v>
      </c>
      <c r="L260" s="10">
        <f>IF(K260&gt;80000,K260*0.45-13505,IF(K260&gt;55000,K260*0.35-5505,IF(K260&gt;35000,K260*0.3-2755,IF(K260&gt;9000,K260*0.25-1005,IF(K260&gt;4500,K260*0.2-555,IF(K260&gt;1500,K260*0.1-105,IF(K260&gt;0,K260*0.03,0)))))))</f>
        <v>1126.8000000000002</v>
      </c>
      <c r="M260" s="10">
        <f>I260-J260-L260</f>
        <v>10782.2</v>
      </c>
    </row>
    <row r="261" spans="1:13" outlineLevel="2" x14ac:dyDescent="0.15">
      <c r="A261" s="11">
        <v>105</v>
      </c>
      <c r="B261" s="9" t="s">
        <v>453</v>
      </c>
      <c r="C261" s="9" t="s">
        <v>128</v>
      </c>
      <c r="D261" s="9" t="str">
        <f>VLOOKUP(LEFT(B261,1),部门信息!$B$1:$C$6,2,0)</f>
        <v>行政</v>
      </c>
      <c r="E261" s="10">
        <v>4300</v>
      </c>
      <c r="F261" s="10">
        <v>800</v>
      </c>
      <c r="G261" s="10">
        <v>45</v>
      </c>
      <c r="H261" s="10">
        <v>93</v>
      </c>
      <c r="I261" s="10">
        <f>E261+F261+G261-H261</f>
        <v>5052</v>
      </c>
      <c r="J261" s="10">
        <v>645</v>
      </c>
      <c r="K261" s="10">
        <f>IF(I261-J261-3500&gt;0,I261-J261-3500,0)</f>
        <v>907</v>
      </c>
      <c r="L261" s="10">
        <f>IF(K261&gt;80000,K261*0.45-13505,IF(K261&gt;55000,K261*0.35-5505,IF(K261&gt;35000,K261*0.3-2755,IF(K261&gt;9000,K261*0.25-1005,IF(K261&gt;4500,K261*0.2-555,IF(K261&gt;1500,K261*0.1-105,IF(K261&gt;0,K261*0.03,0)))))))</f>
        <v>27.209999999999997</v>
      </c>
      <c r="M261" s="10">
        <f>I261-J261-L261</f>
        <v>4379.79</v>
      </c>
    </row>
    <row r="262" spans="1:13" outlineLevel="2" x14ac:dyDescent="0.15">
      <c r="A262" s="11">
        <v>107</v>
      </c>
      <c r="B262" s="9" t="s">
        <v>375</v>
      </c>
      <c r="C262" s="9" t="s">
        <v>130</v>
      </c>
      <c r="D262" s="9" t="str">
        <f>VLOOKUP(LEFT(B262,1),部门信息!$B$1:$C$6,2,0)</f>
        <v>行政</v>
      </c>
      <c r="E262" s="10">
        <v>6800</v>
      </c>
      <c r="F262" s="10">
        <v>500</v>
      </c>
      <c r="G262" s="10">
        <v>180</v>
      </c>
      <c r="H262" s="10">
        <v>0</v>
      </c>
      <c r="I262" s="10">
        <f>E262+F262+G262-H262</f>
        <v>7480</v>
      </c>
      <c r="J262" s="10">
        <v>1088</v>
      </c>
      <c r="K262" s="10">
        <f>IF(I262-J262-3500&gt;0,I262-J262-3500,0)</f>
        <v>2892</v>
      </c>
      <c r="L262" s="10">
        <f>IF(K262&gt;80000,K262*0.45-13505,IF(K262&gt;55000,K262*0.35-5505,IF(K262&gt;35000,K262*0.3-2755,IF(K262&gt;9000,K262*0.25-1005,IF(K262&gt;4500,K262*0.2-555,IF(K262&gt;1500,K262*0.1-105,IF(K262&gt;0,K262*0.03,0)))))))</f>
        <v>184.2</v>
      </c>
      <c r="M262" s="10">
        <f>I262-J262-L262</f>
        <v>6207.8</v>
      </c>
    </row>
    <row r="263" spans="1:13" outlineLevel="2" x14ac:dyDescent="0.15">
      <c r="A263" s="11">
        <v>118</v>
      </c>
      <c r="B263" s="9" t="s">
        <v>380</v>
      </c>
      <c r="C263" s="9" t="s">
        <v>140</v>
      </c>
      <c r="D263" s="9" t="str">
        <f>VLOOKUP(LEFT(B263,1),部门信息!$B$1:$C$6,2,0)</f>
        <v>行政</v>
      </c>
      <c r="E263" s="10">
        <v>8200</v>
      </c>
      <c r="F263" s="10">
        <v>700</v>
      </c>
      <c r="G263" s="10">
        <v>450</v>
      </c>
      <c r="H263" s="10">
        <v>0</v>
      </c>
      <c r="I263" s="10">
        <f>E263+F263+G263-H263</f>
        <v>9350</v>
      </c>
      <c r="J263" s="10">
        <v>1066</v>
      </c>
      <c r="K263" s="10">
        <f>IF(I263-J263-3500&gt;0,I263-J263-3500,0)</f>
        <v>4784</v>
      </c>
      <c r="L263" s="10">
        <f>IF(K263&gt;80000,K263*0.45-13505,IF(K263&gt;55000,K263*0.35-5505,IF(K263&gt;35000,K263*0.3-2755,IF(K263&gt;9000,K263*0.25-1005,IF(K263&gt;4500,K263*0.2-555,IF(K263&gt;1500,K263*0.1-105,IF(K263&gt;0,K263*0.03,0)))))))</f>
        <v>401.80000000000007</v>
      </c>
      <c r="M263" s="10">
        <f>I263-J263-L263</f>
        <v>7882.2</v>
      </c>
    </row>
    <row r="264" spans="1:13" outlineLevel="2" x14ac:dyDescent="0.15">
      <c r="A264" s="11">
        <v>119</v>
      </c>
      <c r="B264" s="9" t="s">
        <v>399</v>
      </c>
      <c r="C264" s="9" t="s">
        <v>141</v>
      </c>
      <c r="D264" s="9" t="str">
        <f>VLOOKUP(LEFT(B264,1),部门信息!$B$1:$C$6,2,0)</f>
        <v>行政</v>
      </c>
      <c r="E264" s="10">
        <v>11300</v>
      </c>
      <c r="F264" s="10">
        <v>800</v>
      </c>
      <c r="G264" s="10">
        <v>360</v>
      </c>
      <c r="H264" s="10">
        <v>108</v>
      </c>
      <c r="I264" s="10">
        <f>E264+F264+G264-H264</f>
        <v>12352</v>
      </c>
      <c r="J264" s="10">
        <v>1469</v>
      </c>
      <c r="K264" s="10">
        <f>IF(I264-J264-3500&gt;0,I264-J264-3500,0)</f>
        <v>7383</v>
      </c>
      <c r="L264" s="10">
        <f>IF(K264&gt;80000,K264*0.45-13505,IF(K264&gt;55000,K264*0.35-5505,IF(K264&gt;35000,K264*0.3-2755,IF(K264&gt;9000,K264*0.25-1005,IF(K264&gt;4500,K264*0.2-555,IF(K264&gt;1500,K264*0.1-105,IF(K264&gt;0,K264*0.03,0)))))))</f>
        <v>921.60000000000014</v>
      </c>
      <c r="M264" s="10">
        <f>I264-J264-L264</f>
        <v>9961.4</v>
      </c>
    </row>
    <row r="265" spans="1:13" outlineLevel="2" x14ac:dyDescent="0.15">
      <c r="A265" s="11">
        <v>122</v>
      </c>
      <c r="B265" s="9" t="s">
        <v>444</v>
      </c>
      <c r="C265" s="9" t="s">
        <v>144</v>
      </c>
      <c r="D265" s="9" t="str">
        <f>VLOOKUP(LEFT(B265,1),部门信息!$B$1:$C$6,2,0)</f>
        <v>行政</v>
      </c>
      <c r="E265" s="10">
        <v>8800</v>
      </c>
      <c r="F265" s="10">
        <v>0</v>
      </c>
      <c r="G265" s="10">
        <v>180</v>
      </c>
      <c r="H265" s="10">
        <v>158</v>
      </c>
      <c r="I265" s="10">
        <f>E265+F265+G265-H265</f>
        <v>8822</v>
      </c>
      <c r="J265" s="10">
        <v>1144</v>
      </c>
      <c r="K265" s="10">
        <f>IF(I265-J265-3500&gt;0,I265-J265-3500,0)</f>
        <v>4178</v>
      </c>
      <c r="L265" s="10">
        <f>IF(K265&gt;80000,K265*0.45-13505,IF(K265&gt;55000,K265*0.35-5505,IF(K265&gt;35000,K265*0.3-2755,IF(K265&gt;9000,K265*0.25-1005,IF(K265&gt;4500,K265*0.2-555,IF(K265&gt;1500,K265*0.1-105,IF(K265&gt;0,K265*0.03,0)))))))</f>
        <v>312.8</v>
      </c>
      <c r="M265" s="10">
        <f>I265-J265-L265</f>
        <v>7365.2</v>
      </c>
    </row>
    <row r="266" spans="1:13" outlineLevel="2" x14ac:dyDescent="0.15">
      <c r="A266" s="11">
        <v>129</v>
      </c>
      <c r="B266" s="9" t="s">
        <v>421</v>
      </c>
      <c r="C266" s="9" t="s">
        <v>150</v>
      </c>
      <c r="D266" s="9" t="str">
        <f>VLOOKUP(LEFT(B266,1),部门信息!$B$1:$C$6,2,0)</f>
        <v>行政</v>
      </c>
      <c r="E266" s="10">
        <v>6400</v>
      </c>
      <c r="F266" s="10">
        <v>100</v>
      </c>
      <c r="G266" s="10">
        <v>135</v>
      </c>
      <c r="H266" s="10">
        <v>369</v>
      </c>
      <c r="I266" s="10">
        <f>E266+F266+G266-H266</f>
        <v>6266</v>
      </c>
      <c r="J266" s="10">
        <v>768</v>
      </c>
      <c r="K266" s="10">
        <f>IF(I266-J266-3500&gt;0,I266-J266-3500,0)</f>
        <v>1998</v>
      </c>
      <c r="L266" s="10">
        <f>IF(K266&gt;80000,K266*0.45-13505,IF(K266&gt;55000,K266*0.35-5505,IF(K266&gt;35000,K266*0.3-2755,IF(K266&gt;9000,K266*0.25-1005,IF(K266&gt;4500,K266*0.2-555,IF(K266&gt;1500,K266*0.1-105,IF(K266&gt;0,K266*0.03,0)))))))</f>
        <v>94.800000000000011</v>
      </c>
      <c r="M266" s="10">
        <f>I266-J266-L266</f>
        <v>5403.2</v>
      </c>
    </row>
    <row r="267" spans="1:13" outlineLevel="2" x14ac:dyDescent="0.15">
      <c r="A267" s="11">
        <v>130</v>
      </c>
      <c r="B267" s="9" t="s">
        <v>435</v>
      </c>
      <c r="C267" s="9" t="s">
        <v>151</v>
      </c>
      <c r="D267" s="9" t="str">
        <f>VLOOKUP(LEFT(B267,1),部门信息!$B$1:$C$6,2,0)</f>
        <v>行政</v>
      </c>
      <c r="E267" s="10">
        <v>9900</v>
      </c>
      <c r="F267" s="10">
        <v>500</v>
      </c>
      <c r="G267" s="10">
        <v>270</v>
      </c>
      <c r="H267" s="10">
        <v>0</v>
      </c>
      <c r="I267" s="10">
        <f>E267+F267+G267-H267</f>
        <v>10670</v>
      </c>
      <c r="J267" s="10">
        <v>1188</v>
      </c>
      <c r="K267" s="10">
        <f>IF(I267-J267-3500&gt;0,I267-J267-3500,0)</f>
        <v>5982</v>
      </c>
      <c r="L267" s="10">
        <f>IF(K267&gt;80000,K267*0.45-13505,IF(K267&gt;55000,K267*0.35-5505,IF(K267&gt;35000,K267*0.3-2755,IF(K267&gt;9000,K267*0.25-1005,IF(K267&gt;4500,K267*0.2-555,IF(K267&gt;1500,K267*0.1-105,IF(K267&gt;0,K267*0.03,0)))))))</f>
        <v>641.40000000000009</v>
      </c>
      <c r="M267" s="10">
        <f>I267-J267-L267</f>
        <v>8840.6</v>
      </c>
    </row>
    <row r="268" spans="1:13" outlineLevel="2" x14ac:dyDescent="0.15">
      <c r="A268" s="11">
        <v>132</v>
      </c>
      <c r="B268" s="9" t="s">
        <v>415</v>
      </c>
      <c r="C268" s="9" t="s">
        <v>153</v>
      </c>
      <c r="D268" s="9" t="str">
        <f>VLOOKUP(LEFT(B268,1),部门信息!$B$1:$C$6,2,0)</f>
        <v>行政</v>
      </c>
      <c r="E268" s="10">
        <v>15100</v>
      </c>
      <c r="F268" s="10">
        <v>900</v>
      </c>
      <c r="G268" s="10">
        <v>225</v>
      </c>
      <c r="H268" s="10">
        <v>0</v>
      </c>
      <c r="I268" s="10">
        <f>E268+F268+G268-H268</f>
        <v>16225</v>
      </c>
      <c r="J268" s="10">
        <v>2265</v>
      </c>
      <c r="K268" s="10">
        <f>IF(I268-J268-3500&gt;0,I268-J268-3500,0)</f>
        <v>10460</v>
      </c>
      <c r="L268" s="10">
        <f>IF(K268&gt;80000,K268*0.45-13505,IF(K268&gt;55000,K268*0.35-5505,IF(K268&gt;35000,K268*0.3-2755,IF(K268&gt;9000,K268*0.25-1005,IF(K268&gt;4500,K268*0.2-555,IF(K268&gt;1500,K268*0.1-105,IF(K268&gt;0,K268*0.03,0)))))))</f>
        <v>1610</v>
      </c>
      <c r="M268" s="10">
        <f>I268-J268-L268</f>
        <v>12350</v>
      </c>
    </row>
    <row r="269" spans="1:13" outlineLevel="2" x14ac:dyDescent="0.15">
      <c r="A269" s="11">
        <v>136</v>
      </c>
      <c r="B269" s="9" t="s">
        <v>445</v>
      </c>
      <c r="C269" s="9" t="s">
        <v>156</v>
      </c>
      <c r="D269" s="9" t="str">
        <f>VLOOKUP(LEFT(B269,1),部门信息!$B$1:$C$6,2,0)</f>
        <v>行政</v>
      </c>
      <c r="E269" s="10">
        <v>13200</v>
      </c>
      <c r="F269" s="10">
        <v>300</v>
      </c>
      <c r="G269" s="10">
        <v>315</v>
      </c>
      <c r="H269" s="10">
        <v>365</v>
      </c>
      <c r="I269" s="10">
        <f>E269+F269+G269-H269</f>
        <v>13450</v>
      </c>
      <c r="J269" s="10">
        <v>1848</v>
      </c>
      <c r="K269" s="10">
        <f>IF(I269-J269-3500&gt;0,I269-J269-3500,0)</f>
        <v>8102</v>
      </c>
      <c r="L269" s="10">
        <f>IF(K269&gt;80000,K269*0.45-13505,IF(K269&gt;55000,K269*0.35-5505,IF(K269&gt;35000,K269*0.3-2755,IF(K269&gt;9000,K269*0.25-1005,IF(K269&gt;4500,K269*0.2-555,IF(K269&gt;1500,K269*0.1-105,IF(K269&gt;0,K269*0.03,0)))))))</f>
        <v>1065.4000000000001</v>
      </c>
      <c r="M269" s="10">
        <f>I269-J269-L269</f>
        <v>10536.6</v>
      </c>
    </row>
    <row r="270" spans="1:13" outlineLevel="2" x14ac:dyDescent="0.15">
      <c r="A270" s="11">
        <v>139</v>
      </c>
      <c r="B270" s="9" t="s">
        <v>419</v>
      </c>
      <c r="C270" s="9" t="s">
        <v>159</v>
      </c>
      <c r="D270" s="9" t="str">
        <f>VLOOKUP(LEFT(B270,1),部门信息!$B$1:$C$6,2,0)</f>
        <v>行政</v>
      </c>
      <c r="E270" s="10">
        <v>16800</v>
      </c>
      <c r="F270" s="10">
        <v>100</v>
      </c>
      <c r="G270" s="10">
        <v>135</v>
      </c>
      <c r="H270" s="10">
        <v>0</v>
      </c>
      <c r="I270" s="10">
        <f>E270+F270+G270-H270</f>
        <v>17035</v>
      </c>
      <c r="J270" s="10">
        <v>2688</v>
      </c>
      <c r="K270" s="10">
        <f>IF(I270-J270-3500&gt;0,I270-J270-3500,0)</f>
        <v>10847</v>
      </c>
      <c r="L270" s="10">
        <f>IF(K270&gt;80000,K270*0.45-13505,IF(K270&gt;55000,K270*0.35-5505,IF(K270&gt;35000,K270*0.3-2755,IF(K270&gt;9000,K270*0.25-1005,IF(K270&gt;4500,K270*0.2-555,IF(K270&gt;1500,K270*0.1-105,IF(K270&gt;0,K270*0.03,0)))))))</f>
        <v>1706.75</v>
      </c>
      <c r="M270" s="10">
        <f>I270-J270-L270</f>
        <v>12640.25</v>
      </c>
    </row>
    <row r="271" spans="1:13" outlineLevel="2" x14ac:dyDescent="0.15">
      <c r="A271" s="11">
        <v>143</v>
      </c>
      <c r="B271" s="9" t="s">
        <v>382</v>
      </c>
      <c r="C271" s="9" t="s">
        <v>163</v>
      </c>
      <c r="D271" s="9" t="str">
        <f>VLOOKUP(LEFT(B271,1),部门信息!$B$1:$C$6,2,0)</f>
        <v>行政</v>
      </c>
      <c r="E271" s="10">
        <v>6300</v>
      </c>
      <c r="F271" s="10">
        <v>100</v>
      </c>
      <c r="G271" s="10">
        <v>405</v>
      </c>
      <c r="H271" s="10">
        <v>401</v>
      </c>
      <c r="I271" s="10">
        <f>E271+F271+G271-H271</f>
        <v>6404</v>
      </c>
      <c r="J271" s="10">
        <v>882</v>
      </c>
      <c r="K271" s="10">
        <f>IF(I271-J271-3500&gt;0,I271-J271-3500,0)</f>
        <v>2022</v>
      </c>
      <c r="L271" s="10">
        <f>IF(K271&gt;80000,K271*0.45-13505,IF(K271&gt;55000,K271*0.35-5505,IF(K271&gt;35000,K271*0.3-2755,IF(K271&gt;9000,K271*0.25-1005,IF(K271&gt;4500,K271*0.2-555,IF(K271&gt;1500,K271*0.1-105,IF(K271&gt;0,K271*0.03,0)))))))</f>
        <v>97.200000000000017</v>
      </c>
      <c r="M271" s="10">
        <f>I271-J271-L271</f>
        <v>5424.8</v>
      </c>
    </row>
    <row r="272" spans="1:13" outlineLevel="2" x14ac:dyDescent="0.15">
      <c r="A272" s="11">
        <v>148</v>
      </c>
      <c r="B272" s="9" t="s">
        <v>405</v>
      </c>
      <c r="C272" s="9" t="s">
        <v>168</v>
      </c>
      <c r="D272" s="9" t="str">
        <f>VLOOKUP(LEFT(B272,1),部门信息!$B$1:$C$6,2,0)</f>
        <v>行政</v>
      </c>
      <c r="E272" s="10">
        <v>9000</v>
      </c>
      <c r="F272" s="10">
        <v>100</v>
      </c>
      <c r="G272" s="10">
        <v>45</v>
      </c>
      <c r="H272" s="10">
        <v>0</v>
      </c>
      <c r="I272" s="10">
        <f>E272+F272+G272-H272</f>
        <v>9145</v>
      </c>
      <c r="J272" s="10">
        <v>1080</v>
      </c>
      <c r="K272" s="10">
        <f>IF(I272-J272-3500&gt;0,I272-J272-3500,0)</f>
        <v>4565</v>
      </c>
      <c r="L272" s="10">
        <f>IF(K272&gt;80000,K272*0.45-13505,IF(K272&gt;55000,K272*0.35-5505,IF(K272&gt;35000,K272*0.3-2755,IF(K272&gt;9000,K272*0.25-1005,IF(K272&gt;4500,K272*0.2-555,IF(K272&gt;1500,K272*0.1-105,IF(K272&gt;0,K272*0.03,0)))))))</f>
        <v>358</v>
      </c>
      <c r="M272" s="10">
        <f>I272-J272-L272</f>
        <v>7707</v>
      </c>
    </row>
    <row r="273" spans="1:13" outlineLevel="2" x14ac:dyDescent="0.15">
      <c r="A273" s="11">
        <v>154</v>
      </c>
      <c r="B273" s="9" t="s">
        <v>414</v>
      </c>
      <c r="C273" s="9" t="s">
        <v>174</v>
      </c>
      <c r="D273" s="9" t="str">
        <f>VLOOKUP(LEFT(B273,1),部门信息!$B$1:$C$6,2,0)</f>
        <v>行政</v>
      </c>
      <c r="E273" s="10">
        <v>11500</v>
      </c>
      <c r="F273" s="10">
        <v>200</v>
      </c>
      <c r="G273" s="10">
        <v>45</v>
      </c>
      <c r="H273" s="10">
        <v>485</v>
      </c>
      <c r="I273" s="10">
        <f>E273+F273+G273-H273</f>
        <v>11260</v>
      </c>
      <c r="J273" s="10">
        <v>1380</v>
      </c>
      <c r="K273" s="10">
        <f>IF(I273-J273-3500&gt;0,I273-J273-3500,0)</f>
        <v>6380</v>
      </c>
      <c r="L273" s="10">
        <f>IF(K273&gt;80000,K273*0.45-13505,IF(K273&gt;55000,K273*0.35-5505,IF(K273&gt;35000,K273*0.3-2755,IF(K273&gt;9000,K273*0.25-1005,IF(K273&gt;4500,K273*0.2-555,IF(K273&gt;1500,K273*0.1-105,IF(K273&gt;0,K273*0.03,0)))))))</f>
        <v>721</v>
      </c>
      <c r="M273" s="10">
        <f>I273-J273-L273</f>
        <v>9159</v>
      </c>
    </row>
    <row r="274" spans="1:13" outlineLevel="2" x14ac:dyDescent="0.15">
      <c r="A274" s="11">
        <v>155</v>
      </c>
      <c r="B274" s="9" t="s">
        <v>397</v>
      </c>
      <c r="C274" s="9" t="s">
        <v>175</v>
      </c>
      <c r="D274" s="9" t="str">
        <f>VLOOKUP(LEFT(B274,1),部门信息!$B$1:$C$6,2,0)</f>
        <v>行政</v>
      </c>
      <c r="E274" s="10">
        <v>11100</v>
      </c>
      <c r="F274" s="10">
        <v>600</v>
      </c>
      <c r="G274" s="10">
        <v>135</v>
      </c>
      <c r="H274" s="10">
        <v>0</v>
      </c>
      <c r="I274" s="10">
        <f>E274+F274+G274-H274</f>
        <v>11835</v>
      </c>
      <c r="J274" s="10">
        <v>1443</v>
      </c>
      <c r="K274" s="10">
        <f>IF(I274-J274-3500&gt;0,I274-J274-3500,0)</f>
        <v>6892</v>
      </c>
      <c r="L274" s="10">
        <f>IF(K274&gt;80000,K274*0.45-13505,IF(K274&gt;55000,K274*0.35-5505,IF(K274&gt;35000,K274*0.3-2755,IF(K274&gt;9000,K274*0.25-1005,IF(K274&gt;4500,K274*0.2-555,IF(K274&gt;1500,K274*0.1-105,IF(K274&gt;0,K274*0.03,0)))))))</f>
        <v>823.40000000000009</v>
      </c>
      <c r="M274" s="10">
        <f>I274-J274-L274</f>
        <v>9568.6</v>
      </c>
    </row>
    <row r="275" spans="1:13" outlineLevel="2" x14ac:dyDescent="0.15">
      <c r="A275" s="11">
        <v>157</v>
      </c>
      <c r="B275" s="9" t="s">
        <v>446</v>
      </c>
      <c r="C275" s="9" t="s">
        <v>177</v>
      </c>
      <c r="D275" s="9" t="str">
        <f>VLOOKUP(LEFT(B275,1),部门信息!$B$1:$C$6,2,0)</f>
        <v>行政</v>
      </c>
      <c r="E275" s="10">
        <v>16300</v>
      </c>
      <c r="F275" s="10">
        <v>100</v>
      </c>
      <c r="G275" s="10">
        <v>135</v>
      </c>
      <c r="H275" s="10">
        <v>46</v>
      </c>
      <c r="I275" s="10">
        <f>E275+F275+G275-H275</f>
        <v>16489</v>
      </c>
      <c r="J275" s="10">
        <v>2119</v>
      </c>
      <c r="K275" s="10">
        <f>IF(I275-J275-3500&gt;0,I275-J275-3500,0)</f>
        <v>10870</v>
      </c>
      <c r="L275" s="10">
        <f>IF(K275&gt;80000,K275*0.45-13505,IF(K275&gt;55000,K275*0.35-5505,IF(K275&gt;35000,K275*0.3-2755,IF(K275&gt;9000,K275*0.25-1005,IF(K275&gt;4500,K275*0.2-555,IF(K275&gt;1500,K275*0.1-105,IF(K275&gt;0,K275*0.03,0)))))))</f>
        <v>1712.5</v>
      </c>
      <c r="M275" s="10">
        <f>I275-J275-L275</f>
        <v>12657.5</v>
      </c>
    </row>
    <row r="276" spans="1:13" outlineLevel="2" x14ac:dyDescent="0.15">
      <c r="A276" s="11">
        <v>158</v>
      </c>
      <c r="B276" s="9" t="s">
        <v>387</v>
      </c>
      <c r="C276" s="9" t="s">
        <v>178</v>
      </c>
      <c r="D276" s="9" t="str">
        <f>VLOOKUP(LEFT(B276,1),部门信息!$B$1:$C$6,2,0)</f>
        <v>行政</v>
      </c>
      <c r="E276" s="10">
        <v>12100</v>
      </c>
      <c r="F276" s="10">
        <v>500</v>
      </c>
      <c r="G276" s="10">
        <v>45</v>
      </c>
      <c r="H276" s="10">
        <v>404</v>
      </c>
      <c r="I276" s="10">
        <f>E276+F276+G276-H276</f>
        <v>12241</v>
      </c>
      <c r="J276" s="10">
        <v>1452</v>
      </c>
      <c r="K276" s="10">
        <f>IF(I276-J276-3500&gt;0,I276-J276-3500,0)</f>
        <v>7289</v>
      </c>
      <c r="L276" s="10">
        <f>IF(K276&gt;80000,K276*0.45-13505,IF(K276&gt;55000,K276*0.35-5505,IF(K276&gt;35000,K276*0.3-2755,IF(K276&gt;9000,K276*0.25-1005,IF(K276&gt;4500,K276*0.2-555,IF(K276&gt;1500,K276*0.1-105,IF(K276&gt;0,K276*0.03,0)))))))</f>
        <v>902.80000000000018</v>
      </c>
      <c r="M276" s="10">
        <f>I276-J276-L276</f>
        <v>9886.2000000000007</v>
      </c>
    </row>
    <row r="277" spans="1:13" outlineLevel="2" x14ac:dyDescent="0.15">
      <c r="A277" s="11">
        <v>166</v>
      </c>
      <c r="B277" s="9" t="s">
        <v>443</v>
      </c>
      <c r="C277" s="9" t="s">
        <v>186</v>
      </c>
      <c r="D277" s="9" t="str">
        <f>VLOOKUP(LEFT(B277,1),部门信息!$B$1:$C$6,2,0)</f>
        <v>行政</v>
      </c>
      <c r="E277" s="10">
        <v>5000</v>
      </c>
      <c r="F277" s="10">
        <v>600</v>
      </c>
      <c r="G277" s="10">
        <v>90</v>
      </c>
      <c r="H277" s="10">
        <v>0</v>
      </c>
      <c r="I277" s="10">
        <f>E277+F277+G277-H277</f>
        <v>5690</v>
      </c>
      <c r="J277" s="10">
        <v>800</v>
      </c>
      <c r="K277" s="10">
        <f>IF(I277-J277-3500&gt;0,I277-J277-3500,0)</f>
        <v>1390</v>
      </c>
      <c r="L277" s="10">
        <f>IF(K277&gt;80000,K277*0.45-13505,IF(K277&gt;55000,K277*0.35-5505,IF(K277&gt;35000,K277*0.3-2755,IF(K277&gt;9000,K277*0.25-1005,IF(K277&gt;4500,K277*0.2-555,IF(K277&gt;1500,K277*0.1-105,IF(K277&gt;0,K277*0.03,0)))))))</f>
        <v>41.699999999999996</v>
      </c>
      <c r="M277" s="10">
        <f>I277-J277-L277</f>
        <v>4848.3</v>
      </c>
    </row>
    <row r="278" spans="1:13" outlineLevel="2" x14ac:dyDescent="0.15">
      <c r="A278" s="11">
        <v>170</v>
      </c>
      <c r="B278" s="9" t="s">
        <v>381</v>
      </c>
      <c r="C278" s="9" t="s">
        <v>190</v>
      </c>
      <c r="D278" s="9" t="str">
        <f>VLOOKUP(LEFT(B278,1),部门信息!$B$1:$C$6,2,0)</f>
        <v>行政</v>
      </c>
      <c r="E278" s="10">
        <v>12700</v>
      </c>
      <c r="F278" s="10">
        <v>700</v>
      </c>
      <c r="G278" s="10">
        <v>45</v>
      </c>
      <c r="H278" s="10">
        <v>459</v>
      </c>
      <c r="I278" s="10">
        <f>E278+F278+G278-H278</f>
        <v>12986</v>
      </c>
      <c r="J278" s="10">
        <v>2032</v>
      </c>
      <c r="K278" s="10">
        <f>IF(I278-J278-3500&gt;0,I278-J278-3500,0)</f>
        <v>7454</v>
      </c>
      <c r="L278" s="10">
        <f>IF(K278&gt;80000,K278*0.45-13505,IF(K278&gt;55000,K278*0.35-5505,IF(K278&gt;35000,K278*0.3-2755,IF(K278&gt;9000,K278*0.25-1005,IF(K278&gt;4500,K278*0.2-555,IF(K278&gt;1500,K278*0.1-105,IF(K278&gt;0,K278*0.03,0)))))))</f>
        <v>935.80000000000018</v>
      </c>
      <c r="M278" s="10">
        <f>I278-J278-L278</f>
        <v>10018.200000000001</v>
      </c>
    </row>
    <row r="279" spans="1:13" outlineLevel="2" x14ac:dyDescent="0.15">
      <c r="A279" s="11">
        <v>173</v>
      </c>
      <c r="B279" s="9" t="s">
        <v>429</v>
      </c>
      <c r="C279" s="9" t="s">
        <v>193</v>
      </c>
      <c r="D279" s="9" t="str">
        <f>VLOOKUP(LEFT(B279,1),部门信息!$B$1:$C$6,2,0)</f>
        <v>行政</v>
      </c>
      <c r="E279" s="10">
        <v>9900</v>
      </c>
      <c r="F279" s="10">
        <v>800</v>
      </c>
      <c r="G279" s="10">
        <v>45</v>
      </c>
      <c r="H279" s="10">
        <v>101</v>
      </c>
      <c r="I279" s="10">
        <f>E279+F279+G279-H279</f>
        <v>10644</v>
      </c>
      <c r="J279" s="10">
        <v>1584</v>
      </c>
      <c r="K279" s="10">
        <f>IF(I279-J279-3500&gt;0,I279-J279-3500,0)</f>
        <v>5560</v>
      </c>
      <c r="L279" s="10">
        <f>IF(K279&gt;80000,K279*0.45-13505,IF(K279&gt;55000,K279*0.35-5505,IF(K279&gt;35000,K279*0.3-2755,IF(K279&gt;9000,K279*0.25-1005,IF(K279&gt;4500,K279*0.2-555,IF(K279&gt;1500,K279*0.1-105,IF(K279&gt;0,K279*0.03,0)))))))</f>
        <v>557</v>
      </c>
      <c r="M279" s="10">
        <f>I279-J279-L279</f>
        <v>8503</v>
      </c>
    </row>
    <row r="280" spans="1:13" outlineLevel="2" x14ac:dyDescent="0.15">
      <c r="A280" s="11">
        <v>177</v>
      </c>
      <c r="B280" s="9" t="s">
        <v>390</v>
      </c>
      <c r="C280" s="9" t="s">
        <v>196</v>
      </c>
      <c r="D280" s="9" t="str">
        <f>VLOOKUP(LEFT(B280,1),部门信息!$B$1:$C$6,2,0)</f>
        <v>行政</v>
      </c>
      <c r="E280" s="10">
        <v>12300</v>
      </c>
      <c r="F280" s="10">
        <v>300</v>
      </c>
      <c r="G280" s="10">
        <v>270</v>
      </c>
      <c r="H280" s="10">
        <v>419</v>
      </c>
      <c r="I280" s="10">
        <f>E280+F280+G280-H280</f>
        <v>12451</v>
      </c>
      <c r="J280" s="10">
        <v>1722</v>
      </c>
      <c r="K280" s="10">
        <f>IF(I280-J280-3500&gt;0,I280-J280-3500,0)</f>
        <v>7229</v>
      </c>
      <c r="L280" s="10">
        <f>IF(K280&gt;80000,K280*0.45-13505,IF(K280&gt;55000,K280*0.35-5505,IF(K280&gt;35000,K280*0.3-2755,IF(K280&gt;9000,K280*0.25-1005,IF(K280&gt;4500,K280*0.2-555,IF(K280&gt;1500,K280*0.1-105,IF(K280&gt;0,K280*0.03,0)))))))</f>
        <v>890.80000000000018</v>
      </c>
      <c r="M280" s="10">
        <f>I280-J280-L280</f>
        <v>9838.2000000000007</v>
      </c>
    </row>
    <row r="281" spans="1:13" outlineLevel="2" x14ac:dyDescent="0.15">
      <c r="A281" s="11">
        <v>180</v>
      </c>
      <c r="B281" s="9" t="s">
        <v>377</v>
      </c>
      <c r="C281" s="9" t="s">
        <v>198</v>
      </c>
      <c r="D281" s="9" t="str">
        <f>VLOOKUP(LEFT(B281,1),部门信息!$B$1:$C$6,2,0)</f>
        <v>行政</v>
      </c>
      <c r="E281" s="10">
        <v>3300</v>
      </c>
      <c r="F281" s="10">
        <v>600</v>
      </c>
      <c r="G281" s="10">
        <v>180</v>
      </c>
      <c r="H281" s="10">
        <v>168</v>
      </c>
      <c r="I281" s="10">
        <f>E281+F281+G281-H281</f>
        <v>3912</v>
      </c>
      <c r="J281" s="10">
        <v>396</v>
      </c>
      <c r="K281" s="10">
        <f>IF(I281-J281-3500&gt;0,I281-J281-3500,0)</f>
        <v>16</v>
      </c>
      <c r="L281" s="10">
        <f>IF(K281&gt;80000,K281*0.45-13505,IF(K281&gt;55000,K281*0.35-5505,IF(K281&gt;35000,K281*0.3-2755,IF(K281&gt;9000,K281*0.25-1005,IF(K281&gt;4500,K281*0.2-555,IF(K281&gt;1500,K281*0.1-105,IF(K281&gt;0,K281*0.03,0)))))))</f>
        <v>0.48</v>
      </c>
      <c r="M281" s="10">
        <f>I281-J281-L281</f>
        <v>3515.52</v>
      </c>
    </row>
    <row r="282" spans="1:13" outlineLevel="2" x14ac:dyDescent="0.15">
      <c r="A282" s="11">
        <v>185</v>
      </c>
      <c r="B282" s="9" t="s">
        <v>383</v>
      </c>
      <c r="C282" s="9" t="s">
        <v>203</v>
      </c>
      <c r="D282" s="9" t="str">
        <f>VLOOKUP(LEFT(B282,1),部门信息!$B$1:$C$6,2,0)</f>
        <v>行政</v>
      </c>
      <c r="E282" s="10">
        <v>9400</v>
      </c>
      <c r="F282" s="10">
        <v>400</v>
      </c>
      <c r="G282" s="10">
        <v>135</v>
      </c>
      <c r="H282" s="10">
        <v>58</v>
      </c>
      <c r="I282" s="10">
        <f>E282+F282+G282-H282</f>
        <v>9877</v>
      </c>
      <c r="J282" s="10">
        <v>1316</v>
      </c>
      <c r="K282" s="10">
        <f>IF(I282-J282-3500&gt;0,I282-J282-3500,0)</f>
        <v>5061</v>
      </c>
      <c r="L282" s="10">
        <f>IF(K282&gt;80000,K282*0.45-13505,IF(K282&gt;55000,K282*0.35-5505,IF(K282&gt;35000,K282*0.3-2755,IF(K282&gt;9000,K282*0.25-1005,IF(K282&gt;4500,K282*0.2-555,IF(K282&gt;1500,K282*0.1-105,IF(K282&gt;0,K282*0.03,0)))))))</f>
        <v>457.20000000000005</v>
      </c>
      <c r="M282" s="10">
        <f>I282-J282-L282</f>
        <v>8103.8</v>
      </c>
    </row>
    <row r="283" spans="1:13" outlineLevel="2" x14ac:dyDescent="0.15">
      <c r="A283" s="11">
        <v>195</v>
      </c>
      <c r="B283" s="9" t="s">
        <v>413</v>
      </c>
      <c r="C283" s="9" t="s">
        <v>213</v>
      </c>
      <c r="D283" s="9" t="str">
        <f>VLOOKUP(LEFT(B283,1),部门信息!$B$1:$C$6,2,0)</f>
        <v>行政</v>
      </c>
      <c r="E283" s="10">
        <v>18100</v>
      </c>
      <c r="F283" s="10">
        <v>200</v>
      </c>
      <c r="G283" s="10">
        <v>360</v>
      </c>
      <c r="H283" s="10">
        <v>439</v>
      </c>
      <c r="I283" s="10">
        <f>E283+F283+G283-H283</f>
        <v>18221</v>
      </c>
      <c r="J283" s="10">
        <v>2896</v>
      </c>
      <c r="K283" s="10">
        <f>IF(I283-J283-3500&gt;0,I283-J283-3500,0)</f>
        <v>11825</v>
      </c>
      <c r="L283" s="10">
        <f>IF(K283&gt;80000,K283*0.45-13505,IF(K283&gt;55000,K283*0.35-5505,IF(K283&gt;35000,K283*0.3-2755,IF(K283&gt;9000,K283*0.25-1005,IF(K283&gt;4500,K283*0.2-555,IF(K283&gt;1500,K283*0.1-105,IF(K283&gt;0,K283*0.03,0)))))))</f>
        <v>1951.25</v>
      </c>
      <c r="M283" s="10">
        <f>I283-J283-L283</f>
        <v>13373.75</v>
      </c>
    </row>
    <row r="284" spans="1:13" outlineLevel="2" x14ac:dyDescent="0.15">
      <c r="A284" s="11">
        <v>199</v>
      </c>
      <c r="B284" s="9" t="s">
        <v>392</v>
      </c>
      <c r="C284" s="9" t="s">
        <v>2</v>
      </c>
      <c r="D284" s="9" t="str">
        <f>VLOOKUP(LEFT(B284,1),部门信息!$B$1:$C$6,2,0)</f>
        <v>行政</v>
      </c>
      <c r="E284" s="10">
        <v>16400</v>
      </c>
      <c r="F284" s="10">
        <v>700</v>
      </c>
      <c r="G284" s="10">
        <v>225</v>
      </c>
      <c r="H284" s="10">
        <v>146</v>
      </c>
      <c r="I284" s="10">
        <f>E284+F284+G284-H284</f>
        <v>17179</v>
      </c>
      <c r="J284" s="10">
        <v>1968</v>
      </c>
      <c r="K284" s="10">
        <f>IF(I284-J284-3500&gt;0,I284-J284-3500,0)</f>
        <v>11711</v>
      </c>
      <c r="L284" s="10">
        <f>IF(K284&gt;80000,K284*0.45-13505,IF(K284&gt;55000,K284*0.35-5505,IF(K284&gt;35000,K284*0.3-2755,IF(K284&gt;9000,K284*0.25-1005,IF(K284&gt;4500,K284*0.2-555,IF(K284&gt;1500,K284*0.1-105,IF(K284&gt;0,K284*0.03,0)))))))</f>
        <v>1922.75</v>
      </c>
      <c r="M284" s="10">
        <f>I284-J284-L284</f>
        <v>13288.25</v>
      </c>
    </row>
    <row r="285" spans="1:13" outlineLevel="2" x14ac:dyDescent="0.15">
      <c r="A285" s="11">
        <v>203</v>
      </c>
      <c r="B285" s="9" t="s">
        <v>391</v>
      </c>
      <c r="C285" s="9" t="s">
        <v>220</v>
      </c>
      <c r="D285" s="9" t="str">
        <f>VLOOKUP(LEFT(B285,1),部门信息!$B$1:$C$6,2,0)</f>
        <v>行政</v>
      </c>
      <c r="E285" s="10">
        <v>7100</v>
      </c>
      <c r="F285" s="10">
        <v>900</v>
      </c>
      <c r="G285" s="10">
        <v>135</v>
      </c>
      <c r="H285" s="10">
        <v>366</v>
      </c>
      <c r="I285" s="10">
        <f>E285+F285+G285-H285</f>
        <v>7769</v>
      </c>
      <c r="J285" s="10">
        <v>994</v>
      </c>
      <c r="K285" s="10">
        <f>IF(I285-J285-3500&gt;0,I285-J285-3500,0)</f>
        <v>3275</v>
      </c>
      <c r="L285" s="10">
        <f>IF(K285&gt;80000,K285*0.45-13505,IF(K285&gt;55000,K285*0.35-5505,IF(K285&gt;35000,K285*0.3-2755,IF(K285&gt;9000,K285*0.25-1005,IF(K285&gt;4500,K285*0.2-555,IF(K285&gt;1500,K285*0.1-105,IF(K285&gt;0,K285*0.03,0)))))))</f>
        <v>222.5</v>
      </c>
      <c r="M285" s="10">
        <f>I285-J285-L285</f>
        <v>6552.5</v>
      </c>
    </row>
    <row r="286" spans="1:13" outlineLevel="2" x14ac:dyDescent="0.15">
      <c r="A286" s="11">
        <v>209</v>
      </c>
      <c r="B286" s="9" t="s">
        <v>424</v>
      </c>
      <c r="C286" s="9" t="s">
        <v>225</v>
      </c>
      <c r="D286" s="9" t="str">
        <f>VLOOKUP(LEFT(B286,1),部门信息!$B$1:$C$6,2,0)</f>
        <v>行政</v>
      </c>
      <c r="E286" s="10">
        <v>17900</v>
      </c>
      <c r="F286" s="10">
        <v>0</v>
      </c>
      <c r="G286" s="10">
        <v>225</v>
      </c>
      <c r="H286" s="10">
        <v>489</v>
      </c>
      <c r="I286" s="10">
        <f>E286+F286+G286-H286</f>
        <v>17636</v>
      </c>
      <c r="J286" s="10">
        <v>2864</v>
      </c>
      <c r="K286" s="10">
        <f>IF(I286-J286-3500&gt;0,I286-J286-3500,0)</f>
        <v>11272</v>
      </c>
      <c r="L286" s="10">
        <f>IF(K286&gt;80000,K286*0.45-13505,IF(K286&gt;55000,K286*0.35-5505,IF(K286&gt;35000,K286*0.3-2755,IF(K286&gt;9000,K286*0.25-1005,IF(K286&gt;4500,K286*0.2-555,IF(K286&gt;1500,K286*0.1-105,IF(K286&gt;0,K286*0.03,0)))))))</f>
        <v>1813</v>
      </c>
      <c r="M286" s="10">
        <f>I286-J286-L286</f>
        <v>12959</v>
      </c>
    </row>
    <row r="287" spans="1:13" outlineLevel="2" x14ac:dyDescent="0.15">
      <c r="A287" s="11">
        <v>211</v>
      </c>
      <c r="B287" s="9" t="s">
        <v>423</v>
      </c>
      <c r="C287" s="9" t="s">
        <v>227</v>
      </c>
      <c r="D287" s="9" t="str">
        <f>VLOOKUP(LEFT(B287,1),部门信息!$B$1:$C$6,2,0)</f>
        <v>行政</v>
      </c>
      <c r="E287" s="10">
        <v>4800</v>
      </c>
      <c r="F287" s="10">
        <v>300</v>
      </c>
      <c r="G287" s="10">
        <v>315</v>
      </c>
      <c r="H287" s="10">
        <v>0</v>
      </c>
      <c r="I287" s="10">
        <f>E287+F287+G287-H287</f>
        <v>5415</v>
      </c>
      <c r="J287" s="10">
        <v>576</v>
      </c>
      <c r="K287" s="10">
        <f>IF(I287-J287-3500&gt;0,I287-J287-3500,0)</f>
        <v>1339</v>
      </c>
      <c r="L287" s="10">
        <f>IF(K287&gt;80000,K287*0.45-13505,IF(K287&gt;55000,K287*0.35-5505,IF(K287&gt;35000,K287*0.3-2755,IF(K287&gt;9000,K287*0.25-1005,IF(K287&gt;4500,K287*0.2-555,IF(K287&gt;1500,K287*0.1-105,IF(K287&gt;0,K287*0.03,0)))))))</f>
        <v>40.17</v>
      </c>
      <c r="M287" s="10">
        <f>I287-J287-L287</f>
        <v>4798.83</v>
      </c>
    </row>
    <row r="288" spans="1:13" outlineLevel="2" x14ac:dyDescent="0.15">
      <c r="A288" s="11">
        <v>217</v>
      </c>
      <c r="B288" s="9" t="s">
        <v>427</v>
      </c>
      <c r="C288" s="9" t="s">
        <v>233</v>
      </c>
      <c r="D288" s="9" t="str">
        <f>VLOOKUP(LEFT(B288,1),部门信息!$B$1:$C$6,2,0)</f>
        <v>行政</v>
      </c>
      <c r="E288" s="10">
        <v>18200</v>
      </c>
      <c r="F288" s="10">
        <v>700</v>
      </c>
      <c r="G288" s="10">
        <v>90</v>
      </c>
      <c r="H288" s="10">
        <v>143</v>
      </c>
      <c r="I288" s="10">
        <f>E288+F288+G288-H288</f>
        <v>18847</v>
      </c>
      <c r="J288" s="10">
        <v>2548</v>
      </c>
      <c r="K288" s="10">
        <f>IF(I288-J288-3500&gt;0,I288-J288-3500,0)</f>
        <v>12799</v>
      </c>
      <c r="L288" s="10">
        <f>IF(K288&gt;80000,K288*0.45-13505,IF(K288&gt;55000,K288*0.35-5505,IF(K288&gt;35000,K288*0.3-2755,IF(K288&gt;9000,K288*0.25-1005,IF(K288&gt;4500,K288*0.2-555,IF(K288&gt;1500,K288*0.1-105,IF(K288&gt;0,K288*0.03,0)))))))</f>
        <v>2194.75</v>
      </c>
      <c r="M288" s="10">
        <f>I288-J288-L288</f>
        <v>14104.25</v>
      </c>
    </row>
    <row r="289" spans="1:13" outlineLevel="2" x14ac:dyDescent="0.15">
      <c r="A289" s="11">
        <v>218</v>
      </c>
      <c r="B289" s="9" t="s">
        <v>395</v>
      </c>
      <c r="C289" s="9" t="s">
        <v>234</v>
      </c>
      <c r="D289" s="9" t="str">
        <f>VLOOKUP(LEFT(B289,1),部门信息!$B$1:$C$6,2,0)</f>
        <v>行政</v>
      </c>
      <c r="E289" s="10">
        <v>3500</v>
      </c>
      <c r="F289" s="10">
        <v>300</v>
      </c>
      <c r="G289" s="10">
        <v>315</v>
      </c>
      <c r="H289" s="10">
        <v>0</v>
      </c>
      <c r="I289" s="10">
        <f>E289+F289+G289-H289</f>
        <v>4115</v>
      </c>
      <c r="J289" s="10">
        <v>560</v>
      </c>
      <c r="K289" s="10">
        <f>IF(I289-J289-3500&gt;0,I289-J289-3500,0)</f>
        <v>55</v>
      </c>
      <c r="L289" s="10">
        <f>IF(K289&gt;80000,K289*0.45-13505,IF(K289&gt;55000,K289*0.35-5505,IF(K289&gt;35000,K289*0.3-2755,IF(K289&gt;9000,K289*0.25-1005,IF(K289&gt;4500,K289*0.2-555,IF(K289&gt;1500,K289*0.1-105,IF(K289&gt;0,K289*0.03,0)))))))</f>
        <v>1.65</v>
      </c>
      <c r="M289" s="10">
        <f>I289-J289-L289</f>
        <v>3553.35</v>
      </c>
    </row>
    <row r="290" spans="1:13" outlineLevel="2" x14ac:dyDescent="0.15">
      <c r="A290" s="11">
        <v>223</v>
      </c>
      <c r="B290" s="9" t="s">
        <v>404</v>
      </c>
      <c r="C290" s="9" t="s">
        <v>239</v>
      </c>
      <c r="D290" s="9" t="str">
        <f>VLOOKUP(LEFT(B290,1),部门信息!$B$1:$C$6,2,0)</f>
        <v>行政</v>
      </c>
      <c r="E290" s="10">
        <v>4300</v>
      </c>
      <c r="F290" s="10">
        <v>900</v>
      </c>
      <c r="G290" s="10">
        <v>315</v>
      </c>
      <c r="H290" s="10">
        <v>306</v>
      </c>
      <c r="I290" s="10">
        <f>E290+F290+G290-H290</f>
        <v>5209</v>
      </c>
      <c r="J290" s="10">
        <v>645</v>
      </c>
      <c r="K290" s="10">
        <f>IF(I290-J290-3500&gt;0,I290-J290-3500,0)</f>
        <v>1064</v>
      </c>
      <c r="L290" s="10">
        <f>IF(K290&gt;80000,K290*0.45-13505,IF(K290&gt;55000,K290*0.35-5505,IF(K290&gt;35000,K290*0.3-2755,IF(K290&gt;9000,K290*0.25-1005,IF(K290&gt;4500,K290*0.2-555,IF(K290&gt;1500,K290*0.1-105,IF(K290&gt;0,K290*0.03,0)))))))</f>
        <v>31.919999999999998</v>
      </c>
      <c r="M290" s="10">
        <f>I290-J290-L290</f>
        <v>4532.08</v>
      </c>
    </row>
    <row r="291" spans="1:13" outlineLevel="2" x14ac:dyDescent="0.15">
      <c r="A291" s="11">
        <v>225</v>
      </c>
      <c r="B291" s="9" t="s">
        <v>393</v>
      </c>
      <c r="C291" s="9" t="s">
        <v>241</v>
      </c>
      <c r="D291" s="9" t="str">
        <f>VLOOKUP(LEFT(B291,1),部门信息!$B$1:$C$6,2,0)</f>
        <v>行政</v>
      </c>
      <c r="E291" s="10">
        <v>15100</v>
      </c>
      <c r="F291" s="10">
        <v>0</v>
      </c>
      <c r="G291" s="10">
        <v>405</v>
      </c>
      <c r="H291" s="10">
        <v>49</v>
      </c>
      <c r="I291" s="10">
        <f>E291+F291+G291-H291</f>
        <v>15456</v>
      </c>
      <c r="J291" s="10">
        <v>1812</v>
      </c>
      <c r="K291" s="10">
        <f>IF(I291-J291-3500&gt;0,I291-J291-3500,0)</f>
        <v>10144</v>
      </c>
      <c r="L291" s="10">
        <f>IF(K291&gt;80000,K291*0.45-13505,IF(K291&gt;55000,K291*0.35-5505,IF(K291&gt;35000,K291*0.3-2755,IF(K291&gt;9000,K291*0.25-1005,IF(K291&gt;4500,K291*0.2-555,IF(K291&gt;1500,K291*0.1-105,IF(K291&gt;0,K291*0.03,0)))))))</f>
        <v>1531</v>
      </c>
      <c r="M291" s="10">
        <f>I291-J291-L291</f>
        <v>12113</v>
      </c>
    </row>
    <row r="292" spans="1:13" outlineLevel="2" x14ac:dyDescent="0.15">
      <c r="A292" s="11">
        <v>227</v>
      </c>
      <c r="B292" s="9" t="s">
        <v>430</v>
      </c>
      <c r="C292" s="9" t="s">
        <v>242</v>
      </c>
      <c r="D292" s="9" t="str">
        <f>VLOOKUP(LEFT(B292,1),部门信息!$B$1:$C$6,2,0)</f>
        <v>行政</v>
      </c>
      <c r="E292" s="10">
        <v>5100</v>
      </c>
      <c r="F292" s="10">
        <v>100</v>
      </c>
      <c r="G292" s="10">
        <v>45</v>
      </c>
      <c r="H292" s="10">
        <v>0</v>
      </c>
      <c r="I292" s="10">
        <f>E292+F292+G292-H292</f>
        <v>5245</v>
      </c>
      <c r="J292" s="10">
        <v>612</v>
      </c>
      <c r="K292" s="10">
        <f>IF(I292-J292-3500&gt;0,I292-J292-3500,0)</f>
        <v>1133</v>
      </c>
      <c r="L292" s="10">
        <f>IF(K292&gt;80000,K292*0.45-13505,IF(K292&gt;55000,K292*0.35-5505,IF(K292&gt;35000,K292*0.3-2755,IF(K292&gt;9000,K292*0.25-1005,IF(K292&gt;4500,K292*0.2-555,IF(K292&gt;1500,K292*0.1-105,IF(K292&gt;0,K292*0.03,0)))))))</f>
        <v>33.99</v>
      </c>
      <c r="M292" s="10">
        <f>I292-J292-L292</f>
        <v>4599.01</v>
      </c>
    </row>
    <row r="293" spans="1:13" outlineLevel="2" x14ac:dyDescent="0.15">
      <c r="A293" s="11">
        <v>231</v>
      </c>
      <c r="B293" s="9" t="s">
        <v>440</v>
      </c>
      <c r="C293" s="9" t="s">
        <v>246</v>
      </c>
      <c r="D293" s="9" t="str">
        <f>VLOOKUP(LEFT(B293,1),部门信息!$B$1:$C$6,2,0)</f>
        <v>行政</v>
      </c>
      <c r="E293" s="10">
        <v>3100</v>
      </c>
      <c r="F293" s="10">
        <v>700</v>
      </c>
      <c r="G293" s="10">
        <v>360</v>
      </c>
      <c r="H293" s="10">
        <v>0</v>
      </c>
      <c r="I293" s="10">
        <f>E293+F293+G293-H293</f>
        <v>4160</v>
      </c>
      <c r="J293" s="10">
        <v>496</v>
      </c>
      <c r="K293" s="10">
        <f>IF(I293-J293-3500&gt;0,I293-J293-3500,0)</f>
        <v>164</v>
      </c>
      <c r="L293" s="10">
        <f>IF(K293&gt;80000,K293*0.45-13505,IF(K293&gt;55000,K293*0.35-5505,IF(K293&gt;35000,K293*0.3-2755,IF(K293&gt;9000,K293*0.25-1005,IF(K293&gt;4500,K293*0.2-555,IF(K293&gt;1500,K293*0.1-105,IF(K293&gt;0,K293*0.03,0)))))))</f>
        <v>4.92</v>
      </c>
      <c r="M293" s="10">
        <f>I293-J293-L293</f>
        <v>3659.08</v>
      </c>
    </row>
    <row r="294" spans="1:13" outlineLevel="2" x14ac:dyDescent="0.15">
      <c r="A294" s="11">
        <v>234</v>
      </c>
      <c r="B294" s="9" t="s">
        <v>388</v>
      </c>
      <c r="C294" s="9" t="s">
        <v>249</v>
      </c>
      <c r="D294" s="9" t="str">
        <f>VLOOKUP(LEFT(B294,1),部门信息!$B$1:$C$6,2,0)</f>
        <v>行政</v>
      </c>
      <c r="E294" s="10">
        <v>12700</v>
      </c>
      <c r="F294" s="10">
        <v>900</v>
      </c>
      <c r="G294" s="10">
        <v>270</v>
      </c>
      <c r="H294" s="10">
        <v>398</v>
      </c>
      <c r="I294" s="10">
        <f>E294+F294+G294-H294</f>
        <v>13472</v>
      </c>
      <c r="J294" s="10">
        <v>1651</v>
      </c>
      <c r="K294" s="10">
        <f>IF(I294-J294-3500&gt;0,I294-J294-3500,0)</f>
        <v>8321</v>
      </c>
      <c r="L294" s="10">
        <f>IF(K294&gt;80000,K294*0.45-13505,IF(K294&gt;55000,K294*0.35-5505,IF(K294&gt;35000,K294*0.3-2755,IF(K294&gt;9000,K294*0.25-1005,IF(K294&gt;4500,K294*0.2-555,IF(K294&gt;1500,K294*0.1-105,IF(K294&gt;0,K294*0.03,0)))))))</f>
        <v>1109.2</v>
      </c>
      <c r="M294" s="10">
        <f>I294-J294-L294</f>
        <v>10711.8</v>
      </c>
    </row>
    <row r="295" spans="1:13" outlineLevel="2" x14ac:dyDescent="0.15">
      <c r="A295" s="11">
        <v>235</v>
      </c>
      <c r="B295" s="9" t="s">
        <v>396</v>
      </c>
      <c r="C295" s="9" t="s">
        <v>250</v>
      </c>
      <c r="D295" s="9" t="str">
        <f>VLOOKUP(LEFT(B295,1),部门信息!$B$1:$C$6,2,0)</f>
        <v>行政</v>
      </c>
      <c r="E295" s="10">
        <v>6800</v>
      </c>
      <c r="F295" s="10">
        <v>600</v>
      </c>
      <c r="G295" s="10">
        <v>450</v>
      </c>
      <c r="H295" s="10">
        <v>401</v>
      </c>
      <c r="I295" s="10">
        <f>E295+F295+G295-H295</f>
        <v>7449</v>
      </c>
      <c r="J295" s="10">
        <v>1020</v>
      </c>
      <c r="K295" s="10">
        <f>IF(I295-J295-3500&gt;0,I295-J295-3500,0)</f>
        <v>2929</v>
      </c>
      <c r="L295" s="10">
        <f>IF(K295&gt;80000,K295*0.45-13505,IF(K295&gt;55000,K295*0.35-5505,IF(K295&gt;35000,K295*0.3-2755,IF(K295&gt;9000,K295*0.25-1005,IF(K295&gt;4500,K295*0.2-555,IF(K295&gt;1500,K295*0.1-105,IF(K295&gt;0,K295*0.03,0)))))))</f>
        <v>187.90000000000003</v>
      </c>
      <c r="M295" s="10">
        <f>I295-J295-L295</f>
        <v>6241.1</v>
      </c>
    </row>
    <row r="296" spans="1:13" outlineLevel="2" x14ac:dyDescent="0.15">
      <c r="A296" s="11">
        <v>241</v>
      </c>
      <c r="B296" s="9" t="s">
        <v>425</v>
      </c>
      <c r="C296" s="9" t="s">
        <v>256</v>
      </c>
      <c r="D296" s="9" t="str">
        <f>VLOOKUP(LEFT(B296,1),部门信息!$B$1:$C$6,2,0)</f>
        <v>行政</v>
      </c>
      <c r="E296" s="10">
        <v>13700</v>
      </c>
      <c r="F296" s="10">
        <v>600</v>
      </c>
      <c r="G296" s="10">
        <v>90</v>
      </c>
      <c r="H296" s="10">
        <v>0</v>
      </c>
      <c r="I296" s="10">
        <f>E296+F296+G296-H296</f>
        <v>14390</v>
      </c>
      <c r="J296" s="10">
        <v>1644</v>
      </c>
      <c r="K296" s="10">
        <f>IF(I296-J296-3500&gt;0,I296-J296-3500,0)</f>
        <v>9246</v>
      </c>
      <c r="L296" s="10">
        <f>IF(K296&gt;80000,K296*0.45-13505,IF(K296&gt;55000,K296*0.35-5505,IF(K296&gt;35000,K296*0.3-2755,IF(K296&gt;9000,K296*0.25-1005,IF(K296&gt;4500,K296*0.2-555,IF(K296&gt;1500,K296*0.1-105,IF(K296&gt;0,K296*0.03,0)))))))</f>
        <v>1306.5</v>
      </c>
      <c r="M296" s="10">
        <f>I296-J296-L296</f>
        <v>11439.5</v>
      </c>
    </row>
    <row r="297" spans="1:13" outlineLevel="2" x14ac:dyDescent="0.15">
      <c r="A297" s="11">
        <v>246</v>
      </c>
      <c r="B297" s="9" t="s">
        <v>426</v>
      </c>
      <c r="C297" s="9" t="s">
        <v>261</v>
      </c>
      <c r="D297" s="9" t="str">
        <f>VLOOKUP(LEFT(B297,1),部门信息!$B$1:$C$6,2,0)</f>
        <v>行政</v>
      </c>
      <c r="E297" s="10">
        <v>12400</v>
      </c>
      <c r="F297" s="10">
        <v>300</v>
      </c>
      <c r="G297" s="10">
        <v>360</v>
      </c>
      <c r="H297" s="10">
        <v>30</v>
      </c>
      <c r="I297" s="10">
        <f>E297+F297+G297-H297</f>
        <v>13030</v>
      </c>
      <c r="J297" s="10">
        <v>1612</v>
      </c>
      <c r="K297" s="10">
        <f>IF(I297-J297-3500&gt;0,I297-J297-3500,0)</f>
        <v>7918</v>
      </c>
      <c r="L297" s="10">
        <f>IF(K297&gt;80000,K297*0.45-13505,IF(K297&gt;55000,K297*0.35-5505,IF(K297&gt;35000,K297*0.3-2755,IF(K297&gt;9000,K297*0.25-1005,IF(K297&gt;4500,K297*0.2-555,IF(K297&gt;1500,K297*0.1-105,IF(K297&gt;0,K297*0.03,0)))))))</f>
        <v>1028.6000000000001</v>
      </c>
      <c r="M297" s="10">
        <f>I297-J297-L297</f>
        <v>10389.4</v>
      </c>
    </row>
    <row r="298" spans="1:13" outlineLevel="2" x14ac:dyDescent="0.15">
      <c r="A298" s="11">
        <v>250</v>
      </c>
      <c r="B298" s="9" t="s">
        <v>411</v>
      </c>
      <c r="C298" s="9" t="s">
        <v>265</v>
      </c>
      <c r="D298" s="9" t="str">
        <f>VLOOKUP(LEFT(B298,1),部门信息!$B$1:$C$6,2,0)</f>
        <v>行政</v>
      </c>
      <c r="E298" s="10">
        <v>11700</v>
      </c>
      <c r="F298" s="10">
        <v>400</v>
      </c>
      <c r="G298" s="10">
        <v>135</v>
      </c>
      <c r="H298" s="10">
        <v>302</v>
      </c>
      <c r="I298" s="10">
        <f>E298+F298+G298-H298</f>
        <v>11933</v>
      </c>
      <c r="J298" s="10">
        <v>1755</v>
      </c>
      <c r="K298" s="10">
        <f>IF(I298-J298-3500&gt;0,I298-J298-3500,0)</f>
        <v>6678</v>
      </c>
      <c r="L298" s="10">
        <f>IF(K298&gt;80000,K298*0.45-13505,IF(K298&gt;55000,K298*0.35-5505,IF(K298&gt;35000,K298*0.3-2755,IF(K298&gt;9000,K298*0.25-1005,IF(K298&gt;4500,K298*0.2-555,IF(K298&gt;1500,K298*0.1-105,IF(K298&gt;0,K298*0.03,0)))))))</f>
        <v>780.60000000000014</v>
      </c>
      <c r="M298" s="10">
        <f>I298-J298-L298</f>
        <v>9397.4</v>
      </c>
    </row>
    <row r="299" spans="1:13" outlineLevel="2" x14ac:dyDescent="0.15">
      <c r="A299" s="11">
        <v>251</v>
      </c>
      <c r="B299" s="9" t="s">
        <v>442</v>
      </c>
      <c r="C299" s="9" t="s">
        <v>266</v>
      </c>
      <c r="D299" s="9" t="str">
        <f>VLOOKUP(LEFT(B299,1),部门信息!$B$1:$C$6,2,0)</f>
        <v>行政</v>
      </c>
      <c r="E299" s="10">
        <v>6600</v>
      </c>
      <c r="F299" s="10">
        <v>800</v>
      </c>
      <c r="G299" s="10">
        <v>180</v>
      </c>
      <c r="H299" s="10">
        <v>374</v>
      </c>
      <c r="I299" s="10">
        <f>E299+F299+G299-H299</f>
        <v>7206</v>
      </c>
      <c r="J299" s="10">
        <v>858</v>
      </c>
      <c r="K299" s="10">
        <f>IF(I299-J299-3500&gt;0,I299-J299-3500,0)</f>
        <v>2848</v>
      </c>
      <c r="L299" s="10">
        <f>IF(K299&gt;80000,K299*0.45-13505,IF(K299&gt;55000,K299*0.35-5505,IF(K299&gt;35000,K299*0.3-2755,IF(K299&gt;9000,K299*0.25-1005,IF(K299&gt;4500,K299*0.2-555,IF(K299&gt;1500,K299*0.1-105,IF(K299&gt;0,K299*0.03,0)))))))</f>
        <v>179.8</v>
      </c>
      <c r="M299" s="10">
        <f>I299-J299-L299</f>
        <v>6168.2</v>
      </c>
    </row>
    <row r="300" spans="1:13" outlineLevel="2" x14ac:dyDescent="0.15">
      <c r="A300" s="11">
        <v>254</v>
      </c>
      <c r="B300" s="9" t="s">
        <v>441</v>
      </c>
      <c r="C300" s="9" t="s">
        <v>269</v>
      </c>
      <c r="D300" s="9" t="str">
        <f>VLOOKUP(LEFT(B300,1),部门信息!$B$1:$C$6,2,0)</f>
        <v>行政</v>
      </c>
      <c r="E300" s="10">
        <v>4400</v>
      </c>
      <c r="F300" s="10">
        <v>0</v>
      </c>
      <c r="G300" s="10">
        <v>315</v>
      </c>
      <c r="H300" s="10">
        <v>161</v>
      </c>
      <c r="I300" s="10">
        <f>E300+F300+G300-H300</f>
        <v>4554</v>
      </c>
      <c r="J300" s="10">
        <v>572</v>
      </c>
      <c r="K300" s="10">
        <f>IF(I300-J300-3500&gt;0,I300-J300-3500,0)</f>
        <v>482</v>
      </c>
      <c r="L300" s="10">
        <f>IF(K300&gt;80000,K300*0.45-13505,IF(K300&gt;55000,K300*0.35-5505,IF(K300&gt;35000,K300*0.3-2755,IF(K300&gt;9000,K300*0.25-1005,IF(K300&gt;4500,K300*0.2-555,IF(K300&gt;1500,K300*0.1-105,IF(K300&gt;0,K300*0.03,0)))))))</f>
        <v>14.459999999999999</v>
      </c>
      <c r="M300" s="10">
        <f>I300-J300-L300</f>
        <v>3967.54</v>
      </c>
    </row>
    <row r="301" spans="1:13" outlineLevel="2" x14ac:dyDescent="0.15">
      <c r="A301" s="11">
        <v>258</v>
      </c>
      <c r="B301" s="9" t="s">
        <v>438</v>
      </c>
      <c r="C301" s="9" t="s">
        <v>3</v>
      </c>
      <c r="D301" s="9" t="str">
        <f>VLOOKUP(LEFT(B301,1),部门信息!$B$1:$C$6,2,0)</f>
        <v>行政</v>
      </c>
      <c r="E301" s="10">
        <v>16000</v>
      </c>
      <c r="F301" s="10">
        <v>100</v>
      </c>
      <c r="G301" s="10">
        <v>405</v>
      </c>
      <c r="H301" s="10">
        <v>62</v>
      </c>
      <c r="I301" s="10">
        <f>E301+F301+G301-H301</f>
        <v>16443</v>
      </c>
      <c r="J301" s="10">
        <v>1920</v>
      </c>
      <c r="K301" s="10">
        <f>IF(I301-J301-3500&gt;0,I301-J301-3500,0)</f>
        <v>11023</v>
      </c>
      <c r="L301" s="10">
        <f>IF(K301&gt;80000,K301*0.45-13505,IF(K301&gt;55000,K301*0.35-5505,IF(K301&gt;35000,K301*0.3-2755,IF(K301&gt;9000,K301*0.25-1005,IF(K301&gt;4500,K301*0.2-555,IF(K301&gt;1500,K301*0.1-105,IF(K301&gt;0,K301*0.03,0)))))))</f>
        <v>1750.75</v>
      </c>
      <c r="M301" s="10">
        <f>I301-J301-L301</f>
        <v>12772.25</v>
      </c>
    </row>
    <row r="302" spans="1:13" outlineLevel="2" x14ac:dyDescent="0.15">
      <c r="A302" s="11">
        <v>263</v>
      </c>
      <c r="B302" s="9" t="s">
        <v>408</v>
      </c>
      <c r="C302" s="9" t="s">
        <v>277</v>
      </c>
      <c r="D302" s="9" t="str">
        <f>VLOOKUP(LEFT(B302,1),部门信息!$B$1:$C$6,2,0)</f>
        <v>行政</v>
      </c>
      <c r="E302" s="10">
        <v>9500</v>
      </c>
      <c r="F302" s="10">
        <v>100</v>
      </c>
      <c r="G302" s="10">
        <v>225</v>
      </c>
      <c r="H302" s="10">
        <v>0</v>
      </c>
      <c r="I302" s="10">
        <f>E302+F302+G302-H302</f>
        <v>9825</v>
      </c>
      <c r="J302" s="10">
        <v>1520</v>
      </c>
      <c r="K302" s="10">
        <f>IF(I302-J302-3500&gt;0,I302-J302-3500,0)</f>
        <v>4805</v>
      </c>
      <c r="L302" s="10">
        <f>IF(K302&gt;80000,K302*0.45-13505,IF(K302&gt;55000,K302*0.35-5505,IF(K302&gt;35000,K302*0.3-2755,IF(K302&gt;9000,K302*0.25-1005,IF(K302&gt;4500,K302*0.2-555,IF(K302&gt;1500,K302*0.1-105,IF(K302&gt;0,K302*0.03,0)))))))</f>
        <v>406</v>
      </c>
      <c r="M302" s="10">
        <f>I302-J302-L302</f>
        <v>7899</v>
      </c>
    </row>
    <row r="303" spans="1:13" outlineLevel="2" x14ac:dyDescent="0.15">
      <c r="A303" s="11">
        <v>265</v>
      </c>
      <c r="B303" s="9" t="s">
        <v>420</v>
      </c>
      <c r="C303" s="9" t="s">
        <v>279</v>
      </c>
      <c r="D303" s="9" t="str">
        <f>VLOOKUP(LEFT(B303,1),部门信息!$B$1:$C$6,2,0)</f>
        <v>行政</v>
      </c>
      <c r="E303" s="10">
        <v>11500</v>
      </c>
      <c r="F303" s="10">
        <v>900</v>
      </c>
      <c r="G303" s="10">
        <v>270</v>
      </c>
      <c r="H303" s="10">
        <v>0</v>
      </c>
      <c r="I303" s="10">
        <f>E303+F303+G303-H303</f>
        <v>12670</v>
      </c>
      <c r="J303" s="10">
        <v>1725</v>
      </c>
      <c r="K303" s="10">
        <f>IF(I303-J303-3500&gt;0,I303-J303-3500,0)</f>
        <v>7445</v>
      </c>
      <c r="L303" s="10">
        <f>IF(K303&gt;80000,K303*0.45-13505,IF(K303&gt;55000,K303*0.35-5505,IF(K303&gt;35000,K303*0.3-2755,IF(K303&gt;9000,K303*0.25-1005,IF(K303&gt;4500,K303*0.2-555,IF(K303&gt;1500,K303*0.1-105,IF(K303&gt;0,K303*0.03,0)))))))</f>
        <v>934</v>
      </c>
      <c r="M303" s="10">
        <f>I303-J303-L303</f>
        <v>10011</v>
      </c>
    </row>
    <row r="304" spans="1:13" outlineLevel="2" x14ac:dyDescent="0.15">
      <c r="A304" s="11">
        <v>272</v>
      </c>
      <c r="B304" s="9" t="s">
        <v>406</v>
      </c>
      <c r="C304" s="9" t="s">
        <v>285</v>
      </c>
      <c r="D304" s="9" t="str">
        <f>VLOOKUP(LEFT(B304,1),部门信息!$B$1:$C$6,2,0)</f>
        <v>行政</v>
      </c>
      <c r="E304" s="10">
        <v>15600</v>
      </c>
      <c r="F304" s="10">
        <v>100</v>
      </c>
      <c r="G304" s="10">
        <v>315</v>
      </c>
      <c r="H304" s="10">
        <v>0</v>
      </c>
      <c r="I304" s="10">
        <f>E304+F304+G304-H304</f>
        <v>16015</v>
      </c>
      <c r="J304" s="10">
        <v>2496</v>
      </c>
      <c r="K304" s="10">
        <f>IF(I304-J304-3500&gt;0,I304-J304-3500,0)</f>
        <v>10019</v>
      </c>
      <c r="L304" s="10">
        <f>IF(K304&gt;80000,K304*0.45-13505,IF(K304&gt;55000,K304*0.35-5505,IF(K304&gt;35000,K304*0.3-2755,IF(K304&gt;9000,K304*0.25-1005,IF(K304&gt;4500,K304*0.2-555,IF(K304&gt;1500,K304*0.1-105,IF(K304&gt;0,K304*0.03,0)))))))</f>
        <v>1499.75</v>
      </c>
      <c r="M304" s="10">
        <f>I304-J304-L304</f>
        <v>12019.25</v>
      </c>
    </row>
    <row r="305" spans="1:13" outlineLevel="2" x14ac:dyDescent="0.15">
      <c r="A305" s="11">
        <v>277</v>
      </c>
      <c r="B305" s="9" t="s">
        <v>373</v>
      </c>
      <c r="C305" s="9" t="s">
        <v>290</v>
      </c>
      <c r="D305" s="9" t="str">
        <f>VLOOKUP(LEFT(B305,1),部门信息!$B$1:$C$6,2,0)</f>
        <v>行政</v>
      </c>
      <c r="E305" s="10">
        <v>12800</v>
      </c>
      <c r="F305" s="10">
        <v>100</v>
      </c>
      <c r="G305" s="10">
        <v>135</v>
      </c>
      <c r="H305" s="10">
        <v>0</v>
      </c>
      <c r="I305" s="10">
        <f>E305+F305+G305-H305</f>
        <v>13035</v>
      </c>
      <c r="J305" s="10">
        <v>1536</v>
      </c>
      <c r="K305" s="10">
        <f>IF(I305-J305-3500&gt;0,I305-J305-3500,0)</f>
        <v>7999</v>
      </c>
      <c r="L305" s="10">
        <f>IF(K305&gt;80000,K305*0.45-13505,IF(K305&gt;55000,K305*0.35-5505,IF(K305&gt;35000,K305*0.3-2755,IF(K305&gt;9000,K305*0.25-1005,IF(K305&gt;4500,K305*0.2-555,IF(K305&gt;1500,K305*0.1-105,IF(K305&gt;0,K305*0.03,0)))))))</f>
        <v>1044.8000000000002</v>
      </c>
      <c r="M305" s="10">
        <f>I305-J305-L305</f>
        <v>10454.200000000001</v>
      </c>
    </row>
    <row r="306" spans="1:13" outlineLevel="2" x14ac:dyDescent="0.15">
      <c r="A306" s="11">
        <v>284</v>
      </c>
      <c r="B306" s="9" t="s">
        <v>379</v>
      </c>
      <c r="C306" s="9" t="s">
        <v>297</v>
      </c>
      <c r="D306" s="9" t="str">
        <f>VLOOKUP(LEFT(B306,1),部门信息!$B$1:$C$6,2,0)</f>
        <v>行政</v>
      </c>
      <c r="E306" s="10">
        <v>17400</v>
      </c>
      <c r="F306" s="10">
        <v>600</v>
      </c>
      <c r="G306" s="10">
        <v>225</v>
      </c>
      <c r="H306" s="10">
        <v>0</v>
      </c>
      <c r="I306" s="10">
        <f>E306+F306+G306-H306</f>
        <v>18225</v>
      </c>
      <c r="J306" s="10">
        <v>2436</v>
      </c>
      <c r="K306" s="10">
        <f>IF(I306-J306-3500&gt;0,I306-J306-3500,0)</f>
        <v>12289</v>
      </c>
      <c r="L306" s="10">
        <f>IF(K306&gt;80000,K306*0.45-13505,IF(K306&gt;55000,K306*0.35-5505,IF(K306&gt;35000,K306*0.3-2755,IF(K306&gt;9000,K306*0.25-1005,IF(K306&gt;4500,K306*0.2-555,IF(K306&gt;1500,K306*0.1-105,IF(K306&gt;0,K306*0.03,0)))))))</f>
        <v>2067.25</v>
      </c>
      <c r="M306" s="10">
        <f>I306-J306-L306</f>
        <v>13721.75</v>
      </c>
    </row>
    <row r="307" spans="1:13" outlineLevel="2" x14ac:dyDescent="0.15">
      <c r="A307" s="11">
        <v>291</v>
      </c>
      <c r="B307" s="9" t="s">
        <v>450</v>
      </c>
      <c r="C307" s="9" t="s">
        <v>304</v>
      </c>
      <c r="D307" s="9" t="str">
        <f>VLOOKUP(LEFT(B307,1),部门信息!$B$1:$C$6,2,0)</f>
        <v>行政</v>
      </c>
      <c r="E307" s="10">
        <v>19800</v>
      </c>
      <c r="F307" s="10">
        <v>800</v>
      </c>
      <c r="G307" s="10">
        <v>270</v>
      </c>
      <c r="H307" s="10">
        <v>393</v>
      </c>
      <c r="I307" s="10">
        <f>E307+F307+G307-H307</f>
        <v>20477</v>
      </c>
      <c r="J307" s="10">
        <v>2772</v>
      </c>
      <c r="K307" s="10">
        <f>IF(I307-J307-3500&gt;0,I307-J307-3500,0)</f>
        <v>14205</v>
      </c>
      <c r="L307" s="10">
        <f>IF(K307&gt;80000,K307*0.45-13505,IF(K307&gt;55000,K307*0.35-5505,IF(K307&gt;35000,K307*0.3-2755,IF(K307&gt;9000,K307*0.25-1005,IF(K307&gt;4500,K307*0.2-555,IF(K307&gt;1500,K307*0.1-105,IF(K307&gt;0,K307*0.03,0)))))))</f>
        <v>2546.25</v>
      </c>
      <c r="M307" s="10">
        <f>I307-J307-L307</f>
        <v>15158.75</v>
      </c>
    </row>
    <row r="308" spans="1:13" outlineLevel="2" x14ac:dyDescent="0.15">
      <c r="A308" s="11">
        <v>292</v>
      </c>
      <c r="B308" s="9" t="s">
        <v>402</v>
      </c>
      <c r="C308" s="9" t="s">
        <v>305</v>
      </c>
      <c r="D308" s="9" t="str">
        <f>VLOOKUP(LEFT(B308,1),部门信息!$B$1:$C$6,2,0)</f>
        <v>行政</v>
      </c>
      <c r="E308" s="10">
        <v>7300</v>
      </c>
      <c r="F308" s="10">
        <v>1000</v>
      </c>
      <c r="G308" s="10">
        <v>135</v>
      </c>
      <c r="H308" s="10">
        <v>0</v>
      </c>
      <c r="I308" s="10">
        <f>E308+F308+G308-H308</f>
        <v>8435</v>
      </c>
      <c r="J308" s="10">
        <v>1022</v>
      </c>
      <c r="K308" s="10">
        <f>IF(I308-J308-3500&gt;0,I308-J308-3500,0)</f>
        <v>3913</v>
      </c>
      <c r="L308" s="10">
        <f>IF(K308&gt;80000,K308*0.45-13505,IF(K308&gt;55000,K308*0.35-5505,IF(K308&gt;35000,K308*0.3-2755,IF(K308&gt;9000,K308*0.25-1005,IF(K308&gt;4500,K308*0.2-555,IF(K308&gt;1500,K308*0.1-105,IF(K308&gt;0,K308*0.03,0)))))))</f>
        <v>286.3</v>
      </c>
      <c r="M308" s="10">
        <f>I308-J308-L308</f>
        <v>7126.7</v>
      </c>
    </row>
    <row r="309" spans="1:13" outlineLevel="2" x14ac:dyDescent="0.15">
      <c r="A309" s="11">
        <v>297</v>
      </c>
      <c r="B309" s="9" t="s">
        <v>417</v>
      </c>
      <c r="C309" s="9" t="s">
        <v>310</v>
      </c>
      <c r="D309" s="9" t="str">
        <f>VLOOKUP(LEFT(B309,1),部门信息!$B$1:$C$6,2,0)</f>
        <v>行政</v>
      </c>
      <c r="E309" s="10">
        <v>8300</v>
      </c>
      <c r="F309" s="10">
        <v>400</v>
      </c>
      <c r="G309" s="10">
        <v>45</v>
      </c>
      <c r="H309" s="10">
        <v>0</v>
      </c>
      <c r="I309" s="10">
        <f>E309+F309+G309-H309</f>
        <v>8745</v>
      </c>
      <c r="J309" s="10">
        <v>1079</v>
      </c>
      <c r="K309" s="10">
        <f>IF(I309-J309-3500&gt;0,I309-J309-3500,0)</f>
        <v>4166</v>
      </c>
      <c r="L309" s="10">
        <f>IF(K309&gt;80000,K309*0.45-13505,IF(K309&gt;55000,K309*0.35-5505,IF(K309&gt;35000,K309*0.3-2755,IF(K309&gt;9000,K309*0.25-1005,IF(K309&gt;4500,K309*0.2-555,IF(K309&gt;1500,K309*0.1-105,IF(K309&gt;0,K309*0.03,0)))))))</f>
        <v>311.60000000000002</v>
      </c>
      <c r="M309" s="10">
        <f>I309-J309-L309</f>
        <v>7354.4</v>
      </c>
    </row>
    <row r="310" spans="1:13" outlineLevel="2" x14ac:dyDescent="0.15">
      <c r="A310" s="11">
        <v>310</v>
      </c>
      <c r="B310" s="9" t="s">
        <v>384</v>
      </c>
      <c r="C310" s="9" t="s">
        <v>322</v>
      </c>
      <c r="D310" s="9" t="str">
        <f>VLOOKUP(LEFT(B310,1),部门信息!$B$1:$C$6,2,0)</f>
        <v>行政</v>
      </c>
      <c r="E310" s="10">
        <v>10800</v>
      </c>
      <c r="F310" s="10">
        <v>300</v>
      </c>
      <c r="G310" s="10">
        <v>360</v>
      </c>
      <c r="H310" s="10">
        <v>0</v>
      </c>
      <c r="I310" s="10">
        <f>E310+F310+G310-H310</f>
        <v>11460</v>
      </c>
      <c r="J310" s="10">
        <v>1512</v>
      </c>
      <c r="K310" s="10">
        <f>IF(I310-J310-3500&gt;0,I310-J310-3500,0)</f>
        <v>6448</v>
      </c>
      <c r="L310" s="10">
        <f>IF(K310&gt;80000,K310*0.45-13505,IF(K310&gt;55000,K310*0.35-5505,IF(K310&gt;35000,K310*0.3-2755,IF(K310&gt;9000,K310*0.25-1005,IF(K310&gt;4500,K310*0.2-555,IF(K310&gt;1500,K310*0.1-105,IF(K310&gt;0,K310*0.03,0)))))))</f>
        <v>734.60000000000014</v>
      </c>
      <c r="M310" s="10">
        <f>I310-J310-L310</f>
        <v>9213.4</v>
      </c>
    </row>
    <row r="311" spans="1:13" outlineLevel="2" x14ac:dyDescent="0.15">
      <c r="A311" s="11">
        <v>316</v>
      </c>
      <c r="B311" s="9" t="s">
        <v>376</v>
      </c>
      <c r="C311" s="9" t="s">
        <v>328</v>
      </c>
      <c r="D311" s="9" t="str">
        <f>VLOOKUP(LEFT(B311,1),部门信息!$B$1:$C$6,2,0)</f>
        <v>行政</v>
      </c>
      <c r="E311" s="10">
        <v>18700</v>
      </c>
      <c r="F311" s="10">
        <v>600</v>
      </c>
      <c r="G311" s="10">
        <v>90</v>
      </c>
      <c r="H311" s="10">
        <v>258</v>
      </c>
      <c r="I311" s="10">
        <f>E311+F311+G311-H311</f>
        <v>19132</v>
      </c>
      <c r="J311" s="10">
        <v>2992</v>
      </c>
      <c r="K311" s="10">
        <f>IF(I311-J311-3500&gt;0,I311-J311-3500,0)</f>
        <v>12640</v>
      </c>
      <c r="L311" s="10">
        <f>IF(K311&gt;80000,K311*0.45-13505,IF(K311&gt;55000,K311*0.35-5505,IF(K311&gt;35000,K311*0.3-2755,IF(K311&gt;9000,K311*0.25-1005,IF(K311&gt;4500,K311*0.2-555,IF(K311&gt;1500,K311*0.1-105,IF(K311&gt;0,K311*0.03,0)))))))</f>
        <v>2155</v>
      </c>
      <c r="M311" s="10">
        <f>I311-J311-L311</f>
        <v>13985</v>
      </c>
    </row>
    <row r="312" spans="1:13" outlineLevel="2" x14ac:dyDescent="0.15">
      <c r="A312" s="11">
        <v>319</v>
      </c>
      <c r="B312" s="9" t="s">
        <v>439</v>
      </c>
      <c r="C312" s="9" t="s">
        <v>331</v>
      </c>
      <c r="D312" s="9" t="str">
        <f>VLOOKUP(LEFT(B312,1),部门信息!$B$1:$C$6,2,0)</f>
        <v>行政</v>
      </c>
      <c r="E312" s="10">
        <v>7900</v>
      </c>
      <c r="F312" s="10">
        <v>500</v>
      </c>
      <c r="G312" s="10">
        <v>270</v>
      </c>
      <c r="H312" s="10">
        <v>0</v>
      </c>
      <c r="I312" s="10">
        <f>E312+F312+G312-H312</f>
        <v>8670</v>
      </c>
      <c r="J312" s="10">
        <v>948</v>
      </c>
      <c r="K312" s="10">
        <f>IF(I312-J312-3500&gt;0,I312-J312-3500,0)</f>
        <v>4222</v>
      </c>
      <c r="L312" s="10">
        <f>IF(K312&gt;80000,K312*0.45-13505,IF(K312&gt;55000,K312*0.35-5505,IF(K312&gt;35000,K312*0.3-2755,IF(K312&gt;9000,K312*0.25-1005,IF(K312&gt;4500,K312*0.2-555,IF(K312&gt;1500,K312*0.1-105,IF(K312&gt;0,K312*0.03,0)))))))</f>
        <v>317.20000000000005</v>
      </c>
      <c r="M312" s="10">
        <f>I312-J312-L312</f>
        <v>7404.8</v>
      </c>
    </row>
    <row r="313" spans="1:13" outlineLevel="2" x14ac:dyDescent="0.15">
      <c r="A313" s="11">
        <v>335</v>
      </c>
      <c r="B313" s="9" t="s">
        <v>385</v>
      </c>
      <c r="C313" s="9" t="s">
        <v>347</v>
      </c>
      <c r="D313" s="9" t="str">
        <f>VLOOKUP(LEFT(B313,1),部门信息!$B$1:$C$6,2,0)</f>
        <v>行政</v>
      </c>
      <c r="E313" s="10">
        <v>10800</v>
      </c>
      <c r="F313" s="10">
        <v>600</v>
      </c>
      <c r="G313" s="10">
        <v>360</v>
      </c>
      <c r="H313" s="10">
        <v>138</v>
      </c>
      <c r="I313" s="10">
        <f>E313+F313+G313-H313</f>
        <v>11622</v>
      </c>
      <c r="J313" s="10">
        <v>1512</v>
      </c>
      <c r="K313" s="10">
        <f>IF(I313-J313-3500&gt;0,I313-J313-3500,0)</f>
        <v>6610</v>
      </c>
      <c r="L313" s="10">
        <f>IF(K313&gt;80000,K313*0.45-13505,IF(K313&gt;55000,K313*0.35-5505,IF(K313&gt;35000,K313*0.3-2755,IF(K313&gt;9000,K313*0.25-1005,IF(K313&gt;4500,K313*0.2-555,IF(K313&gt;1500,K313*0.1-105,IF(K313&gt;0,K313*0.03,0)))))))</f>
        <v>767</v>
      </c>
      <c r="M313" s="10">
        <f>I313-J313-L313</f>
        <v>9343</v>
      </c>
    </row>
    <row r="314" spans="1:13" outlineLevel="2" x14ac:dyDescent="0.15">
      <c r="A314" s="11">
        <v>336</v>
      </c>
      <c r="B314" s="9" t="s">
        <v>400</v>
      </c>
      <c r="C314" s="9" t="s">
        <v>348</v>
      </c>
      <c r="D314" s="9" t="str">
        <f>VLOOKUP(LEFT(B314,1),部门信息!$B$1:$C$6,2,0)</f>
        <v>行政</v>
      </c>
      <c r="E314" s="10">
        <v>9100</v>
      </c>
      <c r="F314" s="10">
        <v>200</v>
      </c>
      <c r="G314" s="10">
        <v>360</v>
      </c>
      <c r="H314" s="10">
        <v>245</v>
      </c>
      <c r="I314" s="10">
        <f>E314+F314+G314-H314</f>
        <v>9415</v>
      </c>
      <c r="J314" s="10">
        <v>1365</v>
      </c>
      <c r="K314" s="10">
        <f>IF(I314-J314-3500&gt;0,I314-J314-3500,0)</f>
        <v>4550</v>
      </c>
      <c r="L314" s="10">
        <f>IF(K314&gt;80000,K314*0.45-13505,IF(K314&gt;55000,K314*0.35-5505,IF(K314&gt;35000,K314*0.3-2755,IF(K314&gt;9000,K314*0.25-1005,IF(K314&gt;4500,K314*0.2-555,IF(K314&gt;1500,K314*0.1-105,IF(K314&gt;0,K314*0.03,0)))))))</f>
        <v>355</v>
      </c>
      <c r="M314" s="10">
        <f>I314-J314-L314</f>
        <v>7695</v>
      </c>
    </row>
    <row r="315" spans="1:13" outlineLevel="2" x14ac:dyDescent="0.15">
      <c r="A315" s="11">
        <v>342</v>
      </c>
      <c r="B315" s="9" t="s">
        <v>432</v>
      </c>
      <c r="C315" s="9" t="s">
        <v>354</v>
      </c>
      <c r="D315" s="9" t="str">
        <f>VLOOKUP(LEFT(B315,1),部门信息!$B$1:$C$6,2,0)</f>
        <v>行政</v>
      </c>
      <c r="E315" s="10">
        <v>10400</v>
      </c>
      <c r="F315" s="10">
        <v>300</v>
      </c>
      <c r="G315" s="10">
        <v>90</v>
      </c>
      <c r="H315" s="10">
        <v>435</v>
      </c>
      <c r="I315" s="10">
        <f>E315+F315+G315-H315</f>
        <v>10355</v>
      </c>
      <c r="J315" s="10">
        <v>1456</v>
      </c>
      <c r="K315" s="10">
        <f>IF(I315-J315-3500&gt;0,I315-J315-3500,0)</f>
        <v>5399</v>
      </c>
      <c r="L315" s="10">
        <f>IF(K315&gt;80000,K315*0.45-13505,IF(K315&gt;55000,K315*0.35-5505,IF(K315&gt;35000,K315*0.3-2755,IF(K315&gt;9000,K315*0.25-1005,IF(K315&gt;4500,K315*0.2-555,IF(K315&gt;1500,K315*0.1-105,IF(K315&gt;0,K315*0.03,0)))))))</f>
        <v>524.79999999999995</v>
      </c>
      <c r="M315" s="10">
        <f>I315-J315-L315</f>
        <v>8374.2000000000007</v>
      </c>
    </row>
    <row r="316" spans="1:13" outlineLevel="2" x14ac:dyDescent="0.15">
      <c r="A316" s="11">
        <v>347</v>
      </c>
      <c r="B316" s="9" t="s">
        <v>398</v>
      </c>
      <c r="C316" s="9" t="s">
        <v>359</v>
      </c>
      <c r="D316" s="9" t="str">
        <f>VLOOKUP(LEFT(B316,1),部门信息!$B$1:$C$6,2,0)</f>
        <v>行政</v>
      </c>
      <c r="E316" s="10">
        <v>11100</v>
      </c>
      <c r="F316" s="10">
        <v>200</v>
      </c>
      <c r="G316" s="10">
        <v>360</v>
      </c>
      <c r="H316" s="10">
        <v>0</v>
      </c>
      <c r="I316" s="10">
        <f>E316+F316+G316-H316</f>
        <v>11660</v>
      </c>
      <c r="J316" s="10">
        <v>1443</v>
      </c>
      <c r="K316" s="10">
        <f>IF(I316-J316-3500&gt;0,I316-J316-3500,0)</f>
        <v>6717</v>
      </c>
      <c r="L316" s="10">
        <f>IF(K316&gt;80000,K316*0.45-13505,IF(K316&gt;55000,K316*0.35-5505,IF(K316&gt;35000,K316*0.3-2755,IF(K316&gt;9000,K316*0.25-1005,IF(K316&gt;4500,K316*0.2-555,IF(K316&gt;1500,K316*0.1-105,IF(K316&gt;0,K316*0.03,0)))))))</f>
        <v>788.40000000000009</v>
      </c>
      <c r="M316" s="10">
        <f>I316-J316-L316</f>
        <v>9428.6</v>
      </c>
    </row>
    <row r="317" spans="1:13" outlineLevel="1" x14ac:dyDescent="0.15">
      <c r="A317" s="11"/>
      <c r="B317" s="9"/>
      <c r="C317" s="9"/>
      <c r="D317" s="12" t="s">
        <v>737</v>
      </c>
      <c r="E317" s="10"/>
      <c r="F317" s="10"/>
      <c r="G317" s="10"/>
      <c r="H317" s="10"/>
      <c r="I317" s="10"/>
      <c r="J317" s="10"/>
      <c r="K317" s="10"/>
      <c r="L317" s="10"/>
      <c r="M317" s="10">
        <f>SUBTOTAL(1,M236:M316)</f>
        <v>8848.8696296296312</v>
      </c>
    </row>
    <row r="318" spans="1:13" outlineLevel="2" x14ac:dyDescent="0.15">
      <c r="A318" s="11">
        <v>3</v>
      </c>
      <c r="B318" s="9" t="s">
        <v>547</v>
      </c>
      <c r="C318" s="9" t="s">
        <v>29</v>
      </c>
      <c r="D318" s="9" t="str">
        <f>VLOOKUP(LEFT(B318,1),部门信息!$B$1:$C$6,2,0)</f>
        <v>研发</v>
      </c>
      <c r="E318" s="10">
        <v>11500</v>
      </c>
      <c r="F318" s="10">
        <v>0</v>
      </c>
      <c r="G318" s="10">
        <v>405</v>
      </c>
      <c r="H318" s="10">
        <v>34</v>
      </c>
      <c r="I318" s="10">
        <f>E318+F318+G318-H318</f>
        <v>11871</v>
      </c>
      <c r="J318" s="10">
        <v>1610</v>
      </c>
      <c r="K318" s="10">
        <f>IF(I318-J318-3500&gt;0,I318-J318-3500,0)</f>
        <v>6761</v>
      </c>
      <c r="L318" s="10">
        <f>IF(K318&gt;80000,K318*0.45-13505,IF(K318&gt;55000,K318*0.35-5505,IF(K318&gt;35000,K318*0.3-2755,IF(K318&gt;9000,K318*0.25-1005,IF(K318&gt;4500,K318*0.2-555,IF(K318&gt;1500,K318*0.1-105,IF(K318&gt;0,K318*0.03,0)))))))</f>
        <v>797.2</v>
      </c>
      <c r="M318" s="10">
        <f>I318-J318-L318</f>
        <v>9463.7999999999993</v>
      </c>
    </row>
    <row r="319" spans="1:13" outlineLevel="2" x14ac:dyDescent="0.15">
      <c r="A319" s="11">
        <v>5</v>
      </c>
      <c r="B319" s="9" t="s">
        <v>545</v>
      </c>
      <c r="C319" s="9" t="s">
        <v>31</v>
      </c>
      <c r="D319" s="9" t="str">
        <f>VLOOKUP(LEFT(B319,1),部门信息!$B$1:$C$6,2,0)</f>
        <v>研发</v>
      </c>
      <c r="E319" s="10">
        <v>16400</v>
      </c>
      <c r="F319" s="10">
        <v>700</v>
      </c>
      <c r="G319" s="10">
        <v>450</v>
      </c>
      <c r="H319" s="10">
        <v>314</v>
      </c>
      <c r="I319" s="10">
        <f>E319+F319+G319-H319</f>
        <v>17236</v>
      </c>
      <c r="J319" s="10">
        <v>2460</v>
      </c>
      <c r="K319" s="10">
        <f>IF(I319-J319-3500&gt;0,I319-J319-3500,0)</f>
        <v>11276</v>
      </c>
      <c r="L319" s="10">
        <f>IF(K319&gt;80000,K319*0.45-13505,IF(K319&gt;55000,K319*0.35-5505,IF(K319&gt;35000,K319*0.3-2755,IF(K319&gt;9000,K319*0.25-1005,IF(K319&gt;4500,K319*0.2-555,IF(K319&gt;1500,K319*0.1-105,IF(K319&gt;0,K319*0.03,0)))))))</f>
        <v>1814</v>
      </c>
      <c r="M319" s="10">
        <f>I319-J319-L319</f>
        <v>12962</v>
      </c>
    </row>
    <row r="320" spans="1:13" outlineLevel="2" x14ac:dyDescent="0.15">
      <c r="A320" s="11">
        <v>8</v>
      </c>
      <c r="B320" s="9" t="s">
        <v>564</v>
      </c>
      <c r="C320" s="9" t="s">
        <v>34</v>
      </c>
      <c r="D320" s="9" t="str">
        <f>VLOOKUP(LEFT(B320,1),部门信息!$B$1:$C$6,2,0)</f>
        <v>研发</v>
      </c>
      <c r="E320" s="10">
        <v>8200</v>
      </c>
      <c r="F320" s="10">
        <v>800</v>
      </c>
      <c r="G320" s="10">
        <v>180</v>
      </c>
      <c r="H320" s="10">
        <v>0</v>
      </c>
      <c r="I320" s="10">
        <f>E320+F320+G320-H320</f>
        <v>9180</v>
      </c>
      <c r="J320" s="10">
        <v>1148</v>
      </c>
      <c r="K320" s="10">
        <f>IF(I320-J320-3500&gt;0,I320-J320-3500,0)</f>
        <v>4532</v>
      </c>
      <c r="L320" s="10">
        <f>IF(K320&gt;80000,K320*0.45-13505,IF(K320&gt;55000,K320*0.35-5505,IF(K320&gt;35000,K320*0.3-2755,IF(K320&gt;9000,K320*0.25-1005,IF(K320&gt;4500,K320*0.2-555,IF(K320&gt;1500,K320*0.1-105,IF(K320&gt;0,K320*0.03,0)))))))</f>
        <v>351.40000000000009</v>
      </c>
      <c r="M320" s="10">
        <f>I320-J320-L320</f>
        <v>7680.6</v>
      </c>
    </row>
    <row r="321" spans="1:13" outlineLevel="2" x14ac:dyDescent="0.15">
      <c r="A321" s="11">
        <v>32</v>
      </c>
      <c r="B321" s="9" t="s">
        <v>565</v>
      </c>
      <c r="C321" s="9" t="s">
        <v>57</v>
      </c>
      <c r="D321" s="9" t="str">
        <f>VLOOKUP(LEFT(B321,1),部门信息!$B$1:$C$6,2,0)</f>
        <v>研发</v>
      </c>
      <c r="E321" s="10">
        <v>18600</v>
      </c>
      <c r="F321" s="10">
        <v>300</v>
      </c>
      <c r="G321" s="10">
        <v>405</v>
      </c>
      <c r="H321" s="10">
        <v>0</v>
      </c>
      <c r="I321" s="10">
        <f>E321+F321+G321-H321</f>
        <v>19305</v>
      </c>
      <c r="J321" s="10">
        <v>2976</v>
      </c>
      <c r="K321" s="10">
        <f>IF(I321-J321-3500&gt;0,I321-J321-3500,0)</f>
        <v>12829</v>
      </c>
      <c r="L321" s="10">
        <f>IF(K321&gt;80000,K321*0.45-13505,IF(K321&gt;55000,K321*0.35-5505,IF(K321&gt;35000,K321*0.3-2755,IF(K321&gt;9000,K321*0.25-1005,IF(K321&gt;4500,K321*0.2-555,IF(K321&gt;1500,K321*0.1-105,IF(K321&gt;0,K321*0.03,0)))))))</f>
        <v>2202.25</v>
      </c>
      <c r="M321" s="10">
        <f>I321-J321-L321</f>
        <v>14126.75</v>
      </c>
    </row>
    <row r="322" spans="1:13" outlineLevel="2" x14ac:dyDescent="0.15">
      <c r="A322" s="11">
        <v>47</v>
      </c>
      <c r="B322" s="9" t="s">
        <v>569</v>
      </c>
      <c r="C322" s="9" t="s">
        <v>72</v>
      </c>
      <c r="D322" s="9" t="str">
        <f>VLOOKUP(LEFT(B322,1),部门信息!$B$1:$C$6,2,0)</f>
        <v>研发</v>
      </c>
      <c r="E322" s="10">
        <v>17200</v>
      </c>
      <c r="F322" s="10">
        <v>600</v>
      </c>
      <c r="G322" s="10">
        <v>450</v>
      </c>
      <c r="H322" s="10">
        <v>0</v>
      </c>
      <c r="I322" s="10">
        <f>E322+F322+G322-H322</f>
        <v>18250</v>
      </c>
      <c r="J322" s="10">
        <v>2064</v>
      </c>
      <c r="K322" s="10">
        <f>IF(I322-J322-3500&gt;0,I322-J322-3500,0)</f>
        <v>12686</v>
      </c>
      <c r="L322" s="10">
        <f>IF(K322&gt;80000,K322*0.45-13505,IF(K322&gt;55000,K322*0.35-5505,IF(K322&gt;35000,K322*0.3-2755,IF(K322&gt;9000,K322*0.25-1005,IF(K322&gt;4500,K322*0.2-555,IF(K322&gt;1500,K322*0.1-105,IF(K322&gt;0,K322*0.03,0)))))))</f>
        <v>2166.5</v>
      </c>
      <c r="M322" s="10">
        <f>I322-J322-L322</f>
        <v>14019.5</v>
      </c>
    </row>
    <row r="323" spans="1:13" outlineLevel="2" x14ac:dyDescent="0.15">
      <c r="A323" s="11">
        <v>59</v>
      </c>
      <c r="B323" s="9" t="s">
        <v>566</v>
      </c>
      <c r="C323" s="9" t="s">
        <v>84</v>
      </c>
      <c r="D323" s="9" t="str">
        <f>VLOOKUP(LEFT(B323,1),部门信息!$B$1:$C$6,2,0)</f>
        <v>研发</v>
      </c>
      <c r="E323" s="10">
        <v>11200</v>
      </c>
      <c r="F323" s="10">
        <v>800</v>
      </c>
      <c r="G323" s="10">
        <v>405</v>
      </c>
      <c r="H323" s="10">
        <v>377</v>
      </c>
      <c r="I323" s="10">
        <f>E323+F323+G323-H323</f>
        <v>12028</v>
      </c>
      <c r="J323" s="10">
        <v>1456</v>
      </c>
      <c r="K323" s="10">
        <f>IF(I323-J323-3500&gt;0,I323-J323-3500,0)</f>
        <v>7072</v>
      </c>
      <c r="L323" s="10">
        <f>IF(K323&gt;80000,K323*0.45-13505,IF(K323&gt;55000,K323*0.35-5505,IF(K323&gt;35000,K323*0.3-2755,IF(K323&gt;9000,K323*0.25-1005,IF(K323&gt;4500,K323*0.2-555,IF(K323&gt;1500,K323*0.1-105,IF(K323&gt;0,K323*0.03,0)))))))</f>
        <v>859.40000000000009</v>
      </c>
      <c r="M323" s="10">
        <f>I323-J323-L323</f>
        <v>9712.6</v>
      </c>
    </row>
    <row r="324" spans="1:13" outlineLevel="2" x14ac:dyDescent="0.15">
      <c r="A324" s="11">
        <v>64</v>
      </c>
      <c r="B324" s="9" t="s">
        <v>557</v>
      </c>
      <c r="C324" s="9" t="s">
        <v>89</v>
      </c>
      <c r="D324" s="9" t="str">
        <f>VLOOKUP(LEFT(B324,1),部门信息!$B$1:$C$6,2,0)</f>
        <v>研发</v>
      </c>
      <c r="E324" s="10">
        <v>13100</v>
      </c>
      <c r="F324" s="10">
        <v>200</v>
      </c>
      <c r="G324" s="10">
        <v>405</v>
      </c>
      <c r="H324" s="10">
        <v>0</v>
      </c>
      <c r="I324" s="10">
        <f>E324+F324+G324-H324</f>
        <v>13705</v>
      </c>
      <c r="J324" s="10">
        <v>1834</v>
      </c>
      <c r="K324" s="10">
        <f>IF(I324-J324-3500&gt;0,I324-J324-3500,0)</f>
        <v>8371</v>
      </c>
      <c r="L324" s="10">
        <f>IF(K324&gt;80000,K324*0.45-13505,IF(K324&gt;55000,K324*0.35-5505,IF(K324&gt;35000,K324*0.3-2755,IF(K324&gt;9000,K324*0.25-1005,IF(K324&gt;4500,K324*0.2-555,IF(K324&gt;1500,K324*0.1-105,IF(K324&gt;0,K324*0.03,0)))))))</f>
        <v>1119.2</v>
      </c>
      <c r="M324" s="10">
        <f>I324-J324-L324</f>
        <v>10751.8</v>
      </c>
    </row>
    <row r="325" spans="1:13" outlineLevel="2" x14ac:dyDescent="0.15">
      <c r="A325" s="11">
        <v>70</v>
      </c>
      <c r="B325" s="9" t="s">
        <v>562</v>
      </c>
      <c r="C325" s="9" t="s">
        <v>95</v>
      </c>
      <c r="D325" s="9" t="str">
        <f>VLOOKUP(LEFT(B325,1),部门信息!$B$1:$C$6,2,0)</f>
        <v>研发</v>
      </c>
      <c r="E325" s="10">
        <v>8700</v>
      </c>
      <c r="F325" s="10">
        <v>500</v>
      </c>
      <c r="G325" s="10">
        <v>180</v>
      </c>
      <c r="H325" s="10">
        <v>0</v>
      </c>
      <c r="I325" s="10">
        <f>E325+F325+G325-H325</f>
        <v>9380</v>
      </c>
      <c r="J325" s="10">
        <v>1392</v>
      </c>
      <c r="K325" s="10">
        <f>IF(I325-J325-3500&gt;0,I325-J325-3500,0)</f>
        <v>4488</v>
      </c>
      <c r="L325" s="10">
        <f>IF(K325&gt;80000,K325*0.45-13505,IF(K325&gt;55000,K325*0.35-5505,IF(K325&gt;35000,K325*0.3-2755,IF(K325&gt;9000,K325*0.25-1005,IF(K325&gt;4500,K325*0.2-555,IF(K325&gt;1500,K325*0.1-105,IF(K325&gt;0,K325*0.03,0)))))))</f>
        <v>343.8</v>
      </c>
      <c r="M325" s="10">
        <f>I325-J325-L325</f>
        <v>7644.2</v>
      </c>
    </row>
    <row r="326" spans="1:13" outlineLevel="2" x14ac:dyDescent="0.15">
      <c r="A326" s="11">
        <v>72</v>
      </c>
      <c r="B326" s="9" t="s">
        <v>555</v>
      </c>
      <c r="C326" s="9" t="s">
        <v>97</v>
      </c>
      <c r="D326" s="9" t="str">
        <f>VLOOKUP(LEFT(B326,1),部门信息!$B$1:$C$6,2,0)</f>
        <v>研发</v>
      </c>
      <c r="E326" s="10">
        <v>17300</v>
      </c>
      <c r="F326" s="10">
        <v>900</v>
      </c>
      <c r="G326" s="10">
        <v>360</v>
      </c>
      <c r="H326" s="10">
        <v>269</v>
      </c>
      <c r="I326" s="10">
        <f>E326+F326+G326-H326</f>
        <v>18291</v>
      </c>
      <c r="J326" s="10">
        <v>2422</v>
      </c>
      <c r="K326" s="10">
        <f>IF(I326-J326-3500&gt;0,I326-J326-3500,0)</f>
        <v>12369</v>
      </c>
      <c r="L326" s="10">
        <f>IF(K326&gt;80000,K326*0.45-13505,IF(K326&gt;55000,K326*0.35-5505,IF(K326&gt;35000,K326*0.3-2755,IF(K326&gt;9000,K326*0.25-1005,IF(K326&gt;4500,K326*0.2-555,IF(K326&gt;1500,K326*0.1-105,IF(K326&gt;0,K326*0.03,0)))))))</f>
        <v>2087.25</v>
      </c>
      <c r="M326" s="10">
        <f>I326-J326-L326</f>
        <v>13781.75</v>
      </c>
    </row>
    <row r="327" spans="1:13" outlineLevel="2" x14ac:dyDescent="0.15">
      <c r="A327" s="11">
        <v>76</v>
      </c>
      <c r="B327" s="9" t="s">
        <v>535</v>
      </c>
      <c r="C327" s="9" t="s">
        <v>10</v>
      </c>
      <c r="D327" s="9" t="str">
        <f>VLOOKUP(LEFT(B327,1),部门信息!$B$1:$C$6,2,0)</f>
        <v>研发</v>
      </c>
      <c r="E327" s="10">
        <v>4100</v>
      </c>
      <c r="F327" s="10">
        <v>600</v>
      </c>
      <c r="G327" s="10">
        <v>360</v>
      </c>
      <c r="H327" s="10">
        <v>0</v>
      </c>
      <c r="I327" s="10">
        <f>E327+F327+G327-H327</f>
        <v>5060</v>
      </c>
      <c r="J327" s="10">
        <v>656</v>
      </c>
      <c r="K327" s="10">
        <f>IF(I327-J327-3500&gt;0,I327-J327-3500,0)</f>
        <v>904</v>
      </c>
      <c r="L327" s="10">
        <f>IF(K327&gt;80000,K327*0.45-13505,IF(K327&gt;55000,K327*0.35-5505,IF(K327&gt;35000,K327*0.3-2755,IF(K327&gt;9000,K327*0.25-1005,IF(K327&gt;4500,K327*0.2-555,IF(K327&gt;1500,K327*0.1-105,IF(K327&gt;0,K327*0.03,0)))))))</f>
        <v>27.119999999999997</v>
      </c>
      <c r="M327" s="10">
        <f>I327-J327-L327</f>
        <v>4376.88</v>
      </c>
    </row>
    <row r="328" spans="1:13" outlineLevel="2" x14ac:dyDescent="0.15">
      <c r="A328" s="11">
        <v>79</v>
      </c>
      <c r="B328" s="9" t="s">
        <v>546</v>
      </c>
      <c r="C328" s="9" t="s">
        <v>103</v>
      </c>
      <c r="D328" s="9" t="str">
        <f>VLOOKUP(LEFT(B328,1),部门信息!$B$1:$C$6,2,0)</f>
        <v>研发</v>
      </c>
      <c r="E328" s="10">
        <v>18700</v>
      </c>
      <c r="F328" s="10">
        <v>100</v>
      </c>
      <c r="G328" s="10">
        <v>180</v>
      </c>
      <c r="H328" s="10">
        <v>0</v>
      </c>
      <c r="I328" s="10">
        <f>E328+F328+G328-H328</f>
        <v>18980</v>
      </c>
      <c r="J328" s="10">
        <v>2805</v>
      </c>
      <c r="K328" s="10">
        <f>IF(I328-J328-3500&gt;0,I328-J328-3500,0)</f>
        <v>12675</v>
      </c>
      <c r="L328" s="10">
        <f>IF(K328&gt;80000,K328*0.45-13505,IF(K328&gt;55000,K328*0.35-5505,IF(K328&gt;35000,K328*0.3-2755,IF(K328&gt;9000,K328*0.25-1005,IF(K328&gt;4500,K328*0.2-555,IF(K328&gt;1500,K328*0.1-105,IF(K328&gt;0,K328*0.03,0)))))))</f>
        <v>2163.75</v>
      </c>
      <c r="M328" s="10">
        <f>I328-J328-L328</f>
        <v>14011.25</v>
      </c>
    </row>
    <row r="329" spans="1:13" outlineLevel="2" x14ac:dyDescent="0.15">
      <c r="A329" s="11">
        <v>93</v>
      </c>
      <c r="B329" s="9" t="s">
        <v>540</v>
      </c>
      <c r="C329" s="9" t="s">
        <v>117</v>
      </c>
      <c r="D329" s="9" t="str">
        <f>VLOOKUP(LEFT(B329,1),部门信息!$B$1:$C$6,2,0)</f>
        <v>研发</v>
      </c>
      <c r="E329" s="10">
        <v>7800</v>
      </c>
      <c r="F329" s="10">
        <v>200</v>
      </c>
      <c r="G329" s="10">
        <v>180</v>
      </c>
      <c r="H329" s="10">
        <v>0</v>
      </c>
      <c r="I329" s="10">
        <f>E329+F329+G329-H329</f>
        <v>8180</v>
      </c>
      <c r="J329" s="10">
        <v>1248</v>
      </c>
      <c r="K329" s="10">
        <f>IF(I329-J329-3500&gt;0,I329-J329-3500,0)</f>
        <v>3432</v>
      </c>
      <c r="L329" s="10">
        <f>IF(K329&gt;80000,K329*0.45-13505,IF(K329&gt;55000,K329*0.35-5505,IF(K329&gt;35000,K329*0.3-2755,IF(K329&gt;9000,K329*0.25-1005,IF(K329&gt;4500,K329*0.2-555,IF(K329&gt;1500,K329*0.1-105,IF(K329&gt;0,K329*0.03,0)))))))</f>
        <v>238.20000000000005</v>
      </c>
      <c r="M329" s="10">
        <f>I329-J329-L329</f>
        <v>6693.8</v>
      </c>
    </row>
    <row r="330" spans="1:13" outlineLevel="2" x14ac:dyDescent="0.15">
      <c r="A330" s="11">
        <v>98</v>
      </c>
      <c r="B330" s="9" t="s">
        <v>543</v>
      </c>
      <c r="C330" s="9" t="s">
        <v>122</v>
      </c>
      <c r="D330" s="9" t="str">
        <f>VLOOKUP(LEFT(B330,1),部门信息!$B$1:$C$6,2,0)</f>
        <v>研发</v>
      </c>
      <c r="E330" s="10">
        <v>12600</v>
      </c>
      <c r="F330" s="10">
        <v>1000</v>
      </c>
      <c r="G330" s="10">
        <v>405</v>
      </c>
      <c r="H330" s="10">
        <v>41</v>
      </c>
      <c r="I330" s="10">
        <f>E330+F330+G330-H330</f>
        <v>13964</v>
      </c>
      <c r="J330" s="10">
        <v>1890</v>
      </c>
      <c r="K330" s="10">
        <f>IF(I330-J330-3500&gt;0,I330-J330-3500,0)</f>
        <v>8574</v>
      </c>
      <c r="L330" s="10">
        <f>IF(K330&gt;80000,K330*0.45-13505,IF(K330&gt;55000,K330*0.35-5505,IF(K330&gt;35000,K330*0.3-2755,IF(K330&gt;9000,K330*0.25-1005,IF(K330&gt;4500,K330*0.2-555,IF(K330&gt;1500,K330*0.1-105,IF(K330&gt;0,K330*0.03,0)))))))</f>
        <v>1159.8000000000002</v>
      </c>
      <c r="M330" s="10">
        <f>I330-J330-L330</f>
        <v>10914.2</v>
      </c>
    </row>
    <row r="331" spans="1:13" outlineLevel="2" x14ac:dyDescent="0.15">
      <c r="A331" s="11">
        <v>110</v>
      </c>
      <c r="B331" s="9" t="s">
        <v>552</v>
      </c>
      <c r="C331" s="9" t="s">
        <v>133</v>
      </c>
      <c r="D331" s="9" t="str">
        <f>VLOOKUP(LEFT(B331,1),部门信息!$B$1:$C$6,2,0)</f>
        <v>研发</v>
      </c>
      <c r="E331" s="10">
        <v>7000</v>
      </c>
      <c r="F331" s="10">
        <v>1000</v>
      </c>
      <c r="G331" s="10">
        <v>225</v>
      </c>
      <c r="H331" s="10">
        <v>43</v>
      </c>
      <c r="I331" s="10">
        <f>E331+F331+G331-H331</f>
        <v>8182</v>
      </c>
      <c r="J331" s="10">
        <v>1050</v>
      </c>
      <c r="K331" s="10">
        <f>IF(I331-J331-3500&gt;0,I331-J331-3500,0)</f>
        <v>3632</v>
      </c>
      <c r="L331" s="10">
        <f>IF(K331&gt;80000,K331*0.45-13505,IF(K331&gt;55000,K331*0.35-5505,IF(K331&gt;35000,K331*0.3-2755,IF(K331&gt;9000,K331*0.25-1005,IF(K331&gt;4500,K331*0.2-555,IF(K331&gt;1500,K331*0.1-105,IF(K331&gt;0,K331*0.03,0)))))))</f>
        <v>258.20000000000005</v>
      </c>
      <c r="M331" s="10">
        <f>I331-J331-L331</f>
        <v>6873.8</v>
      </c>
    </row>
    <row r="332" spans="1:13" outlineLevel="2" x14ac:dyDescent="0.15">
      <c r="A332" s="11">
        <v>113</v>
      </c>
      <c r="B332" s="9" t="s">
        <v>534</v>
      </c>
      <c r="C332" s="9" t="s">
        <v>135</v>
      </c>
      <c r="D332" s="9" t="str">
        <f>VLOOKUP(LEFT(B332,1),部门信息!$B$1:$C$6,2,0)</f>
        <v>研发</v>
      </c>
      <c r="E332" s="10">
        <v>3500</v>
      </c>
      <c r="F332" s="10">
        <v>0</v>
      </c>
      <c r="G332" s="10">
        <v>360</v>
      </c>
      <c r="H332" s="10">
        <v>220</v>
      </c>
      <c r="I332" s="10">
        <f>E332+F332+G332-H332</f>
        <v>3640</v>
      </c>
      <c r="J332" s="10">
        <v>490</v>
      </c>
      <c r="K332" s="10">
        <f>IF(I332-J332-3500&gt;0,I332-J332-3500,0)</f>
        <v>0</v>
      </c>
      <c r="L332" s="10">
        <f>IF(K332&gt;80000,K332*0.45-13505,IF(K332&gt;55000,K332*0.35-5505,IF(K332&gt;35000,K332*0.3-2755,IF(K332&gt;9000,K332*0.25-1005,IF(K332&gt;4500,K332*0.2-555,IF(K332&gt;1500,K332*0.1-105,IF(K332&gt;0,K332*0.03,0)))))))</f>
        <v>0</v>
      </c>
      <c r="M332" s="10">
        <f>I332-J332-L332</f>
        <v>3150</v>
      </c>
    </row>
    <row r="333" spans="1:13" outlineLevel="2" x14ac:dyDescent="0.15">
      <c r="A333" s="11">
        <v>116</v>
      </c>
      <c r="B333" s="9" t="s">
        <v>532</v>
      </c>
      <c r="C333" s="9" t="s">
        <v>138</v>
      </c>
      <c r="D333" s="9" t="str">
        <f>VLOOKUP(LEFT(B333,1),部门信息!$B$1:$C$6,2,0)</f>
        <v>研发</v>
      </c>
      <c r="E333" s="10">
        <v>16300</v>
      </c>
      <c r="F333" s="10">
        <v>0</v>
      </c>
      <c r="G333" s="10">
        <v>315</v>
      </c>
      <c r="H333" s="10">
        <v>0</v>
      </c>
      <c r="I333" s="10">
        <f>E333+F333+G333-H333</f>
        <v>16615</v>
      </c>
      <c r="J333" s="10">
        <v>2608</v>
      </c>
      <c r="K333" s="10">
        <f>IF(I333-J333-3500&gt;0,I333-J333-3500,0)</f>
        <v>10507</v>
      </c>
      <c r="L333" s="10">
        <f>IF(K333&gt;80000,K333*0.45-13505,IF(K333&gt;55000,K333*0.35-5505,IF(K333&gt;35000,K333*0.3-2755,IF(K333&gt;9000,K333*0.25-1005,IF(K333&gt;4500,K333*0.2-555,IF(K333&gt;1500,K333*0.1-105,IF(K333&gt;0,K333*0.03,0)))))))</f>
        <v>1621.75</v>
      </c>
      <c r="M333" s="10">
        <f>I333-J333-L333</f>
        <v>12385.25</v>
      </c>
    </row>
    <row r="334" spans="1:13" outlineLevel="2" x14ac:dyDescent="0.15">
      <c r="A334" s="11">
        <v>120</v>
      </c>
      <c r="B334" s="9" t="s">
        <v>533</v>
      </c>
      <c r="C334" s="9" t="s">
        <v>142</v>
      </c>
      <c r="D334" s="9" t="str">
        <f>VLOOKUP(LEFT(B334,1),部门信息!$B$1:$C$6,2,0)</f>
        <v>研发</v>
      </c>
      <c r="E334" s="10">
        <v>19800</v>
      </c>
      <c r="F334" s="10">
        <v>700</v>
      </c>
      <c r="G334" s="10">
        <v>450</v>
      </c>
      <c r="H334" s="10">
        <v>282</v>
      </c>
      <c r="I334" s="10">
        <f>E334+F334+G334-H334</f>
        <v>20668</v>
      </c>
      <c r="J334" s="10">
        <v>2376</v>
      </c>
      <c r="K334" s="10">
        <f>IF(I334-J334-3500&gt;0,I334-J334-3500,0)</f>
        <v>14792</v>
      </c>
      <c r="L334" s="10">
        <f>IF(K334&gt;80000,K334*0.45-13505,IF(K334&gt;55000,K334*0.35-5505,IF(K334&gt;35000,K334*0.3-2755,IF(K334&gt;9000,K334*0.25-1005,IF(K334&gt;4500,K334*0.2-555,IF(K334&gt;1500,K334*0.1-105,IF(K334&gt;0,K334*0.03,0)))))))</f>
        <v>2693</v>
      </c>
      <c r="M334" s="10">
        <f>I334-J334-L334</f>
        <v>15599</v>
      </c>
    </row>
    <row r="335" spans="1:13" outlineLevel="2" x14ac:dyDescent="0.15">
      <c r="A335" s="11">
        <v>147</v>
      </c>
      <c r="B335" s="9" t="s">
        <v>548</v>
      </c>
      <c r="C335" s="9" t="s">
        <v>167</v>
      </c>
      <c r="D335" s="9" t="str">
        <f>VLOOKUP(LEFT(B335,1),部门信息!$B$1:$C$6,2,0)</f>
        <v>研发</v>
      </c>
      <c r="E335" s="10">
        <v>11000</v>
      </c>
      <c r="F335" s="10">
        <v>600</v>
      </c>
      <c r="G335" s="10">
        <v>180</v>
      </c>
      <c r="H335" s="10">
        <v>0</v>
      </c>
      <c r="I335" s="10">
        <f>E335+F335+G335-H335</f>
        <v>11780</v>
      </c>
      <c r="J335" s="10">
        <v>1320</v>
      </c>
      <c r="K335" s="10">
        <f>IF(I335-J335-3500&gt;0,I335-J335-3500,0)</f>
        <v>6960</v>
      </c>
      <c r="L335" s="10">
        <f>IF(K335&gt;80000,K335*0.45-13505,IF(K335&gt;55000,K335*0.35-5505,IF(K335&gt;35000,K335*0.3-2755,IF(K335&gt;9000,K335*0.25-1005,IF(K335&gt;4500,K335*0.2-555,IF(K335&gt;1500,K335*0.1-105,IF(K335&gt;0,K335*0.03,0)))))))</f>
        <v>837</v>
      </c>
      <c r="M335" s="10">
        <f>I335-J335-L335</f>
        <v>9623</v>
      </c>
    </row>
    <row r="336" spans="1:13" outlineLevel="2" x14ac:dyDescent="0.15">
      <c r="A336" s="11">
        <v>175</v>
      </c>
      <c r="B336" s="9" t="s">
        <v>551</v>
      </c>
      <c r="C336" s="9" t="s">
        <v>194</v>
      </c>
      <c r="D336" s="9" t="str">
        <f>VLOOKUP(LEFT(B336,1),部门信息!$B$1:$C$6,2,0)</f>
        <v>研发</v>
      </c>
      <c r="E336" s="10">
        <v>18700</v>
      </c>
      <c r="F336" s="10">
        <v>100</v>
      </c>
      <c r="G336" s="10">
        <v>270</v>
      </c>
      <c r="H336" s="10">
        <v>294</v>
      </c>
      <c r="I336" s="10">
        <f>E336+F336+G336-H336</f>
        <v>18776</v>
      </c>
      <c r="J336" s="10">
        <v>2431</v>
      </c>
      <c r="K336" s="10">
        <f>IF(I336-J336-3500&gt;0,I336-J336-3500,0)</f>
        <v>12845</v>
      </c>
      <c r="L336" s="10">
        <f>IF(K336&gt;80000,K336*0.45-13505,IF(K336&gt;55000,K336*0.35-5505,IF(K336&gt;35000,K336*0.3-2755,IF(K336&gt;9000,K336*0.25-1005,IF(K336&gt;4500,K336*0.2-555,IF(K336&gt;1500,K336*0.1-105,IF(K336&gt;0,K336*0.03,0)))))))</f>
        <v>2206.25</v>
      </c>
      <c r="M336" s="10">
        <f>I336-J336-L336</f>
        <v>14138.75</v>
      </c>
    </row>
    <row r="337" spans="1:13" outlineLevel="2" x14ac:dyDescent="0.15">
      <c r="A337" s="11">
        <v>191</v>
      </c>
      <c r="B337" s="9" t="s">
        <v>550</v>
      </c>
      <c r="C337" s="9" t="s">
        <v>209</v>
      </c>
      <c r="D337" s="9" t="str">
        <f>VLOOKUP(LEFT(B337,1),部门信息!$B$1:$C$6,2,0)</f>
        <v>研发</v>
      </c>
      <c r="E337" s="10">
        <v>5400</v>
      </c>
      <c r="F337" s="10">
        <v>600</v>
      </c>
      <c r="G337" s="10">
        <v>90</v>
      </c>
      <c r="H337" s="10">
        <v>41</v>
      </c>
      <c r="I337" s="10">
        <f>E337+F337+G337-H337</f>
        <v>6049</v>
      </c>
      <c r="J337" s="10">
        <v>810</v>
      </c>
      <c r="K337" s="10">
        <f>IF(I337-J337-3500&gt;0,I337-J337-3500,0)</f>
        <v>1739</v>
      </c>
      <c r="L337" s="10">
        <f>IF(K337&gt;80000,K337*0.45-13505,IF(K337&gt;55000,K337*0.35-5505,IF(K337&gt;35000,K337*0.3-2755,IF(K337&gt;9000,K337*0.25-1005,IF(K337&gt;4500,K337*0.2-555,IF(K337&gt;1500,K337*0.1-105,IF(K337&gt;0,K337*0.03,0)))))))</f>
        <v>68.900000000000006</v>
      </c>
      <c r="M337" s="10">
        <f>I337-J337-L337</f>
        <v>5170.1000000000004</v>
      </c>
    </row>
    <row r="338" spans="1:13" outlineLevel="2" x14ac:dyDescent="0.15">
      <c r="A338" s="11">
        <v>198</v>
      </c>
      <c r="B338" s="9" t="s">
        <v>541</v>
      </c>
      <c r="C338" s="9" t="s">
        <v>216</v>
      </c>
      <c r="D338" s="9" t="str">
        <f>VLOOKUP(LEFT(B338,1),部门信息!$B$1:$C$6,2,0)</f>
        <v>研发</v>
      </c>
      <c r="E338" s="10">
        <v>16600</v>
      </c>
      <c r="F338" s="10">
        <v>400</v>
      </c>
      <c r="G338" s="10">
        <v>180</v>
      </c>
      <c r="H338" s="10">
        <v>0</v>
      </c>
      <c r="I338" s="10">
        <f>E338+F338+G338-H338</f>
        <v>17180</v>
      </c>
      <c r="J338" s="10">
        <v>2490</v>
      </c>
      <c r="K338" s="10">
        <f>IF(I338-J338-3500&gt;0,I338-J338-3500,0)</f>
        <v>11190</v>
      </c>
      <c r="L338" s="10">
        <f>IF(K338&gt;80000,K338*0.45-13505,IF(K338&gt;55000,K338*0.35-5505,IF(K338&gt;35000,K338*0.3-2755,IF(K338&gt;9000,K338*0.25-1005,IF(K338&gt;4500,K338*0.2-555,IF(K338&gt;1500,K338*0.1-105,IF(K338&gt;0,K338*0.03,0)))))))</f>
        <v>1792.5</v>
      </c>
      <c r="M338" s="10">
        <f>I338-J338-L338</f>
        <v>12897.5</v>
      </c>
    </row>
    <row r="339" spans="1:13" outlineLevel="2" x14ac:dyDescent="0.15">
      <c r="A339" s="11">
        <v>207</v>
      </c>
      <c r="B339" s="9" t="s">
        <v>558</v>
      </c>
      <c r="C339" s="9" t="s">
        <v>223</v>
      </c>
      <c r="D339" s="9" t="str">
        <f>VLOOKUP(LEFT(B339,1),部门信息!$B$1:$C$6,2,0)</f>
        <v>研发</v>
      </c>
      <c r="E339" s="10">
        <v>4400</v>
      </c>
      <c r="F339" s="10">
        <v>700</v>
      </c>
      <c r="G339" s="10">
        <v>225</v>
      </c>
      <c r="H339" s="10">
        <v>24</v>
      </c>
      <c r="I339" s="10">
        <f>E339+F339+G339-H339</f>
        <v>5301</v>
      </c>
      <c r="J339" s="10">
        <v>572</v>
      </c>
      <c r="K339" s="10">
        <f>IF(I339-J339-3500&gt;0,I339-J339-3500,0)</f>
        <v>1229</v>
      </c>
      <c r="L339" s="10">
        <f>IF(K339&gt;80000,K339*0.45-13505,IF(K339&gt;55000,K339*0.35-5505,IF(K339&gt;35000,K339*0.3-2755,IF(K339&gt;9000,K339*0.25-1005,IF(K339&gt;4500,K339*0.2-555,IF(K339&gt;1500,K339*0.1-105,IF(K339&gt;0,K339*0.03,0)))))))</f>
        <v>36.869999999999997</v>
      </c>
      <c r="M339" s="10">
        <f>I339-J339-L339</f>
        <v>4692.13</v>
      </c>
    </row>
    <row r="340" spans="1:13" outlineLevel="2" x14ac:dyDescent="0.15">
      <c r="A340" s="11">
        <v>210</v>
      </c>
      <c r="B340" s="9" t="s">
        <v>563</v>
      </c>
      <c r="C340" s="9" t="s">
        <v>226</v>
      </c>
      <c r="D340" s="9" t="str">
        <f>VLOOKUP(LEFT(B340,1),部门信息!$B$1:$C$6,2,0)</f>
        <v>研发</v>
      </c>
      <c r="E340" s="10">
        <v>15600</v>
      </c>
      <c r="F340" s="10">
        <v>300</v>
      </c>
      <c r="G340" s="10">
        <v>270</v>
      </c>
      <c r="H340" s="10">
        <v>269</v>
      </c>
      <c r="I340" s="10">
        <f>E340+F340+G340-H340</f>
        <v>15901</v>
      </c>
      <c r="J340" s="10">
        <v>2340</v>
      </c>
      <c r="K340" s="10">
        <f>IF(I340-J340-3500&gt;0,I340-J340-3500,0)</f>
        <v>10061</v>
      </c>
      <c r="L340" s="10">
        <f>IF(K340&gt;80000,K340*0.45-13505,IF(K340&gt;55000,K340*0.35-5505,IF(K340&gt;35000,K340*0.3-2755,IF(K340&gt;9000,K340*0.25-1005,IF(K340&gt;4500,K340*0.2-555,IF(K340&gt;1500,K340*0.1-105,IF(K340&gt;0,K340*0.03,0)))))))</f>
        <v>1510.25</v>
      </c>
      <c r="M340" s="10">
        <f>I340-J340-L340</f>
        <v>12050.75</v>
      </c>
    </row>
    <row r="341" spans="1:13" outlineLevel="2" x14ac:dyDescent="0.15">
      <c r="A341" s="11">
        <v>222</v>
      </c>
      <c r="B341" s="9" t="s">
        <v>539</v>
      </c>
      <c r="C341" s="9" t="s">
        <v>238</v>
      </c>
      <c r="D341" s="9" t="str">
        <f>VLOOKUP(LEFT(B341,1),部门信息!$B$1:$C$6,2,0)</f>
        <v>研发</v>
      </c>
      <c r="E341" s="10">
        <v>17200</v>
      </c>
      <c r="F341" s="10">
        <v>300</v>
      </c>
      <c r="G341" s="10">
        <v>360</v>
      </c>
      <c r="H341" s="10">
        <v>0</v>
      </c>
      <c r="I341" s="10">
        <f>E341+F341+G341-H341</f>
        <v>17860</v>
      </c>
      <c r="J341" s="10">
        <v>2580</v>
      </c>
      <c r="K341" s="10">
        <f>IF(I341-J341-3500&gt;0,I341-J341-3500,0)</f>
        <v>11780</v>
      </c>
      <c r="L341" s="10">
        <f>IF(K341&gt;80000,K341*0.45-13505,IF(K341&gt;55000,K341*0.35-5505,IF(K341&gt;35000,K341*0.3-2755,IF(K341&gt;9000,K341*0.25-1005,IF(K341&gt;4500,K341*0.2-555,IF(K341&gt;1500,K341*0.1-105,IF(K341&gt;0,K341*0.03,0)))))))</f>
        <v>1940</v>
      </c>
      <c r="M341" s="10">
        <f>I341-J341-L341</f>
        <v>13340</v>
      </c>
    </row>
    <row r="342" spans="1:13" outlineLevel="2" x14ac:dyDescent="0.15">
      <c r="A342" s="11">
        <v>245</v>
      </c>
      <c r="B342" s="9" t="s">
        <v>554</v>
      </c>
      <c r="C342" s="9" t="s">
        <v>260</v>
      </c>
      <c r="D342" s="9" t="str">
        <f>VLOOKUP(LEFT(B342,1),部门信息!$B$1:$C$6,2,0)</f>
        <v>研发</v>
      </c>
      <c r="E342" s="10">
        <v>15300</v>
      </c>
      <c r="F342" s="10">
        <v>100</v>
      </c>
      <c r="G342" s="10">
        <v>90</v>
      </c>
      <c r="H342" s="10">
        <v>105</v>
      </c>
      <c r="I342" s="10">
        <f>E342+F342+G342-H342</f>
        <v>15385</v>
      </c>
      <c r="J342" s="10">
        <v>2142</v>
      </c>
      <c r="K342" s="10">
        <f>IF(I342-J342-3500&gt;0,I342-J342-3500,0)</f>
        <v>9743</v>
      </c>
      <c r="L342" s="10">
        <f>IF(K342&gt;80000,K342*0.45-13505,IF(K342&gt;55000,K342*0.35-5505,IF(K342&gt;35000,K342*0.3-2755,IF(K342&gt;9000,K342*0.25-1005,IF(K342&gt;4500,K342*0.2-555,IF(K342&gt;1500,K342*0.1-105,IF(K342&gt;0,K342*0.03,0)))))))</f>
        <v>1430.75</v>
      </c>
      <c r="M342" s="10">
        <f>I342-J342-L342</f>
        <v>11812.25</v>
      </c>
    </row>
    <row r="343" spans="1:13" outlineLevel="2" x14ac:dyDescent="0.15">
      <c r="A343" s="11">
        <v>255</v>
      </c>
      <c r="B343" s="9" t="s">
        <v>559</v>
      </c>
      <c r="C343" s="9" t="s">
        <v>270</v>
      </c>
      <c r="D343" s="9" t="str">
        <f>VLOOKUP(LEFT(B343,1),部门信息!$B$1:$C$6,2,0)</f>
        <v>研发</v>
      </c>
      <c r="E343" s="10">
        <v>5100</v>
      </c>
      <c r="F343" s="10">
        <v>700</v>
      </c>
      <c r="G343" s="10">
        <v>225</v>
      </c>
      <c r="H343" s="10">
        <v>0</v>
      </c>
      <c r="I343" s="10">
        <f>E343+F343+G343-H343</f>
        <v>6025</v>
      </c>
      <c r="J343" s="10">
        <v>765</v>
      </c>
      <c r="K343" s="10">
        <f>IF(I343-J343-3500&gt;0,I343-J343-3500,0)</f>
        <v>1760</v>
      </c>
      <c r="L343" s="10">
        <f>IF(K343&gt;80000,K343*0.45-13505,IF(K343&gt;55000,K343*0.35-5505,IF(K343&gt;35000,K343*0.3-2755,IF(K343&gt;9000,K343*0.25-1005,IF(K343&gt;4500,K343*0.2-555,IF(K343&gt;1500,K343*0.1-105,IF(K343&gt;0,K343*0.03,0)))))))</f>
        <v>71</v>
      </c>
      <c r="M343" s="10">
        <f>I343-J343-L343</f>
        <v>5189</v>
      </c>
    </row>
    <row r="344" spans="1:13" outlineLevel="2" x14ac:dyDescent="0.15">
      <c r="A344" s="11">
        <v>261</v>
      </c>
      <c r="B344" s="9" t="s">
        <v>538</v>
      </c>
      <c r="C344" s="9" t="s">
        <v>275</v>
      </c>
      <c r="D344" s="9" t="str">
        <f>VLOOKUP(LEFT(B344,1),部门信息!$B$1:$C$6,2,0)</f>
        <v>研发</v>
      </c>
      <c r="E344" s="10">
        <v>17000</v>
      </c>
      <c r="F344" s="10">
        <v>700</v>
      </c>
      <c r="G344" s="10">
        <v>180</v>
      </c>
      <c r="H344" s="10">
        <v>129</v>
      </c>
      <c r="I344" s="10">
        <f>E344+F344+G344-H344</f>
        <v>17751</v>
      </c>
      <c r="J344" s="10">
        <v>2720</v>
      </c>
      <c r="K344" s="10">
        <f>IF(I344-J344-3500&gt;0,I344-J344-3500,0)</f>
        <v>11531</v>
      </c>
      <c r="L344" s="10">
        <f>IF(K344&gt;80000,K344*0.45-13505,IF(K344&gt;55000,K344*0.35-5505,IF(K344&gt;35000,K344*0.3-2755,IF(K344&gt;9000,K344*0.25-1005,IF(K344&gt;4500,K344*0.2-555,IF(K344&gt;1500,K344*0.1-105,IF(K344&gt;0,K344*0.03,0)))))))</f>
        <v>1877.75</v>
      </c>
      <c r="M344" s="10">
        <f>I344-J344-L344</f>
        <v>13153.25</v>
      </c>
    </row>
    <row r="345" spans="1:13" outlineLevel="2" x14ac:dyDescent="0.15">
      <c r="A345" s="11">
        <v>266</v>
      </c>
      <c r="B345" s="9" t="s">
        <v>567</v>
      </c>
      <c r="C345" s="9" t="s">
        <v>280</v>
      </c>
      <c r="D345" s="9" t="str">
        <f>VLOOKUP(LEFT(B345,1),部门信息!$B$1:$C$6,2,0)</f>
        <v>研发</v>
      </c>
      <c r="E345" s="10">
        <v>5900</v>
      </c>
      <c r="F345" s="10">
        <v>600</v>
      </c>
      <c r="G345" s="10">
        <v>315</v>
      </c>
      <c r="H345" s="10">
        <v>238</v>
      </c>
      <c r="I345" s="10">
        <f>E345+F345+G345-H345</f>
        <v>6577</v>
      </c>
      <c r="J345" s="10">
        <v>944</v>
      </c>
      <c r="K345" s="10">
        <f>IF(I345-J345-3500&gt;0,I345-J345-3500,0)</f>
        <v>2133</v>
      </c>
      <c r="L345" s="10">
        <f>IF(K345&gt;80000,K345*0.45-13505,IF(K345&gt;55000,K345*0.35-5505,IF(K345&gt;35000,K345*0.3-2755,IF(K345&gt;9000,K345*0.25-1005,IF(K345&gt;4500,K345*0.2-555,IF(K345&gt;1500,K345*0.1-105,IF(K345&gt;0,K345*0.03,0)))))))</f>
        <v>108.30000000000001</v>
      </c>
      <c r="M345" s="10">
        <f>I345-J345-L345</f>
        <v>5524.7</v>
      </c>
    </row>
    <row r="346" spans="1:13" outlineLevel="2" x14ac:dyDescent="0.15">
      <c r="A346" s="11">
        <v>268</v>
      </c>
      <c r="B346" s="9" t="s">
        <v>536</v>
      </c>
      <c r="C346" s="9" t="s">
        <v>282</v>
      </c>
      <c r="D346" s="9" t="str">
        <f>VLOOKUP(LEFT(B346,1),部门信息!$B$1:$C$6,2,0)</f>
        <v>研发</v>
      </c>
      <c r="E346" s="10">
        <v>14100</v>
      </c>
      <c r="F346" s="10">
        <v>800</v>
      </c>
      <c r="G346" s="10">
        <v>405</v>
      </c>
      <c r="H346" s="10">
        <v>309</v>
      </c>
      <c r="I346" s="10">
        <f>E346+F346+G346-H346</f>
        <v>14996</v>
      </c>
      <c r="J346" s="10">
        <v>2115</v>
      </c>
      <c r="K346" s="10">
        <f>IF(I346-J346-3500&gt;0,I346-J346-3500,0)</f>
        <v>9381</v>
      </c>
      <c r="L346" s="10">
        <f>IF(K346&gt;80000,K346*0.45-13505,IF(K346&gt;55000,K346*0.35-5505,IF(K346&gt;35000,K346*0.3-2755,IF(K346&gt;9000,K346*0.25-1005,IF(K346&gt;4500,K346*0.2-555,IF(K346&gt;1500,K346*0.1-105,IF(K346&gt;0,K346*0.03,0)))))))</f>
        <v>1340.25</v>
      </c>
      <c r="M346" s="10">
        <f>I346-J346-L346</f>
        <v>11540.75</v>
      </c>
    </row>
    <row r="347" spans="1:13" outlineLevel="2" x14ac:dyDescent="0.15">
      <c r="A347" s="11">
        <v>271</v>
      </c>
      <c r="B347" s="9" t="s">
        <v>544</v>
      </c>
      <c r="C347" s="9" t="s">
        <v>25</v>
      </c>
      <c r="D347" s="9" t="str">
        <f>VLOOKUP(LEFT(B347,1),部门信息!$B$1:$C$6,2,0)</f>
        <v>研发</v>
      </c>
      <c r="E347" s="10">
        <v>5200</v>
      </c>
      <c r="F347" s="10">
        <v>600</v>
      </c>
      <c r="G347" s="10">
        <v>45</v>
      </c>
      <c r="H347" s="10">
        <v>0</v>
      </c>
      <c r="I347" s="10">
        <f>E347+F347+G347-H347</f>
        <v>5845</v>
      </c>
      <c r="J347" s="10">
        <v>624</v>
      </c>
      <c r="K347" s="10">
        <f>IF(I347-J347-3500&gt;0,I347-J347-3500,0)</f>
        <v>1721</v>
      </c>
      <c r="L347" s="10">
        <f>IF(K347&gt;80000,K347*0.45-13505,IF(K347&gt;55000,K347*0.35-5505,IF(K347&gt;35000,K347*0.3-2755,IF(K347&gt;9000,K347*0.25-1005,IF(K347&gt;4500,K347*0.2-555,IF(K347&gt;1500,K347*0.1-105,IF(K347&gt;0,K347*0.03,0)))))))</f>
        <v>67.100000000000023</v>
      </c>
      <c r="M347" s="10">
        <f>I347-J347-L347</f>
        <v>5153.8999999999996</v>
      </c>
    </row>
    <row r="348" spans="1:13" outlineLevel="2" x14ac:dyDescent="0.15">
      <c r="A348" s="11">
        <v>276</v>
      </c>
      <c r="B348" s="9" t="s">
        <v>568</v>
      </c>
      <c r="C348" s="9" t="s">
        <v>289</v>
      </c>
      <c r="D348" s="9" t="str">
        <f>VLOOKUP(LEFT(B348,1),部门信息!$B$1:$C$6,2,0)</f>
        <v>研发</v>
      </c>
      <c r="E348" s="10">
        <v>5100</v>
      </c>
      <c r="F348" s="10">
        <v>900</v>
      </c>
      <c r="G348" s="10">
        <v>360</v>
      </c>
      <c r="H348" s="10">
        <v>0</v>
      </c>
      <c r="I348" s="10">
        <f>E348+F348+G348-H348</f>
        <v>6360</v>
      </c>
      <c r="J348" s="10">
        <v>612</v>
      </c>
      <c r="K348" s="10">
        <f>IF(I348-J348-3500&gt;0,I348-J348-3500,0)</f>
        <v>2248</v>
      </c>
      <c r="L348" s="10">
        <f>IF(K348&gt;80000,K348*0.45-13505,IF(K348&gt;55000,K348*0.35-5505,IF(K348&gt;35000,K348*0.3-2755,IF(K348&gt;9000,K348*0.25-1005,IF(K348&gt;4500,K348*0.2-555,IF(K348&gt;1500,K348*0.1-105,IF(K348&gt;0,K348*0.03,0)))))))</f>
        <v>119.80000000000001</v>
      </c>
      <c r="M348" s="10">
        <f>I348-J348-L348</f>
        <v>5628.2</v>
      </c>
    </row>
    <row r="349" spans="1:13" outlineLevel="2" x14ac:dyDescent="0.15">
      <c r="A349" s="11">
        <v>295</v>
      </c>
      <c r="B349" s="9" t="s">
        <v>560</v>
      </c>
      <c r="C349" s="9" t="s">
        <v>308</v>
      </c>
      <c r="D349" s="9" t="str">
        <f>VLOOKUP(LEFT(B349,1),部门信息!$B$1:$C$6,2,0)</f>
        <v>研发</v>
      </c>
      <c r="E349" s="10">
        <v>3900</v>
      </c>
      <c r="F349" s="10">
        <v>100</v>
      </c>
      <c r="G349" s="10">
        <v>450</v>
      </c>
      <c r="H349" s="10">
        <v>0</v>
      </c>
      <c r="I349" s="10">
        <f>E349+F349+G349-H349</f>
        <v>4450</v>
      </c>
      <c r="J349" s="10">
        <v>468</v>
      </c>
      <c r="K349" s="10">
        <f>IF(I349-J349-3500&gt;0,I349-J349-3500,0)</f>
        <v>482</v>
      </c>
      <c r="L349" s="10">
        <f>IF(K349&gt;80000,K349*0.45-13505,IF(K349&gt;55000,K349*0.35-5505,IF(K349&gt;35000,K349*0.3-2755,IF(K349&gt;9000,K349*0.25-1005,IF(K349&gt;4500,K349*0.2-555,IF(K349&gt;1500,K349*0.1-105,IF(K349&gt;0,K349*0.03,0)))))))</f>
        <v>14.459999999999999</v>
      </c>
      <c r="M349" s="10">
        <f>I349-J349-L349</f>
        <v>3967.54</v>
      </c>
    </row>
    <row r="350" spans="1:13" outlineLevel="2" x14ac:dyDescent="0.15">
      <c r="A350" s="11">
        <v>299</v>
      </c>
      <c r="B350" s="9" t="s">
        <v>561</v>
      </c>
      <c r="C350" s="9" t="s">
        <v>312</v>
      </c>
      <c r="D350" s="9" t="str">
        <f>VLOOKUP(LEFT(B350,1),部门信息!$B$1:$C$6,2,0)</f>
        <v>研发</v>
      </c>
      <c r="E350" s="10">
        <v>7700</v>
      </c>
      <c r="F350" s="10">
        <v>300</v>
      </c>
      <c r="G350" s="10">
        <v>360</v>
      </c>
      <c r="H350" s="10">
        <v>395</v>
      </c>
      <c r="I350" s="10">
        <f>E350+F350+G350-H350</f>
        <v>7965</v>
      </c>
      <c r="J350" s="10">
        <v>924</v>
      </c>
      <c r="K350" s="10">
        <f>IF(I350-J350-3500&gt;0,I350-J350-3500,0)</f>
        <v>3541</v>
      </c>
      <c r="L350" s="10">
        <f>IF(K350&gt;80000,K350*0.45-13505,IF(K350&gt;55000,K350*0.35-5505,IF(K350&gt;35000,K350*0.3-2755,IF(K350&gt;9000,K350*0.25-1005,IF(K350&gt;4500,K350*0.2-555,IF(K350&gt;1500,K350*0.1-105,IF(K350&gt;0,K350*0.03,0)))))))</f>
        <v>249.10000000000002</v>
      </c>
      <c r="M350" s="10">
        <f>I350-J350-L350</f>
        <v>6791.9</v>
      </c>
    </row>
    <row r="351" spans="1:13" outlineLevel="2" x14ac:dyDescent="0.15">
      <c r="A351" s="11">
        <v>309</v>
      </c>
      <c r="B351" s="9" t="s">
        <v>537</v>
      </c>
      <c r="C351" s="9" t="s">
        <v>321</v>
      </c>
      <c r="D351" s="9" t="str">
        <f>VLOOKUP(LEFT(B351,1),部门信息!$B$1:$C$6,2,0)</f>
        <v>研发</v>
      </c>
      <c r="E351" s="10">
        <v>3200</v>
      </c>
      <c r="F351" s="10">
        <v>700</v>
      </c>
      <c r="G351" s="10">
        <v>45</v>
      </c>
      <c r="H351" s="10">
        <v>151</v>
      </c>
      <c r="I351" s="10">
        <f>E351+F351+G351-H351</f>
        <v>3794</v>
      </c>
      <c r="J351" s="10">
        <v>512</v>
      </c>
      <c r="K351" s="10">
        <f>IF(I351-J351-3500&gt;0,I351-J351-3500,0)</f>
        <v>0</v>
      </c>
      <c r="L351" s="10">
        <f>IF(K351&gt;80000,K351*0.45-13505,IF(K351&gt;55000,K351*0.35-5505,IF(K351&gt;35000,K351*0.3-2755,IF(K351&gt;9000,K351*0.25-1005,IF(K351&gt;4500,K351*0.2-555,IF(K351&gt;1500,K351*0.1-105,IF(K351&gt;0,K351*0.03,0)))))))</f>
        <v>0</v>
      </c>
      <c r="M351" s="10">
        <f>I351-J351-L351</f>
        <v>3282</v>
      </c>
    </row>
    <row r="352" spans="1:13" outlineLevel="2" x14ac:dyDescent="0.15">
      <c r="A352" s="11">
        <v>314</v>
      </c>
      <c r="B352" s="9" t="s">
        <v>553</v>
      </c>
      <c r="C352" s="9" t="s">
        <v>326</v>
      </c>
      <c r="D352" s="9" t="str">
        <f>VLOOKUP(LEFT(B352,1),部门信息!$B$1:$C$6,2,0)</f>
        <v>研发</v>
      </c>
      <c r="E352" s="10">
        <v>8900</v>
      </c>
      <c r="F352" s="10">
        <v>600</v>
      </c>
      <c r="G352" s="10">
        <v>315</v>
      </c>
      <c r="H352" s="10">
        <v>128</v>
      </c>
      <c r="I352" s="10">
        <f>E352+F352+G352-H352</f>
        <v>9687</v>
      </c>
      <c r="J352" s="10">
        <v>1068</v>
      </c>
      <c r="K352" s="10">
        <f>IF(I352-J352-3500&gt;0,I352-J352-3500,0)</f>
        <v>5119</v>
      </c>
      <c r="L352" s="10">
        <f>IF(K352&gt;80000,K352*0.45-13505,IF(K352&gt;55000,K352*0.35-5505,IF(K352&gt;35000,K352*0.3-2755,IF(K352&gt;9000,K352*0.25-1005,IF(K352&gt;4500,K352*0.2-555,IF(K352&gt;1500,K352*0.1-105,IF(K352&gt;0,K352*0.03,0)))))))</f>
        <v>468.80000000000007</v>
      </c>
      <c r="M352" s="10">
        <f>I352-J352-L352</f>
        <v>8150.2</v>
      </c>
    </row>
    <row r="353" spans="1:13" outlineLevel="2" x14ac:dyDescent="0.15">
      <c r="A353" s="11">
        <v>325</v>
      </c>
      <c r="B353" s="9" t="s">
        <v>556</v>
      </c>
      <c r="C353" s="9" t="s">
        <v>337</v>
      </c>
      <c r="D353" s="9" t="str">
        <f>VLOOKUP(LEFT(B353,1),部门信息!$B$1:$C$6,2,0)</f>
        <v>研发</v>
      </c>
      <c r="E353" s="10">
        <v>7400</v>
      </c>
      <c r="F353" s="10">
        <v>100</v>
      </c>
      <c r="G353" s="10">
        <v>225</v>
      </c>
      <c r="H353" s="10">
        <v>249</v>
      </c>
      <c r="I353" s="10">
        <f>E353+F353+G353-H353</f>
        <v>7476</v>
      </c>
      <c r="J353" s="10">
        <v>1036</v>
      </c>
      <c r="K353" s="10">
        <f>IF(I353-J353-3500&gt;0,I353-J353-3500,0)</f>
        <v>2940</v>
      </c>
      <c r="L353" s="10">
        <f>IF(K353&gt;80000,K353*0.45-13505,IF(K353&gt;55000,K353*0.35-5505,IF(K353&gt;35000,K353*0.3-2755,IF(K353&gt;9000,K353*0.25-1005,IF(K353&gt;4500,K353*0.2-555,IF(K353&gt;1500,K353*0.1-105,IF(K353&gt;0,K353*0.03,0)))))))</f>
        <v>189</v>
      </c>
      <c r="M353" s="10">
        <f>I353-J353-L353</f>
        <v>6251</v>
      </c>
    </row>
    <row r="354" spans="1:13" outlineLevel="2" x14ac:dyDescent="0.15">
      <c r="A354" s="11">
        <v>340</v>
      </c>
      <c r="B354" s="9" t="s">
        <v>542</v>
      </c>
      <c r="C354" s="9" t="s">
        <v>352</v>
      </c>
      <c r="D354" s="9" t="str">
        <f>VLOOKUP(LEFT(B354,1),部门信息!$B$1:$C$6,2,0)</f>
        <v>研发</v>
      </c>
      <c r="E354" s="10">
        <v>3600</v>
      </c>
      <c r="F354" s="10">
        <v>600</v>
      </c>
      <c r="G354" s="10">
        <v>450</v>
      </c>
      <c r="H354" s="10">
        <v>0</v>
      </c>
      <c r="I354" s="10">
        <f>E354+F354+G354-H354</f>
        <v>4650</v>
      </c>
      <c r="J354" s="10">
        <v>504</v>
      </c>
      <c r="K354" s="10">
        <f>IF(I354-J354-3500&gt;0,I354-J354-3500,0)</f>
        <v>646</v>
      </c>
      <c r="L354" s="10">
        <f>IF(K354&gt;80000,K354*0.45-13505,IF(K354&gt;55000,K354*0.35-5505,IF(K354&gt;35000,K354*0.3-2755,IF(K354&gt;9000,K354*0.25-1005,IF(K354&gt;4500,K354*0.2-555,IF(K354&gt;1500,K354*0.1-105,IF(K354&gt;0,K354*0.03,0)))))))</f>
        <v>19.38</v>
      </c>
      <c r="M354" s="10">
        <f>I354-J354-L354</f>
        <v>4126.62</v>
      </c>
    </row>
    <row r="355" spans="1:13" outlineLevel="2" x14ac:dyDescent="0.15">
      <c r="A355" s="11">
        <v>345</v>
      </c>
      <c r="B355" s="9" t="s">
        <v>549</v>
      </c>
      <c r="C355" s="9" t="s">
        <v>357</v>
      </c>
      <c r="D355" s="9" t="str">
        <f>VLOOKUP(LEFT(B355,1),部门信息!$B$1:$C$6,2,0)</f>
        <v>研发</v>
      </c>
      <c r="E355" s="10">
        <v>10800</v>
      </c>
      <c r="F355" s="10">
        <v>700</v>
      </c>
      <c r="G355" s="10">
        <v>225</v>
      </c>
      <c r="H355" s="10">
        <v>0</v>
      </c>
      <c r="I355" s="10">
        <f>E355+F355+G355-H355</f>
        <v>11725</v>
      </c>
      <c r="J355" s="10">
        <v>1728</v>
      </c>
      <c r="K355" s="10">
        <f>IF(I355-J355-3500&gt;0,I355-J355-3500,0)</f>
        <v>6497</v>
      </c>
      <c r="L355" s="10">
        <f>IF(K355&gt;80000,K355*0.45-13505,IF(K355&gt;55000,K355*0.35-5505,IF(K355&gt;35000,K355*0.3-2755,IF(K355&gt;9000,K355*0.25-1005,IF(K355&gt;4500,K355*0.2-555,IF(K355&gt;1500,K355*0.1-105,IF(K355&gt;0,K355*0.03,0)))))))</f>
        <v>744.40000000000009</v>
      </c>
      <c r="M355" s="10">
        <f>I355-J355-L355</f>
        <v>9252.6</v>
      </c>
    </row>
    <row r="356" spans="1:13" outlineLevel="1" x14ac:dyDescent="0.15">
      <c r="A356" s="13"/>
      <c r="B356" s="14"/>
      <c r="C356" s="14"/>
      <c r="D356" s="16" t="s">
        <v>738</v>
      </c>
      <c r="E356" s="15"/>
      <c r="F356" s="15"/>
      <c r="G356" s="15"/>
      <c r="H356" s="15"/>
      <c r="I356" s="15"/>
      <c r="J356" s="15"/>
      <c r="K356" s="15"/>
      <c r="L356" s="15"/>
      <c r="M356" s="15">
        <f>SUBTOTAL(1,M318:M355)</f>
        <v>9102.1926315789497</v>
      </c>
    </row>
    <row r="357" spans="1:13" x14ac:dyDescent="0.15">
      <c r="A357" s="13"/>
      <c r="B357" s="14"/>
      <c r="C357" s="14"/>
      <c r="D357" s="16" t="s">
        <v>739</v>
      </c>
      <c r="E357" s="15"/>
      <c r="F357" s="15"/>
      <c r="G357" s="15"/>
      <c r="H357" s="15"/>
      <c r="I357" s="15"/>
      <c r="J357" s="15"/>
      <c r="K357" s="15"/>
      <c r="L357" s="15"/>
      <c r="M357" s="15">
        <f>SUBTOTAL(1,M3:M355)</f>
        <v>9497.1478223495706</v>
      </c>
    </row>
  </sheetData>
  <sortState ref="A3:M351">
    <sortCondition ref="D3:D351" customList="管理,人事,市场,行政,研发"/>
  </sortState>
  <phoneticPr fontId="1" type="noConversion"/>
  <conditionalFormatting sqref="H2:H1048576">
    <cfRule type="cellIs" dxfId="0" priority="1" operator="lessThan">
      <formula>0</formula>
    </cfRule>
  </conditionalFormatting>
  <pageMargins left="0.7" right="0.7" top="0.75" bottom="0.75" header="0.3" footer="0.3"/>
  <pageSetup paperSize="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tabSelected="1" workbookViewId="0">
      <selection sqref="A1:G25"/>
    </sheetView>
  </sheetViews>
  <sheetFormatPr defaultRowHeight="13.5" x14ac:dyDescent="0.15"/>
  <cols>
    <col min="1" max="1" width="18.625" customWidth="1"/>
  </cols>
  <sheetData>
    <row r="1" spans="1:3" x14ac:dyDescent="0.15">
      <c r="A1" t="s">
        <v>740</v>
      </c>
      <c r="B1" t="s">
        <v>745</v>
      </c>
      <c r="C1" t="s">
        <v>746</v>
      </c>
    </row>
    <row r="2" spans="1:3" x14ac:dyDescent="0.15">
      <c r="A2" t="s">
        <v>741</v>
      </c>
      <c r="B2">
        <f>COUNTIF('2015年8月'!M3:M351,"&lt;3500")</f>
        <v>10</v>
      </c>
      <c r="C2" s="17">
        <f>B2/SUM($B$2:$B$5)</f>
        <v>2.865329512893983E-2</v>
      </c>
    </row>
    <row r="3" spans="1:3" x14ac:dyDescent="0.15">
      <c r="A3" t="s">
        <v>742</v>
      </c>
      <c r="B3">
        <f>COUNTIFS('2015年8月'!M3:M351,"&gt;=3500",'2015年8月'!M3:M351,"&lt;7999.99")</f>
        <v>126</v>
      </c>
      <c r="C3" s="17">
        <f t="shared" ref="C3:C5" si="0">B3/SUM($B$2:$B$5)</f>
        <v>0.36103151862464183</v>
      </c>
    </row>
    <row r="4" spans="1:3" x14ac:dyDescent="0.15">
      <c r="A4" t="s">
        <v>743</v>
      </c>
      <c r="B4">
        <f>COUNTIFS('2015年8月'!M3:M351,"&gt;=8000",'2015年8月'!M3:M351,"&lt;12999.99")</f>
        <v>137</v>
      </c>
      <c r="C4" s="17">
        <f t="shared" si="0"/>
        <v>0.39255014326647564</v>
      </c>
    </row>
    <row r="5" spans="1:3" x14ac:dyDescent="0.15">
      <c r="A5" t="s">
        <v>744</v>
      </c>
      <c r="B5">
        <f>COUNTIF('2015年8月'!M3:M351,"&gt;=13000")</f>
        <v>76</v>
      </c>
      <c r="C5" s="17">
        <f t="shared" si="0"/>
        <v>0.2177650429799427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Views>
    <sheetView workbookViewId="0">
      <selection activeCell="A24" sqref="A24"/>
    </sheetView>
  </sheetViews>
  <sheetFormatPr defaultRowHeight="13.5" x14ac:dyDescent="0.15"/>
  <cols>
    <col min="1" max="1" width="8.875" customWidth="1"/>
    <col min="2" max="2" width="9.25" bestFit="1" customWidth="1"/>
    <col min="3" max="4" width="8.875" customWidth="1"/>
    <col min="7" max="7" width="8.75" style="1"/>
  </cols>
  <sheetData>
    <row r="1" spans="1:3" x14ac:dyDescent="0.15">
      <c r="A1" t="s">
        <v>362</v>
      </c>
      <c r="B1" t="s">
        <v>372</v>
      </c>
      <c r="C1" t="s">
        <v>362</v>
      </c>
    </row>
    <row r="2" spans="1:3" x14ac:dyDescent="0.15">
      <c r="A2" t="s">
        <v>363</v>
      </c>
      <c r="B2" t="s">
        <v>367</v>
      </c>
      <c r="C2" t="s">
        <v>363</v>
      </c>
    </row>
    <row r="3" spans="1:3" x14ac:dyDescent="0.15">
      <c r="A3" t="s">
        <v>364</v>
      </c>
      <c r="B3" t="s">
        <v>368</v>
      </c>
      <c r="C3" t="s">
        <v>364</v>
      </c>
    </row>
    <row r="4" spans="1:3" x14ac:dyDescent="0.15">
      <c r="A4" t="s">
        <v>365</v>
      </c>
      <c r="B4" t="s">
        <v>369</v>
      </c>
      <c r="C4" t="s">
        <v>365</v>
      </c>
    </row>
    <row r="5" spans="1:3" x14ac:dyDescent="0.15">
      <c r="A5" t="s">
        <v>366</v>
      </c>
      <c r="B5" t="s">
        <v>370</v>
      </c>
      <c r="C5" t="s">
        <v>366</v>
      </c>
    </row>
    <row r="6" spans="1:3" x14ac:dyDescent="0.15">
      <c r="A6" t="s">
        <v>733</v>
      </c>
      <c r="B6" t="s">
        <v>371</v>
      </c>
      <c r="C6" t="s">
        <v>733</v>
      </c>
    </row>
  </sheetData>
  <sortState ref="J2:K350">
    <sortCondition ref="K2"/>
  </sortState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A44" sqref="A44"/>
    </sheetView>
  </sheetViews>
  <sheetFormatPr defaultRowHeight="13.5" x14ac:dyDescent="0.15"/>
  <cols>
    <col min="1" max="1" width="23" style="2" customWidth="1"/>
    <col min="2" max="2" width="10.125" style="2" customWidth="1"/>
    <col min="3" max="3" width="18" style="2" customWidth="1"/>
    <col min="4" max="16384" width="9" style="3"/>
  </cols>
  <sheetData>
    <row r="1" spans="1:3" x14ac:dyDescent="0.15">
      <c r="A1" s="2" t="s">
        <v>723</v>
      </c>
      <c r="B1" s="2" t="s">
        <v>724</v>
      </c>
      <c r="C1" s="2" t="s">
        <v>725</v>
      </c>
    </row>
    <row r="2" spans="1:3" x14ac:dyDescent="0.15">
      <c r="A2" s="2" t="s">
        <v>726</v>
      </c>
      <c r="B2" s="4">
        <v>0.03</v>
      </c>
      <c r="C2" s="2">
        <v>0</v>
      </c>
    </row>
    <row r="3" spans="1:3" x14ac:dyDescent="0.15">
      <c r="A3" s="2" t="s">
        <v>727</v>
      </c>
      <c r="B3" s="4">
        <v>0.1</v>
      </c>
      <c r="C3" s="2">
        <v>105</v>
      </c>
    </row>
    <row r="4" spans="1:3" x14ac:dyDescent="0.15">
      <c r="A4" s="2" t="s">
        <v>728</v>
      </c>
      <c r="B4" s="4">
        <v>0.2</v>
      </c>
      <c r="C4" s="2">
        <v>555</v>
      </c>
    </row>
    <row r="5" spans="1:3" x14ac:dyDescent="0.15">
      <c r="A5" s="2" t="s">
        <v>729</v>
      </c>
      <c r="B5" s="4">
        <v>0.25</v>
      </c>
      <c r="C5" s="2">
        <v>1005</v>
      </c>
    </row>
    <row r="6" spans="1:3" x14ac:dyDescent="0.15">
      <c r="A6" s="2" t="s">
        <v>730</v>
      </c>
      <c r="B6" s="4">
        <v>0.3</v>
      </c>
      <c r="C6" s="2">
        <v>2755</v>
      </c>
    </row>
    <row r="7" spans="1:3" x14ac:dyDescent="0.15">
      <c r="A7" s="2" t="s">
        <v>731</v>
      </c>
      <c r="B7" s="4">
        <v>0.35</v>
      </c>
      <c r="C7" s="2">
        <v>5505</v>
      </c>
    </row>
    <row r="8" spans="1:3" x14ac:dyDescent="0.15">
      <c r="A8" s="2" t="s">
        <v>732</v>
      </c>
      <c r="B8" s="4">
        <v>0.45</v>
      </c>
      <c r="C8" s="2">
        <v>13505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1</vt:i4>
      </vt:variant>
    </vt:vector>
  </HeadingPairs>
  <TitlesOfParts>
    <vt:vector size="6" baseType="lpstr">
      <vt:lpstr>2015年8月</vt:lpstr>
      <vt:lpstr>分类汇总</vt:lpstr>
      <vt:lpstr>收入分布</vt:lpstr>
      <vt:lpstr>部门信息</vt:lpstr>
      <vt:lpstr>工资薪金所得税率</vt:lpstr>
      <vt:lpstr>收入分布!Print_Area</vt:lpstr>
    </vt:vector>
  </TitlesOfParts>
  <Manager>PSQ</Manager>
  <Company>PSQ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PSQ;neea</dc:creator>
  <cp:lastModifiedBy>wuyou</cp:lastModifiedBy>
  <dcterms:created xsi:type="dcterms:W3CDTF">2013-03-03T01:44:07Z</dcterms:created>
  <dcterms:modified xsi:type="dcterms:W3CDTF">2022-03-30T09:10:32Z</dcterms:modified>
</cp:coreProperties>
</file>