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480" yWindow="90" windowWidth="18195" windowHeight="8235"/>
  </bookViews>
  <sheets>
    <sheet name="小赵的美好生活" sheetId="1" r:id="rId1"/>
    <sheet name="按季度汇总" sheetId="2" r:id="rId2"/>
    <sheet name="图表" sheetId="4" r:id="rId3"/>
  </sheets>
  <calcPr calcId="162913"/>
</workbook>
</file>

<file path=xl/calcChain.xml><?xml version="1.0" encoding="utf-8"?>
<calcChain xmlns="http://schemas.openxmlformats.org/spreadsheetml/2006/main">
  <c r="N15" i="1" l="1"/>
  <c r="D15" i="1"/>
  <c r="E15" i="1"/>
  <c r="F15" i="1"/>
  <c r="G15" i="1"/>
  <c r="H15" i="1"/>
  <c r="I15" i="1"/>
  <c r="J15" i="1"/>
  <c r="K15" i="1"/>
  <c r="L15" i="1"/>
  <c r="M15" i="1"/>
  <c r="C15" i="1"/>
  <c r="M18" i="2" l="1"/>
  <c r="L18" i="2"/>
  <c r="K18" i="2"/>
  <c r="J18" i="2"/>
  <c r="I18" i="2"/>
  <c r="H18" i="2"/>
  <c r="G18" i="2"/>
  <c r="F18" i="2"/>
  <c r="E18" i="2"/>
  <c r="D18" i="2"/>
  <c r="C18" i="2"/>
  <c r="M14" i="2"/>
  <c r="L14" i="2"/>
  <c r="K14" i="2"/>
  <c r="J14" i="2"/>
  <c r="I14" i="2"/>
  <c r="H14" i="2"/>
  <c r="G14" i="2"/>
  <c r="F14" i="2"/>
  <c r="E14" i="2"/>
  <c r="D14" i="2"/>
  <c r="C14" i="2"/>
  <c r="M10" i="2"/>
  <c r="L10" i="2"/>
  <c r="K10" i="2"/>
  <c r="J10" i="2"/>
  <c r="I10" i="2"/>
  <c r="H10" i="2"/>
  <c r="G10" i="2"/>
  <c r="F10" i="2"/>
  <c r="E10" i="2"/>
  <c r="D10" i="2"/>
  <c r="C10" i="2"/>
  <c r="M6" i="2"/>
  <c r="L6" i="2"/>
  <c r="K6" i="2"/>
  <c r="J6" i="2"/>
  <c r="I6" i="2"/>
  <c r="H6" i="2"/>
  <c r="G6" i="2"/>
  <c r="F6" i="2"/>
  <c r="E6" i="2"/>
  <c r="D6" i="2"/>
  <c r="C6" i="2"/>
  <c r="N5" i="2"/>
  <c r="B5" i="2"/>
  <c r="N13" i="2"/>
  <c r="B13" i="2"/>
  <c r="N12" i="2"/>
  <c r="B12" i="2"/>
  <c r="N17" i="2"/>
  <c r="B17" i="2"/>
  <c r="N11" i="2"/>
  <c r="B11" i="2"/>
  <c r="N4" i="2"/>
  <c r="B4" i="2"/>
  <c r="N16" i="2"/>
  <c r="B16" i="2"/>
  <c r="N9" i="2"/>
  <c r="B9" i="2"/>
  <c r="N8" i="2"/>
  <c r="B8" i="2"/>
  <c r="N3" i="2"/>
  <c r="B3" i="2"/>
  <c r="N7" i="2"/>
  <c r="B7" i="2"/>
  <c r="N15" i="2"/>
  <c r="B15" i="2"/>
  <c r="B4" i="1"/>
  <c r="B5" i="1"/>
  <c r="B6" i="1"/>
  <c r="B7" i="1"/>
  <c r="B8" i="1"/>
  <c r="B9" i="1"/>
  <c r="B10" i="1"/>
  <c r="B11" i="1"/>
  <c r="B12" i="1"/>
  <c r="B13" i="1"/>
  <c r="B14" i="1"/>
  <c r="B3" i="1"/>
  <c r="N14" i="1"/>
  <c r="N5" i="1"/>
  <c r="N4" i="1"/>
  <c r="N7" i="1"/>
  <c r="N6" i="1"/>
  <c r="N13" i="1"/>
  <c r="N12" i="1"/>
  <c r="N10" i="1"/>
  <c r="N8" i="1"/>
  <c r="N3" i="1"/>
  <c r="N11" i="1"/>
  <c r="N9" i="1"/>
  <c r="D19" i="2" l="1"/>
  <c r="H19" i="2"/>
  <c r="L19" i="2"/>
  <c r="C19" i="2"/>
  <c r="G19" i="2"/>
  <c r="K19" i="2"/>
  <c r="E19" i="2"/>
  <c r="I19" i="2"/>
  <c r="M19" i="2"/>
  <c r="F19" i="2"/>
  <c r="J19" i="2"/>
</calcChain>
</file>

<file path=xl/sharedStrings.xml><?xml version="1.0" encoding="utf-8"?>
<sst xmlns="http://schemas.openxmlformats.org/spreadsheetml/2006/main" count="36" uniqueCount="21">
  <si>
    <t>社交应酬</t>
    <phoneticPr fontId="1" type="noConversion"/>
  </si>
  <si>
    <t>阅读培训</t>
    <phoneticPr fontId="1" type="noConversion"/>
  </si>
  <si>
    <t>饮食</t>
    <phoneticPr fontId="1" type="noConversion"/>
  </si>
  <si>
    <t>服装服饰</t>
    <phoneticPr fontId="1" type="noConversion"/>
  </si>
  <si>
    <t>交通</t>
    <phoneticPr fontId="1" type="noConversion"/>
  </si>
  <si>
    <t>水电气房租</t>
    <phoneticPr fontId="1" type="noConversion"/>
  </si>
  <si>
    <t>通信</t>
    <phoneticPr fontId="1" type="noConversion"/>
  </si>
  <si>
    <t>医疗保健</t>
    <phoneticPr fontId="1" type="noConversion"/>
  </si>
  <si>
    <t>休闲旅游</t>
    <phoneticPr fontId="1" type="noConversion"/>
  </si>
  <si>
    <t>个人兴趣</t>
    <phoneticPr fontId="1" type="noConversion"/>
  </si>
  <si>
    <t>公益活动</t>
    <phoneticPr fontId="1" type="noConversion"/>
  </si>
  <si>
    <t>总支出</t>
    <phoneticPr fontId="1" type="noConversion"/>
  </si>
  <si>
    <t>月均开销</t>
    <phoneticPr fontId="1" type="noConversion"/>
  </si>
  <si>
    <t>年月</t>
    <phoneticPr fontId="1" type="noConversion"/>
  </si>
  <si>
    <t>小赵2013年开支明细表</t>
    <phoneticPr fontId="1" type="noConversion"/>
  </si>
  <si>
    <t>季度</t>
    <phoneticPr fontId="1" type="noConversion"/>
  </si>
  <si>
    <t>1季度 平均值</t>
  </si>
  <si>
    <t>2季度 平均值</t>
  </si>
  <si>
    <t>3季度 平均值</t>
  </si>
  <si>
    <t>4季度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</si>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</sst>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¥&quot;#,##0;&quot;¥&quot;\-#,##0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57" fontId="3" fillId="2" borderId="1" xfId="0" applyNumberFormat="1" applyFont="1" applyFill="1" applyBorder="1" applyAlignment="1">
      <alignment horizontal="center" vertical="center"/>
    </xf>
    <xf numFmtId="5" fontId="3" fillId="2" borderId="1" xfId="0" applyNumberFormat="1" applyFont="1" applyFill="1" applyBorder="1" applyAlignment="1">
      <alignment horizontal="center" vertical="center"/>
    </xf>
    <xf numFmtId="57" fontId="4" fillId="2" borderId="1" xfId="0" applyNumberFormat="1" applyFont="1" applyFill="1" applyBorder="1" applyAlignment="1">
      <alignment horizontal="center" vertical="center"/>
    </xf>
    <xf numFmtId="57" fontId="3" fillId="2" borderId="0" xfId="0" applyNumberFormat="1" applyFont="1" applyFill="1" applyBorder="1" applyAlignment="1">
      <alignment horizontal="center" vertical="center"/>
    </xf>
    <xf numFmtId="5" fontId="3" fillId="2" borderId="0" xfId="0" applyNumberFormat="1" applyFont="1" applyFill="1" applyBorder="1" applyAlignment="1">
      <alignment horizontal="center" vertical="center"/>
    </xf>
    <xf numFmtId="57" fontId="4" fillId="2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4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按季度汇总!$B$3</c:f>
              <c:strCache>
                <c:ptCount val="1"/>
                <c:pt idx="0">
                  <c:v>1季度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按季度汇总!$C$3:$M$3</c:f>
            </c:numRef>
          </c:val>
          <c:smooth val="0"/>
          <c:extLst>
            <c:ext xmlns:c16="http://schemas.microsoft.com/office/drawing/2014/chart" uri="{C3380CC4-5D6E-409C-BE32-E72D297353CC}">
              <c16:uniqueId val="{00000000-F325-4B7C-81AD-F868321BCFCC}"/>
            </c:ext>
          </c:extLst>
        </c:ser>
        <c:ser>
          <c:idx val="1"/>
          <c:order val="1"/>
          <c:tx>
            <c:strRef>
              <c:f>按季度汇总!$B$4</c:f>
              <c:strCache>
                <c:ptCount val="1"/>
                <c:pt idx="0">
                  <c:v>1季度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按季度汇总!$C$4:$M$4</c:f>
            </c:numRef>
          </c:val>
          <c:smooth val="0"/>
          <c:extLst>
            <c:ext xmlns:c16="http://schemas.microsoft.com/office/drawing/2014/chart" uri="{C3380CC4-5D6E-409C-BE32-E72D297353CC}">
              <c16:uniqueId val="{00000001-F325-4B7C-81AD-F868321BCFCC}"/>
            </c:ext>
          </c:extLst>
        </c:ser>
        <c:ser>
          <c:idx val="2"/>
          <c:order val="2"/>
          <c:tx>
            <c:strRef>
              <c:f>按季度汇总!$B$5</c:f>
              <c:strCache>
                <c:ptCount val="1"/>
                <c:pt idx="0">
                  <c:v>1季度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按季度汇总!$C$5:$M$5</c:f>
            </c:numRef>
          </c:val>
          <c:smooth val="0"/>
          <c:extLst>
            <c:ext xmlns:c16="http://schemas.microsoft.com/office/drawing/2014/chart" uri="{C3380CC4-5D6E-409C-BE32-E72D297353CC}">
              <c16:uniqueId val="{00000002-F325-4B7C-81AD-F868321BCFCC}"/>
            </c:ext>
          </c:extLst>
        </c:ser>
        <c:ser>
          <c:idx val="3"/>
          <c:order val="3"/>
          <c:tx>
            <c:strRef>
              <c:f>按季度汇总!$B$6</c:f>
              <c:strCache>
                <c:ptCount val="1"/>
                <c:pt idx="0">
                  <c:v>1季度 平均值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25-4B7C-81AD-F868321BC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25-4B7C-81AD-F868321BCF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25-4B7C-81AD-F868321BCF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25-4B7C-81AD-F868321BCF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25-4B7C-81AD-F868321BCF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25-4B7C-81AD-F868321BCF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25-4B7C-81AD-F868321BC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按季度汇总!$C$6:$M$6</c:f>
              <c:numCache>
                <c:formatCode>"¥"#,##0_);\("¥"#,##0\)</c:formatCode>
                <c:ptCount val="11"/>
                <c:pt idx="0">
                  <c:v>516.66666666666663</c:v>
                </c:pt>
                <c:pt idx="1">
                  <c:v>716.66666666666663</c:v>
                </c:pt>
                <c:pt idx="2">
                  <c:v>1000</c:v>
                </c:pt>
                <c:pt idx="3">
                  <c:v>520</c:v>
                </c:pt>
                <c:pt idx="4">
                  <c:v>200</c:v>
                </c:pt>
                <c:pt idx="5">
                  <c:v>53.333333333333336</c:v>
                </c:pt>
                <c:pt idx="6">
                  <c:v>833.33333333333337</c:v>
                </c:pt>
                <c:pt idx="7">
                  <c:v>83.333333333333329</c:v>
                </c:pt>
                <c:pt idx="8">
                  <c:v>326.66666666666669</c:v>
                </c:pt>
                <c:pt idx="9">
                  <c:v>366.66666666666669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25-4B7C-81AD-F868321BCFCC}"/>
            </c:ext>
          </c:extLst>
        </c:ser>
        <c:ser>
          <c:idx val="4"/>
          <c:order val="4"/>
          <c:tx>
            <c:strRef>
              <c:f>按季度汇总!$B$7</c:f>
              <c:strCache>
                <c:ptCount val="1"/>
                <c:pt idx="0">
                  <c:v>2季度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按季度汇总!$C$7:$M$7</c:f>
            </c:numRef>
          </c:val>
          <c:smooth val="0"/>
          <c:extLst>
            <c:ext xmlns:c16="http://schemas.microsoft.com/office/drawing/2014/chart" uri="{C3380CC4-5D6E-409C-BE32-E72D297353CC}">
              <c16:uniqueId val="{0000000B-F325-4B7C-81AD-F868321BCFCC}"/>
            </c:ext>
          </c:extLst>
        </c:ser>
        <c:ser>
          <c:idx val="5"/>
          <c:order val="5"/>
          <c:tx>
            <c:strRef>
              <c:f>按季度汇总!$B$8</c:f>
              <c:strCache>
                <c:ptCount val="1"/>
                <c:pt idx="0">
                  <c:v>2季度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按季度汇总!$C$8:$M$8</c:f>
            </c:numRef>
          </c:val>
          <c:smooth val="0"/>
          <c:extLst>
            <c:ext xmlns:c16="http://schemas.microsoft.com/office/drawing/2014/chart" uri="{C3380CC4-5D6E-409C-BE32-E72D297353CC}">
              <c16:uniqueId val="{0000000C-F325-4B7C-81AD-F868321BCFCC}"/>
            </c:ext>
          </c:extLst>
        </c:ser>
        <c:ser>
          <c:idx val="6"/>
          <c:order val="6"/>
          <c:tx>
            <c:strRef>
              <c:f>按季度汇总!$B$9</c:f>
              <c:strCache>
                <c:ptCount val="1"/>
                <c:pt idx="0">
                  <c:v>2季度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按季度汇总!$C$9:$M$9</c:f>
            </c:numRef>
          </c:val>
          <c:smooth val="0"/>
          <c:extLst>
            <c:ext xmlns:c16="http://schemas.microsoft.com/office/drawing/2014/chart" uri="{C3380CC4-5D6E-409C-BE32-E72D297353CC}">
              <c16:uniqueId val="{0000000D-F325-4B7C-81AD-F868321BCFCC}"/>
            </c:ext>
          </c:extLst>
        </c:ser>
        <c:ser>
          <c:idx val="7"/>
          <c:order val="7"/>
          <c:tx>
            <c:strRef>
              <c:f>按季度汇总!$B$10</c:f>
              <c:strCache>
                <c:ptCount val="1"/>
                <c:pt idx="0">
                  <c:v>2季度 平均值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25-4B7C-81AD-F868321BC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25-4B7C-81AD-F868321BC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25-4B7C-81AD-F868321BCF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25-4B7C-81AD-F868321BCF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325-4B7C-81AD-F868321BCF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325-4B7C-81AD-F868321BCF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325-4B7C-81AD-F868321BCF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325-4B7C-81AD-F868321BCF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325-4B7C-81AD-F868321BCF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325-4B7C-81AD-F868321BC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按季度汇总!$C$10:$M$10</c:f>
              <c:numCache>
                <c:formatCode>"¥"#,##0_);\("¥"#,##0\)</c:formatCode>
                <c:ptCount val="11"/>
                <c:pt idx="0">
                  <c:v>150</c:v>
                </c:pt>
                <c:pt idx="1">
                  <c:v>850</c:v>
                </c:pt>
                <c:pt idx="2">
                  <c:v>1016.6666666666666</c:v>
                </c:pt>
                <c:pt idx="3">
                  <c:v>216.66666666666666</c:v>
                </c:pt>
                <c:pt idx="4">
                  <c:v>133.33333333333334</c:v>
                </c:pt>
                <c:pt idx="5">
                  <c:v>60</c:v>
                </c:pt>
                <c:pt idx="6">
                  <c:v>366.66666666666669</c:v>
                </c:pt>
                <c:pt idx="7">
                  <c:v>110</c:v>
                </c:pt>
                <c:pt idx="8">
                  <c:v>110</c:v>
                </c:pt>
                <c:pt idx="9">
                  <c:v>416.66666666666669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325-4B7C-81AD-F868321BCFCC}"/>
            </c:ext>
          </c:extLst>
        </c:ser>
        <c:ser>
          <c:idx val="8"/>
          <c:order val="8"/>
          <c:tx>
            <c:strRef>
              <c:f>按季度汇总!$B$11</c:f>
              <c:strCache>
                <c:ptCount val="1"/>
                <c:pt idx="0">
                  <c:v>3季度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按季度汇总!$C$11:$M$11</c:f>
            </c:numRef>
          </c:val>
          <c:smooth val="0"/>
          <c:extLst>
            <c:ext xmlns:c16="http://schemas.microsoft.com/office/drawing/2014/chart" uri="{C3380CC4-5D6E-409C-BE32-E72D297353CC}">
              <c16:uniqueId val="{00000019-F325-4B7C-81AD-F868321BCFCC}"/>
            </c:ext>
          </c:extLst>
        </c:ser>
        <c:ser>
          <c:idx val="9"/>
          <c:order val="9"/>
          <c:tx>
            <c:strRef>
              <c:f>按季度汇总!$B$12</c:f>
              <c:strCache>
                <c:ptCount val="1"/>
                <c:pt idx="0">
                  <c:v>3季度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按季度汇总!$C$12:$M$12</c:f>
            </c:numRef>
          </c:val>
          <c:smooth val="0"/>
          <c:extLst>
            <c:ext xmlns:c16="http://schemas.microsoft.com/office/drawing/2014/chart" uri="{C3380CC4-5D6E-409C-BE32-E72D297353CC}">
              <c16:uniqueId val="{0000001A-F325-4B7C-81AD-F868321BCFCC}"/>
            </c:ext>
          </c:extLst>
        </c:ser>
        <c:ser>
          <c:idx val="10"/>
          <c:order val="10"/>
          <c:tx>
            <c:strRef>
              <c:f>按季度汇总!$B$13</c:f>
              <c:strCache>
                <c:ptCount val="1"/>
                <c:pt idx="0">
                  <c:v>3季度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按季度汇总!$C$13:$M$13</c:f>
            </c:numRef>
          </c:val>
          <c:smooth val="0"/>
          <c:extLst>
            <c:ext xmlns:c16="http://schemas.microsoft.com/office/drawing/2014/chart" uri="{C3380CC4-5D6E-409C-BE32-E72D297353CC}">
              <c16:uniqueId val="{0000001B-F325-4B7C-81AD-F868321BCFCC}"/>
            </c:ext>
          </c:extLst>
        </c:ser>
        <c:ser>
          <c:idx val="11"/>
          <c:order val="11"/>
          <c:tx>
            <c:strRef>
              <c:f>按季度汇总!$B$14</c:f>
              <c:strCache>
                <c:ptCount val="1"/>
                <c:pt idx="0">
                  <c:v>3季度 平均值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325-4B7C-81AD-F868321BC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325-4B7C-81AD-F868321BCF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325-4B7C-81AD-F868321BCF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325-4B7C-81AD-F868321BCF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325-4B7C-81AD-F868321BCF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325-4B7C-81AD-F868321BCFC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325-4B7C-81AD-F868321BC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按季度汇总!$C$14:$M$14</c:f>
              <c:numCache>
                <c:formatCode>"¥"#,##0_);\("¥"#,##0\)</c:formatCode>
                <c:ptCount val="11"/>
                <c:pt idx="0">
                  <c:v>500</c:v>
                </c:pt>
                <c:pt idx="1">
                  <c:v>833.33333333333337</c:v>
                </c:pt>
                <c:pt idx="2">
                  <c:v>1066.6666666666667</c:v>
                </c:pt>
                <c:pt idx="3">
                  <c:v>216.66666666666666</c:v>
                </c:pt>
                <c:pt idx="4">
                  <c:v>300</c:v>
                </c:pt>
                <c:pt idx="5">
                  <c:v>926.66666666666663</c:v>
                </c:pt>
                <c:pt idx="6">
                  <c:v>233.33333333333334</c:v>
                </c:pt>
                <c:pt idx="7">
                  <c:v>93.333333333333329</c:v>
                </c:pt>
                <c:pt idx="8">
                  <c:v>60</c:v>
                </c:pt>
                <c:pt idx="9">
                  <c:v>616.66666666666663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325-4B7C-81AD-F868321BCFCC}"/>
            </c:ext>
          </c:extLst>
        </c:ser>
        <c:ser>
          <c:idx val="12"/>
          <c:order val="12"/>
          <c:tx>
            <c:strRef>
              <c:f>按季度汇总!$B$15</c:f>
              <c:strCache>
                <c:ptCount val="1"/>
                <c:pt idx="0">
                  <c:v>4季度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按季度汇总!$C$15:$M$15</c:f>
            </c:numRef>
          </c:val>
          <c:smooth val="0"/>
          <c:extLst>
            <c:ext xmlns:c16="http://schemas.microsoft.com/office/drawing/2014/chart" uri="{C3380CC4-5D6E-409C-BE32-E72D297353CC}">
              <c16:uniqueId val="{00000024-F325-4B7C-81AD-F868321BCFCC}"/>
            </c:ext>
          </c:extLst>
        </c:ser>
        <c:ser>
          <c:idx val="13"/>
          <c:order val="13"/>
          <c:tx>
            <c:strRef>
              <c:f>按季度汇总!$B$16</c:f>
              <c:strCache>
                <c:ptCount val="1"/>
                <c:pt idx="0">
                  <c:v>4季度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按季度汇总!$C$16:$M$16</c:f>
            </c:numRef>
          </c:val>
          <c:smooth val="0"/>
          <c:extLst>
            <c:ext xmlns:c16="http://schemas.microsoft.com/office/drawing/2014/chart" uri="{C3380CC4-5D6E-409C-BE32-E72D297353CC}">
              <c16:uniqueId val="{00000025-F325-4B7C-81AD-F868321BCFCC}"/>
            </c:ext>
          </c:extLst>
        </c:ser>
        <c:ser>
          <c:idx val="14"/>
          <c:order val="14"/>
          <c:tx>
            <c:strRef>
              <c:f>按季度汇总!$B$17</c:f>
              <c:strCache>
                <c:ptCount val="1"/>
                <c:pt idx="0">
                  <c:v>4季度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按季度汇总!$C$17:$M$17</c:f>
            </c:numRef>
          </c:val>
          <c:smooth val="0"/>
          <c:extLst>
            <c:ext xmlns:c16="http://schemas.microsoft.com/office/drawing/2014/chart" uri="{C3380CC4-5D6E-409C-BE32-E72D297353CC}">
              <c16:uniqueId val="{00000026-F325-4B7C-81AD-F868321BCFCC}"/>
            </c:ext>
          </c:extLst>
        </c:ser>
        <c:ser>
          <c:idx val="15"/>
          <c:order val="15"/>
          <c:tx>
            <c:strRef>
              <c:f>按季度汇总!$B$18</c:f>
              <c:strCache>
                <c:ptCount val="1"/>
                <c:pt idx="0">
                  <c:v>4季度 平均值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325-4B7C-81AD-F868321BC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325-4B7C-81AD-F868321BCFC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325-4B7C-81AD-F868321BCFC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325-4B7C-81AD-F868321BCFC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325-4B7C-81AD-F868321BCFC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325-4B7C-81AD-F868321BCFC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325-4B7C-81AD-F868321BCFC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325-4B7C-81AD-F868321BCFC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325-4B7C-81AD-F868321BC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按季度汇总!$C$2:$M$2</c:f>
              <c:strCache>
                <c:ptCount val="11"/>
                <c:pt idx="0">
                  <c:v>服装服饰</c:v>
                </c:pt>
                <c:pt idx="1">
                  <c:v>饮食</c:v>
                </c:pt>
                <c:pt idx="2">
                  <c:v>水电气房租</c:v>
                </c:pt>
                <c:pt idx="3">
                  <c:v>交通</c:v>
                </c:pt>
                <c:pt idx="4">
                  <c:v>通信</c:v>
                </c:pt>
                <c:pt idx="5">
                  <c:v>阅读培训</c:v>
                </c:pt>
                <c:pt idx="6">
                  <c:v>社交应酬</c:v>
                </c:pt>
                <c:pt idx="7">
                  <c:v>医疗保健</c:v>
                </c:pt>
                <c:pt idx="8">
                  <c:v>休闲旅游</c:v>
                </c:pt>
                <c:pt idx="9">
                  <c:v>个人兴趣</c:v>
                </c:pt>
                <c:pt idx="10">
                  <c:v>公益活动</c:v>
                </c:pt>
              </c:strCache>
            </c:strRef>
          </c:cat>
          <c:val>
            <c:numRef>
              <c:f>按季度汇总!$C$18:$M$18</c:f>
              <c:numCache>
                <c:formatCode>"¥"#,##0_);\("¥"#,##0\)</c:formatCode>
                <c:ptCount val="11"/>
                <c:pt idx="0">
                  <c:v>200</c:v>
                </c:pt>
                <c:pt idx="1">
                  <c:v>950</c:v>
                </c:pt>
                <c:pt idx="2">
                  <c:v>1033.3333333333333</c:v>
                </c:pt>
                <c:pt idx="3">
                  <c:v>250</c:v>
                </c:pt>
                <c:pt idx="4">
                  <c:v>0</c:v>
                </c:pt>
                <c:pt idx="5">
                  <c:v>43.333333333333336</c:v>
                </c:pt>
                <c:pt idx="6">
                  <c:v>366.66666666666669</c:v>
                </c:pt>
                <c:pt idx="7">
                  <c:v>53.333333333333336</c:v>
                </c:pt>
                <c:pt idx="8">
                  <c:v>200</c:v>
                </c:pt>
                <c:pt idx="9">
                  <c:v>390</c:v>
                </c:pt>
                <c:pt idx="10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325-4B7C-81AD-F868321BCFCC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55108664"/>
        <c:axId val="455109976"/>
      </c:lineChart>
      <c:catAx>
        <c:axId val="45510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109976"/>
        <c:crosses val="autoZero"/>
        <c:auto val="1"/>
        <c:lblAlgn val="ctr"/>
        <c:lblOffset val="100"/>
        <c:noMultiLvlLbl val="0"/>
      </c:catAx>
      <c:valAx>
        <c:axId val="45510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¥&quot;#,##0_);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510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1</xdr:row>
      <xdr:rowOff>0</xdr:rowOff>
    </xdr:from>
    <xdr:to>
      <xdr:col>16</xdr:col>
      <xdr:colOff>123824</xdr:colOff>
      <xdr:row>33</xdr:row>
      <xdr:rowOff>38100</xdr:rowOff>
    </xdr:to>
    <xdr:graphicFrame macro="">
      <xdr:nvGraphicFramePr>
        <xdr:cNvPr id="2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柏林">
  <a:themeElements>
    <a:clrScheme name="柏林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柏林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柏林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G3" sqref="G3"/>
    </sheetView>
  </sheetViews>
  <sheetFormatPr defaultRowHeight="13.5" x14ac:dyDescent="0.15"/>
  <cols>
    <col min="1" max="14" width="10.625" customWidth="1"/>
  </cols>
  <sheetData>
    <row r="1" spans="1:14" ht="24" customHeight="1" x14ac:dyDescent="0.15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.95" customHeight="1" x14ac:dyDescent="0.15">
      <c r="A2" s="1" t="s">
        <v>13</v>
      </c>
      <c r="B2" s="1" t="s">
        <v>15</v>
      </c>
      <c r="C2" s="1" t="s">
        <v>3</v>
      </c>
      <c r="D2" s="1" t="s">
        <v>2</v>
      </c>
      <c r="E2" s="1" t="s">
        <v>5</v>
      </c>
      <c r="F2" s="1" t="s">
        <v>4</v>
      </c>
      <c r="G2" s="1" t="s">
        <v>6</v>
      </c>
      <c r="H2" s="1" t="s">
        <v>1</v>
      </c>
      <c r="I2" s="1" t="s">
        <v>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1:14" ht="15.95" customHeight="1" x14ac:dyDescent="0.15">
      <c r="A3" s="2">
        <v>41579</v>
      </c>
      <c r="B3" s="2" t="str">
        <f>LOOKUP(MONTH(A3),{1,4,7,10;1,2,3,4})&amp;"季度"</f>
        <v>4季度</v>
      </c>
      <c r="C3" s="3">
        <v>200</v>
      </c>
      <c r="D3" s="3">
        <v>900</v>
      </c>
      <c r="E3" s="3">
        <v>1000</v>
      </c>
      <c r="F3" s="3">
        <v>120</v>
      </c>
      <c r="G3" s="3">
        <v>0</v>
      </c>
      <c r="H3" s="3">
        <v>50</v>
      </c>
      <c r="I3" s="3">
        <v>100</v>
      </c>
      <c r="J3" s="3">
        <v>100</v>
      </c>
      <c r="K3" s="3">
        <v>0</v>
      </c>
      <c r="L3" s="3">
        <v>420</v>
      </c>
      <c r="M3" s="3">
        <v>66</v>
      </c>
      <c r="N3" s="3">
        <f t="shared" ref="N3:N15" si="0">SUM(C3:M3)</f>
        <v>2956</v>
      </c>
    </row>
    <row r="4" spans="1:14" ht="15.95" customHeight="1" x14ac:dyDescent="0.15">
      <c r="A4" s="2">
        <v>41365</v>
      </c>
      <c r="B4" s="2" t="str">
        <f>LOOKUP(MONTH(A4),{1,4,7,10;1,2,3,4})&amp;"季度"</f>
        <v>2季度</v>
      </c>
      <c r="C4" s="3">
        <v>100</v>
      </c>
      <c r="D4" s="3">
        <v>900</v>
      </c>
      <c r="E4" s="3">
        <v>1000</v>
      </c>
      <c r="F4" s="3">
        <v>300</v>
      </c>
      <c r="G4" s="3">
        <v>100</v>
      </c>
      <c r="H4" s="3">
        <v>80</v>
      </c>
      <c r="I4" s="3">
        <v>300</v>
      </c>
      <c r="J4" s="3">
        <v>0</v>
      </c>
      <c r="K4" s="3">
        <v>100</v>
      </c>
      <c r="L4" s="3">
        <v>450</v>
      </c>
      <c r="M4" s="3">
        <v>66</v>
      </c>
      <c r="N4" s="3">
        <f t="shared" si="0"/>
        <v>3396</v>
      </c>
    </row>
    <row r="5" spans="1:14" ht="15.95" customHeight="1" x14ac:dyDescent="0.15">
      <c r="A5" s="2">
        <v>41334</v>
      </c>
      <c r="B5" s="2" t="str">
        <f>LOOKUP(MONTH(A5),{1,4,7,10;1,2,3,4})&amp;"季度"</f>
        <v>1季度</v>
      </c>
      <c r="C5" s="3">
        <v>50</v>
      </c>
      <c r="D5" s="3">
        <v>750</v>
      </c>
      <c r="E5" s="3">
        <v>1000</v>
      </c>
      <c r="F5" s="3">
        <v>300</v>
      </c>
      <c r="G5" s="3">
        <v>200</v>
      </c>
      <c r="H5" s="3">
        <v>60</v>
      </c>
      <c r="I5" s="3">
        <v>200</v>
      </c>
      <c r="J5" s="3">
        <v>200</v>
      </c>
      <c r="K5" s="3">
        <v>300</v>
      </c>
      <c r="L5" s="3">
        <v>350</v>
      </c>
      <c r="M5" s="3">
        <v>66</v>
      </c>
      <c r="N5" s="3">
        <f t="shared" si="0"/>
        <v>3476</v>
      </c>
    </row>
    <row r="6" spans="1:14" ht="15.95" customHeight="1" x14ac:dyDescent="0.15">
      <c r="A6" s="2">
        <v>41426</v>
      </c>
      <c r="B6" s="2" t="str">
        <f>LOOKUP(MONTH(A6),{1,4,7,10;1,2,3,4})&amp;"季度"</f>
        <v>2季度</v>
      </c>
      <c r="C6" s="3">
        <v>200</v>
      </c>
      <c r="D6" s="3">
        <v>850</v>
      </c>
      <c r="E6" s="3">
        <v>1050</v>
      </c>
      <c r="F6" s="3">
        <v>200</v>
      </c>
      <c r="G6" s="3">
        <v>100</v>
      </c>
      <c r="H6" s="3">
        <v>100</v>
      </c>
      <c r="I6" s="3">
        <v>200</v>
      </c>
      <c r="J6" s="3">
        <v>230</v>
      </c>
      <c r="K6" s="3">
        <v>0</v>
      </c>
      <c r="L6" s="3">
        <v>500</v>
      </c>
      <c r="M6" s="3">
        <v>66</v>
      </c>
      <c r="N6" s="3">
        <f t="shared" si="0"/>
        <v>3496</v>
      </c>
    </row>
    <row r="7" spans="1:14" ht="15.95" customHeight="1" x14ac:dyDescent="0.15">
      <c r="A7" s="2">
        <v>41395</v>
      </c>
      <c r="B7" s="2" t="str">
        <f>LOOKUP(MONTH(A7),{1,4,7,10;1,2,3,4})&amp;"季度"</f>
        <v>2季度</v>
      </c>
      <c r="C7" s="3">
        <v>150</v>
      </c>
      <c r="D7" s="3">
        <v>800</v>
      </c>
      <c r="E7" s="3">
        <v>1000</v>
      </c>
      <c r="F7" s="3">
        <v>150</v>
      </c>
      <c r="G7" s="3">
        <v>200</v>
      </c>
      <c r="H7" s="3">
        <v>0</v>
      </c>
      <c r="I7" s="3">
        <v>600</v>
      </c>
      <c r="J7" s="3">
        <v>100</v>
      </c>
      <c r="K7" s="3">
        <v>230</v>
      </c>
      <c r="L7" s="3">
        <v>300</v>
      </c>
      <c r="M7" s="3">
        <v>66</v>
      </c>
      <c r="N7" s="3">
        <f t="shared" si="0"/>
        <v>3596</v>
      </c>
    </row>
    <row r="8" spans="1:14" ht="15.95" customHeight="1" x14ac:dyDescent="0.15">
      <c r="A8" s="2">
        <v>41548</v>
      </c>
      <c r="B8" s="2" t="str">
        <f>LOOKUP(MONTH(A8),{1,4,7,10;1,2,3,4})&amp;"季度"</f>
        <v>4季度</v>
      </c>
      <c r="C8" s="3">
        <v>100</v>
      </c>
      <c r="D8" s="3">
        <v>900</v>
      </c>
      <c r="E8" s="3">
        <v>1000</v>
      </c>
      <c r="F8" s="3">
        <v>280</v>
      </c>
      <c r="G8" s="3">
        <v>0</v>
      </c>
      <c r="H8" s="3">
        <v>0</v>
      </c>
      <c r="I8" s="3">
        <v>500</v>
      </c>
      <c r="J8" s="3">
        <v>0</v>
      </c>
      <c r="K8" s="3">
        <v>400</v>
      </c>
      <c r="L8" s="3">
        <v>350</v>
      </c>
      <c r="M8" s="3">
        <v>66</v>
      </c>
      <c r="N8" s="3">
        <f t="shared" si="0"/>
        <v>3596</v>
      </c>
    </row>
    <row r="9" spans="1:14" ht="15.95" customHeight="1" x14ac:dyDescent="0.15">
      <c r="A9" s="2">
        <v>41275</v>
      </c>
      <c r="B9" s="2" t="str">
        <f>LOOKUP(MONTH(A9),{1,4,7,10;1,2,3,4})&amp;"季度"</f>
        <v>1季度</v>
      </c>
      <c r="C9" s="3">
        <v>300</v>
      </c>
      <c r="D9" s="3">
        <v>800</v>
      </c>
      <c r="E9" s="3">
        <v>1100</v>
      </c>
      <c r="F9" s="3">
        <v>260</v>
      </c>
      <c r="G9" s="3">
        <v>100</v>
      </c>
      <c r="H9" s="3">
        <v>100</v>
      </c>
      <c r="I9" s="3">
        <v>300</v>
      </c>
      <c r="J9" s="3">
        <v>50</v>
      </c>
      <c r="K9" s="3">
        <v>180</v>
      </c>
      <c r="L9" s="3">
        <v>350</v>
      </c>
      <c r="M9" s="3">
        <v>66</v>
      </c>
      <c r="N9" s="3">
        <f t="shared" si="0"/>
        <v>3606</v>
      </c>
    </row>
    <row r="10" spans="1:14" ht="15.95" customHeight="1" x14ac:dyDescent="0.15">
      <c r="A10" s="2">
        <v>41518</v>
      </c>
      <c r="B10" s="2" t="str">
        <f>LOOKUP(MONTH(A10),{1,4,7,10;1,2,3,4})&amp;"季度"</f>
        <v>3季度</v>
      </c>
      <c r="C10" s="3">
        <v>1100</v>
      </c>
      <c r="D10" s="3">
        <v>850</v>
      </c>
      <c r="E10" s="3">
        <v>1000</v>
      </c>
      <c r="F10" s="3">
        <v>220</v>
      </c>
      <c r="G10" s="3">
        <v>0</v>
      </c>
      <c r="H10" s="3">
        <v>100</v>
      </c>
      <c r="I10" s="3">
        <v>200</v>
      </c>
      <c r="J10" s="3">
        <v>130</v>
      </c>
      <c r="K10" s="3">
        <v>80</v>
      </c>
      <c r="L10" s="3">
        <v>300</v>
      </c>
      <c r="M10" s="3">
        <v>66</v>
      </c>
      <c r="N10" s="3">
        <f t="shared" si="0"/>
        <v>4046</v>
      </c>
    </row>
    <row r="11" spans="1:14" ht="15.95" customHeight="1" x14ac:dyDescent="0.15">
      <c r="A11" s="2">
        <v>41609</v>
      </c>
      <c r="B11" s="2" t="str">
        <f>LOOKUP(MONTH(A11),{1,4,7,10;1,2,3,4})&amp;"季度"</f>
        <v>4季度</v>
      </c>
      <c r="C11" s="3">
        <v>300</v>
      </c>
      <c r="D11" s="3">
        <v>1050</v>
      </c>
      <c r="E11" s="3">
        <v>1100</v>
      </c>
      <c r="F11" s="3">
        <v>350</v>
      </c>
      <c r="G11" s="3">
        <v>0</v>
      </c>
      <c r="H11" s="3">
        <v>80</v>
      </c>
      <c r="I11" s="3">
        <v>500</v>
      </c>
      <c r="J11" s="3">
        <v>60</v>
      </c>
      <c r="K11" s="3">
        <v>200</v>
      </c>
      <c r="L11" s="3">
        <v>400</v>
      </c>
      <c r="M11" s="3">
        <v>66</v>
      </c>
      <c r="N11" s="3">
        <f t="shared" si="0"/>
        <v>4106</v>
      </c>
    </row>
    <row r="12" spans="1:14" ht="15.95" customHeight="1" x14ac:dyDescent="0.15">
      <c r="A12" s="2">
        <v>41487</v>
      </c>
      <c r="B12" s="2" t="str">
        <f>LOOKUP(MONTH(A12),{1,4,7,10;1,2,3,4})&amp;"季度"</f>
        <v>3季度</v>
      </c>
      <c r="C12" s="3">
        <v>300</v>
      </c>
      <c r="D12" s="3">
        <v>900</v>
      </c>
      <c r="E12" s="3">
        <v>1100</v>
      </c>
      <c r="F12" s="3">
        <v>180</v>
      </c>
      <c r="G12" s="3">
        <v>0</v>
      </c>
      <c r="H12" s="3">
        <v>80</v>
      </c>
      <c r="I12" s="3">
        <v>300</v>
      </c>
      <c r="J12" s="3">
        <v>50</v>
      </c>
      <c r="K12" s="3">
        <v>100</v>
      </c>
      <c r="L12" s="3">
        <v>1200</v>
      </c>
      <c r="M12" s="3">
        <v>66</v>
      </c>
      <c r="N12" s="3">
        <f t="shared" si="0"/>
        <v>4276</v>
      </c>
    </row>
    <row r="13" spans="1:14" ht="15.95" customHeight="1" x14ac:dyDescent="0.15">
      <c r="A13" s="2">
        <v>41456</v>
      </c>
      <c r="B13" s="2" t="str">
        <f>LOOKUP(MONTH(A13),{1,4,7,10;1,2,3,4})&amp;"季度"</f>
        <v>3季度</v>
      </c>
      <c r="C13" s="3">
        <v>100</v>
      </c>
      <c r="D13" s="3">
        <v>750</v>
      </c>
      <c r="E13" s="3">
        <v>1100</v>
      </c>
      <c r="F13" s="3">
        <v>250</v>
      </c>
      <c r="G13" s="3">
        <v>900</v>
      </c>
      <c r="H13" s="3">
        <v>2600</v>
      </c>
      <c r="I13" s="3">
        <v>200</v>
      </c>
      <c r="J13" s="3">
        <v>100</v>
      </c>
      <c r="K13" s="3">
        <v>0</v>
      </c>
      <c r="L13" s="3">
        <v>350</v>
      </c>
      <c r="M13" s="3">
        <v>66</v>
      </c>
      <c r="N13" s="3">
        <f t="shared" si="0"/>
        <v>6416</v>
      </c>
    </row>
    <row r="14" spans="1:14" ht="15.95" customHeight="1" x14ac:dyDescent="0.15">
      <c r="A14" s="2">
        <v>41306</v>
      </c>
      <c r="B14" s="2" t="str">
        <f>LOOKUP(MONTH(A14),{1,4,7,10;1,2,3,4})&amp;"季度"</f>
        <v>1季度</v>
      </c>
      <c r="C14" s="3">
        <v>1200</v>
      </c>
      <c r="D14" s="3">
        <v>600</v>
      </c>
      <c r="E14" s="3">
        <v>900</v>
      </c>
      <c r="F14" s="3">
        <v>1000</v>
      </c>
      <c r="G14" s="3">
        <v>300</v>
      </c>
      <c r="H14" s="3">
        <v>0</v>
      </c>
      <c r="I14" s="3">
        <v>2000</v>
      </c>
      <c r="J14" s="3">
        <v>0</v>
      </c>
      <c r="K14" s="3">
        <v>500</v>
      </c>
      <c r="L14" s="3">
        <v>400</v>
      </c>
      <c r="M14" s="3">
        <v>66</v>
      </c>
      <c r="N14" s="3">
        <f t="shared" si="0"/>
        <v>6966</v>
      </c>
    </row>
    <row r="15" spans="1:14" ht="15.95" customHeight="1" x14ac:dyDescent="0.15">
      <c r="A15" s="1" t="s">
        <v>12</v>
      </c>
      <c r="B15" s="1"/>
      <c r="C15" s="3">
        <f>AVERAGE(C3:C14)</f>
        <v>341.66666666666669</v>
      </c>
      <c r="D15" s="3">
        <f t="shared" ref="D15:N15" si="1">AVERAGE(D3:D14)</f>
        <v>837.5</v>
      </c>
      <c r="E15" s="3">
        <f t="shared" si="1"/>
        <v>1029.1666666666667</v>
      </c>
      <c r="F15" s="3">
        <f t="shared" si="1"/>
        <v>300.83333333333331</v>
      </c>
      <c r="G15" s="3">
        <f t="shared" si="1"/>
        <v>158.33333333333334</v>
      </c>
      <c r="H15" s="3">
        <f t="shared" si="1"/>
        <v>270.83333333333331</v>
      </c>
      <c r="I15" s="3">
        <f t="shared" si="1"/>
        <v>450</v>
      </c>
      <c r="J15" s="3">
        <f t="shared" si="1"/>
        <v>85</v>
      </c>
      <c r="K15" s="3">
        <f t="shared" si="1"/>
        <v>174.16666666666666</v>
      </c>
      <c r="L15" s="3">
        <f t="shared" si="1"/>
        <v>447.5</v>
      </c>
      <c r="M15" s="3">
        <f t="shared" si="1"/>
        <v>66</v>
      </c>
      <c r="N15" s="3">
        <f t="shared" si="1"/>
        <v>4161</v>
      </c>
    </row>
  </sheetData>
  <sortState ref="A3:N14">
    <sortCondition ref="N3:N14"/>
  </sortState>
  <mergeCells count="1">
    <mergeCell ref="A1:N1"/>
  </mergeCells>
  <phoneticPr fontId="1" type="noConversion"/>
  <conditionalFormatting sqref="F3:M14">
    <cfRule type="cellIs" dxfId="3" priority="2" operator="greaterThan">
      <formula>1000</formula>
    </cfRule>
  </conditionalFormatting>
  <conditionalFormatting sqref="N3:N14">
    <cfRule type="cellIs" dxfId="2" priority="1" operator="greaterThan">
      <formula>$N$15*1.1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workbookViewId="0">
      <selection activeCell="C14" sqref="C14"/>
    </sheetView>
  </sheetViews>
  <sheetFormatPr defaultRowHeight="13.5" outlineLevelRow="2" x14ac:dyDescent="0.15"/>
  <cols>
    <col min="1" max="14" width="10.625" customWidth="1"/>
  </cols>
  <sheetData>
    <row r="1" spans="1:14" ht="15.95" customHeight="1" x14ac:dyDescent="0.15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.95" customHeight="1" x14ac:dyDescent="0.15">
      <c r="A2" s="1" t="s">
        <v>13</v>
      </c>
      <c r="B2" s="1" t="s">
        <v>15</v>
      </c>
      <c r="C2" s="1" t="s">
        <v>3</v>
      </c>
      <c r="D2" s="1" t="s">
        <v>2</v>
      </c>
      <c r="E2" s="1" t="s">
        <v>5</v>
      </c>
      <c r="F2" s="1" t="s">
        <v>4</v>
      </c>
      <c r="G2" s="1" t="s">
        <v>6</v>
      </c>
      <c r="H2" s="1" t="s">
        <v>1</v>
      </c>
      <c r="I2" s="1" t="s">
        <v>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</row>
    <row r="3" spans="1:14" ht="15.95" hidden="1" customHeight="1" outlineLevel="2" x14ac:dyDescent="0.15">
      <c r="A3" s="2">
        <v>41334</v>
      </c>
      <c r="B3" s="2" t="str">
        <f>LOOKUP(MONTH(A3),{1,4,7,10;1,2,3,4})&amp;"季度"</f>
        <v>1季度</v>
      </c>
      <c r="C3" s="3">
        <v>50</v>
      </c>
      <c r="D3" s="3">
        <v>750</v>
      </c>
      <c r="E3" s="3">
        <v>1000</v>
      </c>
      <c r="F3" s="3">
        <v>300</v>
      </c>
      <c r="G3" s="3">
        <v>200</v>
      </c>
      <c r="H3" s="3">
        <v>60</v>
      </c>
      <c r="I3" s="3">
        <v>200</v>
      </c>
      <c r="J3" s="3">
        <v>200</v>
      </c>
      <c r="K3" s="3">
        <v>300</v>
      </c>
      <c r="L3" s="3">
        <v>350</v>
      </c>
      <c r="M3" s="3">
        <v>66</v>
      </c>
      <c r="N3" s="3">
        <f>SUM(C3:M3)</f>
        <v>3476</v>
      </c>
    </row>
    <row r="4" spans="1:14" ht="15.95" hidden="1" customHeight="1" outlineLevel="2" x14ac:dyDescent="0.15">
      <c r="A4" s="2">
        <v>41275</v>
      </c>
      <c r="B4" s="2" t="str">
        <f>LOOKUP(MONTH(A4),{1,4,7,10;1,2,3,4})&amp;"季度"</f>
        <v>1季度</v>
      </c>
      <c r="C4" s="3">
        <v>300</v>
      </c>
      <c r="D4" s="3">
        <v>800</v>
      </c>
      <c r="E4" s="3">
        <v>1100</v>
      </c>
      <c r="F4" s="3">
        <v>260</v>
      </c>
      <c r="G4" s="3">
        <v>100</v>
      </c>
      <c r="H4" s="3">
        <v>100</v>
      </c>
      <c r="I4" s="3">
        <v>300</v>
      </c>
      <c r="J4" s="3">
        <v>50</v>
      </c>
      <c r="K4" s="3">
        <v>180</v>
      </c>
      <c r="L4" s="3">
        <v>350</v>
      </c>
      <c r="M4" s="3">
        <v>66</v>
      </c>
      <c r="N4" s="3">
        <f>SUM(C4:M4)</f>
        <v>3606</v>
      </c>
    </row>
    <row r="5" spans="1:14" ht="15.95" hidden="1" customHeight="1" outlineLevel="2" x14ac:dyDescent="0.15">
      <c r="A5" s="2">
        <v>41306</v>
      </c>
      <c r="B5" s="2" t="str">
        <f>LOOKUP(MONTH(A5),{1,4,7,10;1,2,3,4})&amp;"季度"</f>
        <v>1季度</v>
      </c>
      <c r="C5" s="3">
        <v>1200</v>
      </c>
      <c r="D5" s="3">
        <v>600</v>
      </c>
      <c r="E5" s="3">
        <v>900</v>
      </c>
      <c r="F5" s="3">
        <v>1000</v>
      </c>
      <c r="G5" s="3">
        <v>300</v>
      </c>
      <c r="H5" s="3">
        <v>0</v>
      </c>
      <c r="I5" s="3">
        <v>2000</v>
      </c>
      <c r="J5" s="3">
        <v>0</v>
      </c>
      <c r="K5" s="3">
        <v>500</v>
      </c>
      <c r="L5" s="3">
        <v>400</v>
      </c>
      <c r="M5" s="3">
        <v>66</v>
      </c>
      <c r="N5" s="3">
        <f>SUM(C5:M5)</f>
        <v>6966</v>
      </c>
    </row>
    <row r="6" spans="1:14" ht="15.95" customHeight="1" outlineLevel="1" collapsed="1" x14ac:dyDescent="0.15">
      <c r="A6" s="2"/>
      <c r="B6" s="4" t="s">
        <v>16</v>
      </c>
      <c r="C6" s="3">
        <f t="shared" ref="C6:M6" si="0">SUBTOTAL(1,C3:C5)</f>
        <v>516.66666666666663</v>
      </c>
      <c r="D6" s="3">
        <f t="shared" si="0"/>
        <v>716.66666666666663</v>
      </c>
      <c r="E6" s="3">
        <f t="shared" si="0"/>
        <v>1000</v>
      </c>
      <c r="F6" s="3">
        <f t="shared" si="0"/>
        <v>520</v>
      </c>
      <c r="G6" s="3">
        <f t="shared" si="0"/>
        <v>200</v>
      </c>
      <c r="H6" s="3">
        <f t="shared" si="0"/>
        <v>53.333333333333336</v>
      </c>
      <c r="I6" s="3">
        <f t="shared" si="0"/>
        <v>833.33333333333337</v>
      </c>
      <c r="J6" s="3">
        <f t="shared" si="0"/>
        <v>83.333333333333329</v>
      </c>
      <c r="K6" s="3">
        <f t="shared" si="0"/>
        <v>326.66666666666669</v>
      </c>
      <c r="L6" s="3">
        <f t="shared" si="0"/>
        <v>366.66666666666669</v>
      </c>
      <c r="M6" s="3">
        <f t="shared" si="0"/>
        <v>66</v>
      </c>
      <c r="N6" s="3"/>
    </row>
    <row r="7" spans="1:14" ht="15.95" hidden="1" customHeight="1" outlineLevel="2" x14ac:dyDescent="0.15">
      <c r="A7" s="2">
        <v>41365</v>
      </c>
      <c r="B7" s="2" t="str">
        <f>LOOKUP(MONTH(A7),{1,4,7,10;1,2,3,4})&amp;"季度"</f>
        <v>2季度</v>
      </c>
      <c r="C7" s="3">
        <v>100</v>
      </c>
      <c r="D7" s="3">
        <v>900</v>
      </c>
      <c r="E7" s="3">
        <v>1000</v>
      </c>
      <c r="F7" s="3">
        <v>300</v>
      </c>
      <c r="G7" s="3">
        <v>100</v>
      </c>
      <c r="H7" s="3">
        <v>80</v>
      </c>
      <c r="I7" s="3">
        <v>300</v>
      </c>
      <c r="J7" s="3">
        <v>0</v>
      </c>
      <c r="K7" s="3">
        <v>100</v>
      </c>
      <c r="L7" s="3">
        <v>450</v>
      </c>
      <c r="M7" s="3">
        <v>66</v>
      </c>
      <c r="N7" s="3">
        <f>SUM(C7:M7)</f>
        <v>3396</v>
      </c>
    </row>
    <row r="8" spans="1:14" ht="15.95" hidden="1" customHeight="1" outlineLevel="2" x14ac:dyDescent="0.15">
      <c r="A8" s="2">
        <v>41426</v>
      </c>
      <c r="B8" s="2" t="str">
        <f>LOOKUP(MONTH(A8),{1,4,7,10;1,2,3,4})&amp;"季度"</f>
        <v>2季度</v>
      </c>
      <c r="C8" s="3">
        <v>200</v>
      </c>
      <c r="D8" s="3">
        <v>850</v>
      </c>
      <c r="E8" s="3">
        <v>1050</v>
      </c>
      <c r="F8" s="3">
        <v>200</v>
      </c>
      <c r="G8" s="3">
        <v>100</v>
      </c>
      <c r="H8" s="3">
        <v>100</v>
      </c>
      <c r="I8" s="3">
        <v>200</v>
      </c>
      <c r="J8" s="3">
        <v>230</v>
      </c>
      <c r="K8" s="3">
        <v>0</v>
      </c>
      <c r="L8" s="3">
        <v>500</v>
      </c>
      <c r="M8" s="3">
        <v>66</v>
      </c>
      <c r="N8" s="3">
        <f>SUM(C8:M8)</f>
        <v>3496</v>
      </c>
    </row>
    <row r="9" spans="1:14" ht="15.95" hidden="1" customHeight="1" outlineLevel="2" x14ac:dyDescent="0.15">
      <c r="A9" s="2">
        <v>41395</v>
      </c>
      <c r="B9" s="2" t="str">
        <f>LOOKUP(MONTH(A9),{1,4,7,10;1,2,3,4})&amp;"季度"</f>
        <v>2季度</v>
      </c>
      <c r="C9" s="3">
        <v>150</v>
      </c>
      <c r="D9" s="3">
        <v>800</v>
      </c>
      <c r="E9" s="3">
        <v>1000</v>
      </c>
      <c r="F9" s="3">
        <v>150</v>
      </c>
      <c r="G9" s="3">
        <v>200</v>
      </c>
      <c r="H9" s="3">
        <v>0</v>
      </c>
      <c r="I9" s="3">
        <v>600</v>
      </c>
      <c r="J9" s="3">
        <v>100</v>
      </c>
      <c r="K9" s="3">
        <v>230</v>
      </c>
      <c r="L9" s="3">
        <v>300</v>
      </c>
      <c r="M9" s="3">
        <v>66</v>
      </c>
      <c r="N9" s="3">
        <f>SUM(C9:M9)</f>
        <v>3596</v>
      </c>
    </row>
    <row r="10" spans="1:14" ht="15.95" customHeight="1" outlineLevel="1" collapsed="1" x14ac:dyDescent="0.15">
      <c r="A10" s="2"/>
      <c r="B10" s="4" t="s">
        <v>17</v>
      </c>
      <c r="C10" s="3">
        <f t="shared" ref="C10:M10" si="1">SUBTOTAL(1,C7:C9)</f>
        <v>150</v>
      </c>
      <c r="D10" s="3">
        <f t="shared" si="1"/>
        <v>850</v>
      </c>
      <c r="E10" s="3">
        <f t="shared" si="1"/>
        <v>1016.6666666666666</v>
      </c>
      <c r="F10" s="3">
        <f t="shared" si="1"/>
        <v>216.66666666666666</v>
      </c>
      <c r="G10" s="3">
        <f t="shared" si="1"/>
        <v>133.33333333333334</v>
      </c>
      <c r="H10" s="3">
        <f t="shared" si="1"/>
        <v>60</v>
      </c>
      <c r="I10" s="3">
        <f t="shared" si="1"/>
        <v>366.66666666666669</v>
      </c>
      <c r="J10" s="3">
        <f t="shared" si="1"/>
        <v>110</v>
      </c>
      <c r="K10" s="3">
        <f t="shared" si="1"/>
        <v>110</v>
      </c>
      <c r="L10" s="3">
        <f t="shared" si="1"/>
        <v>416.66666666666669</v>
      </c>
      <c r="M10" s="3">
        <f t="shared" si="1"/>
        <v>66</v>
      </c>
      <c r="N10" s="3"/>
    </row>
    <row r="11" spans="1:14" ht="15.95" hidden="1" customHeight="1" outlineLevel="2" x14ac:dyDescent="0.15">
      <c r="A11" s="2">
        <v>41518</v>
      </c>
      <c r="B11" s="2" t="str">
        <f>LOOKUP(MONTH(A11),{1,4,7,10;1,2,3,4})&amp;"季度"</f>
        <v>3季度</v>
      </c>
      <c r="C11" s="3">
        <v>1100</v>
      </c>
      <c r="D11" s="3">
        <v>850</v>
      </c>
      <c r="E11" s="3">
        <v>1000</v>
      </c>
      <c r="F11" s="3">
        <v>220</v>
      </c>
      <c r="G11" s="3">
        <v>0</v>
      </c>
      <c r="H11" s="3">
        <v>100</v>
      </c>
      <c r="I11" s="3">
        <v>200</v>
      </c>
      <c r="J11" s="3">
        <v>130</v>
      </c>
      <c r="K11" s="3">
        <v>80</v>
      </c>
      <c r="L11" s="3">
        <v>300</v>
      </c>
      <c r="M11" s="3">
        <v>66</v>
      </c>
      <c r="N11" s="3">
        <f>SUM(C11:M11)</f>
        <v>4046</v>
      </c>
    </row>
    <row r="12" spans="1:14" ht="15.95" hidden="1" customHeight="1" outlineLevel="2" x14ac:dyDescent="0.15">
      <c r="A12" s="2">
        <v>41487</v>
      </c>
      <c r="B12" s="2" t="str">
        <f>LOOKUP(MONTH(A12),{1,4,7,10;1,2,3,4})&amp;"季度"</f>
        <v>3季度</v>
      </c>
      <c r="C12" s="3">
        <v>300</v>
      </c>
      <c r="D12" s="3">
        <v>900</v>
      </c>
      <c r="E12" s="3">
        <v>1100</v>
      </c>
      <c r="F12" s="3">
        <v>180</v>
      </c>
      <c r="G12" s="3">
        <v>0</v>
      </c>
      <c r="H12" s="3">
        <v>80</v>
      </c>
      <c r="I12" s="3">
        <v>300</v>
      </c>
      <c r="J12" s="3">
        <v>50</v>
      </c>
      <c r="K12" s="3">
        <v>100</v>
      </c>
      <c r="L12" s="3">
        <v>1200</v>
      </c>
      <c r="M12" s="3">
        <v>66</v>
      </c>
      <c r="N12" s="3">
        <f>SUM(C12:M12)</f>
        <v>4276</v>
      </c>
    </row>
    <row r="13" spans="1:14" ht="15.95" hidden="1" customHeight="1" outlineLevel="2" x14ac:dyDescent="0.15">
      <c r="A13" s="2">
        <v>41456</v>
      </c>
      <c r="B13" s="2" t="str">
        <f>LOOKUP(MONTH(A13),{1,4,7,10;1,2,3,4})&amp;"季度"</f>
        <v>3季度</v>
      </c>
      <c r="C13" s="3">
        <v>100</v>
      </c>
      <c r="D13" s="3">
        <v>750</v>
      </c>
      <c r="E13" s="3">
        <v>1100</v>
      </c>
      <c r="F13" s="3">
        <v>250</v>
      </c>
      <c r="G13" s="3">
        <v>900</v>
      </c>
      <c r="H13" s="3">
        <v>2600</v>
      </c>
      <c r="I13" s="3">
        <v>200</v>
      </c>
      <c r="J13" s="3">
        <v>100</v>
      </c>
      <c r="K13" s="3">
        <v>0</v>
      </c>
      <c r="L13" s="3">
        <v>350</v>
      </c>
      <c r="M13" s="3">
        <v>66</v>
      </c>
      <c r="N13" s="3">
        <f>SUM(C13:M13)</f>
        <v>6416</v>
      </c>
    </row>
    <row r="14" spans="1:14" ht="15.95" customHeight="1" outlineLevel="1" collapsed="1" x14ac:dyDescent="0.15">
      <c r="A14" s="2"/>
      <c r="B14" s="4" t="s">
        <v>18</v>
      </c>
      <c r="C14" s="3">
        <f t="shared" ref="C14:M14" si="2">SUBTOTAL(1,C11:C13)</f>
        <v>500</v>
      </c>
      <c r="D14" s="3">
        <f t="shared" si="2"/>
        <v>833.33333333333337</v>
      </c>
      <c r="E14" s="3">
        <f t="shared" si="2"/>
        <v>1066.6666666666667</v>
      </c>
      <c r="F14" s="3">
        <f t="shared" si="2"/>
        <v>216.66666666666666</v>
      </c>
      <c r="G14" s="3">
        <f t="shared" si="2"/>
        <v>300</v>
      </c>
      <c r="H14" s="3">
        <f t="shared" si="2"/>
        <v>926.66666666666663</v>
      </c>
      <c r="I14" s="3">
        <f t="shared" si="2"/>
        <v>233.33333333333334</v>
      </c>
      <c r="J14" s="3">
        <f t="shared" si="2"/>
        <v>93.333333333333329</v>
      </c>
      <c r="K14" s="3">
        <f t="shared" si="2"/>
        <v>60</v>
      </c>
      <c r="L14" s="3">
        <f t="shared" si="2"/>
        <v>616.66666666666663</v>
      </c>
      <c r="M14" s="3">
        <f t="shared" si="2"/>
        <v>66</v>
      </c>
      <c r="N14" s="3"/>
    </row>
    <row r="15" spans="1:14" ht="15.95" hidden="1" customHeight="1" outlineLevel="2" x14ac:dyDescent="0.15">
      <c r="A15" s="2">
        <v>41579</v>
      </c>
      <c r="B15" s="2" t="str">
        <f>LOOKUP(MONTH(A15),{1,4,7,10;1,2,3,4})&amp;"季度"</f>
        <v>4季度</v>
      </c>
      <c r="C15" s="3">
        <v>200</v>
      </c>
      <c r="D15" s="3">
        <v>900</v>
      </c>
      <c r="E15" s="3">
        <v>1000</v>
      </c>
      <c r="F15" s="3">
        <v>120</v>
      </c>
      <c r="G15" s="3">
        <v>0</v>
      </c>
      <c r="H15" s="3">
        <v>50</v>
      </c>
      <c r="I15" s="3">
        <v>100</v>
      </c>
      <c r="J15" s="3">
        <v>100</v>
      </c>
      <c r="K15" s="3">
        <v>0</v>
      </c>
      <c r="L15" s="3">
        <v>420</v>
      </c>
      <c r="M15" s="3">
        <v>66</v>
      </c>
      <c r="N15" s="3">
        <f>SUM(C15:M15)</f>
        <v>2956</v>
      </c>
    </row>
    <row r="16" spans="1:14" ht="15.95" hidden="1" customHeight="1" outlineLevel="2" x14ac:dyDescent="0.15">
      <c r="A16" s="2">
        <v>41548</v>
      </c>
      <c r="B16" s="2" t="str">
        <f>LOOKUP(MONTH(A16),{1,4,7,10;1,2,3,4})&amp;"季度"</f>
        <v>4季度</v>
      </c>
      <c r="C16" s="3">
        <v>100</v>
      </c>
      <c r="D16" s="3">
        <v>900</v>
      </c>
      <c r="E16" s="3">
        <v>1000</v>
      </c>
      <c r="F16" s="3">
        <v>280</v>
      </c>
      <c r="G16" s="3">
        <v>0</v>
      </c>
      <c r="H16" s="3">
        <v>0</v>
      </c>
      <c r="I16" s="3">
        <v>500</v>
      </c>
      <c r="J16" s="3">
        <v>0</v>
      </c>
      <c r="K16" s="3">
        <v>400</v>
      </c>
      <c r="L16" s="3">
        <v>350</v>
      </c>
      <c r="M16" s="3">
        <v>66</v>
      </c>
      <c r="N16" s="3">
        <f>SUM(C16:M16)</f>
        <v>3596</v>
      </c>
    </row>
    <row r="17" spans="1:14" ht="15.95" hidden="1" customHeight="1" outlineLevel="2" x14ac:dyDescent="0.15">
      <c r="A17" s="2">
        <v>41609</v>
      </c>
      <c r="B17" s="2" t="str">
        <f>LOOKUP(MONTH(A17),{1,4,7,10;1,2,3,4})&amp;"季度"</f>
        <v>4季度</v>
      </c>
      <c r="C17" s="3">
        <v>300</v>
      </c>
      <c r="D17" s="3">
        <v>1050</v>
      </c>
      <c r="E17" s="3">
        <v>1100</v>
      </c>
      <c r="F17" s="3">
        <v>350</v>
      </c>
      <c r="G17" s="3">
        <v>0</v>
      </c>
      <c r="H17" s="3">
        <v>80</v>
      </c>
      <c r="I17" s="3">
        <v>500</v>
      </c>
      <c r="J17" s="3">
        <v>60</v>
      </c>
      <c r="K17" s="3">
        <v>200</v>
      </c>
      <c r="L17" s="3">
        <v>400</v>
      </c>
      <c r="M17" s="3">
        <v>66</v>
      </c>
      <c r="N17" s="3">
        <f>SUM(C17:M17)</f>
        <v>4106</v>
      </c>
    </row>
    <row r="18" spans="1:14" ht="15.95" customHeight="1" outlineLevel="1" collapsed="1" x14ac:dyDescent="0.15">
      <c r="A18" s="5"/>
      <c r="B18" s="7" t="s">
        <v>19</v>
      </c>
      <c r="C18" s="6">
        <f t="shared" ref="C18:M18" si="3">SUBTOTAL(1,C15:C17)</f>
        <v>200</v>
      </c>
      <c r="D18" s="6">
        <f t="shared" si="3"/>
        <v>950</v>
      </c>
      <c r="E18" s="6">
        <f t="shared" si="3"/>
        <v>1033.3333333333333</v>
      </c>
      <c r="F18" s="6">
        <f t="shared" si="3"/>
        <v>250</v>
      </c>
      <c r="G18" s="6">
        <f t="shared" si="3"/>
        <v>0</v>
      </c>
      <c r="H18" s="6">
        <f t="shared" si="3"/>
        <v>43.333333333333336</v>
      </c>
      <c r="I18" s="6">
        <f t="shared" si="3"/>
        <v>366.66666666666669</v>
      </c>
      <c r="J18" s="6">
        <f t="shared" si="3"/>
        <v>53.333333333333336</v>
      </c>
      <c r="K18" s="6">
        <f t="shared" si="3"/>
        <v>200</v>
      </c>
      <c r="L18" s="6">
        <f t="shared" si="3"/>
        <v>390</v>
      </c>
      <c r="M18" s="6">
        <f t="shared" si="3"/>
        <v>66</v>
      </c>
      <c r="N18" s="6"/>
    </row>
    <row r="19" spans="1:14" ht="15.95" customHeight="1" x14ac:dyDescent="0.15">
      <c r="A19" s="5"/>
      <c r="B19" s="7" t="s">
        <v>20</v>
      </c>
      <c r="C19" s="6">
        <f t="shared" ref="C19:M19" si="4">SUBTOTAL(1,C3:C17)</f>
        <v>341.66666666666669</v>
      </c>
      <c r="D19" s="6">
        <f t="shared" si="4"/>
        <v>837.5</v>
      </c>
      <c r="E19" s="6">
        <f t="shared" si="4"/>
        <v>1029.1666666666667</v>
      </c>
      <c r="F19" s="6">
        <f t="shared" si="4"/>
        <v>300.83333333333331</v>
      </c>
      <c r="G19" s="6">
        <f t="shared" si="4"/>
        <v>158.33333333333334</v>
      </c>
      <c r="H19" s="6">
        <f t="shared" si="4"/>
        <v>270.83333333333331</v>
      </c>
      <c r="I19" s="6">
        <f t="shared" si="4"/>
        <v>450</v>
      </c>
      <c r="J19" s="6">
        <f t="shared" si="4"/>
        <v>85</v>
      </c>
      <c r="K19" s="6">
        <f t="shared" si="4"/>
        <v>174.16666666666666</v>
      </c>
      <c r="L19" s="6">
        <f t="shared" si="4"/>
        <v>447.5</v>
      </c>
      <c r="M19" s="6">
        <f t="shared" si="4"/>
        <v>66</v>
      </c>
      <c r="N19" s="6"/>
    </row>
  </sheetData>
  <sortState ref="A3:N14">
    <sortCondition ref="B8"/>
  </sortState>
  <mergeCells count="1">
    <mergeCell ref="A1:N1"/>
  </mergeCells>
  <phoneticPr fontId="1" type="noConversion"/>
  <conditionalFormatting sqref="F3:M19">
    <cfRule type="cellIs" dxfId="1" priority="2" operator="greaterThan">
      <formula>1000</formula>
    </cfRule>
  </conditionalFormatting>
  <conditionalFormatting sqref="N3:N19">
    <cfRule type="cellIs" dxfId="0" priority="3" operator="greaterThan">
      <formula>#REF!*1.1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/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小赵的美好生活</vt:lpstr>
      <vt:lpstr>按季度汇总</vt:lpstr>
      <vt:lpstr>图表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Microsoft</cp:lastModifiedBy>
  <dcterms:created xsi:type="dcterms:W3CDTF">2014-01-08T12:41:48Z</dcterms:created>
  <dcterms:modified xsi:type="dcterms:W3CDTF">2021-04-10T03:44:12Z</dcterms:modified>
</cp:coreProperties>
</file>