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7280" windowHeight="9060" firstSheet="1" activeTab="3"/>
  </bookViews>
  <sheets>
    <sheet name="2016年消费" sheetId="8" state="hidden" r:id="rId1"/>
    <sheet name="客户资料" sheetId="1" r:id="rId2"/>
    <sheet name="按年龄和性别" sheetId="9" r:id="rId3"/>
    <sheet name="各年龄段人数" sheetId="10" r:id="rId4"/>
  </sheets>
  <definedNames>
    <definedName name="_xlnm._FilterDatabase" localSheetId="1" hidden="1">客户资料!$A$1:$E$1</definedName>
    <definedName name="_xlnm.Print_Titles" localSheetId="1">客户资料!$1:$1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9" l="1"/>
  <c r="D13" i="9"/>
  <c r="B13" i="9"/>
  <c r="D3" i="9"/>
  <c r="D4" i="9"/>
  <c r="D5" i="9"/>
  <c r="D6" i="9"/>
  <c r="D7" i="9"/>
  <c r="D8" i="9"/>
  <c r="D9" i="9"/>
  <c r="D10" i="9"/>
  <c r="D11" i="9"/>
  <c r="D12" i="9"/>
  <c r="D2" i="9"/>
  <c r="C3" i="9"/>
  <c r="C4" i="9"/>
  <c r="C5" i="9"/>
  <c r="C6" i="9"/>
  <c r="C7" i="9"/>
  <c r="C8" i="9"/>
  <c r="C9" i="9"/>
  <c r="C10" i="9"/>
  <c r="C11" i="9"/>
  <c r="C12" i="9"/>
  <c r="C2" i="9"/>
  <c r="B3" i="9"/>
  <c r="B4" i="9"/>
  <c r="B5" i="9"/>
  <c r="B6" i="9"/>
  <c r="B7" i="9"/>
  <c r="B8" i="9"/>
  <c r="B9" i="9"/>
  <c r="B10" i="9"/>
  <c r="B11" i="9"/>
  <c r="B12" i="9"/>
  <c r="B2" i="9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A3" i="8"/>
  <c r="A4" i="8" s="1"/>
  <c r="A7" i="8"/>
  <c r="A8" i="8"/>
  <c r="A9" i="8" s="1"/>
  <c r="A11" i="8"/>
  <c r="A12" i="8" s="1"/>
  <c r="A13" i="8" s="1"/>
  <c r="A15" i="8"/>
  <c r="A16" i="8"/>
  <c r="A18" i="8"/>
  <c r="A19" i="8"/>
  <c r="A20" i="8" s="1"/>
  <c r="A22" i="8"/>
  <c r="A23" i="8" s="1"/>
  <c r="A25" i="8"/>
  <c r="A26" i="8" s="1"/>
  <c r="A27" i="8" s="1"/>
  <c r="A29" i="8"/>
  <c r="A30" i="8"/>
  <c r="A32" i="8"/>
  <c r="A33" i="8"/>
  <c r="A34" i="8" s="1"/>
  <c r="A36" i="8"/>
  <c r="A37" i="8" s="1"/>
  <c r="A38" i="8" s="1"/>
  <c r="A40" i="8"/>
  <c r="A41" i="8"/>
  <c r="A42" i="8" s="1"/>
  <c r="A44" i="8"/>
  <c r="A45" i="8" s="1"/>
  <c r="A46" i="8" s="1"/>
  <c r="A48" i="8"/>
  <c r="A49" i="8"/>
  <c r="A51" i="8"/>
  <c r="A52" i="8"/>
  <c r="A53" i="8" s="1"/>
  <c r="A55" i="8"/>
  <c r="A56" i="8" s="1"/>
  <c r="A57" i="8" s="1"/>
  <c r="A59" i="8"/>
  <c r="A60" i="8"/>
  <c r="A61" i="8" s="1"/>
  <c r="A63" i="8"/>
  <c r="A64" i="8" s="1"/>
  <c r="A65" i="8" s="1"/>
  <c r="A67" i="8"/>
  <c r="A68" i="8"/>
  <c r="A69" i="8" s="1"/>
  <c r="A71" i="8"/>
  <c r="A72" i="8" s="1"/>
  <c r="A73" i="8" s="1"/>
  <c r="A75" i="8"/>
  <c r="A76" i="8"/>
  <c r="A77" i="8" s="1"/>
  <c r="A79" i="8"/>
  <c r="A80" i="8" s="1"/>
  <c r="A81" i="8" s="1"/>
  <c r="A83" i="8"/>
  <c r="A84" i="8"/>
  <c r="A86" i="8"/>
  <c r="A87" i="8"/>
  <c r="A88" i="8" s="1"/>
  <c r="A90" i="8"/>
  <c r="A91" i="8" s="1"/>
  <c r="A92" i="8" s="1"/>
  <c r="A94" i="8"/>
  <c r="A95" i="8"/>
  <c r="A96" i="8" s="1"/>
  <c r="A98" i="8"/>
  <c r="A99" i="8" s="1"/>
  <c r="A100" i="8" s="1"/>
  <c r="A102" i="8"/>
  <c r="A103" i="8"/>
  <c r="A105" i="8"/>
  <c r="A106" i="8"/>
  <c r="A108" i="8"/>
  <c r="A109" i="8"/>
  <c r="A110" i="8" s="1"/>
  <c r="A112" i="8"/>
  <c r="A113" i="8" s="1"/>
  <c r="A114" i="8" s="1"/>
  <c r="A116" i="8"/>
  <c r="A117" i="8"/>
  <c r="A118" i="8" s="1"/>
  <c r="A120" i="8"/>
  <c r="A121" i="8" s="1"/>
  <c r="A122" i="8" s="1"/>
  <c r="A124" i="8"/>
  <c r="A125" i="8"/>
  <c r="A126" i="8" s="1"/>
  <c r="A128" i="8"/>
  <c r="A129" i="8" s="1"/>
  <c r="A130" i="8" s="1"/>
  <c r="A132" i="8"/>
  <c r="A133" i="8"/>
  <c r="A135" i="8"/>
  <c r="A136" i="8"/>
  <c r="A137" i="8" s="1"/>
  <c r="A139" i="8"/>
  <c r="A140" i="8" s="1"/>
  <c r="A141" i="8" s="1"/>
  <c r="A143" i="8"/>
  <c r="A144" i="8"/>
  <c r="A145" i="8" s="1"/>
  <c r="A147" i="8"/>
  <c r="A149" i="8"/>
  <c r="A150" i="8"/>
  <c r="A152" i="8"/>
  <c r="A153" i="8"/>
  <c r="A154" i="8" s="1"/>
  <c r="A156" i="8"/>
  <c r="A157" i="8" s="1"/>
  <c r="A158" i="8" s="1"/>
  <c r="A160" i="8"/>
  <c r="A161" i="8"/>
  <c r="A163" i="8"/>
  <c r="A164" i="8"/>
  <c r="A165" i="8" s="1"/>
  <c r="A168" i="8"/>
  <c r="A169" i="8" s="1"/>
  <c r="A170" i="8" s="1"/>
  <c r="A172" i="8"/>
  <c r="A173" i="8"/>
  <c r="A174" i="8" s="1"/>
  <c r="A176" i="8"/>
  <c r="A177" i="8" s="1"/>
  <c r="A178" i="8" s="1"/>
  <c r="A180" i="8"/>
  <c r="A181" i="8"/>
  <c r="A184" i="8"/>
  <c r="A185" i="8"/>
  <c r="A187" i="8"/>
  <c r="A189" i="8"/>
  <c r="A190" i="8" s="1"/>
  <c r="A191" i="8" s="1"/>
  <c r="A193" i="8"/>
  <c r="A194" i="8"/>
  <c r="A195" i="8" s="1"/>
  <c r="A197" i="8"/>
  <c r="A198" i="8" s="1"/>
  <c r="A199" i="8" s="1"/>
  <c r="A201" i="8"/>
  <c r="A202" i="8"/>
  <c r="A203" i="8" s="1"/>
  <c r="A205" i="8"/>
  <c r="A206" i="8" s="1"/>
  <c r="A207" i="8" s="1"/>
  <c r="A209" i="8"/>
  <c r="A210" i="8"/>
  <c r="A212" i="8"/>
  <c r="A213" i="8"/>
  <c r="A215" i="8"/>
  <c r="A216" i="8"/>
  <c r="A218" i="8"/>
  <c r="A219" i="8"/>
  <c r="A220" i="8" s="1"/>
  <c r="A222" i="8"/>
  <c r="A223" i="8" s="1"/>
  <c r="A224" i="8" s="1"/>
  <c r="A226" i="8"/>
  <c r="A227" i="8"/>
  <c r="A228" i="8" s="1"/>
  <c r="A230" i="8"/>
  <c r="A231" i="8" s="1"/>
  <c r="A232" i="8" s="1"/>
  <c r="A234" i="8"/>
  <c r="A235" i="8"/>
  <c r="A236" i="8" s="1"/>
  <c r="A238" i="8"/>
  <c r="A239" i="8" s="1"/>
  <c r="A240" i="8" s="1"/>
  <c r="A242" i="8"/>
  <c r="A244" i="8"/>
  <c r="A245" i="8" s="1"/>
  <c r="A246" i="8" s="1"/>
  <c r="A248" i="8"/>
  <c r="A249" i="8"/>
  <c r="A250" i="8" s="1"/>
  <c r="A252" i="8"/>
  <c r="A253" i="8" s="1"/>
  <c r="A254" i="8" s="1"/>
  <c r="A256" i="8"/>
  <c r="A257" i="8"/>
  <c r="A258" i="8" s="1"/>
  <c r="A260" i="8"/>
  <c r="A261" i="8" s="1"/>
  <c r="A262" i="8" s="1"/>
  <c r="A264" i="8"/>
  <c r="A265" i="8"/>
  <c r="A267" i="8"/>
  <c r="A268" i="8"/>
  <c r="A270" i="8"/>
  <c r="A272" i="8"/>
  <c r="A273" i="8" s="1"/>
  <c r="A274" i="8" s="1"/>
  <c r="A276" i="8"/>
  <c r="A277" i="8"/>
  <c r="A278" i="8" s="1"/>
  <c r="A280" i="8"/>
  <c r="A281" i="8" s="1"/>
  <c r="A283" i="8"/>
  <c r="A284" i="8" s="1"/>
  <c r="A285" i="8" s="1"/>
  <c r="A287" i="8"/>
  <c r="A288" i="8"/>
  <c r="A289" i="8" s="1"/>
  <c r="A291" i="8"/>
  <c r="A292" i="8" s="1"/>
  <c r="A294" i="8"/>
  <c r="A295" i="8" s="1"/>
  <c r="A296" i="8" s="1"/>
  <c r="A298" i="8"/>
  <c r="A299" i="8"/>
  <c r="A301" i="8"/>
  <c r="A302" i="8"/>
  <c r="A303" i="8" s="1"/>
  <c r="A305" i="8"/>
  <c r="A306" i="8" s="1"/>
  <c r="A307" i="8" s="1"/>
  <c r="A309" i="8"/>
  <c r="A311" i="8"/>
  <c r="A312" i="8" s="1"/>
  <c r="A313" i="8" s="1"/>
  <c r="A315" i="8"/>
  <c r="A316" i="8"/>
  <c r="A317" i="8" s="1"/>
  <c r="A319" i="8"/>
  <c r="A320" i="8" s="1"/>
  <c r="A321" i="8" s="1"/>
  <c r="A323" i="8"/>
  <c r="A324" i="8"/>
  <c r="A325" i="8" s="1"/>
  <c r="A327" i="8"/>
  <c r="A328" i="8" s="1"/>
  <c r="A329" i="8" s="1"/>
  <c r="A331" i="8"/>
  <c r="A332" i="8"/>
  <c r="A333" i="8" s="1"/>
  <c r="A335" i="8"/>
  <c r="A336" i="8" s="1"/>
  <c r="A337" i="8" s="1"/>
  <c r="A339" i="8"/>
  <c r="A340" i="8"/>
  <c r="A342" i="8"/>
  <c r="A343" i="8"/>
  <c r="A344" i="8" s="1"/>
  <c r="A346" i="8"/>
  <c r="A347" i="8" s="1"/>
  <c r="A348" i="8" s="1"/>
  <c r="A350" i="8"/>
  <c r="A351" i="8"/>
  <c r="A352" i="8" s="1"/>
  <c r="A354" i="8"/>
  <c r="A355" i="8" s="1"/>
  <c r="A356" i="8" s="1"/>
  <c r="A358" i="8"/>
  <c r="A359" i="8"/>
  <c r="A360" i="8" s="1"/>
  <c r="A362" i="8"/>
  <c r="A363" i="8" s="1"/>
  <c r="A364" i="8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A5" i="8" l="1"/>
</calcChain>
</file>

<file path=xl/sharedStrings.xml><?xml version="1.0" encoding="utf-8"?>
<sst xmlns="http://schemas.openxmlformats.org/spreadsheetml/2006/main" count="688" uniqueCount="132">
  <si>
    <t>性别</t>
    <phoneticPr fontId="2" type="noConversion"/>
  </si>
  <si>
    <t>年龄</t>
    <phoneticPr fontId="2" type="noConversion"/>
  </si>
  <si>
    <t>顾客编号</t>
    <phoneticPr fontId="2" type="noConversion"/>
  </si>
  <si>
    <t>生日</t>
  </si>
  <si>
    <t>年龄段</t>
    <phoneticPr fontId="2" type="noConversion"/>
  </si>
  <si>
    <t>年消费金额</t>
    <phoneticPr fontId="2" type="noConversion"/>
  </si>
  <si>
    <t>顾客编号</t>
    <phoneticPr fontId="2" type="noConversion"/>
  </si>
  <si>
    <t>第一季度</t>
  </si>
  <si>
    <t>第二季度</t>
  </si>
  <si>
    <t>第三季度</t>
  </si>
  <si>
    <t>第四季度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</si>
  <si>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</si>
  <si>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</si>
  <si>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</si>
  <si>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</si>
  <si>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</si>
  <si>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</si>
  <si>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</si>
  <si>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</si>
  <si>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</si>
  <si>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</si>
  <si>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</si>
  <si>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</si>
  <si>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</si>
  <si>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</si>
  <si>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</si>
  <si>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</si>
  <si>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</si>
  <si>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</si>
  <si>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</si>
  <si>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</si>
  <si>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</si>
  <si>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</si>
  <si>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</si>
  <si>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</si>
  <si>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</si>
  <si>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</si>
  <si>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</si>
  <si>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</si>
  <si>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</si>
  <si>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</si>
  <si>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</si>
  <si>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</si>
  <si>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</si>
  <si>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</si>
  <si>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</si>
  <si>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</si>
  <si>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</si>
  <si>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</si>
  <si>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</si>
  <si>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</si>
  <si>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</si>
  <si>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</si>
  <si>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</si>
  <si>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</si>
  <si>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</si>
  <si>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</si>
  <si>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</si>
  <si>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</si>
  <si>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</si>
  <si>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</si>
  <si>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</si>
  <si>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</si>
  <si>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</si>
  <si>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</si>
  <si>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</si>
  <si>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</si>
  <si>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</si>
  <si>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</si>
  <si>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</si>
  <si>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</si>
  <si>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</si>
  <si>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</si>
  <si>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</si>
  <si>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</si>
  <si>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</si>
  <si>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</si>
  <si>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</si>
  <si>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</si>
  <si>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</si>
  <si>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</si>
  <si>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</si>
  <si>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</si>
  <si>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</si>
  <si>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</si>
  <si>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</si>
  <si>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</si>
  <si>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</si>
  <si>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</si>
  <si>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</si>
  <si>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</si>
  <si>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</si>
  <si>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</si>
  <si>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</si>
  <si>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</si>
  <si>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</si>
  <si>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</si>
  <si>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</si>
  <si>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</si>
  <si>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</si>
  <si>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</si>
  <si>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</si>
  <si>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</si>
  <si>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</si>
  <si>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</si>
  <si>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</si>
  <si>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</si>
  <si>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</si>
  <si>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</si>
  <si>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</si>
  <si>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C00073</t>
  </si>
  <si>
    <t>C00073</t>
    <phoneticPr fontId="2" type="noConversion"/>
  </si>
  <si>
    <t>年龄段</t>
  </si>
  <si>
    <t>50-54岁</t>
  </si>
  <si>
    <t>45-49岁</t>
  </si>
  <si>
    <t>60-64岁</t>
  </si>
  <si>
    <t>55-59岁</t>
  </si>
  <si>
    <t>35-39岁</t>
  </si>
  <si>
    <t>70-74岁</t>
  </si>
  <si>
    <t>65-69岁</t>
  </si>
  <si>
    <t>30-34岁</t>
  </si>
  <si>
    <t>40-44岁</t>
  </si>
  <si>
    <t>男顾客人数</t>
    <phoneticPr fontId="7" type="noConversion"/>
  </si>
  <si>
    <t>女顾客人数</t>
    <phoneticPr fontId="7" type="noConversion"/>
  </si>
  <si>
    <t>顾客总人数</t>
    <phoneticPr fontId="7" type="noConversion"/>
  </si>
  <si>
    <t>30岁以下</t>
    <phoneticPr fontId="7" type="noConversion"/>
  </si>
  <si>
    <t>合计</t>
    <phoneticPr fontId="7" type="noConversion"/>
  </si>
  <si>
    <t>消费金额</t>
    <phoneticPr fontId="2" type="noConversion"/>
  </si>
  <si>
    <t>季度</t>
    <phoneticPr fontId="2" type="noConversion"/>
  </si>
  <si>
    <t>75岁及以上</t>
    <phoneticPr fontId="7" type="noConversion"/>
  </si>
  <si>
    <t>男</t>
  </si>
  <si>
    <t>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</si>
</sst>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5" formatCode="&quot;¥&quot;#,##0;&quot;¥&quot;\-#,##0"/>
    <numFmt numFmtId="176" formatCode="&quot;¥&quot;#,##0_);[Red]\(&quot;¥&quot;#,##0\)"/>
    <numFmt numFmtId="177" formatCode="&quot;¥&quot;#,##0.00_);[Red]\(&quot;¥&quot;#,##0.00\)"/>
    <numFmt numFmtId="178" formatCode="yy&quot;年&quot;m&quot;月&quot;d&quot;日&quot;;@"/>
  </numFmts>
  <fonts count="10">
    <font>
      <sz val="12"/>
      <color theme="1"/>
      <name val="微軟正黑體"/>
      <family val="2"/>
      <charset val="136"/>
    </font>
    <font>
      <sz val="11"/>
      <color theme="1"/>
      <name val="宋体"/>
      <family val="2"/>
      <charset val="134"/>
      <scheme val="minor"/>
    </font>
    <font>
      <sz val="9"/>
      <name val="微軟正黑體"/>
      <family val="2"/>
      <charset val="136"/>
    </font>
    <font>
      <sz val="9"/>
      <color theme="1"/>
      <name val="Arial"/>
      <family val="2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2"/>
      <charset val="134"/>
      <scheme val="minor"/>
    </font>
    <font>
      <sz val="12"/>
      <color theme="5" tint="-0.2499465926084170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4" borderId="3">
      <alignment horizontal="center"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176" fontId="5" fillId="0" borderId="0" xfId="0" applyNumberFormat="1" applyFont="1">
      <alignment vertical="center"/>
    </xf>
    <xf numFmtId="0" fontId="5" fillId="0" borderId="0" xfId="0" applyFont="1">
      <alignment vertical="center"/>
    </xf>
    <xf numFmtId="176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8" fontId="5" fillId="0" borderId="0" xfId="0" applyNumberFormat="1" applyFo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5" fontId="5" fillId="0" borderId="0" xfId="0" applyNumberFormat="1" applyFont="1">
      <alignment vertical="center"/>
    </xf>
    <xf numFmtId="0" fontId="9" fillId="4" borderId="3" xfId="3">
      <alignment horizontal="center" vertical="center"/>
    </xf>
    <xf numFmtId="0" fontId="1" fillId="3" borderId="0" xfId="2" applyAlignment="1">
      <alignment horizontal="center" vertical="center"/>
    </xf>
    <xf numFmtId="0" fontId="1" fillId="3" borderId="3" xfId="2" applyBorder="1" applyAlignment="1">
      <alignment horizontal="center" vertical="center"/>
    </xf>
    <xf numFmtId="0" fontId="1" fillId="3" borderId="3" xfId="2" applyBorder="1">
      <alignment vertical="center"/>
    </xf>
    <xf numFmtId="0" fontId="8" fillId="0" borderId="4" xfId="1" applyAlignment="1">
      <alignment horizontal="center" vertical="center"/>
    </xf>
  </cellXfs>
  <cellStyles count="4">
    <cellStyle name="40% - 着色 5" xfId="2" builtinId="47"/>
    <cellStyle name="表格标题" xfId="3"/>
    <cellStyle name="常规" xfId="0" builtinId="0"/>
    <cellStyle name="汇总" xfId="1" builtinId="25"/>
  </cellStyles>
  <dxfs count="10">
    <dxf>
      <font>
        <color rgb="FFFF0000"/>
      </font>
    </dxf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  <numFmt numFmtId="9" formatCode="&quot;¥&quot;#,##0;&quot;¥&quot;\-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  <numFmt numFmtId="178" formatCode="yy&quot;年&quot;m&quot;月&quot;d&quot;日&quot;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</dxf>
  </dxfs>
  <tableStyles count="0" defaultTableStyle="TableStyleMedium2" defaultPivotStyle="PivotStyleLight16"/>
  <colors>
    <mruColors>
      <color rgb="FF222A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44343845887328E-2"/>
          <c:y val="0.29404016808121103"/>
          <c:w val="0.94954343768511174"/>
          <c:h val="0.608249226404812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按年龄和性别!$B$1</c:f>
              <c:strCache>
                <c:ptCount val="1"/>
                <c:pt idx="0">
                  <c:v>男顾客人数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按年龄和性别!$A$2:$A$12</c:f>
              <c:strCache>
                <c:ptCount val="11"/>
                <c:pt idx="0">
                  <c:v>30岁以下</c:v>
                </c:pt>
                <c:pt idx="1">
                  <c:v>30-34岁</c:v>
                </c:pt>
                <c:pt idx="2">
                  <c:v>35-39岁</c:v>
                </c:pt>
                <c:pt idx="3">
                  <c:v>40-44岁</c:v>
                </c:pt>
                <c:pt idx="4">
                  <c:v>45-49岁</c:v>
                </c:pt>
                <c:pt idx="5">
                  <c:v>50-54岁</c:v>
                </c:pt>
                <c:pt idx="6">
                  <c:v>55-59岁</c:v>
                </c:pt>
                <c:pt idx="7">
                  <c:v>60-64岁</c:v>
                </c:pt>
                <c:pt idx="8">
                  <c:v>65-69岁</c:v>
                </c:pt>
                <c:pt idx="9">
                  <c:v>70-74岁</c:v>
                </c:pt>
                <c:pt idx="10">
                  <c:v>75岁及以上</c:v>
                </c:pt>
              </c:strCache>
            </c:strRef>
          </c:cat>
          <c:val>
            <c:numRef>
              <c:f>按年龄和性别!$B$2:$B$12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14</c:v>
                </c:pt>
                <c:pt idx="5">
                  <c:v>15</c:v>
                </c:pt>
                <c:pt idx="6">
                  <c:v>11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4-4D1C-A51A-57446FA6261B}"/>
            </c:ext>
          </c:extLst>
        </c:ser>
        <c:ser>
          <c:idx val="1"/>
          <c:order val="1"/>
          <c:tx>
            <c:strRef>
              <c:f>按年龄和性别!$C$1</c:f>
              <c:strCache>
                <c:ptCount val="1"/>
                <c:pt idx="0">
                  <c:v>女顾客人数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按年龄和性别!$A$2:$A$12</c:f>
              <c:strCache>
                <c:ptCount val="11"/>
                <c:pt idx="0">
                  <c:v>30岁以下</c:v>
                </c:pt>
                <c:pt idx="1">
                  <c:v>30-34岁</c:v>
                </c:pt>
                <c:pt idx="2">
                  <c:v>35-39岁</c:v>
                </c:pt>
                <c:pt idx="3">
                  <c:v>40-44岁</c:v>
                </c:pt>
                <c:pt idx="4">
                  <c:v>45-49岁</c:v>
                </c:pt>
                <c:pt idx="5">
                  <c:v>50-54岁</c:v>
                </c:pt>
                <c:pt idx="6">
                  <c:v>55-59岁</c:v>
                </c:pt>
                <c:pt idx="7">
                  <c:v>60-64岁</c:v>
                </c:pt>
                <c:pt idx="8">
                  <c:v>65-69岁</c:v>
                </c:pt>
                <c:pt idx="9">
                  <c:v>70-74岁</c:v>
                </c:pt>
                <c:pt idx="10">
                  <c:v>75岁及以上</c:v>
                </c:pt>
              </c:strCache>
            </c:strRef>
          </c:cat>
          <c:val>
            <c:numRef>
              <c:f>按年龄和性别!$C$2:$C$12</c:f>
              <c:numCache>
                <c:formatCode>General</c:formatCode>
                <c:ptCount val="11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9</c:v>
                </c:pt>
                <c:pt idx="4">
                  <c:v>10</c:v>
                </c:pt>
                <c:pt idx="5">
                  <c:v>2</c:v>
                </c:pt>
                <c:pt idx="6">
                  <c:v>6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4-4D1C-A51A-57446FA62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  <a:effectLst/>
          </c:spPr>
        </c:serLines>
        <c:axId val="544071000"/>
        <c:axId val="544070672"/>
      </c:barChart>
      <c:catAx>
        <c:axId val="54407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070672"/>
        <c:crosses val="autoZero"/>
        <c:auto val="1"/>
        <c:lblAlgn val="ctr"/>
        <c:lblOffset val="100"/>
        <c:noMultiLvlLbl val="0"/>
      </c:catAx>
      <c:valAx>
        <c:axId val="544070672"/>
        <c:scaling>
          <c:orientation val="minMax"/>
          <c:max val="25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071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8" workbookViewId="0" zoomToFit="1"/>
  </sheetView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  <oddFooter>&amp;C&amp;Pof&amp;N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0769" cy="6069135"/>
    <xdr:graphicFrame macro="">
      <xdr:nvGraphicFramePr>
        <xdr:cNvPr id="2" name="图表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0.16019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0" y="0"/>
          <a:ext cx="9305192" cy="97414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zh-CN" altLang="en-US" sz="4000">
              <a:solidFill>
                <a:schemeClr val="bg1"/>
              </a:solidFill>
            </a:rPr>
            <a:t>各年龄段顾客人数</a:t>
          </a:r>
        </a:p>
      </cdr:txBody>
    </cdr:sp>
  </cdr:relSizeAnchor>
</c:userShapes>
</file>

<file path=xl/tables/table1.xml><?xml version="1.0" encoding="utf-8"?>
<table xmlns="http://schemas.openxmlformats.org/spreadsheetml/2006/main" id="1" name="客户资料" displayName="客户资料" ref="A1:F101" totalsRowShown="0" headerRowDxfId="9" dataDxfId="8">
  <autoFilter ref="A1:F101"/>
  <tableColumns count="6">
    <tableColumn id="1" name="顾客编号" dataDxfId="7"/>
    <tableColumn id="2" name="性别" dataDxfId="6"/>
    <tableColumn id="3" name="生日" dataDxfId="5"/>
    <tableColumn id="4" name="年龄" dataDxfId="4">
      <calculatedColumnFormula>DATEDIF(C2,"2017-1-1","y")</calculatedColumnFormula>
    </tableColumn>
    <tableColumn id="5" name="年龄段" dataDxfId="3">
      <calculatedColumnFormula>LOOKUP(D2,{0,30,35,40,45,50,55,60,65,70,75},按年龄和性别!$A$2:$A$12)</calculatedColumnFormula>
    </tableColumn>
    <tableColumn id="6" name="年消费金额" dataDxfId="2">
      <calculatedColumnFormula>SUMIF('2016年消费'!$A$2:$A$364,A2,'2016年消费'!$C$2:$C$364)</calculatedColumnFormula>
    </tableColumn>
  </tableColumns>
  <tableStyleInfo name="TableStyleLight17" showFirstColumn="0" showLastColumn="0" showRowStripes="0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4"/>
  <sheetViews>
    <sheetView workbookViewId="0">
      <selection activeCell="C2" sqref="C2:C5"/>
    </sheetView>
  </sheetViews>
  <sheetFormatPr defaultColWidth="8.88671875" defaultRowHeight="15.75"/>
  <cols>
    <col min="1" max="2" width="8.88671875" style="4"/>
    <col min="3" max="3" width="13.109375" style="4" bestFit="1" customWidth="1"/>
    <col min="4" max="4" width="8.88671875" style="1"/>
    <col min="5" max="5" width="9.44140625" style="1" bestFit="1" customWidth="1"/>
    <col min="6" max="7" width="8.88671875" style="1"/>
    <col min="9" max="16384" width="8.88671875" style="1"/>
  </cols>
  <sheetData>
    <row r="1" spans="1:7">
      <c r="A1" s="2" t="s">
        <v>2</v>
      </c>
      <c r="B1" s="2" t="s">
        <v>128</v>
      </c>
      <c r="C1" s="2" t="s">
        <v>127</v>
      </c>
    </row>
    <row r="2" spans="1:7">
      <c r="A2" s="14" t="s">
        <v>11</v>
      </c>
      <c r="B2" s="3" t="s">
        <v>7</v>
      </c>
      <c r="C2" s="5">
        <v>4578</v>
      </c>
      <c r="D2" s="9"/>
      <c r="E2" s="7"/>
      <c r="G2" s="8"/>
    </row>
    <row r="3" spans="1:7">
      <c r="A3" s="15" t="str">
        <f t="shared" ref="A3:A5" si="0">A2</f>
        <v>C00001</v>
      </c>
      <c r="B3" s="3" t="s">
        <v>8</v>
      </c>
      <c r="C3" s="5">
        <v>5035</v>
      </c>
      <c r="D3" s="9"/>
      <c r="E3" s="7"/>
      <c r="G3" s="8"/>
    </row>
    <row r="4" spans="1:7">
      <c r="A4" s="15" t="str">
        <f t="shared" si="0"/>
        <v>C00001</v>
      </c>
      <c r="B4" s="3" t="s">
        <v>9</v>
      </c>
      <c r="C4" s="5">
        <v>5035</v>
      </c>
      <c r="D4" s="9"/>
      <c r="E4" s="7"/>
      <c r="G4" s="8"/>
    </row>
    <row r="5" spans="1:7">
      <c r="A5" s="16" t="str">
        <f t="shared" si="0"/>
        <v>C00001</v>
      </c>
      <c r="B5" s="3" t="s">
        <v>10</v>
      </c>
      <c r="C5" s="5">
        <v>2060</v>
      </c>
      <c r="D5" s="9"/>
      <c r="E5" s="7"/>
      <c r="G5" s="8"/>
    </row>
    <row r="6" spans="1:7">
      <c r="A6" s="14" t="s">
        <v>12</v>
      </c>
      <c r="B6" s="3" t="s">
        <v>7</v>
      </c>
      <c r="C6" s="5">
        <v>8240</v>
      </c>
      <c r="D6" s="9"/>
      <c r="E6" s="7"/>
      <c r="G6" s="8"/>
    </row>
    <row r="7" spans="1:7">
      <c r="A7" s="15" t="str">
        <f t="shared" ref="A7:A9" si="1">A6</f>
        <v>C00002</v>
      </c>
      <c r="B7" s="3" t="s">
        <v>8</v>
      </c>
      <c r="C7" s="5">
        <v>4120</v>
      </c>
      <c r="D7" s="9"/>
      <c r="E7" s="7"/>
      <c r="G7" s="8"/>
    </row>
    <row r="8" spans="1:7">
      <c r="A8" s="15" t="str">
        <f t="shared" si="1"/>
        <v>C00002</v>
      </c>
      <c r="B8" s="3" t="s">
        <v>9</v>
      </c>
      <c r="C8" s="5">
        <v>2518</v>
      </c>
      <c r="D8" s="9"/>
      <c r="E8" s="7"/>
      <c r="G8" s="8"/>
    </row>
    <row r="9" spans="1:7">
      <c r="A9" s="16" t="str">
        <f t="shared" si="1"/>
        <v>C00002</v>
      </c>
      <c r="B9" s="3" t="s">
        <v>10</v>
      </c>
      <c r="C9" s="5">
        <v>4120</v>
      </c>
      <c r="D9" s="9"/>
      <c r="E9" s="7"/>
      <c r="G9" s="8"/>
    </row>
    <row r="10" spans="1:7">
      <c r="A10" s="14" t="s">
        <v>13</v>
      </c>
      <c r="B10" s="3" t="s">
        <v>7</v>
      </c>
      <c r="C10" s="5">
        <v>8240</v>
      </c>
      <c r="D10" s="9"/>
      <c r="E10" s="7"/>
      <c r="G10" s="8"/>
    </row>
    <row r="11" spans="1:7">
      <c r="A11" s="15" t="str">
        <f t="shared" ref="A11:A13" si="2">A10</f>
        <v>C00003</v>
      </c>
      <c r="B11" s="3" t="s">
        <v>8</v>
      </c>
      <c r="C11" s="5">
        <v>12588</v>
      </c>
      <c r="D11" s="9"/>
      <c r="E11" s="7"/>
      <c r="G11" s="8"/>
    </row>
    <row r="12" spans="1:7">
      <c r="A12" s="15" t="str">
        <f t="shared" si="2"/>
        <v>C00003</v>
      </c>
      <c r="B12" s="3" t="s">
        <v>9</v>
      </c>
      <c r="C12" s="5">
        <v>6866</v>
      </c>
      <c r="D12" s="9"/>
      <c r="E12" s="7"/>
      <c r="G12" s="8"/>
    </row>
    <row r="13" spans="1:7">
      <c r="A13" s="16" t="str">
        <f t="shared" si="2"/>
        <v>C00003</v>
      </c>
      <c r="B13" s="3" t="s">
        <v>10</v>
      </c>
      <c r="C13" s="5">
        <v>4120</v>
      </c>
      <c r="D13" s="9"/>
      <c r="E13" s="7"/>
      <c r="G13" s="8"/>
    </row>
    <row r="14" spans="1:7">
      <c r="A14" s="14" t="s">
        <v>14</v>
      </c>
      <c r="B14" s="3" t="s">
        <v>7</v>
      </c>
      <c r="C14" s="5">
        <v>20141</v>
      </c>
      <c r="D14" s="9"/>
      <c r="E14" s="7"/>
      <c r="G14" s="8"/>
    </row>
    <row r="15" spans="1:7">
      <c r="A15" s="15" t="str">
        <f t="shared" ref="A15:A16" si="3">A14</f>
        <v>C00004</v>
      </c>
      <c r="B15" s="3" t="s">
        <v>8</v>
      </c>
      <c r="C15" s="5">
        <v>7553</v>
      </c>
      <c r="D15" s="9"/>
      <c r="E15" s="7"/>
    </row>
    <row r="16" spans="1:7">
      <c r="A16" s="16" t="str">
        <f t="shared" si="3"/>
        <v>C00004</v>
      </c>
      <c r="B16" s="3" t="s">
        <v>9</v>
      </c>
      <c r="C16" s="5">
        <v>12588</v>
      </c>
      <c r="D16" s="9"/>
      <c r="E16" s="7"/>
    </row>
    <row r="17" spans="1:5">
      <c r="A17" s="14" t="s">
        <v>15</v>
      </c>
      <c r="B17" s="3" t="s">
        <v>7</v>
      </c>
      <c r="C17" s="5">
        <v>4578</v>
      </c>
      <c r="D17" s="9"/>
      <c r="E17" s="7"/>
    </row>
    <row r="18" spans="1:5">
      <c r="A18" s="15" t="str">
        <f t="shared" ref="A18:A20" si="4">A17</f>
        <v>C00005</v>
      </c>
      <c r="B18" s="3" t="s">
        <v>8</v>
      </c>
      <c r="C18" s="5">
        <v>4578</v>
      </c>
      <c r="D18" s="9"/>
      <c r="E18" s="7"/>
    </row>
    <row r="19" spans="1:5">
      <c r="A19" s="15" t="str">
        <f t="shared" si="4"/>
        <v>C00005</v>
      </c>
      <c r="B19" s="3" t="s">
        <v>9</v>
      </c>
      <c r="C19" s="5">
        <v>9155</v>
      </c>
      <c r="D19" s="9"/>
      <c r="E19" s="7"/>
    </row>
    <row r="20" spans="1:5">
      <c r="A20" s="16" t="str">
        <f t="shared" si="4"/>
        <v>C00005</v>
      </c>
      <c r="B20" s="3" t="s">
        <v>10</v>
      </c>
      <c r="C20" s="5">
        <v>2289</v>
      </c>
      <c r="D20" s="9"/>
      <c r="E20" s="7"/>
    </row>
    <row r="21" spans="1:5">
      <c r="A21" s="14" t="s">
        <v>16</v>
      </c>
      <c r="B21" s="3" t="s">
        <v>7</v>
      </c>
      <c r="C21" s="5">
        <v>2060</v>
      </c>
      <c r="D21" s="9"/>
      <c r="E21" s="7"/>
    </row>
    <row r="22" spans="1:5">
      <c r="A22" s="15" t="str">
        <f t="shared" ref="A22:A23" si="5">A21</f>
        <v>C00006</v>
      </c>
      <c r="B22" s="3" t="s">
        <v>8</v>
      </c>
      <c r="C22" s="5">
        <v>7553</v>
      </c>
      <c r="D22" s="9"/>
      <c r="E22" s="7"/>
    </row>
    <row r="23" spans="1:5">
      <c r="A23" s="16" t="str">
        <f t="shared" si="5"/>
        <v>C00006</v>
      </c>
      <c r="B23" s="3" t="s">
        <v>9</v>
      </c>
      <c r="C23" s="5">
        <v>5035</v>
      </c>
      <c r="D23" s="9"/>
      <c r="E23" s="7"/>
    </row>
    <row r="24" spans="1:5">
      <c r="A24" s="14" t="s">
        <v>17</v>
      </c>
      <c r="B24" s="3" t="s">
        <v>7</v>
      </c>
      <c r="C24" s="5">
        <v>4120</v>
      </c>
      <c r="D24" s="9"/>
      <c r="E24" s="7"/>
    </row>
    <row r="25" spans="1:5">
      <c r="A25" s="15" t="str">
        <f t="shared" ref="A25:A27" si="6">A24</f>
        <v>C00007</v>
      </c>
      <c r="B25" s="3" t="s">
        <v>8</v>
      </c>
      <c r="C25" s="5">
        <v>2060</v>
      </c>
      <c r="D25" s="9"/>
      <c r="E25" s="7"/>
    </row>
    <row r="26" spans="1:5">
      <c r="A26" s="15" t="str">
        <f t="shared" si="6"/>
        <v>C00007</v>
      </c>
      <c r="B26" s="3" t="s">
        <v>9</v>
      </c>
      <c r="C26" s="5">
        <v>4120</v>
      </c>
      <c r="D26" s="9"/>
      <c r="E26" s="7"/>
    </row>
    <row r="27" spans="1:5">
      <c r="A27" s="16" t="str">
        <f t="shared" si="6"/>
        <v>C00007</v>
      </c>
      <c r="B27" s="3" t="s">
        <v>10</v>
      </c>
      <c r="C27" s="5">
        <v>4120</v>
      </c>
      <c r="D27" s="9"/>
      <c r="E27" s="7"/>
    </row>
    <row r="28" spans="1:5">
      <c r="A28" s="14" t="s">
        <v>18</v>
      </c>
      <c r="B28" s="3" t="s">
        <v>7</v>
      </c>
      <c r="C28" s="5">
        <v>12360</v>
      </c>
      <c r="D28" s="9"/>
      <c r="E28" s="7"/>
    </row>
    <row r="29" spans="1:5">
      <c r="A29" s="15" t="str">
        <f t="shared" ref="A29:A30" si="7">A28</f>
        <v>C00008</v>
      </c>
      <c r="B29" s="3" t="s">
        <v>9</v>
      </c>
      <c r="C29" s="5">
        <v>4120</v>
      </c>
      <c r="D29" s="9"/>
      <c r="E29" s="7"/>
    </row>
    <row r="30" spans="1:5">
      <c r="A30" s="16" t="str">
        <f t="shared" si="7"/>
        <v>C00008</v>
      </c>
      <c r="B30" s="3" t="s">
        <v>10</v>
      </c>
      <c r="C30" s="5">
        <v>2518</v>
      </c>
      <c r="D30" s="9"/>
      <c r="E30" s="7"/>
    </row>
    <row r="31" spans="1:5">
      <c r="A31" s="14" t="s">
        <v>19</v>
      </c>
      <c r="B31" s="3" t="s">
        <v>7</v>
      </c>
      <c r="C31" s="5">
        <v>12588</v>
      </c>
      <c r="D31" s="9"/>
      <c r="E31" s="7"/>
    </row>
    <row r="32" spans="1:5">
      <c r="A32" s="15" t="str">
        <f t="shared" ref="A32:A34" si="8">A31</f>
        <v>C00009</v>
      </c>
      <c r="B32" s="3" t="s">
        <v>8</v>
      </c>
      <c r="C32" s="5">
        <v>4120</v>
      </c>
      <c r="D32" s="9"/>
      <c r="E32" s="7"/>
    </row>
    <row r="33" spans="1:5">
      <c r="A33" s="15" t="str">
        <f t="shared" si="8"/>
        <v>C00009</v>
      </c>
      <c r="B33" s="3" t="s">
        <v>9</v>
      </c>
      <c r="C33" s="5">
        <v>9155</v>
      </c>
      <c r="D33" s="9"/>
      <c r="E33" s="7"/>
    </row>
    <row r="34" spans="1:5">
      <c r="A34" s="16" t="str">
        <f t="shared" si="8"/>
        <v>C00009</v>
      </c>
      <c r="B34" s="3" t="s">
        <v>10</v>
      </c>
      <c r="C34" s="5">
        <v>12360</v>
      </c>
      <c r="D34" s="9"/>
      <c r="E34" s="7"/>
    </row>
    <row r="35" spans="1:5">
      <c r="A35" s="14" t="s">
        <v>20</v>
      </c>
      <c r="B35" s="3" t="s">
        <v>7</v>
      </c>
      <c r="C35" s="5">
        <v>12360</v>
      </c>
      <c r="D35" s="9"/>
      <c r="E35" s="7"/>
    </row>
    <row r="36" spans="1:5">
      <c r="A36" s="15" t="str">
        <f t="shared" ref="A36:A38" si="9">A35</f>
        <v>C00010</v>
      </c>
      <c r="B36" s="3" t="s">
        <v>8</v>
      </c>
      <c r="C36" s="5">
        <v>6866</v>
      </c>
      <c r="D36" s="9"/>
      <c r="E36" s="7"/>
    </row>
    <row r="37" spans="1:5">
      <c r="A37" s="15" t="str">
        <f t="shared" si="9"/>
        <v>C00010</v>
      </c>
      <c r="B37" s="3" t="s">
        <v>9</v>
      </c>
      <c r="C37" s="5">
        <v>6180</v>
      </c>
      <c r="D37" s="9"/>
      <c r="E37" s="7"/>
    </row>
    <row r="38" spans="1:5">
      <c r="A38" s="16" t="str">
        <f t="shared" si="9"/>
        <v>C00010</v>
      </c>
      <c r="B38" s="3" t="s">
        <v>10</v>
      </c>
      <c r="C38" s="5">
        <v>16022</v>
      </c>
      <c r="D38" s="9"/>
      <c r="E38" s="7"/>
    </row>
    <row r="39" spans="1:5">
      <c r="A39" s="14" t="s">
        <v>21</v>
      </c>
      <c r="B39" s="3" t="s">
        <v>7</v>
      </c>
      <c r="C39" s="5">
        <v>5035</v>
      </c>
      <c r="D39" s="9"/>
      <c r="E39" s="7"/>
    </row>
    <row r="40" spans="1:5">
      <c r="A40" s="15" t="str">
        <f t="shared" ref="A40:A42" si="10">A39</f>
        <v>C00011</v>
      </c>
      <c r="B40" s="3" t="s">
        <v>8</v>
      </c>
      <c r="C40" s="5">
        <v>5035</v>
      </c>
      <c r="D40" s="9"/>
      <c r="E40" s="7"/>
    </row>
    <row r="41" spans="1:5">
      <c r="A41" s="15" t="str">
        <f t="shared" si="10"/>
        <v>C00011</v>
      </c>
      <c r="B41" s="3" t="s">
        <v>9</v>
      </c>
      <c r="C41" s="5">
        <v>5035</v>
      </c>
      <c r="D41" s="9"/>
      <c r="E41" s="7"/>
    </row>
    <row r="42" spans="1:5">
      <c r="A42" s="16" t="str">
        <f t="shared" si="10"/>
        <v>C00011</v>
      </c>
      <c r="B42" s="3" t="s">
        <v>10</v>
      </c>
      <c r="C42" s="5">
        <v>2518</v>
      </c>
      <c r="D42" s="9"/>
      <c r="E42" s="7"/>
    </row>
    <row r="43" spans="1:5">
      <c r="A43" s="14" t="s">
        <v>22</v>
      </c>
      <c r="B43" s="3" t="s">
        <v>7</v>
      </c>
      <c r="C43" s="5">
        <v>13733</v>
      </c>
      <c r="D43" s="9"/>
      <c r="E43" s="7"/>
    </row>
    <row r="44" spans="1:5">
      <c r="A44" s="15" t="str">
        <f t="shared" ref="A44:A46" si="11">A43</f>
        <v>C00012</v>
      </c>
      <c r="B44" s="3" t="s">
        <v>8</v>
      </c>
      <c r="C44" s="5">
        <v>30212</v>
      </c>
      <c r="D44" s="9"/>
      <c r="E44" s="7"/>
    </row>
    <row r="45" spans="1:5">
      <c r="A45" s="15" t="str">
        <f t="shared" si="11"/>
        <v>C00012</v>
      </c>
      <c r="B45" s="3" t="s">
        <v>9</v>
      </c>
      <c r="C45" s="5">
        <v>12588</v>
      </c>
      <c r="D45" s="9"/>
      <c r="E45" s="7"/>
    </row>
    <row r="46" spans="1:5">
      <c r="A46" s="16" t="str">
        <f t="shared" si="11"/>
        <v>C00012</v>
      </c>
      <c r="B46" s="3" t="s">
        <v>10</v>
      </c>
      <c r="C46" s="5">
        <v>35248</v>
      </c>
      <c r="D46" s="9"/>
      <c r="E46" s="7"/>
    </row>
    <row r="47" spans="1:5">
      <c r="A47" s="14" t="s">
        <v>23</v>
      </c>
      <c r="B47" s="3" t="s">
        <v>7</v>
      </c>
      <c r="C47" s="5">
        <v>12588</v>
      </c>
      <c r="D47" s="9"/>
      <c r="E47" s="7"/>
    </row>
    <row r="48" spans="1:5">
      <c r="A48" s="15" t="str">
        <f t="shared" ref="A48:A49" si="12">A47</f>
        <v>C00013</v>
      </c>
      <c r="B48" s="3" t="s">
        <v>9</v>
      </c>
      <c r="C48" s="5">
        <v>10071</v>
      </c>
      <c r="D48" s="9"/>
      <c r="E48" s="7"/>
    </row>
    <row r="49" spans="1:5">
      <c r="A49" s="16" t="str">
        <f t="shared" si="12"/>
        <v>C00013</v>
      </c>
      <c r="B49" s="3" t="s">
        <v>10</v>
      </c>
      <c r="C49" s="5">
        <v>2289</v>
      </c>
      <c r="D49" s="9"/>
      <c r="E49" s="7"/>
    </row>
    <row r="50" spans="1:5">
      <c r="A50" s="14" t="s">
        <v>24</v>
      </c>
      <c r="B50" s="3" t="s">
        <v>7</v>
      </c>
      <c r="C50" s="5">
        <v>5035</v>
      </c>
      <c r="D50" s="9"/>
      <c r="E50" s="7"/>
    </row>
    <row r="51" spans="1:5">
      <c r="A51" s="15" t="str">
        <f t="shared" ref="A51:A53" si="13">A50</f>
        <v>C00014</v>
      </c>
      <c r="B51" s="3" t="s">
        <v>8</v>
      </c>
      <c r="C51" s="5">
        <v>11444</v>
      </c>
      <c r="D51" s="9"/>
      <c r="E51" s="7"/>
    </row>
    <row r="52" spans="1:5">
      <c r="A52" s="15" t="str">
        <f t="shared" si="13"/>
        <v>C00014</v>
      </c>
      <c r="B52" s="3" t="s">
        <v>9</v>
      </c>
      <c r="C52" s="5">
        <v>12360</v>
      </c>
      <c r="D52" s="9"/>
      <c r="E52" s="7"/>
    </row>
    <row r="53" spans="1:5">
      <c r="A53" s="16" t="str">
        <f t="shared" si="13"/>
        <v>C00014</v>
      </c>
      <c r="B53" s="3" t="s">
        <v>10</v>
      </c>
      <c r="C53" s="5">
        <v>20141</v>
      </c>
      <c r="D53" s="9"/>
      <c r="E53" s="7"/>
    </row>
    <row r="54" spans="1:5">
      <c r="A54" s="14" t="s">
        <v>25</v>
      </c>
      <c r="B54" s="3" t="s">
        <v>7</v>
      </c>
      <c r="C54" s="5">
        <v>12588</v>
      </c>
      <c r="D54" s="9"/>
      <c r="E54" s="7"/>
    </row>
    <row r="55" spans="1:5">
      <c r="A55" s="15" t="str">
        <f t="shared" ref="A55:A57" si="14">A54</f>
        <v>C00015</v>
      </c>
      <c r="B55" s="3" t="s">
        <v>8</v>
      </c>
      <c r="C55" s="5">
        <v>22659</v>
      </c>
      <c r="D55" s="9"/>
      <c r="E55" s="7"/>
    </row>
    <row r="56" spans="1:5">
      <c r="A56" s="15" t="str">
        <f t="shared" si="14"/>
        <v>C00015</v>
      </c>
      <c r="B56" s="3" t="s">
        <v>9</v>
      </c>
      <c r="C56" s="5">
        <v>20599</v>
      </c>
      <c r="D56" s="9"/>
      <c r="E56" s="7"/>
    </row>
    <row r="57" spans="1:5">
      <c r="A57" s="16" t="str">
        <f t="shared" si="14"/>
        <v>C00015</v>
      </c>
      <c r="B57" s="3" t="s">
        <v>10</v>
      </c>
      <c r="C57" s="5">
        <v>12360</v>
      </c>
      <c r="D57" s="9"/>
      <c r="E57" s="7"/>
    </row>
    <row r="58" spans="1:5">
      <c r="A58" s="14" t="s">
        <v>26</v>
      </c>
      <c r="B58" s="3" t="s">
        <v>7</v>
      </c>
      <c r="C58" s="5">
        <v>5035</v>
      </c>
      <c r="D58" s="9"/>
      <c r="E58" s="7"/>
    </row>
    <row r="59" spans="1:5">
      <c r="A59" s="15" t="str">
        <f t="shared" ref="A59:A61" si="15">A58</f>
        <v>C00016</v>
      </c>
      <c r="B59" s="3" t="s">
        <v>8</v>
      </c>
      <c r="C59" s="5">
        <v>6180</v>
      </c>
      <c r="D59" s="9"/>
      <c r="E59" s="7"/>
    </row>
    <row r="60" spans="1:5">
      <c r="A60" s="15" t="str">
        <f t="shared" si="15"/>
        <v>C00016</v>
      </c>
      <c r="B60" s="3" t="s">
        <v>9</v>
      </c>
      <c r="C60" s="5">
        <v>6866</v>
      </c>
      <c r="D60" s="9"/>
      <c r="E60" s="7"/>
    </row>
    <row r="61" spans="1:5">
      <c r="A61" s="16" t="str">
        <f t="shared" si="15"/>
        <v>C00016</v>
      </c>
      <c r="B61" s="3" t="s">
        <v>10</v>
      </c>
      <c r="C61" s="5">
        <v>5035</v>
      </c>
      <c r="D61" s="9"/>
      <c r="E61" s="7"/>
    </row>
    <row r="62" spans="1:5">
      <c r="A62" s="14" t="s">
        <v>27</v>
      </c>
      <c r="B62" s="3" t="s">
        <v>7</v>
      </c>
      <c r="C62" s="5">
        <v>2289</v>
      </c>
      <c r="D62" s="9"/>
      <c r="E62" s="7"/>
    </row>
    <row r="63" spans="1:5">
      <c r="A63" s="15" t="str">
        <f t="shared" ref="A63:A65" si="16">A62</f>
        <v>C00017</v>
      </c>
      <c r="B63" s="3" t="s">
        <v>8</v>
      </c>
      <c r="C63" s="5">
        <v>5035</v>
      </c>
      <c r="D63" s="9"/>
      <c r="E63" s="7"/>
    </row>
    <row r="64" spans="1:5">
      <c r="A64" s="15" t="str">
        <f t="shared" si="16"/>
        <v>C00017</v>
      </c>
      <c r="B64" s="3" t="s">
        <v>9</v>
      </c>
      <c r="C64" s="5">
        <v>2518</v>
      </c>
      <c r="D64" s="9"/>
      <c r="E64" s="7"/>
    </row>
    <row r="65" spans="1:5">
      <c r="A65" s="16" t="str">
        <f t="shared" si="16"/>
        <v>C00017</v>
      </c>
      <c r="B65" s="3" t="s">
        <v>10</v>
      </c>
      <c r="C65" s="5">
        <v>10071</v>
      </c>
      <c r="D65" s="9"/>
      <c r="E65" s="7"/>
    </row>
    <row r="66" spans="1:5">
      <c r="A66" s="14" t="s">
        <v>28</v>
      </c>
      <c r="B66" s="3" t="s">
        <v>7</v>
      </c>
      <c r="C66" s="5">
        <v>6866</v>
      </c>
      <c r="D66" s="9"/>
      <c r="E66" s="7"/>
    </row>
    <row r="67" spans="1:5">
      <c r="A67" s="15" t="str">
        <f t="shared" ref="A67:A69" si="17">A66</f>
        <v>C00018</v>
      </c>
      <c r="B67" s="3" t="s">
        <v>8</v>
      </c>
      <c r="C67" s="5">
        <v>6180</v>
      </c>
      <c r="D67" s="9"/>
      <c r="E67" s="7"/>
    </row>
    <row r="68" spans="1:5">
      <c r="A68" s="15" t="str">
        <f t="shared" si="17"/>
        <v>C00018</v>
      </c>
      <c r="B68" s="3" t="s">
        <v>9</v>
      </c>
      <c r="C68" s="5">
        <v>9155</v>
      </c>
      <c r="D68" s="9"/>
      <c r="E68" s="7"/>
    </row>
    <row r="69" spans="1:5">
      <c r="A69" s="16" t="str">
        <f t="shared" si="17"/>
        <v>C00018</v>
      </c>
      <c r="B69" s="3" t="s">
        <v>10</v>
      </c>
      <c r="C69" s="5">
        <v>4578</v>
      </c>
      <c r="D69" s="9"/>
      <c r="E69" s="7"/>
    </row>
    <row r="70" spans="1:5">
      <c r="A70" s="14" t="s">
        <v>29</v>
      </c>
      <c r="B70" s="3" t="s">
        <v>7</v>
      </c>
      <c r="C70" s="5">
        <v>6180</v>
      </c>
      <c r="D70" s="9"/>
      <c r="E70" s="7"/>
    </row>
    <row r="71" spans="1:5">
      <c r="A71" s="15" t="str">
        <f t="shared" ref="A71:A73" si="18">A70</f>
        <v>C00019</v>
      </c>
      <c r="B71" s="3" t="s">
        <v>8</v>
      </c>
      <c r="C71" s="5">
        <v>10300</v>
      </c>
      <c r="D71" s="9"/>
      <c r="E71" s="7"/>
    </row>
    <row r="72" spans="1:5">
      <c r="A72" s="15" t="str">
        <f t="shared" si="18"/>
        <v>C00019</v>
      </c>
      <c r="B72" s="3" t="s">
        <v>9</v>
      </c>
      <c r="C72" s="5">
        <v>2060</v>
      </c>
      <c r="D72" s="9"/>
      <c r="E72" s="7"/>
    </row>
    <row r="73" spans="1:5">
      <c r="A73" s="16" t="str">
        <f t="shared" si="18"/>
        <v>C00019</v>
      </c>
      <c r="B73" s="3" t="s">
        <v>10</v>
      </c>
      <c r="C73" s="5">
        <v>5035</v>
      </c>
      <c r="D73" s="9"/>
      <c r="E73" s="7"/>
    </row>
    <row r="74" spans="1:5">
      <c r="A74" s="14" t="s">
        <v>30</v>
      </c>
      <c r="B74" s="3" t="s">
        <v>7</v>
      </c>
      <c r="C74" s="5">
        <v>10300</v>
      </c>
      <c r="D74" s="9"/>
      <c r="E74" s="7"/>
    </row>
    <row r="75" spans="1:5">
      <c r="A75" s="15" t="str">
        <f t="shared" ref="A75:A77" si="19">A74</f>
        <v>C00020</v>
      </c>
      <c r="B75" s="3" t="s">
        <v>8</v>
      </c>
      <c r="C75" s="5">
        <v>4578</v>
      </c>
      <c r="D75" s="9"/>
      <c r="E75" s="7"/>
    </row>
    <row r="76" spans="1:5">
      <c r="A76" s="15" t="str">
        <f t="shared" si="19"/>
        <v>C00020</v>
      </c>
      <c r="B76" s="3" t="s">
        <v>9</v>
      </c>
      <c r="C76" s="5">
        <v>10300</v>
      </c>
      <c r="D76" s="9"/>
      <c r="E76" s="7"/>
    </row>
    <row r="77" spans="1:5">
      <c r="A77" s="16" t="str">
        <f t="shared" si="19"/>
        <v>C00020</v>
      </c>
      <c r="B77" s="3" t="s">
        <v>10</v>
      </c>
      <c r="C77" s="5">
        <v>6180</v>
      </c>
      <c r="D77" s="9"/>
      <c r="E77" s="7"/>
    </row>
    <row r="78" spans="1:5">
      <c r="A78" s="14" t="s">
        <v>31</v>
      </c>
      <c r="B78" s="3" t="s">
        <v>7</v>
      </c>
      <c r="C78" s="5">
        <v>5035</v>
      </c>
      <c r="D78" s="9"/>
      <c r="E78" s="7"/>
    </row>
    <row r="79" spans="1:5">
      <c r="A79" s="15" t="str">
        <f t="shared" ref="A79:A81" si="20">A78</f>
        <v>C00021</v>
      </c>
      <c r="B79" s="3" t="s">
        <v>8</v>
      </c>
      <c r="C79" s="5">
        <v>12360</v>
      </c>
      <c r="D79" s="9"/>
      <c r="E79" s="7"/>
    </row>
    <row r="80" spans="1:5">
      <c r="A80" s="15" t="str">
        <f t="shared" si="20"/>
        <v>C00021</v>
      </c>
      <c r="B80" s="3" t="s">
        <v>9</v>
      </c>
      <c r="C80" s="5">
        <v>9155</v>
      </c>
      <c r="D80" s="9"/>
      <c r="E80" s="7"/>
    </row>
    <row r="81" spans="1:5">
      <c r="A81" s="16" t="str">
        <f t="shared" si="20"/>
        <v>C00021</v>
      </c>
      <c r="B81" s="3" t="s">
        <v>10</v>
      </c>
      <c r="C81" s="5">
        <v>6180</v>
      </c>
      <c r="D81" s="9"/>
      <c r="E81" s="7"/>
    </row>
    <row r="82" spans="1:5">
      <c r="A82" s="14" t="s">
        <v>32</v>
      </c>
      <c r="B82" s="3" t="s">
        <v>7</v>
      </c>
      <c r="C82" s="5">
        <v>7553</v>
      </c>
      <c r="D82" s="9"/>
      <c r="E82" s="7"/>
    </row>
    <row r="83" spans="1:5">
      <c r="A83" s="15" t="str">
        <f t="shared" ref="A83:A84" si="21">A82</f>
        <v>C00022</v>
      </c>
      <c r="B83" s="3" t="s">
        <v>8</v>
      </c>
      <c r="C83" s="5">
        <v>4578</v>
      </c>
      <c r="D83" s="9"/>
      <c r="E83" s="7"/>
    </row>
    <row r="84" spans="1:5">
      <c r="A84" s="16" t="str">
        <f t="shared" si="21"/>
        <v>C00022</v>
      </c>
      <c r="B84" s="3" t="s">
        <v>9</v>
      </c>
      <c r="C84" s="5">
        <v>7553</v>
      </c>
      <c r="D84" s="9"/>
      <c r="E84" s="7"/>
    </row>
    <row r="85" spans="1:5">
      <c r="A85" s="14" t="s">
        <v>33</v>
      </c>
      <c r="B85" s="3" t="s">
        <v>7</v>
      </c>
      <c r="C85" s="5">
        <v>9155</v>
      </c>
      <c r="D85" s="9"/>
      <c r="E85" s="7"/>
    </row>
    <row r="86" spans="1:5">
      <c r="A86" s="15" t="str">
        <f t="shared" ref="A86:A88" si="22">A85</f>
        <v>C00023</v>
      </c>
      <c r="B86" s="3" t="s">
        <v>8</v>
      </c>
      <c r="C86" s="5">
        <v>2518</v>
      </c>
      <c r="D86" s="9"/>
      <c r="E86" s="7"/>
    </row>
    <row r="87" spans="1:5">
      <c r="A87" s="15" t="str">
        <f t="shared" si="22"/>
        <v>C00023</v>
      </c>
      <c r="B87" s="3" t="s">
        <v>9</v>
      </c>
      <c r="C87" s="5">
        <v>2289</v>
      </c>
      <c r="D87" s="9"/>
      <c r="E87" s="7"/>
    </row>
    <row r="88" spans="1:5">
      <c r="A88" s="16" t="str">
        <f t="shared" si="22"/>
        <v>C00023</v>
      </c>
      <c r="B88" s="3" t="s">
        <v>10</v>
      </c>
      <c r="C88" s="5">
        <v>2060</v>
      </c>
      <c r="D88" s="9"/>
      <c r="E88" s="7"/>
    </row>
    <row r="89" spans="1:5">
      <c r="A89" s="14" t="s">
        <v>34</v>
      </c>
      <c r="B89" s="3" t="s">
        <v>7</v>
      </c>
      <c r="C89" s="5">
        <v>10300</v>
      </c>
      <c r="D89" s="9"/>
      <c r="E89" s="7"/>
    </row>
    <row r="90" spans="1:5">
      <c r="A90" s="15" t="str">
        <f t="shared" ref="A90:A92" si="23">A89</f>
        <v>C00024</v>
      </c>
      <c r="B90" s="3" t="s">
        <v>8</v>
      </c>
      <c r="C90" s="5">
        <v>8240</v>
      </c>
      <c r="D90" s="9"/>
      <c r="E90" s="7"/>
    </row>
    <row r="91" spans="1:5">
      <c r="A91" s="15" t="str">
        <f t="shared" si="23"/>
        <v>C00024</v>
      </c>
      <c r="B91" s="3" t="s">
        <v>9</v>
      </c>
      <c r="C91" s="5">
        <v>8240</v>
      </c>
      <c r="D91" s="9"/>
      <c r="E91" s="7"/>
    </row>
    <row r="92" spans="1:5">
      <c r="A92" s="16" t="str">
        <f t="shared" si="23"/>
        <v>C00024</v>
      </c>
      <c r="B92" s="3" t="s">
        <v>10</v>
      </c>
      <c r="C92" s="5">
        <v>12360</v>
      </c>
      <c r="D92" s="9"/>
      <c r="E92" s="7"/>
    </row>
    <row r="93" spans="1:5">
      <c r="A93" s="14" t="s">
        <v>35</v>
      </c>
      <c r="B93" s="3" t="s">
        <v>7</v>
      </c>
      <c r="C93" s="5">
        <v>4578</v>
      </c>
      <c r="D93" s="9"/>
      <c r="E93" s="7"/>
    </row>
    <row r="94" spans="1:5">
      <c r="A94" s="15" t="str">
        <f t="shared" ref="A94:A96" si="24">A93</f>
        <v>C00025</v>
      </c>
      <c r="B94" s="3" t="s">
        <v>8</v>
      </c>
      <c r="C94" s="5">
        <v>7553</v>
      </c>
      <c r="D94" s="9"/>
      <c r="E94" s="7"/>
    </row>
    <row r="95" spans="1:5">
      <c r="A95" s="15" t="str">
        <f t="shared" si="24"/>
        <v>C00025</v>
      </c>
      <c r="B95" s="3" t="s">
        <v>9</v>
      </c>
      <c r="C95" s="5">
        <v>2518</v>
      </c>
      <c r="D95" s="9"/>
      <c r="E95" s="7"/>
    </row>
    <row r="96" spans="1:5">
      <c r="A96" s="16" t="str">
        <f t="shared" si="24"/>
        <v>C00025</v>
      </c>
      <c r="B96" s="3" t="s">
        <v>10</v>
      </c>
      <c r="C96" s="5">
        <v>4578</v>
      </c>
      <c r="D96" s="9"/>
      <c r="E96" s="7"/>
    </row>
    <row r="97" spans="1:5">
      <c r="A97" s="14" t="s">
        <v>36</v>
      </c>
      <c r="B97" s="3" t="s">
        <v>7</v>
      </c>
      <c r="C97" s="5">
        <v>6866</v>
      </c>
      <c r="D97" s="9"/>
      <c r="E97" s="7"/>
    </row>
    <row r="98" spans="1:5">
      <c r="A98" s="15" t="str">
        <f t="shared" ref="A98:A100" si="25">A97</f>
        <v>C00026</v>
      </c>
      <c r="B98" s="3" t="s">
        <v>8</v>
      </c>
      <c r="C98" s="5">
        <v>9155</v>
      </c>
      <c r="D98" s="9"/>
      <c r="E98" s="7"/>
    </row>
    <row r="99" spans="1:5">
      <c r="A99" s="15" t="str">
        <f t="shared" si="25"/>
        <v>C00026</v>
      </c>
      <c r="B99" s="3" t="s">
        <v>9</v>
      </c>
      <c r="C99" s="5">
        <v>14419</v>
      </c>
      <c r="D99" s="9"/>
      <c r="E99" s="7"/>
    </row>
    <row r="100" spans="1:5">
      <c r="A100" s="16" t="str">
        <f t="shared" si="25"/>
        <v>C00026</v>
      </c>
      <c r="B100" s="3" t="s">
        <v>10</v>
      </c>
      <c r="C100" s="5">
        <v>10071</v>
      </c>
      <c r="D100" s="9"/>
      <c r="E100" s="7"/>
    </row>
    <row r="101" spans="1:5">
      <c r="A101" s="14" t="s">
        <v>37</v>
      </c>
      <c r="B101" s="3" t="s">
        <v>7</v>
      </c>
      <c r="C101" s="5">
        <v>11444</v>
      </c>
      <c r="D101" s="9"/>
      <c r="E101" s="7"/>
    </row>
    <row r="102" spans="1:5">
      <c r="A102" s="15" t="str">
        <f t="shared" ref="A102:A103" si="26">A101</f>
        <v>C00027</v>
      </c>
      <c r="B102" s="3" t="s">
        <v>8</v>
      </c>
      <c r="C102" s="5">
        <v>12588</v>
      </c>
      <c r="D102" s="9"/>
      <c r="E102" s="7"/>
    </row>
    <row r="103" spans="1:5">
      <c r="A103" s="16" t="str">
        <f t="shared" si="26"/>
        <v>C00027</v>
      </c>
      <c r="B103" s="3" t="s">
        <v>10</v>
      </c>
      <c r="C103" s="5">
        <v>9155</v>
      </c>
      <c r="D103" s="9"/>
      <c r="E103" s="7"/>
    </row>
    <row r="104" spans="1:5">
      <c r="A104" s="14" t="s">
        <v>38</v>
      </c>
      <c r="B104" s="3" t="s">
        <v>7</v>
      </c>
      <c r="C104" s="5">
        <v>2518</v>
      </c>
      <c r="D104" s="9"/>
      <c r="E104" s="7"/>
    </row>
    <row r="105" spans="1:5">
      <c r="A105" s="15" t="str">
        <f t="shared" ref="A105:A106" si="27">A104</f>
        <v>C00028</v>
      </c>
      <c r="B105" s="3" t="s">
        <v>8</v>
      </c>
      <c r="C105" s="5">
        <v>4578</v>
      </c>
      <c r="D105" s="9"/>
      <c r="E105" s="7"/>
    </row>
    <row r="106" spans="1:5">
      <c r="A106" s="16" t="str">
        <f t="shared" si="27"/>
        <v>C00028</v>
      </c>
      <c r="B106" s="3" t="s">
        <v>10</v>
      </c>
      <c r="C106" s="5">
        <v>6180</v>
      </c>
      <c r="D106" s="9"/>
      <c r="E106" s="7"/>
    </row>
    <row r="107" spans="1:5">
      <c r="A107" s="14" t="s">
        <v>39</v>
      </c>
      <c r="B107" s="3" t="s">
        <v>7</v>
      </c>
      <c r="C107" s="5">
        <v>11444</v>
      </c>
      <c r="D107" s="9"/>
      <c r="E107" s="7"/>
    </row>
    <row r="108" spans="1:5">
      <c r="A108" s="15" t="str">
        <f t="shared" ref="A108:A110" si="28">A107</f>
        <v>C00029</v>
      </c>
      <c r="B108" s="3" t="s">
        <v>8</v>
      </c>
      <c r="C108" s="5">
        <v>4120</v>
      </c>
      <c r="D108" s="9"/>
      <c r="E108" s="7"/>
    </row>
    <row r="109" spans="1:5">
      <c r="A109" s="15" t="str">
        <f t="shared" si="28"/>
        <v>C00029</v>
      </c>
      <c r="B109" s="3" t="s">
        <v>9</v>
      </c>
      <c r="C109" s="5">
        <v>6866</v>
      </c>
      <c r="D109" s="9"/>
      <c r="E109" s="7"/>
    </row>
    <row r="110" spans="1:5">
      <c r="A110" s="16" t="str">
        <f t="shared" si="28"/>
        <v>C00029</v>
      </c>
      <c r="B110" s="3" t="s">
        <v>10</v>
      </c>
      <c r="C110" s="5">
        <v>6866</v>
      </c>
      <c r="D110" s="9"/>
      <c r="E110" s="7"/>
    </row>
    <row r="111" spans="1:5">
      <c r="A111" s="14" t="s">
        <v>40</v>
      </c>
      <c r="B111" s="3" t="s">
        <v>7</v>
      </c>
      <c r="C111" s="5">
        <v>5035</v>
      </c>
      <c r="D111" s="9"/>
      <c r="E111" s="7"/>
    </row>
    <row r="112" spans="1:5">
      <c r="A112" s="15" t="str">
        <f t="shared" ref="A112:A114" si="29">A111</f>
        <v>C00030</v>
      </c>
      <c r="B112" s="3" t="s">
        <v>8</v>
      </c>
      <c r="C112" s="5">
        <v>4578</v>
      </c>
      <c r="D112" s="9"/>
      <c r="E112" s="7"/>
    </row>
    <row r="113" spans="1:5">
      <c r="A113" s="15" t="str">
        <f t="shared" si="29"/>
        <v>C00030</v>
      </c>
      <c r="B113" s="3" t="s">
        <v>9</v>
      </c>
      <c r="C113" s="5">
        <v>4120</v>
      </c>
      <c r="D113" s="9"/>
      <c r="E113" s="7"/>
    </row>
    <row r="114" spans="1:5">
      <c r="A114" s="16" t="str">
        <f t="shared" si="29"/>
        <v>C00030</v>
      </c>
      <c r="B114" s="3" t="s">
        <v>10</v>
      </c>
      <c r="C114" s="5">
        <v>6180</v>
      </c>
      <c r="D114" s="9"/>
      <c r="E114" s="7"/>
    </row>
    <row r="115" spans="1:5">
      <c r="A115" s="14" t="s">
        <v>41</v>
      </c>
      <c r="B115" s="3" t="s">
        <v>7</v>
      </c>
      <c r="C115" s="5">
        <v>20599</v>
      </c>
      <c r="D115" s="9"/>
      <c r="E115" s="7"/>
    </row>
    <row r="116" spans="1:5">
      <c r="A116" s="15" t="str">
        <f t="shared" ref="A116:A118" si="30">A115</f>
        <v>C00031</v>
      </c>
      <c r="B116" s="3" t="s">
        <v>8</v>
      </c>
      <c r="C116" s="5">
        <v>10300</v>
      </c>
      <c r="D116" s="9"/>
      <c r="E116" s="7"/>
    </row>
    <row r="117" spans="1:5">
      <c r="A117" s="15" t="str">
        <f t="shared" si="30"/>
        <v>C00031</v>
      </c>
      <c r="B117" s="3" t="s">
        <v>9</v>
      </c>
      <c r="C117" s="5">
        <v>16022</v>
      </c>
      <c r="D117" s="9"/>
      <c r="E117" s="7"/>
    </row>
    <row r="118" spans="1:5">
      <c r="A118" s="16" t="str">
        <f t="shared" si="30"/>
        <v>C00031</v>
      </c>
      <c r="B118" s="3" t="s">
        <v>10</v>
      </c>
      <c r="C118" s="5">
        <v>17624</v>
      </c>
      <c r="D118" s="9"/>
      <c r="E118" s="7"/>
    </row>
    <row r="119" spans="1:5">
      <c r="A119" s="14" t="s">
        <v>42</v>
      </c>
      <c r="B119" s="3" t="s">
        <v>7</v>
      </c>
      <c r="C119" s="5">
        <v>24719</v>
      </c>
      <c r="D119" s="9"/>
      <c r="E119" s="7"/>
    </row>
    <row r="120" spans="1:5">
      <c r="A120" s="15" t="str">
        <f t="shared" ref="A120:A122" si="31">A119</f>
        <v>C00032</v>
      </c>
      <c r="B120" s="3" t="s">
        <v>8</v>
      </c>
      <c r="C120" s="5">
        <v>30899</v>
      </c>
      <c r="D120" s="9"/>
      <c r="E120" s="7"/>
    </row>
    <row r="121" spans="1:5">
      <c r="A121" s="15" t="str">
        <f t="shared" si="31"/>
        <v>C00032</v>
      </c>
      <c r="B121" s="3" t="s">
        <v>9</v>
      </c>
      <c r="C121" s="5">
        <v>22659</v>
      </c>
      <c r="D121" s="9"/>
      <c r="E121" s="7"/>
    </row>
    <row r="122" spans="1:5">
      <c r="A122" s="16" t="str">
        <f t="shared" si="31"/>
        <v>C00032</v>
      </c>
      <c r="B122" s="3" t="s">
        <v>10</v>
      </c>
      <c r="C122" s="5">
        <v>35019</v>
      </c>
      <c r="D122" s="9"/>
      <c r="E122" s="7"/>
    </row>
    <row r="123" spans="1:5">
      <c r="A123" s="14" t="s">
        <v>43</v>
      </c>
      <c r="B123" s="3" t="s">
        <v>7</v>
      </c>
      <c r="C123" s="5">
        <v>8240</v>
      </c>
      <c r="D123" s="9"/>
      <c r="E123" s="7"/>
    </row>
    <row r="124" spans="1:5">
      <c r="A124" s="15" t="str">
        <f t="shared" ref="A124:A126" si="32">A123</f>
        <v>C00033</v>
      </c>
      <c r="B124" s="3" t="s">
        <v>8</v>
      </c>
      <c r="C124" s="5">
        <v>9155</v>
      </c>
      <c r="D124" s="9"/>
      <c r="E124" s="7"/>
    </row>
    <row r="125" spans="1:5">
      <c r="A125" s="15" t="str">
        <f t="shared" si="32"/>
        <v>C00033</v>
      </c>
      <c r="B125" s="3" t="s">
        <v>9</v>
      </c>
      <c r="C125" s="5">
        <v>10300</v>
      </c>
      <c r="D125" s="9"/>
      <c r="E125" s="7"/>
    </row>
    <row r="126" spans="1:5">
      <c r="A126" s="16" t="str">
        <f t="shared" si="32"/>
        <v>C00033</v>
      </c>
      <c r="B126" s="3" t="s">
        <v>10</v>
      </c>
      <c r="C126" s="5">
        <v>4578</v>
      </c>
      <c r="D126" s="9"/>
      <c r="E126" s="7"/>
    </row>
    <row r="127" spans="1:5">
      <c r="A127" s="14" t="s">
        <v>44</v>
      </c>
      <c r="B127" s="3" t="s">
        <v>7</v>
      </c>
      <c r="C127" s="5">
        <v>20141</v>
      </c>
      <c r="D127" s="9"/>
      <c r="E127" s="7"/>
    </row>
    <row r="128" spans="1:5">
      <c r="A128" s="15" t="str">
        <f t="shared" ref="A128:A130" si="33">A127</f>
        <v>C00034</v>
      </c>
      <c r="B128" s="3" t="s">
        <v>8</v>
      </c>
      <c r="C128" s="5">
        <v>6866</v>
      </c>
      <c r="D128" s="9"/>
      <c r="E128" s="7"/>
    </row>
    <row r="129" spans="1:5">
      <c r="A129" s="15" t="str">
        <f t="shared" si="33"/>
        <v>C00034</v>
      </c>
      <c r="B129" s="3" t="s">
        <v>9</v>
      </c>
      <c r="C129" s="5">
        <v>4120</v>
      </c>
      <c r="D129" s="9"/>
      <c r="E129" s="7"/>
    </row>
    <row r="130" spans="1:5">
      <c r="A130" s="16" t="str">
        <f t="shared" si="33"/>
        <v>C00034</v>
      </c>
      <c r="B130" s="3" t="s">
        <v>10</v>
      </c>
      <c r="C130" s="5">
        <v>11444</v>
      </c>
      <c r="D130" s="9"/>
      <c r="E130" s="7"/>
    </row>
    <row r="131" spans="1:5">
      <c r="A131" s="14" t="s">
        <v>45</v>
      </c>
      <c r="B131" s="3" t="s">
        <v>7</v>
      </c>
      <c r="C131" s="5">
        <v>4120</v>
      </c>
      <c r="D131" s="9"/>
      <c r="E131" s="7"/>
    </row>
    <row r="132" spans="1:5">
      <c r="A132" s="15" t="str">
        <f t="shared" ref="A132:A133" si="34">A131</f>
        <v>C00035</v>
      </c>
      <c r="B132" s="3" t="s">
        <v>8</v>
      </c>
      <c r="C132" s="5">
        <v>5035</v>
      </c>
      <c r="D132" s="9"/>
      <c r="E132" s="7"/>
    </row>
    <row r="133" spans="1:5">
      <c r="A133" s="16" t="str">
        <f t="shared" si="34"/>
        <v>C00035</v>
      </c>
      <c r="B133" s="3" t="s">
        <v>10</v>
      </c>
      <c r="C133" s="5">
        <v>2518</v>
      </c>
      <c r="D133" s="9"/>
      <c r="E133" s="7"/>
    </row>
    <row r="134" spans="1:5">
      <c r="A134" s="14" t="s">
        <v>46</v>
      </c>
      <c r="B134" s="3" t="s">
        <v>7</v>
      </c>
      <c r="C134" s="5">
        <v>22659</v>
      </c>
      <c r="D134" s="9"/>
      <c r="E134" s="7"/>
    </row>
    <row r="135" spans="1:5">
      <c r="A135" s="15" t="str">
        <f t="shared" ref="A135:A137" si="35">A134</f>
        <v>C00036</v>
      </c>
      <c r="B135" s="3" t="s">
        <v>8</v>
      </c>
      <c r="C135" s="5">
        <v>18310</v>
      </c>
      <c r="D135" s="9"/>
      <c r="E135" s="7"/>
    </row>
    <row r="136" spans="1:5">
      <c r="A136" s="15" t="str">
        <f t="shared" si="35"/>
        <v>C00036</v>
      </c>
      <c r="B136" s="3" t="s">
        <v>9</v>
      </c>
      <c r="C136" s="5">
        <v>10300</v>
      </c>
      <c r="D136" s="9"/>
      <c r="E136" s="7"/>
    </row>
    <row r="137" spans="1:5">
      <c r="A137" s="16" t="str">
        <f t="shared" si="35"/>
        <v>C00036</v>
      </c>
      <c r="B137" s="3" t="s">
        <v>10</v>
      </c>
      <c r="C137" s="5">
        <v>17624</v>
      </c>
      <c r="D137" s="9"/>
      <c r="E137" s="7"/>
    </row>
    <row r="138" spans="1:5">
      <c r="A138" s="14" t="s">
        <v>47</v>
      </c>
      <c r="B138" s="3" t="s">
        <v>7</v>
      </c>
      <c r="C138" s="5">
        <v>2518</v>
      </c>
      <c r="D138" s="9"/>
      <c r="E138" s="7"/>
    </row>
    <row r="139" spans="1:5">
      <c r="A139" s="15" t="str">
        <f t="shared" ref="A139:A141" si="36">A138</f>
        <v>C00037</v>
      </c>
      <c r="B139" s="3" t="s">
        <v>8</v>
      </c>
      <c r="C139" s="5">
        <v>2060</v>
      </c>
      <c r="D139" s="9"/>
      <c r="E139" s="7"/>
    </row>
    <row r="140" spans="1:5">
      <c r="A140" s="15" t="str">
        <f t="shared" si="36"/>
        <v>C00037</v>
      </c>
      <c r="B140" s="3" t="s">
        <v>9</v>
      </c>
      <c r="C140" s="5">
        <v>2060</v>
      </c>
      <c r="D140" s="9"/>
      <c r="E140" s="7"/>
    </row>
    <row r="141" spans="1:5">
      <c r="A141" s="16" t="str">
        <f t="shared" si="36"/>
        <v>C00037</v>
      </c>
      <c r="B141" s="3" t="s">
        <v>10</v>
      </c>
      <c r="C141" s="5">
        <v>2060</v>
      </c>
      <c r="D141" s="9"/>
      <c r="E141" s="7"/>
    </row>
    <row r="142" spans="1:5">
      <c r="A142" s="14" t="s">
        <v>48</v>
      </c>
      <c r="B142" s="3" t="s">
        <v>7</v>
      </c>
      <c r="C142" s="5">
        <v>4578</v>
      </c>
      <c r="D142" s="9"/>
      <c r="E142" s="7"/>
    </row>
    <row r="143" spans="1:5">
      <c r="A143" s="15" t="str">
        <f t="shared" ref="A143:A145" si="37">A142</f>
        <v>C00038</v>
      </c>
      <c r="B143" s="3" t="s">
        <v>8</v>
      </c>
      <c r="C143" s="5">
        <v>2060</v>
      </c>
      <c r="D143" s="9"/>
      <c r="E143" s="7"/>
    </row>
    <row r="144" spans="1:5">
      <c r="A144" s="15" t="str">
        <f t="shared" si="37"/>
        <v>C00038</v>
      </c>
      <c r="B144" s="3" t="s">
        <v>9</v>
      </c>
      <c r="C144" s="5">
        <v>6866</v>
      </c>
      <c r="D144" s="9"/>
      <c r="E144" s="7"/>
    </row>
    <row r="145" spans="1:5">
      <c r="A145" s="16" t="str">
        <f t="shared" si="37"/>
        <v>C00038</v>
      </c>
      <c r="B145" s="3" t="s">
        <v>10</v>
      </c>
      <c r="C145" s="5">
        <v>2289</v>
      </c>
      <c r="D145" s="9"/>
      <c r="E145" s="7"/>
    </row>
    <row r="146" spans="1:5">
      <c r="A146" s="14" t="s">
        <v>49</v>
      </c>
      <c r="B146" s="3" t="s">
        <v>7</v>
      </c>
      <c r="C146" s="5">
        <v>2518</v>
      </c>
      <c r="D146" s="9"/>
      <c r="E146" s="7"/>
    </row>
    <row r="147" spans="1:5">
      <c r="A147" s="16" t="str">
        <f>A146</f>
        <v>C00039</v>
      </c>
      <c r="B147" s="3" t="s">
        <v>8</v>
      </c>
      <c r="C147" s="5">
        <v>2289</v>
      </c>
      <c r="D147" s="9"/>
      <c r="E147" s="7"/>
    </row>
    <row r="148" spans="1:5">
      <c r="A148" s="14" t="s">
        <v>50</v>
      </c>
      <c r="B148" s="3" t="s">
        <v>7</v>
      </c>
      <c r="C148" s="5">
        <v>7553</v>
      </c>
      <c r="D148" s="9"/>
      <c r="E148" s="7"/>
    </row>
    <row r="149" spans="1:5">
      <c r="A149" s="15" t="str">
        <f t="shared" ref="A149:A150" si="38">A148</f>
        <v>C00040</v>
      </c>
      <c r="B149" s="3" t="s">
        <v>9</v>
      </c>
      <c r="C149" s="5">
        <v>10300</v>
      </c>
      <c r="D149" s="9"/>
      <c r="E149" s="7"/>
    </row>
    <row r="150" spans="1:5">
      <c r="A150" s="16" t="str">
        <f t="shared" si="38"/>
        <v>C00040</v>
      </c>
      <c r="B150" s="3" t="s">
        <v>10</v>
      </c>
      <c r="C150" s="5">
        <v>6180</v>
      </c>
      <c r="D150" s="9"/>
      <c r="E150" s="7"/>
    </row>
    <row r="151" spans="1:5">
      <c r="A151" s="14" t="s">
        <v>51</v>
      </c>
      <c r="B151" s="3" t="s">
        <v>7</v>
      </c>
      <c r="C151" s="5">
        <v>4120</v>
      </c>
      <c r="D151" s="9"/>
      <c r="E151" s="7"/>
    </row>
    <row r="152" spans="1:5">
      <c r="A152" s="15" t="str">
        <f t="shared" ref="A152:A154" si="39">A151</f>
        <v>C00041</v>
      </c>
      <c r="B152" s="3" t="s">
        <v>8</v>
      </c>
      <c r="C152" s="5">
        <v>14419</v>
      </c>
      <c r="D152" s="9"/>
      <c r="E152" s="7"/>
    </row>
    <row r="153" spans="1:5">
      <c r="A153" s="15" t="str">
        <f t="shared" si="39"/>
        <v>C00041</v>
      </c>
      <c r="B153" s="3" t="s">
        <v>9</v>
      </c>
      <c r="C153" s="5">
        <v>12360</v>
      </c>
      <c r="D153" s="9"/>
      <c r="E153" s="7"/>
    </row>
    <row r="154" spans="1:5">
      <c r="A154" s="16" t="str">
        <f t="shared" si="39"/>
        <v>C00041</v>
      </c>
      <c r="B154" s="3" t="s">
        <v>10</v>
      </c>
      <c r="C154" s="5">
        <v>5035</v>
      </c>
      <c r="D154" s="9"/>
      <c r="E154" s="7"/>
    </row>
    <row r="155" spans="1:5">
      <c r="A155" s="14" t="s">
        <v>52</v>
      </c>
      <c r="B155" s="3" t="s">
        <v>7</v>
      </c>
      <c r="C155" s="5">
        <v>20599</v>
      </c>
      <c r="D155" s="9"/>
      <c r="E155" s="7"/>
    </row>
    <row r="156" spans="1:5">
      <c r="A156" s="15" t="str">
        <f t="shared" ref="A156:A158" si="40">A155</f>
        <v>C00042</v>
      </c>
      <c r="B156" s="3" t="s">
        <v>8</v>
      </c>
      <c r="C156" s="5">
        <v>2060</v>
      </c>
      <c r="D156" s="9"/>
      <c r="E156" s="7"/>
    </row>
    <row r="157" spans="1:5">
      <c r="A157" s="15" t="str">
        <f t="shared" si="40"/>
        <v>C00042</v>
      </c>
      <c r="B157" s="3" t="s">
        <v>9</v>
      </c>
      <c r="C157" s="5">
        <v>13733</v>
      </c>
      <c r="D157" s="9"/>
      <c r="E157" s="7"/>
    </row>
    <row r="158" spans="1:5">
      <c r="A158" s="16" t="str">
        <f t="shared" si="40"/>
        <v>C00042</v>
      </c>
      <c r="B158" s="3" t="s">
        <v>10</v>
      </c>
      <c r="C158" s="5">
        <v>6866</v>
      </c>
      <c r="D158" s="9"/>
      <c r="E158" s="7"/>
    </row>
    <row r="159" spans="1:5">
      <c r="A159" s="14" t="s">
        <v>53</v>
      </c>
      <c r="B159" s="3" t="s">
        <v>7</v>
      </c>
      <c r="C159" s="5">
        <v>6866</v>
      </c>
      <c r="D159" s="9"/>
      <c r="E159" s="7"/>
    </row>
    <row r="160" spans="1:5">
      <c r="A160" s="15" t="str">
        <f t="shared" ref="A160:A161" si="41">A159</f>
        <v>C00043</v>
      </c>
      <c r="B160" s="3" t="s">
        <v>8</v>
      </c>
      <c r="C160" s="5">
        <v>6866</v>
      </c>
      <c r="D160" s="9"/>
      <c r="E160" s="7"/>
    </row>
    <row r="161" spans="1:5">
      <c r="A161" s="16" t="str">
        <f t="shared" si="41"/>
        <v>C00043</v>
      </c>
      <c r="B161" s="3" t="s">
        <v>10</v>
      </c>
      <c r="C161" s="5">
        <v>6866</v>
      </c>
      <c r="D161" s="9"/>
      <c r="E161" s="7"/>
    </row>
    <row r="162" spans="1:5">
      <c r="A162" s="14" t="s">
        <v>54</v>
      </c>
      <c r="B162" s="3" t="s">
        <v>7</v>
      </c>
      <c r="C162" s="5">
        <v>17624</v>
      </c>
      <c r="D162" s="9"/>
      <c r="E162" s="7"/>
    </row>
    <row r="163" spans="1:5">
      <c r="A163" s="15" t="str">
        <f t="shared" ref="A163:A165" si="42">A162</f>
        <v>C00044</v>
      </c>
      <c r="B163" s="3" t="s">
        <v>8</v>
      </c>
      <c r="C163" s="5">
        <v>8240</v>
      </c>
      <c r="D163" s="9"/>
      <c r="E163" s="7"/>
    </row>
    <row r="164" spans="1:5">
      <c r="A164" s="15" t="str">
        <f t="shared" si="42"/>
        <v>C00044</v>
      </c>
      <c r="B164" s="3" t="s">
        <v>9</v>
      </c>
      <c r="C164" s="5">
        <v>5035</v>
      </c>
      <c r="D164" s="9"/>
      <c r="E164" s="7"/>
    </row>
    <row r="165" spans="1:5">
      <c r="A165" s="16" t="str">
        <f t="shared" si="42"/>
        <v>C00044</v>
      </c>
      <c r="B165" s="3" t="s">
        <v>10</v>
      </c>
      <c r="C165" s="5">
        <v>10300</v>
      </c>
      <c r="D165" s="9"/>
      <c r="E165" s="7"/>
    </row>
    <row r="166" spans="1:5">
      <c r="A166" s="12" t="s">
        <v>55</v>
      </c>
      <c r="B166" s="3" t="s">
        <v>9</v>
      </c>
      <c r="C166" s="5">
        <v>2289</v>
      </c>
      <c r="D166" s="9"/>
      <c r="E166" s="7"/>
    </row>
    <row r="167" spans="1:5">
      <c r="A167" s="14" t="s">
        <v>56</v>
      </c>
      <c r="B167" s="3" t="s">
        <v>7</v>
      </c>
      <c r="C167" s="5">
        <v>15106</v>
      </c>
      <c r="D167" s="9"/>
      <c r="E167" s="7"/>
    </row>
    <row r="168" spans="1:5">
      <c r="A168" s="15" t="str">
        <f t="shared" ref="A168:A170" si="43">A167</f>
        <v>C00046</v>
      </c>
      <c r="B168" s="3" t="s">
        <v>8</v>
      </c>
      <c r="C168" s="5">
        <v>6180</v>
      </c>
      <c r="D168" s="9"/>
      <c r="E168" s="7"/>
    </row>
    <row r="169" spans="1:5">
      <c r="A169" s="15" t="str">
        <f t="shared" si="43"/>
        <v>C00046</v>
      </c>
      <c r="B169" s="3" t="s">
        <v>9</v>
      </c>
      <c r="C169" s="5">
        <v>2289</v>
      </c>
      <c r="D169" s="9"/>
      <c r="E169" s="7"/>
    </row>
    <row r="170" spans="1:5">
      <c r="A170" s="16" t="str">
        <f t="shared" si="43"/>
        <v>C00046</v>
      </c>
      <c r="B170" s="3" t="s">
        <v>10</v>
      </c>
      <c r="C170" s="5">
        <v>10300</v>
      </c>
      <c r="D170" s="9"/>
      <c r="E170" s="7"/>
    </row>
    <row r="171" spans="1:5">
      <c r="A171" s="14" t="s">
        <v>57</v>
      </c>
      <c r="B171" s="3" t="s">
        <v>7</v>
      </c>
      <c r="C171" s="5">
        <v>18310</v>
      </c>
      <c r="D171" s="9"/>
      <c r="E171" s="7"/>
    </row>
    <row r="172" spans="1:5">
      <c r="A172" s="15" t="str">
        <f t="shared" ref="A172:A174" si="44">A171</f>
        <v>C00047</v>
      </c>
      <c r="B172" s="3" t="s">
        <v>8</v>
      </c>
      <c r="C172" s="5">
        <v>9155</v>
      </c>
      <c r="D172" s="9"/>
      <c r="E172" s="7"/>
    </row>
    <row r="173" spans="1:5">
      <c r="A173" s="15" t="str">
        <f t="shared" si="44"/>
        <v>C00047</v>
      </c>
      <c r="B173" s="3" t="s">
        <v>9</v>
      </c>
      <c r="C173" s="5">
        <v>10300</v>
      </c>
      <c r="D173" s="9"/>
      <c r="E173" s="7"/>
    </row>
    <row r="174" spans="1:5">
      <c r="A174" s="16" t="str">
        <f t="shared" si="44"/>
        <v>C00047</v>
      </c>
      <c r="B174" s="3" t="s">
        <v>10</v>
      </c>
      <c r="C174" s="5">
        <v>14419</v>
      </c>
      <c r="D174" s="9"/>
      <c r="E174" s="7"/>
    </row>
    <row r="175" spans="1:5">
      <c r="A175" s="14" t="s">
        <v>58</v>
      </c>
      <c r="B175" s="3" t="s">
        <v>7</v>
      </c>
      <c r="C175" s="5">
        <v>2289</v>
      </c>
      <c r="D175" s="9"/>
      <c r="E175" s="7"/>
    </row>
    <row r="176" spans="1:5">
      <c r="A176" s="15" t="str">
        <f t="shared" ref="A176:A178" si="45">A175</f>
        <v>C00048</v>
      </c>
      <c r="B176" s="3" t="s">
        <v>8</v>
      </c>
      <c r="C176" s="5">
        <v>4578</v>
      </c>
      <c r="D176" s="9"/>
      <c r="E176" s="7"/>
    </row>
    <row r="177" spans="1:5">
      <c r="A177" s="15" t="str">
        <f t="shared" si="45"/>
        <v>C00048</v>
      </c>
      <c r="B177" s="3" t="s">
        <v>9</v>
      </c>
      <c r="C177" s="5">
        <v>2289</v>
      </c>
      <c r="D177" s="9"/>
      <c r="E177" s="7"/>
    </row>
    <row r="178" spans="1:5">
      <c r="A178" s="16" t="str">
        <f t="shared" si="45"/>
        <v>C00048</v>
      </c>
      <c r="B178" s="3" t="s">
        <v>10</v>
      </c>
      <c r="C178" s="5">
        <v>2518</v>
      </c>
      <c r="D178" s="9"/>
      <c r="E178" s="7"/>
    </row>
    <row r="179" spans="1:5">
      <c r="A179" s="14" t="s">
        <v>59</v>
      </c>
      <c r="B179" s="3" t="s">
        <v>7</v>
      </c>
      <c r="C179" s="5">
        <v>4578</v>
      </c>
      <c r="D179" s="9"/>
      <c r="E179" s="7"/>
    </row>
    <row r="180" spans="1:5">
      <c r="A180" s="15" t="str">
        <f t="shared" ref="A180:A181" si="46">A179</f>
        <v>C00049</v>
      </c>
      <c r="B180" s="3" t="s">
        <v>9</v>
      </c>
      <c r="C180" s="5">
        <v>2060</v>
      </c>
      <c r="D180" s="9"/>
      <c r="E180" s="7"/>
    </row>
    <row r="181" spans="1:5">
      <c r="A181" s="16" t="str">
        <f t="shared" si="46"/>
        <v>C00049</v>
      </c>
      <c r="B181" s="3" t="s">
        <v>10</v>
      </c>
      <c r="C181" s="5">
        <v>2060</v>
      </c>
      <c r="D181" s="9"/>
      <c r="E181" s="7"/>
    </row>
    <row r="182" spans="1:5">
      <c r="A182" s="12" t="s">
        <v>60</v>
      </c>
      <c r="B182" s="3" t="s">
        <v>9</v>
      </c>
      <c r="C182" s="5">
        <v>5035</v>
      </c>
      <c r="D182" s="9"/>
      <c r="E182" s="7"/>
    </row>
    <row r="183" spans="1:5">
      <c r="A183" s="14" t="s">
        <v>61</v>
      </c>
      <c r="B183" s="3" t="s">
        <v>8</v>
      </c>
      <c r="C183" s="5">
        <v>2289</v>
      </c>
      <c r="D183" s="9"/>
      <c r="E183" s="7"/>
    </row>
    <row r="184" spans="1:5">
      <c r="A184" s="15" t="str">
        <f t="shared" ref="A184:A185" si="47">A183</f>
        <v>C00051</v>
      </c>
      <c r="B184" s="3" t="s">
        <v>9</v>
      </c>
      <c r="C184" s="5">
        <v>5035</v>
      </c>
      <c r="D184" s="9"/>
      <c r="E184" s="7"/>
    </row>
    <row r="185" spans="1:5">
      <c r="A185" s="16" t="str">
        <f t="shared" si="47"/>
        <v>C00051</v>
      </c>
      <c r="B185" s="3" t="s">
        <v>10</v>
      </c>
      <c r="C185" s="5">
        <v>4120</v>
      </c>
      <c r="D185" s="9"/>
      <c r="E185" s="7"/>
    </row>
    <row r="186" spans="1:5">
      <c r="A186" s="14" t="s">
        <v>62</v>
      </c>
      <c r="B186" s="3" t="s">
        <v>9</v>
      </c>
      <c r="C186" s="5">
        <v>6866</v>
      </c>
      <c r="D186" s="9"/>
      <c r="E186" s="7"/>
    </row>
    <row r="187" spans="1:5">
      <c r="A187" s="16" t="str">
        <f>A186</f>
        <v>C00052</v>
      </c>
      <c r="B187" s="3" t="s">
        <v>10</v>
      </c>
      <c r="C187" s="5">
        <v>4578</v>
      </c>
      <c r="D187" s="9"/>
      <c r="E187" s="7"/>
    </row>
    <row r="188" spans="1:5">
      <c r="A188" s="14" t="s">
        <v>63</v>
      </c>
      <c r="B188" s="3" t="s">
        <v>7</v>
      </c>
      <c r="C188" s="5">
        <v>11444</v>
      </c>
      <c r="D188" s="9"/>
      <c r="E188" s="7"/>
    </row>
    <row r="189" spans="1:5">
      <c r="A189" s="15" t="str">
        <f t="shared" ref="A189:A191" si="48">A188</f>
        <v>C00053</v>
      </c>
      <c r="B189" s="3" t="s">
        <v>8</v>
      </c>
      <c r="C189" s="5">
        <v>22659</v>
      </c>
      <c r="D189" s="9"/>
      <c r="E189" s="7"/>
    </row>
    <row r="190" spans="1:5">
      <c r="A190" s="15" t="str">
        <f t="shared" si="48"/>
        <v>C00053</v>
      </c>
      <c r="B190" s="3" t="s">
        <v>9</v>
      </c>
      <c r="C190" s="5">
        <v>20599</v>
      </c>
      <c r="D190" s="9"/>
      <c r="E190" s="7"/>
    </row>
    <row r="191" spans="1:5">
      <c r="A191" s="16" t="str">
        <f t="shared" si="48"/>
        <v>C00053</v>
      </c>
      <c r="B191" s="3" t="s">
        <v>10</v>
      </c>
      <c r="C191" s="5">
        <v>11444</v>
      </c>
      <c r="D191" s="9"/>
      <c r="E191" s="7"/>
    </row>
    <row r="192" spans="1:5">
      <c r="A192" s="14" t="s">
        <v>64</v>
      </c>
      <c r="B192" s="3" t="s">
        <v>7</v>
      </c>
      <c r="C192" s="5">
        <v>4120</v>
      </c>
      <c r="D192" s="9"/>
      <c r="E192" s="7"/>
    </row>
    <row r="193" spans="1:5">
      <c r="A193" s="15" t="str">
        <f t="shared" ref="A193:A195" si="49">A192</f>
        <v>C00054</v>
      </c>
      <c r="B193" s="3" t="s">
        <v>8</v>
      </c>
      <c r="C193" s="5">
        <v>2518</v>
      </c>
      <c r="D193" s="9"/>
      <c r="E193" s="7"/>
    </row>
    <row r="194" spans="1:5">
      <c r="A194" s="15" t="str">
        <f t="shared" si="49"/>
        <v>C00054</v>
      </c>
      <c r="B194" s="3" t="s">
        <v>9</v>
      </c>
      <c r="C194" s="5">
        <v>5035</v>
      </c>
      <c r="D194" s="9"/>
      <c r="E194" s="7"/>
    </row>
    <row r="195" spans="1:5">
      <c r="A195" s="16" t="str">
        <f t="shared" si="49"/>
        <v>C00054</v>
      </c>
      <c r="B195" s="3" t="s">
        <v>10</v>
      </c>
      <c r="C195" s="5">
        <v>8240</v>
      </c>
      <c r="D195" s="9"/>
      <c r="E195" s="7"/>
    </row>
    <row r="196" spans="1:5">
      <c r="A196" s="14" t="s">
        <v>65</v>
      </c>
      <c r="B196" s="3" t="s">
        <v>7</v>
      </c>
      <c r="C196" s="5">
        <v>2518</v>
      </c>
      <c r="D196" s="9"/>
      <c r="E196" s="7"/>
    </row>
    <row r="197" spans="1:5">
      <c r="A197" s="15" t="str">
        <f t="shared" ref="A197:A199" si="50">A196</f>
        <v>C00055</v>
      </c>
      <c r="B197" s="3" t="s">
        <v>8</v>
      </c>
      <c r="C197" s="5">
        <v>10071</v>
      </c>
      <c r="D197" s="9"/>
      <c r="E197" s="7"/>
    </row>
    <row r="198" spans="1:5">
      <c r="A198" s="15" t="str">
        <f t="shared" si="50"/>
        <v>C00055</v>
      </c>
      <c r="B198" s="3" t="s">
        <v>9</v>
      </c>
      <c r="C198" s="5">
        <v>2518</v>
      </c>
      <c r="D198" s="9"/>
      <c r="E198" s="7"/>
    </row>
    <row r="199" spans="1:5">
      <c r="A199" s="16" t="str">
        <f t="shared" si="50"/>
        <v>C00055</v>
      </c>
      <c r="B199" s="3" t="s">
        <v>10</v>
      </c>
      <c r="C199" s="5">
        <v>4578</v>
      </c>
      <c r="D199" s="9"/>
      <c r="E199" s="7"/>
    </row>
    <row r="200" spans="1:5">
      <c r="A200" s="14" t="s">
        <v>66</v>
      </c>
      <c r="B200" s="3" t="s">
        <v>7</v>
      </c>
      <c r="C200" s="5">
        <v>15106</v>
      </c>
      <c r="D200" s="9"/>
      <c r="E200" s="7"/>
    </row>
    <row r="201" spans="1:5">
      <c r="A201" s="15" t="str">
        <f t="shared" ref="A201:A203" si="51">A200</f>
        <v>C00056</v>
      </c>
      <c r="B201" s="3" t="s">
        <v>8</v>
      </c>
      <c r="C201" s="5">
        <v>14419</v>
      </c>
      <c r="D201" s="9"/>
      <c r="E201" s="7"/>
    </row>
    <row r="202" spans="1:5">
      <c r="A202" s="15" t="str">
        <f t="shared" si="51"/>
        <v>C00056</v>
      </c>
      <c r="B202" s="3" t="s">
        <v>9</v>
      </c>
      <c r="C202" s="5">
        <v>9155</v>
      </c>
      <c r="D202" s="9"/>
      <c r="E202" s="7"/>
    </row>
    <row r="203" spans="1:5">
      <c r="A203" s="16" t="str">
        <f t="shared" si="51"/>
        <v>C00056</v>
      </c>
      <c r="B203" s="3" t="s">
        <v>10</v>
      </c>
      <c r="C203" s="5">
        <v>2289</v>
      </c>
      <c r="D203" s="9"/>
      <c r="E203" s="7"/>
    </row>
    <row r="204" spans="1:5">
      <c r="A204" s="14" t="s">
        <v>67</v>
      </c>
      <c r="B204" s="3" t="s">
        <v>7</v>
      </c>
      <c r="C204" s="5">
        <v>4120</v>
      </c>
      <c r="D204" s="9"/>
      <c r="E204" s="7"/>
    </row>
    <row r="205" spans="1:5">
      <c r="A205" s="15" t="str">
        <f t="shared" ref="A205:A207" si="52">A204</f>
        <v>C00057</v>
      </c>
      <c r="B205" s="3" t="s">
        <v>8</v>
      </c>
      <c r="C205" s="5">
        <v>7553</v>
      </c>
      <c r="D205" s="9"/>
      <c r="E205" s="7"/>
    </row>
    <row r="206" spans="1:5">
      <c r="A206" s="15" t="str">
        <f t="shared" si="52"/>
        <v>C00057</v>
      </c>
      <c r="B206" s="3" t="s">
        <v>9</v>
      </c>
      <c r="C206" s="5">
        <v>2289</v>
      </c>
      <c r="D206" s="9"/>
      <c r="E206" s="7"/>
    </row>
    <row r="207" spans="1:5">
      <c r="A207" s="16" t="str">
        <f t="shared" si="52"/>
        <v>C00057</v>
      </c>
      <c r="B207" s="3" t="s">
        <v>10</v>
      </c>
      <c r="C207" s="5">
        <v>4578</v>
      </c>
      <c r="D207" s="9"/>
      <c r="E207" s="7"/>
    </row>
    <row r="208" spans="1:5">
      <c r="A208" s="14" t="s">
        <v>68</v>
      </c>
      <c r="B208" s="3" t="s">
        <v>7</v>
      </c>
      <c r="C208" s="5">
        <v>5035</v>
      </c>
      <c r="D208" s="9"/>
      <c r="E208" s="7"/>
    </row>
    <row r="209" spans="1:5">
      <c r="A209" s="15" t="str">
        <f t="shared" ref="A209:A210" si="53">A208</f>
        <v>C00058</v>
      </c>
      <c r="B209" s="3" t="s">
        <v>8</v>
      </c>
      <c r="C209" s="5">
        <v>2060</v>
      </c>
      <c r="D209" s="9"/>
      <c r="E209" s="7"/>
    </row>
    <row r="210" spans="1:5">
      <c r="A210" s="16" t="str">
        <f t="shared" si="53"/>
        <v>C00058</v>
      </c>
      <c r="B210" s="3" t="s">
        <v>10</v>
      </c>
      <c r="C210" s="5">
        <v>10071</v>
      </c>
      <c r="D210" s="9"/>
      <c r="E210" s="7"/>
    </row>
    <row r="211" spans="1:5">
      <c r="A211" s="14" t="s">
        <v>69</v>
      </c>
      <c r="B211" s="3" t="s">
        <v>7</v>
      </c>
      <c r="C211" s="5">
        <v>6866</v>
      </c>
      <c r="D211" s="9"/>
      <c r="E211" s="7"/>
    </row>
    <row r="212" spans="1:5">
      <c r="A212" s="15" t="str">
        <f t="shared" ref="A212:A213" si="54">A211</f>
        <v>C00059</v>
      </c>
      <c r="B212" s="3" t="s">
        <v>9</v>
      </c>
      <c r="C212" s="5">
        <v>9155</v>
      </c>
      <c r="D212" s="9"/>
      <c r="E212" s="7"/>
    </row>
    <row r="213" spans="1:5">
      <c r="A213" s="16" t="str">
        <f t="shared" si="54"/>
        <v>C00059</v>
      </c>
      <c r="B213" s="3" t="s">
        <v>10</v>
      </c>
      <c r="C213" s="5">
        <v>2518</v>
      </c>
      <c r="D213" s="9"/>
      <c r="E213" s="7"/>
    </row>
    <row r="214" spans="1:5">
      <c r="A214" s="14" t="s">
        <v>70</v>
      </c>
      <c r="B214" s="3" t="s">
        <v>7</v>
      </c>
      <c r="C214" s="5">
        <v>4120</v>
      </c>
      <c r="D214" s="9"/>
      <c r="E214" s="7"/>
    </row>
    <row r="215" spans="1:5">
      <c r="A215" s="15" t="str">
        <f t="shared" ref="A215:A216" si="55">A214</f>
        <v>C00060</v>
      </c>
      <c r="B215" s="3" t="s">
        <v>9</v>
      </c>
      <c r="C215" s="5">
        <v>4120</v>
      </c>
      <c r="D215" s="9"/>
      <c r="E215" s="7"/>
    </row>
    <row r="216" spans="1:5">
      <c r="A216" s="16" t="str">
        <f t="shared" si="55"/>
        <v>C00060</v>
      </c>
      <c r="B216" s="3" t="s">
        <v>10</v>
      </c>
      <c r="C216" s="5">
        <v>2060</v>
      </c>
      <c r="D216" s="9"/>
      <c r="E216" s="7"/>
    </row>
    <row r="217" spans="1:5">
      <c r="A217" s="14" t="s">
        <v>71</v>
      </c>
      <c r="B217" s="3" t="s">
        <v>7</v>
      </c>
      <c r="C217" s="5">
        <v>10300</v>
      </c>
      <c r="D217" s="9"/>
      <c r="E217" s="7"/>
    </row>
    <row r="218" spans="1:5">
      <c r="A218" s="15" t="str">
        <f t="shared" ref="A218:A220" si="56">A217</f>
        <v>C00061</v>
      </c>
      <c r="B218" s="3" t="s">
        <v>8</v>
      </c>
      <c r="C218" s="5">
        <v>16022</v>
      </c>
      <c r="D218" s="9"/>
      <c r="E218" s="7"/>
    </row>
    <row r="219" spans="1:5">
      <c r="A219" s="15" t="str">
        <f t="shared" si="56"/>
        <v>C00061</v>
      </c>
      <c r="B219" s="3" t="s">
        <v>9</v>
      </c>
      <c r="C219" s="5">
        <v>12360</v>
      </c>
      <c r="D219" s="9"/>
      <c r="E219" s="7"/>
    </row>
    <row r="220" spans="1:5">
      <c r="A220" s="16" t="str">
        <f t="shared" si="56"/>
        <v>C00061</v>
      </c>
      <c r="B220" s="3" t="s">
        <v>10</v>
      </c>
      <c r="C220" s="5">
        <v>11444</v>
      </c>
      <c r="D220" s="9"/>
      <c r="E220" s="7"/>
    </row>
    <row r="221" spans="1:5">
      <c r="A221" s="14" t="s">
        <v>72</v>
      </c>
      <c r="B221" s="3" t="s">
        <v>7</v>
      </c>
      <c r="C221" s="5">
        <v>5035</v>
      </c>
      <c r="D221" s="9"/>
      <c r="E221" s="7"/>
    </row>
    <row r="222" spans="1:5">
      <c r="A222" s="15" t="str">
        <f t="shared" ref="A222:A224" si="57">A221</f>
        <v>C00062</v>
      </c>
      <c r="B222" s="3" t="s">
        <v>8</v>
      </c>
      <c r="C222" s="5">
        <v>2289</v>
      </c>
      <c r="D222" s="9"/>
      <c r="E222" s="7"/>
    </row>
    <row r="223" spans="1:5">
      <c r="A223" s="15" t="str">
        <f t="shared" si="57"/>
        <v>C00062</v>
      </c>
      <c r="B223" s="3" t="s">
        <v>9</v>
      </c>
      <c r="C223" s="5">
        <v>2518</v>
      </c>
      <c r="D223" s="9"/>
      <c r="E223" s="7"/>
    </row>
    <row r="224" spans="1:5">
      <c r="A224" s="16" t="str">
        <f t="shared" si="57"/>
        <v>C00062</v>
      </c>
      <c r="B224" s="3" t="s">
        <v>10</v>
      </c>
      <c r="C224" s="5">
        <v>10071</v>
      </c>
      <c r="D224" s="9"/>
      <c r="E224" s="7"/>
    </row>
    <row r="225" spans="1:5">
      <c r="A225" s="14" t="s">
        <v>73</v>
      </c>
      <c r="B225" s="3" t="s">
        <v>7</v>
      </c>
      <c r="C225" s="5">
        <v>2289</v>
      </c>
      <c r="D225" s="9"/>
      <c r="E225" s="7"/>
    </row>
    <row r="226" spans="1:5">
      <c r="A226" s="15" t="str">
        <f t="shared" ref="A226:A228" si="58">A225</f>
        <v>C00063</v>
      </c>
      <c r="B226" s="3" t="s">
        <v>8</v>
      </c>
      <c r="C226" s="5">
        <v>6180</v>
      </c>
      <c r="D226" s="9"/>
      <c r="E226" s="7"/>
    </row>
    <row r="227" spans="1:5">
      <c r="A227" s="15" t="str">
        <f t="shared" si="58"/>
        <v>C00063</v>
      </c>
      <c r="B227" s="3" t="s">
        <v>9</v>
      </c>
      <c r="C227" s="5">
        <v>2289</v>
      </c>
      <c r="D227" s="9"/>
      <c r="E227" s="7"/>
    </row>
    <row r="228" spans="1:5">
      <c r="A228" s="16" t="str">
        <f t="shared" si="58"/>
        <v>C00063</v>
      </c>
      <c r="B228" s="3" t="s">
        <v>10</v>
      </c>
      <c r="C228" s="5">
        <v>4120</v>
      </c>
      <c r="D228" s="9"/>
      <c r="E228" s="7"/>
    </row>
    <row r="229" spans="1:5">
      <c r="A229" s="14" t="s">
        <v>74</v>
      </c>
      <c r="B229" s="3" t="s">
        <v>7</v>
      </c>
      <c r="C229" s="5">
        <v>2518</v>
      </c>
      <c r="D229" s="9"/>
      <c r="E229" s="7"/>
    </row>
    <row r="230" spans="1:5">
      <c r="A230" s="15" t="str">
        <f t="shared" ref="A230:A232" si="59">A229</f>
        <v>C00064</v>
      </c>
      <c r="B230" s="3" t="s">
        <v>8</v>
      </c>
      <c r="C230" s="5">
        <v>5035</v>
      </c>
      <c r="D230" s="9"/>
      <c r="E230" s="7"/>
    </row>
    <row r="231" spans="1:5">
      <c r="A231" s="15" t="str">
        <f t="shared" si="59"/>
        <v>C00064</v>
      </c>
      <c r="B231" s="3" t="s">
        <v>9</v>
      </c>
      <c r="C231" s="5">
        <v>15106</v>
      </c>
      <c r="D231" s="9"/>
      <c r="E231" s="7"/>
    </row>
    <row r="232" spans="1:5">
      <c r="A232" s="16" t="str">
        <f t="shared" si="59"/>
        <v>C00064</v>
      </c>
      <c r="B232" s="3" t="s">
        <v>10</v>
      </c>
      <c r="C232" s="5">
        <v>4120</v>
      </c>
      <c r="D232" s="9"/>
      <c r="E232" s="7"/>
    </row>
    <row r="233" spans="1:5">
      <c r="A233" s="14" t="s">
        <v>75</v>
      </c>
      <c r="B233" s="3" t="s">
        <v>7</v>
      </c>
      <c r="C233" s="5">
        <v>4120</v>
      </c>
      <c r="D233" s="9"/>
      <c r="E233" s="7"/>
    </row>
    <row r="234" spans="1:5">
      <c r="A234" s="15" t="str">
        <f t="shared" ref="A234:A236" si="60">A233</f>
        <v>C00065</v>
      </c>
      <c r="B234" s="3" t="s">
        <v>8</v>
      </c>
      <c r="C234" s="5">
        <v>2518</v>
      </c>
      <c r="D234" s="9"/>
      <c r="E234" s="7"/>
    </row>
    <row r="235" spans="1:5">
      <c r="A235" s="15" t="str">
        <f t="shared" si="60"/>
        <v>C00065</v>
      </c>
      <c r="B235" s="3" t="s">
        <v>9</v>
      </c>
      <c r="C235" s="5">
        <v>2289</v>
      </c>
      <c r="D235" s="9"/>
      <c r="E235" s="7"/>
    </row>
    <row r="236" spans="1:5">
      <c r="A236" s="16" t="str">
        <f t="shared" si="60"/>
        <v>C00065</v>
      </c>
      <c r="B236" s="3" t="s">
        <v>10</v>
      </c>
      <c r="C236" s="5">
        <v>4578</v>
      </c>
      <c r="D236" s="9"/>
      <c r="E236" s="7"/>
    </row>
    <row r="237" spans="1:5">
      <c r="A237" s="14" t="s">
        <v>76</v>
      </c>
      <c r="B237" s="3" t="s">
        <v>7</v>
      </c>
      <c r="C237" s="5">
        <v>12588</v>
      </c>
      <c r="D237" s="9"/>
      <c r="E237" s="7"/>
    </row>
    <row r="238" spans="1:5">
      <c r="A238" s="15" t="str">
        <f t="shared" ref="A238:A240" si="61">A237</f>
        <v>C00066</v>
      </c>
      <c r="B238" s="3" t="s">
        <v>8</v>
      </c>
      <c r="C238" s="5">
        <v>4120</v>
      </c>
      <c r="D238" s="9"/>
      <c r="E238" s="7"/>
    </row>
    <row r="239" spans="1:5">
      <c r="A239" s="15" t="str">
        <f t="shared" si="61"/>
        <v>C00066</v>
      </c>
      <c r="B239" s="3" t="s">
        <v>9</v>
      </c>
      <c r="C239" s="5">
        <v>13733</v>
      </c>
      <c r="D239" s="9"/>
      <c r="E239" s="7"/>
    </row>
    <row r="240" spans="1:5">
      <c r="A240" s="16" t="str">
        <f t="shared" si="61"/>
        <v>C00066</v>
      </c>
      <c r="B240" s="3" t="s">
        <v>10</v>
      </c>
      <c r="C240" s="5">
        <v>7553</v>
      </c>
      <c r="D240" s="9"/>
      <c r="E240" s="7"/>
    </row>
    <row r="241" spans="1:5">
      <c r="A241" s="14" t="s">
        <v>77</v>
      </c>
      <c r="B241" s="3" t="s">
        <v>9</v>
      </c>
      <c r="C241" s="5">
        <v>2289</v>
      </c>
      <c r="D241" s="9"/>
      <c r="E241" s="7"/>
    </row>
    <row r="242" spans="1:5">
      <c r="A242" s="16" t="str">
        <f>A241</f>
        <v>C00067</v>
      </c>
      <c r="B242" s="3" t="s">
        <v>10</v>
      </c>
      <c r="C242" s="5">
        <v>2518</v>
      </c>
      <c r="D242" s="9"/>
      <c r="E242" s="7"/>
    </row>
    <row r="243" spans="1:5">
      <c r="A243" s="14" t="s">
        <v>78</v>
      </c>
      <c r="B243" s="3" t="s">
        <v>7</v>
      </c>
      <c r="C243" s="5">
        <v>12588</v>
      </c>
      <c r="D243" s="9"/>
      <c r="E243" s="7"/>
    </row>
    <row r="244" spans="1:5">
      <c r="A244" s="15" t="str">
        <f t="shared" ref="A244:A246" si="62">A243</f>
        <v>C00068</v>
      </c>
      <c r="B244" s="3" t="s">
        <v>8</v>
      </c>
      <c r="C244" s="5">
        <v>17624</v>
      </c>
      <c r="D244" s="9"/>
      <c r="E244" s="7"/>
    </row>
    <row r="245" spans="1:5">
      <c r="A245" s="15" t="str">
        <f t="shared" si="62"/>
        <v>C00068</v>
      </c>
      <c r="B245" s="3" t="s">
        <v>9</v>
      </c>
      <c r="C245" s="5">
        <v>5035</v>
      </c>
      <c r="D245" s="9"/>
      <c r="E245" s="7"/>
    </row>
    <row r="246" spans="1:5">
      <c r="A246" s="16" t="str">
        <f t="shared" si="62"/>
        <v>C00068</v>
      </c>
      <c r="B246" s="3" t="s">
        <v>10</v>
      </c>
      <c r="C246" s="5">
        <v>16479</v>
      </c>
      <c r="D246" s="9"/>
      <c r="E246" s="7"/>
    </row>
    <row r="247" spans="1:5">
      <c r="A247" s="14" t="s">
        <v>79</v>
      </c>
      <c r="B247" s="3" t="s">
        <v>7</v>
      </c>
      <c r="C247" s="5">
        <v>15106</v>
      </c>
      <c r="D247" s="9"/>
      <c r="E247" s="7"/>
    </row>
    <row r="248" spans="1:5">
      <c r="A248" s="15" t="str">
        <f t="shared" ref="A248:A250" si="63">A247</f>
        <v>C00069</v>
      </c>
      <c r="B248" s="3" t="s">
        <v>8</v>
      </c>
      <c r="C248" s="5">
        <v>9155</v>
      </c>
      <c r="D248" s="9"/>
      <c r="E248" s="7"/>
    </row>
    <row r="249" spans="1:5">
      <c r="A249" s="15" t="str">
        <f t="shared" si="63"/>
        <v>C00069</v>
      </c>
      <c r="B249" s="3" t="s">
        <v>9</v>
      </c>
      <c r="C249" s="5">
        <v>15106</v>
      </c>
      <c r="D249" s="9"/>
      <c r="E249" s="7"/>
    </row>
    <row r="250" spans="1:5">
      <c r="A250" s="16" t="str">
        <f t="shared" si="63"/>
        <v>C00069</v>
      </c>
      <c r="B250" s="3" t="s">
        <v>10</v>
      </c>
      <c r="C250" s="5">
        <v>9155</v>
      </c>
      <c r="D250" s="9"/>
      <c r="E250" s="7"/>
    </row>
    <row r="251" spans="1:5">
      <c r="A251" s="14" t="s">
        <v>80</v>
      </c>
      <c r="B251" s="3" t="s">
        <v>7</v>
      </c>
      <c r="C251" s="5">
        <v>13733</v>
      </c>
      <c r="D251" s="9"/>
      <c r="E251" s="7"/>
    </row>
    <row r="252" spans="1:5">
      <c r="A252" s="15" t="str">
        <f t="shared" ref="A252:A254" si="64">A251</f>
        <v>C00070</v>
      </c>
      <c r="B252" s="3" t="s">
        <v>8</v>
      </c>
      <c r="C252" s="5">
        <v>10300</v>
      </c>
      <c r="D252" s="9"/>
      <c r="E252" s="7"/>
    </row>
    <row r="253" spans="1:5">
      <c r="A253" s="15" t="str">
        <f t="shared" si="64"/>
        <v>C00070</v>
      </c>
      <c r="B253" s="3" t="s">
        <v>9</v>
      </c>
      <c r="C253" s="5">
        <v>2518</v>
      </c>
      <c r="D253" s="9"/>
      <c r="E253" s="7"/>
    </row>
    <row r="254" spans="1:5">
      <c r="A254" s="16" t="str">
        <f t="shared" si="64"/>
        <v>C00070</v>
      </c>
      <c r="B254" s="3" t="s">
        <v>10</v>
      </c>
      <c r="C254" s="5">
        <v>4120</v>
      </c>
      <c r="D254" s="9"/>
      <c r="E254" s="7"/>
    </row>
    <row r="255" spans="1:5">
      <c r="A255" s="14" t="s">
        <v>81</v>
      </c>
      <c r="B255" s="3" t="s">
        <v>7</v>
      </c>
      <c r="C255" s="5">
        <v>5035</v>
      </c>
      <c r="D255" s="9"/>
      <c r="E255" s="7"/>
    </row>
    <row r="256" spans="1:5">
      <c r="A256" s="15" t="str">
        <f t="shared" ref="A256:A258" si="65">A255</f>
        <v>C00071</v>
      </c>
      <c r="B256" s="3" t="s">
        <v>8</v>
      </c>
      <c r="C256" s="5">
        <v>2060</v>
      </c>
      <c r="D256" s="9"/>
      <c r="E256" s="7"/>
    </row>
    <row r="257" spans="1:8">
      <c r="A257" s="15" t="str">
        <f t="shared" si="65"/>
        <v>C00071</v>
      </c>
      <c r="B257" s="3" t="s">
        <v>9</v>
      </c>
      <c r="C257" s="5">
        <v>2518</v>
      </c>
      <c r="D257" s="9"/>
      <c r="E257" s="7"/>
    </row>
    <row r="258" spans="1:8">
      <c r="A258" s="16" t="str">
        <f t="shared" si="65"/>
        <v>C00071</v>
      </c>
      <c r="B258" s="3" t="s">
        <v>10</v>
      </c>
      <c r="C258" s="5">
        <v>2060</v>
      </c>
      <c r="D258" s="9"/>
      <c r="E258" s="7"/>
    </row>
    <row r="259" spans="1:8">
      <c r="A259" s="14" t="s">
        <v>82</v>
      </c>
      <c r="B259" s="3" t="s">
        <v>7</v>
      </c>
      <c r="C259" s="5">
        <v>10071</v>
      </c>
      <c r="D259" s="9"/>
      <c r="E259" s="7"/>
    </row>
    <row r="260" spans="1:8">
      <c r="A260" s="15" t="str">
        <f t="shared" ref="A260:A262" si="66">A259</f>
        <v>C00072</v>
      </c>
      <c r="B260" s="3" t="s">
        <v>8</v>
      </c>
      <c r="C260" s="5">
        <v>8240</v>
      </c>
      <c r="D260" s="9"/>
      <c r="E260" s="7"/>
    </row>
    <row r="261" spans="1:8">
      <c r="A261" s="15" t="str">
        <f t="shared" si="66"/>
        <v>C00072</v>
      </c>
      <c r="B261" s="3" t="s">
        <v>9</v>
      </c>
      <c r="C261" s="5">
        <v>6180</v>
      </c>
      <c r="D261" s="9"/>
      <c r="E261" s="7"/>
    </row>
    <row r="262" spans="1:8" ht="14.25">
      <c r="A262" s="16" t="str">
        <f t="shared" si="66"/>
        <v>C00072</v>
      </c>
      <c r="B262" s="3" t="s">
        <v>10</v>
      </c>
      <c r="C262" s="5">
        <v>4120</v>
      </c>
      <c r="D262" s="9"/>
      <c r="E262" s="7"/>
      <c r="H262" s="1"/>
    </row>
    <row r="263" spans="1:8" ht="14.25">
      <c r="A263" s="14" t="s">
        <v>111</v>
      </c>
      <c r="B263" s="3" t="s">
        <v>7</v>
      </c>
      <c r="C263" s="5">
        <v>2755</v>
      </c>
      <c r="D263" s="9"/>
      <c r="E263" s="7"/>
      <c r="H263" s="1"/>
    </row>
    <row r="264" spans="1:8" ht="14.25">
      <c r="A264" s="15" t="str">
        <f t="shared" ref="A264:A265" si="67">A263</f>
        <v>C00073</v>
      </c>
      <c r="B264" s="3" t="s">
        <v>8</v>
      </c>
      <c r="C264" s="5">
        <v>7695</v>
      </c>
      <c r="D264" s="9"/>
      <c r="E264" s="7"/>
      <c r="H264" s="1"/>
    </row>
    <row r="265" spans="1:8" ht="14.25">
      <c r="A265" s="16" t="str">
        <f t="shared" si="67"/>
        <v>C00073</v>
      </c>
      <c r="B265" s="3" t="s">
        <v>9</v>
      </c>
      <c r="C265" s="5">
        <v>6636</v>
      </c>
      <c r="D265" s="9"/>
      <c r="E265" s="7"/>
      <c r="H265" s="1"/>
    </row>
    <row r="266" spans="1:8" ht="14.25">
      <c r="A266" s="14" t="s">
        <v>83</v>
      </c>
      <c r="B266" s="3" t="s">
        <v>8</v>
      </c>
      <c r="C266" s="5">
        <v>16022</v>
      </c>
      <c r="D266" s="9"/>
      <c r="E266" s="7"/>
      <c r="H266" s="1"/>
    </row>
    <row r="267" spans="1:8" ht="14.25">
      <c r="A267" s="15" t="str">
        <f t="shared" ref="A267:A268" si="68">A266</f>
        <v>C00074</v>
      </c>
      <c r="B267" s="3" t="s">
        <v>9</v>
      </c>
      <c r="C267" s="5">
        <v>6180</v>
      </c>
      <c r="D267" s="9"/>
      <c r="E267" s="7"/>
      <c r="H267" s="1"/>
    </row>
    <row r="268" spans="1:8" ht="14.25">
      <c r="A268" s="16" t="str">
        <f t="shared" si="68"/>
        <v>C00074</v>
      </c>
      <c r="B268" s="3" t="s">
        <v>10</v>
      </c>
      <c r="C268" s="5">
        <v>7553</v>
      </c>
      <c r="D268" s="9"/>
      <c r="E268" s="7"/>
      <c r="H268" s="1"/>
    </row>
    <row r="269" spans="1:8" ht="14.25">
      <c r="A269" s="14" t="s">
        <v>84</v>
      </c>
      <c r="B269" s="3" t="s">
        <v>7</v>
      </c>
      <c r="C269" s="5">
        <v>13733</v>
      </c>
      <c r="D269" s="9"/>
      <c r="E269" s="7"/>
      <c r="H269" s="1"/>
    </row>
    <row r="270" spans="1:8" ht="14.25">
      <c r="A270" s="16" t="str">
        <f>A269</f>
        <v>C00075</v>
      </c>
      <c r="B270" s="3" t="s">
        <v>10</v>
      </c>
      <c r="C270" s="5">
        <v>15106</v>
      </c>
      <c r="D270" s="9"/>
      <c r="E270" s="7"/>
      <c r="H270" s="1"/>
    </row>
    <row r="271" spans="1:8" ht="14.25">
      <c r="A271" s="14" t="s">
        <v>85</v>
      </c>
      <c r="B271" s="3" t="s">
        <v>7</v>
      </c>
      <c r="C271" s="5">
        <v>13733</v>
      </c>
      <c r="D271" s="9"/>
      <c r="E271" s="7"/>
      <c r="H271" s="1"/>
    </row>
    <row r="272" spans="1:8" ht="14.25">
      <c r="A272" s="15" t="str">
        <f t="shared" ref="A272:A274" si="69">A271</f>
        <v>C00076</v>
      </c>
      <c r="B272" s="3" t="s">
        <v>8</v>
      </c>
      <c r="C272" s="5">
        <v>5035</v>
      </c>
      <c r="D272" s="9"/>
      <c r="E272" s="7"/>
      <c r="H272" s="1"/>
    </row>
    <row r="273" spans="1:8" ht="14.25">
      <c r="A273" s="15" t="str">
        <f t="shared" si="69"/>
        <v>C00076</v>
      </c>
      <c r="B273" s="3" t="s">
        <v>9</v>
      </c>
      <c r="C273" s="5">
        <v>4578</v>
      </c>
      <c r="D273" s="9"/>
      <c r="E273" s="7"/>
      <c r="H273" s="1"/>
    </row>
    <row r="274" spans="1:8" ht="14.25">
      <c r="A274" s="16" t="str">
        <f t="shared" si="69"/>
        <v>C00076</v>
      </c>
      <c r="B274" s="3" t="s">
        <v>10</v>
      </c>
      <c r="C274" s="5">
        <v>15106</v>
      </c>
      <c r="D274" s="9"/>
      <c r="E274" s="7"/>
      <c r="H274" s="1"/>
    </row>
    <row r="275" spans="1:8" ht="14.25">
      <c r="A275" s="14" t="s">
        <v>86</v>
      </c>
      <c r="B275" s="3" t="s">
        <v>7</v>
      </c>
      <c r="C275" s="5">
        <v>81950</v>
      </c>
      <c r="D275" s="9"/>
      <c r="E275" s="7"/>
      <c r="H275" s="1"/>
    </row>
    <row r="276" spans="1:8" ht="14.25">
      <c r="A276" s="15" t="str">
        <f t="shared" ref="A276:A278" si="70">A275</f>
        <v>C00077</v>
      </c>
      <c r="B276" s="3" t="s">
        <v>8</v>
      </c>
      <c r="C276" s="5">
        <v>23943</v>
      </c>
      <c r="D276" s="9"/>
      <c r="E276" s="7"/>
      <c r="H276" s="1"/>
    </row>
    <row r="277" spans="1:8" ht="14.25">
      <c r="A277" s="15" t="str">
        <f t="shared" si="70"/>
        <v>C00077</v>
      </c>
      <c r="B277" s="3" t="s">
        <v>9</v>
      </c>
      <c r="C277" s="5">
        <v>32089</v>
      </c>
      <c r="D277" s="9"/>
      <c r="E277" s="7"/>
      <c r="H277" s="1"/>
    </row>
    <row r="278" spans="1:8" ht="14.25">
      <c r="A278" s="16" t="str">
        <f t="shared" si="70"/>
        <v>C00077</v>
      </c>
      <c r="B278" s="3" t="s">
        <v>10</v>
      </c>
      <c r="C278" s="5">
        <v>26820</v>
      </c>
      <c r="D278" s="9"/>
      <c r="E278" s="7"/>
      <c r="H278" s="1"/>
    </row>
    <row r="279" spans="1:8" ht="14.25">
      <c r="A279" s="14" t="s">
        <v>87</v>
      </c>
      <c r="B279" s="3" t="s">
        <v>7</v>
      </c>
      <c r="C279" s="5">
        <v>14900</v>
      </c>
      <c r="D279" s="9"/>
      <c r="E279" s="7"/>
      <c r="H279" s="1"/>
    </row>
    <row r="280" spans="1:8" ht="14.25">
      <c r="A280" s="15" t="str">
        <f t="shared" ref="A280:A281" si="71">A279</f>
        <v>C00078</v>
      </c>
      <c r="B280" s="3" t="s">
        <v>8</v>
      </c>
      <c r="C280" s="5">
        <v>16390</v>
      </c>
      <c r="D280" s="9"/>
      <c r="E280" s="7"/>
      <c r="H280" s="1"/>
    </row>
    <row r="281" spans="1:8" ht="14.25">
      <c r="A281" s="16" t="str">
        <f t="shared" si="71"/>
        <v>C00078</v>
      </c>
      <c r="B281" s="3" t="s">
        <v>9</v>
      </c>
      <c r="C281" s="5">
        <v>16390</v>
      </c>
      <c r="D281" s="9"/>
      <c r="E281" s="7"/>
      <c r="H281" s="1"/>
    </row>
    <row r="282" spans="1:8" ht="14.25">
      <c r="A282" s="14" t="s">
        <v>88</v>
      </c>
      <c r="B282" s="3" t="s">
        <v>7</v>
      </c>
      <c r="C282" s="5">
        <v>44700</v>
      </c>
      <c r="D282" s="9"/>
      <c r="E282" s="7"/>
      <c r="H282" s="1"/>
    </row>
    <row r="283" spans="1:8" ht="14.25">
      <c r="A283" s="15" t="str">
        <f t="shared" ref="A283:A285" si="72">A282</f>
        <v>C00079</v>
      </c>
      <c r="B283" s="3" t="s">
        <v>8</v>
      </c>
      <c r="C283" s="5">
        <v>53640</v>
      </c>
      <c r="D283" s="9"/>
      <c r="E283" s="7"/>
      <c r="H283" s="1"/>
    </row>
    <row r="284" spans="1:8" ht="14.25">
      <c r="A284" s="15" t="str">
        <f t="shared" si="72"/>
        <v>C00079</v>
      </c>
      <c r="B284" s="3" t="s">
        <v>9</v>
      </c>
      <c r="C284" s="5">
        <v>80460</v>
      </c>
      <c r="D284" s="9"/>
      <c r="E284" s="7"/>
      <c r="H284" s="1"/>
    </row>
    <row r="285" spans="1:8" ht="14.25">
      <c r="A285" s="16" t="str">
        <f t="shared" si="72"/>
        <v>C00079</v>
      </c>
      <c r="B285" s="3" t="s">
        <v>10</v>
      </c>
      <c r="C285" s="5">
        <v>89400</v>
      </c>
      <c r="D285" s="9"/>
      <c r="E285" s="7"/>
      <c r="H285" s="1"/>
    </row>
    <row r="286" spans="1:8" ht="14.25">
      <c r="A286" s="14" t="s">
        <v>89</v>
      </c>
      <c r="B286" s="3" t="s">
        <v>7</v>
      </c>
      <c r="C286" s="5">
        <v>32780</v>
      </c>
      <c r="D286" s="9"/>
      <c r="E286" s="7"/>
      <c r="H286" s="1"/>
    </row>
    <row r="287" spans="1:8" ht="14.25">
      <c r="A287" s="15" t="str">
        <f t="shared" ref="A287:A289" si="73">A286</f>
        <v>C00080</v>
      </c>
      <c r="B287" s="3" t="s">
        <v>8</v>
      </c>
      <c r="C287" s="5">
        <v>81950</v>
      </c>
      <c r="D287" s="9"/>
      <c r="E287" s="7"/>
      <c r="H287" s="1"/>
    </row>
    <row r="288" spans="1:8" ht="14.25">
      <c r="A288" s="15" t="str">
        <f t="shared" si="73"/>
        <v>C00080</v>
      </c>
      <c r="B288" s="3" t="s">
        <v>9</v>
      </c>
      <c r="C288" s="5">
        <v>59600</v>
      </c>
      <c r="D288" s="9"/>
      <c r="E288" s="7"/>
      <c r="H288" s="1"/>
    </row>
    <row r="289" spans="1:8" ht="14.25">
      <c r="A289" s="16" t="str">
        <f t="shared" si="73"/>
        <v>C00080</v>
      </c>
      <c r="B289" s="3" t="s">
        <v>10</v>
      </c>
      <c r="C289" s="5">
        <v>26820</v>
      </c>
      <c r="D289" s="9"/>
      <c r="E289" s="7"/>
      <c r="H289" s="1"/>
    </row>
    <row r="290" spans="1:8" ht="14.25">
      <c r="A290" s="14" t="s">
        <v>90</v>
      </c>
      <c r="B290" s="3" t="s">
        <v>7</v>
      </c>
      <c r="C290" s="5">
        <v>59600</v>
      </c>
      <c r="D290" s="9"/>
      <c r="E290" s="7"/>
      <c r="H290" s="1"/>
    </row>
    <row r="291" spans="1:8" ht="14.25">
      <c r="A291" s="15" t="str">
        <f t="shared" ref="A291:A292" si="74">A290</f>
        <v>C00081</v>
      </c>
      <c r="B291" s="3" t="s">
        <v>8</v>
      </c>
      <c r="C291" s="5">
        <v>26820</v>
      </c>
      <c r="D291" s="9"/>
      <c r="E291" s="7"/>
      <c r="H291" s="1"/>
    </row>
    <row r="292" spans="1:8" ht="14.25">
      <c r="A292" s="16" t="str">
        <f t="shared" si="74"/>
        <v>C00081</v>
      </c>
      <c r="B292" s="3" t="s">
        <v>10</v>
      </c>
      <c r="C292" s="5">
        <v>44700</v>
      </c>
      <c r="D292" s="9"/>
      <c r="E292" s="7"/>
      <c r="H292" s="1"/>
    </row>
    <row r="293" spans="1:8" ht="14.25">
      <c r="A293" s="14" t="s">
        <v>91</v>
      </c>
      <c r="B293" s="3" t="s">
        <v>7</v>
      </c>
      <c r="C293" s="5">
        <v>32780</v>
      </c>
      <c r="D293" s="9"/>
      <c r="E293" s="7"/>
      <c r="H293" s="1"/>
    </row>
    <row r="294" spans="1:8" ht="14.25">
      <c r="A294" s="15" t="str">
        <f t="shared" ref="A294:A296" si="75">A293</f>
        <v>C00082</v>
      </c>
      <c r="B294" s="3" t="s">
        <v>8</v>
      </c>
      <c r="C294" s="5">
        <v>80460</v>
      </c>
      <c r="D294" s="9"/>
      <c r="E294" s="7"/>
      <c r="H294" s="1"/>
    </row>
    <row r="295" spans="1:8" ht="14.25">
      <c r="A295" s="15" t="str">
        <f t="shared" si="75"/>
        <v>C00082</v>
      </c>
      <c r="B295" s="3" t="s">
        <v>9</v>
      </c>
      <c r="C295" s="5">
        <v>67050</v>
      </c>
      <c r="D295" s="9"/>
      <c r="E295" s="7"/>
      <c r="H295" s="1"/>
    </row>
    <row r="296" spans="1:8" ht="14.25">
      <c r="A296" s="16" t="str">
        <f t="shared" si="75"/>
        <v>C00082</v>
      </c>
      <c r="B296" s="3" t="s">
        <v>10</v>
      </c>
      <c r="C296" s="5">
        <v>44700</v>
      </c>
      <c r="D296" s="9"/>
      <c r="E296" s="7"/>
      <c r="H296" s="1"/>
    </row>
    <row r="297" spans="1:8" ht="14.25">
      <c r="A297" s="14" t="s">
        <v>92</v>
      </c>
      <c r="B297" s="3" t="s">
        <v>7</v>
      </c>
      <c r="C297" s="5">
        <v>14900</v>
      </c>
      <c r="D297" s="9"/>
      <c r="E297" s="7"/>
      <c r="H297" s="1"/>
    </row>
    <row r="298" spans="1:8" ht="14.25">
      <c r="A298" s="15" t="str">
        <f t="shared" ref="A298:A299" si="76">A297</f>
        <v>C00083</v>
      </c>
      <c r="B298" s="3" t="s">
        <v>9</v>
      </c>
      <c r="C298" s="5">
        <v>13410</v>
      </c>
      <c r="D298" s="9"/>
      <c r="E298" s="7"/>
      <c r="H298" s="1"/>
    </row>
    <row r="299" spans="1:8" ht="14.25">
      <c r="A299" s="16" t="str">
        <f t="shared" si="76"/>
        <v>C00083</v>
      </c>
      <c r="B299" s="3" t="s">
        <v>10</v>
      </c>
      <c r="C299" s="5">
        <v>14900</v>
      </c>
      <c r="D299" s="9"/>
      <c r="E299" s="7"/>
      <c r="H299" s="1"/>
    </row>
    <row r="300" spans="1:8" ht="14.25">
      <c r="A300" s="14" t="s">
        <v>93</v>
      </c>
      <c r="B300" s="3" t="s">
        <v>7</v>
      </c>
      <c r="C300" s="5">
        <v>53640</v>
      </c>
      <c r="D300" s="9"/>
      <c r="E300" s="7"/>
      <c r="H300" s="1"/>
    </row>
    <row r="301" spans="1:8" ht="14.25">
      <c r="A301" s="15" t="str">
        <f t="shared" ref="A301:A303" si="77">A300</f>
        <v>C00084</v>
      </c>
      <c r="B301" s="3" t="s">
        <v>8</v>
      </c>
      <c r="C301" s="5">
        <v>67050</v>
      </c>
      <c r="D301" s="9"/>
      <c r="E301" s="7"/>
      <c r="H301" s="1"/>
    </row>
    <row r="302" spans="1:8" ht="14.25">
      <c r="A302" s="15" t="str">
        <f t="shared" si="77"/>
        <v>C00084</v>
      </c>
      <c r="B302" s="3" t="s">
        <v>9</v>
      </c>
      <c r="C302" s="5">
        <v>65560</v>
      </c>
      <c r="D302" s="9"/>
      <c r="E302" s="7"/>
      <c r="H302" s="1"/>
    </row>
    <row r="303" spans="1:8" ht="14.25">
      <c r="A303" s="16" t="str">
        <f t="shared" si="77"/>
        <v>C00084</v>
      </c>
      <c r="B303" s="3" t="s">
        <v>10</v>
      </c>
      <c r="C303" s="5">
        <v>81950</v>
      </c>
      <c r="D303" s="9"/>
      <c r="E303" s="7"/>
      <c r="H303" s="1"/>
    </row>
    <row r="304" spans="1:8" ht="14.25">
      <c r="A304" s="14" t="s">
        <v>94</v>
      </c>
      <c r="B304" s="3" t="s">
        <v>7</v>
      </c>
      <c r="C304" s="5">
        <v>13410</v>
      </c>
      <c r="D304" s="9"/>
      <c r="E304" s="7"/>
      <c r="H304" s="1"/>
    </row>
    <row r="305" spans="1:8" ht="14.25">
      <c r="A305" s="15" t="str">
        <f t="shared" ref="A305:A307" si="78">A304</f>
        <v>C00085</v>
      </c>
      <c r="B305" s="3" t="s">
        <v>8</v>
      </c>
      <c r="C305" s="5">
        <v>32780</v>
      </c>
      <c r="D305" s="9"/>
      <c r="E305" s="7"/>
      <c r="H305" s="1"/>
    </row>
    <row r="306" spans="1:8" ht="14.25">
      <c r="A306" s="15" t="str">
        <f t="shared" si="78"/>
        <v>C00085</v>
      </c>
      <c r="B306" s="3" t="s">
        <v>9</v>
      </c>
      <c r="C306" s="5">
        <v>13410</v>
      </c>
      <c r="D306" s="9"/>
      <c r="E306" s="7"/>
      <c r="H306" s="1"/>
    </row>
    <row r="307" spans="1:8" ht="14.25">
      <c r="A307" s="16" t="str">
        <f t="shared" si="78"/>
        <v>C00085</v>
      </c>
      <c r="B307" s="3" t="s">
        <v>10</v>
      </c>
      <c r="C307" s="5">
        <v>49170</v>
      </c>
      <c r="D307" s="9"/>
      <c r="E307" s="7"/>
      <c r="H307" s="1"/>
    </row>
    <row r="308" spans="1:8" ht="14.25">
      <c r="A308" s="14" t="s">
        <v>95</v>
      </c>
      <c r="B308" s="3" t="s">
        <v>7</v>
      </c>
      <c r="C308" s="5">
        <v>65560</v>
      </c>
      <c r="D308" s="9"/>
      <c r="E308" s="7"/>
      <c r="H308" s="1"/>
    </row>
    <row r="309" spans="1:8" ht="14.25">
      <c r="A309" s="16" t="str">
        <f>A308</f>
        <v>C00086</v>
      </c>
      <c r="B309" s="3" t="s">
        <v>9</v>
      </c>
      <c r="C309" s="5">
        <v>40230</v>
      </c>
      <c r="D309" s="9"/>
      <c r="E309" s="7"/>
      <c r="H309" s="1"/>
    </row>
    <row r="310" spans="1:8" ht="14.25">
      <c r="A310" s="14" t="s">
        <v>96</v>
      </c>
      <c r="B310" s="3" t="s">
        <v>7</v>
      </c>
      <c r="C310" s="5">
        <v>134100</v>
      </c>
      <c r="D310" s="9"/>
      <c r="E310" s="7"/>
      <c r="H310" s="1"/>
    </row>
    <row r="311" spans="1:8" ht="14.25">
      <c r="A311" s="15" t="str">
        <f t="shared" ref="A311:A313" si="79">A310</f>
        <v>C00087</v>
      </c>
      <c r="B311" s="3" t="s">
        <v>8</v>
      </c>
      <c r="C311" s="5">
        <v>49170</v>
      </c>
      <c r="D311" s="9"/>
      <c r="E311" s="7"/>
      <c r="H311" s="1"/>
    </row>
    <row r="312" spans="1:8" ht="14.25">
      <c r="A312" s="15" t="str">
        <f t="shared" si="79"/>
        <v>C00087</v>
      </c>
      <c r="B312" s="3" t="s">
        <v>9</v>
      </c>
      <c r="C312" s="5">
        <v>26820</v>
      </c>
      <c r="D312" s="9"/>
      <c r="E312" s="7"/>
      <c r="H312" s="1"/>
    </row>
    <row r="313" spans="1:8" ht="14.25">
      <c r="A313" s="16" t="str">
        <f t="shared" si="79"/>
        <v>C00087</v>
      </c>
      <c r="B313" s="3" t="s">
        <v>10</v>
      </c>
      <c r="C313" s="5">
        <v>81950</v>
      </c>
      <c r="D313" s="9"/>
      <c r="E313" s="7"/>
      <c r="H313" s="1"/>
    </row>
    <row r="314" spans="1:8" ht="14.25">
      <c r="A314" s="14" t="s">
        <v>97</v>
      </c>
      <c r="B314" s="3" t="s">
        <v>7</v>
      </c>
      <c r="C314" s="5">
        <v>65560</v>
      </c>
      <c r="D314" s="9"/>
      <c r="E314" s="7"/>
      <c r="H314" s="1"/>
    </row>
    <row r="315" spans="1:8" ht="14.25">
      <c r="A315" s="15" t="str">
        <f t="shared" ref="A315:A317" si="80">A314</f>
        <v>C00088</v>
      </c>
      <c r="B315" s="3" t="s">
        <v>8</v>
      </c>
      <c r="C315" s="5">
        <v>67050</v>
      </c>
      <c r="D315" s="9"/>
      <c r="E315" s="7"/>
      <c r="H315" s="1"/>
    </row>
    <row r="316" spans="1:8" ht="14.25">
      <c r="A316" s="15" t="str">
        <f t="shared" si="80"/>
        <v>C00088</v>
      </c>
      <c r="B316" s="3" t="s">
        <v>9</v>
      </c>
      <c r="C316" s="5">
        <v>53640</v>
      </c>
      <c r="D316" s="9"/>
      <c r="E316" s="7"/>
      <c r="H316" s="1"/>
    </row>
    <row r="317" spans="1:8" ht="14.25">
      <c r="A317" s="16" t="str">
        <f t="shared" si="80"/>
        <v>C00088</v>
      </c>
      <c r="B317" s="3" t="s">
        <v>10</v>
      </c>
      <c r="C317" s="5">
        <v>44700</v>
      </c>
      <c r="D317" s="9"/>
      <c r="E317" s="7"/>
      <c r="H317" s="1"/>
    </row>
    <row r="318" spans="1:8" ht="14.25">
      <c r="A318" s="14" t="s">
        <v>98</v>
      </c>
      <c r="B318" s="3" t="s">
        <v>7</v>
      </c>
      <c r="C318" s="5">
        <v>53640</v>
      </c>
      <c r="D318" s="9"/>
      <c r="E318" s="7"/>
      <c r="H318" s="1"/>
    </row>
    <row r="319" spans="1:8" ht="14.25">
      <c r="A319" s="15" t="str">
        <f t="shared" ref="A319:A321" si="81">A318</f>
        <v>C00089</v>
      </c>
      <c r="B319" s="3" t="s">
        <v>8</v>
      </c>
      <c r="C319" s="5">
        <v>16390</v>
      </c>
      <c r="D319" s="9"/>
      <c r="E319" s="7"/>
      <c r="H319" s="1"/>
    </row>
    <row r="320" spans="1:8" ht="14.25">
      <c r="A320" s="15" t="str">
        <f t="shared" si="81"/>
        <v>C00089</v>
      </c>
      <c r="B320" s="3" t="s">
        <v>9</v>
      </c>
      <c r="C320" s="5">
        <v>26820</v>
      </c>
      <c r="D320" s="9"/>
      <c r="E320" s="7"/>
      <c r="H320" s="1"/>
    </row>
    <row r="321" spans="1:8" ht="14.25">
      <c r="A321" s="16" t="str">
        <f t="shared" si="81"/>
        <v>C00089</v>
      </c>
      <c r="B321" s="3" t="s">
        <v>10</v>
      </c>
      <c r="C321" s="5">
        <v>14900</v>
      </c>
      <c r="D321" s="9"/>
      <c r="E321" s="7"/>
      <c r="H321" s="1"/>
    </row>
    <row r="322" spans="1:8" ht="14.25">
      <c r="A322" s="14" t="s">
        <v>99</v>
      </c>
      <c r="B322" s="3" t="s">
        <v>7</v>
      </c>
      <c r="C322" s="5">
        <v>40230</v>
      </c>
      <c r="D322" s="9"/>
      <c r="E322" s="7"/>
      <c r="H322" s="1"/>
    </row>
    <row r="323" spans="1:8" ht="14.25">
      <c r="A323" s="15" t="str">
        <f t="shared" ref="A323:A325" si="82">A322</f>
        <v>C00090</v>
      </c>
      <c r="B323" s="3" t="s">
        <v>8</v>
      </c>
      <c r="C323" s="5">
        <v>40230</v>
      </c>
      <c r="D323" s="9"/>
      <c r="E323" s="7"/>
      <c r="H323" s="1"/>
    </row>
    <row r="324" spans="1:8" ht="14.25">
      <c r="A324" s="15" t="str">
        <f t="shared" si="82"/>
        <v>C00090</v>
      </c>
      <c r="B324" s="3" t="s">
        <v>9</v>
      </c>
      <c r="C324" s="5">
        <v>16390</v>
      </c>
      <c r="D324" s="9"/>
      <c r="E324" s="7"/>
      <c r="H324" s="1"/>
    </row>
    <row r="325" spans="1:8" ht="14.25">
      <c r="A325" s="16" t="str">
        <f t="shared" si="82"/>
        <v>C00090</v>
      </c>
      <c r="B325" s="3" t="s">
        <v>10</v>
      </c>
      <c r="C325" s="5">
        <v>32780</v>
      </c>
      <c r="D325" s="9"/>
      <c r="E325" s="7"/>
      <c r="H325" s="1"/>
    </row>
    <row r="326" spans="1:8" ht="14.25">
      <c r="A326" s="14" t="s">
        <v>100</v>
      </c>
      <c r="B326" s="3" t="s">
        <v>7</v>
      </c>
      <c r="C326" s="5">
        <v>14900</v>
      </c>
      <c r="D326" s="9"/>
      <c r="E326" s="7"/>
      <c r="H326" s="1"/>
    </row>
    <row r="327" spans="1:8" ht="14.25">
      <c r="A327" s="15" t="str">
        <f t="shared" ref="A327:A329" si="83">A326</f>
        <v>C00091</v>
      </c>
      <c r="B327" s="3" t="s">
        <v>8</v>
      </c>
      <c r="C327" s="5">
        <v>49170</v>
      </c>
      <c r="D327" s="9"/>
      <c r="E327" s="7"/>
      <c r="H327" s="1"/>
    </row>
    <row r="328" spans="1:8" ht="14.25">
      <c r="A328" s="15" t="str">
        <f t="shared" si="83"/>
        <v>C00091</v>
      </c>
      <c r="B328" s="3" t="s">
        <v>9</v>
      </c>
      <c r="C328" s="5">
        <v>16390</v>
      </c>
      <c r="D328" s="9"/>
      <c r="E328" s="7"/>
      <c r="H328" s="1"/>
    </row>
    <row r="329" spans="1:8" ht="14.25">
      <c r="A329" s="16" t="str">
        <f t="shared" si="83"/>
        <v>C00091</v>
      </c>
      <c r="B329" s="3" t="s">
        <v>10</v>
      </c>
      <c r="C329" s="5">
        <v>26820</v>
      </c>
      <c r="D329" s="9"/>
      <c r="E329" s="7"/>
      <c r="H329" s="1"/>
    </row>
    <row r="330" spans="1:8" ht="14.25">
      <c r="A330" s="14" t="s">
        <v>101</v>
      </c>
      <c r="B330" s="3" t="s">
        <v>7</v>
      </c>
      <c r="C330" s="5">
        <v>29800</v>
      </c>
      <c r="D330" s="9"/>
      <c r="E330" s="7"/>
      <c r="H330" s="1"/>
    </row>
    <row r="331" spans="1:8" ht="14.25">
      <c r="A331" s="15" t="str">
        <f t="shared" ref="A331:A333" si="84">A330</f>
        <v>C00092</v>
      </c>
      <c r="B331" s="3" t="s">
        <v>8</v>
      </c>
      <c r="C331" s="5">
        <v>59600</v>
      </c>
      <c r="D331" s="9"/>
      <c r="E331" s="7"/>
      <c r="H331" s="1"/>
    </row>
    <row r="332" spans="1:8" ht="14.25">
      <c r="A332" s="15" t="str">
        <f t="shared" si="84"/>
        <v>C00092</v>
      </c>
      <c r="B332" s="3" t="s">
        <v>9</v>
      </c>
      <c r="C332" s="5">
        <v>40230</v>
      </c>
      <c r="D332" s="9"/>
      <c r="E332" s="7"/>
      <c r="H332" s="1"/>
    </row>
    <row r="333" spans="1:8" ht="14.25">
      <c r="A333" s="16" t="str">
        <f t="shared" si="84"/>
        <v>C00092</v>
      </c>
      <c r="B333" s="3" t="s">
        <v>10</v>
      </c>
      <c r="C333" s="5">
        <v>14900</v>
      </c>
      <c r="D333" s="9"/>
      <c r="E333" s="7"/>
      <c r="H333" s="1"/>
    </row>
    <row r="334" spans="1:8" ht="14.25">
      <c r="A334" s="14" t="s">
        <v>102</v>
      </c>
      <c r="B334" s="3" t="s">
        <v>7</v>
      </c>
      <c r="C334" s="5">
        <v>93870</v>
      </c>
      <c r="D334" s="9"/>
      <c r="E334" s="7"/>
      <c r="H334" s="1"/>
    </row>
    <row r="335" spans="1:8" ht="14.25">
      <c r="A335" s="15" t="str">
        <f t="shared" ref="A335:A337" si="85">A334</f>
        <v>C00093</v>
      </c>
      <c r="B335" s="3" t="s">
        <v>8</v>
      </c>
      <c r="C335" s="5">
        <v>14900</v>
      </c>
      <c r="D335" s="9"/>
      <c r="E335" s="7"/>
      <c r="H335" s="1"/>
    </row>
    <row r="336" spans="1:8" ht="14.25">
      <c r="A336" s="15" t="str">
        <f t="shared" si="85"/>
        <v>C00093</v>
      </c>
      <c r="B336" s="3" t="s">
        <v>9</v>
      </c>
      <c r="C336" s="5">
        <v>134100</v>
      </c>
      <c r="D336" s="9"/>
      <c r="E336" s="7"/>
      <c r="H336" s="1"/>
    </row>
    <row r="337" spans="1:8" ht="14.25">
      <c r="A337" s="16" t="str">
        <f t="shared" si="85"/>
        <v>C00093</v>
      </c>
      <c r="B337" s="3" t="s">
        <v>10</v>
      </c>
      <c r="C337" s="5">
        <v>49170</v>
      </c>
      <c r="D337" s="9"/>
      <c r="E337" s="7"/>
      <c r="H337" s="1"/>
    </row>
    <row r="338" spans="1:8" ht="14.25">
      <c r="A338" s="14" t="s">
        <v>103</v>
      </c>
      <c r="B338" s="3" t="s">
        <v>7</v>
      </c>
      <c r="C338" s="5">
        <v>53640</v>
      </c>
      <c r="D338" s="9"/>
      <c r="E338" s="7"/>
      <c r="H338" s="1"/>
    </row>
    <row r="339" spans="1:8" ht="14.25">
      <c r="A339" s="15" t="str">
        <f t="shared" ref="A339:A340" si="86">A338</f>
        <v>C00094</v>
      </c>
      <c r="B339" s="3" t="s">
        <v>9</v>
      </c>
      <c r="C339" s="5">
        <v>89400</v>
      </c>
      <c r="D339" s="9"/>
      <c r="E339" s="7"/>
      <c r="H339" s="1"/>
    </row>
    <row r="340" spans="1:8" ht="14.25">
      <c r="A340" s="16" t="str">
        <f t="shared" si="86"/>
        <v>C00094</v>
      </c>
      <c r="B340" s="3" t="s">
        <v>10</v>
      </c>
      <c r="C340" s="5">
        <v>49170</v>
      </c>
      <c r="D340" s="9"/>
      <c r="E340" s="7"/>
      <c r="H340" s="1"/>
    </row>
    <row r="341" spans="1:8" ht="14.25">
      <c r="A341" s="14" t="s">
        <v>104</v>
      </c>
      <c r="B341" s="3" t="s">
        <v>7</v>
      </c>
      <c r="C341" s="5">
        <v>49170</v>
      </c>
      <c r="D341" s="9"/>
      <c r="E341" s="7"/>
      <c r="H341" s="1"/>
    </row>
    <row r="342" spans="1:8" ht="14.25">
      <c r="A342" s="15" t="str">
        <f t="shared" ref="A342:A344" si="87">A341</f>
        <v>C00095</v>
      </c>
      <c r="B342" s="3" t="s">
        <v>8</v>
      </c>
      <c r="C342" s="5">
        <v>114730</v>
      </c>
      <c r="D342" s="9"/>
      <c r="E342" s="7"/>
      <c r="H342" s="1"/>
    </row>
    <row r="343" spans="1:8" ht="14.25">
      <c r="A343" s="15" t="str">
        <f t="shared" si="87"/>
        <v>C00095</v>
      </c>
      <c r="B343" s="3" t="s">
        <v>9</v>
      </c>
      <c r="C343" s="5">
        <v>114730</v>
      </c>
      <c r="D343" s="9"/>
      <c r="E343" s="7"/>
      <c r="H343" s="1"/>
    </row>
    <row r="344" spans="1:8" ht="14.25">
      <c r="A344" s="16" t="str">
        <f t="shared" si="87"/>
        <v>C00095</v>
      </c>
      <c r="B344" s="3" t="s">
        <v>10</v>
      </c>
      <c r="C344" s="5">
        <v>53640</v>
      </c>
      <c r="D344" s="9"/>
      <c r="E344" s="7"/>
      <c r="H344" s="1"/>
    </row>
    <row r="345" spans="1:8" ht="14.25">
      <c r="A345" s="14" t="s">
        <v>105</v>
      </c>
      <c r="B345" s="3" t="s">
        <v>7</v>
      </c>
      <c r="C345" s="5">
        <v>14900</v>
      </c>
      <c r="D345" s="9"/>
      <c r="E345" s="7"/>
      <c r="H345" s="1"/>
    </row>
    <row r="346" spans="1:8" ht="14.25">
      <c r="A346" s="15" t="str">
        <f t="shared" ref="A346:A348" si="88">A345</f>
        <v>C00096</v>
      </c>
      <c r="B346" s="3" t="s">
        <v>8</v>
      </c>
      <c r="C346" s="5">
        <v>80460</v>
      </c>
      <c r="D346" s="9"/>
      <c r="E346" s="7"/>
      <c r="H346" s="1"/>
    </row>
    <row r="347" spans="1:8" ht="14.25">
      <c r="A347" s="15" t="str">
        <f t="shared" si="88"/>
        <v>C00096</v>
      </c>
      <c r="B347" s="3" t="s">
        <v>9</v>
      </c>
      <c r="C347" s="5">
        <v>67050</v>
      </c>
      <c r="D347" s="9"/>
      <c r="E347" s="7"/>
      <c r="H347" s="1"/>
    </row>
    <row r="348" spans="1:8" ht="14.25">
      <c r="A348" s="16" t="str">
        <f t="shared" si="88"/>
        <v>C00096</v>
      </c>
      <c r="B348" s="3" t="s">
        <v>10</v>
      </c>
      <c r="C348" s="5">
        <v>14900</v>
      </c>
      <c r="D348" s="9"/>
      <c r="E348" s="7"/>
      <c r="H348" s="1"/>
    </row>
    <row r="349" spans="1:8" ht="14.25">
      <c r="A349" s="14" t="s">
        <v>106</v>
      </c>
      <c r="B349" s="3" t="s">
        <v>7</v>
      </c>
      <c r="C349" s="5">
        <v>59600</v>
      </c>
      <c r="D349" s="9"/>
      <c r="E349" s="7"/>
      <c r="H349" s="1"/>
    </row>
    <row r="350" spans="1:8" ht="14.25">
      <c r="A350" s="15" t="str">
        <f t="shared" ref="A350:A352" si="89">A349</f>
        <v>C00097</v>
      </c>
      <c r="B350" s="3" t="s">
        <v>8</v>
      </c>
      <c r="C350" s="5">
        <v>81950</v>
      </c>
      <c r="D350" s="9"/>
      <c r="E350" s="7"/>
      <c r="H350" s="1"/>
    </row>
    <row r="351" spans="1:8" ht="14.25">
      <c r="A351" s="15" t="str">
        <f t="shared" si="89"/>
        <v>C00097</v>
      </c>
      <c r="B351" s="3" t="s">
        <v>9</v>
      </c>
      <c r="C351" s="5">
        <v>89400</v>
      </c>
      <c r="D351" s="9"/>
      <c r="E351" s="7"/>
      <c r="H351" s="1"/>
    </row>
    <row r="352" spans="1:8" ht="14.25">
      <c r="A352" s="16" t="str">
        <f t="shared" si="89"/>
        <v>C00097</v>
      </c>
      <c r="B352" s="3" t="s">
        <v>10</v>
      </c>
      <c r="C352" s="5">
        <v>93870</v>
      </c>
      <c r="D352" s="9"/>
      <c r="E352" s="7"/>
      <c r="H352" s="1"/>
    </row>
    <row r="353" spans="1:8" ht="14.25">
      <c r="A353" s="14" t="s">
        <v>107</v>
      </c>
      <c r="B353" s="3" t="s">
        <v>7</v>
      </c>
      <c r="C353" s="5">
        <v>178800</v>
      </c>
      <c r="D353" s="9"/>
      <c r="E353" s="7"/>
      <c r="H353" s="1"/>
    </row>
    <row r="354" spans="1:8" ht="14.25">
      <c r="A354" s="15" t="str">
        <f t="shared" ref="A354:A356" si="90">A353</f>
        <v>C00098</v>
      </c>
      <c r="B354" s="3" t="s">
        <v>8</v>
      </c>
      <c r="C354" s="5">
        <v>53640</v>
      </c>
      <c r="D354" s="9"/>
      <c r="E354" s="7"/>
      <c r="H354" s="1"/>
    </row>
    <row r="355" spans="1:8" ht="14.25">
      <c r="A355" s="15" t="str">
        <f t="shared" si="90"/>
        <v>C00098</v>
      </c>
      <c r="B355" s="3" t="s">
        <v>9</v>
      </c>
      <c r="C355" s="5">
        <v>59600</v>
      </c>
      <c r="D355" s="9"/>
      <c r="E355" s="7"/>
      <c r="H355" s="1"/>
    </row>
    <row r="356" spans="1:8" ht="14.25">
      <c r="A356" s="16" t="str">
        <f t="shared" si="90"/>
        <v>C00098</v>
      </c>
      <c r="B356" s="3" t="s">
        <v>10</v>
      </c>
      <c r="C356" s="5">
        <v>14900</v>
      </c>
      <c r="D356" s="9"/>
      <c r="E356" s="7"/>
      <c r="H356" s="1"/>
    </row>
    <row r="357" spans="1:8" ht="14.25">
      <c r="A357" s="14" t="s">
        <v>108</v>
      </c>
      <c r="B357" s="3" t="s">
        <v>7</v>
      </c>
      <c r="C357" s="5">
        <v>40230</v>
      </c>
      <c r="D357" s="9"/>
      <c r="E357" s="7"/>
      <c r="H357" s="1"/>
    </row>
    <row r="358" spans="1:8" ht="14.25">
      <c r="A358" s="15" t="str">
        <f t="shared" ref="A358:A360" si="91">A357</f>
        <v>C00099</v>
      </c>
      <c r="B358" s="3" t="s">
        <v>8</v>
      </c>
      <c r="C358" s="5">
        <v>44700</v>
      </c>
      <c r="D358" s="9"/>
      <c r="E358" s="7"/>
      <c r="H358" s="1"/>
    </row>
    <row r="359" spans="1:8" ht="14.25">
      <c r="A359" s="15" t="str">
        <f t="shared" si="91"/>
        <v>C00099</v>
      </c>
      <c r="B359" s="3" t="s">
        <v>9</v>
      </c>
      <c r="C359" s="5">
        <v>13410</v>
      </c>
      <c r="D359" s="9"/>
      <c r="E359" s="7"/>
      <c r="H359" s="1"/>
    </row>
    <row r="360" spans="1:8" ht="14.25">
      <c r="A360" s="16" t="str">
        <f t="shared" si="91"/>
        <v>C00099</v>
      </c>
      <c r="B360" s="3" t="s">
        <v>10</v>
      </c>
      <c r="C360" s="5">
        <v>14900</v>
      </c>
      <c r="D360" s="9"/>
      <c r="E360" s="7"/>
      <c r="H360" s="1"/>
    </row>
    <row r="361" spans="1:8" ht="14.25">
      <c r="A361" s="14" t="s">
        <v>109</v>
      </c>
      <c r="B361" s="3" t="s">
        <v>7</v>
      </c>
      <c r="C361" s="5">
        <v>49170</v>
      </c>
      <c r="D361" s="9"/>
      <c r="E361" s="7"/>
      <c r="H361" s="1"/>
    </row>
    <row r="362" spans="1:8" ht="14.25">
      <c r="A362" s="15" t="str">
        <f t="shared" ref="A362:A364" si="92">A361</f>
        <v>C00100</v>
      </c>
      <c r="B362" s="3" t="s">
        <v>8</v>
      </c>
      <c r="C362" s="5">
        <v>59600</v>
      </c>
      <c r="D362" s="9"/>
      <c r="E362" s="7"/>
      <c r="H362" s="1"/>
    </row>
    <row r="363" spans="1:8" ht="14.25">
      <c r="A363" s="15" t="str">
        <f t="shared" si="92"/>
        <v>C00100</v>
      </c>
      <c r="B363" s="3" t="s">
        <v>9</v>
      </c>
      <c r="C363" s="5">
        <v>14900</v>
      </c>
      <c r="D363" s="9"/>
      <c r="E363" s="7"/>
      <c r="H363" s="1"/>
    </row>
    <row r="364" spans="1:8" ht="14.25">
      <c r="A364" s="16" t="str">
        <f t="shared" si="92"/>
        <v>C00100</v>
      </c>
      <c r="B364" s="3" t="s">
        <v>10</v>
      </c>
      <c r="C364" s="5">
        <v>16390</v>
      </c>
      <c r="D364" s="9"/>
      <c r="E364" s="7"/>
      <c r="H364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E86" sqref="E86"/>
    </sheetView>
  </sheetViews>
  <sheetFormatPr defaultColWidth="8.88671875" defaultRowHeight="14.25"/>
  <cols>
    <col min="1" max="1" width="9.6640625" style="6" bestFit="1" customWidth="1"/>
    <col min="2" max="2" width="7.5546875" style="6" bestFit="1" customWidth="1"/>
    <col min="3" max="3" width="12.21875" style="6" bestFit="1" customWidth="1"/>
    <col min="4" max="4" width="7.5546875" style="6" bestFit="1" customWidth="1"/>
    <col min="5" max="5" width="10.21875" style="6" bestFit="1" customWidth="1"/>
    <col min="6" max="6" width="11.33203125" style="6" customWidth="1"/>
    <col min="7" max="8" width="8.88671875" style="1"/>
    <col min="9" max="9" width="10.77734375" style="6" customWidth="1"/>
    <col min="10" max="16384" width="8.88671875" style="1"/>
  </cols>
  <sheetData>
    <row r="1" spans="1:9">
      <c r="A1" s="6" t="s">
        <v>6</v>
      </c>
      <c r="B1" s="6" t="s">
        <v>0</v>
      </c>
      <c r="C1" s="6" t="s">
        <v>3</v>
      </c>
      <c r="D1" s="6" t="s">
        <v>1</v>
      </c>
      <c r="E1" s="6" t="s">
        <v>4</v>
      </c>
      <c r="F1" s="6" t="s">
        <v>5</v>
      </c>
    </row>
    <row r="2" spans="1:9">
      <c r="A2" s="6" t="s">
        <v>11</v>
      </c>
      <c r="B2" s="6" t="s">
        <v>130</v>
      </c>
      <c r="C2" s="13">
        <v>25158</v>
      </c>
      <c r="D2" s="6">
        <f t="shared" ref="D2:D33" si="0">DATEDIF(C2,"2017-1-1","y")</f>
        <v>48</v>
      </c>
      <c r="E2" s="6" t="str">
        <f>LOOKUP(D2,{0,30,35,40,45,50,55,60,65,70,75},按年龄和性别!$A$2:$A$12)</f>
        <v>45-49岁</v>
      </c>
      <c r="F2" s="17">
        <f>SUMIF('2016年消费'!$A$2:$A$364,A2,'2016年消费'!$C$2:$C$364)</f>
        <v>16708</v>
      </c>
      <c r="I2" s="10"/>
    </row>
    <row r="3" spans="1:9">
      <c r="A3" s="6" t="s">
        <v>12</v>
      </c>
      <c r="B3" s="6" t="s">
        <v>131</v>
      </c>
      <c r="C3" s="13">
        <v>26844</v>
      </c>
      <c r="D3" s="6">
        <f t="shared" si="0"/>
        <v>43</v>
      </c>
      <c r="E3" s="6" t="str">
        <f>LOOKUP(D3,{0,30,35,40,45,50,55,60,65,70,75},按年龄和性别!$A$2:$A$12)</f>
        <v>40-44岁</v>
      </c>
      <c r="F3" s="17">
        <f>SUMIF('2016年消费'!$A$2:$A$364,A3,'2016年消费'!$C$2:$C$364)</f>
        <v>18998</v>
      </c>
      <c r="I3" s="10"/>
    </row>
    <row r="4" spans="1:9">
      <c r="A4" s="6" t="s">
        <v>13</v>
      </c>
      <c r="B4" s="6" t="s">
        <v>131</v>
      </c>
      <c r="C4" s="13">
        <v>26821</v>
      </c>
      <c r="D4" s="6">
        <f t="shared" si="0"/>
        <v>43</v>
      </c>
      <c r="E4" s="6" t="str">
        <f>LOOKUP(D4,{0,30,35,40,45,50,55,60,65,70,75},按年龄和性别!$A$2:$A$12)</f>
        <v>40-44岁</v>
      </c>
      <c r="F4" s="17">
        <f>SUMIF('2016年消费'!$A$2:$A$364,A4,'2016年消费'!$C$2:$C$364)</f>
        <v>31814</v>
      </c>
      <c r="I4" s="10"/>
    </row>
    <row r="5" spans="1:9">
      <c r="A5" s="6" t="s">
        <v>14</v>
      </c>
      <c r="B5" s="6" t="s">
        <v>130</v>
      </c>
      <c r="C5" s="13">
        <v>26210</v>
      </c>
      <c r="D5" s="6">
        <f t="shared" si="0"/>
        <v>45</v>
      </c>
      <c r="E5" s="6" t="str">
        <f>LOOKUP(D5,{0,30,35,40,45,50,55,60,65,70,75},按年龄和性别!$A$2:$A$12)</f>
        <v>45-49岁</v>
      </c>
      <c r="F5" s="17">
        <f>SUMIF('2016年消费'!$A$2:$A$364,A5,'2016年消费'!$C$2:$C$364)</f>
        <v>40282</v>
      </c>
      <c r="I5" s="10"/>
    </row>
    <row r="6" spans="1:9">
      <c r="A6" s="6" t="s">
        <v>15</v>
      </c>
      <c r="B6" s="6" t="s">
        <v>131</v>
      </c>
      <c r="C6" s="13">
        <v>22633</v>
      </c>
      <c r="D6" s="6">
        <f t="shared" si="0"/>
        <v>55</v>
      </c>
      <c r="E6" s="6" t="str">
        <f>LOOKUP(D6,{0,30,35,40,45,50,55,60,65,70,75},按年龄和性别!$A$2:$A$12)</f>
        <v>55-59岁</v>
      </c>
      <c r="F6" s="17">
        <f>SUMIF('2016年消费'!$A$2:$A$364,A6,'2016年消费'!$C$2:$C$364)</f>
        <v>20600</v>
      </c>
      <c r="I6" s="10"/>
    </row>
    <row r="7" spans="1:9">
      <c r="A7" s="6" t="s">
        <v>16</v>
      </c>
      <c r="B7" s="6" t="s">
        <v>130</v>
      </c>
      <c r="C7" s="13">
        <v>23609</v>
      </c>
      <c r="D7" s="6">
        <f t="shared" si="0"/>
        <v>52</v>
      </c>
      <c r="E7" s="6" t="str">
        <f>LOOKUP(D7,{0,30,35,40,45,50,55,60,65,70,75},按年龄和性别!$A$2:$A$12)</f>
        <v>50-54岁</v>
      </c>
      <c r="F7" s="17">
        <f>SUMIF('2016年消费'!$A$2:$A$364,A7,'2016年消费'!$C$2:$C$364)</f>
        <v>14648</v>
      </c>
      <c r="I7" s="10"/>
    </row>
    <row r="8" spans="1:9">
      <c r="A8" s="6" t="s">
        <v>17</v>
      </c>
      <c r="B8" s="6" t="s">
        <v>131</v>
      </c>
      <c r="C8" s="13">
        <v>31834</v>
      </c>
      <c r="D8" s="6">
        <f t="shared" si="0"/>
        <v>29</v>
      </c>
      <c r="E8" s="6" t="str">
        <f>LOOKUP(D8,{0,30,35,40,45,50,55,60,65,70,75},按年龄和性别!$A$2:$A$12)</f>
        <v>30岁以下</v>
      </c>
      <c r="F8" s="17">
        <f>SUMIF('2016年消费'!$A$2:$A$364,A8,'2016年消费'!$C$2:$C$364)</f>
        <v>14420</v>
      </c>
      <c r="I8" s="10"/>
    </row>
    <row r="9" spans="1:9">
      <c r="A9" s="6" t="s">
        <v>18</v>
      </c>
      <c r="B9" s="6" t="s">
        <v>130</v>
      </c>
      <c r="C9" s="13">
        <v>32078</v>
      </c>
      <c r="D9" s="6">
        <f t="shared" si="0"/>
        <v>29</v>
      </c>
      <c r="E9" s="6" t="str">
        <f>LOOKUP(D9,{0,30,35,40,45,50,55,60,65,70,75},按年龄和性别!$A$2:$A$12)</f>
        <v>30岁以下</v>
      </c>
      <c r="F9" s="17">
        <f>SUMIF('2016年消费'!$A$2:$A$364,A9,'2016年消费'!$C$2:$C$364)</f>
        <v>18998</v>
      </c>
      <c r="I9" s="10"/>
    </row>
    <row r="10" spans="1:9">
      <c r="A10" s="6" t="s">
        <v>19</v>
      </c>
      <c r="B10" s="6" t="s">
        <v>130</v>
      </c>
      <c r="C10" s="13">
        <v>23355</v>
      </c>
      <c r="D10" s="6">
        <f t="shared" si="0"/>
        <v>53</v>
      </c>
      <c r="E10" s="6" t="str">
        <f>LOOKUP(D10,{0,30,35,40,45,50,55,60,65,70,75},按年龄和性别!$A$2:$A$12)</f>
        <v>50-54岁</v>
      </c>
      <c r="F10" s="17">
        <f>SUMIF('2016年消费'!$A$2:$A$364,A10,'2016年消费'!$C$2:$C$364)</f>
        <v>38223</v>
      </c>
      <c r="I10" s="10"/>
    </row>
    <row r="11" spans="1:9">
      <c r="A11" s="6" t="s">
        <v>20</v>
      </c>
      <c r="B11" s="6" t="s">
        <v>130</v>
      </c>
      <c r="C11" s="13">
        <v>26018</v>
      </c>
      <c r="D11" s="6">
        <f t="shared" si="0"/>
        <v>45</v>
      </c>
      <c r="E11" s="6" t="str">
        <f>LOOKUP(D11,{0,30,35,40,45,50,55,60,65,70,75},按年龄和性别!$A$2:$A$12)</f>
        <v>45-49岁</v>
      </c>
      <c r="F11" s="17">
        <f>SUMIF('2016年消费'!$A$2:$A$364,A11,'2016年消费'!$C$2:$C$364)</f>
        <v>41428</v>
      </c>
      <c r="I11" s="10"/>
    </row>
    <row r="12" spans="1:9">
      <c r="A12" s="6" t="s">
        <v>21</v>
      </c>
      <c r="B12" s="6" t="s">
        <v>131</v>
      </c>
      <c r="C12" s="13">
        <v>26141</v>
      </c>
      <c r="D12" s="6">
        <f t="shared" si="0"/>
        <v>45</v>
      </c>
      <c r="E12" s="6" t="str">
        <f>LOOKUP(D12,{0,30,35,40,45,50,55,60,65,70,75},按年龄和性别!$A$2:$A$12)</f>
        <v>45-49岁</v>
      </c>
      <c r="F12" s="17">
        <f>SUMIF('2016年消费'!$A$2:$A$364,A12,'2016年消费'!$C$2:$C$364)</f>
        <v>17623</v>
      </c>
      <c r="I12" s="10"/>
    </row>
    <row r="13" spans="1:9">
      <c r="A13" s="6" t="s">
        <v>22</v>
      </c>
      <c r="B13" s="6" t="s">
        <v>130</v>
      </c>
      <c r="C13" s="13">
        <v>16770</v>
      </c>
      <c r="D13" s="6">
        <f t="shared" si="0"/>
        <v>71</v>
      </c>
      <c r="E13" s="6" t="str">
        <f>LOOKUP(D13,{0,30,35,40,45,50,55,60,65,70,75},按年龄和性别!$A$2:$A$12)</f>
        <v>70-74岁</v>
      </c>
      <c r="F13" s="17">
        <f>SUMIF('2016年消费'!$A$2:$A$364,A13,'2016年消费'!$C$2:$C$364)</f>
        <v>91781</v>
      </c>
      <c r="I13" s="10"/>
    </row>
    <row r="14" spans="1:9">
      <c r="A14" s="6" t="s">
        <v>23</v>
      </c>
      <c r="B14" s="6" t="s">
        <v>130</v>
      </c>
      <c r="C14" s="13">
        <v>17905</v>
      </c>
      <c r="D14" s="6">
        <f t="shared" si="0"/>
        <v>67</v>
      </c>
      <c r="E14" s="6" t="str">
        <f>LOOKUP(D14,{0,30,35,40,45,50,55,60,65,70,75},按年龄和性别!$A$2:$A$12)</f>
        <v>65-69岁</v>
      </c>
      <c r="F14" s="17">
        <f>SUMIF('2016年消费'!$A$2:$A$364,A14,'2016年消费'!$C$2:$C$364)</f>
        <v>24948</v>
      </c>
      <c r="I14" s="10"/>
    </row>
    <row r="15" spans="1:9">
      <c r="A15" s="6" t="s">
        <v>24</v>
      </c>
      <c r="B15" s="6" t="s">
        <v>131</v>
      </c>
      <c r="C15" s="13">
        <v>17077</v>
      </c>
      <c r="D15" s="6">
        <f t="shared" si="0"/>
        <v>70</v>
      </c>
      <c r="E15" s="6" t="str">
        <f>LOOKUP(D15,{0,30,35,40,45,50,55,60,65,70,75},按年龄和性别!$A$2:$A$12)</f>
        <v>70-74岁</v>
      </c>
      <c r="F15" s="17">
        <f>SUMIF('2016年消费'!$A$2:$A$364,A15,'2016年消费'!$C$2:$C$364)</f>
        <v>48980</v>
      </c>
      <c r="I15" s="10"/>
    </row>
    <row r="16" spans="1:9">
      <c r="A16" s="6" t="s">
        <v>25</v>
      </c>
      <c r="B16" s="6" t="s">
        <v>130</v>
      </c>
      <c r="C16" s="13">
        <v>18872</v>
      </c>
      <c r="D16" s="6">
        <f t="shared" si="0"/>
        <v>65</v>
      </c>
      <c r="E16" s="6" t="str">
        <f>LOOKUP(D16,{0,30,35,40,45,50,55,60,65,70,75},按年龄和性别!$A$2:$A$12)</f>
        <v>65-69岁</v>
      </c>
      <c r="F16" s="17">
        <f>SUMIF('2016年消费'!$A$2:$A$364,A16,'2016年消费'!$C$2:$C$364)</f>
        <v>68206</v>
      </c>
      <c r="I16" s="10"/>
    </row>
    <row r="17" spans="1:9">
      <c r="A17" s="6" t="s">
        <v>26</v>
      </c>
      <c r="B17" s="6" t="s">
        <v>131</v>
      </c>
      <c r="C17" s="13">
        <v>18846</v>
      </c>
      <c r="D17" s="6">
        <f t="shared" si="0"/>
        <v>65</v>
      </c>
      <c r="E17" s="6" t="str">
        <f>LOOKUP(D17,{0,30,35,40,45,50,55,60,65,70,75},按年龄和性别!$A$2:$A$12)</f>
        <v>65-69岁</v>
      </c>
      <c r="F17" s="17">
        <f>SUMIF('2016年消费'!$A$2:$A$364,A17,'2016年消费'!$C$2:$C$364)</f>
        <v>23116</v>
      </c>
      <c r="I17" s="10"/>
    </row>
    <row r="18" spans="1:9">
      <c r="A18" s="6" t="s">
        <v>27</v>
      </c>
      <c r="B18" s="6" t="s">
        <v>130</v>
      </c>
      <c r="C18" s="13">
        <v>23110</v>
      </c>
      <c r="D18" s="6">
        <f t="shared" si="0"/>
        <v>53</v>
      </c>
      <c r="E18" s="6" t="str">
        <f>LOOKUP(D18,{0,30,35,40,45,50,55,60,65,70,75},按年龄和性别!$A$2:$A$12)</f>
        <v>50-54岁</v>
      </c>
      <c r="F18" s="17">
        <f>SUMIF('2016年消费'!$A$2:$A$364,A18,'2016年消费'!$C$2:$C$364)</f>
        <v>19913</v>
      </c>
      <c r="I18" s="10"/>
    </row>
    <row r="19" spans="1:9">
      <c r="A19" s="6" t="s">
        <v>28</v>
      </c>
      <c r="B19" s="6" t="s">
        <v>131</v>
      </c>
      <c r="C19" s="13">
        <v>25432</v>
      </c>
      <c r="D19" s="6">
        <f t="shared" si="0"/>
        <v>47</v>
      </c>
      <c r="E19" s="6" t="str">
        <f>LOOKUP(D19,{0,30,35,40,45,50,55,60,65,70,75},按年龄和性别!$A$2:$A$12)</f>
        <v>45-49岁</v>
      </c>
      <c r="F19" s="17">
        <f>SUMIF('2016年消费'!$A$2:$A$364,A19,'2016年消费'!$C$2:$C$364)</f>
        <v>26779</v>
      </c>
      <c r="I19" s="10"/>
    </row>
    <row r="20" spans="1:9">
      <c r="A20" s="6" t="s">
        <v>29</v>
      </c>
      <c r="B20" s="6" t="s">
        <v>130</v>
      </c>
      <c r="C20" s="13">
        <v>15957</v>
      </c>
      <c r="D20" s="6">
        <f t="shared" si="0"/>
        <v>73</v>
      </c>
      <c r="E20" s="6" t="str">
        <f>LOOKUP(D20,{0,30,35,40,45,50,55,60,65,70,75},按年龄和性别!$A$2:$A$12)</f>
        <v>70-74岁</v>
      </c>
      <c r="F20" s="17">
        <f>SUMIF('2016年消费'!$A$2:$A$364,A20,'2016年消费'!$C$2:$C$364)</f>
        <v>23575</v>
      </c>
      <c r="I20" s="10"/>
    </row>
    <row r="21" spans="1:9">
      <c r="A21" s="6" t="s">
        <v>30</v>
      </c>
      <c r="B21" s="6" t="s">
        <v>131</v>
      </c>
      <c r="C21" s="13">
        <v>27605</v>
      </c>
      <c r="D21" s="6">
        <f t="shared" si="0"/>
        <v>41</v>
      </c>
      <c r="E21" s="6" t="str">
        <f>LOOKUP(D21,{0,30,35,40,45,50,55,60,65,70,75},按年龄和性别!$A$2:$A$12)</f>
        <v>40-44岁</v>
      </c>
      <c r="F21" s="17">
        <f>SUMIF('2016年消费'!$A$2:$A$364,A21,'2016年消费'!$C$2:$C$364)</f>
        <v>31358</v>
      </c>
      <c r="I21" s="10"/>
    </row>
    <row r="22" spans="1:9">
      <c r="A22" s="6" t="s">
        <v>31</v>
      </c>
      <c r="B22" s="6" t="s">
        <v>131</v>
      </c>
      <c r="C22" s="13">
        <v>27235</v>
      </c>
      <c r="D22" s="6">
        <f t="shared" si="0"/>
        <v>42</v>
      </c>
      <c r="E22" s="6" t="str">
        <f>LOOKUP(D22,{0,30,35,40,45,50,55,60,65,70,75},按年龄和性别!$A$2:$A$12)</f>
        <v>40-44岁</v>
      </c>
      <c r="F22" s="17">
        <f>SUMIF('2016年消费'!$A$2:$A$364,A22,'2016年消费'!$C$2:$C$364)</f>
        <v>32730</v>
      </c>
      <c r="I22" s="10"/>
    </row>
    <row r="23" spans="1:9">
      <c r="A23" s="6" t="s">
        <v>32</v>
      </c>
      <c r="B23" s="6" t="s">
        <v>130</v>
      </c>
      <c r="C23" s="13">
        <v>26766</v>
      </c>
      <c r="D23" s="6">
        <f t="shared" si="0"/>
        <v>43</v>
      </c>
      <c r="E23" s="6" t="str">
        <f>LOOKUP(D23,{0,30,35,40,45,50,55,60,65,70,75},按年龄和性别!$A$2:$A$12)</f>
        <v>40-44岁</v>
      </c>
      <c r="F23" s="17">
        <f>SUMIF('2016年消费'!$A$2:$A$364,A23,'2016年消费'!$C$2:$C$364)</f>
        <v>19684</v>
      </c>
      <c r="I23" s="10"/>
    </row>
    <row r="24" spans="1:9">
      <c r="A24" s="6" t="s">
        <v>33</v>
      </c>
      <c r="B24" s="6" t="s">
        <v>131</v>
      </c>
      <c r="C24" s="13">
        <v>26765</v>
      </c>
      <c r="D24" s="6">
        <f t="shared" si="0"/>
        <v>43</v>
      </c>
      <c r="E24" s="6" t="str">
        <f>LOOKUP(D24,{0,30,35,40,45,50,55,60,65,70,75},按年龄和性别!$A$2:$A$12)</f>
        <v>40-44岁</v>
      </c>
      <c r="F24" s="17">
        <f>SUMIF('2016年消费'!$A$2:$A$364,A24,'2016年消费'!$C$2:$C$364)</f>
        <v>16022</v>
      </c>
      <c r="I24" s="10"/>
    </row>
    <row r="25" spans="1:9">
      <c r="A25" s="6" t="s">
        <v>34</v>
      </c>
      <c r="B25" s="6" t="s">
        <v>130</v>
      </c>
      <c r="C25" s="13">
        <v>26506</v>
      </c>
      <c r="D25" s="6">
        <f t="shared" si="0"/>
        <v>44</v>
      </c>
      <c r="E25" s="6" t="str">
        <f>LOOKUP(D25,{0,30,35,40,45,50,55,60,65,70,75},按年龄和性别!$A$2:$A$12)</f>
        <v>40-44岁</v>
      </c>
      <c r="F25" s="17">
        <f>SUMIF('2016年消费'!$A$2:$A$364,A25,'2016年消费'!$C$2:$C$364)</f>
        <v>39140</v>
      </c>
      <c r="I25" s="10"/>
    </row>
    <row r="26" spans="1:9">
      <c r="A26" s="6" t="s">
        <v>35</v>
      </c>
      <c r="B26" s="6" t="s">
        <v>130</v>
      </c>
      <c r="C26" s="13">
        <v>26119</v>
      </c>
      <c r="D26" s="6">
        <f t="shared" si="0"/>
        <v>45</v>
      </c>
      <c r="E26" s="6" t="str">
        <f>LOOKUP(D26,{0,30,35,40,45,50,55,60,65,70,75},按年龄和性别!$A$2:$A$12)</f>
        <v>45-49岁</v>
      </c>
      <c r="F26" s="17">
        <f>SUMIF('2016年消费'!$A$2:$A$364,A26,'2016年消费'!$C$2:$C$364)</f>
        <v>19227</v>
      </c>
      <c r="I26" s="10"/>
    </row>
    <row r="27" spans="1:9">
      <c r="A27" s="6" t="s">
        <v>36</v>
      </c>
      <c r="B27" s="6" t="s">
        <v>130</v>
      </c>
      <c r="C27" s="13">
        <v>19140</v>
      </c>
      <c r="D27" s="6">
        <f t="shared" si="0"/>
        <v>64</v>
      </c>
      <c r="E27" s="6" t="str">
        <f>LOOKUP(D27,{0,30,35,40,45,50,55,60,65,70,75},按年龄和性别!$A$2:$A$12)</f>
        <v>60-64岁</v>
      </c>
      <c r="F27" s="17">
        <f>SUMIF('2016年消费'!$A$2:$A$364,A27,'2016年消费'!$C$2:$C$364)</f>
        <v>40511</v>
      </c>
      <c r="I27" s="10"/>
    </row>
    <row r="28" spans="1:9">
      <c r="A28" s="6" t="s">
        <v>37</v>
      </c>
      <c r="B28" s="6" t="s">
        <v>130</v>
      </c>
      <c r="C28" s="13">
        <v>19299</v>
      </c>
      <c r="D28" s="6">
        <f t="shared" si="0"/>
        <v>64</v>
      </c>
      <c r="E28" s="6" t="str">
        <f>LOOKUP(D28,{0,30,35,40,45,50,55,60,65,70,75},按年龄和性别!$A$2:$A$12)</f>
        <v>60-64岁</v>
      </c>
      <c r="F28" s="17">
        <f>SUMIF('2016年消费'!$A$2:$A$364,A28,'2016年消费'!$C$2:$C$364)</f>
        <v>33187</v>
      </c>
      <c r="I28" s="10"/>
    </row>
    <row r="29" spans="1:9">
      <c r="A29" s="6" t="s">
        <v>38</v>
      </c>
      <c r="B29" s="6" t="s">
        <v>130</v>
      </c>
      <c r="C29" s="13">
        <v>22406</v>
      </c>
      <c r="D29" s="6">
        <f t="shared" si="0"/>
        <v>55</v>
      </c>
      <c r="E29" s="6" t="str">
        <f>LOOKUP(D29,{0,30,35,40,45,50,55,60,65,70,75},按年龄和性别!$A$2:$A$12)</f>
        <v>55-59岁</v>
      </c>
      <c r="F29" s="17">
        <f>SUMIF('2016年消费'!$A$2:$A$364,A29,'2016年消费'!$C$2:$C$364)</f>
        <v>13276</v>
      </c>
      <c r="I29" s="10"/>
    </row>
    <row r="30" spans="1:9">
      <c r="A30" s="6" t="s">
        <v>39</v>
      </c>
      <c r="B30" s="6" t="s">
        <v>130</v>
      </c>
      <c r="C30" s="13">
        <v>22650</v>
      </c>
      <c r="D30" s="6">
        <f t="shared" si="0"/>
        <v>54</v>
      </c>
      <c r="E30" s="6" t="str">
        <f>LOOKUP(D30,{0,30,35,40,45,50,55,60,65,70,75},按年龄和性别!$A$2:$A$12)</f>
        <v>50-54岁</v>
      </c>
      <c r="F30" s="17">
        <f>SUMIF('2016年消费'!$A$2:$A$364,A30,'2016年消费'!$C$2:$C$364)</f>
        <v>29296</v>
      </c>
      <c r="I30" s="10"/>
    </row>
    <row r="31" spans="1:9">
      <c r="A31" s="6" t="s">
        <v>40</v>
      </c>
      <c r="B31" s="6" t="s">
        <v>130</v>
      </c>
      <c r="C31" s="13">
        <v>20312</v>
      </c>
      <c r="D31" s="6">
        <f t="shared" si="0"/>
        <v>61</v>
      </c>
      <c r="E31" s="6" t="str">
        <f>LOOKUP(D31,{0,30,35,40,45,50,55,60,65,70,75},按年龄和性别!$A$2:$A$12)</f>
        <v>60-64岁</v>
      </c>
      <c r="F31" s="17">
        <f>SUMIF('2016年消费'!$A$2:$A$364,A31,'2016年消费'!$C$2:$C$364)</f>
        <v>19913</v>
      </c>
      <c r="I31" s="10"/>
    </row>
    <row r="32" spans="1:9">
      <c r="A32" s="6" t="s">
        <v>41</v>
      </c>
      <c r="B32" s="6" t="s">
        <v>130</v>
      </c>
      <c r="C32" s="13">
        <v>21779</v>
      </c>
      <c r="D32" s="6">
        <f t="shared" si="0"/>
        <v>57</v>
      </c>
      <c r="E32" s="6" t="str">
        <f>LOOKUP(D32,{0,30,35,40,45,50,55,60,65,70,75},按年龄和性别!$A$2:$A$12)</f>
        <v>55-59岁</v>
      </c>
      <c r="F32" s="17">
        <f>SUMIF('2016年消费'!$A$2:$A$364,A32,'2016年消费'!$C$2:$C$364)</f>
        <v>64545</v>
      </c>
      <c r="I32" s="10"/>
    </row>
    <row r="33" spans="1:9">
      <c r="A33" s="6" t="s">
        <v>42</v>
      </c>
      <c r="B33" s="6" t="s">
        <v>131</v>
      </c>
      <c r="C33" s="13">
        <v>13629</v>
      </c>
      <c r="D33" s="6">
        <f t="shared" si="0"/>
        <v>79</v>
      </c>
      <c r="E33" s="6" t="str">
        <f>LOOKUP(D33,{0,30,35,40,45,50,55,60,65,70,75},按年龄和性别!$A$2:$A$12)</f>
        <v>75岁及以上</v>
      </c>
      <c r="F33" s="17">
        <f>SUMIF('2016年消费'!$A$2:$A$364,A33,'2016年消费'!$C$2:$C$364)</f>
        <v>113296</v>
      </c>
      <c r="I33" s="10"/>
    </row>
    <row r="34" spans="1:9">
      <c r="A34" s="6" t="s">
        <v>43</v>
      </c>
      <c r="B34" s="6" t="s">
        <v>130</v>
      </c>
      <c r="C34" s="13">
        <v>25402</v>
      </c>
      <c r="D34" s="6">
        <f t="shared" ref="D34:D65" si="1">DATEDIF(C34,"2017-1-1","y")</f>
        <v>47</v>
      </c>
      <c r="E34" s="6" t="str">
        <f>LOOKUP(D34,{0,30,35,40,45,50,55,60,65,70,75},按年龄和性别!$A$2:$A$12)</f>
        <v>45-49岁</v>
      </c>
      <c r="F34" s="17">
        <f>SUMIF('2016年消费'!$A$2:$A$364,A34,'2016年消费'!$C$2:$C$364)</f>
        <v>32273</v>
      </c>
      <c r="I34" s="10"/>
    </row>
    <row r="35" spans="1:9">
      <c r="A35" s="6" t="s">
        <v>44</v>
      </c>
      <c r="B35" s="6" t="s">
        <v>131</v>
      </c>
      <c r="C35" s="13">
        <v>25801</v>
      </c>
      <c r="D35" s="6">
        <f t="shared" si="1"/>
        <v>46</v>
      </c>
      <c r="E35" s="6" t="str">
        <f>LOOKUP(D35,{0,30,35,40,45,50,55,60,65,70,75},按年龄和性别!$A$2:$A$12)</f>
        <v>45-49岁</v>
      </c>
      <c r="F35" s="17">
        <f>SUMIF('2016年消费'!$A$2:$A$364,A35,'2016年消费'!$C$2:$C$364)</f>
        <v>42571</v>
      </c>
      <c r="I35" s="10"/>
    </row>
    <row r="36" spans="1:9">
      <c r="A36" s="6" t="s">
        <v>45</v>
      </c>
      <c r="B36" s="6" t="s">
        <v>131</v>
      </c>
      <c r="C36" s="13">
        <v>26900</v>
      </c>
      <c r="D36" s="6">
        <f t="shared" si="1"/>
        <v>43</v>
      </c>
      <c r="E36" s="6" t="str">
        <f>LOOKUP(D36,{0,30,35,40,45,50,55,60,65,70,75},按年龄和性别!$A$2:$A$12)</f>
        <v>40-44岁</v>
      </c>
      <c r="F36" s="17">
        <f>SUMIF('2016年消费'!$A$2:$A$364,A36,'2016年消费'!$C$2:$C$364)</f>
        <v>11673</v>
      </c>
      <c r="I36" s="10"/>
    </row>
    <row r="37" spans="1:9">
      <c r="A37" s="6" t="s">
        <v>46</v>
      </c>
      <c r="B37" s="6" t="s">
        <v>130</v>
      </c>
      <c r="C37" s="13">
        <v>23965</v>
      </c>
      <c r="D37" s="6">
        <f t="shared" si="1"/>
        <v>51</v>
      </c>
      <c r="E37" s="6" t="str">
        <f>LOOKUP(D37,{0,30,35,40,45,50,55,60,65,70,75},按年龄和性别!$A$2:$A$12)</f>
        <v>50-54岁</v>
      </c>
      <c r="F37" s="17">
        <f>SUMIF('2016年消费'!$A$2:$A$364,A37,'2016年消费'!$C$2:$C$364)</f>
        <v>68893</v>
      </c>
      <c r="I37" s="10"/>
    </row>
    <row r="38" spans="1:9">
      <c r="A38" s="6" t="s">
        <v>47</v>
      </c>
      <c r="B38" s="6" t="s">
        <v>131</v>
      </c>
      <c r="C38" s="13">
        <v>24533</v>
      </c>
      <c r="D38" s="6">
        <f t="shared" si="1"/>
        <v>49</v>
      </c>
      <c r="E38" s="6" t="str">
        <f>LOOKUP(D38,{0,30,35,40,45,50,55,60,65,70,75},按年龄和性别!$A$2:$A$12)</f>
        <v>45-49岁</v>
      </c>
      <c r="F38" s="17">
        <f>SUMIF('2016年消费'!$A$2:$A$364,A38,'2016年消费'!$C$2:$C$364)</f>
        <v>8698</v>
      </c>
      <c r="I38" s="10"/>
    </row>
    <row r="39" spans="1:9">
      <c r="A39" s="6" t="s">
        <v>48</v>
      </c>
      <c r="B39" s="6" t="s">
        <v>130</v>
      </c>
      <c r="C39" s="13">
        <v>24440</v>
      </c>
      <c r="D39" s="6">
        <f t="shared" si="1"/>
        <v>50</v>
      </c>
      <c r="E39" s="6" t="str">
        <f>LOOKUP(D39,{0,30,35,40,45,50,55,60,65,70,75},按年龄和性别!$A$2:$A$12)</f>
        <v>50-54岁</v>
      </c>
      <c r="F39" s="17">
        <f>SUMIF('2016年消费'!$A$2:$A$364,A39,'2016年消费'!$C$2:$C$364)</f>
        <v>15793</v>
      </c>
      <c r="I39" s="10"/>
    </row>
    <row r="40" spans="1:9">
      <c r="A40" s="6" t="s">
        <v>49</v>
      </c>
      <c r="B40" s="6" t="s">
        <v>130</v>
      </c>
      <c r="C40" s="13">
        <v>32441</v>
      </c>
      <c r="D40" s="6">
        <f t="shared" si="1"/>
        <v>28</v>
      </c>
      <c r="E40" s="6" t="str">
        <f>LOOKUP(D40,{0,30,35,40,45,50,55,60,65,70,75},按年龄和性别!$A$2:$A$12)</f>
        <v>30岁以下</v>
      </c>
      <c r="F40" s="17">
        <f>SUMIF('2016年消费'!$A$2:$A$364,A40,'2016年消费'!$C$2:$C$364)</f>
        <v>4807</v>
      </c>
      <c r="I40" s="10"/>
    </row>
    <row r="41" spans="1:9">
      <c r="A41" s="6" t="s">
        <v>50</v>
      </c>
      <c r="B41" s="6" t="s">
        <v>130</v>
      </c>
      <c r="C41" s="13">
        <v>23487</v>
      </c>
      <c r="D41" s="6">
        <f t="shared" si="1"/>
        <v>52</v>
      </c>
      <c r="E41" s="6" t="str">
        <f>LOOKUP(D41,{0,30,35,40,45,50,55,60,65,70,75},按年龄和性别!$A$2:$A$12)</f>
        <v>50-54岁</v>
      </c>
      <c r="F41" s="17">
        <f>SUMIF('2016年消费'!$A$2:$A$364,A41,'2016年消费'!$C$2:$C$364)</f>
        <v>24033</v>
      </c>
      <c r="I41" s="10"/>
    </row>
    <row r="42" spans="1:9">
      <c r="A42" s="6" t="s">
        <v>51</v>
      </c>
      <c r="B42" s="6" t="s">
        <v>130</v>
      </c>
      <c r="C42" s="13">
        <v>23141</v>
      </c>
      <c r="D42" s="6">
        <f t="shared" si="1"/>
        <v>53</v>
      </c>
      <c r="E42" s="6" t="str">
        <f>LOOKUP(D42,{0,30,35,40,45,50,55,60,65,70,75},按年龄和性别!$A$2:$A$12)</f>
        <v>50-54岁</v>
      </c>
      <c r="F42" s="17">
        <f>SUMIF('2016年消费'!$A$2:$A$364,A42,'2016年消费'!$C$2:$C$364)</f>
        <v>35934</v>
      </c>
      <c r="I42" s="10"/>
    </row>
    <row r="43" spans="1:9">
      <c r="A43" s="6" t="s">
        <v>52</v>
      </c>
      <c r="B43" s="6" t="s">
        <v>130</v>
      </c>
      <c r="C43" s="13">
        <v>21127</v>
      </c>
      <c r="D43" s="6">
        <f t="shared" si="1"/>
        <v>59</v>
      </c>
      <c r="E43" s="6" t="str">
        <f>LOOKUP(D43,{0,30,35,40,45,50,55,60,65,70,75},按年龄和性别!$A$2:$A$12)</f>
        <v>55-59岁</v>
      </c>
      <c r="F43" s="17">
        <f>SUMIF('2016年消费'!$A$2:$A$364,A43,'2016年消费'!$C$2:$C$364)</f>
        <v>43258</v>
      </c>
      <c r="I43" s="10"/>
    </row>
    <row r="44" spans="1:9">
      <c r="A44" s="6" t="s">
        <v>53</v>
      </c>
      <c r="B44" s="6" t="s">
        <v>131</v>
      </c>
      <c r="C44" s="13">
        <v>21130</v>
      </c>
      <c r="D44" s="6">
        <f t="shared" si="1"/>
        <v>59</v>
      </c>
      <c r="E44" s="6" t="str">
        <f>LOOKUP(D44,{0,30,35,40,45,50,55,60,65,70,75},按年龄和性别!$A$2:$A$12)</f>
        <v>55-59岁</v>
      </c>
      <c r="F44" s="17">
        <f>SUMIF('2016年消费'!$A$2:$A$364,A44,'2016年消费'!$C$2:$C$364)</f>
        <v>20598</v>
      </c>
      <c r="I44" s="10"/>
    </row>
    <row r="45" spans="1:9">
      <c r="A45" s="6" t="s">
        <v>54</v>
      </c>
      <c r="B45" s="6" t="s">
        <v>131</v>
      </c>
      <c r="C45" s="13">
        <v>20102</v>
      </c>
      <c r="D45" s="6">
        <f t="shared" si="1"/>
        <v>61</v>
      </c>
      <c r="E45" s="6" t="str">
        <f>LOOKUP(D45,{0,30,35,40,45,50,55,60,65,70,75},按年龄和性别!$A$2:$A$12)</f>
        <v>60-64岁</v>
      </c>
      <c r="F45" s="17">
        <f>SUMIF('2016年消费'!$A$2:$A$364,A45,'2016年消费'!$C$2:$C$364)</f>
        <v>41199</v>
      </c>
      <c r="I45" s="10"/>
    </row>
    <row r="46" spans="1:9">
      <c r="A46" s="6" t="s">
        <v>55</v>
      </c>
      <c r="B46" s="6" t="s">
        <v>130</v>
      </c>
      <c r="C46" s="13">
        <v>31082</v>
      </c>
      <c r="D46" s="6">
        <f t="shared" si="1"/>
        <v>31</v>
      </c>
      <c r="E46" s="6" t="str">
        <f>LOOKUP(D46,{0,30,35,40,45,50,55,60,65,70,75},按年龄和性别!$A$2:$A$12)</f>
        <v>30-34岁</v>
      </c>
      <c r="F46" s="17">
        <f>SUMIF('2016年消费'!$A$2:$A$364,A46,'2016年消费'!$C$2:$C$364)</f>
        <v>2289</v>
      </c>
      <c r="I46" s="10"/>
    </row>
    <row r="47" spans="1:9">
      <c r="A47" s="6" t="s">
        <v>56</v>
      </c>
      <c r="B47" s="6" t="s">
        <v>131</v>
      </c>
      <c r="C47" s="13">
        <v>30613</v>
      </c>
      <c r="D47" s="6">
        <f t="shared" si="1"/>
        <v>33</v>
      </c>
      <c r="E47" s="6" t="str">
        <f>LOOKUP(D47,{0,30,35,40,45,50,55,60,65,70,75},按年龄和性别!$A$2:$A$12)</f>
        <v>30-34岁</v>
      </c>
      <c r="F47" s="17">
        <f>SUMIF('2016年消费'!$A$2:$A$364,A47,'2016年消费'!$C$2:$C$364)</f>
        <v>33875</v>
      </c>
      <c r="I47" s="10"/>
    </row>
    <row r="48" spans="1:9">
      <c r="A48" s="6" t="s">
        <v>57</v>
      </c>
      <c r="B48" s="6" t="s">
        <v>131</v>
      </c>
      <c r="C48" s="13">
        <v>24250</v>
      </c>
      <c r="D48" s="6">
        <f t="shared" si="1"/>
        <v>50</v>
      </c>
      <c r="E48" s="6" t="str">
        <f>LOOKUP(D48,{0,30,35,40,45,50,55,60,65,70,75},按年龄和性别!$A$2:$A$12)</f>
        <v>50-54岁</v>
      </c>
      <c r="F48" s="17">
        <f>SUMIF('2016年消费'!$A$2:$A$364,A48,'2016年消费'!$C$2:$C$364)</f>
        <v>52184</v>
      </c>
      <c r="I48" s="10"/>
    </row>
    <row r="49" spans="1:9">
      <c r="A49" s="6" t="s">
        <v>58</v>
      </c>
      <c r="B49" s="6" t="s">
        <v>130</v>
      </c>
      <c r="C49" s="13">
        <v>22612</v>
      </c>
      <c r="D49" s="6">
        <f t="shared" si="1"/>
        <v>55</v>
      </c>
      <c r="E49" s="6" t="str">
        <f>LOOKUP(D49,{0,30,35,40,45,50,55,60,65,70,75},按年龄和性别!$A$2:$A$12)</f>
        <v>55-59岁</v>
      </c>
      <c r="F49" s="17">
        <f>SUMIF('2016年消费'!$A$2:$A$364,A49,'2016年消费'!$C$2:$C$364)</f>
        <v>11674</v>
      </c>
      <c r="I49" s="10"/>
    </row>
    <row r="50" spans="1:9">
      <c r="A50" s="6" t="s">
        <v>59</v>
      </c>
      <c r="B50" s="6" t="s">
        <v>130</v>
      </c>
      <c r="C50" s="13">
        <v>24938</v>
      </c>
      <c r="D50" s="6">
        <f t="shared" si="1"/>
        <v>48</v>
      </c>
      <c r="E50" s="6" t="str">
        <f>LOOKUP(D50,{0,30,35,40,45,50,55,60,65,70,75},按年龄和性别!$A$2:$A$12)</f>
        <v>45-49岁</v>
      </c>
      <c r="F50" s="17">
        <f>SUMIF('2016年消费'!$A$2:$A$364,A50,'2016年消费'!$C$2:$C$364)</f>
        <v>8698</v>
      </c>
      <c r="I50" s="10"/>
    </row>
    <row r="51" spans="1:9">
      <c r="A51" s="6" t="s">
        <v>60</v>
      </c>
      <c r="B51" s="6" t="s">
        <v>130</v>
      </c>
      <c r="C51" s="13">
        <v>29069</v>
      </c>
      <c r="D51" s="6">
        <f t="shared" si="1"/>
        <v>37</v>
      </c>
      <c r="E51" s="6" t="str">
        <f>LOOKUP(D51,{0,30,35,40,45,50,55,60,65,70,75},按年龄和性别!$A$2:$A$12)</f>
        <v>35-39岁</v>
      </c>
      <c r="F51" s="17">
        <f>SUMIF('2016年消费'!$A$2:$A$364,A51,'2016年消费'!$C$2:$C$364)</f>
        <v>5035</v>
      </c>
      <c r="I51" s="10"/>
    </row>
    <row r="52" spans="1:9">
      <c r="A52" s="6" t="s">
        <v>61</v>
      </c>
      <c r="B52" s="6" t="s">
        <v>130</v>
      </c>
      <c r="C52" s="13">
        <v>16599</v>
      </c>
      <c r="D52" s="6">
        <f t="shared" si="1"/>
        <v>71</v>
      </c>
      <c r="E52" s="6" t="str">
        <f>LOOKUP(D52,{0,30,35,40,45,50,55,60,65,70,75},按年龄和性别!$A$2:$A$12)</f>
        <v>70-74岁</v>
      </c>
      <c r="F52" s="17">
        <f>SUMIF('2016年消费'!$A$2:$A$364,A52,'2016年消费'!$C$2:$C$364)</f>
        <v>11444</v>
      </c>
      <c r="I52" s="10"/>
    </row>
    <row r="53" spans="1:9">
      <c r="A53" s="6" t="s">
        <v>62</v>
      </c>
      <c r="B53" s="6" t="s">
        <v>130</v>
      </c>
      <c r="C53" s="13">
        <v>26758</v>
      </c>
      <c r="D53" s="6">
        <f t="shared" si="1"/>
        <v>43</v>
      </c>
      <c r="E53" s="6" t="str">
        <f>LOOKUP(D53,{0,30,35,40,45,50,55,60,65,70,75},按年龄和性别!$A$2:$A$12)</f>
        <v>40-44岁</v>
      </c>
      <c r="F53" s="17">
        <f>SUMIF('2016年消费'!$A$2:$A$364,A53,'2016年消费'!$C$2:$C$364)</f>
        <v>11444</v>
      </c>
      <c r="I53" s="10"/>
    </row>
    <row r="54" spans="1:9">
      <c r="A54" s="6" t="s">
        <v>63</v>
      </c>
      <c r="B54" s="6" t="s">
        <v>130</v>
      </c>
      <c r="C54" s="13">
        <v>23950</v>
      </c>
      <c r="D54" s="6">
        <f t="shared" si="1"/>
        <v>51</v>
      </c>
      <c r="E54" s="6" t="str">
        <f>LOOKUP(D54,{0,30,35,40,45,50,55,60,65,70,75},按年龄和性别!$A$2:$A$12)</f>
        <v>50-54岁</v>
      </c>
      <c r="F54" s="17">
        <f>SUMIF('2016年消费'!$A$2:$A$364,A54,'2016年消费'!$C$2:$C$364)</f>
        <v>66146</v>
      </c>
      <c r="I54" s="10"/>
    </row>
    <row r="55" spans="1:9">
      <c r="A55" s="6" t="s">
        <v>64</v>
      </c>
      <c r="B55" s="6" t="s">
        <v>131</v>
      </c>
      <c r="C55" s="13">
        <v>26255</v>
      </c>
      <c r="D55" s="6">
        <f t="shared" si="1"/>
        <v>45</v>
      </c>
      <c r="E55" s="6" t="str">
        <f>LOOKUP(D55,{0,30,35,40,45,50,55,60,65,70,75},按年龄和性别!$A$2:$A$12)</f>
        <v>45-49岁</v>
      </c>
      <c r="F55" s="17">
        <f>SUMIF('2016年消费'!$A$2:$A$364,A55,'2016年消费'!$C$2:$C$364)</f>
        <v>19913</v>
      </c>
      <c r="I55" s="10"/>
    </row>
    <row r="56" spans="1:9">
      <c r="A56" s="6" t="s">
        <v>65</v>
      </c>
      <c r="B56" s="6" t="s">
        <v>131</v>
      </c>
      <c r="C56" s="13">
        <v>26205</v>
      </c>
      <c r="D56" s="6">
        <f t="shared" si="1"/>
        <v>45</v>
      </c>
      <c r="E56" s="6" t="str">
        <f>LOOKUP(D56,{0,30,35,40,45,50,55,60,65,70,75},按年龄和性别!$A$2:$A$12)</f>
        <v>45-49岁</v>
      </c>
      <c r="F56" s="17">
        <f>SUMIF('2016年消费'!$A$2:$A$364,A56,'2016年消费'!$C$2:$C$364)</f>
        <v>19685</v>
      </c>
      <c r="I56" s="10"/>
    </row>
    <row r="57" spans="1:9">
      <c r="A57" s="6" t="s">
        <v>66</v>
      </c>
      <c r="B57" s="6" t="s">
        <v>130</v>
      </c>
      <c r="C57" s="13">
        <v>26475</v>
      </c>
      <c r="D57" s="6">
        <f t="shared" si="1"/>
        <v>44</v>
      </c>
      <c r="E57" s="6" t="str">
        <f>LOOKUP(D57,{0,30,35,40,45,50,55,60,65,70,75},按年龄和性别!$A$2:$A$12)</f>
        <v>40-44岁</v>
      </c>
      <c r="F57" s="17">
        <f>SUMIF('2016年消费'!$A$2:$A$364,A57,'2016年消费'!$C$2:$C$364)</f>
        <v>40969</v>
      </c>
      <c r="I57" s="10"/>
    </row>
    <row r="58" spans="1:9">
      <c r="A58" s="6" t="s">
        <v>67</v>
      </c>
      <c r="B58" s="6" t="s">
        <v>131</v>
      </c>
      <c r="C58" s="13">
        <v>30475</v>
      </c>
      <c r="D58" s="6">
        <f t="shared" si="1"/>
        <v>33</v>
      </c>
      <c r="E58" s="6" t="str">
        <f>LOOKUP(D58,{0,30,35,40,45,50,55,60,65,70,75},按年龄和性别!$A$2:$A$12)</f>
        <v>30-34岁</v>
      </c>
      <c r="F58" s="17">
        <f>SUMIF('2016年消费'!$A$2:$A$364,A58,'2016年消费'!$C$2:$C$364)</f>
        <v>18540</v>
      </c>
      <c r="I58" s="10"/>
    </row>
    <row r="59" spans="1:9">
      <c r="A59" s="6" t="s">
        <v>68</v>
      </c>
      <c r="B59" s="6" t="s">
        <v>131</v>
      </c>
      <c r="C59" s="13">
        <v>31204</v>
      </c>
      <c r="D59" s="6">
        <f t="shared" si="1"/>
        <v>31</v>
      </c>
      <c r="E59" s="6" t="str">
        <f>LOOKUP(D59,{0,30,35,40,45,50,55,60,65,70,75},按年龄和性别!$A$2:$A$12)</f>
        <v>30-34岁</v>
      </c>
      <c r="F59" s="17">
        <f>SUMIF('2016年消费'!$A$2:$A$364,A59,'2016年消费'!$C$2:$C$364)</f>
        <v>17166</v>
      </c>
      <c r="I59" s="10"/>
    </row>
    <row r="60" spans="1:9">
      <c r="A60" s="6" t="s">
        <v>69</v>
      </c>
      <c r="B60" s="6" t="s">
        <v>130</v>
      </c>
      <c r="C60" s="13">
        <v>22327</v>
      </c>
      <c r="D60" s="6">
        <f t="shared" si="1"/>
        <v>55</v>
      </c>
      <c r="E60" s="6" t="str">
        <f>LOOKUP(D60,{0,30,35,40,45,50,55,60,65,70,75},按年龄和性别!$A$2:$A$12)</f>
        <v>55-59岁</v>
      </c>
      <c r="F60" s="17">
        <f>SUMIF('2016年消费'!$A$2:$A$364,A60,'2016年消费'!$C$2:$C$364)</f>
        <v>18539</v>
      </c>
      <c r="I60" s="10"/>
    </row>
    <row r="61" spans="1:9">
      <c r="A61" s="6" t="s">
        <v>70</v>
      </c>
      <c r="B61" s="6" t="s">
        <v>130</v>
      </c>
      <c r="C61" s="13">
        <v>22521</v>
      </c>
      <c r="D61" s="6">
        <f t="shared" si="1"/>
        <v>55</v>
      </c>
      <c r="E61" s="6" t="str">
        <f>LOOKUP(D61,{0,30,35,40,45,50,55,60,65,70,75},按年龄和性别!$A$2:$A$12)</f>
        <v>55-59岁</v>
      </c>
      <c r="F61" s="17">
        <f>SUMIF('2016年消费'!$A$2:$A$364,A61,'2016年消费'!$C$2:$C$364)</f>
        <v>10300</v>
      </c>
      <c r="I61" s="10"/>
    </row>
    <row r="62" spans="1:9">
      <c r="A62" s="6" t="s">
        <v>71</v>
      </c>
      <c r="B62" s="6" t="s">
        <v>131</v>
      </c>
      <c r="C62" s="13">
        <v>16079</v>
      </c>
      <c r="D62" s="6">
        <f t="shared" si="1"/>
        <v>72</v>
      </c>
      <c r="E62" s="6" t="str">
        <f>LOOKUP(D62,{0,30,35,40,45,50,55,60,65,70,75},按年龄和性别!$A$2:$A$12)</f>
        <v>70-74岁</v>
      </c>
      <c r="F62" s="17">
        <f>SUMIF('2016年消费'!$A$2:$A$364,A62,'2016年消费'!$C$2:$C$364)</f>
        <v>50126</v>
      </c>
      <c r="I62" s="10"/>
    </row>
    <row r="63" spans="1:9">
      <c r="A63" s="6" t="s">
        <v>72</v>
      </c>
      <c r="B63" s="6" t="s">
        <v>131</v>
      </c>
      <c r="C63" s="13">
        <v>31712</v>
      </c>
      <c r="D63" s="6">
        <f t="shared" si="1"/>
        <v>30</v>
      </c>
      <c r="E63" s="6" t="str">
        <f>LOOKUP(D63,{0,30,35,40,45,50,55,60,65,70,75},按年龄和性别!$A$2:$A$12)</f>
        <v>30-34岁</v>
      </c>
      <c r="F63" s="17">
        <f>SUMIF('2016年消费'!$A$2:$A$364,A63,'2016年消费'!$C$2:$C$364)</f>
        <v>19913</v>
      </c>
      <c r="I63" s="10"/>
    </row>
    <row r="64" spans="1:9">
      <c r="A64" s="6" t="s">
        <v>73</v>
      </c>
      <c r="B64" s="6" t="s">
        <v>130</v>
      </c>
      <c r="C64" s="13">
        <v>27006</v>
      </c>
      <c r="D64" s="6">
        <f t="shared" si="1"/>
        <v>43</v>
      </c>
      <c r="E64" s="6" t="str">
        <f>LOOKUP(D64,{0,30,35,40,45,50,55,60,65,70,75},按年龄和性别!$A$2:$A$12)</f>
        <v>40-44岁</v>
      </c>
      <c r="F64" s="17">
        <f>SUMIF('2016年消费'!$A$2:$A$364,A64,'2016年消费'!$C$2:$C$364)</f>
        <v>14878</v>
      </c>
      <c r="I64" s="10"/>
    </row>
    <row r="65" spans="1:9">
      <c r="A65" s="6" t="s">
        <v>74</v>
      </c>
      <c r="B65" s="6" t="s">
        <v>130</v>
      </c>
      <c r="C65" s="13">
        <v>20932</v>
      </c>
      <c r="D65" s="6">
        <f t="shared" si="1"/>
        <v>59</v>
      </c>
      <c r="E65" s="6" t="str">
        <f>LOOKUP(D65,{0,30,35,40,45,50,55,60,65,70,75},按年龄和性别!$A$2:$A$12)</f>
        <v>55-59岁</v>
      </c>
      <c r="F65" s="17">
        <f>SUMIF('2016年消费'!$A$2:$A$364,A65,'2016年消费'!$C$2:$C$364)</f>
        <v>26779</v>
      </c>
      <c r="I65" s="10"/>
    </row>
    <row r="66" spans="1:9">
      <c r="A66" s="6" t="s">
        <v>75</v>
      </c>
      <c r="B66" s="6" t="s">
        <v>130</v>
      </c>
      <c r="C66" s="13">
        <v>18434</v>
      </c>
      <c r="D66" s="6">
        <f t="shared" ref="D66:D97" si="2">DATEDIF(C66,"2017-1-1","y")</f>
        <v>66</v>
      </c>
      <c r="E66" s="6" t="str">
        <f>LOOKUP(D66,{0,30,35,40,45,50,55,60,65,70,75},按年龄和性别!$A$2:$A$12)</f>
        <v>65-69岁</v>
      </c>
      <c r="F66" s="17">
        <f>SUMIF('2016年消费'!$A$2:$A$364,A66,'2016年消费'!$C$2:$C$364)</f>
        <v>13505</v>
      </c>
      <c r="I66" s="10"/>
    </row>
    <row r="67" spans="1:9">
      <c r="A67" s="6" t="s">
        <v>76</v>
      </c>
      <c r="B67" s="6" t="s">
        <v>130</v>
      </c>
      <c r="C67" s="13">
        <v>22352</v>
      </c>
      <c r="D67" s="6">
        <f t="shared" si="2"/>
        <v>55</v>
      </c>
      <c r="E67" s="6" t="str">
        <f>LOOKUP(D67,{0,30,35,40,45,50,55,60,65,70,75},按年龄和性别!$A$2:$A$12)</f>
        <v>55-59岁</v>
      </c>
      <c r="F67" s="17">
        <f>SUMIF('2016年消费'!$A$2:$A$364,A67,'2016年消费'!$C$2:$C$364)</f>
        <v>37994</v>
      </c>
      <c r="I67" s="10"/>
    </row>
    <row r="68" spans="1:9">
      <c r="A68" s="6" t="s">
        <v>77</v>
      </c>
      <c r="B68" s="6" t="s">
        <v>130</v>
      </c>
      <c r="C68" s="13">
        <v>22603</v>
      </c>
      <c r="D68" s="6">
        <f t="shared" si="2"/>
        <v>55</v>
      </c>
      <c r="E68" s="6" t="str">
        <f>LOOKUP(D68,{0,30,35,40,45,50,55,60,65,70,75},按年龄和性别!$A$2:$A$12)</f>
        <v>55-59岁</v>
      </c>
      <c r="F68" s="17">
        <f>SUMIF('2016年消费'!$A$2:$A$364,A68,'2016年消费'!$C$2:$C$364)</f>
        <v>4807</v>
      </c>
      <c r="I68" s="10"/>
    </row>
    <row r="69" spans="1:9">
      <c r="A69" s="6" t="s">
        <v>78</v>
      </c>
      <c r="B69" s="6" t="s">
        <v>130</v>
      </c>
      <c r="C69" s="13">
        <v>17383</v>
      </c>
      <c r="D69" s="6">
        <f t="shared" si="2"/>
        <v>69</v>
      </c>
      <c r="E69" s="6" t="str">
        <f>LOOKUP(D69,{0,30,35,40,45,50,55,60,65,70,75},按年龄和性别!$A$2:$A$12)</f>
        <v>65-69岁</v>
      </c>
      <c r="F69" s="17">
        <f>SUMIF('2016年消费'!$A$2:$A$364,A69,'2016年消费'!$C$2:$C$364)</f>
        <v>51726</v>
      </c>
      <c r="I69" s="10"/>
    </row>
    <row r="70" spans="1:9">
      <c r="A70" s="6" t="s">
        <v>79</v>
      </c>
      <c r="B70" s="6" t="s">
        <v>131</v>
      </c>
      <c r="C70" s="13">
        <v>25078</v>
      </c>
      <c r="D70" s="6">
        <f t="shared" si="2"/>
        <v>48</v>
      </c>
      <c r="E70" s="6" t="str">
        <f>LOOKUP(D70,{0,30,35,40,45,50,55,60,65,70,75},按年龄和性别!$A$2:$A$12)</f>
        <v>45-49岁</v>
      </c>
      <c r="F70" s="17">
        <f>SUMIF('2016年消费'!$A$2:$A$364,A70,'2016年消费'!$C$2:$C$364)</f>
        <v>48522</v>
      </c>
      <c r="I70" s="10"/>
    </row>
    <row r="71" spans="1:9">
      <c r="A71" s="6" t="s">
        <v>80</v>
      </c>
      <c r="B71" s="6" t="s">
        <v>130</v>
      </c>
      <c r="C71" s="13">
        <v>26278</v>
      </c>
      <c r="D71" s="6">
        <f t="shared" si="2"/>
        <v>45</v>
      </c>
      <c r="E71" s="6" t="str">
        <f>LOOKUP(D71,{0,30,35,40,45,50,55,60,65,70,75},按年龄和性别!$A$2:$A$12)</f>
        <v>45-49岁</v>
      </c>
      <c r="F71" s="17">
        <f>SUMIF('2016年消费'!$A$2:$A$364,A71,'2016年消费'!$C$2:$C$364)</f>
        <v>30671</v>
      </c>
      <c r="I71" s="10"/>
    </row>
    <row r="72" spans="1:9">
      <c r="A72" s="6" t="s">
        <v>81</v>
      </c>
      <c r="B72" s="6" t="s">
        <v>130</v>
      </c>
      <c r="C72" s="13">
        <v>26379</v>
      </c>
      <c r="D72" s="6">
        <f t="shared" si="2"/>
        <v>44</v>
      </c>
      <c r="E72" s="6" t="str">
        <f>LOOKUP(D72,{0,30,35,40,45,50,55,60,65,70,75},按年龄和性别!$A$2:$A$12)</f>
        <v>40-44岁</v>
      </c>
      <c r="F72" s="17">
        <f>SUMIF('2016年消费'!$A$2:$A$364,A72,'2016年消费'!$C$2:$C$364)</f>
        <v>11673</v>
      </c>
      <c r="I72" s="10"/>
    </row>
    <row r="73" spans="1:9">
      <c r="A73" s="6" t="s">
        <v>82</v>
      </c>
      <c r="B73" s="6" t="s">
        <v>131</v>
      </c>
      <c r="C73" s="13">
        <v>22503</v>
      </c>
      <c r="D73" s="6">
        <f t="shared" si="2"/>
        <v>55</v>
      </c>
      <c r="E73" s="6" t="str">
        <f>LOOKUP(D73,{0,30,35,40,45,50,55,60,65,70,75},按年龄和性别!$A$2:$A$12)</f>
        <v>55-59岁</v>
      </c>
      <c r="F73" s="17">
        <f>SUMIF('2016年消费'!$A$2:$A$364,A73,'2016年消费'!$C$2:$C$364)</f>
        <v>28611</v>
      </c>
      <c r="I73" s="10"/>
    </row>
    <row r="74" spans="1:9">
      <c r="A74" s="6" t="s">
        <v>110</v>
      </c>
      <c r="B74" s="6" t="s">
        <v>130</v>
      </c>
      <c r="C74" s="13">
        <v>22737</v>
      </c>
      <c r="D74" s="6">
        <f t="shared" si="2"/>
        <v>54</v>
      </c>
      <c r="E74" s="6" t="str">
        <f>LOOKUP(D74,{0,30,35,40,45,50,55,60,65,70,75},按年龄和性别!$A$2:$A$12)</f>
        <v>50-54岁</v>
      </c>
      <c r="F74" s="17">
        <f>SUMIF('2016年消费'!$A$2:$A$364,A74,'2016年消费'!$C$2:$C$364)</f>
        <v>17086</v>
      </c>
      <c r="I74" s="10"/>
    </row>
    <row r="75" spans="1:9">
      <c r="A75" s="6" t="s">
        <v>83</v>
      </c>
      <c r="B75" s="6" t="s">
        <v>130</v>
      </c>
      <c r="C75" s="13">
        <v>23190</v>
      </c>
      <c r="D75" s="6">
        <f t="shared" si="2"/>
        <v>53</v>
      </c>
      <c r="E75" s="6" t="str">
        <f>LOOKUP(D75,{0,30,35,40,45,50,55,60,65,70,75},按年龄和性别!$A$2:$A$12)</f>
        <v>50-54岁</v>
      </c>
      <c r="F75" s="17">
        <f>SUMIF('2016年消费'!$A$2:$A$364,A75,'2016年消费'!$C$2:$C$364)</f>
        <v>29755</v>
      </c>
      <c r="I75" s="10"/>
    </row>
    <row r="76" spans="1:9">
      <c r="A76" s="6" t="s">
        <v>84</v>
      </c>
      <c r="B76" s="6" t="s">
        <v>130</v>
      </c>
      <c r="C76" s="13">
        <v>27150</v>
      </c>
      <c r="D76" s="6">
        <f t="shared" si="2"/>
        <v>42</v>
      </c>
      <c r="E76" s="6" t="str">
        <f>LOOKUP(D76,{0,30,35,40,45,50,55,60,65,70,75},按年龄和性别!$A$2:$A$12)</f>
        <v>40-44岁</v>
      </c>
      <c r="F76" s="17">
        <f>SUMIF('2016年消费'!$A$2:$A$364,A76,'2016年消费'!$C$2:$C$364)</f>
        <v>28839</v>
      </c>
      <c r="I76" s="10"/>
    </row>
    <row r="77" spans="1:9">
      <c r="A77" s="6" t="s">
        <v>85</v>
      </c>
      <c r="B77" s="6" t="s">
        <v>130</v>
      </c>
      <c r="C77" s="13">
        <v>25285</v>
      </c>
      <c r="D77" s="6">
        <f t="shared" si="2"/>
        <v>47</v>
      </c>
      <c r="E77" s="6" t="str">
        <f>LOOKUP(D77,{0,30,35,40,45,50,55,60,65,70,75},按年龄和性别!$A$2:$A$12)</f>
        <v>45-49岁</v>
      </c>
      <c r="F77" s="17">
        <f>SUMIF('2016年消费'!$A$2:$A$364,A77,'2016年消费'!$C$2:$C$364)</f>
        <v>38452</v>
      </c>
      <c r="I77" s="10"/>
    </row>
    <row r="78" spans="1:9">
      <c r="A78" s="6" t="s">
        <v>86</v>
      </c>
      <c r="B78" s="6" t="s">
        <v>130</v>
      </c>
      <c r="C78" s="13">
        <v>25038</v>
      </c>
      <c r="D78" s="6">
        <f t="shared" si="2"/>
        <v>48</v>
      </c>
      <c r="E78" s="6" t="str">
        <f>LOOKUP(D78,{0,30,35,40,45,50,55,60,65,70,75},按年龄和性别!$A$2:$A$12)</f>
        <v>45-49岁</v>
      </c>
      <c r="F78" s="17">
        <f>SUMIF('2016年消费'!$A$2:$A$364,A78,'2016年消费'!$C$2:$C$364)</f>
        <v>164802</v>
      </c>
      <c r="I78" s="10"/>
    </row>
    <row r="79" spans="1:9">
      <c r="A79" s="6" t="s">
        <v>87</v>
      </c>
      <c r="B79" s="6" t="s">
        <v>130</v>
      </c>
      <c r="C79" s="13">
        <v>26141</v>
      </c>
      <c r="D79" s="6">
        <f t="shared" si="2"/>
        <v>45</v>
      </c>
      <c r="E79" s="6" t="str">
        <f>LOOKUP(D79,{0,30,35,40,45,50,55,60,65,70,75},按年龄和性别!$A$2:$A$12)</f>
        <v>45-49岁</v>
      </c>
      <c r="F79" s="17">
        <f>SUMIF('2016年消费'!$A$2:$A$364,A79,'2016年消费'!$C$2:$C$364)</f>
        <v>47680</v>
      </c>
      <c r="I79" s="10"/>
    </row>
    <row r="80" spans="1:9">
      <c r="A80" s="6" t="s">
        <v>88</v>
      </c>
      <c r="B80" s="6" t="s">
        <v>131</v>
      </c>
      <c r="C80" s="13">
        <v>21507</v>
      </c>
      <c r="D80" s="6">
        <f t="shared" si="2"/>
        <v>58</v>
      </c>
      <c r="E80" s="6" t="str">
        <f>LOOKUP(D80,{0,30,35,40,45,50,55,60,65,70,75},按年龄和性别!$A$2:$A$12)</f>
        <v>55-59岁</v>
      </c>
      <c r="F80" s="17">
        <f>SUMIF('2016年消费'!$A$2:$A$364,A80,'2016年消费'!$C$2:$C$364)</f>
        <v>268200</v>
      </c>
      <c r="I80" s="10"/>
    </row>
    <row r="81" spans="1:9">
      <c r="A81" s="6" t="s">
        <v>89</v>
      </c>
      <c r="B81" s="6" t="s">
        <v>131</v>
      </c>
      <c r="C81" s="13">
        <v>26668</v>
      </c>
      <c r="D81" s="6">
        <f t="shared" si="2"/>
        <v>43</v>
      </c>
      <c r="E81" s="6" t="str">
        <f>LOOKUP(D81,{0,30,35,40,45,50,55,60,65,70,75},按年龄和性别!$A$2:$A$12)</f>
        <v>40-44岁</v>
      </c>
      <c r="F81" s="17">
        <f>SUMIF('2016年消费'!$A$2:$A$364,A81,'2016年消费'!$C$2:$C$364)</f>
        <v>201150</v>
      </c>
      <c r="I81" s="10"/>
    </row>
    <row r="82" spans="1:9">
      <c r="A82" s="6" t="s">
        <v>90</v>
      </c>
      <c r="B82" s="6" t="s">
        <v>131</v>
      </c>
      <c r="C82" s="13">
        <v>21560</v>
      </c>
      <c r="D82" s="6">
        <f t="shared" si="2"/>
        <v>57</v>
      </c>
      <c r="E82" s="6" t="str">
        <f>LOOKUP(D82,{0,30,35,40,45,50,55,60,65,70,75},按年龄和性别!$A$2:$A$12)</f>
        <v>55-59岁</v>
      </c>
      <c r="F82" s="17">
        <f>SUMIF('2016年消费'!$A$2:$A$364,A82,'2016年消费'!$C$2:$C$364)</f>
        <v>131120</v>
      </c>
      <c r="I82" s="10"/>
    </row>
    <row r="83" spans="1:9">
      <c r="A83" s="6" t="s">
        <v>91</v>
      </c>
      <c r="B83" s="6" t="s">
        <v>130</v>
      </c>
      <c r="C83" s="13">
        <v>24433</v>
      </c>
      <c r="D83" s="6">
        <f t="shared" si="2"/>
        <v>50</v>
      </c>
      <c r="E83" s="6" t="str">
        <f>LOOKUP(D83,{0,30,35,40,45,50,55,60,65,70,75},按年龄和性别!$A$2:$A$12)</f>
        <v>50-54岁</v>
      </c>
      <c r="F83" s="17">
        <f>SUMIF('2016年消费'!$A$2:$A$364,A83,'2016年消费'!$C$2:$C$364)</f>
        <v>224990</v>
      </c>
      <c r="I83" s="10"/>
    </row>
    <row r="84" spans="1:9">
      <c r="A84" s="6" t="s">
        <v>92</v>
      </c>
      <c r="B84" s="6" t="s">
        <v>131</v>
      </c>
      <c r="C84" s="13">
        <v>24779</v>
      </c>
      <c r="D84" s="6">
        <f t="shared" si="2"/>
        <v>49</v>
      </c>
      <c r="E84" s="6" t="str">
        <f>LOOKUP(D84,{0,30,35,40,45,50,55,60,65,70,75},按年龄和性别!$A$2:$A$12)</f>
        <v>45-49岁</v>
      </c>
      <c r="F84" s="17">
        <f>SUMIF('2016年消费'!$A$2:$A$364,A84,'2016年消费'!$C$2:$C$364)</f>
        <v>43210</v>
      </c>
      <c r="I84" s="10"/>
    </row>
    <row r="85" spans="1:9">
      <c r="A85" s="6" t="s">
        <v>93</v>
      </c>
      <c r="B85" s="6" t="s">
        <v>130</v>
      </c>
      <c r="C85" s="13">
        <v>21781</v>
      </c>
      <c r="D85" s="6">
        <f t="shared" si="2"/>
        <v>57</v>
      </c>
      <c r="E85" s="6" t="str">
        <f>LOOKUP(D85,{0,30,35,40,45,50,55,60,65,70,75},按年龄和性别!$A$2:$A$12)</f>
        <v>55-59岁</v>
      </c>
      <c r="F85" s="17">
        <f>SUMIF('2016年消费'!$A$2:$A$364,A85,'2016年消费'!$C$2:$C$364)</f>
        <v>268200</v>
      </c>
      <c r="I85" s="10"/>
    </row>
    <row r="86" spans="1:9">
      <c r="A86" s="6" t="s">
        <v>94</v>
      </c>
      <c r="B86" s="6" t="s">
        <v>130</v>
      </c>
      <c r="C86" s="13">
        <v>24323</v>
      </c>
      <c r="D86" s="6">
        <f t="shared" si="2"/>
        <v>50</v>
      </c>
      <c r="E86" s="6" t="str">
        <f>LOOKUP(D86,{0,30,35,40,45,50,55,60,65,70,75},按年龄和性别!$A$2:$A$12)</f>
        <v>50-54岁</v>
      </c>
      <c r="F86" s="17">
        <f>SUMIF('2016年消费'!$A$2:$A$364,A86,'2016年消费'!$C$2:$C$364)</f>
        <v>108770</v>
      </c>
      <c r="I86" s="10"/>
    </row>
    <row r="87" spans="1:9">
      <c r="A87" s="6" t="s">
        <v>95</v>
      </c>
      <c r="B87" s="6" t="s">
        <v>131</v>
      </c>
      <c r="C87" s="13">
        <v>24629</v>
      </c>
      <c r="D87" s="6">
        <f t="shared" si="2"/>
        <v>49</v>
      </c>
      <c r="E87" s="6" t="str">
        <f>LOOKUP(D87,{0,30,35,40,45,50,55,60,65,70,75},按年龄和性别!$A$2:$A$12)</f>
        <v>45-49岁</v>
      </c>
      <c r="F87" s="17">
        <f>SUMIF('2016年消费'!$A$2:$A$364,A87,'2016年消费'!$C$2:$C$364)</f>
        <v>105790</v>
      </c>
      <c r="I87" s="10"/>
    </row>
    <row r="88" spans="1:9">
      <c r="A88" s="6" t="s">
        <v>96</v>
      </c>
      <c r="B88" s="6" t="s">
        <v>131</v>
      </c>
      <c r="C88" s="13">
        <v>26908</v>
      </c>
      <c r="D88" s="6">
        <f t="shared" si="2"/>
        <v>43</v>
      </c>
      <c r="E88" s="6" t="str">
        <f>LOOKUP(D88,{0,30,35,40,45,50,55,60,65,70,75},按年龄和性别!$A$2:$A$12)</f>
        <v>40-44岁</v>
      </c>
      <c r="F88" s="17">
        <f>SUMIF('2016年消费'!$A$2:$A$364,A88,'2016年消费'!$C$2:$C$364)</f>
        <v>292040</v>
      </c>
      <c r="I88" s="10"/>
    </row>
    <row r="89" spans="1:9">
      <c r="A89" s="6" t="s">
        <v>97</v>
      </c>
      <c r="B89" s="6" t="s">
        <v>131</v>
      </c>
      <c r="C89" s="13">
        <v>26307</v>
      </c>
      <c r="D89" s="6">
        <f t="shared" si="2"/>
        <v>44</v>
      </c>
      <c r="E89" s="6" t="str">
        <f>LOOKUP(D89,{0,30,35,40,45,50,55,60,65,70,75},按年龄和性别!$A$2:$A$12)</f>
        <v>40-44岁</v>
      </c>
      <c r="F89" s="17">
        <f>SUMIF('2016年消费'!$A$2:$A$364,A89,'2016年消费'!$C$2:$C$364)</f>
        <v>230950</v>
      </c>
      <c r="I89" s="10"/>
    </row>
    <row r="90" spans="1:9">
      <c r="A90" s="6" t="s">
        <v>98</v>
      </c>
      <c r="B90" s="6" t="s">
        <v>130</v>
      </c>
      <c r="C90" s="13">
        <v>27276</v>
      </c>
      <c r="D90" s="6">
        <f t="shared" si="2"/>
        <v>42</v>
      </c>
      <c r="E90" s="6" t="str">
        <f>LOOKUP(D90,{0,30,35,40,45,50,55,60,65,70,75},按年龄和性别!$A$2:$A$12)</f>
        <v>40-44岁</v>
      </c>
      <c r="F90" s="17">
        <f>SUMIF('2016年消费'!$A$2:$A$364,A90,'2016年消费'!$C$2:$C$364)</f>
        <v>111750</v>
      </c>
      <c r="I90" s="10"/>
    </row>
    <row r="91" spans="1:9">
      <c r="A91" s="6" t="s">
        <v>99</v>
      </c>
      <c r="B91" s="6" t="s">
        <v>131</v>
      </c>
      <c r="C91" s="13">
        <v>23705</v>
      </c>
      <c r="D91" s="6">
        <f t="shared" si="2"/>
        <v>52</v>
      </c>
      <c r="E91" s="6" t="str">
        <f>LOOKUP(D91,{0,30,35,40,45,50,55,60,65,70,75},按年龄和性别!$A$2:$A$12)</f>
        <v>50-54岁</v>
      </c>
      <c r="F91" s="17">
        <f>SUMIF('2016年消费'!$A$2:$A$364,A91,'2016年消费'!$C$2:$C$364)</f>
        <v>129630</v>
      </c>
      <c r="I91" s="10"/>
    </row>
    <row r="92" spans="1:9">
      <c r="A92" s="6" t="s">
        <v>100</v>
      </c>
      <c r="B92" s="6" t="s">
        <v>130</v>
      </c>
      <c r="C92" s="13">
        <v>24247</v>
      </c>
      <c r="D92" s="6">
        <f t="shared" si="2"/>
        <v>50</v>
      </c>
      <c r="E92" s="6" t="str">
        <f>LOOKUP(D92,{0,30,35,40,45,50,55,60,65,70,75},按年龄和性别!$A$2:$A$12)</f>
        <v>50-54岁</v>
      </c>
      <c r="F92" s="17">
        <f>SUMIF('2016年消费'!$A$2:$A$364,A92,'2016年消费'!$C$2:$C$364)</f>
        <v>107280</v>
      </c>
      <c r="I92" s="10"/>
    </row>
    <row r="93" spans="1:9">
      <c r="A93" s="6" t="s">
        <v>101</v>
      </c>
      <c r="B93" s="6" t="s">
        <v>130</v>
      </c>
      <c r="C93" s="13">
        <v>24885</v>
      </c>
      <c r="D93" s="6">
        <f t="shared" si="2"/>
        <v>48</v>
      </c>
      <c r="E93" s="6" t="str">
        <f>LOOKUP(D93,{0,30,35,40,45,50,55,60,65,70,75},按年龄和性别!$A$2:$A$12)</f>
        <v>45-49岁</v>
      </c>
      <c r="F93" s="17">
        <f>SUMIF('2016年消费'!$A$2:$A$364,A93,'2016年消费'!$C$2:$C$364)</f>
        <v>144530</v>
      </c>
      <c r="I93" s="10"/>
    </row>
    <row r="94" spans="1:9">
      <c r="A94" s="6" t="s">
        <v>102</v>
      </c>
      <c r="B94" s="6" t="s">
        <v>130</v>
      </c>
      <c r="C94" s="13">
        <v>26202</v>
      </c>
      <c r="D94" s="6">
        <f t="shared" si="2"/>
        <v>45</v>
      </c>
      <c r="E94" s="6" t="str">
        <f>LOOKUP(D94,{0,30,35,40,45,50,55,60,65,70,75},按年龄和性别!$A$2:$A$12)</f>
        <v>45-49岁</v>
      </c>
      <c r="F94" s="17">
        <f>SUMIF('2016年消费'!$A$2:$A$364,A94,'2016年消费'!$C$2:$C$364)</f>
        <v>292040</v>
      </c>
      <c r="I94" s="10"/>
    </row>
    <row r="95" spans="1:9">
      <c r="A95" s="6" t="s">
        <v>103</v>
      </c>
      <c r="B95" s="6" t="s">
        <v>130</v>
      </c>
      <c r="C95" s="13">
        <v>25659</v>
      </c>
      <c r="D95" s="6">
        <f t="shared" si="2"/>
        <v>46</v>
      </c>
      <c r="E95" s="6" t="str">
        <f>LOOKUP(D95,{0,30,35,40,45,50,55,60,65,70,75},按年龄和性别!$A$2:$A$12)</f>
        <v>45-49岁</v>
      </c>
      <c r="F95" s="17">
        <f>SUMIF('2016年消费'!$A$2:$A$364,A95,'2016年消费'!$C$2:$C$364)</f>
        <v>192210</v>
      </c>
      <c r="I95" s="10"/>
    </row>
    <row r="96" spans="1:9">
      <c r="A96" s="6" t="s">
        <v>104</v>
      </c>
      <c r="B96" s="6" t="s">
        <v>130</v>
      </c>
      <c r="C96" s="13">
        <v>25129</v>
      </c>
      <c r="D96" s="6">
        <f t="shared" si="2"/>
        <v>48</v>
      </c>
      <c r="E96" s="6" t="str">
        <f>LOOKUP(D96,{0,30,35,40,45,50,55,60,65,70,75},按年龄和性别!$A$2:$A$12)</f>
        <v>45-49岁</v>
      </c>
      <c r="F96" s="17">
        <f>SUMIF('2016年消费'!$A$2:$A$364,A96,'2016年消费'!$C$2:$C$364)</f>
        <v>332270</v>
      </c>
      <c r="I96" s="10"/>
    </row>
    <row r="97" spans="1:9">
      <c r="A97" s="6" t="s">
        <v>105</v>
      </c>
      <c r="B97" s="6" t="s">
        <v>130</v>
      </c>
      <c r="C97" s="13">
        <v>20306</v>
      </c>
      <c r="D97" s="6">
        <f t="shared" si="2"/>
        <v>61</v>
      </c>
      <c r="E97" s="6" t="str">
        <f>LOOKUP(D97,{0,30,35,40,45,50,55,60,65,70,75},按年龄和性别!$A$2:$A$12)</f>
        <v>60-64岁</v>
      </c>
      <c r="F97" s="17">
        <f>SUMIF('2016年消费'!$A$2:$A$364,A97,'2016年消费'!$C$2:$C$364)</f>
        <v>177310</v>
      </c>
      <c r="I97" s="10"/>
    </row>
    <row r="98" spans="1:9">
      <c r="A98" s="6" t="s">
        <v>106</v>
      </c>
      <c r="B98" s="6" t="s">
        <v>130</v>
      </c>
      <c r="C98" s="13">
        <v>22091</v>
      </c>
      <c r="D98" s="6">
        <f t="shared" ref="D98:D101" si="3">DATEDIF(C98,"2017-1-1","y")</f>
        <v>56</v>
      </c>
      <c r="E98" s="6" t="str">
        <f>LOOKUP(D98,{0,30,35,40,45,50,55,60,65,70,75},按年龄和性别!$A$2:$A$12)</f>
        <v>55-59岁</v>
      </c>
      <c r="F98" s="17">
        <f>SUMIF('2016年消费'!$A$2:$A$364,A98,'2016年消费'!$C$2:$C$364)</f>
        <v>324820</v>
      </c>
      <c r="I98" s="10"/>
    </row>
    <row r="99" spans="1:9">
      <c r="A99" s="6" t="s">
        <v>107</v>
      </c>
      <c r="B99" s="6" t="s">
        <v>130</v>
      </c>
      <c r="C99" s="13">
        <v>24188</v>
      </c>
      <c r="D99" s="6">
        <f t="shared" si="3"/>
        <v>50</v>
      </c>
      <c r="E99" s="6" t="str">
        <f>LOOKUP(D99,{0,30,35,40,45,50,55,60,65,70,75},按年龄和性别!$A$2:$A$12)</f>
        <v>50-54岁</v>
      </c>
      <c r="F99" s="17">
        <f>SUMIF('2016年消费'!$A$2:$A$364,A99,'2016年消费'!$C$2:$C$364)</f>
        <v>306940</v>
      </c>
      <c r="I99" s="10"/>
    </row>
    <row r="100" spans="1:9">
      <c r="A100" s="6" t="s">
        <v>108</v>
      </c>
      <c r="B100" s="6" t="s">
        <v>131</v>
      </c>
      <c r="C100" s="13">
        <v>22456</v>
      </c>
      <c r="D100" s="6">
        <f t="shared" si="3"/>
        <v>55</v>
      </c>
      <c r="E100" s="6" t="str">
        <f>LOOKUP(D100,{0,30,35,40,45,50,55,60,65,70,75},按年龄和性别!$A$2:$A$12)</f>
        <v>55-59岁</v>
      </c>
      <c r="F100" s="17">
        <f>SUMIF('2016年消费'!$A$2:$A$364,A100,'2016年消费'!$C$2:$C$364)</f>
        <v>113240</v>
      </c>
      <c r="I100" s="10"/>
    </row>
    <row r="101" spans="1:9">
      <c r="A101" s="6" t="s">
        <v>109</v>
      </c>
      <c r="B101" s="6" t="s">
        <v>131</v>
      </c>
      <c r="C101" s="13">
        <v>24611</v>
      </c>
      <c r="D101" s="6">
        <f t="shared" si="3"/>
        <v>49</v>
      </c>
      <c r="E101" s="6" t="str">
        <f>LOOKUP(D101,{0,30,35,40,45,50,55,60,65,70,75},按年龄和性别!$A$2:$A$12)</f>
        <v>45-49岁</v>
      </c>
      <c r="F101" s="17">
        <f>SUMIF('2016年消费'!$A$2:$A$364,A101,'2016年消费'!$C$2:$C$364)</f>
        <v>140060</v>
      </c>
      <c r="I101" s="10"/>
    </row>
  </sheetData>
  <sortState ref="I2:I101">
    <sortCondition ref="I2"/>
  </sortState>
  <phoneticPr fontId="2" type="noConversion"/>
  <conditionalFormatting sqref="A2:F101">
    <cfRule type="expression" dxfId="1" priority="2">
      <formula>RANK($F2,$F$2:$F$101,1)&lt;16</formula>
    </cfRule>
  </conditionalFormatting>
  <conditionalFormatting sqref="D2:D101">
    <cfRule type="top10" dxfId="0" priority="1" bottom="1" rank="10"/>
  </conditionalFormatting>
  <dataValidations count="1">
    <dataValidation type="list" allowBlank="1" showInputMessage="1" showErrorMessage="1" error="仅可输入中文！" sqref="B2:B101">
      <formula1>"男,女"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headerFooter>
    <oddHeader>&amp;C&amp;A</oddHeader>
    <oddFooter>&amp;C&amp;Pof&amp;N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8" sqref="B8"/>
    </sheetView>
  </sheetViews>
  <sheetFormatPr defaultColWidth="8.6640625" defaultRowHeight="14.25"/>
  <cols>
    <col min="1" max="1" width="10.21875" style="11" bestFit="1" customWidth="1"/>
    <col min="2" max="2" width="11.21875" style="11" bestFit="1" customWidth="1"/>
    <col min="3" max="4" width="11.21875" style="6" bestFit="1" customWidth="1"/>
    <col min="5" max="16384" width="8.6640625" style="6"/>
  </cols>
  <sheetData>
    <row r="1" spans="1:4">
      <c r="A1" s="18" t="s">
        <v>112</v>
      </c>
      <c r="B1" s="18" t="s">
        <v>122</v>
      </c>
      <c r="C1" s="18" t="s">
        <v>123</v>
      </c>
      <c r="D1" s="18" t="s">
        <v>124</v>
      </c>
    </row>
    <row r="2" spans="1:4">
      <c r="A2" s="19" t="s">
        <v>125</v>
      </c>
      <c r="B2" s="20">
        <f>COUNTIFS(客户资料[年龄段],A2,客户资料[性别],"男")</f>
        <v>2</v>
      </c>
      <c r="C2" s="21">
        <f>COUNTIFS(客户资料[年龄段],A2,客户资料[性别],"女")</f>
        <v>1</v>
      </c>
      <c r="D2" s="21">
        <f>SUM(B2:C2)</f>
        <v>3</v>
      </c>
    </row>
    <row r="3" spans="1:4">
      <c r="A3" s="20" t="s">
        <v>120</v>
      </c>
      <c r="B3" s="20">
        <f>COUNTIFS(客户资料[年龄段],A3,客户资料[性别],"男")</f>
        <v>1</v>
      </c>
      <c r="C3" s="21">
        <f>COUNTIFS(客户资料[年龄段],A3,客户资料[性别],"女")</f>
        <v>4</v>
      </c>
      <c r="D3" s="21">
        <f t="shared" ref="D3:D12" si="0">SUM(B3:C3)</f>
        <v>5</v>
      </c>
    </row>
    <row r="4" spans="1:4">
      <c r="A4" s="20" t="s">
        <v>117</v>
      </c>
      <c r="B4" s="20">
        <f>COUNTIFS(客户资料[年龄段],A4,客户资料[性别],"男")</f>
        <v>1</v>
      </c>
      <c r="C4" s="21">
        <f>COUNTIFS(客户资料[年龄段],A4,客户资料[性别],"女")</f>
        <v>0</v>
      </c>
      <c r="D4" s="21">
        <f t="shared" si="0"/>
        <v>1</v>
      </c>
    </row>
    <row r="5" spans="1:4">
      <c r="A5" s="20" t="s">
        <v>121</v>
      </c>
      <c r="B5" s="20">
        <f>COUNTIFS(客户资料[年龄段],A5,客户资料[性别],"男")</f>
        <v>8</v>
      </c>
      <c r="C5" s="21">
        <f>COUNTIFS(客户资料[年龄段],A5,客户资料[性别],"女")</f>
        <v>9</v>
      </c>
      <c r="D5" s="21">
        <f t="shared" si="0"/>
        <v>17</v>
      </c>
    </row>
    <row r="6" spans="1:4">
      <c r="A6" s="20" t="s">
        <v>114</v>
      </c>
      <c r="B6" s="20">
        <f>COUNTIFS(客户资料[年龄段],A6,客户资料[性别],"男")</f>
        <v>14</v>
      </c>
      <c r="C6" s="21">
        <f>COUNTIFS(客户资料[年龄段],A6,客户资料[性别],"女")</f>
        <v>10</v>
      </c>
      <c r="D6" s="21">
        <f t="shared" si="0"/>
        <v>24</v>
      </c>
    </row>
    <row r="7" spans="1:4">
      <c r="A7" s="20" t="s">
        <v>113</v>
      </c>
      <c r="B7" s="20">
        <f>COUNTIFS(客户资料[年龄段],A7,客户资料[性别],"男")</f>
        <v>15</v>
      </c>
      <c r="C7" s="21">
        <f>COUNTIFS(客户资料[年龄段],A7,客户资料[性别],"女")</f>
        <v>2</v>
      </c>
      <c r="D7" s="21">
        <f t="shared" si="0"/>
        <v>17</v>
      </c>
    </row>
    <row r="8" spans="1:4">
      <c r="A8" s="20" t="s">
        <v>116</v>
      </c>
      <c r="B8" s="20">
        <f>COUNTIFS(客户资料[年龄段],A8,客户资料[性别],"男")</f>
        <v>11</v>
      </c>
      <c r="C8" s="21">
        <f>COUNTIFS(客户资料[年龄段],A8,客户资料[性别],"女")</f>
        <v>6</v>
      </c>
      <c r="D8" s="21">
        <f t="shared" si="0"/>
        <v>17</v>
      </c>
    </row>
    <row r="9" spans="1:4">
      <c r="A9" s="20" t="s">
        <v>115</v>
      </c>
      <c r="B9" s="20">
        <f>COUNTIFS(客户资料[年龄段],A9,客户资料[性别],"男")</f>
        <v>4</v>
      </c>
      <c r="C9" s="21">
        <f>COUNTIFS(客户资料[年龄段],A9,客户资料[性别],"女")</f>
        <v>1</v>
      </c>
      <c r="D9" s="21">
        <f t="shared" si="0"/>
        <v>5</v>
      </c>
    </row>
    <row r="10" spans="1:4">
      <c r="A10" s="20" t="s">
        <v>119</v>
      </c>
      <c r="B10" s="20">
        <f>COUNTIFS(客户资料[年龄段],A10,客户资料[性别],"男")</f>
        <v>4</v>
      </c>
      <c r="C10" s="21">
        <f>COUNTIFS(客户资料[年龄段],A10,客户资料[性别],"女")</f>
        <v>1</v>
      </c>
      <c r="D10" s="21">
        <f t="shared" si="0"/>
        <v>5</v>
      </c>
    </row>
    <row r="11" spans="1:4">
      <c r="A11" s="20" t="s">
        <v>118</v>
      </c>
      <c r="B11" s="20">
        <f>COUNTIFS(客户资料[年龄段],A11,客户资料[性别],"男")</f>
        <v>3</v>
      </c>
      <c r="C11" s="21">
        <f>COUNTIFS(客户资料[年龄段],A11,客户资料[性别],"女")</f>
        <v>2</v>
      </c>
      <c r="D11" s="21">
        <f t="shared" si="0"/>
        <v>5</v>
      </c>
    </row>
    <row r="12" spans="1:4">
      <c r="A12" s="20" t="s">
        <v>129</v>
      </c>
      <c r="B12" s="20">
        <f>COUNTIFS(客户资料[年龄段],A12,客户资料[性别],"男")</f>
        <v>0</v>
      </c>
      <c r="C12" s="21">
        <f>COUNTIFS(客户资料[年龄段],A12,客户资料[性别],"女")</f>
        <v>1</v>
      </c>
      <c r="D12" s="21">
        <f t="shared" si="0"/>
        <v>1</v>
      </c>
    </row>
    <row r="13" spans="1:4" ht="15" thickBot="1">
      <c r="A13" s="22" t="s">
        <v>126</v>
      </c>
      <c r="B13" s="22">
        <f>SUM(B2:B12)</f>
        <v>63</v>
      </c>
      <c r="C13" s="22">
        <f t="shared" ref="C13:D13" si="1">SUM(C2:C12)</f>
        <v>37</v>
      </c>
      <c r="D13" s="22">
        <f t="shared" si="1"/>
        <v>100</v>
      </c>
    </row>
    <row r="14" spans="1:4" ht="15" thickTop="1"/>
  </sheetData>
  <sortState ref="A2:A11">
    <sortCondition ref="A2:A11"/>
  </sortState>
  <phoneticPr fontId="7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&amp;C&amp;A</oddHeader>
    <oddFooter>&amp;C&amp;Pof&amp;N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3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2016年消费</vt:lpstr>
      <vt:lpstr>客户资料</vt:lpstr>
      <vt:lpstr>按年龄和性别</vt:lpstr>
      <vt:lpstr>各年龄段人数</vt:lpstr>
      <vt:lpstr>客户资料!Print_Titles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</dc:creator>
  <cp:lastModifiedBy>wuyou</cp:lastModifiedBy>
  <cp:lastPrinted>2022-03-30T03:38:17Z</cp:lastPrinted>
  <dcterms:created xsi:type="dcterms:W3CDTF">2015-02-27T13:23:55Z</dcterms:created>
  <dcterms:modified xsi:type="dcterms:W3CDTF">2022-03-30T03:40:07Z</dcterms:modified>
</cp:coreProperties>
</file>