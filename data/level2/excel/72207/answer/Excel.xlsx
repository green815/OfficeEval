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21600" windowHeight="10185"/>
  </bookViews>
  <sheets>
    <sheet name="停车收费记录" sheetId="1" r:id="rId1"/>
    <sheet name="数据透视分析" sheetId="4" r:id="rId2"/>
    <sheet name="收费标准" sheetId="2" r:id="rId3"/>
    <sheet name="拟采用的收费标准" sheetId="3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K46" i="1" l="1"/>
  <c r="K111" i="1"/>
  <c r="K175" i="1"/>
  <c r="K239" i="1"/>
  <c r="K303" i="1"/>
  <c r="K351" i="1"/>
  <c r="K383" i="1"/>
  <c r="K415" i="1"/>
  <c r="K463" i="1"/>
  <c r="K527" i="1"/>
  <c r="L345" i="1"/>
  <c r="L377" i="1"/>
  <c r="L409" i="1"/>
  <c r="L10" i="1"/>
  <c r="L26" i="1"/>
  <c r="L42" i="1"/>
  <c r="L58" i="1"/>
  <c r="L74" i="1"/>
  <c r="L90" i="1"/>
  <c r="K103" i="1"/>
  <c r="L106" i="1"/>
  <c r="L122" i="1"/>
  <c r="L138" i="1"/>
  <c r="L154" i="1"/>
  <c r="K167" i="1"/>
  <c r="L170" i="1"/>
  <c r="L186" i="1"/>
  <c r="L202" i="1"/>
  <c r="L218" i="1"/>
  <c r="K231" i="1"/>
  <c r="L234" i="1"/>
  <c r="L250" i="1"/>
  <c r="L266" i="1"/>
  <c r="L282" i="1"/>
  <c r="K295" i="1"/>
  <c r="L298" i="1"/>
  <c r="L314" i="1"/>
  <c r="L330" i="1"/>
  <c r="K347" i="1"/>
  <c r="L350" i="1"/>
  <c r="L354" i="1"/>
  <c r="K379" i="1"/>
  <c r="L382" i="1"/>
  <c r="L386" i="1"/>
  <c r="K411" i="1"/>
  <c r="L414" i="1"/>
  <c r="L418" i="1"/>
  <c r="K427" i="1"/>
  <c r="L431" i="1"/>
  <c r="L435" i="1"/>
  <c r="L439" i="1"/>
  <c r="L443" i="1"/>
  <c r="L451" i="1"/>
  <c r="L453" i="1"/>
  <c r="L459" i="1"/>
  <c r="L461" i="1"/>
  <c r="L463" i="1"/>
  <c r="M463" i="1" s="1"/>
  <c r="L467" i="1"/>
  <c r="K471" i="1"/>
  <c r="K474" i="1"/>
  <c r="L475" i="1"/>
  <c r="K482" i="1"/>
  <c r="L483" i="1"/>
  <c r="L485" i="1"/>
  <c r="L491" i="1"/>
  <c r="L493" i="1"/>
  <c r="L495" i="1"/>
  <c r="L499" i="1"/>
  <c r="L503" i="1"/>
  <c r="L507" i="1"/>
  <c r="L515" i="1"/>
  <c r="L517" i="1"/>
  <c r="L523" i="1"/>
  <c r="L525" i="1"/>
  <c r="L527" i="1"/>
  <c r="M527" i="1" s="1"/>
  <c r="L531" i="1"/>
  <c r="K535" i="1"/>
  <c r="L537" i="1"/>
  <c r="L539" i="1"/>
  <c r="L543" i="1"/>
  <c r="L545" i="1"/>
  <c r="L547" i="1"/>
  <c r="J2" i="1"/>
  <c r="K2" i="1" s="1"/>
  <c r="E3" i="1"/>
  <c r="E4" i="1"/>
  <c r="K4" i="1" s="1"/>
  <c r="E5" i="1"/>
  <c r="E6" i="1"/>
  <c r="E7" i="1"/>
  <c r="E8" i="1"/>
  <c r="E9" i="1"/>
  <c r="E10" i="1"/>
  <c r="E11" i="1"/>
  <c r="E12" i="1"/>
  <c r="L12" i="1" s="1"/>
  <c r="E13" i="1"/>
  <c r="E14" i="1"/>
  <c r="E15" i="1"/>
  <c r="E16" i="1"/>
  <c r="E17" i="1"/>
  <c r="E18" i="1"/>
  <c r="E19" i="1"/>
  <c r="E20" i="1"/>
  <c r="L20" i="1" s="1"/>
  <c r="E21" i="1"/>
  <c r="E22" i="1"/>
  <c r="E23" i="1"/>
  <c r="E24" i="1"/>
  <c r="E25" i="1"/>
  <c r="E26" i="1"/>
  <c r="E27" i="1"/>
  <c r="E28" i="1"/>
  <c r="L28" i="1" s="1"/>
  <c r="E29" i="1"/>
  <c r="E30" i="1"/>
  <c r="E31" i="1"/>
  <c r="E32" i="1"/>
  <c r="E33" i="1"/>
  <c r="E34" i="1"/>
  <c r="E35" i="1"/>
  <c r="E36" i="1"/>
  <c r="L36" i="1" s="1"/>
  <c r="E37" i="1"/>
  <c r="E38" i="1"/>
  <c r="E39" i="1"/>
  <c r="E40" i="1"/>
  <c r="E41" i="1"/>
  <c r="E42" i="1"/>
  <c r="E43" i="1"/>
  <c r="E44" i="1"/>
  <c r="L44" i="1" s="1"/>
  <c r="E45" i="1"/>
  <c r="E46" i="1"/>
  <c r="E47" i="1"/>
  <c r="E48" i="1"/>
  <c r="E49" i="1"/>
  <c r="E50" i="1"/>
  <c r="E51" i="1"/>
  <c r="E52" i="1"/>
  <c r="L52" i="1" s="1"/>
  <c r="E53" i="1"/>
  <c r="E54" i="1"/>
  <c r="E55" i="1"/>
  <c r="E56" i="1"/>
  <c r="E57" i="1"/>
  <c r="E58" i="1"/>
  <c r="E59" i="1"/>
  <c r="E60" i="1"/>
  <c r="L60" i="1" s="1"/>
  <c r="E61" i="1"/>
  <c r="E62" i="1"/>
  <c r="E63" i="1"/>
  <c r="E64" i="1"/>
  <c r="E65" i="1"/>
  <c r="E66" i="1"/>
  <c r="E67" i="1"/>
  <c r="E68" i="1"/>
  <c r="L68" i="1" s="1"/>
  <c r="E69" i="1"/>
  <c r="E70" i="1"/>
  <c r="E71" i="1"/>
  <c r="E72" i="1"/>
  <c r="E73" i="1"/>
  <c r="E74" i="1"/>
  <c r="E75" i="1"/>
  <c r="E76" i="1"/>
  <c r="L76" i="1" s="1"/>
  <c r="E77" i="1"/>
  <c r="E78" i="1"/>
  <c r="E79" i="1"/>
  <c r="E80" i="1"/>
  <c r="E81" i="1"/>
  <c r="E82" i="1"/>
  <c r="E83" i="1"/>
  <c r="E84" i="1"/>
  <c r="L84" i="1" s="1"/>
  <c r="E85" i="1"/>
  <c r="E86" i="1"/>
  <c r="E87" i="1"/>
  <c r="E88" i="1"/>
  <c r="E89" i="1"/>
  <c r="E90" i="1"/>
  <c r="E91" i="1"/>
  <c r="E92" i="1"/>
  <c r="L92" i="1" s="1"/>
  <c r="E93" i="1"/>
  <c r="E94" i="1"/>
  <c r="E95" i="1"/>
  <c r="E96" i="1"/>
  <c r="E97" i="1"/>
  <c r="E98" i="1"/>
  <c r="E99" i="1"/>
  <c r="E100" i="1"/>
  <c r="L100" i="1" s="1"/>
  <c r="E101" i="1"/>
  <c r="E102" i="1"/>
  <c r="E103" i="1"/>
  <c r="E104" i="1"/>
  <c r="E105" i="1"/>
  <c r="E106" i="1"/>
  <c r="E107" i="1"/>
  <c r="E108" i="1"/>
  <c r="L108" i="1" s="1"/>
  <c r="E109" i="1"/>
  <c r="E110" i="1"/>
  <c r="E111" i="1"/>
  <c r="E112" i="1"/>
  <c r="E113" i="1"/>
  <c r="E114" i="1"/>
  <c r="E115" i="1"/>
  <c r="E116" i="1"/>
  <c r="L116" i="1" s="1"/>
  <c r="E117" i="1"/>
  <c r="E118" i="1"/>
  <c r="E119" i="1"/>
  <c r="E120" i="1"/>
  <c r="E121" i="1"/>
  <c r="E122" i="1"/>
  <c r="E123" i="1"/>
  <c r="E124" i="1"/>
  <c r="L124" i="1" s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L140" i="1" s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L156" i="1" s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L172" i="1" s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L188" i="1" s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L204" i="1" s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L220" i="1" s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L236" i="1" s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L252" i="1" s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L268" i="1" s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L284" i="1" s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L300" i="1" s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L316" i="1" s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L332" i="1" s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L349" i="1" s="1"/>
  <c r="E350" i="1"/>
  <c r="E351" i="1"/>
  <c r="E352" i="1"/>
  <c r="E353" i="1"/>
  <c r="E354" i="1"/>
  <c r="E355" i="1"/>
  <c r="E356" i="1"/>
  <c r="L356" i="1" s="1"/>
  <c r="E357" i="1"/>
  <c r="E358" i="1"/>
  <c r="E359" i="1"/>
  <c r="E360" i="1"/>
  <c r="E361" i="1"/>
  <c r="L361" i="1" s="1"/>
  <c r="E362" i="1"/>
  <c r="E363" i="1"/>
  <c r="E364" i="1"/>
  <c r="E365" i="1"/>
  <c r="L365" i="1" s="1"/>
  <c r="E366" i="1"/>
  <c r="L366" i="1" s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L381" i="1" s="1"/>
  <c r="E382" i="1"/>
  <c r="E383" i="1"/>
  <c r="E384" i="1"/>
  <c r="E385" i="1"/>
  <c r="E386" i="1"/>
  <c r="E387" i="1"/>
  <c r="E388" i="1"/>
  <c r="L388" i="1" s="1"/>
  <c r="E389" i="1"/>
  <c r="E390" i="1"/>
  <c r="E391" i="1"/>
  <c r="E392" i="1"/>
  <c r="E393" i="1"/>
  <c r="L393" i="1" s="1"/>
  <c r="E394" i="1"/>
  <c r="E395" i="1"/>
  <c r="E396" i="1"/>
  <c r="E397" i="1"/>
  <c r="L397" i="1" s="1"/>
  <c r="E398" i="1"/>
  <c r="L398" i="1" s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L413" i="1" s="1"/>
  <c r="E414" i="1"/>
  <c r="E415" i="1"/>
  <c r="E416" i="1"/>
  <c r="E417" i="1"/>
  <c r="E418" i="1"/>
  <c r="E419" i="1"/>
  <c r="E420" i="1"/>
  <c r="L420" i="1" s="1"/>
  <c r="E421" i="1"/>
  <c r="E422" i="1"/>
  <c r="E423" i="1"/>
  <c r="E424" i="1"/>
  <c r="E425" i="1"/>
  <c r="E426" i="1"/>
  <c r="E427" i="1"/>
  <c r="E428" i="1"/>
  <c r="L428" i="1" s="1"/>
  <c r="E429" i="1"/>
  <c r="E430" i="1"/>
  <c r="E431" i="1"/>
  <c r="E432" i="1"/>
  <c r="E433" i="1"/>
  <c r="E434" i="1"/>
  <c r="E435" i="1"/>
  <c r="E436" i="1"/>
  <c r="L436" i="1" s="1"/>
  <c r="E437" i="1"/>
  <c r="E438" i="1"/>
  <c r="E439" i="1"/>
  <c r="E440" i="1"/>
  <c r="E441" i="1"/>
  <c r="E442" i="1"/>
  <c r="K442" i="1" s="1"/>
  <c r="E443" i="1"/>
  <c r="E444" i="1"/>
  <c r="L444" i="1" s="1"/>
  <c r="E445" i="1"/>
  <c r="E446" i="1"/>
  <c r="E447" i="1"/>
  <c r="E448" i="1"/>
  <c r="E449" i="1"/>
  <c r="E450" i="1"/>
  <c r="E451" i="1"/>
  <c r="E452" i="1"/>
  <c r="L452" i="1" s="1"/>
  <c r="E453" i="1"/>
  <c r="E454" i="1"/>
  <c r="E455" i="1"/>
  <c r="E456" i="1"/>
  <c r="E457" i="1"/>
  <c r="E458" i="1"/>
  <c r="E459" i="1"/>
  <c r="E460" i="1"/>
  <c r="L460" i="1" s="1"/>
  <c r="E461" i="1"/>
  <c r="E462" i="1"/>
  <c r="E463" i="1"/>
  <c r="E464" i="1"/>
  <c r="E465" i="1"/>
  <c r="E466" i="1"/>
  <c r="E467" i="1"/>
  <c r="E468" i="1"/>
  <c r="L468" i="1" s="1"/>
  <c r="E469" i="1"/>
  <c r="E470" i="1"/>
  <c r="E471" i="1"/>
  <c r="E472" i="1"/>
  <c r="E473" i="1"/>
  <c r="E474" i="1"/>
  <c r="E475" i="1"/>
  <c r="E476" i="1"/>
  <c r="L476" i="1" s="1"/>
  <c r="E477" i="1"/>
  <c r="E478" i="1"/>
  <c r="E479" i="1"/>
  <c r="E480" i="1"/>
  <c r="E481" i="1"/>
  <c r="E482" i="1"/>
  <c r="E483" i="1"/>
  <c r="E484" i="1"/>
  <c r="L484" i="1" s="1"/>
  <c r="E485" i="1"/>
  <c r="E486" i="1"/>
  <c r="E487" i="1"/>
  <c r="E488" i="1"/>
  <c r="E489" i="1"/>
  <c r="E490" i="1"/>
  <c r="E491" i="1"/>
  <c r="E492" i="1"/>
  <c r="L492" i="1" s="1"/>
  <c r="E493" i="1"/>
  <c r="E494" i="1"/>
  <c r="E495" i="1"/>
  <c r="E496" i="1"/>
  <c r="E497" i="1"/>
  <c r="E498" i="1"/>
  <c r="E499" i="1"/>
  <c r="E500" i="1"/>
  <c r="L500" i="1" s="1"/>
  <c r="E501" i="1"/>
  <c r="E502" i="1"/>
  <c r="E503" i="1"/>
  <c r="E504" i="1"/>
  <c r="E505" i="1"/>
  <c r="E506" i="1"/>
  <c r="K506" i="1" s="1"/>
  <c r="E507" i="1"/>
  <c r="E508" i="1"/>
  <c r="L508" i="1" s="1"/>
  <c r="E509" i="1"/>
  <c r="E510" i="1"/>
  <c r="E511" i="1"/>
  <c r="E512" i="1"/>
  <c r="E513" i="1"/>
  <c r="E514" i="1"/>
  <c r="E515" i="1"/>
  <c r="E516" i="1"/>
  <c r="L516" i="1" s="1"/>
  <c r="E517" i="1"/>
  <c r="E518" i="1"/>
  <c r="E519" i="1"/>
  <c r="E520" i="1"/>
  <c r="E521" i="1"/>
  <c r="E522" i="1"/>
  <c r="E523" i="1"/>
  <c r="E524" i="1"/>
  <c r="L524" i="1" s="1"/>
  <c r="E525" i="1"/>
  <c r="E526" i="1"/>
  <c r="E527" i="1"/>
  <c r="E528" i="1"/>
  <c r="E529" i="1"/>
  <c r="E530" i="1"/>
  <c r="E531" i="1"/>
  <c r="E532" i="1"/>
  <c r="L532" i="1" s="1"/>
  <c r="E533" i="1"/>
  <c r="E534" i="1"/>
  <c r="E535" i="1"/>
  <c r="E536" i="1"/>
  <c r="E537" i="1"/>
  <c r="E538" i="1"/>
  <c r="E539" i="1"/>
  <c r="E540" i="1"/>
  <c r="L540" i="1" s="1"/>
  <c r="E541" i="1"/>
  <c r="E542" i="1"/>
  <c r="E543" i="1"/>
  <c r="E544" i="1"/>
  <c r="E545" i="1"/>
  <c r="E546" i="1"/>
  <c r="E547" i="1"/>
  <c r="E548" i="1"/>
  <c r="L548" i="1" s="1"/>
  <c r="E549" i="1"/>
  <c r="E550" i="1"/>
  <c r="E2" i="1"/>
  <c r="L549" i="1" l="1"/>
  <c r="K549" i="1"/>
  <c r="L541" i="1"/>
  <c r="K541" i="1"/>
  <c r="L533" i="1"/>
  <c r="K533" i="1"/>
  <c r="K529" i="1"/>
  <c r="L529" i="1"/>
  <c r="K521" i="1"/>
  <c r="L521" i="1"/>
  <c r="M521" i="1" s="1"/>
  <c r="K513" i="1"/>
  <c r="L513" i="1"/>
  <c r="M513" i="1" s="1"/>
  <c r="K509" i="1"/>
  <c r="L509" i="1"/>
  <c r="K505" i="1"/>
  <c r="L505" i="1"/>
  <c r="M505" i="1" s="1"/>
  <c r="L501" i="1"/>
  <c r="K501" i="1"/>
  <c r="K497" i="1"/>
  <c r="L497" i="1"/>
  <c r="M497" i="1" s="1"/>
  <c r="K489" i="1"/>
  <c r="L489" i="1"/>
  <c r="K481" i="1"/>
  <c r="L481" i="1"/>
  <c r="K477" i="1"/>
  <c r="L477" i="1"/>
  <c r="M477" i="1" s="1"/>
  <c r="K473" i="1"/>
  <c r="L473" i="1"/>
  <c r="L469" i="1"/>
  <c r="K469" i="1"/>
  <c r="K465" i="1"/>
  <c r="L465" i="1"/>
  <c r="K457" i="1"/>
  <c r="L457" i="1"/>
  <c r="M457" i="1" s="1"/>
  <c r="K449" i="1"/>
  <c r="L449" i="1"/>
  <c r="M449" i="1" s="1"/>
  <c r="K445" i="1"/>
  <c r="L445" i="1"/>
  <c r="K441" i="1"/>
  <c r="L441" i="1"/>
  <c r="M441" i="1" s="1"/>
  <c r="L437" i="1"/>
  <c r="K437" i="1"/>
  <c r="K433" i="1"/>
  <c r="L433" i="1"/>
  <c r="M433" i="1" s="1"/>
  <c r="K429" i="1"/>
  <c r="L429" i="1"/>
  <c r="K425" i="1"/>
  <c r="L425" i="1"/>
  <c r="M425" i="1" s="1"/>
  <c r="K421" i="1"/>
  <c r="L421" i="1"/>
  <c r="K417" i="1"/>
  <c r="L417" i="1"/>
  <c r="M417" i="1" s="1"/>
  <c r="K545" i="1"/>
  <c r="M545" i="1" s="1"/>
  <c r="K485" i="1"/>
  <c r="M485" i="1" s="1"/>
  <c r="K548" i="1"/>
  <c r="M548" i="1" s="1"/>
  <c r="K544" i="1"/>
  <c r="K540" i="1"/>
  <c r="M540" i="1" s="1"/>
  <c r="K536" i="1"/>
  <c r="K532" i="1"/>
  <c r="M532" i="1" s="1"/>
  <c r="K528" i="1"/>
  <c r="K524" i="1"/>
  <c r="M524" i="1" s="1"/>
  <c r="K520" i="1"/>
  <c r="K516" i="1"/>
  <c r="M516" i="1" s="1"/>
  <c r="K512" i="1"/>
  <c r="K508" i="1"/>
  <c r="M508" i="1" s="1"/>
  <c r="K504" i="1"/>
  <c r="K500" i="1"/>
  <c r="M500" i="1" s="1"/>
  <c r="K496" i="1"/>
  <c r="K492" i="1"/>
  <c r="M492" i="1" s="1"/>
  <c r="K488" i="1"/>
  <c r="K484" i="1"/>
  <c r="M484" i="1" s="1"/>
  <c r="K480" i="1"/>
  <c r="K476" i="1"/>
  <c r="M476" i="1" s="1"/>
  <c r="K472" i="1"/>
  <c r="K468" i="1"/>
  <c r="M468" i="1" s="1"/>
  <c r="K464" i="1"/>
  <c r="K460" i="1"/>
  <c r="M460" i="1" s="1"/>
  <c r="K456" i="1"/>
  <c r="K452" i="1"/>
  <c r="M452" i="1" s="1"/>
  <c r="K448" i="1"/>
  <c r="K444" i="1"/>
  <c r="M444" i="1" s="1"/>
  <c r="K440" i="1"/>
  <c r="K436" i="1"/>
  <c r="M436" i="1" s="1"/>
  <c r="K432" i="1"/>
  <c r="K428" i="1"/>
  <c r="M428" i="1" s="1"/>
  <c r="K424" i="1"/>
  <c r="K420" i="1"/>
  <c r="M420" i="1" s="1"/>
  <c r="K416" i="1"/>
  <c r="L416" i="1"/>
  <c r="K412" i="1"/>
  <c r="L412" i="1"/>
  <c r="K408" i="1"/>
  <c r="K404" i="1"/>
  <c r="K400" i="1"/>
  <c r="L400" i="1"/>
  <c r="K396" i="1"/>
  <c r="L396" i="1"/>
  <c r="K392" i="1"/>
  <c r="K388" i="1"/>
  <c r="M388" i="1" s="1"/>
  <c r="K384" i="1"/>
  <c r="L384" i="1"/>
  <c r="K380" i="1"/>
  <c r="L380" i="1"/>
  <c r="K376" i="1"/>
  <c r="K372" i="1"/>
  <c r="K368" i="1"/>
  <c r="L368" i="1"/>
  <c r="K364" i="1"/>
  <c r="L364" i="1"/>
  <c r="K360" i="1"/>
  <c r="K356" i="1"/>
  <c r="M356" i="1" s="1"/>
  <c r="K352" i="1"/>
  <c r="L352" i="1"/>
  <c r="K348" i="1"/>
  <c r="L348" i="1"/>
  <c r="K344" i="1"/>
  <c r="K340" i="1"/>
  <c r="K336" i="1"/>
  <c r="L336" i="1"/>
  <c r="K332" i="1"/>
  <c r="M332" i="1" s="1"/>
  <c r="K328" i="1"/>
  <c r="L328" i="1"/>
  <c r="K324" i="1"/>
  <c r="K320" i="1"/>
  <c r="L320" i="1"/>
  <c r="K316" i="1"/>
  <c r="M316" i="1" s="1"/>
  <c r="K312" i="1"/>
  <c r="L312" i="1"/>
  <c r="K308" i="1"/>
  <c r="K304" i="1"/>
  <c r="L304" i="1"/>
  <c r="K300" i="1"/>
  <c r="M300" i="1" s="1"/>
  <c r="K296" i="1"/>
  <c r="L296" i="1"/>
  <c r="K292" i="1"/>
  <c r="K288" i="1"/>
  <c r="L288" i="1"/>
  <c r="K284" i="1"/>
  <c r="M284" i="1" s="1"/>
  <c r="K280" i="1"/>
  <c r="L280" i="1"/>
  <c r="K276" i="1"/>
  <c r="K272" i="1"/>
  <c r="L272" i="1"/>
  <c r="K268" i="1"/>
  <c r="M268" i="1" s="1"/>
  <c r="K264" i="1"/>
  <c r="L264" i="1"/>
  <c r="K260" i="1"/>
  <c r="K256" i="1"/>
  <c r="L256" i="1"/>
  <c r="K252" i="1"/>
  <c r="M252" i="1" s="1"/>
  <c r="K248" i="1"/>
  <c r="L248" i="1"/>
  <c r="K244" i="1"/>
  <c r="K240" i="1"/>
  <c r="L240" i="1"/>
  <c r="K236" i="1"/>
  <c r="M236" i="1" s="1"/>
  <c r="K232" i="1"/>
  <c r="L232" i="1"/>
  <c r="K228" i="1"/>
  <c r="K224" i="1"/>
  <c r="L224" i="1"/>
  <c r="K220" i="1"/>
  <c r="M220" i="1" s="1"/>
  <c r="K216" i="1"/>
  <c r="L216" i="1"/>
  <c r="K212" i="1"/>
  <c r="K208" i="1"/>
  <c r="L208" i="1"/>
  <c r="K204" i="1"/>
  <c r="M204" i="1" s="1"/>
  <c r="K200" i="1"/>
  <c r="L200" i="1"/>
  <c r="K196" i="1"/>
  <c r="K192" i="1"/>
  <c r="L192" i="1"/>
  <c r="K188" i="1"/>
  <c r="M188" i="1" s="1"/>
  <c r="K184" i="1"/>
  <c r="L184" i="1"/>
  <c r="K180" i="1"/>
  <c r="K176" i="1"/>
  <c r="L176" i="1"/>
  <c r="K172" i="1"/>
  <c r="M172" i="1" s="1"/>
  <c r="K168" i="1"/>
  <c r="L168" i="1"/>
  <c r="K164" i="1"/>
  <c r="K160" i="1"/>
  <c r="L160" i="1"/>
  <c r="K156" i="1"/>
  <c r="M156" i="1" s="1"/>
  <c r="K152" i="1"/>
  <c r="L152" i="1"/>
  <c r="K148" i="1"/>
  <c r="K144" i="1"/>
  <c r="L144" i="1"/>
  <c r="K140" i="1"/>
  <c r="M140" i="1" s="1"/>
  <c r="K136" i="1"/>
  <c r="L136" i="1"/>
  <c r="K132" i="1"/>
  <c r="K128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L427" i="1"/>
  <c r="M427" i="1" s="1"/>
  <c r="L408" i="1"/>
  <c r="L376" i="1"/>
  <c r="L344" i="1"/>
  <c r="M344" i="1" s="1"/>
  <c r="K543" i="1"/>
  <c r="M543" i="1" s="1"/>
  <c r="K525" i="1"/>
  <c r="M525" i="1" s="1"/>
  <c r="K503" i="1"/>
  <c r="M503" i="1" s="1"/>
  <c r="K461" i="1"/>
  <c r="M461" i="1" s="1"/>
  <c r="K439" i="1"/>
  <c r="M439" i="1" s="1"/>
  <c r="K36" i="1"/>
  <c r="M36" i="1" s="1"/>
  <c r="K547" i="1"/>
  <c r="M547" i="1" s="1"/>
  <c r="K539" i="1"/>
  <c r="M539" i="1" s="1"/>
  <c r="K531" i="1"/>
  <c r="M531" i="1" s="1"/>
  <c r="K523" i="1"/>
  <c r="M523" i="1" s="1"/>
  <c r="K519" i="1"/>
  <c r="K515" i="1"/>
  <c r="M515" i="1" s="1"/>
  <c r="K511" i="1"/>
  <c r="K507" i="1"/>
  <c r="M507" i="1" s="1"/>
  <c r="K499" i="1"/>
  <c r="M499" i="1" s="1"/>
  <c r="K491" i="1"/>
  <c r="M491" i="1" s="1"/>
  <c r="K487" i="1"/>
  <c r="K483" i="1"/>
  <c r="M483" i="1" s="1"/>
  <c r="K479" i="1"/>
  <c r="K475" i="1"/>
  <c r="M475" i="1" s="1"/>
  <c r="K467" i="1"/>
  <c r="M467" i="1" s="1"/>
  <c r="K459" i="1"/>
  <c r="M459" i="1" s="1"/>
  <c r="K455" i="1"/>
  <c r="K451" i="1"/>
  <c r="M451" i="1" s="1"/>
  <c r="K447" i="1"/>
  <c r="K443" i="1"/>
  <c r="M443" i="1" s="1"/>
  <c r="K435" i="1"/>
  <c r="M435" i="1" s="1"/>
  <c r="K423" i="1"/>
  <c r="L419" i="1"/>
  <c r="K419" i="1"/>
  <c r="L415" i="1"/>
  <c r="M415" i="1" s="1"/>
  <c r="L411" i="1"/>
  <c r="M411" i="1" s="1"/>
  <c r="L407" i="1"/>
  <c r="K407" i="1"/>
  <c r="L403" i="1"/>
  <c r="K403" i="1"/>
  <c r="L399" i="1"/>
  <c r="L395" i="1"/>
  <c r="L391" i="1"/>
  <c r="K391" i="1"/>
  <c r="L387" i="1"/>
  <c r="K387" i="1"/>
  <c r="L383" i="1"/>
  <c r="M383" i="1" s="1"/>
  <c r="L379" i="1"/>
  <c r="M379" i="1" s="1"/>
  <c r="L375" i="1"/>
  <c r="K375" i="1"/>
  <c r="L371" i="1"/>
  <c r="K371" i="1"/>
  <c r="L367" i="1"/>
  <c r="L363" i="1"/>
  <c r="L359" i="1"/>
  <c r="K359" i="1"/>
  <c r="L355" i="1"/>
  <c r="K355" i="1"/>
  <c r="L351" i="1"/>
  <c r="M351" i="1" s="1"/>
  <c r="L347" i="1"/>
  <c r="M347" i="1" s="1"/>
  <c r="L343" i="1"/>
  <c r="K343" i="1"/>
  <c r="L339" i="1"/>
  <c r="K339" i="1"/>
  <c r="L335" i="1"/>
  <c r="K331" i="1"/>
  <c r="L331" i="1"/>
  <c r="L327" i="1"/>
  <c r="K323" i="1"/>
  <c r="L323" i="1"/>
  <c r="L319" i="1"/>
  <c r="K319" i="1"/>
  <c r="K315" i="1"/>
  <c r="L315" i="1"/>
  <c r="L311" i="1"/>
  <c r="K311" i="1"/>
  <c r="K307" i="1"/>
  <c r="L307" i="1"/>
  <c r="L303" i="1"/>
  <c r="M303" i="1" s="1"/>
  <c r="K299" i="1"/>
  <c r="L299" i="1"/>
  <c r="L295" i="1"/>
  <c r="M295" i="1" s="1"/>
  <c r="K291" i="1"/>
  <c r="L291" i="1"/>
  <c r="L287" i="1"/>
  <c r="K287" i="1"/>
  <c r="K283" i="1"/>
  <c r="L283" i="1"/>
  <c r="L279" i="1"/>
  <c r="K279" i="1"/>
  <c r="K275" i="1"/>
  <c r="L275" i="1"/>
  <c r="L271" i="1"/>
  <c r="K267" i="1"/>
  <c r="L267" i="1"/>
  <c r="L263" i="1"/>
  <c r="K259" i="1"/>
  <c r="L259" i="1"/>
  <c r="L255" i="1"/>
  <c r="K255" i="1"/>
  <c r="K251" i="1"/>
  <c r="L251" i="1"/>
  <c r="L247" i="1"/>
  <c r="K247" i="1"/>
  <c r="K243" i="1"/>
  <c r="L243" i="1"/>
  <c r="L239" i="1"/>
  <c r="M239" i="1" s="1"/>
  <c r="K235" i="1"/>
  <c r="L235" i="1"/>
  <c r="L231" i="1"/>
  <c r="M231" i="1" s="1"/>
  <c r="K227" i="1"/>
  <c r="L227" i="1"/>
  <c r="L223" i="1"/>
  <c r="K223" i="1"/>
  <c r="K219" i="1"/>
  <c r="L219" i="1"/>
  <c r="L215" i="1"/>
  <c r="K215" i="1"/>
  <c r="K211" i="1"/>
  <c r="L211" i="1"/>
  <c r="L207" i="1"/>
  <c r="K203" i="1"/>
  <c r="L203" i="1"/>
  <c r="L199" i="1"/>
  <c r="K195" i="1"/>
  <c r="L195" i="1"/>
  <c r="L191" i="1"/>
  <c r="K191" i="1"/>
  <c r="K187" i="1"/>
  <c r="L187" i="1"/>
  <c r="L183" i="1"/>
  <c r="K183" i="1"/>
  <c r="K179" i="1"/>
  <c r="L179" i="1"/>
  <c r="L175" i="1"/>
  <c r="M175" i="1" s="1"/>
  <c r="K171" i="1"/>
  <c r="L171" i="1"/>
  <c r="L167" i="1"/>
  <c r="M167" i="1" s="1"/>
  <c r="K163" i="1"/>
  <c r="L163" i="1"/>
  <c r="L159" i="1"/>
  <c r="K159" i="1"/>
  <c r="K155" i="1"/>
  <c r="L155" i="1"/>
  <c r="L151" i="1"/>
  <c r="K151" i="1"/>
  <c r="K147" i="1"/>
  <c r="L147" i="1"/>
  <c r="L143" i="1"/>
  <c r="K139" i="1"/>
  <c r="L139" i="1"/>
  <c r="L135" i="1"/>
  <c r="K131" i="1"/>
  <c r="L131" i="1"/>
  <c r="L127" i="1"/>
  <c r="K127" i="1"/>
  <c r="K123" i="1"/>
  <c r="L123" i="1"/>
  <c r="L119" i="1"/>
  <c r="K119" i="1"/>
  <c r="K115" i="1"/>
  <c r="L115" i="1"/>
  <c r="L111" i="1"/>
  <c r="M111" i="1" s="1"/>
  <c r="K107" i="1"/>
  <c r="L107" i="1"/>
  <c r="L103" i="1"/>
  <c r="M103" i="1" s="1"/>
  <c r="K99" i="1"/>
  <c r="L99" i="1"/>
  <c r="L95" i="1"/>
  <c r="K95" i="1"/>
  <c r="K91" i="1"/>
  <c r="L91" i="1"/>
  <c r="L87" i="1"/>
  <c r="K87" i="1"/>
  <c r="K83" i="1"/>
  <c r="L83" i="1"/>
  <c r="L79" i="1"/>
  <c r="K75" i="1"/>
  <c r="L75" i="1"/>
  <c r="L71" i="1"/>
  <c r="K67" i="1"/>
  <c r="L67" i="1"/>
  <c r="L63" i="1"/>
  <c r="K63" i="1"/>
  <c r="K59" i="1"/>
  <c r="L59" i="1"/>
  <c r="L55" i="1"/>
  <c r="K55" i="1"/>
  <c r="K51" i="1"/>
  <c r="L51" i="1"/>
  <c r="K47" i="1"/>
  <c r="L47" i="1"/>
  <c r="K43" i="1"/>
  <c r="L43" i="1"/>
  <c r="K39" i="1"/>
  <c r="L39" i="1"/>
  <c r="K35" i="1"/>
  <c r="L35" i="1"/>
  <c r="K31" i="1"/>
  <c r="L31" i="1"/>
  <c r="K27" i="1"/>
  <c r="L27" i="1"/>
  <c r="K23" i="1"/>
  <c r="L23" i="1"/>
  <c r="K19" i="1"/>
  <c r="L19" i="1"/>
  <c r="K15" i="1"/>
  <c r="L15" i="1"/>
  <c r="K11" i="1"/>
  <c r="L11" i="1"/>
  <c r="K7" i="1"/>
  <c r="L7" i="1"/>
  <c r="K3" i="1"/>
  <c r="L3" i="1"/>
  <c r="L544" i="1"/>
  <c r="L536" i="1"/>
  <c r="L528" i="1"/>
  <c r="L520" i="1"/>
  <c r="M520" i="1" s="1"/>
  <c r="L512" i="1"/>
  <c r="L504" i="1"/>
  <c r="L496" i="1"/>
  <c r="L488" i="1"/>
  <c r="M488" i="1" s="1"/>
  <c r="L480" i="1"/>
  <c r="L472" i="1"/>
  <c r="L464" i="1"/>
  <c r="L456" i="1"/>
  <c r="M456" i="1" s="1"/>
  <c r="L448" i="1"/>
  <c r="L440" i="1"/>
  <c r="L432" i="1"/>
  <c r="L424" i="1"/>
  <c r="M424" i="1" s="1"/>
  <c r="L404" i="1"/>
  <c r="M404" i="1" s="1"/>
  <c r="L372" i="1"/>
  <c r="M372" i="1" s="1"/>
  <c r="L340" i="1"/>
  <c r="M340" i="1" s="1"/>
  <c r="L324" i="1"/>
  <c r="L308" i="1"/>
  <c r="M308" i="1" s="1"/>
  <c r="L292" i="1"/>
  <c r="L276" i="1"/>
  <c r="M276" i="1" s="1"/>
  <c r="L260" i="1"/>
  <c r="L244" i="1"/>
  <c r="M244" i="1" s="1"/>
  <c r="L228" i="1"/>
  <c r="L212" i="1"/>
  <c r="M212" i="1" s="1"/>
  <c r="L196" i="1"/>
  <c r="L180" i="1"/>
  <c r="M180" i="1" s="1"/>
  <c r="L164" i="1"/>
  <c r="L148" i="1"/>
  <c r="M148" i="1" s="1"/>
  <c r="L132" i="1"/>
  <c r="L4" i="1"/>
  <c r="M4" i="1" s="1"/>
  <c r="K537" i="1"/>
  <c r="M537" i="1" s="1"/>
  <c r="K517" i="1"/>
  <c r="M517" i="1" s="1"/>
  <c r="K495" i="1"/>
  <c r="M495" i="1" s="1"/>
  <c r="K453" i="1"/>
  <c r="M453" i="1" s="1"/>
  <c r="K431" i="1"/>
  <c r="M431" i="1" s="1"/>
  <c r="K399" i="1"/>
  <c r="K367" i="1"/>
  <c r="K335" i="1"/>
  <c r="K271" i="1"/>
  <c r="K207" i="1"/>
  <c r="K143" i="1"/>
  <c r="K79" i="1"/>
  <c r="K550" i="1"/>
  <c r="L550" i="1"/>
  <c r="K546" i="1"/>
  <c r="L546" i="1"/>
  <c r="K542" i="1"/>
  <c r="L542" i="1"/>
  <c r="K538" i="1"/>
  <c r="L538" i="1"/>
  <c r="K534" i="1"/>
  <c r="L534" i="1"/>
  <c r="K530" i="1"/>
  <c r="L530" i="1"/>
  <c r="K526" i="1"/>
  <c r="L526" i="1"/>
  <c r="K522" i="1"/>
  <c r="L522" i="1"/>
  <c r="K518" i="1"/>
  <c r="L518" i="1"/>
  <c r="L514" i="1"/>
  <c r="K510" i="1"/>
  <c r="L510" i="1"/>
  <c r="L506" i="1"/>
  <c r="M506" i="1" s="1"/>
  <c r="K502" i="1"/>
  <c r="L502" i="1"/>
  <c r="K498" i="1"/>
  <c r="L498" i="1"/>
  <c r="K494" i="1"/>
  <c r="L494" i="1"/>
  <c r="K490" i="1"/>
  <c r="L490" i="1"/>
  <c r="K486" i="1"/>
  <c r="L486" i="1"/>
  <c r="L482" i="1"/>
  <c r="M482" i="1" s="1"/>
  <c r="K478" i="1"/>
  <c r="L478" i="1"/>
  <c r="L474" i="1"/>
  <c r="M474" i="1" s="1"/>
  <c r="K470" i="1"/>
  <c r="L470" i="1"/>
  <c r="K466" i="1"/>
  <c r="L466" i="1"/>
  <c r="K462" i="1"/>
  <c r="L462" i="1"/>
  <c r="K458" i="1"/>
  <c r="L458" i="1"/>
  <c r="K454" i="1"/>
  <c r="L454" i="1"/>
  <c r="L450" i="1"/>
  <c r="K446" i="1"/>
  <c r="L446" i="1"/>
  <c r="L442" i="1"/>
  <c r="M442" i="1" s="1"/>
  <c r="K438" i="1"/>
  <c r="L438" i="1"/>
  <c r="K434" i="1"/>
  <c r="L434" i="1"/>
  <c r="K430" i="1"/>
  <c r="L430" i="1"/>
  <c r="K426" i="1"/>
  <c r="L426" i="1"/>
  <c r="K422" i="1"/>
  <c r="L422" i="1"/>
  <c r="K418" i="1"/>
  <c r="M418" i="1" s="1"/>
  <c r="K414" i="1"/>
  <c r="M414" i="1" s="1"/>
  <c r="K410" i="1"/>
  <c r="L410" i="1"/>
  <c r="K406" i="1"/>
  <c r="L406" i="1"/>
  <c r="K402" i="1"/>
  <c r="K398" i="1"/>
  <c r="M398" i="1" s="1"/>
  <c r="K394" i="1"/>
  <c r="L394" i="1"/>
  <c r="K390" i="1"/>
  <c r="L390" i="1"/>
  <c r="K386" i="1"/>
  <c r="M386" i="1" s="1"/>
  <c r="K382" i="1"/>
  <c r="M382" i="1" s="1"/>
  <c r="K378" i="1"/>
  <c r="L378" i="1"/>
  <c r="K374" i="1"/>
  <c r="L374" i="1"/>
  <c r="K370" i="1"/>
  <c r="K366" i="1"/>
  <c r="M366" i="1" s="1"/>
  <c r="K362" i="1"/>
  <c r="L362" i="1"/>
  <c r="K358" i="1"/>
  <c r="L358" i="1"/>
  <c r="K354" i="1"/>
  <c r="M354" i="1" s="1"/>
  <c r="K350" i="1"/>
  <c r="M350" i="1" s="1"/>
  <c r="K346" i="1"/>
  <c r="L346" i="1"/>
  <c r="K342" i="1"/>
  <c r="L342" i="1"/>
  <c r="K338" i="1"/>
  <c r="K334" i="1"/>
  <c r="L334" i="1"/>
  <c r="K330" i="1"/>
  <c r="M330" i="1" s="1"/>
  <c r="K326" i="1"/>
  <c r="L326" i="1"/>
  <c r="K322" i="1"/>
  <c r="K318" i="1"/>
  <c r="L318" i="1"/>
  <c r="K314" i="1"/>
  <c r="M314" i="1" s="1"/>
  <c r="K310" i="1"/>
  <c r="L310" i="1"/>
  <c r="K306" i="1"/>
  <c r="K302" i="1"/>
  <c r="L302" i="1"/>
  <c r="K298" i="1"/>
  <c r="M298" i="1" s="1"/>
  <c r="K294" i="1"/>
  <c r="L294" i="1"/>
  <c r="K290" i="1"/>
  <c r="K286" i="1"/>
  <c r="L286" i="1"/>
  <c r="K282" i="1"/>
  <c r="M282" i="1" s="1"/>
  <c r="K278" i="1"/>
  <c r="L278" i="1"/>
  <c r="K274" i="1"/>
  <c r="K270" i="1"/>
  <c r="L270" i="1"/>
  <c r="K266" i="1"/>
  <c r="M266" i="1" s="1"/>
  <c r="K262" i="1"/>
  <c r="L262" i="1"/>
  <c r="K258" i="1"/>
  <c r="K254" i="1"/>
  <c r="L254" i="1"/>
  <c r="K250" i="1"/>
  <c r="M250" i="1" s="1"/>
  <c r="K246" i="1"/>
  <c r="L246" i="1"/>
  <c r="K242" i="1"/>
  <c r="K238" i="1"/>
  <c r="L238" i="1"/>
  <c r="K234" i="1"/>
  <c r="M234" i="1" s="1"/>
  <c r="K230" i="1"/>
  <c r="L230" i="1"/>
  <c r="K226" i="1"/>
  <c r="K222" i="1"/>
  <c r="L222" i="1"/>
  <c r="K218" i="1"/>
  <c r="M218" i="1" s="1"/>
  <c r="K214" i="1"/>
  <c r="L214" i="1"/>
  <c r="K210" i="1"/>
  <c r="K206" i="1"/>
  <c r="L206" i="1"/>
  <c r="K202" i="1"/>
  <c r="M202" i="1" s="1"/>
  <c r="K198" i="1"/>
  <c r="L198" i="1"/>
  <c r="K194" i="1"/>
  <c r="K190" i="1"/>
  <c r="L190" i="1"/>
  <c r="K186" i="1"/>
  <c r="M186" i="1" s="1"/>
  <c r="K182" i="1"/>
  <c r="L182" i="1"/>
  <c r="K178" i="1"/>
  <c r="K174" i="1"/>
  <c r="L174" i="1"/>
  <c r="K170" i="1"/>
  <c r="M170" i="1" s="1"/>
  <c r="K166" i="1"/>
  <c r="L166" i="1"/>
  <c r="K162" i="1"/>
  <c r="K158" i="1"/>
  <c r="L158" i="1"/>
  <c r="K154" i="1"/>
  <c r="M154" i="1" s="1"/>
  <c r="K150" i="1"/>
  <c r="L150" i="1"/>
  <c r="K146" i="1"/>
  <c r="K142" i="1"/>
  <c r="L142" i="1"/>
  <c r="K138" i="1"/>
  <c r="M138" i="1" s="1"/>
  <c r="K134" i="1"/>
  <c r="L134" i="1"/>
  <c r="K130" i="1"/>
  <c r="K126" i="1"/>
  <c r="L126" i="1"/>
  <c r="K122" i="1"/>
  <c r="M122" i="1" s="1"/>
  <c r="K118" i="1"/>
  <c r="L118" i="1"/>
  <c r="K114" i="1"/>
  <c r="K110" i="1"/>
  <c r="L110" i="1"/>
  <c r="K106" i="1"/>
  <c r="M106" i="1" s="1"/>
  <c r="K102" i="1"/>
  <c r="L102" i="1"/>
  <c r="K98" i="1"/>
  <c r="K94" i="1"/>
  <c r="L94" i="1"/>
  <c r="K90" i="1"/>
  <c r="M90" i="1" s="1"/>
  <c r="K86" i="1"/>
  <c r="L86" i="1"/>
  <c r="K82" i="1"/>
  <c r="K78" i="1"/>
  <c r="L78" i="1"/>
  <c r="K74" i="1"/>
  <c r="M74" i="1" s="1"/>
  <c r="K70" i="1"/>
  <c r="L70" i="1"/>
  <c r="K66" i="1"/>
  <c r="K62" i="1"/>
  <c r="L62" i="1"/>
  <c r="K58" i="1"/>
  <c r="M58" i="1" s="1"/>
  <c r="K54" i="1"/>
  <c r="L54" i="1"/>
  <c r="K50" i="1"/>
  <c r="L46" i="1"/>
  <c r="M46" i="1" s="1"/>
  <c r="K42" i="1"/>
  <c r="M42" i="1" s="1"/>
  <c r="K38" i="1"/>
  <c r="L38" i="1"/>
  <c r="K34" i="1"/>
  <c r="K30" i="1"/>
  <c r="L30" i="1"/>
  <c r="K26" i="1"/>
  <c r="M26" i="1" s="1"/>
  <c r="K22" i="1"/>
  <c r="L22" i="1"/>
  <c r="K18" i="1"/>
  <c r="K14" i="1"/>
  <c r="L14" i="1"/>
  <c r="K10" i="1"/>
  <c r="M10" i="1" s="1"/>
  <c r="K6" i="1"/>
  <c r="L6" i="1"/>
  <c r="L2" i="1"/>
  <c r="M2" i="1" s="1"/>
  <c r="L535" i="1"/>
  <c r="M535" i="1" s="1"/>
  <c r="L519" i="1"/>
  <c r="L511" i="1"/>
  <c r="M511" i="1" s="1"/>
  <c r="L487" i="1"/>
  <c r="M487" i="1" s="1"/>
  <c r="L479" i="1"/>
  <c r="L471" i="1"/>
  <c r="M471" i="1" s="1"/>
  <c r="L455" i="1"/>
  <c r="L447" i="1"/>
  <c r="M447" i="1" s="1"/>
  <c r="L423" i="1"/>
  <c r="M423" i="1" s="1"/>
  <c r="L402" i="1"/>
  <c r="L392" i="1"/>
  <c r="M392" i="1" s="1"/>
  <c r="L370" i="1"/>
  <c r="L360" i="1"/>
  <c r="L338" i="1"/>
  <c r="L322" i="1"/>
  <c r="L306" i="1"/>
  <c r="L290" i="1"/>
  <c r="M290" i="1" s="1"/>
  <c r="L274" i="1"/>
  <c r="L258" i="1"/>
  <c r="L242" i="1"/>
  <c r="L226" i="1"/>
  <c r="M226" i="1" s="1"/>
  <c r="L210" i="1"/>
  <c r="L194" i="1"/>
  <c r="L178" i="1"/>
  <c r="L162" i="1"/>
  <c r="M162" i="1" s="1"/>
  <c r="L146" i="1"/>
  <c r="L130" i="1"/>
  <c r="L114" i="1"/>
  <c r="L98" i="1"/>
  <c r="M98" i="1" s="1"/>
  <c r="L82" i="1"/>
  <c r="L66" i="1"/>
  <c r="L50" i="1"/>
  <c r="L34" i="1"/>
  <c r="L18" i="1"/>
  <c r="M18" i="1" s="1"/>
  <c r="K514" i="1"/>
  <c r="K493" i="1"/>
  <c r="M493" i="1" s="1"/>
  <c r="K450" i="1"/>
  <c r="K395" i="1"/>
  <c r="K363" i="1"/>
  <c r="K327" i="1"/>
  <c r="K263" i="1"/>
  <c r="K199" i="1"/>
  <c r="K135" i="1"/>
  <c r="K71" i="1"/>
  <c r="K413" i="1"/>
  <c r="M413" i="1" s="1"/>
  <c r="K409" i="1"/>
  <c r="M409" i="1" s="1"/>
  <c r="K405" i="1"/>
  <c r="K401" i="1"/>
  <c r="K397" i="1"/>
  <c r="M397" i="1" s="1"/>
  <c r="K393" i="1"/>
  <c r="M393" i="1" s="1"/>
  <c r="K389" i="1"/>
  <c r="K385" i="1"/>
  <c r="K381" i="1"/>
  <c r="M381" i="1" s="1"/>
  <c r="K377" i="1"/>
  <c r="M377" i="1" s="1"/>
  <c r="K373" i="1"/>
  <c r="K369" i="1"/>
  <c r="K365" i="1"/>
  <c r="M365" i="1" s="1"/>
  <c r="K361" i="1"/>
  <c r="M361" i="1" s="1"/>
  <c r="K357" i="1"/>
  <c r="K353" i="1"/>
  <c r="K349" i="1"/>
  <c r="M349" i="1" s="1"/>
  <c r="K345" i="1"/>
  <c r="M345" i="1" s="1"/>
  <c r="K341" i="1"/>
  <c r="K337" i="1"/>
  <c r="L337" i="1"/>
  <c r="K333" i="1"/>
  <c r="L333" i="1"/>
  <c r="K329" i="1"/>
  <c r="L329" i="1"/>
  <c r="K325" i="1"/>
  <c r="L325" i="1"/>
  <c r="K321" i="1"/>
  <c r="L321" i="1"/>
  <c r="K317" i="1"/>
  <c r="L317" i="1"/>
  <c r="K313" i="1"/>
  <c r="L313" i="1"/>
  <c r="K309" i="1"/>
  <c r="L309" i="1"/>
  <c r="K305" i="1"/>
  <c r="L305" i="1"/>
  <c r="K301" i="1"/>
  <c r="L301" i="1"/>
  <c r="K297" i="1"/>
  <c r="L297" i="1"/>
  <c r="K293" i="1"/>
  <c r="L293" i="1"/>
  <c r="K289" i="1"/>
  <c r="L289" i="1"/>
  <c r="K285" i="1"/>
  <c r="L285" i="1"/>
  <c r="K281" i="1"/>
  <c r="L281" i="1"/>
  <c r="K277" i="1"/>
  <c r="L277" i="1"/>
  <c r="K273" i="1"/>
  <c r="L273" i="1"/>
  <c r="K269" i="1"/>
  <c r="L269" i="1"/>
  <c r="K265" i="1"/>
  <c r="L265" i="1"/>
  <c r="K261" i="1"/>
  <c r="L261" i="1"/>
  <c r="K257" i="1"/>
  <c r="L257" i="1"/>
  <c r="K253" i="1"/>
  <c r="L253" i="1"/>
  <c r="K249" i="1"/>
  <c r="L249" i="1"/>
  <c r="K245" i="1"/>
  <c r="L245" i="1"/>
  <c r="K241" i="1"/>
  <c r="L241" i="1"/>
  <c r="K237" i="1"/>
  <c r="L237" i="1"/>
  <c r="K233" i="1"/>
  <c r="L233" i="1"/>
  <c r="K229" i="1"/>
  <c r="L229" i="1"/>
  <c r="K225" i="1"/>
  <c r="L225" i="1"/>
  <c r="K221" i="1"/>
  <c r="L221" i="1"/>
  <c r="K217" i="1"/>
  <c r="L217" i="1"/>
  <c r="K213" i="1"/>
  <c r="L213" i="1"/>
  <c r="K209" i="1"/>
  <c r="L209" i="1"/>
  <c r="K205" i="1"/>
  <c r="L205" i="1"/>
  <c r="K201" i="1"/>
  <c r="L201" i="1"/>
  <c r="K197" i="1"/>
  <c r="L197" i="1"/>
  <c r="K193" i="1"/>
  <c r="L193" i="1"/>
  <c r="K189" i="1"/>
  <c r="L189" i="1"/>
  <c r="K185" i="1"/>
  <c r="L185" i="1"/>
  <c r="K181" i="1"/>
  <c r="L181" i="1"/>
  <c r="K177" i="1"/>
  <c r="L177" i="1"/>
  <c r="K173" i="1"/>
  <c r="L173" i="1"/>
  <c r="K169" i="1"/>
  <c r="L169" i="1"/>
  <c r="K165" i="1"/>
  <c r="L165" i="1"/>
  <c r="K161" i="1"/>
  <c r="L161" i="1"/>
  <c r="K157" i="1"/>
  <c r="L157" i="1"/>
  <c r="K153" i="1"/>
  <c r="L153" i="1"/>
  <c r="K149" i="1"/>
  <c r="L149" i="1"/>
  <c r="K145" i="1"/>
  <c r="L145" i="1"/>
  <c r="K141" i="1"/>
  <c r="L141" i="1"/>
  <c r="K137" i="1"/>
  <c r="L137" i="1"/>
  <c r="K133" i="1"/>
  <c r="L133" i="1"/>
  <c r="K129" i="1"/>
  <c r="L129" i="1"/>
  <c r="K125" i="1"/>
  <c r="L125" i="1"/>
  <c r="K121" i="1"/>
  <c r="L121" i="1"/>
  <c r="K117" i="1"/>
  <c r="L117" i="1"/>
  <c r="K113" i="1"/>
  <c r="L113" i="1"/>
  <c r="K109" i="1"/>
  <c r="L109" i="1"/>
  <c r="K105" i="1"/>
  <c r="L105" i="1"/>
  <c r="K101" i="1"/>
  <c r="L101" i="1"/>
  <c r="K97" i="1"/>
  <c r="L97" i="1"/>
  <c r="K93" i="1"/>
  <c r="L93" i="1"/>
  <c r="K89" i="1"/>
  <c r="L89" i="1"/>
  <c r="K85" i="1"/>
  <c r="L85" i="1"/>
  <c r="K81" i="1"/>
  <c r="L81" i="1"/>
  <c r="K77" i="1"/>
  <c r="L77" i="1"/>
  <c r="K73" i="1"/>
  <c r="L73" i="1"/>
  <c r="K69" i="1"/>
  <c r="L69" i="1"/>
  <c r="K65" i="1"/>
  <c r="L65" i="1"/>
  <c r="K61" i="1"/>
  <c r="L61" i="1"/>
  <c r="K57" i="1"/>
  <c r="L57" i="1"/>
  <c r="K53" i="1"/>
  <c r="L53" i="1"/>
  <c r="K49" i="1"/>
  <c r="L49" i="1"/>
  <c r="K45" i="1"/>
  <c r="L45" i="1"/>
  <c r="L41" i="1"/>
  <c r="K41" i="1"/>
  <c r="K37" i="1"/>
  <c r="L37" i="1"/>
  <c r="K33" i="1"/>
  <c r="L33" i="1"/>
  <c r="K29" i="1"/>
  <c r="L29" i="1"/>
  <c r="L25" i="1"/>
  <c r="K21" i="1"/>
  <c r="L21" i="1"/>
  <c r="K17" i="1"/>
  <c r="L17" i="1"/>
  <c r="K13" i="1"/>
  <c r="L13" i="1"/>
  <c r="K9" i="1"/>
  <c r="L9" i="1"/>
  <c r="K5" i="1"/>
  <c r="L5" i="1"/>
  <c r="L401" i="1"/>
  <c r="L385" i="1"/>
  <c r="M385" i="1" s="1"/>
  <c r="L369" i="1"/>
  <c r="L353" i="1"/>
  <c r="K25" i="1"/>
  <c r="K124" i="1"/>
  <c r="M124" i="1" s="1"/>
  <c r="K120" i="1"/>
  <c r="K116" i="1"/>
  <c r="M116" i="1" s="1"/>
  <c r="K112" i="1"/>
  <c r="K108" i="1"/>
  <c r="M108" i="1" s="1"/>
  <c r="K104" i="1"/>
  <c r="K100" i="1"/>
  <c r="M100" i="1" s="1"/>
  <c r="K96" i="1"/>
  <c r="K92" i="1"/>
  <c r="M92" i="1" s="1"/>
  <c r="K88" i="1"/>
  <c r="K84" i="1"/>
  <c r="M84" i="1" s="1"/>
  <c r="K80" i="1"/>
  <c r="K76" i="1"/>
  <c r="M76" i="1" s="1"/>
  <c r="K72" i="1"/>
  <c r="K68" i="1"/>
  <c r="M68" i="1" s="1"/>
  <c r="K64" i="1"/>
  <c r="K60" i="1"/>
  <c r="M60" i="1" s="1"/>
  <c r="K56" i="1"/>
  <c r="K52" i="1"/>
  <c r="M52" i="1" s="1"/>
  <c r="K48" i="1"/>
  <c r="K44" i="1"/>
  <c r="M44" i="1" s="1"/>
  <c r="K40" i="1"/>
  <c r="K32" i="1"/>
  <c r="K28" i="1"/>
  <c r="M28" i="1" s="1"/>
  <c r="K24" i="1"/>
  <c r="K20" i="1"/>
  <c r="M20" i="1" s="1"/>
  <c r="K16" i="1"/>
  <c r="K12" i="1"/>
  <c r="M12" i="1" s="1"/>
  <c r="K8" i="1"/>
  <c r="L405" i="1"/>
  <c r="L389" i="1"/>
  <c r="L373" i="1"/>
  <c r="M373" i="1" s="1"/>
  <c r="L357" i="1"/>
  <c r="L341" i="1"/>
  <c r="M41" i="1" l="1"/>
  <c r="M448" i="1"/>
  <c r="M480" i="1"/>
  <c r="M512" i="1"/>
  <c r="M544" i="1"/>
  <c r="M55" i="1"/>
  <c r="M63" i="1"/>
  <c r="M119" i="1"/>
  <c r="M127" i="1"/>
  <c r="M183" i="1"/>
  <c r="M191" i="1"/>
  <c r="M247" i="1"/>
  <c r="M255" i="1"/>
  <c r="M311" i="1"/>
  <c r="M319" i="1"/>
  <c r="M339" i="1"/>
  <c r="M359" i="1"/>
  <c r="M371" i="1"/>
  <c r="M391" i="1"/>
  <c r="M403" i="1"/>
  <c r="M376" i="1"/>
  <c r="M66" i="1"/>
  <c r="M130" i="1"/>
  <c r="M194" i="1"/>
  <c r="M258" i="1"/>
  <c r="M322" i="1"/>
  <c r="M408" i="1"/>
  <c r="M5" i="1"/>
  <c r="M13" i="1"/>
  <c r="M21" i="1"/>
  <c r="M30" i="1"/>
  <c r="M54" i="1"/>
  <c r="M86" i="1"/>
  <c r="M118" i="1"/>
  <c r="M150" i="1"/>
  <c r="M182" i="1"/>
  <c r="M214" i="1"/>
  <c r="M246" i="1"/>
  <c r="M278" i="1"/>
  <c r="M310" i="1"/>
  <c r="M342" i="1"/>
  <c r="M362" i="1"/>
  <c r="M374" i="1"/>
  <c r="M394" i="1"/>
  <c r="M406" i="1"/>
  <c r="M426" i="1"/>
  <c r="M434" i="1"/>
  <c r="M454" i="1"/>
  <c r="M462" i="1"/>
  <c r="M470" i="1"/>
  <c r="M490" i="1"/>
  <c r="M498" i="1"/>
  <c r="M518" i="1"/>
  <c r="M526" i="1"/>
  <c r="M534" i="1"/>
  <c r="M542" i="1"/>
  <c r="M550" i="1"/>
  <c r="M432" i="1"/>
  <c r="M464" i="1"/>
  <c r="M496" i="1"/>
  <c r="M528" i="1"/>
  <c r="M107" i="1"/>
  <c r="M171" i="1"/>
  <c r="M235" i="1"/>
  <c r="M299" i="1"/>
  <c r="M128" i="1"/>
  <c r="M160" i="1"/>
  <c r="M192" i="1"/>
  <c r="M224" i="1"/>
  <c r="M256" i="1"/>
  <c r="M288" i="1"/>
  <c r="M320" i="1"/>
  <c r="M352" i="1"/>
  <c r="M364" i="1"/>
  <c r="M384" i="1"/>
  <c r="M396" i="1"/>
  <c r="M416" i="1"/>
  <c r="M401" i="1"/>
  <c r="M29" i="1"/>
  <c r="M37" i="1"/>
  <c r="M45" i="1"/>
  <c r="M53" i="1"/>
  <c r="M61" i="1"/>
  <c r="M69" i="1"/>
  <c r="M77" i="1"/>
  <c r="M34" i="1"/>
  <c r="M479" i="1"/>
  <c r="M164" i="1"/>
  <c r="M228" i="1"/>
  <c r="M292" i="1"/>
  <c r="M437" i="1"/>
  <c r="M501" i="1"/>
  <c r="M549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45" i="1"/>
  <c r="M253" i="1"/>
  <c r="M261" i="1"/>
  <c r="M269" i="1"/>
  <c r="M277" i="1"/>
  <c r="M285" i="1"/>
  <c r="M293" i="1"/>
  <c r="M301" i="1"/>
  <c r="M309" i="1"/>
  <c r="M317" i="1"/>
  <c r="M325" i="1"/>
  <c r="M333" i="1"/>
  <c r="M455" i="1"/>
  <c r="M6" i="1"/>
  <c r="M38" i="1"/>
  <c r="M62" i="1"/>
  <c r="M94" i="1"/>
  <c r="M126" i="1"/>
  <c r="M158" i="1"/>
  <c r="M190" i="1"/>
  <c r="M222" i="1"/>
  <c r="M254" i="1"/>
  <c r="M286" i="1"/>
  <c r="M318" i="1"/>
  <c r="M450" i="1"/>
  <c r="M478" i="1"/>
  <c r="M132" i="1"/>
  <c r="M196" i="1"/>
  <c r="M260" i="1"/>
  <c r="M324" i="1"/>
  <c r="M3" i="1"/>
  <c r="L551" i="1"/>
  <c r="M11" i="1"/>
  <c r="M19" i="1"/>
  <c r="M27" i="1"/>
  <c r="M35" i="1"/>
  <c r="M43" i="1"/>
  <c r="M51" i="1"/>
  <c r="M59" i="1"/>
  <c r="M67" i="1"/>
  <c r="M115" i="1"/>
  <c r="M123" i="1"/>
  <c r="M131" i="1"/>
  <c r="M179" i="1"/>
  <c r="M187" i="1"/>
  <c r="M195" i="1"/>
  <c r="M243" i="1"/>
  <c r="M251" i="1"/>
  <c r="M259" i="1"/>
  <c r="M307" i="1"/>
  <c r="M315" i="1"/>
  <c r="M323" i="1"/>
  <c r="M395" i="1"/>
  <c r="M56" i="1"/>
  <c r="M88" i="1"/>
  <c r="M120" i="1"/>
  <c r="M136" i="1"/>
  <c r="M168" i="1"/>
  <c r="M200" i="1"/>
  <c r="M232" i="1"/>
  <c r="M264" i="1"/>
  <c r="M296" i="1"/>
  <c r="M328" i="1"/>
  <c r="M519" i="1"/>
  <c r="K551" i="1"/>
  <c r="M514" i="1"/>
  <c r="M363" i="1"/>
  <c r="M24" i="1"/>
  <c r="M82" i="1"/>
  <c r="M146" i="1"/>
  <c r="M210" i="1"/>
  <c r="M274" i="1"/>
  <c r="M338" i="1"/>
  <c r="M402" i="1"/>
  <c r="M79" i="1"/>
  <c r="M87" i="1"/>
  <c r="M95" i="1"/>
  <c r="M143" i="1"/>
  <c r="M151" i="1"/>
  <c r="M159" i="1"/>
  <c r="M207" i="1"/>
  <c r="M215" i="1"/>
  <c r="M223" i="1"/>
  <c r="M271" i="1"/>
  <c r="M279" i="1"/>
  <c r="M287" i="1"/>
  <c r="M335" i="1"/>
  <c r="M343" i="1"/>
  <c r="M355" i="1"/>
  <c r="M367" i="1"/>
  <c r="M375" i="1"/>
  <c r="M387" i="1"/>
  <c r="M399" i="1"/>
  <c r="M407" i="1"/>
  <c r="M419" i="1"/>
  <c r="M32" i="1"/>
  <c r="M64" i="1"/>
  <c r="M96" i="1"/>
  <c r="M541" i="1"/>
  <c r="M389" i="1"/>
  <c r="M353" i="1"/>
  <c r="M341" i="1"/>
  <c r="M405" i="1"/>
  <c r="M369" i="1"/>
  <c r="M33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M241" i="1"/>
  <c r="M249" i="1"/>
  <c r="M257" i="1"/>
  <c r="M265" i="1"/>
  <c r="M273" i="1"/>
  <c r="M281" i="1"/>
  <c r="M289" i="1"/>
  <c r="M297" i="1"/>
  <c r="M305" i="1"/>
  <c r="M313" i="1"/>
  <c r="M321" i="1"/>
  <c r="M329" i="1"/>
  <c r="M337" i="1"/>
  <c r="M360" i="1"/>
  <c r="M22" i="1"/>
  <c r="M78" i="1"/>
  <c r="M110" i="1"/>
  <c r="M142" i="1"/>
  <c r="M174" i="1"/>
  <c r="M206" i="1"/>
  <c r="M238" i="1"/>
  <c r="M270" i="1"/>
  <c r="M302" i="1"/>
  <c r="M334" i="1"/>
  <c r="M446" i="1"/>
  <c r="M510" i="1"/>
  <c r="M440" i="1"/>
  <c r="M472" i="1"/>
  <c r="M504" i="1"/>
  <c r="M536" i="1"/>
  <c r="M7" i="1"/>
  <c r="M15" i="1"/>
  <c r="M23" i="1"/>
  <c r="M31" i="1"/>
  <c r="M39" i="1"/>
  <c r="M47" i="1"/>
  <c r="M71" i="1"/>
  <c r="M83" i="1"/>
  <c r="M91" i="1"/>
  <c r="M99" i="1"/>
  <c r="M135" i="1"/>
  <c r="M147" i="1"/>
  <c r="M155" i="1"/>
  <c r="M163" i="1"/>
  <c r="M199" i="1"/>
  <c r="M211" i="1"/>
  <c r="M219" i="1"/>
  <c r="M227" i="1"/>
  <c r="M263" i="1"/>
  <c r="M275" i="1"/>
  <c r="M283" i="1"/>
  <c r="M291" i="1"/>
  <c r="M327" i="1"/>
  <c r="M8" i="1"/>
  <c r="M40" i="1"/>
  <c r="M72" i="1"/>
  <c r="M104" i="1"/>
  <c r="M152" i="1"/>
  <c r="M184" i="1"/>
  <c r="M216" i="1"/>
  <c r="M248" i="1"/>
  <c r="M280" i="1"/>
  <c r="M312" i="1"/>
  <c r="M469" i="1"/>
  <c r="M489" i="1"/>
  <c r="M533" i="1"/>
  <c r="M357" i="1"/>
  <c r="M9" i="1"/>
  <c r="M17" i="1"/>
  <c r="M25" i="1"/>
  <c r="M50" i="1"/>
  <c r="M114" i="1"/>
  <c r="M178" i="1"/>
  <c r="M242" i="1"/>
  <c r="M306" i="1"/>
  <c r="M370" i="1"/>
  <c r="M14" i="1"/>
  <c r="M70" i="1"/>
  <c r="M102" i="1"/>
  <c r="M134" i="1"/>
  <c r="M166" i="1"/>
  <c r="M198" i="1"/>
  <c r="M230" i="1"/>
  <c r="M262" i="1"/>
  <c r="M294" i="1"/>
  <c r="M326" i="1"/>
  <c r="M346" i="1"/>
  <c r="M358" i="1"/>
  <c r="M378" i="1"/>
  <c r="M390" i="1"/>
  <c r="M410" i="1"/>
  <c r="M422" i="1"/>
  <c r="M430" i="1"/>
  <c r="M438" i="1"/>
  <c r="M458" i="1"/>
  <c r="M466" i="1"/>
  <c r="M486" i="1"/>
  <c r="M494" i="1"/>
  <c r="M502" i="1"/>
  <c r="M522" i="1"/>
  <c r="M530" i="1"/>
  <c r="M538" i="1"/>
  <c r="M546" i="1"/>
  <c r="M75" i="1"/>
  <c r="M139" i="1"/>
  <c r="M203" i="1"/>
  <c r="M267" i="1"/>
  <c r="M331" i="1"/>
  <c r="M16" i="1"/>
  <c r="M48" i="1"/>
  <c r="M80" i="1"/>
  <c r="M112" i="1"/>
  <c r="M144" i="1"/>
  <c r="M176" i="1"/>
  <c r="M208" i="1"/>
  <c r="M240" i="1"/>
  <c r="M272" i="1"/>
  <c r="M304" i="1"/>
  <c r="M336" i="1"/>
  <c r="M348" i="1"/>
  <c r="M368" i="1"/>
  <c r="M380" i="1"/>
  <c r="M400" i="1"/>
  <c r="M412" i="1"/>
  <c r="M421" i="1"/>
  <c r="M429" i="1"/>
  <c r="M445" i="1"/>
  <c r="M465" i="1"/>
  <c r="M473" i="1"/>
  <c r="M481" i="1"/>
  <c r="M509" i="1"/>
  <c r="M529" i="1"/>
  <c r="M551" i="1" l="1"/>
</calcChain>
</file>

<file path=xl/sharedStrings.xml><?xml version="1.0" encoding="utf-8"?>
<sst xmlns="http://schemas.openxmlformats.org/spreadsheetml/2006/main" count="1720" uniqueCount="235">
  <si>
    <t>车牌号码</t>
  </si>
  <si>
    <t>车型</t>
  </si>
  <si>
    <t>车颜色</t>
  </si>
  <si>
    <t>收费标准</t>
  </si>
  <si>
    <t>进场日期</t>
  </si>
  <si>
    <t>进场时间</t>
  </si>
  <si>
    <t>出场日期</t>
  </si>
  <si>
    <t>出场时间</t>
  </si>
  <si>
    <t>停放时间</t>
  </si>
  <si>
    <t>收费金额</t>
  </si>
  <si>
    <t>京J99788</t>
  </si>
  <si>
    <t>中型车</t>
  </si>
  <si>
    <t>白色</t>
  </si>
  <si>
    <t>京JF8530</t>
  </si>
  <si>
    <t>小型车</t>
  </si>
  <si>
    <t>黑色</t>
  </si>
  <si>
    <t>京N95905</t>
  </si>
  <si>
    <t>深蓝色</t>
  </si>
  <si>
    <t>京S8B128</t>
  </si>
  <si>
    <t>京J03T05</t>
  </si>
  <si>
    <t>京JM0542</t>
  </si>
  <si>
    <t>京D1J892</t>
  </si>
  <si>
    <t>银灰色</t>
  </si>
  <si>
    <t>京YU7819</t>
  </si>
  <si>
    <t>京D1K708</t>
  </si>
  <si>
    <t>京D6Q864</t>
  </si>
  <si>
    <t>大型车</t>
  </si>
  <si>
    <t>京Q07487</t>
  </si>
  <si>
    <t>京IP2803</t>
  </si>
  <si>
    <t>京Q16F68</t>
  </si>
  <si>
    <t>京G86B76</t>
  </si>
  <si>
    <t>京F7L876</t>
  </si>
  <si>
    <t>京GH8498</t>
  </si>
  <si>
    <t>京I18H85</t>
  </si>
  <si>
    <t>京I83660</t>
  </si>
  <si>
    <t>京L31P52</t>
  </si>
  <si>
    <t>京D3P207</t>
  </si>
  <si>
    <t>京QR7261</t>
  </si>
  <si>
    <t>京R2O187</t>
  </si>
  <si>
    <t>京W42P15</t>
  </si>
  <si>
    <t>京BC7517</t>
  </si>
  <si>
    <t>京R77D20</t>
  </si>
  <si>
    <t>京S8J403</t>
  </si>
  <si>
    <t>京U35931</t>
  </si>
  <si>
    <t>京C2G232</t>
  </si>
  <si>
    <t>京W9N754</t>
  </si>
  <si>
    <t>京M09531</t>
  </si>
  <si>
    <t>京G17178</t>
  </si>
  <si>
    <t>京F7T568</t>
  </si>
  <si>
    <t>京B91C28</t>
  </si>
  <si>
    <t>京U3K166</t>
  </si>
  <si>
    <t>京Q79966</t>
  </si>
  <si>
    <t>京CH2906</t>
  </si>
  <si>
    <t>京HH2510</t>
  </si>
  <si>
    <t>京B37606</t>
  </si>
  <si>
    <t>京W34O39</t>
  </si>
  <si>
    <t>京H27072</t>
  </si>
  <si>
    <t>京DI7294</t>
  </si>
  <si>
    <t>京O76554</t>
  </si>
  <si>
    <t>京E9K736</t>
  </si>
  <si>
    <t>京R41B61</t>
  </si>
  <si>
    <t>京N42856</t>
  </si>
  <si>
    <t>京V0H045</t>
  </si>
  <si>
    <t>京D82210</t>
  </si>
  <si>
    <t>京R46140</t>
  </si>
  <si>
    <t>京GU23</t>
  </si>
  <si>
    <t>京P88G21</t>
  </si>
  <si>
    <t>京X45B91</t>
  </si>
  <si>
    <t>京MB7897</t>
  </si>
  <si>
    <t>京N58J01</t>
  </si>
  <si>
    <t>京H86761</t>
  </si>
  <si>
    <t>京D1D315</t>
  </si>
  <si>
    <t>京E71K86</t>
  </si>
  <si>
    <t>京E84991</t>
  </si>
  <si>
    <t>京O31L43</t>
  </si>
  <si>
    <t>京UF6777</t>
  </si>
  <si>
    <t>京M44235</t>
  </si>
  <si>
    <t>京P72793</t>
  </si>
  <si>
    <t>京C4B775</t>
  </si>
  <si>
    <t>京R41501</t>
  </si>
  <si>
    <t>京QN8691</t>
  </si>
  <si>
    <t>京F29P72</t>
  </si>
  <si>
    <t>京L44B94</t>
  </si>
  <si>
    <t>京U2S732</t>
  </si>
  <si>
    <t>京G2H013</t>
  </si>
  <si>
    <t>京VM0250</t>
  </si>
  <si>
    <t>京K47364</t>
  </si>
  <si>
    <t>京G18525</t>
  </si>
  <si>
    <t>京V2O668</t>
  </si>
  <si>
    <t>京L9P003</t>
  </si>
  <si>
    <t>京F3U763</t>
  </si>
  <si>
    <t>京T8O094</t>
  </si>
  <si>
    <t>京EI6593</t>
  </si>
  <si>
    <t>京OM7196</t>
  </si>
  <si>
    <t>京N34937</t>
  </si>
  <si>
    <t>京O92667</t>
  </si>
  <si>
    <t>京Y9N329</t>
  </si>
  <si>
    <t>京E20P70</t>
  </si>
  <si>
    <t>京X62H05</t>
  </si>
  <si>
    <t>京G53Q90</t>
  </si>
  <si>
    <t>京G58T70</t>
  </si>
  <si>
    <t>京C29842</t>
  </si>
  <si>
    <t>京I2C982</t>
  </si>
  <si>
    <t>京R86710</t>
  </si>
  <si>
    <t>京L28B91</t>
  </si>
  <si>
    <t>京B40257</t>
  </si>
  <si>
    <t>京JF2166</t>
  </si>
  <si>
    <t>京HK3531</t>
  </si>
  <si>
    <t>京G84E44</t>
  </si>
  <si>
    <t>京Q52Q07</t>
  </si>
  <si>
    <t>京I50368</t>
  </si>
  <si>
    <t>京I29G08</t>
  </si>
  <si>
    <t>京Q3F127</t>
  </si>
  <si>
    <t>京J56R58</t>
  </si>
  <si>
    <t>京F91R59</t>
  </si>
  <si>
    <t>京Q43D56</t>
  </si>
  <si>
    <t>京L92P11</t>
  </si>
  <si>
    <t>京W0D196</t>
  </si>
  <si>
    <t>京E48734</t>
  </si>
  <si>
    <t>京WU1520</t>
  </si>
  <si>
    <t>京TN2176</t>
  </si>
  <si>
    <t>京O0S001</t>
  </si>
  <si>
    <t>京A0H336</t>
  </si>
  <si>
    <t>京W7L073</t>
  </si>
  <si>
    <t>京V08081</t>
  </si>
  <si>
    <t>京G7G717</t>
  </si>
  <si>
    <t>京YP6686</t>
  </si>
  <si>
    <t>京F4T130</t>
  </si>
  <si>
    <t>京M1U277</t>
  </si>
  <si>
    <t>京K2R581</t>
  </si>
  <si>
    <t>京U58270</t>
  </si>
  <si>
    <t>京AO4704</t>
  </si>
  <si>
    <t>京R3U302</t>
  </si>
  <si>
    <t>京G71N96</t>
  </si>
  <si>
    <t>京W84953</t>
  </si>
  <si>
    <t>京TP9893</t>
  </si>
  <si>
    <t>京TR0363</t>
  </si>
  <si>
    <t>京UF6208</t>
  </si>
  <si>
    <t>京XF1078</t>
  </si>
  <si>
    <t>京NH1245</t>
  </si>
  <si>
    <t>京J46J01</t>
  </si>
  <si>
    <t>京L4N723</t>
  </si>
  <si>
    <t>京BU8907</t>
  </si>
  <si>
    <t>京RE4875</t>
  </si>
  <si>
    <t>京U18036</t>
  </si>
  <si>
    <t>京U54399</t>
  </si>
  <si>
    <t>京C9D153</t>
  </si>
  <si>
    <t>京H09310</t>
  </si>
  <si>
    <t>京N04324</t>
  </si>
  <si>
    <t>京T30E01</t>
  </si>
  <si>
    <t>京RM3916</t>
  </si>
  <si>
    <t>京M11436</t>
  </si>
  <si>
    <t>京FF6020</t>
  </si>
  <si>
    <t>京M3P518</t>
  </si>
  <si>
    <t>京H63240</t>
  </si>
  <si>
    <t>京X52R74</t>
  </si>
  <si>
    <t>京T48266</t>
  </si>
  <si>
    <t>京O7G127</t>
  </si>
  <si>
    <t>京T61P01</t>
  </si>
  <si>
    <t>京P25301</t>
  </si>
  <si>
    <t>京TE0525</t>
  </si>
  <si>
    <t>京T02P62</t>
  </si>
  <si>
    <t>京W12T85</t>
  </si>
  <si>
    <t>京RN0588</t>
  </si>
  <si>
    <t>京S2L711</t>
  </si>
  <si>
    <t>京A7H440</t>
  </si>
  <si>
    <t>京MQ5474</t>
  </si>
  <si>
    <t>京A1D355</t>
  </si>
  <si>
    <t>京M95M05</t>
  </si>
  <si>
    <t>京O3H571</t>
  </si>
  <si>
    <t>京Q0P152</t>
  </si>
  <si>
    <t>京R51641</t>
  </si>
  <si>
    <t>京P59090</t>
  </si>
  <si>
    <t>京II0304</t>
  </si>
  <si>
    <t>京G75M68</t>
  </si>
  <si>
    <t>京X4M023</t>
  </si>
  <si>
    <t>京Q28050</t>
  </si>
  <si>
    <t>京Q5M745</t>
  </si>
  <si>
    <t>京YB4784</t>
  </si>
  <si>
    <t>京L06I67</t>
  </si>
  <si>
    <t>京FH8306</t>
  </si>
  <si>
    <t>京J09217</t>
  </si>
  <si>
    <t>京YK8035</t>
  </si>
  <si>
    <t>京G1K049</t>
  </si>
  <si>
    <t>京H17030</t>
  </si>
  <si>
    <t>京KJ5252</t>
  </si>
  <si>
    <t>京K4J374</t>
  </si>
  <si>
    <t>京O48H43</t>
  </si>
  <si>
    <t>京I59290</t>
  </si>
  <si>
    <t>京R96L79</t>
  </si>
  <si>
    <t>京G17L84</t>
  </si>
  <si>
    <t>京G1U705</t>
  </si>
  <si>
    <t>京I46052</t>
  </si>
  <si>
    <t>京C75762</t>
  </si>
  <si>
    <t>京PO1317</t>
  </si>
  <si>
    <t>京SI0042</t>
  </si>
  <si>
    <t>京S1I014</t>
  </si>
  <si>
    <t>京QQ8629</t>
  </si>
  <si>
    <t>京O44893</t>
  </si>
  <si>
    <t>京A2O469</t>
  </si>
  <si>
    <t>京SH7911</t>
  </si>
  <si>
    <t>京LT1274</t>
  </si>
  <si>
    <t>京I97029</t>
  </si>
  <si>
    <t>京T8B678</t>
  </si>
  <si>
    <t>京D67140</t>
  </si>
  <si>
    <t>京T0R693</t>
  </si>
  <si>
    <t>京T5P525</t>
  </si>
  <si>
    <t>京G39103</t>
  </si>
  <si>
    <t>京M18643</t>
  </si>
  <si>
    <t>序号</t>
    <phoneticPr fontId="3" type="noConversion"/>
  </si>
  <si>
    <t>收费标准</t>
    <phoneticPr fontId="3" type="noConversion"/>
  </si>
  <si>
    <t>车型</t>
    <phoneticPr fontId="3" type="noConversion"/>
  </si>
  <si>
    <t>元/15分钟</t>
    <phoneticPr fontId="3" type="noConversion"/>
  </si>
  <si>
    <t>小型车</t>
    <phoneticPr fontId="3" type="noConversion"/>
  </si>
  <si>
    <t>说明：不足15分钟按15分钟收费</t>
    <phoneticPr fontId="3" type="noConversion"/>
  </si>
  <si>
    <t>车型</t>
    <phoneticPr fontId="3" type="noConversion"/>
  </si>
  <si>
    <t>元/15分钟</t>
    <phoneticPr fontId="3" type="noConversion"/>
  </si>
  <si>
    <t>小型车</t>
    <phoneticPr fontId="3" type="noConversion"/>
  </si>
  <si>
    <t>说明：不足15分钟的部分不收费</t>
    <phoneticPr fontId="3" type="noConversion"/>
  </si>
  <si>
    <t>拟收费金额</t>
    <phoneticPr fontId="3" type="noConversion"/>
  </si>
  <si>
    <t>收费差值</t>
    <phoneticPr fontId="3" type="noConversion"/>
  </si>
  <si>
    <t>汇总</t>
  </si>
  <si>
    <t>行标签</t>
  </si>
  <si>
    <t>总计</t>
  </si>
  <si>
    <t>列标签</t>
  </si>
  <si>
    <t>5月26日</t>
  </si>
  <si>
    <t>5月27日</t>
  </si>
  <si>
    <t>5月28日</t>
  </si>
  <si>
    <t>5月29日</t>
  </si>
  <si>
    <t>5月30日</t>
  </si>
  <si>
    <t>5月31日</t>
  </si>
  <si>
    <t>6月1日</t>
  </si>
  <si>
    <t>求和项:收费金额</t>
  </si>
  <si>
    <t>求和项:拟收费金额</t>
  </si>
  <si>
    <t>求和项:收费差值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</si>
</sst>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 &quot;¥&quot;* #,##0.00_ ;_ &quot;¥&quot;* \-#,##0.00_ ;_ &quot;¥&quot;* &quot;-&quot;??_ ;_ @_ "/>
    <numFmt numFmtId="176" formatCode="yyyy&quot;年&quot;m&quot;月&quot;d&quot;日&quot;;@"/>
    <numFmt numFmtId="177" formatCode="h:mm:ss;@"/>
    <numFmt numFmtId="178" formatCode="0.0_ "/>
    <numFmt numFmtId="179" formatCode="[h]&quot;时&quot;mm&quot;分&quot;;@"/>
    <numFmt numFmtId="181" formatCode="[h]&quot;小时&quot;m&quot;分钟&quot;;@"/>
  </numFmts>
  <fonts count="7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0">
    <xf numFmtId="0" fontId="0" fillId="0" borderId="0" xfId="0">
      <alignment vertical="center"/>
    </xf>
    <xf numFmtId="0" fontId="1" fillId="0" borderId="0" xfId="1" applyFont="1" applyFill="1" applyBorder="1" applyAlignment="1">
      <alignment wrapText="1"/>
    </xf>
    <xf numFmtId="176" fontId="1" fillId="0" borderId="0" xfId="1" applyNumberFormat="1" applyFont="1" applyFill="1" applyBorder="1" applyAlignment="1">
      <alignment horizontal="right" wrapText="1"/>
    </xf>
    <xf numFmtId="176" fontId="0" fillId="0" borderId="0" xfId="0" applyNumberFormat="1">
      <alignment vertical="center"/>
    </xf>
    <xf numFmtId="177" fontId="1" fillId="0" borderId="0" xfId="1" applyNumberFormat="1" applyFont="1" applyFill="1" applyBorder="1" applyAlignment="1">
      <alignment horizontal="right" wrapText="1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" fillId="0" borderId="1" xfId="1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176" fontId="5" fillId="0" borderId="0" xfId="1" applyNumberFormat="1" applyFont="1" applyFill="1" applyBorder="1" applyAlignment="1">
      <alignment horizontal="center"/>
    </xf>
    <xf numFmtId="177" fontId="5" fillId="0" borderId="0" xfId="1" applyNumberFormat="1" applyFont="1" applyFill="1" applyBorder="1" applyAlignment="1">
      <alignment horizontal="center"/>
    </xf>
    <xf numFmtId="0" fontId="6" fillId="0" borderId="0" xfId="0" applyFont="1">
      <alignment vertical="center"/>
    </xf>
    <xf numFmtId="44" fontId="5" fillId="0" borderId="0" xfId="1" applyNumberFormat="1" applyFont="1" applyFill="1" applyBorder="1" applyAlignment="1">
      <alignment horizontal="center"/>
    </xf>
    <xf numFmtId="44" fontId="2" fillId="0" borderId="0" xfId="1" applyNumberFormat="1" applyFill="1" applyBorder="1"/>
    <xf numFmtId="44" fontId="0" fillId="0" borderId="0" xfId="0" applyNumberFormat="1">
      <alignment vertical="center"/>
    </xf>
    <xf numFmtId="44" fontId="4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right" wrapText="1"/>
    </xf>
    <xf numFmtId="44" fontId="2" fillId="0" borderId="0" xfId="0" applyNumberFormat="1" applyFont="1" applyFill="1" applyBorder="1" applyAlignment="1" applyProtection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81" fontId="2" fillId="0" borderId="0" xfId="1" applyNumberFormat="1" applyFill="1" applyBorder="1"/>
  </cellXfs>
  <cellStyles count="2">
    <cellStyle name="常规" xfId="0" builtinId="0"/>
    <cellStyle name="常规_Sheet1" xfId="1"/>
  </cellStyles>
  <dxfs count="27"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宋体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 vertical="center" textRotation="0" wrapText="0" indent="0" justifyLastLine="0" shrinkToFit="0" readingOrder="0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</dxf>
    <dxf>
      <numFmt numFmtId="179" formatCode="[h]&quot;时&quot;mm&quot;分&quot;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177" formatCode="h:mm:ss;@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176" formatCode="yyyy&quot;年&quot;m&quot;月&quot;d&quot;日&quot;;@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177" formatCode="h:mm:ss;@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numFmt numFmtId="176" formatCode="yyyy&quot;年&quot;m&quot;月&quot;d&quot;日&quot;;@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477.62931851852" createdVersion="6" refreshedVersion="6" minRefreshableVersion="3" recordCount="549">
  <cacheSource type="worksheet">
    <worksheetSource name="表1"/>
  </cacheSource>
  <cacheFields count="14">
    <cacheField name="序号" numFmtId="0">
      <sharedItems containsSemiMixedTypes="0" containsString="0" containsNumber="1" containsInteger="1" minValue="1" maxValue="549"/>
    </cacheField>
    <cacheField name="车牌号码" numFmtId="0">
      <sharedItems/>
    </cacheField>
    <cacheField name="车型" numFmtId="0">
      <sharedItems count="3">
        <s v="小型车"/>
        <s v="大型车"/>
        <s v="中型车"/>
      </sharedItems>
    </cacheField>
    <cacheField name="车颜色" numFmtId="0">
      <sharedItems/>
    </cacheField>
    <cacheField name="收费标准" numFmtId="44">
      <sharedItems containsSemiMixedTypes="0" containsString="0" containsNumber="1" minValue="1.5" maxValue="2.5"/>
    </cacheField>
    <cacheField name="进场日期" numFmtId="176">
      <sharedItems containsSemiMixedTypes="0" containsNonDate="0" containsDate="1" containsString="0" minDate="2014-05-26T00:00:00" maxDate="2014-06-02T00:00:00" count="7">
        <d v="2014-05-26T00:00:00"/>
        <d v="2014-05-27T00:00:00"/>
        <d v="2014-05-28T00:00:00"/>
        <d v="2014-05-29T00:00:00"/>
        <d v="2014-05-30T00:00:00"/>
        <d v="2014-05-31T00:00:00"/>
        <d v="2014-06-01T00:00:00"/>
      </sharedItems>
      <fieldGroup par="13" base="5">
        <rangePr groupBy="days" startDate="2014-05-26T00:00:00" endDate="2014-06-02T00:00:00"/>
        <groupItems count="368">
          <s v="&lt;2014/5/26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14/6/2"/>
        </groupItems>
      </fieldGroup>
    </cacheField>
    <cacheField name="进场时间" numFmtId="177">
      <sharedItems containsSemiMixedTypes="0" containsNonDate="0" containsDate="1" containsString="0" minDate="1899-12-30T00:00:00" maxDate="1899-12-30T23:59:07"/>
    </cacheField>
    <cacheField name="出场日期" numFmtId="176">
      <sharedItems containsSemiMixedTypes="0" containsNonDate="0" containsDate="1" containsString="0" minDate="2014-05-26T00:00:00" maxDate="2014-06-03T00:00:00"/>
    </cacheField>
    <cacheField name="出场时间" numFmtId="177">
      <sharedItems containsSemiMixedTypes="0" containsNonDate="0" containsDate="1" containsString="0" minDate="1899-12-30T00:02:00" maxDate="1899-12-30T23:57:07"/>
    </cacheField>
    <cacheField name="停放时间" numFmtId="179">
      <sharedItems containsSemiMixedTypes="0" containsNonDate="0" containsDate="1" containsString="0" minDate="1899-12-30T00:00:20" maxDate="1900-01-01T08:34:02"/>
    </cacheField>
    <cacheField name="收费金额" numFmtId="44">
      <sharedItems containsSemiMixedTypes="0" containsString="0" containsNumber="1" minValue="1.5" maxValue="567.5"/>
    </cacheField>
    <cacheField name="拟收费金额" numFmtId="44">
      <sharedItems containsSemiMixedTypes="0" containsString="0" containsNumber="1" minValue="0" maxValue="565"/>
    </cacheField>
    <cacheField name="收费差值" numFmtId="44">
      <sharedItems containsSemiMixedTypes="0" containsString="0" containsNumber="1" minValue="-2.5" maxValue="-1.5"/>
    </cacheField>
    <cacheField name="月" numFmtId="0" databaseField="0">
      <fieldGroup base="5">
        <rangePr groupBy="months" startDate="2014-05-26T00:00:00" endDate="2014-06-02T00:00:00"/>
        <groupItems count="14">
          <s v="&lt;2014/5/26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4/6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9">
  <r>
    <n v="1"/>
    <s v="京N95905"/>
    <x v="0"/>
    <s v="深蓝色"/>
    <n v="1.5"/>
    <x v="0"/>
    <d v="1899-12-30T00:06:00"/>
    <d v="2014-05-26T00:00:00"/>
    <d v="1899-12-30T14:27:04"/>
    <d v="1899-12-30T14:21:04"/>
    <n v="87"/>
    <n v="85.5"/>
    <n v="-1.5"/>
  </r>
  <r>
    <n v="2"/>
    <s v="京H86761"/>
    <x v="1"/>
    <s v="银灰色"/>
    <n v="2.5"/>
    <x v="0"/>
    <d v="1899-12-30T00:15:00"/>
    <d v="2014-05-26T00:00:00"/>
    <d v="1899-12-30T05:29:02"/>
    <d v="1899-12-30T05:14:02"/>
    <n v="52.5"/>
    <n v="50"/>
    <n v="-2.5"/>
  </r>
  <r>
    <n v="3"/>
    <s v="京QR7261"/>
    <x v="2"/>
    <s v="白色"/>
    <n v="2"/>
    <x v="0"/>
    <d v="1899-12-30T00:28:00"/>
    <d v="2014-05-26T00:00:00"/>
    <d v="1899-12-30T01:02:00"/>
    <d v="1899-12-30T00:34:00"/>
    <n v="6"/>
    <n v="4"/>
    <n v="-2"/>
  </r>
  <r>
    <n v="4"/>
    <s v="京U35931"/>
    <x v="1"/>
    <s v="黑色"/>
    <n v="2.5"/>
    <x v="0"/>
    <d v="1899-12-30T00:37:00"/>
    <d v="2014-05-26T00:00:00"/>
    <d v="1899-12-30T04:46:01"/>
    <d v="1899-12-30T04:09:01"/>
    <n v="42.5"/>
    <n v="40"/>
    <n v="-2.5"/>
  </r>
  <r>
    <n v="5"/>
    <s v="京Q3F127"/>
    <x v="1"/>
    <s v="深蓝色"/>
    <n v="2.5"/>
    <x v="0"/>
    <d v="1899-12-30T00:44:00"/>
    <d v="2014-05-26T00:00:00"/>
    <d v="1899-12-30T12:42:04"/>
    <d v="1899-12-30T11:58:03"/>
    <n v="120"/>
    <n v="117.5"/>
    <n v="-2.5"/>
  </r>
  <r>
    <n v="6"/>
    <s v="京S8J403"/>
    <x v="1"/>
    <s v="白色"/>
    <n v="2.5"/>
    <x v="0"/>
    <d v="1899-12-30T01:01:00"/>
    <d v="2014-05-26T00:00:00"/>
    <d v="1899-12-30T02:43:01"/>
    <d v="1899-12-30T01:42:00"/>
    <n v="17.5"/>
    <n v="15"/>
    <n v="-2.5"/>
  </r>
  <r>
    <n v="7"/>
    <s v="京DI7294"/>
    <x v="2"/>
    <s v="黑色"/>
    <n v="2"/>
    <x v="0"/>
    <d v="1899-12-30T01:19:00"/>
    <d v="2014-05-26T00:00:00"/>
    <d v="1899-12-30T06:35:02"/>
    <d v="1899-12-30T05:16:02"/>
    <n v="44"/>
    <n v="42"/>
    <n v="-2"/>
  </r>
  <r>
    <n v="8"/>
    <s v="京J03T05"/>
    <x v="2"/>
    <s v="深蓝色"/>
    <n v="2"/>
    <x v="0"/>
    <d v="1899-12-30T01:23:00"/>
    <d v="2014-05-26T00:00:00"/>
    <d v="1899-12-30T11:02:03"/>
    <d v="1899-12-30T09:39:03"/>
    <n v="78"/>
    <n v="76"/>
    <n v="-2"/>
  </r>
  <r>
    <n v="9"/>
    <s v="京W34O39"/>
    <x v="1"/>
    <s v="黑色"/>
    <n v="2.5"/>
    <x v="0"/>
    <d v="1899-12-30T01:25:00"/>
    <d v="2014-05-26T00:00:00"/>
    <d v="1899-12-30T09:58:03"/>
    <d v="1899-12-30T08:33:02"/>
    <n v="87.5"/>
    <n v="85"/>
    <n v="-2.5"/>
  </r>
  <r>
    <n v="10"/>
    <s v="京L31P52"/>
    <x v="0"/>
    <s v="深蓝色"/>
    <n v="1.5"/>
    <x v="0"/>
    <d v="1899-12-30T01:26:00"/>
    <d v="2014-05-26T00:00:00"/>
    <d v="1899-12-30T15:44:05"/>
    <d v="1899-12-30T14:18:04"/>
    <n v="87"/>
    <n v="85.5"/>
    <n v="-1.5"/>
  </r>
  <r>
    <n v="11"/>
    <s v="京F91R59"/>
    <x v="1"/>
    <s v="深蓝色"/>
    <n v="2.5"/>
    <x v="0"/>
    <d v="1899-12-30T01:31:00"/>
    <d v="2014-05-28T00:00:00"/>
    <d v="1899-12-30T10:05:03"/>
    <d v="1900-01-01T08:34:02"/>
    <n v="567.5"/>
    <n v="565"/>
    <n v="-2.5"/>
  </r>
  <r>
    <n v="12"/>
    <s v="京HH2510"/>
    <x v="0"/>
    <s v="深蓝色"/>
    <n v="1.5"/>
    <x v="0"/>
    <d v="1899-12-30T01:35:00"/>
    <d v="2014-05-26T00:00:00"/>
    <d v="1899-12-30T13:43:04"/>
    <d v="1899-12-30T12:08:03"/>
    <n v="73.5"/>
    <n v="72"/>
    <n v="-1.5"/>
  </r>
  <r>
    <n v="13"/>
    <s v="京K47364"/>
    <x v="2"/>
    <s v="黑色"/>
    <n v="2"/>
    <x v="0"/>
    <d v="1899-12-30T01:37:00"/>
    <d v="2014-05-26T00:00:00"/>
    <d v="1899-12-30T18:04:05"/>
    <d v="1899-12-30T16:27:05"/>
    <n v="132"/>
    <n v="130"/>
    <n v="-2"/>
  </r>
  <r>
    <n v="14"/>
    <s v="京F7L876"/>
    <x v="2"/>
    <s v="深蓝色"/>
    <n v="2"/>
    <x v="0"/>
    <d v="1899-12-30T01:52:01"/>
    <d v="2014-05-26T00:00:00"/>
    <d v="1899-12-30T10:43:03"/>
    <d v="1899-12-30T08:51:03"/>
    <n v="72"/>
    <n v="70"/>
    <n v="-2"/>
  </r>
  <r>
    <n v="15"/>
    <s v="京Q52Q07"/>
    <x v="0"/>
    <s v="深蓝色"/>
    <n v="1.5"/>
    <x v="0"/>
    <d v="1899-12-30T01:52:01"/>
    <d v="2014-05-26T00:00:00"/>
    <d v="1899-12-30T04:04:01"/>
    <d v="1899-12-30T02:12:01"/>
    <n v="13.5"/>
    <n v="12"/>
    <n v="-1.5"/>
  </r>
  <r>
    <n v="16"/>
    <s v="京B37606"/>
    <x v="2"/>
    <s v="黑色"/>
    <n v="2"/>
    <x v="0"/>
    <d v="1899-12-30T02:00:01"/>
    <d v="2014-05-26T00:00:00"/>
    <d v="1899-12-30T15:02:04"/>
    <d v="1899-12-30T13:02:04"/>
    <n v="106"/>
    <n v="104"/>
    <n v="-2"/>
  </r>
  <r>
    <n v="17"/>
    <s v="京R41B61"/>
    <x v="1"/>
    <s v="白色"/>
    <n v="2.5"/>
    <x v="0"/>
    <d v="1899-12-30T02:04:01"/>
    <d v="2014-05-26T00:00:00"/>
    <d v="1899-12-30T15:43:05"/>
    <d v="1899-12-30T13:39:04"/>
    <n v="137.5"/>
    <n v="135"/>
    <n v="-2.5"/>
  </r>
  <r>
    <n v="18"/>
    <s v="京E20P70"/>
    <x v="2"/>
    <s v="白色"/>
    <n v="2"/>
    <x v="0"/>
    <d v="1899-12-30T02:14:01"/>
    <d v="2014-05-26T00:00:00"/>
    <d v="1899-12-30T13:24:04"/>
    <d v="1899-12-30T11:10:03"/>
    <n v="90"/>
    <n v="88"/>
    <n v="-2"/>
  </r>
  <r>
    <n v="19"/>
    <s v="京D6Q864"/>
    <x v="1"/>
    <s v="黑色"/>
    <n v="2.5"/>
    <x v="0"/>
    <d v="1899-12-30T02:21:01"/>
    <d v="2014-05-26T00:00:00"/>
    <d v="1899-12-30T18:28:05"/>
    <d v="1899-12-30T16:07:05"/>
    <n v="162.5"/>
    <n v="160"/>
    <n v="-2.5"/>
  </r>
  <r>
    <n v="20"/>
    <s v="京J99788"/>
    <x v="2"/>
    <s v="白色"/>
    <n v="2"/>
    <x v="0"/>
    <d v="1899-12-30T02:49:01"/>
    <d v="2014-05-26T00:00:00"/>
    <d v="1899-12-30T12:31:04"/>
    <d v="1899-12-30T09:42:03"/>
    <n v="78"/>
    <n v="76"/>
    <n v="-2"/>
  </r>
  <r>
    <n v="21"/>
    <s v="京D1J892"/>
    <x v="0"/>
    <s v="银灰色"/>
    <n v="1.5"/>
    <x v="0"/>
    <d v="1899-12-30T03:41:01"/>
    <d v="2014-05-26T00:00:00"/>
    <d v="1899-12-30T20:12:06"/>
    <d v="1899-12-30T16:31:05"/>
    <n v="100.5"/>
    <n v="99"/>
    <n v="-1.5"/>
  </r>
  <r>
    <n v="22"/>
    <s v="京G53Q90"/>
    <x v="2"/>
    <s v="白色"/>
    <n v="2"/>
    <x v="0"/>
    <d v="1899-12-30T03:51:01"/>
    <d v="2014-05-26T00:00:00"/>
    <d v="1899-12-30T17:53:05"/>
    <d v="1899-12-30T14:02:04"/>
    <n v="114"/>
    <n v="112"/>
    <n v="-2"/>
  </r>
  <r>
    <n v="23"/>
    <s v="京G17178"/>
    <x v="2"/>
    <s v="深蓝色"/>
    <n v="2"/>
    <x v="0"/>
    <d v="1899-12-30T04:20:01"/>
    <d v="2014-05-26T00:00:00"/>
    <d v="1899-12-30T17:48:05"/>
    <d v="1899-12-30T13:28:04"/>
    <n v="108"/>
    <n v="106"/>
    <n v="-2"/>
  </r>
  <r>
    <n v="24"/>
    <s v="京C2G232"/>
    <x v="0"/>
    <s v="深蓝色"/>
    <n v="1.5"/>
    <x v="0"/>
    <d v="1899-12-30T05:00:01"/>
    <d v="2014-05-26T00:00:00"/>
    <d v="1899-12-30T13:35:04"/>
    <d v="1899-12-30T08:35:02"/>
    <n v="52.5"/>
    <n v="51"/>
    <n v="-1.5"/>
  </r>
  <r>
    <n v="25"/>
    <s v="京G2H013"/>
    <x v="0"/>
    <s v="银灰色"/>
    <n v="1.5"/>
    <x v="0"/>
    <d v="1899-12-30T05:22:02"/>
    <d v="2014-05-26T00:00:00"/>
    <d v="1899-12-30T10:00:03"/>
    <d v="1899-12-30T04:38:01"/>
    <n v="28.5"/>
    <n v="27"/>
    <n v="-1.5"/>
  </r>
  <r>
    <n v="26"/>
    <s v="京CH2906"/>
    <x v="1"/>
    <s v="白色"/>
    <n v="2.5"/>
    <x v="0"/>
    <d v="1899-12-30T05:58:02"/>
    <d v="2014-05-26T00:00:00"/>
    <d v="1899-12-30T06:44:02"/>
    <d v="1899-12-30T00:46:00"/>
    <n v="10"/>
    <n v="7.5"/>
    <n v="-2.5"/>
  </r>
  <r>
    <n v="27"/>
    <s v="京GU23"/>
    <x v="1"/>
    <s v="深蓝色"/>
    <n v="2.5"/>
    <x v="0"/>
    <d v="1899-12-30T05:58:02"/>
    <d v="2014-05-26T00:00:00"/>
    <d v="1899-12-30T07:04:02"/>
    <d v="1899-12-30T01:06:00"/>
    <n v="12.5"/>
    <n v="10"/>
    <n v="-2.5"/>
  </r>
  <r>
    <n v="28"/>
    <s v="京G18525"/>
    <x v="2"/>
    <s v="白色"/>
    <n v="2"/>
    <x v="0"/>
    <d v="1899-12-30T06:00:02"/>
    <d v="2014-05-26T00:00:00"/>
    <d v="1899-12-30T11:24:03"/>
    <d v="1899-12-30T05:24:02"/>
    <n v="44"/>
    <n v="42"/>
    <n v="-2"/>
  </r>
  <r>
    <n v="29"/>
    <s v="京J56R58"/>
    <x v="1"/>
    <s v="深蓝色"/>
    <n v="2.5"/>
    <x v="0"/>
    <d v="1899-12-30T06:05:02"/>
    <d v="2014-05-27T00:00:00"/>
    <d v="1899-12-30T06:20:02"/>
    <d v="1899-12-31T00:15:00"/>
    <n v="245"/>
    <n v="242.5"/>
    <n v="-2.5"/>
  </r>
  <r>
    <n v="30"/>
    <s v="京I83660"/>
    <x v="2"/>
    <s v="深蓝色"/>
    <n v="2"/>
    <x v="0"/>
    <d v="1899-12-30T06:17:02"/>
    <d v="2014-05-26T00:00:00"/>
    <d v="1899-12-30T14:28:04"/>
    <d v="1899-12-30T08:11:02"/>
    <n v="66"/>
    <n v="64"/>
    <n v="-2"/>
  </r>
  <r>
    <n v="31"/>
    <s v="京L28B91"/>
    <x v="1"/>
    <s v="银灰色"/>
    <n v="2.5"/>
    <x v="0"/>
    <d v="1899-12-30T06:22:02"/>
    <d v="2014-05-26T00:00:00"/>
    <d v="1899-12-30T16:16:05"/>
    <d v="1899-12-30T09:54:03"/>
    <n v="100"/>
    <n v="97.5"/>
    <n v="-2.5"/>
  </r>
  <r>
    <n v="32"/>
    <s v="京L44B94"/>
    <x v="0"/>
    <s v="白色"/>
    <n v="1.5"/>
    <x v="0"/>
    <d v="1899-12-30T06:25:02"/>
    <d v="2014-05-26T00:00:00"/>
    <d v="1899-12-30T21:54:06"/>
    <d v="1899-12-30T15:29:04"/>
    <n v="93"/>
    <n v="91.5"/>
    <n v="-1.5"/>
  </r>
  <r>
    <n v="33"/>
    <s v="京T8O094"/>
    <x v="1"/>
    <s v="银灰色"/>
    <n v="2.5"/>
    <x v="0"/>
    <d v="1899-12-30T06:28:02"/>
    <d v="2014-05-26T00:00:00"/>
    <d v="1899-12-30T15:01:04"/>
    <d v="1899-12-30T08:33:02"/>
    <n v="87.5"/>
    <n v="85"/>
    <n v="-2.5"/>
  </r>
  <r>
    <n v="34"/>
    <s v="京JF2166"/>
    <x v="2"/>
    <s v="黑色"/>
    <n v="2"/>
    <x v="0"/>
    <d v="1899-12-30T07:06:02"/>
    <d v="2014-05-26T00:00:00"/>
    <d v="1899-12-30T15:34:04"/>
    <d v="1899-12-30T08:28:02"/>
    <n v="68"/>
    <n v="66"/>
    <n v="-2"/>
  </r>
  <r>
    <n v="35"/>
    <s v="京D1D315"/>
    <x v="0"/>
    <s v="深蓝色"/>
    <n v="1.5"/>
    <x v="0"/>
    <d v="1899-12-30T07:24:02"/>
    <d v="2014-05-26T00:00:00"/>
    <d v="1899-12-30T22:43:07"/>
    <d v="1899-12-30T15:19:04"/>
    <n v="93"/>
    <n v="91.5"/>
    <n v="-1.5"/>
  </r>
  <r>
    <n v="36"/>
    <s v="京F7T568"/>
    <x v="1"/>
    <s v="黑色"/>
    <n v="2.5"/>
    <x v="0"/>
    <d v="1899-12-30T07:31:02"/>
    <d v="2014-05-26T00:00:00"/>
    <d v="1899-12-30T08:08:02"/>
    <d v="1899-12-30T00:37:00"/>
    <n v="7.5"/>
    <n v="5"/>
    <n v="-2.5"/>
  </r>
  <r>
    <n v="37"/>
    <s v="京HK3531"/>
    <x v="2"/>
    <s v="黑色"/>
    <n v="2"/>
    <x v="0"/>
    <d v="1899-12-30T07:31:02"/>
    <d v="2014-05-26T00:00:00"/>
    <d v="1899-12-30T21:26:06"/>
    <d v="1899-12-30T13:55:04"/>
    <n v="112"/>
    <n v="110"/>
    <n v="-2"/>
  </r>
  <r>
    <n v="38"/>
    <s v="京GH8498"/>
    <x v="2"/>
    <s v="黑色"/>
    <n v="2"/>
    <x v="0"/>
    <d v="1899-12-30T07:44:02"/>
    <d v="2014-05-26T00:00:00"/>
    <d v="1899-12-30T16:41:05"/>
    <d v="1899-12-30T08:57:03"/>
    <n v="72"/>
    <n v="70"/>
    <n v="-2"/>
  </r>
  <r>
    <n v="39"/>
    <s v="京W42P15"/>
    <x v="2"/>
    <s v="黑色"/>
    <n v="2"/>
    <x v="0"/>
    <d v="1899-12-30T07:46:02"/>
    <d v="2014-05-26T00:00:00"/>
    <d v="1899-12-30T10:40:03"/>
    <d v="1899-12-30T02:54:01"/>
    <n v="24"/>
    <n v="22"/>
    <n v="-2"/>
  </r>
  <r>
    <n v="40"/>
    <s v="京P88G21"/>
    <x v="0"/>
    <s v="银灰色"/>
    <n v="1.5"/>
    <x v="0"/>
    <d v="1899-12-30T08:37:02"/>
    <d v="2014-05-26T00:00:00"/>
    <d v="1899-12-30T13:25:04"/>
    <d v="1899-12-30T04:48:01"/>
    <n v="30"/>
    <n v="28.5"/>
    <n v="-1.5"/>
  </r>
  <r>
    <n v="41"/>
    <s v="京R77D20"/>
    <x v="1"/>
    <s v="银灰色"/>
    <n v="2.5"/>
    <x v="0"/>
    <d v="1899-12-30T09:29:03"/>
    <d v="2014-05-26T00:00:00"/>
    <d v="1899-12-30T12:31:04"/>
    <d v="1899-12-30T03:02:01"/>
    <n v="32.5"/>
    <n v="30"/>
    <n v="-2.5"/>
  </r>
  <r>
    <n v="42"/>
    <s v="京MB7897"/>
    <x v="0"/>
    <s v="深蓝色"/>
    <n v="1.5"/>
    <x v="0"/>
    <d v="1899-12-30T09:30:03"/>
    <d v="2014-05-26T00:00:00"/>
    <d v="1899-12-30T16:53:05"/>
    <d v="1899-12-30T07:23:02"/>
    <n v="45"/>
    <n v="43.5"/>
    <n v="-1.5"/>
  </r>
  <r>
    <n v="43"/>
    <s v="京F3U763"/>
    <x v="2"/>
    <s v="白色"/>
    <n v="2"/>
    <x v="0"/>
    <d v="1899-12-30T09:31:03"/>
    <d v="2014-05-26T00:00:00"/>
    <d v="1899-12-30T16:32:05"/>
    <d v="1899-12-30T07:01:02"/>
    <n v="58"/>
    <n v="56"/>
    <n v="-2"/>
  </r>
  <r>
    <n v="44"/>
    <s v="京VM0250"/>
    <x v="2"/>
    <s v="黑色"/>
    <n v="2"/>
    <x v="0"/>
    <d v="1899-12-30T09:31:03"/>
    <d v="2014-05-26T00:00:00"/>
    <d v="1899-12-30T20:23:06"/>
    <d v="1899-12-30T10:52:03"/>
    <n v="88"/>
    <n v="86"/>
    <n v="-2"/>
  </r>
  <r>
    <n v="45"/>
    <s v="京N58J01"/>
    <x v="0"/>
    <s v="深蓝色"/>
    <n v="1.5"/>
    <x v="0"/>
    <d v="1899-12-30T10:06:03"/>
    <d v="2014-05-26T00:00:00"/>
    <d v="1899-12-30T12:29:04"/>
    <d v="1899-12-30T02:23:01"/>
    <n v="15"/>
    <n v="13.5"/>
    <n v="-1.5"/>
  </r>
  <r>
    <n v="46"/>
    <s v="京S8J403"/>
    <x v="1"/>
    <s v="白色"/>
    <n v="2.5"/>
    <x v="0"/>
    <d v="1899-12-30T10:10:03"/>
    <d v="2014-05-26T00:00:00"/>
    <d v="1899-12-30T21:29:06"/>
    <d v="1899-12-30T11:19:03"/>
    <n v="115"/>
    <n v="112.5"/>
    <n v="-2.5"/>
  </r>
  <r>
    <n v="47"/>
    <s v="京R46140"/>
    <x v="0"/>
    <s v="黑色"/>
    <n v="1.5"/>
    <x v="0"/>
    <d v="1899-12-30T10:43:03"/>
    <d v="2014-05-26T00:00:00"/>
    <d v="1899-12-30T17:49:05"/>
    <d v="1899-12-30T07:06:02"/>
    <n v="43.5"/>
    <n v="42"/>
    <n v="-1.5"/>
  </r>
  <r>
    <n v="48"/>
    <s v="京JF8530"/>
    <x v="0"/>
    <s v="黑色"/>
    <n v="1.5"/>
    <x v="0"/>
    <d v="1899-12-30T10:48:03"/>
    <d v="2014-05-26T00:00:00"/>
    <d v="1899-12-30T16:47:05"/>
    <d v="1899-12-30T05:59:02"/>
    <n v="36"/>
    <n v="34.5"/>
    <n v="-1.5"/>
  </r>
  <r>
    <n v="49"/>
    <s v="京F29P72"/>
    <x v="2"/>
    <s v="银灰色"/>
    <n v="2"/>
    <x v="0"/>
    <d v="1899-12-30T10:50:03"/>
    <d v="2014-05-26T00:00:00"/>
    <d v="1899-12-30T12:48:04"/>
    <d v="1899-12-30T01:58:01"/>
    <n v="16"/>
    <n v="14"/>
    <n v="-2"/>
  </r>
  <r>
    <n v="50"/>
    <s v="京YU7819"/>
    <x v="0"/>
    <s v="黑色"/>
    <n v="1.5"/>
    <x v="0"/>
    <d v="1899-12-30T11:17:03"/>
    <d v="2014-05-26T00:00:00"/>
    <d v="1899-12-30T23:40:07"/>
    <d v="1899-12-30T12:23:04"/>
    <n v="75"/>
    <n v="73.5"/>
    <n v="-1.5"/>
  </r>
  <r>
    <n v="51"/>
    <s v="京OM7196"/>
    <x v="2"/>
    <s v="银灰色"/>
    <n v="2"/>
    <x v="0"/>
    <d v="1899-12-30T12:47:04"/>
    <d v="2014-05-26T00:00:00"/>
    <d v="1899-12-30T20:31:06"/>
    <d v="1899-12-30T07:44:02"/>
    <n v="62"/>
    <n v="60"/>
    <n v="-2"/>
  </r>
  <r>
    <n v="52"/>
    <s v="京I29G08"/>
    <x v="2"/>
    <s v="黑色"/>
    <n v="2"/>
    <x v="0"/>
    <d v="1899-12-30T12:58:04"/>
    <d v="2014-05-26T00:00:00"/>
    <d v="1899-12-30T17:52:05"/>
    <d v="1899-12-30T04:54:01"/>
    <n v="40"/>
    <n v="38"/>
    <n v="-2"/>
  </r>
  <r>
    <n v="53"/>
    <s v="京Q43D56"/>
    <x v="1"/>
    <s v="白色"/>
    <n v="2.5"/>
    <x v="0"/>
    <d v="1899-12-30T13:16:04"/>
    <d v="2014-05-26T00:00:00"/>
    <d v="1899-12-30T18:48:05"/>
    <d v="1899-12-30T05:32:02"/>
    <n v="57.5"/>
    <n v="55"/>
    <n v="-2.5"/>
  </r>
  <r>
    <n v="54"/>
    <s v="京Q07487"/>
    <x v="0"/>
    <s v="黑色"/>
    <n v="1.5"/>
    <x v="0"/>
    <d v="1899-12-30T13:27:04"/>
    <d v="2014-05-27T00:00:00"/>
    <d v="1899-12-30T03:31:01"/>
    <d v="1899-12-30T14:03:57"/>
    <n v="85.5"/>
    <n v="84"/>
    <n v="-1.5"/>
  </r>
  <r>
    <n v="55"/>
    <s v="京I50368"/>
    <x v="0"/>
    <s v="深蓝色"/>
    <n v="1.5"/>
    <x v="0"/>
    <d v="1899-12-30T13:31:04"/>
    <d v="2014-05-27T00:00:00"/>
    <d v="1899-12-30T00:03:00"/>
    <d v="1899-12-30T10:31:56"/>
    <n v="64.5"/>
    <n v="63"/>
    <n v="-1.5"/>
  </r>
  <r>
    <n v="56"/>
    <s v="京IP2803"/>
    <x v="0"/>
    <s v="黑色"/>
    <n v="1.5"/>
    <x v="0"/>
    <d v="1899-12-30T13:39:04"/>
    <d v="2014-05-26T00:00:00"/>
    <d v="1899-12-30T13:47:04"/>
    <d v="1899-12-30T00:08:00"/>
    <n v="1.5"/>
    <n v="0"/>
    <n v="-1.5"/>
  </r>
  <r>
    <n v="57"/>
    <s v="京N34937"/>
    <x v="2"/>
    <s v="深蓝色"/>
    <n v="2"/>
    <x v="0"/>
    <d v="1899-12-30T13:51:04"/>
    <d v="2014-05-26T00:00:00"/>
    <d v="1899-12-30T15:44:05"/>
    <d v="1899-12-30T01:53:01"/>
    <n v="16"/>
    <n v="14"/>
    <n v="-2"/>
  </r>
  <r>
    <n v="58"/>
    <s v="京M09531"/>
    <x v="0"/>
    <s v="深蓝色"/>
    <n v="1.5"/>
    <x v="0"/>
    <d v="1899-12-30T14:03:04"/>
    <d v="2014-05-27T00:00:00"/>
    <d v="1899-12-30T04:56:01"/>
    <d v="1899-12-30T14:52:57"/>
    <n v="90"/>
    <n v="88.5"/>
    <n v="-1.5"/>
  </r>
  <r>
    <n v="59"/>
    <s v="京G58T70"/>
    <x v="1"/>
    <s v="白色"/>
    <n v="2.5"/>
    <x v="0"/>
    <d v="1899-12-30T14:37:04"/>
    <d v="2014-05-26T00:00:00"/>
    <d v="1899-12-30T19:32:06"/>
    <d v="1899-12-30T04:55:01"/>
    <n v="50"/>
    <n v="47.5"/>
    <n v="-2.5"/>
  </r>
  <r>
    <n v="60"/>
    <s v="京R41501"/>
    <x v="0"/>
    <s v="深蓝色"/>
    <n v="1.5"/>
    <x v="0"/>
    <d v="1899-12-30T14:56:04"/>
    <d v="2014-05-26T00:00:00"/>
    <d v="1899-12-30T15:21:04"/>
    <d v="1899-12-30T00:25:00"/>
    <n v="3"/>
    <n v="1.5"/>
    <n v="-1.5"/>
  </r>
  <r>
    <n v="61"/>
    <s v="京EI6593"/>
    <x v="1"/>
    <s v="白色"/>
    <n v="2.5"/>
    <x v="0"/>
    <d v="1899-12-30T15:14:04"/>
    <d v="2014-05-26T00:00:00"/>
    <d v="1899-12-30T17:23:05"/>
    <d v="1899-12-30T02:09:01"/>
    <n v="22.5"/>
    <n v="20"/>
    <n v="-2.5"/>
  </r>
  <r>
    <n v="62"/>
    <s v="京Q16F68"/>
    <x v="2"/>
    <s v="银灰色"/>
    <n v="2"/>
    <x v="0"/>
    <d v="1899-12-30T15:24:04"/>
    <d v="2014-05-26T00:00:00"/>
    <d v="1899-12-30T18:49:05"/>
    <d v="1899-12-30T03:25:01"/>
    <n v="28"/>
    <n v="26"/>
    <n v="-2"/>
  </r>
  <r>
    <n v="63"/>
    <s v="京B37606"/>
    <x v="2"/>
    <s v="黑色"/>
    <n v="2"/>
    <x v="0"/>
    <d v="1899-12-30T15:32:04"/>
    <d v="2014-05-26T00:00:00"/>
    <d v="1899-12-30T20:08:06"/>
    <d v="1899-12-30T04:36:01"/>
    <n v="38"/>
    <n v="36"/>
    <n v="-2"/>
  </r>
  <r>
    <n v="64"/>
    <s v="京P72793"/>
    <x v="0"/>
    <s v="白色"/>
    <n v="1.5"/>
    <x v="0"/>
    <d v="1899-12-30T15:32:04"/>
    <d v="2014-05-26T00:00:00"/>
    <d v="1899-12-30T21:32:06"/>
    <d v="1899-12-30T06:00:02"/>
    <n v="37.5"/>
    <n v="36"/>
    <n v="-1.5"/>
  </r>
  <r>
    <n v="65"/>
    <s v="京UF6777"/>
    <x v="0"/>
    <s v="黑色"/>
    <n v="1.5"/>
    <x v="0"/>
    <d v="1899-12-30T15:41:05"/>
    <d v="2014-05-27T00:00:00"/>
    <d v="1899-12-30T01:23:00"/>
    <d v="1899-12-30T09:41:56"/>
    <n v="58.5"/>
    <n v="57"/>
    <n v="-1.5"/>
  </r>
  <r>
    <n v="66"/>
    <s v="京B40257"/>
    <x v="2"/>
    <s v="银灰色"/>
    <n v="2"/>
    <x v="0"/>
    <d v="1899-12-30T16:00:05"/>
    <d v="2014-05-26T00:00:00"/>
    <d v="1899-12-30T20:29:06"/>
    <d v="1899-12-30T04:29:01"/>
    <n v="36"/>
    <n v="34"/>
    <n v="-2"/>
  </r>
  <r>
    <n v="67"/>
    <s v="京U3K166"/>
    <x v="2"/>
    <s v="深蓝色"/>
    <n v="2"/>
    <x v="0"/>
    <d v="1899-12-30T16:16:05"/>
    <d v="2014-05-26T00:00:00"/>
    <d v="1899-12-30T16:31:05"/>
    <d v="1899-12-30T00:15:00"/>
    <n v="4"/>
    <n v="2"/>
    <n v="-2"/>
  </r>
  <r>
    <n v="68"/>
    <s v="京S8B128"/>
    <x v="0"/>
    <s v="黑色"/>
    <n v="1.5"/>
    <x v="0"/>
    <d v="1899-12-30T16:44:05"/>
    <d v="2014-05-27T00:00:00"/>
    <d v="1899-12-30T06:04:02"/>
    <d v="1899-12-30T13:19:57"/>
    <n v="81"/>
    <n v="79.5"/>
    <n v="-1.5"/>
  </r>
  <r>
    <n v="69"/>
    <s v="京N42856"/>
    <x v="1"/>
    <s v="白色"/>
    <n v="2.5"/>
    <x v="0"/>
    <d v="1899-12-30T17:01:05"/>
    <d v="2014-05-27T00:00:00"/>
    <d v="1899-12-30T06:38:02"/>
    <d v="1899-12-30T13:36:57"/>
    <n v="137.5"/>
    <n v="135"/>
    <n v="-2.5"/>
  </r>
  <r>
    <n v="70"/>
    <s v="京G86B76"/>
    <x v="0"/>
    <s v="银灰色"/>
    <n v="1.5"/>
    <x v="0"/>
    <d v="1899-12-30T17:17:05"/>
    <d v="2014-05-27T00:00:00"/>
    <d v="1899-12-30T01:31:00"/>
    <d v="1899-12-30T08:13:55"/>
    <n v="49.5"/>
    <n v="48"/>
    <n v="-1.5"/>
  </r>
  <r>
    <n v="71"/>
    <s v="京O92667"/>
    <x v="1"/>
    <s v="银灰色"/>
    <n v="2.5"/>
    <x v="0"/>
    <d v="1899-12-30T17:48:05"/>
    <d v="2014-05-27T00:00:00"/>
    <d v="1899-12-30T03:54:01"/>
    <d v="1899-12-30T10:05:56"/>
    <n v="102.5"/>
    <n v="100"/>
    <n v="-2.5"/>
  </r>
  <r>
    <n v="72"/>
    <s v="京D1K708"/>
    <x v="0"/>
    <s v="白色"/>
    <n v="1.5"/>
    <x v="0"/>
    <d v="1899-12-30T18:05:05"/>
    <d v="2014-05-26T00:00:00"/>
    <d v="1899-12-30T21:17:06"/>
    <d v="1899-12-30T03:12:01"/>
    <n v="19.5"/>
    <n v="18"/>
    <n v="-1.5"/>
  </r>
  <r>
    <n v="73"/>
    <s v="京O31L43"/>
    <x v="0"/>
    <s v="黑色"/>
    <n v="1.5"/>
    <x v="0"/>
    <d v="1899-12-30T18:07:05"/>
    <d v="2014-05-27T00:00:00"/>
    <d v="1899-12-30T05:43:02"/>
    <d v="1899-12-30T11:35:56"/>
    <n v="70.5"/>
    <n v="69"/>
    <n v="-1.5"/>
  </r>
  <r>
    <n v="74"/>
    <s v="京D3P207"/>
    <x v="2"/>
    <s v="黑色"/>
    <n v="2"/>
    <x v="0"/>
    <d v="1899-12-30T18:25:05"/>
    <d v="2014-05-26T00:00:00"/>
    <d v="1899-12-30T20:10:06"/>
    <d v="1899-12-30T01:45:01"/>
    <n v="16"/>
    <n v="14"/>
    <n v="-2"/>
  </r>
  <r>
    <n v="75"/>
    <s v="京TN2176"/>
    <x v="2"/>
    <s v="深蓝色"/>
    <n v="2"/>
    <x v="0"/>
    <d v="1899-12-30T18:57:05"/>
    <d v="2014-05-26T00:00:00"/>
    <d v="1899-12-30T18:59:05"/>
    <d v="1899-12-30T00:02:00"/>
    <n v="2"/>
    <n v="0"/>
    <n v="-2"/>
  </r>
  <r>
    <n v="76"/>
    <s v="京E71K86"/>
    <x v="1"/>
    <s v="银灰色"/>
    <n v="2.5"/>
    <x v="0"/>
    <d v="1899-12-30T18:58:05"/>
    <d v="2014-05-27T00:00:00"/>
    <d v="1899-12-30T06:48:02"/>
    <d v="1899-12-30T11:49:56"/>
    <n v="120"/>
    <n v="117.5"/>
    <n v="-2.5"/>
  </r>
  <r>
    <n v="77"/>
    <s v="京G86B76"/>
    <x v="0"/>
    <s v="银灰色"/>
    <n v="1.5"/>
    <x v="0"/>
    <d v="1899-12-30T19:01:05"/>
    <d v="2014-05-26T00:00:00"/>
    <d v="1899-12-30T23:04:07"/>
    <d v="1899-12-30T04:03:01"/>
    <n v="25.5"/>
    <n v="24"/>
    <n v="-1.5"/>
  </r>
  <r>
    <n v="78"/>
    <s v="京C4B775"/>
    <x v="1"/>
    <s v="黑色"/>
    <n v="2.5"/>
    <x v="0"/>
    <d v="1899-12-30T19:09:06"/>
    <d v="2014-05-26T00:00:00"/>
    <d v="1899-12-30T20:05:06"/>
    <d v="1899-12-30T00:56:00"/>
    <n v="10"/>
    <n v="7.5"/>
    <n v="-2.5"/>
  </r>
  <r>
    <n v="79"/>
    <s v="京D82210"/>
    <x v="0"/>
    <s v="银灰色"/>
    <n v="1.5"/>
    <x v="0"/>
    <d v="1899-12-30T19:29:06"/>
    <d v="2014-05-27T00:00:00"/>
    <d v="1899-12-30T09:08:03"/>
    <d v="1899-12-30T13:38:57"/>
    <n v="82.5"/>
    <n v="81"/>
    <n v="-1.5"/>
  </r>
  <r>
    <n v="80"/>
    <s v="京C29842"/>
    <x v="2"/>
    <s v="银灰色"/>
    <n v="2"/>
    <x v="0"/>
    <d v="1899-12-30T20:54:06"/>
    <d v="2014-05-27T00:00:00"/>
    <d v="1899-12-30T10:47:03"/>
    <d v="1899-12-30T13:52:57"/>
    <n v="112"/>
    <n v="110"/>
    <n v="-2"/>
  </r>
  <r>
    <n v="81"/>
    <s v="京M44235"/>
    <x v="0"/>
    <s v="白色"/>
    <n v="1.5"/>
    <x v="0"/>
    <d v="1899-12-30T21:05:06"/>
    <d v="2014-05-26T00:00:00"/>
    <d v="1899-12-30T22:48:07"/>
    <d v="1899-12-30T01:43:00"/>
    <n v="10.5"/>
    <n v="9"/>
    <n v="-1.5"/>
  </r>
  <r>
    <n v="82"/>
    <s v="京E84991"/>
    <x v="1"/>
    <s v="白色"/>
    <n v="2.5"/>
    <x v="0"/>
    <d v="1899-12-30T21:12:06"/>
    <d v="2014-05-27T00:00:00"/>
    <d v="1899-12-30T12:11:04"/>
    <d v="1899-12-30T14:58:57"/>
    <n v="150"/>
    <n v="147.5"/>
    <n v="-2.5"/>
  </r>
  <r>
    <n v="83"/>
    <s v="京R2O187"/>
    <x v="1"/>
    <s v="黑色"/>
    <n v="2.5"/>
    <x v="0"/>
    <d v="1899-12-30T21:26:06"/>
    <d v="2014-05-27T00:00:00"/>
    <d v="1899-12-30T13:00:04"/>
    <d v="1899-12-30T15:33:58"/>
    <n v="157.5"/>
    <n v="155"/>
    <n v="-2.5"/>
  </r>
  <r>
    <n v="84"/>
    <s v="京BC7517"/>
    <x v="2"/>
    <s v="黑色"/>
    <n v="2"/>
    <x v="0"/>
    <d v="1899-12-30T21:27:06"/>
    <d v="2014-05-27T00:00:00"/>
    <d v="1899-12-30T04:41:01"/>
    <d v="1899-12-30T07:13:55"/>
    <n v="58"/>
    <n v="56"/>
    <n v="-2"/>
  </r>
  <r>
    <n v="85"/>
    <s v="京E9K736"/>
    <x v="2"/>
    <s v="深蓝色"/>
    <n v="2"/>
    <x v="0"/>
    <d v="1899-12-30T21:38:06"/>
    <d v="2014-05-27T00:00:00"/>
    <d v="1899-12-30T05:19:02"/>
    <d v="1899-12-30T07:40:55"/>
    <n v="62"/>
    <n v="60"/>
    <n v="-2"/>
  </r>
  <r>
    <n v="86"/>
    <s v="京Q79966"/>
    <x v="1"/>
    <s v="银灰色"/>
    <n v="2.5"/>
    <x v="0"/>
    <d v="1899-12-30T21:46:06"/>
    <d v="2014-05-27T00:00:00"/>
    <d v="1899-12-30T06:33:02"/>
    <d v="1899-12-30T08:46:56"/>
    <n v="90"/>
    <n v="87.5"/>
    <n v="-2.5"/>
  </r>
  <r>
    <n v="87"/>
    <s v="京B91C28"/>
    <x v="1"/>
    <s v="黑色"/>
    <n v="2.5"/>
    <x v="0"/>
    <d v="1899-12-30T21:54:06"/>
    <d v="2014-05-27T00:00:00"/>
    <d v="1899-12-30T04:25:01"/>
    <d v="1899-12-30T06:30:55"/>
    <n v="67.5"/>
    <n v="65"/>
    <n v="-2.5"/>
  </r>
  <r>
    <n v="88"/>
    <s v="京QN8691"/>
    <x v="0"/>
    <s v="深蓝色"/>
    <n v="1.5"/>
    <x v="0"/>
    <d v="1899-12-30T22:05:06"/>
    <d v="2014-05-27T00:00:00"/>
    <d v="1899-12-30T00:02:00"/>
    <d v="1899-12-30T01:56:54"/>
    <n v="12"/>
    <n v="10.5"/>
    <n v="-1.5"/>
  </r>
  <r>
    <n v="89"/>
    <s v="京L92P11"/>
    <x v="0"/>
    <s v="白色"/>
    <n v="1.5"/>
    <x v="0"/>
    <d v="1899-12-30T22:20:06"/>
    <d v="2014-05-27T00:00:00"/>
    <d v="1899-12-30T06:12:02"/>
    <d v="1899-12-30T07:51:55"/>
    <n v="48"/>
    <n v="46.5"/>
    <n v="-1.5"/>
  </r>
  <r>
    <n v="90"/>
    <s v="京WU1520"/>
    <x v="1"/>
    <s v="白色"/>
    <n v="2.5"/>
    <x v="0"/>
    <d v="1899-12-30T22:33:06"/>
    <d v="2014-05-27T00:00:00"/>
    <d v="1899-12-30T12:40:04"/>
    <d v="1899-12-30T14:06:57"/>
    <n v="142.5"/>
    <n v="140"/>
    <n v="-2.5"/>
  </r>
  <r>
    <n v="91"/>
    <s v="京E48734"/>
    <x v="1"/>
    <s v="银灰色"/>
    <n v="2.5"/>
    <x v="0"/>
    <d v="1899-12-30T22:36:07"/>
    <d v="2014-05-27T00:00:00"/>
    <d v="1899-12-30T02:19:01"/>
    <d v="1899-12-30T03:42:54"/>
    <n v="37.5"/>
    <n v="35"/>
    <n v="-2.5"/>
  </r>
  <r>
    <n v="92"/>
    <s v="京X62H05"/>
    <x v="1"/>
    <s v="黑色"/>
    <n v="2.5"/>
    <x v="0"/>
    <d v="1899-12-30T22:50:07"/>
    <d v="2014-05-27T00:00:00"/>
    <d v="1899-12-30T09:56:03"/>
    <d v="1899-12-30T11:05:56"/>
    <n v="112.5"/>
    <n v="110"/>
    <n v="-2.5"/>
  </r>
  <r>
    <n v="93"/>
    <s v="京L9P003"/>
    <x v="1"/>
    <s v="黑色"/>
    <n v="2.5"/>
    <x v="0"/>
    <d v="1899-12-30T22:51:07"/>
    <d v="2014-05-27T00:00:00"/>
    <d v="1899-12-30T05:37:02"/>
    <d v="1899-12-30T06:45:55"/>
    <n v="70"/>
    <n v="67.5"/>
    <n v="-2.5"/>
  </r>
  <r>
    <n v="94"/>
    <s v="京O76554"/>
    <x v="1"/>
    <s v="银灰色"/>
    <n v="2.5"/>
    <x v="0"/>
    <d v="1899-12-30T23:36:07"/>
    <d v="2014-05-27T00:00:00"/>
    <d v="1899-12-30T07:19:02"/>
    <d v="1899-12-30T07:42:55"/>
    <n v="77.5"/>
    <n v="75"/>
    <n v="-2.5"/>
  </r>
  <r>
    <n v="95"/>
    <s v="京U2S732"/>
    <x v="2"/>
    <s v="黑色"/>
    <n v="2"/>
    <x v="0"/>
    <d v="1899-12-30T23:41:07"/>
    <d v="2014-05-27T00:00:00"/>
    <d v="1899-12-30T11:41:03"/>
    <d v="1899-12-30T11:59:57"/>
    <n v="96"/>
    <n v="94"/>
    <n v="-2"/>
  </r>
  <r>
    <n v="96"/>
    <s v="京R86710"/>
    <x v="0"/>
    <s v="黑色"/>
    <n v="1.5"/>
    <x v="0"/>
    <d v="1899-12-30T23:57:07"/>
    <d v="2014-05-27T00:00:00"/>
    <d v="1899-12-30T02:59:01"/>
    <d v="1899-12-30T03:01:54"/>
    <n v="19.5"/>
    <n v="18"/>
    <n v="-1.5"/>
  </r>
  <r>
    <n v="97"/>
    <s v="京BU8907"/>
    <x v="0"/>
    <s v="银灰色"/>
    <n v="1.5"/>
    <x v="1"/>
    <d v="1899-12-30T00:01:00"/>
    <d v="2014-05-27T00:00:00"/>
    <d v="1899-12-30T04:01:01"/>
    <d v="1899-12-30T04:00:01"/>
    <n v="25.5"/>
    <n v="24"/>
    <n v="-1.5"/>
  </r>
  <r>
    <n v="98"/>
    <s v="京U35931"/>
    <x v="1"/>
    <s v="黑色"/>
    <n v="2.5"/>
    <x v="1"/>
    <d v="1899-12-30T00:43:00"/>
    <d v="2014-05-27T00:00:00"/>
    <d v="1899-12-30T15:50:05"/>
    <d v="1899-12-30T15:07:04"/>
    <n v="152.5"/>
    <n v="150"/>
    <n v="-2.5"/>
  </r>
  <r>
    <n v="99"/>
    <s v="京YP6686"/>
    <x v="0"/>
    <s v="白色"/>
    <n v="1.5"/>
    <x v="1"/>
    <d v="1899-12-30T01:31:00"/>
    <d v="2014-05-27T00:00:00"/>
    <d v="1899-12-30T06:14:02"/>
    <d v="1899-12-30T04:43:01"/>
    <n v="28.5"/>
    <n v="27"/>
    <n v="-1.5"/>
  </r>
  <r>
    <n v="100"/>
    <s v="京K2R581"/>
    <x v="2"/>
    <s v="白色"/>
    <n v="2"/>
    <x v="1"/>
    <d v="1899-12-30T01:52:01"/>
    <d v="2014-05-27T00:00:00"/>
    <d v="1899-12-30T12:58:04"/>
    <d v="1899-12-30T11:06:03"/>
    <n v="90"/>
    <n v="88"/>
    <n v="-2"/>
  </r>
  <r>
    <n v="101"/>
    <s v="京F4T130"/>
    <x v="0"/>
    <s v="银灰色"/>
    <n v="1.5"/>
    <x v="1"/>
    <d v="1899-12-30T01:58:01"/>
    <d v="2014-05-27T00:00:00"/>
    <d v="1899-12-30T18:10:05"/>
    <d v="1899-12-30T16:12:05"/>
    <n v="97.5"/>
    <n v="96"/>
    <n v="-1.5"/>
  </r>
  <r>
    <n v="102"/>
    <s v="京G7G717"/>
    <x v="1"/>
    <s v="深蓝色"/>
    <n v="2.5"/>
    <x v="1"/>
    <d v="1899-12-30T02:01:01"/>
    <d v="2014-05-27T00:00:00"/>
    <d v="1899-12-30T10:50:03"/>
    <d v="1899-12-30T08:49:03"/>
    <n v="90"/>
    <n v="87.5"/>
    <n v="-2.5"/>
  </r>
  <r>
    <n v="103"/>
    <s v="京O0S001"/>
    <x v="2"/>
    <s v="白色"/>
    <n v="2"/>
    <x v="1"/>
    <d v="1899-12-30T02:43:01"/>
    <d v="2014-05-27T00:00:00"/>
    <d v="1899-12-30T06:04:02"/>
    <d v="1899-12-30T03:21:01"/>
    <n v="28"/>
    <n v="26"/>
    <n v="-2"/>
  </r>
  <r>
    <n v="104"/>
    <s v="京V0H045"/>
    <x v="0"/>
    <s v="深蓝色"/>
    <n v="1.5"/>
    <x v="1"/>
    <d v="1899-12-30T03:46:01"/>
    <d v="2014-05-27T00:00:00"/>
    <d v="1899-12-30T12:51:04"/>
    <d v="1899-12-30T09:05:03"/>
    <n v="55.5"/>
    <n v="54"/>
    <n v="-1.5"/>
  </r>
  <r>
    <n v="105"/>
    <s v="京TP9893"/>
    <x v="0"/>
    <s v="深蓝色"/>
    <n v="1.5"/>
    <x v="1"/>
    <d v="1899-12-30T04:54:01"/>
    <d v="2014-05-27T00:00:00"/>
    <d v="1899-12-30T19:06:06"/>
    <d v="1899-12-30T14:12:04"/>
    <n v="85.5"/>
    <n v="84"/>
    <n v="-1.5"/>
  </r>
  <r>
    <n v="106"/>
    <s v="京R77D20"/>
    <x v="1"/>
    <s v="银灰色"/>
    <n v="2.5"/>
    <x v="1"/>
    <d v="1899-12-30T05:23:02"/>
    <d v="2014-05-27T00:00:00"/>
    <d v="1899-12-30T16:12:05"/>
    <d v="1899-12-30T10:49:03"/>
    <n v="110"/>
    <n v="107.5"/>
    <n v="-2.5"/>
  </r>
  <r>
    <n v="107"/>
    <s v="京HK3531"/>
    <x v="2"/>
    <s v="黑色"/>
    <n v="2"/>
    <x v="1"/>
    <d v="1899-12-30T06:05:02"/>
    <d v="2014-05-27T00:00:00"/>
    <d v="1899-12-30T11:09:03"/>
    <d v="1899-12-30T05:04:01"/>
    <n v="42"/>
    <n v="40"/>
    <n v="-2"/>
  </r>
  <r>
    <n v="108"/>
    <s v="京N04324"/>
    <x v="2"/>
    <s v="白色"/>
    <n v="2"/>
    <x v="1"/>
    <d v="1899-12-30T06:18:02"/>
    <d v="2014-05-27T00:00:00"/>
    <d v="1899-12-30T06:26:02"/>
    <d v="1899-12-30T00:08:00"/>
    <n v="2"/>
    <n v="0"/>
    <n v="-2"/>
  </r>
  <r>
    <n v="109"/>
    <s v="京MB7897"/>
    <x v="0"/>
    <s v="深蓝色"/>
    <n v="1.5"/>
    <x v="1"/>
    <d v="1899-12-30T06:40:02"/>
    <d v="2014-05-27T00:00:00"/>
    <d v="1899-12-30T07:44:02"/>
    <d v="1899-12-30T01:04:00"/>
    <n v="7.5"/>
    <n v="6"/>
    <n v="-1.5"/>
  </r>
  <r>
    <n v="110"/>
    <s v="京YU7819"/>
    <x v="0"/>
    <s v="黑色"/>
    <n v="1.5"/>
    <x v="1"/>
    <d v="1899-12-30T06:56:02"/>
    <d v="2014-05-27T00:00:00"/>
    <d v="1899-12-30T12:55:04"/>
    <d v="1899-12-30T05:59:02"/>
    <n v="36"/>
    <n v="34.5"/>
    <n v="-1.5"/>
  </r>
  <r>
    <n v="111"/>
    <s v="京U58270"/>
    <x v="1"/>
    <s v="深蓝色"/>
    <n v="2.5"/>
    <x v="1"/>
    <d v="1899-12-30T07:14:02"/>
    <d v="2014-05-27T00:00:00"/>
    <d v="1899-12-30T11:14:03"/>
    <d v="1899-12-30T04:00:01"/>
    <n v="42.5"/>
    <n v="40"/>
    <n v="-2.5"/>
  </r>
  <r>
    <n v="112"/>
    <s v="京J03T05"/>
    <x v="2"/>
    <s v="深蓝色"/>
    <n v="2"/>
    <x v="1"/>
    <d v="1899-12-30T08:34:02"/>
    <d v="2014-05-27T00:00:00"/>
    <d v="1899-12-30T10:37:03"/>
    <d v="1899-12-30T02:03:01"/>
    <n v="18"/>
    <n v="16"/>
    <n v="-2"/>
  </r>
  <r>
    <n v="113"/>
    <s v="京D1D315"/>
    <x v="0"/>
    <s v="深蓝色"/>
    <n v="1.5"/>
    <x v="1"/>
    <d v="1899-12-30T08:45:03"/>
    <d v="2014-05-27T00:00:00"/>
    <d v="1899-12-30T11:16:03"/>
    <d v="1899-12-30T02:31:01"/>
    <n v="16.5"/>
    <n v="15"/>
    <n v="-1.5"/>
  </r>
  <r>
    <n v="114"/>
    <s v="京RM3916"/>
    <x v="2"/>
    <s v="深蓝色"/>
    <n v="2"/>
    <x v="1"/>
    <d v="1899-12-30T08:56:03"/>
    <d v="2014-05-27T00:00:00"/>
    <d v="1899-12-30T15:45:05"/>
    <d v="1899-12-30T06:49:02"/>
    <n v="56"/>
    <n v="54"/>
    <n v="-2"/>
  </r>
  <r>
    <n v="115"/>
    <s v="京V08081"/>
    <x v="1"/>
    <s v="黑色"/>
    <n v="2.5"/>
    <x v="1"/>
    <d v="1899-12-30T08:57:03"/>
    <d v="2014-05-27T00:00:00"/>
    <d v="1899-12-30T13:14:04"/>
    <d v="1899-12-30T04:17:01"/>
    <n v="45"/>
    <n v="42.5"/>
    <n v="-2.5"/>
  </r>
  <r>
    <n v="116"/>
    <s v="京W42P15"/>
    <x v="2"/>
    <s v="黑色"/>
    <n v="2"/>
    <x v="1"/>
    <d v="1899-12-30T09:08:03"/>
    <d v="2014-05-27T00:00:00"/>
    <d v="1899-12-30T12:57:04"/>
    <d v="1899-12-30T03:49:01"/>
    <n v="32"/>
    <n v="30"/>
    <n v="-2"/>
  </r>
  <r>
    <n v="117"/>
    <s v="京M09531"/>
    <x v="0"/>
    <s v="深蓝色"/>
    <n v="1.5"/>
    <x v="1"/>
    <d v="1899-12-30T09:33:03"/>
    <d v="2014-05-28T00:00:00"/>
    <d v="1899-12-30T00:25:00"/>
    <d v="1899-12-30T14:51:57"/>
    <n v="90"/>
    <n v="88.5"/>
    <n v="-1.5"/>
  </r>
  <r>
    <n v="118"/>
    <s v="京L4N723"/>
    <x v="1"/>
    <s v="黑色"/>
    <n v="2.5"/>
    <x v="1"/>
    <d v="1899-12-30T10:53:03"/>
    <d v="2014-05-27T00:00:00"/>
    <d v="1899-12-30T16:41:05"/>
    <d v="1899-12-30T05:48:02"/>
    <n v="60"/>
    <n v="57.5"/>
    <n v="-2.5"/>
  </r>
  <r>
    <n v="119"/>
    <s v="京N34937"/>
    <x v="2"/>
    <s v="深蓝色"/>
    <n v="2"/>
    <x v="1"/>
    <d v="1899-12-30T11:25:03"/>
    <d v="2014-05-27T00:00:00"/>
    <d v="1899-12-30T17:39:05"/>
    <d v="1899-12-30T06:14:02"/>
    <n v="50"/>
    <n v="48"/>
    <n v="-2"/>
  </r>
  <r>
    <n v="120"/>
    <s v="京A0H336"/>
    <x v="0"/>
    <s v="银灰色"/>
    <n v="1.5"/>
    <x v="1"/>
    <d v="1899-12-30T11:38:03"/>
    <d v="2014-05-27T00:00:00"/>
    <d v="1899-12-30T12:28:04"/>
    <d v="1899-12-30T00:50:00"/>
    <n v="6"/>
    <n v="4.5"/>
    <n v="-1.5"/>
  </r>
  <r>
    <n v="121"/>
    <s v="京O92667"/>
    <x v="1"/>
    <s v="银灰色"/>
    <n v="2.5"/>
    <x v="1"/>
    <d v="1899-12-30T11:46:03"/>
    <d v="2014-05-27T00:00:00"/>
    <d v="1899-12-30T14:11:04"/>
    <d v="1899-12-30T02:25:01"/>
    <n v="25"/>
    <n v="22.5"/>
    <n v="-2.5"/>
  </r>
  <r>
    <n v="122"/>
    <s v="京B37606"/>
    <x v="2"/>
    <s v="黑色"/>
    <n v="2"/>
    <x v="1"/>
    <d v="1899-12-30T11:59:03"/>
    <d v="2014-05-28T00:00:00"/>
    <d v="1899-12-30T00:38:00"/>
    <d v="1899-12-30T12:38:57"/>
    <n v="102"/>
    <n v="100"/>
    <n v="-2"/>
  </r>
  <r>
    <n v="123"/>
    <s v="京R3U302"/>
    <x v="1"/>
    <s v="白色"/>
    <n v="2.5"/>
    <x v="1"/>
    <d v="1899-12-30T12:06:03"/>
    <d v="2014-05-27T00:00:00"/>
    <d v="1899-12-30T12:48:04"/>
    <d v="1899-12-30T00:42:00"/>
    <n v="7.5"/>
    <n v="5"/>
    <n v="-2.5"/>
  </r>
  <r>
    <n v="124"/>
    <s v="京C9D153"/>
    <x v="2"/>
    <s v="白色"/>
    <n v="2"/>
    <x v="1"/>
    <d v="1899-12-30T12:21:04"/>
    <d v="2014-05-27T00:00:00"/>
    <d v="1899-12-30T19:53:06"/>
    <d v="1899-12-30T07:32:02"/>
    <n v="62"/>
    <n v="60"/>
    <n v="-2"/>
  </r>
  <r>
    <n v="125"/>
    <s v="京XF1078"/>
    <x v="2"/>
    <s v="黑色"/>
    <n v="2"/>
    <x v="1"/>
    <d v="1899-12-30T12:53:04"/>
    <d v="2014-05-27T00:00:00"/>
    <d v="1899-12-30T23:33:07"/>
    <d v="1899-12-30T10:40:03"/>
    <n v="86"/>
    <n v="84"/>
    <n v="-2"/>
  </r>
  <r>
    <n v="126"/>
    <s v="京DI7294"/>
    <x v="2"/>
    <s v="黑色"/>
    <n v="2"/>
    <x v="1"/>
    <d v="1899-12-30T13:26:04"/>
    <d v="2014-05-27T00:00:00"/>
    <d v="1899-12-30T16:04:05"/>
    <d v="1899-12-30T02:38:01"/>
    <n v="22"/>
    <n v="20"/>
    <n v="-2"/>
  </r>
  <r>
    <n v="127"/>
    <s v="京I18H85"/>
    <x v="1"/>
    <s v="白色"/>
    <n v="2.5"/>
    <x v="1"/>
    <d v="1899-12-30T13:28:04"/>
    <d v="2014-05-27T00:00:00"/>
    <d v="1899-12-30T15:47:05"/>
    <d v="1899-12-30T02:19:01"/>
    <n v="25"/>
    <n v="22.5"/>
    <n v="-2.5"/>
  </r>
  <r>
    <n v="128"/>
    <s v="京X45B91"/>
    <x v="2"/>
    <s v="银灰色"/>
    <n v="2"/>
    <x v="1"/>
    <d v="1899-12-30T13:45:04"/>
    <d v="2014-05-27T00:00:00"/>
    <d v="1899-12-30T15:45:05"/>
    <d v="1899-12-30T02:00:01"/>
    <n v="18"/>
    <n v="16"/>
    <n v="-2"/>
  </r>
  <r>
    <n v="129"/>
    <s v="京B40257"/>
    <x v="2"/>
    <s v="银灰色"/>
    <n v="2"/>
    <x v="1"/>
    <d v="1899-12-30T13:47:04"/>
    <d v="2014-05-28T00:00:00"/>
    <d v="1899-12-30T05:16:02"/>
    <d v="1899-12-30T15:28:58"/>
    <n v="124"/>
    <n v="122"/>
    <n v="-2"/>
  </r>
  <r>
    <n v="130"/>
    <s v="京R2O187"/>
    <x v="1"/>
    <s v="黑色"/>
    <n v="2.5"/>
    <x v="1"/>
    <d v="1899-12-30T13:50:04"/>
    <d v="2014-05-27T00:00:00"/>
    <d v="1899-12-30T21:33:06"/>
    <d v="1899-12-30T07:43:02"/>
    <n v="77.5"/>
    <n v="75"/>
    <n v="-2.5"/>
  </r>
  <r>
    <n v="131"/>
    <s v="京AO4704"/>
    <x v="0"/>
    <s v="银灰色"/>
    <n v="1.5"/>
    <x v="1"/>
    <d v="1899-12-30T14:06:04"/>
    <d v="2014-05-27T00:00:00"/>
    <d v="1899-12-30T21:50:06"/>
    <d v="1899-12-30T07:44:02"/>
    <n v="46.5"/>
    <n v="45"/>
    <n v="-1.5"/>
  </r>
  <r>
    <n v="132"/>
    <s v="京C4B775"/>
    <x v="1"/>
    <s v="黑色"/>
    <n v="2.5"/>
    <x v="1"/>
    <d v="1899-12-30T14:28:04"/>
    <d v="2014-05-27T00:00:00"/>
    <d v="1899-12-30T19:25:06"/>
    <d v="1899-12-30T04:57:01"/>
    <n v="50"/>
    <n v="47.5"/>
    <n v="-2.5"/>
  </r>
  <r>
    <n v="133"/>
    <s v="京Q52Q07"/>
    <x v="0"/>
    <s v="深蓝色"/>
    <n v="1.5"/>
    <x v="1"/>
    <d v="1899-12-30T14:34:04"/>
    <d v="2014-05-27T00:00:00"/>
    <d v="1899-12-30T15:26:04"/>
    <d v="1899-12-30T00:52:00"/>
    <n v="6"/>
    <n v="4.5"/>
    <n v="-1.5"/>
  </r>
  <r>
    <n v="134"/>
    <s v="京RE4875"/>
    <x v="0"/>
    <s v="黑色"/>
    <n v="1.5"/>
    <x v="1"/>
    <d v="1899-12-30T14:36:04"/>
    <d v="2014-05-27T00:00:00"/>
    <d v="1899-12-30T22:44:07"/>
    <d v="1899-12-30T08:08:02"/>
    <n v="49.5"/>
    <n v="48"/>
    <n v="-1.5"/>
  </r>
  <r>
    <n v="135"/>
    <s v="京H09310"/>
    <x v="1"/>
    <s v="白色"/>
    <n v="2.5"/>
    <x v="1"/>
    <d v="1899-12-30T14:56:04"/>
    <d v="2014-05-27T00:00:00"/>
    <d v="1899-12-30T23:14:07"/>
    <d v="1899-12-30T08:18:02"/>
    <n v="85"/>
    <n v="82.5"/>
    <n v="-2.5"/>
  </r>
  <r>
    <n v="136"/>
    <s v="京V2O668"/>
    <x v="2"/>
    <s v="黑色"/>
    <n v="2"/>
    <x v="1"/>
    <d v="1899-12-30T15:00:04"/>
    <d v="2014-05-27T00:00:00"/>
    <d v="1899-12-30T20:12:06"/>
    <d v="1899-12-30T05:12:01"/>
    <n v="42"/>
    <n v="40"/>
    <n v="-2"/>
  </r>
  <r>
    <n v="137"/>
    <s v="京BU8907"/>
    <x v="0"/>
    <s v="银灰色"/>
    <n v="1.5"/>
    <x v="1"/>
    <d v="1899-12-30T15:09:04"/>
    <d v="2014-05-27T00:00:00"/>
    <d v="1899-12-30T23:03:07"/>
    <d v="1899-12-30T07:54:02"/>
    <n v="48"/>
    <n v="46.5"/>
    <n v="-1.5"/>
  </r>
  <r>
    <n v="138"/>
    <s v="京J46J01"/>
    <x v="1"/>
    <s v="白色"/>
    <n v="2.5"/>
    <x v="1"/>
    <d v="1899-12-30T15:16:04"/>
    <d v="2014-05-27T00:00:00"/>
    <d v="1899-12-30T21:33:06"/>
    <d v="1899-12-30T06:17:02"/>
    <n v="65"/>
    <n v="62.5"/>
    <n v="-2.5"/>
  </r>
  <r>
    <n v="139"/>
    <s v="京TR0363"/>
    <x v="0"/>
    <s v="白色"/>
    <n v="1.5"/>
    <x v="1"/>
    <d v="1899-12-30T15:56:05"/>
    <d v="2014-05-28T00:00:00"/>
    <d v="1899-12-30T06:43:02"/>
    <d v="1899-12-30T14:46:57"/>
    <n v="90"/>
    <n v="88.5"/>
    <n v="-1.5"/>
  </r>
  <r>
    <n v="140"/>
    <s v="京T30E01"/>
    <x v="2"/>
    <s v="白色"/>
    <n v="2"/>
    <x v="1"/>
    <d v="1899-12-30T16:12:05"/>
    <d v="2014-05-27T00:00:00"/>
    <d v="1899-12-30T17:20:05"/>
    <d v="1899-12-30T01:08:00"/>
    <n v="10"/>
    <n v="8"/>
    <n v="-2"/>
  </r>
  <r>
    <n v="141"/>
    <s v="京F7T568"/>
    <x v="1"/>
    <s v="黑色"/>
    <n v="2.5"/>
    <x v="1"/>
    <d v="1899-12-30T16:15:05"/>
    <d v="2014-05-28T00:00:00"/>
    <d v="1899-12-30T04:24:01"/>
    <d v="1899-12-30T12:08:57"/>
    <n v="122.5"/>
    <n v="120"/>
    <n v="-2.5"/>
  </r>
  <r>
    <n v="142"/>
    <s v="京I29G08"/>
    <x v="2"/>
    <s v="黑色"/>
    <n v="2"/>
    <x v="1"/>
    <d v="1899-12-30T16:42:05"/>
    <d v="2014-05-27T00:00:00"/>
    <d v="1899-12-30T23:23:07"/>
    <d v="1899-12-30T06:41:02"/>
    <n v="54"/>
    <n v="52"/>
    <n v="-2"/>
  </r>
  <r>
    <n v="143"/>
    <s v="京U18036"/>
    <x v="0"/>
    <s v="深蓝色"/>
    <n v="1.5"/>
    <x v="1"/>
    <d v="1899-12-30T16:46:05"/>
    <d v="2014-05-28T00:00:00"/>
    <d v="1899-12-30T05:01:01"/>
    <d v="1899-12-30T12:14:57"/>
    <n v="73.5"/>
    <n v="72"/>
    <n v="-1.5"/>
  </r>
  <r>
    <n v="144"/>
    <s v="京W7L073"/>
    <x v="0"/>
    <s v="银灰色"/>
    <n v="1.5"/>
    <x v="1"/>
    <d v="1899-12-30T17:52:05"/>
    <d v="2014-05-27T00:00:00"/>
    <d v="1899-12-30T18:25:05"/>
    <d v="1899-12-30T00:33:00"/>
    <n v="4.5"/>
    <n v="3"/>
    <n v="-1.5"/>
  </r>
  <r>
    <n v="145"/>
    <s v="京G71N96"/>
    <x v="1"/>
    <s v="黑色"/>
    <n v="2.5"/>
    <x v="1"/>
    <d v="1899-12-30T19:14:06"/>
    <d v="2014-05-28T00:00:00"/>
    <d v="1899-12-30T04:41:01"/>
    <d v="1899-12-30T09:26:56"/>
    <n v="95"/>
    <n v="92.5"/>
    <n v="-2.5"/>
  </r>
  <r>
    <n v="146"/>
    <s v="京R3U302"/>
    <x v="1"/>
    <s v="白色"/>
    <n v="2.5"/>
    <x v="1"/>
    <d v="1899-12-30T19:52:06"/>
    <d v="2014-05-28T00:00:00"/>
    <d v="1899-12-30T01:16:00"/>
    <d v="1899-12-30T05:23:55"/>
    <n v="55"/>
    <n v="52.5"/>
    <n v="-2.5"/>
  </r>
  <r>
    <n v="147"/>
    <s v="京A0H336"/>
    <x v="0"/>
    <s v="银灰色"/>
    <n v="1.5"/>
    <x v="1"/>
    <d v="1899-12-30T20:07:06"/>
    <d v="2014-05-27T00:00:00"/>
    <d v="1899-12-30T21:23:06"/>
    <d v="1899-12-30T01:16:00"/>
    <n v="9"/>
    <n v="7.5"/>
    <n v="-1.5"/>
  </r>
  <r>
    <n v="148"/>
    <s v="京K47364"/>
    <x v="2"/>
    <s v="黑色"/>
    <n v="2"/>
    <x v="1"/>
    <d v="1899-12-30T20:09:06"/>
    <d v="2014-05-28T00:00:00"/>
    <d v="1899-12-30T02:30:01"/>
    <d v="1899-12-30T06:20:55"/>
    <n v="52"/>
    <n v="50"/>
    <n v="-2"/>
  </r>
  <r>
    <n v="149"/>
    <s v="京U54399"/>
    <x v="2"/>
    <s v="白色"/>
    <n v="2"/>
    <x v="1"/>
    <d v="1899-12-30T21:00:06"/>
    <d v="2014-05-27T00:00:00"/>
    <d v="1899-12-30T22:39:07"/>
    <d v="1899-12-30T01:39:00"/>
    <n v="14"/>
    <n v="12"/>
    <n v="-2"/>
  </r>
  <r>
    <n v="150"/>
    <s v="京D1J892"/>
    <x v="0"/>
    <s v="银灰色"/>
    <n v="1.5"/>
    <x v="1"/>
    <d v="1899-12-30T22:00:06"/>
    <d v="2014-05-27T00:00:00"/>
    <d v="1899-12-30T23:52:07"/>
    <d v="1899-12-30T01:52:01"/>
    <n v="12"/>
    <n v="10.5"/>
    <n v="-1.5"/>
  </r>
  <r>
    <n v="151"/>
    <s v="京E9K736"/>
    <x v="2"/>
    <s v="深蓝色"/>
    <n v="2"/>
    <x v="1"/>
    <d v="1899-12-30T22:38:07"/>
    <d v="2014-05-28T00:00:00"/>
    <d v="1899-12-30T06:19:02"/>
    <d v="1899-12-30T07:40:55"/>
    <n v="62"/>
    <n v="60"/>
    <n v="-2"/>
  </r>
  <r>
    <n v="152"/>
    <s v="京W84953"/>
    <x v="0"/>
    <s v="黑色"/>
    <n v="1.5"/>
    <x v="1"/>
    <d v="1899-12-30T22:47:07"/>
    <d v="2014-05-28T00:00:00"/>
    <d v="1899-12-30T01:55:01"/>
    <d v="1899-12-30T03:07:54"/>
    <n v="19.5"/>
    <n v="18"/>
    <n v="-1.5"/>
  </r>
  <r>
    <n v="153"/>
    <s v="京G84E44"/>
    <x v="2"/>
    <s v="银灰色"/>
    <n v="2"/>
    <x v="1"/>
    <d v="1899-12-30T23:42:07"/>
    <d v="2014-05-28T00:00:00"/>
    <d v="1899-12-30T03:17:01"/>
    <d v="1899-12-30T03:34:54"/>
    <n v="30"/>
    <n v="28"/>
    <n v="-2"/>
  </r>
  <r>
    <n v="154"/>
    <s v="京M44235"/>
    <x v="0"/>
    <s v="白色"/>
    <n v="1.5"/>
    <x v="2"/>
    <d v="1899-12-30T00:11:00"/>
    <d v="2014-05-28T00:00:00"/>
    <d v="1899-12-30T11:32:03"/>
    <d v="1899-12-30T11:21:03"/>
    <n v="69"/>
    <n v="67.5"/>
    <n v="-1.5"/>
  </r>
  <r>
    <n v="155"/>
    <s v="京B40257"/>
    <x v="2"/>
    <s v="银灰色"/>
    <n v="2"/>
    <x v="2"/>
    <d v="1899-12-30T00:13:00"/>
    <d v="2014-05-28T00:00:00"/>
    <d v="1899-12-30T12:28:04"/>
    <d v="1899-12-30T12:15:04"/>
    <n v="100"/>
    <n v="98"/>
    <n v="-2"/>
  </r>
  <r>
    <n v="156"/>
    <s v="京Q07487"/>
    <x v="0"/>
    <s v="黑色"/>
    <n v="1.5"/>
    <x v="2"/>
    <d v="1899-12-30T00:14:00"/>
    <d v="2014-05-28T00:00:00"/>
    <d v="1899-12-30T04:18:01"/>
    <d v="1899-12-30T04:04:01"/>
    <n v="25.5"/>
    <n v="24"/>
    <n v="-1.5"/>
  </r>
  <r>
    <n v="157"/>
    <s v="京R77D20"/>
    <x v="1"/>
    <s v="银灰色"/>
    <n v="2.5"/>
    <x v="2"/>
    <d v="1899-12-30T00:36:00"/>
    <d v="2014-05-28T00:00:00"/>
    <d v="1899-12-30T09:55:03"/>
    <d v="1899-12-30T09:19:03"/>
    <n v="95"/>
    <n v="92.5"/>
    <n v="-2.5"/>
  </r>
  <r>
    <n v="158"/>
    <s v="京T61P01"/>
    <x v="0"/>
    <s v="白色"/>
    <n v="1.5"/>
    <x v="2"/>
    <d v="1899-12-30T00:39:00"/>
    <d v="2014-05-28T00:00:00"/>
    <d v="1899-12-30T08:04:02"/>
    <d v="1899-12-30T07:25:02"/>
    <n v="45"/>
    <n v="43.5"/>
    <n v="-1.5"/>
  </r>
  <r>
    <n v="159"/>
    <s v="京W12T85"/>
    <x v="2"/>
    <s v="银灰色"/>
    <n v="2"/>
    <x v="2"/>
    <d v="1899-12-30T01:10:00"/>
    <d v="2014-05-28T00:00:00"/>
    <d v="1899-12-30T07:24:02"/>
    <d v="1899-12-30T06:14:02"/>
    <n v="50"/>
    <n v="48"/>
    <n v="-2"/>
  </r>
  <r>
    <n v="160"/>
    <s v="京Q43D56"/>
    <x v="1"/>
    <s v="白色"/>
    <n v="2.5"/>
    <x v="2"/>
    <d v="1899-12-30T01:35:00"/>
    <d v="2014-05-28T00:00:00"/>
    <d v="1899-12-30T04:55:01"/>
    <d v="1899-12-30T03:20:01"/>
    <n v="35"/>
    <n v="32.5"/>
    <n v="-2.5"/>
  </r>
  <r>
    <n v="161"/>
    <s v="京JF2166"/>
    <x v="2"/>
    <s v="黑色"/>
    <n v="2"/>
    <x v="2"/>
    <d v="1899-12-30T01:39:00"/>
    <d v="2014-05-28T00:00:00"/>
    <d v="1899-12-30T10:41:03"/>
    <d v="1899-12-30T09:02:03"/>
    <n v="74"/>
    <n v="72"/>
    <n v="-2"/>
  </r>
  <r>
    <n v="162"/>
    <s v="京S8B128"/>
    <x v="0"/>
    <s v="黑色"/>
    <n v="1.5"/>
    <x v="2"/>
    <d v="1899-12-30T01:53:01"/>
    <d v="2014-05-28T00:00:00"/>
    <d v="1899-12-30T16:16:05"/>
    <d v="1899-12-30T14:23:04"/>
    <n v="87"/>
    <n v="85.5"/>
    <n v="-1.5"/>
  </r>
  <r>
    <n v="163"/>
    <s v="京U58270"/>
    <x v="1"/>
    <s v="深蓝色"/>
    <n v="2.5"/>
    <x v="2"/>
    <d v="1899-12-30T02:00:01"/>
    <d v="2014-05-28T00:00:00"/>
    <d v="1899-12-30T02:29:01"/>
    <d v="1899-12-30T00:29:00"/>
    <n v="5"/>
    <n v="2.5"/>
    <n v="-2.5"/>
  </r>
  <r>
    <n v="164"/>
    <s v="京A7H440"/>
    <x v="1"/>
    <s v="白色"/>
    <n v="2.5"/>
    <x v="2"/>
    <d v="1899-12-30T02:09:01"/>
    <d v="2014-05-28T00:00:00"/>
    <d v="1899-12-30T11:36:03"/>
    <d v="1899-12-30T09:27:03"/>
    <n v="95"/>
    <n v="92.5"/>
    <n v="-2.5"/>
  </r>
  <r>
    <n v="165"/>
    <s v="京GU23"/>
    <x v="1"/>
    <s v="深蓝色"/>
    <n v="2.5"/>
    <x v="2"/>
    <d v="1899-12-30T02:45:01"/>
    <d v="2014-05-28T00:00:00"/>
    <d v="1899-12-30T17:30:05"/>
    <d v="1899-12-30T14:45:04"/>
    <n v="150"/>
    <n v="147.5"/>
    <n v="-2.5"/>
  </r>
  <r>
    <n v="166"/>
    <s v="京H27072"/>
    <x v="2"/>
    <s v="深蓝色"/>
    <n v="2"/>
    <x v="2"/>
    <d v="1899-12-30T03:13:01"/>
    <d v="2014-05-28T00:00:00"/>
    <d v="1899-12-30T09:45:03"/>
    <d v="1899-12-30T06:32:02"/>
    <n v="54"/>
    <n v="52"/>
    <n v="-2"/>
  </r>
  <r>
    <n v="167"/>
    <s v="京V0H045"/>
    <x v="0"/>
    <s v="深蓝色"/>
    <n v="1.5"/>
    <x v="2"/>
    <d v="1899-12-30T03:24:01"/>
    <d v="2014-05-28T00:00:00"/>
    <d v="1899-12-30T18:18:05"/>
    <d v="1899-12-30T14:54:04"/>
    <n v="90"/>
    <n v="88.5"/>
    <n v="-1.5"/>
  </r>
  <r>
    <n v="168"/>
    <s v="京C4B775"/>
    <x v="1"/>
    <s v="黑色"/>
    <n v="2.5"/>
    <x v="2"/>
    <d v="1899-12-30T03:26:01"/>
    <d v="2014-05-28T00:00:00"/>
    <d v="1899-12-30T09:16:03"/>
    <d v="1899-12-30T05:50:02"/>
    <n v="60"/>
    <n v="57.5"/>
    <n v="-2.5"/>
  </r>
  <r>
    <n v="169"/>
    <s v="京M3P518"/>
    <x v="1"/>
    <s v="黑色"/>
    <n v="2.5"/>
    <x v="2"/>
    <d v="1899-12-30T03:33:01"/>
    <d v="2014-05-28T00:00:00"/>
    <d v="1899-12-30T19:56:06"/>
    <d v="1899-12-30T16:23:05"/>
    <n v="165"/>
    <n v="162.5"/>
    <n v="-2.5"/>
  </r>
  <r>
    <n v="170"/>
    <s v="京T30E01"/>
    <x v="2"/>
    <s v="白色"/>
    <n v="2"/>
    <x v="2"/>
    <d v="1899-12-30T03:34:01"/>
    <d v="2014-05-28T00:00:00"/>
    <d v="1899-12-30T12:19:04"/>
    <d v="1899-12-30T08:45:03"/>
    <n v="72"/>
    <n v="70"/>
    <n v="-2"/>
  </r>
  <r>
    <n v="171"/>
    <s v="京S2L711"/>
    <x v="0"/>
    <s v="黑色"/>
    <n v="1.5"/>
    <x v="2"/>
    <d v="1899-12-30T04:17:01"/>
    <d v="2014-05-28T00:00:00"/>
    <d v="1899-12-30T06:15:02"/>
    <d v="1899-12-30T01:58:01"/>
    <n v="12"/>
    <n v="10.5"/>
    <n v="-1.5"/>
  </r>
  <r>
    <n v="172"/>
    <s v="京XF1078"/>
    <x v="2"/>
    <s v="黑色"/>
    <n v="2"/>
    <x v="2"/>
    <d v="1899-12-30T06:08:02"/>
    <d v="2014-05-28T00:00:00"/>
    <d v="1899-12-30T06:51:02"/>
    <d v="1899-12-30T00:43:00"/>
    <n v="6"/>
    <n v="4"/>
    <n v="-2"/>
  </r>
  <r>
    <n v="173"/>
    <s v="京FF6020"/>
    <x v="1"/>
    <s v="银灰色"/>
    <n v="2.5"/>
    <x v="2"/>
    <d v="1899-12-30T06:45:02"/>
    <d v="2014-05-28T00:00:00"/>
    <d v="1899-12-30T18:11:05"/>
    <d v="1899-12-30T11:26:03"/>
    <n v="115"/>
    <n v="112.5"/>
    <n v="-2.5"/>
  </r>
  <r>
    <n v="174"/>
    <s v="京J99788"/>
    <x v="2"/>
    <s v="白色"/>
    <n v="2"/>
    <x v="2"/>
    <d v="1899-12-30T06:58:02"/>
    <d v="2014-05-28T00:00:00"/>
    <d v="1899-12-30T19:47:06"/>
    <d v="1899-12-30T12:49:04"/>
    <n v="104"/>
    <n v="102"/>
    <n v="-2"/>
  </r>
  <r>
    <n v="175"/>
    <s v="京QR7261"/>
    <x v="2"/>
    <s v="白色"/>
    <n v="2"/>
    <x v="2"/>
    <d v="1899-12-30T07:26:02"/>
    <d v="2014-05-28T00:00:00"/>
    <d v="1899-12-30T16:34:05"/>
    <d v="1899-12-30T09:08:03"/>
    <n v="74"/>
    <n v="72"/>
    <n v="-2"/>
  </r>
  <r>
    <n v="176"/>
    <s v="京YU7819"/>
    <x v="0"/>
    <s v="黑色"/>
    <n v="1.5"/>
    <x v="2"/>
    <d v="1899-12-30T08:00:02"/>
    <d v="2014-05-28T00:00:00"/>
    <d v="1899-12-30T14:28:04"/>
    <d v="1899-12-30T06:28:02"/>
    <n v="39"/>
    <n v="37.5"/>
    <n v="-1.5"/>
  </r>
  <r>
    <n v="177"/>
    <s v="京D1J892"/>
    <x v="0"/>
    <s v="银灰色"/>
    <n v="1.5"/>
    <x v="2"/>
    <d v="1899-12-30T08:07:02"/>
    <d v="2014-05-28T00:00:00"/>
    <d v="1899-12-30T12:55:04"/>
    <d v="1899-12-30T04:48:01"/>
    <n v="30"/>
    <n v="28.5"/>
    <n v="-1.5"/>
  </r>
  <r>
    <n v="178"/>
    <s v="京K2R581"/>
    <x v="2"/>
    <s v="白色"/>
    <n v="2"/>
    <x v="2"/>
    <d v="1899-12-30T08:28:02"/>
    <d v="2014-05-28T00:00:00"/>
    <d v="1899-12-30T12:56:04"/>
    <d v="1899-12-30T04:28:01"/>
    <n v="36"/>
    <n v="34"/>
    <n v="-2"/>
  </r>
  <r>
    <n v="179"/>
    <s v="京T02P62"/>
    <x v="1"/>
    <s v="白色"/>
    <n v="2.5"/>
    <x v="2"/>
    <d v="1899-12-30T08:42:03"/>
    <d v="2014-05-28T00:00:00"/>
    <d v="1899-12-30T12:45:04"/>
    <d v="1899-12-30T04:03:01"/>
    <n v="42.5"/>
    <n v="40"/>
    <n v="-2.5"/>
  </r>
  <r>
    <n v="180"/>
    <s v="京G18525"/>
    <x v="2"/>
    <s v="白色"/>
    <n v="2"/>
    <x v="2"/>
    <d v="1899-12-30T08:51:03"/>
    <d v="2014-05-28T00:00:00"/>
    <d v="1899-12-30T16:39:05"/>
    <d v="1899-12-30T07:48:02"/>
    <n v="64"/>
    <n v="62"/>
    <n v="-2"/>
  </r>
  <r>
    <n v="181"/>
    <s v="京A1D355"/>
    <x v="2"/>
    <s v="银灰色"/>
    <n v="2"/>
    <x v="2"/>
    <d v="1899-12-30T09:40:03"/>
    <d v="2014-05-29T00:00:00"/>
    <d v="1899-12-30T02:13:01"/>
    <d v="1899-12-30T16:32:58"/>
    <n v="134"/>
    <n v="132"/>
    <n v="-2"/>
  </r>
  <r>
    <n v="182"/>
    <s v="京NH1245"/>
    <x v="1"/>
    <s v="银灰色"/>
    <n v="2.5"/>
    <x v="2"/>
    <d v="1899-12-30T09:46:03"/>
    <d v="2014-05-28T00:00:00"/>
    <d v="1899-12-30T14:58:04"/>
    <d v="1899-12-30T05:12:01"/>
    <n v="52.5"/>
    <n v="50"/>
    <n v="-2.5"/>
  </r>
  <r>
    <n v="183"/>
    <s v="京C9D153"/>
    <x v="2"/>
    <s v="白色"/>
    <n v="2"/>
    <x v="2"/>
    <d v="1899-12-30T09:47:03"/>
    <d v="2014-05-28T00:00:00"/>
    <d v="1899-12-30T11:18:03"/>
    <d v="1899-12-30T01:31:00"/>
    <n v="14"/>
    <n v="12"/>
    <n v="-2"/>
  </r>
  <r>
    <n v="184"/>
    <s v="京M11436"/>
    <x v="0"/>
    <s v="白色"/>
    <n v="1.5"/>
    <x v="2"/>
    <d v="1899-12-30T10:19:03"/>
    <d v="2014-05-28T00:00:00"/>
    <d v="1899-12-30T15:51:05"/>
    <d v="1899-12-30T05:32:02"/>
    <n v="34.5"/>
    <n v="33"/>
    <n v="-1.5"/>
  </r>
  <r>
    <n v="185"/>
    <s v="京R2O187"/>
    <x v="1"/>
    <s v="黑色"/>
    <n v="2.5"/>
    <x v="2"/>
    <d v="1899-12-30T11:02:03"/>
    <d v="2014-05-28T00:00:00"/>
    <d v="1899-12-30T19:12:06"/>
    <d v="1899-12-30T08:10:02"/>
    <n v="82.5"/>
    <n v="80"/>
    <n v="-2.5"/>
  </r>
  <r>
    <n v="186"/>
    <s v="京C29842"/>
    <x v="2"/>
    <s v="银灰色"/>
    <n v="2"/>
    <x v="2"/>
    <d v="1899-12-30T11:31:03"/>
    <d v="2014-05-28T00:00:00"/>
    <d v="1899-12-30T23:38:07"/>
    <d v="1899-12-30T12:07:03"/>
    <n v="98"/>
    <n v="96"/>
    <n v="-2"/>
  </r>
  <r>
    <n v="187"/>
    <s v="京F7L876"/>
    <x v="2"/>
    <s v="深蓝色"/>
    <n v="2"/>
    <x v="2"/>
    <d v="1899-12-30T11:39:03"/>
    <d v="2014-05-28T00:00:00"/>
    <d v="1899-12-30T19:56:06"/>
    <d v="1899-12-30T08:17:02"/>
    <n v="68"/>
    <n v="66"/>
    <n v="-2"/>
  </r>
  <r>
    <n v="188"/>
    <s v="京L9P003"/>
    <x v="1"/>
    <s v="黑色"/>
    <n v="2.5"/>
    <x v="2"/>
    <d v="1899-12-30T11:40:03"/>
    <d v="2014-05-28T00:00:00"/>
    <d v="1899-12-30T13:31:04"/>
    <d v="1899-12-30T01:51:01"/>
    <n v="20"/>
    <n v="17.5"/>
    <n v="-2.5"/>
  </r>
  <r>
    <n v="189"/>
    <s v="京G17178"/>
    <x v="2"/>
    <s v="深蓝色"/>
    <n v="2"/>
    <x v="2"/>
    <d v="1899-12-30T12:50:04"/>
    <d v="2014-05-28T00:00:00"/>
    <d v="1899-12-30T18:53:05"/>
    <d v="1899-12-30T06:03:02"/>
    <n v="50"/>
    <n v="48"/>
    <n v="-2"/>
  </r>
  <r>
    <n v="190"/>
    <s v="京TE0525"/>
    <x v="0"/>
    <s v="深蓝色"/>
    <n v="1.5"/>
    <x v="2"/>
    <d v="1899-12-30T12:56:04"/>
    <d v="2014-05-29T00:00:00"/>
    <d v="1899-12-30T00:38:00"/>
    <d v="1899-12-30T11:41:56"/>
    <n v="70.5"/>
    <n v="69"/>
    <n v="-1.5"/>
  </r>
  <r>
    <n v="191"/>
    <s v="京A0H336"/>
    <x v="0"/>
    <s v="银灰色"/>
    <n v="1.5"/>
    <x v="2"/>
    <d v="1899-12-30T13:39:04"/>
    <d v="2014-05-28T00:00:00"/>
    <d v="1899-12-30T17:33:05"/>
    <d v="1899-12-30T03:54:01"/>
    <n v="24"/>
    <n v="22.5"/>
    <n v="-1.5"/>
  </r>
  <r>
    <n v="192"/>
    <s v="京Q79966"/>
    <x v="1"/>
    <s v="银灰色"/>
    <n v="2.5"/>
    <x v="2"/>
    <d v="1899-12-30T13:48:04"/>
    <d v="2014-05-28T00:00:00"/>
    <d v="1899-12-30T19:27:06"/>
    <d v="1899-12-30T05:39:02"/>
    <n v="57.5"/>
    <n v="55"/>
    <n v="-2.5"/>
  </r>
  <r>
    <n v="193"/>
    <s v="京F7T568"/>
    <x v="1"/>
    <s v="黑色"/>
    <n v="2.5"/>
    <x v="2"/>
    <d v="1899-12-30T14:39:04"/>
    <d v="2014-05-29T00:00:00"/>
    <d v="1899-12-30T00:09:00"/>
    <d v="1899-12-30T09:29:56"/>
    <n v="95"/>
    <n v="92.5"/>
    <n v="-2.5"/>
  </r>
  <r>
    <n v="194"/>
    <s v="京L4N723"/>
    <x v="1"/>
    <s v="黑色"/>
    <n v="2.5"/>
    <x v="2"/>
    <d v="1899-12-30T14:59:04"/>
    <d v="2014-05-29T00:00:00"/>
    <d v="1899-12-30T06:33:02"/>
    <d v="1899-12-30T15:33:58"/>
    <n v="157.5"/>
    <n v="155"/>
    <n v="-2.5"/>
  </r>
  <r>
    <n v="195"/>
    <s v="京EI6593"/>
    <x v="1"/>
    <s v="白色"/>
    <n v="2.5"/>
    <x v="2"/>
    <d v="1899-12-30T15:18:04"/>
    <d v="2014-05-28T00:00:00"/>
    <d v="1899-12-30T18:31:05"/>
    <d v="1899-12-30T03:13:01"/>
    <n v="32.5"/>
    <n v="30"/>
    <n v="-2.5"/>
  </r>
  <r>
    <n v="196"/>
    <s v="京E84991"/>
    <x v="1"/>
    <s v="白色"/>
    <n v="2.5"/>
    <x v="2"/>
    <d v="1899-12-30T15:21:04"/>
    <d v="2014-05-28T00:00:00"/>
    <d v="1899-12-30T18:53:05"/>
    <d v="1899-12-30T03:32:01"/>
    <n v="37.5"/>
    <n v="35"/>
    <n v="-2.5"/>
  </r>
  <r>
    <n v="197"/>
    <s v="京H09310"/>
    <x v="1"/>
    <s v="白色"/>
    <n v="2.5"/>
    <x v="2"/>
    <d v="1899-12-30T15:30:04"/>
    <d v="2014-05-28T00:00:00"/>
    <d v="1899-12-30T23:57:07"/>
    <d v="1899-12-30T08:27:02"/>
    <n v="85"/>
    <n v="82.5"/>
    <n v="-2.5"/>
  </r>
  <r>
    <n v="198"/>
    <s v="京P25301"/>
    <x v="2"/>
    <s v="深蓝色"/>
    <n v="2"/>
    <x v="2"/>
    <d v="1899-12-30T15:57:05"/>
    <d v="2014-05-28T00:00:00"/>
    <d v="1899-12-30T16:08:05"/>
    <d v="1899-12-30T00:11:00"/>
    <n v="2"/>
    <n v="0"/>
    <n v="-2"/>
  </r>
  <r>
    <n v="199"/>
    <s v="京L28B91"/>
    <x v="1"/>
    <s v="银灰色"/>
    <n v="2.5"/>
    <x v="2"/>
    <d v="1899-12-30T16:31:05"/>
    <d v="2014-05-28T00:00:00"/>
    <d v="1899-12-30T23:04:07"/>
    <d v="1899-12-30T06:33:02"/>
    <n v="67.5"/>
    <n v="65"/>
    <n v="-2.5"/>
  </r>
  <r>
    <n v="200"/>
    <s v="京J56R58"/>
    <x v="1"/>
    <s v="深蓝色"/>
    <n v="2.5"/>
    <x v="2"/>
    <d v="1899-12-30T16:41:05"/>
    <d v="2014-05-28T00:00:00"/>
    <d v="1899-12-30T17:30:05"/>
    <d v="1899-12-30T00:49:00"/>
    <n v="10"/>
    <n v="7.5"/>
    <n v="-2.5"/>
  </r>
  <r>
    <n v="201"/>
    <s v="京U3K166"/>
    <x v="2"/>
    <s v="深蓝色"/>
    <n v="2"/>
    <x v="2"/>
    <d v="1899-12-30T16:42:05"/>
    <d v="2014-05-28T00:00:00"/>
    <d v="1899-12-30T22:33:06"/>
    <d v="1899-12-30T05:51:02"/>
    <n v="48"/>
    <n v="46"/>
    <n v="-2"/>
  </r>
  <r>
    <n v="202"/>
    <s v="京I83660"/>
    <x v="2"/>
    <s v="深蓝色"/>
    <n v="2"/>
    <x v="2"/>
    <d v="1899-12-30T17:02:05"/>
    <d v="2014-05-28T00:00:00"/>
    <d v="1899-12-30T18:02:05"/>
    <d v="1899-12-30T01:00:00"/>
    <n v="10"/>
    <n v="8"/>
    <n v="-2"/>
  </r>
  <r>
    <n v="203"/>
    <s v="京D6Q864"/>
    <x v="1"/>
    <s v="黑色"/>
    <n v="2.5"/>
    <x v="2"/>
    <d v="1899-12-30T17:36:05"/>
    <d v="2014-05-29T00:00:00"/>
    <d v="1899-12-30T02:00:01"/>
    <d v="1899-12-30T08:23:56"/>
    <n v="85"/>
    <n v="82.5"/>
    <n v="-2.5"/>
  </r>
  <r>
    <n v="204"/>
    <s v="京DI7294"/>
    <x v="2"/>
    <s v="黑色"/>
    <n v="2"/>
    <x v="2"/>
    <d v="1899-12-30T18:08:05"/>
    <d v="2014-05-28T00:00:00"/>
    <d v="1899-12-30T20:10:06"/>
    <d v="1899-12-30T02:02:01"/>
    <n v="18"/>
    <n v="16"/>
    <n v="-2"/>
  </r>
  <r>
    <n v="205"/>
    <s v="京M1U277"/>
    <x v="1"/>
    <s v="白色"/>
    <n v="2.5"/>
    <x v="2"/>
    <d v="1899-12-30T18:26:05"/>
    <d v="2014-05-29T00:00:00"/>
    <d v="1899-12-30T06:06:02"/>
    <d v="1899-12-30T11:39:56"/>
    <n v="117.5"/>
    <n v="115"/>
    <n v="-2.5"/>
  </r>
  <r>
    <n v="206"/>
    <s v="京D3P207"/>
    <x v="2"/>
    <s v="黑色"/>
    <n v="2"/>
    <x v="2"/>
    <d v="1899-12-30T18:30:05"/>
    <d v="2014-05-29T00:00:00"/>
    <d v="1899-12-30T05:02:01"/>
    <d v="1899-12-30T10:31:56"/>
    <n v="86"/>
    <n v="84"/>
    <n v="-2"/>
  </r>
  <r>
    <n v="207"/>
    <s v="京N58J01"/>
    <x v="0"/>
    <s v="深蓝色"/>
    <n v="1.5"/>
    <x v="2"/>
    <d v="1899-12-30T18:52:05"/>
    <d v="2014-05-29T00:00:00"/>
    <d v="1899-12-30T01:33:00"/>
    <d v="1899-12-30T06:40:55"/>
    <n v="40.5"/>
    <n v="39"/>
    <n v="-1.5"/>
  </r>
  <r>
    <n v="208"/>
    <s v="京L9P003"/>
    <x v="1"/>
    <s v="黑色"/>
    <n v="2.5"/>
    <x v="2"/>
    <d v="1899-12-30T19:36:06"/>
    <d v="2014-05-29T00:00:00"/>
    <d v="1899-12-30T10:03:03"/>
    <d v="1899-12-30T14:26:57"/>
    <n v="145"/>
    <n v="142.5"/>
    <n v="-2.5"/>
  </r>
  <r>
    <n v="209"/>
    <s v="京U54399"/>
    <x v="2"/>
    <s v="白色"/>
    <n v="2"/>
    <x v="2"/>
    <d v="1899-12-30T19:39:06"/>
    <d v="2014-05-30T00:00:00"/>
    <d v="1899-12-30T11:50:03"/>
    <d v="1899-12-31T16:10:58"/>
    <n v="322"/>
    <n v="320"/>
    <n v="-2"/>
  </r>
  <r>
    <n v="210"/>
    <s v="京T48266"/>
    <x v="0"/>
    <s v="黑色"/>
    <n v="1.5"/>
    <x v="2"/>
    <d v="1899-12-30T19:44:06"/>
    <d v="2014-05-28T00:00:00"/>
    <d v="1899-12-30T23:43:07"/>
    <d v="1899-12-30T03:59:01"/>
    <n v="24"/>
    <n v="22.5"/>
    <n v="-1.5"/>
  </r>
  <r>
    <n v="211"/>
    <s v="京QN8691"/>
    <x v="0"/>
    <s v="深蓝色"/>
    <n v="1.5"/>
    <x v="2"/>
    <d v="1899-12-30T20:30:06"/>
    <d v="2014-05-29T00:00:00"/>
    <d v="1899-12-30T10:17:03"/>
    <d v="1899-12-30T13:46:57"/>
    <n v="84"/>
    <n v="82.5"/>
    <n v="-1.5"/>
  </r>
  <r>
    <n v="212"/>
    <s v="京MQ5474"/>
    <x v="2"/>
    <s v="银灰色"/>
    <n v="2"/>
    <x v="2"/>
    <d v="1899-12-30T20:58:06"/>
    <d v="2014-05-29T00:00:00"/>
    <d v="1899-12-30T07:07:02"/>
    <d v="1899-12-30T10:08:56"/>
    <n v="82"/>
    <n v="80"/>
    <n v="-2"/>
  </r>
  <r>
    <n v="213"/>
    <s v="京X52R74"/>
    <x v="2"/>
    <s v="深蓝色"/>
    <n v="2"/>
    <x v="2"/>
    <d v="1899-12-30T23:12:07"/>
    <d v="2014-05-29T00:00:00"/>
    <d v="1899-12-30T05:23:02"/>
    <d v="1899-12-30T06:10:55"/>
    <n v="50"/>
    <n v="48"/>
    <n v="-2"/>
  </r>
  <r>
    <n v="214"/>
    <s v="京Q3F127"/>
    <x v="1"/>
    <s v="深蓝色"/>
    <n v="2.5"/>
    <x v="2"/>
    <d v="1899-12-30T23:50:07"/>
    <d v="2014-05-29T00:00:00"/>
    <d v="1899-12-30T10:03:03"/>
    <d v="1899-12-30T10:12:56"/>
    <n v="102.5"/>
    <n v="100"/>
    <n v="-2.5"/>
  </r>
  <r>
    <n v="215"/>
    <s v="京R41501"/>
    <x v="0"/>
    <s v="深蓝色"/>
    <n v="1.5"/>
    <x v="2"/>
    <d v="1899-12-30T23:59:07"/>
    <d v="2014-05-29T00:00:00"/>
    <d v="1899-12-30T15:28:04"/>
    <d v="1899-12-30T15:28:58"/>
    <n v="93"/>
    <n v="91.5"/>
    <n v="-1.5"/>
  </r>
  <r>
    <n v="216"/>
    <s v="京Q07487"/>
    <x v="0"/>
    <s v="黑色"/>
    <n v="1.5"/>
    <x v="3"/>
    <d v="1899-12-30T00:00:00"/>
    <d v="2014-05-29T00:00:00"/>
    <d v="1899-12-30T05:30:02"/>
    <d v="1899-12-30T05:30:02"/>
    <n v="34.5"/>
    <n v="33"/>
    <n v="-1.5"/>
  </r>
  <r>
    <n v="217"/>
    <s v="京V08081"/>
    <x v="1"/>
    <s v="黑色"/>
    <n v="2.5"/>
    <x v="3"/>
    <d v="1899-12-30T00:09:00"/>
    <d v="2014-05-29T00:00:00"/>
    <d v="1899-12-30T07:53:02"/>
    <d v="1899-12-30T07:44:02"/>
    <n v="77.5"/>
    <n v="75"/>
    <n v="-2.5"/>
  </r>
  <r>
    <n v="218"/>
    <s v="京X62H05"/>
    <x v="1"/>
    <s v="黑色"/>
    <n v="2.5"/>
    <x v="3"/>
    <d v="1899-12-30T00:23:00"/>
    <d v="2014-05-29T00:00:00"/>
    <d v="1899-12-30T01:15:00"/>
    <d v="1899-12-30T00:52:00"/>
    <n v="10"/>
    <n v="7.5"/>
    <n v="-2.5"/>
  </r>
  <r>
    <n v="219"/>
    <s v="京B40257"/>
    <x v="2"/>
    <s v="银灰色"/>
    <n v="2"/>
    <x v="3"/>
    <d v="1899-12-30T00:26:00"/>
    <d v="2014-05-29T00:00:00"/>
    <d v="1899-12-30T04:58:01"/>
    <d v="1899-12-30T04:32:01"/>
    <n v="38"/>
    <n v="36"/>
    <n v="-2"/>
  </r>
  <r>
    <n v="220"/>
    <s v="京C9D153"/>
    <x v="2"/>
    <s v="白色"/>
    <n v="2"/>
    <x v="3"/>
    <d v="1899-12-30T00:38:00"/>
    <d v="2014-05-29T00:00:00"/>
    <d v="1899-12-30T13:25:04"/>
    <d v="1899-12-30T12:47:04"/>
    <n v="104"/>
    <n v="102"/>
    <n v="-2"/>
  </r>
  <r>
    <n v="221"/>
    <s v="京G58T70"/>
    <x v="1"/>
    <s v="白色"/>
    <n v="2.5"/>
    <x v="3"/>
    <d v="1899-12-30T00:59:00"/>
    <d v="2014-05-29T00:00:00"/>
    <d v="1899-12-30T15:30:04"/>
    <d v="1899-12-30T14:31:04"/>
    <n v="147.5"/>
    <n v="145"/>
    <n v="-2.5"/>
  </r>
  <r>
    <n v="222"/>
    <s v="京E9K736"/>
    <x v="2"/>
    <s v="深蓝色"/>
    <n v="2"/>
    <x v="3"/>
    <d v="1899-12-30T01:01:00"/>
    <d v="2014-05-29T00:00:00"/>
    <d v="1899-12-30T03:25:01"/>
    <d v="1899-12-30T02:24:01"/>
    <n v="20"/>
    <n v="18"/>
    <n v="-2"/>
  </r>
  <r>
    <n v="223"/>
    <s v="京X45B91"/>
    <x v="2"/>
    <s v="银灰色"/>
    <n v="2"/>
    <x v="3"/>
    <d v="1899-12-30T01:14:00"/>
    <d v="2014-05-29T00:00:00"/>
    <d v="1899-12-30T04:39:01"/>
    <d v="1899-12-30T03:25:01"/>
    <n v="28"/>
    <n v="26"/>
    <n v="-2"/>
  </r>
  <r>
    <n v="224"/>
    <s v="京H17030"/>
    <x v="2"/>
    <s v="黑色"/>
    <n v="2"/>
    <x v="3"/>
    <d v="1899-12-30T01:40:00"/>
    <d v="2014-05-29T00:00:00"/>
    <d v="1899-12-30T07:16:02"/>
    <d v="1899-12-30T05:36:02"/>
    <n v="46"/>
    <n v="44"/>
    <n v="-2"/>
  </r>
  <r>
    <n v="225"/>
    <s v="京B91C28"/>
    <x v="1"/>
    <s v="黑色"/>
    <n v="2.5"/>
    <x v="3"/>
    <d v="1899-12-30T02:27:01"/>
    <d v="2014-05-29T00:00:00"/>
    <d v="1899-12-30T02:59:01"/>
    <d v="1899-12-30T00:32:00"/>
    <n v="7.5"/>
    <n v="5"/>
    <n v="-2.5"/>
  </r>
  <r>
    <n v="226"/>
    <s v="京D1D315"/>
    <x v="0"/>
    <s v="深蓝色"/>
    <n v="1.5"/>
    <x v="3"/>
    <d v="1899-12-30T02:32:01"/>
    <d v="2014-05-29T00:00:00"/>
    <d v="1899-12-30T10:06:03"/>
    <d v="1899-12-30T07:34:02"/>
    <n v="46.5"/>
    <n v="45"/>
    <n v="-1.5"/>
  </r>
  <r>
    <n v="227"/>
    <s v="京R41B61"/>
    <x v="1"/>
    <s v="白色"/>
    <n v="2.5"/>
    <x v="3"/>
    <d v="1899-12-30T02:47:01"/>
    <d v="2014-05-29T00:00:00"/>
    <d v="1899-12-30T17:36:05"/>
    <d v="1899-12-30T14:49:04"/>
    <n v="150"/>
    <n v="147.5"/>
    <n v="-2.5"/>
  </r>
  <r>
    <n v="228"/>
    <s v="京P59090"/>
    <x v="2"/>
    <s v="黑色"/>
    <n v="2"/>
    <x v="3"/>
    <d v="1899-12-30T02:49:01"/>
    <d v="2014-05-29T00:00:00"/>
    <d v="1899-12-30T16:33:05"/>
    <d v="1899-12-30T13:44:04"/>
    <n v="110"/>
    <n v="108"/>
    <n v="-2"/>
  </r>
  <r>
    <n v="229"/>
    <s v="京G17178"/>
    <x v="2"/>
    <s v="深蓝色"/>
    <n v="2"/>
    <x v="3"/>
    <d v="1899-12-30T03:15:01"/>
    <d v="2014-05-29T00:00:00"/>
    <d v="1899-12-30T12:44:04"/>
    <d v="1899-12-30T09:29:03"/>
    <n v="76"/>
    <n v="74"/>
    <n v="-2"/>
  </r>
  <r>
    <n v="230"/>
    <s v="京M09531"/>
    <x v="0"/>
    <s v="深蓝色"/>
    <n v="1.5"/>
    <x v="3"/>
    <d v="1899-12-30T04:08:01"/>
    <d v="2014-05-29T00:00:00"/>
    <d v="1899-12-30T09:04:03"/>
    <d v="1899-12-30T04:56:01"/>
    <n v="30"/>
    <n v="28.5"/>
    <n v="-1.5"/>
  </r>
  <r>
    <n v="231"/>
    <s v="京M3P518"/>
    <x v="1"/>
    <s v="黑色"/>
    <n v="2.5"/>
    <x v="3"/>
    <d v="1899-12-30T04:23:01"/>
    <d v="2014-05-29T00:00:00"/>
    <d v="1899-12-30T12:12:04"/>
    <d v="1899-12-30T07:49:02"/>
    <n v="80"/>
    <n v="77.5"/>
    <n v="-2.5"/>
  </r>
  <r>
    <n v="232"/>
    <s v="京R3U302"/>
    <x v="1"/>
    <s v="白色"/>
    <n v="2.5"/>
    <x v="3"/>
    <d v="1899-12-30T04:35:01"/>
    <d v="2014-05-29T00:00:00"/>
    <d v="1899-12-30T09:00:03"/>
    <d v="1899-12-30T04:25:01"/>
    <n v="45"/>
    <n v="42.5"/>
    <n v="-2.5"/>
  </r>
  <r>
    <n v="233"/>
    <s v="京J56R58"/>
    <x v="1"/>
    <s v="深蓝色"/>
    <n v="2.5"/>
    <x v="3"/>
    <d v="1899-12-30T04:45:01"/>
    <d v="2014-05-29T00:00:00"/>
    <d v="1899-12-30T16:23:05"/>
    <d v="1899-12-30T11:38:03"/>
    <n v="117.5"/>
    <n v="115"/>
    <n v="-2.5"/>
  </r>
  <r>
    <n v="234"/>
    <s v="京TR0363"/>
    <x v="0"/>
    <s v="白色"/>
    <n v="1.5"/>
    <x v="3"/>
    <d v="1899-12-30T05:53:02"/>
    <d v="2014-05-29T00:00:00"/>
    <d v="1899-12-30T14:39:04"/>
    <d v="1899-12-30T08:46:03"/>
    <n v="54"/>
    <n v="52.5"/>
    <n v="-1.5"/>
  </r>
  <r>
    <n v="235"/>
    <s v="京I83660"/>
    <x v="2"/>
    <s v="深蓝色"/>
    <n v="2"/>
    <x v="3"/>
    <d v="1899-12-30T06:02:02"/>
    <d v="2014-05-29T00:00:00"/>
    <d v="1899-12-30T09:45:03"/>
    <d v="1899-12-30T03:43:01"/>
    <n v="30"/>
    <n v="28"/>
    <n v="-2"/>
  </r>
  <r>
    <n v="236"/>
    <s v="京FH8306"/>
    <x v="0"/>
    <s v="深蓝色"/>
    <n v="1.5"/>
    <x v="3"/>
    <d v="1899-12-30T06:52:02"/>
    <d v="2014-05-29T00:00:00"/>
    <d v="1899-12-30T17:08:05"/>
    <d v="1899-12-30T10:16:03"/>
    <n v="63"/>
    <n v="61.5"/>
    <n v="-1.5"/>
  </r>
  <r>
    <n v="237"/>
    <s v="京F4T130"/>
    <x v="0"/>
    <s v="银灰色"/>
    <n v="1.5"/>
    <x v="3"/>
    <d v="1899-12-30T07:08:02"/>
    <d v="2014-05-29T00:00:00"/>
    <d v="1899-12-30T20:26:06"/>
    <d v="1899-12-30T13:18:04"/>
    <n v="81"/>
    <n v="79.5"/>
    <n v="-1.5"/>
  </r>
  <r>
    <n v="238"/>
    <s v="京YU7819"/>
    <x v="0"/>
    <s v="黑色"/>
    <n v="1.5"/>
    <x v="3"/>
    <d v="1899-12-30T07:21:02"/>
    <d v="2014-05-29T00:00:00"/>
    <d v="1899-12-30T20:13:06"/>
    <d v="1899-12-30T12:52:04"/>
    <n v="78"/>
    <n v="76.5"/>
    <n v="-1.5"/>
  </r>
  <r>
    <n v="239"/>
    <s v="京R2O187"/>
    <x v="1"/>
    <s v="黑色"/>
    <n v="2.5"/>
    <x v="3"/>
    <d v="1899-12-30T07:28:02"/>
    <d v="2014-05-29T00:00:00"/>
    <d v="1899-12-30T21:31:06"/>
    <d v="1899-12-30T14:03:04"/>
    <n v="142.5"/>
    <n v="140"/>
    <n v="-2.5"/>
  </r>
  <r>
    <n v="240"/>
    <s v="京M95M05"/>
    <x v="2"/>
    <s v="黑色"/>
    <n v="2"/>
    <x v="3"/>
    <d v="1899-12-30T07:32:02"/>
    <d v="2014-05-29T00:00:00"/>
    <d v="1899-12-30T17:23:05"/>
    <d v="1899-12-30T09:51:03"/>
    <n v="80"/>
    <n v="78"/>
    <n v="-2"/>
  </r>
  <r>
    <n v="241"/>
    <s v="京E20P70"/>
    <x v="2"/>
    <s v="白色"/>
    <n v="2"/>
    <x v="3"/>
    <d v="1899-12-30T07:35:02"/>
    <d v="2014-05-29T00:00:00"/>
    <d v="1899-12-30T16:11:05"/>
    <d v="1899-12-30T08:36:02"/>
    <n v="70"/>
    <n v="68"/>
    <n v="-2"/>
  </r>
  <r>
    <n v="242"/>
    <s v="京T48266"/>
    <x v="0"/>
    <s v="黑色"/>
    <n v="1.5"/>
    <x v="3"/>
    <d v="1899-12-30T08:01:02"/>
    <d v="2014-05-29T00:00:00"/>
    <d v="1899-12-30T10:42:03"/>
    <d v="1899-12-30T02:41:01"/>
    <n v="16.5"/>
    <n v="15"/>
    <n v="-1.5"/>
  </r>
  <r>
    <n v="243"/>
    <s v="京W84953"/>
    <x v="0"/>
    <s v="黑色"/>
    <n v="1.5"/>
    <x v="3"/>
    <d v="1899-12-30T08:02:02"/>
    <d v="2014-05-29T00:00:00"/>
    <d v="1899-12-30T17:30:05"/>
    <d v="1899-12-30T09:28:03"/>
    <n v="57"/>
    <n v="55.5"/>
    <n v="-1.5"/>
  </r>
  <r>
    <n v="244"/>
    <s v="京Q0P152"/>
    <x v="1"/>
    <s v="黑色"/>
    <n v="2.5"/>
    <x v="3"/>
    <d v="1899-12-30T08:05:02"/>
    <d v="2014-05-29T00:00:00"/>
    <d v="1899-12-30T22:41:07"/>
    <d v="1899-12-30T14:36:04"/>
    <n v="147.5"/>
    <n v="145"/>
    <n v="-2.5"/>
  </r>
  <r>
    <n v="245"/>
    <s v="京G1K049"/>
    <x v="0"/>
    <s v="银灰色"/>
    <n v="1.5"/>
    <x v="3"/>
    <d v="1899-12-30T08:06:02"/>
    <d v="2014-05-29T00:00:00"/>
    <d v="1899-12-30T22:23:06"/>
    <d v="1899-12-30T14:17:04"/>
    <n v="87"/>
    <n v="85.5"/>
    <n v="-1.5"/>
  </r>
  <r>
    <n v="246"/>
    <s v="京Q79966"/>
    <x v="1"/>
    <s v="银灰色"/>
    <n v="2.5"/>
    <x v="3"/>
    <d v="1899-12-30T08:22:02"/>
    <d v="2014-05-29T00:00:00"/>
    <d v="1899-12-30T21:51:06"/>
    <d v="1899-12-30T13:29:04"/>
    <n v="135"/>
    <n v="132.5"/>
    <n v="-2.5"/>
  </r>
  <r>
    <n v="247"/>
    <s v="京O76554"/>
    <x v="1"/>
    <s v="银灰色"/>
    <n v="2.5"/>
    <x v="3"/>
    <d v="1899-12-30T08:26:02"/>
    <d v="2014-05-29T00:00:00"/>
    <d v="1899-12-30T08:44:03"/>
    <d v="1899-12-30T00:18:00"/>
    <n v="5"/>
    <n v="2.5"/>
    <n v="-2.5"/>
  </r>
  <r>
    <n v="248"/>
    <s v="京I18H85"/>
    <x v="1"/>
    <s v="白色"/>
    <n v="2.5"/>
    <x v="3"/>
    <d v="1899-12-30T08:27:02"/>
    <d v="2014-05-29T00:00:00"/>
    <d v="1899-12-30T16:12:05"/>
    <d v="1899-12-30T07:45:02"/>
    <n v="80"/>
    <n v="77.5"/>
    <n v="-2.5"/>
  </r>
  <r>
    <n v="249"/>
    <s v="京J46J01"/>
    <x v="1"/>
    <s v="白色"/>
    <n v="2.5"/>
    <x v="3"/>
    <d v="1899-12-30T08:42:03"/>
    <d v="2014-05-29T00:00:00"/>
    <d v="1899-12-30T09:56:03"/>
    <d v="1899-12-30T01:14:00"/>
    <n v="12.5"/>
    <n v="10"/>
    <n v="-2.5"/>
  </r>
  <r>
    <n v="250"/>
    <s v="京JF8530"/>
    <x v="0"/>
    <s v="黑色"/>
    <n v="1.5"/>
    <x v="3"/>
    <d v="1899-12-30T08:54:03"/>
    <d v="2014-05-29T00:00:00"/>
    <d v="1899-12-30T19:31:06"/>
    <d v="1899-12-30T10:37:03"/>
    <n v="64.5"/>
    <n v="63"/>
    <n v="-1.5"/>
  </r>
  <r>
    <n v="251"/>
    <s v="京O31L43"/>
    <x v="0"/>
    <s v="黑色"/>
    <n v="1.5"/>
    <x v="3"/>
    <d v="1899-12-30T08:54:03"/>
    <d v="2014-05-29T00:00:00"/>
    <d v="1899-12-30T23:04:07"/>
    <d v="1899-12-30T14:10:04"/>
    <n v="85.5"/>
    <n v="84"/>
    <n v="-1.5"/>
  </r>
  <r>
    <n v="252"/>
    <s v="京II0304"/>
    <x v="1"/>
    <s v="黑色"/>
    <n v="2.5"/>
    <x v="3"/>
    <d v="1899-12-30T09:11:03"/>
    <d v="2014-05-29T00:00:00"/>
    <d v="1899-12-30T18:59:05"/>
    <d v="1899-12-30T09:48:03"/>
    <n v="100"/>
    <n v="97.5"/>
    <n v="-2.5"/>
  </r>
  <r>
    <n v="253"/>
    <s v="京W7L073"/>
    <x v="0"/>
    <s v="银灰色"/>
    <n v="1.5"/>
    <x v="3"/>
    <d v="1899-12-30T09:12:03"/>
    <d v="2014-05-29T00:00:00"/>
    <d v="1899-12-30T10:56:03"/>
    <d v="1899-12-30T01:44:00"/>
    <n v="10.5"/>
    <n v="9"/>
    <n v="-1.5"/>
  </r>
  <r>
    <n v="254"/>
    <s v="京R41B61"/>
    <x v="1"/>
    <s v="白色"/>
    <n v="2.5"/>
    <x v="3"/>
    <d v="1899-12-30T09:16:03"/>
    <d v="2014-05-29T00:00:00"/>
    <d v="1899-12-30T15:46:05"/>
    <d v="1899-12-30T06:30:02"/>
    <n v="67.5"/>
    <n v="65"/>
    <n v="-2.5"/>
  </r>
  <r>
    <n v="255"/>
    <s v="京JM0542"/>
    <x v="2"/>
    <s v="深蓝色"/>
    <n v="2"/>
    <x v="3"/>
    <d v="1899-12-30T09:27:03"/>
    <d v="2014-05-29T00:00:00"/>
    <d v="1899-12-30T10:31:03"/>
    <d v="1899-12-30T01:04:00"/>
    <n v="10"/>
    <n v="8"/>
    <n v="-2"/>
  </r>
  <r>
    <n v="256"/>
    <s v="京YP6686"/>
    <x v="0"/>
    <s v="白色"/>
    <n v="1.5"/>
    <x v="3"/>
    <d v="1899-12-30T09:34:03"/>
    <d v="2014-05-29T00:00:00"/>
    <d v="1899-12-30T14:50:04"/>
    <d v="1899-12-30T05:16:02"/>
    <n v="33"/>
    <n v="31.5"/>
    <n v="-1.5"/>
  </r>
  <r>
    <n v="257"/>
    <s v="京G7G717"/>
    <x v="1"/>
    <s v="深蓝色"/>
    <n v="2.5"/>
    <x v="3"/>
    <d v="1899-12-30T09:38:03"/>
    <d v="2014-05-29T00:00:00"/>
    <d v="1899-12-30T14:50:04"/>
    <d v="1899-12-30T05:12:01"/>
    <n v="52.5"/>
    <n v="50"/>
    <n v="-2.5"/>
  </r>
  <r>
    <n v="258"/>
    <s v="京YK8035"/>
    <x v="0"/>
    <s v="银灰色"/>
    <n v="1.5"/>
    <x v="3"/>
    <d v="1899-12-30T09:48:03"/>
    <d v="2014-05-29T00:00:00"/>
    <d v="1899-12-30T16:13:05"/>
    <d v="1899-12-30T06:25:02"/>
    <n v="39"/>
    <n v="37.5"/>
    <n v="-1.5"/>
  </r>
  <r>
    <n v="259"/>
    <s v="京CH2906"/>
    <x v="1"/>
    <s v="白色"/>
    <n v="2.5"/>
    <x v="3"/>
    <d v="1899-12-30T09:56:03"/>
    <d v="2014-05-29T00:00:00"/>
    <d v="1899-12-30T11:05:03"/>
    <d v="1899-12-30T01:09:00"/>
    <n v="12.5"/>
    <n v="10"/>
    <n v="-2.5"/>
  </r>
  <r>
    <n v="260"/>
    <s v="京L92P11"/>
    <x v="0"/>
    <s v="白色"/>
    <n v="1.5"/>
    <x v="3"/>
    <d v="1899-12-30T09:58:03"/>
    <d v="2014-05-29T00:00:00"/>
    <d v="1899-12-30T23:49:07"/>
    <d v="1899-12-30T13:51:04"/>
    <n v="84"/>
    <n v="82.5"/>
    <n v="-1.5"/>
  </r>
  <r>
    <n v="261"/>
    <s v="京QR7261"/>
    <x v="2"/>
    <s v="白色"/>
    <n v="2"/>
    <x v="3"/>
    <d v="1899-12-30T10:34:03"/>
    <d v="2014-05-29T00:00:00"/>
    <d v="1899-12-30T12:20:04"/>
    <d v="1899-12-30T01:46:01"/>
    <n v="16"/>
    <n v="14"/>
    <n v="-2"/>
  </r>
  <r>
    <n v="262"/>
    <s v="京W34O39"/>
    <x v="1"/>
    <s v="黑色"/>
    <n v="2.5"/>
    <x v="3"/>
    <d v="1899-12-30T10:39:03"/>
    <d v="2014-05-29T00:00:00"/>
    <d v="1899-12-30T17:47:05"/>
    <d v="1899-12-30T07:08:02"/>
    <n v="72.5"/>
    <n v="70"/>
    <n v="-2.5"/>
  </r>
  <r>
    <n v="263"/>
    <s v="京D1K708"/>
    <x v="0"/>
    <s v="白色"/>
    <n v="1.5"/>
    <x v="3"/>
    <d v="1899-12-30T10:47:03"/>
    <d v="2014-05-29T00:00:00"/>
    <d v="1899-12-30T20:55:06"/>
    <d v="1899-12-30T10:08:03"/>
    <n v="61.5"/>
    <n v="60"/>
    <n v="-1.5"/>
  </r>
  <r>
    <n v="264"/>
    <s v="京B40257"/>
    <x v="2"/>
    <s v="银灰色"/>
    <n v="2"/>
    <x v="3"/>
    <d v="1899-12-30T11:05:03"/>
    <d v="2014-05-29T00:00:00"/>
    <d v="1899-12-30T12:07:03"/>
    <d v="1899-12-30T01:02:00"/>
    <n v="10"/>
    <n v="8"/>
    <n v="-2"/>
  </r>
  <r>
    <n v="265"/>
    <s v="京U54399"/>
    <x v="2"/>
    <s v="白色"/>
    <n v="2"/>
    <x v="3"/>
    <d v="1899-12-30T11:23:03"/>
    <d v="2014-05-29T00:00:00"/>
    <d v="1899-12-30T13:28:04"/>
    <d v="1899-12-30T02:05:01"/>
    <n v="18"/>
    <n v="16"/>
    <n v="-2"/>
  </r>
  <r>
    <n v="266"/>
    <s v="京G84E44"/>
    <x v="2"/>
    <s v="银灰色"/>
    <n v="2"/>
    <x v="3"/>
    <d v="1899-12-30T11:28:03"/>
    <d v="2014-05-29T00:00:00"/>
    <d v="1899-12-30T20:42:06"/>
    <d v="1899-12-30T09:14:03"/>
    <n v="74"/>
    <n v="72"/>
    <n v="-2"/>
  </r>
  <r>
    <n v="267"/>
    <s v="京L4N723"/>
    <x v="1"/>
    <s v="黑色"/>
    <n v="2.5"/>
    <x v="3"/>
    <d v="1899-12-30T11:50:03"/>
    <d v="2014-05-30T00:00:00"/>
    <d v="1899-12-30T00:49:00"/>
    <d v="1899-12-30T12:58:57"/>
    <n v="130"/>
    <n v="127.5"/>
    <n v="-2.5"/>
  </r>
  <r>
    <n v="268"/>
    <s v="京J09217"/>
    <x v="1"/>
    <s v="黑色"/>
    <n v="2.5"/>
    <x v="3"/>
    <d v="1899-12-30T12:09:03"/>
    <d v="2014-05-29T00:00:00"/>
    <d v="1899-12-30T13:28:04"/>
    <d v="1899-12-30T01:19:00"/>
    <n v="15"/>
    <n v="12.5"/>
    <n v="-2.5"/>
  </r>
  <r>
    <n v="269"/>
    <s v="京O3H571"/>
    <x v="1"/>
    <s v="黑色"/>
    <n v="2.5"/>
    <x v="3"/>
    <d v="1899-12-30T12:15:04"/>
    <d v="2014-05-29T00:00:00"/>
    <d v="1899-12-30T16:55:05"/>
    <d v="1899-12-30T04:40:01"/>
    <n v="47.5"/>
    <n v="45"/>
    <n v="-2.5"/>
  </r>
  <r>
    <n v="270"/>
    <s v="京D1K708"/>
    <x v="0"/>
    <s v="白色"/>
    <n v="1.5"/>
    <x v="3"/>
    <d v="1899-12-30T12:18:04"/>
    <d v="2014-05-29T00:00:00"/>
    <d v="1899-12-30T16:37:05"/>
    <d v="1899-12-30T04:19:01"/>
    <n v="27"/>
    <n v="25.5"/>
    <n v="-1.5"/>
  </r>
  <r>
    <n v="271"/>
    <s v="京GU23"/>
    <x v="1"/>
    <s v="深蓝色"/>
    <n v="2.5"/>
    <x v="3"/>
    <d v="1899-12-30T13:05:04"/>
    <d v="2014-05-29T00:00:00"/>
    <d v="1899-12-30T22:02:06"/>
    <d v="1899-12-30T08:57:03"/>
    <n v="90"/>
    <n v="87.5"/>
    <n v="-2.5"/>
  </r>
  <r>
    <n v="272"/>
    <s v="京A7H440"/>
    <x v="1"/>
    <s v="白色"/>
    <n v="2.5"/>
    <x v="3"/>
    <d v="1899-12-30T13:26:04"/>
    <d v="2014-05-30T00:00:00"/>
    <d v="1899-12-30T02:27:01"/>
    <d v="1899-12-30T13:00:57"/>
    <n v="132.5"/>
    <n v="130"/>
    <n v="-2.5"/>
  </r>
  <r>
    <n v="273"/>
    <s v="京N34937"/>
    <x v="2"/>
    <s v="深蓝色"/>
    <n v="2"/>
    <x v="3"/>
    <d v="1899-12-30T14:00:04"/>
    <d v="2014-05-29T00:00:00"/>
    <d v="1899-12-30T18:58:05"/>
    <d v="1899-12-30T04:58:01"/>
    <n v="40"/>
    <n v="38"/>
    <n v="-2"/>
  </r>
  <r>
    <n v="274"/>
    <s v="京L31P52"/>
    <x v="0"/>
    <s v="深蓝色"/>
    <n v="1.5"/>
    <x v="3"/>
    <d v="1899-12-30T14:16:04"/>
    <d v="2014-05-29T00:00:00"/>
    <d v="1899-12-30T21:21:06"/>
    <d v="1899-12-30T07:05:02"/>
    <n v="43.5"/>
    <n v="42"/>
    <n v="-1.5"/>
  </r>
  <r>
    <n v="275"/>
    <s v="京YB4784"/>
    <x v="1"/>
    <s v="黑色"/>
    <n v="2.5"/>
    <x v="3"/>
    <d v="1899-12-30T14:34:04"/>
    <d v="2014-05-29T00:00:00"/>
    <d v="1899-12-30T23:50:07"/>
    <d v="1899-12-30T09:16:03"/>
    <n v="95"/>
    <n v="92.5"/>
    <n v="-2.5"/>
  </r>
  <r>
    <n v="276"/>
    <s v="京EI6593"/>
    <x v="1"/>
    <s v="白色"/>
    <n v="2.5"/>
    <x v="3"/>
    <d v="1899-12-30T14:40:04"/>
    <d v="2014-05-29T00:00:00"/>
    <d v="1899-12-30T19:47:06"/>
    <d v="1899-12-30T05:07:01"/>
    <n v="52.5"/>
    <n v="50"/>
    <n v="-2.5"/>
  </r>
  <r>
    <n v="277"/>
    <s v="京Y9N329"/>
    <x v="0"/>
    <s v="黑色"/>
    <n v="1.5"/>
    <x v="3"/>
    <d v="1899-12-30T14:51:04"/>
    <d v="2014-05-29T00:00:00"/>
    <d v="1899-12-30T20:35:06"/>
    <d v="1899-12-30T05:44:02"/>
    <n v="34.5"/>
    <n v="33"/>
    <n v="-1.5"/>
  </r>
  <r>
    <n v="278"/>
    <s v="京R51641"/>
    <x v="1"/>
    <s v="银灰色"/>
    <n v="2.5"/>
    <x v="3"/>
    <d v="1899-12-30T14:53:04"/>
    <d v="2014-05-29T00:00:00"/>
    <d v="1899-12-30T21:02:06"/>
    <d v="1899-12-30T06:09:02"/>
    <n v="62.5"/>
    <n v="60"/>
    <n v="-2.5"/>
  </r>
  <r>
    <n v="279"/>
    <s v="京NH1245"/>
    <x v="1"/>
    <s v="银灰色"/>
    <n v="2.5"/>
    <x v="3"/>
    <d v="1899-12-30T14:55:04"/>
    <d v="2014-05-29T00:00:00"/>
    <d v="1899-12-30T20:12:06"/>
    <d v="1899-12-30T05:17:02"/>
    <n v="55"/>
    <n v="52.5"/>
    <n v="-2.5"/>
  </r>
  <r>
    <n v="280"/>
    <s v="京S8J403"/>
    <x v="1"/>
    <s v="白色"/>
    <n v="2.5"/>
    <x v="3"/>
    <d v="1899-12-30T15:14:04"/>
    <d v="2014-05-29T00:00:00"/>
    <d v="1899-12-30T17:06:05"/>
    <d v="1899-12-30T01:52:01"/>
    <n v="20"/>
    <n v="17.5"/>
    <n v="-2.5"/>
  </r>
  <r>
    <n v="281"/>
    <s v="京W0D196"/>
    <x v="2"/>
    <s v="黑色"/>
    <n v="2"/>
    <x v="3"/>
    <d v="1899-12-30T15:42:05"/>
    <d v="2014-05-29T00:00:00"/>
    <d v="1899-12-30T17:20:05"/>
    <d v="1899-12-30T01:38:00"/>
    <n v="14"/>
    <n v="12"/>
    <n v="-2"/>
  </r>
  <r>
    <n v="282"/>
    <s v="京G75M68"/>
    <x v="2"/>
    <s v="银灰色"/>
    <n v="2"/>
    <x v="3"/>
    <d v="1899-12-30T15:49:05"/>
    <d v="2014-05-29T00:00:00"/>
    <d v="1899-12-30T17:52:05"/>
    <d v="1899-12-30T02:03:01"/>
    <n v="18"/>
    <n v="16"/>
    <n v="-2"/>
  </r>
  <r>
    <n v="283"/>
    <s v="京D82210"/>
    <x v="0"/>
    <s v="银灰色"/>
    <n v="1.5"/>
    <x v="3"/>
    <d v="1899-12-30T17:30:05"/>
    <d v="2014-05-30T00:00:00"/>
    <d v="1899-12-30T05:41:02"/>
    <d v="1899-12-30T12:10:57"/>
    <n v="73.5"/>
    <n v="72"/>
    <n v="-1.5"/>
  </r>
  <r>
    <n v="284"/>
    <s v="京L06I67"/>
    <x v="1"/>
    <s v="深蓝色"/>
    <n v="2.5"/>
    <x v="3"/>
    <d v="1899-12-30T18:10:05"/>
    <d v="2014-05-29T00:00:00"/>
    <d v="1899-12-30T18:34:05"/>
    <d v="1899-12-30T00:24:00"/>
    <n v="5"/>
    <n v="2.5"/>
    <n v="-2.5"/>
  </r>
  <r>
    <n v="285"/>
    <s v="京I29G08"/>
    <x v="2"/>
    <s v="黑色"/>
    <n v="2"/>
    <x v="3"/>
    <d v="1899-12-30T18:35:05"/>
    <d v="2014-05-29T00:00:00"/>
    <d v="1899-12-30T20:45:06"/>
    <d v="1899-12-30T02:10:01"/>
    <n v="18"/>
    <n v="16"/>
    <n v="-2"/>
  </r>
  <r>
    <n v="286"/>
    <s v="京L28B91"/>
    <x v="1"/>
    <s v="银灰色"/>
    <n v="2.5"/>
    <x v="3"/>
    <d v="1899-12-30T18:38:05"/>
    <d v="2014-05-29T00:00:00"/>
    <d v="1899-12-30T22:28:06"/>
    <d v="1899-12-30T03:50:01"/>
    <n v="40"/>
    <n v="37.5"/>
    <n v="-2.5"/>
  </r>
  <r>
    <n v="287"/>
    <s v="京U18036"/>
    <x v="0"/>
    <s v="深蓝色"/>
    <n v="1.5"/>
    <x v="3"/>
    <d v="1899-12-30T18:44:05"/>
    <d v="2014-05-30T00:00:00"/>
    <d v="1899-12-30T07:25:02"/>
    <d v="1899-12-30T12:40:57"/>
    <n v="76.5"/>
    <n v="75"/>
    <n v="-1.5"/>
  </r>
  <r>
    <n v="288"/>
    <s v="京X4M023"/>
    <x v="1"/>
    <s v="银灰色"/>
    <n v="2.5"/>
    <x v="3"/>
    <d v="1899-12-30T18:44:05"/>
    <d v="2014-05-29T00:00:00"/>
    <d v="1899-12-30T21:01:06"/>
    <d v="1899-12-30T02:17:01"/>
    <n v="25"/>
    <n v="22.5"/>
    <n v="-2.5"/>
  </r>
  <r>
    <n v="289"/>
    <s v="京RE4875"/>
    <x v="0"/>
    <s v="黑色"/>
    <n v="1.5"/>
    <x v="3"/>
    <d v="1899-12-30T19:01:05"/>
    <d v="2014-05-29T00:00:00"/>
    <d v="1899-12-30T22:42:07"/>
    <d v="1899-12-30T03:41:01"/>
    <n v="22.5"/>
    <n v="21"/>
    <n v="-1.5"/>
  </r>
  <r>
    <n v="290"/>
    <s v="京HK3531"/>
    <x v="2"/>
    <s v="黑色"/>
    <n v="2"/>
    <x v="3"/>
    <d v="1899-12-30T19:03:05"/>
    <d v="2014-05-29T00:00:00"/>
    <d v="1899-12-30T22:04:06"/>
    <d v="1899-12-30T03:01:01"/>
    <n v="26"/>
    <n v="24"/>
    <n v="-2"/>
  </r>
  <r>
    <n v="291"/>
    <s v="京D1D315"/>
    <x v="0"/>
    <s v="深蓝色"/>
    <n v="1.5"/>
    <x v="3"/>
    <d v="1899-12-30T19:18:06"/>
    <d v="2014-05-29T00:00:00"/>
    <d v="1899-12-30T23:41:07"/>
    <d v="1899-12-30T04:23:01"/>
    <n v="27"/>
    <n v="25.5"/>
    <n v="-1.5"/>
  </r>
  <r>
    <n v="292"/>
    <s v="京Q5M745"/>
    <x v="0"/>
    <s v="白色"/>
    <n v="1.5"/>
    <x v="3"/>
    <d v="1899-12-30T19:55:06"/>
    <d v="2014-05-29T00:00:00"/>
    <d v="1899-12-30T22:02:06"/>
    <d v="1899-12-30T02:07:01"/>
    <n v="13.5"/>
    <n v="12"/>
    <n v="-1.5"/>
  </r>
  <r>
    <n v="293"/>
    <s v="京H63240"/>
    <x v="2"/>
    <s v="白色"/>
    <n v="2"/>
    <x v="3"/>
    <d v="1899-12-30T21:33:06"/>
    <d v="2014-05-29T00:00:00"/>
    <d v="1899-12-30T23:02:07"/>
    <d v="1899-12-30T01:29:00"/>
    <n v="12"/>
    <n v="10"/>
    <n v="-2"/>
  </r>
  <r>
    <n v="294"/>
    <s v="京K4J374"/>
    <x v="1"/>
    <s v="白色"/>
    <n v="2.5"/>
    <x v="3"/>
    <d v="1899-12-30T22:37:07"/>
    <d v="2014-05-30T00:00:00"/>
    <d v="1899-12-30T14:36:04"/>
    <d v="1899-12-30T15:58:58"/>
    <n v="160"/>
    <n v="157.5"/>
    <n v="-2.5"/>
  </r>
  <r>
    <n v="295"/>
    <s v="京P59090"/>
    <x v="2"/>
    <s v="黑色"/>
    <n v="2"/>
    <x v="3"/>
    <d v="1899-12-30T23:01:07"/>
    <d v="2014-05-30T00:00:00"/>
    <d v="1899-12-30T12:34:04"/>
    <d v="1899-12-30T13:32:57"/>
    <n v="110"/>
    <n v="108"/>
    <n v="-2"/>
  </r>
  <r>
    <n v="296"/>
    <s v="京R46140"/>
    <x v="0"/>
    <s v="黑色"/>
    <n v="1.5"/>
    <x v="3"/>
    <d v="1899-12-30T23:30:07"/>
    <d v="2014-05-30T00:00:00"/>
    <d v="1899-12-30T10:44:03"/>
    <d v="1899-12-30T11:13:56"/>
    <n v="67.5"/>
    <n v="66"/>
    <n v="-1.5"/>
  </r>
  <r>
    <n v="297"/>
    <s v="京KJ5252"/>
    <x v="1"/>
    <s v="白色"/>
    <n v="2.5"/>
    <x v="3"/>
    <d v="1899-12-30T23:34:07"/>
    <d v="2014-05-30T00:00:00"/>
    <d v="1899-12-30T11:32:03"/>
    <d v="1899-12-30T11:57:57"/>
    <n v="120"/>
    <n v="117.5"/>
    <n v="-2.5"/>
  </r>
  <r>
    <n v="298"/>
    <s v="京QQ8629"/>
    <x v="0"/>
    <s v="黑色"/>
    <n v="1.5"/>
    <x v="4"/>
    <d v="1899-12-30T00:01:00"/>
    <d v="2014-05-30T00:00:00"/>
    <d v="1899-12-30T13:31:04"/>
    <d v="1899-12-30T13:30:04"/>
    <n v="82.5"/>
    <n v="81"/>
    <n v="-1.5"/>
  </r>
  <r>
    <n v="299"/>
    <s v="京MQ5474"/>
    <x v="2"/>
    <s v="银灰色"/>
    <n v="2"/>
    <x v="4"/>
    <d v="1899-12-30T00:13:00"/>
    <d v="2014-05-30T00:00:00"/>
    <d v="1899-12-30T15:04:04"/>
    <d v="1899-12-30T14:51:04"/>
    <n v="120"/>
    <n v="118"/>
    <n v="-2"/>
  </r>
  <r>
    <n v="300"/>
    <s v="京G17L84"/>
    <x v="2"/>
    <s v="白色"/>
    <n v="2"/>
    <x v="4"/>
    <d v="1899-12-30T00:37:00"/>
    <d v="2014-05-30T00:00:00"/>
    <d v="1899-12-30T04:45:01"/>
    <d v="1899-12-30T04:08:01"/>
    <n v="34"/>
    <n v="32"/>
    <n v="-2"/>
  </r>
  <r>
    <n v="301"/>
    <s v="京S8B128"/>
    <x v="0"/>
    <s v="黑色"/>
    <n v="1.5"/>
    <x v="4"/>
    <d v="1899-12-30T00:38:00"/>
    <d v="2014-05-30T00:00:00"/>
    <d v="1899-12-30T13:22:04"/>
    <d v="1899-12-30T12:44:04"/>
    <n v="76.5"/>
    <n v="75"/>
    <n v="-1.5"/>
  </r>
  <r>
    <n v="302"/>
    <s v="京W84953"/>
    <x v="0"/>
    <s v="黑色"/>
    <n v="1.5"/>
    <x v="4"/>
    <d v="1899-12-30T00:54:00"/>
    <d v="2014-05-30T00:00:00"/>
    <d v="1899-12-30T06:11:02"/>
    <d v="1899-12-30T05:17:02"/>
    <n v="33"/>
    <n v="31.5"/>
    <n v="-1.5"/>
  </r>
  <r>
    <n v="303"/>
    <s v="京N34937"/>
    <x v="2"/>
    <s v="深蓝色"/>
    <n v="2"/>
    <x v="4"/>
    <d v="1899-12-30T01:45:01"/>
    <d v="2014-05-30T00:00:00"/>
    <d v="1899-12-30T07:15:02"/>
    <d v="1899-12-30T05:30:02"/>
    <n v="46"/>
    <n v="44"/>
    <n v="-2"/>
  </r>
  <r>
    <n v="304"/>
    <s v="京R46140"/>
    <x v="0"/>
    <s v="黑色"/>
    <n v="1.5"/>
    <x v="4"/>
    <d v="1899-12-30T01:50:01"/>
    <d v="2014-05-30T00:00:00"/>
    <d v="1899-12-30T18:25:05"/>
    <d v="1899-12-30T16:35:05"/>
    <n v="100.5"/>
    <n v="99"/>
    <n v="-1.5"/>
  </r>
  <r>
    <n v="305"/>
    <s v="京G1K049"/>
    <x v="0"/>
    <s v="银灰色"/>
    <n v="1.5"/>
    <x v="4"/>
    <d v="1899-12-30T02:45:01"/>
    <d v="2014-05-30T00:00:00"/>
    <d v="1899-12-30T08:25:02"/>
    <d v="1899-12-30T05:40:02"/>
    <n v="34.5"/>
    <n v="33"/>
    <n v="-1.5"/>
  </r>
  <r>
    <n v="306"/>
    <s v="京SI0042"/>
    <x v="0"/>
    <s v="银灰色"/>
    <n v="1.5"/>
    <x v="4"/>
    <d v="1899-12-30T03:06:01"/>
    <d v="2014-05-30T00:00:00"/>
    <d v="1899-12-30T15:43:05"/>
    <d v="1899-12-30T12:37:04"/>
    <n v="76.5"/>
    <n v="75"/>
    <n v="-1.5"/>
  </r>
  <r>
    <n v="307"/>
    <s v="京L92P11"/>
    <x v="0"/>
    <s v="白色"/>
    <n v="1.5"/>
    <x v="4"/>
    <d v="1899-12-30T03:08:01"/>
    <d v="2014-05-30T00:00:00"/>
    <d v="1899-12-30T08:38:02"/>
    <d v="1899-12-30T05:30:02"/>
    <n v="34.5"/>
    <n v="33"/>
    <n v="-1.5"/>
  </r>
  <r>
    <n v="308"/>
    <s v="京E48734"/>
    <x v="1"/>
    <s v="银灰色"/>
    <n v="2.5"/>
    <x v="4"/>
    <d v="1899-12-30T03:26:01"/>
    <d v="2014-05-30T00:00:00"/>
    <d v="1899-12-30T04:21:01"/>
    <d v="1899-12-30T00:55:00"/>
    <n v="10"/>
    <n v="7.5"/>
    <n v="-2.5"/>
  </r>
  <r>
    <n v="309"/>
    <s v="京I50368"/>
    <x v="0"/>
    <s v="深蓝色"/>
    <n v="1.5"/>
    <x v="4"/>
    <d v="1899-12-30T03:27:01"/>
    <d v="2014-05-30T00:00:00"/>
    <d v="1899-12-30T09:58:03"/>
    <d v="1899-12-30T06:31:02"/>
    <n v="40.5"/>
    <n v="39"/>
    <n v="-1.5"/>
  </r>
  <r>
    <n v="310"/>
    <s v="京G58T70"/>
    <x v="1"/>
    <s v="白色"/>
    <n v="2.5"/>
    <x v="4"/>
    <d v="1899-12-30T03:30:01"/>
    <d v="2014-05-30T00:00:00"/>
    <d v="1899-12-30T08:57:03"/>
    <d v="1899-12-30T05:27:02"/>
    <n v="55"/>
    <n v="52.5"/>
    <n v="-2.5"/>
  </r>
  <r>
    <n v="311"/>
    <s v="京W42P15"/>
    <x v="2"/>
    <s v="黑色"/>
    <n v="2"/>
    <x v="4"/>
    <d v="1899-12-30T03:43:01"/>
    <d v="2014-05-30T00:00:00"/>
    <d v="1899-12-30T05:40:02"/>
    <d v="1899-12-30T01:57:01"/>
    <n v="16"/>
    <n v="14"/>
    <n v="-2"/>
  </r>
  <r>
    <n v="312"/>
    <s v="京YP6686"/>
    <x v="0"/>
    <s v="白色"/>
    <n v="1.5"/>
    <x v="4"/>
    <d v="1899-12-30T03:46:01"/>
    <d v="2014-05-30T00:00:00"/>
    <d v="1899-12-30T14:15:04"/>
    <d v="1899-12-30T10:29:03"/>
    <n v="63"/>
    <n v="61.5"/>
    <n v="-1.5"/>
  </r>
  <r>
    <n v="313"/>
    <s v="京A0H336"/>
    <x v="0"/>
    <s v="银灰色"/>
    <n v="1.5"/>
    <x v="4"/>
    <d v="1899-12-30T03:51:01"/>
    <d v="2014-05-30T00:00:00"/>
    <d v="1899-12-30T05:47:02"/>
    <d v="1899-12-30T01:56:01"/>
    <n v="12"/>
    <n v="10.5"/>
    <n v="-1.5"/>
  </r>
  <r>
    <n v="314"/>
    <s v="京J03T05"/>
    <x v="2"/>
    <s v="深蓝色"/>
    <n v="2"/>
    <x v="4"/>
    <d v="1899-12-30T04:06:01"/>
    <d v="2014-05-30T00:00:00"/>
    <d v="1899-12-30T15:18:04"/>
    <d v="1899-12-30T11:12:03"/>
    <n v="90"/>
    <n v="88"/>
    <n v="-2"/>
  </r>
  <r>
    <n v="315"/>
    <s v="京Q28050"/>
    <x v="2"/>
    <s v="深蓝色"/>
    <n v="2"/>
    <x v="4"/>
    <d v="1899-12-30T04:18:01"/>
    <d v="2014-05-30T00:00:00"/>
    <d v="1899-12-30T17:15:05"/>
    <d v="1899-12-30T12:57:04"/>
    <n v="104"/>
    <n v="102"/>
    <n v="-2"/>
  </r>
  <r>
    <n v="316"/>
    <s v="京QR7261"/>
    <x v="2"/>
    <s v="白色"/>
    <n v="2"/>
    <x v="4"/>
    <d v="1899-12-30T04:29:01"/>
    <d v="2014-05-30T00:00:00"/>
    <d v="1899-12-30T06:46:02"/>
    <d v="1899-12-30T02:17:01"/>
    <n v="20"/>
    <n v="18"/>
    <n v="-2"/>
  </r>
  <r>
    <n v="317"/>
    <s v="京J09217"/>
    <x v="1"/>
    <s v="黑色"/>
    <n v="2.5"/>
    <x v="4"/>
    <d v="1899-12-30T04:37:01"/>
    <d v="2014-05-30T00:00:00"/>
    <d v="1899-12-30T10:10:03"/>
    <d v="1899-12-30T05:33:02"/>
    <n v="57.5"/>
    <n v="55"/>
    <n v="-2.5"/>
  </r>
  <r>
    <n v="318"/>
    <s v="京W9N754"/>
    <x v="2"/>
    <s v="银灰色"/>
    <n v="2"/>
    <x v="4"/>
    <d v="1899-12-30T04:38:01"/>
    <d v="2014-05-30T00:00:00"/>
    <d v="1899-12-30T06:34:02"/>
    <d v="1899-12-30T01:56:01"/>
    <n v="16"/>
    <n v="14"/>
    <n v="-2"/>
  </r>
  <r>
    <n v="319"/>
    <s v="京I46052"/>
    <x v="1"/>
    <s v="银灰色"/>
    <n v="2.5"/>
    <x v="4"/>
    <d v="1899-12-30T04:45:01"/>
    <d v="2014-05-30T00:00:00"/>
    <d v="1899-12-30T08:56:03"/>
    <d v="1899-12-30T04:11:01"/>
    <n v="42.5"/>
    <n v="40"/>
    <n v="-2.5"/>
  </r>
  <r>
    <n v="320"/>
    <s v="京J56R58"/>
    <x v="1"/>
    <s v="深蓝色"/>
    <n v="2.5"/>
    <x v="4"/>
    <d v="1899-12-30T05:05:01"/>
    <d v="2014-05-30T00:00:00"/>
    <d v="1899-12-30T21:44:06"/>
    <d v="1899-12-30T16:39:05"/>
    <n v="167.5"/>
    <n v="165"/>
    <n v="-2.5"/>
  </r>
  <r>
    <n v="321"/>
    <s v="京C29842"/>
    <x v="2"/>
    <s v="银灰色"/>
    <n v="2"/>
    <x v="4"/>
    <d v="1899-12-30T05:07:01"/>
    <d v="2014-05-30T00:00:00"/>
    <d v="1899-12-30T18:54:05"/>
    <d v="1899-12-30T13:47:04"/>
    <n v="112"/>
    <n v="110"/>
    <n v="-2"/>
  </r>
  <r>
    <n v="322"/>
    <s v="京G1U705"/>
    <x v="1"/>
    <s v="深蓝色"/>
    <n v="2.5"/>
    <x v="4"/>
    <d v="1899-12-30T05:28:02"/>
    <d v="2014-05-30T00:00:00"/>
    <d v="1899-12-30T08:37:02"/>
    <d v="1899-12-30T03:09:01"/>
    <n v="32.5"/>
    <n v="30"/>
    <n v="-2.5"/>
  </r>
  <r>
    <n v="323"/>
    <s v="京L44B94"/>
    <x v="0"/>
    <s v="白色"/>
    <n v="1.5"/>
    <x v="4"/>
    <d v="1899-12-30T05:41:02"/>
    <d v="2014-05-30T00:00:00"/>
    <d v="1899-12-30T14:44:04"/>
    <d v="1899-12-30T09:03:03"/>
    <n v="55.5"/>
    <n v="54"/>
    <n v="-1.5"/>
  </r>
  <r>
    <n v="324"/>
    <s v="京Q3F127"/>
    <x v="1"/>
    <s v="深蓝色"/>
    <n v="2.5"/>
    <x v="4"/>
    <d v="1899-12-30T05:41:02"/>
    <d v="2014-05-30T00:00:00"/>
    <d v="1899-12-30T10:21:03"/>
    <d v="1899-12-30T04:40:01"/>
    <n v="47.5"/>
    <n v="45"/>
    <n v="-2.5"/>
  </r>
  <r>
    <n v="325"/>
    <s v="京S1I014"/>
    <x v="2"/>
    <s v="白色"/>
    <n v="2"/>
    <x v="4"/>
    <d v="1899-12-30T05:50:02"/>
    <d v="2014-05-30T00:00:00"/>
    <d v="1899-12-30T08:07:02"/>
    <d v="1899-12-30T02:17:01"/>
    <n v="20"/>
    <n v="18"/>
    <n v="-2"/>
  </r>
  <r>
    <n v="326"/>
    <s v="京I2C982"/>
    <x v="1"/>
    <s v="黑色"/>
    <n v="2.5"/>
    <x v="4"/>
    <d v="1899-12-30T05:57:02"/>
    <d v="2014-05-30T00:00:00"/>
    <d v="1899-12-30T06:09:02"/>
    <d v="1899-12-30T00:12:00"/>
    <n v="2.5"/>
    <n v="0"/>
    <n v="-2.5"/>
  </r>
  <r>
    <n v="327"/>
    <s v="京C75762"/>
    <x v="1"/>
    <s v="白色"/>
    <n v="2.5"/>
    <x v="4"/>
    <d v="1899-12-30T06:11:02"/>
    <d v="2014-05-30T00:00:00"/>
    <d v="1899-12-30T11:03:03"/>
    <d v="1899-12-30T04:52:01"/>
    <n v="50"/>
    <n v="47.5"/>
    <n v="-2.5"/>
  </r>
  <r>
    <n v="328"/>
    <s v="京DI7294"/>
    <x v="2"/>
    <s v="黑色"/>
    <n v="2"/>
    <x v="4"/>
    <d v="1899-12-30T06:26:02"/>
    <d v="2014-05-30T00:00:00"/>
    <d v="1899-12-30T14:24:04"/>
    <d v="1899-12-30T07:58:02"/>
    <n v="64"/>
    <n v="62"/>
    <n v="-2"/>
  </r>
  <r>
    <n v="329"/>
    <s v="京UF6208"/>
    <x v="2"/>
    <s v="深蓝色"/>
    <n v="2"/>
    <x v="4"/>
    <d v="1899-12-30T06:39:02"/>
    <d v="2014-05-30T00:00:00"/>
    <d v="1899-12-30T15:40:05"/>
    <d v="1899-12-30T09:01:03"/>
    <n v="74"/>
    <n v="72"/>
    <n v="-2"/>
  </r>
  <r>
    <n v="330"/>
    <s v="京F7L876"/>
    <x v="2"/>
    <s v="深蓝色"/>
    <n v="2"/>
    <x v="4"/>
    <d v="1899-12-30T06:44:02"/>
    <d v="2014-05-30T00:00:00"/>
    <d v="1899-12-30T15:12:04"/>
    <d v="1899-12-30T08:28:02"/>
    <n v="68"/>
    <n v="66"/>
    <n v="-2"/>
  </r>
  <r>
    <n v="331"/>
    <s v="京O0S001"/>
    <x v="2"/>
    <s v="白色"/>
    <n v="2"/>
    <x v="4"/>
    <d v="1899-12-30T07:36:02"/>
    <d v="2014-05-30T00:00:00"/>
    <d v="1899-12-30T22:43:07"/>
    <d v="1899-12-30T15:07:04"/>
    <n v="122"/>
    <n v="120"/>
    <n v="-2"/>
  </r>
  <r>
    <n v="332"/>
    <s v="京FH8306"/>
    <x v="0"/>
    <s v="深蓝色"/>
    <n v="1.5"/>
    <x v="4"/>
    <d v="1899-12-30T08:00:02"/>
    <d v="2014-05-30T00:00:00"/>
    <d v="1899-12-30T08:54:03"/>
    <d v="1899-12-30T00:54:00"/>
    <n v="6"/>
    <n v="4.5"/>
    <n v="-1.5"/>
  </r>
  <r>
    <n v="333"/>
    <s v="京N95905"/>
    <x v="0"/>
    <s v="深蓝色"/>
    <n v="1.5"/>
    <x v="4"/>
    <d v="1899-12-30T08:42:03"/>
    <d v="2014-05-30T00:00:00"/>
    <d v="1899-12-30T10:11:03"/>
    <d v="1899-12-30T01:29:00"/>
    <n v="9"/>
    <n v="7.5"/>
    <n v="-1.5"/>
  </r>
  <r>
    <n v="334"/>
    <s v="京D6Q864"/>
    <x v="1"/>
    <s v="黑色"/>
    <n v="2.5"/>
    <x v="4"/>
    <d v="1899-12-30T08:46:03"/>
    <d v="2014-05-30T00:00:00"/>
    <d v="1899-12-30T17:12:05"/>
    <d v="1899-12-30T08:26:02"/>
    <n v="85"/>
    <n v="82.5"/>
    <n v="-2.5"/>
  </r>
  <r>
    <n v="335"/>
    <s v="京H86761"/>
    <x v="1"/>
    <s v="银灰色"/>
    <n v="2.5"/>
    <x v="4"/>
    <d v="1899-12-30T08:47:03"/>
    <d v="2014-05-30T00:00:00"/>
    <d v="1899-12-30T18:33:05"/>
    <d v="1899-12-30T09:46:03"/>
    <n v="100"/>
    <n v="97.5"/>
    <n v="-2.5"/>
  </r>
  <r>
    <n v="336"/>
    <s v="京K4J374"/>
    <x v="1"/>
    <s v="白色"/>
    <n v="2.5"/>
    <x v="4"/>
    <d v="1899-12-30T08:49:03"/>
    <d v="2014-05-30T00:00:00"/>
    <d v="1899-12-30T18:55:05"/>
    <d v="1899-12-30T10:06:03"/>
    <n v="102.5"/>
    <n v="100"/>
    <n v="-2.5"/>
  </r>
  <r>
    <n v="337"/>
    <s v="京R96L79"/>
    <x v="0"/>
    <s v="黑色"/>
    <n v="1.5"/>
    <x v="4"/>
    <d v="1899-12-30T08:55:03"/>
    <d v="2014-05-30T00:00:00"/>
    <d v="1899-12-30T15:25:04"/>
    <d v="1899-12-30T06:30:02"/>
    <n v="40.5"/>
    <n v="39"/>
    <n v="-1.5"/>
  </r>
  <r>
    <n v="338"/>
    <s v="京L31P52"/>
    <x v="0"/>
    <s v="深蓝色"/>
    <n v="1.5"/>
    <x v="4"/>
    <d v="1899-12-30T09:22:03"/>
    <d v="2014-05-30T00:00:00"/>
    <d v="1899-12-30T11:37:03"/>
    <d v="1899-12-30T02:15:01"/>
    <n v="15"/>
    <n v="13.5"/>
    <n v="-1.5"/>
  </r>
  <r>
    <n v="339"/>
    <s v="京M09531"/>
    <x v="0"/>
    <s v="深蓝色"/>
    <n v="1.5"/>
    <x v="4"/>
    <d v="1899-12-30T09:29:03"/>
    <d v="2014-05-30T00:00:00"/>
    <d v="1899-12-30T10:55:03"/>
    <d v="1899-12-30T01:26:00"/>
    <n v="9"/>
    <n v="7.5"/>
    <n v="-1.5"/>
  </r>
  <r>
    <n v="340"/>
    <s v="京F91R59"/>
    <x v="1"/>
    <s v="深蓝色"/>
    <n v="2.5"/>
    <x v="4"/>
    <d v="1899-12-30T09:42:03"/>
    <d v="2014-05-30T00:00:00"/>
    <d v="1899-12-30T16:04:05"/>
    <d v="1899-12-30T06:22:02"/>
    <n v="65"/>
    <n v="62.5"/>
    <n v="-2.5"/>
  </r>
  <r>
    <n v="341"/>
    <s v="京JF8530"/>
    <x v="0"/>
    <s v="黑色"/>
    <n v="1.5"/>
    <x v="4"/>
    <d v="1899-12-30T10:02:03"/>
    <d v="2014-05-30T00:00:00"/>
    <d v="1899-12-30T14:28:04"/>
    <d v="1899-12-30T04:26:01"/>
    <n v="27"/>
    <n v="25.5"/>
    <n v="-1.5"/>
  </r>
  <r>
    <n v="342"/>
    <s v="京F3U763"/>
    <x v="2"/>
    <s v="白色"/>
    <n v="2"/>
    <x v="4"/>
    <d v="1899-12-30T10:05:03"/>
    <d v="2014-05-30T00:00:00"/>
    <d v="1899-12-30T15:48:05"/>
    <d v="1899-12-30T05:43:02"/>
    <n v="46"/>
    <n v="44"/>
    <n v="-2"/>
  </r>
  <r>
    <n v="343"/>
    <s v="京X45B91"/>
    <x v="2"/>
    <s v="银灰色"/>
    <n v="2"/>
    <x v="4"/>
    <d v="1899-12-30T10:24:03"/>
    <d v="2014-05-30T00:00:00"/>
    <d v="1899-12-30T21:27:06"/>
    <d v="1899-12-30T11:03:03"/>
    <n v="90"/>
    <n v="88"/>
    <n v="-2"/>
  </r>
  <r>
    <n v="344"/>
    <s v="京O48H43"/>
    <x v="0"/>
    <s v="银灰色"/>
    <n v="1.5"/>
    <x v="4"/>
    <d v="1899-12-30T10:33:03"/>
    <d v="2014-05-30T00:00:00"/>
    <d v="1899-12-30T13:52:04"/>
    <d v="1899-12-30T03:19:01"/>
    <n v="21"/>
    <n v="19.5"/>
    <n v="-1.5"/>
  </r>
  <r>
    <n v="345"/>
    <s v="京B91C28"/>
    <x v="1"/>
    <s v="黑色"/>
    <n v="2.5"/>
    <x v="4"/>
    <d v="1899-12-30T11:21:03"/>
    <d v="2014-05-30T00:00:00"/>
    <d v="1899-12-30T17:19:05"/>
    <d v="1899-12-30T05:58:02"/>
    <n v="60"/>
    <n v="57.5"/>
    <n v="-2.5"/>
  </r>
  <r>
    <n v="346"/>
    <s v="京N42856"/>
    <x v="1"/>
    <s v="白色"/>
    <n v="2.5"/>
    <x v="4"/>
    <d v="1899-12-30T11:37:03"/>
    <d v="2014-05-30T00:00:00"/>
    <d v="1899-12-30T21:41:06"/>
    <d v="1899-12-30T10:04:03"/>
    <n v="102.5"/>
    <n v="100"/>
    <n v="-2.5"/>
  </r>
  <r>
    <n v="347"/>
    <s v="京TE0525"/>
    <x v="0"/>
    <s v="深蓝色"/>
    <n v="1.5"/>
    <x v="4"/>
    <d v="1899-12-30T11:40:03"/>
    <d v="2014-05-30T00:00:00"/>
    <d v="1899-12-30T12:25:04"/>
    <d v="1899-12-30T00:45:00"/>
    <n v="6"/>
    <n v="4.5"/>
    <n v="-1.5"/>
  </r>
  <r>
    <n v="348"/>
    <s v="京M95M05"/>
    <x v="2"/>
    <s v="黑色"/>
    <n v="2"/>
    <x v="4"/>
    <d v="1899-12-30T11:52:03"/>
    <d v="2014-05-30T00:00:00"/>
    <d v="1899-12-30T15:17:04"/>
    <d v="1899-12-30T03:25:01"/>
    <n v="28"/>
    <n v="26"/>
    <n v="-2"/>
  </r>
  <r>
    <n v="349"/>
    <s v="京V0H045"/>
    <x v="0"/>
    <s v="深蓝色"/>
    <n v="1.5"/>
    <x v="4"/>
    <d v="1899-12-30T12:15:04"/>
    <d v="2014-05-30T00:00:00"/>
    <d v="1899-12-30T20:50:06"/>
    <d v="1899-12-30T08:35:02"/>
    <n v="52.5"/>
    <n v="51"/>
    <n v="-1.5"/>
  </r>
  <r>
    <n v="350"/>
    <s v="京A2O469"/>
    <x v="2"/>
    <s v="深蓝色"/>
    <n v="2"/>
    <x v="4"/>
    <d v="1899-12-30T12:49:04"/>
    <d v="2014-05-30T00:00:00"/>
    <d v="1899-12-30T21:25:06"/>
    <d v="1899-12-30T08:36:02"/>
    <n v="70"/>
    <n v="68"/>
    <n v="-2"/>
  </r>
  <r>
    <n v="351"/>
    <s v="京R41501"/>
    <x v="0"/>
    <s v="深蓝色"/>
    <n v="1.5"/>
    <x v="4"/>
    <d v="1899-12-30T12:54:04"/>
    <d v="2014-05-31T00:00:00"/>
    <d v="1899-12-30T02:17:01"/>
    <d v="1899-12-30T13:22:57"/>
    <n v="81"/>
    <n v="79.5"/>
    <n v="-1.5"/>
  </r>
  <r>
    <n v="352"/>
    <s v="京H09310"/>
    <x v="1"/>
    <s v="白色"/>
    <n v="2.5"/>
    <x v="4"/>
    <d v="1899-12-30T13:08:04"/>
    <d v="2014-05-30T00:00:00"/>
    <d v="1899-12-30T16:17:05"/>
    <d v="1899-12-30T03:09:01"/>
    <n v="32.5"/>
    <n v="30"/>
    <n v="-2.5"/>
  </r>
  <r>
    <n v="353"/>
    <s v="京I59290"/>
    <x v="0"/>
    <s v="黑色"/>
    <n v="1.5"/>
    <x v="4"/>
    <d v="1899-12-30T13:36:04"/>
    <d v="2014-05-30T00:00:00"/>
    <d v="1899-12-30T23:43:07"/>
    <d v="1899-12-30T10:07:03"/>
    <n v="61.5"/>
    <n v="60"/>
    <n v="-1.5"/>
  </r>
  <r>
    <n v="354"/>
    <s v="京R2O187"/>
    <x v="1"/>
    <s v="黑色"/>
    <n v="2.5"/>
    <x v="4"/>
    <d v="1899-12-30T13:50:04"/>
    <d v="2014-05-30T00:00:00"/>
    <d v="1899-12-30T22:14:06"/>
    <d v="1899-12-30T08:24:02"/>
    <n v="85"/>
    <n v="82.5"/>
    <n v="-2.5"/>
  </r>
  <r>
    <n v="355"/>
    <s v="京YU7819"/>
    <x v="0"/>
    <s v="黑色"/>
    <n v="1.5"/>
    <x v="4"/>
    <d v="1899-12-30T13:56:04"/>
    <d v="2014-05-30T00:00:00"/>
    <d v="1899-12-30T20:04:06"/>
    <d v="1899-12-30T06:08:02"/>
    <n v="37.5"/>
    <n v="36"/>
    <n v="-1.5"/>
  </r>
  <r>
    <n v="356"/>
    <s v="京T30E01"/>
    <x v="2"/>
    <s v="白色"/>
    <n v="2"/>
    <x v="4"/>
    <d v="1899-12-30T14:15:04"/>
    <d v="2014-05-30T00:00:00"/>
    <d v="1899-12-30T17:05:05"/>
    <d v="1899-12-30T02:50:01"/>
    <n v="24"/>
    <n v="22"/>
    <n v="-2"/>
  </r>
  <r>
    <n v="357"/>
    <s v="京R51641"/>
    <x v="1"/>
    <s v="银灰色"/>
    <n v="2.5"/>
    <x v="4"/>
    <d v="1899-12-30T14:19:04"/>
    <d v="2014-05-30T00:00:00"/>
    <d v="1899-12-30T21:40:06"/>
    <d v="1899-12-30T07:21:02"/>
    <n v="75"/>
    <n v="72.5"/>
    <n v="-2.5"/>
  </r>
  <r>
    <n v="358"/>
    <s v="京C2G232"/>
    <x v="0"/>
    <s v="深蓝色"/>
    <n v="1.5"/>
    <x v="4"/>
    <d v="1899-12-30T14:31:04"/>
    <d v="2014-05-31T00:00:00"/>
    <d v="1899-12-30T02:43:01"/>
    <d v="1899-12-30T12:11:57"/>
    <n v="73.5"/>
    <n v="72"/>
    <n v="-1.5"/>
  </r>
  <r>
    <n v="359"/>
    <s v="京M44235"/>
    <x v="0"/>
    <s v="白色"/>
    <n v="1.5"/>
    <x v="4"/>
    <d v="1899-12-30T15:15:04"/>
    <d v="2014-05-30T00:00:00"/>
    <d v="1899-12-30T20:03:06"/>
    <d v="1899-12-30T04:48:01"/>
    <n v="30"/>
    <n v="28.5"/>
    <n v="-1.5"/>
  </r>
  <r>
    <n v="360"/>
    <s v="京BC7517"/>
    <x v="2"/>
    <s v="黑色"/>
    <n v="2"/>
    <x v="4"/>
    <d v="1899-12-30T15:16:04"/>
    <d v="2014-05-31T00:00:00"/>
    <d v="1899-12-30T01:36:00"/>
    <d v="1899-12-30T10:19:56"/>
    <n v="84"/>
    <n v="82"/>
    <n v="-2"/>
  </r>
  <r>
    <n v="361"/>
    <s v="京W0D196"/>
    <x v="2"/>
    <s v="黑色"/>
    <n v="2"/>
    <x v="4"/>
    <d v="1899-12-30T15:50:05"/>
    <d v="2014-05-30T00:00:00"/>
    <d v="1899-12-30T19:50:06"/>
    <d v="1899-12-30T04:00:01"/>
    <n v="34"/>
    <n v="32"/>
    <n v="-2"/>
  </r>
  <r>
    <n v="362"/>
    <s v="京G75M68"/>
    <x v="2"/>
    <s v="银灰色"/>
    <n v="2"/>
    <x v="4"/>
    <d v="1899-12-30T15:56:05"/>
    <d v="2014-05-30T00:00:00"/>
    <d v="1899-12-30T19:30:06"/>
    <d v="1899-12-30T03:34:01"/>
    <n v="30"/>
    <n v="28"/>
    <n v="-2"/>
  </r>
  <r>
    <n v="363"/>
    <s v="京DI7294"/>
    <x v="2"/>
    <s v="黑色"/>
    <n v="2"/>
    <x v="4"/>
    <d v="1899-12-30T16:04:05"/>
    <d v="2014-05-30T00:00:00"/>
    <d v="1899-12-30T19:30:06"/>
    <d v="1899-12-30T03:26:01"/>
    <n v="28"/>
    <n v="26"/>
    <n v="-2"/>
  </r>
  <r>
    <n v="364"/>
    <s v="京X4M023"/>
    <x v="1"/>
    <s v="银灰色"/>
    <n v="2.5"/>
    <x v="4"/>
    <d v="1899-12-30T17:34:05"/>
    <d v="2014-05-30T00:00:00"/>
    <d v="1899-12-30T21:22:06"/>
    <d v="1899-12-30T03:48:01"/>
    <n v="40"/>
    <n v="37.5"/>
    <n v="-2.5"/>
  </r>
  <r>
    <n v="365"/>
    <s v="京I29G08"/>
    <x v="2"/>
    <s v="黑色"/>
    <n v="2"/>
    <x v="4"/>
    <d v="1899-12-30T17:37:05"/>
    <d v="2014-05-30T00:00:00"/>
    <d v="1899-12-30T20:36:06"/>
    <d v="1899-12-30T02:59:01"/>
    <n v="24"/>
    <n v="22"/>
    <n v="-2"/>
  </r>
  <r>
    <n v="366"/>
    <s v="京AO4704"/>
    <x v="0"/>
    <s v="银灰色"/>
    <n v="1.5"/>
    <x v="4"/>
    <d v="1899-12-30T17:48:05"/>
    <d v="2014-05-30T00:00:00"/>
    <d v="1899-12-30T20:53:06"/>
    <d v="1899-12-30T03:05:01"/>
    <n v="19.5"/>
    <n v="18"/>
    <n v="-1.5"/>
  </r>
  <r>
    <n v="367"/>
    <s v="京R3U302"/>
    <x v="1"/>
    <s v="白色"/>
    <n v="2.5"/>
    <x v="4"/>
    <d v="1899-12-30T17:49:05"/>
    <d v="2014-05-30T00:00:00"/>
    <d v="1899-12-30T20:56:06"/>
    <d v="1899-12-30T03:07:01"/>
    <n v="32.5"/>
    <n v="30"/>
    <n v="-2.5"/>
  </r>
  <r>
    <n v="368"/>
    <s v="京HH2510"/>
    <x v="0"/>
    <s v="深蓝色"/>
    <n v="1.5"/>
    <x v="4"/>
    <d v="1899-12-30T17:55:05"/>
    <d v="2014-05-30T00:00:00"/>
    <d v="1899-12-30T23:24:07"/>
    <d v="1899-12-30T05:29:02"/>
    <n v="33"/>
    <n v="31.5"/>
    <n v="-1.5"/>
  </r>
  <r>
    <n v="369"/>
    <s v="京GU23"/>
    <x v="1"/>
    <s v="深蓝色"/>
    <n v="2.5"/>
    <x v="4"/>
    <d v="1899-12-30T17:58:05"/>
    <d v="2014-05-30T00:00:00"/>
    <d v="1899-12-30T19:19:06"/>
    <d v="1899-12-30T01:21:00"/>
    <n v="15"/>
    <n v="12.5"/>
    <n v="-2.5"/>
  </r>
  <r>
    <n v="370"/>
    <s v="京PO1317"/>
    <x v="2"/>
    <s v="白色"/>
    <n v="2"/>
    <x v="4"/>
    <d v="1899-12-30T18:31:05"/>
    <d v="2014-05-31T00:00:00"/>
    <d v="1899-12-30T04:27:01"/>
    <d v="1899-12-30T09:55:56"/>
    <n v="80"/>
    <n v="78"/>
    <n v="-2"/>
  </r>
  <r>
    <n v="371"/>
    <s v="京J46J01"/>
    <x v="1"/>
    <s v="白色"/>
    <n v="2.5"/>
    <x v="4"/>
    <d v="1899-12-30T18:50:05"/>
    <d v="2014-05-31T00:00:00"/>
    <d v="1899-12-30T06:40:02"/>
    <d v="1899-12-30T11:49:56"/>
    <n v="120"/>
    <n v="117.5"/>
    <n v="-2.5"/>
  </r>
  <r>
    <n v="372"/>
    <s v="京A7H440"/>
    <x v="1"/>
    <s v="白色"/>
    <n v="2.5"/>
    <x v="4"/>
    <d v="1899-12-30T19:15:06"/>
    <d v="2014-05-31T00:00:00"/>
    <d v="1899-12-30T11:23:03"/>
    <d v="1899-12-30T16:07:58"/>
    <n v="162.5"/>
    <n v="160"/>
    <n v="-2.5"/>
  </r>
  <r>
    <n v="373"/>
    <s v="京D1D315"/>
    <x v="0"/>
    <s v="深蓝色"/>
    <n v="1.5"/>
    <x v="4"/>
    <d v="1899-12-30T19:33:06"/>
    <d v="2014-05-31T00:00:00"/>
    <d v="1899-12-30T05:51:02"/>
    <d v="1899-12-30T10:17:56"/>
    <n v="63"/>
    <n v="61.5"/>
    <n v="-1.5"/>
  </r>
  <r>
    <n v="374"/>
    <s v="京T48266"/>
    <x v="0"/>
    <s v="黑色"/>
    <n v="1.5"/>
    <x v="4"/>
    <d v="1899-12-30T20:34:06"/>
    <d v="2014-05-31T00:00:00"/>
    <d v="1899-12-30T01:59:01"/>
    <d v="1899-12-30T05:24:55"/>
    <n v="33"/>
    <n v="31.5"/>
    <n v="-1.5"/>
  </r>
  <r>
    <n v="375"/>
    <s v="京TN2176"/>
    <x v="2"/>
    <s v="深蓝色"/>
    <n v="2"/>
    <x v="4"/>
    <d v="1899-12-30T21:41:06"/>
    <d v="2014-05-30T00:00:00"/>
    <d v="1899-12-30T22:44:07"/>
    <d v="1899-12-30T01:03:00"/>
    <n v="10"/>
    <n v="8"/>
    <n v="-2"/>
  </r>
  <r>
    <n v="376"/>
    <s v="京D82210"/>
    <x v="0"/>
    <s v="银灰色"/>
    <n v="1.5"/>
    <x v="4"/>
    <d v="1899-12-30T22:26:06"/>
    <d v="2014-05-31T00:00:00"/>
    <d v="1899-12-30T04:24:01"/>
    <d v="1899-12-30T05:57:55"/>
    <n v="36"/>
    <n v="34.5"/>
    <n v="-1.5"/>
  </r>
  <r>
    <n v="377"/>
    <s v="京Q52Q07"/>
    <x v="0"/>
    <s v="深蓝色"/>
    <n v="1.5"/>
    <x v="4"/>
    <d v="1899-12-30T22:43:07"/>
    <d v="2014-05-31T00:00:00"/>
    <d v="1899-12-30T03:01:01"/>
    <d v="1899-12-30T04:17:54"/>
    <n v="27"/>
    <n v="25.5"/>
    <n v="-1.5"/>
  </r>
  <r>
    <n v="378"/>
    <s v="京O44893"/>
    <x v="0"/>
    <s v="黑色"/>
    <n v="1.5"/>
    <x v="4"/>
    <d v="1899-12-30T22:47:07"/>
    <d v="2014-05-31T00:00:00"/>
    <d v="1899-12-30T05:37:02"/>
    <d v="1899-12-30T06:49:55"/>
    <n v="42"/>
    <n v="40.5"/>
    <n v="-1.5"/>
  </r>
  <r>
    <n v="379"/>
    <s v="京II0304"/>
    <x v="1"/>
    <s v="黑色"/>
    <n v="2.5"/>
    <x v="4"/>
    <d v="1899-12-30T22:56:07"/>
    <d v="2014-05-31T00:00:00"/>
    <d v="1899-12-30T04:13:01"/>
    <d v="1899-12-30T05:16:55"/>
    <n v="55"/>
    <n v="52.5"/>
    <n v="-2.5"/>
  </r>
  <r>
    <n v="380"/>
    <s v="京O3H571"/>
    <x v="1"/>
    <s v="黑色"/>
    <n v="2.5"/>
    <x v="4"/>
    <d v="1899-12-30T23:28:07"/>
    <d v="2014-05-31T00:00:00"/>
    <d v="1899-12-30T07:54:02"/>
    <d v="1899-12-30T08:25:56"/>
    <n v="85"/>
    <n v="82.5"/>
    <n v="-2.5"/>
  </r>
  <r>
    <n v="381"/>
    <s v="京MB7897"/>
    <x v="0"/>
    <s v="深蓝色"/>
    <n v="1.5"/>
    <x v="4"/>
    <d v="1899-12-30T23:35:07"/>
    <d v="2014-05-31T00:00:00"/>
    <d v="1899-12-30T04:09:01"/>
    <d v="1899-12-30T04:33:54"/>
    <n v="28.5"/>
    <n v="27"/>
    <n v="-1.5"/>
  </r>
  <r>
    <n v="382"/>
    <s v="京G86B76"/>
    <x v="0"/>
    <s v="银灰色"/>
    <n v="1.5"/>
    <x v="4"/>
    <d v="1899-12-30T23:56:07"/>
    <d v="2014-05-31T00:00:00"/>
    <d v="1899-12-30T10:07:03"/>
    <d v="1899-12-30T10:10:56"/>
    <n v="61.5"/>
    <n v="60"/>
    <n v="-1.5"/>
  </r>
  <r>
    <n v="383"/>
    <s v="京O48H43"/>
    <x v="0"/>
    <s v="银灰色"/>
    <n v="1.5"/>
    <x v="5"/>
    <d v="1899-12-30T00:03:00"/>
    <d v="2014-05-31T00:00:00"/>
    <d v="1899-12-30T12:34:04"/>
    <d v="1899-12-30T12:31:04"/>
    <n v="76.5"/>
    <n v="75"/>
    <n v="-1.5"/>
  </r>
  <r>
    <n v="384"/>
    <s v="京TP9893"/>
    <x v="0"/>
    <s v="深蓝色"/>
    <n v="1.5"/>
    <x v="5"/>
    <d v="1899-12-30T00:17:00"/>
    <d v="2014-05-31T00:00:00"/>
    <d v="1899-12-30T15:19:04"/>
    <d v="1899-12-30T15:02:04"/>
    <n v="91.5"/>
    <n v="90"/>
    <n v="-1.5"/>
  </r>
  <r>
    <n v="385"/>
    <s v="京N42856"/>
    <x v="1"/>
    <s v="白色"/>
    <n v="2.5"/>
    <x v="5"/>
    <d v="1899-12-30T00:18:00"/>
    <d v="2014-05-31T00:00:00"/>
    <d v="1899-12-30T04:27:01"/>
    <d v="1899-12-30T04:09:01"/>
    <n v="42.5"/>
    <n v="40"/>
    <n v="-2.5"/>
  </r>
  <r>
    <n v="386"/>
    <s v="京G17178"/>
    <x v="2"/>
    <s v="深蓝色"/>
    <n v="2"/>
    <x v="5"/>
    <d v="1899-12-30T00:19:00"/>
    <d v="2014-05-31T00:00:00"/>
    <d v="1899-12-30T15:02:04"/>
    <d v="1899-12-30T14:43:04"/>
    <n v="118"/>
    <n v="116"/>
    <n v="-2"/>
  </r>
  <r>
    <n v="387"/>
    <s v="京J03T05"/>
    <x v="2"/>
    <s v="深蓝色"/>
    <n v="2"/>
    <x v="5"/>
    <d v="1899-12-30T00:21:00"/>
    <d v="2014-05-31T00:00:00"/>
    <d v="1899-12-30T07:39:02"/>
    <d v="1899-12-30T07:18:02"/>
    <n v="60"/>
    <n v="58"/>
    <n v="-2"/>
  </r>
  <r>
    <n v="388"/>
    <s v="京J99788"/>
    <x v="2"/>
    <s v="白色"/>
    <n v="2"/>
    <x v="5"/>
    <d v="1899-12-30T00:55:00"/>
    <d v="2014-05-31T00:00:00"/>
    <d v="1899-12-30T01:20:00"/>
    <d v="1899-12-30T00:25:00"/>
    <n v="4"/>
    <n v="2"/>
    <n v="-2"/>
  </r>
  <r>
    <n v="389"/>
    <s v="京H63240"/>
    <x v="2"/>
    <s v="白色"/>
    <n v="2"/>
    <x v="5"/>
    <d v="1899-12-30T01:13:00"/>
    <d v="2014-05-31T00:00:00"/>
    <d v="1899-12-30T07:36:02"/>
    <d v="1899-12-30T06:23:02"/>
    <n v="52"/>
    <n v="50"/>
    <n v="-2"/>
  </r>
  <r>
    <n v="390"/>
    <s v="京I18H85"/>
    <x v="1"/>
    <s v="白色"/>
    <n v="2.5"/>
    <x v="5"/>
    <d v="1899-12-30T01:37:00"/>
    <d v="2014-05-31T00:00:00"/>
    <d v="1899-12-30T16:00:05"/>
    <d v="1899-12-30T14:23:04"/>
    <n v="145"/>
    <n v="142.5"/>
    <n v="-2.5"/>
  </r>
  <r>
    <n v="391"/>
    <s v="京E20P70"/>
    <x v="2"/>
    <s v="白色"/>
    <n v="2"/>
    <x v="5"/>
    <d v="1899-12-30T01:51:01"/>
    <d v="2014-05-31T00:00:00"/>
    <d v="1899-12-30T08:33:02"/>
    <d v="1899-12-30T06:42:02"/>
    <n v="54"/>
    <n v="52"/>
    <n v="-2"/>
  </r>
  <r>
    <n v="392"/>
    <s v="京JM0542"/>
    <x v="2"/>
    <s v="深蓝色"/>
    <n v="2"/>
    <x v="5"/>
    <d v="1899-12-30T02:40:01"/>
    <d v="2014-05-31T00:00:00"/>
    <d v="1899-12-30T16:09:05"/>
    <d v="1899-12-30T13:29:04"/>
    <n v="108"/>
    <n v="106"/>
    <n v="-2"/>
  </r>
  <r>
    <n v="393"/>
    <s v="京X4M023"/>
    <x v="1"/>
    <s v="银灰色"/>
    <n v="2.5"/>
    <x v="5"/>
    <d v="1899-12-30T02:41:01"/>
    <d v="2014-05-31T00:00:00"/>
    <d v="1899-12-30T09:43:03"/>
    <d v="1899-12-30T07:02:02"/>
    <n v="72.5"/>
    <n v="70"/>
    <n v="-2.5"/>
  </r>
  <r>
    <n v="394"/>
    <s v="京G86B76"/>
    <x v="0"/>
    <s v="银灰色"/>
    <n v="1.5"/>
    <x v="5"/>
    <d v="1899-12-30T03:00:01"/>
    <d v="2014-05-31T00:00:00"/>
    <d v="1899-12-30T12:15:04"/>
    <d v="1899-12-30T09:15:03"/>
    <n v="57"/>
    <n v="55.5"/>
    <n v="-1.5"/>
  </r>
  <r>
    <n v="395"/>
    <s v="京I2C982"/>
    <x v="1"/>
    <s v="黑色"/>
    <n v="2.5"/>
    <x v="5"/>
    <d v="1899-12-30T03:15:01"/>
    <d v="2014-05-31T00:00:00"/>
    <d v="1899-12-30T07:01:02"/>
    <d v="1899-12-30T03:46:01"/>
    <n v="40"/>
    <n v="37.5"/>
    <n v="-2.5"/>
  </r>
  <r>
    <n v="396"/>
    <s v="京R3U302"/>
    <x v="1"/>
    <s v="白色"/>
    <n v="2.5"/>
    <x v="5"/>
    <d v="1899-12-30T03:25:01"/>
    <d v="2014-05-31T00:00:00"/>
    <d v="1899-12-30T15:56:05"/>
    <d v="1899-12-30T12:31:04"/>
    <n v="127.5"/>
    <n v="125"/>
    <n v="-2.5"/>
  </r>
  <r>
    <n v="397"/>
    <s v="京Q43D56"/>
    <x v="1"/>
    <s v="白色"/>
    <n v="2.5"/>
    <x v="5"/>
    <d v="1899-12-30T03:31:01"/>
    <d v="2014-05-31T00:00:00"/>
    <d v="1899-12-30T12:01:03"/>
    <d v="1899-12-30T08:30:02"/>
    <n v="87.5"/>
    <n v="85"/>
    <n v="-2.5"/>
  </r>
  <r>
    <n v="398"/>
    <s v="京L06I67"/>
    <x v="1"/>
    <s v="深蓝色"/>
    <n v="2.5"/>
    <x v="5"/>
    <d v="1899-12-30T03:46:01"/>
    <d v="2014-05-31T00:00:00"/>
    <d v="1899-12-30T14:19:04"/>
    <d v="1899-12-30T10:33:03"/>
    <n v="107.5"/>
    <n v="105"/>
    <n v="-2.5"/>
  </r>
  <r>
    <n v="399"/>
    <s v="京G84E44"/>
    <x v="2"/>
    <s v="银灰色"/>
    <n v="2"/>
    <x v="5"/>
    <d v="1899-12-30T03:47:01"/>
    <d v="2014-05-31T00:00:00"/>
    <d v="1899-12-30T05:06:01"/>
    <d v="1899-12-30T01:19:00"/>
    <n v="12"/>
    <n v="10"/>
    <n v="-2"/>
  </r>
  <r>
    <n v="400"/>
    <s v="京G53Q90"/>
    <x v="2"/>
    <s v="白色"/>
    <n v="2"/>
    <x v="5"/>
    <d v="1899-12-30T03:50:01"/>
    <d v="2014-05-31T00:00:00"/>
    <d v="1899-12-30T16:10:05"/>
    <d v="1899-12-30T12:20:04"/>
    <n v="100"/>
    <n v="98"/>
    <n v="-2"/>
  </r>
  <r>
    <n v="401"/>
    <s v="京W84953"/>
    <x v="0"/>
    <s v="黑色"/>
    <n v="1.5"/>
    <x v="5"/>
    <d v="1899-12-30T04:00:01"/>
    <d v="2014-05-31T00:00:00"/>
    <d v="1899-12-30T05:12:01"/>
    <d v="1899-12-30T01:12:00"/>
    <n v="7.5"/>
    <n v="6"/>
    <n v="-1.5"/>
  </r>
  <r>
    <n v="402"/>
    <s v="京I50368"/>
    <x v="0"/>
    <s v="深蓝色"/>
    <n v="1.5"/>
    <x v="5"/>
    <d v="1899-12-30T04:05:01"/>
    <d v="2014-05-31T00:00:00"/>
    <d v="1899-12-30T10:02:03"/>
    <d v="1899-12-30T05:57:02"/>
    <n v="36"/>
    <n v="34.5"/>
    <n v="-1.5"/>
  </r>
  <r>
    <n v="403"/>
    <s v="京I59290"/>
    <x v="0"/>
    <s v="黑色"/>
    <n v="1.5"/>
    <x v="5"/>
    <d v="1899-12-30T04:23:01"/>
    <d v="2014-05-31T00:00:00"/>
    <d v="1899-12-30T11:55:03"/>
    <d v="1899-12-30T07:32:02"/>
    <n v="46.5"/>
    <n v="45"/>
    <n v="-1.5"/>
  </r>
  <r>
    <n v="404"/>
    <s v="京TR0363"/>
    <x v="0"/>
    <s v="白色"/>
    <n v="1.5"/>
    <x v="5"/>
    <d v="1899-12-30T04:56:01"/>
    <d v="2014-05-31T00:00:00"/>
    <d v="1899-12-30T19:04:05"/>
    <d v="1899-12-30T14:08:04"/>
    <n v="85.5"/>
    <n v="84"/>
    <n v="-1.5"/>
  </r>
  <r>
    <n v="405"/>
    <s v="京X45B91"/>
    <x v="2"/>
    <s v="银灰色"/>
    <n v="2"/>
    <x v="5"/>
    <d v="1899-12-30T05:20:02"/>
    <d v="2014-05-31T00:00:00"/>
    <d v="1899-12-30T20:24:06"/>
    <d v="1899-12-30T15:04:04"/>
    <n v="122"/>
    <n v="120"/>
    <n v="-2"/>
  </r>
  <r>
    <n v="406"/>
    <s v="京L31P52"/>
    <x v="0"/>
    <s v="深蓝色"/>
    <n v="1.5"/>
    <x v="5"/>
    <d v="1899-12-30T06:00:02"/>
    <d v="2014-05-31T00:00:00"/>
    <d v="1899-12-30T22:05:06"/>
    <d v="1899-12-30T16:05:05"/>
    <n v="97.5"/>
    <n v="96"/>
    <n v="-1.5"/>
  </r>
  <r>
    <n v="407"/>
    <s v="京YK8035"/>
    <x v="0"/>
    <s v="银灰色"/>
    <n v="1.5"/>
    <x v="5"/>
    <d v="1899-12-30T06:02:02"/>
    <d v="2014-05-31T00:00:00"/>
    <d v="1899-12-30T13:19:04"/>
    <d v="1899-12-30T07:17:02"/>
    <n v="45"/>
    <n v="43.5"/>
    <n v="-1.5"/>
  </r>
  <r>
    <n v="408"/>
    <s v="京E48734"/>
    <x v="1"/>
    <s v="银灰色"/>
    <n v="2.5"/>
    <x v="5"/>
    <d v="1899-12-30T06:39:02"/>
    <d v="2014-05-31T00:00:00"/>
    <d v="1899-12-30T17:39:05"/>
    <d v="1899-12-30T11:00:03"/>
    <n v="112.5"/>
    <n v="110"/>
    <n v="-2.5"/>
  </r>
  <r>
    <n v="409"/>
    <s v="京V2O668"/>
    <x v="2"/>
    <s v="黑色"/>
    <n v="2"/>
    <x v="5"/>
    <d v="1899-12-30T06:50:02"/>
    <d v="2014-05-31T00:00:00"/>
    <d v="1899-12-30T11:48:03"/>
    <d v="1899-12-30T04:58:01"/>
    <n v="40"/>
    <n v="38"/>
    <n v="-2"/>
  </r>
  <r>
    <n v="410"/>
    <s v="京L4N723"/>
    <x v="1"/>
    <s v="黑色"/>
    <n v="2.5"/>
    <x v="5"/>
    <d v="1899-12-30T07:05:02"/>
    <d v="2014-05-31T00:00:00"/>
    <d v="1899-12-30T13:00:04"/>
    <d v="1899-12-30T05:55:02"/>
    <n v="60"/>
    <n v="57.5"/>
    <n v="-2.5"/>
  </r>
  <r>
    <n v="411"/>
    <s v="京D67140"/>
    <x v="0"/>
    <s v="深蓝色"/>
    <n v="1.5"/>
    <x v="5"/>
    <d v="1899-12-30T07:49:02"/>
    <d v="2014-05-31T00:00:00"/>
    <d v="1899-12-30T09:56:03"/>
    <d v="1899-12-30T02:07:01"/>
    <n v="13.5"/>
    <n v="12"/>
    <n v="-1.5"/>
  </r>
  <r>
    <n v="412"/>
    <s v="京J56R58"/>
    <x v="1"/>
    <s v="深蓝色"/>
    <n v="2.5"/>
    <x v="5"/>
    <d v="1899-12-30T08:22:02"/>
    <d v="2014-05-31T00:00:00"/>
    <d v="1899-12-30T14:21:04"/>
    <d v="1899-12-30T05:59:02"/>
    <n v="60"/>
    <n v="57.5"/>
    <n v="-2.5"/>
  </r>
  <r>
    <n v="413"/>
    <s v="京T8O094"/>
    <x v="1"/>
    <s v="银灰色"/>
    <n v="2.5"/>
    <x v="5"/>
    <d v="1899-12-30T09:12:03"/>
    <d v="2014-05-31T00:00:00"/>
    <d v="1899-12-30T18:06:05"/>
    <d v="1899-12-30T08:54:03"/>
    <n v="90"/>
    <n v="87.5"/>
    <n v="-2.5"/>
  </r>
  <r>
    <n v="414"/>
    <s v="京O31L43"/>
    <x v="0"/>
    <s v="黑色"/>
    <n v="1.5"/>
    <x v="5"/>
    <d v="1899-12-30T09:35:03"/>
    <d v="2014-05-31T00:00:00"/>
    <d v="1899-12-30T11:40:03"/>
    <d v="1899-12-30T02:05:01"/>
    <n v="13.5"/>
    <n v="12"/>
    <n v="-1.5"/>
  </r>
  <r>
    <n v="415"/>
    <s v="京A7H440"/>
    <x v="1"/>
    <s v="白色"/>
    <n v="2.5"/>
    <x v="5"/>
    <d v="1899-12-30T10:29:03"/>
    <d v="2014-05-31T00:00:00"/>
    <d v="1899-12-30T13:50:04"/>
    <d v="1899-12-30T03:21:01"/>
    <n v="35"/>
    <n v="32.5"/>
    <n v="-2.5"/>
  </r>
  <r>
    <n v="416"/>
    <s v="京S1I014"/>
    <x v="2"/>
    <s v="白色"/>
    <n v="2"/>
    <x v="5"/>
    <d v="1899-12-30T10:30:03"/>
    <d v="2014-05-31T00:00:00"/>
    <d v="1899-12-30T14:12:04"/>
    <d v="1899-12-30T03:42:01"/>
    <n v="30"/>
    <n v="28"/>
    <n v="-2"/>
  </r>
  <r>
    <n v="417"/>
    <s v="京R96L79"/>
    <x v="0"/>
    <s v="黑色"/>
    <n v="1.5"/>
    <x v="5"/>
    <d v="1899-12-30T10:54:03"/>
    <d v="2014-05-31T00:00:00"/>
    <d v="1899-12-30T20:44:06"/>
    <d v="1899-12-30T09:50:03"/>
    <n v="60"/>
    <n v="58.5"/>
    <n v="-1.5"/>
  </r>
  <r>
    <n v="418"/>
    <s v="京Q5M745"/>
    <x v="0"/>
    <s v="白色"/>
    <n v="1.5"/>
    <x v="5"/>
    <d v="1899-12-30T10:57:03"/>
    <d v="2014-05-31T00:00:00"/>
    <d v="1899-12-30T23:37:07"/>
    <d v="1899-12-30T12:40:04"/>
    <n v="76.5"/>
    <n v="75"/>
    <n v="-1.5"/>
  </r>
  <r>
    <n v="419"/>
    <s v="京O0S001"/>
    <x v="2"/>
    <s v="白色"/>
    <n v="2"/>
    <x v="5"/>
    <d v="1899-12-30T11:10:03"/>
    <d v="2014-06-01T00:00:00"/>
    <d v="1899-12-30T01:21:00"/>
    <d v="1899-12-30T14:10:57"/>
    <n v="114"/>
    <n v="112"/>
    <n v="-2"/>
  </r>
  <r>
    <n v="420"/>
    <s v="京SH7911"/>
    <x v="0"/>
    <s v="白色"/>
    <n v="1.5"/>
    <x v="5"/>
    <d v="1899-12-30T11:23:03"/>
    <d v="2014-05-31T00:00:00"/>
    <d v="1899-12-30T16:12:05"/>
    <d v="1899-12-30T04:49:01"/>
    <n v="30"/>
    <n v="28.5"/>
    <n v="-1.5"/>
  </r>
  <r>
    <n v="421"/>
    <s v="京B37606"/>
    <x v="2"/>
    <s v="黑色"/>
    <n v="2"/>
    <x v="5"/>
    <d v="1899-12-30T11:30:03"/>
    <d v="2014-05-31T00:00:00"/>
    <d v="1899-12-30T21:23:06"/>
    <d v="1899-12-30T09:53:03"/>
    <n v="80"/>
    <n v="78"/>
    <n v="-2"/>
  </r>
  <r>
    <n v="422"/>
    <s v="京R86710"/>
    <x v="0"/>
    <s v="黑色"/>
    <n v="1.5"/>
    <x v="5"/>
    <d v="1899-12-30T11:44:03"/>
    <d v="2014-05-31T00:00:00"/>
    <d v="1899-12-30T15:33:04"/>
    <d v="1899-12-30T03:49:01"/>
    <n v="24"/>
    <n v="22.5"/>
    <n v="-1.5"/>
  </r>
  <r>
    <n v="423"/>
    <s v="京CH2906"/>
    <x v="1"/>
    <s v="白色"/>
    <n v="2.5"/>
    <x v="5"/>
    <d v="1899-12-30T11:56:03"/>
    <d v="2014-05-31T00:00:00"/>
    <d v="1899-12-30T14:33:04"/>
    <d v="1899-12-30T02:37:01"/>
    <n v="27.5"/>
    <n v="25"/>
    <n v="-2.5"/>
  </r>
  <r>
    <n v="424"/>
    <s v="京T8B678"/>
    <x v="1"/>
    <s v="黑色"/>
    <n v="2.5"/>
    <x v="5"/>
    <d v="1899-12-30T12:26:04"/>
    <d v="2014-05-31T00:00:00"/>
    <d v="1899-12-30T14:19:04"/>
    <d v="1899-12-30T01:53:01"/>
    <n v="20"/>
    <n v="17.5"/>
    <n v="-2.5"/>
  </r>
  <r>
    <n v="425"/>
    <s v="京F91R59"/>
    <x v="1"/>
    <s v="深蓝色"/>
    <n v="2.5"/>
    <x v="5"/>
    <d v="1899-12-30T12:50:04"/>
    <d v="2014-05-31T00:00:00"/>
    <d v="1899-12-30T22:03:06"/>
    <d v="1899-12-30T09:13:03"/>
    <n v="92.5"/>
    <n v="90"/>
    <n v="-2.5"/>
  </r>
  <r>
    <n v="426"/>
    <s v="京HH2510"/>
    <x v="0"/>
    <s v="深蓝色"/>
    <n v="1.5"/>
    <x v="5"/>
    <d v="1899-12-30T12:52:04"/>
    <d v="2014-06-01T00:00:00"/>
    <d v="1899-12-30T02:02:01"/>
    <d v="1899-12-30T13:09:57"/>
    <n v="79.5"/>
    <n v="78"/>
    <n v="-1.5"/>
  </r>
  <r>
    <n v="427"/>
    <s v="京M09531"/>
    <x v="0"/>
    <s v="深蓝色"/>
    <n v="1.5"/>
    <x v="5"/>
    <d v="1899-12-30T12:56:04"/>
    <d v="2014-06-01T00:00:00"/>
    <d v="1899-12-30T05:30:02"/>
    <d v="1899-12-30T16:33:58"/>
    <n v="100.5"/>
    <n v="99"/>
    <n v="-1.5"/>
  </r>
  <r>
    <n v="428"/>
    <s v="京PO1317"/>
    <x v="2"/>
    <s v="白色"/>
    <n v="2"/>
    <x v="5"/>
    <d v="1899-12-30T13:00:04"/>
    <d v="2014-05-31T00:00:00"/>
    <d v="1899-12-30T16:36:05"/>
    <d v="1899-12-30T03:36:01"/>
    <n v="30"/>
    <n v="28"/>
    <n v="-2"/>
  </r>
  <r>
    <n v="429"/>
    <s v="京Q0P152"/>
    <x v="1"/>
    <s v="黑色"/>
    <n v="2.5"/>
    <x v="5"/>
    <d v="1899-12-30T13:04:04"/>
    <d v="2014-06-01T00:00:00"/>
    <d v="1899-12-30T00:11:00"/>
    <d v="1899-12-30T11:06:56"/>
    <n v="112.5"/>
    <n v="110"/>
    <n v="-2.5"/>
  </r>
  <r>
    <n v="430"/>
    <s v="京N58J01"/>
    <x v="0"/>
    <s v="深蓝色"/>
    <n v="1.5"/>
    <x v="5"/>
    <d v="1899-12-30T13:20:04"/>
    <d v="2014-05-31T00:00:00"/>
    <d v="1899-12-30T19:54:06"/>
    <d v="1899-12-30T06:34:02"/>
    <n v="40.5"/>
    <n v="39"/>
    <n v="-1.5"/>
  </r>
  <r>
    <n v="431"/>
    <s v="京MQ5474"/>
    <x v="2"/>
    <s v="银灰色"/>
    <n v="2"/>
    <x v="5"/>
    <d v="1899-12-30T14:09:04"/>
    <d v="2014-06-01T00:00:00"/>
    <d v="1899-12-30T01:36:00"/>
    <d v="1899-12-30T11:26:56"/>
    <n v="92"/>
    <n v="90"/>
    <n v="-2"/>
  </r>
  <r>
    <n v="432"/>
    <s v="京R77D20"/>
    <x v="1"/>
    <s v="银灰色"/>
    <n v="2.5"/>
    <x v="5"/>
    <d v="1899-12-30T14:10:04"/>
    <d v="2014-05-31T00:00:00"/>
    <d v="1899-12-30T19:17:06"/>
    <d v="1899-12-30T05:07:01"/>
    <n v="52.5"/>
    <n v="50"/>
    <n v="-2.5"/>
  </r>
  <r>
    <n v="433"/>
    <s v="京U54399"/>
    <x v="2"/>
    <s v="白色"/>
    <n v="2"/>
    <x v="5"/>
    <d v="1899-12-30T14:40:04"/>
    <d v="2014-05-31T00:00:00"/>
    <d v="1899-12-30T22:05:06"/>
    <d v="1899-12-30T07:25:02"/>
    <n v="60"/>
    <n v="58"/>
    <n v="-2"/>
  </r>
  <r>
    <n v="434"/>
    <s v="京U58270"/>
    <x v="1"/>
    <s v="深蓝色"/>
    <n v="2.5"/>
    <x v="5"/>
    <d v="1899-12-30T15:55:05"/>
    <d v="2014-05-31T00:00:00"/>
    <d v="1899-12-30T19:37:06"/>
    <d v="1899-12-30T03:42:01"/>
    <n v="37.5"/>
    <n v="35"/>
    <n v="-2.5"/>
  </r>
  <r>
    <n v="435"/>
    <s v="京O44893"/>
    <x v="0"/>
    <s v="黑色"/>
    <n v="1.5"/>
    <x v="5"/>
    <d v="1899-12-30T16:00:05"/>
    <d v="2014-05-31T00:00:00"/>
    <d v="1899-12-30T19:27:06"/>
    <d v="1899-12-30T03:27:01"/>
    <n v="21"/>
    <n v="19.5"/>
    <n v="-1.5"/>
  </r>
  <r>
    <n v="436"/>
    <s v="京U2S732"/>
    <x v="2"/>
    <s v="黑色"/>
    <n v="2"/>
    <x v="5"/>
    <d v="1899-12-30T16:00:05"/>
    <d v="2014-06-01T00:00:00"/>
    <d v="1899-12-30T06:16:02"/>
    <d v="1899-12-30T14:15:57"/>
    <n v="116"/>
    <n v="114"/>
    <n v="-2"/>
  </r>
  <r>
    <n v="437"/>
    <s v="京A2O469"/>
    <x v="2"/>
    <s v="深蓝色"/>
    <n v="2"/>
    <x v="5"/>
    <d v="1899-12-30T16:06:05"/>
    <d v="2014-06-01T00:00:00"/>
    <d v="1899-12-30T06:19:02"/>
    <d v="1899-12-30T14:12:57"/>
    <n v="114"/>
    <n v="112"/>
    <n v="-2"/>
  </r>
  <r>
    <n v="438"/>
    <s v="京U3K166"/>
    <x v="2"/>
    <s v="深蓝色"/>
    <n v="2"/>
    <x v="5"/>
    <d v="1899-12-30T16:24:05"/>
    <d v="2014-05-31T00:00:00"/>
    <d v="1899-12-30T19:11:06"/>
    <d v="1899-12-30T02:47:01"/>
    <n v="24"/>
    <n v="22"/>
    <n v="-2"/>
  </r>
  <r>
    <n v="439"/>
    <s v="京I29G08"/>
    <x v="2"/>
    <s v="黑色"/>
    <n v="2"/>
    <x v="5"/>
    <d v="1899-12-30T16:58:05"/>
    <d v="2014-06-01T00:00:00"/>
    <d v="1899-12-30T05:55:02"/>
    <d v="1899-12-30T12:56:57"/>
    <n v="104"/>
    <n v="102"/>
    <n v="-2"/>
  </r>
  <r>
    <n v="440"/>
    <s v="京L92P11"/>
    <x v="0"/>
    <s v="白色"/>
    <n v="1.5"/>
    <x v="5"/>
    <d v="1899-12-30T17:03:05"/>
    <d v="2014-05-31T00:00:00"/>
    <d v="1899-12-30T23:47:07"/>
    <d v="1899-12-30T06:44:02"/>
    <n v="40.5"/>
    <n v="39"/>
    <n v="-1.5"/>
  </r>
  <r>
    <n v="441"/>
    <s v="京G58T70"/>
    <x v="1"/>
    <s v="白色"/>
    <n v="2.5"/>
    <x v="5"/>
    <d v="1899-12-30T17:15:05"/>
    <d v="2014-05-31T00:00:00"/>
    <d v="1899-12-30T20:59:06"/>
    <d v="1899-12-30T03:44:01"/>
    <n v="37.5"/>
    <n v="35"/>
    <n v="-2.5"/>
  </r>
  <r>
    <n v="442"/>
    <s v="京G86B76"/>
    <x v="0"/>
    <s v="银灰色"/>
    <n v="1.5"/>
    <x v="5"/>
    <d v="1899-12-30T17:20:05"/>
    <d v="2014-06-01T00:00:00"/>
    <d v="1899-12-30T00:20:00"/>
    <d v="1899-12-30T06:59:55"/>
    <n v="42"/>
    <n v="40.5"/>
    <n v="-1.5"/>
  </r>
  <r>
    <n v="443"/>
    <s v="京G71N96"/>
    <x v="1"/>
    <s v="黑色"/>
    <n v="2.5"/>
    <x v="5"/>
    <d v="1899-12-30T17:39:05"/>
    <d v="2014-06-01T00:00:00"/>
    <d v="1899-12-30T06:46:02"/>
    <d v="1899-12-30T13:06:57"/>
    <n v="132.5"/>
    <n v="130"/>
    <n v="-2.5"/>
  </r>
  <r>
    <n v="444"/>
    <s v="京H86761"/>
    <x v="1"/>
    <s v="银灰色"/>
    <n v="2.5"/>
    <x v="5"/>
    <d v="1899-12-30T17:54:05"/>
    <d v="2014-06-01T00:00:00"/>
    <d v="1899-12-30T01:52:01"/>
    <d v="1899-12-30T07:57:55"/>
    <n v="80"/>
    <n v="77.5"/>
    <n v="-2.5"/>
  </r>
  <r>
    <n v="445"/>
    <s v="京G84E44"/>
    <x v="2"/>
    <s v="银灰色"/>
    <n v="2"/>
    <x v="5"/>
    <d v="1899-12-30T18:01:05"/>
    <d v="2014-05-31T00:00:00"/>
    <d v="1899-12-30T20:58:06"/>
    <d v="1899-12-30T02:57:01"/>
    <n v="24"/>
    <n v="22"/>
    <n v="-2"/>
  </r>
  <r>
    <n v="446"/>
    <s v="京E9K736"/>
    <x v="2"/>
    <s v="深蓝色"/>
    <n v="2"/>
    <x v="5"/>
    <d v="1899-12-30T18:03:05"/>
    <d v="2014-05-31T00:00:00"/>
    <d v="1899-12-30T22:30:06"/>
    <d v="1899-12-30T04:27:01"/>
    <n v="36"/>
    <n v="34"/>
    <n v="-2"/>
  </r>
  <r>
    <n v="447"/>
    <s v="京G7G717"/>
    <x v="1"/>
    <s v="深蓝色"/>
    <n v="2.5"/>
    <x v="5"/>
    <d v="1899-12-30T18:19:05"/>
    <d v="2014-05-31T00:00:00"/>
    <d v="1899-12-30T20:42:06"/>
    <d v="1899-12-30T02:23:01"/>
    <n v="25"/>
    <n v="22.5"/>
    <n v="-2.5"/>
  </r>
  <r>
    <n v="448"/>
    <s v="京JM0542"/>
    <x v="2"/>
    <s v="深蓝色"/>
    <n v="2"/>
    <x v="5"/>
    <d v="1899-12-30T18:49:05"/>
    <d v="2014-05-31T00:00:00"/>
    <d v="1899-12-30T19:42:06"/>
    <d v="1899-12-30T00:53:00"/>
    <n v="8"/>
    <n v="6"/>
    <n v="-2"/>
  </r>
  <r>
    <n v="449"/>
    <s v="京WU1520"/>
    <x v="1"/>
    <s v="白色"/>
    <n v="2.5"/>
    <x v="5"/>
    <d v="1899-12-30T19:00:05"/>
    <d v="2014-05-31T00:00:00"/>
    <d v="1899-12-30T19:17:06"/>
    <d v="1899-12-30T00:17:00"/>
    <n v="5"/>
    <n v="2.5"/>
    <n v="-2.5"/>
  </r>
  <r>
    <n v="450"/>
    <s v="京Q16F68"/>
    <x v="2"/>
    <s v="银灰色"/>
    <n v="2"/>
    <x v="5"/>
    <d v="1899-12-30T19:38:06"/>
    <d v="2014-06-01T00:00:00"/>
    <d v="1899-12-30T12:04:03"/>
    <d v="1899-12-30T16:25:58"/>
    <n v="132"/>
    <n v="130"/>
    <n v="-2"/>
  </r>
  <r>
    <n v="451"/>
    <s v="京LT1274"/>
    <x v="0"/>
    <s v="银灰色"/>
    <n v="1.5"/>
    <x v="5"/>
    <d v="1899-12-30T20:21:06"/>
    <d v="2014-06-01T00:00:00"/>
    <d v="1899-12-30T01:20:00"/>
    <d v="1899-12-30T04:58:55"/>
    <n v="30"/>
    <n v="28.5"/>
    <n v="-1.5"/>
  </r>
  <r>
    <n v="452"/>
    <s v="京O3H571"/>
    <x v="1"/>
    <s v="黑色"/>
    <n v="2.5"/>
    <x v="5"/>
    <d v="1899-12-30T20:32:06"/>
    <d v="2014-06-01T00:00:00"/>
    <d v="1899-12-30T03:46:01"/>
    <d v="1899-12-30T07:13:55"/>
    <n v="72.5"/>
    <n v="70"/>
    <n v="-2.5"/>
  </r>
  <r>
    <n v="453"/>
    <s v="京TN2176"/>
    <x v="2"/>
    <s v="深蓝色"/>
    <n v="2"/>
    <x v="5"/>
    <d v="1899-12-30T21:02:06"/>
    <d v="2014-06-01T00:00:00"/>
    <d v="1899-12-30T01:40:00"/>
    <d v="1899-12-30T04:37:54"/>
    <n v="38"/>
    <n v="36"/>
    <n v="-2"/>
  </r>
  <r>
    <n v="454"/>
    <s v="京B91C28"/>
    <x v="1"/>
    <s v="黑色"/>
    <n v="2.5"/>
    <x v="5"/>
    <d v="1899-12-30T21:23:06"/>
    <d v="2014-06-01T00:00:00"/>
    <d v="1899-12-30T12:13:04"/>
    <d v="1899-12-30T14:49:57"/>
    <n v="150"/>
    <n v="147.5"/>
    <n v="-2.5"/>
  </r>
  <r>
    <n v="455"/>
    <s v="京G86B76"/>
    <x v="0"/>
    <s v="银灰色"/>
    <n v="1.5"/>
    <x v="5"/>
    <d v="1899-12-30T21:27:06"/>
    <d v="2014-05-31T00:00:00"/>
    <d v="1899-12-30T22:40:07"/>
    <d v="1899-12-30T01:13:00"/>
    <n v="7.5"/>
    <n v="6"/>
    <n v="-1.5"/>
  </r>
  <r>
    <n v="456"/>
    <s v="京D1K708"/>
    <x v="0"/>
    <s v="白色"/>
    <n v="1.5"/>
    <x v="5"/>
    <d v="1899-12-30T22:08:06"/>
    <d v="2014-05-31T00:00:00"/>
    <d v="1899-12-30T23:09:07"/>
    <d v="1899-12-30T01:01:00"/>
    <n v="7.5"/>
    <n v="6"/>
    <n v="-1.5"/>
  </r>
  <r>
    <n v="457"/>
    <s v="京I97029"/>
    <x v="1"/>
    <s v="银灰色"/>
    <n v="2.5"/>
    <x v="5"/>
    <d v="1899-12-30T22:39:07"/>
    <d v="2014-06-01T00:00:00"/>
    <d v="1899-12-30T00:17:00"/>
    <d v="1899-12-30T01:37:54"/>
    <n v="17.5"/>
    <n v="15"/>
    <n v="-2.5"/>
  </r>
  <r>
    <n v="458"/>
    <s v="京CH2906"/>
    <x v="1"/>
    <s v="白色"/>
    <n v="2.5"/>
    <x v="5"/>
    <d v="1899-12-30T23:13:07"/>
    <d v="2014-06-01T00:00:00"/>
    <d v="1899-12-30T13:40:04"/>
    <d v="1899-12-30T14:26:57"/>
    <n v="145"/>
    <n v="142.5"/>
    <n v="-2.5"/>
  </r>
  <r>
    <n v="459"/>
    <s v="京Q28050"/>
    <x v="2"/>
    <s v="深蓝色"/>
    <n v="2"/>
    <x v="6"/>
    <d v="1899-12-30T00:04:00"/>
    <d v="2014-06-01T00:00:00"/>
    <d v="1899-12-30T15:45:05"/>
    <d v="1899-12-30T15:41:05"/>
    <n v="126"/>
    <n v="124"/>
    <n v="-2"/>
  </r>
  <r>
    <n v="460"/>
    <s v="京U3K166"/>
    <x v="2"/>
    <s v="深蓝色"/>
    <n v="2"/>
    <x v="6"/>
    <d v="1899-12-30T00:18:00"/>
    <d v="2014-06-01T00:00:00"/>
    <d v="1899-12-30T12:22:04"/>
    <d v="1899-12-30T12:04:03"/>
    <n v="98"/>
    <n v="96"/>
    <n v="-2"/>
  </r>
  <r>
    <n v="461"/>
    <s v="京Q16F68"/>
    <x v="2"/>
    <s v="银灰色"/>
    <n v="2"/>
    <x v="6"/>
    <d v="1899-12-30T00:34:00"/>
    <d v="2014-06-01T00:00:00"/>
    <d v="1899-12-30T13:44:04"/>
    <d v="1899-12-30T13:10:04"/>
    <n v="106"/>
    <n v="104"/>
    <n v="-2"/>
  </r>
  <r>
    <n v="462"/>
    <s v="京F29P72"/>
    <x v="2"/>
    <s v="银灰色"/>
    <n v="2"/>
    <x v="6"/>
    <d v="1899-12-30T00:36:00"/>
    <d v="2014-06-01T00:00:00"/>
    <d v="1899-12-30T05:11:01"/>
    <d v="1899-12-30T04:35:01"/>
    <n v="38"/>
    <n v="36"/>
    <n v="-2"/>
  </r>
  <r>
    <n v="463"/>
    <s v="京D67140"/>
    <x v="0"/>
    <s v="深蓝色"/>
    <n v="1.5"/>
    <x v="6"/>
    <d v="1899-12-30T00:40:00"/>
    <d v="2014-06-01T00:00:00"/>
    <d v="1899-12-30T11:09:03"/>
    <d v="1899-12-30T10:29:03"/>
    <n v="63"/>
    <n v="61.5"/>
    <n v="-1.5"/>
  </r>
  <r>
    <n v="464"/>
    <s v="京F7L876"/>
    <x v="2"/>
    <s v="深蓝色"/>
    <n v="2"/>
    <x v="6"/>
    <d v="1899-12-30T00:53:00"/>
    <d v="2014-06-01T00:00:00"/>
    <d v="1899-12-30T09:11:03"/>
    <d v="1899-12-30T08:18:02"/>
    <n v="68"/>
    <n v="66"/>
    <n v="-2"/>
  </r>
  <r>
    <n v="465"/>
    <s v="京T8O094"/>
    <x v="1"/>
    <s v="银灰色"/>
    <n v="2.5"/>
    <x v="6"/>
    <d v="1899-12-30T02:01:01"/>
    <d v="2014-06-01T00:00:00"/>
    <d v="1899-12-30T05:11:01"/>
    <d v="1899-12-30T03:10:01"/>
    <n v="32.5"/>
    <n v="30"/>
    <n v="-2.5"/>
  </r>
  <r>
    <n v="466"/>
    <s v="京Q52Q07"/>
    <x v="0"/>
    <s v="深蓝色"/>
    <n v="1.5"/>
    <x v="6"/>
    <d v="1899-12-30T02:37:01"/>
    <d v="2014-06-01T00:00:00"/>
    <d v="1899-12-30T13:58:04"/>
    <d v="1899-12-30T11:21:03"/>
    <n v="69"/>
    <n v="67.5"/>
    <n v="-1.5"/>
  </r>
  <r>
    <n v="467"/>
    <s v="京T0R693"/>
    <x v="1"/>
    <s v="白色"/>
    <n v="2.5"/>
    <x v="6"/>
    <d v="1899-12-30T02:44:01"/>
    <d v="2014-06-01T00:00:00"/>
    <d v="1899-12-30T15:33:04"/>
    <d v="1899-12-30T12:49:04"/>
    <n v="130"/>
    <n v="127.5"/>
    <n v="-2.5"/>
  </r>
  <r>
    <n v="468"/>
    <s v="京C2G232"/>
    <x v="0"/>
    <s v="深蓝色"/>
    <n v="1.5"/>
    <x v="6"/>
    <d v="1899-12-30T03:11:01"/>
    <d v="2014-06-01T00:00:00"/>
    <d v="1899-12-30T13:35:04"/>
    <d v="1899-12-30T10:24:03"/>
    <n v="63"/>
    <n v="61.5"/>
    <n v="-1.5"/>
  </r>
  <r>
    <n v="469"/>
    <s v="京H86761"/>
    <x v="1"/>
    <s v="银灰色"/>
    <n v="2.5"/>
    <x v="6"/>
    <d v="1899-12-30T03:11:01"/>
    <d v="2014-06-01T00:00:00"/>
    <d v="1899-12-30T14:38:04"/>
    <d v="1899-12-30T11:27:03"/>
    <n v="115"/>
    <n v="112.5"/>
    <n v="-2.5"/>
  </r>
  <r>
    <n v="470"/>
    <s v="京S8J403"/>
    <x v="1"/>
    <s v="白色"/>
    <n v="2.5"/>
    <x v="6"/>
    <d v="1899-12-30T03:16:01"/>
    <d v="2014-06-01T00:00:00"/>
    <d v="1899-12-30T05:18:02"/>
    <d v="1899-12-30T02:02:01"/>
    <n v="22.5"/>
    <n v="20"/>
    <n v="-2.5"/>
  </r>
  <r>
    <n v="471"/>
    <s v="京GH8498"/>
    <x v="2"/>
    <s v="黑色"/>
    <n v="2"/>
    <x v="6"/>
    <d v="1899-12-30T03:20:01"/>
    <d v="2014-06-01T00:00:00"/>
    <d v="1899-12-30T13:26:04"/>
    <d v="1899-12-30T10:06:03"/>
    <n v="82"/>
    <n v="80"/>
    <n v="-2"/>
  </r>
  <r>
    <n v="472"/>
    <s v="京I46052"/>
    <x v="1"/>
    <s v="银灰色"/>
    <n v="2.5"/>
    <x v="6"/>
    <d v="1899-12-30T03:42:01"/>
    <d v="2014-06-01T00:00:00"/>
    <d v="1899-12-30T17:37:05"/>
    <d v="1899-12-30T13:55:04"/>
    <n v="140"/>
    <n v="137.5"/>
    <n v="-2.5"/>
  </r>
  <r>
    <n v="473"/>
    <s v="京J46J01"/>
    <x v="1"/>
    <s v="白色"/>
    <n v="2.5"/>
    <x v="6"/>
    <d v="1899-12-30T03:42:01"/>
    <d v="2014-06-01T00:00:00"/>
    <d v="1899-12-30T08:51:03"/>
    <d v="1899-12-30T05:09:01"/>
    <n v="52.5"/>
    <n v="50"/>
    <n v="-2.5"/>
  </r>
  <r>
    <n v="474"/>
    <s v="京N95905"/>
    <x v="0"/>
    <s v="深蓝色"/>
    <n v="1.5"/>
    <x v="6"/>
    <d v="1899-12-30T04:14:01"/>
    <d v="2014-06-01T00:00:00"/>
    <d v="1899-12-30T15:06:04"/>
    <d v="1899-12-30T10:52:03"/>
    <n v="66"/>
    <n v="64.5"/>
    <n v="-1.5"/>
  </r>
  <r>
    <n v="475"/>
    <s v="京PO1317"/>
    <x v="2"/>
    <s v="白色"/>
    <n v="2"/>
    <x v="6"/>
    <d v="1899-12-30T04:22:01"/>
    <d v="2014-06-01T00:00:00"/>
    <d v="1899-12-30T18:03:05"/>
    <d v="1899-12-30T13:41:04"/>
    <n v="110"/>
    <n v="108"/>
    <n v="-2"/>
  </r>
  <r>
    <n v="476"/>
    <s v="京D82210"/>
    <x v="0"/>
    <s v="银灰色"/>
    <n v="1.5"/>
    <x v="6"/>
    <d v="1899-12-30T04:23:01"/>
    <d v="2014-06-01T00:00:00"/>
    <d v="1899-12-30T10:13:03"/>
    <d v="1899-12-30T05:50:02"/>
    <n v="36"/>
    <n v="34.5"/>
    <n v="-1.5"/>
  </r>
  <r>
    <n v="477"/>
    <s v="京H17030"/>
    <x v="2"/>
    <s v="黑色"/>
    <n v="2"/>
    <x v="6"/>
    <d v="1899-12-30T04:28:01"/>
    <d v="2014-06-01T00:00:00"/>
    <d v="1899-12-30T09:57:03"/>
    <d v="1899-12-30T05:29:02"/>
    <n v="44"/>
    <n v="42"/>
    <n v="-2"/>
  </r>
  <r>
    <n v="478"/>
    <s v="京L9P003"/>
    <x v="1"/>
    <s v="黑色"/>
    <n v="2.5"/>
    <x v="6"/>
    <d v="1899-12-30T04:35:01"/>
    <d v="2014-06-01T00:00:00"/>
    <d v="1899-12-30T13:31:04"/>
    <d v="1899-12-30T08:56:03"/>
    <n v="90"/>
    <n v="87.5"/>
    <n v="-2.5"/>
  </r>
  <r>
    <n v="479"/>
    <s v="京W7L073"/>
    <x v="0"/>
    <s v="银灰色"/>
    <n v="1.5"/>
    <x v="6"/>
    <d v="1899-12-30T05:05:01"/>
    <d v="2014-06-01T00:00:00"/>
    <d v="1899-12-30T13:28:04"/>
    <d v="1899-12-30T08:23:02"/>
    <n v="51"/>
    <n v="49.5"/>
    <n v="-1.5"/>
  </r>
  <r>
    <n v="480"/>
    <s v="京G75M68"/>
    <x v="2"/>
    <s v="银灰色"/>
    <n v="2"/>
    <x v="6"/>
    <d v="1899-12-30T05:14:02"/>
    <d v="2014-06-01T00:00:00"/>
    <d v="1899-12-30T09:22:03"/>
    <d v="1899-12-30T04:08:01"/>
    <n v="34"/>
    <n v="32"/>
    <n v="-2"/>
  </r>
  <r>
    <n v="481"/>
    <s v="京F3U763"/>
    <x v="2"/>
    <s v="白色"/>
    <n v="2"/>
    <x v="6"/>
    <d v="1899-12-30T05:50:02"/>
    <d v="2014-06-01T00:00:00"/>
    <d v="1899-12-30T11:55:03"/>
    <d v="1899-12-30T06:05:02"/>
    <n v="50"/>
    <n v="48"/>
    <n v="-2"/>
  </r>
  <r>
    <n v="482"/>
    <s v="京F4T130"/>
    <x v="0"/>
    <s v="银灰色"/>
    <n v="1.5"/>
    <x v="6"/>
    <d v="1899-12-30T05:50:02"/>
    <d v="2014-06-01T00:00:00"/>
    <d v="1899-12-30T16:25:05"/>
    <d v="1899-12-30T10:35:03"/>
    <n v="64.5"/>
    <n v="63"/>
    <n v="-1.5"/>
  </r>
  <r>
    <n v="483"/>
    <s v="京R77D20"/>
    <x v="1"/>
    <s v="银灰色"/>
    <n v="2.5"/>
    <x v="6"/>
    <d v="1899-12-30T05:56:02"/>
    <d v="2014-06-01T00:00:00"/>
    <d v="1899-12-30T07:41:02"/>
    <d v="1899-12-30T01:45:01"/>
    <n v="20"/>
    <n v="17.5"/>
    <n v="-2.5"/>
  </r>
  <r>
    <n v="484"/>
    <s v="京W42P15"/>
    <x v="2"/>
    <s v="黑色"/>
    <n v="2"/>
    <x v="6"/>
    <d v="1899-12-30T06:10:02"/>
    <d v="2014-06-01T00:00:00"/>
    <d v="1899-12-30T11:11:03"/>
    <d v="1899-12-30T05:01:01"/>
    <n v="42"/>
    <n v="40"/>
    <n v="-2"/>
  </r>
  <r>
    <n v="485"/>
    <s v="京M09531"/>
    <x v="0"/>
    <s v="深蓝色"/>
    <n v="1.5"/>
    <x v="6"/>
    <d v="1899-12-30T06:17:02"/>
    <d v="2014-06-01T00:00:00"/>
    <d v="1899-12-30T12:03:03"/>
    <d v="1899-12-30T05:46:02"/>
    <n v="36"/>
    <n v="34.5"/>
    <n v="-1.5"/>
  </r>
  <r>
    <n v="486"/>
    <s v="京M18643"/>
    <x v="1"/>
    <s v="银灰色"/>
    <n v="2.5"/>
    <x v="6"/>
    <d v="1899-12-30T06:29:02"/>
    <d v="2014-06-01T00:00:00"/>
    <d v="1899-12-30T19:43:06"/>
    <d v="1899-12-30T13:14:04"/>
    <n v="132.5"/>
    <n v="130"/>
    <n v="-2.5"/>
  </r>
  <r>
    <n v="487"/>
    <s v="京W7L073"/>
    <x v="0"/>
    <s v="银灰色"/>
    <n v="1.5"/>
    <x v="6"/>
    <d v="1899-12-30T06:31:02"/>
    <d v="2014-06-01T00:00:00"/>
    <d v="1899-12-30T13:58:04"/>
    <d v="1899-12-30T07:27:02"/>
    <n v="45"/>
    <n v="43.5"/>
    <n v="-1.5"/>
  </r>
  <r>
    <n v="488"/>
    <s v="京C4B775"/>
    <x v="1"/>
    <s v="黑色"/>
    <n v="2.5"/>
    <x v="6"/>
    <d v="1899-12-30T06:34:02"/>
    <d v="2014-06-01T00:00:00"/>
    <d v="1899-12-30T09:47:03"/>
    <d v="1899-12-30T03:13:01"/>
    <n v="32.5"/>
    <n v="30"/>
    <n v="-2.5"/>
  </r>
  <r>
    <n v="489"/>
    <s v="京X4M023"/>
    <x v="1"/>
    <s v="银灰色"/>
    <n v="2.5"/>
    <x v="6"/>
    <d v="1899-12-30T07:05:02"/>
    <d v="2014-06-01T00:00:00"/>
    <d v="1899-12-30T08:17:02"/>
    <d v="1899-12-30T01:12:00"/>
    <n v="12.5"/>
    <n v="10"/>
    <n v="-2.5"/>
  </r>
  <r>
    <n v="490"/>
    <s v="京W84953"/>
    <x v="0"/>
    <s v="黑色"/>
    <n v="1.5"/>
    <x v="6"/>
    <d v="1899-12-30T07:16:02"/>
    <d v="2014-06-01T00:00:00"/>
    <d v="1899-12-30T18:23:05"/>
    <d v="1899-12-30T11:07:03"/>
    <n v="67.5"/>
    <n v="66"/>
    <n v="-1.5"/>
  </r>
  <r>
    <n v="491"/>
    <s v="京O92667"/>
    <x v="1"/>
    <s v="银灰色"/>
    <n v="2.5"/>
    <x v="6"/>
    <d v="1899-12-30T07:34:02"/>
    <d v="2014-06-01T00:00:00"/>
    <d v="1899-12-30T18:04:05"/>
    <d v="1899-12-30T10:30:03"/>
    <n v="107.5"/>
    <n v="105"/>
    <n v="-2.5"/>
  </r>
  <r>
    <n v="492"/>
    <s v="京K2R581"/>
    <x v="2"/>
    <s v="白色"/>
    <n v="2"/>
    <x v="6"/>
    <d v="1899-12-30T07:50:02"/>
    <d v="2014-06-01T00:00:00"/>
    <d v="1899-12-30T22:17:06"/>
    <d v="1899-12-30T14:27:04"/>
    <n v="116"/>
    <n v="114"/>
    <n v="-2"/>
  </r>
  <r>
    <n v="493"/>
    <s v="京N04324"/>
    <x v="2"/>
    <s v="白色"/>
    <n v="2"/>
    <x v="6"/>
    <d v="1899-12-30T07:51:02"/>
    <d v="2014-06-01T00:00:00"/>
    <d v="1899-12-30T16:43:05"/>
    <d v="1899-12-30T08:52:03"/>
    <n v="72"/>
    <n v="70"/>
    <n v="-2"/>
  </r>
  <r>
    <n v="494"/>
    <s v="京H63240"/>
    <x v="2"/>
    <s v="白色"/>
    <n v="2"/>
    <x v="6"/>
    <d v="1899-12-30T07:57:02"/>
    <d v="2014-06-01T00:00:00"/>
    <d v="1899-12-30T18:25:05"/>
    <d v="1899-12-30T10:28:03"/>
    <n v="84"/>
    <n v="82"/>
    <n v="-2"/>
  </r>
  <r>
    <n v="495"/>
    <s v="京UF6777"/>
    <x v="0"/>
    <s v="黑色"/>
    <n v="1.5"/>
    <x v="6"/>
    <d v="1899-12-30T08:04:02"/>
    <d v="2014-06-01T00:00:00"/>
    <d v="1899-12-30T19:37:06"/>
    <d v="1899-12-30T11:33:03"/>
    <n v="70.5"/>
    <n v="69"/>
    <n v="-1.5"/>
  </r>
  <r>
    <n v="496"/>
    <s v="京F91R59"/>
    <x v="1"/>
    <s v="深蓝色"/>
    <n v="2.5"/>
    <x v="6"/>
    <d v="1899-12-30T08:14:02"/>
    <d v="2014-06-01T00:00:00"/>
    <d v="1899-12-30T21:17:06"/>
    <d v="1899-12-30T13:03:04"/>
    <n v="132.5"/>
    <n v="130"/>
    <n v="-2.5"/>
  </r>
  <r>
    <n v="497"/>
    <s v="京L44B94"/>
    <x v="0"/>
    <s v="白色"/>
    <n v="1.5"/>
    <x v="6"/>
    <d v="1899-12-30T08:19:02"/>
    <d v="2014-06-01T00:00:00"/>
    <d v="1899-12-30T09:10:03"/>
    <d v="1899-12-30T00:51:00"/>
    <n v="6"/>
    <n v="4.5"/>
    <n v="-1.5"/>
  </r>
  <r>
    <n v="498"/>
    <s v="京I29G08"/>
    <x v="2"/>
    <s v="黑色"/>
    <n v="2"/>
    <x v="6"/>
    <d v="1899-12-30T08:46:03"/>
    <d v="2014-06-01T00:00:00"/>
    <d v="1899-12-30T12:04:03"/>
    <d v="1899-12-30T03:18:01"/>
    <n v="28"/>
    <n v="26"/>
    <n v="-2"/>
  </r>
  <r>
    <n v="499"/>
    <s v="京J03T05"/>
    <x v="2"/>
    <s v="深蓝色"/>
    <n v="2"/>
    <x v="6"/>
    <d v="1899-12-30T09:00:03"/>
    <d v="2014-06-01T00:00:00"/>
    <d v="1899-12-30T11:50:03"/>
    <d v="1899-12-30T02:50:01"/>
    <n v="24"/>
    <n v="22"/>
    <n v="-2"/>
  </r>
  <r>
    <n v="500"/>
    <s v="京G39103"/>
    <x v="2"/>
    <s v="银灰色"/>
    <n v="2"/>
    <x v="6"/>
    <d v="1899-12-30T09:04:03"/>
    <d v="2014-06-01T00:00:00"/>
    <d v="1899-12-30T11:38:03"/>
    <d v="1899-12-30T02:34:01"/>
    <n v="22"/>
    <n v="20"/>
    <n v="-2"/>
  </r>
  <r>
    <n v="501"/>
    <s v="京R41B61"/>
    <x v="1"/>
    <s v="白色"/>
    <n v="2.5"/>
    <x v="6"/>
    <d v="1899-12-30T09:28:03"/>
    <d v="2014-06-02T00:00:00"/>
    <d v="1899-12-30T00:39:00"/>
    <d v="1899-12-30T15:10:57"/>
    <n v="152.5"/>
    <n v="150"/>
    <n v="-2.5"/>
  </r>
  <r>
    <n v="502"/>
    <s v="京Q0P152"/>
    <x v="1"/>
    <s v="黑色"/>
    <n v="2.5"/>
    <x v="6"/>
    <d v="1899-12-30T10:01:03"/>
    <d v="2014-06-01T00:00:00"/>
    <d v="1899-12-30T17:39:05"/>
    <d v="1899-12-30T07:38:02"/>
    <n v="77.5"/>
    <n v="75"/>
    <n v="-2.5"/>
  </r>
  <r>
    <n v="503"/>
    <s v="京W12T85"/>
    <x v="2"/>
    <s v="银灰色"/>
    <n v="2"/>
    <x v="6"/>
    <d v="1899-12-30T10:05:03"/>
    <d v="2014-06-01T00:00:00"/>
    <d v="1899-12-30T14:11:04"/>
    <d v="1899-12-30T04:06:01"/>
    <n v="34"/>
    <n v="32"/>
    <n v="-2"/>
  </r>
  <r>
    <n v="504"/>
    <s v="京A1D355"/>
    <x v="2"/>
    <s v="银灰色"/>
    <n v="2"/>
    <x v="6"/>
    <d v="1899-12-30T10:19:03"/>
    <d v="2014-06-01T00:00:00"/>
    <d v="1899-12-30T15:45:05"/>
    <d v="1899-12-30T05:26:02"/>
    <n v="44"/>
    <n v="42"/>
    <n v="-2"/>
  </r>
  <r>
    <n v="505"/>
    <s v="京W34O39"/>
    <x v="1"/>
    <s v="黑色"/>
    <n v="2.5"/>
    <x v="6"/>
    <d v="1899-12-30T10:28:03"/>
    <d v="2014-06-01T00:00:00"/>
    <d v="1899-12-30T16:55:05"/>
    <d v="1899-12-30T06:27:02"/>
    <n v="65"/>
    <n v="62.5"/>
    <n v="-2.5"/>
  </r>
  <r>
    <n v="506"/>
    <s v="京L31P52"/>
    <x v="0"/>
    <s v="深蓝色"/>
    <n v="1.5"/>
    <x v="6"/>
    <d v="1899-12-30T11:06:03"/>
    <d v="2014-06-01T00:00:00"/>
    <d v="1899-12-30T18:15:05"/>
    <d v="1899-12-30T07:09:02"/>
    <n v="43.5"/>
    <n v="42"/>
    <n v="-1.5"/>
  </r>
  <r>
    <n v="507"/>
    <s v="京H27072"/>
    <x v="2"/>
    <s v="深蓝色"/>
    <n v="2"/>
    <x v="6"/>
    <d v="1899-12-30T11:31:03"/>
    <d v="2014-06-01T00:00:00"/>
    <d v="1899-12-30T16:40:05"/>
    <d v="1899-12-30T05:09:01"/>
    <n v="42"/>
    <n v="40"/>
    <n v="-2"/>
  </r>
  <r>
    <n v="508"/>
    <s v="京L28B91"/>
    <x v="1"/>
    <s v="银灰色"/>
    <n v="2.5"/>
    <x v="6"/>
    <d v="1899-12-30T11:38:03"/>
    <d v="2014-06-01T00:00:00"/>
    <d v="1899-12-30T13:57:04"/>
    <d v="1899-12-30T02:19:01"/>
    <n v="25"/>
    <n v="22.5"/>
    <n v="-2.5"/>
  </r>
  <r>
    <n v="509"/>
    <s v="京Q07487"/>
    <x v="0"/>
    <s v="黑色"/>
    <n v="1.5"/>
    <x v="6"/>
    <d v="1899-12-30T11:41:03"/>
    <d v="2014-06-02T00:00:00"/>
    <d v="1899-12-30T03:35:01"/>
    <d v="1899-12-30T15:53:58"/>
    <n v="96"/>
    <n v="94.5"/>
    <n v="-1.5"/>
  </r>
  <r>
    <n v="510"/>
    <s v="京H09310"/>
    <x v="1"/>
    <s v="白色"/>
    <n v="2.5"/>
    <x v="6"/>
    <d v="1899-12-30T11:47:03"/>
    <d v="2014-06-01T00:00:00"/>
    <d v="1899-12-30T12:05:03"/>
    <d v="1899-12-30T00:18:00"/>
    <n v="5"/>
    <n v="2.5"/>
    <n v="-2.5"/>
  </r>
  <r>
    <n v="511"/>
    <s v="京E20P70"/>
    <x v="2"/>
    <s v="白色"/>
    <n v="2"/>
    <x v="6"/>
    <d v="1899-12-30T11:51:03"/>
    <d v="2014-06-01T00:00:00"/>
    <d v="1899-12-30T16:47:05"/>
    <d v="1899-12-30T04:56:01"/>
    <n v="40"/>
    <n v="38"/>
    <n v="-2"/>
  </r>
  <r>
    <n v="512"/>
    <s v="京F7T568"/>
    <x v="1"/>
    <s v="黑色"/>
    <n v="2.5"/>
    <x v="6"/>
    <d v="1899-12-30T12:02:03"/>
    <d v="2014-06-01T00:00:00"/>
    <d v="1899-12-30T18:50:05"/>
    <d v="1899-12-30T06:48:02"/>
    <n v="70"/>
    <n v="67.5"/>
    <n v="-2.5"/>
  </r>
  <r>
    <n v="513"/>
    <s v="京BC7517"/>
    <x v="2"/>
    <s v="黑色"/>
    <n v="2"/>
    <x v="6"/>
    <d v="1899-12-30T12:46:04"/>
    <d v="2014-06-01T00:00:00"/>
    <d v="1899-12-30T19:08:06"/>
    <d v="1899-12-30T06:22:02"/>
    <n v="52"/>
    <n v="50"/>
    <n v="-2"/>
  </r>
  <r>
    <n v="514"/>
    <s v="京M11436"/>
    <x v="0"/>
    <s v="白色"/>
    <n v="1.5"/>
    <x v="6"/>
    <d v="1899-12-30T12:51:04"/>
    <d v="2014-06-01T00:00:00"/>
    <d v="1899-12-30T18:15:05"/>
    <d v="1899-12-30T05:24:02"/>
    <n v="33"/>
    <n v="31.5"/>
    <n v="-1.5"/>
  </r>
  <r>
    <n v="515"/>
    <s v="京OM7196"/>
    <x v="2"/>
    <s v="银灰色"/>
    <n v="2"/>
    <x v="6"/>
    <d v="1899-12-30T13:13:04"/>
    <d v="2014-06-02T00:00:00"/>
    <d v="1899-12-30T01:49:01"/>
    <d v="1899-12-30T12:35:57"/>
    <n v="102"/>
    <n v="100"/>
    <n v="-2"/>
  </r>
  <r>
    <n v="516"/>
    <s v="京T61P01"/>
    <x v="0"/>
    <s v="白色"/>
    <n v="1.5"/>
    <x v="6"/>
    <d v="1899-12-30T13:30:04"/>
    <d v="2014-06-01T00:00:00"/>
    <d v="1899-12-30T15:48:05"/>
    <d v="1899-12-30T02:18:01"/>
    <n v="15"/>
    <n v="13.5"/>
    <n v="-1.5"/>
  </r>
  <r>
    <n v="517"/>
    <s v="京RN0588"/>
    <x v="0"/>
    <s v="深蓝色"/>
    <n v="1.5"/>
    <x v="6"/>
    <d v="1899-12-30T13:36:04"/>
    <d v="2014-06-01T00:00:00"/>
    <d v="1899-12-30T20:42:06"/>
    <d v="1899-12-30T07:06:02"/>
    <n v="43.5"/>
    <n v="42"/>
    <n v="-1.5"/>
  </r>
  <r>
    <n v="518"/>
    <s v="京FF6020"/>
    <x v="1"/>
    <s v="银灰色"/>
    <n v="2.5"/>
    <x v="6"/>
    <d v="1899-12-30T13:37:04"/>
    <d v="2014-06-01T00:00:00"/>
    <d v="1899-12-30T18:07:05"/>
    <d v="1899-12-30T04:30:01"/>
    <n v="47.5"/>
    <n v="45"/>
    <n v="-2.5"/>
  </r>
  <r>
    <n v="519"/>
    <s v="京N42856"/>
    <x v="1"/>
    <s v="白色"/>
    <n v="2.5"/>
    <x v="6"/>
    <d v="1899-12-30T13:50:04"/>
    <d v="2014-06-02T00:00:00"/>
    <d v="1899-12-30T05:16:02"/>
    <d v="1899-12-30T15:25:58"/>
    <n v="155"/>
    <n v="152.5"/>
    <n v="-2.5"/>
  </r>
  <r>
    <n v="520"/>
    <s v="京Y9N329"/>
    <x v="0"/>
    <s v="黑色"/>
    <n v="1.5"/>
    <x v="6"/>
    <d v="1899-12-30T13:54:04"/>
    <d v="2014-06-01T00:00:00"/>
    <d v="1899-12-30T21:56:06"/>
    <d v="1899-12-30T08:02:02"/>
    <n v="49.5"/>
    <n v="48"/>
    <n v="-1.5"/>
  </r>
  <r>
    <n v="521"/>
    <s v="京X45B91"/>
    <x v="2"/>
    <s v="银灰色"/>
    <n v="2"/>
    <x v="6"/>
    <d v="1899-12-30T14:03:04"/>
    <d v="2014-06-01T00:00:00"/>
    <d v="1899-12-30T23:31:07"/>
    <d v="1899-12-30T09:28:03"/>
    <n v="76"/>
    <n v="74"/>
    <n v="-2"/>
  </r>
  <r>
    <n v="522"/>
    <s v="京D3P207"/>
    <x v="2"/>
    <s v="黑色"/>
    <n v="2"/>
    <x v="6"/>
    <d v="1899-12-30T14:50:04"/>
    <d v="2014-06-02T00:00:00"/>
    <d v="1899-12-30T05:28:02"/>
    <d v="1899-12-30T14:37:57"/>
    <n v="118"/>
    <n v="116"/>
    <n v="-2"/>
  </r>
  <r>
    <n v="523"/>
    <s v="京MQ5474"/>
    <x v="2"/>
    <s v="银灰色"/>
    <n v="2"/>
    <x v="6"/>
    <d v="1899-12-30T14:52:04"/>
    <d v="2014-06-02T00:00:00"/>
    <d v="1899-12-30T00:57:00"/>
    <d v="1899-12-30T10:04:56"/>
    <n v="82"/>
    <n v="80"/>
    <n v="-2"/>
  </r>
  <r>
    <n v="524"/>
    <s v="京B40257"/>
    <x v="2"/>
    <s v="银灰色"/>
    <n v="2"/>
    <x v="6"/>
    <d v="1899-12-30T15:43:05"/>
    <d v="2014-06-02T00:00:00"/>
    <d v="1899-12-30T02:25:01"/>
    <d v="1899-12-30T10:41:56"/>
    <n v="86"/>
    <n v="84"/>
    <n v="-2"/>
  </r>
  <r>
    <n v="525"/>
    <s v="京G18525"/>
    <x v="2"/>
    <s v="白色"/>
    <n v="2"/>
    <x v="6"/>
    <d v="1899-12-30T15:58:05"/>
    <d v="2014-06-01T00:00:00"/>
    <d v="1899-12-30T16:49:05"/>
    <d v="1899-12-30T00:51:00"/>
    <n v="8"/>
    <n v="6"/>
    <n v="-2"/>
  </r>
  <r>
    <n v="526"/>
    <s v="京W9N754"/>
    <x v="2"/>
    <s v="银灰色"/>
    <n v="2"/>
    <x v="6"/>
    <d v="1899-12-30T16:00:05"/>
    <d v="2014-06-01T00:00:00"/>
    <d v="1899-12-30T16:09:05"/>
    <d v="1899-12-30T00:09:00"/>
    <n v="2"/>
    <n v="0"/>
    <n v="-2"/>
  </r>
  <r>
    <n v="527"/>
    <s v="京YB4784"/>
    <x v="1"/>
    <s v="黑色"/>
    <n v="2.5"/>
    <x v="6"/>
    <d v="1899-12-30T16:02:05"/>
    <d v="2014-06-01T00:00:00"/>
    <d v="1899-12-30T19:46:06"/>
    <d v="1899-12-30T03:44:01"/>
    <n v="37.5"/>
    <n v="35"/>
    <n v="-2.5"/>
  </r>
  <r>
    <n v="528"/>
    <s v="京V2O668"/>
    <x v="2"/>
    <s v="黑色"/>
    <n v="2"/>
    <x v="6"/>
    <d v="1899-12-30T16:13:05"/>
    <d v="2014-06-01T00:00:00"/>
    <d v="1899-12-30T23:48:07"/>
    <d v="1899-12-30T07:35:02"/>
    <n v="62"/>
    <n v="60"/>
    <n v="-2"/>
  </r>
  <r>
    <n v="529"/>
    <s v="京O44893"/>
    <x v="0"/>
    <s v="黑色"/>
    <n v="1.5"/>
    <x v="6"/>
    <d v="1899-12-30T16:30:05"/>
    <d v="2014-06-02T00:00:00"/>
    <d v="1899-12-30T07:41:02"/>
    <d v="1899-12-30T15:10:57"/>
    <n v="91.5"/>
    <n v="90"/>
    <n v="-1.5"/>
  </r>
  <r>
    <n v="530"/>
    <s v="京G17L84"/>
    <x v="2"/>
    <s v="白色"/>
    <n v="2"/>
    <x v="6"/>
    <d v="1899-12-30T17:37:05"/>
    <d v="2014-06-02T00:00:00"/>
    <d v="1899-12-30T09:55:03"/>
    <d v="1899-12-30T16:17:58"/>
    <n v="132"/>
    <n v="130"/>
    <n v="-2"/>
  </r>
  <r>
    <n v="531"/>
    <s v="京E9K736"/>
    <x v="2"/>
    <s v="深蓝色"/>
    <n v="2"/>
    <x v="6"/>
    <d v="1899-12-30T17:42:05"/>
    <d v="2014-06-02T00:00:00"/>
    <d v="1899-12-30T02:11:01"/>
    <d v="1899-12-30T08:28:56"/>
    <n v="68"/>
    <n v="66"/>
    <n v="-2"/>
  </r>
  <r>
    <n v="532"/>
    <s v="京H63240"/>
    <x v="2"/>
    <s v="白色"/>
    <n v="2"/>
    <x v="6"/>
    <d v="1899-12-30T18:15:05"/>
    <d v="2014-06-01T00:00:00"/>
    <d v="1899-12-30T19:54:06"/>
    <d v="1899-12-30T01:39:00"/>
    <n v="14"/>
    <n v="12"/>
    <n v="-2"/>
  </r>
  <r>
    <n v="533"/>
    <s v="京O48H43"/>
    <x v="0"/>
    <s v="银灰色"/>
    <n v="1.5"/>
    <x v="6"/>
    <d v="1899-12-30T18:32:05"/>
    <d v="2014-06-01T00:00:00"/>
    <d v="1899-12-30T18:32:25"/>
    <d v="1899-12-30T00:00:20"/>
    <n v="1.5"/>
    <n v="0"/>
    <n v="-1.5"/>
  </r>
  <r>
    <n v="534"/>
    <s v="京B91C28"/>
    <x v="1"/>
    <s v="黑色"/>
    <n v="2.5"/>
    <x v="6"/>
    <d v="1899-12-30T18:41:05"/>
    <d v="2014-06-01T00:00:00"/>
    <d v="1899-12-30T23:15:07"/>
    <d v="1899-12-30T04:34:01"/>
    <n v="47.5"/>
    <n v="45"/>
    <n v="-2.5"/>
  </r>
  <r>
    <n v="535"/>
    <s v="京J56R58"/>
    <x v="1"/>
    <s v="深蓝色"/>
    <n v="2.5"/>
    <x v="6"/>
    <d v="1899-12-30T19:02:05"/>
    <d v="2014-06-01T00:00:00"/>
    <d v="1899-12-30T23:52:07"/>
    <d v="1899-12-30T04:50:01"/>
    <n v="50"/>
    <n v="47.5"/>
    <n v="-2.5"/>
  </r>
  <r>
    <n v="536"/>
    <s v="京R86710"/>
    <x v="0"/>
    <s v="黑色"/>
    <n v="1.5"/>
    <x v="6"/>
    <d v="1899-12-30T19:02:05"/>
    <d v="2014-06-02T00:00:00"/>
    <d v="1899-12-30T02:40:01"/>
    <d v="1899-12-30T07:37:55"/>
    <n v="46.5"/>
    <n v="45"/>
    <n v="-1.5"/>
  </r>
  <r>
    <n v="537"/>
    <s v="京I2C982"/>
    <x v="1"/>
    <s v="黑色"/>
    <n v="2.5"/>
    <x v="6"/>
    <d v="1899-12-30T20:09:06"/>
    <d v="2014-06-02T00:00:00"/>
    <d v="1899-12-30T04:59:01"/>
    <d v="1899-12-30T08:49:56"/>
    <n v="90"/>
    <n v="87.5"/>
    <n v="-2.5"/>
  </r>
  <r>
    <n v="538"/>
    <s v="京EI6593"/>
    <x v="1"/>
    <s v="白色"/>
    <n v="2.5"/>
    <x v="6"/>
    <d v="1899-12-30T20:28:06"/>
    <d v="2014-06-01T00:00:00"/>
    <d v="1899-12-30T20:40:06"/>
    <d v="1899-12-30T00:12:00"/>
    <n v="2.5"/>
    <n v="0"/>
    <n v="-2.5"/>
  </r>
  <r>
    <n v="539"/>
    <s v="京U35931"/>
    <x v="1"/>
    <s v="黑色"/>
    <n v="2.5"/>
    <x v="6"/>
    <d v="1899-12-30T20:47:06"/>
    <d v="2014-06-02T00:00:00"/>
    <d v="1899-12-30T09:00:03"/>
    <d v="1899-12-30T12:12:57"/>
    <n v="122.5"/>
    <n v="120"/>
    <n v="-2.5"/>
  </r>
  <r>
    <n v="540"/>
    <s v="京M44235"/>
    <x v="0"/>
    <s v="白色"/>
    <n v="1.5"/>
    <x v="6"/>
    <d v="1899-12-30T21:01:06"/>
    <d v="2014-06-02T00:00:00"/>
    <d v="1899-12-30T10:26:03"/>
    <d v="1899-12-30T13:24:57"/>
    <n v="81"/>
    <n v="79.5"/>
    <n v="-1.5"/>
  </r>
  <r>
    <n v="541"/>
    <s v="京G75M68"/>
    <x v="2"/>
    <s v="银灰色"/>
    <n v="2"/>
    <x v="6"/>
    <d v="1899-12-30T21:11:06"/>
    <d v="2014-06-02T00:00:00"/>
    <d v="1899-12-30T00:38:00"/>
    <d v="1899-12-30T03:26:54"/>
    <n v="28"/>
    <n v="26"/>
    <n v="-2"/>
  </r>
  <r>
    <n v="542"/>
    <s v="京O7G127"/>
    <x v="1"/>
    <s v="白色"/>
    <n v="2.5"/>
    <x v="6"/>
    <d v="1899-12-30T21:19:06"/>
    <d v="2014-06-02T00:00:00"/>
    <d v="1899-12-30T02:54:01"/>
    <d v="1899-12-30T05:34:55"/>
    <n v="57.5"/>
    <n v="55"/>
    <n v="-2.5"/>
  </r>
  <r>
    <n v="543"/>
    <s v="京Q3F127"/>
    <x v="1"/>
    <s v="深蓝色"/>
    <n v="2.5"/>
    <x v="6"/>
    <d v="1899-12-30T21:38:06"/>
    <d v="2014-06-02T00:00:00"/>
    <d v="1899-12-30T09:39:03"/>
    <d v="1899-12-30T12:00:57"/>
    <n v="122.5"/>
    <n v="120"/>
    <n v="-2.5"/>
  </r>
  <r>
    <n v="544"/>
    <s v="京G1U705"/>
    <x v="1"/>
    <s v="深蓝色"/>
    <n v="2.5"/>
    <x v="6"/>
    <d v="1899-12-30T22:24:06"/>
    <d v="2014-06-02T00:00:00"/>
    <d v="1899-12-30T10:40:03"/>
    <d v="1899-12-30T12:15:57"/>
    <n v="125"/>
    <n v="122.5"/>
    <n v="-2.5"/>
  </r>
  <r>
    <n v="545"/>
    <s v="京T8O094"/>
    <x v="1"/>
    <s v="银灰色"/>
    <n v="2.5"/>
    <x v="6"/>
    <d v="1899-12-30T22:42:07"/>
    <d v="2014-06-01T00:00:00"/>
    <d v="1899-12-30T23:49:07"/>
    <d v="1899-12-30T01:07:00"/>
    <n v="12.5"/>
    <n v="10"/>
    <n v="-2.5"/>
  </r>
  <r>
    <n v="546"/>
    <s v="京G17178"/>
    <x v="2"/>
    <s v="深蓝色"/>
    <n v="2"/>
    <x v="6"/>
    <d v="1899-12-30T22:57:07"/>
    <d v="2014-06-02T00:00:00"/>
    <d v="1899-12-30T10:28:03"/>
    <d v="1899-12-30T11:30:56"/>
    <n v="94"/>
    <n v="92"/>
    <n v="-2"/>
  </r>
  <r>
    <n v="547"/>
    <s v="京J09217"/>
    <x v="1"/>
    <s v="黑色"/>
    <n v="2.5"/>
    <x v="6"/>
    <d v="1899-12-30T22:57:07"/>
    <d v="2014-06-02T00:00:00"/>
    <d v="1899-12-30T10:32:03"/>
    <d v="1899-12-30T11:34:56"/>
    <n v="117.5"/>
    <n v="115"/>
    <n v="-2.5"/>
  </r>
  <r>
    <n v="548"/>
    <s v="京HK3531"/>
    <x v="2"/>
    <s v="黑色"/>
    <n v="2"/>
    <x v="6"/>
    <d v="1899-12-30T23:42:07"/>
    <d v="2014-06-02T00:00:00"/>
    <d v="1899-12-30T10:02:03"/>
    <d v="1899-12-30T10:19:56"/>
    <n v="84"/>
    <n v="82"/>
    <n v="-2"/>
  </r>
  <r>
    <n v="549"/>
    <s v="京T5P525"/>
    <x v="1"/>
    <s v="银灰色"/>
    <n v="2.5"/>
    <x v="6"/>
    <d v="1899-12-30T23:52:07"/>
    <d v="2014-06-02T00:00:00"/>
    <d v="1899-12-30T04:17:01"/>
    <d v="1899-12-30T04:24:54"/>
    <n v="45"/>
    <n v="42.5"/>
    <n v="-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I8" firstHeaderRow="1" firstDataRow="2" firstDataCol="1"/>
  <pivotFields count="14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44" showAll="0"/>
    <pivotField axis="axisCol" numFmtId="17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77" showAll="0"/>
    <pivotField numFmtId="176" showAll="0"/>
    <pivotField numFmtId="177" showAll="0"/>
    <pivotField numFmtId="179" showAll="0"/>
    <pivotField dataField="1" numFmtId="44" showAll="0"/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8"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colItems>
  <dataFields count="1">
    <dataField name="求和项:收费金额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9:I24" firstHeaderRow="1" firstDataRow="2" firstDataCol="1"/>
  <pivotFields count="14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44" showAll="0"/>
    <pivotField axis="axisCol" numFmtId="17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77" showAll="0"/>
    <pivotField numFmtId="176" showAll="0"/>
    <pivotField numFmtId="177" showAll="0"/>
    <pivotField numFmtId="179" showAll="0"/>
    <pivotField numFmtId="44" showAll="0"/>
    <pivotField numFmtId="44" showAll="0"/>
    <pivotField dataField="1"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8"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colItems>
  <dataFields count="1">
    <dataField name="求和项:收费差值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11:I16" firstHeaderRow="1" firstDataRow="2" firstDataCol="1"/>
  <pivotFields count="14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44" showAll="0"/>
    <pivotField axis="axisCol" numFmtId="17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77" showAll="0"/>
    <pivotField numFmtId="176" showAll="0"/>
    <pivotField numFmtId="177" showAll="0"/>
    <pivotField numFmtId="179" showAll="0"/>
    <pivotField numFmtId="44" showAll="0"/>
    <pivotField dataField="1"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8"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colItems>
  <dataFields count="1">
    <dataField name="求和项:拟收费金额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M551" totalsRowCount="1">
  <autoFilter ref="A1:M550"/>
  <tableColumns count="13">
    <tableColumn id="1" name="序号" totalsRowLabel="汇总" dataDxfId="25" totalsRowDxfId="12"/>
    <tableColumn id="2" name="车牌号码" dataDxfId="24" totalsRowDxfId="11" dataCellStyle="常规_Sheet1"/>
    <tableColumn id="3" name="车型" dataDxfId="23" totalsRowDxfId="10" dataCellStyle="常规_Sheet1"/>
    <tableColumn id="4" name="车颜色" dataDxfId="22" totalsRowDxfId="9" dataCellStyle="常规_Sheet1"/>
    <tableColumn id="5" name="收费标准" dataDxfId="21" totalsRowDxfId="8" dataCellStyle="常规_Sheet1">
      <calculatedColumnFormula>VLOOKUP(C2,收费标准!A$3:B$5,2,FALSE)</calculatedColumnFormula>
    </tableColumn>
    <tableColumn id="6" name="进场日期" dataDxfId="20" totalsRowDxfId="7" dataCellStyle="常规_Sheet1"/>
    <tableColumn id="7" name="进场时间" dataDxfId="19" totalsRowDxfId="6" dataCellStyle="常规_Sheet1"/>
    <tableColumn id="8" name="出场日期" dataDxfId="18" totalsRowDxfId="5" dataCellStyle="常规_Sheet1"/>
    <tableColumn id="9" name="出场时间" dataDxfId="17" totalsRowDxfId="4" dataCellStyle="常规_Sheet1"/>
    <tableColumn id="10" name="停放时间" dataDxfId="16" totalsRowDxfId="3" dataCellStyle="常规_Sheet1">
      <calculatedColumnFormula>H2-F2+I2-G2</calculatedColumnFormula>
    </tableColumn>
    <tableColumn id="11" name="收费金额" totalsRowFunction="sum" dataDxfId="15" totalsRowDxfId="2" dataCellStyle="常规_Sheet1">
      <calculatedColumnFormula>ROUNDUP(J2*60*24/15,0)*E2</calculatedColumnFormula>
    </tableColumn>
    <tableColumn id="12" name="拟收费金额" totalsRowFunction="sum" dataDxfId="14" totalsRowDxfId="1">
      <calculatedColumnFormula>ROUNDDOWN(J2*60*24/15,0)*E2</calculatedColumnFormula>
    </tableColumn>
    <tableColumn id="13" name="收费差值" totalsRowFunction="sum" dataDxfId="13" totalsRowDxfId="0">
      <calculatedColumnFormula>L2-K2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tabSelected="1" topLeftCell="D1" workbookViewId="0">
      <selection activeCell="J2" sqref="J2:J550"/>
    </sheetView>
  </sheetViews>
  <sheetFormatPr defaultRowHeight="13.5" x14ac:dyDescent="0.15"/>
  <cols>
    <col min="1" max="1" width="9" style="6"/>
    <col min="2" max="2" width="10.25" customWidth="1"/>
    <col min="5" max="5" width="12.25" style="17" customWidth="1"/>
    <col min="6" max="6" width="14.625" style="3" bestFit="1" customWidth="1"/>
    <col min="7" max="7" width="12.75" style="5" bestFit="1" customWidth="1"/>
    <col min="8" max="8" width="15" style="3" customWidth="1"/>
    <col min="9" max="9" width="15.625" style="5" customWidth="1"/>
    <col min="10" max="10" width="14.5" customWidth="1"/>
    <col min="11" max="11" width="15.75" style="17" customWidth="1"/>
    <col min="12" max="12" width="16.125" style="17" customWidth="1"/>
    <col min="13" max="13" width="16.625" style="17" customWidth="1"/>
  </cols>
  <sheetData>
    <row r="1" spans="1:13" s="14" customFormat="1" x14ac:dyDescent="0.15">
      <c r="A1" s="10" t="s">
        <v>209</v>
      </c>
      <c r="B1" s="11" t="s">
        <v>0</v>
      </c>
      <c r="C1" s="11" t="s">
        <v>1</v>
      </c>
      <c r="D1" s="11" t="s">
        <v>2</v>
      </c>
      <c r="E1" s="15" t="s">
        <v>3</v>
      </c>
      <c r="F1" s="12" t="s">
        <v>4</v>
      </c>
      <c r="G1" s="13" t="s">
        <v>5</v>
      </c>
      <c r="H1" s="12" t="s">
        <v>6</v>
      </c>
      <c r="I1" s="13" t="s">
        <v>7</v>
      </c>
      <c r="J1" s="11" t="s">
        <v>8</v>
      </c>
      <c r="K1" s="15" t="s">
        <v>9</v>
      </c>
      <c r="L1" s="18" t="s">
        <v>219</v>
      </c>
      <c r="M1" s="18" t="s">
        <v>220</v>
      </c>
    </row>
    <row r="2" spans="1:13" ht="14.25" x14ac:dyDescent="0.15">
      <c r="A2" s="6">
        <v>1</v>
      </c>
      <c r="B2" s="1" t="s">
        <v>16</v>
      </c>
      <c r="C2" s="1" t="s">
        <v>14</v>
      </c>
      <c r="D2" s="1" t="s">
        <v>17</v>
      </c>
      <c r="E2" s="16">
        <f>VLOOKUP(C2,收费标准!A$3:B$5,2,FALSE)</f>
        <v>1.5</v>
      </c>
      <c r="F2" s="2">
        <v>41785</v>
      </c>
      <c r="G2" s="4">
        <v>4.1670000000000006E-3</v>
      </c>
      <c r="H2" s="2">
        <v>41785</v>
      </c>
      <c r="I2" s="4">
        <v>0.60213150000000004</v>
      </c>
      <c r="J2" s="29">
        <f>H2-F2+I2-G2</f>
        <v>0.59796450000000001</v>
      </c>
      <c r="K2" s="16">
        <f>ROUNDUP(J2*60*24/15,0)*E2</f>
        <v>87</v>
      </c>
      <c r="L2" s="17">
        <f>ROUNDDOWN(J2*60*24/15,0)*E2</f>
        <v>85.5</v>
      </c>
      <c r="M2" s="17">
        <f>L2-K2</f>
        <v>-1.5</v>
      </c>
    </row>
    <row r="3" spans="1:13" ht="14.25" x14ac:dyDescent="0.15">
      <c r="A3" s="6">
        <v>2</v>
      </c>
      <c r="B3" s="1" t="s">
        <v>70</v>
      </c>
      <c r="C3" s="1" t="s">
        <v>26</v>
      </c>
      <c r="D3" s="1" t="s">
        <v>22</v>
      </c>
      <c r="E3" s="16">
        <f>VLOOKUP(C3,收费标准!A$3:B$5,2,FALSE)</f>
        <v>2.5</v>
      </c>
      <c r="F3" s="2">
        <v>41785</v>
      </c>
      <c r="G3" s="4">
        <v>1.04175E-2</v>
      </c>
      <c r="H3" s="2">
        <v>41785</v>
      </c>
      <c r="I3" s="4">
        <v>0.22849050000000001</v>
      </c>
      <c r="J3" s="29">
        <f t="shared" ref="J3:J66" si="0">H3-F3+I3-G3</f>
        <v>0.21807300000000002</v>
      </c>
      <c r="K3" s="16">
        <f t="shared" ref="K3:K66" si="1">ROUNDUP(J3*60*24/15,0)*E3</f>
        <v>52.5</v>
      </c>
      <c r="L3" s="17">
        <f t="shared" ref="L3:L66" si="2">ROUNDDOWN(J3*60*24/15,0)*E3</f>
        <v>50</v>
      </c>
      <c r="M3" s="17">
        <f t="shared" ref="M3:M66" si="3">L3-K3</f>
        <v>-2.5</v>
      </c>
    </row>
    <row r="4" spans="1:13" ht="14.25" x14ac:dyDescent="0.15">
      <c r="A4" s="6">
        <v>3</v>
      </c>
      <c r="B4" s="1" t="s">
        <v>37</v>
      </c>
      <c r="C4" s="1" t="s">
        <v>11</v>
      </c>
      <c r="D4" s="1" t="s">
        <v>12</v>
      </c>
      <c r="E4" s="16">
        <f>VLOOKUP(C4,收费标准!A$3:B$5,2,FALSE)</f>
        <v>2</v>
      </c>
      <c r="F4" s="2">
        <v>41785</v>
      </c>
      <c r="G4" s="4">
        <v>1.9446000000000001E-2</v>
      </c>
      <c r="H4" s="2">
        <v>41785</v>
      </c>
      <c r="I4" s="4">
        <v>4.3059E-2</v>
      </c>
      <c r="J4" s="29">
        <f t="shared" si="0"/>
        <v>2.3612999999999999E-2</v>
      </c>
      <c r="K4" s="16">
        <f t="shared" si="1"/>
        <v>6</v>
      </c>
      <c r="L4" s="17">
        <f t="shared" si="2"/>
        <v>4</v>
      </c>
      <c r="M4" s="17">
        <f t="shared" si="3"/>
        <v>-2</v>
      </c>
    </row>
    <row r="5" spans="1:13" ht="14.25" x14ac:dyDescent="0.15">
      <c r="A5" s="6">
        <v>4</v>
      </c>
      <c r="B5" s="1" t="s">
        <v>43</v>
      </c>
      <c r="C5" s="1" t="s">
        <v>26</v>
      </c>
      <c r="D5" s="1" t="s">
        <v>15</v>
      </c>
      <c r="E5" s="16">
        <f>VLOOKUP(C5,收费标准!A$3:B$5,2,FALSE)</f>
        <v>2.5</v>
      </c>
      <c r="F5" s="2">
        <v>41785</v>
      </c>
      <c r="G5" s="4">
        <v>2.5696500000000001E-2</v>
      </c>
      <c r="H5" s="2">
        <v>41785</v>
      </c>
      <c r="I5" s="4">
        <v>0.198627</v>
      </c>
      <c r="J5" s="29">
        <f t="shared" si="0"/>
        <v>0.17293049999999999</v>
      </c>
      <c r="K5" s="16">
        <f t="shared" si="1"/>
        <v>42.5</v>
      </c>
      <c r="L5" s="17">
        <f t="shared" si="2"/>
        <v>40</v>
      </c>
      <c r="M5" s="17">
        <f t="shared" si="3"/>
        <v>-2.5</v>
      </c>
    </row>
    <row r="6" spans="1:13" ht="14.25" x14ac:dyDescent="0.15">
      <c r="A6" s="6">
        <v>5</v>
      </c>
      <c r="B6" s="1" t="s">
        <v>112</v>
      </c>
      <c r="C6" s="1" t="s">
        <v>26</v>
      </c>
      <c r="D6" s="1" t="s">
        <v>17</v>
      </c>
      <c r="E6" s="16">
        <f>VLOOKUP(C6,收费标准!A$3:B$5,2,FALSE)</f>
        <v>2.5</v>
      </c>
      <c r="F6" s="2">
        <v>41785</v>
      </c>
      <c r="G6" s="4">
        <v>3.0558000000000002E-2</v>
      </c>
      <c r="H6" s="2">
        <v>41785</v>
      </c>
      <c r="I6" s="4">
        <v>0.52920900000000004</v>
      </c>
      <c r="J6" s="29">
        <f t="shared" si="0"/>
        <v>0.49865100000000007</v>
      </c>
      <c r="K6" s="16">
        <f t="shared" si="1"/>
        <v>120</v>
      </c>
      <c r="L6" s="17">
        <f t="shared" si="2"/>
        <v>117.5</v>
      </c>
      <c r="M6" s="17">
        <f t="shared" si="3"/>
        <v>-2.5</v>
      </c>
    </row>
    <row r="7" spans="1:13" ht="14.25" x14ac:dyDescent="0.15">
      <c r="A7" s="6">
        <v>6</v>
      </c>
      <c r="B7" s="1" t="s">
        <v>42</v>
      </c>
      <c r="C7" s="1" t="s">
        <v>26</v>
      </c>
      <c r="D7" s="1" t="s">
        <v>12</v>
      </c>
      <c r="E7" s="16">
        <f>VLOOKUP(C7,收费标准!A$3:B$5,2,FALSE)</f>
        <v>2.5</v>
      </c>
      <c r="F7" s="2">
        <v>41785</v>
      </c>
      <c r="G7" s="4">
        <v>4.2364499999999999E-2</v>
      </c>
      <c r="H7" s="2">
        <v>41785</v>
      </c>
      <c r="I7" s="4">
        <v>0.1132035</v>
      </c>
      <c r="J7" s="29">
        <f t="shared" si="0"/>
        <v>7.0838999999999999E-2</v>
      </c>
      <c r="K7" s="16">
        <f t="shared" si="1"/>
        <v>17.5</v>
      </c>
      <c r="L7" s="17">
        <f t="shared" si="2"/>
        <v>15</v>
      </c>
      <c r="M7" s="17">
        <f t="shared" si="3"/>
        <v>-2.5</v>
      </c>
    </row>
    <row r="8" spans="1:13" ht="14.25" x14ac:dyDescent="0.15">
      <c r="A8" s="6">
        <v>7</v>
      </c>
      <c r="B8" s="1" t="s">
        <v>57</v>
      </c>
      <c r="C8" s="1" t="s">
        <v>11</v>
      </c>
      <c r="D8" s="1" t="s">
        <v>15</v>
      </c>
      <c r="E8" s="16">
        <f>VLOOKUP(C8,收费标准!A$3:B$5,2,FALSE)</f>
        <v>2</v>
      </c>
      <c r="F8" s="2">
        <v>41785</v>
      </c>
      <c r="G8" s="4">
        <v>5.4865500000000005E-2</v>
      </c>
      <c r="H8" s="2">
        <v>41785</v>
      </c>
      <c r="I8" s="4">
        <v>0.2743275</v>
      </c>
      <c r="J8" s="29">
        <f t="shared" si="0"/>
        <v>0.21946199999999999</v>
      </c>
      <c r="K8" s="16">
        <f t="shared" si="1"/>
        <v>44</v>
      </c>
      <c r="L8" s="17">
        <f t="shared" si="2"/>
        <v>42</v>
      </c>
      <c r="M8" s="17">
        <f t="shared" si="3"/>
        <v>-2</v>
      </c>
    </row>
    <row r="9" spans="1:13" ht="14.25" x14ac:dyDescent="0.15">
      <c r="A9" s="6">
        <v>8</v>
      </c>
      <c r="B9" s="1" t="s">
        <v>19</v>
      </c>
      <c r="C9" s="1" t="s">
        <v>11</v>
      </c>
      <c r="D9" s="1" t="s">
        <v>17</v>
      </c>
      <c r="E9" s="16">
        <f>VLOOKUP(C9,收费标准!A$3:B$5,2,FALSE)</f>
        <v>2</v>
      </c>
      <c r="F9" s="2">
        <v>41785</v>
      </c>
      <c r="G9" s="4">
        <v>5.76435E-2</v>
      </c>
      <c r="H9" s="2">
        <v>41785</v>
      </c>
      <c r="I9" s="4">
        <v>0.45975900000000003</v>
      </c>
      <c r="J9" s="29">
        <f t="shared" si="0"/>
        <v>0.40211550000000001</v>
      </c>
      <c r="K9" s="16">
        <f t="shared" si="1"/>
        <v>78</v>
      </c>
      <c r="L9" s="17">
        <f t="shared" si="2"/>
        <v>76</v>
      </c>
      <c r="M9" s="17">
        <f t="shared" si="3"/>
        <v>-2</v>
      </c>
    </row>
    <row r="10" spans="1:13" ht="14.25" x14ac:dyDescent="0.15">
      <c r="A10" s="6">
        <v>9</v>
      </c>
      <c r="B10" s="1" t="s">
        <v>55</v>
      </c>
      <c r="C10" s="1" t="s">
        <v>26</v>
      </c>
      <c r="D10" s="1" t="s">
        <v>15</v>
      </c>
      <c r="E10" s="16">
        <f>VLOOKUP(C10,收费标准!A$3:B$5,2,FALSE)</f>
        <v>2.5</v>
      </c>
      <c r="F10" s="2">
        <v>41785</v>
      </c>
      <c r="G10" s="4">
        <v>5.9032500000000002E-2</v>
      </c>
      <c r="H10" s="2">
        <v>41785</v>
      </c>
      <c r="I10" s="4">
        <v>0.41531099999999999</v>
      </c>
      <c r="J10" s="29">
        <f t="shared" si="0"/>
        <v>0.3562785</v>
      </c>
      <c r="K10" s="16">
        <f t="shared" si="1"/>
        <v>87.5</v>
      </c>
      <c r="L10" s="17">
        <f t="shared" si="2"/>
        <v>85</v>
      </c>
      <c r="M10" s="17">
        <f t="shared" si="3"/>
        <v>-2.5</v>
      </c>
    </row>
    <row r="11" spans="1:13" ht="14.25" x14ac:dyDescent="0.15">
      <c r="A11" s="6">
        <v>10</v>
      </c>
      <c r="B11" s="1" t="s">
        <v>35</v>
      </c>
      <c r="C11" s="1" t="s">
        <v>14</v>
      </c>
      <c r="D11" s="1" t="s">
        <v>17</v>
      </c>
      <c r="E11" s="16">
        <f>VLOOKUP(C11,收费标准!A$3:B$5,2,FALSE)</f>
        <v>1.5</v>
      </c>
      <c r="F11" s="2">
        <v>41785</v>
      </c>
      <c r="G11" s="4">
        <v>5.9727000000000002E-2</v>
      </c>
      <c r="H11" s="2">
        <v>41785</v>
      </c>
      <c r="I11" s="4">
        <v>0.65560799999999997</v>
      </c>
      <c r="J11" s="29">
        <f t="shared" si="0"/>
        <v>0.59588099999999999</v>
      </c>
      <c r="K11" s="16">
        <f t="shared" si="1"/>
        <v>87</v>
      </c>
      <c r="L11" s="17">
        <f t="shared" si="2"/>
        <v>85.5</v>
      </c>
      <c r="M11" s="17">
        <f t="shared" si="3"/>
        <v>-1.5</v>
      </c>
    </row>
    <row r="12" spans="1:13" ht="14.25" x14ac:dyDescent="0.15">
      <c r="A12" s="6">
        <v>11</v>
      </c>
      <c r="B12" s="1" t="s">
        <v>114</v>
      </c>
      <c r="C12" s="1" t="s">
        <v>26</v>
      </c>
      <c r="D12" s="1" t="s">
        <v>17</v>
      </c>
      <c r="E12" s="16">
        <f>VLOOKUP(C12,收费标准!A$3:B$5,2,FALSE)</f>
        <v>2.5</v>
      </c>
      <c r="F12" s="2">
        <v>41785</v>
      </c>
      <c r="G12" s="4">
        <v>6.3199500000000006E-2</v>
      </c>
      <c r="H12" s="2">
        <v>41787</v>
      </c>
      <c r="I12" s="4">
        <v>0.4201725</v>
      </c>
      <c r="J12" s="29">
        <f t="shared" si="0"/>
        <v>2.356973</v>
      </c>
      <c r="K12" s="16">
        <f t="shared" si="1"/>
        <v>567.5</v>
      </c>
      <c r="L12" s="17">
        <f t="shared" si="2"/>
        <v>565</v>
      </c>
      <c r="M12" s="17">
        <f t="shared" si="3"/>
        <v>-2.5</v>
      </c>
    </row>
    <row r="13" spans="1:13" ht="14.25" x14ac:dyDescent="0.15">
      <c r="A13" s="6">
        <v>12</v>
      </c>
      <c r="B13" s="1" t="s">
        <v>53</v>
      </c>
      <c r="C13" s="1" t="s">
        <v>14</v>
      </c>
      <c r="D13" s="1" t="s">
        <v>17</v>
      </c>
      <c r="E13" s="16">
        <f>VLOOKUP(C13,收费标准!A$3:B$5,2,FALSE)</f>
        <v>1.5</v>
      </c>
      <c r="F13" s="2">
        <v>41785</v>
      </c>
      <c r="G13" s="4">
        <v>6.5977500000000008E-2</v>
      </c>
      <c r="H13" s="2">
        <v>41785</v>
      </c>
      <c r="I13" s="4">
        <v>0.57157350000000007</v>
      </c>
      <c r="J13" s="29">
        <f t="shared" si="0"/>
        <v>0.50559600000000005</v>
      </c>
      <c r="K13" s="16">
        <f t="shared" si="1"/>
        <v>73.5</v>
      </c>
      <c r="L13" s="17">
        <f t="shared" si="2"/>
        <v>72</v>
      </c>
      <c r="M13" s="17">
        <f t="shared" si="3"/>
        <v>-1.5</v>
      </c>
    </row>
    <row r="14" spans="1:13" ht="14.25" x14ac:dyDescent="0.15">
      <c r="A14" s="6">
        <v>13</v>
      </c>
      <c r="B14" s="1" t="s">
        <v>86</v>
      </c>
      <c r="C14" s="1" t="s">
        <v>11</v>
      </c>
      <c r="D14" s="1" t="s">
        <v>15</v>
      </c>
      <c r="E14" s="16">
        <f>VLOOKUP(C14,收费标准!A$3:B$5,2,FALSE)</f>
        <v>2</v>
      </c>
      <c r="F14" s="2">
        <v>41785</v>
      </c>
      <c r="G14" s="4">
        <v>6.7366499999999996E-2</v>
      </c>
      <c r="H14" s="2">
        <v>41785</v>
      </c>
      <c r="I14" s="4">
        <v>0.75283800000000001</v>
      </c>
      <c r="J14" s="29">
        <f t="shared" si="0"/>
        <v>0.68547150000000001</v>
      </c>
      <c r="K14" s="16">
        <f t="shared" si="1"/>
        <v>132</v>
      </c>
      <c r="L14" s="17">
        <f t="shared" si="2"/>
        <v>130</v>
      </c>
      <c r="M14" s="17">
        <f t="shared" si="3"/>
        <v>-2</v>
      </c>
    </row>
    <row r="15" spans="1:13" ht="14.25" x14ac:dyDescent="0.15">
      <c r="A15" s="6">
        <v>14</v>
      </c>
      <c r="B15" s="1" t="s">
        <v>31</v>
      </c>
      <c r="C15" s="1" t="s">
        <v>11</v>
      </c>
      <c r="D15" s="1" t="s">
        <v>17</v>
      </c>
      <c r="E15" s="16">
        <f>VLOOKUP(C15,收费标准!A$3:B$5,2,FALSE)</f>
        <v>2</v>
      </c>
      <c r="F15" s="2">
        <v>41785</v>
      </c>
      <c r="G15" s="4">
        <v>7.7784000000000006E-2</v>
      </c>
      <c r="H15" s="2">
        <v>41785</v>
      </c>
      <c r="I15" s="4">
        <v>0.4465635</v>
      </c>
      <c r="J15" s="29">
        <f t="shared" si="0"/>
        <v>0.36877949999999998</v>
      </c>
      <c r="K15" s="16">
        <f t="shared" si="1"/>
        <v>72</v>
      </c>
      <c r="L15" s="17">
        <f t="shared" si="2"/>
        <v>70</v>
      </c>
      <c r="M15" s="17">
        <f t="shared" si="3"/>
        <v>-2</v>
      </c>
    </row>
    <row r="16" spans="1:13" ht="14.25" x14ac:dyDescent="0.15">
      <c r="A16" s="6">
        <v>15</v>
      </c>
      <c r="B16" s="1" t="s">
        <v>109</v>
      </c>
      <c r="C16" s="1" t="s">
        <v>14</v>
      </c>
      <c r="D16" s="1" t="s">
        <v>17</v>
      </c>
      <c r="E16" s="16">
        <f>VLOOKUP(C16,收费标准!A$3:B$5,2,FALSE)</f>
        <v>1.5</v>
      </c>
      <c r="F16" s="2">
        <v>41785</v>
      </c>
      <c r="G16" s="4">
        <v>7.7784000000000006E-2</v>
      </c>
      <c r="H16" s="2">
        <v>41785</v>
      </c>
      <c r="I16" s="4">
        <v>0.169458</v>
      </c>
      <c r="J16" s="29">
        <f t="shared" si="0"/>
        <v>9.1673999999999992E-2</v>
      </c>
      <c r="K16" s="16">
        <f t="shared" si="1"/>
        <v>13.5</v>
      </c>
      <c r="L16" s="17">
        <f t="shared" si="2"/>
        <v>12</v>
      </c>
      <c r="M16" s="17">
        <f t="shared" si="3"/>
        <v>-1.5</v>
      </c>
    </row>
    <row r="17" spans="1:13" ht="14.25" x14ac:dyDescent="0.15">
      <c r="A17" s="6">
        <v>16</v>
      </c>
      <c r="B17" s="1" t="s">
        <v>54</v>
      </c>
      <c r="C17" s="1" t="s">
        <v>11</v>
      </c>
      <c r="D17" s="1" t="s">
        <v>15</v>
      </c>
      <c r="E17" s="16">
        <f>VLOOKUP(C17,收费标准!A$3:B$5,2,FALSE)</f>
        <v>2</v>
      </c>
      <c r="F17" s="2">
        <v>41785</v>
      </c>
      <c r="G17" s="4">
        <v>8.3339999999999997E-2</v>
      </c>
      <c r="H17" s="2">
        <v>41785</v>
      </c>
      <c r="I17" s="4">
        <v>0.62643899999999997</v>
      </c>
      <c r="J17" s="29">
        <f t="shared" si="0"/>
        <v>0.543099</v>
      </c>
      <c r="K17" s="16">
        <f t="shared" si="1"/>
        <v>106</v>
      </c>
      <c r="L17" s="17">
        <f t="shared" si="2"/>
        <v>104</v>
      </c>
      <c r="M17" s="17">
        <f t="shared" si="3"/>
        <v>-2</v>
      </c>
    </row>
    <row r="18" spans="1:13" ht="14.25" x14ac:dyDescent="0.15">
      <c r="A18" s="6">
        <v>17</v>
      </c>
      <c r="B18" s="1" t="s">
        <v>60</v>
      </c>
      <c r="C18" s="1" t="s">
        <v>26</v>
      </c>
      <c r="D18" s="1" t="s">
        <v>12</v>
      </c>
      <c r="E18" s="16">
        <f>VLOOKUP(C18,收费标准!A$3:B$5,2,FALSE)</f>
        <v>2.5</v>
      </c>
      <c r="F18" s="2">
        <v>41785</v>
      </c>
      <c r="G18" s="4">
        <v>8.6118E-2</v>
      </c>
      <c r="H18" s="2">
        <v>41785</v>
      </c>
      <c r="I18" s="4">
        <v>0.65491350000000004</v>
      </c>
      <c r="J18" s="29">
        <f t="shared" si="0"/>
        <v>0.56879550000000001</v>
      </c>
      <c r="K18" s="16">
        <f t="shared" si="1"/>
        <v>137.5</v>
      </c>
      <c r="L18" s="17">
        <f t="shared" si="2"/>
        <v>135</v>
      </c>
      <c r="M18" s="17">
        <f t="shared" si="3"/>
        <v>-2.5</v>
      </c>
    </row>
    <row r="19" spans="1:13" ht="14.25" x14ac:dyDescent="0.15">
      <c r="A19" s="6">
        <v>18</v>
      </c>
      <c r="B19" s="1" t="s">
        <v>97</v>
      </c>
      <c r="C19" s="1" t="s">
        <v>11</v>
      </c>
      <c r="D19" s="1" t="s">
        <v>12</v>
      </c>
      <c r="E19" s="16">
        <f>VLOOKUP(C19,收费标准!A$3:B$5,2,FALSE)</f>
        <v>2</v>
      </c>
      <c r="F19" s="2">
        <v>41785</v>
      </c>
      <c r="G19" s="4">
        <v>9.3063000000000007E-2</v>
      </c>
      <c r="H19" s="2">
        <v>41785</v>
      </c>
      <c r="I19" s="4">
        <v>0.55837800000000004</v>
      </c>
      <c r="J19" s="29">
        <f t="shared" si="0"/>
        <v>0.46531500000000003</v>
      </c>
      <c r="K19" s="16">
        <f t="shared" si="1"/>
        <v>90</v>
      </c>
      <c r="L19" s="17">
        <f t="shared" si="2"/>
        <v>88</v>
      </c>
      <c r="M19" s="17">
        <f t="shared" si="3"/>
        <v>-2</v>
      </c>
    </row>
    <row r="20" spans="1:13" ht="14.25" x14ac:dyDescent="0.15">
      <c r="A20" s="6">
        <v>19</v>
      </c>
      <c r="B20" s="1" t="s">
        <v>25</v>
      </c>
      <c r="C20" s="1" t="s">
        <v>26</v>
      </c>
      <c r="D20" s="1" t="s">
        <v>15</v>
      </c>
      <c r="E20" s="16">
        <f>VLOOKUP(C20,收费标准!A$3:B$5,2,FALSE)</f>
        <v>2.5</v>
      </c>
      <c r="F20" s="2">
        <v>41785</v>
      </c>
      <c r="G20" s="4">
        <v>9.7924499999999998E-2</v>
      </c>
      <c r="H20" s="2">
        <v>41785</v>
      </c>
      <c r="I20" s="4">
        <v>0.76950600000000002</v>
      </c>
      <c r="J20" s="29">
        <f t="shared" si="0"/>
        <v>0.67158150000000005</v>
      </c>
      <c r="K20" s="16">
        <f t="shared" si="1"/>
        <v>162.5</v>
      </c>
      <c r="L20" s="17">
        <f t="shared" si="2"/>
        <v>160</v>
      </c>
      <c r="M20" s="17">
        <f t="shared" si="3"/>
        <v>-2.5</v>
      </c>
    </row>
    <row r="21" spans="1:13" ht="14.25" x14ac:dyDescent="0.15">
      <c r="A21" s="6">
        <v>20</v>
      </c>
      <c r="B21" s="1" t="s">
        <v>10</v>
      </c>
      <c r="C21" s="1" t="s">
        <v>11</v>
      </c>
      <c r="D21" s="1" t="s">
        <v>12</v>
      </c>
      <c r="E21" s="16">
        <f>VLOOKUP(C21,收费标准!A$3:B$5,2,FALSE)</f>
        <v>2</v>
      </c>
      <c r="F21" s="2">
        <v>41785</v>
      </c>
      <c r="G21" s="4">
        <v>0.1173705</v>
      </c>
      <c r="H21" s="2">
        <v>41785</v>
      </c>
      <c r="I21" s="4">
        <v>0.52156950000000002</v>
      </c>
      <c r="J21" s="29">
        <f t="shared" si="0"/>
        <v>0.40419900000000003</v>
      </c>
      <c r="K21" s="16">
        <f t="shared" si="1"/>
        <v>78</v>
      </c>
      <c r="L21" s="17">
        <f t="shared" si="2"/>
        <v>76</v>
      </c>
      <c r="M21" s="17">
        <f t="shared" si="3"/>
        <v>-2</v>
      </c>
    </row>
    <row r="22" spans="1:13" ht="14.25" x14ac:dyDescent="0.15">
      <c r="A22" s="6">
        <v>21</v>
      </c>
      <c r="B22" s="1" t="s">
        <v>21</v>
      </c>
      <c r="C22" s="1" t="s">
        <v>14</v>
      </c>
      <c r="D22" s="1" t="s">
        <v>22</v>
      </c>
      <c r="E22" s="16">
        <f>VLOOKUP(C22,收费标准!A$3:B$5,2,FALSE)</f>
        <v>1.5</v>
      </c>
      <c r="F22" s="2">
        <v>41785</v>
      </c>
      <c r="G22" s="4">
        <v>0.1534845</v>
      </c>
      <c r="H22" s="2">
        <v>41785</v>
      </c>
      <c r="I22" s="4">
        <v>0.84173399999999998</v>
      </c>
      <c r="J22" s="29">
        <f t="shared" si="0"/>
        <v>0.68824949999999996</v>
      </c>
      <c r="K22" s="16">
        <f t="shared" si="1"/>
        <v>100.5</v>
      </c>
      <c r="L22" s="17">
        <f t="shared" si="2"/>
        <v>99</v>
      </c>
      <c r="M22" s="17">
        <f t="shared" si="3"/>
        <v>-1.5</v>
      </c>
    </row>
    <row r="23" spans="1:13" ht="14.25" x14ac:dyDescent="0.15">
      <c r="A23" s="6">
        <v>22</v>
      </c>
      <c r="B23" s="1" t="s">
        <v>99</v>
      </c>
      <c r="C23" s="1" t="s">
        <v>11</v>
      </c>
      <c r="D23" s="1" t="s">
        <v>12</v>
      </c>
      <c r="E23" s="16">
        <f>VLOOKUP(C23,收费标准!A$3:B$5,2,FALSE)</f>
        <v>2</v>
      </c>
      <c r="F23" s="2">
        <v>41785</v>
      </c>
      <c r="G23" s="4">
        <v>0.1604295</v>
      </c>
      <c r="H23" s="2">
        <v>41785</v>
      </c>
      <c r="I23" s="4">
        <v>0.74519849999999999</v>
      </c>
      <c r="J23" s="29">
        <f t="shared" si="0"/>
        <v>0.58476899999999998</v>
      </c>
      <c r="K23" s="16">
        <f t="shared" si="1"/>
        <v>114</v>
      </c>
      <c r="L23" s="17">
        <f t="shared" si="2"/>
        <v>112</v>
      </c>
      <c r="M23" s="17">
        <f t="shared" si="3"/>
        <v>-2</v>
      </c>
    </row>
    <row r="24" spans="1:13" ht="14.25" x14ac:dyDescent="0.15">
      <c r="A24" s="6">
        <v>23</v>
      </c>
      <c r="B24" s="1" t="s">
        <v>47</v>
      </c>
      <c r="C24" s="1" t="s">
        <v>11</v>
      </c>
      <c r="D24" s="1" t="s">
        <v>17</v>
      </c>
      <c r="E24" s="16">
        <f>VLOOKUP(C24,收费标准!A$3:B$5,2,FALSE)</f>
        <v>2</v>
      </c>
      <c r="F24" s="2">
        <v>41785</v>
      </c>
      <c r="G24" s="4">
        <v>0.18057000000000001</v>
      </c>
      <c r="H24" s="2">
        <v>41785</v>
      </c>
      <c r="I24" s="4">
        <v>0.741726</v>
      </c>
      <c r="J24" s="29">
        <f t="shared" si="0"/>
        <v>0.56115599999999999</v>
      </c>
      <c r="K24" s="16">
        <f t="shared" si="1"/>
        <v>108</v>
      </c>
      <c r="L24" s="17">
        <f t="shared" si="2"/>
        <v>106</v>
      </c>
      <c r="M24" s="17">
        <f t="shared" si="3"/>
        <v>-2</v>
      </c>
    </row>
    <row r="25" spans="1:13" ht="14.25" x14ac:dyDescent="0.15">
      <c r="A25" s="6">
        <v>24</v>
      </c>
      <c r="B25" s="1" t="s">
        <v>44</v>
      </c>
      <c r="C25" s="1" t="s">
        <v>14</v>
      </c>
      <c r="D25" s="1" t="s">
        <v>17</v>
      </c>
      <c r="E25" s="16">
        <f>VLOOKUP(C25,收费标准!A$3:B$5,2,FALSE)</f>
        <v>1.5</v>
      </c>
      <c r="F25" s="2">
        <v>41785</v>
      </c>
      <c r="G25" s="4">
        <v>0.20835000000000001</v>
      </c>
      <c r="H25" s="2">
        <v>41785</v>
      </c>
      <c r="I25" s="4">
        <v>0.56601750000000006</v>
      </c>
      <c r="J25" s="29">
        <f t="shared" si="0"/>
        <v>0.35766750000000003</v>
      </c>
      <c r="K25" s="16">
        <f t="shared" si="1"/>
        <v>52.5</v>
      </c>
      <c r="L25" s="17">
        <f t="shared" si="2"/>
        <v>51</v>
      </c>
      <c r="M25" s="17">
        <f t="shared" si="3"/>
        <v>-1.5</v>
      </c>
    </row>
    <row r="26" spans="1:13" ht="14.25" x14ac:dyDescent="0.15">
      <c r="A26" s="6">
        <v>25</v>
      </c>
      <c r="B26" s="1" t="s">
        <v>84</v>
      </c>
      <c r="C26" s="1" t="s">
        <v>14</v>
      </c>
      <c r="D26" s="1" t="s">
        <v>22</v>
      </c>
      <c r="E26" s="16">
        <f>VLOOKUP(C26,收费标准!A$3:B$5,2,FALSE)</f>
        <v>1.5</v>
      </c>
      <c r="F26" s="2">
        <v>41785</v>
      </c>
      <c r="G26" s="4">
        <v>0.22362899999999999</v>
      </c>
      <c r="H26" s="2">
        <v>41785</v>
      </c>
      <c r="I26" s="4">
        <v>0.41670000000000001</v>
      </c>
      <c r="J26" s="29">
        <f t="shared" si="0"/>
        <v>0.19307100000000002</v>
      </c>
      <c r="K26" s="16">
        <f t="shared" si="1"/>
        <v>28.5</v>
      </c>
      <c r="L26" s="17">
        <f t="shared" si="2"/>
        <v>27</v>
      </c>
      <c r="M26" s="17">
        <f t="shared" si="3"/>
        <v>-1.5</v>
      </c>
    </row>
    <row r="27" spans="1:13" ht="14.25" x14ac:dyDescent="0.15">
      <c r="A27" s="6">
        <v>26</v>
      </c>
      <c r="B27" s="1" t="s">
        <v>52</v>
      </c>
      <c r="C27" s="1" t="s">
        <v>26</v>
      </c>
      <c r="D27" s="1" t="s">
        <v>12</v>
      </c>
      <c r="E27" s="16">
        <f>VLOOKUP(C27,收费标准!A$3:B$5,2,FALSE)</f>
        <v>2.5</v>
      </c>
      <c r="F27" s="2">
        <v>41785</v>
      </c>
      <c r="G27" s="4">
        <v>0.24863100000000002</v>
      </c>
      <c r="H27" s="2">
        <v>41785</v>
      </c>
      <c r="I27" s="4">
        <v>0.28057799999999999</v>
      </c>
      <c r="J27" s="29">
        <f t="shared" si="0"/>
        <v>3.1946999999999975E-2</v>
      </c>
      <c r="K27" s="16">
        <f t="shared" si="1"/>
        <v>10</v>
      </c>
      <c r="L27" s="17">
        <f t="shared" si="2"/>
        <v>7.5</v>
      </c>
      <c r="M27" s="17">
        <f t="shared" si="3"/>
        <v>-2.5</v>
      </c>
    </row>
    <row r="28" spans="1:13" ht="14.25" x14ac:dyDescent="0.15">
      <c r="A28" s="6">
        <v>27</v>
      </c>
      <c r="B28" s="1" t="s">
        <v>65</v>
      </c>
      <c r="C28" s="1" t="s">
        <v>26</v>
      </c>
      <c r="D28" s="1" t="s">
        <v>17</v>
      </c>
      <c r="E28" s="16">
        <f>VLOOKUP(C28,收费标准!A$3:B$5,2,FALSE)</f>
        <v>2.5</v>
      </c>
      <c r="F28" s="2">
        <v>41785</v>
      </c>
      <c r="G28" s="4">
        <v>0.24863100000000002</v>
      </c>
      <c r="H28" s="2">
        <v>41785</v>
      </c>
      <c r="I28" s="4">
        <v>0.29446800000000001</v>
      </c>
      <c r="J28" s="29">
        <f t="shared" si="0"/>
        <v>4.5836999999999989E-2</v>
      </c>
      <c r="K28" s="16">
        <f t="shared" si="1"/>
        <v>12.5</v>
      </c>
      <c r="L28" s="17">
        <f t="shared" si="2"/>
        <v>10</v>
      </c>
      <c r="M28" s="17">
        <f t="shared" si="3"/>
        <v>-2.5</v>
      </c>
    </row>
    <row r="29" spans="1:13" ht="14.25" x14ac:dyDescent="0.15">
      <c r="A29" s="6">
        <v>28</v>
      </c>
      <c r="B29" s="1" t="s">
        <v>87</v>
      </c>
      <c r="C29" s="1" t="s">
        <v>11</v>
      </c>
      <c r="D29" s="1" t="s">
        <v>12</v>
      </c>
      <c r="E29" s="16">
        <f>VLOOKUP(C29,收费标准!A$3:B$5,2,FALSE)</f>
        <v>2</v>
      </c>
      <c r="F29" s="2">
        <v>41785</v>
      </c>
      <c r="G29" s="4">
        <v>0.25002000000000002</v>
      </c>
      <c r="H29" s="2">
        <v>41785</v>
      </c>
      <c r="I29" s="4">
        <v>0.47503800000000002</v>
      </c>
      <c r="J29" s="29">
        <f t="shared" si="0"/>
        <v>0.225018</v>
      </c>
      <c r="K29" s="16">
        <f t="shared" si="1"/>
        <v>44</v>
      </c>
      <c r="L29" s="17">
        <f t="shared" si="2"/>
        <v>42</v>
      </c>
      <c r="M29" s="17">
        <f t="shared" si="3"/>
        <v>-2</v>
      </c>
    </row>
    <row r="30" spans="1:13" ht="14.25" x14ac:dyDescent="0.15">
      <c r="A30" s="6">
        <v>29</v>
      </c>
      <c r="B30" s="1" t="s">
        <v>113</v>
      </c>
      <c r="C30" s="1" t="s">
        <v>26</v>
      </c>
      <c r="D30" s="1" t="s">
        <v>17</v>
      </c>
      <c r="E30" s="16">
        <f>VLOOKUP(C30,收费标准!A$3:B$5,2,FALSE)</f>
        <v>2.5</v>
      </c>
      <c r="F30" s="2">
        <v>41785</v>
      </c>
      <c r="G30" s="4">
        <v>0.25349250000000001</v>
      </c>
      <c r="H30" s="2">
        <v>41786</v>
      </c>
      <c r="I30" s="4">
        <v>0.26391000000000003</v>
      </c>
      <c r="J30" s="29">
        <f t="shared" si="0"/>
        <v>1.0104175</v>
      </c>
      <c r="K30" s="16">
        <f t="shared" si="1"/>
        <v>245</v>
      </c>
      <c r="L30" s="17">
        <f t="shared" si="2"/>
        <v>242.5</v>
      </c>
      <c r="M30" s="17">
        <f t="shared" si="3"/>
        <v>-2.5</v>
      </c>
    </row>
    <row r="31" spans="1:13" ht="14.25" x14ac:dyDescent="0.15">
      <c r="A31" s="6">
        <v>30</v>
      </c>
      <c r="B31" s="1" t="s">
        <v>34</v>
      </c>
      <c r="C31" s="1" t="s">
        <v>11</v>
      </c>
      <c r="D31" s="1" t="s">
        <v>17</v>
      </c>
      <c r="E31" s="16">
        <f>VLOOKUP(C31,收费标准!A$3:B$5,2,FALSE)</f>
        <v>2</v>
      </c>
      <c r="F31" s="2">
        <v>41785</v>
      </c>
      <c r="G31" s="4">
        <v>0.26182650000000002</v>
      </c>
      <c r="H31" s="2">
        <v>41785</v>
      </c>
      <c r="I31" s="4">
        <v>0.60282599999999997</v>
      </c>
      <c r="J31" s="29">
        <f t="shared" si="0"/>
        <v>0.34099949999999996</v>
      </c>
      <c r="K31" s="16">
        <f t="shared" si="1"/>
        <v>66</v>
      </c>
      <c r="L31" s="17">
        <f t="shared" si="2"/>
        <v>64</v>
      </c>
      <c r="M31" s="17">
        <f t="shared" si="3"/>
        <v>-2</v>
      </c>
    </row>
    <row r="32" spans="1:13" ht="14.25" x14ac:dyDescent="0.15">
      <c r="A32" s="6">
        <v>31</v>
      </c>
      <c r="B32" s="1" t="s">
        <v>104</v>
      </c>
      <c r="C32" s="1" t="s">
        <v>26</v>
      </c>
      <c r="D32" s="1" t="s">
        <v>22</v>
      </c>
      <c r="E32" s="16">
        <f>VLOOKUP(C32,收费标准!A$3:B$5,2,FALSE)</f>
        <v>2.5</v>
      </c>
      <c r="F32" s="2">
        <v>41785</v>
      </c>
      <c r="G32" s="4">
        <v>0.26529900000000001</v>
      </c>
      <c r="H32" s="2">
        <v>41785</v>
      </c>
      <c r="I32" s="4">
        <v>0.67783199999999999</v>
      </c>
      <c r="J32" s="29">
        <f t="shared" si="0"/>
        <v>0.41253299999999998</v>
      </c>
      <c r="K32" s="16">
        <f t="shared" si="1"/>
        <v>100</v>
      </c>
      <c r="L32" s="17">
        <f t="shared" si="2"/>
        <v>97.5</v>
      </c>
      <c r="M32" s="17">
        <f t="shared" si="3"/>
        <v>-2.5</v>
      </c>
    </row>
    <row r="33" spans="1:13" ht="14.25" x14ac:dyDescent="0.15">
      <c r="A33" s="6">
        <v>32</v>
      </c>
      <c r="B33" s="1" t="s">
        <v>82</v>
      </c>
      <c r="C33" s="1" t="s">
        <v>14</v>
      </c>
      <c r="D33" s="1" t="s">
        <v>12</v>
      </c>
      <c r="E33" s="16">
        <f>VLOOKUP(C33,收费标准!A$3:B$5,2,FALSE)</f>
        <v>1.5</v>
      </c>
      <c r="F33" s="2">
        <v>41785</v>
      </c>
      <c r="G33" s="4">
        <v>0.26738250000000002</v>
      </c>
      <c r="H33" s="2">
        <v>41785</v>
      </c>
      <c r="I33" s="4">
        <v>0.91257300000000008</v>
      </c>
      <c r="J33" s="29">
        <f t="shared" si="0"/>
        <v>0.6451905</v>
      </c>
      <c r="K33" s="16">
        <f t="shared" si="1"/>
        <v>93</v>
      </c>
      <c r="L33" s="17">
        <f t="shared" si="2"/>
        <v>91.5</v>
      </c>
      <c r="M33" s="17">
        <f t="shared" si="3"/>
        <v>-1.5</v>
      </c>
    </row>
    <row r="34" spans="1:13" ht="14.25" x14ac:dyDescent="0.15">
      <c r="A34" s="6">
        <v>33</v>
      </c>
      <c r="B34" s="1" t="s">
        <v>91</v>
      </c>
      <c r="C34" s="1" t="s">
        <v>26</v>
      </c>
      <c r="D34" s="1" t="s">
        <v>22</v>
      </c>
      <c r="E34" s="16">
        <f>VLOOKUP(C34,收费标准!A$3:B$5,2,FALSE)</f>
        <v>2.5</v>
      </c>
      <c r="F34" s="2">
        <v>41785</v>
      </c>
      <c r="G34" s="4">
        <v>0.26946599999999998</v>
      </c>
      <c r="H34" s="2">
        <v>41785</v>
      </c>
      <c r="I34" s="4">
        <v>0.62574450000000004</v>
      </c>
      <c r="J34" s="29">
        <f t="shared" si="0"/>
        <v>0.35627850000000005</v>
      </c>
      <c r="K34" s="16">
        <f t="shared" si="1"/>
        <v>87.5</v>
      </c>
      <c r="L34" s="17">
        <f t="shared" si="2"/>
        <v>85</v>
      </c>
      <c r="M34" s="17">
        <f t="shared" si="3"/>
        <v>-2.5</v>
      </c>
    </row>
    <row r="35" spans="1:13" ht="14.25" x14ac:dyDescent="0.15">
      <c r="A35" s="6">
        <v>34</v>
      </c>
      <c r="B35" s="1" t="s">
        <v>106</v>
      </c>
      <c r="C35" s="1" t="s">
        <v>11</v>
      </c>
      <c r="D35" s="1" t="s">
        <v>15</v>
      </c>
      <c r="E35" s="16">
        <f>VLOOKUP(C35,收费标准!A$3:B$5,2,FALSE)</f>
        <v>2</v>
      </c>
      <c r="F35" s="2">
        <v>41785</v>
      </c>
      <c r="G35" s="4">
        <v>0.29585700000000004</v>
      </c>
      <c r="H35" s="2">
        <v>41785</v>
      </c>
      <c r="I35" s="4">
        <v>0.64866299999999999</v>
      </c>
      <c r="J35" s="29">
        <f t="shared" si="0"/>
        <v>0.35280599999999995</v>
      </c>
      <c r="K35" s="16">
        <f t="shared" si="1"/>
        <v>68</v>
      </c>
      <c r="L35" s="17">
        <f t="shared" si="2"/>
        <v>66</v>
      </c>
      <c r="M35" s="17">
        <f t="shared" si="3"/>
        <v>-2</v>
      </c>
    </row>
    <row r="36" spans="1:13" ht="14.25" x14ac:dyDescent="0.15">
      <c r="A36" s="6">
        <v>35</v>
      </c>
      <c r="B36" s="1" t="s">
        <v>71</v>
      </c>
      <c r="C36" s="1" t="s">
        <v>14</v>
      </c>
      <c r="D36" s="1" t="s">
        <v>17</v>
      </c>
      <c r="E36" s="16">
        <f>VLOOKUP(C36,收费标准!A$3:B$5,2,FALSE)</f>
        <v>1.5</v>
      </c>
      <c r="F36" s="2">
        <v>41785</v>
      </c>
      <c r="G36" s="4">
        <v>0.30835800000000002</v>
      </c>
      <c r="H36" s="2">
        <v>41785</v>
      </c>
      <c r="I36" s="4">
        <v>0.94660350000000004</v>
      </c>
      <c r="J36" s="29">
        <f t="shared" si="0"/>
        <v>0.63824550000000002</v>
      </c>
      <c r="K36" s="16">
        <f t="shared" si="1"/>
        <v>93</v>
      </c>
      <c r="L36" s="17">
        <f t="shared" si="2"/>
        <v>91.5</v>
      </c>
      <c r="M36" s="17">
        <f t="shared" si="3"/>
        <v>-1.5</v>
      </c>
    </row>
    <row r="37" spans="1:13" ht="14.25" x14ac:dyDescent="0.15">
      <c r="A37" s="6">
        <v>36</v>
      </c>
      <c r="B37" s="1" t="s">
        <v>48</v>
      </c>
      <c r="C37" s="1" t="s">
        <v>26</v>
      </c>
      <c r="D37" s="1" t="s">
        <v>15</v>
      </c>
      <c r="E37" s="16">
        <f>VLOOKUP(C37,收费标准!A$3:B$5,2,FALSE)</f>
        <v>2.5</v>
      </c>
      <c r="F37" s="2">
        <v>41785</v>
      </c>
      <c r="G37" s="4">
        <v>0.31321949999999998</v>
      </c>
      <c r="H37" s="2">
        <v>41785</v>
      </c>
      <c r="I37" s="4">
        <v>0.338916</v>
      </c>
      <c r="J37" s="29">
        <f t="shared" si="0"/>
        <v>2.5696500000000011E-2</v>
      </c>
      <c r="K37" s="16">
        <f t="shared" si="1"/>
        <v>7.5</v>
      </c>
      <c r="L37" s="17">
        <f t="shared" si="2"/>
        <v>5</v>
      </c>
      <c r="M37" s="17">
        <f t="shared" si="3"/>
        <v>-2.5</v>
      </c>
    </row>
    <row r="38" spans="1:13" ht="14.25" x14ac:dyDescent="0.15">
      <c r="A38" s="6">
        <v>37</v>
      </c>
      <c r="B38" s="1" t="s">
        <v>107</v>
      </c>
      <c r="C38" s="1" t="s">
        <v>11</v>
      </c>
      <c r="D38" s="1" t="s">
        <v>15</v>
      </c>
      <c r="E38" s="16">
        <f>VLOOKUP(C38,收费标准!A$3:B$5,2,FALSE)</f>
        <v>2</v>
      </c>
      <c r="F38" s="2">
        <v>41785</v>
      </c>
      <c r="G38" s="4">
        <v>0.31321949999999998</v>
      </c>
      <c r="H38" s="2">
        <v>41785</v>
      </c>
      <c r="I38" s="4">
        <v>0.893127</v>
      </c>
      <c r="J38" s="29">
        <f t="shared" si="0"/>
        <v>0.57990750000000002</v>
      </c>
      <c r="K38" s="16">
        <f t="shared" si="1"/>
        <v>112</v>
      </c>
      <c r="L38" s="17">
        <f t="shared" si="2"/>
        <v>110</v>
      </c>
      <c r="M38" s="17">
        <f t="shared" si="3"/>
        <v>-2</v>
      </c>
    </row>
    <row r="39" spans="1:13" ht="14.25" x14ac:dyDescent="0.15">
      <c r="A39" s="6">
        <v>38</v>
      </c>
      <c r="B39" s="1" t="s">
        <v>32</v>
      </c>
      <c r="C39" s="1" t="s">
        <v>11</v>
      </c>
      <c r="D39" s="1" t="s">
        <v>15</v>
      </c>
      <c r="E39" s="16">
        <f>VLOOKUP(C39,收费标准!A$3:B$5,2,FALSE)</f>
        <v>2</v>
      </c>
      <c r="F39" s="2">
        <v>41785</v>
      </c>
      <c r="G39" s="4">
        <v>0.32224800000000003</v>
      </c>
      <c r="H39" s="2">
        <v>41785</v>
      </c>
      <c r="I39" s="4">
        <v>0.69519450000000005</v>
      </c>
      <c r="J39" s="29">
        <f t="shared" si="0"/>
        <v>0.37294650000000001</v>
      </c>
      <c r="K39" s="16">
        <f t="shared" si="1"/>
        <v>72</v>
      </c>
      <c r="L39" s="17">
        <f t="shared" si="2"/>
        <v>70</v>
      </c>
      <c r="M39" s="17">
        <f t="shared" si="3"/>
        <v>-2</v>
      </c>
    </row>
    <row r="40" spans="1:13" ht="14.25" x14ac:dyDescent="0.15">
      <c r="A40" s="6">
        <v>39</v>
      </c>
      <c r="B40" s="1" t="s">
        <v>39</v>
      </c>
      <c r="C40" s="1" t="s">
        <v>11</v>
      </c>
      <c r="D40" s="1" t="s">
        <v>15</v>
      </c>
      <c r="E40" s="16">
        <f>VLOOKUP(C40,收费标准!A$3:B$5,2,FALSE)</f>
        <v>2</v>
      </c>
      <c r="F40" s="2">
        <v>41785</v>
      </c>
      <c r="G40" s="4">
        <v>0.32363700000000001</v>
      </c>
      <c r="H40" s="2">
        <v>41785</v>
      </c>
      <c r="I40" s="4">
        <v>0.44447999999999999</v>
      </c>
      <c r="J40" s="29">
        <f t="shared" si="0"/>
        <v>0.12084299999999998</v>
      </c>
      <c r="K40" s="16">
        <f t="shared" si="1"/>
        <v>24</v>
      </c>
      <c r="L40" s="17">
        <f t="shared" si="2"/>
        <v>22</v>
      </c>
      <c r="M40" s="17">
        <f t="shared" si="3"/>
        <v>-2</v>
      </c>
    </row>
    <row r="41" spans="1:13" ht="14.25" x14ac:dyDescent="0.15">
      <c r="A41" s="6">
        <v>40</v>
      </c>
      <c r="B41" s="1" t="s">
        <v>66</v>
      </c>
      <c r="C41" s="1" t="s">
        <v>14</v>
      </c>
      <c r="D41" s="1" t="s">
        <v>22</v>
      </c>
      <c r="E41" s="16">
        <f>VLOOKUP(C41,收费标准!A$3:B$5,2,FALSE)</f>
        <v>1.5</v>
      </c>
      <c r="F41" s="2">
        <v>41785</v>
      </c>
      <c r="G41" s="4">
        <v>0.3590565</v>
      </c>
      <c r="H41" s="2">
        <v>41785</v>
      </c>
      <c r="I41" s="4">
        <v>0.55907249999999997</v>
      </c>
      <c r="J41" s="29">
        <f t="shared" si="0"/>
        <v>0.20001599999999997</v>
      </c>
      <c r="K41" s="16">
        <f t="shared" si="1"/>
        <v>30</v>
      </c>
      <c r="L41" s="17">
        <f t="shared" si="2"/>
        <v>28.5</v>
      </c>
      <c r="M41" s="17">
        <f t="shared" si="3"/>
        <v>-1.5</v>
      </c>
    </row>
    <row r="42" spans="1:13" ht="14.25" x14ac:dyDescent="0.15">
      <c r="A42" s="6">
        <v>41</v>
      </c>
      <c r="B42" s="1" t="s">
        <v>41</v>
      </c>
      <c r="C42" s="1" t="s">
        <v>26</v>
      </c>
      <c r="D42" s="1" t="s">
        <v>22</v>
      </c>
      <c r="E42" s="16">
        <f>VLOOKUP(C42,收费标准!A$3:B$5,2,FALSE)</f>
        <v>2.5</v>
      </c>
      <c r="F42" s="2">
        <v>41785</v>
      </c>
      <c r="G42" s="4">
        <v>0.39517050000000004</v>
      </c>
      <c r="H42" s="2">
        <v>41785</v>
      </c>
      <c r="I42" s="4">
        <v>0.52156950000000002</v>
      </c>
      <c r="J42" s="29">
        <f t="shared" si="0"/>
        <v>0.12639899999999998</v>
      </c>
      <c r="K42" s="16">
        <f t="shared" si="1"/>
        <v>32.5</v>
      </c>
      <c r="L42" s="17">
        <f t="shared" si="2"/>
        <v>30</v>
      </c>
      <c r="M42" s="17">
        <f t="shared" si="3"/>
        <v>-2.5</v>
      </c>
    </row>
    <row r="43" spans="1:13" ht="14.25" x14ac:dyDescent="0.15">
      <c r="A43" s="6">
        <v>42</v>
      </c>
      <c r="B43" s="1" t="s">
        <v>68</v>
      </c>
      <c r="C43" s="1" t="s">
        <v>14</v>
      </c>
      <c r="D43" s="1" t="s">
        <v>17</v>
      </c>
      <c r="E43" s="16">
        <f>VLOOKUP(C43,收费标准!A$3:B$5,2,FALSE)</f>
        <v>1.5</v>
      </c>
      <c r="F43" s="2">
        <v>41785</v>
      </c>
      <c r="G43" s="4">
        <v>0.39586500000000002</v>
      </c>
      <c r="H43" s="2">
        <v>41785</v>
      </c>
      <c r="I43" s="4">
        <v>0.7035285</v>
      </c>
      <c r="J43" s="29">
        <f t="shared" si="0"/>
        <v>0.30766349999999998</v>
      </c>
      <c r="K43" s="16">
        <f t="shared" si="1"/>
        <v>45</v>
      </c>
      <c r="L43" s="17">
        <f t="shared" si="2"/>
        <v>43.5</v>
      </c>
      <c r="M43" s="17">
        <f t="shared" si="3"/>
        <v>-1.5</v>
      </c>
    </row>
    <row r="44" spans="1:13" ht="14.25" x14ac:dyDescent="0.15">
      <c r="A44" s="6">
        <v>43</v>
      </c>
      <c r="B44" s="1" t="s">
        <v>90</v>
      </c>
      <c r="C44" s="1" t="s">
        <v>11</v>
      </c>
      <c r="D44" s="1" t="s">
        <v>12</v>
      </c>
      <c r="E44" s="16">
        <f>VLOOKUP(C44,收费标准!A$3:B$5,2,FALSE)</f>
        <v>2</v>
      </c>
      <c r="F44" s="2">
        <v>41785</v>
      </c>
      <c r="G44" s="4">
        <v>0.39655950000000001</v>
      </c>
      <c r="H44" s="2">
        <v>41785</v>
      </c>
      <c r="I44" s="4">
        <v>0.688944</v>
      </c>
      <c r="J44" s="29">
        <f t="shared" si="0"/>
        <v>0.29238449999999999</v>
      </c>
      <c r="K44" s="16">
        <f t="shared" si="1"/>
        <v>58</v>
      </c>
      <c r="L44" s="17">
        <f t="shared" si="2"/>
        <v>56</v>
      </c>
      <c r="M44" s="17">
        <f t="shared" si="3"/>
        <v>-2</v>
      </c>
    </row>
    <row r="45" spans="1:13" ht="14.25" x14ac:dyDescent="0.15">
      <c r="A45" s="6">
        <v>44</v>
      </c>
      <c r="B45" s="1" t="s">
        <v>85</v>
      </c>
      <c r="C45" s="1" t="s">
        <v>11</v>
      </c>
      <c r="D45" s="1" t="s">
        <v>15</v>
      </c>
      <c r="E45" s="16">
        <f>VLOOKUP(C45,收费标准!A$3:B$5,2,FALSE)</f>
        <v>2</v>
      </c>
      <c r="F45" s="2">
        <v>41785</v>
      </c>
      <c r="G45" s="4">
        <v>0.39655950000000001</v>
      </c>
      <c r="H45" s="2">
        <v>41785</v>
      </c>
      <c r="I45" s="4">
        <v>0.8493735</v>
      </c>
      <c r="J45" s="29">
        <f t="shared" si="0"/>
        <v>0.45281399999999999</v>
      </c>
      <c r="K45" s="16">
        <f t="shared" si="1"/>
        <v>88</v>
      </c>
      <c r="L45" s="17">
        <f t="shared" si="2"/>
        <v>86</v>
      </c>
      <c r="M45" s="17">
        <f t="shared" si="3"/>
        <v>-2</v>
      </c>
    </row>
    <row r="46" spans="1:13" ht="14.25" x14ac:dyDescent="0.15">
      <c r="A46" s="6">
        <v>45</v>
      </c>
      <c r="B46" s="1" t="s">
        <v>69</v>
      </c>
      <c r="C46" s="1" t="s">
        <v>14</v>
      </c>
      <c r="D46" s="1" t="s">
        <v>17</v>
      </c>
      <c r="E46" s="16">
        <f>VLOOKUP(C46,收费标准!A$3:B$5,2,FALSE)</f>
        <v>1.5</v>
      </c>
      <c r="F46" s="2">
        <v>41785</v>
      </c>
      <c r="G46" s="4">
        <v>0.42086699999999999</v>
      </c>
      <c r="H46" s="2">
        <v>41785</v>
      </c>
      <c r="I46" s="4">
        <v>0.52018050000000005</v>
      </c>
      <c r="J46" s="29">
        <f t="shared" si="0"/>
        <v>9.9313500000000055E-2</v>
      </c>
      <c r="K46" s="16">
        <f t="shared" si="1"/>
        <v>15</v>
      </c>
      <c r="L46" s="17">
        <f t="shared" si="2"/>
        <v>13.5</v>
      </c>
      <c r="M46" s="17">
        <f t="shared" si="3"/>
        <v>-1.5</v>
      </c>
    </row>
    <row r="47" spans="1:13" ht="14.25" x14ac:dyDescent="0.15">
      <c r="A47" s="6">
        <v>46</v>
      </c>
      <c r="B47" s="1" t="s">
        <v>42</v>
      </c>
      <c r="C47" s="1" t="s">
        <v>26</v>
      </c>
      <c r="D47" s="1" t="s">
        <v>12</v>
      </c>
      <c r="E47" s="16">
        <f>VLOOKUP(C47,收费标准!A$3:B$5,2,FALSE)</f>
        <v>2.5</v>
      </c>
      <c r="F47" s="2">
        <v>41785</v>
      </c>
      <c r="G47" s="4">
        <v>0.42364499999999999</v>
      </c>
      <c r="H47" s="2">
        <v>41785</v>
      </c>
      <c r="I47" s="4">
        <v>0.89521050000000002</v>
      </c>
      <c r="J47" s="29">
        <f t="shared" si="0"/>
        <v>0.47156550000000003</v>
      </c>
      <c r="K47" s="16">
        <f t="shared" si="1"/>
        <v>115</v>
      </c>
      <c r="L47" s="17">
        <f t="shared" si="2"/>
        <v>112.5</v>
      </c>
      <c r="M47" s="17">
        <f t="shared" si="3"/>
        <v>-2.5</v>
      </c>
    </row>
    <row r="48" spans="1:13" ht="14.25" x14ac:dyDescent="0.15">
      <c r="A48" s="6">
        <v>47</v>
      </c>
      <c r="B48" s="1" t="s">
        <v>64</v>
      </c>
      <c r="C48" s="1" t="s">
        <v>14</v>
      </c>
      <c r="D48" s="1" t="s">
        <v>15</v>
      </c>
      <c r="E48" s="16">
        <f>VLOOKUP(C48,收费标准!A$3:B$5,2,FALSE)</f>
        <v>1.5</v>
      </c>
      <c r="F48" s="2">
        <v>41785</v>
      </c>
      <c r="G48" s="4">
        <v>0.4465635</v>
      </c>
      <c r="H48" s="2">
        <v>41785</v>
      </c>
      <c r="I48" s="4">
        <v>0.74242050000000004</v>
      </c>
      <c r="J48" s="29">
        <f t="shared" si="0"/>
        <v>0.29585700000000004</v>
      </c>
      <c r="K48" s="16">
        <f t="shared" si="1"/>
        <v>43.5</v>
      </c>
      <c r="L48" s="17">
        <f t="shared" si="2"/>
        <v>42</v>
      </c>
      <c r="M48" s="17">
        <f t="shared" si="3"/>
        <v>-1.5</v>
      </c>
    </row>
    <row r="49" spans="1:13" ht="14.25" x14ac:dyDescent="0.15">
      <c r="A49" s="6">
        <v>48</v>
      </c>
      <c r="B49" s="1" t="s">
        <v>13</v>
      </c>
      <c r="C49" s="1" t="s">
        <v>14</v>
      </c>
      <c r="D49" s="1" t="s">
        <v>15</v>
      </c>
      <c r="E49" s="16">
        <f>VLOOKUP(C49,收费标准!A$3:B$5,2,FALSE)</f>
        <v>1.5</v>
      </c>
      <c r="F49" s="2">
        <v>41785</v>
      </c>
      <c r="G49" s="4">
        <v>0.45003599999999999</v>
      </c>
      <c r="H49" s="2">
        <v>41785</v>
      </c>
      <c r="I49" s="4">
        <v>0.69936149999999997</v>
      </c>
      <c r="J49" s="29">
        <f t="shared" si="0"/>
        <v>0.24932549999999998</v>
      </c>
      <c r="K49" s="16">
        <f t="shared" si="1"/>
        <v>36</v>
      </c>
      <c r="L49" s="17">
        <f t="shared" si="2"/>
        <v>34.5</v>
      </c>
      <c r="M49" s="17">
        <f t="shared" si="3"/>
        <v>-1.5</v>
      </c>
    </row>
    <row r="50" spans="1:13" ht="14.25" x14ac:dyDescent="0.15">
      <c r="A50" s="6">
        <v>49</v>
      </c>
      <c r="B50" s="1" t="s">
        <v>81</v>
      </c>
      <c r="C50" s="1" t="s">
        <v>11</v>
      </c>
      <c r="D50" s="1" t="s">
        <v>22</v>
      </c>
      <c r="E50" s="16">
        <f>VLOOKUP(C50,收费标准!A$3:B$5,2,FALSE)</f>
        <v>2</v>
      </c>
      <c r="F50" s="2">
        <v>41785</v>
      </c>
      <c r="G50" s="4">
        <v>0.45142500000000002</v>
      </c>
      <c r="H50" s="2">
        <v>41785</v>
      </c>
      <c r="I50" s="4">
        <v>0.53337600000000007</v>
      </c>
      <c r="J50" s="29">
        <f t="shared" si="0"/>
        <v>8.1951000000000052E-2</v>
      </c>
      <c r="K50" s="16">
        <f t="shared" si="1"/>
        <v>16</v>
      </c>
      <c r="L50" s="17">
        <f t="shared" si="2"/>
        <v>14</v>
      </c>
      <c r="M50" s="17">
        <f t="shared" si="3"/>
        <v>-2</v>
      </c>
    </row>
    <row r="51" spans="1:13" ht="14.25" x14ac:dyDescent="0.15">
      <c r="A51" s="6">
        <v>50</v>
      </c>
      <c r="B51" s="1" t="s">
        <v>23</v>
      </c>
      <c r="C51" s="1" t="s">
        <v>14</v>
      </c>
      <c r="D51" s="1" t="s">
        <v>15</v>
      </c>
      <c r="E51" s="16">
        <f>VLOOKUP(C51,收费标准!A$3:B$5,2,FALSE)</f>
        <v>1.5</v>
      </c>
      <c r="F51" s="2">
        <v>41785</v>
      </c>
      <c r="G51" s="4">
        <v>0.4701765</v>
      </c>
      <c r="H51" s="2">
        <v>41785</v>
      </c>
      <c r="I51" s="4">
        <v>0.98619000000000001</v>
      </c>
      <c r="J51" s="29">
        <f t="shared" si="0"/>
        <v>0.51601350000000001</v>
      </c>
      <c r="K51" s="16">
        <f t="shared" si="1"/>
        <v>75</v>
      </c>
      <c r="L51" s="17">
        <f t="shared" si="2"/>
        <v>73.5</v>
      </c>
      <c r="M51" s="17">
        <f t="shared" si="3"/>
        <v>-1.5</v>
      </c>
    </row>
    <row r="52" spans="1:13" ht="14.25" x14ac:dyDescent="0.15">
      <c r="A52" s="6">
        <v>51</v>
      </c>
      <c r="B52" s="1" t="s">
        <v>93</v>
      </c>
      <c r="C52" s="1" t="s">
        <v>11</v>
      </c>
      <c r="D52" s="1" t="s">
        <v>22</v>
      </c>
      <c r="E52" s="16">
        <f>VLOOKUP(C52,收费标准!A$3:B$5,2,FALSE)</f>
        <v>2</v>
      </c>
      <c r="F52" s="2">
        <v>41785</v>
      </c>
      <c r="G52" s="4">
        <v>0.53268150000000003</v>
      </c>
      <c r="H52" s="2">
        <v>41785</v>
      </c>
      <c r="I52" s="4">
        <v>0.85492950000000001</v>
      </c>
      <c r="J52" s="29">
        <f t="shared" si="0"/>
        <v>0.32224799999999998</v>
      </c>
      <c r="K52" s="16">
        <f t="shared" si="1"/>
        <v>62</v>
      </c>
      <c r="L52" s="17">
        <f t="shared" si="2"/>
        <v>60</v>
      </c>
      <c r="M52" s="17">
        <f t="shared" si="3"/>
        <v>-2</v>
      </c>
    </row>
    <row r="53" spans="1:13" ht="14.25" x14ac:dyDescent="0.15">
      <c r="A53" s="6">
        <v>52</v>
      </c>
      <c r="B53" s="1" t="s">
        <v>111</v>
      </c>
      <c r="C53" s="1" t="s">
        <v>11</v>
      </c>
      <c r="D53" s="1" t="s">
        <v>15</v>
      </c>
      <c r="E53" s="16">
        <f>VLOOKUP(C53,收费标准!A$3:B$5,2,FALSE)</f>
        <v>2</v>
      </c>
      <c r="F53" s="2">
        <v>41785</v>
      </c>
      <c r="G53" s="4">
        <v>0.54032100000000005</v>
      </c>
      <c r="H53" s="2">
        <v>41785</v>
      </c>
      <c r="I53" s="4">
        <v>0.74450400000000005</v>
      </c>
      <c r="J53" s="29">
        <f t="shared" si="0"/>
        <v>0.204183</v>
      </c>
      <c r="K53" s="16">
        <f t="shared" si="1"/>
        <v>40</v>
      </c>
      <c r="L53" s="17">
        <f t="shared" si="2"/>
        <v>38</v>
      </c>
      <c r="M53" s="17">
        <f t="shared" si="3"/>
        <v>-2</v>
      </c>
    </row>
    <row r="54" spans="1:13" ht="14.25" x14ac:dyDescent="0.15">
      <c r="A54" s="6">
        <v>53</v>
      </c>
      <c r="B54" s="1" t="s">
        <v>115</v>
      </c>
      <c r="C54" s="1" t="s">
        <v>26</v>
      </c>
      <c r="D54" s="1" t="s">
        <v>12</v>
      </c>
      <c r="E54" s="16">
        <f>VLOOKUP(C54,收费标准!A$3:B$5,2,FALSE)</f>
        <v>2.5</v>
      </c>
      <c r="F54" s="2">
        <v>41785</v>
      </c>
      <c r="G54" s="4">
        <v>0.55282200000000004</v>
      </c>
      <c r="H54" s="2">
        <v>41785</v>
      </c>
      <c r="I54" s="4">
        <v>0.78339599999999998</v>
      </c>
      <c r="J54" s="29">
        <f t="shared" si="0"/>
        <v>0.23057399999999995</v>
      </c>
      <c r="K54" s="16">
        <f t="shared" si="1"/>
        <v>57.5</v>
      </c>
      <c r="L54" s="17">
        <f t="shared" si="2"/>
        <v>55</v>
      </c>
      <c r="M54" s="17">
        <f t="shared" si="3"/>
        <v>-2.5</v>
      </c>
    </row>
    <row r="55" spans="1:13" ht="14.25" x14ac:dyDescent="0.15">
      <c r="A55" s="6">
        <v>54</v>
      </c>
      <c r="B55" s="1" t="s">
        <v>27</v>
      </c>
      <c r="C55" s="1" t="s">
        <v>14</v>
      </c>
      <c r="D55" s="1" t="s">
        <v>15</v>
      </c>
      <c r="E55" s="16">
        <f>VLOOKUP(C55,收费标准!A$3:B$5,2,FALSE)</f>
        <v>1.5</v>
      </c>
      <c r="F55" s="2">
        <v>41785</v>
      </c>
      <c r="G55" s="4">
        <v>0.56046150000000006</v>
      </c>
      <c r="H55" s="2">
        <v>41786</v>
      </c>
      <c r="I55" s="4">
        <v>0.14653950000000002</v>
      </c>
      <c r="J55" s="29">
        <f t="shared" si="0"/>
        <v>0.58607799999999999</v>
      </c>
      <c r="K55" s="16">
        <f t="shared" si="1"/>
        <v>85.5</v>
      </c>
      <c r="L55" s="17">
        <f t="shared" si="2"/>
        <v>84</v>
      </c>
      <c r="M55" s="17">
        <f t="shared" si="3"/>
        <v>-1.5</v>
      </c>
    </row>
    <row r="56" spans="1:13" ht="14.25" x14ac:dyDescent="0.15">
      <c r="A56" s="6">
        <v>55</v>
      </c>
      <c r="B56" s="1" t="s">
        <v>110</v>
      </c>
      <c r="C56" s="1" t="s">
        <v>14</v>
      </c>
      <c r="D56" s="1" t="s">
        <v>17</v>
      </c>
      <c r="E56" s="16">
        <f>VLOOKUP(C56,收费标准!A$3:B$5,2,FALSE)</f>
        <v>1.5</v>
      </c>
      <c r="F56" s="2">
        <v>41785</v>
      </c>
      <c r="G56" s="4">
        <v>0.5632395</v>
      </c>
      <c r="H56" s="2">
        <v>41786</v>
      </c>
      <c r="I56" s="4">
        <v>2.0835000000000003E-3</v>
      </c>
      <c r="J56" s="29">
        <f t="shared" si="0"/>
        <v>0.4388439999999999</v>
      </c>
      <c r="K56" s="16">
        <f t="shared" si="1"/>
        <v>64.5</v>
      </c>
      <c r="L56" s="17">
        <f t="shared" si="2"/>
        <v>63</v>
      </c>
      <c r="M56" s="17">
        <f t="shared" si="3"/>
        <v>-1.5</v>
      </c>
    </row>
    <row r="57" spans="1:13" ht="14.25" x14ac:dyDescent="0.15">
      <c r="A57" s="6">
        <v>56</v>
      </c>
      <c r="B57" s="1" t="s">
        <v>28</v>
      </c>
      <c r="C57" s="1" t="s">
        <v>14</v>
      </c>
      <c r="D57" s="1" t="s">
        <v>15</v>
      </c>
      <c r="E57" s="16">
        <f>VLOOKUP(C57,收费标准!A$3:B$5,2,FALSE)</f>
        <v>1.5</v>
      </c>
      <c r="F57" s="2">
        <v>41785</v>
      </c>
      <c r="G57" s="4">
        <v>0.56879550000000001</v>
      </c>
      <c r="H57" s="2">
        <v>41785</v>
      </c>
      <c r="I57" s="4">
        <v>0.57435150000000001</v>
      </c>
      <c r="J57" s="29">
        <f t="shared" si="0"/>
        <v>5.5560000000000054E-3</v>
      </c>
      <c r="K57" s="16">
        <f t="shared" si="1"/>
        <v>1.5</v>
      </c>
      <c r="L57" s="17">
        <f t="shared" si="2"/>
        <v>0</v>
      </c>
      <c r="M57" s="17">
        <f t="shared" si="3"/>
        <v>-1.5</v>
      </c>
    </row>
    <row r="58" spans="1:13" ht="14.25" x14ac:dyDescent="0.15">
      <c r="A58" s="6">
        <v>57</v>
      </c>
      <c r="B58" s="1" t="s">
        <v>94</v>
      </c>
      <c r="C58" s="1" t="s">
        <v>11</v>
      </c>
      <c r="D58" s="1" t="s">
        <v>17</v>
      </c>
      <c r="E58" s="16">
        <f>VLOOKUP(C58,收费标准!A$3:B$5,2,FALSE)</f>
        <v>2</v>
      </c>
      <c r="F58" s="2">
        <v>41785</v>
      </c>
      <c r="G58" s="4">
        <v>0.57712950000000007</v>
      </c>
      <c r="H58" s="2">
        <v>41785</v>
      </c>
      <c r="I58" s="4">
        <v>0.65560799999999997</v>
      </c>
      <c r="J58" s="29">
        <f t="shared" si="0"/>
        <v>7.8478499999999896E-2</v>
      </c>
      <c r="K58" s="16">
        <f t="shared" si="1"/>
        <v>16</v>
      </c>
      <c r="L58" s="17">
        <f t="shared" si="2"/>
        <v>14</v>
      </c>
      <c r="M58" s="17">
        <f t="shared" si="3"/>
        <v>-2</v>
      </c>
    </row>
    <row r="59" spans="1:13" ht="14.25" x14ac:dyDescent="0.15">
      <c r="A59" s="6">
        <v>58</v>
      </c>
      <c r="B59" s="1" t="s">
        <v>46</v>
      </c>
      <c r="C59" s="1" t="s">
        <v>14</v>
      </c>
      <c r="D59" s="1" t="s">
        <v>17</v>
      </c>
      <c r="E59" s="16">
        <f>VLOOKUP(C59,收费标准!A$3:B$5,2,FALSE)</f>
        <v>1.5</v>
      </c>
      <c r="F59" s="2">
        <v>41785</v>
      </c>
      <c r="G59" s="4">
        <v>0.58546350000000003</v>
      </c>
      <c r="H59" s="2">
        <v>41786</v>
      </c>
      <c r="I59" s="4">
        <v>0.205572</v>
      </c>
      <c r="J59" s="29">
        <f t="shared" si="0"/>
        <v>0.62010850000000006</v>
      </c>
      <c r="K59" s="16">
        <f t="shared" si="1"/>
        <v>90</v>
      </c>
      <c r="L59" s="17">
        <f t="shared" si="2"/>
        <v>88.5</v>
      </c>
      <c r="M59" s="17">
        <f t="shared" si="3"/>
        <v>-1.5</v>
      </c>
    </row>
    <row r="60" spans="1:13" ht="14.25" x14ac:dyDescent="0.15">
      <c r="A60" s="6">
        <v>59</v>
      </c>
      <c r="B60" s="1" t="s">
        <v>100</v>
      </c>
      <c r="C60" s="1" t="s">
        <v>26</v>
      </c>
      <c r="D60" s="1" t="s">
        <v>12</v>
      </c>
      <c r="E60" s="16">
        <f>VLOOKUP(C60,收费标准!A$3:B$5,2,FALSE)</f>
        <v>2.5</v>
      </c>
      <c r="F60" s="2">
        <v>41785</v>
      </c>
      <c r="G60" s="4">
        <v>0.60907650000000002</v>
      </c>
      <c r="H60" s="2">
        <v>41785</v>
      </c>
      <c r="I60" s="4">
        <v>0.81395400000000007</v>
      </c>
      <c r="J60" s="29">
        <f t="shared" si="0"/>
        <v>0.20487750000000005</v>
      </c>
      <c r="K60" s="16">
        <f t="shared" si="1"/>
        <v>50</v>
      </c>
      <c r="L60" s="17">
        <f t="shared" si="2"/>
        <v>47.5</v>
      </c>
      <c r="M60" s="17">
        <f t="shared" si="3"/>
        <v>-2.5</v>
      </c>
    </row>
    <row r="61" spans="1:13" ht="14.25" x14ac:dyDescent="0.15">
      <c r="A61" s="6">
        <v>60</v>
      </c>
      <c r="B61" s="1" t="s">
        <v>79</v>
      </c>
      <c r="C61" s="1" t="s">
        <v>14</v>
      </c>
      <c r="D61" s="1" t="s">
        <v>17</v>
      </c>
      <c r="E61" s="16">
        <f>VLOOKUP(C61,收费标准!A$3:B$5,2,FALSE)</f>
        <v>1.5</v>
      </c>
      <c r="F61" s="2">
        <v>41785</v>
      </c>
      <c r="G61" s="4">
        <v>0.62227200000000005</v>
      </c>
      <c r="H61" s="2">
        <v>41785</v>
      </c>
      <c r="I61" s="4">
        <v>0.63963449999999999</v>
      </c>
      <c r="J61" s="29">
        <f t="shared" si="0"/>
        <v>1.7362499999999947E-2</v>
      </c>
      <c r="K61" s="16">
        <f t="shared" si="1"/>
        <v>3</v>
      </c>
      <c r="L61" s="17">
        <f t="shared" si="2"/>
        <v>1.5</v>
      </c>
      <c r="M61" s="17">
        <f t="shared" si="3"/>
        <v>-1.5</v>
      </c>
    </row>
    <row r="62" spans="1:13" ht="14.25" x14ac:dyDescent="0.15">
      <c r="A62" s="6">
        <v>61</v>
      </c>
      <c r="B62" s="1" t="s">
        <v>92</v>
      </c>
      <c r="C62" s="1" t="s">
        <v>26</v>
      </c>
      <c r="D62" s="1" t="s">
        <v>12</v>
      </c>
      <c r="E62" s="16">
        <f>VLOOKUP(C62,收费标准!A$3:B$5,2,FALSE)</f>
        <v>2.5</v>
      </c>
      <c r="F62" s="2">
        <v>41785</v>
      </c>
      <c r="G62" s="4">
        <v>0.63477300000000003</v>
      </c>
      <c r="H62" s="2">
        <v>41785</v>
      </c>
      <c r="I62" s="4">
        <v>0.72436350000000005</v>
      </c>
      <c r="J62" s="29">
        <f t="shared" si="0"/>
        <v>8.9590500000000017E-2</v>
      </c>
      <c r="K62" s="16">
        <f t="shared" si="1"/>
        <v>22.5</v>
      </c>
      <c r="L62" s="17">
        <f t="shared" si="2"/>
        <v>20</v>
      </c>
      <c r="M62" s="17">
        <f t="shared" si="3"/>
        <v>-2.5</v>
      </c>
    </row>
    <row r="63" spans="1:13" ht="14.25" x14ac:dyDescent="0.15">
      <c r="A63" s="6">
        <v>62</v>
      </c>
      <c r="B63" s="1" t="s">
        <v>29</v>
      </c>
      <c r="C63" s="1" t="s">
        <v>11</v>
      </c>
      <c r="D63" s="1" t="s">
        <v>22</v>
      </c>
      <c r="E63" s="16">
        <f>VLOOKUP(C63,收费标准!A$3:B$5,2,FALSE)</f>
        <v>2</v>
      </c>
      <c r="F63" s="2">
        <v>41785</v>
      </c>
      <c r="G63" s="4">
        <v>0.64171800000000001</v>
      </c>
      <c r="H63" s="2">
        <v>41785</v>
      </c>
      <c r="I63" s="4">
        <v>0.78409050000000002</v>
      </c>
      <c r="J63" s="29">
        <f t="shared" si="0"/>
        <v>0.14237250000000001</v>
      </c>
      <c r="K63" s="16">
        <f t="shared" si="1"/>
        <v>28</v>
      </c>
      <c r="L63" s="17">
        <f t="shared" si="2"/>
        <v>26</v>
      </c>
      <c r="M63" s="17">
        <f t="shared" si="3"/>
        <v>-2</v>
      </c>
    </row>
    <row r="64" spans="1:13" ht="14.25" x14ac:dyDescent="0.15">
      <c r="A64" s="6">
        <v>63</v>
      </c>
      <c r="B64" s="1" t="s">
        <v>54</v>
      </c>
      <c r="C64" s="1" t="s">
        <v>11</v>
      </c>
      <c r="D64" s="1" t="s">
        <v>15</v>
      </c>
      <c r="E64" s="16">
        <f>VLOOKUP(C64,收费标准!A$3:B$5,2,FALSE)</f>
        <v>2</v>
      </c>
      <c r="F64" s="2">
        <v>41785</v>
      </c>
      <c r="G64" s="4">
        <v>0.64727400000000002</v>
      </c>
      <c r="H64" s="2">
        <v>41785</v>
      </c>
      <c r="I64" s="4">
        <v>0.83895600000000004</v>
      </c>
      <c r="J64" s="29">
        <f t="shared" si="0"/>
        <v>0.19168200000000002</v>
      </c>
      <c r="K64" s="16">
        <f t="shared" si="1"/>
        <v>38</v>
      </c>
      <c r="L64" s="17">
        <f t="shared" si="2"/>
        <v>36</v>
      </c>
      <c r="M64" s="17">
        <f t="shared" si="3"/>
        <v>-2</v>
      </c>
    </row>
    <row r="65" spans="1:13" ht="14.25" x14ac:dyDescent="0.15">
      <c r="A65" s="6">
        <v>64</v>
      </c>
      <c r="B65" s="1" t="s">
        <v>77</v>
      </c>
      <c r="C65" s="1" t="s">
        <v>14</v>
      </c>
      <c r="D65" s="1" t="s">
        <v>12</v>
      </c>
      <c r="E65" s="16">
        <f>VLOOKUP(C65,收费标准!A$3:B$5,2,FALSE)</f>
        <v>1.5</v>
      </c>
      <c r="F65" s="2">
        <v>41785</v>
      </c>
      <c r="G65" s="4">
        <v>0.64727400000000002</v>
      </c>
      <c r="H65" s="2">
        <v>41785</v>
      </c>
      <c r="I65" s="4">
        <v>0.89729400000000004</v>
      </c>
      <c r="J65" s="29">
        <f t="shared" si="0"/>
        <v>0.25002000000000002</v>
      </c>
      <c r="K65" s="16">
        <f t="shared" si="1"/>
        <v>37.5</v>
      </c>
      <c r="L65" s="17">
        <f t="shared" si="2"/>
        <v>36</v>
      </c>
      <c r="M65" s="17">
        <f t="shared" si="3"/>
        <v>-1.5</v>
      </c>
    </row>
    <row r="66" spans="1:13" ht="14.25" x14ac:dyDescent="0.15">
      <c r="A66" s="6">
        <v>65</v>
      </c>
      <c r="B66" s="1" t="s">
        <v>75</v>
      </c>
      <c r="C66" s="1" t="s">
        <v>14</v>
      </c>
      <c r="D66" s="1" t="s">
        <v>15</v>
      </c>
      <c r="E66" s="16">
        <f>VLOOKUP(C66,收费标准!A$3:B$5,2,FALSE)</f>
        <v>1.5</v>
      </c>
      <c r="F66" s="2">
        <v>41785</v>
      </c>
      <c r="G66" s="4">
        <v>0.65352450000000006</v>
      </c>
      <c r="H66" s="2">
        <v>41786</v>
      </c>
      <c r="I66" s="4">
        <v>5.76435E-2</v>
      </c>
      <c r="J66" s="29">
        <f t="shared" si="0"/>
        <v>0.40411899999999989</v>
      </c>
      <c r="K66" s="16">
        <f t="shared" si="1"/>
        <v>58.5</v>
      </c>
      <c r="L66" s="17">
        <f t="shared" si="2"/>
        <v>57</v>
      </c>
      <c r="M66" s="17">
        <f t="shared" si="3"/>
        <v>-1.5</v>
      </c>
    </row>
    <row r="67" spans="1:13" ht="14.25" x14ac:dyDescent="0.15">
      <c r="A67" s="6">
        <v>66</v>
      </c>
      <c r="B67" s="1" t="s">
        <v>105</v>
      </c>
      <c r="C67" s="1" t="s">
        <v>11</v>
      </c>
      <c r="D67" s="1" t="s">
        <v>22</v>
      </c>
      <c r="E67" s="16">
        <f>VLOOKUP(C67,收费标准!A$3:B$5,2,FALSE)</f>
        <v>2</v>
      </c>
      <c r="F67" s="2">
        <v>41785</v>
      </c>
      <c r="G67" s="4">
        <v>0.66671999999999998</v>
      </c>
      <c r="H67" s="2">
        <v>41785</v>
      </c>
      <c r="I67" s="4">
        <v>0.85354050000000004</v>
      </c>
      <c r="J67" s="29">
        <f t="shared" ref="J67:J130" si="4">H67-F67+I67-G67</f>
        <v>0.18682050000000006</v>
      </c>
      <c r="K67" s="16">
        <f t="shared" ref="K67:K130" si="5">ROUNDUP(J67*60*24/15,0)*E67</f>
        <v>36</v>
      </c>
      <c r="L67" s="17">
        <f t="shared" ref="L67:L130" si="6">ROUNDDOWN(J67*60*24/15,0)*E67</f>
        <v>34</v>
      </c>
      <c r="M67" s="17">
        <f t="shared" ref="M67:M130" si="7">L67-K67</f>
        <v>-2</v>
      </c>
    </row>
    <row r="68" spans="1:13" ht="14.25" x14ac:dyDescent="0.15">
      <c r="A68" s="6">
        <v>67</v>
      </c>
      <c r="B68" s="1" t="s">
        <v>50</v>
      </c>
      <c r="C68" s="1" t="s">
        <v>11</v>
      </c>
      <c r="D68" s="1" t="s">
        <v>17</v>
      </c>
      <c r="E68" s="16">
        <f>VLOOKUP(C68,收费标准!A$3:B$5,2,FALSE)</f>
        <v>2</v>
      </c>
      <c r="F68" s="2">
        <v>41785</v>
      </c>
      <c r="G68" s="4">
        <v>0.67783199999999999</v>
      </c>
      <c r="H68" s="2">
        <v>41785</v>
      </c>
      <c r="I68" s="4">
        <v>0.68824950000000007</v>
      </c>
      <c r="J68" s="29">
        <f t="shared" si="4"/>
        <v>1.0417500000000079E-2</v>
      </c>
      <c r="K68" s="16">
        <f t="shared" si="5"/>
        <v>4</v>
      </c>
      <c r="L68" s="17">
        <f t="shared" si="6"/>
        <v>2</v>
      </c>
      <c r="M68" s="17">
        <f t="shared" si="7"/>
        <v>-2</v>
      </c>
    </row>
    <row r="69" spans="1:13" ht="14.25" x14ac:dyDescent="0.15">
      <c r="A69" s="6">
        <v>68</v>
      </c>
      <c r="B69" s="1" t="s">
        <v>18</v>
      </c>
      <c r="C69" s="1" t="s">
        <v>14</v>
      </c>
      <c r="D69" s="1" t="s">
        <v>15</v>
      </c>
      <c r="E69" s="16">
        <f>VLOOKUP(C69,收费标准!A$3:B$5,2,FALSE)</f>
        <v>1.5</v>
      </c>
      <c r="F69" s="2">
        <v>41785</v>
      </c>
      <c r="G69" s="4">
        <v>0.69727800000000006</v>
      </c>
      <c r="H69" s="2">
        <v>41786</v>
      </c>
      <c r="I69" s="4">
        <v>0.25279800000000002</v>
      </c>
      <c r="J69" s="29">
        <f t="shared" si="4"/>
        <v>0.55552000000000001</v>
      </c>
      <c r="K69" s="16">
        <f t="shared" si="5"/>
        <v>81</v>
      </c>
      <c r="L69" s="17">
        <f t="shared" si="6"/>
        <v>79.5</v>
      </c>
      <c r="M69" s="17">
        <f t="shared" si="7"/>
        <v>-1.5</v>
      </c>
    </row>
    <row r="70" spans="1:13" ht="14.25" x14ac:dyDescent="0.15">
      <c r="A70" s="6">
        <v>69</v>
      </c>
      <c r="B70" s="1" t="s">
        <v>61</v>
      </c>
      <c r="C70" s="1" t="s">
        <v>26</v>
      </c>
      <c r="D70" s="1" t="s">
        <v>12</v>
      </c>
      <c r="E70" s="16">
        <f>VLOOKUP(C70,收费标准!A$3:B$5,2,FALSE)</f>
        <v>2.5</v>
      </c>
      <c r="F70" s="2">
        <v>41785</v>
      </c>
      <c r="G70" s="4">
        <v>0.70908450000000001</v>
      </c>
      <c r="H70" s="2">
        <v>41786</v>
      </c>
      <c r="I70" s="4">
        <v>0.27641100000000002</v>
      </c>
      <c r="J70" s="29">
        <f t="shared" si="4"/>
        <v>0.56732649999999996</v>
      </c>
      <c r="K70" s="16">
        <f t="shared" si="5"/>
        <v>137.5</v>
      </c>
      <c r="L70" s="17">
        <f t="shared" si="6"/>
        <v>135</v>
      </c>
      <c r="M70" s="17">
        <f t="shared" si="7"/>
        <v>-2.5</v>
      </c>
    </row>
    <row r="71" spans="1:13" ht="14.25" x14ac:dyDescent="0.15">
      <c r="A71" s="6">
        <v>70</v>
      </c>
      <c r="B71" s="1" t="s">
        <v>30</v>
      </c>
      <c r="C71" s="1" t="s">
        <v>14</v>
      </c>
      <c r="D71" s="1" t="s">
        <v>22</v>
      </c>
      <c r="E71" s="16">
        <f>VLOOKUP(C71,收费标准!A$3:B$5,2,FALSE)</f>
        <v>1.5</v>
      </c>
      <c r="F71" s="2">
        <v>41785</v>
      </c>
      <c r="G71" s="4">
        <v>0.72019650000000002</v>
      </c>
      <c r="H71" s="2">
        <v>41786</v>
      </c>
      <c r="I71" s="4">
        <v>6.3199500000000006E-2</v>
      </c>
      <c r="J71" s="29">
        <f t="shared" si="4"/>
        <v>0.34300300000000006</v>
      </c>
      <c r="K71" s="16">
        <f t="shared" si="5"/>
        <v>49.5</v>
      </c>
      <c r="L71" s="17">
        <f t="shared" si="6"/>
        <v>48</v>
      </c>
      <c r="M71" s="17">
        <f t="shared" si="7"/>
        <v>-1.5</v>
      </c>
    </row>
    <row r="72" spans="1:13" ht="14.25" x14ac:dyDescent="0.15">
      <c r="A72" s="6">
        <v>71</v>
      </c>
      <c r="B72" s="1" t="s">
        <v>95</v>
      </c>
      <c r="C72" s="1" t="s">
        <v>26</v>
      </c>
      <c r="D72" s="1" t="s">
        <v>22</v>
      </c>
      <c r="E72" s="16">
        <f>VLOOKUP(C72,收费标准!A$3:B$5,2,FALSE)</f>
        <v>2.5</v>
      </c>
      <c r="F72" s="2">
        <v>41785</v>
      </c>
      <c r="G72" s="4">
        <v>0.741726</v>
      </c>
      <c r="H72" s="2">
        <v>41786</v>
      </c>
      <c r="I72" s="4">
        <v>0.16251300000000002</v>
      </c>
      <c r="J72" s="29">
        <f t="shared" si="4"/>
        <v>0.42078700000000013</v>
      </c>
      <c r="K72" s="16">
        <f t="shared" si="5"/>
        <v>102.5</v>
      </c>
      <c r="L72" s="17">
        <f t="shared" si="6"/>
        <v>100</v>
      </c>
      <c r="M72" s="17">
        <f t="shared" si="7"/>
        <v>-2.5</v>
      </c>
    </row>
    <row r="73" spans="1:13" ht="14.25" x14ac:dyDescent="0.15">
      <c r="A73" s="6">
        <v>72</v>
      </c>
      <c r="B73" s="1" t="s">
        <v>24</v>
      </c>
      <c r="C73" s="1" t="s">
        <v>14</v>
      </c>
      <c r="D73" s="1" t="s">
        <v>12</v>
      </c>
      <c r="E73" s="16">
        <f>VLOOKUP(C73,收费标准!A$3:B$5,2,FALSE)</f>
        <v>1.5</v>
      </c>
      <c r="F73" s="2">
        <v>41785</v>
      </c>
      <c r="G73" s="4">
        <v>0.75353250000000005</v>
      </c>
      <c r="H73" s="2">
        <v>41785</v>
      </c>
      <c r="I73" s="4">
        <v>0.88687650000000007</v>
      </c>
      <c r="J73" s="29">
        <f t="shared" si="4"/>
        <v>0.13334400000000002</v>
      </c>
      <c r="K73" s="16">
        <f t="shared" si="5"/>
        <v>19.5</v>
      </c>
      <c r="L73" s="17">
        <f t="shared" si="6"/>
        <v>18</v>
      </c>
      <c r="M73" s="17">
        <f t="shared" si="7"/>
        <v>-1.5</v>
      </c>
    </row>
    <row r="74" spans="1:13" ht="14.25" x14ac:dyDescent="0.15">
      <c r="A74" s="6">
        <v>73</v>
      </c>
      <c r="B74" s="1" t="s">
        <v>74</v>
      </c>
      <c r="C74" s="1" t="s">
        <v>14</v>
      </c>
      <c r="D74" s="1" t="s">
        <v>15</v>
      </c>
      <c r="E74" s="16">
        <f>VLOOKUP(C74,收费标准!A$3:B$5,2,FALSE)</f>
        <v>1.5</v>
      </c>
      <c r="F74" s="2">
        <v>41785</v>
      </c>
      <c r="G74" s="4">
        <v>0.75492150000000002</v>
      </c>
      <c r="H74" s="2">
        <v>41786</v>
      </c>
      <c r="I74" s="4">
        <v>0.23821349999999999</v>
      </c>
      <c r="J74" s="29">
        <f t="shared" si="4"/>
        <v>0.48329200000000005</v>
      </c>
      <c r="K74" s="16">
        <f t="shared" si="5"/>
        <v>70.5</v>
      </c>
      <c r="L74" s="17">
        <f t="shared" si="6"/>
        <v>69</v>
      </c>
      <c r="M74" s="17">
        <f t="shared" si="7"/>
        <v>-1.5</v>
      </c>
    </row>
    <row r="75" spans="1:13" ht="14.25" x14ac:dyDescent="0.15">
      <c r="A75" s="6">
        <v>74</v>
      </c>
      <c r="B75" s="1" t="s">
        <v>36</v>
      </c>
      <c r="C75" s="1" t="s">
        <v>11</v>
      </c>
      <c r="D75" s="1" t="s">
        <v>15</v>
      </c>
      <c r="E75" s="16">
        <f>VLOOKUP(C75,收费标准!A$3:B$5,2,FALSE)</f>
        <v>2</v>
      </c>
      <c r="F75" s="2">
        <v>41785</v>
      </c>
      <c r="G75" s="4">
        <v>0.76742250000000001</v>
      </c>
      <c r="H75" s="2">
        <v>41785</v>
      </c>
      <c r="I75" s="4">
        <v>0.84034500000000001</v>
      </c>
      <c r="J75" s="29">
        <f t="shared" si="4"/>
        <v>7.2922500000000001E-2</v>
      </c>
      <c r="K75" s="16">
        <f t="shared" si="5"/>
        <v>16</v>
      </c>
      <c r="L75" s="17">
        <f t="shared" si="6"/>
        <v>14</v>
      </c>
      <c r="M75" s="17">
        <f t="shared" si="7"/>
        <v>-2</v>
      </c>
    </row>
    <row r="76" spans="1:13" ht="14.25" x14ac:dyDescent="0.15">
      <c r="A76" s="6">
        <v>75</v>
      </c>
      <c r="B76" s="1" t="s">
        <v>120</v>
      </c>
      <c r="C76" s="1" t="s">
        <v>11</v>
      </c>
      <c r="D76" s="1" t="s">
        <v>17</v>
      </c>
      <c r="E76" s="16">
        <f>VLOOKUP(C76,收费标准!A$3:B$5,2,FALSE)</f>
        <v>2</v>
      </c>
      <c r="F76" s="2">
        <v>41785</v>
      </c>
      <c r="G76" s="4">
        <v>0.78964650000000003</v>
      </c>
      <c r="H76" s="2">
        <v>41785</v>
      </c>
      <c r="I76" s="4">
        <v>0.7910355</v>
      </c>
      <c r="J76" s="29">
        <f t="shared" si="4"/>
        <v>1.3889999999999736E-3</v>
      </c>
      <c r="K76" s="16">
        <f t="shared" si="5"/>
        <v>2</v>
      </c>
      <c r="L76" s="17">
        <f t="shared" si="6"/>
        <v>0</v>
      </c>
      <c r="M76" s="17">
        <f t="shared" si="7"/>
        <v>-2</v>
      </c>
    </row>
    <row r="77" spans="1:13" ht="14.25" x14ac:dyDescent="0.15">
      <c r="A77" s="6">
        <v>76</v>
      </c>
      <c r="B77" s="1" t="s">
        <v>72</v>
      </c>
      <c r="C77" s="1" t="s">
        <v>26</v>
      </c>
      <c r="D77" s="1" t="s">
        <v>22</v>
      </c>
      <c r="E77" s="16">
        <f>VLOOKUP(C77,收费标准!A$3:B$5,2,FALSE)</f>
        <v>2.5</v>
      </c>
      <c r="F77" s="2">
        <v>41785</v>
      </c>
      <c r="G77" s="4">
        <v>0.79034100000000007</v>
      </c>
      <c r="H77" s="2">
        <v>41786</v>
      </c>
      <c r="I77" s="4">
        <v>0.283356</v>
      </c>
      <c r="J77" s="29">
        <f t="shared" si="4"/>
        <v>0.49301499999999987</v>
      </c>
      <c r="K77" s="16">
        <f t="shared" si="5"/>
        <v>120</v>
      </c>
      <c r="L77" s="17">
        <f t="shared" si="6"/>
        <v>117.5</v>
      </c>
      <c r="M77" s="17">
        <f t="shared" si="7"/>
        <v>-2.5</v>
      </c>
    </row>
    <row r="78" spans="1:13" ht="14.25" x14ac:dyDescent="0.15">
      <c r="A78" s="6">
        <v>77</v>
      </c>
      <c r="B78" s="1" t="s">
        <v>30</v>
      </c>
      <c r="C78" s="1" t="s">
        <v>14</v>
      </c>
      <c r="D78" s="1" t="s">
        <v>22</v>
      </c>
      <c r="E78" s="16">
        <f>VLOOKUP(C78,收费标准!A$3:B$5,2,FALSE)</f>
        <v>1.5</v>
      </c>
      <c r="F78" s="2">
        <v>41785</v>
      </c>
      <c r="G78" s="4">
        <v>0.79242449999999998</v>
      </c>
      <c r="H78" s="2">
        <v>41785</v>
      </c>
      <c r="I78" s="4">
        <v>0.96118800000000004</v>
      </c>
      <c r="J78" s="29">
        <f t="shared" si="4"/>
        <v>0.16876350000000007</v>
      </c>
      <c r="K78" s="16">
        <f t="shared" si="5"/>
        <v>25.5</v>
      </c>
      <c r="L78" s="17">
        <f t="shared" si="6"/>
        <v>24</v>
      </c>
      <c r="M78" s="17">
        <f t="shared" si="7"/>
        <v>-1.5</v>
      </c>
    </row>
    <row r="79" spans="1:13" ht="14.25" x14ac:dyDescent="0.15">
      <c r="A79" s="6">
        <v>78</v>
      </c>
      <c r="B79" s="1" t="s">
        <v>78</v>
      </c>
      <c r="C79" s="1" t="s">
        <v>26</v>
      </c>
      <c r="D79" s="1" t="s">
        <v>15</v>
      </c>
      <c r="E79" s="16">
        <f>VLOOKUP(C79,收费标准!A$3:B$5,2,FALSE)</f>
        <v>2.5</v>
      </c>
      <c r="F79" s="2">
        <v>41785</v>
      </c>
      <c r="G79" s="4">
        <v>0.79798049999999998</v>
      </c>
      <c r="H79" s="2">
        <v>41785</v>
      </c>
      <c r="I79" s="4">
        <v>0.83687250000000002</v>
      </c>
      <c r="J79" s="29">
        <f t="shared" si="4"/>
        <v>3.8892000000000038E-2</v>
      </c>
      <c r="K79" s="16">
        <f t="shared" si="5"/>
        <v>10</v>
      </c>
      <c r="L79" s="17">
        <f t="shared" si="6"/>
        <v>7.5</v>
      </c>
      <c r="M79" s="17">
        <f t="shared" si="7"/>
        <v>-2.5</v>
      </c>
    </row>
    <row r="80" spans="1:13" ht="14.25" x14ac:dyDescent="0.15">
      <c r="A80" s="6">
        <v>79</v>
      </c>
      <c r="B80" s="1" t="s">
        <v>63</v>
      </c>
      <c r="C80" s="1" t="s">
        <v>14</v>
      </c>
      <c r="D80" s="1" t="s">
        <v>22</v>
      </c>
      <c r="E80" s="16">
        <f>VLOOKUP(C80,收费标准!A$3:B$5,2,FALSE)</f>
        <v>1.5</v>
      </c>
      <c r="F80" s="2">
        <v>41785</v>
      </c>
      <c r="G80" s="4">
        <v>0.81187050000000005</v>
      </c>
      <c r="H80" s="2">
        <v>41786</v>
      </c>
      <c r="I80" s="4">
        <v>0.38058600000000004</v>
      </c>
      <c r="J80" s="29">
        <f t="shared" si="4"/>
        <v>0.56871550000000004</v>
      </c>
      <c r="K80" s="16">
        <f t="shared" si="5"/>
        <v>82.5</v>
      </c>
      <c r="L80" s="17">
        <f t="shared" si="6"/>
        <v>81</v>
      </c>
      <c r="M80" s="17">
        <f t="shared" si="7"/>
        <v>-1.5</v>
      </c>
    </row>
    <row r="81" spans="1:13" ht="14.25" x14ac:dyDescent="0.15">
      <c r="A81" s="6">
        <v>80</v>
      </c>
      <c r="B81" s="1" t="s">
        <v>101</v>
      </c>
      <c r="C81" s="1" t="s">
        <v>11</v>
      </c>
      <c r="D81" s="1" t="s">
        <v>22</v>
      </c>
      <c r="E81" s="16">
        <f>VLOOKUP(C81,收费标准!A$3:B$5,2,FALSE)</f>
        <v>2</v>
      </c>
      <c r="F81" s="2">
        <v>41785</v>
      </c>
      <c r="G81" s="4">
        <v>0.87090299999999998</v>
      </c>
      <c r="H81" s="2">
        <v>41786</v>
      </c>
      <c r="I81" s="4">
        <v>0.4493415</v>
      </c>
      <c r="J81" s="29">
        <f t="shared" si="4"/>
        <v>0.57843850000000008</v>
      </c>
      <c r="K81" s="16">
        <f t="shared" si="5"/>
        <v>112</v>
      </c>
      <c r="L81" s="17">
        <f t="shared" si="6"/>
        <v>110</v>
      </c>
      <c r="M81" s="17">
        <f t="shared" si="7"/>
        <v>-2</v>
      </c>
    </row>
    <row r="82" spans="1:13" ht="14.25" x14ac:dyDescent="0.15">
      <c r="A82" s="6">
        <v>81</v>
      </c>
      <c r="B82" s="1" t="s">
        <v>76</v>
      </c>
      <c r="C82" s="1" t="s">
        <v>14</v>
      </c>
      <c r="D82" s="1" t="s">
        <v>12</v>
      </c>
      <c r="E82" s="16">
        <f>VLOOKUP(C82,收费标准!A$3:B$5,2,FALSE)</f>
        <v>1.5</v>
      </c>
      <c r="F82" s="2">
        <v>41785</v>
      </c>
      <c r="G82" s="4">
        <v>0.8785425</v>
      </c>
      <c r="H82" s="2">
        <v>41785</v>
      </c>
      <c r="I82" s="4">
        <v>0.95007600000000003</v>
      </c>
      <c r="J82" s="29">
        <f t="shared" si="4"/>
        <v>7.1533500000000028E-2</v>
      </c>
      <c r="K82" s="16">
        <f t="shared" si="5"/>
        <v>10.5</v>
      </c>
      <c r="L82" s="17">
        <f t="shared" si="6"/>
        <v>9</v>
      </c>
      <c r="M82" s="17">
        <f t="shared" si="7"/>
        <v>-1.5</v>
      </c>
    </row>
    <row r="83" spans="1:13" ht="14.25" x14ac:dyDescent="0.15">
      <c r="A83" s="6">
        <v>82</v>
      </c>
      <c r="B83" s="1" t="s">
        <v>73</v>
      </c>
      <c r="C83" s="1" t="s">
        <v>26</v>
      </c>
      <c r="D83" s="1" t="s">
        <v>12</v>
      </c>
      <c r="E83" s="16">
        <f>VLOOKUP(C83,收费标准!A$3:B$5,2,FALSE)</f>
        <v>2.5</v>
      </c>
      <c r="F83" s="2">
        <v>41785</v>
      </c>
      <c r="G83" s="4">
        <v>0.88340400000000008</v>
      </c>
      <c r="H83" s="2">
        <v>41786</v>
      </c>
      <c r="I83" s="4">
        <v>0.50767950000000006</v>
      </c>
      <c r="J83" s="29">
        <f t="shared" si="4"/>
        <v>0.62427549999999998</v>
      </c>
      <c r="K83" s="16">
        <f t="shared" si="5"/>
        <v>150</v>
      </c>
      <c r="L83" s="17">
        <f t="shared" si="6"/>
        <v>147.5</v>
      </c>
      <c r="M83" s="17">
        <f t="shared" si="7"/>
        <v>-2.5</v>
      </c>
    </row>
    <row r="84" spans="1:13" ht="14.25" x14ac:dyDescent="0.15">
      <c r="A84" s="6">
        <v>83</v>
      </c>
      <c r="B84" s="1" t="s">
        <v>38</v>
      </c>
      <c r="C84" s="1" t="s">
        <v>26</v>
      </c>
      <c r="D84" s="1" t="s">
        <v>15</v>
      </c>
      <c r="E84" s="16">
        <f>VLOOKUP(C84,收费标准!A$3:B$5,2,FALSE)</f>
        <v>2.5</v>
      </c>
      <c r="F84" s="2">
        <v>41785</v>
      </c>
      <c r="G84" s="4">
        <v>0.893127</v>
      </c>
      <c r="H84" s="2">
        <v>41786</v>
      </c>
      <c r="I84" s="4">
        <v>0.54171000000000002</v>
      </c>
      <c r="J84" s="29">
        <f t="shared" si="4"/>
        <v>0.64858300000000013</v>
      </c>
      <c r="K84" s="16">
        <f t="shared" si="5"/>
        <v>157.5</v>
      </c>
      <c r="L84" s="17">
        <f t="shared" si="6"/>
        <v>155</v>
      </c>
      <c r="M84" s="17">
        <f t="shared" si="7"/>
        <v>-2.5</v>
      </c>
    </row>
    <row r="85" spans="1:13" ht="14.25" x14ac:dyDescent="0.15">
      <c r="A85" s="6">
        <v>84</v>
      </c>
      <c r="B85" s="1" t="s">
        <v>40</v>
      </c>
      <c r="C85" s="1" t="s">
        <v>11</v>
      </c>
      <c r="D85" s="1" t="s">
        <v>15</v>
      </c>
      <c r="E85" s="16">
        <f>VLOOKUP(C85,收费标准!A$3:B$5,2,FALSE)</f>
        <v>2</v>
      </c>
      <c r="F85" s="2">
        <v>41785</v>
      </c>
      <c r="G85" s="4">
        <v>0.89382150000000005</v>
      </c>
      <c r="H85" s="2">
        <v>41786</v>
      </c>
      <c r="I85" s="4">
        <v>0.19515450000000001</v>
      </c>
      <c r="J85" s="29">
        <f t="shared" si="4"/>
        <v>0.30133300000000007</v>
      </c>
      <c r="K85" s="16">
        <f t="shared" si="5"/>
        <v>58</v>
      </c>
      <c r="L85" s="17">
        <f t="shared" si="6"/>
        <v>56</v>
      </c>
      <c r="M85" s="17">
        <f t="shared" si="7"/>
        <v>-2</v>
      </c>
    </row>
    <row r="86" spans="1:13" ht="14.25" x14ac:dyDescent="0.15">
      <c r="A86" s="6">
        <v>85</v>
      </c>
      <c r="B86" s="1" t="s">
        <v>59</v>
      </c>
      <c r="C86" s="1" t="s">
        <v>11</v>
      </c>
      <c r="D86" s="1" t="s">
        <v>17</v>
      </c>
      <c r="E86" s="16">
        <f>VLOOKUP(C86,收费标准!A$3:B$5,2,FALSE)</f>
        <v>2</v>
      </c>
      <c r="F86" s="2">
        <v>41785</v>
      </c>
      <c r="G86" s="4">
        <v>0.90146100000000007</v>
      </c>
      <c r="H86" s="2">
        <v>41786</v>
      </c>
      <c r="I86" s="4">
        <v>0.22154550000000001</v>
      </c>
      <c r="J86" s="29">
        <f t="shared" si="4"/>
        <v>0.32008449999999988</v>
      </c>
      <c r="K86" s="16">
        <f t="shared" si="5"/>
        <v>62</v>
      </c>
      <c r="L86" s="17">
        <f t="shared" si="6"/>
        <v>60</v>
      </c>
      <c r="M86" s="17">
        <f t="shared" si="7"/>
        <v>-2</v>
      </c>
    </row>
    <row r="87" spans="1:13" ht="14.25" x14ac:dyDescent="0.15">
      <c r="A87" s="6">
        <v>86</v>
      </c>
      <c r="B87" s="1" t="s">
        <v>51</v>
      </c>
      <c r="C87" s="1" t="s">
        <v>26</v>
      </c>
      <c r="D87" s="1" t="s">
        <v>22</v>
      </c>
      <c r="E87" s="16">
        <f>VLOOKUP(C87,收费标准!A$3:B$5,2,FALSE)</f>
        <v>2.5</v>
      </c>
      <c r="F87" s="2">
        <v>41785</v>
      </c>
      <c r="G87" s="4">
        <v>0.90701700000000007</v>
      </c>
      <c r="H87" s="2">
        <v>41786</v>
      </c>
      <c r="I87" s="4">
        <v>0.27293850000000003</v>
      </c>
      <c r="J87" s="29">
        <f t="shared" si="4"/>
        <v>0.3659214999999999</v>
      </c>
      <c r="K87" s="16">
        <f t="shared" si="5"/>
        <v>90</v>
      </c>
      <c r="L87" s="17">
        <f t="shared" si="6"/>
        <v>87.5</v>
      </c>
      <c r="M87" s="17">
        <f t="shared" si="7"/>
        <v>-2.5</v>
      </c>
    </row>
    <row r="88" spans="1:13" ht="14.25" x14ac:dyDescent="0.15">
      <c r="A88" s="6">
        <v>87</v>
      </c>
      <c r="B88" s="1" t="s">
        <v>49</v>
      </c>
      <c r="C88" s="1" t="s">
        <v>26</v>
      </c>
      <c r="D88" s="1" t="s">
        <v>15</v>
      </c>
      <c r="E88" s="16">
        <f>VLOOKUP(C88,收费标准!A$3:B$5,2,FALSE)</f>
        <v>2.5</v>
      </c>
      <c r="F88" s="2">
        <v>41785</v>
      </c>
      <c r="G88" s="4">
        <v>0.91257300000000008</v>
      </c>
      <c r="H88" s="2">
        <v>41786</v>
      </c>
      <c r="I88" s="4">
        <v>0.1840425</v>
      </c>
      <c r="J88" s="29">
        <f t="shared" si="4"/>
        <v>0.27146949999999981</v>
      </c>
      <c r="K88" s="16">
        <f t="shared" si="5"/>
        <v>67.5</v>
      </c>
      <c r="L88" s="17">
        <f t="shared" si="6"/>
        <v>65</v>
      </c>
      <c r="M88" s="17">
        <f t="shared" si="7"/>
        <v>-2.5</v>
      </c>
    </row>
    <row r="89" spans="1:13" ht="14.25" x14ac:dyDescent="0.15">
      <c r="A89" s="6">
        <v>88</v>
      </c>
      <c r="B89" s="1" t="s">
        <v>80</v>
      </c>
      <c r="C89" s="1" t="s">
        <v>14</v>
      </c>
      <c r="D89" s="1" t="s">
        <v>17</v>
      </c>
      <c r="E89" s="16">
        <f>VLOOKUP(C89,收费标准!A$3:B$5,2,FALSE)</f>
        <v>1.5</v>
      </c>
      <c r="F89" s="2">
        <v>41785</v>
      </c>
      <c r="G89" s="4">
        <v>0.92021249999999999</v>
      </c>
      <c r="H89" s="2">
        <v>41786</v>
      </c>
      <c r="I89" s="4">
        <v>1.389E-3</v>
      </c>
      <c r="J89" s="29">
        <f t="shared" si="4"/>
        <v>8.1176500000000096E-2</v>
      </c>
      <c r="K89" s="16">
        <f t="shared" si="5"/>
        <v>12</v>
      </c>
      <c r="L89" s="17">
        <f t="shared" si="6"/>
        <v>10.5</v>
      </c>
      <c r="M89" s="17">
        <f t="shared" si="7"/>
        <v>-1.5</v>
      </c>
    </row>
    <row r="90" spans="1:13" ht="14.25" x14ac:dyDescent="0.15">
      <c r="A90" s="6">
        <v>89</v>
      </c>
      <c r="B90" s="1" t="s">
        <v>116</v>
      </c>
      <c r="C90" s="1" t="s">
        <v>14</v>
      </c>
      <c r="D90" s="1" t="s">
        <v>12</v>
      </c>
      <c r="E90" s="16">
        <f>VLOOKUP(C90,收费标准!A$3:B$5,2,FALSE)</f>
        <v>1.5</v>
      </c>
      <c r="F90" s="2">
        <v>41785</v>
      </c>
      <c r="G90" s="4">
        <v>0.93063000000000007</v>
      </c>
      <c r="H90" s="2">
        <v>41786</v>
      </c>
      <c r="I90" s="4">
        <v>0.25835400000000003</v>
      </c>
      <c r="J90" s="29">
        <f t="shared" si="4"/>
        <v>0.3277239999999999</v>
      </c>
      <c r="K90" s="16">
        <f t="shared" si="5"/>
        <v>48</v>
      </c>
      <c r="L90" s="17">
        <f t="shared" si="6"/>
        <v>46.5</v>
      </c>
      <c r="M90" s="17">
        <f t="shared" si="7"/>
        <v>-1.5</v>
      </c>
    </row>
    <row r="91" spans="1:13" ht="14.25" x14ac:dyDescent="0.15">
      <c r="A91" s="6">
        <v>90</v>
      </c>
      <c r="B91" s="1" t="s">
        <v>119</v>
      </c>
      <c r="C91" s="1" t="s">
        <v>26</v>
      </c>
      <c r="D91" s="1" t="s">
        <v>12</v>
      </c>
      <c r="E91" s="16">
        <f>VLOOKUP(C91,收费标准!A$3:B$5,2,FALSE)</f>
        <v>2.5</v>
      </c>
      <c r="F91" s="2">
        <v>41785</v>
      </c>
      <c r="G91" s="4">
        <v>0.93965850000000006</v>
      </c>
      <c r="H91" s="2">
        <v>41786</v>
      </c>
      <c r="I91" s="4">
        <v>0.52782000000000007</v>
      </c>
      <c r="J91" s="29">
        <f t="shared" si="4"/>
        <v>0.58816150000000011</v>
      </c>
      <c r="K91" s="16">
        <f t="shared" si="5"/>
        <v>142.5</v>
      </c>
      <c r="L91" s="17">
        <f t="shared" si="6"/>
        <v>140</v>
      </c>
      <c r="M91" s="17">
        <f t="shared" si="7"/>
        <v>-2.5</v>
      </c>
    </row>
    <row r="92" spans="1:13" ht="14.25" x14ac:dyDescent="0.15">
      <c r="A92" s="6">
        <v>91</v>
      </c>
      <c r="B92" s="1" t="s">
        <v>118</v>
      </c>
      <c r="C92" s="1" t="s">
        <v>26</v>
      </c>
      <c r="D92" s="1" t="s">
        <v>22</v>
      </c>
      <c r="E92" s="16">
        <f>VLOOKUP(C92,收费标准!A$3:B$5,2,FALSE)</f>
        <v>2.5</v>
      </c>
      <c r="F92" s="2">
        <v>41785</v>
      </c>
      <c r="G92" s="4">
        <v>0.94174200000000008</v>
      </c>
      <c r="H92" s="2">
        <v>41786</v>
      </c>
      <c r="I92" s="4">
        <v>9.6535499999999996E-2</v>
      </c>
      <c r="J92" s="29">
        <f t="shared" si="4"/>
        <v>0.15479349999999981</v>
      </c>
      <c r="K92" s="16">
        <f t="shared" si="5"/>
        <v>37.5</v>
      </c>
      <c r="L92" s="17">
        <f t="shared" si="6"/>
        <v>35</v>
      </c>
      <c r="M92" s="17">
        <f t="shared" si="7"/>
        <v>-2.5</v>
      </c>
    </row>
    <row r="93" spans="1:13" ht="14.25" x14ac:dyDescent="0.15">
      <c r="A93" s="6">
        <v>92</v>
      </c>
      <c r="B93" s="1" t="s">
        <v>98</v>
      </c>
      <c r="C93" s="1" t="s">
        <v>26</v>
      </c>
      <c r="D93" s="1" t="s">
        <v>15</v>
      </c>
      <c r="E93" s="16">
        <f>VLOOKUP(C93,收费标准!A$3:B$5,2,FALSE)</f>
        <v>2.5</v>
      </c>
      <c r="F93" s="2">
        <v>41785</v>
      </c>
      <c r="G93" s="4">
        <v>0.95146500000000001</v>
      </c>
      <c r="H93" s="2">
        <v>41786</v>
      </c>
      <c r="I93" s="4">
        <v>0.41392200000000001</v>
      </c>
      <c r="J93" s="29">
        <f t="shared" si="4"/>
        <v>0.4624569999999999</v>
      </c>
      <c r="K93" s="16">
        <f t="shared" si="5"/>
        <v>112.5</v>
      </c>
      <c r="L93" s="17">
        <f t="shared" si="6"/>
        <v>110</v>
      </c>
      <c r="M93" s="17">
        <f t="shared" si="7"/>
        <v>-2.5</v>
      </c>
    </row>
    <row r="94" spans="1:13" ht="14.25" x14ac:dyDescent="0.15">
      <c r="A94" s="6">
        <v>93</v>
      </c>
      <c r="B94" s="1" t="s">
        <v>89</v>
      </c>
      <c r="C94" s="1" t="s">
        <v>26</v>
      </c>
      <c r="D94" s="1" t="s">
        <v>15</v>
      </c>
      <c r="E94" s="16">
        <f>VLOOKUP(C94,收费标准!A$3:B$5,2,FALSE)</f>
        <v>2.5</v>
      </c>
      <c r="F94" s="2">
        <v>41785</v>
      </c>
      <c r="G94" s="4">
        <v>0.95215950000000005</v>
      </c>
      <c r="H94" s="2">
        <v>41786</v>
      </c>
      <c r="I94" s="4">
        <v>0.23404650000000002</v>
      </c>
      <c r="J94" s="29">
        <f t="shared" si="4"/>
        <v>0.281887</v>
      </c>
      <c r="K94" s="16">
        <f t="shared" si="5"/>
        <v>70</v>
      </c>
      <c r="L94" s="17">
        <f t="shared" si="6"/>
        <v>67.5</v>
      </c>
      <c r="M94" s="17">
        <f t="shared" si="7"/>
        <v>-2.5</v>
      </c>
    </row>
    <row r="95" spans="1:13" ht="14.25" x14ac:dyDescent="0.15">
      <c r="A95" s="6">
        <v>94</v>
      </c>
      <c r="B95" s="1" t="s">
        <v>58</v>
      </c>
      <c r="C95" s="1" t="s">
        <v>26</v>
      </c>
      <c r="D95" s="1" t="s">
        <v>22</v>
      </c>
      <c r="E95" s="16">
        <f>VLOOKUP(C95,收费标准!A$3:B$5,2,FALSE)</f>
        <v>2.5</v>
      </c>
      <c r="F95" s="2">
        <v>41785</v>
      </c>
      <c r="G95" s="4">
        <v>0.98341200000000006</v>
      </c>
      <c r="H95" s="2">
        <v>41786</v>
      </c>
      <c r="I95" s="4">
        <v>0.30488550000000003</v>
      </c>
      <c r="J95" s="29">
        <f t="shared" si="4"/>
        <v>0.32147350000000008</v>
      </c>
      <c r="K95" s="16">
        <f t="shared" si="5"/>
        <v>77.5</v>
      </c>
      <c r="L95" s="17">
        <f t="shared" si="6"/>
        <v>75</v>
      </c>
      <c r="M95" s="17">
        <f t="shared" si="7"/>
        <v>-2.5</v>
      </c>
    </row>
    <row r="96" spans="1:13" ht="14.25" x14ac:dyDescent="0.15">
      <c r="A96" s="6">
        <v>95</v>
      </c>
      <c r="B96" s="1" t="s">
        <v>83</v>
      </c>
      <c r="C96" s="1" t="s">
        <v>11</v>
      </c>
      <c r="D96" s="1" t="s">
        <v>15</v>
      </c>
      <c r="E96" s="16">
        <f>VLOOKUP(C96,收费标准!A$3:B$5,2,FALSE)</f>
        <v>2</v>
      </c>
      <c r="F96" s="2">
        <v>41785</v>
      </c>
      <c r="G96" s="4">
        <v>0.98688450000000005</v>
      </c>
      <c r="H96" s="2">
        <v>41786</v>
      </c>
      <c r="I96" s="4">
        <v>0.48684450000000001</v>
      </c>
      <c r="J96" s="29">
        <f t="shared" si="4"/>
        <v>0.49996000000000007</v>
      </c>
      <c r="K96" s="16">
        <f t="shared" si="5"/>
        <v>96</v>
      </c>
      <c r="L96" s="17">
        <f t="shared" si="6"/>
        <v>94</v>
      </c>
      <c r="M96" s="17">
        <f t="shared" si="7"/>
        <v>-2</v>
      </c>
    </row>
    <row r="97" spans="1:13" ht="14.25" x14ac:dyDescent="0.15">
      <c r="A97" s="6">
        <v>96</v>
      </c>
      <c r="B97" s="1" t="s">
        <v>103</v>
      </c>
      <c r="C97" s="1" t="s">
        <v>14</v>
      </c>
      <c r="D97" s="1" t="s">
        <v>15</v>
      </c>
      <c r="E97" s="16">
        <f>VLOOKUP(C97,收费标准!A$3:B$5,2,FALSE)</f>
        <v>1.5</v>
      </c>
      <c r="F97" s="2">
        <v>41785</v>
      </c>
      <c r="G97" s="4">
        <v>0.99799650000000006</v>
      </c>
      <c r="H97" s="2">
        <v>41786</v>
      </c>
      <c r="I97" s="4">
        <v>0.12431550000000001</v>
      </c>
      <c r="J97" s="29">
        <f t="shared" si="4"/>
        <v>0.12631899999999996</v>
      </c>
      <c r="K97" s="16">
        <f t="shared" si="5"/>
        <v>19.5</v>
      </c>
      <c r="L97" s="17">
        <f t="shared" si="6"/>
        <v>18</v>
      </c>
      <c r="M97" s="17">
        <f t="shared" si="7"/>
        <v>-1.5</v>
      </c>
    </row>
    <row r="98" spans="1:13" ht="14.25" x14ac:dyDescent="0.15">
      <c r="A98" s="6">
        <v>97</v>
      </c>
      <c r="B98" s="1" t="s">
        <v>142</v>
      </c>
      <c r="C98" s="1" t="s">
        <v>14</v>
      </c>
      <c r="D98" s="1" t="s">
        <v>22</v>
      </c>
      <c r="E98" s="16">
        <f>VLOOKUP(C98,收费标准!A$3:B$5,2,FALSE)</f>
        <v>1.5</v>
      </c>
      <c r="F98" s="2">
        <v>41786</v>
      </c>
      <c r="G98" s="4">
        <v>6.9450000000000002E-4</v>
      </c>
      <c r="H98" s="2">
        <v>41786</v>
      </c>
      <c r="I98" s="4">
        <v>0.16737450000000001</v>
      </c>
      <c r="J98" s="29">
        <f t="shared" si="4"/>
        <v>0.16668000000000002</v>
      </c>
      <c r="K98" s="16">
        <f t="shared" si="5"/>
        <v>25.5</v>
      </c>
      <c r="L98" s="17">
        <f t="shared" si="6"/>
        <v>24</v>
      </c>
      <c r="M98" s="17">
        <f t="shared" si="7"/>
        <v>-1.5</v>
      </c>
    </row>
    <row r="99" spans="1:13" ht="14.25" x14ac:dyDescent="0.15">
      <c r="A99" s="6">
        <v>98</v>
      </c>
      <c r="B99" s="1" t="s">
        <v>43</v>
      </c>
      <c r="C99" s="1" t="s">
        <v>26</v>
      </c>
      <c r="D99" s="1" t="s">
        <v>15</v>
      </c>
      <c r="E99" s="16">
        <f>VLOOKUP(C99,收费标准!A$3:B$5,2,FALSE)</f>
        <v>2.5</v>
      </c>
      <c r="F99" s="2">
        <v>41786</v>
      </c>
      <c r="G99" s="4">
        <v>2.9863500000000001E-2</v>
      </c>
      <c r="H99" s="2">
        <v>41786</v>
      </c>
      <c r="I99" s="4">
        <v>0.659775</v>
      </c>
      <c r="J99" s="29">
        <f t="shared" si="4"/>
        <v>0.62991149999999996</v>
      </c>
      <c r="K99" s="16">
        <f t="shared" si="5"/>
        <v>152.5</v>
      </c>
      <c r="L99" s="17">
        <f t="shared" si="6"/>
        <v>150</v>
      </c>
      <c r="M99" s="17">
        <f t="shared" si="7"/>
        <v>-2.5</v>
      </c>
    </row>
    <row r="100" spans="1:13" ht="14.25" x14ac:dyDescent="0.15">
      <c r="A100" s="6">
        <v>99</v>
      </c>
      <c r="B100" s="1" t="s">
        <v>126</v>
      </c>
      <c r="C100" s="1" t="s">
        <v>14</v>
      </c>
      <c r="D100" s="1" t="s">
        <v>12</v>
      </c>
      <c r="E100" s="16">
        <f>VLOOKUP(C100,收费标准!A$3:B$5,2,FALSE)</f>
        <v>1.5</v>
      </c>
      <c r="F100" s="2">
        <v>41786</v>
      </c>
      <c r="G100" s="4">
        <v>6.3199500000000006E-2</v>
      </c>
      <c r="H100" s="2">
        <v>41786</v>
      </c>
      <c r="I100" s="4">
        <v>0.259743</v>
      </c>
      <c r="J100" s="29">
        <f t="shared" si="4"/>
        <v>0.19654349999999998</v>
      </c>
      <c r="K100" s="16">
        <f t="shared" si="5"/>
        <v>28.5</v>
      </c>
      <c r="L100" s="17">
        <f t="shared" si="6"/>
        <v>27</v>
      </c>
      <c r="M100" s="17">
        <f t="shared" si="7"/>
        <v>-1.5</v>
      </c>
    </row>
    <row r="101" spans="1:13" ht="14.25" x14ac:dyDescent="0.15">
      <c r="A101" s="6">
        <v>100</v>
      </c>
      <c r="B101" s="1" t="s">
        <v>129</v>
      </c>
      <c r="C101" s="1" t="s">
        <v>11</v>
      </c>
      <c r="D101" s="1" t="s">
        <v>12</v>
      </c>
      <c r="E101" s="16">
        <f>VLOOKUP(C101,收费标准!A$3:B$5,2,FALSE)</f>
        <v>2</v>
      </c>
      <c r="F101" s="2">
        <v>41786</v>
      </c>
      <c r="G101" s="4">
        <v>7.7784000000000006E-2</v>
      </c>
      <c r="H101" s="2">
        <v>41786</v>
      </c>
      <c r="I101" s="4">
        <v>0.54032100000000005</v>
      </c>
      <c r="J101" s="29">
        <f t="shared" si="4"/>
        <v>0.46253700000000003</v>
      </c>
      <c r="K101" s="16">
        <f t="shared" si="5"/>
        <v>90</v>
      </c>
      <c r="L101" s="17">
        <f t="shared" si="6"/>
        <v>88</v>
      </c>
      <c r="M101" s="17">
        <f t="shared" si="7"/>
        <v>-2</v>
      </c>
    </row>
    <row r="102" spans="1:13" ht="14.25" x14ac:dyDescent="0.15">
      <c r="A102" s="6">
        <v>101</v>
      </c>
      <c r="B102" s="1" t="s">
        <v>127</v>
      </c>
      <c r="C102" s="1" t="s">
        <v>14</v>
      </c>
      <c r="D102" s="1" t="s">
        <v>22</v>
      </c>
      <c r="E102" s="16">
        <f>VLOOKUP(C102,收费标准!A$3:B$5,2,FALSE)</f>
        <v>1.5</v>
      </c>
      <c r="F102" s="2">
        <v>41786</v>
      </c>
      <c r="G102" s="4">
        <v>8.1950999999999996E-2</v>
      </c>
      <c r="H102" s="2">
        <v>41786</v>
      </c>
      <c r="I102" s="4">
        <v>0.75700500000000004</v>
      </c>
      <c r="J102" s="29">
        <f t="shared" si="4"/>
        <v>0.67505400000000004</v>
      </c>
      <c r="K102" s="16">
        <f t="shared" si="5"/>
        <v>97.5</v>
      </c>
      <c r="L102" s="17">
        <f t="shared" si="6"/>
        <v>96</v>
      </c>
      <c r="M102" s="17">
        <f t="shared" si="7"/>
        <v>-1.5</v>
      </c>
    </row>
    <row r="103" spans="1:13" ht="14.25" x14ac:dyDescent="0.15">
      <c r="A103" s="6">
        <v>102</v>
      </c>
      <c r="B103" s="1" t="s">
        <v>125</v>
      </c>
      <c r="C103" s="1" t="s">
        <v>26</v>
      </c>
      <c r="D103" s="1" t="s">
        <v>17</v>
      </c>
      <c r="E103" s="16">
        <f>VLOOKUP(C103,收费标准!A$3:B$5,2,FALSE)</f>
        <v>2.5</v>
      </c>
      <c r="F103" s="2">
        <v>41786</v>
      </c>
      <c r="G103" s="4">
        <v>8.4034499999999998E-2</v>
      </c>
      <c r="H103" s="2">
        <v>41786</v>
      </c>
      <c r="I103" s="4">
        <v>0.45142500000000002</v>
      </c>
      <c r="J103" s="29">
        <f t="shared" si="4"/>
        <v>0.36739050000000001</v>
      </c>
      <c r="K103" s="16">
        <f t="shared" si="5"/>
        <v>90</v>
      </c>
      <c r="L103" s="17">
        <f t="shared" si="6"/>
        <v>87.5</v>
      </c>
      <c r="M103" s="17">
        <f t="shared" si="7"/>
        <v>-2.5</v>
      </c>
    </row>
    <row r="104" spans="1:13" ht="14.25" x14ac:dyDescent="0.15">
      <c r="A104" s="6">
        <v>103</v>
      </c>
      <c r="B104" s="1" t="s">
        <v>121</v>
      </c>
      <c r="C104" s="1" t="s">
        <v>11</v>
      </c>
      <c r="D104" s="1" t="s">
        <v>12</v>
      </c>
      <c r="E104" s="16">
        <f>VLOOKUP(C104,收费标准!A$3:B$5,2,FALSE)</f>
        <v>2</v>
      </c>
      <c r="F104" s="2">
        <v>41786</v>
      </c>
      <c r="G104" s="4">
        <v>0.1132035</v>
      </c>
      <c r="H104" s="2">
        <v>41786</v>
      </c>
      <c r="I104" s="4">
        <v>0.25279800000000002</v>
      </c>
      <c r="J104" s="29">
        <f t="shared" si="4"/>
        <v>0.13959450000000001</v>
      </c>
      <c r="K104" s="16">
        <f t="shared" si="5"/>
        <v>28</v>
      </c>
      <c r="L104" s="17">
        <f t="shared" si="6"/>
        <v>26</v>
      </c>
      <c r="M104" s="17">
        <f t="shared" si="7"/>
        <v>-2</v>
      </c>
    </row>
    <row r="105" spans="1:13" ht="14.25" x14ac:dyDescent="0.15">
      <c r="A105" s="6">
        <v>104</v>
      </c>
      <c r="B105" s="1" t="s">
        <v>62</v>
      </c>
      <c r="C105" s="1" t="s">
        <v>14</v>
      </c>
      <c r="D105" s="1" t="s">
        <v>17</v>
      </c>
      <c r="E105" s="16">
        <f>VLOOKUP(C105,收费标准!A$3:B$5,2,FALSE)</f>
        <v>1.5</v>
      </c>
      <c r="F105" s="2">
        <v>41786</v>
      </c>
      <c r="G105" s="4">
        <v>0.15695700000000001</v>
      </c>
      <c r="H105" s="2">
        <v>41786</v>
      </c>
      <c r="I105" s="4">
        <v>0.53545949999999998</v>
      </c>
      <c r="J105" s="29">
        <f t="shared" si="4"/>
        <v>0.37850249999999996</v>
      </c>
      <c r="K105" s="16">
        <f t="shared" si="5"/>
        <v>55.5</v>
      </c>
      <c r="L105" s="17">
        <f t="shared" si="6"/>
        <v>54</v>
      </c>
      <c r="M105" s="17">
        <f t="shared" si="7"/>
        <v>-1.5</v>
      </c>
    </row>
    <row r="106" spans="1:13" ht="14.25" x14ac:dyDescent="0.15">
      <c r="A106" s="6">
        <v>105</v>
      </c>
      <c r="B106" s="1" t="s">
        <v>135</v>
      </c>
      <c r="C106" s="1" t="s">
        <v>14</v>
      </c>
      <c r="D106" s="1" t="s">
        <v>17</v>
      </c>
      <c r="E106" s="16">
        <f>VLOOKUP(C106,收费标准!A$3:B$5,2,FALSE)</f>
        <v>1.5</v>
      </c>
      <c r="F106" s="2">
        <v>41786</v>
      </c>
      <c r="G106" s="4">
        <v>0.204183</v>
      </c>
      <c r="H106" s="2">
        <v>41786</v>
      </c>
      <c r="I106" s="4">
        <v>0.79589700000000008</v>
      </c>
      <c r="J106" s="29">
        <f t="shared" si="4"/>
        <v>0.59171400000000007</v>
      </c>
      <c r="K106" s="16">
        <f t="shared" si="5"/>
        <v>85.5</v>
      </c>
      <c r="L106" s="17">
        <f t="shared" si="6"/>
        <v>84</v>
      </c>
      <c r="M106" s="17">
        <f t="shared" si="7"/>
        <v>-1.5</v>
      </c>
    </row>
    <row r="107" spans="1:13" ht="14.25" x14ac:dyDescent="0.15">
      <c r="A107" s="6">
        <v>106</v>
      </c>
      <c r="B107" s="1" t="s">
        <v>41</v>
      </c>
      <c r="C107" s="1" t="s">
        <v>26</v>
      </c>
      <c r="D107" s="1" t="s">
        <v>22</v>
      </c>
      <c r="E107" s="16">
        <f>VLOOKUP(C107,收费标准!A$3:B$5,2,FALSE)</f>
        <v>2.5</v>
      </c>
      <c r="F107" s="2">
        <v>41786</v>
      </c>
      <c r="G107" s="4">
        <v>0.22432350000000001</v>
      </c>
      <c r="H107" s="2">
        <v>41786</v>
      </c>
      <c r="I107" s="4">
        <v>0.67505400000000004</v>
      </c>
      <c r="J107" s="29">
        <f t="shared" si="4"/>
        <v>0.45073050000000003</v>
      </c>
      <c r="K107" s="16">
        <f t="shared" si="5"/>
        <v>110</v>
      </c>
      <c r="L107" s="17">
        <f t="shared" si="6"/>
        <v>107.5</v>
      </c>
      <c r="M107" s="17">
        <f t="shared" si="7"/>
        <v>-2.5</v>
      </c>
    </row>
    <row r="108" spans="1:13" ht="14.25" x14ac:dyDescent="0.15">
      <c r="A108" s="6">
        <v>107</v>
      </c>
      <c r="B108" s="1" t="s">
        <v>107</v>
      </c>
      <c r="C108" s="1" t="s">
        <v>11</v>
      </c>
      <c r="D108" s="1" t="s">
        <v>15</v>
      </c>
      <c r="E108" s="16">
        <f>VLOOKUP(C108,收费标准!A$3:B$5,2,FALSE)</f>
        <v>2</v>
      </c>
      <c r="F108" s="2">
        <v>41786</v>
      </c>
      <c r="G108" s="4">
        <v>0.25349250000000001</v>
      </c>
      <c r="H108" s="2">
        <v>41786</v>
      </c>
      <c r="I108" s="4">
        <v>0.46462049999999999</v>
      </c>
      <c r="J108" s="29">
        <f t="shared" si="4"/>
        <v>0.21112799999999998</v>
      </c>
      <c r="K108" s="16">
        <f t="shared" si="5"/>
        <v>42</v>
      </c>
      <c r="L108" s="17">
        <f t="shared" si="6"/>
        <v>40</v>
      </c>
      <c r="M108" s="17">
        <f t="shared" si="7"/>
        <v>-2</v>
      </c>
    </row>
    <row r="109" spans="1:13" ht="14.25" x14ac:dyDescent="0.15">
      <c r="A109" s="6">
        <v>108</v>
      </c>
      <c r="B109" s="1" t="s">
        <v>148</v>
      </c>
      <c r="C109" s="1" t="s">
        <v>11</v>
      </c>
      <c r="D109" s="1" t="s">
        <v>12</v>
      </c>
      <c r="E109" s="16">
        <f>VLOOKUP(C109,收费标准!A$3:B$5,2,FALSE)</f>
        <v>2</v>
      </c>
      <c r="F109" s="2">
        <v>41786</v>
      </c>
      <c r="G109" s="4">
        <v>0.262521</v>
      </c>
      <c r="H109" s="2">
        <v>41786</v>
      </c>
      <c r="I109" s="4">
        <v>0.26807700000000001</v>
      </c>
      <c r="J109" s="29">
        <f t="shared" si="4"/>
        <v>5.5560000000000054E-3</v>
      </c>
      <c r="K109" s="16">
        <f t="shared" si="5"/>
        <v>2</v>
      </c>
      <c r="L109" s="17">
        <f t="shared" si="6"/>
        <v>0</v>
      </c>
      <c r="M109" s="17">
        <f t="shared" si="7"/>
        <v>-2</v>
      </c>
    </row>
    <row r="110" spans="1:13" ht="14.25" x14ac:dyDescent="0.15">
      <c r="A110" s="6">
        <v>109</v>
      </c>
      <c r="B110" s="1" t="s">
        <v>68</v>
      </c>
      <c r="C110" s="1" t="s">
        <v>14</v>
      </c>
      <c r="D110" s="1" t="s">
        <v>17</v>
      </c>
      <c r="E110" s="16">
        <f>VLOOKUP(C110,收费标准!A$3:B$5,2,FALSE)</f>
        <v>1.5</v>
      </c>
      <c r="F110" s="2">
        <v>41786</v>
      </c>
      <c r="G110" s="4">
        <v>0.27779999999999999</v>
      </c>
      <c r="H110" s="2">
        <v>41786</v>
      </c>
      <c r="I110" s="4">
        <v>0.32224800000000003</v>
      </c>
      <c r="J110" s="29">
        <f t="shared" si="4"/>
        <v>4.4448000000000043E-2</v>
      </c>
      <c r="K110" s="16">
        <f t="shared" si="5"/>
        <v>7.5</v>
      </c>
      <c r="L110" s="17">
        <f t="shared" si="6"/>
        <v>6</v>
      </c>
      <c r="M110" s="17">
        <f t="shared" si="7"/>
        <v>-1.5</v>
      </c>
    </row>
    <row r="111" spans="1:13" ht="14.25" x14ac:dyDescent="0.15">
      <c r="A111" s="6">
        <v>110</v>
      </c>
      <c r="B111" s="1" t="s">
        <v>23</v>
      </c>
      <c r="C111" s="1" t="s">
        <v>14</v>
      </c>
      <c r="D111" s="1" t="s">
        <v>15</v>
      </c>
      <c r="E111" s="16">
        <f>VLOOKUP(C111,收费标准!A$3:B$5,2,FALSE)</f>
        <v>1.5</v>
      </c>
      <c r="F111" s="2">
        <v>41786</v>
      </c>
      <c r="G111" s="4">
        <v>0.288912</v>
      </c>
      <c r="H111" s="2">
        <v>41786</v>
      </c>
      <c r="I111" s="4">
        <v>0.53823750000000004</v>
      </c>
      <c r="J111" s="29">
        <f t="shared" si="4"/>
        <v>0.24932550000000003</v>
      </c>
      <c r="K111" s="16">
        <f t="shared" si="5"/>
        <v>36</v>
      </c>
      <c r="L111" s="17">
        <f t="shared" si="6"/>
        <v>34.5</v>
      </c>
      <c r="M111" s="17">
        <f t="shared" si="7"/>
        <v>-1.5</v>
      </c>
    </row>
    <row r="112" spans="1:13" ht="14.25" x14ac:dyDescent="0.15">
      <c r="A112" s="6">
        <v>111</v>
      </c>
      <c r="B112" s="1" t="s">
        <v>130</v>
      </c>
      <c r="C112" s="1" t="s">
        <v>26</v>
      </c>
      <c r="D112" s="1" t="s">
        <v>17</v>
      </c>
      <c r="E112" s="16">
        <f>VLOOKUP(C112,收费标准!A$3:B$5,2,FALSE)</f>
        <v>2.5</v>
      </c>
      <c r="F112" s="2">
        <v>41786</v>
      </c>
      <c r="G112" s="4">
        <v>0.30141299999999999</v>
      </c>
      <c r="H112" s="2">
        <v>41786</v>
      </c>
      <c r="I112" s="4">
        <v>0.46809300000000004</v>
      </c>
      <c r="J112" s="29">
        <f t="shared" si="4"/>
        <v>0.16668000000000005</v>
      </c>
      <c r="K112" s="16">
        <f t="shared" si="5"/>
        <v>42.5</v>
      </c>
      <c r="L112" s="17">
        <f t="shared" si="6"/>
        <v>40</v>
      </c>
      <c r="M112" s="17">
        <f t="shared" si="7"/>
        <v>-2.5</v>
      </c>
    </row>
    <row r="113" spans="1:13" ht="14.25" x14ac:dyDescent="0.15">
      <c r="A113" s="6">
        <v>112</v>
      </c>
      <c r="B113" s="1" t="s">
        <v>19</v>
      </c>
      <c r="C113" s="1" t="s">
        <v>11</v>
      </c>
      <c r="D113" s="1" t="s">
        <v>17</v>
      </c>
      <c r="E113" s="16">
        <f>VLOOKUP(C113,收费标准!A$3:B$5,2,FALSE)</f>
        <v>2</v>
      </c>
      <c r="F113" s="2">
        <v>41786</v>
      </c>
      <c r="G113" s="4">
        <v>0.35697299999999998</v>
      </c>
      <c r="H113" s="2">
        <v>41786</v>
      </c>
      <c r="I113" s="4">
        <v>0.44239650000000003</v>
      </c>
      <c r="J113" s="29">
        <f t="shared" si="4"/>
        <v>8.5423500000000041E-2</v>
      </c>
      <c r="K113" s="16">
        <f t="shared" si="5"/>
        <v>18</v>
      </c>
      <c r="L113" s="17">
        <f t="shared" si="6"/>
        <v>16</v>
      </c>
      <c r="M113" s="17">
        <f t="shared" si="7"/>
        <v>-2</v>
      </c>
    </row>
    <row r="114" spans="1:13" ht="14.25" x14ac:dyDescent="0.15">
      <c r="A114" s="6">
        <v>113</v>
      </c>
      <c r="B114" s="1" t="s">
        <v>71</v>
      </c>
      <c r="C114" s="1" t="s">
        <v>14</v>
      </c>
      <c r="D114" s="1" t="s">
        <v>17</v>
      </c>
      <c r="E114" s="16">
        <f>VLOOKUP(C114,收费标准!A$3:B$5,2,FALSE)</f>
        <v>1.5</v>
      </c>
      <c r="F114" s="2">
        <v>41786</v>
      </c>
      <c r="G114" s="4">
        <v>0.36461250000000001</v>
      </c>
      <c r="H114" s="2">
        <v>41786</v>
      </c>
      <c r="I114" s="4">
        <v>0.46948200000000001</v>
      </c>
      <c r="J114" s="29">
        <f t="shared" si="4"/>
        <v>0.1048695</v>
      </c>
      <c r="K114" s="16">
        <f t="shared" si="5"/>
        <v>16.5</v>
      </c>
      <c r="L114" s="17">
        <f t="shared" si="6"/>
        <v>15</v>
      </c>
      <c r="M114" s="17">
        <f t="shared" si="7"/>
        <v>-1.5</v>
      </c>
    </row>
    <row r="115" spans="1:13" ht="14.25" x14ac:dyDescent="0.15">
      <c r="A115" s="6">
        <v>114</v>
      </c>
      <c r="B115" s="1" t="s">
        <v>150</v>
      </c>
      <c r="C115" s="1" t="s">
        <v>11</v>
      </c>
      <c r="D115" s="1" t="s">
        <v>17</v>
      </c>
      <c r="E115" s="16">
        <f>VLOOKUP(C115,收费标准!A$3:B$5,2,FALSE)</f>
        <v>2</v>
      </c>
      <c r="F115" s="2">
        <v>41786</v>
      </c>
      <c r="G115" s="4">
        <v>0.37225200000000003</v>
      </c>
      <c r="H115" s="2">
        <v>41786</v>
      </c>
      <c r="I115" s="4">
        <v>0.65630250000000001</v>
      </c>
      <c r="J115" s="29">
        <f t="shared" si="4"/>
        <v>0.28405049999999998</v>
      </c>
      <c r="K115" s="16">
        <f t="shared" si="5"/>
        <v>56</v>
      </c>
      <c r="L115" s="17">
        <f t="shared" si="6"/>
        <v>54</v>
      </c>
      <c r="M115" s="17">
        <f t="shared" si="7"/>
        <v>-2</v>
      </c>
    </row>
    <row r="116" spans="1:13" ht="14.25" x14ac:dyDescent="0.15">
      <c r="A116" s="6">
        <v>115</v>
      </c>
      <c r="B116" s="1" t="s">
        <v>124</v>
      </c>
      <c r="C116" s="1" t="s">
        <v>26</v>
      </c>
      <c r="D116" s="1" t="s">
        <v>15</v>
      </c>
      <c r="E116" s="16">
        <f>VLOOKUP(C116,收费标准!A$3:B$5,2,FALSE)</f>
        <v>2.5</v>
      </c>
      <c r="F116" s="2">
        <v>41786</v>
      </c>
      <c r="G116" s="4">
        <v>0.37294650000000001</v>
      </c>
      <c r="H116" s="2">
        <v>41786</v>
      </c>
      <c r="I116" s="4">
        <v>0.55143300000000006</v>
      </c>
      <c r="J116" s="29">
        <f t="shared" si="4"/>
        <v>0.17848650000000005</v>
      </c>
      <c r="K116" s="16">
        <f t="shared" si="5"/>
        <v>45</v>
      </c>
      <c r="L116" s="17">
        <f t="shared" si="6"/>
        <v>42.5</v>
      </c>
      <c r="M116" s="17">
        <f t="shared" si="7"/>
        <v>-2.5</v>
      </c>
    </row>
    <row r="117" spans="1:13" ht="14.25" x14ac:dyDescent="0.15">
      <c r="A117" s="6">
        <v>116</v>
      </c>
      <c r="B117" s="1" t="s">
        <v>39</v>
      </c>
      <c r="C117" s="1" t="s">
        <v>11</v>
      </c>
      <c r="D117" s="1" t="s">
        <v>15</v>
      </c>
      <c r="E117" s="16">
        <f>VLOOKUP(C117,收费标准!A$3:B$5,2,FALSE)</f>
        <v>2</v>
      </c>
      <c r="F117" s="2">
        <v>41786</v>
      </c>
      <c r="G117" s="4">
        <v>0.38058600000000004</v>
      </c>
      <c r="H117" s="2">
        <v>41786</v>
      </c>
      <c r="I117" s="4">
        <v>0.53962650000000001</v>
      </c>
      <c r="J117" s="29">
        <f t="shared" si="4"/>
        <v>0.15904049999999997</v>
      </c>
      <c r="K117" s="16">
        <f t="shared" si="5"/>
        <v>32</v>
      </c>
      <c r="L117" s="17">
        <f t="shared" si="6"/>
        <v>30</v>
      </c>
      <c r="M117" s="17">
        <f t="shared" si="7"/>
        <v>-2</v>
      </c>
    </row>
    <row r="118" spans="1:13" ht="14.25" x14ac:dyDescent="0.15">
      <c r="A118" s="6">
        <v>117</v>
      </c>
      <c r="B118" s="1" t="s">
        <v>46</v>
      </c>
      <c r="C118" s="1" t="s">
        <v>14</v>
      </c>
      <c r="D118" s="1" t="s">
        <v>17</v>
      </c>
      <c r="E118" s="16">
        <f>VLOOKUP(C118,收费标准!A$3:B$5,2,FALSE)</f>
        <v>1.5</v>
      </c>
      <c r="F118" s="2">
        <v>41786</v>
      </c>
      <c r="G118" s="4">
        <v>0.39794850000000004</v>
      </c>
      <c r="H118" s="2">
        <v>41787</v>
      </c>
      <c r="I118" s="4">
        <v>1.7362499999999999E-2</v>
      </c>
      <c r="J118" s="29">
        <f t="shared" si="4"/>
        <v>0.61941399999999991</v>
      </c>
      <c r="K118" s="16">
        <f t="shared" si="5"/>
        <v>90</v>
      </c>
      <c r="L118" s="17">
        <f t="shared" si="6"/>
        <v>88.5</v>
      </c>
      <c r="M118" s="17">
        <f t="shared" si="7"/>
        <v>-1.5</v>
      </c>
    </row>
    <row r="119" spans="1:13" ht="14.25" x14ac:dyDescent="0.15">
      <c r="A119" s="6">
        <v>118</v>
      </c>
      <c r="B119" s="1" t="s">
        <v>141</v>
      </c>
      <c r="C119" s="1" t="s">
        <v>26</v>
      </c>
      <c r="D119" s="1" t="s">
        <v>15</v>
      </c>
      <c r="E119" s="16">
        <f>VLOOKUP(C119,收费标准!A$3:B$5,2,FALSE)</f>
        <v>2.5</v>
      </c>
      <c r="F119" s="2">
        <v>41786</v>
      </c>
      <c r="G119" s="4">
        <v>0.45350850000000004</v>
      </c>
      <c r="H119" s="2">
        <v>41786</v>
      </c>
      <c r="I119" s="4">
        <v>0.69519450000000005</v>
      </c>
      <c r="J119" s="29">
        <f t="shared" si="4"/>
        <v>0.24168600000000001</v>
      </c>
      <c r="K119" s="16">
        <f t="shared" si="5"/>
        <v>60</v>
      </c>
      <c r="L119" s="17">
        <f t="shared" si="6"/>
        <v>57.5</v>
      </c>
      <c r="M119" s="17">
        <f t="shared" si="7"/>
        <v>-2.5</v>
      </c>
    </row>
    <row r="120" spans="1:13" ht="14.25" x14ac:dyDescent="0.15">
      <c r="A120" s="6">
        <v>119</v>
      </c>
      <c r="B120" s="1" t="s">
        <v>94</v>
      </c>
      <c r="C120" s="1" t="s">
        <v>11</v>
      </c>
      <c r="D120" s="1" t="s">
        <v>17</v>
      </c>
      <c r="E120" s="16">
        <f>VLOOKUP(C120,收费标准!A$3:B$5,2,FALSE)</f>
        <v>2</v>
      </c>
      <c r="F120" s="2">
        <v>41786</v>
      </c>
      <c r="G120" s="4">
        <v>0.4757325</v>
      </c>
      <c r="H120" s="2">
        <v>41786</v>
      </c>
      <c r="I120" s="4">
        <v>0.73547550000000006</v>
      </c>
      <c r="J120" s="29">
        <f t="shared" si="4"/>
        <v>0.25974300000000006</v>
      </c>
      <c r="K120" s="16">
        <f t="shared" si="5"/>
        <v>50</v>
      </c>
      <c r="L120" s="17">
        <f t="shared" si="6"/>
        <v>48</v>
      </c>
      <c r="M120" s="17">
        <f t="shared" si="7"/>
        <v>-2</v>
      </c>
    </row>
    <row r="121" spans="1:13" ht="14.25" x14ac:dyDescent="0.15">
      <c r="A121" s="6">
        <v>120</v>
      </c>
      <c r="B121" s="1" t="s">
        <v>122</v>
      </c>
      <c r="C121" s="1" t="s">
        <v>14</v>
      </c>
      <c r="D121" s="1" t="s">
        <v>22</v>
      </c>
      <c r="E121" s="16">
        <f>VLOOKUP(C121,收费标准!A$3:B$5,2,FALSE)</f>
        <v>1.5</v>
      </c>
      <c r="F121" s="2">
        <v>41786</v>
      </c>
      <c r="G121" s="4">
        <v>0.484761</v>
      </c>
      <c r="H121" s="2">
        <v>41786</v>
      </c>
      <c r="I121" s="4">
        <v>0.519486</v>
      </c>
      <c r="J121" s="29">
        <f t="shared" si="4"/>
        <v>3.4725000000000006E-2</v>
      </c>
      <c r="K121" s="16">
        <f t="shared" si="5"/>
        <v>6</v>
      </c>
      <c r="L121" s="17">
        <f t="shared" si="6"/>
        <v>4.5</v>
      </c>
      <c r="M121" s="17">
        <f t="shared" si="7"/>
        <v>-1.5</v>
      </c>
    </row>
    <row r="122" spans="1:13" ht="14.25" x14ac:dyDescent="0.15">
      <c r="A122" s="6">
        <v>121</v>
      </c>
      <c r="B122" s="1" t="s">
        <v>95</v>
      </c>
      <c r="C122" s="1" t="s">
        <v>26</v>
      </c>
      <c r="D122" s="1" t="s">
        <v>22</v>
      </c>
      <c r="E122" s="16">
        <f>VLOOKUP(C122,收费标准!A$3:B$5,2,FALSE)</f>
        <v>2.5</v>
      </c>
      <c r="F122" s="2">
        <v>41786</v>
      </c>
      <c r="G122" s="4">
        <v>0.490317</v>
      </c>
      <c r="H122" s="2">
        <v>41786</v>
      </c>
      <c r="I122" s="4">
        <v>0.59101950000000003</v>
      </c>
      <c r="J122" s="29">
        <f t="shared" si="4"/>
        <v>0.10070250000000003</v>
      </c>
      <c r="K122" s="16">
        <f t="shared" si="5"/>
        <v>25</v>
      </c>
      <c r="L122" s="17">
        <f t="shared" si="6"/>
        <v>22.5</v>
      </c>
      <c r="M122" s="17">
        <f t="shared" si="7"/>
        <v>-2.5</v>
      </c>
    </row>
    <row r="123" spans="1:13" ht="14.25" x14ac:dyDescent="0.15">
      <c r="A123" s="6">
        <v>122</v>
      </c>
      <c r="B123" s="1" t="s">
        <v>54</v>
      </c>
      <c r="C123" s="1" t="s">
        <v>11</v>
      </c>
      <c r="D123" s="1" t="s">
        <v>15</v>
      </c>
      <c r="E123" s="16">
        <f>VLOOKUP(C123,收费标准!A$3:B$5,2,FALSE)</f>
        <v>2</v>
      </c>
      <c r="F123" s="2">
        <v>41786</v>
      </c>
      <c r="G123" s="4">
        <v>0.4993455</v>
      </c>
      <c r="H123" s="2">
        <v>41787</v>
      </c>
      <c r="I123" s="4">
        <v>2.6391000000000001E-2</v>
      </c>
      <c r="J123" s="29">
        <f t="shared" si="4"/>
        <v>0.52704550000000006</v>
      </c>
      <c r="K123" s="16">
        <f t="shared" si="5"/>
        <v>102</v>
      </c>
      <c r="L123" s="17">
        <f t="shared" si="6"/>
        <v>100</v>
      </c>
      <c r="M123" s="17">
        <f t="shared" si="7"/>
        <v>-2</v>
      </c>
    </row>
    <row r="124" spans="1:13" ht="14.25" x14ac:dyDescent="0.15">
      <c r="A124" s="6">
        <v>123</v>
      </c>
      <c r="B124" s="1" t="s">
        <v>132</v>
      </c>
      <c r="C124" s="1" t="s">
        <v>26</v>
      </c>
      <c r="D124" s="1" t="s">
        <v>12</v>
      </c>
      <c r="E124" s="16">
        <f>VLOOKUP(C124,收费标准!A$3:B$5,2,FALSE)</f>
        <v>2.5</v>
      </c>
      <c r="F124" s="2">
        <v>41786</v>
      </c>
      <c r="G124" s="4">
        <v>0.50420699999999996</v>
      </c>
      <c r="H124" s="2">
        <v>41786</v>
      </c>
      <c r="I124" s="4">
        <v>0.53337600000000007</v>
      </c>
      <c r="J124" s="29">
        <f t="shared" si="4"/>
        <v>2.9169000000000112E-2</v>
      </c>
      <c r="K124" s="16">
        <f t="shared" si="5"/>
        <v>7.5</v>
      </c>
      <c r="L124" s="17">
        <f t="shared" si="6"/>
        <v>5</v>
      </c>
      <c r="M124" s="17">
        <f t="shared" si="7"/>
        <v>-2.5</v>
      </c>
    </row>
    <row r="125" spans="1:13" ht="14.25" x14ac:dyDescent="0.15">
      <c r="A125" s="6">
        <v>124</v>
      </c>
      <c r="B125" s="1" t="s">
        <v>146</v>
      </c>
      <c r="C125" s="1" t="s">
        <v>11</v>
      </c>
      <c r="D125" s="1" t="s">
        <v>12</v>
      </c>
      <c r="E125" s="16">
        <f>VLOOKUP(C125,收费标准!A$3:B$5,2,FALSE)</f>
        <v>2</v>
      </c>
      <c r="F125" s="2">
        <v>41786</v>
      </c>
      <c r="G125" s="4">
        <v>0.51462450000000004</v>
      </c>
      <c r="H125" s="2">
        <v>41786</v>
      </c>
      <c r="I125" s="4">
        <v>0.82853850000000007</v>
      </c>
      <c r="J125" s="29">
        <f t="shared" si="4"/>
        <v>0.31391400000000003</v>
      </c>
      <c r="K125" s="16">
        <f t="shared" si="5"/>
        <v>62</v>
      </c>
      <c r="L125" s="17">
        <f t="shared" si="6"/>
        <v>60</v>
      </c>
      <c r="M125" s="17">
        <f t="shared" si="7"/>
        <v>-2</v>
      </c>
    </row>
    <row r="126" spans="1:13" ht="14.25" x14ac:dyDescent="0.15">
      <c r="A126" s="6">
        <v>125</v>
      </c>
      <c r="B126" s="1" t="s">
        <v>138</v>
      </c>
      <c r="C126" s="1" t="s">
        <v>11</v>
      </c>
      <c r="D126" s="1" t="s">
        <v>15</v>
      </c>
      <c r="E126" s="16">
        <f>VLOOKUP(C126,收费标准!A$3:B$5,2,FALSE)</f>
        <v>2</v>
      </c>
      <c r="F126" s="2">
        <v>41786</v>
      </c>
      <c r="G126" s="4">
        <v>0.53684850000000006</v>
      </c>
      <c r="H126" s="2">
        <v>41786</v>
      </c>
      <c r="I126" s="4">
        <v>0.98132850000000005</v>
      </c>
      <c r="J126" s="29">
        <f t="shared" si="4"/>
        <v>0.44447999999999999</v>
      </c>
      <c r="K126" s="16">
        <f t="shared" si="5"/>
        <v>86</v>
      </c>
      <c r="L126" s="17">
        <f t="shared" si="6"/>
        <v>84</v>
      </c>
      <c r="M126" s="17">
        <f t="shared" si="7"/>
        <v>-2</v>
      </c>
    </row>
    <row r="127" spans="1:13" ht="14.25" x14ac:dyDescent="0.15">
      <c r="A127" s="6">
        <v>126</v>
      </c>
      <c r="B127" s="1" t="s">
        <v>57</v>
      </c>
      <c r="C127" s="1" t="s">
        <v>11</v>
      </c>
      <c r="D127" s="1" t="s">
        <v>15</v>
      </c>
      <c r="E127" s="16">
        <f>VLOOKUP(C127,收费标准!A$3:B$5,2,FALSE)</f>
        <v>2</v>
      </c>
      <c r="F127" s="2">
        <v>41786</v>
      </c>
      <c r="G127" s="4">
        <v>0.55976700000000001</v>
      </c>
      <c r="H127" s="2">
        <v>41786</v>
      </c>
      <c r="I127" s="4">
        <v>0.66949800000000004</v>
      </c>
      <c r="J127" s="29">
        <f t="shared" si="4"/>
        <v>0.10973100000000002</v>
      </c>
      <c r="K127" s="16">
        <f t="shared" si="5"/>
        <v>22</v>
      </c>
      <c r="L127" s="17">
        <f t="shared" si="6"/>
        <v>20</v>
      </c>
      <c r="M127" s="17">
        <f t="shared" si="7"/>
        <v>-2</v>
      </c>
    </row>
    <row r="128" spans="1:13" ht="14.25" x14ac:dyDescent="0.15">
      <c r="A128" s="6">
        <v>127</v>
      </c>
      <c r="B128" s="1" t="s">
        <v>33</v>
      </c>
      <c r="C128" s="1" t="s">
        <v>26</v>
      </c>
      <c r="D128" s="1" t="s">
        <v>12</v>
      </c>
      <c r="E128" s="16">
        <f>VLOOKUP(C128,收费标准!A$3:B$5,2,FALSE)</f>
        <v>2.5</v>
      </c>
      <c r="F128" s="2">
        <v>41786</v>
      </c>
      <c r="G128" s="4">
        <v>0.56115599999999999</v>
      </c>
      <c r="H128" s="2">
        <v>41786</v>
      </c>
      <c r="I128" s="4">
        <v>0.65769149999999998</v>
      </c>
      <c r="J128" s="29">
        <f t="shared" si="4"/>
        <v>9.6535499999999996E-2</v>
      </c>
      <c r="K128" s="16">
        <f t="shared" si="5"/>
        <v>25</v>
      </c>
      <c r="L128" s="17">
        <f t="shared" si="6"/>
        <v>22.5</v>
      </c>
      <c r="M128" s="17">
        <f t="shared" si="7"/>
        <v>-2.5</v>
      </c>
    </row>
    <row r="129" spans="1:13" ht="14.25" x14ac:dyDescent="0.15">
      <c r="A129" s="6">
        <v>128</v>
      </c>
      <c r="B129" s="1" t="s">
        <v>67</v>
      </c>
      <c r="C129" s="1" t="s">
        <v>11</v>
      </c>
      <c r="D129" s="1" t="s">
        <v>22</v>
      </c>
      <c r="E129" s="16">
        <f>VLOOKUP(C129,收费标准!A$3:B$5,2,FALSE)</f>
        <v>2</v>
      </c>
      <c r="F129" s="2">
        <v>41786</v>
      </c>
      <c r="G129" s="4">
        <v>0.57296250000000004</v>
      </c>
      <c r="H129" s="2">
        <v>41786</v>
      </c>
      <c r="I129" s="4">
        <v>0.65630250000000001</v>
      </c>
      <c r="J129" s="29">
        <f t="shared" si="4"/>
        <v>8.333999999999997E-2</v>
      </c>
      <c r="K129" s="16">
        <f t="shared" si="5"/>
        <v>18</v>
      </c>
      <c r="L129" s="17">
        <f t="shared" si="6"/>
        <v>16</v>
      </c>
      <c r="M129" s="17">
        <f t="shared" si="7"/>
        <v>-2</v>
      </c>
    </row>
    <row r="130" spans="1:13" ht="14.25" x14ac:dyDescent="0.15">
      <c r="A130" s="6">
        <v>129</v>
      </c>
      <c r="B130" s="1" t="s">
        <v>105</v>
      </c>
      <c r="C130" s="1" t="s">
        <v>11</v>
      </c>
      <c r="D130" s="1" t="s">
        <v>22</v>
      </c>
      <c r="E130" s="16">
        <f>VLOOKUP(C130,收费标准!A$3:B$5,2,FALSE)</f>
        <v>2</v>
      </c>
      <c r="F130" s="2">
        <v>41786</v>
      </c>
      <c r="G130" s="4">
        <v>0.57435150000000001</v>
      </c>
      <c r="H130" s="2">
        <v>41787</v>
      </c>
      <c r="I130" s="4">
        <v>0.21946200000000002</v>
      </c>
      <c r="J130" s="29">
        <f t="shared" si="4"/>
        <v>0.64511050000000003</v>
      </c>
      <c r="K130" s="16">
        <f t="shared" si="5"/>
        <v>124</v>
      </c>
      <c r="L130" s="17">
        <f t="shared" si="6"/>
        <v>122</v>
      </c>
      <c r="M130" s="17">
        <f t="shared" si="7"/>
        <v>-2</v>
      </c>
    </row>
    <row r="131" spans="1:13" ht="14.25" x14ac:dyDescent="0.15">
      <c r="A131" s="6">
        <v>130</v>
      </c>
      <c r="B131" s="1" t="s">
        <v>38</v>
      </c>
      <c r="C131" s="1" t="s">
        <v>26</v>
      </c>
      <c r="D131" s="1" t="s">
        <v>15</v>
      </c>
      <c r="E131" s="16">
        <f>VLOOKUP(C131,收费标准!A$3:B$5,2,FALSE)</f>
        <v>2.5</v>
      </c>
      <c r="F131" s="2">
        <v>41786</v>
      </c>
      <c r="G131" s="4">
        <v>0.57643500000000003</v>
      </c>
      <c r="H131" s="2">
        <v>41786</v>
      </c>
      <c r="I131" s="4">
        <v>0.89798850000000008</v>
      </c>
      <c r="J131" s="29">
        <f t="shared" ref="J131:J194" si="8">H131-F131+I131-G131</f>
        <v>0.32155350000000005</v>
      </c>
      <c r="K131" s="16">
        <f t="shared" ref="K131:K194" si="9">ROUNDUP(J131*60*24/15,0)*E131</f>
        <v>77.5</v>
      </c>
      <c r="L131" s="17">
        <f t="shared" ref="L131:L194" si="10">ROUNDDOWN(J131*60*24/15,0)*E131</f>
        <v>75</v>
      </c>
      <c r="M131" s="17">
        <f t="shared" ref="M131:M194" si="11">L131-K131</f>
        <v>-2.5</v>
      </c>
    </row>
    <row r="132" spans="1:13" ht="14.25" x14ac:dyDescent="0.15">
      <c r="A132" s="6">
        <v>131</v>
      </c>
      <c r="B132" s="1" t="s">
        <v>131</v>
      </c>
      <c r="C132" s="1" t="s">
        <v>14</v>
      </c>
      <c r="D132" s="1" t="s">
        <v>22</v>
      </c>
      <c r="E132" s="16">
        <f>VLOOKUP(C132,收费标准!A$3:B$5,2,FALSE)</f>
        <v>1.5</v>
      </c>
      <c r="F132" s="2">
        <v>41786</v>
      </c>
      <c r="G132" s="4">
        <v>0.58754700000000004</v>
      </c>
      <c r="H132" s="2">
        <v>41786</v>
      </c>
      <c r="I132" s="4">
        <v>0.90979500000000002</v>
      </c>
      <c r="J132" s="29">
        <f t="shared" si="8"/>
        <v>0.32224799999999998</v>
      </c>
      <c r="K132" s="16">
        <f t="shared" si="9"/>
        <v>46.5</v>
      </c>
      <c r="L132" s="17">
        <f t="shared" si="10"/>
        <v>45</v>
      </c>
      <c r="M132" s="17">
        <f t="shared" si="11"/>
        <v>-1.5</v>
      </c>
    </row>
    <row r="133" spans="1:13" ht="14.25" x14ac:dyDescent="0.15">
      <c r="A133" s="6">
        <v>132</v>
      </c>
      <c r="B133" s="1" t="s">
        <v>78</v>
      </c>
      <c r="C133" s="1" t="s">
        <v>26</v>
      </c>
      <c r="D133" s="1" t="s">
        <v>15</v>
      </c>
      <c r="E133" s="16">
        <f>VLOOKUP(C133,收费标准!A$3:B$5,2,FALSE)</f>
        <v>2.5</v>
      </c>
      <c r="F133" s="2">
        <v>41786</v>
      </c>
      <c r="G133" s="4">
        <v>0.60282599999999997</v>
      </c>
      <c r="H133" s="2">
        <v>41786</v>
      </c>
      <c r="I133" s="4">
        <v>0.80909249999999999</v>
      </c>
      <c r="J133" s="29">
        <f t="shared" si="8"/>
        <v>0.20626650000000002</v>
      </c>
      <c r="K133" s="16">
        <f t="shared" si="9"/>
        <v>50</v>
      </c>
      <c r="L133" s="17">
        <f t="shared" si="10"/>
        <v>47.5</v>
      </c>
      <c r="M133" s="17">
        <f t="shared" si="11"/>
        <v>-2.5</v>
      </c>
    </row>
    <row r="134" spans="1:13" ht="14.25" x14ac:dyDescent="0.15">
      <c r="A134" s="6">
        <v>133</v>
      </c>
      <c r="B134" s="1" t="s">
        <v>109</v>
      </c>
      <c r="C134" s="1" t="s">
        <v>14</v>
      </c>
      <c r="D134" s="1" t="s">
        <v>17</v>
      </c>
      <c r="E134" s="16">
        <f>VLOOKUP(C134,收费标准!A$3:B$5,2,FALSE)</f>
        <v>1.5</v>
      </c>
      <c r="F134" s="2">
        <v>41786</v>
      </c>
      <c r="G134" s="4">
        <v>0.606993</v>
      </c>
      <c r="H134" s="2">
        <v>41786</v>
      </c>
      <c r="I134" s="4">
        <v>0.64310699999999998</v>
      </c>
      <c r="J134" s="29">
        <f t="shared" si="8"/>
        <v>3.6113999999999979E-2</v>
      </c>
      <c r="K134" s="16">
        <f t="shared" si="9"/>
        <v>6</v>
      </c>
      <c r="L134" s="17">
        <f t="shared" si="10"/>
        <v>4.5</v>
      </c>
      <c r="M134" s="17">
        <f t="shared" si="11"/>
        <v>-1.5</v>
      </c>
    </row>
    <row r="135" spans="1:13" ht="14.25" x14ac:dyDescent="0.15">
      <c r="A135" s="6">
        <v>134</v>
      </c>
      <c r="B135" s="1" t="s">
        <v>143</v>
      </c>
      <c r="C135" s="1" t="s">
        <v>14</v>
      </c>
      <c r="D135" s="1" t="s">
        <v>15</v>
      </c>
      <c r="E135" s="16">
        <f>VLOOKUP(C135,收费标准!A$3:B$5,2,FALSE)</f>
        <v>1.5</v>
      </c>
      <c r="F135" s="2">
        <v>41786</v>
      </c>
      <c r="G135" s="4">
        <v>0.60838199999999998</v>
      </c>
      <c r="H135" s="2">
        <v>41786</v>
      </c>
      <c r="I135" s="4">
        <v>0.94729800000000008</v>
      </c>
      <c r="J135" s="29">
        <f t="shared" si="8"/>
        <v>0.33891600000000011</v>
      </c>
      <c r="K135" s="16">
        <f t="shared" si="9"/>
        <v>49.5</v>
      </c>
      <c r="L135" s="17">
        <f t="shared" si="10"/>
        <v>48</v>
      </c>
      <c r="M135" s="17">
        <f t="shared" si="11"/>
        <v>-1.5</v>
      </c>
    </row>
    <row r="136" spans="1:13" ht="14.25" x14ac:dyDescent="0.15">
      <c r="A136" s="6">
        <v>135</v>
      </c>
      <c r="B136" s="1" t="s">
        <v>147</v>
      </c>
      <c r="C136" s="1" t="s">
        <v>26</v>
      </c>
      <c r="D136" s="1" t="s">
        <v>12</v>
      </c>
      <c r="E136" s="16">
        <f>VLOOKUP(C136,收费标准!A$3:B$5,2,FALSE)</f>
        <v>2.5</v>
      </c>
      <c r="F136" s="2">
        <v>41786</v>
      </c>
      <c r="G136" s="4">
        <v>0.62227200000000005</v>
      </c>
      <c r="H136" s="2">
        <v>41786</v>
      </c>
      <c r="I136" s="4">
        <v>0.96813300000000002</v>
      </c>
      <c r="J136" s="29">
        <f t="shared" si="8"/>
        <v>0.34586099999999997</v>
      </c>
      <c r="K136" s="16">
        <f t="shared" si="9"/>
        <v>85</v>
      </c>
      <c r="L136" s="17">
        <f t="shared" si="10"/>
        <v>82.5</v>
      </c>
      <c r="M136" s="17">
        <f t="shared" si="11"/>
        <v>-2.5</v>
      </c>
    </row>
    <row r="137" spans="1:13" ht="14.25" x14ac:dyDescent="0.15">
      <c r="A137" s="6">
        <v>136</v>
      </c>
      <c r="B137" s="1" t="s">
        <v>88</v>
      </c>
      <c r="C137" s="1" t="s">
        <v>11</v>
      </c>
      <c r="D137" s="1" t="s">
        <v>15</v>
      </c>
      <c r="E137" s="16">
        <f>VLOOKUP(C137,收费标准!A$3:B$5,2,FALSE)</f>
        <v>2</v>
      </c>
      <c r="F137" s="2">
        <v>41786</v>
      </c>
      <c r="G137" s="4">
        <v>0.62504999999999999</v>
      </c>
      <c r="H137" s="2">
        <v>41786</v>
      </c>
      <c r="I137" s="4">
        <v>0.84173399999999998</v>
      </c>
      <c r="J137" s="29">
        <f t="shared" si="8"/>
        <v>0.21668399999999999</v>
      </c>
      <c r="K137" s="16">
        <f t="shared" si="9"/>
        <v>42</v>
      </c>
      <c r="L137" s="17">
        <f t="shared" si="10"/>
        <v>40</v>
      </c>
      <c r="M137" s="17">
        <f t="shared" si="11"/>
        <v>-2</v>
      </c>
    </row>
    <row r="138" spans="1:13" ht="14.25" x14ac:dyDescent="0.15">
      <c r="A138" s="6">
        <v>137</v>
      </c>
      <c r="B138" s="1" t="s">
        <v>142</v>
      </c>
      <c r="C138" s="1" t="s">
        <v>14</v>
      </c>
      <c r="D138" s="1" t="s">
        <v>22</v>
      </c>
      <c r="E138" s="16">
        <f>VLOOKUP(C138,收费标准!A$3:B$5,2,FALSE)</f>
        <v>1.5</v>
      </c>
      <c r="F138" s="2">
        <v>41786</v>
      </c>
      <c r="G138" s="4">
        <v>0.63130050000000004</v>
      </c>
      <c r="H138" s="2">
        <v>41786</v>
      </c>
      <c r="I138" s="4">
        <v>0.9604935</v>
      </c>
      <c r="J138" s="29">
        <f t="shared" si="8"/>
        <v>0.32919299999999996</v>
      </c>
      <c r="K138" s="16">
        <f t="shared" si="9"/>
        <v>48</v>
      </c>
      <c r="L138" s="17">
        <f t="shared" si="10"/>
        <v>46.5</v>
      </c>
      <c r="M138" s="17">
        <f t="shared" si="11"/>
        <v>-1.5</v>
      </c>
    </row>
    <row r="139" spans="1:13" ht="14.25" x14ac:dyDescent="0.15">
      <c r="A139" s="6">
        <v>138</v>
      </c>
      <c r="B139" s="1" t="s">
        <v>140</v>
      </c>
      <c r="C139" s="1" t="s">
        <v>26</v>
      </c>
      <c r="D139" s="1" t="s">
        <v>12</v>
      </c>
      <c r="E139" s="16">
        <f>VLOOKUP(C139,收费标准!A$3:B$5,2,FALSE)</f>
        <v>2.5</v>
      </c>
      <c r="F139" s="2">
        <v>41786</v>
      </c>
      <c r="G139" s="4">
        <v>0.63616200000000001</v>
      </c>
      <c r="H139" s="2">
        <v>41786</v>
      </c>
      <c r="I139" s="4">
        <v>0.89798850000000008</v>
      </c>
      <c r="J139" s="29">
        <f t="shared" si="8"/>
        <v>0.26182650000000007</v>
      </c>
      <c r="K139" s="16">
        <f t="shared" si="9"/>
        <v>65</v>
      </c>
      <c r="L139" s="17">
        <f t="shared" si="10"/>
        <v>62.5</v>
      </c>
      <c r="M139" s="17">
        <f t="shared" si="11"/>
        <v>-2.5</v>
      </c>
    </row>
    <row r="140" spans="1:13" ht="14.25" x14ac:dyDescent="0.15">
      <c r="A140" s="6">
        <v>139</v>
      </c>
      <c r="B140" s="1" t="s">
        <v>136</v>
      </c>
      <c r="C140" s="1" t="s">
        <v>14</v>
      </c>
      <c r="D140" s="1" t="s">
        <v>12</v>
      </c>
      <c r="E140" s="16">
        <f>VLOOKUP(C140,收费标准!A$3:B$5,2,FALSE)</f>
        <v>1.5</v>
      </c>
      <c r="F140" s="2">
        <v>41786</v>
      </c>
      <c r="G140" s="4">
        <v>0.66394200000000003</v>
      </c>
      <c r="H140" s="2">
        <v>41787</v>
      </c>
      <c r="I140" s="4">
        <v>0.27988350000000001</v>
      </c>
      <c r="J140" s="29">
        <f t="shared" si="8"/>
        <v>0.61594149999999992</v>
      </c>
      <c r="K140" s="16">
        <f t="shared" si="9"/>
        <v>90</v>
      </c>
      <c r="L140" s="17">
        <f t="shared" si="10"/>
        <v>88.5</v>
      </c>
      <c r="M140" s="17">
        <f t="shared" si="11"/>
        <v>-1.5</v>
      </c>
    </row>
    <row r="141" spans="1:13" ht="14.25" x14ac:dyDescent="0.15">
      <c r="A141" s="6">
        <v>140</v>
      </c>
      <c r="B141" s="1" t="s">
        <v>149</v>
      </c>
      <c r="C141" s="1" t="s">
        <v>11</v>
      </c>
      <c r="D141" s="1" t="s">
        <v>12</v>
      </c>
      <c r="E141" s="16">
        <f>VLOOKUP(C141,收费标准!A$3:B$5,2,FALSE)</f>
        <v>2</v>
      </c>
      <c r="F141" s="2">
        <v>41786</v>
      </c>
      <c r="G141" s="4">
        <v>0.67505400000000004</v>
      </c>
      <c r="H141" s="2">
        <v>41786</v>
      </c>
      <c r="I141" s="4">
        <v>0.72228000000000003</v>
      </c>
      <c r="J141" s="29">
        <f t="shared" si="8"/>
        <v>4.722599999999999E-2</v>
      </c>
      <c r="K141" s="16">
        <f t="shared" si="9"/>
        <v>10</v>
      </c>
      <c r="L141" s="17">
        <f t="shared" si="10"/>
        <v>8</v>
      </c>
      <c r="M141" s="17">
        <f t="shared" si="11"/>
        <v>-2</v>
      </c>
    </row>
    <row r="142" spans="1:13" ht="14.25" x14ac:dyDescent="0.15">
      <c r="A142" s="6">
        <v>141</v>
      </c>
      <c r="B142" s="1" t="s">
        <v>48</v>
      </c>
      <c r="C142" s="1" t="s">
        <v>26</v>
      </c>
      <c r="D142" s="1" t="s">
        <v>15</v>
      </c>
      <c r="E142" s="16">
        <f>VLOOKUP(C142,收费标准!A$3:B$5,2,FALSE)</f>
        <v>2.5</v>
      </c>
      <c r="F142" s="2">
        <v>41786</v>
      </c>
      <c r="G142" s="4">
        <v>0.67713750000000006</v>
      </c>
      <c r="H142" s="2">
        <v>41787</v>
      </c>
      <c r="I142" s="4">
        <v>0.18334800000000001</v>
      </c>
      <c r="J142" s="29">
        <f t="shared" si="8"/>
        <v>0.50621050000000001</v>
      </c>
      <c r="K142" s="16">
        <f t="shared" si="9"/>
        <v>122.5</v>
      </c>
      <c r="L142" s="17">
        <f t="shared" si="10"/>
        <v>120</v>
      </c>
      <c r="M142" s="17">
        <f t="shared" si="11"/>
        <v>-2.5</v>
      </c>
    </row>
    <row r="143" spans="1:13" ht="14.25" x14ac:dyDescent="0.15">
      <c r="A143" s="6">
        <v>142</v>
      </c>
      <c r="B143" s="1" t="s">
        <v>111</v>
      </c>
      <c r="C143" s="1" t="s">
        <v>11</v>
      </c>
      <c r="D143" s="1" t="s">
        <v>15</v>
      </c>
      <c r="E143" s="16">
        <f>VLOOKUP(C143,收费标准!A$3:B$5,2,FALSE)</f>
        <v>2</v>
      </c>
      <c r="F143" s="2">
        <v>41786</v>
      </c>
      <c r="G143" s="4">
        <v>0.69588899999999998</v>
      </c>
      <c r="H143" s="2">
        <v>41786</v>
      </c>
      <c r="I143" s="4">
        <v>0.97438350000000007</v>
      </c>
      <c r="J143" s="29">
        <f t="shared" si="8"/>
        <v>0.27849450000000009</v>
      </c>
      <c r="K143" s="16">
        <f t="shared" si="9"/>
        <v>54</v>
      </c>
      <c r="L143" s="17">
        <f t="shared" si="10"/>
        <v>52</v>
      </c>
      <c r="M143" s="17">
        <f t="shared" si="11"/>
        <v>-2</v>
      </c>
    </row>
    <row r="144" spans="1:13" ht="14.25" x14ac:dyDescent="0.15">
      <c r="A144" s="6">
        <v>143</v>
      </c>
      <c r="B144" s="1" t="s">
        <v>144</v>
      </c>
      <c r="C144" s="1" t="s">
        <v>14</v>
      </c>
      <c r="D144" s="1" t="s">
        <v>17</v>
      </c>
      <c r="E144" s="16">
        <f>VLOOKUP(C144,收费标准!A$3:B$5,2,FALSE)</f>
        <v>1.5</v>
      </c>
      <c r="F144" s="2">
        <v>41786</v>
      </c>
      <c r="G144" s="4">
        <v>0.69866700000000004</v>
      </c>
      <c r="H144" s="2">
        <v>41787</v>
      </c>
      <c r="I144" s="4">
        <v>0.20904449999999999</v>
      </c>
      <c r="J144" s="29">
        <f t="shared" si="8"/>
        <v>0.51037750000000004</v>
      </c>
      <c r="K144" s="16">
        <f t="shared" si="9"/>
        <v>73.5</v>
      </c>
      <c r="L144" s="17">
        <f t="shared" si="10"/>
        <v>72</v>
      </c>
      <c r="M144" s="17">
        <f t="shared" si="11"/>
        <v>-1.5</v>
      </c>
    </row>
    <row r="145" spans="1:13" ht="14.25" x14ac:dyDescent="0.15">
      <c r="A145" s="6">
        <v>144</v>
      </c>
      <c r="B145" s="1" t="s">
        <v>123</v>
      </c>
      <c r="C145" s="1" t="s">
        <v>14</v>
      </c>
      <c r="D145" s="1" t="s">
        <v>22</v>
      </c>
      <c r="E145" s="16">
        <f>VLOOKUP(C145,收费标准!A$3:B$5,2,FALSE)</f>
        <v>1.5</v>
      </c>
      <c r="F145" s="2">
        <v>41786</v>
      </c>
      <c r="G145" s="4">
        <v>0.74450400000000005</v>
      </c>
      <c r="H145" s="2">
        <v>41786</v>
      </c>
      <c r="I145" s="4">
        <v>0.76742250000000001</v>
      </c>
      <c r="J145" s="29">
        <f t="shared" si="8"/>
        <v>2.2918499999999953E-2</v>
      </c>
      <c r="K145" s="16">
        <f t="shared" si="9"/>
        <v>4.5</v>
      </c>
      <c r="L145" s="17">
        <f t="shared" si="10"/>
        <v>3</v>
      </c>
      <c r="M145" s="17">
        <f t="shared" si="11"/>
        <v>-1.5</v>
      </c>
    </row>
    <row r="146" spans="1:13" ht="14.25" x14ac:dyDescent="0.15">
      <c r="A146" s="6">
        <v>145</v>
      </c>
      <c r="B146" s="1" t="s">
        <v>133</v>
      </c>
      <c r="C146" s="1" t="s">
        <v>26</v>
      </c>
      <c r="D146" s="1" t="s">
        <v>15</v>
      </c>
      <c r="E146" s="16">
        <f>VLOOKUP(C146,收费标准!A$3:B$5,2,FALSE)</f>
        <v>2.5</v>
      </c>
      <c r="F146" s="2">
        <v>41786</v>
      </c>
      <c r="G146" s="4">
        <v>0.80145299999999997</v>
      </c>
      <c r="H146" s="2">
        <v>41787</v>
      </c>
      <c r="I146" s="4">
        <v>0.19515450000000001</v>
      </c>
      <c r="J146" s="29">
        <f t="shared" si="8"/>
        <v>0.39370150000000015</v>
      </c>
      <c r="K146" s="16">
        <f t="shared" si="9"/>
        <v>95</v>
      </c>
      <c r="L146" s="17">
        <f t="shared" si="10"/>
        <v>92.5</v>
      </c>
      <c r="M146" s="17">
        <f t="shared" si="11"/>
        <v>-2.5</v>
      </c>
    </row>
    <row r="147" spans="1:13" ht="14.25" x14ac:dyDescent="0.15">
      <c r="A147" s="6">
        <v>146</v>
      </c>
      <c r="B147" s="1" t="s">
        <v>132</v>
      </c>
      <c r="C147" s="1" t="s">
        <v>26</v>
      </c>
      <c r="D147" s="1" t="s">
        <v>12</v>
      </c>
      <c r="E147" s="16">
        <f>VLOOKUP(C147,收费标准!A$3:B$5,2,FALSE)</f>
        <v>2.5</v>
      </c>
      <c r="F147" s="2">
        <v>41786</v>
      </c>
      <c r="G147" s="4">
        <v>0.82784400000000002</v>
      </c>
      <c r="H147" s="2">
        <v>41787</v>
      </c>
      <c r="I147" s="4">
        <v>5.2782000000000003E-2</v>
      </c>
      <c r="J147" s="29">
        <f t="shared" si="8"/>
        <v>0.22493800000000008</v>
      </c>
      <c r="K147" s="16">
        <f t="shared" si="9"/>
        <v>55</v>
      </c>
      <c r="L147" s="17">
        <f t="shared" si="10"/>
        <v>52.5</v>
      </c>
      <c r="M147" s="17">
        <f t="shared" si="11"/>
        <v>-2.5</v>
      </c>
    </row>
    <row r="148" spans="1:13" ht="14.25" x14ac:dyDescent="0.15">
      <c r="A148" s="6">
        <v>147</v>
      </c>
      <c r="B148" s="1" t="s">
        <v>122</v>
      </c>
      <c r="C148" s="1" t="s">
        <v>14</v>
      </c>
      <c r="D148" s="1" t="s">
        <v>22</v>
      </c>
      <c r="E148" s="16">
        <f>VLOOKUP(C148,收费标准!A$3:B$5,2,FALSE)</f>
        <v>1.5</v>
      </c>
      <c r="F148" s="2">
        <v>41786</v>
      </c>
      <c r="G148" s="4">
        <v>0.83826149999999999</v>
      </c>
      <c r="H148" s="2">
        <v>41786</v>
      </c>
      <c r="I148" s="4">
        <v>0.89104349999999999</v>
      </c>
      <c r="J148" s="29">
        <f t="shared" si="8"/>
        <v>5.2781999999999996E-2</v>
      </c>
      <c r="K148" s="16">
        <f t="shared" si="9"/>
        <v>9</v>
      </c>
      <c r="L148" s="17">
        <f t="shared" si="10"/>
        <v>7.5</v>
      </c>
      <c r="M148" s="17">
        <f t="shared" si="11"/>
        <v>-1.5</v>
      </c>
    </row>
    <row r="149" spans="1:13" ht="14.25" x14ac:dyDescent="0.15">
      <c r="A149" s="6">
        <v>148</v>
      </c>
      <c r="B149" s="1" t="s">
        <v>86</v>
      </c>
      <c r="C149" s="1" t="s">
        <v>11</v>
      </c>
      <c r="D149" s="1" t="s">
        <v>15</v>
      </c>
      <c r="E149" s="16">
        <f>VLOOKUP(C149,收费标准!A$3:B$5,2,FALSE)</f>
        <v>2</v>
      </c>
      <c r="F149" s="2">
        <v>41786</v>
      </c>
      <c r="G149" s="4">
        <v>0.83965050000000008</v>
      </c>
      <c r="H149" s="2">
        <v>41787</v>
      </c>
      <c r="I149" s="4">
        <v>0.104175</v>
      </c>
      <c r="J149" s="29">
        <f t="shared" si="8"/>
        <v>0.26452449999999983</v>
      </c>
      <c r="K149" s="16">
        <f t="shared" si="9"/>
        <v>52</v>
      </c>
      <c r="L149" s="17">
        <f t="shared" si="10"/>
        <v>50</v>
      </c>
      <c r="M149" s="17">
        <f t="shared" si="11"/>
        <v>-2</v>
      </c>
    </row>
    <row r="150" spans="1:13" ht="14.25" x14ac:dyDescent="0.15">
      <c r="A150" s="6">
        <v>149</v>
      </c>
      <c r="B150" s="1" t="s">
        <v>145</v>
      </c>
      <c r="C150" s="1" t="s">
        <v>11</v>
      </c>
      <c r="D150" s="1" t="s">
        <v>12</v>
      </c>
      <c r="E150" s="16">
        <f>VLOOKUP(C150,收费标准!A$3:B$5,2,FALSE)</f>
        <v>2</v>
      </c>
      <c r="F150" s="2">
        <v>41786</v>
      </c>
      <c r="G150" s="4">
        <v>0.87507000000000001</v>
      </c>
      <c r="H150" s="2">
        <v>41786</v>
      </c>
      <c r="I150" s="4">
        <v>0.94382549999999998</v>
      </c>
      <c r="J150" s="29">
        <f t="shared" si="8"/>
        <v>6.8755499999999969E-2</v>
      </c>
      <c r="K150" s="16">
        <f t="shared" si="9"/>
        <v>14</v>
      </c>
      <c r="L150" s="17">
        <f t="shared" si="10"/>
        <v>12</v>
      </c>
      <c r="M150" s="17">
        <f t="shared" si="11"/>
        <v>-2</v>
      </c>
    </row>
    <row r="151" spans="1:13" ht="14.25" x14ac:dyDescent="0.15">
      <c r="A151" s="6">
        <v>150</v>
      </c>
      <c r="B151" s="1" t="s">
        <v>21</v>
      </c>
      <c r="C151" s="1" t="s">
        <v>14</v>
      </c>
      <c r="D151" s="1" t="s">
        <v>22</v>
      </c>
      <c r="E151" s="16">
        <f>VLOOKUP(C151,收费标准!A$3:B$5,2,FALSE)</f>
        <v>1.5</v>
      </c>
      <c r="F151" s="2">
        <v>41786</v>
      </c>
      <c r="G151" s="4">
        <v>0.91674</v>
      </c>
      <c r="H151" s="2">
        <v>41786</v>
      </c>
      <c r="I151" s="4">
        <v>0.99452400000000007</v>
      </c>
      <c r="J151" s="29">
        <f t="shared" si="8"/>
        <v>7.7784000000000075E-2</v>
      </c>
      <c r="K151" s="16">
        <f t="shared" si="9"/>
        <v>12</v>
      </c>
      <c r="L151" s="17">
        <f t="shared" si="10"/>
        <v>10.5</v>
      </c>
      <c r="M151" s="17">
        <f t="shared" si="11"/>
        <v>-1.5</v>
      </c>
    </row>
    <row r="152" spans="1:13" ht="14.25" x14ac:dyDescent="0.15">
      <c r="A152" s="6">
        <v>151</v>
      </c>
      <c r="B152" s="1" t="s">
        <v>59</v>
      </c>
      <c r="C152" s="1" t="s">
        <v>11</v>
      </c>
      <c r="D152" s="1" t="s">
        <v>17</v>
      </c>
      <c r="E152" s="16">
        <f>VLOOKUP(C152,收费标准!A$3:B$5,2,FALSE)</f>
        <v>2</v>
      </c>
      <c r="F152" s="2">
        <v>41786</v>
      </c>
      <c r="G152" s="4">
        <v>0.94313100000000005</v>
      </c>
      <c r="H152" s="2">
        <v>41787</v>
      </c>
      <c r="I152" s="4">
        <v>0.26321549999999999</v>
      </c>
      <c r="J152" s="29">
        <f t="shared" si="8"/>
        <v>0.32008449999999999</v>
      </c>
      <c r="K152" s="16">
        <f t="shared" si="9"/>
        <v>62</v>
      </c>
      <c r="L152" s="17">
        <f t="shared" si="10"/>
        <v>60</v>
      </c>
      <c r="M152" s="17">
        <f t="shared" si="11"/>
        <v>-2</v>
      </c>
    </row>
    <row r="153" spans="1:13" ht="14.25" x14ac:dyDescent="0.15">
      <c r="A153" s="6">
        <v>152</v>
      </c>
      <c r="B153" s="1" t="s">
        <v>134</v>
      </c>
      <c r="C153" s="1" t="s">
        <v>14</v>
      </c>
      <c r="D153" s="1" t="s">
        <v>15</v>
      </c>
      <c r="E153" s="16">
        <f>VLOOKUP(C153,收费标准!A$3:B$5,2,FALSE)</f>
        <v>1.5</v>
      </c>
      <c r="F153" s="2">
        <v>41786</v>
      </c>
      <c r="G153" s="4">
        <v>0.94938149999999999</v>
      </c>
      <c r="H153" s="2">
        <v>41787</v>
      </c>
      <c r="I153" s="4">
        <v>7.9867500000000008E-2</v>
      </c>
      <c r="J153" s="29">
        <f t="shared" si="8"/>
        <v>0.13048599999999999</v>
      </c>
      <c r="K153" s="16">
        <f t="shared" si="9"/>
        <v>19.5</v>
      </c>
      <c r="L153" s="17">
        <f t="shared" si="10"/>
        <v>18</v>
      </c>
      <c r="M153" s="17">
        <f t="shared" si="11"/>
        <v>-1.5</v>
      </c>
    </row>
    <row r="154" spans="1:13" ht="14.25" x14ac:dyDescent="0.15">
      <c r="A154" s="6">
        <v>153</v>
      </c>
      <c r="B154" s="1" t="s">
        <v>108</v>
      </c>
      <c r="C154" s="1" t="s">
        <v>11</v>
      </c>
      <c r="D154" s="1" t="s">
        <v>22</v>
      </c>
      <c r="E154" s="16">
        <f>VLOOKUP(C154,收费标准!A$3:B$5,2,FALSE)</f>
        <v>2</v>
      </c>
      <c r="F154" s="2">
        <v>41786</v>
      </c>
      <c r="G154" s="4">
        <v>0.98757899999999998</v>
      </c>
      <c r="H154" s="2">
        <v>41787</v>
      </c>
      <c r="I154" s="4">
        <v>0.13681650000000001</v>
      </c>
      <c r="J154" s="29">
        <f t="shared" si="8"/>
        <v>0.14923750000000013</v>
      </c>
      <c r="K154" s="16">
        <f t="shared" si="9"/>
        <v>30</v>
      </c>
      <c r="L154" s="17">
        <f t="shared" si="10"/>
        <v>28</v>
      </c>
      <c r="M154" s="17">
        <f t="shared" si="11"/>
        <v>-2</v>
      </c>
    </row>
    <row r="155" spans="1:13" ht="14.25" x14ac:dyDescent="0.15">
      <c r="A155" s="6">
        <v>154</v>
      </c>
      <c r="B155" s="1" t="s">
        <v>76</v>
      </c>
      <c r="C155" s="1" t="s">
        <v>14</v>
      </c>
      <c r="D155" s="1" t="s">
        <v>12</v>
      </c>
      <c r="E155" s="16">
        <f>VLOOKUP(C155,收费标准!A$3:B$5,2,FALSE)</f>
        <v>1.5</v>
      </c>
      <c r="F155" s="2">
        <v>41787</v>
      </c>
      <c r="G155" s="4">
        <v>7.6395000000000005E-3</v>
      </c>
      <c r="H155" s="2">
        <v>41787</v>
      </c>
      <c r="I155" s="4">
        <v>0.48059400000000002</v>
      </c>
      <c r="J155" s="29">
        <f t="shared" si="8"/>
        <v>0.4729545</v>
      </c>
      <c r="K155" s="16">
        <f t="shared" si="9"/>
        <v>69</v>
      </c>
      <c r="L155" s="17">
        <f t="shared" si="10"/>
        <v>67.5</v>
      </c>
      <c r="M155" s="17">
        <f t="shared" si="11"/>
        <v>-1.5</v>
      </c>
    </row>
    <row r="156" spans="1:13" ht="14.25" x14ac:dyDescent="0.15">
      <c r="A156" s="6">
        <v>155</v>
      </c>
      <c r="B156" s="1" t="s">
        <v>105</v>
      </c>
      <c r="C156" s="1" t="s">
        <v>11</v>
      </c>
      <c r="D156" s="1" t="s">
        <v>22</v>
      </c>
      <c r="E156" s="16">
        <f>VLOOKUP(C156,收费标准!A$3:B$5,2,FALSE)</f>
        <v>2</v>
      </c>
      <c r="F156" s="2">
        <v>41787</v>
      </c>
      <c r="G156" s="4">
        <v>9.0285000000000001E-3</v>
      </c>
      <c r="H156" s="2">
        <v>41787</v>
      </c>
      <c r="I156" s="4">
        <v>0.519486</v>
      </c>
      <c r="J156" s="29">
        <f t="shared" si="8"/>
        <v>0.51045750000000001</v>
      </c>
      <c r="K156" s="16">
        <f t="shared" si="9"/>
        <v>100</v>
      </c>
      <c r="L156" s="17">
        <f t="shared" si="10"/>
        <v>98</v>
      </c>
      <c r="M156" s="17">
        <f t="shared" si="11"/>
        <v>-2</v>
      </c>
    </row>
    <row r="157" spans="1:13" ht="14.25" x14ac:dyDescent="0.15">
      <c r="A157" s="6">
        <v>156</v>
      </c>
      <c r="B157" s="1" t="s">
        <v>27</v>
      </c>
      <c r="C157" s="1" t="s">
        <v>14</v>
      </c>
      <c r="D157" s="1" t="s">
        <v>15</v>
      </c>
      <c r="E157" s="16">
        <f>VLOOKUP(C157,收费标准!A$3:B$5,2,FALSE)</f>
        <v>1.5</v>
      </c>
      <c r="F157" s="2">
        <v>41787</v>
      </c>
      <c r="G157" s="4">
        <v>9.7230000000000007E-3</v>
      </c>
      <c r="H157" s="2">
        <v>41787</v>
      </c>
      <c r="I157" s="4">
        <v>0.17918100000000001</v>
      </c>
      <c r="J157" s="29">
        <f t="shared" si="8"/>
        <v>0.169458</v>
      </c>
      <c r="K157" s="16">
        <f t="shared" si="9"/>
        <v>25.5</v>
      </c>
      <c r="L157" s="17">
        <f t="shared" si="10"/>
        <v>24</v>
      </c>
      <c r="M157" s="17">
        <f t="shared" si="11"/>
        <v>-1.5</v>
      </c>
    </row>
    <row r="158" spans="1:13" ht="14.25" x14ac:dyDescent="0.15">
      <c r="A158" s="6">
        <v>157</v>
      </c>
      <c r="B158" s="1" t="s">
        <v>41</v>
      </c>
      <c r="C158" s="1" t="s">
        <v>26</v>
      </c>
      <c r="D158" s="1" t="s">
        <v>22</v>
      </c>
      <c r="E158" s="16">
        <f>VLOOKUP(C158,收费标准!A$3:B$5,2,FALSE)</f>
        <v>2.5</v>
      </c>
      <c r="F158" s="2">
        <v>41787</v>
      </c>
      <c r="G158" s="4">
        <v>2.5002E-2</v>
      </c>
      <c r="H158" s="2">
        <v>41787</v>
      </c>
      <c r="I158" s="4">
        <v>0.41322750000000003</v>
      </c>
      <c r="J158" s="29">
        <f t="shared" si="8"/>
        <v>0.3882255</v>
      </c>
      <c r="K158" s="16">
        <f t="shared" si="9"/>
        <v>95</v>
      </c>
      <c r="L158" s="17">
        <f t="shared" si="10"/>
        <v>92.5</v>
      </c>
      <c r="M158" s="17">
        <f t="shared" si="11"/>
        <v>-2.5</v>
      </c>
    </row>
    <row r="159" spans="1:13" ht="14.25" x14ac:dyDescent="0.15">
      <c r="A159" s="6">
        <v>158</v>
      </c>
      <c r="B159" s="1" t="s">
        <v>158</v>
      </c>
      <c r="C159" s="1" t="s">
        <v>14</v>
      </c>
      <c r="D159" s="1" t="s">
        <v>12</v>
      </c>
      <c r="E159" s="16">
        <f>VLOOKUP(C159,收费标准!A$3:B$5,2,FALSE)</f>
        <v>1.5</v>
      </c>
      <c r="F159" s="2">
        <v>41787</v>
      </c>
      <c r="G159" s="4">
        <v>2.7085500000000002E-2</v>
      </c>
      <c r="H159" s="2">
        <v>41787</v>
      </c>
      <c r="I159" s="4">
        <v>0.33613799999999999</v>
      </c>
      <c r="J159" s="29">
        <f t="shared" si="8"/>
        <v>0.30905250000000001</v>
      </c>
      <c r="K159" s="16">
        <f t="shared" si="9"/>
        <v>45</v>
      </c>
      <c r="L159" s="17">
        <f t="shared" si="10"/>
        <v>43.5</v>
      </c>
      <c r="M159" s="17">
        <f t="shared" si="11"/>
        <v>-1.5</v>
      </c>
    </row>
    <row r="160" spans="1:13" ht="14.25" x14ac:dyDescent="0.15">
      <c r="A160" s="6">
        <v>159</v>
      </c>
      <c r="B160" s="1" t="s">
        <v>162</v>
      </c>
      <c r="C160" s="1" t="s">
        <v>11</v>
      </c>
      <c r="D160" s="1" t="s">
        <v>22</v>
      </c>
      <c r="E160" s="16">
        <f>VLOOKUP(C160,收费标准!A$3:B$5,2,FALSE)</f>
        <v>2</v>
      </c>
      <c r="F160" s="2">
        <v>41787</v>
      </c>
      <c r="G160" s="4">
        <v>4.8614999999999998E-2</v>
      </c>
      <c r="H160" s="2">
        <v>41787</v>
      </c>
      <c r="I160" s="4">
        <v>0.30835800000000002</v>
      </c>
      <c r="J160" s="29">
        <f t="shared" si="8"/>
        <v>0.259743</v>
      </c>
      <c r="K160" s="16">
        <f t="shared" si="9"/>
        <v>50</v>
      </c>
      <c r="L160" s="17">
        <f t="shared" si="10"/>
        <v>48</v>
      </c>
      <c r="M160" s="17">
        <f t="shared" si="11"/>
        <v>-2</v>
      </c>
    </row>
    <row r="161" spans="1:13" ht="14.25" x14ac:dyDescent="0.15">
      <c r="A161" s="6">
        <v>160</v>
      </c>
      <c r="B161" s="1" t="s">
        <v>115</v>
      </c>
      <c r="C161" s="1" t="s">
        <v>26</v>
      </c>
      <c r="D161" s="1" t="s">
        <v>12</v>
      </c>
      <c r="E161" s="16">
        <f>VLOOKUP(C161,收费标准!A$3:B$5,2,FALSE)</f>
        <v>2.5</v>
      </c>
      <c r="F161" s="2">
        <v>41787</v>
      </c>
      <c r="G161" s="4">
        <v>6.5977500000000008E-2</v>
      </c>
      <c r="H161" s="2">
        <v>41787</v>
      </c>
      <c r="I161" s="4">
        <v>0.20487750000000002</v>
      </c>
      <c r="J161" s="29">
        <f t="shared" si="8"/>
        <v>0.13890000000000002</v>
      </c>
      <c r="K161" s="16">
        <f t="shared" si="9"/>
        <v>35</v>
      </c>
      <c r="L161" s="17">
        <f t="shared" si="10"/>
        <v>32.5</v>
      </c>
      <c r="M161" s="17">
        <f t="shared" si="11"/>
        <v>-2.5</v>
      </c>
    </row>
    <row r="162" spans="1:13" ht="14.25" x14ac:dyDescent="0.15">
      <c r="A162" s="6">
        <v>161</v>
      </c>
      <c r="B162" s="1" t="s">
        <v>106</v>
      </c>
      <c r="C162" s="1" t="s">
        <v>11</v>
      </c>
      <c r="D162" s="1" t="s">
        <v>15</v>
      </c>
      <c r="E162" s="16">
        <f>VLOOKUP(C162,收费标准!A$3:B$5,2,FALSE)</f>
        <v>2</v>
      </c>
      <c r="F162" s="2">
        <v>41787</v>
      </c>
      <c r="G162" s="4">
        <v>6.8755499999999997E-2</v>
      </c>
      <c r="H162" s="2">
        <v>41787</v>
      </c>
      <c r="I162" s="4">
        <v>0.44517450000000003</v>
      </c>
      <c r="J162" s="29">
        <f t="shared" si="8"/>
        <v>0.37641900000000006</v>
      </c>
      <c r="K162" s="16">
        <f t="shared" si="9"/>
        <v>74</v>
      </c>
      <c r="L162" s="17">
        <f t="shared" si="10"/>
        <v>72</v>
      </c>
      <c r="M162" s="17">
        <f t="shared" si="11"/>
        <v>-2</v>
      </c>
    </row>
    <row r="163" spans="1:13" ht="14.25" x14ac:dyDescent="0.15">
      <c r="A163" s="6">
        <v>162</v>
      </c>
      <c r="B163" s="1" t="s">
        <v>18</v>
      </c>
      <c r="C163" s="1" t="s">
        <v>14</v>
      </c>
      <c r="D163" s="1" t="s">
        <v>15</v>
      </c>
      <c r="E163" s="16">
        <f>VLOOKUP(C163,收费标准!A$3:B$5,2,FALSE)</f>
        <v>1.5</v>
      </c>
      <c r="F163" s="2">
        <v>41787</v>
      </c>
      <c r="G163" s="4">
        <v>7.8478500000000007E-2</v>
      </c>
      <c r="H163" s="2">
        <v>41787</v>
      </c>
      <c r="I163" s="4">
        <v>0.67783199999999999</v>
      </c>
      <c r="J163" s="29">
        <f t="shared" si="8"/>
        <v>0.59935349999999998</v>
      </c>
      <c r="K163" s="16">
        <f t="shared" si="9"/>
        <v>87</v>
      </c>
      <c r="L163" s="17">
        <f t="shared" si="10"/>
        <v>85.5</v>
      </c>
      <c r="M163" s="17">
        <f t="shared" si="11"/>
        <v>-1.5</v>
      </c>
    </row>
    <row r="164" spans="1:13" ht="14.25" x14ac:dyDescent="0.15">
      <c r="A164" s="6">
        <v>163</v>
      </c>
      <c r="B164" s="1" t="s">
        <v>130</v>
      </c>
      <c r="C164" s="1" t="s">
        <v>26</v>
      </c>
      <c r="D164" s="1" t="s">
        <v>17</v>
      </c>
      <c r="E164" s="16">
        <f>VLOOKUP(C164,收费标准!A$3:B$5,2,FALSE)</f>
        <v>2.5</v>
      </c>
      <c r="F164" s="2">
        <v>41787</v>
      </c>
      <c r="G164" s="4">
        <v>8.3339999999999997E-2</v>
      </c>
      <c r="H164" s="2">
        <v>41787</v>
      </c>
      <c r="I164" s="4">
        <v>0.1034805</v>
      </c>
      <c r="J164" s="29">
        <f t="shared" si="8"/>
        <v>2.0140500000000006E-2</v>
      </c>
      <c r="K164" s="16">
        <f t="shared" si="9"/>
        <v>5</v>
      </c>
      <c r="L164" s="17">
        <f t="shared" si="10"/>
        <v>2.5</v>
      </c>
      <c r="M164" s="17">
        <f t="shared" si="11"/>
        <v>-2.5</v>
      </c>
    </row>
    <row r="165" spans="1:13" ht="14.25" x14ac:dyDescent="0.15">
      <c r="A165" s="6">
        <v>164</v>
      </c>
      <c r="B165" s="1" t="s">
        <v>165</v>
      </c>
      <c r="C165" s="1" t="s">
        <v>26</v>
      </c>
      <c r="D165" s="1" t="s">
        <v>12</v>
      </c>
      <c r="E165" s="16">
        <f>VLOOKUP(C165,收费标准!A$3:B$5,2,FALSE)</f>
        <v>2.5</v>
      </c>
      <c r="F165" s="2">
        <v>41787</v>
      </c>
      <c r="G165" s="4">
        <v>8.9590500000000003E-2</v>
      </c>
      <c r="H165" s="2">
        <v>41787</v>
      </c>
      <c r="I165" s="4">
        <v>0.48337200000000002</v>
      </c>
      <c r="J165" s="29">
        <f t="shared" si="8"/>
        <v>0.39378150000000001</v>
      </c>
      <c r="K165" s="16">
        <f t="shared" si="9"/>
        <v>95</v>
      </c>
      <c r="L165" s="17">
        <f t="shared" si="10"/>
        <v>92.5</v>
      </c>
      <c r="M165" s="17">
        <f t="shared" si="11"/>
        <v>-2.5</v>
      </c>
    </row>
    <row r="166" spans="1:13" ht="14.25" x14ac:dyDescent="0.15">
      <c r="A166" s="6">
        <v>165</v>
      </c>
      <c r="B166" s="1" t="s">
        <v>65</v>
      </c>
      <c r="C166" s="1" t="s">
        <v>26</v>
      </c>
      <c r="D166" s="1" t="s">
        <v>17</v>
      </c>
      <c r="E166" s="16">
        <f>VLOOKUP(C166,收费标准!A$3:B$5,2,FALSE)</f>
        <v>2.5</v>
      </c>
      <c r="F166" s="2">
        <v>41787</v>
      </c>
      <c r="G166" s="4">
        <v>0.1145925</v>
      </c>
      <c r="H166" s="2">
        <v>41787</v>
      </c>
      <c r="I166" s="4">
        <v>0.72922500000000001</v>
      </c>
      <c r="J166" s="29">
        <f t="shared" si="8"/>
        <v>0.61463250000000003</v>
      </c>
      <c r="K166" s="16">
        <f t="shared" si="9"/>
        <v>150</v>
      </c>
      <c r="L166" s="17">
        <f t="shared" si="10"/>
        <v>147.5</v>
      </c>
      <c r="M166" s="17">
        <f t="shared" si="11"/>
        <v>-2.5</v>
      </c>
    </row>
    <row r="167" spans="1:13" ht="14.25" x14ac:dyDescent="0.15">
      <c r="A167" s="6">
        <v>166</v>
      </c>
      <c r="B167" s="1" t="s">
        <v>56</v>
      </c>
      <c r="C167" s="1" t="s">
        <v>11</v>
      </c>
      <c r="D167" s="1" t="s">
        <v>17</v>
      </c>
      <c r="E167" s="16">
        <f>VLOOKUP(C167,收费标准!A$3:B$5,2,FALSE)</f>
        <v>2</v>
      </c>
      <c r="F167" s="2">
        <v>41787</v>
      </c>
      <c r="G167" s="4">
        <v>0.1340385</v>
      </c>
      <c r="H167" s="2">
        <v>41787</v>
      </c>
      <c r="I167" s="4">
        <v>0.40628249999999999</v>
      </c>
      <c r="J167" s="29">
        <f t="shared" si="8"/>
        <v>0.27224399999999999</v>
      </c>
      <c r="K167" s="16">
        <f t="shared" si="9"/>
        <v>54</v>
      </c>
      <c r="L167" s="17">
        <f t="shared" si="10"/>
        <v>52</v>
      </c>
      <c r="M167" s="17">
        <f t="shared" si="11"/>
        <v>-2</v>
      </c>
    </row>
    <row r="168" spans="1:13" ht="14.25" x14ac:dyDescent="0.15">
      <c r="A168" s="6">
        <v>167</v>
      </c>
      <c r="B168" s="1" t="s">
        <v>62</v>
      </c>
      <c r="C168" s="1" t="s">
        <v>14</v>
      </c>
      <c r="D168" s="1" t="s">
        <v>17</v>
      </c>
      <c r="E168" s="16">
        <f>VLOOKUP(C168,收费标准!A$3:B$5,2,FALSE)</f>
        <v>1.5</v>
      </c>
      <c r="F168" s="2">
        <v>41787</v>
      </c>
      <c r="G168" s="4">
        <v>0.141678</v>
      </c>
      <c r="H168" s="2">
        <v>41787</v>
      </c>
      <c r="I168" s="4">
        <v>0.76256100000000004</v>
      </c>
      <c r="J168" s="29">
        <f t="shared" si="8"/>
        <v>0.62088300000000007</v>
      </c>
      <c r="K168" s="16">
        <f t="shared" si="9"/>
        <v>90</v>
      </c>
      <c r="L168" s="17">
        <f t="shared" si="10"/>
        <v>88.5</v>
      </c>
      <c r="M168" s="17">
        <f t="shared" si="11"/>
        <v>-1.5</v>
      </c>
    </row>
    <row r="169" spans="1:13" ht="14.25" x14ac:dyDescent="0.15">
      <c r="A169" s="6">
        <v>168</v>
      </c>
      <c r="B169" s="1" t="s">
        <v>78</v>
      </c>
      <c r="C169" s="1" t="s">
        <v>26</v>
      </c>
      <c r="D169" s="1" t="s">
        <v>15</v>
      </c>
      <c r="E169" s="16">
        <f>VLOOKUP(C169,收费标准!A$3:B$5,2,FALSE)</f>
        <v>2.5</v>
      </c>
      <c r="F169" s="2">
        <v>41787</v>
      </c>
      <c r="G169" s="4">
        <v>0.143067</v>
      </c>
      <c r="H169" s="2">
        <v>41787</v>
      </c>
      <c r="I169" s="4">
        <v>0.38614199999999999</v>
      </c>
      <c r="J169" s="29">
        <f t="shared" si="8"/>
        <v>0.24307499999999999</v>
      </c>
      <c r="K169" s="16">
        <f t="shared" si="9"/>
        <v>60</v>
      </c>
      <c r="L169" s="17">
        <f t="shared" si="10"/>
        <v>57.5</v>
      </c>
      <c r="M169" s="17">
        <f t="shared" si="11"/>
        <v>-2.5</v>
      </c>
    </row>
    <row r="170" spans="1:13" ht="14.25" x14ac:dyDescent="0.15">
      <c r="A170" s="6">
        <v>169</v>
      </c>
      <c r="B170" s="1" t="s">
        <v>153</v>
      </c>
      <c r="C170" s="1" t="s">
        <v>26</v>
      </c>
      <c r="D170" s="1" t="s">
        <v>15</v>
      </c>
      <c r="E170" s="16">
        <f>VLOOKUP(C170,收费标准!A$3:B$5,2,FALSE)</f>
        <v>2.5</v>
      </c>
      <c r="F170" s="2">
        <v>41787</v>
      </c>
      <c r="G170" s="4">
        <v>0.14792850000000002</v>
      </c>
      <c r="H170" s="2">
        <v>41787</v>
      </c>
      <c r="I170" s="4">
        <v>0.83062199999999997</v>
      </c>
      <c r="J170" s="29">
        <f t="shared" si="8"/>
        <v>0.68269349999999995</v>
      </c>
      <c r="K170" s="16">
        <f t="shared" si="9"/>
        <v>165</v>
      </c>
      <c r="L170" s="17">
        <f t="shared" si="10"/>
        <v>162.5</v>
      </c>
      <c r="M170" s="17">
        <f t="shared" si="11"/>
        <v>-2.5</v>
      </c>
    </row>
    <row r="171" spans="1:13" ht="14.25" x14ac:dyDescent="0.15">
      <c r="A171" s="6">
        <v>170</v>
      </c>
      <c r="B171" s="1" t="s">
        <v>149</v>
      </c>
      <c r="C171" s="1" t="s">
        <v>11</v>
      </c>
      <c r="D171" s="1" t="s">
        <v>12</v>
      </c>
      <c r="E171" s="16">
        <f>VLOOKUP(C171,收费标准!A$3:B$5,2,FALSE)</f>
        <v>2</v>
      </c>
      <c r="F171" s="2">
        <v>41787</v>
      </c>
      <c r="G171" s="4">
        <v>0.14862300000000001</v>
      </c>
      <c r="H171" s="2">
        <v>41787</v>
      </c>
      <c r="I171" s="4">
        <v>0.51323550000000007</v>
      </c>
      <c r="J171" s="29">
        <f t="shared" si="8"/>
        <v>0.36461250000000006</v>
      </c>
      <c r="K171" s="16">
        <f t="shared" si="9"/>
        <v>72</v>
      </c>
      <c r="L171" s="17">
        <f t="shared" si="10"/>
        <v>70</v>
      </c>
      <c r="M171" s="17">
        <f t="shared" si="11"/>
        <v>-2</v>
      </c>
    </row>
    <row r="172" spans="1:13" ht="14.25" x14ac:dyDescent="0.15">
      <c r="A172" s="6">
        <v>171</v>
      </c>
      <c r="B172" s="1" t="s">
        <v>164</v>
      </c>
      <c r="C172" s="1" t="s">
        <v>14</v>
      </c>
      <c r="D172" s="1" t="s">
        <v>15</v>
      </c>
      <c r="E172" s="16">
        <f>VLOOKUP(C172,收费标准!A$3:B$5,2,FALSE)</f>
        <v>1.5</v>
      </c>
      <c r="F172" s="2">
        <v>41787</v>
      </c>
      <c r="G172" s="4">
        <v>0.17848649999999999</v>
      </c>
      <c r="H172" s="2">
        <v>41787</v>
      </c>
      <c r="I172" s="4">
        <v>0.26043749999999999</v>
      </c>
      <c r="J172" s="29">
        <f t="shared" si="8"/>
        <v>8.1950999999999996E-2</v>
      </c>
      <c r="K172" s="16">
        <f t="shared" si="9"/>
        <v>12</v>
      </c>
      <c r="L172" s="17">
        <f t="shared" si="10"/>
        <v>10.5</v>
      </c>
      <c r="M172" s="17">
        <f t="shared" si="11"/>
        <v>-1.5</v>
      </c>
    </row>
    <row r="173" spans="1:13" ht="14.25" x14ac:dyDescent="0.15">
      <c r="A173" s="6">
        <v>172</v>
      </c>
      <c r="B173" s="1" t="s">
        <v>138</v>
      </c>
      <c r="C173" s="1" t="s">
        <v>11</v>
      </c>
      <c r="D173" s="1" t="s">
        <v>15</v>
      </c>
      <c r="E173" s="16">
        <f>VLOOKUP(C173,收费标准!A$3:B$5,2,FALSE)</f>
        <v>2</v>
      </c>
      <c r="F173" s="2">
        <v>41787</v>
      </c>
      <c r="G173" s="4">
        <v>0.25557600000000003</v>
      </c>
      <c r="H173" s="2">
        <v>41787</v>
      </c>
      <c r="I173" s="4">
        <v>0.28543950000000001</v>
      </c>
      <c r="J173" s="29">
        <f t="shared" si="8"/>
        <v>2.9863499999999987E-2</v>
      </c>
      <c r="K173" s="16">
        <f t="shared" si="9"/>
        <v>6</v>
      </c>
      <c r="L173" s="17">
        <f t="shared" si="10"/>
        <v>4</v>
      </c>
      <c r="M173" s="17">
        <f t="shared" si="11"/>
        <v>-2</v>
      </c>
    </row>
    <row r="174" spans="1:13" ht="14.25" x14ac:dyDescent="0.15">
      <c r="A174" s="6">
        <v>173</v>
      </c>
      <c r="B174" s="1" t="s">
        <v>152</v>
      </c>
      <c r="C174" s="1" t="s">
        <v>26</v>
      </c>
      <c r="D174" s="1" t="s">
        <v>22</v>
      </c>
      <c r="E174" s="16">
        <f>VLOOKUP(C174,收费标准!A$3:B$5,2,FALSE)</f>
        <v>2.5</v>
      </c>
      <c r="F174" s="2">
        <v>41787</v>
      </c>
      <c r="G174" s="4">
        <v>0.28127250000000004</v>
      </c>
      <c r="H174" s="2">
        <v>41787</v>
      </c>
      <c r="I174" s="4">
        <v>0.75769949999999997</v>
      </c>
      <c r="J174" s="29">
        <f t="shared" si="8"/>
        <v>0.47642699999999993</v>
      </c>
      <c r="K174" s="16">
        <f t="shared" si="9"/>
        <v>115</v>
      </c>
      <c r="L174" s="17">
        <f t="shared" si="10"/>
        <v>112.5</v>
      </c>
      <c r="M174" s="17">
        <f t="shared" si="11"/>
        <v>-2.5</v>
      </c>
    </row>
    <row r="175" spans="1:13" ht="14.25" x14ac:dyDescent="0.15">
      <c r="A175" s="6">
        <v>174</v>
      </c>
      <c r="B175" s="1" t="s">
        <v>10</v>
      </c>
      <c r="C175" s="1" t="s">
        <v>11</v>
      </c>
      <c r="D175" s="1" t="s">
        <v>12</v>
      </c>
      <c r="E175" s="16">
        <f>VLOOKUP(C175,收费标准!A$3:B$5,2,FALSE)</f>
        <v>2</v>
      </c>
      <c r="F175" s="2">
        <v>41787</v>
      </c>
      <c r="G175" s="4">
        <v>0.29030100000000003</v>
      </c>
      <c r="H175" s="2">
        <v>41787</v>
      </c>
      <c r="I175" s="4">
        <v>0.82437150000000003</v>
      </c>
      <c r="J175" s="29">
        <f t="shared" si="8"/>
        <v>0.5340705</v>
      </c>
      <c r="K175" s="16">
        <f t="shared" si="9"/>
        <v>104</v>
      </c>
      <c r="L175" s="17">
        <f t="shared" si="10"/>
        <v>102</v>
      </c>
      <c r="M175" s="17">
        <f t="shared" si="11"/>
        <v>-2</v>
      </c>
    </row>
    <row r="176" spans="1:13" ht="14.25" x14ac:dyDescent="0.15">
      <c r="A176" s="6">
        <v>175</v>
      </c>
      <c r="B176" s="1" t="s">
        <v>37</v>
      </c>
      <c r="C176" s="1" t="s">
        <v>11</v>
      </c>
      <c r="D176" s="1" t="s">
        <v>12</v>
      </c>
      <c r="E176" s="16">
        <f>VLOOKUP(C176,收费标准!A$3:B$5,2,FALSE)</f>
        <v>2</v>
      </c>
      <c r="F176" s="2">
        <v>41787</v>
      </c>
      <c r="G176" s="4">
        <v>0.30974699999999999</v>
      </c>
      <c r="H176" s="2">
        <v>41787</v>
      </c>
      <c r="I176" s="4">
        <v>0.69033299999999997</v>
      </c>
      <c r="J176" s="29">
        <f t="shared" si="8"/>
        <v>0.38058599999999998</v>
      </c>
      <c r="K176" s="16">
        <f t="shared" si="9"/>
        <v>74</v>
      </c>
      <c r="L176" s="17">
        <f t="shared" si="10"/>
        <v>72</v>
      </c>
      <c r="M176" s="17">
        <f t="shared" si="11"/>
        <v>-2</v>
      </c>
    </row>
    <row r="177" spans="1:13" ht="14.25" x14ac:dyDescent="0.15">
      <c r="A177" s="6">
        <v>176</v>
      </c>
      <c r="B177" s="1" t="s">
        <v>23</v>
      </c>
      <c r="C177" s="1" t="s">
        <v>14</v>
      </c>
      <c r="D177" s="1" t="s">
        <v>15</v>
      </c>
      <c r="E177" s="16">
        <f>VLOOKUP(C177,收费标准!A$3:B$5,2,FALSE)</f>
        <v>1.5</v>
      </c>
      <c r="F177" s="2">
        <v>41787</v>
      </c>
      <c r="G177" s="4">
        <v>0.33335999999999999</v>
      </c>
      <c r="H177" s="2">
        <v>41787</v>
      </c>
      <c r="I177" s="4">
        <v>0.60282599999999997</v>
      </c>
      <c r="J177" s="29">
        <f t="shared" si="8"/>
        <v>0.26946599999999998</v>
      </c>
      <c r="K177" s="16">
        <f t="shared" si="9"/>
        <v>39</v>
      </c>
      <c r="L177" s="17">
        <f t="shared" si="10"/>
        <v>37.5</v>
      </c>
      <c r="M177" s="17">
        <f t="shared" si="11"/>
        <v>-1.5</v>
      </c>
    </row>
    <row r="178" spans="1:13" ht="14.25" x14ac:dyDescent="0.15">
      <c r="A178" s="6">
        <v>177</v>
      </c>
      <c r="B178" s="1" t="s">
        <v>21</v>
      </c>
      <c r="C178" s="1" t="s">
        <v>14</v>
      </c>
      <c r="D178" s="1" t="s">
        <v>22</v>
      </c>
      <c r="E178" s="16">
        <f>VLOOKUP(C178,收费标准!A$3:B$5,2,FALSE)</f>
        <v>1.5</v>
      </c>
      <c r="F178" s="2">
        <v>41787</v>
      </c>
      <c r="G178" s="4">
        <v>0.33822150000000001</v>
      </c>
      <c r="H178" s="2">
        <v>41787</v>
      </c>
      <c r="I178" s="4">
        <v>0.53823750000000004</v>
      </c>
      <c r="J178" s="29">
        <f t="shared" si="8"/>
        <v>0.20001600000000003</v>
      </c>
      <c r="K178" s="16">
        <f t="shared" si="9"/>
        <v>30</v>
      </c>
      <c r="L178" s="17">
        <f t="shared" si="10"/>
        <v>28.5</v>
      </c>
      <c r="M178" s="17">
        <f t="shared" si="11"/>
        <v>-1.5</v>
      </c>
    </row>
    <row r="179" spans="1:13" ht="14.25" x14ac:dyDescent="0.15">
      <c r="A179" s="6">
        <v>178</v>
      </c>
      <c r="B179" s="1" t="s">
        <v>129</v>
      </c>
      <c r="C179" s="1" t="s">
        <v>11</v>
      </c>
      <c r="D179" s="1" t="s">
        <v>12</v>
      </c>
      <c r="E179" s="16">
        <f>VLOOKUP(C179,收费标准!A$3:B$5,2,FALSE)</f>
        <v>2</v>
      </c>
      <c r="F179" s="2">
        <v>41787</v>
      </c>
      <c r="G179" s="4">
        <v>0.35280600000000001</v>
      </c>
      <c r="H179" s="2">
        <v>41787</v>
      </c>
      <c r="I179" s="4">
        <v>0.53893199999999997</v>
      </c>
      <c r="J179" s="29">
        <f t="shared" si="8"/>
        <v>0.18612599999999996</v>
      </c>
      <c r="K179" s="16">
        <f t="shared" si="9"/>
        <v>36</v>
      </c>
      <c r="L179" s="17">
        <f t="shared" si="10"/>
        <v>34</v>
      </c>
      <c r="M179" s="17">
        <f t="shared" si="11"/>
        <v>-2</v>
      </c>
    </row>
    <row r="180" spans="1:13" ht="14.25" x14ac:dyDescent="0.15">
      <c r="A180" s="6">
        <v>179</v>
      </c>
      <c r="B180" s="1" t="s">
        <v>161</v>
      </c>
      <c r="C180" s="1" t="s">
        <v>26</v>
      </c>
      <c r="D180" s="1" t="s">
        <v>12</v>
      </c>
      <c r="E180" s="16">
        <f>VLOOKUP(C180,收费标准!A$3:B$5,2,FALSE)</f>
        <v>2.5</v>
      </c>
      <c r="F180" s="2">
        <v>41787</v>
      </c>
      <c r="G180" s="4">
        <v>0.36252899999999999</v>
      </c>
      <c r="H180" s="2">
        <v>41787</v>
      </c>
      <c r="I180" s="4">
        <v>0.53129250000000006</v>
      </c>
      <c r="J180" s="29">
        <f t="shared" si="8"/>
        <v>0.16876350000000007</v>
      </c>
      <c r="K180" s="16">
        <f t="shared" si="9"/>
        <v>42.5</v>
      </c>
      <c r="L180" s="17">
        <f t="shared" si="10"/>
        <v>40</v>
      </c>
      <c r="M180" s="17">
        <f t="shared" si="11"/>
        <v>-2.5</v>
      </c>
    </row>
    <row r="181" spans="1:13" ht="14.25" x14ac:dyDescent="0.15">
      <c r="A181" s="6">
        <v>180</v>
      </c>
      <c r="B181" s="1" t="s">
        <v>87</v>
      </c>
      <c r="C181" s="1" t="s">
        <v>11</v>
      </c>
      <c r="D181" s="1" t="s">
        <v>12</v>
      </c>
      <c r="E181" s="16">
        <f>VLOOKUP(C181,收费标准!A$3:B$5,2,FALSE)</f>
        <v>2</v>
      </c>
      <c r="F181" s="2">
        <v>41787</v>
      </c>
      <c r="G181" s="4">
        <v>0.36877950000000004</v>
      </c>
      <c r="H181" s="2">
        <v>41787</v>
      </c>
      <c r="I181" s="4">
        <v>0.69380550000000007</v>
      </c>
      <c r="J181" s="29">
        <f t="shared" si="8"/>
        <v>0.32502600000000004</v>
      </c>
      <c r="K181" s="16">
        <f t="shared" si="9"/>
        <v>64</v>
      </c>
      <c r="L181" s="17">
        <f t="shared" si="10"/>
        <v>62</v>
      </c>
      <c r="M181" s="17">
        <f t="shared" si="11"/>
        <v>-2</v>
      </c>
    </row>
    <row r="182" spans="1:13" ht="14.25" x14ac:dyDescent="0.15">
      <c r="A182" s="6">
        <v>181</v>
      </c>
      <c r="B182" s="1" t="s">
        <v>167</v>
      </c>
      <c r="C182" s="1" t="s">
        <v>11</v>
      </c>
      <c r="D182" s="1" t="s">
        <v>22</v>
      </c>
      <c r="E182" s="16">
        <f>VLOOKUP(C182,收费标准!A$3:B$5,2,FALSE)</f>
        <v>2</v>
      </c>
      <c r="F182" s="2">
        <v>41787</v>
      </c>
      <c r="G182" s="4">
        <v>0.40281</v>
      </c>
      <c r="H182" s="2">
        <v>41788</v>
      </c>
      <c r="I182" s="4">
        <v>9.2368500000000006E-2</v>
      </c>
      <c r="J182" s="29">
        <f t="shared" si="8"/>
        <v>0.68955850000000007</v>
      </c>
      <c r="K182" s="16">
        <f t="shared" si="9"/>
        <v>134</v>
      </c>
      <c r="L182" s="17">
        <f t="shared" si="10"/>
        <v>132</v>
      </c>
      <c r="M182" s="17">
        <f t="shared" si="11"/>
        <v>-2</v>
      </c>
    </row>
    <row r="183" spans="1:13" ht="14.25" x14ac:dyDescent="0.15">
      <c r="A183" s="6">
        <v>182</v>
      </c>
      <c r="B183" s="1" t="s">
        <v>139</v>
      </c>
      <c r="C183" s="1" t="s">
        <v>26</v>
      </c>
      <c r="D183" s="1" t="s">
        <v>22</v>
      </c>
      <c r="E183" s="16">
        <f>VLOOKUP(C183,收费标准!A$3:B$5,2,FALSE)</f>
        <v>2.5</v>
      </c>
      <c r="F183" s="2">
        <v>41787</v>
      </c>
      <c r="G183" s="4">
        <v>0.40697700000000003</v>
      </c>
      <c r="H183" s="2">
        <v>41787</v>
      </c>
      <c r="I183" s="4">
        <v>0.62366100000000002</v>
      </c>
      <c r="J183" s="29">
        <f t="shared" si="8"/>
        <v>0.21668399999999999</v>
      </c>
      <c r="K183" s="16">
        <f t="shared" si="9"/>
        <v>52.5</v>
      </c>
      <c r="L183" s="17">
        <f t="shared" si="10"/>
        <v>50</v>
      </c>
      <c r="M183" s="17">
        <f t="shared" si="11"/>
        <v>-2.5</v>
      </c>
    </row>
    <row r="184" spans="1:13" ht="14.25" x14ac:dyDescent="0.15">
      <c r="A184" s="6">
        <v>183</v>
      </c>
      <c r="B184" s="1" t="s">
        <v>146</v>
      </c>
      <c r="C184" s="1" t="s">
        <v>11</v>
      </c>
      <c r="D184" s="1" t="s">
        <v>12</v>
      </c>
      <c r="E184" s="16">
        <f>VLOOKUP(C184,收费标准!A$3:B$5,2,FALSE)</f>
        <v>2</v>
      </c>
      <c r="F184" s="2">
        <v>41787</v>
      </c>
      <c r="G184" s="4">
        <v>0.40767150000000002</v>
      </c>
      <c r="H184" s="2">
        <v>41787</v>
      </c>
      <c r="I184" s="4">
        <v>0.47087100000000004</v>
      </c>
      <c r="J184" s="29">
        <f t="shared" si="8"/>
        <v>6.319950000000002E-2</v>
      </c>
      <c r="K184" s="16">
        <f t="shared" si="9"/>
        <v>14</v>
      </c>
      <c r="L184" s="17">
        <f t="shared" si="10"/>
        <v>12</v>
      </c>
      <c r="M184" s="17">
        <f t="shared" si="11"/>
        <v>-2</v>
      </c>
    </row>
    <row r="185" spans="1:13" ht="14.25" x14ac:dyDescent="0.15">
      <c r="A185" s="6">
        <v>184</v>
      </c>
      <c r="B185" s="1" t="s">
        <v>151</v>
      </c>
      <c r="C185" s="1" t="s">
        <v>14</v>
      </c>
      <c r="D185" s="1" t="s">
        <v>12</v>
      </c>
      <c r="E185" s="16">
        <f>VLOOKUP(C185,收费标准!A$3:B$5,2,FALSE)</f>
        <v>1.5</v>
      </c>
      <c r="F185" s="2">
        <v>41787</v>
      </c>
      <c r="G185" s="4">
        <v>0.42989549999999999</v>
      </c>
      <c r="H185" s="2">
        <v>41787</v>
      </c>
      <c r="I185" s="4">
        <v>0.66046950000000004</v>
      </c>
      <c r="J185" s="29">
        <f t="shared" si="8"/>
        <v>0.23057400000000006</v>
      </c>
      <c r="K185" s="16">
        <f t="shared" si="9"/>
        <v>34.5</v>
      </c>
      <c r="L185" s="17">
        <f t="shared" si="10"/>
        <v>33</v>
      </c>
      <c r="M185" s="17">
        <f t="shared" si="11"/>
        <v>-1.5</v>
      </c>
    </row>
    <row r="186" spans="1:13" ht="14.25" x14ac:dyDescent="0.15">
      <c r="A186" s="6">
        <v>185</v>
      </c>
      <c r="B186" s="1" t="s">
        <v>38</v>
      </c>
      <c r="C186" s="1" t="s">
        <v>26</v>
      </c>
      <c r="D186" s="1" t="s">
        <v>15</v>
      </c>
      <c r="E186" s="16">
        <f>VLOOKUP(C186,收费标准!A$3:B$5,2,FALSE)</f>
        <v>2.5</v>
      </c>
      <c r="F186" s="2">
        <v>41787</v>
      </c>
      <c r="G186" s="4">
        <v>0.45975900000000003</v>
      </c>
      <c r="H186" s="2">
        <v>41787</v>
      </c>
      <c r="I186" s="4">
        <v>0.800064</v>
      </c>
      <c r="J186" s="29">
        <f t="shared" si="8"/>
        <v>0.34030499999999997</v>
      </c>
      <c r="K186" s="16">
        <f t="shared" si="9"/>
        <v>82.5</v>
      </c>
      <c r="L186" s="17">
        <f t="shared" si="10"/>
        <v>80</v>
      </c>
      <c r="M186" s="17">
        <f t="shared" si="11"/>
        <v>-2.5</v>
      </c>
    </row>
    <row r="187" spans="1:13" ht="14.25" x14ac:dyDescent="0.15">
      <c r="A187" s="6">
        <v>186</v>
      </c>
      <c r="B187" s="1" t="s">
        <v>101</v>
      </c>
      <c r="C187" s="1" t="s">
        <v>11</v>
      </c>
      <c r="D187" s="1" t="s">
        <v>22</v>
      </c>
      <c r="E187" s="16">
        <f>VLOOKUP(C187,收费标准!A$3:B$5,2,FALSE)</f>
        <v>2</v>
      </c>
      <c r="F187" s="2">
        <v>41787</v>
      </c>
      <c r="G187" s="4">
        <v>0.47989950000000003</v>
      </c>
      <c r="H187" s="2">
        <v>41787</v>
      </c>
      <c r="I187" s="4">
        <v>0.98480100000000004</v>
      </c>
      <c r="J187" s="29">
        <f t="shared" si="8"/>
        <v>0.5049015</v>
      </c>
      <c r="K187" s="16">
        <f t="shared" si="9"/>
        <v>98</v>
      </c>
      <c r="L187" s="17">
        <f t="shared" si="10"/>
        <v>96</v>
      </c>
      <c r="M187" s="17">
        <f t="shared" si="11"/>
        <v>-2</v>
      </c>
    </row>
    <row r="188" spans="1:13" ht="14.25" x14ac:dyDescent="0.15">
      <c r="A188" s="6">
        <v>187</v>
      </c>
      <c r="B188" s="1" t="s">
        <v>31</v>
      </c>
      <c r="C188" s="1" t="s">
        <v>11</v>
      </c>
      <c r="D188" s="1" t="s">
        <v>17</v>
      </c>
      <c r="E188" s="16">
        <f>VLOOKUP(C188,收费标准!A$3:B$5,2,FALSE)</f>
        <v>2</v>
      </c>
      <c r="F188" s="2">
        <v>41787</v>
      </c>
      <c r="G188" s="4">
        <v>0.48545550000000004</v>
      </c>
      <c r="H188" s="2">
        <v>41787</v>
      </c>
      <c r="I188" s="4">
        <v>0.83062199999999997</v>
      </c>
      <c r="J188" s="29">
        <f t="shared" si="8"/>
        <v>0.34516649999999993</v>
      </c>
      <c r="K188" s="16">
        <f t="shared" si="9"/>
        <v>68</v>
      </c>
      <c r="L188" s="17">
        <f t="shared" si="10"/>
        <v>66</v>
      </c>
      <c r="M188" s="17">
        <f t="shared" si="11"/>
        <v>-2</v>
      </c>
    </row>
    <row r="189" spans="1:13" ht="14.25" x14ac:dyDescent="0.15">
      <c r="A189" s="6">
        <v>188</v>
      </c>
      <c r="B189" s="1" t="s">
        <v>89</v>
      </c>
      <c r="C189" s="1" t="s">
        <v>26</v>
      </c>
      <c r="D189" s="1" t="s">
        <v>15</v>
      </c>
      <c r="E189" s="16">
        <f>VLOOKUP(C189,收费标准!A$3:B$5,2,FALSE)</f>
        <v>2.5</v>
      </c>
      <c r="F189" s="2">
        <v>41787</v>
      </c>
      <c r="G189" s="4">
        <v>0.48615000000000003</v>
      </c>
      <c r="H189" s="2">
        <v>41787</v>
      </c>
      <c r="I189" s="4">
        <v>0.5632395</v>
      </c>
      <c r="J189" s="29">
        <f t="shared" si="8"/>
        <v>7.7089499999999977E-2</v>
      </c>
      <c r="K189" s="16">
        <f t="shared" si="9"/>
        <v>20</v>
      </c>
      <c r="L189" s="17">
        <f t="shared" si="10"/>
        <v>17.5</v>
      </c>
      <c r="M189" s="17">
        <f t="shared" si="11"/>
        <v>-2.5</v>
      </c>
    </row>
    <row r="190" spans="1:13" ht="14.25" x14ac:dyDescent="0.15">
      <c r="A190" s="6">
        <v>189</v>
      </c>
      <c r="B190" s="1" t="s">
        <v>47</v>
      </c>
      <c r="C190" s="1" t="s">
        <v>11</v>
      </c>
      <c r="D190" s="1" t="s">
        <v>17</v>
      </c>
      <c r="E190" s="16">
        <f>VLOOKUP(C190,收费标准!A$3:B$5,2,FALSE)</f>
        <v>2</v>
      </c>
      <c r="F190" s="2">
        <v>41787</v>
      </c>
      <c r="G190" s="4">
        <v>0.53476500000000005</v>
      </c>
      <c r="H190" s="2">
        <v>41787</v>
      </c>
      <c r="I190" s="4">
        <v>0.78686849999999997</v>
      </c>
      <c r="J190" s="29">
        <f t="shared" si="8"/>
        <v>0.25210349999999992</v>
      </c>
      <c r="K190" s="16">
        <f t="shared" si="9"/>
        <v>50</v>
      </c>
      <c r="L190" s="17">
        <f t="shared" si="10"/>
        <v>48</v>
      </c>
      <c r="M190" s="17">
        <f t="shared" si="11"/>
        <v>-2</v>
      </c>
    </row>
    <row r="191" spans="1:13" ht="14.25" x14ac:dyDescent="0.15">
      <c r="A191" s="6">
        <v>190</v>
      </c>
      <c r="B191" s="1" t="s">
        <v>160</v>
      </c>
      <c r="C191" s="1" t="s">
        <v>14</v>
      </c>
      <c r="D191" s="1" t="s">
        <v>17</v>
      </c>
      <c r="E191" s="16">
        <f>VLOOKUP(C191,收费标准!A$3:B$5,2,FALSE)</f>
        <v>1.5</v>
      </c>
      <c r="F191" s="2">
        <v>41787</v>
      </c>
      <c r="G191" s="4">
        <v>0.53893199999999997</v>
      </c>
      <c r="H191" s="2">
        <v>41788</v>
      </c>
      <c r="I191" s="4">
        <v>2.6391000000000001E-2</v>
      </c>
      <c r="J191" s="29">
        <f t="shared" si="8"/>
        <v>0.48745900000000009</v>
      </c>
      <c r="K191" s="16">
        <f t="shared" si="9"/>
        <v>70.5</v>
      </c>
      <c r="L191" s="17">
        <f t="shared" si="10"/>
        <v>69</v>
      </c>
      <c r="M191" s="17">
        <f t="shared" si="11"/>
        <v>-1.5</v>
      </c>
    </row>
    <row r="192" spans="1:13" ht="14.25" x14ac:dyDescent="0.15">
      <c r="A192" s="6">
        <v>191</v>
      </c>
      <c r="B192" s="1" t="s">
        <v>122</v>
      </c>
      <c r="C192" s="1" t="s">
        <v>14</v>
      </c>
      <c r="D192" s="1" t="s">
        <v>22</v>
      </c>
      <c r="E192" s="16">
        <f>VLOOKUP(C192,收费标准!A$3:B$5,2,FALSE)</f>
        <v>1.5</v>
      </c>
      <c r="F192" s="2">
        <v>41787</v>
      </c>
      <c r="G192" s="4">
        <v>0.56879550000000001</v>
      </c>
      <c r="H192" s="2">
        <v>41787</v>
      </c>
      <c r="I192" s="4">
        <v>0.73130850000000003</v>
      </c>
      <c r="J192" s="29">
        <f t="shared" si="8"/>
        <v>0.16251300000000002</v>
      </c>
      <c r="K192" s="16">
        <f t="shared" si="9"/>
        <v>24</v>
      </c>
      <c r="L192" s="17">
        <f t="shared" si="10"/>
        <v>22.5</v>
      </c>
      <c r="M192" s="17">
        <f t="shared" si="11"/>
        <v>-1.5</v>
      </c>
    </row>
    <row r="193" spans="1:13" ht="14.25" x14ac:dyDescent="0.15">
      <c r="A193" s="6">
        <v>192</v>
      </c>
      <c r="B193" s="1" t="s">
        <v>51</v>
      </c>
      <c r="C193" s="1" t="s">
        <v>26</v>
      </c>
      <c r="D193" s="1" t="s">
        <v>22</v>
      </c>
      <c r="E193" s="16">
        <f>VLOOKUP(C193,收费标准!A$3:B$5,2,FALSE)</f>
        <v>2.5</v>
      </c>
      <c r="F193" s="2">
        <v>41787</v>
      </c>
      <c r="G193" s="4">
        <v>0.57504600000000006</v>
      </c>
      <c r="H193" s="2">
        <v>41787</v>
      </c>
      <c r="I193" s="4">
        <v>0.81048150000000008</v>
      </c>
      <c r="J193" s="29">
        <f t="shared" si="8"/>
        <v>0.23543550000000002</v>
      </c>
      <c r="K193" s="16">
        <f t="shared" si="9"/>
        <v>57.5</v>
      </c>
      <c r="L193" s="17">
        <f t="shared" si="10"/>
        <v>55</v>
      </c>
      <c r="M193" s="17">
        <f t="shared" si="11"/>
        <v>-2.5</v>
      </c>
    </row>
    <row r="194" spans="1:13" ht="14.25" x14ac:dyDescent="0.15">
      <c r="A194" s="6">
        <v>193</v>
      </c>
      <c r="B194" s="1" t="s">
        <v>48</v>
      </c>
      <c r="C194" s="1" t="s">
        <v>26</v>
      </c>
      <c r="D194" s="1" t="s">
        <v>15</v>
      </c>
      <c r="E194" s="16">
        <f>VLOOKUP(C194,收费标准!A$3:B$5,2,FALSE)</f>
        <v>2.5</v>
      </c>
      <c r="F194" s="2">
        <v>41787</v>
      </c>
      <c r="G194" s="4">
        <v>0.61046549999999999</v>
      </c>
      <c r="H194" s="2">
        <v>41788</v>
      </c>
      <c r="I194" s="4">
        <v>6.2505E-3</v>
      </c>
      <c r="J194" s="29">
        <f t="shared" si="8"/>
        <v>0.39578499999999994</v>
      </c>
      <c r="K194" s="16">
        <f t="shared" si="9"/>
        <v>95</v>
      </c>
      <c r="L194" s="17">
        <f t="shared" si="10"/>
        <v>92.5</v>
      </c>
      <c r="M194" s="17">
        <f t="shared" si="11"/>
        <v>-2.5</v>
      </c>
    </row>
    <row r="195" spans="1:13" ht="14.25" x14ac:dyDescent="0.15">
      <c r="A195" s="6">
        <v>194</v>
      </c>
      <c r="B195" s="1" t="s">
        <v>141</v>
      </c>
      <c r="C195" s="1" t="s">
        <v>26</v>
      </c>
      <c r="D195" s="1" t="s">
        <v>15</v>
      </c>
      <c r="E195" s="16">
        <f>VLOOKUP(C195,收费标准!A$3:B$5,2,FALSE)</f>
        <v>2.5</v>
      </c>
      <c r="F195" s="2">
        <v>41787</v>
      </c>
      <c r="G195" s="4">
        <v>0.62435550000000006</v>
      </c>
      <c r="H195" s="2">
        <v>41788</v>
      </c>
      <c r="I195" s="4">
        <v>0.27293850000000003</v>
      </c>
      <c r="J195" s="29">
        <f t="shared" ref="J195:J258" si="12">H195-F195+I195-G195</f>
        <v>0.64858299999999991</v>
      </c>
      <c r="K195" s="16">
        <f t="shared" ref="K195:K258" si="13">ROUNDUP(J195*60*24/15,0)*E195</f>
        <v>157.5</v>
      </c>
      <c r="L195" s="17">
        <f t="shared" ref="L195:L258" si="14">ROUNDDOWN(J195*60*24/15,0)*E195</f>
        <v>155</v>
      </c>
      <c r="M195" s="17">
        <f t="shared" ref="M195:M258" si="15">L195-K195</f>
        <v>-2.5</v>
      </c>
    </row>
    <row r="196" spans="1:13" ht="14.25" x14ac:dyDescent="0.15">
      <c r="A196" s="6">
        <v>195</v>
      </c>
      <c r="B196" s="1" t="s">
        <v>92</v>
      </c>
      <c r="C196" s="1" t="s">
        <v>26</v>
      </c>
      <c r="D196" s="1" t="s">
        <v>12</v>
      </c>
      <c r="E196" s="16">
        <f>VLOOKUP(C196,收费标准!A$3:B$5,2,FALSE)</f>
        <v>2.5</v>
      </c>
      <c r="F196" s="2">
        <v>41787</v>
      </c>
      <c r="G196" s="4">
        <v>0.63755099999999998</v>
      </c>
      <c r="H196" s="2">
        <v>41787</v>
      </c>
      <c r="I196" s="4">
        <v>0.77158950000000004</v>
      </c>
      <c r="J196" s="29">
        <f t="shared" si="12"/>
        <v>0.13403850000000006</v>
      </c>
      <c r="K196" s="16">
        <f t="shared" si="13"/>
        <v>32.5</v>
      </c>
      <c r="L196" s="17">
        <f t="shared" si="14"/>
        <v>30</v>
      </c>
      <c r="M196" s="17">
        <f t="shared" si="15"/>
        <v>-2.5</v>
      </c>
    </row>
    <row r="197" spans="1:13" ht="14.25" x14ac:dyDescent="0.15">
      <c r="A197" s="6">
        <v>196</v>
      </c>
      <c r="B197" s="1" t="s">
        <v>73</v>
      </c>
      <c r="C197" s="1" t="s">
        <v>26</v>
      </c>
      <c r="D197" s="1" t="s">
        <v>12</v>
      </c>
      <c r="E197" s="16">
        <f>VLOOKUP(C197,收费标准!A$3:B$5,2,FALSE)</f>
        <v>2.5</v>
      </c>
      <c r="F197" s="2">
        <v>41787</v>
      </c>
      <c r="G197" s="4">
        <v>0.63963449999999999</v>
      </c>
      <c r="H197" s="2">
        <v>41787</v>
      </c>
      <c r="I197" s="4">
        <v>0.78686849999999997</v>
      </c>
      <c r="J197" s="29">
        <f t="shared" si="12"/>
        <v>0.14723399999999998</v>
      </c>
      <c r="K197" s="16">
        <f t="shared" si="13"/>
        <v>37.5</v>
      </c>
      <c r="L197" s="17">
        <f t="shared" si="14"/>
        <v>35</v>
      </c>
      <c r="M197" s="17">
        <f t="shared" si="15"/>
        <v>-2.5</v>
      </c>
    </row>
    <row r="198" spans="1:13" ht="14.25" x14ac:dyDescent="0.15">
      <c r="A198" s="6">
        <v>197</v>
      </c>
      <c r="B198" s="1" t="s">
        <v>147</v>
      </c>
      <c r="C198" s="1" t="s">
        <v>26</v>
      </c>
      <c r="D198" s="1" t="s">
        <v>12</v>
      </c>
      <c r="E198" s="16">
        <f>VLOOKUP(C198,收费标准!A$3:B$5,2,FALSE)</f>
        <v>2.5</v>
      </c>
      <c r="F198" s="2">
        <v>41787</v>
      </c>
      <c r="G198" s="4">
        <v>0.64588500000000004</v>
      </c>
      <c r="H198" s="2">
        <v>41787</v>
      </c>
      <c r="I198" s="4">
        <v>0.99799650000000006</v>
      </c>
      <c r="J198" s="29">
        <f t="shared" si="12"/>
        <v>0.35211150000000002</v>
      </c>
      <c r="K198" s="16">
        <f t="shared" si="13"/>
        <v>85</v>
      </c>
      <c r="L198" s="17">
        <f t="shared" si="14"/>
        <v>82.5</v>
      </c>
      <c r="M198" s="17">
        <f t="shared" si="15"/>
        <v>-2.5</v>
      </c>
    </row>
    <row r="199" spans="1:13" ht="14.25" x14ac:dyDescent="0.15">
      <c r="A199" s="6">
        <v>198</v>
      </c>
      <c r="B199" s="1" t="s">
        <v>159</v>
      </c>
      <c r="C199" s="1" t="s">
        <v>11</v>
      </c>
      <c r="D199" s="1" t="s">
        <v>17</v>
      </c>
      <c r="E199" s="16">
        <f>VLOOKUP(C199,收费标准!A$3:B$5,2,FALSE)</f>
        <v>2</v>
      </c>
      <c r="F199" s="2">
        <v>41787</v>
      </c>
      <c r="G199" s="4">
        <v>0.66463650000000007</v>
      </c>
      <c r="H199" s="2">
        <v>41787</v>
      </c>
      <c r="I199" s="4">
        <v>0.67227599999999998</v>
      </c>
      <c r="J199" s="29">
        <f t="shared" si="12"/>
        <v>7.6394999999999103E-3</v>
      </c>
      <c r="K199" s="16">
        <f t="shared" si="13"/>
        <v>2</v>
      </c>
      <c r="L199" s="17">
        <f t="shared" si="14"/>
        <v>0</v>
      </c>
      <c r="M199" s="17">
        <f t="shared" si="15"/>
        <v>-2</v>
      </c>
    </row>
    <row r="200" spans="1:13" ht="14.25" x14ac:dyDescent="0.15">
      <c r="A200" s="6">
        <v>199</v>
      </c>
      <c r="B200" s="1" t="s">
        <v>104</v>
      </c>
      <c r="C200" s="1" t="s">
        <v>26</v>
      </c>
      <c r="D200" s="1" t="s">
        <v>22</v>
      </c>
      <c r="E200" s="16">
        <f>VLOOKUP(C200,收费标准!A$3:B$5,2,FALSE)</f>
        <v>2.5</v>
      </c>
      <c r="F200" s="2">
        <v>41787</v>
      </c>
      <c r="G200" s="4">
        <v>0.68824950000000007</v>
      </c>
      <c r="H200" s="2">
        <v>41787</v>
      </c>
      <c r="I200" s="4">
        <v>0.96118800000000004</v>
      </c>
      <c r="J200" s="29">
        <f t="shared" si="12"/>
        <v>0.27293849999999997</v>
      </c>
      <c r="K200" s="16">
        <f t="shared" si="13"/>
        <v>67.5</v>
      </c>
      <c r="L200" s="17">
        <f t="shared" si="14"/>
        <v>65</v>
      </c>
      <c r="M200" s="17">
        <f t="shared" si="15"/>
        <v>-2.5</v>
      </c>
    </row>
    <row r="201" spans="1:13" ht="14.25" x14ac:dyDescent="0.15">
      <c r="A201" s="6">
        <v>200</v>
      </c>
      <c r="B201" s="1" t="s">
        <v>113</v>
      </c>
      <c r="C201" s="1" t="s">
        <v>26</v>
      </c>
      <c r="D201" s="1" t="s">
        <v>17</v>
      </c>
      <c r="E201" s="16">
        <f>VLOOKUP(C201,收费标准!A$3:B$5,2,FALSE)</f>
        <v>2.5</v>
      </c>
      <c r="F201" s="2">
        <v>41787</v>
      </c>
      <c r="G201" s="4">
        <v>0.69519450000000005</v>
      </c>
      <c r="H201" s="2">
        <v>41787</v>
      </c>
      <c r="I201" s="4">
        <v>0.72922500000000001</v>
      </c>
      <c r="J201" s="29">
        <f t="shared" si="12"/>
        <v>3.4030499999999964E-2</v>
      </c>
      <c r="K201" s="16">
        <f t="shared" si="13"/>
        <v>10</v>
      </c>
      <c r="L201" s="17">
        <f t="shared" si="14"/>
        <v>7.5</v>
      </c>
      <c r="M201" s="17">
        <f t="shared" si="15"/>
        <v>-2.5</v>
      </c>
    </row>
    <row r="202" spans="1:13" ht="14.25" x14ac:dyDescent="0.15">
      <c r="A202" s="6">
        <v>201</v>
      </c>
      <c r="B202" s="1" t="s">
        <v>50</v>
      </c>
      <c r="C202" s="1" t="s">
        <v>11</v>
      </c>
      <c r="D202" s="1" t="s">
        <v>17</v>
      </c>
      <c r="E202" s="16">
        <f>VLOOKUP(C202,收费标准!A$3:B$5,2,FALSE)</f>
        <v>2</v>
      </c>
      <c r="F202" s="2">
        <v>41787</v>
      </c>
      <c r="G202" s="4">
        <v>0.69588899999999998</v>
      </c>
      <c r="H202" s="2">
        <v>41787</v>
      </c>
      <c r="I202" s="4">
        <v>0.93965850000000006</v>
      </c>
      <c r="J202" s="29">
        <f t="shared" si="12"/>
        <v>0.24376950000000008</v>
      </c>
      <c r="K202" s="16">
        <f t="shared" si="13"/>
        <v>48</v>
      </c>
      <c r="L202" s="17">
        <f t="shared" si="14"/>
        <v>46</v>
      </c>
      <c r="M202" s="17">
        <f t="shared" si="15"/>
        <v>-2</v>
      </c>
    </row>
    <row r="203" spans="1:13" ht="14.25" x14ac:dyDescent="0.15">
      <c r="A203" s="6">
        <v>202</v>
      </c>
      <c r="B203" s="1" t="s">
        <v>34</v>
      </c>
      <c r="C203" s="1" t="s">
        <v>11</v>
      </c>
      <c r="D203" s="1" t="s">
        <v>17</v>
      </c>
      <c r="E203" s="16">
        <f>VLOOKUP(C203,收费标准!A$3:B$5,2,FALSE)</f>
        <v>2</v>
      </c>
      <c r="F203" s="2">
        <v>41787</v>
      </c>
      <c r="G203" s="4">
        <v>0.70977900000000005</v>
      </c>
      <c r="H203" s="2">
        <v>41787</v>
      </c>
      <c r="I203" s="4">
        <v>0.75144900000000003</v>
      </c>
      <c r="J203" s="29">
        <f t="shared" si="12"/>
        <v>4.1669999999999985E-2</v>
      </c>
      <c r="K203" s="16">
        <f t="shared" si="13"/>
        <v>10</v>
      </c>
      <c r="L203" s="17">
        <f t="shared" si="14"/>
        <v>8</v>
      </c>
      <c r="M203" s="17">
        <f t="shared" si="15"/>
        <v>-2</v>
      </c>
    </row>
    <row r="204" spans="1:13" ht="14.25" x14ac:dyDescent="0.15">
      <c r="A204" s="6">
        <v>203</v>
      </c>
      <c r="B204" s="1" t="s">
        <v>25</v>
      </c>
      <c r="C204" s="1" t="s">
        <v>26</v>
      </c>
      <c r="D204" s="1" t="s">
        <v>15</v>
      </c>
      <c r="E204" s="16">
        <f>VLOOKUP(C204,收费标准!A$3:B$5,2,FALSE)</f>
        <v>2.5</v>
      </c>
      <c r="F204" s="2">
        <v>41787</v>
      </c>
      <c r="G204" s="4">
        <v>0.73339200000000004</v>
      </c>
      <c r="H204" s="2">
        <v>41788</v>
      </c>
      <c r="I204" s="4">
        <v>8.3339999999999997E-2</v>
      </c>
      <c r="J204" s="29">
        <f t="shared" si="12"/>
        <v>0.34994799999999993</v>
      </c>
      <c r="K204" s="16">
        <f t="shared" si="13"/>
        <v>85</v>
      </c>
      <c r="L204" s="17">
        <f t="shared" si="14"/>
        <v>82.5</v>
      </c>
      <c r="M204" s="17">
        <f t="shared" si="15"/>
        <v>-2.5</v>
      </c>
    </row>
    <row r="205" spans="1:13" ht="14.25" x14ac:dyDescent="0.15">
      <c r="A205" s="6">
        <v>204</v>
      </c>
      <c r="B205" s="1" t="s">
        <v>57</v>
      </c>
      <c r="C205" s="1" t="s">
        <v>11</v>
      </c>
      <c r="D205" s="1" t="s">
        <v>15</v>
      </c>
      <c r="E205" s="16">
        <f>VLOOKUP(C205,收费标准!A$3:B$5,2,FALSE)</f>
        <v>2</v>
      </c>
      <c r="F205" s="2">
        <v>41787</v>
      </c>
      <c r="G205" s="4">
        <v>0.75561600000000007</v>
      </c>
      <c r="H205" s="2">
        <v>41787</v>
      </c>
      <c r="I205" s="4">
        <v>0.84034500000000001</v>
      </c>
      <c r="J205" s="29">
        <f t="shared" si="12"/>
        <v>8.4728999999999943E-2</v>
      </c>
      <c r="K205" s="16">
        <f t="shared" si="13"/>
        <v>18</v>
      </c>
      <c r="L205" s="17">
        <f t="shared" si="14"/>
        <v>16</v>
      </c>
      <c r="M205" s="17">
        <f t="shared" si="15"/>
        <v>-2</v>
      </c>
    </row>
    <row r="206" spans="1:13" ht="14.25" x14ac:dyDescent="0.15">
      <c r="A206" s="6">
        <v>205</v>
      </c>
      <c r="B206" s="1" t="s">
        <v>128</v>
      </c>
      <c r="C206" s="1" t="s">
        <v>26</v>
      </c>
      <c r="D206" s="1" t="s">
        <v>12</v>
      </c>
      <c r="E206" s="16">
        <f>VLOOKUP(C206,收费标准!A$3:B$5,2,FALSE)</f>
        <v>2.5</v>
      </c>
      <c r="F206" s="2">
        <v>41787</v>
      </c>
      <c r="G206" s="4">
        <v>0.76811700000000005</v>
      </c>
      <c r="H206" s="2">
        <v>41788</v>
      </c>
      <c r="I206" s="4">
        <v>0.254187</v>
      </c>
      <c r="J206" s="29">
        <f t="shared" si="12"/>
        <v>0.48606999999999989</v>
      </c>
      <c r="K206" s="16">
        <f t="shared" si="13"/>
        <v>117.5</v>
      </c>
      <c r="L206" s="17">
        <f t="shared" si="14"/>
        <v>115</v>
      </c>
      <c r="M206" s="17">
        <f t="shared" si="15"/>
        <v>-2.5</v>
      </c>
    </row>
    <row r="207" spans="1:13" ht="14.25" x14ac:dyDescent="0.15">
      <c r="A207" s="6">
        <v>206</v>
      </c>
      <c r="B207" s="1" t="s">
        <v>36</v>
      </c>
      <c r="C207" s="1" t="s">
        <v>11</v>
      </c>
      <c r="D207" s="1" t="s">
        <v>15</v>
      </c>
      <c r="E207" s="16">
        <f>VLOOKUP(C207,收费标准!A$3:B$5,2,FALSE)</f>
        <v>2</v>
      </c>
      <c r="F207" s="2">
        <v>41787</v>
      </c>
      <c r="G207" s="4">
        <v>0.770895</v>
      </c>
      <c r="H207" s="2">
        <v>41788</v>
      </c>
      <c r="I207" s="4">
        <v>0.20973900000000001</v>
      </c>
      <c r="J207" s="29">
        <f t="shared" si="12"/>
        <v>0.4388439999999999</v>
      </c>
      <c r="K207" s="16">
        <f t="shared" si="13"/>
        <v>86</v>
      </c>
      <c r="L207" s="17">
        <f t="shared" si="14"/>
        <v>84</v>
      </c>
      <c r="M207" s="17">
        <f t="shared" si="15"/>
        <v>-2</v>
      </c>
    </row>
    <row r="208" spans="1:13" ht="14.25" x14ac:dyDescent="0.15">
      <c r="A208" s="6">
        <v>207</v>
      </c>
      <c r="B208" s="1" t="s">
        <v>69</v>
      </c>
      <c r="C208" s="1" t="s">
        <v>14</v>
      </c>
      <c r="D208" s="1" t="s">
        <v>17</v>
      </c>
      <c r="E208" s="16">
        <f>VLOOKUP(C208,收费标准!A$3:B$5,2,FALSE)</f>
        <v>1.5</v>
      </c>
      <c r="F208" s="2">
        <v>41787</v>
      </c>
      <c r="G208" s="4">
        <v>0.78617400000000004</v>
      </c>
      <c r="H208" s="2">
        <v>41788</v>
      </c>
      <c r="I208" s="4">
        <v>6.4588500000000007E-2</v>
      </c>
      <c r="J208" s="29">
        <f t="shared" si="12"/>
        <v>0.2784144999999999</v>
      </c>
      <c r="K208" s="16">
        <f t="shared" si="13"/>
        <v>40.5</v>
      </c>
      <c r="L208" s="17">
        <f t="shared" si="14"/>
        <v>39</v>
      </c>
      <c r="M208" s="17">
        <f t="shared" si="15"/>
        <v>-1.5</v>
      </c>
    </row>
    <row r="209" spans="1:13" ht="14.25" x14ac:dyDescent="0.15">
      <c r="A209" s="6">
        <v>208</v>
      </c>
      <c r="B209" s="1" t="s">
        <v>89</v>
      </c>
      <c r="C209" s="1" t="s">
        <v>26</v>
      </c>
      <c r="D209" s="1" t="s">
        <v>15</v>
      </c>
      <c r="E209" s="16">
        <f>VLOOKUP(C209,收费标准!A$3:B$5,2,FALSE)</f>
        <v>2.5</v>
      </c>
      <c r="F209" s="2">
        <v>41787</v>
      </c>
      <c r="G209" s="4">
        <v>0.81673200000000001</v>
      </c>
      <c r="H209" s="2">
        <v>41788</v>
      </c>
      <c r="I209" s="4">
        <v>0.41878350000000003</v>
      </c>
      <c r="J209" s="29">
        <f t="shared" si="12"/>
        <v>0.60205149999999996</v>
      </c>
      <c r="K209" s="16">
        <f t="shared" si="13"/>
        <v>145</v>
      </c>
      <c r="L209" s="17">
        <f t="shared" si="14"/>
        <v>142.5</v>
      </c>
      <c r="M209" s="17">
        <f t="shared" si="15"/>
        <v>-2.5</v>
      </c>
    </row>
    <row r="210" spans="1:13" ht="14.25" x14ac:dyDescent="0.15">
      <c r="A210" s="6">
        <v>209</v>
      </c>
      <c r="B210" s="1" t="s">
        <v>145</v>
      </c>
      <c r="C210" s="1" t="s">
        <v>11</v>
      </c>
      <c r="D210" s="1" t="s">
        <v>12</v>
      </c>
      <c r="E210" s="16">
        <f>VLOOKUP(C210,收费标准!A$3:B$5,2,FALSE)</f>
        <v>2</v>
      </c>
      <c r="F210" s="2">
        <v>41787</v>
      </c>
      <c r="G210" s="4">
        <v>0.81881550000000003</v>
      </c>
      <c r="H210" s="2">
        <v>41789</v>
      </c>
      <c r="I210" s="4">
        <v>0.49309500000000001</v>
      </c>
      <c r="J210" s="29">
        <f t="shared" si="12"/>
        <v>1.6742794999999999</v>
      </c>
      <c r="K210" s="16">
        <f t="shared" si="13"/>
        <v>322</v>
      </c>
      <c r="L210" s="17">
        <f t="shared" si="14"/>
        <v>320</v>
      </c>
      <c r="M210" s="17">
        <f t="shared" si="15"/>
        <v>-2</v>
      </c>
    </row>
    <row r="211" spans="1:13" ht="14.25" x14ac:dyDescent="0.15">
      <c r="A211" s="6">
        <v>210</v>
      </c>
      <c r="B211" s="1" t="s">
        <v>156</v>
      </c>
      <c r="C211" s="1" t="s">
        <v>14</v>
      </c>
      <c r="D211" s="1" t="s">
        <v>15</v>
      </c>
      <c r="E211" s="16">
        <f>VLOOKUP(C211,收费标准!A$3:B$5,2,FALSE)</f>
        <v>1.5</v>
      </c>
      <c r="F211" s="2">
        <v>41787</v>
      </c>
      <c r="G211" s="4">
        <v>0.82228800000000002</v>
      </c>
      <c r="H211" s="2">
        <v>41787</v>
      </c>
      <c r="I211" s="4">
        <v>0.98827350000000003</v>
      </c>
      <c r="J211" s="29">
        <f t="shared" si="12"/>
        <v>0.16598550000000001</v>
      </c>
      <c r="K211" s="16">
        <f t="shared" si="13"/>
        <v>24</v>
      </c>
      <c r="L211" s="17">
        <f t="shared" si="14"/>
        <v>22.5</v>
      </c>
      <c r="M211" s="17">
        <f t="shared" si="15"/>
        <v>-1.5</v>
      </c>
    </row>
    <row r="212" spans="1:13" ht="14.25" x14ac:dyDescent="0.15">
      <c r="A212" s="6">
        <v>211</v>
      </c>
      <c r="B212" s="1" t="s">
        <v>80</v>
      </c>
      <c r="C212" s="1" t="s">
        <v>14</v>
      </c>
      <c r="D212" s="1" t="s">
        <v>17</v>
      </c>
      <c r="E212" s="16">
        <f>VLOOKUP(C212,收费标准!A$3:B$5,2,FALSE)</f>
        <v>1.5</v>
      </c>
      <c r="F212" s="2">
        <v>41787</v>
      </c>
      <c r="G212" s="4">
        <v>0.85423500000000008</v>
      </c>
      <c r="H212" s="2">
        <v>41788</v>
      </c>
      <c r="I212" s="4">
        <v>0.42850650000000001</v>
      </c>
      <c r="J212" s="29">
        <f t="shared" si="12"/>
        <v>0.57427150000000005</v>
      </c>
      <c r="K212" s="16">
        <f t="shared" si="13"/>
        <v>84</v>
      </c>
      <c r="L212" s="17">
        <f t="shared" si="14"/>
        <v>82.5</v>
      </c>
      <c r="M212" s="17">
        <f t="shared" si="15"/>
        <v>-1.5</v>
      </c>
    </row>
    <row r="213" spans="1:13" ht="14.25" x14ac:dyDescent="0.15">
      <c r="A213" s="6">
        <v>212</v>
      </c>
      <c r="B213" s="1" t="s">
        <v>166</v>
      </c>
      <c r="C213" s="1" t="s">
        <v>11</v>
      </c>
      <c r="D213" s="1" t="s">
        <v>22</v>
      </c>
      <c r="E213" s="16">
        <f>VLOOKUP(C213,收费标准!A$3:B$5,2,FALSE)</f>
        <v>2</v>
      </c>
      <c r="F213" s="2">
        <v>41787</v>
      </c>
      <c r="G213" s="4">
        <v>0.87368100000000004</v>
      </c>
      <c r="H213" s="2">
        <v>41788</v>
      </c>
      <c r="I213" s="4">
        <v>0.29655150000000002</v>
      </c>
      <c r="J213" s="29">
        <f t="shared" si="12"/>
        <v>0.42287050000000004</v>
      </c>
      <c r="K213" s="16">
        <f t="shared" si="13"/>
        <v>82</v>
      </c>
      <c r="L213" s="17">
        <f t="shared" si="14"/>
        <v>80</v>
      </c>
      <c r="M213" s="17">
        <f t="shared" si="15"/>
        <v>-2</v>
      </c>
    </row>
    <row r="214" spans="1:13" ht="14.25" x14ac:dyDescent="0.15">
      <c r="A214" s="6">
        <v>213</v>
      </c>
      <c r="B214" s="1" t="s">
        <v>155</v>
      </c>
      <c r="C214" s="1" t="s">
        <v>11</v>
      </c>
      <c r="D214" s="1" t="s">
        <v>17</v>
      </c>
      <c r="E214" s="16">
        <f>VLOOKUP(C214,收费标准!A$3:B$5,2,FALSE)</f>
        <v>2</v>
      </c>
      <c r="F214" s="2">
        <v>41787</v>
      </c>
      <c r="G214" s="4">
        <v>0.96674400000000005</v>
      </c>
      <c r="H214" s="2">
        <v>41788</v>
      </c>
      <c r="I214" s="4">
        <v>0.22432350000000001</v>
      </c>
      <c r="J214" s="29">
        <f t="shared" si="12"/>
        <v>0.25757950000000007</v>
      </c>
      <c r="K214" s="16">
        <f t="shared" si="13"/>
        <v>50</v>
      </c>
      <c r="L214" s="17">
        <f t="shared" si="14"/>
        <v>48</v>
      </c>
      <c r="M214" s="17">
        <f t="shared" si="15"/>
        <v>-2</v>
      </c>
    </row>
    <row r="215" spans="1:13" ht="14.25" x14ac:dyDescent="0.15">
      <c r="A215" s="6">
        <v>214</v>
      </c>
      <c r="B215" s="1" t="s">
        <v>112</v>
      </c>
      <c r="C215" s="1" t="s">
        <v>26</v>
      </c>
      <c r="D215" s="1" t="s">
        <v>17</v>
      </c>
      <c r="E215" s="16">
        <f>VLOOKUP(C215,收费标准!A$3:B$5,2,FALSE)</f>
        <v>2.5</v>
      </c>
      <c r="F215" s="2">
        <v>41787</v>
      </c>
      <c r="G215" s="4">
        <v>0.99313499999999999</v>
      </c>
      <c r="H215" s="2">
        <v>41788</v>
      </c>
      <c r="I215" s="4">
        <v>0.41878350000000003</v>
      </c>
      <c r="J215" s="29">
        <f t="shared" si="12"/>
        <v>0.42564849999999999</v>
      </c>
      <c r="K215" s="16">
        <f t="shared" si="13"/>
        <v>102.5</v>
      </c>
      <c r="L215" s="17">
        <f t="shared" si="14"/>
        <v>100</v>
      </c>
      <c r="M215" s="17">
        <f t="shared" si="15"/>
        <v>-2.5</v>
      </c>
    </row>
    <row r="216" spans="1:13" ht="14.25" x14ac:dyDescent="0.15">
      <c r="A216" s="6">
        <v>215</v>
      </c>
      <c r="B216" s="1" t="s">
        <v>79</v>
      </c>
      <c r="C216" s="1" t="s">
        <v>14</v>
      </c>
      <c r="D216" s="1" t="s">
        <v>17</v>
      </c>
      <c r="E216" s="16">
        <f>VLOOKUP(C216,收费标准!A$3:B$5,2,FALSE)</f>
        <v>1.5</v>
      </c>
      <c r="F216" s="2">
        <v>41787</v>
      </c>
      <c r="G216" s="4">
        <v>0.99938550000000004</v>
      </c>
      <c r="H216" s="2">
        <v>41788</v>
      </c>
      <c r="I216" s="4">
        <v>0.64449600000000007</v>
      </c>
      <c r="J216" s="29">
        <f t="shared" si="12"/>
        <v>0.64511050000000014</v>
      </c>
      <c r="K216" s="16">
        <f t="shared" si="13"/>
        <v>93</v>
      </c>
      <c r="L216" s="17">
        <f t="shared" si="14"/>
        <v>91.5</v>
      </c>
      <c r="M216" s="17">
        <f t="shared" si="15"/>
        <v>-1.5</v>
      </c>
    </row>
    <row r="217" spans="1:13" ht="14.25" x14ac:dyDescent="0.15">
      <c r="A217" s="6">
        <v>216</v>
      </c>
      <c r="B217" s="1" t="s">
        <v>27</v>
      </c>
      <c r="C217" s="1" t="s">
        <v>14</v>
      </c>
      <c r="D217" s="1" t="s">
        <v>15</v>
      </c>
      <c r="E217" s="16">
        <f>VLOOKUP(C217,收费标准!A$3:B$5,2,FALSE)</f>
        <v>1.5</v>
      </c>
      <c r="F217" s="2">
        <v>41788</v>
      </c>
      <c r="G217" s="4">
        <v>0</v>
      </c>
      <c r="H217" s="2">
        <v>41788</v>
      </c>
      <c r="I217" s="4">
        <v>0.229185</v>
      </c>
      <c r="J217" s="29">
        <f t="shared" si="12"/>
        <v>0.229185</v>
      </c>
      <c r="K217" s="16">
        <f t="shared" si="13"/>
        <v>34.5</v>
      </c>
      <c r="L217" s="17">
        <f t="shared" si="14"/>
        <v>33</v>
      </c>
      <c r="M217" s="17">
        <f t="shared" si="15"/>
        <v>-1.5</v>
      </c>
    </row>
    <row r="218" spans="1:13" ht="14.25" x14ac:dyDescent="0.15">
      <c r="A218" s="6">
        <v>217</v>
      </c>
      <c r="B218" s="1" t="s">
        <v>124</v>
      </c>
      <c r="C218" s="1" t="s">
        <v>26</v>
      </c>
      <c r="D218" s="1" t="s">
        <v>15</v>
      </c>
      <c r="E218" s="16">
        <f>VLOOKUP(C218,收费标准!A$3:B$5,2,FALSE)</f>
        <v>2.5</v>
      </c>
      <c r="F218" s="2">
        <v>41788</v>
      </c>
      <c r="G218" s="4">
        <v>6.2505E-3</v>
      </c>
      <c r="H218" s="2">
        <v>41788</v>
      </c>
      <c r="I218" s="4">
        <v>0.32849850000000003</v>
      </c>
      <c r="J218" s="29">
        <f t="shared" si="12"/>
        <v>0.32224800000000003</v>
      </c>
      <c r="K218" s="16">
        <f t="shared" si="13"/>
        <v>77.5</v>
      </c>
      <c r="L218" s="17">
        <f t="shared" si="14"/>
        <v>75</v>
      </c>
      <c r="M218" s="17">
        <f t="shared" si="15"/>
        <v>-2.5</v>
      </c>
    </row>
    <row r="219" spans="1:13" ht="14.25" x14ac:dyDescent="0.15">
      <c r="A219" s="6">
        <v>218</v>
      </c>
      <c r="B219" s="1" t="s">
        <v>98</v>
      </c>
      <c r="C219" s="1" t="s">
        <v>26</v>
      </c>
      <c r="D219" s="1" t="s">
        <v>15</v>
      </c>
      <c r="E219" s="16">
        <f>VLOOKUP(C219,收费标准!A$3:B$5,2,FALSE)</f>
        <v>2.5</v>
      </c>
      <c r="F219" s="2">
        <v>41788</v>
      </c>
      <c r="G219" s="4">
        <v>1.5973500000000002E-2</v>
      </c>
      <c r="H219" s="2">
        <v>41788</v>
      </c>
      <c r="I219" s="4">
        <v>5.2087500000000002E-2</v>
      </c>
      <c r="J219" s="29">
        <f t="shared" si="12"/>
        <v>3.6114E-2</v>
      </c>
      <c r="K219" s="16">
        <f t="shared" si="13"/>
        <v>10</v>
      </c>
      <c r="L219" s="17">
        <f t="shared" si="14"/>
        <v>7.5</v>
      </c>
      <c r="M219" s="17">
        <f t="shared" si="15"/>
        <v>-2.5</v>
      </c>
    </row>
    <row r="220" spans="1:13" ht="14.25" x14ac:dyDescent="0.15">
      <c r="A220" s="6">
        <v>219</v>
      </c>
      <c r="B220" s="1" t="s">
        <v>105</v>
      </c>
      <c r="C220" s="1" t="s">
        <v>11</v>
      </c>
      <c r="D220" s="1" t="s">
        <v>22</v>
      </c>
      <c r="E220" s="16">
        <f>VLOOKUP(C220,收费标准!A$3:B$5,2,FALSE)</f>
        <v>2</v>
      </c>
      <c r="F220" s="2">
        <v>41788</v>
      </c>
      <c r="G220" s="4">
        <v>1.8057E-2</v>
      </c>
      <c r="H220" s="2">
        <v>41788</v>
      </c>
      <c r="I220" s="4">
        <v>0.20696100000000001</v>
      </c>
      <c r="J220" s="29">
        <f t="shared" si="12"/>
        <v>0.18890400000000002</v>
      </c>
      <c r="K220" s="16">
        <f t="shared" si="13"/>
        <v>38</v>
      </c>
      <c r="L220" s="17">
        <f t="shared" si="14"/>
        <v>36</v>
      </c>
      <c r="M220" s="17">
        <f t="shared" si="15"/>
        <v>-2</v>
      </c>
    </row>
    <row r="221" spans="1:13" ht="14.25" x14ac:dyDescent="0.15">
      <c r="A221" s="6">
        <v>220</v>
      </c>
      <c r="B221" s="1" t="s">
        <v>146</v>
      </c>
      <c r="C221" s="1" t="s">
        <v>11</v>
      </c>
      <c r="D221" s="1" t="s">
        <v>12</v>
      </c>
      <c r="E221" s="16">
        <f>VLOOKUP(C221,收费标准!A$3:B$5,2,FALSE)</f>
        <v>2</v>
      </c>
      <c r="F221" s="2">
        <v>41788</v>
      </c>
      <c r="G221" s="4">
        <v>2.6391000000000001E-2</v>
      </c>
      <c r="H221" s="2">
        <v>41788</v>
      </c>
      <c r="I221" s="4">
        <v>0.55907249999999997</v>
      </c>
      <c r="J221" s="29">
        <f t="shared" si="12"/>
        <v>0.53268149999999992</v>
      </c>
      <c r="K221" s="16">
        <f t="shared" si="13"/>
        <v>104</v>
      </c>
      <c r="L221" s="17">
        <f t="shared" si="14"/>
        <v>102</v>
      </c>
      <c r="M221" s="17">
        <f t="shared" si="15"/>
        <v>-2</v>
      </c>
    </row>
    <row r="222" spans="1:13" ht="14.25" x14ac:dyDescent="0.15">
      <c r="A222" s="6">
        <v>221</v>
      </c>
      <c r="B222" s="1" t="s">
        <v>100</v>
      </c>
      <c r="C222" s="1" t="s">
        <v>26</v>
      </c>
      <c r="D222" s="1" t="s">
        <v>12</v>
      </c>
      <c r="E222" s="16">
        <f>VLOOKUP(C222,收费标准!A$3:B$5,2,FALSE)</f>
        <v>2.5</v>
      </c>
      <c r="F222" s="2">
        <v>41788</v>
      </c>
      <c r="G222" s="4">
        <v>4.0975499999999998E-2</v>
      </c>
      <c r="H222" s="2">
        <v>41788</v>
      </c>
      <c r="I222" s="4">
        <v>0.64588500000000004</v>
      </c>
      <c r="J222" s="29">
        <f t="shared" si="12"/>
        <v>0.60490949999999999</v>
      </c>
      <c r="K222" s="16">
        <f t="shared" si="13"/>
        <v>147.5</v>
      </c>
      <c r="L222" s="17">
        <f t="shared" si="14"/>
        <v>145</v>
      </c>
      <c r="M222" s="17">
        <f t="shared" si="15"/>
        <v>-2.5</v>
      </c>
    </row>
    <row r="223" spans="1:13" ht="14.25" x14ac:dyDescent="0.15">
      <c r="A223" s="6">
        <v>222</v>
      </c>
      <c r="B223" s="1" t="s">
        <v>59</v>
      </c>
      <c r="C223" s="1" t="s">
        <v>11</v>
      </c>
      <c r="D223" s="1" t="s">
        <v>17</v>
      </c>
      <c r="E223" s="16">
        <f>VLOOKUP(C223,收费标准!A$3:B$5,2,FALSE)</f>
        <v>2</v>
      </c>
      <c r="F223" s="2">
        <v>41788</v>
      </c>
      <c r="G223" s="4">
        <v>4.2364499999999999E-2</v>
      </c>
      <c r="H223" s="2">
        <v>41788</v>
      </c>
      <c r="I223" s="4">
        <v>0.14237250000000001</v>
      </c>
      <c r="J223" s="29">
        <f t="shared" si="12"/>
        <v>0.10000800000000001</v>
      </c>
      <c r="K223" s="16">
        <f t="shared" si="13"/>
        <v>20</v>
      </c>
      <c r="L223" s="17">
        <f t="shared" si="14"/>
        <v>18</v>
      </c>
      <c r="M223" s="17">
        <f t="shared" si="15"/>
        <v>-2</v>
      </c>
    </row>
    <row r="224" spans="1:13" ht="14.25" x14ac:dyDescent="0.15">
      <c r="A224" s="6">
        <v>223</v>
      </c>
      <c r="B224" s="1" t="s">
        <v>67</v>
      </c>
      <c r="C224" s="1" t="s">
        <v>11</v>
      </c>
      <c r="D224" s="1" t="s">
        <v>22</v>
      </c>
      <c r="E224" s="16">
        <f>VLOOKUP(C224,收费标准!A$3:B$5,2,FALSE)</f>
        <v>2</v>
      </c>
      <c r="F224" s="2">
        <v>41788</v>
      </c>
      <c r="G224" s="4">
        <v>5.1393000000000001E-2</v>
      </c>
      <c r="H224" s="2">
        <v>41788</v>
      </c>
      <c r="I224" s="4">
        <v>0.19376550000000001</v>
      </c>
      <c r="J224" s="29">
        <f t="shared" si="12"/>
        <v>0.14237250000000001</v>
      </c>
      <c r="K224" s="16">
        <f t="shared" si="13"/>
        <v>28</v>
      </c>
      <c r="L224" s="17">
        <f t="shared" si="14"/>
        <v>26</v>
      </c>
      <c r="M224" s="17">
        <f t="shared" si="15"/>
        <v>-2</v>
      </c>
    </row>
    <row r="225" spans="1:13" ht="14.25" x14ac:dyDescent="0.15">
      <c r="A225" s="6">
        <v>224</v>
      </c>
      <c r="B225" s="1" t="s">
        <v>184</v>
      </c>
      <c r="C225" s="1" t="s">
        <v>11</v>
      </c>
      <c r="D225" s="1" t="s">
        <v>15</v>
      </c>
      <c r="E225" s="16">
        <f>VLOOKUP(C225,收费标准!A$3:B$5,2,FALSE)</f>
        <v>2</v>
      </c>
      <c r="F225" s="2">
        <v>41788</v>
      </c>
      <c r="G225" s="4">
        <v>6.9449999999999998E-2</v>
      </c>
      <c r="H225" s="2">
        <v>41788</v>
      </c>
      <c r="I225" s="4">
        <v>0.30280200000000002</v>
      </c>
      <c r="J225" s="29">
        <f t="shared" si="12"/>
        <v>0.233352</v>
      </c>
      <c r="K225" s="16">
        <f t="shared" si="13"/>
        <v>46</v>
      </c>
      <c r="L225" s="17">
        <f t="shared" si="14"/>
        <v>44</v>
      </c>
      <c r="M225" s="17">
        <f t="shared" si="15"/>
        <v>-2</v>
      </c>
    </row>
    <row r="226" spans="1:13" ht="14.25" x14ac:dyDescent="0.15">
      <c r="A226" s="6">
        <v>225</v>
      </c>
      <c r="B226" s="1" t="s">
        <v>49</v>
      </c>
      <c r="C226" s="1" t="s">
        <v>26</v>
      </c>
      <c r="D226" s="1" t="s">
        <v>15</v>
      </c>
      <c r="E226" s="16">
        <f>VLOOKUP(C226,收费标准!A$3:B$5,2,FALSE)</f>
        <v>2.5</v>
      </c>
      <c r="F226" s="2">
        <v>41788</v>
      </c>
      <c r="G226" s="4">
        <v>0.1020915</v>
      </c>
      <c r="H226" s="2">
        <v>41788</v>
      </c>
      <c r="I226" s="4">
        <v>0.12431550000000001</v>
      </c>
      <c r="J226" s="29">
        <f t="shared" si="12"/>
        <v>2.2224000000000008E-2</v>
      </c>
      <c r="K226" s="16">
        <f t="shared" si="13"/>
        <v>7.5</v>
      </c>
      <c r="L226" s="17">
        <f t="shared" si="14"/>
        <v>5</v>
      </c>
      <c r="M226" s="17">
        <f t="shared" si="15"/>
        <v>-2.5</v>
      </c>
    </row>
    <row r="227" spans="1:13" ht="14.25" x14ac:dyDescent="0.15">
      <c r="A227" s="6">
        <v>226</v>
      </c>
      <c r="B227" s="1" t="s">
        <v>71</v>
      </c>
      <c r="C227" s="1" t="s">
        <v>14</v>
      </c>
      <c r="D227" s="1" t="s">
        <v>17</v>
      </c>
      <c r="E227" s="16">
        <f>VLOOKUP(C227,收费标准!A$3:B$5,2,FALSE)</f>
        <v>1.5</v>
      </c>
      <c r="F227" s="2">
        <v>41788</v>
      </c>
      <c r="G227" s="4">
        <v>0.10556400000000001</v>
      </c>
      <c r="H227" s="2">
        <v>41788</v>
      </c>
      <c r="I227" s="4">
        <v>0.42086699999999999</v>
      </c>
      <c r="J227" s="29">
        <f t="shared" si="12"/>
        <v>0.315303</v>
      </c>
      <c r="K227" s="16">
        <f t="shared" si="13"/>
        <v>46.5</v>
      </c>
      <c r="L227" s="17">
        <f t="shared" si="14"/>
        <v>45</v>
      </c>
      <c r="M227" s="17">
        <f t="shared" si="15"/>
        <v>-1.5</v>
      </c>
    </row>
    <row r="228" spans="1:13" ht="14.25" x14ac:dyDescent="0.15">
      <c r="A228" s="6">
        <v>227</v>
      </c>
      <c r="B228" s="1" t="s">
        <v>60</v>
      </c>
      <c r="C228" s="1" t="s">
        <v>26</v>
      </c>
      <c r="D228" s="1" t="s">
        <v>12</v>
      </c>
      <c r="E228" s="16">
        <f>VLOOKUP(C228,收费标准!A$3:B$5,2,FALSE)</f>
        <v>2.5</v>
      </c>
      <c r="F228" s="2">
        <v>41788</v>
      </c>
      <c r="G228" s="4">
        <v>0.1159815</v>
      </c>
      <c r="H228" s="2">
        <v>41788</v>
      </c>
      <c r="I228" s="4">
        <v>0.73339200000000004</v>
      </c>
      <c r="J228" s="29">
        <f t="shared" si="12"/>
        <v>0.61741050000000008</v>
      </c>
      <c r="K228" s="16">
        <f t="shared" si="13"/>
        <v>150</v>
      </c>
      <c r="L228" s="17">
        <f t="shared" si="14"/>
        <v>147.5</v>
      </c>
      <c r="M228" s="17">
        <f t="shared" si="15"/>
        <v>-2.5</v>
      </c>
    </row>
    <row r="229" spans="1:13" ht="14.25" x14ac:dyDescent="0.15">
      <c r="A229" s="6">
        <v>228</v>
      </c>
      <c r="B229" s="1" t="s">
        <v>172</v>
      </c>
      <c r="C229" s="1" t="s">
        <v>11</v>
      </c>
      <c r="D229" s="1" t="s">
        <v>15</v>
      </c>
      <c r="E229" s="16">
        <f>VLOOKUP(C229,收费标准!A$3:B$5,2,FALSE)</f>
        <v>2</v>
      </c>
      <c r="F229" s="2">
        <v>41788</v>
      </c>
      <c r="G229" s="4">
        <v>0.1173705</v>
      </c>
      <c r="H229" s="2">
        <v>41788</v>
      </c>
      <c r="I229" s="4">
        <v>0.68963850000000004</v>
      </c>
      <c r="J229" s="29">
        <f t="shared" si="12"/>
        <v>0.572268</v>
      </c>
      <c r="K229" s="16">
        <f t="shared" si="13"/>
        <v>110</v>
      </c>
      <c r="L229" s="17">
        <f t="shared" si="14"/>
        <v>108</v>
      </c>
      <c r="M229" s="17">
        <f t="shared" si="15"/>
        <v>-2</v>
      </c>
    </row>
    <row r="230" spans="1:13" ht="14.25" x14ac:dyDescent="0.15">
      <c r="A230" s="6">
        <v>229</v>
      </c>
      <c r="B230" s="1" t="s">
        <v>47</v>
      </c>
      <c r="C230" s="1" t="s">
        <v>11</v>
      </c>
      <c r="D230" s="1" t="s">
        <v>17</v>
      </c>
      <c r="E230" s="16">
        <f>VLOOKUP(C230,收费标准!A$3:B$5,2,FALSE)</f>
        <v>2</v>
      </c>
      <c r="F230" s="2">
        <v>41788</v>
      </c>
      <c r="G230" s="4">
        <v>0.13542750000000001</v>
      </c>
      <c r="H230" s="2">
        <v>41788</v>
      </c>
      <c r="I230" s="4">
        <v>0.53059800000000001</v>
      </c>
      <c r="J230" s="29">
        <f t="shared" si="12"/>
        <v>0.39517049999999998</v>
      </c>
      <c r="K230" s="16">
        <f t="shared" si="13"/>
        <v>76</v>
      </c>
      <c r="L230" s="17">
        <f t="shared" si="14"/>
        <v>74</v>
      </c>
      <c r="M230" s="17">
        <f t="shared" si="15"/>
        <v>-2</v>
      </c>
    </row>
    <row r="231" spans="1:13" ht="14.25" x14ac:dyDescent="0.15">
      <c r="A231" s="6">
        <v>230</v>
      </c>
      <c r="B231" s="1" t="s">
        <v>46</v>
      </c>
      <c r="C231" s="1" t="s">
        <v>14</v>
      </c>
      <c r="D231" s="1" t="s">
        <v>17</v>
      </c>
      <c r="E231" s="16">
        <f>VLOOKUP(C231,收费标准!A$3:B$5,2,FALSE)</f>
        <v>1.5</v>
      </c>
      <c r="F231" s="2">
        <v>41788</v>
      </c>
      <c r="G231" s="4">
        <v>0.172236</v>
      </c>
      <c r="H231" s="2">
        <v>41788</v>
      </c>
      <c r="I231" s="4">
        <v>0.37780800000000003</v>
      </c>
      <c r="J231" s="29">
        <f t="shared" si="12"/>
        <v>0.20557200000000003</v>
      </c>
      <c r="K231" s="16">
        <f t="shared" si="13"/>
        <v>30</v>
      </c>
      <c r="L231" s="17">
        <f t="shared" si="14"/>
        <v>28.5</v>
      </c>
      <c r="M231" s="17">
        <f t="shared" si="15"/>
        <v>-1.5</v>
      </c>
    </row>
    <row r="232" spans="1:13" ht="14.25" x14ac:dyDescent="0.15">
      <c r="A232" s="6">
        <v>231</v>
      </c>
      <c r="B232" s="1" t="s">
        <v>153</v>
      </c>
      <c r="C232" s="1" t="s">
        <v>26</v>
      </c>
      <c r="D232" s="1" t="s">
        <v>15</v>
      </c>
      <c r="E232" s="16">
        <f>VLOOKUP(C232,收费标准!A$3:B$5,2,FALSE)</f>
        <v>2.5</v>
      </c>
      <c r="F232" s="2">
        <v>41788</v>
      </c>
      <c r="G232" s="4">
        <v>0.1826535</v>
      </c>
      <c r="H232" s="2">
        <v>41788</v>
      </c>
      <c r="I232" s="4">
        <v>0.50837399999999999</v>
      </c>
      <c r="J232" s="29">
        <f t="shared" si="12"/>
        <v>0.32572049999999997</v>
      </c>
      <c r="K232" s="16">
        <f t="shared" si="13"/>
        <v>80</v>
      </c>
      <c r="L232" s="17">
        <f t="shared" si="14"/>
        <v>77.5</v>
      </c>
      <c r="M232" s="17">
        <f t="shared" si="15"/>
        <v>-2.5</v>
      </c>
    </row>
    <row r="233" spans="1:13" ht="14.25" x14ac:dyDescent="0.15">
      <c r="A233" s="6">
        <v>232</v>
      </c>
      <c r="B233" s="1" t="s">
        <v>132</v>
      </c>
      <c r="C233" s="1" t="s">
        <v>26</v>
      </c>
      <c r="D233" s="1" t="s">
        <v>12</v>
      </c>
      <c r="E233" s="16">
        <f>VLOOKUP(C233,收费标准!A$3:B$5,2,FALSE)</f>
        <v>2.5</v>
      </c>
      <c r="F233" s="2">
        <v>41788</v>
      </c>
      <c r="G233" s="4">
        <v>0.1909875</v>
      </c>
      <c r="H233" s="2">
        <v>41788</v>
      </c>
      <c r="I233" s="4">
        <v>0.37503000000000003</v>
      </c>
      <c r="J233" s="29">
        <f t="shared" si="12"/>
        <v>0.18404250000000003</v>
      </c>
      <c r="K233" s="16">
        <f t="shared" si="13"/>
        <v>45</v>
      </c>
      <c r="L233" s="17">
        <f t="shared" si="14"/>
        <v>42.5</v>
      </c>
      <c r="M233" s="17">
        <f t="shared" si="15"/>
        <v>-2.5</v>
      </c>
    </row>
    <row r="234" spans="1:13" ht="14.25" x14ac:dyDescent="0.15">
      <c r="A234" s="6">
        <v>233</v>
      </c>
      <c r="B234" s="1" t="s">
        <v>113</v>
      </c>
      <c r="C234" s="1" t="s">
        <v>26</v>
      </c>
      <c r="D234" s="1" t="s">
        <v>17</v>
      </c>
      <c r="E234" s="16">
        <f>VLOOKUP(C234,收费标准!A$3:B$5,2,FALSE)</f>
        <v>2.5</v>
      </c>
      <c r="F234" s="2">
        <v>41788</v>
      </c>
      <c r="G234" s="4">
        <v>0.19793250000000001</v>
      </c>
      <c r="H234" s="2">
        <v>41788</v>
      </c>
      <c r="I234" s="4">
        <v>0.68269350000000006</v>
      </c>
      <c r="J234" s="29">
        <f t="shared" si="12"/>
        <v>0.48476100000000005</v>
      </c>
      <c r="K234" s="16">
        <f t="shared" si="13"/>
        <v>117.5</v>
      </c>
      <c r="L234" s="17">
        <f t="shared" si="14"/>
        <v>115</v>
      </c>
      <c r="M234" s="17">
        <f t="shared" si="15"/>
        <v>-2.5</v>
      </c>
    </row>
    <row r="235" spans="1:13" ht="14.25" x14ac:dyDescent="0.15">
      <c r="A235" s="6">
        <v>234</v>
      </c>
      <c r="B235" s="1" t="s">
        <v>136</v>
      </c>
      <c r="C235" s="1" t="s">
        <v>14</v>
      </c>
      <c r="D235" s="1" t="s">
        <v>12</v>
      </c>
      <c r="E235" s="16">
        <f>VLOOKUP(C235,收费标准!A$3:B$5,2,FALSE)</f>
        <v>1.5</v>
      </c>
      <c r="F235" s="2">
        <v>41788</v>
      </c>
      <c r="G235" s="4">
        <v>0.2451585</v>
      </c>
      <c r="H235" s="2">
        <v>41788</v>
      </c>
      <c r="I235" s="4">
        <v>0.61046549999999999</v>
      </c>
      <c r="J235" s="29">
        <f t="shared" si="12"/>
        <v>0.36530699999999999</v>
      </c>
      <c r="K235" s="16">
        <f t="shared" si="13"/>
        <v>54</v>
      </c>
      <c r="L235" s="17">
        <f t="shared" si="14"/>
        <v>52.5</v>
      </c>
      <c r="M235" s="17">
        <f t="shared" si="15"/>
        <v>-1.5</v>
      </c>
    </row>
    <row r="236" spans="1:13" ht="14.25" x14ac:dyDescent="0.15">
      <c r="A236" s="6">
        <v>235</v>
      </c>
      <c r="B236" s="1" t="s">
        <v>34</v>
      </c>
      <c r="C236" s="1" t="s">
        <v>11</v>
      </c>
      <c r="D236" s="1" t="s">
        <v>17</v>
      </c>
      <c r="E236" s="16">
        <f>VLOOKUP(C236,收费标准!A$3:B$5,2,FALSE)</f>
        <v>2</v>
      </c>
      <c r="F236" s="2">
        <v>41788</v>
      </c>
      <c r="G236" s="4">
        <v>0.25140899999999999</v>
      </c>
      <c r="H236" s="2">
        <v>41788</v>
      </c>
      <c r="I236" s="4">
        <v>0.40628249999999999</v>
      </c>
      <c r="J236" s="29">
        <f t="shared" si="12"/>
        <v>0.1548735</v>
      </c>
      <c r="K236" s="16">
        <f t="shared" si="13"/>
        <v>30</v>
      </c>
      <c r="L236" s="17">
        <f t="shared" si="14"/>
        <v>28</v>
      </c>
      <c r="M236" s="17">
        <f t="shared" si="15"/>
        <v>-2</v>
      </c>
    </row>
    <row r="237" spans="1:13" ht="14.25" x14ac:dyDescent="0.15">
      <c r="A237" s="6">
        <v>236</v>
      </c>
      <c r="B237" s="1" t="s">
        <v>180</v>
      </c>
      <c r="C237" s="1" t="s">
        <v>14</v>
      </c>
      <c r="D237" s="1" t="s">
        <v>17</v>
      </c>
      <c r="E237" s="16">
        <f>VLOOKUP(C237,收费标准!A$3:B$5,2,FALSE)</f>
        <v>1.5</v>
      </c>
      <c r="F237" s="2">
        <v>41788</v>
      </c>
      <c r="G237" s="4">
        <v>0.286134</v>
      </c>
      <c r="H237" s="2">
        <v>41788</v>
      </c>
      <c r="I237" s="4">
        <v>0.71394599999999997</v>
      </c>
      <c r="J237" s="29">
        <f t="shared" si="12"/>
        <v>0.42781199999999997</v>
      </c>
      <c r="K237" s="16">
        <f t="shared" si="13"/>
        <v>63</v>
      </c>
      <c r="L237" s="17">
        <f t="shared" si="14"/>
        <v>61.5</v>
      </c>
      <c r="M237" s="17">
        <f t="shared" si="15"/>
        <v>-1.5</v>
      </c>
    </row>
    <row r="238" spans="1:13" ht="14.25" x14ac:dyDescent="0.15">
      <c r="A238" s="6">
        <v>237</v>
      </c>
      <c r="B238" s="1" t="s">
        <v>127</v>
      </c>
      <c r="C238" s="1" t="s">
        <v>14</v>
      </c>
      <c r="D238" s="1" t="s">
        <v>22</v>
      </c>
      <c r="E238" s="16">
        <f>VLOOKUP(C238,收费标准!A$3:B$5,2,FALSE)</f>
        <v>1.5</v>
      </c>
      <c r="F238" s="2">
        <v>41788</v>
      </c>
      <c r="G238" s="4">
        <v>0.29724600000000001</v>
      </c>
      <c r="H238" s="2">
        <v>41788</v>
      </c>
      <c r="I238" s="4">
        <v>0.85145700000000002</v>
      </c>
      <c r="J238" s="29">
        <f t="shared" si="12"/>
        <v>0.55421100000000001</v>
      </c>
      <c r="K238" s="16">
        <f t="shared" si="13"/>
        <v>81</v>
      </c>
      <c r="L238" s="17">
        <f t="shared" si="14"/>
        <v>79.5</v>
      </c>
      <c r="M238" s="17">
        <f t="shared" si="15"/>
        <v>-1.5</v>
      </c>
    </row>
    <row r="239" spans="1:13" ht="14.25" x14ac:dyDescent="0.15">
      <c r="A239" s="6">
        <v>238</v>
      </c>
      <c r="B239" s="1" t="s">
        <v>23</v>
      </c>
      <c r="C239" s="1" t="s">
        <v>14</v>
      </c>
      <c r="D239" s="1" t="s">
        <v>15</v>
      </c>
      <c r="E239" s="16">
        <f>VLOOKUP(C239,收费标准!A$3:B$5,2,FALSE)</f>
        <v>1.5</v>
      </c>
      <c r="F239" s="2">
        <v>41788</v>
      </c>
      <c r="G239" s="4">
        <v>0.30627450000000001</v>
      </c>
      <c r="H239" s="2">
        <v>41788</v>
      </c>
      <c r="I239" s="4">
        <v>0.84242850000000002</v>
      </c>
      <c r="J239" s="29">
        <f t="shared" si="12"/>
        <v>0.53615400000000002</v>
      </c>
      <c r="K239" s="16">
        <f t="shared" si="13"/>
        <v>78</v>
      </c>
      <c r="L239" s="17">
        <f t="shared" si="14"/>
        <v>76.5</v>
      </c>
      <c r="M239" s="17">
        <f t="shared" si="15"/>
        <v>-1.5</v>
      </c>
    </row>
    <row r="240" spans="1:13" ht="14.25" x14ac:dyDescent="0.15">
      <c r="A240" s="6">
        <v>239</v>
      </c>
      <c r="B240" s="1" t="s">
        <v>38</v>
      </c>
      <c r="C240" s="1" t="s">
        <v>26</v>
      </c>
      <c r="D240" s="1" t="s">
        <v>15</v>
      </c>
      <c r="E240" s="16">
        <f>VLOOKUP(C240,收费标准!A$3:B$5,2,FALSE)</f>
        <v>2.5</v>
      </c>
      <c r="F240" s="2">
        <v>41788</v>
      </c>
      <c r="G240" s="4">
        <v>0.31113600000000002</v>
      </c>
      <c r="H240" s="2">
        <v>41788</v>
      </c>
      <c r="I240" s="4">
        <v>0.89659949999999999</v>
      </c>
      <c r="J240" s="29">
        <f t="shared" si="12"/>
        <v>0.58546349999999991</v>
      </c>
      <c r="K240" s="16">
        <f t="shared" si="13"/>
        <v>142.5</v>
      </c>
      <c r="L240" s="17">
        <f t="shared" si="14"/>
        <v>140</v>
      </c>
      <c r="M240" s="17">
        <f t="shared" si="15"/>
        <v>-2.5</v>
      </c>
    </row>
    <row r="241" spans="1:13" ht="14.25" x14ac:dyDescent="0.15">
      <c r="A241" s="6">
        <v>240</v>
      </c>
      <c r="B241" s="1" t="s">
        <v>168</v>
      </c>
      <c r="C241" s="1" t="s">
        <v>11</v>
      </c>
      <c r="D241" s="1" t="s">
        <v>15</v>
      </c>
      <c r="E241" s="16">
        <f>VLOOKUP(C241,收费标准!A$3:B$5,2,FALSE)</f>
        <v>2</v>
      </c>
      <c r="F241" s="2">
        <v>41788</v>
      </c>
      <c r="G241" s="4">
        <v>0.31391400000000003</v>
      </c>
      <c r="H241" s="2">
        <v>41788</v>
      </c>
      <c r="I241" s="4">
        <v>0.72436350000000005</v>
      </c>
      <c r="J241" s="29">
        <f t="shared" si="12"/>
        <v>0.41044950000000002</v>
      </c>
      <c r="K241" s="16">
        <f t="shared" si="13"/>
        <v>80</v>
      </c>
      <c r="L241" s="17">
        <f t="shared" si="14"/>
        <v>78</v>
      </c>
      <c r="M241" s="17">
        <f t="shared" si="15"/>
        <v>-2</v>
      </c>
    </row>
    <row r="242" spans="1:13" ht="14.25" x14ac:dyDescent="0.15">
      <c r="A242" s="6">
        <v>241</v>
      </c>
      <c r="B242" s="1" t="s">
        <v>97</v>
      </c>
      <c r="C242" s="1" t="s">
        <v>11</v>
      </c>
      <c r="D242" s="1" t="s">
        <v>12</v>
      </c>
      <c r="E242" s="16">
        <f>VLOOKUP(C242,收费标准!A$3:B$5,2,FALSE)</f>
        <v>2</v>
      </c>
      <c r="F242" s="2">
        <v>41788</v>
      </c>
      <c r="G242" s="4">
        <v>0.31599749999999999</v>
      </c>
      <c r="H242" s="2">
        <v>41788</v>
      </c>
      <c r="I242" s="4">
        <v>0.6743595</v>
      </c>
      <c r="J242" s="29">
        <f t="shared" si="12"/>
        <v>0.35836200000000001</v>
      </c>
      <c r="K242" s="16">
        <f t="shared" si="13"/>
        <v>70</v>
      </c>
      <c r="L242" s="17">
        <f t="shared" si="14"/>
        <v>68</v>
      </c>
      <c r="M242" s="17">
        <f t="shared" si="15"/>
        <v>-2</v>
      </c>
    </row>
    <row r="243" spans="1:13" ht="14.25" x14ac:dyDescent="0.15">
      <c r="A243" s="6">
        <v>242</v>
      </c>
      <c r="B243" s="1" t="s">
        <v>156</v>
      </c>
      <c r="C243" s="1" t="s">
        <v>14</v>
      </c>
      <c r="D243" s="1" t="s">
        <v>15</v>
      </c>
      <c r="E243" s="16">
        <f>VLOOKUP(C243,收费标准!A$3:B$5,2,FALSE)</f>
        <v>1.5</v>
      </c>
      <c r="F243" s="2">
        <v>41788</v>
      </c>
      <c r="G243" s="4">
        <v>0.33405450000000003</v>
      </c>
      <c r="H243" s="2">
        <v>41788</v>
      </c>
      <c r="I243" s="4">
        <v>0.44586900000000002</v>
      </c>
      <c r="J243" s="29">
        <f t="shared" si="12"/>
        <v>0.11181449999999998</v>
      </c>
      <c r="K243" s="16">
        <f t="shared" si="13"/>
        <v>16.5</v>
      </c>
      <c r="L243" s="17">
        <f t="shared" si="14"/>
        <v>15</v>
      </c>
      <c r="M243" s="17">
        <f t="shared" si="15"/>
        <v>-1.5</v>
      </c>
    </row>
    <row r="244" spans="1:13" ht="14.25" x14ac:dyDescent="0.15">
      <c r="A244" s="6">
        <v>243</v>
      </c>
      <c r="B244" s="1" t="s">
        <v>134</v>
      </c>
      <c r="C244" s="1" t="s">
        <v>14</v>
      </c>
      <c r="D244" s="1" t="s">
        <v>15</v>
      </c>
      <c r="E244" s="16">
        <f>VLOOKUP(C244,收费标准!A$3:B$5,2,FALSE)</f>
        <v>1.5</v>
      </c>
      <c r="F244" s="2">
        <v>41788</v>
      </c>
      <c r="G244" s="4">
        <v>0.33474900000000002</v>
      </c>
      <c r="H244" s="2">
        <v>41788</v>
      </c>
      <c r="I244" s="4">
        <v>0.72922500000000001</v>
      </c>
      <c r="J244" s="29">
        <f t="shared" si="12"/>
        <v>0.39447599999999999</v>
      </c>
      <c r="K244" s="16">
        <f t="shared" si="13"/>
        <v>57</v>
      </c>
      <c r="L244" s="17">
        <f t="shared" si="14"/>
        <v>55.5</v>
      </c>
      <c r="M244" s="17">
        <f t="shared" si="15"/>
        <v>-1.5</v>
      </c>
    </row>
    <row r="245" spans="1:13" ht="14.25" x14ac:dyDescent="0.15">
      <c r="A245" s="6">
        <v>244</v>
      </c>
      <c r="B245" s="1" t="s">
        <v>170</v>
      </c>
      <c r="C245" s="1" t="s">
        <v>26</v>
      </c>
      <c r="D245" s="1" t="s">
        <v>15</v>
      </c>
      <c r="E245" s="16">
        <f>VLOOKUP(C245,收费标准!A$3:B$5,2,FALSE)</f>
        <v>2.5</v>
      </c>
      <c r="F245" s="2">
        <v>41788</v>
      </c>
      <c r="G245" s="4">
        <v>0.33683250000000003</v>
      </c>
      <c r="H245" s="2">
        <v>41788</v>
      </c>
      <c r="I245" s="4">
        <v>0.94521450000000007</v>
      </c>
      <c r="J245" s="29">
        <f t="shared" si="12"/>
        <v>0.60838199999999998</v>
      </c>
      <c r="K245" s="16">
        <f t="shared" si="13"/>
        <v>147.5</v>
      </c>
      <c r="L245" s="17">
        <f t="shared" si="14"/>
        <v>145</v>
      </c>
      <c r="M245" s="17">
        <f t="shared" si="15"/>
        <v>-2.5</v>
      </c>
    </row>
    <row r="246" spans="1:13" ht="14.25" x14ac:dyDescent="0.15">
      <c r="A246" s="6">
        <v>245</v>
      </c>
      <c r="B246" s="1" t="s">
        <v>183</v>
      </c>
      <c r="C246" s="1" t="s">
        <v>14</v>
      </c>
      <c r="D246" s="1" t="s">
        <v>22</v>
      </c>
      <c r="E246" s="16">
        <f>VLOOKUP(C246,收费标准!A$3:B$5,2,FALSE)</f>
        <v>1.5</v>
      </c>
      <c r="F246" s="2">
        <v>41788</v>
      </c>
      <c r="G246" s="4">
        <v>0.33752700000000002</v>
      </c>
      <c r="H246" s="2">
        <v>41788</v>
      </c>
      <c r="I246" s="4">
        <v>0.93271350000000008</v>
      </c>
      <c r="J246" s="29">
        <f t="shared" si="12"/>
        <v>0.59518650000000006</v>
      </c>
      <c r="K246" s="16">
        <f t="shared" si="13"/>
        <v>87</v>
      </c>
      <c r="L246" s="17">
        <f t="shared" si="14"/>
        <v>85.5</v>
      </c>
      <c r="M246" s="17">
        <f t="shared" si="15"/>
        <v>-1.5</v>
      </c>
    </row>
    <row r="247" spans="1:13" ht="14.25" x14ac:dyDescent="0.15">
      <c r="A247" s="6">
        <v>246</v>
      </c>
      <c r="B247" s="1" t="s">
        <v>51</v>
      </c>
      <c r="C247" s="1" t="s">
        <v>26</v>
      </c>
      <c r="D247" s="1" t="s">
        <v>22</v>
      </c>
      <c r="E247" s="16">
        <f>VLOOKUP(C247,收费标准!A$3:B$5,2,FALSE)</f>
        <v>2.5</v>
      </c>
      <c r="F247" s="2">
        <v>41788</v>
      </c>
      <c r="G247" s="4">
        <v>0.34863900000000003</v>
      </c>
      <c r="H247" s="2">
        <v>41788</v>
      </c>
      <c r="I247" s="4">
        <v>0.91048950000000006</v>
      </c>
      <c r="J247" s="29">
        <f t="shared" si="12"/>
        <v>0.56185050000000003</v>
      </c>
      <c r="K247" s="16">
        <f t="shared" si="13"/>
        <v>135</v>
      </c>
      <c r="L247" s="17">
        <f t="shared" si="14"/>
        <v>132.5</v>
      </c>
      <c r="M247" s="17">
        <f t="shared" si="15"/>
        <v>-2.5</v>
      </c>
    </row>
    <row r="248" spans="1:13" ht="14.25" x14ac:dyDescent="0.15">
      <c r="A248" s="6">
        <v>247</v>
      </c>
      <c r="B248" s="1" t="s">
        <v>58</v>
      </c>
      <c r="C248" s="1" t="s">
        <v>26</v>
      </c>
      <c r="D248" s="1" t="s">
        <v>22</v>
      </c>
      <c r="E248" s="16">
        <f>VLOOKUP(C248,收费标准!A$3:B$5,2,FALSE)</f>
        <v>2.5</v>
      </c>
      <c r="F248" s="2">
        <v>41788</v>
      </c>
      <c r="G248" s="4">
        <v>0.35141700000000003</v>
      </c>
      <c r="H248" s="2">
        <v>41788</v>
      </c>
      <c r="I248" s="4">
        <v>0.36391800000000002</v>
      </c>
      <c r="J248" s="29">
        <f t="shared" si="12"/>
        <v>1.2500999999999984E-2</v>
      </c>
      <c r="K248" s="16">
        <f t="shared" si="13"/>
        <v>5</v>
      </c>
      <c r="L248" s="17">
        <f t="shared" si="14"/>
        <v>2.5</v>
      </c>
      <c r="M248" s="17">
        <f t="shared" si="15"/>
        <v>-2.5</v>
      </c>
    </row>
    <row r="249" spans="1:13" ht="14.25" x14ac:dyDescent="0.15">
      <c r="A249" s="6">
        <v>248</v>
      </c>
      <c r="B249" s="1" t="s">
        <v>33</v>
      </c>
      <c r="C249" s="1" t="s">
        <v>26</v>
      </c>
      <c r="D249" s="1" t="s">
        <v>12</v>
      </c>
      <c r="E249" s="16">
        <f>VLOOKUP(C249,收费标准!A$3:B$5,2,FALSE)</f>
        <v>2.5</v>
      </c>
      <c r="F249" s="2">
        <v>41788</v>
      </c>
      <c r="G249" s="4">
        <v>0.35211150000000002</v>
      </c>
      <c r="H249" s="2">
        <v>41788</v>
      </c>
      <c r="I249" s="4">
        <v>0.67505400000000004</v>
      </c>
      <c r="J249" s="29">
        <f t="shared" si="12"/>
        <v>0.32294250000000002</v>
      </c>
      <c r="K249" s="16">
        <f t="shared" si="13"/>
        <v>80</v>
      </c>
      <c r="L249" s="17">
        <f t="shared" si="14"/>
        <v>77.5</v>
      </c>
      <c r="M249" s="17">
        <f t="shared" si="15"/>
        <v>-2.5</v>
      </c>
    </row>
    <row r="250" spans="1:13" ht="14.25" x14ac:dyDescent="0.15">
      <c r="A250" s="6">
        <v>249</v>
      </c>
      <c r="B250" s="1" t="s">
        <v>140</v>
      </c>
      <c r="C250" s="1" t="s">
        <v>26</v>
      </c>
      <c r="D250" s="1" t="s">
        <v>12</v>
      </c>
      <c r="E250" s="16">
        <f>VLOOKUP(C250,收费标准!A$3:B$5,2,FALSE)</f>
        <v>2.5</v>
      </c>
      <c r="F250" s="2">
        <v>41788</v>
      </c>
      <c r="G250" s="4">
        <v>0.36252899999999999</v>
      </c>
      <c r="H250" s="2">
        <v>41788</v>
      </c>
      <c r="I250" s="4">
        <v>0.41392200000000001</v>
      </c>
      <c r="J250" s="29">
        <f t="shared" si="12"/>
        <v>5.1393000000000022E-2</v>
      </c>
      <c r="K250" s="16">
        <f t="shared" si="13"/>
        <v>12.5</v>
      </c>
      <c r="L250" s="17">
        <f t="shared" si="14"/>
        <v>10</v>
      </c>
      <c r="M250" s="17">
        <f t="shared" si="15"/>
        <v>-2.5</v>
      </c>
    </row>
    <row r="251" spans="1:13" ht="14.25" x14ac:dyDescent="0.15">
      <c r="A251" s="6">
        <v>250</v>
      </c>
      <c r="B251" s="1" t="s">
        <v>13</v>
      </c>
      <c r="C251" s="1" t="s">
        <v>14</v>
      </c>
      <c r="D251" s="1" t="s">
        <v>15</v>
      </c>
      <c r="E251" s="16">
        <f>VLOOKUP(C251,收费标准!A$3:B$5,2,FALSE)</f>
        <v>1.5</v>
      </c>
      <c r="F251" s="2">
        <v>41788</v>
      </c>
      <c r="G251" s="4">
        <v>0.370863</v>
      </c>
      <c r="H251" s="2">
        <v>41788</v>
      </c>
      <c r="I251" s="4">
        <v>0.81325950000000002</v>
      </c>
      <c r="J251" s="29">
        <f t="shared" si="12"/>
        <v>0.44239650000000003</v>
      </c>
      <c r="K251" s="16">
        <f t="shared" si="13"/>
        <v>64.5</v>
      </c>
      <c r="L251" s="17">
        <f t="shared" si="14"/>
        <v>63</v>
      </c>
      <c r="M251" s="17">
        <f t="shared" si="15"/>
        <v>-1.5</v>
      </c>
    </row>
    <row r="252" spans="1:13" ht="14.25" x14ac:dyDescent="0.15">
      <c r="A252" s="6">
        <v>251</v>
      </c>
      <c r="B252" s="1" t="s">
        <v>74</v>
      </c>
      <c r="C252" s="1" t="s">
        <v>14</v>
      </c>
      <c r="D252" s="1" t="s">
        <v>15</v>
      </c>
      <c r="E252" s="16">
        <f>VLOOKUP(C252,收费标准!A$3:B$5,2,FALSE)</f>
        <v>1.5</v>
      </c>
      <c r="F252" s="2">
        <v>41788</v>
      </c>
      <c r="G252" s="4">
        <v>0.370863</v>
      </c>
      <c r="H252" s="2">
        <v>41788</v>
      </c>
      <c r="I252" s="4">
        <v>0.96118800000000004</v>
      </c>
      <c r="J252" s="29">
        <f t="shared" si="12"/>
        <v>0.59032499999999999</v>
      </c>
      <c r="K252" s="16">
        <f t="shared" si="13"/>
        <v>85.5</v>
      </c>
      <c r="L252" s="17">
        <f t="shared" si="14"/>
        <v>84</v>
      </c>
      <c r="M252" s="17">
        <f t="shared" si="15"/>
        <v>-1.5</v>
      </c>
    </row>
    <row r="253" spans="1:13" ht="14.25" x14ac:dyDescent="0.15">
      <c r="A253" s="6">
        <v>252</v>
      </c>
      <c r="B253" s="1" t="s">
        <v>173</v>
      </c>
      <c r="C253" s="1" t="s">
        <v>26</v>
      </c>
      <c r="D253" s="1" t="s">
        <v>15</v>
      </c>
      <c r="E253" s="16">
        <f>VLOOKUP(C253,收费标准!A$3:B$5,2,FALSE)</f>
        <v>2.5</v>
      </c>
      <c r="F253" s="2">
        <v>41788</v>
      </c>
      <c r="G253" s="4">
        <v>0.3826695</v>
      </c>
      <c r="H253" s="2">
        <v>41788</v>
      </c>
      <c r="I253" s="4">
        <v>0.7910355</v>
      </c>
      <c r="J253" s="29">
        <f t="shared" si="12"/>
        <v>0.40836600000000001</v>
      </c>
      <c r="K253" s="16">
        <f t="shared" si="13"/>
        <v>100</v>
      </c>
      <c r="L253" s="17">
        <f t="shared" si="14"/>
        <v>97.5</v>
      </c>
      <c r="M253" s="17">
        <f t="shared" si="15"/>
        <v>-2.5</v>
      </c>
    </row>
    <row r="254" spans="1:13" ht="14.25" x14ac:dyDescent="0.15">
      <c r="A254" s="6">
        <v>253</v>
      </c>
      <c r="B254" s="1" t="s">
        <v>123</v>
      </c>
      <c r="C254" s="1" t="s">
        <v>14</v>
      </c>
      <c r="D254" s="1" t="s">
        <v>22</v>
      </c>
      <c r="E254" s="16">
        <f>VLOOKUP(C254,收费标准!A$3:B$5,2,FALSE)</f>
        <v>1.5</v>
      </c>
      <c r="F254" s="2">
        <v>41788</v>
      </c>
      <c r="G254" s="4">
        <v>0.38336400000000004</v>
      </c>
      <c r="H254" s="2">
        <v>41788</v>
      </c>
      <c r="I254" s="4">
        <v>0.455592</v>
      </c>
      <c r="J254" s="29">
        <f t="shared" si="12"/>
        <v>7.2227999999999959E-2</v>
      </c>
      <c r="K254" s="16">
        <f t="shared" si="13"/>
        <v>10.5</v>
      </c>
      <c r="L254" s="17">
        <f t="shared" si="14"/>
        <v>9</v>
      </c>
      <c r="M254" s="17">
        <f t="shared" si="15"/>
        <v>-1.5</v>
      </c>
    </row>
    <row r="255" spans="1:13" ht="14.25" x14ac:dyDescent="0.15">
      <c r="A255" s="6">
        <v>254</v>
      </c>
      <c r="B255" s="1" t="s">
        <v>60</v>
      </c>
      <c r="C255" s="1" t="s">
        <v>26</v>
      </c>
      <c r="D255" s="1" t="s">
        <v>12</v>
      </c>
      <c r="E255" s="16">
        <f>VLOOKUP(C255,收费标准!A$3:B$5,2,FALSE)</f>
        <v>2.5</v>
      </c>
      <c r="F255" s="2">
        <v>41788</v>
      </c>
      <c r="G255" s="4">
        <v>0.38614199999999999</v>
      </c>
      <c r="H255" s="2">
        <v>41788</v>
      </c>
      <c r="I255" s="4">
        <v>0.65699700000000005</v>
      </c>
      <c r="J255" s="29">
        <f t="shared" si="12"/>
        <v>0.27085500000000007</v>
      </c>
      <c r="K255" s="16">
        <f t="shared" si="13"/>
        <v>67.5</v>
      </c>
      <c r="L255" s="17">
        <f t="shared" si="14"/>
        <v>65</v>
      </c>
      <c r="M255" s="17">
        <f t="shared" si="15"/>
        <v>-2.5</v>
      </c>
    </row>
    <row r="256" spans="1:13" ht="14.25" x14ac:dyDescent="0.15">
      <c r="A256" s="6">
        <v>255</v>
      </c>
      <c r="B256" s="1" t="s">
        <v>20</v>
      </c>
      <c r="C256" s="1" t="s">
        <v>11</v>
      </c>
      <c r="D256" s="1" t="s">
        <v>17</v>
      </c>
      <c r="E256" s="16">
        <f>VLOOKUP(C256,收费标准!A$3:B$5,2,FALSE)</f>
        <v>2</v>
      </c>
      <c r="F256" s="2">
        <v>41788</v>
      </c>
      <c r="G256" s="4">
        <v>0.39378150000000001</v>
      </c>
      <c r="H256" s="2">
        <v>41788</v>
      </c>
      <c r="I256" s="4">
        <v>0.43822949999999999</v>
      </c>
      <c r="J256" s="29">
        <f t="shared" si="12"/>
        <v>4.4447999999999988E-2</v>
      </c>
      <c r="K256" s="16">
        <f t="shared" si="13"/>
        <v>10</v>
      </c>
      <c r="L256" s="17">
        <f t="shared" si="14"/>
        <v>8</v>
      </c>
      <c r="M256" s="17">
        <f t="shared" si="15"/>
        <v>-2</v>
      </c>
    </row>
    <row r="257" spans="1:13" ht="14.25" x14ac:dyDescent="0.15">
      <c r="A257" s="6">
        <v>256</v>
      </c>
      <c r="B257" s="1" t="s">
        <v>126</v>
      </c>
      <c r="C257" s="1" t="s">
        <v>14</v>
      </c>
      <c r="D257" s="1" t="s">
        <v>12</v>
      </c>
      <c r="E257" s="16">
        <f>VLOOKUP(C257,收费标准!A$3:B$5,2,FALSE)</f>
        <v>1.5</v>
      </c>
      <c r="F257" s="2">
        <v>41788</v>
      </c>
      <c r="G257" s="4">
        <v>0.39864300000000003</v>
      </c>
      <c r="H257" s="2">
        <v>41788</v>
      </c>
      <c r="I257" s="4">
        <v>0.61810500000000002</v>
      </c>
      <c r="J257" s="29">
        <f t="shared" si="12"/>
        <v>0.21946199999999999</v>
      </c>
      <c r="K257" s="16">
        <f t="shared" si="13"/>
        <v>33</v>
      </c>
      <c r="L257" s="17">
        <f t="shared" si="14"/>
        <v>31.5</v>
      </c>
      <c r="M257" s="17">
        <f t="shared" si="15"/>
        <v>-1.5</v>
      </c>
    </row>
    <row r="258" spans="1:13" ht="14.25" x14ac:dyDescent="0.15">
      <c r="A258" s="6">
        <v>257</v>
      </c>
      <c r="B258" s="1" t="s">
        <v>125</v>
      </c>
      <c r="C258" s="1" t="s">
        <v>26</v>
      </c>
      <c r="D258" s="1" t="s">
        <v>17</v>
      </c>
      <c r="E258" s="16">
        <f>VLOOKUP(C258,收费标准!A$3:B$5,2,FALSE)</f>
        <v>2.5</v>
      </c>
      <c r="F258" s="2">
        <v>41788</v>
      </c>
      <c r="G258" s="4">
        <v>0.40142100000000003</v>
      </c>
      <c r="H258" s="2">
        <v>41788</v>
      </c>
      <c r="I258" s="4">
        <v>0.61810500000000002</v>
      </c>
      <c r="J258" s="29">
        <f t="shared" si="12"/>
        <v>0.21668399999999999</v>
      </c>
      <c r="K258" s="16">
        <f t="shared" si="13"/>
        <v>52.5</v>
      </c>
      <c r="L258" s="17">
        <f t="shared" si="14"/>
        <v>50</v>
      </c>
      <c r="M258" s="17">
        <f t="shared" si="15"/>
        <v>-2.5</v>
      </c>
    </row>
    <row r="259" spans="1:13" ht="14.25" x14ac:dyDescent="0.15">
      <c r="A259" s="6">
        <v>258</v>
      </c>
      <c r="B259" s="1" t="s">
        <v>182</v>
      </c>
      <c r="C259" s="1" t="s">
        <v>14</v>
      </c>
      <c r="D259" s="1" t="s">
        <v>22</v>
      </c>
      <c r="E259" s="16">
        <f>VLOOKUP(C259,收费标准!A$3:B$5,2,FALSE)</f>
        <v>1.5</v>
      </c>
      <c r="F259" s="2">
        <v>41788</v>
      </c>
      <c r="G259" s="4">
        <v>0.40836600000000001</v>
      </c>
      <c r="H259" s="2">
        <v>41788</v>
      </c>
      <c r="I259" s="4">
        <v>0.67574849999999997</v>
      </c>
      <c r="J259" s="29">
        <f t="shared" ref="J259:J322" si="16">H259-F259+I259-G259</f>
        <v>0.26738249999999997</v>
      </c>
      <c r="K259" s="16">
        <f t="shared" ref="K259:K322" si="17">ROUNDUP(J259*60*24/15,0)*E259</f>
        <v>39</v>
      </c>
      <c r="L259" s="17">
        <f t="shared" ref="L259:L322" si="18">ROUNDDOWN(J259*60*24/15,0)*E259</f>
        <v>37.5</v>
      </c>
      <c r="M259" s="17">
        <f t="shared" ref="M259:M322" si="19">L259-K259</f>
        <v>-1.5</v>
      </c>
    </row>
    <row r="260" spans="1:13" ht="14.25" x14ac:dyDescent="0.15">
      <c r="A260" s="6">
        <v>259</v>
      </c>
      <c r="B260" s="1" t="s">
        <v>52</v>
      </c>
      <c r="C260" s="1" t="s">
        <v>26</v>
      </c>
      <c r="D260" s="1" t="s">
        <v>12</v>
      </c>
      <c r="E260" s="16">
        <f>VLOOKUP(C260,收费标准!A$3:B$5,2,FALSE)</f>
        <v>2.5</v>
      </c>
      <c r="F260" s="2">
        <v>41788</v>
      </c>
      <c r="G260" s="4">
        <v>0.41392200000000001</v>
      </c>
      <c r="H260" s="2">
        <v>41788</v>
      </c>
      <c r="I260" s="4">
        <v>0.46184249999999999</v>
      </c>
      <c r="J260" s="29">
        <f t="shared" si="16"/>
        <v>4.7920499999999977E-2</v>
      </c>
      <c r="K260" s="16">
        <f t="shared" si="17"/>
        <v>12.5</v>
      </c>
      <c r="L260" s="17">
        <f t="shared" si="18"/>
        <v>10</v>
      </c>
      <c r="M260" s="17">
        <f t="shared" si="19"/>
        <v>-2.5</v>
      </c>
    </row>
    <row r="261" spans="1:13" ht="14.25" x14ac:dyDescent="0.15">
      <c r="A261" s="6">
        <v>260</v>
      </c>
      <c r="B261" s="1" t="s">
        <v>116</v>
      </c>
      <c r="C261" s="1" t="s">
        <v>14</v>
      </c>
      <c r="D261" s="1" t="s">
        <v>12</v>
      </c>
      <c r="E261" s="16">
        <f>VLOOKUP(C261,收费标准!A$3:B$5,2,FALSE)</f>
        <v>1.5</v>
      </c>
      <c r="F261" s="2">
        <v>41788</v>
      </c>
      <c r="G261" s="4">
        <v>0.41531099999999999</v>
      </c>
      <c r="H261" s="2">
        <v>41788</v>
      </c>
      <c r="I261" s="4">
        <v>0.99244050000000006</v>
      </c>
      <c r="J261" s="29">
        <f t="shared" si="16"/>
        <v>0.57712950000000007</v>
      </c>
      <c r="K261" s="16">
        <f t="shared" si="17"/>
        <v>84</v>
      </c>
      <c r="L261" s="17">
        <f t="shared" si="18"/>
        <v>82.5</v>
      </c>
      <c r="M261" s="17">
        <f t="shared" si="19"/>
        <v>-1.5</v>
      </c>
    </row>
    <row r="262" spans="1:13" ht="14.25" x14ac:dyDescent="0.15">
      <c r="A262" s="6">
        <v>261</v>
      </c>
      <c r="B262" s="1" t="s">
        <v>37</v>
      </c>
      <c r="C262" s="1" t="s">
        <v>11</v>
      </c>
      <c r="D262" s="1" t="s">
        <v>12</v>
      </c>
      <c r="E262" s="16">
        <f>VLOOKUP(C262,收费标准!A$3:B$5,2,FALSE)</f>
        <v>2</v>
      </c>
      <c r="F262" s="2">
        <v>41788</v>
      </c>
      <c r="G262" s="4">
        <v>0.44031300000000001</v>
      </c>
      <c r="H262" s="2">
        <v>41788</v>
      </c>
      <c r="I262" s="4">
        <v>0.51393</v>
      </c>
      <c r="J262" s="29">
        <f t="shared" si="16"/>
        <v>7.3616999999999988E-2</v>
      </c>
      <c r="K262" s="16">
        <f t="shared" si="17"/>
        <v>16</v>
      </c>
      <c r="L262" s="17">
        <f t="shared" si="18"/>
        <v>14</v>
      </c>
      <c r="M262" s="17">
        <f t="shared" si="19"/>
        <v>-2</v>
      </c>
    </row>
    <row r="263" spans="1:13" ht="14.25" x14ac:dyDescent="0.15">
      <c r="A263" s="6">
        <v>262</v>
      </c>
      <c r="B263" s="1" t="s">
        <v>55</v>
      </c>
      <c r="C263" s="1" t="s">
        <v>26</v>
      </c>
      <c r="D263" s="1" t="s">
        <v>15</v>
      </c>
      <c r="E263" s="16">
        <f>VLOOKUP(C263,收费标准!A$3:B$5,2,FALSE)</f>
        <v>2.5</v>
      </c>
      <c r="F263" s="2">
        <v>41788</v>
      </c>
      <c r="G263" s="4">
        <v>0.4437855</v>
      </c>
      <c r="H263" s="2">
        <v>41788</v>
      </c>
      <c r="I263" s="4">
        <v>0.74103150000000007</v>
      </c>
      <c r="J263" s="29">
        <f t="shared" si="16"/>
        <v>0.29724600000000007</v>
      </c>
      <c r="K263" s="16">
        <f t="shared" si="17"/>
        <v>72.5</v>
      </c>
      <c r="L263" s="17">
        <f t="shared" si="18"/>
        <v>70</v>
      </c>
      <c r="M263" s="17">
        <f t="shared" si="19"/>
        <v>-2.5</v>
      </c>
    </row>
    <row r="264" spans="1:13" ht="14.25" x14ac:dyDescent="0.15">
      <c r="A264" s="6">
        <v>263</v>
      </c>
      <c r="B264" s="1" t="s">
        <v>24</v>
      </c>
      <c r="C264" s="1" t="s">
        <v>14</v>
      </c>
      <c r="D264" s="1" t="s">
        <v>12</v>
      </c>
      <c r="E264" s="16">
        <f>VLOOKUP(C264,收费标准!A$3:B$5,2,FALSE)</f>
        <v>1.5</v>
      </c>
      <c r="F264" s="2">
        <v>41788</v>
      </c>
      <c r="G264" s="4">
        <v>0.4493415</v>
      </c>
      <c r="H264" s="2">
        <v>41788</v>
      </c>
      <c r="I264" s="4">
        <v>0.87159750000000003</v>
      </c>
      <c r="J264" s="29">
        <f t="shared" si="16"/>
        <v>0.42225600000000002</v>
      </c>
      <c r="K264" s="16">
        <f t="shared" si="17"/>
        <v>61.5</v>
      </c>
      <c r="L264" s="17">
        <f t="shared" si="18"/>
        <v>60</v>
      </c>
      <c r="M264" s="17">
        <f t="shared" si="19"/>
        <v>-1.5</v>
      </c>
    </row>
    <row r="265" spans="1:13" ht="14.25" x14ac:dyDescent="0.15">
      <c r="A265" s="6">
        <v>264</v>
      </c>
      <c r="B265" s="1" t="s">
        <v>105</v>
      </c>
      <c r="C265" s="1" t="s">
        <v>11</v>
      </c>
      <c r="D265" s="1" t="s">
        <v>22</v>
      </c>
      <c r="E265" s="16">
        <f>VLOOKUP(C265,收费标准!A$3:B$5,2,FALSE)</f>
        <v>2</v>
      </c>
      <c r="F265" s="2">
        <v>41788</v>
      </c>
      <c r="G265" s="4">
        <v>0.46184249999999999</v>
      </c>
      <c r="H265" s="2">
        <v>41788</v>
      </c>
      <c r="I265" s="4">
        <v>0.5049015</v>
      </c>
      <c r="J265" s="29">
        <f t="shared" si="16"/>
        <v>4.3059000000000014E-2</v>
      </c>
      <c r="K265" s="16">
        <f t="shared" si="17"/>
        <v>10</v>
      </c>
      <c r="L265" s="17">
        <f t="shared" si="18"/>
        <v>8</v>
      </c>
      <c r="M265" s="17">
        <f t="shared" si="19"/>
        <v>-2</v>
      </c>
    </row>
    <row r="266" spans="1:13" ht="14.25" x14ac:dyDescent="0.15">
      <c r="A266" s="6">
        <v>265</v>
      </c>
      <c r="B266" s="1" t="s">
        <v>145</v>
      </c>
      <c r="C266" s="1" t="s">
        <v>11</v>
      </c>
      <c r="D266" s="1" t="s">
        <v>12</v>
      </c>
      <c r="E266" s="16">
        <f>VLOOKUP(C266,收费标准!A$3:B$5,2,FALSE)</f>
        <v>2</v>
      </c>
      <c r="F266" s="2">
        <v>41788</v>
      </c>
      <c r="G266" s="4">
        <v>0.47434350000000003</v>
      </c>
      <c r="H266" s="2">
        <v>41788</v>
      </c>
      <c r="I266" s="4">
        <v>0.56115599999999999</v>
      </c>
      <c r="J266" s="29">
        <f t="shared" si="16"/>
        <v>8.6812499999999959E-2</v>
      </c>
      <c r="K266" s="16">
        <f t="shared" si="17"/>
        <v>18</v>
      </c>
      <c r="L266" s="17">
        <f t="shared" si="18"/>
        <v>16</v>
      </c>
      <c r="M266" s="17">
        <f t="shared" si="19"/>
        <v>-2</v>
      </c>
    </row>
    <row r="267" spans="1:13" ht="14.25" x14ac:dyDescent="0.15">
      <c r="A267" s="6">
        <v>266</v>
      </c>
      <c r="B267" s="1" t="s">
        <v>108</v>
      </c>
      <c r="C267" s="1" t="s">
        <v>11</v>
      </c>
      <c r="D267" s="1" t="s">
        <v>22</v>
      </c>
      <c r="E267" s="16">
        <f>VLOOKUP(C267,收费标准!A$3:B$5,2,FALSE)</f>
        <v>2</v>
      </c>
      <c r="F267" s="2">
        <v>41788</v>
      </c>
      <c r="G267" s="4">
        <v>0.47781600000000002</v>
      </c>
      <c r="H267" s="2">
        <v>41788</v>
      </c>
      <c r="I267" s="4">
        <v>0.86256900000000003</v>
      </c>
      <c r="J267" s="29">
        <f t="shared" si="16"/>
        <v>0.38475300000000001</v>
      </c>
      <c r="K267" s="16">
        <f t="shared" si="17"/>
        <v>74</v>
      </c>
      <c r="L267" s="17">
        <f t="shared" si="18"/>
        <v>72</v>
      </c>
      <c r="M267" s="17">
        <f t="shared" si="19"/>
        <v>-2</v>
      </c>
    </row>
    <row r="268" spans="1:13" ht="14.25" x14ac:dyDescent="0.15">
      <c r="A268" s="6">
        <v>267</v>
      </c>
      <c r="B268" s="1" t="s">
        <v>141</v>
      </c>
      <c r="C268" s="1" t="s">
        <v>26</v>
      </c>
      <c r="D268" s="1" t="s">
        <v>15</v>
      </c>
      <c r="E268" s="16">
        <f>VLOOKUP(C268,收费标准!A$3:B$5,2,FALSE)</f>
        <v>2.5</v>
      </c>
      <c r="F268" s="2">
        <v>41788</v>
      </c>
      <c r="G268" s="4">
        <v>0.49309500000000001</v>
      </c>
      <c r="H268" s="2">
        <v>41789</v>
      </c>
      <c r="I268" s="4">
        <v>3.4030499999999998E-2</v>
      </c>
      <c r="J268" s="29">
        <f t="shared" si="16"/>
        <v>0.54093550000000001</v>
      </c>
      <c r="K268" s="16">
        <f t="shared" si="17"/>
        <v>130</v>
      </c>
      <c r="L268" s="17">
        <f t="shared" si="18"/>
        <v>127.5</v>
      </c>
      <c r="M268" s="17">
        <f t="shared" si="19"/>
        <v>-2.5</v>
      </c>
    </row>
    <row r="269" spans="1:13" ht="14.25" x14ac:dyDescent="0.15">
      <c r="A269" s="6">
        <v>268</v>
      </c>
      <c r="B269" s="1" t="s">
        <v>181</v>
      </c>
      <c r="C269" s="1" t="s">
        <v>26</v>
      </c>
      <c r="D269" s="1" t="s">
        <v>15</v>
      </c>
      <c r="E269" s="16">
        <f>VLOOKUP(C269,收费标准!A$3:B$5,2,FALSE)</f>
        <v>2.5</v>
      </c>
      <c r="F269" s="2">
        <v>41788</v>
      </c>
      <c r="G269" s="4">
        <v>0.50629049999999998</v>
      </c>
      <c r="H269" s="2">
        <v>41788</v>
      </c>
      <c r="I269" s="4">
        <v>0.56115599999999999</v>
      </c>
      <c r="J269" s="29">
        <f t="shared" si="16"/>
        <v>5.4865500000000011E-2</v>
      </c>
      <c r="K269" s="16">
        <f t="shared" si="17"/>
        <v>15</v>
      </c>
      <c r="L269" s="17">
        <f t="shared" si="18"/>
        <v>12.5</v>
      </c>
      <c r="M269" s="17">
        <f t="shared" si="19"/>
        <v>-2.5</v>
      </c>
    </row>
    <row r="270" spans="1:13" ht="14.25" x14ac:dyDescent="0.15">
      <c r="A270" s="6">
        <v>269</v>
      </c>
      <c r="B270" s="1" t="s">
        <v>169</v>
      </c>
      <c r="C270" s="1" t="s">
        <v>26</v>
      </c>
      <c r="D270" s="1" t="s">
        <v>15</v>
      </c>
      <c r="E270" s="16">
        <f>VLOOKUP(C270,收费标准!A$3:B$5,2,FALSE)</f>
        <v>2.5</v>
      </c>
      <c r="F270" s="2">
        <v>41788</v>
      </c>
      <c r="G270" s="4">
        <v>0.51045750000000001</v>
      </c>
      <c r="H270" s="2">
        <v>41788</v>
      </c>
      <c r="I270" s="4">
        <v>0.70491749999999997</v>
      </c>
      <c r="J270" s="29">
        <f t="shared" si="16"/>
        <v>0.19445999999999997</v>
      </c>
      <c r="K270" s="16">
        <f t="shared" si="17"/>
        <v>47.5</v>
      </c>
      <c r="L270" s="17">
        <f t="shared" si="18"/>
        <v>45</v>
      </c>
      <c r="M270" s="17">
        <f t="shared" si="19"/>
        <v>-2.5</v>
      </c>
    </row>
    <row r="271" spans="1:13" ht="14.25" x14ac:dyDescent="0.15">
      <c r="A271" s="6">
        <v>270</v>
      </c>
      <c r="B271" s="1" t="s">
        <v>24</v>
      </c>
      <c r="C271" s="1" t="s">
        <v>14</v>
      </c>
      <c r="D271" s="1" t="s">
        <v>12</v>
      </c>
      <c r="E271" s="16">
        <f>VLOOKUP(C271,收费标准!A$3:B$5,2,FALSE)</f>
        <v>1.5</v>
      </c>
      <c r="F271" s="2">
        <v>41788</v>
      </c>
      <c r="G271" s="4">
        <v>0.51254100000000002</v>
      </c>
      <c r="H271" s="2">
        <v>41788</v>
      </c>
      <c r="I271" s="4">
        <v>0.69241649999999999</v>
      </c>
      <c r="J271" s="29">
        <f t="shared" si="16"/>
        <v>0.17987549999999997</v>
      </c>
      <c r="K271" s="16">
        <f t="shared" si="17"/>
        <v>27</v>
      </c>
      <c r="L271" s="17">
        <f t="shared" si="18"/>
        <v>25.5</v>
      </c>
      <c r="M271" s="17">
        <f t="shared" si="19"/>
        <v>-1.5</v>
      </c>
    </row>
    <row r="272" spans="1:13" ht="14.25" x14ac:dyDescent="0.15">
      <c r="A272" s="6">
        <v>271</v>
      </c>
      <c r="B272" s="1" t="s">
        <v>65</v>
      </c>
      <c r="C272" s="1" t="s">
        <v>26</v>
      </c>
      <c r="D272" s="1" t="s">
        <v>17</v>
      </c>
      <c r="E272" s="16">
        <f>VLOOKUP(C272,收费标准!A$3:B$5,2,FALSE)</f>
        <v>2.5</v>
      </c>
      <c r="F272" s="2">
        <v>41788</v>
      </c>
      <c r="G272" s="4">
        <v>0.54518250000000001</v>
      </c>
      <c r="H272" s="2">
        <v>41788</v>
      </c>
      <c r="I272" s="4">
        <v>0.91812900000000008</v>
      </c>
      <c r="J272" s="29">
        <f t="shared" si="16"/>
        <v>0.37294650000000007</v>
      </c>
      <c r="K272" s="16">
        <f t="shared" si="17"/>
        <v>90</v>
      </c>
      <c r="L272" s="17">
        <f t="shared" si="18"/>
        <v>87.5</v>
      </c>
      <c r="M272" s="17">
        <f t="shared" si="19"/>
        <v>-2.5</v>
      </c>
    </row>
    <row r="273" spans="1:13" ht="14.25" x14ac:dyDescent="0.15">
      <c r="A273" s="6">
        <v>272</v>
      </c>
      <c r="B273" s="1" t="s">
        <v>165</v>
      </c>
      <c r="C273" s="1" t="s">
        <v>26</v>
      </c>
      <c r="D273" s="1" t="s">
        <v>12</v>
      </c>
      <c r="E273" s="16">
        <f>VLOOKUP(C273,收费标准!A$3:B$5,2,FALSE)</f>
        <v>2.5</v>
      </c>
      <c r="F273" s="2">
        <v>41788</v>
      </c>
      <c r="G273" s="4">
        <v>0.55976700000000001</v>
      </c>
      <c r="H273" s="2">
        <v>41789</v>
      </c>
      <c r="I273" s="4">
        <v>0.1020915</v>
      </c>
      <c r="J273" s="29">
        <f t="shared" si="16"/>
        <v>0.54232449999999999</v>
      </c>
      <c r="K273" s="16">
        <f t="shared" si="17"/>
        <v>132.5</v>
      </c>
      <c r="L273" s="17">
        <f t="shared" si="18"/>
        <v>130</v>
      </c>
      <c r="M273" s="17">
        <f t="shared" si="19"/>
        <v>-2.5</v>
      </c>
    </row>
    <row r="274" spans="1:13" ht="14.25" x14ac:dyDescent="0.15">
      <c r="A274" s="6">
        <v>273</v>
      </c>
      <c r="B274" s="1" t="s">
        <v>94</v>
      </c>
      <c r="C274" s="1" t="s">
        <v>11</v>
      </c>
      <c r="D274" s="1" t="s">
        <v>17</v>
      </c>
      <c r="E274" s="16">
        <f>VLOOKUP(C274,收费标准!A$3:B$5,2,FALSE)</f>
        <v>2</v>
      </c>
      <c r="F274" s="2">
        <v>41788</v>
      </c>
      <c r="G274" s="4">
        <v>0.58338000000000001</v>
      </c>
      <c r="H274" s="2">
        <v>41788</v>
      </c>
      <c r="I274" s="4">
        <v>0.79034100000000007</v>
      </c>
      <c r="J274" s="29">
        <f t="shared" si="16"/>
        <v>0.20696100000000006</v>
      </c>
      <c r="K274" s="16">
        <f t="shared" si="17"/>
        <v>40</v>
      </c>
      <c r="L274" s="17">
        <f t="shared" si="18"/>
        <v>38</v>
      </c>
      <c r="M274" s="17">
        <f t="shared" si="19"/>
        <v>-2</v>
      </c>
    </row>
    <row r="275" spans="1:13" ht="14.25" x14ac:dyDescent="0.15">
      <c r="A275" s="6">
        <v>274</v>
      </c>
      <c r="B275" s="1" t="s">
        <v>35</v>
      </c>
      <c r="C275" s="1" t="s">
        <v>14</v>
      </c>
      <c r="D275" s="1" t="s">
        <v>17</v>
      </c>
      <c r="E275" s="16">
        <f>VLOOKUP(C275,收费标准!A$3:B$5,2,FALSE)</f>
        <v>1.5</v>
      </c>
      <c r="F275" s="2">
        <v>41788</v>
      </c>
      <c r="G275" s="4">
        <v>0.59449200000000002</v>
      </c>
      <c r="H275" s="2">
        <v>41788</v>
      </c>
      <c r="I275" s="4">
        <v>0.88965450000000001</v>
      </c>
      <c r="J275" s="29">
        <f t="shared" si="16"/>
        <v>0.29516249999999999</v>
      </c>
      <c r="K275" s="16">
        <f t="shared" si="17"/>
        <v>43.5</v>
      </c>
      <c r="L275" s="17">
        <f t="shared" si="18"/>
        <v>42</v>
      </c>
      <c r="M275" s="17">
        <f t="shared" si="19"/>
        <v>-1.5</v>
      </c>
    </row>
    <row r="276" spans="1:13" ht="14.25" x14ac:dyDescent="0.15">
      <c r="A276" s="6">
        <v>275</v>
      </c>
      <c r="B276" s="1" t="s">
        <v>178</v>
      </c>
      <c r="C276" s="1" t="s">
        <v>26</v>
      </c>
      <c r="D276" s="1" t="s">
        <v>15</v>
      </c>
      <c r="E276" s="16">
        <f>VLOOKUP(C276,收费标准!A$3:B$5,2,FALSE)</f>
        <v>2.5</v>
      </c>
      <c r="F276" s="2">
        <v>41788</v>
      </c>
      <c r="G276" s="4">
        <v>0.606993</v>
      </c>
      <c r="H276" s="2">
        <v>41788</v>
      </c>
      <c r="I276" s="4">
        <v>0.99313499999999999</v>
      </c>
      <c r="J276" s="29">
        <f t="shared" si="16"/>
        <v>0.38614199999999999</v>
      </c>
      <c r="K276" s="16">
        <f t="shared" si="17"/>
        <v>95</v>
      </c>
      <c r="L276" s="17">
        <f t="shared" si="18"/>
        <v>92.5</v>
      </c>
      <c r="M276" s="17">
        <f t="shared" si="19"/>
        <v>-2.5</v>
      </c>
    </row>
    <row r="277" spans="1:13" ht="14.25" x14ac:dyDescent="0.15">
      <c r="A277" s="6">
        <v>276</v>
      </c>
      <c r="B277" s="1" t="s">
        <v>92</v>
      </c>
      <c r="C277" s="1" t="s">
        <v>26</v>
      </c>
      <c r="D277" s="1" t="s">
        <v>12</v>
      </c>
      <c r="E277" s="16">
        <f>VLOOKUP(C277,收费标准!A$3:B$5,2,FALSE)</f>
        <v>2.5</v>
      </c>
      <c r="F277" s="2">
        <v>41788</v>
      </c>
      <c r="G277" s="4">
        <v>0.61116000000000004</v>
      </c>
      <c r="H277" s="2">
        <v>41788</v>
      </c>
      <c r="I277" s="4">
        <v>0.82437150000000003</v>
      </c>
      <c r="J277" s="29">
        <f t="shared" si="16"/>
        <v>0.2132115</v>
      </c>
      <c r="K277" s="16">
        <f t="shared" si="17"/>
        <v>52.5</v>
      </c>
      <c r="L277" s="17">
        <f t="shared" si="18"/>
        <v>50</v>
      </c>
      <c r="M277" s="17">
        <f t="shared" si="19"/>
        <v>-2.5</v>
      </c>
    </row>
    <row r="278" spans="1:13" ht="14.25" x14ac:dyDescent="0.15">
      <c r="A278" s="6">
        <v>277</v>
      </c>
      <c r="B278" s="1" t="s">
        <v>96</v>
      </c>
      <c r="C278" s="1" t="s">
        <v>14</v>
      </c>
      <c r="D278" s="1" t="s">
        <v>15</v>
      </c>
      <c r="E278" s="16">
        <f>VLOOKUP(C278,收费标准!A$3:B$5,2,FALSE)</f>
        <v>1.5</v>
      </c>
      <c r="F278" s="2">
        <v>41788</v>
      </c>
      <c r="G278" s="4">
        <v>0.61879950000000006</v>
      </c>
      <c r="H278" s="2">
        <v>41788</v>
      </c>
      <c r="I278" s="4">
        <v>0.85770750000000007</v>
      </c>
      <c r="J278" s="29">
        <f t="shared" si="16"/>
        <v>0.23890800000000001</v>
      </c>
      <c r="K278" s="16">
        <f t="shared" si="17"/>
        <v>34.5</v>
      </c>
      <c r="L278" s="17">
        <f t="shared" si="18"/>
        <v>33</v>
      </c>
      <c r="M278" s="17">
        <f t="shared" si="19"/>
        <v>-1.5</v>
      </c>
    </row>
    <row r="279" spans="1:13" ht="14.25" x14ac:dyDescent="0.15">
      <c r="A279" s="6">
        <v>278</v>
      </c>
      <c r="B279" s="1" t="s">
        <v>171</v>
      </c>
      <c r="C279" s="1" t="s">
        <v>26</v>
      </c>
      <c r="D279" s="1" t="s">
        <v>22</v>
      </c>
      <c r="E279" s="16">
        <f>VLOOKUP(C279,收费标准!A$3:B$5,2,FALSE)</f>
        <v>2.5</v>
      </c>
      <c r="F279" s="2">
        <v>41788</v>
      </c>
      <c r="G279" s="4">
        <v>0.62018850000000003</v>
      </c>
      <c r="H279" s="2">
        <v>41788</v>
      </c>
      <c r="I279" s="4">
        <v>0.87645899999999999</v>
      </c>
      <c r="J279" s="29">
        <f t="shared" si="16"/>
        <v>0.25627049999999996</v>
      </c>
      <c r="K279" s="16">
        <f t="shared" si="17"/>
        <v>62.5</v>
      </c>
      <c r="L279" s="17">
        <f t="shared" si="18"/>
        <v>60</v>
      </c>
      <c r="M279" s="17">
        <f t="shared" si="19"/>
        <v>-2.5</v>
      </c>
    </row>
    <row r="280" spans="1:13" ht="14.25" x14ac:dyDescent="0.15">
      <c r="A280" s="6">
        <v>279</v>
      </c>
      <c r="B280" s="1" t="s">
        <v>139</v>
      </c>
      <c r="C280" s="1" t="s">
        <v>26</v>
      </c>
      <c r="D280" s="1" t="s">
        <v>22</v>
      </c>
      <c r="E280" s="16">
        <f>VLOOKUP(C280,收费标准!A$3:B$5,2,FALSE)</f>
        <v>2.5</v>
      </c>
      <c r="F280" s="2">
        <v>41788</v>
      </c>
      <c r="G280" s="4">
        <v>0.62157750000000001</v>
      </c>
      <c r="H280" s="2">
        <v>41788</v>
      </c>
      <c r="I280" s="4">
        <v>0.84173399999999998</v>
      </c>
      <c r="J280" s="29">
        <f t="shared" si="16"/>
        <v>0.22015649999999998</v>
      </c>
      <c r="K280" s="16">
        <f t="shared" si="17"/>
        <v>55</v>
      </c>
      <c r="L280" s="17">
        <f t="shared" si="18"/>
        <v>52.5</v>
      </c>
      <c r="M280" s="17">
        <f t="shared" si="19"/>
        <v>-2.5</v>
      </c>
    </row>
    <row r="281" spans="1:13" ht="14.25" x14ac:dyDescent="0.15">
      <c r="A281" s="6">
        <v>280</v>
      </c>
      <c r="B281" s="1" t="s">
        <v>42</v>
      </c>
      <c r="C281" s="1" t="s">
        <v>26</v>
      </c>
      <c r="D281" s="1" t="s">
        <v>12</v>
      </c>
      <c r="E281" s="16">
        <f>VLOOKUP(C281,收费标准!A$3:B$5,2,FALSE)</f>
        <v>2.5</v>
      </c>
      <c r="F281" s="2">
        <v>41788</v>
      </c>
      <c r="G281" s="4">
        <v>0.63477300000000003</v>
      </c>
      <c r="H281" s="2">
        <v>41788</v>
      </c>
      <c r="I281" s="4">
        <v>0.712557</v>
      </c>
      <c r="J281" s="29">
        <f t="shared" si="16"/>
        <v>7.7783999999999964E-2</v>
      </c>
      <c r="K281" s="16">
        <f t="shared" si="17"/>
        <v>20</v>
      </c>
      <c r="L281" s="17">
        <f t="shared" si="18"/>
        <v>17.5</v>
      </c>
      <c r="M281" s="17">
        <f t="shared" si="19"/>
        <v>-2.5</v>
      </c>
    </row>
    <row r="282" spans="1:13" ht="14.25" x14ac:dyDescent="0.15">
      <c r="A282" s="6">
        <v>281</v>
      </c>
      <c r="B282" s="1" t="s">
        <v>117</v>
      </c>
      <c r="C282" s="1" t="s">
        <v>11</v>
      </c>
      <c r="D282" s="1" t="s">
        <v>15</v>
      </c>
      <c r="E282" s="16">
        <f>VLOOKUP(C282,收费标准!A$3:B$5,2,FALSE)</f>
        <v>2</v>
      </c>
      <c r="F282" s="2">
        <v>41788</v>
      </c>
      <c r="G282" s="4">
        <v>0.65421899999999999</v>
      </c>
      <c r="H282" s="2">
        <v>41788</v>
      </c>
      <c r="I282" s="4">
        <v>0.72228000000000003</v>
      </c>
      <c r="J282" s="29">
        <f t="shared" si="16"/>
        <v>6.8061000000000038E-2</v>
      </c>
      <c r="K282" s="16">
        <f t="shared" si="17"/>
        <v>14</v>
      </c>
      <c r="L282" s="17">
        <f t="shared" si="18"/>
        <v>12</v>
      </c>
      <c r="M282" s="17">
        <f t="shared" si="19"/>
        <v>-2</v>
      </c>
    </row>
    <row r="283" spans="1:13" ht="14.25" x14ac:dyDescent="0.15">
      <c r="A283" s="6">
        <v>282</v>
      </c>
      <c r="B283" s="1" t="s">
        <v>174</v>
      </c>
      <c r="C283" s="1" t="s">
        <v>11</v>
      </c>
      <c r="D283" s="1" t="s">
        <v>22</v>
      </c>
      <c r="E283" s="16">
        <f>VLOOKUP(C283,收费标准!A$3:B$5,2,FALSE)</f>
        <v>2</v>
      </c>
      <c r="F283" s="2">
        <v>41788</v>
      </c>
      <c r="G283" s="4">
        <v>0.65908050000000007</v>
      </c>
      <c r="H283" s="2">
        <v>41788</v>
      </c>
      <c r="I283" s="4">
        <v>0.74450400000000005</v>
      </c>
      <c r="J283" s="29">
        <f t="shared" si="16"/>
        <v>8.5423499999999986E-2</v>
      </c>
      <c r="K283" s="16">
        <f t="shared" si="17"/>
        <v>18</v>
      </c>
      <c r="L283" s="17">
        <f t="shared" si="18"/>
        <v>16</v>
      </c>
      <c r="M283" s="17">
        <f t="shared" si="19"/>
        <v>-2</v>
      </c>
    </row>
    <row r="284" spans="1:13" ht="14.25" x14ac:dyDescent="0.15">
      <c r="A284" s="6">
        <v>283</v>
      </c>
      <c r="B284" s="1" t="s">
        <v>63</v>
      </c>
      <c r="C284" s="1" t="s">
        <v>14</v>
      </c>
      <c r="D284" s="1" t="s">
        <v>22</v>
      </c>
      <c r="E284" s="16">
        <f>VLOOKUP(C284,收费标准!A$3:B$5,2,FALSE)</f>
        <v>1.5</v>
      </c>
      <c r="F284" s="2">
        <v>41788</v>
      </c>
      <c r="G284" s="4">
        <v>0.72922500000000001</v>
      </c>
      <c r="H284" s="2">
        <v>41789</v>
      </c>
      <c r="I284" s="4">
        <v>0.23682450000000002</v>
      </c>
      <c r="J284" s="29">
        <f t="shared" si="16"/>
        <v>0.50759949999999998</v>
      </c>
      <c r="K284" s="16">
        <f t="shared" si="17"/>
        <v>73.5</v>
      </c>
      <c r="L284" s="17">
        <f t="shared" si="18"/>
        <v>72</v>
      </c>
      <c r="M284" s="17">
        <f t="shared" si="19"/>
        <v>-1.5</v>
      </c>
    </row>
    <row r="285" spans="1:13" ht="14.25" x14ac:dyDescent="0.15">
      <c r="A285" s="6">
        <v>284</v>
      </c>
      <c r="B285" s="1" t="s">
        <v>179</v>
      </c>
      <c r="C285" s="1" t="s">
        <v>26</v>
      </c>
      <c r="D285" s="1" t="s">
        <v>17</v>
      </c>
      <c r="E285" s="16">
        <f>VLOOKUP(C285,收费标准!A$3:B$5,2,FALSE)</f>
        <v>2.5</v>
      </c>
      <c r="F285" s="2">
        <v>41788</v>
      </c>
      <c r="G285" s="4">
        <v>0.75700500000000004</v>
      </c>
      <c r="H285" s="2">
        <v>41788</v>
      </c>
      <c r="I285" s="4">
        <v>0.77367300000000006</v>
      </c>
      <c r="J285" s="29">
        <f t="shared" si="16"/>
        <v>1.6668000000000016E-2</v>
      </c>
      <c r="K285" s="16">
        <f t="shared" si="17"/>
        <v>5</v>
      </c>
      <c r="L285" s="17">
        <f t="shared" si="18"/>
        <v>2.5</v>
      </c>
      <c r="M285" s="17">
        <f t="shared" si="19"/>
        <v>-2.5</v>
      </c>
    </row>
    <row r="286" spans="1:13" ht="14.25" x14ac:dyDescent="0.15">
      <c r="A286" s="6">
        <v>285</v>
      </c>
      <c r="B286" s="1" t="s">
        <v>111</v>
      </c>
      <c r="C286" s="1" t="s">
        <v>11</v>
      </c>
      <c r="D286" s="1" t="s">
        <v>15</v>
      </c>
      <c r="E286" s="16">
        <f>VLOOKUP(C286,收费标准!A$3:B$5,2,FALSE)</f>
        <v>2</v>
      </c>
      <c r="F286" s="2">
        <v>41788</v>
      </c>
      <c r="G286" s="4">
        <v>0.77436749999999999</v>
      </c>
      <c r="H286" s="2">
        <v>41788</v>
      </c>
      <c r="I286" s="4">
        <v>0.86465250000000005</v>
      </c>
      <c r="J286" s="29">
        <f t="shared" si="16"/>
        <v>9.028500000000006E-2</v>
      </c>
      <c r="K286" s="16">
        <f t="shared" si="17"/>
        <v>18</v>
      </c>
      <c r="L286" s="17">
        <f t="shared" si="18"/>
        <v>16</v>
      </c>
      <c r="M286" s="17">
        <f t="shared" si="19"/>
        <v>-2</v>
      </c>
    </row>
    <row r="287" spans="1:13" ht="14.25" x14ac:dyDescent="0.15">
      <c r="A287" s="6">
        <v>286</v>
      </c>
      <c r="B287" s="1" t="s">
        <v>104</v>
      </c>
      <c r="C287" s="1" t="s">
        <v>26</v>
      </c>
      <c r="D287" s="1" t="s">
        <v>22</v>
      </c>
      <c r="E287" s="16">
        <f>VLOOKUP(C287,收费标准!A$3:B$5,2,FALSE)</f>
        <v>2.5</v>
      </c>
      <c r="F287" s="2">
        <v>41788</v>
      </c>
      <c r="G287" s="4">
        <v>0.776451</v>
      </c>
      <c r="H287" s="2">
        <v>41788</v>
      </c>
      <c r="I287" s="4">
        <v>0.93618600000000007</v>
      </c>
      <c r="J287" s="29">
        <f t="shared" si="16"/>
        <v>0.15973500000000007</v>
      </c>
      <c r="K287" s="16">
        <f t="shared" si="17"/>
        <v>40</v>
      </c>
      <c r="L287" s="17">
        <f t="shared" si="18"/>
        <v>37.5</v>
      </c>
      <c r="M287" s="17">
        <f t="shared" si="19"/>
        <v>-2.5</v>
      </c>
    </row>
    <row r="288" spans="1:13" ht="14.25" x14ac:dyDescent="0.15">
      <c r="A288" s="6">
        <v>287</v>
      </c>
      <c r="B288" s="1" t="s">
        <v>144</v>
      </c>
      <c r="C288" s="1" t="s">
        <v>14</v>
      </c>
      <c r="D288" s="1" t="s">
        <v>17</v>
      </c>
      <c r="E288" s="16">
        <f>VLOOKUP(C288,收费标准!A$3:B$5,2,FALSE)</f>
        <v>1.5</v>
      </c>
      <c r="F288" s="2">
        <v>41788</v>
      </c>
      <c r="G288" s="4">
        <v>0.78061800000000003</v>
      </c>
      <c r="H288" s="2">
        <v>41789</v>
      </c>
      <c r="I288" s="4">
        <v>0.30905250000000001</v>
      </c>
      <c r="J288" s="29">
        <f t="shared" si="16"/>
        <v>0.52843449999999992</v>
      </c>
      <c r="K288" s="16">
        <f t="shared" si="17"/>
        <v>76.5</v>
      </c>
      <c r="L288" s="17">
        <f t="shared" si="18"/>
        <v>75</v>
      </c>
      <c r="M288" s="17">
        <f t="shared" si="19"/>
        <v>-1.5</v>
      </c>
    </row>
    <row r="289" spans="1:13" ht="14.25" x14ac:dyDescent="0.15">
      <c r="A289" s="6">
        <v>288</v>
      </c>
      <c r="B289" s="1" t="s">
        <v>175</v>
      </c>
      <c r="C289" s="1" t="s">
        <v>26</v>
      </c>
      <c r="D289" s="1" t="s">
        <v>22</v>
      </c>
      <c r="E289" s="16">
        <f>VLOOKUP(C289,收费标准!A$3:B$5,2,FALSE)</f>
        <v>2.5</v>
      </c>
      <c r="F289" s="2">
        <v>41788</v>
      </c>
      <c r="G289" s="4">
        <v>0.78061800000000003</v>
      </c>
      <c r="H289" s="2">
        <v>41788</v>
      </c>
      <c r="I289" s="4">
        <v>0.87576450000000006</v>
      </c>
      <c r="J289" s="29">
        <f t="shared" si="16"/>
        <v>9.5146500000000023E-2</v>
      </c>
      <c r="K289" s="16">
        <f t="shared" si="17"/>
        <v>25</v>
      </c>
      <c r="L289" s="17">
        <f t="shared" si="18"/>
        <v>22.5</v>
      </c>
      <c r="M289" s="17">
        <f t="shared" si="19"/>
        <v>-2.5</v>
      </c>
    </row>
    <row r="290" spans="1:13" ht="14.25" x14ac:dyDescent="0.15">
      <c r="A290" s="6">
        <v>289</v>
      </c>
      <c r="B290" s="1" t="s">
        <v>143</v>
      </c>
      <c r="C290" s="1" t="s">
        <v>14</v>
      </c>
      <c r="D290" s="1" t="s">
        <v>15</v>
      </c>
      <c r="E290" s="16">
        <f>VLOOKUP(C290,收费标准!A$3:B$5,2,FALSE)</f>
        <v>1.5</v>
      </c>
      <c r="F290" s="2">
        <v>41788</v>
      </c>
      <c r="G290" s="4">
        <v>0.79242449999999998</v>
      </c>
      <c r="H290" s="2">
        <v>41788</v>
      </c>
      <c r="I290" s="4">
        <v>0.945909</v>
      </c>
      <c r="J290" s="29">
        <f t="shared" si="16"/>
        <v>0.15348450000000002</v>
      </c>
      <c r="K290" s="16">
        <f t="shared" si="17"/>
        <v>22.5</v>
      </c>
      <c r="L290" s="17">
        <f t="shared" si="18"/>
        <v>21</v>
      </c>
      <c r="M290" s="17">
        <f t="shared" si="19"/>
        <v>-1.5</v>
      </c>
    </row>
    <row r="291" spans="1:13" ht="14.25" x14ac:dyDescent="0.15">
      <c r="A291" s="6">
        <v>290</v>
      </c>
      <c r="B291" s="1" t="s">
        <v>107</v>
      </c>
      <c r="C291" s="1" t="s">
        <v>11</v>
      </c>
      <c r="D291" s="1" t="s">
        <v>15</v>
      </c>
      <c r="E291" s="16">
        <f>VLOOKUP(C291,收费标准!A$3:B$5,2,FALSE)</f>
        <v>2</v>
      </c>
      <c r="F291" s="2">
        <v>41788</v>
      </c>
      <c r="G291" s="4">
        <v>0.79381350000000006</v>
      </c>
      <c r="H291" s="2">
        <v>41788</v>
      </c>
      <c r="I291" s="4">
        <v>0.91951800000000006</v>
      </c>
      <c r="J291" s="29">
        <f t="shared" si="16"/>
        <v>0.1257045</v>
      </c>
      <c r="K291" s="16">
        <f t="shared" si="17"/>
        <v>26</v>
      </c>
      <c r="L291" s="17">
        <f t="shared" si="18"/>
        <v>24</v>
      </c>
      <c r="M291" s="17">
        <f t="shared" si="19"/>
        <v>-2</v>
      </c>
    </row>
    <row r="292" spans="1:13" ht="14.25" x14ac:dyDescent="0.15">
      <c r="A292" s="6">
        <v>291</v>
      </c>
      <c r="B292" s="1" t="s">
        <v>71</v>
      </c>
      <c r="C292" s="1" t="s">
        <v>14</v>
      </c>
      <c r="D292" s="1" t="s">
        <v>17</v>
      </c>
      <c r="E292" s="16">
        <f>VLOOKUP(C292,收费标准!A$3:B$5,2,FALSE)</f>
        <v>1.5</v>
      </c>
      <c r="F292" s="2">
        <v>41788</v>
      </c>
      <c r="G292" s="4">
        <v>0.80423100000000003</v>
      </c>
      <c r="H292" s="2">
        <v>41788</v>
      </c>
      <c r="I292" s="4">
        <v>0.98688450000000005</v>
      </c>
      <c r="J292" s="29">
        <f t="shared" si="16"/>
        <v>0.18265350000000002</v>
      </c>
      <c r="K292" s="16">
        <f t="shared" si="17"/>
        <v>27</v>
      </c>
      <c r="L292" s="17">
        <f t="shared" si="18"/>
        <v>25.5</v>
      </c>
      <c r="M292" s="17">
        <f t="shared" si="19"/>
        <v>-1.5</v>
      </c>
    </row>
    <row r="293" spans="1:13" ht="14.25" x14ac:dyDescent="0.15">
      <c r="A293" s="6">
        <v>292</v>
      </c>
      <c r="B293" s="1" t="s">
        <v>177</v>
      </c>
      <c r="C293" s="1" t="s">
        <v>14</v>
      </c>
      <c r="D293" s="1" t="s">
        <v>12</v>
      </c>
      <c r="E293" s="16">
        <f>VLOOKUP(C293,收费标准!A$3:B$5,2,FALSE)</f>
        <v>1.5</v>
      </c>
      <c r="F293" s="2">
        <v>41788</v>
      </c>
      <c r="G293" s="4">
        <v>0.82992750000000004</v>
      </c>
      <c r="H293" s="2">
        <v>41788</v>
      </c>
      <c r="I293" s="4">
        <v>0.91812900000000008</v>
      </c>
      <c r="J293" s="29">
        <f t="shared" si="16"/>
        <v>8.8201500000000044E-2</v>
      </c>
      <c r="K293" s="16">
        <f t="shared" si="17"/>
        <v>13.5</v>
      </c>
      <c r="L293" s="17">
        <f t="shared" si="18"/>
        <v>12</v>
      </c>
      <c r="M293" s="17">
        <f t="shared" si="19"/>
        <v>-1.5</v>
      </c>
    </row>
    <row r="294" spans="1:13" ht="14.25" x14ac:dyDescent="0.15">
      <c r="A294" s="6">
        <v>293</v>
      </c>
      <c r="B294" s="1" t="s">
        <v>154</v>
      </c>
      <c r="C294" s="1" t="s">
        <v>11</v>
      </c>
      <c r="D294" s="1" t="s">
        <v>12</v>
      </c>
      <c r="E294" s="16">
        <f>VLOOKUP(C294,收费标准!A$3:B$5,2,FALSE)</f>
        <v>2</v>
      </c>
      <c r="F294" s="2">
        <v>41788</v>
      </c>
      <c r="G294" s="4">
        <v>0.89798850000000008</v>
      </c>
      <c r="H294" s="2">
        <v>41788</v>
      </c>
      <c r="I294" s="4">
        <v>0.95979900000000007</v>
      </c>
      <c r="J294" s="29">
        <f t="shared" si="16"/>
        <v>6.181049999999999E-2</v>
      </c>
      <c r="K294" s="16">
        <f t="shared" si="17"/>
        <v>12</v>
      </c>
      <c r="L294" s="17">
        <f t="shared" si="18"/>
        <v>10</v>
      </c>
      <c r="M294" s="17">
        <f t="shared" si="19"/>
        <v>-2</v>
      </c>
    </row>
    <row r="295" spans="1:13" ht="14.25" x14ac:dyDescent="0.15">
      <c r="A295" s="6">
        <v>294</v>
      </c>
      <c r="B295" s="1" t="s">
        <v>186</v>
      </c>
      <c r="C295" s="1" t="s">
        <v>26</v>
      </c>
      <c r="D295" s="1" t="s">
        <v>12</v>
      </c>
      <c r="E295" s="16">
        <f>VLOOKUP(C295,收费标准!A$3:B$5,2,FALSE)</f>
        <v>2.5</v>
      </c>
      <c r="F295" s="2">
        <v>41788</v>
      </c>
      <c r="G295" s="4">
        <v>0.94243650000000001</v>
      </c>
      <c r="H295" s="2">
        <v>41789</v>
      </c>
      <c r="I295" s="4">
        <v>0.60838199999999998</v>
      </c>
      <c r="J295" s="29">
        <f t="shared" si="16"/>
        <v>0.66594549999999997</v>
      </c>
      <c r="K295" s="16">
        <f t="shared" si="17"/>
        <v>160</v>
      </c>
      <c r="L295" s="17">
        <f t="shared" si="18"/>
        <v>157.5</v>
      </c>
      <c r="M295" s="17">
        <f t="shared" si="19"/>
        <v>-2.5</v>
      </c>
    </row>
    <row r="296" spans="1:13" ht="14.25" x14ac:dyDescent="0.15">
      <c r="A296" s="6">
        <v>295</v>
      </c>
      <c r="B296" s="1" t="s">
        <v>172</v>
      </c>
      <c r="C296" s="1" t="s">
        <v>11</v>
      </c>
      <c r="D296" s="1" t="s">
        <v>15</v>
      </c>
      <c r="E296" s="16">
        <f>VLOOKUP(C296,收费标准!A$3:B$5,2,FALSE)</f>
        <v>2</v>
      </c>
      <c r="F296" s="2">
        <v>41788</v>
      </c>
      <c r="G296" s="4">
        <v>0.95910450000000003</v>
      </c>
      <c r="H296" s="2">
        <v>41789</v>
      </c>
      <c r="I296" s="4">
        <v>0.52365300000000004</v>
      </c>
      <c r="J296" s="29">
        <f t="shared" si="16"/>
        <v>0.5645484999999999</v>
      </c>
      <c r="K296" s="16">
        <f t="shared" si="17"/>
        <v>110</v>
      </c>
      <c r="L296" s="17">
        <f t="shared" si="18"/>
        <v>108</v>
      </c>
      <c r="M296" s="17">
        <f t="shared" si="19"/>
        <v>-2</v>
      </c>
    </row>
    <row r="297" spans="1:13" ht="14.25" x14ac:dyDescent="0.15">
      <c r="A297" s="6">
        <v>296</v>
      </c>
      <c r="B297" s="1" t="s">
        <v>64</v>
      </c>
      <c r="C297" s="1" t="s">
        <v>14</v>
      </c>
      <c r="D297" s="1" t="s">
        <v>15</v>
      </c>
      <c r="E297" s="16">
        <f>VLOOKUP(C297,收费标准!A$3:B$5,2,FALSE)</f>
        <v>1.5</v>
      </c>
      <c r="F297" s="2">
        <v>41788</v>
      </c>
      <c r="G297" s="4">
        <v>0.97924500000000003</v>
      </c>
      <c r="H297" s="2">
        <v>41789</v>
      </c>
      <c r="I297" s="4">
        <v>0.44725799999999999</v>
      </c>
      <c r="J297" s="29">
        <f t="shared" si="16"/>
        <v>0.4680129999999999</v>
      </c>
      <c r="K297" s="16">
        <f t="shared" si="17"/>
        <v>67.5</v>
      </c>
      <c r="L297" s="17">
        <f t="shared" si="18"/>
        <v>66</v>
      </c>
      <c r="M297" s="17">
        <f t="shared" si="19"/>
        <v>-1.5</v>
      </c>
    </row>
    <row r="298" spans="1:13" ht="14.25" x14ac:dyDescent="0.15">
      <c r="A298" s="6">
        <v>297</v>
      </c>
      <c r="B298" s="1" t="s">
        <v>185</v>
      </c>
      <c r="C298" s="1" t="s">
        <v>26</v>
      </c>
      <c r="D298" s="1" t="s">
        <v>12</v>
      </c>
      <c r="E298" s="16">
        <f>VLOOKUP(C298,收费标准!A$3:B$5,2,FALSE)</f>
        <v>2.5</v>
      </c>
      <c r="F298" s="2">
        <v>41788</v>
      </c>
      <c r="G298" s="4">
        <v>0.98202299999999998</v>
      </c>
      <c r="H298" s="2">
        <v>41789</v>
      </c>
      <c r="I298" s="4">
        <v>0.48059400000000002</v>
      </c>
      <c r="J298" s="29">
        <f t="shared" si="16"/>
        <v>0.49857099999999999</v>
      </c>
      <c r="K298" s="16">
        <f t="shared" si="17"/>
        <v>120</v>
      </c>
      <c r="L298" s="17">
        <f t="shared" si="18"/>
        <v>117.5</v>
      </c>
      <c r="M298" s="17">
        <f t="shared" si="19"/>
        <v>-2.5</v>
      </c>
    </row>
    <row r="299" spans="1:13" ht="14.25" x14ac:dyDescent="0.15">
      <c r="A299" s="6">
        <v>298</v>
      </c>
      <c r="B299" s="1" t="s">
        <v>197</v>
      </c>
      <c r="C299" s="1" t="s">
        <v>14</v>
      </c>
      <c r="D299" s="1" t="s">
        <v>15</v>
      </c>
      <c r="E299" s="16">
        <f>VLOOKUP(C299,收费标准!A$3:B$5,2,FALSE)</f>
        <v>1.5</v>
      </c>
      <c r="F299" s="2">
        <v>41789</v>
      </c>
      <c r="G299" s="4">
        <v>6.9450000000000002E-4</v>
      </c>
      <c r="H299" s="2">
        <v>41789</v>
      </c>
      <c r="I299" s="4">
        <v>0.5632395</v>
      </c>
      <c r="J299" s="29">
        <f t="shared" si="16"/>
        <v>0.56254499999999996</v>
      </c>
      <c r="K299" s="16">
        <f t="shared" si="17"/>
        <v>82.5</v>
      </c>
      <c r="L299" s="17">
        <f t="shared" si="18"/>
        <v>81</v>
      </c>
      <c r="M299" s="17">
        <f t="shared" si="19"/>
        <v>-1.5</v>
      </c>
    </row>
    <row r="300" spans="1:13" ht="14.25" x14ac:dyDescent="0.15">
      <c r="A300" s="6">
        <v>299</v>
      </c>
      <c r="B300" s="1" t="s">
        <v>166</v>
      </c>
      <c r="C300" s="1" t="s">
        <v>11</v>
      </c>
      <c r="D300" s="1" t="s">
        <v>22</v>
      </c>
      <c r="E300" s="16">
        <f>VLOOKUP(C300,收费标准!A$3:B$5,2,FALSE)</f>
        <v>2</v>
      </c>
      <c r="F300" s="2">
        <v>41789</v>
      </c>
      <c r="G300" s="4">
        <v>9.0285000000000001E-3</v>
      </c>
      <c r="H300" s="2">
        <v>41789</v>
      </c>
      <c r="I300" s="4">
        <v>0.62782800000000005</v>
      </c>
      <c r="J300" s="29">
        <f t="shared" si="16"/>
        <v>0.61879950000000006</v>
      </c>
      <c r="K300" s="16">
        <f t="shared" si="17"/>
        <v>120</v>
      </c>
      <c r="L300" s="17">
        <f t="shared" si="18"/>
        <v>118</v>
      </c>
      <c r="M300" s="17">
        <f t="shared" si="19"/>
        <v>-2</v>
      </c>
    </row>
    <row r="301" spans="1:13" ht="14.25" x14ac:dyDescent="0.15">
      <c r="A301" s="6">
        <v>300</v>
      </c>
      <c r="B301" s="1" t="s">
        <v>190</v>
      </c>
      <c r="C301" s="1" t="s">
        <v>11</v>
      </c>
      <c r="D301" s="1" t="s">
        <v>12</v>
      </c>
      <c r="E301" s="16">
        <f>VLOOKUP(C301,收费标准!A$3:B$5,2,FALSE)</f>
        <v>2</v>
      </c>
      <c r="F301" s="2">
        <v>41789</v>
      </c>
      <c r="G301" s="4">
        <v>2.5696500000000001E-2</v>
      </c>
      <c r="H301" s="2">
        <v>41789</v>
      </c>
      <c r="I301" s="4">
        <v>0.19793250000000001</v>
      </c>
      <c r="J301" s="29">
        <f t="shared" si="16"/>
        <v>0.172236</v>
      </c>
      <c r="K301" s="16">
        <f t="shared" si="17"/>
        <v>34</v>
      </c>
      <c r="L301" s="17">
        <f t="shared" si="18"/>
        <v>32</v>
      </c>
      <c r="M301" s="17">
        <f t="shared" si="19"/>
        <v>-2</v>
      </c>
    </row>
    <row r="302" spans="1:13" ht="14.25" x14ac:dyDescent="0.15">
      <c r="A302" s="6">
        <v>301</v>
      </c>
      <c r="B302" s="1" t="s">
        <v>18</v>
      </c>
      <c r="C302" s="1" t="s">
        <v>14</v>
      </c>
      <c r="D302" s="1" t="s">
        <v>15</v>
      </c>
      <c r="E302" s="16">
        <f>VLOOKUP(C302,收费标准!A$3:B$5,2,FALSE)</f>
        <v>1.5</v>
      </c>
      <c r="F302" s="2">
        <v>41789</v>
      </c>
      <c r="G302" s="4">
        <v>2.6391000000000001E-2</v>
      </c>
      <c r="H302" s="2">
        <v>41789</v>
      </c>
      <c r="I302" s="4">
        <v>0.55698900000000007</v>
      </c>
      <c r="J302" s="29">
        <f t="shared" si="16"/>
        <v>0.53059800000000001</v>
      </c>
      <c r="K302" s="16">
        <f t="shared" si="17"/>
        <v>76.5</v>
      </c>
      <c r="L302" s="17">
        <f t="shared" si="18"/>
        <v>75</v>
      </c>
      <c r="M302" s="17">
        <f t="shared" si="19"/>
        <v>-1.5</v>
      </c>
    </row>
    <row r="303" spans="1:13" ht="14.25" x14ac:dyDescent="0.15">
      <c r="A303" s="6">
        <v>302</v>
      </c>
      <c r="B303" s="1" t="s">
        <v>134</v>
      </c>
      <c r="C303" s="1" t="s">
        <v>14</v>
      </c>
      <c r="D303" s="1" t="s">
        <v>15</v>
      </c>
      <c r="E303" s="16">
        <f>VLOOKUP(C303,收费标准!A$3:B$5,2,FALSE)</f>
        <v>1.5</v>
      </c>
      <c r="F303" s="2">
        <v>41789</v>
      </c>
      <c r="G303" s="4">
        <v>3.7503000000000002E-2</v>
      </c>
      <c r="H303" s="2">
        <v>41789</v>
      </c>
      <c r="I303" s="4">
        <v>0.25765949999999999</v>
      </c>
      <c r="J303" s="29">
        <f t="shared" si="16"/>
        <v>0.22015649999999998</v>
      </c>
      <c r="K303" s="16">
        <f t="shared" si="17"/>
        <v>33</v>
      </c>
      <c r="L303" s="17">
        <f t="shared" si="18"/>
        <v>31.5</v>
      </c>
      <c r="M303" s="17">
        <f t="shared" si="19"/>
        <v>-1.5</v>
      </c>
    </row>
    <row r="304" spans="1:13" ht="14.25" x14ac:dyDescent="0.15">
      <c r="A304" s="6">
        <v>303</v>
      </c>
      <c r="B304" s="1" t="s">
        <v>94</v>
      </c>
      <c r="C304" s="1" t="s">
        <v>11</v>
      </c>
      <c r="D304" s="1" t="s">
        <v>17</v>
      </c>
      <c r="E304" s="16">
        <f>VLOOKUP(C304,收费标准!A$3:B$5,2,FALSE)</f>
        <v>2</v>
      </c>
      <c r="F304" s="2">
        <v>41789</v>
      </c>
      <c r="G304" s="4">
        <v>7.2922500000000001E-2</v>
      </c>
      <c r="H304" s="2">
        <v>41789</v>
      </c>
      <c r="I304" s="4">
        <v>0.30210750000000003</v>
      </c>
      <c r="J304" s="29">
        <f t="shared" si="16"/>
        <v>0.22918500000000003</v>
      </c>
      <c r="K304" s="16">
        <f t="shared" si="17"/>
        <v>46</v>
      </c>
      <c r="L304" s="17">
        <f t="shared" si="18"/>
        <v>44</v>
      </c>
      <c r="M304" s="17">
        <f t="shared" si="19"/>
        <v>-2</v>
      </c>
    </row>
    <row r="305" spans="1:13" ht="14.25" x14ac:dyDescent="0.15">
      <c r="A305" s="6">
        <v>304</v>
      </c>
      <c r="B305" s="1" t="s">
        <v>64</v>
      </c>
      <c r="C305" s="1" t="s">
        <v>14</v>
      </c>
      <c r="D305" s="1" t="s">
        <v>15</v>
      </c>
      <c r="E305" s="16">
        <f>VLOOKUP(C305,收费标准!A$3:B$5,2,FALSE)</f>
        <v>1.5</v>
      </c>
      <c r="F305" s="2">
        <v>41789</v>
      </c>
      <c r="G305" s="4">
        <v>7.6395000000000005E-2</v>
      </c>
      <c r="H305" s="2">
        <v>41789</v>
      </c>
      <c r="I305" s="4">
        <v>0.76742250000000001</v>
      </c>
      <c r="J305" s="29">
        <f t="shared" si="16"/>
        <v>0.69102750000000002</v>
      </c>
      <c r="K305" s="16">
        <f t="shared" si="17"/>
        <v>100.5</v>
      </c>
      <c r="L305" s="17">
        <f t="shared" si="18"/>
        <v>99</v>
      </c>
      <c r="M305" s="17">
        <f t="shared" si="19"/>
        <v>-1.5</v>
      </c>
    </row>
    <row r="306" spans="1:13" ht="14.25" x14ac:dyDescent="0.15">
      <c r="A306" s="6">
        <v>305</v>
      </c>
      <c r="B306" s="1" t="s">
        <v>183</v>
      </c>
      <c r="C306" s="1" t="s">
        <v>14</v>
      </c>
      <c r="D306" s="1" t="s">
        <v>22</v>
      </c>
      <c r="E306" s="16">
        <f>VLOOKUP(C306,收费标准!A$3:B$5,2,FALSE)</f>
        <v>1.5</v>
      </c>
      <c r="F306" s="2">
        <v>41789</v>
      </c>
      <c r="G306" s="4">
        <v>0.1145925</v>
      </c>
      <c r="H306" s="2">
        <v>41789</v>
      </c>
      <c r="I306" s="4">
        <v>0.35072249999999999</v>
      </c>
      <c r="J306" s="29">
        <f t="shared" si="16"/>
        <v>0.23613000000000001</v>
      </c>
      <c r="K306" s="16">
        <f t="shared" si="17"/>
        <v>34.5</v>
      </c>
      <c r="L306" s="17">
        <f t="shared" si="18"/>
        <v>33</v>
      </c>
      <c r="M306" s="17">
        <f t="shared" si="19"/>
        <v>-1.5</v>
      </c>
    </row>
    <row r="307" spans="1:13" ht="14.25" x14ac:dyDescent="0.15">
      <c r="A307" s="6">
        <v>306</v>
      </c>
      <c r="B307" s="1" t="s">
        <v>195</v>
      </c>
      <c r="C307" s="1" t="s">
        <v>14</v>
      </c>
      <c r="D307" s="1" t="s">
        <v>22</v>
      </c>
      <c r="E307" s="16">
        <f>VLOOKUP(C307,收费标准!A$3:B$5,2,FALSE)</f>
        <v>1.5</v>
      </c>
      <c r="F307" s="2">
        <v>41789</v>
      </c>
      <c r="G307" s="4">
        <v>0.12917700000000001</v>
      </c>
      <c r="H307" s="2">
        <v>41789</v>
      </c>
      <c r="I307" s="4">
        <v>0.65491350000000004</v>
      </c>
      <c r="J307" s="29">
        <f t="shared" si="16"/>
        <v>0.52573650000000005</v>
      </c>
      <c r="K307" s="16">
        <f t="shared" si="17"/>
        <v>76.5</v>
      </c>
      <c r="L307" s="17">
        <f t="shared" si="18"/>
        <v>75</v>
      </c>
      <c r="M307" s="17">
        <f t="shared" si="19"/>
        <v>-1.5</v>
      </c>
    </row>
    <row r="308" spans="1:13" ht="14.25" x14ac:dyDescent="0.15">
      <c r="A308" s="6">
        <v>307</v>
      </c>
      <c r="B308" s="1" t="s">
        <v>116</v>
      </c>
      <c r="C308" s="1" t="s">
        <v>14</v>
      </c>
      <c r="D308" s="1" t="s">
        <v>12</v>
      </c>
      <c r="E308" s="16">
        <f>VLOOKUP(C308,收费标准!A$3:B$5,2,FALSE)</f>
        <v>1.5</v>
      </c>
      <c r="F308" s="2">
        <v>41789</v>
      </c>
      <c r="G308" s="4">
        <v>0.13056600000000002</v>
      </c>
      <c r="H308" s="2">
        <v>41789</v>
      </c>
      <c r="I308" s="4">
        <v>0.35975099999999999</v>
      </c>
      <c r="J308" s="29">
        <f t="shared" si="16"/>
        <v>0.22918499999999997</v>
      </c>
      <c r="K308" s="16">
        <f t="shared" si="17"/>
        <v>34.5</v>
      </c>
      <c r="L308" s="17">
        <f t="shared" si="18"/>
        <v>33</v>
      </c>
      <c r="M308" s="17">
        <f t="shared" si="19"/>
        <v>-1.5</v>
      </c>
    </row>
    <row r="309" spans="1:13" ht="14.25" x14ac:dyDescent="0.15">
      <c r="A309" s="6">
        <v>308</v>
      </c>
      <c r="B309" s="1" t="s">
        <v>118</v>
      </c>
      <c r="C309" s="1" t="s">
        <v>26</v>
      </c>
      <c r="D309" s="1" t="s">
        <v>22</v>
      </c>
      <c r="E309" s="16">
        <f>VLOOKUP(C309,收费标准!A$3:B$5,2,FALSE)</f>
        <v>2.5</v>
      </c>
      <c r="F309" s="2">
        <v>41789</v>
      </c>
      <c r="G309" s="4">
        <v>0.143067</v>
      </c>
      <c r="H309" s="2">
        <v>41789</v>
      </c>
      <c r="I309" s="4">
        <v>0.1812645</v>
      </c>
      <c r="J309" s="29">
        <f t="shared" si="16"/>
        <v>3.8197499999999995E-2</v>
      </c>
      <c r="K309" s="16">
        <f t="shared" si="17"/>
        <v>10</v>
      </c>
      <c r="L309" s="17">
        <f t="shared" si="18"/>
        <v>7.5</v>
      </c>
      <c r="M309" s="17">
        <f t="shared" si="19"/>
        <v>-2.5</v>
      </c>
    </row>
    <row r="310" spans="1:13" ht="14.25" x14ac:dyDescent="0.15">
      <c r="A310" s="6">
        <v>309</v>
      </c>
      <c r="B310" s="1" t="s">
        <v>110</v>
      </c>
      <c r="C310" s="1" t="s">
        <v>14</v>
      </c>
      <c r="D310" s="1" t="s">
        <v>17</v>
      </c>
      <c r="E310" s="16">
        <f>VLOOKUP(C310,收费标准!A$3:B$5,2,FALSE)</f>
        <v>1.5</v>
      </c>
      <c r="F310" s="2">
        <v>41789</v>
      </c>
      <c r="G310" s="4">
        <v>0.14376150000000001</v>
      </c>
      <c r="H310" s="2">
        <v>41789</v>
      </c>
      <c r="I310" s="4">
        <v>0.41531099999999999</v>
      </c>
      <c r="J310" s="29">
        <f t="shared" si="16"/>
        <v>0.2715495</v>
      </c>
      <c r="K310" s="16">
        <f t="shared" si="17"/>
        <v>40.5</v>
      </c>
      <c r="L310" s="17">
        <f t="shared" si="18"/>
        <v>39</v>
      </c>
      <c r="M310" s="17">
        <f t="shared" si="19"/>
        <v>-1.5</v>
      </c>
    </row>
    <row r="311" spans="1:13" ht="14.25" x14ac:dyDescent="0.15">
      <c r="A311" s="6">
        <v>310</v>
      </c>
      <c r="B311" s="1" t="s">
        <v>100</v>
      </c>
      <c r="C311" s="1" t="s">
        <v>26</v>
      </c>
      <c r="D311" s="1" t="s">
        <v>12</v>
      </c>
      <c r="E311" s="16">
        <f>VLOOKUP(C311,收费标准!A$3:B$5,2,FALSE)</f>
        <v>2.5</v>
      </c>
      <c r="F311" s="2">
        <v>41789</v>
      </c>
      <c r="G311" s="4">
        <v>0.145845</v>
      </c>
      <c r="H311" s="2">
        <v>41789</v>
      </c>
      <c r="I311" s="4">
        <v>0.37294650000000001</v>
      </c>
      <c r="J311" s="29">
        <f t="shared" si="16"/>
        <v>0.22710150000000001</v>
      </c>
      <c r="K311" s="16">
        <f t="shared" si="17"/>
        <v>55</v>
      </c>
      <c r="L311" s="17">
        <f t="shared" si="18"/>
        <v>52.5</v>
      </c>
      <c r="M311" s="17">
        <f t="shared" si="19"/>
        <v>-2.5</v>
      </c>
    </row>
    <row r="312" spans="1:13" ht="14.25" x14ac:dyDescent="0.15">
      <c r="A312" s="6">
        <v>311</v>
      </c>
      <c r="B312" s="1" t="s">
        <v>39</v>
      </c>
      <c r="C312" s="1" t="s">
        <v>11</v>
      </c>
      <c r="D312" s="1" t="s">
        <v>15</v>
      </c>
      <c r="E312" s="16">
        <f>VLOOKUP(C312,收费标准!A$3:B$5,2,FALSE)</f>
        <v>2</v>
      </c>
      <c r="F312" s="2">
        <v>41789</v>
      </c>
      <c r="G312" s="4">
        <v>0.1548735</v>
      </c>
      <c r="H312" s="2">
        <v>41789</v>
      </c>
      <c r="I312" s="4">
        <v>0.23613000000000001</v>
      </c>
      <c r="J312" s="29">
        <f t="shared" si="16"/>
        <v>8.1256500000000009E-2</v>
      </c>
      <c r="K312" s="16">
        <f t="shared" si="17"/>
        <v>16</v>
      </c>
      <c r="L312" s="17">
        <f t="shared" si="18"/>
        <v>14</v>
      </c>
      <c r="M312" s="17">
        <f t="shared" si="19"/>
        <v>-2</v>
      </c>
    </row>
    <row r="313" spans="1:13" ht="14.25" x14ac:dyDescent="0.15">
      <c r="A313" s="6">
        <v>312</v>
      </c>
      <c r="B313" s="1" t="s">
        <v>126</v>
      </c>
      <c r="C313" s="1" t="s">
        <v>14</v>
      </c>
      <c r="D313" s="1" t="s">
        <v>12</v>
      </c>
      <c r="E313" s="16">
        <f>VLOOKUP(C313,收费标准!A$3:B$5,2,FALSE)</f>
        <v>1.5</v>
      </c>
      <c r="F313" s="2">
        <v>41789</v>
      </c>
      <c r="G313" s="4">
        <v>0.15695700000000001</v>
      </c>
      <c r="H313" s="2">
        <v>41789</v>
      </c>
      <c r="I313" s="4">
        <v>0.59379749999999998</v>
      </c>
      <c r="J313" s="29">
        <f t="shared" si="16"/>
        <v>0.43684049999999996</v>
      </c>
      <c r="K313" s="16">
        <f t="shared" si="17"/>
        <v>63</v>
      </c>
      <c r="L313" s="17">
        <f t="shared" si="18"/>
        <v>61.5</v>
      </c>
      <c r="M313" s="17">
        <f t="shared" si="19"/>
        <v>-1.5</v>
      </c>
    </row>
    <row r="314" spans="1:13" ht="14.25" x14ac:dyDescent="0.15">
      <c r="A314" s="6">
        <v>313</v>
      </c>
      <c r="B314" s="1" t="s">
        <v>122</v>
      </c>
      <c r="C314" s="1" t="s">
        <v>14</v>
      </c>
      <c r="D314" s="1" t="s">
        <v>22</v>
      </c>
      <c r="E314" s="16">
        <f>VLOOKUP(C314,收费标准!A$3:B$5,2,FALSE)</f>
        <v>1.5</v>
      </c>
      <c r="F314" s="2">
        <v>41789</v>
      </c>
      <c r="G314" s="4">
        <v>0.1604295</v>
      </c>
      <c r="H314" s="2">
        <v>41789</v>
      </c>
      <c r="I314" s="4">
        <v>0.2409915</v>
      </c>
      <c r="J314" s="29">
        <f t="shared" si="16"/>
        <v>8.0561999999999995E-2</v>
      </c>
      <c r="K314" s="16">
        <f t="shared" si="17"/>
        <v>12</v>
      </c>
      <c r="L314" s="17">
        <f t="shared" si="18"/>
        <v>10.5</v>
      </c>
      <c r="M314" s="17">
        <f t="shared" si="19"/>
        <v>-1.5</v>
      </c>
    </row>
    <row r="315" spans="1:13" ht="14.25" x14ac:dyDescent="0.15">
      <c r="A315" s="6">
        <v>314</v>
      </c>
      <c r="B315" s="1" t="s">
        <v>19</v>
      </c>
      <c r="C315" s="1" t="s">
        <v>11</v>
      </c>
      <c r="D315" s="1" t="s">
        <v>17</v>
      </c>
      <c r="E315" s="16">
        <f>VLOOKUP(C315,收费标准!A$3:B$5,2,FALSE)</f>
        <v>2</v>
      </c>
      <c r="F315" s="2">
        <v>41789</v>
      </c>
      <c r="G315" s="4">
        <v>0.170847</v>
      </c>
      <c r="H315" s="2">
        <v>41789</v>
      </c>
      <c r="I315" s="4">
        <v>0.63755099999999998</v>
      </c>
      <c r="J315" s="29">
        <f t="shared" si="16"/>
        <v>0.46670400000000001</v>
      </c>
      <c r="K315" s="16">
        <f t="shared" si="17"/>
        <v>90</v>
      </c>
      <c r="L315" s="17">
        <f t="shared" si="18"/>
        <v>88</v>
      </c>
      <c r="M315" s="17">
        <f t="shared" si="19"/>
        <v>-2</v>
      </c>
    </row>
    <row r="316" spans="1:13" ht="14.25" x14ac:dyDescent="0.15">
      <c r="A316" s="6">
        <v>315</v>
      </c>
      <c r="B316" s="1" t="s">
        <v>176</v>
      </c>
      <c r="C316" s="1" t="s">
        <v>11</v>
      </c>
      <c r="D316" s="1" t="s">
        <v>17</v>
      </c>
      <c r="E316" s="16">
        <f>VLOOKUP(C316,收费标准!A$3:B$5,2,FALSE)</f>
        <v>2</v>
      </c>
      <c r="F316" s="2">
        <v>41789</v>
      </c>
      <c r="G316" s="4">
        <v>0.17918100000000001</v>
      </c>
      <c r="H316" s="2">
        <v>41789</v>
      </c>
      <c r="I316" s="4">
        <v>0.71880750000000004</v>
      </c>
      <c r="J316" s="29">
        <f t="shared" si="16"/>
        <v>0.53962650000000001</v>
      </c>
      <c r="K316" s="16">
        <f t="shared" si="17"/>
        <v>104</v>
      </c>
      <c r="L316" s="17">
        <f t="shared" si="18"/>
        <v>102</v>
      </c>
      <c r="M316" s="17">
        <f t="shared" si="19"/>
        <v>-2</v>
      </c>
    </row>
    <row r="317" spans="1:13" ht="14.25" x14ac:dyDescent="0.15">
      <c r="A317" s="6">
        <v>316</v>
      </c>
      <c r="B317" s="1" t="s">
        <v>37</v>
      </c>
      <c r="C317" s="1" t="s">
        <v>11</v>
      </c>
      <c r="D317" s="1" t="s">
        <v>12</v>
      </c>
      <c r="E317" s="16">
        <f>VLOOKUP(C317,收费标准!A$3:B$5,2,FALSE)</f>
        <v>2</v>
      </c>
      <c r="F317" s="2">
        <v>41789</v>
      </c>
      <c r="G317" s="4">
        <v>0.1868205</v>
      </c>
      <c r="H317" s="2">
        <v>41789</v>
      </c>
      <c r="I317" s="4">
        <v>0.28196700000000002</v>
      </c>
      <c r="J317" s="29">
        <f t="shared" si="16"/>
        <v>9.5146500000000023E-2</v>
      </c>
      <c r="K317" s="16">
        <f t="shared" si="17"/>
        <v>20</v>
      </c>
      <c r="L317" s="17">
        <f t="shared" si="18"/>
        <v>18</v>
      </c>
      <c r="M317" s="17">
        <f t="shared" si="19"/>
        <v>-2</v>
      </c>
    </row>
    <row r="318" spans="1:13" ht="14.25" x14ac:dyDescent="0.15">
      <c r="A318" s="6">
        <v>317</v>
      </c>
      <c r="B318" s="1" t="s">
        <v>181</v>
      </c>
      <c r="C318" s="1" t="s">
        <v>26</v>
      </c>
      <c r="D318" s="1" t="s">
        <v>15</v>
      </c>
      <c r="E318" s="16">
        <f>VLOOKUP(C318,收费标准!A$3:B$5,2,FALSE)</f>
        <v>2.5</v>
      </c>
      <c r="F318" s="2">
        <v>41789</v>
      </c>
      <c r="G318" s="4">
        <v>0.19237650000000001</v>
      </c>
      <c r="H318" s="2">
        <v>41789</v>
      </c>
      <c r="I318" s="4">
        <v>0.42364499999999999</v>
      </c>
      <c r="J318" s="29">
        <f t="shared" si="16"/>
        <v>0.23126849999999999</v>
      </c>
      <c r="K318" s="16">
        <f t="shared" si="17"/>
        <v>57.5</v>
      </c>
      <c r="L318" s="17">
        <f t="shared" si="18"/>
        <v>55</v>
      </c>
      <c r="M318" s="17">
        <f t="shared" si="19"/>
        <v>-2.5</v>
      </c>
    </row>
    <row r="319" spans="1:13" ht="14.25" x14ac:dyDescent="0.15">
      <c r="A319" s="6">
        <v>318</v>
      </c>
      <c r="B319" s="1" t="s">
        <v>45</v>
      </c>
      <c r="C319" s="1" t="s">
        <v>11</v>
      </c>
      <c r="D319" s="1" t="s">
        <v>22</v>
      </c>
      <c r="E319" s="16">
        <f>VLOOKUP(C319,收费标准!A$3:B$5,2,FALSE)</f>
        <v>2</v>
      </c>
      <c r="F319" s="2">
        <v>41789</v>
      </c>
      <c r="G319" s="4">
        <v>0.19307099999999999</v>
      </c>
      <c r="H319" s="2">
        <v>41789</v>
      </c>
      <c r="I319" s="4">
        <v>0.27363300000000002</v>
      </c>
      <c r="J319" s="29">
        <f t="shared" si="16"/>
        <v>8.0562000000000022E-2</v>
      </c>
      <c r="K319" s="16">
        <f t="shared" si="17"/>
        <v>16</v>
      </c>
      <c r="L319" s="17">
        <f t="shared" si="18"/>
        <v>14</v>
      </c>
      <c r="M319" s="17">
        <f t="shared" si="19"/>
        <v>-2</v>
      </c>
    </row>
    <row r="320" spans="1:13" ht="14.25" x14ac:dyDescent="0.15">
      <c r="A320" s="6">
        <v>319</v>
      </c>
      <c r="B320" s="1" t="s">
        <v>192</v>
      </c>
      <c r="C320" s="1" t="s">
        <v>26</v>
      </c>
      <c r="D320" s="1" t="s">
        <v>22</v>
      </c>
      <c r="E320" s="16">
        <f>VLOOKUP(C320,收费标准!A$3:B$5,2,FALSE)</f>
        <v>2.5</v>
      </c>
      <c r="F320" s="2">
        <v>41789</v>
      </c>
      <c r="G320" s="4">
        <v>0.19793250000000001</v>
      </c>
      <c r="H320" s="2">
        <v>41789</v>
      </c>
      <c r="I320" s="4">
        <v>0.37225200000000003</v>
      </c>
      <c r="J320" s="29">
        <f t="shared" si="16"/>
        <v>0.17431950000000002</v>
      </c>
      <c r="K320" s="16">
        <f t="shared" si="17"/>
        <v>42.5</v>
      </c>
      <c r="L320" s="17">
        <f t="shared" si="18"/>
        <v>40</v>
      </c>
      <c r="M320" s="17">
        <f t="shared" si="19"/>
        <v>-2.5</v>
      </c>
    </row>
    <row r="321" spans="1:13" ht="14.25" x14ac:dyDescent="0.15">
      <c r="A321" s="6">
        <v>320</v>
      </c>
      <c r="B321" s="1" t="s">
        <v>113</v>
      </c>
      <c r="C321" s="1" t="s">
        <v>26</v>
      </c>
      <c r="D321" s="1" t="s">
        <v>17</v>
      </c>
      <c r="E321" s="16">
        <f>VLOOKUP(C321,收费标准!A$3:B$5,2,FALSE)</f>
        <v>2.5</v>
      </c>
      <c r="F321" s="2">
        <v>41789</v>
      </c>
      <c r="G321" s="4">
        <v>0.2118225</v>
      </c>
      <c r="H321" s="2">
        <v>41789</v>
      </c>
      <c r="I321" s="4">
        <v>0.90562799999999999</v>
      </c>
      <c r="J321" s="29">
        <f t="shared" si="16"/>
        <v>0.69380549999999996</v>
      </c>
      <c r="K321" s="16">
        <f t="shared" si="17"/>
        <v>167.5</v>
      </c>
      <c r="L321" s="17">
        <f t="shared" si="18"/>
        <v>165</v>
      </c>
      <c r="M321" s="17">
        <f t="shared" si="19"/>
        <v>-2.5</v>
      </c>
    </row>
    <row r="322" spans="1:13" ht="14.25" x14ac:dyDescent="0.15">
      <c r="A322" s="6">
        <v>321</v>
      </c>
      <c r="B322" s="1" t="s">
        <v>101</v>
      </c>
      <c r="C322" s="1" t="s">
        <v>11</v>
      </c>
      <c r="D322" s="1" t="s">
        <v>22</v>
      </c>
      <c r="E322" s="16">
        <f>VLOOKUP(C322,收费标准!A$3:B$5,2,FALSE)</f>
        <v>2</v>
      </c>
      <c r="F322" s="2">
        <v>41789</v>
      </c>
      <c r="G322" s="4">
        <v>0.2132115</v>
      </c>
      <c r="H322" s="2">
        <v>41789</v>
      </c>
      <c r="I322" s="4">
        <v>0.78756300000000001</v>
      </c>
      <c r="J322" s="29">
        <f t="shared" si="16"/>
        <v>0.57435150000000001</v>
      </c>
      <c r="K322" s="16">
        <f t="shared" si="17"/>
        <v>112</v>
      </c>
      <c r="L322" s="17">
        <f t="shared" si="18"/>
        <v>110</v>
      </c>
      <c r="M322" s="17">
        <f t="shared" si="19"/>
        <v>-2</v>
      </c>
    </row>
    <row r="323" spans="1:13" ht="14.25" x14ac:dyDescent="0.15">
      <c r="A323" s="6">
        <v>322</v>
      </c>
      <c r="B323" s="1" t="s">
        <v>191</v>
      </c>
      <c r="C323" s="1" t="s">
        <v>26</v>
      </c>
      <c r="D323" s="1" t="s">
        <v>17</v>
      </c>
      <c r="E323" s="16">
        <f>VLOOKUP(C323,收费标准!A$3:B$5,2,FALSE)</f>
        <v>2.5</v>
      </c>
      <c r="F323" s="2">
        <v>41789</v>
      </c>
      <c r="G323" s="4">
        <v>0.227796</v>
      </c>
      <c r="H323" s="2">
        <v>41789</v>
      </c>
      <c r="I323" s="4">
        <v>0.3590565</v>
      </c>
      <c r="J323" s="29">
        <f t="shared" ref="J323:J386" si="20">H323-F323+I323-G323</f>
        <v>0.1312605</v>
      </c>
      <c r="K323" s="16">
        <f t="shared" ref="K323:K386" si="21">ROUNDUP(J323*60*24/15,0)*E323</f>
        <v>32.5</v>
      </c>
      <c r="L323" s="17">
        <f t="shared" ref="L323:L386" si="22">ROUNDDOWN(J323*60*24/15,0)*E323</f>
        <v>30</v>
      </c>
      <c r="M323" s="17">
        <f t="shared" ref="M323:M386" si="23">L323-K323</f>
        <v>-2.5</v>
      </c>
    </row>
    <row r="324" spans="1:13" ht="14.25" x14ac:dyDescent="0.15">
      <c r="A324" s="6">
        <v>323</v>
      </c>
      <c r="B324" s="1" t="s">
        <v>82</v>
      </c>
      <c r="C324" s="1" t="s">
        <v>14</v>
      </c>
      <c r="D324" s="1" t="s">
        <v>12</v>
      </c>
      <c r="E324" s="16">
        <f>VLOOKUP(C324,收费标准!A$3:B$5,2,FALSE)</f>
        <v>1.5</v>
      </c>
      <c r="F324" s="2">
        <v>41789</v>
      </c>
      <c r="G324" s="4">
        <v>0.23682450000000002</v>
      </c>
      <c r="H324" s="2">
        <v>41789</v>
      </c>
      <c r="I324" s="4">
        <v>0.61393799999999998</v>
      </c>
      <c r="J324" s="29">
        <f t="shared" si="20"/>
        <v>0.37711349999999999</v>
      </c>
      <c r="K324" s="16">
        <f t="shared" si="21"/>
        <v>55.5</v>
      </c>
      <c r="L324" s="17">
        <f t="shared" si="22"/>
        <v>54</v>
      </c>
      <c r="M324" s="17">
        <f t="shared" si="23"/>
        <v>-1.5</v>
      </c>
    </row>
    <row r="325" spans="1:13" ht="14.25" x14ac:dyDescent="0.15">
      <c r="A325" s="6">
        <v>324</v>
      </c>
      <c r="B325" s="1" t="s">
        <v>112</v>
      </c>
      <c r="C325" s="1" t="s">
        <v>26</v>
      </c>
      <c r="D325" s="1" t="s">
        <v>17</v>
      </c>
      <c r="E325" s="16">
        <f>VLOOKUP(C325,收费标准!A$3:B$5,2,FALSE)</f>
        <v>2.5</v>
      </c>
      <c r="F325" s="2">
        <v>41789</v>
      </c>
      <c r="G325" s="4">
        <v>0.23682450000000002</v>
      </c>
      <c r="H325" s="2">
        <v>41789</v>
      </c>
      <c r="I325" s="4">
        <v>0.43128450000000002</v>
      </c>
      <c r="J325" s="29">
        <f t="shared" si="20"/>
        <v>0.19445999999999999</v>
      </c>
      <c r="K325" s="16">
        <f t="shared" si="21"/>
        <v>47.5</v>
      </c>
      <c r="L325" s="17">
        <f t="shared" si="22"/>
        <v>45</v>
      </c>
      <c r="M325" s="17">
        <f t="shared" si="23"/>
        <v>-2.5</v>
      </c>
    </row>
    <row r="326" spans="1:13" ht="14.25" x14ac:dyDescent="0.15">
      <c r="A326" s="6">
        <v>325</v>
      </c>
      <c r="B326" s="1" t="s">
        <v>196</v>
      </c>
      <c r="C326" s="1" t="s">
        <v>11</v>
      </c>
      <c r="D326" s="1" t="s">
        <v>12</v>
      </c>
      <c r="E326" s="16">
        <f>VLOOKUP(C326,收费标准!A$3:B$5,2,FALSE)</f>
        <v>2</v>
      </c>
      <c r="F326" s="2">
        <v>41789</v>
      </c>
      <c r="G326" s="4">
        <v>0.24307500000000001</v>
      </c>
      <c r="H326" s="2">
        <v>41789</v>
      </c>
      <c r="I326" s="4">
        <v>0.33822150000000001</v>
      </c>
      <c r="J326" s="29">
        <f t="shared" si="20"/>
        <v>9.5146499999999995E-2</v>
      </c>
      <c r="K326" s="16">
        <f t="shared" si="21"/>
        <v>20</v>
      </c>
      <c r="L326" s="17">
        <f t="shared" si="22"/>
        <v>18</v>
      </c>
      <c r="M326" s="17">
        <f t="shared" si="23"/>
        <v>-2</v>
      </c>
    </row>
    <row r="327" spans="1:13" ht="14.25" x14ac:dyDescent="0.15">
      <c r="A327" s="6">
        <v>326</v>
      </c>
      <c r="B327" s="1" t="s">
        <v>102</v>
      </c>
      <c r="C327" s="1" t="s">
        <v>26</v>
      </c>
      <c r="D327" s="1" t="s">
        <v>15</v>
      </c>
      <c r="E327" s="16">
        <f>VLOOKUP(C327,收费标准!A$3:B$5,2,FALSE)</f>
        <v>2.5</v>
      </c>
      <c r="F327" s="2">
        <v>41789</v>
      </c>
      <c r="G327" s="4">
        <v>0.2479365</v>
      </c>
      <c r="H327" s="2">
        <v>41789</v>
      </c>
      <c r="I327" s="4">
        <v>0.25627050000000001</v>
      </c>
      <c r="J327" s="29">
        <f t="shared" si="20"/>
        <v>8.3340000000000081E-3</v>
      </c>
      <c r="K327" s="16">
        <f t="shared" si="21"/>
        <v>2.5</v>
      </c>
      <c r="L327" s="17">
        <f t="shared" si="22"/>
        <v>0</v>
      </c>
      <c r="M327" s="17">
        <f t="shared" si="23"/>
        <v>-2.5</v>
      </c>
    </row>
    <row r="328" spans="1:13" ht="14.25" x14ac:dyDescent="0.15">
      <c r="A328" s="6">
        <v>327</v>
      </c>
      <c r="B328" s="1" t="s">
        <v>193</v>
      </c>
      <c r="C328" s="1" t="s">
        <v>26</v>
      </c>
      <c r="D328" s="1" t="s">
        <v>12</v>
      </c>
      <c r="E328" s="16">
        <f>VLOOKUP(C328,收费标准!A$3:B$5,2,FALSE)</f>
        <v>2.5</v>
      </c>
      <c r="F328" s="2">
        <v>41789</v>
      </c>
      <c r="G328" s="4">
        <v>0.25765949999999999</v>
      </c>
      <c r="H328" s="2">
        <v>41789</v>
      </c>
      <c r="I328" s="4">
        <v>0.46045350000000002</v>
      </c>
      <c r="J328" s="29">
        <f t="shared" si="20"/>
        <v>0.20279400000000003</v>
      </c>
      <c r="K328" s="16">
        <f t="shared" si="21"/>
        <v>50</v>
      </c>
      <c r="L328" s="17">
        <f t="shared" si="22"/>
        <v>47.5</v>
      </c>
      <c r="M328" s="17">
        <f t="shared" si="23"/>
        <v>-2.5</v>
      </c>
    </row>
    <row r="329" spans="1:13" ht="14.25" x14ac:dyDescent="0.15">
      <c r="A329" s="6">
        <v>328</v>
      </c>
      <c r="B329" s="1" t="s">
        <v>57</v>
      </c>
      <c r="C329" s="1" t="s">
        <v>11</v>
      </c>
      <c r="D329" s="1" t="s">
        <v>15</v>
      </c>
      <c r="E329" s="16">
        <f>VLOOKUP(C329,收费标准!A$3:B$5,2,FALSE)</f>
        <v>2</v>
      </c>
      <c r="F329" s="2">
        <v>41789</v>
      </c>
      <c r="G329" s="4">
        <v>0.26807700000000001</v>
      </c>
      <c r="H329" s="2">
        <v>41789</v>
      </c>
      <c r="I329" s="4">
        <v>0.60004800000000003</v>
      </c>
      <c r="J329" s="29">
        <f t="shared" si="20"/>
        <v>0.33197100000000002</v>
      </c>
      <c r="K329" s="16">
        <f t="shared" si="21"/>
        <v>64</v>
      </c>
      <c r="L329" s="17">
        <f t="shared" si="22"/>
        <v>62</v>
      </c>
      <c r="M329" s="17">
        <f t="shared" si="23"/>
        <v>-2</v>
      </c>
    </row>
    <row r="330" spans="1:13" ht="14.25" x14ac:dyDescent="0.15">
      <c r="A330" s="6">
        <v>329</v>
      </c>
      <c r="B330" s="1" t="s">
        <v>137</v>
      </c>
      <c r="C330" s="1" t="s">
        <v>11</v>
      </c>
      <c r="D330" s="1" t="s">
        <v>17</v>
      </c>
      <c r="E330" s="16">
        <f>VLOOKUP(C330,收费标准!A$3:B$5,2,FALSE)</f>
        <v>2</v>
      </c>
      <c r="F330" s="2">
        <v>41789</v>
      </c>
      <c r="G330" s="4">
        <v>0.2771055</v>
      </c>
      <c r="H330" s="2">
        <v>41789</v>
      </c>
      <c r="I330" s="4">
        <v>0.65283000000000002</v>
      </c>
      <c r="J330" s="29">
        <f t="shared" si="20"/>
        <v>0.37572450000000002</v>
      </c>
      <c r="K330" s="16">
        <f t="shared" si="21"/>
        <v>74</v>
      </c>
      <c r="L330" s="17">
        <f t="shared" si="22"/>
        <v>72</v>
      </c>
      <c r="M330" s="17">
        <f t="shared" si="23"/>
        <v>-2</v>
      </c>
    </row>
    <row r="331" spans="1:13" ht="14.25" x14ac:dyDescent="0.15">
      <c r="A331" s="6">
        <v>330</v>
      </c>
      <c r="B331" s="1" t="s">
        <v>31</v>
      </c>
      <c r="C331" s="1" t="s">
        <v>11</v>
      </c>
      <c r="D331" s="1" t="s">
        <v>17</v>
      </c>
      <c r="E331" s="16">
        <f>VLOOKUP(C331,收费标准!A$3:B$5,2,FALSE)</f>
        <v>2</v>
      </c>
      <c r="F331" s="2">
        <v>41789</v>
      </c>
      <c r="G331" s="4">
        <v>0.28057799999999999</v>
      </c>
      <c r="H331" s="2">
        <v>41789</v>
      </c>
      <c r="I331" s="4">
        <v>0.63338400000000006</v>
      </c>
      <c r="J331" s="29">
        <f t="shared" si="20"/>
        <v>0.35280600000000006</v>
      </c>
      <c r="K331" s="16">
        <f t="shared" si="21"/>
        <v>68</v>
      </c>
      <c r="L331" s="17">
        <f t="shared" si="22"/>
        <v>66</v>
      </c>
      <c r="M331" s="17">
        <f t="shared" si="23"/>
        <v>-2</v>
      </c>
    </row>
    <row r="332" spans="1:13" ht="14.25" x14ac:dyDescent="0.15">
      <c r="A332" s="6">
        <v>331</v>
      </c>
      <c r="B332" s="1" t="s">
        <v>121</v>
      </c>
      <c r="C332" s="1" t="s">
        <v>11</v>
      </c>
      <c r="D332" s="1" t="s">
        <v>12</v>
      </c>
      <c r="E332" s="16">
        <f>VLOOKUP(C332,收费标准!A$3:B$5,2,FALSE)</f>
        <v>2</v>
      </c>
      <c r="F332" s="2">
        <v>41789</v>
      </c>
      <c r="G332" s="4">
        <v>0.31669200000000003</v>
      </c>
      <c r="H332" s="2">
        <v>41789</v>
      </c>
      <c r="I332" s="4">
        <v>0.94660350000000004</v>
      </c>
      <c r="J332" s="29">
        <f t="shared" si="20"/>
        <v>0.62991149999999996</v>
      </c>
      <c r="K332" s="16">
        <f t="shared" si="21"/>
        <v>122</v>
      </c>
      <c r="L332" s="17">
        <f t="shared" si="22"/>
        <v>120</v>
      </c>
      <c r="M332" s="17">
        <f t="shared" si="23"/>
        <v>-2</v>
      </c>
    </row>
    <row r="333" spans="1:13" ht="14.25" x14ac:dyDescent="0.15">
      <c r="A333" s="6">
        <v>332</v>
      </c>
      <c r="B333" s="1" t="s">
        <v>180</v>
      </c>
      <c r="C333" s="1" t="s">
        <v>14</v>
      </c>
      <c r="D333" s="1" t="s">
        <v>17</v>
      </c>
      <c r="E333" s="16">
        <f>VLOOKUP(C333,收费标准!A$3:B$5,2,FALSE)</f>
        <v>1.5</v>
      </c>
      <c r="F333" s="2">
        <v>41789</v>
      </c>
      <c r="G333" s="4">
        <v>0.33335999999999999</v>
      </c>
      <c r="H333" s="2">
        <v>41789</v>
      </c>
      <c r="I333" s="4">
        <v>0.370863</v>
      </c>
      <c r="J333" s="29">
        <f t="shared" si="20"/>
        <v>3.7503000000000009E-2</v>
      </c>
      <c r="K333" s="16">
        <f t="shared" si="21"/>
        <v>6</v>
      </c>
      <c r="L333" s="17">
        <f t="shared" si="22"/>
        <v>4.5</v>
      </c>
      <c r="M333" s="17">
        <f t="shared" si="23"/>
        <v>-1.5</v>
      </c>
    </row>
    <row r="334" spans="1:13" ht="14.25" x14ac:dyDescent="0.15">
      <c r="A334" s="6">
        <v>333</v>
      </c>
      <c r="B334" s="1" t="s">
        <v>16</v>
      </c>
      <c r="C334" s="1" t="s">
        <v>14</v>
      </c>
      <c r="D334" s="1" t="s">
        <v>17</v>
      </c>
      <c r="E334" s="16">
        <f>VLOOKUP(C334,收费标准!A$3:B$5,2,FALSE)</f>
        <v>1.5</v>
      </c>
      <c r="F334" s="2">
        <v>41789</v>
      </c>
      <c r="G334" s="4">
        <v>0.36252899999999999</v>
      </c>
      <c r="H334" s="2">
        <v>41789</v>
      </c>
      <c r="I334" s="4">
        <v>0.42433950000000004</v>
      </c>
      <c r="J334" s="29">
        <f t="shared" si="20"/>
        <v>6.1810500000000046E-2</v>
      </c>
      <c r="K334" s="16">
        <f t="shared" si="21"/>
        <v>9</v>
      </c>
      <c r="L334" s="17">
        <f t="shared" si="22"/>
        <v>7.5</v>
      </c>
      <c r="M334" s="17">
        <f t="shared" si="23"/>
        <v>-1.5</v>
      </c>
    </row>
    <row r="335" spans="1:13" ht="14.25" x14ac:dyDescent="0.15">
      <c r="A335" s="6">
        <v>334</v>
      </c>
      <c r="B335" s="1" t="s">
        <v>25</v>
      </c>
      <c r="C335" s="1" t="s">
        <v>26</v>
      </c>
      <c r="D335" s="1" t="s">
        <v>15</v>
      </c>
      <c r="E335" s="16">
        <f>VLOOKUP(C335,收费标准!A$3:B$5,2,FALSE)</f>
        <v>2.5</v>
      </c>
      <c r="F335" s="2">
        <v>41789</v>
      </c>
      <c r="G335" s="4">
        <v>0.36530699999999999</v>
      </c>
      <c r="H335" s="2">
        <v>41789</v>
      </c>
      <c r="I335" s="4">
        <v>0.71672400000000003</v>
      </c>
      <c r="J335" s="29">
        <f t="shared" si="20"/>
        <v>0.35141700000000003</v>
      </c>
      <c r="K335" s="16">
        <f t="shared" si="21"/>
        <v>85</v>
      </c>
      <c r="L335" s="17">
        <f t="shared" si="22"/>
        <v>82.5</v>
      </c>
      <c r="M335" s="17">
        <f t="shared" si="23"/>
        <v>-2.5</v>
      </c>
    </row>
    <row r="336" spans="1:13" ht="14.25" x14ac:dyDescent="0.15">
      <c r="A336" s="6">
        <v>335</v>
      </c>
      <c r="B336" s="1" t="s">
        <v>70</v>
      </c>
      <c r="C336" s="1" t="s">
        <v>26</v>
      </c>
      <c r="D336" s="1" t="s">
        <v>22</v>
      </c>
      <c r="E336" s="16">
        <f>VLOOKUP(C336,收费标准!A$3:B$5,2,FALSE)</f>
        <v>2.5</v>
      </c>
      <c r="F336" s="2">
        <v>41789</v>
      </c>
      <c r="G336" s="4">
        <v>0.36600150000000004</v>
      </c>
      <c r="H336" s="2">
        <v>41789</v>
      </c>
      <c r="I336" s="4">
        <v>0.77297850000000001</v>
      </c>
      <c r="J336" s="29">
        <f t="shared" si="20"/>
        <v>0.40697699999999998</v>
      </c>
      <c r="K336" s="16">
        <f t="shared" si="21"/>
        <v>100</v>
      </c>
      <c r="L336" s="17">
        <f t="shared" si="22"/>
        <v>97.5</v>
      </c>
      <c r="M336" s="17">
        <f t="shared" si="23"/>
        <v>-2.5</v>
      </c>
    </row>
    <row r="337" spans="1:13" ht="14.25" x14ac:dyDescent="0.15">
      <c r="A337" s="6">
        <v>336</v>
      </c>
      <c r="B337" s="1" t="s">
        <v>186</v>
      </c>
      <c r="C337" s="1" t="s">
        <v>26</v>
      </c>
      <c r="D337" s="1" t="s">
        <v>12</v>
      </c>
      <c r="E337" s="16">
        <f>VLOOKUP(C337,收费标准!A$3:B$5,2,FALSE)</f>
        <v>2.5</v>
      </c>
      <c r="F337" s="2">
        <v>41789</v>
      </c>
      <c r="G337" s="4">
        <v>0.36739050000000001</v>
      </c>
      <c r="H337" s="2">
        <v>41789</v>
      </c>
      <c r="I337" s="4">
        <v>0.78825750000000006</v>
      </c>
      <c r="J337" s="29">
        <f t="shared" si="20"/>
        <v>0.42086700000000005</v>
      </c>
      <c r="K337" s="16">
        <f t="shared" si="21"/>
        <v>102.5</v>
      </c>
      <c r="L337" s="17">
        <f t="shared" si="22"/>
        <v>100</v>
      </c>
      <c r="M337" s="17">
        <f t="shared" si="23"/>
        <v>-2.5</v>
      </c>
    </row>
    <row r="338" spans="1:13" ht="14.25" x14ac:dyDescent="0.15">
      <c r="A338" s="6">
        <v>337</v>
      </c>
      <c r="B338" s="1" t="s">
        <v>189</v>
      </c>
      <c r="C338" s="1" t="s">
        <v>14</v>
      </c>
      <c r="D338" s="1" t="s">
        <v>15</v>
      </c>
      <c r="E338" s="16">
        <f>VLOOKUP(C338,收费标准!A$3:B$5,2,FALSE)</f>
        <v>1.5</v>
      </c>
      <c r="F338" s="2">
        <v>41789</v>
      </c>
      <c r="G338" s="4">
        <v>0.37155749999999999</v>
      </c>
      <c r="H338" s="2">
        <v>41789</v>
      </c>
      <c r="I338" s="4">
        <v>0.64241250000000005</v>
      </c>
      <c r="J338" s="29">
        <f t="shared" si="20"/>
        <v>0.27085500000000007</v>
      </c>
      <c r="K338" s="16">
        <f t="shared" si="21"/>
        <v>40.5</v>
      </c>
      <c r="L338" s="17">
        <f t="shared" si="22"/>
        <v>39</v>
      </c>
      <c r="M338" s="17">
        <f t="shared" si="23"/>
        <v>-1.5</v>
      </c>
    </row>
    <row r="339" spans="1:13" ht="14.25" x14ac:dyDescent="0.15">
      <c r="A339" s="6">
        <v>338</v>
      </c>
      <c r="B339" s="1" t="s">
        <v>35</v>
      </c>
      <c r="C339" s="1" t="s">
        <v>14</v>
      </c>
      <c r="D339" s="1" t="s">
        <v>17</v>
      </c>
      <c r="E339" s="16">
        <f>VLOOKUP(C339,收费标准!A$3:B$5,2,FALSE)</f>
        <v>1.5</v>
      </c>
      <c r="F339" s="2">
        <v>41789</v>
      </c>
      <c r="G339" s="4">
        <v>0.39030900000000002</v>
      </c>
      <c r="H339" s="2">
        <v>41789</v>
      </c>
      <c r="I339" s="4">
        <v>0.48406650000000001</v>
      </c>
      <c r="J339" s="29">
        <f t="shared" si="20"/>
        <v>9.3757499999999994E-2</v>
      </c>
      <c r="K339" s="16">
        <f t="shared" si="21"/>
        <v>15</v>
      </c>
      <c r="L339" s="17">
        <f t="shared" si="22"/>
        <v>13.5</v>
      </c>
      <c r="M339" s="17">
        <f t="shared" si="23"/>
        <v>-1.5</v>
      </c>
    </row>
    <row r="340" spans="1:13" ht="14.25" x14ac:dyDescent="0.15">
      <c r="A340" s="6">
        <v>339</v>
      </c>
      <c r="B340" s="1" t="s">
        <v>46</v>
      </c>
      <c r="C340" s="1" t="s">
        <v>14</v>
      </c>
      <c r="D340" s="1" t="s">
        <v>17</v>
      </c>
      <c r="E340" s="16">
        <f>VLOOKUP(C340,收费标准!A$3:B$5,2,FALSE)</f>
        <v>1.5</v>
      </c>
      <c r="F340" s="2">
        <v>41789</v>
      </c>
      <c r="G340" s="4">
        <v>0.39517050000000004</v>
      </c>
      <c r="H340" s="2">
        <v>41789</v>
      </c>
      <c r="I340" s="4">
        <v>0.45489750000000001</v>
      </c>
      <c r="J340" s="29">
        <f t="shared" si="20"/>
        <v>5.9726999999999975E-2</v>
      </c>
      <c r="K340" s="16">
        <f t="shared" si="21"/>
        <v>9</v>
      </c>
      <c r="L340" s="17">
        <f t="shared" si="22"/>
        <v>7.5</v>
      </c>
      <c r="M340" s="17">
        <f t="shared" si="23"/>
        <v>-1.5</v>
      </c>
    </row>
    <row r="341" spans="1:13" ht="14.25" x14ac:dyDescent="0.15">
      <c r="A341" s="6">
        <v>340</v>
      </c>
      <c r="B341" s="1" t="s">
        <v>114</v>
      </c>
      <c r="C341" s="1" t="s">
        <v>26</v>
      </c>
      <c r="D341" s="1" t="s">
        <v>17</v>
      </c>
      <c r="E341" s="16">
        <f>VLOOKUP(C341,收费标准!A$3:B$5,2,FALSE)</f>
        <v>2.5</v>
      </c>
      <c r="F341" s="2">
        <v>41789</v>
      </c>
      <c r="G341" s="4">
        <v>0.40419900000000003</v>
      </c>
      <c r="H341" s="2">
        <v>41789</v>
      </c>
      <c r="I341" s="4">
        <v>0.66949800000000004</v>
      </c>
      <c r="J341" s="29">
        <f t="shared" si="20"/>
        <v>0.26529900000000001</v>
      </c>
      <c r="K341" s="16">
        <f t="shared" si="21"/>
        <v>65</v>
      </c>
      <c r="L341" s="17">
        <f t="shared" si="22"/>
        <v>62.5</v>
      </c>
      <c r="M341" s="17">
        <f t="shared" si="23"/>
        <v>-2.5</v>
      </c>
    </row>
    <row r="342" spans="1:13" ht="14.25" x14ac:dyDescent="0.15">
      <c r="A342" s="6">
        <v>341</v>
      </c>
      <c r="B342" s="1" t="s">
        <v>13</v>
      </c>
      <c r="C342" s="1" t="s">
        <v>14</v>
      </c>
      <c r="D342" s="1" t="s">
        <v>15</v>
      </c>
      <c r="E342" s="16">
        <f>VLOOKUP(C342,收费标准!A$3:B$5,2,FALSE)</f>
        <v>1.5</v>
      </c>
      <c r="F342" s="2">
        <v>41789</v>
      </c>
      <c r="G342" s="4">
        <v>0.41808899999999999</v>
      </c>
      <c r="H342" s="2">
        <v>41789</v>
      </c>
      <c r="I342" s="4">
        <v>0.60282599999999997</v>
      </c>
      <c r="J342" s="29">
        <f t="shared" si="20"/>
        <v>0.18473699999999998</v>
      </c>
      <c r="K342" s="16">
        <f t="shared" si="21"/>
        <v>27</v>
      </c>
      <c r="L342" s="17">
        <f t="shared" si="22"/>
        <v>25.5</v>
      </c>
      <c r="M342" s="17">
        <f t="shared" si="23"/>
        <v>-1.5</v>
      </c>
    </row>
    <row r="343" spans="1:13" ht="14.25" x14ac:dyDescent="0.15">
      <c r="A343" s="6">
        <v>342</v>
      </c>
      <c r="B343" s="1" t="s">
        <v>90</v>
      </c>
      <c r="C343" s="1" t="s">
        <v>11</v>
      </c>
      <c r="D343" s="1" t="s">
        <v>12</v>
      </c>
      <c r="E343" s="16">
        <f>VLOOKUP(C343,收费标准!A$3:B$5,2,FALSE)</f>
        <v>2</v>
      </c>
      <c r="F343" s="2">
        <v>41789</v>
      </c>
      <c r="G343" s="4">
        <v>0.4201725</v>
      </c>
      <c r="H343" s="2">
        <v>41789</v>
      </c>
      <c r="I343" s="4">
        <v>0.65838600000000003</v>
      </c>
      <c r="J343" s="29">
        <f t="shared" si="20"/>
        <v>0.23821350000000002</v>
      </c>
      <c r="K343" s="16">
        <f t="shared" si="21"/>
        <v>46</v>
      </c>
      <c r="L343" s="17">
        <f t="shared" si="22"/>
        <v>44</v>
      </c>
      <c r="M343" s="17">
        <f t="shared" si="23"/>
        <v>-2</v>
      </c>
    </row>
    <row r="344" spans="1:13" ht="14.25" x14ac:dyDescent="0.15">
      <c r="A344" s="6">
        <v>343</v>
      </c>
      <c r="B344" s="1" t="s">
        <v>67</v>
      </c>
      <c r="C344" s="1" t="s">
        <v>11</v>
      </c>
      <c r="D344" s="1" t="s">
        <v>22</v>
      </c>
      <c r="E344" s="16">
        <f>VLOOKUP(C344,收费标准!A$3:B$5,2,FALSE)</f>
        <v>2</v>
      </c>
      <c r="F344" s="2">
        <v>41789</v>
      </c>
      <c r="G344" s="4">
        <v>0.43336800000000003</v>
      </c>
      <c r="H344" s="2">
        <v>41789</v>
      </c>
      <c r="I344" s="4">
        <v>0.89382150000000005</v>
      </c>
      <c r="J344" s="29">
        <f t="shared" si="20"/>
        <v>0.46045350000000002</v>
      </c>
      <c r="K344" s="16">
        <f t="shared" si="21"/>
        <v>90</v>
      </c>
      <c r="L344" s="17">
        <f t="shared" si="22"/>
        <v>88</v>
      </c>
      <c r="M344" s="17">
        <f t="shared" si="23"/>
        <v>-2</v>
      </c>
    </row>
    <row r="345" spans="1:13" ht="14.25" x14ac:dyDescent="0.15">
      <c r="A345" s="6">
        <v>344</v>
      </c>
      <c r="B345" s="1" t="s">
        <v>187</v>
      </c>
      <c r="C345" s="1" t="s">
        <v>14</v>
      </c>
      <c r="D345" s="1" t="s">
        <v>22</v>
      </c>
      <c r="E345" s="16">
        <f>VLOOKUP(C345,收费标准!A$3:B$5,2,FALSE)</f>
        <v>1.5</v>
      </c>
      <c r="F345" s="2">
        <v>41789</v>
      </c>
      <c r="G345" s="4">
        <v>0.43961850000000002</v>
      </c>
      <c r="H345" s="2">
        <v>41789</v>
      </c>
      <c r="I345" s="4">
        <v>0.577824</v>
      </c>
      <c r="J345" s="29">
        <f t="shared" si="20"/>
        <v>0.13820549999999998</v>
      </c>
      <c r="K345" s="16">
        <f t="shared" si="21"/>
        <v>21</v>
      </c>
      <c r="L345" s="17">
        <f t="shared" si="22"/>
        <v>19.5</v>
      </c>
      <c r="M345" s="17">
        <f t="shared" si="23"/>
        <v>-1.5</v>
      </c>
    </row>
    <row r="346" spans="1:13" ht="14.25" x14ac:dyDescent="0.15">
      <c r="A346" s="6">
        <v>345</v>
      </c>
      <c r="B346" s="1" t="s">
        <v>49</v>
      </c>
      <c r="C346" s="1" t="s">
        <v>26</v>
      </c>
      <c r="D346" s="1" t="s">
        <v>15</v>
      </c>
      <c r="E346" s="16">
        <f>VLOOKUP(C346,收费标准!A$3:B$5,2,FALSE)</f>
        <v>2.5</v>
      </c>
      <c r="F346" s="2">
        <v>41789</v>
      </c>
      <c r="G346" s="4">
        <v>0.4729545</v>
      </c>
      <c r="H346" s="2">
        <v>41789</v>
      </c>
      <c r="I346" s="4">
        <v>0.72158549999999999</v>
      </c>
      <c r="J346" s="29">
        <f t="shared" si="20"/>
        <v>0.24863099999999999</v>
      </c>
      <c r="K346" s="16">
        <f t="shared" si="21"/>
        <v>60</v>
      </c>
      <c r="L346" s="17">
        <f t="shared" si="22"/>
        <v>57.5</v>
      </c>
      <c r="M346" s="17">
        <f t="shared" si="23"/>
        <v>-2.5</v>
      </c>
    </row>
    <row r="347" spans="1:13" ht="14.25" x14ac:dyDescent="0.15">
      <c r="A347" s="6">
        <v>346</v>
      </c>
      <c r="B347" s="1" t="s">
        <v>61</v>
      </c>
      <c r="C347" s="1" t="s">
        <v>26</v>
      </c>
      <c r="D347" s="1" t="s">
        <v>12</v>
      </c>
      <c r="E347" s="16">
        <f>VLOOKUP(C347,收费标准!A$3:B$5,2,FALSE)</f>
        <v>2.5</v>
      </c>
      <c r="F347" s="2">
        <v>41789</v>
      </c>
      <c r="G347" s="4">
        <v>0.48406650000000001</v>
      </c>
      <c r="H347" s="2">
        <v>41789</v>
      </c>
      <c r="I347" s="4">
        <v>0.90354450000000008</v>
      </c>
      <c r="J347" s="29">
        <f t="shared" si="20"/>
        <v>0.41947800000000007</v>
      </c>
      <c r="K347" s="16">
        <f t="shared" si="21"/>
        <v>102.5</v>
      </c>
      <c r="L347" s="17">
        <f t="shared" si="22"/>
        <v>100</v>
      </c>
      <c r="M347" s="17">
        <f t="shared" si="23"/>
        <v>-2.5</v>
      </c>
    </row>
    <row r="348" spans="1:13" ht="14.25" x14ac:dyDescent="0.15">
      <c r="A348" s="6">
        <v>347</v>
      </c>
      <c r="B348" s="1" t="s">
        <v>160</v>
      </c>
      <c r="C348" s="1" t="s">
        <v>14</v>
      </c>
      <c r="D348" s="1" t="s">
        <v>17</v>
      </c>
      <c r="E348" s="16">
        <f>VLOOKUP(C348,收费标准!A$3:B$5,2,FALSE)</f>
        <v>1.5</v>
      </c>
      <c r="F348" s="2">
        <v>41789</v>
      </c>
      <c r="G348" s="4">
        <v>0.48615000000000003</v>
      </c>
      <c r="H348" s="2">
        <v>41789</v>
      </c>
      <c r="I348" s="4">
        <v>0.51740249999999999</v>
      </c>
      <c r="J348" s="29">
        <f t="shared" si="20"/>
        <v>3.1252499999999961E-2</v>
      </c>
      <c r="K348" s="16">
        <f t="shared" si="21"/>
        <v>6</v>
      </c>
      <c r="L348" s="17">
        <f t="shared" si="22"/>
        <v>4.5</v>
      </c>
      <c r="M348" s="17">
        <f t="shared" si="23"/>
        <v>-1.5</v>
      </c>
    </row>
    <row r="349" spans="1:13" ht="14.25" x14ac:dyDescent="0.15">
      <c r="A349" s="6">
        <v>348</v>
      </c>
      <c r="B349" s="1" t="s">
        <v>168</v>
      </c>
      <c r="C349" s="1" t="s">
        <v>11</v>
      </c>
      <c r="D349" s="1" t="s">
        <v>15</v>
      </c>
      <c r="E349" s="16">
        <f>VLOOKUP(C349,收费标准!A$3:B$5,2,FALSE)</f>
        <v>2</v>
      </c>
      <c r="F349" s="2">
        <v>41789</v>
      </c>
      <c r="G349" s="4">
        <v>0.49448400000000003</v>
      </c>
      <c r="H349" s="2">
        <v>41789</v>
      </c>
      <c r="I349" s="4">
        <v>0.63685650000000005</v>
      </c>
      <c r="J349" s="29">
        <f t="shared" si="20"/>
        <v>0.14237250000000001</v>
      </c>
      <c r="K349" s="16">
        <f t="shared" si="21"/>
        <v>28</v>
      </c>
      <c r="L349" s="17">
        <f t="shared" si="22"/>
        <v>26</v>
      </c>
      <c r="M349" s="17">
        <f t="shared" si="23"/>
        <v>-2</v>
      </c>
    </row>
    <row r="350" spans="1:13" ht="14.25" x14ac:dyDescent="0.15">
      <c r="A350" s="6">
        <v>349</v>
      </c>
      <c r="B350" s="1" t="s">
        <v>62</v>
      </c>
      <c r="C350" s="1" t="s">
        <v>14</v>
      </c>
      <c r="D350" s="1" t="s">
        <v>17</v>
      </c>
      <c r="E350" s="16">
        <f>VLOOKUP(C350,收费标准!A$3:B$5,2,FALSE)</f>
        <v>1.5</v>
      </c>
      <c r="F350" s="2">
        <v>41789</v>
      </c>
      <c r="G350" s="4">
        <v>0.51045750000000001</v>
      </c>
      <c r="H350" s="2">
        <v>41789</v>
      </c>
      <c r="I350" s="4">
        <v>0.86812500000000004</v>
      </c>
      <c r="J350" s="29">
        <f t="shared" si="20"/>
        <v>0.35766750000000003</v>
      </c>
      <c r="K350" s="16">
        <f t="shared" si="21"/>
        <v>52.5</v>
      </c>
      <c r="L350" s="17">
        <f t="shared" si="22"/>
        <v>51</v>
      </c>
      <c r="M350" s="17">
        <f t="shared" si="23"/>
        <v>-1.5</v>
      </c>
    </row>
    <row r="351" spans="1:13" ht="14.25" x14ac:dyDescent="0.15">
      <c r="A351" s="6">
        <v>350</v>
      </c>
      <c r="B351" s="1" t="s">
        <v>199</v>
      </c>
      <c r="C351" s="1" t="s">
        <v>11</v>
      </c>
      <c r="D351" s="1" t="s">
        <v>17</v>
      </c>
      <c r="E351" s="16">
        <f>VLOOKUP(C351,收费标准!A$3:B$5,2,FALSE)</f>
        <v>2</v>
      </c>
      <c r="F351" s="2">
        <v>41789</v>
      </c>
      <c r="G351" s="4">
        <v>0.5340705</v>
      </c>
      <c r="H351" s="2">
        <v>41789</v>
      </c>
      <c r="I351" s="4">
        <v>0.89243250000000007</v>
      </c>
      <c r="J351" s="29">
        <f t="shared" si="20"/>
        <v>0.35836200000000007</v>
      </c>
      <c r="K351" s="16">
        <f t="shared" si="21"/>
        <v>70</v>
      </c>
      <c r="L351" s="17">
        <f t="shared" si="22"/>
        <v>68</v>
      </c>
      <c r="M351" s="17">
        <f t="shared" si="23"/>
        <v>-2</v>
      </c>
    </row>
    <row r="352" spans="1:13" ht="14.25" x14ac:dyDescent="0.15">
      <c r="A352" s="6">
        <v>351</v>
      </c>
      <c r="B352" s="1" t="s">
        <v>79</v>
      </c>
      <c r="C352" s="1" t="s">
        <v>14</v>
      </c>
      <c r="D352" s="1" t="s">
        <v>17</v>
      </c>
      <c r="E352" s="16">
        <f>VLOOKUP(C352,收费标准!A$3:B$5,2,FALSE)</f>
        <v>1.5</v>
      </c>
      <c r="F352" s="2">
        <v>41789</v>
      </c>
      <c r="G352" s="4">
        <v>0.53754299999999999</v>
      </c>
      <c r="H352" s="2">
        <v>41790</v>
      </c>
      <c r="I352" s="4">
        <v>9.5146500000000009E-2</v>
      </c>
      <c r="J352" s="29">
        <f t="shared" si="20"/>
        <v>0.55760350000000003</v>
      </c>
      <c r="K352" s="16">
        <f t="shared" si="21"/>
        <v>81</v>
      </c>
      <c r="L352" s="17">
        <f t="shared" si="22"/>
        <v>79.5</v>
      </c>
      <c r="M352" s="17">
        <f t="shared" si="23"/>
        <v>-1.5</v>
      </c>
    </row>
    <row r="353" spans="1:13" ht="14.25" x14ac:dyDescent="0.15">
      <c r="A353" s="6">
        <v>352</v>
      </c>
      <c r="B353" s="1" t="s">
        <v>147</v>
      </c>
      <c r="C353" s="1" t="s">
        <v>26</v>
      </c>
      <c r="D353" s="1" t="s">
        <v>12</v>
      </c>
      <c r="E353" s="16">
        <f>VLOOKUP(C353,收费标准!A$3:B$5,2,FALSE)</f>
        <v>2.5</v>
      </c>
      <c r="F353" s="2">
        <v>41789</v>
      </c>
      <c r="G353" s="4">
        <v>0.54726600000000003</v>
      </c>
      <c r="H353" s="2">
        <v>41789</v>
      </c>
      <c r="I353" s="4">
        <v>0.67852650000000003</v>
      </c>
      <c r="J353" s="29">
        <f t="shared" si="20"/>
        <v>0.1312605</v>
      </c>
      <c r="K353" s="16">
        <f t="shared" si="21"/>
        <v>32.5</v>
      </c>
      <c r="L353" s="17">
        <f t="shared" si="22"/>
        <v>30</v>
      </c>
      <c r="M353" s="17">
        <f t="shared" si="23"/>
        <v>-2.5</v>
      </c>
    </row>
    <row r="354" spans="1:13" ht="14.25" x14ac:dyDescent="0.15">
      <c r="A354" s="6">
        <v>353</v>
      </c>
      <c r="B354" s="1" t="s">
        <v>188</v>
      </c>
      <c r="C354" s="1" t="s">
        <v>14</v>
      </c>
      <c r="D354" s="1" t="s">
        <v>15</v>
      </c>
      <c r="E354" s="16">
        <f>VLOOKUP(C354,收费标准!A$3:B$5,2,FALSE)</f>
        <v>1.5</v>
      </c>
      <c r="F354" s="2">
        <v>41789</v>
      </c>
      <c r="G354" s="4">
        <v>0.56671199999999999</v>
      </c>
      <c r="H354" s="2">
        <v>41789</v>
      </c>
      <c r="I354" s="4">
        <v>0.98827350000000003</v>
      </c>
      <c r="J354" s="29">
        <f t="shared" si="20"/>
        <v>0.42156150000000003</v>
      </c>
      <c r="K354" s="16">
        <f t="shared" si="21"/>
        <v>61.5</v>
      </c>
      <c r="L354" s="17">
        <f t="shared" si="22"/>
        <v>60</v>
      </c>
      <c r="M354" s="17">
        <f t="shared" si="23"/>
        <v>-1.5</v>
      </c>
    </row>
    <row r="355" spans="1:13" ht="14.25" x14ac:dyDescent="0.15">
      <c r="A355" s="6">
        <v>354</v>
      </c>
      <c r="B355" s="1" t="s">
        <v>38</v>
      </c>
      <c r="C355" s="1" t="s">
        <v>26</v>
      </c>
      <c r="D355" s="1" t="s">
        <v>15</v>
      </c>
      <c r="E355" s="16">
        <f>VLOOKUP(C355,收费标准!A$3:B$5,2,FALSE)</f>
        <v>2.5</v>
      </c>
      <c r="F355" s="2">
        <v>41789</v>
      </c>
      <c r="G355" s="4">
        <v>0.57643500000000003</v>
      </c>
      <c r="H355" s="2">
        <v>41789</v>
      </c>
      <c r="I355" s="4">
        <v>0.92646300000000004</v>
      </c>
      <c r="J355" s="29">
        <f t="shared" si="20"/>
        <v>0.35002800000000001</v>
      </c>
      <c r="K355" s="16">
        <f t="shared" si="21"/>
        <v>85</v>
      </c>
      <c r="L355" s="17">
        <f t="shared" si="22"/>
        <v>82.5</v>
      </c>
      <c r="M355" s="17">
        <f t="shared" si="23"/>
        <v>-2.5</v>
      </c>
    </row>
    <row r="356" spans="1:13" ht="14.25" x14ac:dyDescent="0.15">
      <c r="A356" s="6">
        <v>355</v>
      </c>
      <c r="B356" s="1" t="s">
        <v>23</v>
      </c>
      <c r="C356" s="1" t="s">
        <v>14</v>
      </c>
      <c r="D356" s="1" t="s">
        <v>15</v>
      </c>
      <c r="E356" s="16">
        <f>VLOOKUP(C356,收费标准!A$3:B$5,2,FALSE)</f>
        <v>1.5</v>
      </c>
      <c r="F356" s="2">
        <v>41789</v>
      </c>
      <c r="G356" s="4">
        <v>0.58060200000000006</v>
      </c>
      <c r="H356" s="2">
        <v>41789</v>
      </c>
      <c r="I356" s="4">
        <v>0.83617799999999998</v>
      </c>
      <c r="J356" s="29">
        <f t="shared" si="20"/>
        <v>0.25557599999999991</v>
      </c>
      <c r="K356" s="16">
        <f t="shared" si="21"/>
        <v>37.5</v>
      </c>
      <c r="L356" s="17">
        <f t="shared" si="22"/>
        <v>36</v>
      </c>
      <c r="M356" s="17">
        <f t="shared" si="23"/>
        <v>-1.5</v>
      </c>
    </row>
    <row r="357" spans="1:13" ht="14.25" x14ac:dyDescent="0.15">
      <c r="A357" s="6">
        <v>356</v>
      </c>
      <c r="B357" s="1" t="s">
        <v>149</v>
      </c>
      <c r="C357" s="1" t="s">
        <v>11</v>
      </c>
      <c r="D357" s="1" t="s">
        <v>12</v>
      </c>
      <c r="E357" s="16">
        <f>VLOOKUP(C357,收费标准!A$3:B$5,2,FALSE)</f>
        <v>2</v>
      </c>
      <c r="F357" s="2">
        <v>41789</v>
      </c>
      <c r="G357" s="4">
        <v>0.59379749999999998</v>
      </c>
      <c r="H357" s="2">
        <v>41789</v>
      </c>
      <c r="I357" s="4">
        <v>0.71186250000000006</v>
      </c>
      <c r="J357" s="29">
        <f t="shared" si="20"/>
        <v>0.11806500000000009</v>
      </c>
      <c r="K357" s="16">
        <f t="shared" si="21"/>
        <v>24</v>
      </c>
      <c r="L357" s="17">
        <f t="shared" si="22"/>
        <v>22</v>
      </c>
      <c r="M357" s="17">
        <f t="shared" si="23"/>
        <v>-2</v>
      </c>
    </row>
    <row r="358" spans="1:13" ht="14.25" x14ac:dyDescent="0.15">
      <c r="A358" s="6">
        <v>357</v>
      </c>
      <c r="B358" s="1" t="s">
        <v>171</v>
      </c>
      <c r="C358" s="1" t="s">
        <v>26</v>
      </c>
      <c r="D358" s="1" t="s">
        <v>22</v>
      </c>
      <c r="E358" s="16">
        <f>VLOOKUP(C358,收费标准!A$3:B$5,2,FALSE)</f>
        <v>2.5</v>
      </c>
      <c r="F358" s="2">
        <v>41789</v>
      </c>
      <c r="G358" s="4">
        <v>0.59657550000000004</v>
      </c>
      <c r="H358" s="2">
        <v>41789</v>
      </c>
      <c r="I358" s="4">
        <v>0.90285000000000004</v>
      </c>
      <c r="J358" s="29">
        <f t="shared" si="20"/>
        <v>0.30627450000000001</v>
      </c>
      <c r="K358" s="16">
        <f t="shared" si="21"/>
        <v>75</v>
      </c>
      <c r="L358" s="17">
        <f t="shared" si="22"/>
        <v>72.5</v>
      </c>
      <c r="M358" s="17">
        <f t="shared" si="23"/>
        <v>-2.5</v>
      </c>
    </row>
    <row r="359" spans="1:13" ht="14.25" x14ac:dyDescent="0.15">
      <c r="A359" s="6">
        <v>358</v>
      </c>
      <c r="B359" s="1" t="s">
        <v>44</v>
      </c>
      <c r="C359" s="1" t="s">
        <v>14</v>
      </c>
      <c r="D359" s="1" t="s">
        <v>17</v>
      </c>
      <c r="E359" s="16">
        <f>VLOOKUP(C359,收费标准!A$3:B$5,2,FALSE)</f>
        <v>1.5</v>
      </c>
      <c r="F359" s="2">
        <v>41789</v>
      </c>
      <c r="G359" s="4">
        <v>0.60490949999999999</v>
      </c>
      <c r="H359" s="2">
        <v>41790</v>
      </c>
      <c r="I359" s="4">
        <v>0.1132035</v>
      </c>
      <c r="J359" s="29">
        <f t="shared" si="20"/>
        <v>0.50829400000000002</v>
      </c>
      <c r="K359" s="16">
        <f t="shared" si="21"/>
        <v>73.5</v>
      </c>
      <c r="L359" s="17">
        <f t="shared" si="22"/>
        <v>72</v>
      </c>
      <c r="M359" s="17">
        <f t="shared" si="23"/>
        <v>-1.5</v>
      </c>
    </row>
    <row r="360" spans="1:13" ht="14.25" x14ac:dyDescent="0.15">
      <c r="A360" s="6">
        <v>359</v>
      </c>
      <c r="B360" s="1" t="s">
        <v>76</v>
      </c>
      <c r="C360" s="1" t="s">
        <v>14</v>
      </c>
      <c r="D360" s="1" t="s">
        <v>12</v>
      </c>
      <c r="E360" s="16">
        <f>VLOOKUP(C360,收费标准!A$3:B$5,2,FALSE)</f>
        <v>1.5</v>
      </c>
      <c r="F360" s="2">
        <v>41789</v>
      </c>
      <c r="G360" s="4">
        <v>0.63546750000000007</v>
      </c>
      <c r="H360" s="2">
        <v>41789</v>
      </c>
      <c r="I360" s="4">
        <v>0.83548350000000005</v>
      </c>
      <c r="J360" s="29">
        <f t="shared" si="20"/>
        <v>0.20001599999999997</v>
      </c>
      <c r="K360" s="16">
        <f t="shared" si="21"/>
        <v>30</v>
      </c>
      <c r="L360" s="17">
        <f t="shared" si="22"/>
        <v>28.5</v>
      </c>
      <c r="M360" s="17">
        <f t="shared" si="23"/>
        <v>-1.5</v>
      </c>
    </row>
    <row r="361" spans="1:13" ht="14.25" x14ac:dyDescent="0.15">
      <c r="A361" s="6">
        <v>360</v>
      </c>
      <c r="B361" s="1" t="s">
        <v>40</v>
      </c>
      <c r="C361" s="1" t="s">
        <v>11</v>
      </c>
      <c r="D361" s="1" t="s">
        <v>15</v>
      </c>
      <c r="E361" s="16">
        <f>VLOOKUP(C361,收费标准!A$3:B$5,2,FALSE)</f>
        <v>2</v>
      </c>
      <c r="F361" s="2">
        <v>41789</v>
      </c>
      <c r="G361" s="4">
        <v>0.63616200000000001</v>
      </c>
      <c r="H361" s="2">
        <v>41790</v>
      </c>
      <c r="I361" s="4">
        <v>6.6672000000000009E-2</v>
      </c>
      <c r="J361" s="29">
        <f t="shared" si="20"/>
        <v>0.43051000000000006</v>
      </c>
      <c r="K361" s="16">
        <f t="shared" si="21"/>
        <v>84</v>
      </c>
      <c r="L361" s="17">
        <f t="shared" si="22"/>
        <v>82</v>
      </c>
      <c r="M361" s="17">
        <f t="shared" si="23"/>
        <v>-2</v>
      </c>
    </row>
    <row r="362" spans="1:13" ht="14.25" x14ac:dyDescent="0.15">
      <c r="A362" s="6">
        <v>361</v>
      </c>
      <c r="B362" s="1" t="s">
        <v>117</v>
      </c>
      <c r="C362" s="1" t="s">
        <v>11</v>
      </c>
      <c r="D362" s="1" t="s">
        <v>15</v>
      </c>
      <c r="E362" s="16">
        <f>VLOOKUP(C362,收费标准!A$3:B$5,2,FALSE)</f>
        <v>2</v>
      </c>
      <c r="F362" s="2">
        <v>41789</v>
      </c>
      <c r="G362" s="4">
        <v>0.659775</v>
      </c>
      <c r="H362" s="2">
        <v>41789</v>
      </c>
      <c r="I362" s="4">
        <v>0.82645500000000005</v>
      </c>
      <c r="J362" s="29">
        <f t="shared" si="20"/>
        <v>0.16668000000000005</v>
      </c>
      <c r="K362" s="16">
        <f t="shared" si="21"/>
        <v>34</v>
      </c>
      <c r="L362" s="17">
        <f t="shared" si="22"/>
        <v>32</v>
      </c>
      <c r="M362" s="17">
        <f t="shared" si="23"/>
        <v>-2</v>
      </c>
    </row>
    <row r="363" spans="1:13" ht="14.25" x14ac:dyDescent="0.15">
      <c r="A363" s="6">
        <v>362</v>
      </c>
      <c r="B363" s="1" t="s">
        <v>174</v>
      </c>
      <c r="C363" s="1" t="s">
        <v>11</v>
      </c>
      <c r="D363" s="1" t="s">
        <v>22</v>
      </c>
      <c r="E363" s="16">
        <f>VLOOKUP(C363,收费标准!A$3:B$5,2,FALSE)</f>
        <v>2</v>
      </c>
      <c r="F363" s="2">
        <v>41789</v>
      </c>
      <c r="G363" s="4">
        <v>0.66394200000000003</v>
      </c>
      <c r="H363" s="2">
        <v>41789</v>
      </c>
      <c r="I363" s="4">
        <v>0.81256499999999998</v>
      </c>
      <c r="J363" s="29">
        <f t="shared" si="20"/>
        <v>0.14862299999999995</v>
      </c>
      <c r="K363" s="16">
        <f t="shared" si="21"/>
        <v>30</v>
      </c>
      <c r="L363" s="17">
        <f t="shared" si="22"/>
        <v>28</v>
      </c>
      <c r="M363" s="17">
        <f t="shared" si="23"/>
        <v>-2</v>
      </c>
    </row>
    <row r="364" spans="1:13" ht="14.25" x14ac:dyDescent="0.15">
      <c r="A364" s="6">
        <v>363</v>
      </c>
      <c r="B364" s="1" t="s">
        <v>57</v>
      </c>
      <c r="C364" s="1" t="s">
        <v>11</v>
      </c>
      <c r="D364" s="1" t="s">
        <v>15</v>
      </c>
      <c r="E364" s="16">
        <f>VLOOKUP(C364,收费标准!A$3:B$5,2,FALSE)</f>
        <v>2</v>
      </c>
      <c r="F364" s="2">
        <v>41789</v>
      </c>
      <c r="G364" s="4">
        <v>0.66949800000000004</v>
      </c>
      <c r="H364" s="2">
        <v>41789</v>
      </c>
      <c r="I364" s="4">
        <v>0.81256499999999998</v>
      </c>
      <c r="J364" s="29">
        <f t="shared" si="20"/>
        <v>0.14306699999999994</v>
      </c>
      <c r="K364" s="16">
        <f t="shared" si="21"/>
        <v>28</v>
      </c>
      <c r="L364" s="17">
        <f t="shared" si="22"/>
        <v>26</v>
      </c>
      <c r="M364" s="17">
        <f t="shared" si="23"/>
        <v>-2</v>
      </c>
    </row>
    <row r="365" spans="1:13" ht="14.25" x14ac:dyDescent="0.15">
      <c r="A365" s="6">
        <v>364</v>
      </c>
      <c r="B365" s="1" t="s">
        <v>175</v>
      </c>
      <c r="C365" s="1" t="s">
        <v>26</v>
      </c>
      <c r="D365" s="1" t="s">
        <v>22</v>
      </c>
      <c r="E365" s="16">
        <f>VLOOKUP(C365,收费标准!A$3:B$5,2,FALSE)</f>
        <v>2.5</v>
      </c>
      <c r="F365" s="2">
        <v>41789</v>
      </c>
      <c r="G365" s="4">
        <v>0.73200300000000007</v>
      </c>
      <c r="H365" s="2">
        <v>41789</v>
      </c>
      <c r="I365" s="4">
        <v>0.89034900000000006</v>
      </c>
      <c r="J365" s="29">
        <f t="shared" si="20"/>
        <v>0.15834599999999999</v>
      </c>
      <c r="K365" s="16">
        <f t="shared" si="21"/>
        <v>40</v>
      </c>
      <c r="L365" s="17">
        <f t="shared" si="22"/>
        <v>37.5</v>
      </c>
      <c r="M365" s="17">
        <f t="shared" si="23"/>
        <v>-2.5</v>
      </c>
    </row>
    <row r="366" spans="1:13" ht="14.25" x14ac:dyDescent="0.15">
      <c r="A366" s="6">
        <v>365</v>
      </c>
      <c r="B366" s="1" t="s">
        <v>111</v>
      </c>
      <c r="C366" s="1" t="s">
        <v>11</v>
      </c>
      <c r="D366" s="1" t="s">
        <v>15</v>
      </c>
      <c r="E366" s="16">
        <f>VLOOKUP(C366,收费标准!A$3:B$5,2,FALSE)</f>
        <v>2</v>
      </c>
      <c r="F366" s="2">
        <v>41789</v>
      </c>
      <c r="G366" s="4">
        <v>0.73408649999999998</v>
      </c>
      <c r="H366" s="2">
        <v>41789</v>
      </c>
      <c r="I366" s="4">
        <v>0.858402</v>
      </c>
      <c r="J366" s="29">
        <f t="shared" si="20"/>
        <v>0.12431550000000002</v>
      </c>
      <c r="K366" s="16">
        <f t="shared" si="21"/>
        <v>24</v>
      </c>
      <c r="L366" s="17">
        <f t="shared" si="22"/>
        <v>22</v>
      </c>
      <c r="M366" s="17">
        <f t="shared" si="23"/>
        <v>-2</v>
      </c>
    </row>
    <row r="367" spans="1:13" ht="14.25" x14ac:dyDescent="0.15">
      <c r="A367" s="6">
        <v>366</v>
      </c>
      <c r="B367" s="1" t="s">
        <v>131</v>
      </c>
      <c r="C367" s="1" t="s">
        <v>14</v>
      </c>
      <c r="D367" s="1" t="s">
        <v>22</v>
      </c>
      <c r="E367" s="16">
        <f>VLOOKUP(C367,收费标准!A$3:B$5,2,FALSE)</f>
        <v>1.5</v>
      </c>
      <c r="F367" s="2">
        <v>41789</v>
      </c>
      <c r="G367" s="4">
        <v>0.741726</v>
      </c>
      <c r="H367" s="2">
        <v>41789</v>
      </c>
      <c r="I367" s="4">
        <v>0.87020850000000005</v>
      </c>
      <c r="J367" s="29">
        <f t="shared" si="20"/>
        <v>0.12848250000000005</v>
      </c>
      <c r="K367" s="16">
        <f t="shared" si="21"/>
        <v>19.5</v>
      </c>
      <c r="L367" s="17">
        <f t="shared" si="22"/>
        <v>18</v>
      </c>
      <c r="M367" s="17">
        <f t="shared" si="23"/>
        <v>-1.5</v>
      </c>
    </row>
    <row r="368" spans="1:13" ht="14.25" x14ac:dyDescent="0.15">
      <c r="A368" s="6">
        <v>367</v>
      </c>
      <c r="B368" s="1" t="s">
        <v>132</v>
      </c>
      <c r="C368" s="1" t="s">
        <v>26</v>
      </c>
      <c r="D368" s="1" t="s">
        <v>12</v>
      </c>
      <c r="E368" s="16">
        <f>VLOOKUP(C368,收费标准!A$3:B$5,2,FALSE)</f>
        <v>2.5</v>
      </c>
      <c r="F368" s="2">
        <v>41789</v>
      </c>
      <c r="G368" s="4">
        <v>0.74242050000000004</v>
      </c>
      <c r="H368" s="2">
        <v>41789</v>
      </c>
      <c r="I368" s="4">
        <v>0.87229200000000007</v>
      </c>
      <c r="J368" s="29">
        <f t="shared" si="20"/>
        <v>0.12987150000000003</v>
      </c>
      <c r="K368" s="16">
        <f t="shared" si="21"/>
        <v>32.5</v>
      </c>
      <c r="L368" s="17">
        <f t="shared" si="22"/>
        <v>30</v>
      </c>
      <c r="M368" s="17">
        <f t="shared" si="23"/>
        <v>-2.5</v>
      </c>
    </row>
    <row r="369" spans="1:13" ht="14.25" x14ac:dyDescent="0.15">
      <c r="A369" s="6">
        <v>368</v>
      </c>
      <c r="B369" s="1" t="s">
        <v>53</v>
      </c>
      <c r="C369" s="1" t="s">
        <v>14</v>
      </c>
      <c r="D369" s="1" t="s">
        <v>17</v>
      </c>
      <c r="E369" s="16">
        <f>VLOOKUP(C369,收费标准!A$3:B$5,2,FALSE)</f>
        <v>1.5</v>
      </c>
      <c r="F369" s="2">
        <v>41789</v>
      </c>
      <c r="G369" s="4">
        <v>0.74658750000000007</v>
      </c>
      <c r="H369" s="2">
        <v>41789</v>
      </c>
      <c r="I369" s="4">
        <v>0.975078</v>
      </c>
      <c r="J369" s="29">
        <f t="shared" si="20"/>
        <v>0.22849049999999993</v>
      </c>
      <c r="K369" s="16">
        <f t="shared" si="21"/>
        <v>33</v>
      </c>
      <c r="L369" s="17">
        <f t="shared" si="22"/>
        <v>31.5</v>
      </c>
      <c r="M369" s="17">
        <f t="shared" si="23"/>
        <v>-1.5</v>
      </c>
    </row>
    <row r="370" spans="1:13" ht="14.25" x14ac:dyDescent="0.15">
      <c r="A370" s="6">
        <v>369</v>
      </c>
      <c r="B370" s="1" t="s">
        <v>65</v>
      </c>
      <c r="C370" s="1" t="s">
        <v>26</v>
      </c>
      <c r="D370" s="1" t="s">
        <v>17</v>
      </c>
      <c r="E370" s="16">
        <f>VLOOKUP(C370,收费标准!A$3:B$5,2,FALSE)</f>
        <v>2.5</v>
      </c>
      <c r="F370" s="2">
        <v>41789</v>
      </c>
      <c r="G370" s="4">
        <v>0.74867099999999998</v>
      </c>
      <c r="H370" s="2">
        <v>41789</v>
      </c>
      <c r="I370" s="4">
        <v>0.80492550000000007</v>
      </c>
      <c r="J370" s="29">
        <f t="shared" si="20"/>
        <v>5.6254500000000096E-2</v>
      </c>
      <c r="K370" s="16">
        <f t="shared" si="21"/>
        <v>15</v>
      </c>
      <c r="L370" s="17">
        <f t="shared" si="22"/>
        <v>12.5</v>
      </c>
      <c r="M370" s="17">
        <f t="shared" si="23"/>
        <v>-2.5</v>
      </c>
    </row>
    <row r="371" spans="1:13" ht="14.25" x14ac:dyDescent="0.15">
      <c r="A371" s="6">
        <v>370</v>
      </c>
      <c r="B371" s="1" t="s">
        <v>194</v>
      </c>
      <c r="C371" s="1" t="s">
        <v>11</v>
      </c>
      <c r="D371" s="1" t="s">
        <v>12</v>
      </c>
      <c r="E371" s="16">
        <f>VLOOKUP(C371,收费标准!A$3:B$5,2,FALSE)</f>
        <v>2</v>
      </c>
      <c r="F371" s="2">
        <v>41789</v>
      </c>
      <c r="G371" s="4">
        <v>0.77158950000000004</v>
      </c>
      <c r="H371" s="2">
        <v>41790</v>
      </c>
      <c r="I371" s="4">
        <v>0.1854315</v>
      </c>
      <c r="J371" s="29">
        <f t="shared" si="20"/>
        <v>0.41384199999999993</v>
      </c>
      <c r="K371" s="16">
        <f t="shared" si="21"/>
        <v>80</v>
      </c>
      <c r="L371" s="17">
        <f t="shared" si="22"/>
        <v>78</v>
      </c>
      <c r="M371" s="17">
        <f t="shared" si="23"/>
        <v>-2</v>
      </c>
    </row>
    <row r="372" spans="1:13" ht="14.25" x14ac:dyDescent="0.15">
      <c r="A372" s="6">
        <v>371</v>
      </c>
      <c r="B372" s="1" t="s">
        <v>140</v>
      </c>
      <c r="C372" s="1" t="s">
        <v>26</v>
      </c>
      <c r="D372" s="1" t="s">
        <v>12</v>
      </c>
      <c r="E372" s="16">
        <f>VLOOKUP(C372,收费标准!A$3:B$5,2,FALSE)</f>
        <v>2.5</v>
      </c>
      <c r="F372" s="2">
        <v>41789</v>
      </c>
      <c r="G372" s="4">
        <v>0.78478500000000007</v>
      </c>
      <c r="H372" s="2">
        <v>41790</v>
      </c>
      <c r="I372" s="4">
        <v>0.27779999999999999</v>
      </c>
      <c r="J372" s="29">
        <f t="shared" si="20"/>
        <v>0.49301499999999998</v>
      </c>
      <c r="K372" s="16">
        <f t="shared" si="21"/>
        <v>120</v>
      </c>
      <c r="L372" s="17">
        <f t="shared" si="22"/>
        <v>117.5</v>
      </c>
      <c r="M372" s="17">
        <f t="shared" si="23"/>
        <v>-2.5</v>
      </c>
    </row>
    <row r="373" spans="1:13" ht="14.25" x14ac:dyDescent="0.15">
      <c r="A373" s="6">
        <v>372</v>
      </c>
      <c r="B373" s="1" t="s">
        <v>165</v>
      </c>
      <c r="C373" s="1" t="s">
        <v>26</v>
      </c>
      <c r="D373" s="1" t="s">
        <v>12</v>
      </c>
      <c r="E373" s="16">
        <f>VLOOKUP(C373,收费标准!A$3:B$5,2,FALSE)</f>
        <v>2.5</v>
      </c>
      <c r="F373" s="2">
        <v>41789</v>
      </c>
      <c r="G373" s="4">
        <v>0.80214750000000001</v>
      </c>
      <c r="H373" s="2">
        <v>41790</v>
      </c>
      <c r="I373" s="4">
        <v>0.47434350000000003</v>
      </c>
      <c r="J373" s="29">
        <f t="shared" si="20"/>
        <v>0.67219600000000002</v>
      </c>
      <c r="K373" s="16">
        <f t="shared" si="21"/>
        <v>162.5</v>
      </c>
      <c r="L373" s="17">
        <f t="shared" si="22"/>
        <v>160</v>
      </c>
      <c r="M373" s="17">
        <f t="shared" si="23"/>
        <v>-2.5</v>
      </c>
    </row>
    <row r="374" spans="1:13" ht="14.25" x14ac:dyDescent="0.15">
      <c r="A374" s="6">
        <v>373</v>
      </c>
      <c r="B374" s="1" t="s">
        <v>71</v>
      </c>
      <c r="C374" s="1" t="s">
        <v>14</v>
      </c>
      <c r="D374" s="1" t="s">
        <v>17</v>
      </c>
      <c r="E374" s="16">
        <f>VLOOKUP(C374,收费标准!A$3:B$5,2,FALSE)</f>
        <v>1.5</v>
      </c>
      <c r="F374" s="2">
        <v>41789</v>
      </c>
      <c r="G374" s="4">
        <v>0.8146485</v>
      </c>
      <c r="H374" s="2">
        <v>41790</v>
      </c>
      <c r="I374" s="4">
        <v>0.2437695</v>
      </c>
      <c r="J374" s="29">
        <f t="shared" si="20"/>
        <v>0.42912099999999997</v>
      </c>
      <c r="K374" s="16">
        <f t="shared" si="21"/>
        <v>63</v>
      </c>
      <c r="L374" s="17">
        <f t="shared" si="22"/>
        <v>61.5</v>
      </c>
      <c r="M374" s="17">
        <f t="shared" si="23"/>
        <v>-1.5</v>
      </c>
    </row>
    <row r="375" spans="1:13" ht="14.25" x14ac:dyDescent="0.15">
      <c r="A375" s="6">
        <v>374</v>
      </c>
      <c r="B375" s="1" t="s">
        <v>156</v>
      </c>
      <c r="C375" s="1" t="s">
        <v>14</v>
      </c>
      <c r="D375" s="1" t="s">
        <v>15</v>
      </c>
      <c r="E375" s="16">
        <f>VLOOKUP(C375,收费标准!A$3:B$5,2,FALSE)</f>
        <v>1.5</v>
      </c>
      <c r="F375" s="2">
        <v>41789</v>
      </c>
      <c r="G375" s="4">
        <v>0.85701300000000002</v>
      </c>
      <c r="H375" s="2">
        <v>41790</v>
      </c>
      <c r="I375" s="4">
        <v>8.2645499999999997E-2</v>
      </c>
      <c r="J375" s="29">
        <f t="shared" si="20"/>
        <v>0.2256324999999999</v>
      </c>
      <c r="K375" s="16">
        <f t="shared" si="21"/>
        <v>33</v>
      </c>
      <c r="L375" s="17">
        <f t="shared" si="22"/>
        <v>31.5</v>
      </c>
      <c r="M375" s="17">
        <f t="shared" si="23"/>
        <v>-1.5</v>
      </c>
    </row>
    <row r="376" spans="1:13" ht="14.25" x14ac:dyDescent="0.15">
      <c r="A376" s="6">
        <v>375</v>
      </c>
      <c r="B376" s="1" t="s">
        <v>120</v>
      </c>
      <c r="C376" s="1" t="s">
        <v>11</v>
      </c>
      <c r="D376" s="1" t="s">
        <v>17</v>
      </c>
      <c r="E376" s="16">
        <f>VLOOKUP(C376,收费标准!A$3:B$5,2,FALSE)</f>
        <v>2</v>
      </c>
      <c r="F376" s="2">
        <v>41789</v>
      </c>
      <c r="G376" s="4">
        <v>0.90354450000000008</v>
      </c>
      <c r="H376" s="2">
        <v>41789</v>
      </c>
      <c r="I376" s="4">
        <v>0.94729800000000008</v>
      </c>
      <c r="J376" s="29">
        <f t="shared" si="20"/>
        <v>4.3753500000000001E-2</v>
      </c>
      <c r="K376" s="16">
        <f t="shared" si="21"/>
        <v>10</v>
      </c>
      <c r="L376" s="17">
        <f t="shared" si="22"/>
        <v>8</v>
      </c>
      <c r="M376" s="17">
        <f t="shared" si="23"/>
        <v>-2</v>
      </c>
    </row>
    <row r="377" spans="1:13" ht="14.25" x14ac:dyDescent="0.15">
      <c r="A377" s="6">
        <v>376</v>
      </c>
      <c r="B377" s="1" t="s">
        <v>63</v>
      </c>
      <c r="C377" s="1" t="s">
        <v>14</v>
      </c>
      <c r="D377" s="1" t="s">
        <v>22</v>
      </c>
      <c r="E377" s="16">
        <f>VLOOKUP(C377,收费标准!A$3:B$5,2,FALSE)</f>
        <v>1.5</v>
      </c>
      <c r="F377" s="2">
        <v>41789</v>
      </c>
      <c r="G377" s="4">
        <v>0.93479699999999999</v>
      </c>
      <c r="H377" s="2">
        <v>41790</v>
      </c>
      <c r="I377" s="4">
        <v>0.18334800000000001</v>
      </c>
      <c r="J377" s="29">
        <f t="shared" si="20"/>
        <v>0.24855100000000008</v>
      </c>
      <c r="K377" s="16">
        <f t="shared" si="21"/>
        <v>36</v>
      </c>
      <c r="L377" s="17">
        <f t="shared" si="22"/>
        <v>34.5</v>
      </c>
      <c r="M377" s="17">
        <f t="shared" si="23"/>
        <v>-1.5</v>
      </c>
    </row>
    <row r="378" spans="1:13" ht="14.25" x14ac:dyDescent="0.15">
      <c r="A378" s="6">
        <v>377</v>
      </c>
      <c r="B378" s="1" t="s">
        <v>109</v>
      </c>
      <c r="C378" s="1" t="s">
        <v>14</v>
      </c>
      <c r="D378" s="1" t="s">
        <v>17</v>
      </c>
      <c r="E378" s="16">
        <f>VLOOKUP(C378,收费标准!A$3:B$5,2,FALSE)</f>
        <v>1.5</v>
      </c>
      <c r="F378" s="2">
        <v>41789</v>
      </c>
      <c r="G378" s="4">
        <v>0.94660350000000004</v>
      </c>
      <c r="H378" s="2">
        <v>41790</v>
      </c>
      <c r="I378" s="4">
        <v>0.1257045</v>
      </c>
      <c r="J378" s="29">
        <f t="shared" si="20"/>
        <v>0.17910099999999984</v>
      </c>
      <c r="K378" s="16">
        <f t="shared" si="21"/>
        <v>27</v>
      </c>
      <c r="L378" s="17">
        <f t="shared" si="22"/>
        <v>25.5</v>
      </c>
      <c r="M378" s="17">
        <f t="shared" si="23"/>
        <v>-1.5</v>
      </c>
    </row>
    <row r="379" spans="1:13" ht="14.25" x14ac:dyDescent="0.15">
      <c r="A379" s="6">
        <v>378</v>
      </c>
      <c r="B379" s="1" t="s">
        <v>198</v>
      </c>
      <c r="C379" s="1" t="s">
        <v>14</v>
      </c>
      <c r="D379" s="1" t="s">
        <v>15</v>
      </c>
      <c r="E379" s="16">
        <f>VLOOKUP(C379,收费标准!A$3:B$5,2,FALSE)</f>
        <v>1.5</v>
      </c>
      <c r="F379" s="2">
        <v>41789</v>
      </c>
      <c r="G379" s="4">
        <v>0.94938149999999999</v>
      </c>
      <c r="H379" s="2">
        <v>41790</v>
      </c>
      <c r="I379" s="4">
        <v>0.23404650000000002</v>
      </c>
      <c r="J379" s="29">
        <f t="shared" si="20"/>
        <v>0.28466500000000006</v>
      </c>
      <c r="K379" s="16">
        <f t="shared" si="21"/>
        <v>42</v>
      </c>
      <c r="L379" s="17">
        <f t="shared" si="22"/>
        <v>40.5</v>
      </c>
      <c r="M379" s="17">
        <f t="shared" si="23"/>
        <v>-1.5</v>
      </c>
    </row>
    <row r="380" spans="1:13" ht="14.25" x14ac:dyDescent="0.15">
      <c r="A380" s="6">
        <v>379</v>
      </c>
      <c r="B380" s="1" t="s">
        <v>173</v>
      </c>
      <c r="C380" s="1" t="s">
        <v>26</v>
      </c>
      <c r="D380" s="1" t="s">
        <v>15</v>
      </c>
      <c r="E380" s="16">
        <f>VLOOKUP(C380,收费标准!A$3:B$5,2,FALSE)</f>
        <v>2.5</v>
      </c>
      <c r="F380" s="2">
        <v>41789</v>
      </c>
      <c r="G380" s="4">
        <v>0.95563200000000004</v>
      </c>
      <c r="H380" s="2">
        <v>41790</v>
      </c>
      <c r="I380" s="4">
        <v>0.17570850000000002</v>
      </c>
      <c r="J380" s="29">
        <f t="shared" si="20"/>
        <v>0.22007650000000001</v>
      </c>
      <c r="K380" s="16">
        <f t="shared" si="21"/>
        <v>55</v>
      </c>
      <c r="L380" s="17">
        <f t="shared" si="22"/>
        <v>52.5</v>
      </c>
      <c r="M380" s="17">
        <f t="shared" si="23"/>
        <v>-2.5</v>
      </c>
    </row>
    <row r="381" spans="1:13" ht="14.25" x14ac:dyDescent="0.15">
      <c r="A381" s="6">
        <v>380</v>
      </c>
      <c r="B381" s="1" t="s">
        <v>169</v>
      </c>
      <c r="C381" s="1" t="s">
        <v>26</v>
      </c>
      <c r="D381" s="1" t="s">
        <v>15</v>
      </c>
      <c r="E381" s="16">
        <f>VLOOKUP(C381,收费标准!A$3:B$5,2,FALSE)</f>
        <v>2.5</v>
      </c>
      <c r="F381" s="2">
        <v>41789</v>
      </c>
      <c r="G381" s="4">
        <v>0.97785600000000006</v>
      </c>
      <c r="H381" s="2">
        <v>41790</v>
      </c>
      <c r="I381" s="4">
        <v>0.32919300000000001</v>
      </c>
      <c r="J381" s="29">
        <f t="shared" si="20"/>
        <v>0.35133700000000001</v>
      </c>
      <c r="K381" s="16">
        <f t="shared" si="21"/>
        <v>85</v>
      </c>
      <c r="L381" s="17">
        <f t="shared" si="22"/>
        <v>82.5</v>
      </c>
      <c r="M381" s="17">
        <f t="shared" si="23"/>
        <v>-2.5</v>
      </c>
    </row>
    <row r="382" spans="1:13" ht="14.25" x14ac:dyDescent="0.15">
      <c r="A382" s="6">
        <v>381</v>
      </c>
      <c r="B382" s="1" t="s">
        <v>68</v>
      </c>
      <c r="C382" s="1" t="s">
        <v>14</v>
      </c>
      <c r="D382" s="1" t="s">
        <v>17</v>
      </c>
      <c r="E382" s="16">
        <f>VLOOKUP(C382,收费标准!A$3:B$5,2,FALSE)</f>
        <v>1.5</v>
      </c>
      <c r="F382" s="2">
        <v>41789</v>
      </c>
      <c r="G382" s="4">
        <v>0.98271750000000002</v>
      </c>
      <c r="H382" s="2">
        <v>41790</v>
      </c>
      <c r="I382" s="4">
        <v>0.17293050000000001</v>
      </c>
      <c r="J382" s="29">
        <f t="shared" si="20"/>
        <v>0.19021300000000008</v>
      </c>
      <c r="K382" s="16">
        <f t="shared" si="21"/>
        <v>28.5</v>
      </c>
      <c r="L382" s="17">
        <f t="shared" si="22"/>
        <v>27</v>
      </c>
      <c r="M382" s="17">
        <f t="shared" si="23"/>
        <v>-1.5</v>
      </c>
    </row>
    <row r="383" spans="1:13" ht="14.25" x14ac:dyDescent="0.15">
      <c r="A383" s="6">
        <v>382</v>
      </c>
      <c r="B383" s="1" t="s">
        <v>30</v>
      </c>
      <c r="C383" s="1" t="s">
        <v>14</v>
      </c>
      <c r="D383" s="1" t="s">
        <v>22</v>
      </c>
      <c r="E383" s="16">
        <f>VLOOKUP(C383,收费标准!A$3:B$5,2,FALSE)</f>
        <v>1.5</v>
      </c>
      <c r="F383" s="2">
        <v>41789</v>
      </c>
      <c r="G383" s="4">
        <v>0.99730200000000002</v>
      </c>
      <c r="H383" s="2">
        <v>41790</v>
      </c>
      <c r="I383" s="4">
        <v>0.42156150000000003</v>
      </c>
      <c r="J383" s="29">
        <f t="shared" si="20"/>
        <v>0.42425950000000012</v>
      </c>
      <c r="K383" s="16">
        <f t="shared" si="21"/>
        <v>61.5</v>
      </c>
      <c r="L383" s="17">
        <f t="shared" si="22"/>
        <v>60</v>
      </c>
      <c r="M383" s="17">
        <f t="shared" si="23"/>
        <v>-1.5</v>
      </c>
    </row>
    <row r="384" spans="1:13" ht="14.25" x14ac:dyDescent="0.15">
      <c r="A384" s="6">
        <v>383</v>
      </c>
      <c r="B384" s="1" t="s">
        <v>187</v>
      </c>
      <c r="C384" s="1" t="s">
        <v>14</v>
      </c>
      <c r="D384" s="1" t="s">
        <v>22</v>
      </c>
      <c r="E384" s="16">
        <f>VLOOKUP(C384,收费标准!A$3:B$5,2,FALSE)</f>
        <v>1.5</v>
      </c>
      <c r="F384" s="2">
        <v>41790</v>
      </c>
      <c r="G384" s="4">
        <v>2.0835000000000003E-3</v>
      </c>
      <c r="H384" s="2">
        <v>41790</v>
      </c>
      <c r="I384" s="4">
        <v>0.52365300000000004</v>
      </c>
      <c r="J384" s="29">
        <f t="shared" si="20"/>
        <v>0.52156950000000002</v>
      </c>
      <c r="K384" s="16">
        <f t="shared" si="21"/>
        <v>76.5</v>
      </c>
      <c r="L384" s="17">
        <f t="shared" si="22"/>
        <v>75</v>
      </c>
      <c r="M384" s="17">
        <f t="shared" si="23"/>
        <v>-1.5</v>
      </c>
    </row>
    <row r="385" spans="1:13" ht="14.25" x14ac:dyDescent="0.15">
      <c r="A385" s="6">
        <v>384</v>
      </c>
      <c r="B385" s="1" t="s">
        <v>135</v>
      </c>
      <c r="C385" s="1" t="s">
        <v>14</v>
      </c>
      <c r="D385" s="1" t="s">
        <v>17</v>
      </c>
      <c r="E385" s="16">
        <f>VLOOKUP(C385,收费标准!A$3:B$5,2,FALSE)</f>
        <v>1.5</v>
      </c>
      <c r="F385" s="2">
        <v>41790</v>
      </c>
      <c r="G385" s="4">
        <v>1.1806500000000001E-2</v>
      </c>
      <c r="H385" s="2">
        <v>41790</v>
      </c>
      <c r="I385" s="4">
        <v>0.63824550000000002</v>
      </c>
      <c r="J385" s="29">
        <f t="shared" si="20"/>
        <v>0.62643899999999997</v>
      </c>
      <c r="K385" s="16">
        <f t="shared" si="21"/>
        <v>91.5</v>
      </c>
      <c r="L385" s="17">
        <f t="shared" si="22"/>
        <v>90</v>
      </c>
      <c r="M385" s="17">
        <f t="shared" si="23"/>
        <v>-1.5</v>
      </c>
    </row>
    <row r="386" spans="1:13" ht="14.25" x14ac:dyDescent="0.15">
      <c r="A386" s="6">
        <v>385</v>
      </c>
      <c r="B386" s="1" t="s">
        <v>61</v>
      </c>
      <c r="C386" s="1" t="s">
        <v>26</v>
      </c>
      <c r="D386" s="1" t="s">
        <v>12</v>
      </c>
      <c r="E386" s="16">
        <f>VLOOKUP(C386,收费标准!A$3:B$5,2,FALSE)</f>
        <v>2.5</v>
      </c>
      <c r="F386" s="2">
        <v>41790</v>
      </c>
      <c r="G386" s="4">
        <v>1.2501E-2</v>
      </c>
      <c r="H386" s="2">
        <v>41790</v>
      </c>
      <c r="I386" s="4">
        <v>0.1854315</v>
      </c>
      <c r="J386" s="29">
        <f t="shared" si="20"/>
        <v>0.17293049999999999</v>
      </c>
      <c r="K386" s="16">
        <f t="shared" si="21"/>
        <v>42.5</v>
      </c>
      <c r="L386" s="17">
        <f t="shared" si="22"/>
        <v>40</v>
      </c>
      <c r="M386" s="17">
        <f t="shared" si="23"/>
        <v>-2.5</v>
      </c>
    </row>
    <row r="387" spans="1:13" ht="14.25" x14ac:dyDescent="0.15">
      <c r="A387" s="6">
        <v>386</v>
      </c>
      <c r="B387" s="1" t="s">
        <v>47</v>
      </c>
      <c r="C387" s="1" t="s">
        <v>11</v>
      </c>
      <c r="D387" s="1" t="s">
        <v>17</v>
      </c>
      <c r="E387" s="16">
        <f>VLOOKUP(C387,收费标准!A$3:B$5,2,FALSE)</f>
        <v>2</v>
      </c>
      <c r="F387" s="2">
        <v>41790</v>
      </c>
      <c r="G387" s="4">
        <v>1.3195500000000001E-2</v>
      </c>
      <c r="H387" s="2">
        <v>41790</v>
      </c>
      <c r="I387" s="4">
        <v>0.62643899999999997</v>
      </c>
      <c r="J387" s="29">
        <f t="shared" ref="J387:J450" si="24">H387-F387+I387-G387</f>
        <v>0.61324349999999994</v>
      </c>
      <c r="K387" s="16">
        <f t="shared" ref="K387:K450" si="25">ROUNDUP(J387*60*24/15,0)*E387</f>
        <v>118</v>
      </c>
      <c r="L387" s="17">
        <f t="shared" ref="L387:L450" si="26">ROUNDDOWN(J387*60*24/15,0)*E387</f>
        <v>116</v>
      </c>
      <c r="M387" s="17">
        <f t="shared" ref="M387:M450" si="27">L387-K387</f>
        <v>-2</v>
      </c>
    </row>
    <row r="388" spans="1:13" ht="14.25" x14ac:dyDescent="0.15">
      <c r="A388" s="6">
        <v>387</v>
      </c>
      <c r="B388" s="1" t="s">
        <v>19</v>
      </c>
      <c r="C388" s="1" t="s">
        <v>11</v>
      </c>
      <c r="D388" s="1" t="s">
        <v>17</v>
      </c>
      <c r="E388" s="16">
        <f>VLOOKUP(C388,收费标准!A$3:B$5,2,FALSE)</f>
        <v>2</v>
      </c>
      <c r="F388" s="2">
        <v>41790</v>
      </c>
      <c r="G388" s="4">
        <v>1.45845E-2</v>
      </c>
      <c r="H388" s="2">
        <v>41790</v>
      </c>
      <c r="I388" s="4">
        <v>0.31877549999999999</v>
      </c>
      <c r="J388" s="29">
        <f t="shared" si="24"/>
        <v>0.30419099999999999</v>
      </c>
      <c r="K388" s="16">
        <f t="shared" si="25"/>
        <v>60</v>
      </c>
      <c r="L388" s="17">
        <f t="shared" si="26"/>
        <v>58</v>
      </c>
      <c r="M388" s="17">
        <f t="shared" si="27"/>
        <v>-2</v>
      </c>
    </row>
    <row r="389" spans="1:13" ht="14.25" x14ac:dyDescent="0.15">
      <c r="A389" s="6">
        <v>388</v>
      </c>
      <c r="B389" s="1" t="s">
        <v>10</v>
      </c>
      <c r="C389" s="1" t="s">
        <v>11</v>
      </c>
      <c r="D389" s="1" t="s">
        <v>12</v>
      </c>
      <c r="E389" s="16">
        <f>VLOOKUP(C389,收费标准!A$3:B$5,2,FALSE)</f>
        <v>2</v>
      </c>
      <c r="F389" s="2">
        <v>41790</v>
      </c>
      <c r="G389" s="4">
        <v>3.8197500000000002E-2</v>
      </c>
      <c r="H389" s="2">
        <v>41790</v>
      </c>
      <c r="I389" s="4">
        <v>5.5559999999999998E-2</v>
      </c>
      <c r="J389" s="29">
        <f t="shared" si="24"/>
        <v>1.7362499999999996E-2</v>
      </c>
      <c r="K389" s="16">
        <f t="shared" si="25"/>
        <v>4</v>
      </c>
      <c r="L389" s="17">
        <f t="shared" si="26"/>
        <v>2</v>
      </c>
      <c r="M389" s="17">
        <f t="shared" si="27"/>
        <v>-2</v>
      </c>
    </row>
    <row r="390" spans="1:13" ht="14.25" x14ac:dyDescent="0.15">
      <c r="A390" s="6">
        <v>389</v>
      </c>
      <c r="B390" s="1" t="s">
        <v>154</v>
      </c>
      <c r="C390" s="1" t="s">
        <v>11</v>
      </c>
      <c r="D390" s="1" t="s">
        <v>12</v>
      </c>
      <c r="E390" s="16">
        <f>VLOOKUP(C390,收费标准!A$3:B$5,2,FALSE)</f>
        <v>2</v>
      </c>
      <c r="F390" s="2">
        <v>41790</v>
      </c>
      <c r="G390" s="4">
        <v>5.0698500000000001E-2</v>
      </c>
      <c r="H390" s="2">
        <v>41790</v>
      </c>
      <c r="I390" s="4">
        <v>0.31669200000000003</v>
      </c>
      <c r="J390" s="29">
        <f t="shared" si="24"/>
        <v>0.26599350000000005</v>
      </c>
      <c r="K390" s="16">
        <f t="shared" si="25"/>
        <v>52</v>
      </c>
      <c r="L390" s="17">
        <f t="shared" si="26"/>
        <v>50</v>
      </c>
      <c r="M390" s="17">
        <f t="shared" si="27"/>
        <v>-2</v>
      </c>
    </row>
    <row r="391" spans="1:13" ht="14.25" x14ac:dyDescent="0.15">
      <c r="A391" s="6">
        <v>390</v>
      </c>
      <c r="B391" s="1" t="s">
        <v>33</v>
      </c>
      <c r="C391" s="1" t="s">
        <v>26</v>
      </c>
      <c r="D391" s="1" t="s">
        <v>12</v>
      </c>
      <c r="E391" s="16">
        <f>VLOOKUP(C391,收费标准!A$3:B$5,2,FALSE)</f>
        <v>2.5</v>
      </c>
      <c r="F391" s="2">
        <v>41790</v>
      </c>
      <c r="G391" s="4">
        <v>6.7366499999999996E-2</v>
      </c>
      <c r="H391" s="2">
        <v>41790</v>
      </c>
      <c r="I391" s="4">
        <v>0.66671999999999998</v>
      </c>
      <c r="J391" s="29">
        <f t="shared" si="24"/>
        <v>0.59935349999999998</v>
      </c>
      <c r="K391" s="16">
        <f t="shared" si="25"/>
        <v>145</v>
      </c>
      <c r="L391" s="17">
        <f t="shared" si="26"/>
        <v>142.5</v>
      </c>
      <c r="M391" s="17">
        <f t="shared" si="27"/>
        <v>-2.5</v>
      </c>
    </row>
    <row r="392" spans="1:13" ht="14.25" x14ac:dyDescent="0.15">
      <c r="A392" s="6">
        <v>391</v>
      </c>
      <c r="B392" s="1" t="s">
        <v>97</v>
      </c>
      <c r="C392" s="1" t="s">
        <v>11</v>
      </c>
      <c r="D392" s="1" t="s">
        <v>12</v>
      </c>
      <c r="E392" s="16">
        <f>VLOOKUP(C392,收费标准!A$3:B$5,2,FALSE)</f>
        <v>2</v>
      </c>
      <c r="F392" s="2">
        <v>41790</v>
      </c>
      <c r="G392" s="4">
        <v>7.7089500000000005E-2</v>
      </c>
      <c r="H392" s="2">
        <v>41790</v>
      </c>
      <c r="I392" s="4">
        <v>0.3562785</v>
      </c>
      <c r="J392" s="29">
        <f t="shared" si="24"/>
        <v>0.27918900000000002</v>
      </c>
      <c r="K392" s="16">
        <f t="shared" si="25"/>
        <v>54</v>
      </c>
      <c r="L392" s="17">
        <f t="shared" si="26"/>
        <v>52</v>
      </c>
      <c r="M392" s="17">
        <f t="shared" si="27"/>
        <v>-2</v>
      </c>
    </row>
    <row r="393" spans="1:13" ht="14.25" x14ac:dyDescent="0.15">
      <c r="A393" s="6">
        <v>392</v>
      </c>
      <c r="B393" s="1" t="s">
        <v>20</v>
      </c>
      <c r="C393" s="1" t="s">
        <v>11</v>
      </c>
      <c r="D393" s="1" t="s">
        <v>17</v>
      </c>
      <c r="E393" s="16">
        <f>VLOOKUP(C393,收费标准!A$3:B$5,2,FALSE)</f>
        <v>2</v>
      </c>
      <c r="F393" s="2">
        <v>41790</v>
      </c>
      <c r="G393" s="4">
        <v>0.11112</v>
      </c>
      <c r="H393" s="2">
        <v>41790</v>
      </c>
      <c r="I393" s="4">
        <v>0.67297050000000003</v>
      </c>
      <c r="J393" s="29">
        <f t="shared" si="24"/>
        <v>0.56185050000000003</v>
      </c>
      <c r="K393" s="16">
        <f t="shared" si="25"/>
        <v>108</v>
      </c>
      <c r="L393" s="17">
        <f t="shared" si="26"/>
        <v>106</v>
      </c>
      <c r="M393" s="17">
        <f t="shared" si="27"/>
        <v>-2</v>
      </c>
    </row>
    <row r="394" spans="1:13" ht="14.25" x14ac:dyDescent="0.15">
      <c r="A394" s="6">
        <v>393</v>
      </c>
      <c r="B394" s="1" t="s">
        <v>175</v>
      </c>
      <c r="C394" s="1" t="s">
        <v>26</v>
      </c>
      <c r="D394" s="1" t="s">
        <v>22</v>
      </c>
      <c r="E394" s="16">
        <f>VLOOKUP(C394,收费标准!A$3:B$5,2,FALSE)</f>
        <v>2.5</v>
      </c>
      <c r="F394" s="2">
        <v>41790</v>
      </c>
      <c r="G394" s="4">
        <v>0.1118145</v>
      </c>
      <c r="H394" s="2">
        <v>41790</v>
      </c>
      <c r="I394" s="4">
        <v>0.40489350000000002</v>
      </c>
      <c r="J394" s="29">
        <f t="shared" si="24"/>
        <v>0.29307900000000003</v>
      </c>
      <c r="K394" s="16">
        <f t="shared" si="25"/>
        <v>72.5</v>
      </c>
      <c r="L394" s="17">
        <f t="shared" si="26"/>
        <v>70</v>
      </c>
      <c r="M394" s="17">
        <f t="shared" si="27"/>
        <v>-2.5</v>
      </c>
    </row>
    <row r="395" spans="1:13" ht="14.25" x14ac:dyDescent="0.15">
      <c r="A395" s="6">
        <v>394</v>
      </c>
      <c r="B395" s="1" t="s">
        <v>30</v>
      </c>
      <c r="C395" s="1" t="s">
        <v>14</v>
      </c>
      <c r="D395" s="1" t="s">
        <v>22</v>
      </c>
      <c r="E395" s="16">
        <f>VLOOKUP(C395,收费标准!A$3:B$5,2,FALSE)</f>
        <v>1.5</v>
      </c>
      <c r="F395" s="2">
        <v>41790</v>
      </c>
      <c r="G395" s="4">
        <v>0.12501000000000001</v>
      </c>
      <c r="H395" s="2">
        <v>41790</v>
      </c>
      <c r="I395" s="4">
        <v>0.51045750000000001</v>
      </c>
      <c r="J395" s="29">
        <f t="shared" si="24"/>
        <v>0.3854475</v>
      </c>
      <c r="K395" s="16">
        <f t="shared" si="25"/>
        <v>57</v>
      </c>
      <c r="L395" s="17">
        <f t="shared" si="26"/>
        <v>55.5</v>
      </c>
      <c r="M395" s="17">
        <f t="shared" si="27"/>
        <v>-1.5</v>
      </c>
    </row>
    <row r="396" spans="1:13" ht="14.25" x14ac:dyDescent="0.15">
      <c r="A396" s="6">
        <v>395</v>
      </c>
      <c r="B396" s="1" t="s">
        <v>102</v>
      </c>
      <c r="C396" s="1" t="s">
        <v>26</v>
      </c>
      <c r="D396" s="1" t="s">
        <v>15</v>
      </c>
      <c r="E396" s="16">
        <f>VLOOKUP(C396,收费标准!A$3:B$5,2,FALSE)</f>
        <v>2.5</v>
      </c>
      <c r="F396" s="2">
        <v>41790</v>
      </c>
      <c r="G396" s="4">
        <v>0.13542750000000001</v>
      </c>
      <c r="H396" s="2">
        <v>41790</v>
      </c>
      <c r="I396" s="4">
        <v>0.29238449999999999</v>
      </c>
      <c r="J396" s="29">
        <f t="shared" si="24"/>
        <v>0.15695699999999999</v>
      </c>
      <c r="K396" s="16">
        <f t="shared" si="25"/>
        <v>40</v>
      </c>
      <c r="L396" s="17">
        <f t="shared" si="26"/>
        <v>37.5</v>
      </c>
      <c r="M396" s="17">
        <f t="shared" si="27"/>
        <v>-2.5</v>
      </c>
    </row>
    <row r="397" spans="1:13" ht="14.25" x14ac:dyDescent="0.15">
      <c r="A397" s="6">
        <v>396</v>
      </c>
      <c r="B397" s="1" t="s">
        <v>132</v>
      </c>
      <c r="C397" s="1" t="s">
        <v>26</v>
      </c>
      <c r="D397" s="1" t="s">
        <v>12</v>
      </c>
      <c r="E397" s="16">
        <f>VLOOKUP(C397,收费标准!A$3:B$5,2,FALSE)</f>
        <v>2.5</v>
      </c>
      <c r="F397" s="2">
        <v>41790</v>
      </c>
      <c r="G397" s="4">
        <v>0.14237250000000001</v>
      </c>
      <c r="H397" s="2">
        <v>41790</v>
      </c>
      <c r="I397" s="4">
        <v>0.66394200000000003</v>
      </c>
      <c r="J397" s="29">
        <f t="shared" si="24"/>
        <v>0.52156950000000002</v>
      </c>
      <c r="K397" s="16">
        <f t="shared" si="25"/>
        <v>127.5</v>
      </c>
      <c r="L397" s="17">
        <f t="shared" si="26"/>
        <v>125</v>
      </c>
      <c r="M397" s="17">
        <f t="shared" si="27"/>
        <v>-2.5</v>
      </c>
    </row>
    <row r="398" spans="1:13" ht="14.25" x14ac:dyDescent="0.15">
      <c r="A398" s="6">
        <v>397</v>
      </c>
      <c r="B398" s="1" t="s">
        <v>115</v>
      </c>
      <c r="C398" s="1" t="s">
        <v>26</v>
      </c>
      <c r="D398" s="1" t="s">
        <v>12</v>
      </c>
      <c r="E398" s="16">
        <f>VLOOKUP(C398,收费标准!A$3:B$5,2,FALSE)</f>
        <v>2.5</v>
      </c>
      <c r="F398" s="2">
        <v>41790</v>
      </c>
      <c r="G398" s="4">
        <v>0.14653950000000002</v>
      </c>
      <c r="H398" s="2">
        <v>41790</v>
      </c>
      <c r="I398" s="4">
        <v>0.50073449999999997</v>
      </c>
      <c r="J398" s="29">
        <f t="shared" si="24"/>
        <v>0.35419499999999993</v>
      </c>
      <c r="K398" s="16">
        <f t="shared" si="25"/>
        <v>87.5</v>
      </c>
      <c r="L398" s="17">
        <f t="shared" si="26"/>
        <v>85</v>
      </c>
      <c r="M398" s="17">
        <f t="shared" si="27"/>
        <v>-2.5</v>
      </c>
    </row>
    <row r="399" spans="1:13" ht="14.25" x14ac:dyDescent="0.15">
      <c r="A399" s="6">
        <v>398</v>
      </c>
      <c r="B399" s="1" t="s">
        <v>179</v>
      </c>
      <c r="C399" s="1" t="s">
        <v>26</v>
      </c>
      <c r="D399" s="1" t="s">
        <v>17</v>
      </c>
      <c r="E399" s="16">
        <f>VLOOKUP(C399,收费标准!A$3:B$5,2,FALSE)</f>
        <v>2.5</v>
      </c>
      <c r="F399" s="2">
        <v>41790</v>
      </c>
      <c r="G399" s="4">
        <v>0.15695700000000001</v>
      </c>
      <c r="H399" s="2">
        <v>41790</v>
      </c>
      <c r="I399" s="4">
        <v>0.59657550000000004</v>
      </c>
      <c r="J399" s="29">
        <f t="shared" si="24"/>
        <v>0.43961850000000002</v>
      </c>
      <c r="K399" s="16">
        <f t="shared" si="25"/>
        <v>107.5</v>
      </c>
      <c r="L399" s="17">
        <f t="shared" si="26"/>
        <v>105</v>
      </c>
      <c r="M399" s="17">
        <f t="shared" si="27"/>
        <v>-2.5</v>
      </c>
    </row>
    <row r="400" spans="1:13" ht="14.25" x14ac:dyDescent="0.15">
      <c r="A400" s="6">
        <v>399</v>
      </c>
      <c r="B400" s="1" t="s">
        <v>108</v>
      </c>
      <c r="C400" s="1" t="s">
        <v>11</v>
      </c>
      <c r="D400" s="1" t="s">
        <v>22</v>
      </c>
      <c r="E400" s="16">
        <f>VLOOKUP(C400,收费标准!A$3:B$5,2,FALSE)</f>
        <v>2</v>
      </c>
      <c r="F400" s="2">
        <v>41790</v>
      </c>
      <c r="G400" s="4">
        <v>0.1576515</v>
      </c>
      <c r="H400" s="2">
        <v>41790</v>
      </c>
      <c r="I400" s="4">
        <v>0.21251700000000001</v>
      </c>
      <c r="J400" s="29">
        <f t="shared" si="24"/>
        <v>5.4865500000000011E-2</v>
      </c>
      <c r="K400" s="16">
        <f t="shared" si="25"/>
        <v>12</v>
      </c>
      <c r="L400" s="17">
        <f t="shared" si="26"/>
        <v>10</v>
      </c>
      <c r="M400" s="17">
        <f t="shared" si="27"/>
        <v>-2</v>
      </c>
    </row>
    <row r="401" spans="1:13" ht="14.25" x14ac:dyDescent="0.15">
      <c r="A401" s="6">
        <v>400</v>
      </c>
      <c r="B401" s="1" t="s">
        <v>99</v>
      </c>
      <c r="C401" s="1" t="s">
        <v>11</v>
      </c>
      <c r="D401" s="1" t="s">
        <v>12</v>
      </c>
      <c r="E401" s="16">
        <f>VLOOKUP(C401,收费标准!A$3:B$5,2,FALSE)</f>
        <v>2</v>
      </c>
      <c r="F401" s="2">
        <v>41790</v>
      </c>
      <c r="G401" s="4">
        <v>0.15973500000000002</v>
      </c>
      <c r="H401" s="2">
        <v>41790</v>
      </c>
      <c r="I401" s="4">
        <v>0.67366500000000007</v>
      </c>
      <c r="J401" s="29">
        <f t="shared" si="24"/>
        <v>0.51393</v>
      </c>
      <c r="K401" s="16">
        <f t="shared" si="25"/>
        <v>100</v>
      </c>
      <c r="L401" s="17">
        <f t="shared" si="26"/>
        <v>98</v>
      </c>
      <c r="M401" s="17">
        <f t="shared" si="27"/>
        <v>-2</v>
      </c>
    </row>
    <row r="402" spans="1:13" ht="14.25" x14ac:dyDescent="0.15">
      <c r="A402" s="6">
        <v>401</v>
      </c>
      <c r="B402" s="1" t="s">
        <v>134</v>
      </c>
      <c r="C402" s="1" t="s">
        <v>14</v>
      </c>
      <c r="D402" s="1" t="s">
        <v>15</v>
      </c>
      <c r="E402" s="16">
        <f>VLOOKUP(C402,收费标准!A$3:B$5,2,FALSE)</f>
        <v>1.5</v>
      </c>
      <c r="F402" s="2">
        <v>41790</v>
      </c>
      <c r="G402" s="4">
        <v>0.16667999999999999</v>
      </c>
      <c r="H402" s="2">
        <v>41790</v>
      </c>
      <c r="I402" s="4">
        <v>0.21668400000000002</v>
      </c>
      <c r="J402" s="29">
        <f t="shared" si="24"/>
        <v>5.0004000000000021E-2</v>
      </c>
      <c r="K402" s="16">
        <f t="shared" si="25"/>
        <v>7.5</v>
      </c>
      <c r="L402" s="17">
        <f t="shared" si="26"/>
        <v>6</v>
      </c>
      <c r="M402" s="17">
        <f t="shared" si="27"/>
        <v>-1.5</v>
      </c>
    </row>
    <row r="403" spans="1:13" ht="14.25" x14ac:dyDescent="0.15">
      <c r="A403" s="6">
        <v>402</v>
      </c>
      <c r="B403" s="1" t="s">
        <v>110</v>
      </c>
      <c r="C403" s="1" t="s">
        <v>14</v>
      </c>
      <c r="D403" s="1" t="s">
        <v>17</v>
      </c>
      <c r="E403" s="16">
        <f>VLOOKUP(C403,收费标准!A$3:B$5,2,FALSE)</f>
        <v>1.5</v>
      </c>
      <c r="F403" s="2">
        <v>41790</v>
      </c>
      <c r="G403" s="4">
        <v>0.17015250000000001</v>
      </c>
      <c r="H403" s="2">
        <v>41790</v>
      </c>
      <c r="I403" s="4">
        <v>0.41808899999999999</v>
      </c>
      <c r="J403" s="29">
        <f t="shared" si="24"/>
        <v>0.24793649999999998</v>
      </c>
      <c r="K403" s="16">
        <f t="shared" si="25"/>
        <v>36</v>
      </c>
      <c r="L403" s="17">
        <f t="shared" si="26"/>
        <v>34.5</v>
      </c>
      <c r="M403" s="17">
        <f t="shared" si="27"/>
        <v>-1.5</v>
      </c>
    </row>
    <row r="404" spans="1:13" ht="14.25" x14ac:dyDescent="0.15">
      <c r="A404" s="6">
        <v>403</v>
      </c>
      <c r="B404" s="1" t="s">
        <v>188</v>
      </c>
      <c r="C404" s="1" t="s">
        <v>14</v>
      </c>
      <c r="D404" s="1" t="s">
        <v>15</v>
      </c>
      <c r="E404" s="16">
        <f>VLOOKUP(C404,收费标准!A$3:B$5,2,FALSE)</f>
        <v>1.5</v>
      </c>
      <c r="F404" s="2">
        <v>41790</v>
      </c>
      <c r="G404" s="4">
        <v>0.1826535</v>
      </c>
      <c r="H404" s="2">
        <v>41790</v>
      </c>
      <c r="I404" s="4">
        <v>0.4965675</v>
      </c>
      <c r="J404" s="29">
        <f t="shared" si="24"/>
        <v>0.31391400000000003</v>
      </c>
      <c r="K404" s="16">
        <f t="shared" si="25"/>
        <v>46.5</v>
      </c>
      <c r="L404" s="17">
        <f t="shared" si="26"/>
        <v>45</v>
      </c>
      <c r="M404" s="17">
        <f t="shared" si="27"/>
        <v>-1.5</v>
      </c>
    </row>
    <row r="405" spans="1:13" ht="14.25" x14ac:dyDescent="0.15">
      <c r="A405" s="6">
        <v>404</v>
      </c>
      <c r="B405" s="1" t="s">
        <v>136</v>
      </c>
      <c r="C405" s="1" t="s">
        <v>14</v>
      </c>
      <c r="D405" s="1" t="s">
        <v>12</v>
      </c>
      <c r="E405" s="16">
        <f>VLOOKUP(C405,收费标准!A$3:B$5,2,FALSE)</f>
        <v>1.5</v>
      </c>
      <c r="F405" s="2">
        <v>41790</v>
      </c>
      <c r="G405" s="4">
        <v>0.205572</v>
      </c>
      <c r="H405" s="2">
        <v>41790</v>
      </c>
      <c r="I405" s="4">
        <v>0.79450799999999999</v>
      </c>
      <c r="J405" s="29">
        <f t="shared" si="24"/>
        <v>0.58893600000000002</v>
      </c>
      <c r="K405" s="16">
        <f t="shared" si="25"/>
        <v>85.5</v>
      </c>
      <c r="L405" s="17">
        <f t="shared" si="26"/>
        <v>84</v>
      </c>
      <c r="M405" s="17">
        <f t="shared" si="27"/>
        <v>-1.5</v>
      </c>
    </row>
    <row r="406" spans="1:13" ht="14.25" x14ac:dyDescent="0.15">
      <c r="A406" s="6">
        <v>405</v>
      </c>
      <c r="B406" s="1" t="s">
        <v>67</v>
      </c>
      <c r="C406" s="1" t="s">
        <v>11</v>
      </c>
      <c r="D406" s="1" t="s">
        <v>22</v>
      </c>
      <c r="E406" s="16">
        <f>VLOOKUP(C406,收费标准!A$3:B$5,2,FALSE)</f>
        <v>2</v>
      </c>
      <c r="F406" s="2">
        <v>41790</v>
      </c>
      <c r="G406" s="4">
        <v>0.22223999999999999</v>
      </c>
      <c r="H406" s="2">
        <v>41790</v>
      </c>
      <c r="I406" s="4">
        <v>0.85006800000000005</v>
      </c>
      <c r="J406" s="29">
        <f t="shared" si="24"/>
        <v>0.62782800000000005</v>
      </c>
      <c r="K406" s="16">
        <f t="shared" si="25"/>
        <v>122</v>
      </c>
      <c r="L406" s="17">
        <f t="shared" si="26"/>
        <v>120</v>
      </c>
      <c r="M406" s="17">
        <f t="shared" si="27"/>
        <v>-2</v>
      </c>
    </row>
    <row r="407" spans="1:13" ht="14.25" x14ac:dyDescent="0.15">
      <c r="A407" s="6">
        <v>406</v>
      </c>
      <c r="B407" s="1" t="s">
        <v>35</v>
      </c>
      <c r="C407" s="1" t="s">
        <v>14</v>
      </c>
      <c r="D407" s="1" t="s">
        <v>17</v>
      </c>
      <c r="E407" s="16">
        <f>VLOOKUP(C407,收费标准!A$3:B$5,2,FALSE)</f>
        <v>1.5</v>
      </c>
      <c r="F407" s="2">
        <v>41790</v>
      </c>
      <c r="G407" s="4">
        <v>0.25002000000000002</v>
      </c>
      <c r="H407" s="2">
        <v>41790</v>
      </c>
      <c r="I407" s="4">
        <v>0.92021249999999999</v>
      </c>
      <c r="J407" s="29">
        <f t="shared" si="24"/>
        <v>0.67019249999999997</v>
      </c>
      <c r="K407" s="16">
        <f t="shared" si="25"/>
        <v>97.5</v>
      </c>
      <c r="L407" s="17">
        <f t="shared" si="26"/>
        <v>96</v>
      </c>
      <c r="M407" s="17">
        <f t="shared" si="27"/>
        <v>-1.5</v>
      </c>
    </row>
    <row r="408" spans="1:13" ht="14.25" x14ac:dyDescent="0.15">
      <c r="A408" s="6">
        <v>407</v>
      </c>
      <c r="B408" s="1" t="s">
        <v>182</v>
      </c>
      <c r="C408" s="1" t="s">
        <v>14</v>
      </c>
      <c r="D408" s="1" t="s">
        <v>22</v>
      </c>
      <c r="E408" s="16">
        <f>VLOOKUP(C408,收费标准!A$3:B$5,2,FALSE)</f>
        <v>1.5</v>
      </c>
      <c r="F408" s="2">
        <v>41790</v>
      </c>
      <c r="G408" s="4">
        <v>0.25140899999999999</v>
      </c>
      <c r="H408" s="2">
        <v>41790</v>
      </c>
      <c r="I408" s="4">
        <v>0.55490550000000005</v>
      </c>
      <c r="J408" s="29">
        <f t="shared" si="24"/>
        <v>0.30349650000000006</v>
      </c>
      <c r="K408" s="16">
        <f t="shared" si="25"/>
        <v>45</v>
      </c>
      <c r="L408" s="17">
        <f t="shared" si="26"/>
        <v>43.5</v>
      </c>
      <c r="M408" s="17">
        <f t="shared" si="27"/>
        <v>-1.5</v>
      </c>
    </row>
    <row r="409" spans="1:13" ht="14.25" x14ac:dyDescent="0.15">
      <c r="A409" s="6">
        <v>408</v>
      </c>
      <c r="B409" s="1" t="s">
        <v>118</v>
      </c>
      <c r="C409" s="1" t="s">
        <v>26</v>
      </c>
      <c r="D409" s="1" t="s">
        <v>22</v>
      </c>
      <c r="E409" s="16">
        <f>VLOOKUP(C409,收费标准!A$3:B$5,2,FALSE)</f>
        <v>2.5</v>
      </c>
      <c r="F409" s="2">
        <v>41790</v>
      </c>
      <c r="G409" s="4">
        <v>0.2771055</v>
      </c>
      <c r="H409" s="2">
        <v>41790</v>
      </c>
      <c r="I409" s="4">
        <v>0.73547550000000006</v>
      </c>
      <c r="J409" s="29">
        <f t="shared" si="24"/>
        <v>0.45837000000000006</v>
      </c>
      <c r="K409" s="16">
        <f t="shared" si="25"/>
        <v>112.5</v>
      </c>
      <c r="L409" s="17">
        <f t="shared" si="26"/>
        <v>110</v>
      </c>
      <c r="M409" s="17">
        <f t="shared" si="27"/>
        <v>-2.5</v>
      </c>
    </row>
    <row r="410" spans="1:13" ht="14.25" x14ac:dyDescent="0.15">
      <c r="A410" s="6">
        <v>409</v>
      </c>
      <c r="B410" s="1" t="s">
        <v>88</v>
      </c>
      <c r="C410" s="1" t="s">
        <v>11</v>
      </c>
      <c r="D410" s="1" t="s">
        <v>15</v>
      </c>
      <c r="E410" s="16">
        <f>VLOOKUP(C410,收费标准!A$3:B$5,2,FALSE)</f>
        <v>2</v>
      </c>
      <c r="F410" s="2">
        <v>41790</v>
      </c>
      <c r="G410" s="4">
        <v>0.28474500000000003</v>
      </c>
      <c r="H410" s="2">
        <v>41790</v>
      </c>
      <c r="I410" s="4">
        <v>0.49170600000000003</v>
      </c>
      <c r="J410" s="29">
        <f t="shared" si="24"/>
        <v>0.20696100000000001</v>
      </c>
      <c r="K410" s="16">
        <f t="shared" si="25"/>
        <v>40</v>
      </c>
      <c r="L410" s="17">
        <f t="shared" si="26"/>
        <v>38</v>
      </c>
      <c r="M410" s="17">
        <f t="shared" si="27"/>
        <v>-2</v>
      </c>
    </row>
    <row r="411" spans="1:13" ht="14.25" x14ac:dyDescent="0.15">
      <c r="A411" s="6">
        <v>410</v>
      </c>
      <c r="B411" s="1" t="s">
        <v>141</v>
      </c>
      <c r="C411" s="1" t="s">
        <v>26</v>
      </c>
      <c r="D411" s="1" t="s">
        <v>15</v>
      </c>
      <c r="E411" s="16">
        <f>VLOOKUP(C411,收费标准!A$3:B$5,2,FALSE)</f>
        <v>2.5</v>
      </c>
      <c r="F411" s="2">
        <v>41790</v>
      </c>
      <c r="G411" s="4">
        <v>0.29516249999999999</v>
      </c>
      <c r="H411" s="2">
        <v>41790</v>
      </c>
      <c r="I411" s="4">
        <v>0.54171000000000002</v>
      </c>
      <c r="J411" s="29">
        <f t="shared" si="24"/>
        <v>0.24654750000000003</v>
      </c>
      <c r="K411" s="16">
        <f t="shared" si="25"/>
        <v>60</v>
      </c>
      <c r="L411" s="17">
        <f t="shared" si="26"/>
        <v>57.5</v>
      </c>
      <c r="M411" s="17">
        <f t="shared" si="27"/>
        <v>-2.5</v>
      </c>
    </row>
    <row r="412" spans="1:13" ht="14.25" x14ac:dyDescent="0.15">
      <c r="A412" s="6">
        <v>411</v>
      </c>
      <c r="B412" s="1" t="s">
        <v>204</v>
      </c>
      <c r="C412" s="1" t="s">
        <v>14</v>
      </c>
      <c r="D412" s="1" t="s">
        <v>17</v>
      </c>
      <c r="E412" s="16">
        <f>VLOOKUP(C412,收费标准!A$3:B$5,2,FALSE)</f>
        <v>1.5</v>
      </c>
      <c r="F412" s="2">
        <v>41790</v>
      </c>
      <c r="G412" s="4">
        <v>0.32572050000000002</v>
      </c>
      <c r="H412" s="2">
        <v>41790</v>
      </c>
      <c r="I412" s="4">
        <v>0.41392200000000001</v>
      </c>
      <c r="J412" s="29">
        <f t="shared" si="24"/>
        <v>8.8201499999999988E-2</v>
      </c>
      <c r="K412" s="16">
        <f t="shared" si="25"/>
        <v>13.5</v>
      </c>
      <c r="L412" s="17">
        <f t="shared" si="26"/>
        <v>12</v>
      </c>
      <c r="M412" s="17">
        <f t="shared" si="27"/>
        <v>-1.5</v>
      </c>
    </row>
    <row r="413" spans="1:13" ht="14.25" x14ac:dyDescent="0.15">
      <c r="A413" s="6">
        <v>412</v>
      </c>
      <c r="B413" s="1" t="s">
        <v>113</v>
      </c>
      <c r="C413" s="1" t="s">
        <v>26</v>
      </c>
      <c r="D413" s="1" t="s">
        <v>17</v>
      </c>
      <c r="E413" s="16">
        <f>VLOOKUP(C413,收费标准!A$3:B$5,2,FALSE)</f>
        <v>2.5</v>
      </c>
      <c r="F413" s="2">
        <v>41790</v>
      </c>
      <c r="G413" s="4">
        <v>0.34863900000000003</v>
      </c>
      <c r="H413" s="2">
        <v>41790</v>
      </c>
      <c r="I413" s="4">
        <v>0.59796450000000001</v>
      </c>
      <c r="J413" s="29">
        <f t="shared" si="24"/>
        <v>0.24932549999999998</v>
      </c>
      <c r="K413" s="16">
        <f t="shared" si="25"/>
        <v>60</v>
      </c>
      <c r="L413" s="17">
        <f t="shared" si="26"/>
        <v>57.5</v>
      </c>
      <c r="M413" s="17">
        <f t="shared" si="27"/>
        <v>-2.5</v>
      </c>
    </row>
    <row r="414" spans="1:13" ht="14.25" x14ac:dyDescent="0.15">
      <c r="A414" s="6">
        <v>413</v>
      </c>
      <c r="B414" s="1" t="s">
        <v>91</v>
      </c>
      <c r="C414" s="1" t="s">
        <v>26</v>
      </c>
      <c r="D414" s="1" t="s">
        <v>22</v>
      </c>
      <c r="E414" s="16">
        <f>VLOOKUP(C414,收费标准!A$3:B$5,2,FALSE)</f>
        <v>2.5</v>
      </c>
      <c r="F414" s="2">
        <v>41790</v>
      </c>
      <c r="G414" s="4">
        <v>0.38336400000000004</v>
      </c>
      <c r="H414" s="2">
        <v>41790</v>
      </c>
      <c r="I414" s="4">
        <v>0.75422699999999998</v>
      </c>
      <c r="J414" s="29">
        <f t="shared" si="24"/>
        <v>0.37086299999999994</v>
      </c>
      <c r="K414" s="16">
        <f t="shared" si="25"/>
        <v>90</v>
      </c>
      <c r="L414" s="17">
        <f t="shared" si="26"/>
        <v>87.5</v>
      </c>
      <c r="M414" s="17">
        <f t="shared" si="27"/>
        <v>-2.5</v>
      </c>
    </row>
    <row r="415" spans="1:13" ht="14.25" x14ac:dyDescent="0.15">
      <c r="A415" s="6">
        <v>414</v>
      </c>
      <c r="B415" s="1" t="s">
        <v>74</v>
      </c>
      <c r="C415" s="1" t="s">
        <v>14</v>
      </c>
      <c r="D415" s="1" t="s">
        <v>15</v>
      </c>
      <c r="E415" s="16">
        <f>VLOOKUP(C415,收费标准!A$3:B$5,2,FALSE)</f>
        <v>1.5</v>
      </c>
      <c r="F415" s="2">
        <v>41790</v>
      </c>
      <c r="G415" s="4">
        <v>0.39933750000000001</v>
      </c>
      <c r="H415" s="2">
        <v>41790</v>
      </c>
      <c r="I415" s="4">
        <v>0.48615000000000003</v>
      </c>
      <c r="J415" s="29">
        <f t="shared" si="24"/>
        <v>8.6812500000000015E-2</v>
      </c>
      <c r="K415" s="16">
        <f t="shared" si="25"/>
        <v>13.5</v>
      </c>
      <c r="L415" s="17">
        <f t="shared" si="26"/>
        <v>12</v>
      </c>
      <c r="M415" s="17">
        <f t="shared" si="27"/>
        <v>-1.5</v>
      </c>
    </row>
    <row r="416" spans="1:13" ht="14.25" x14ac:dyDescent="0.15">
      <c r="A416" s="6">
        <v>415</v>
      </c>
      <c r="B416" s="1" t="s">
        <v>165</v>
      </c>
      <c r="C416" s="1" t="s">
        <v>26</v>
      </c>
      <c r="D416" s="1" t="s">
        <v>12</v>
      </c>
      <c r="E416" s="16">
        <f>VLOOKUP(C416,收费标准!A$3:B$5,2,FALSE)</f>
        <v>2.5</v>
      </c>
      <c r="F416" s="2">
        <v>41790</v>
      </c>
      <c r="G416" s="4">
        <v>0.43684050000000002</v>
      </c>
      <c r="H416" s="2">
        <v>41790</v>
      </c>
      <c r="I416" s="4">
        <v>0.57643500000000003</v>
      </c>
      <c r="J416" s="29">
        <f t="shared" si="24"/>
        <v>0.13959450000000001</v>
      </c>
      <c r="K416" s="16">
        <f t="shared" si="25"/>
        <v>35</v>
      </c>
      <c r="L416" s="17">
        <f t="shared" si="26"/>
        <v>32.5</v>
      </c>
      <c r="M416" s="17">
        <f t="shared" si="27"/>
        <v>-2.5</v>
      </c>
    </row>
    <row r="417" spans="1:13" ht="14.25" x14ac:dyDescent="0.15">
      <c r="A417" s="6">
        <v>416</v>
      </c>
      <c r="B417" s="1" t="s">
        <v>196</v>
      </c>
      <c r="C417" s="1" t="s">
        <v>11</v>
      </c>
      <c r="D417" s="1" t="s">
        <v>12</v>
      </c>
      <c r="E417" s="16">
        <f>VLOOKUP(C417,收费标准!A$3:B$5,2,FALSE)</f>
        <v>2</v>
      </c>
      <c r="F417" s="2">
        <v>41790</v>
      </c>
      <c r="G417" s="4">
        <v>0.43753500000000001</v>
      </c>
      <c r="H417" s="2">
        <v>41790</v>
      </c>
      <c r="I417" s="4">
        <v>0.59171400000000007</v>
      </c>
      <c r="J417" s="29">
        <f t="shared" si="24"/>
        <v>0.15417900000000007</v>
      </c>
      <c r="K417" s="16">
        <f t="shared" si="25"/>
        <v>30</v>
      </c>
      <c r="L417" s="17">
        <f t="shared" si="26"/>
        <v>28</v>
      </c>
      <c r="M417" s="17">
        <f t="shared" si="27"/>
        <v>-2</v>
      </c>
    </row>
    <row r="418" spans="1:13" ht="14.25" x14ac:dyDescent="0.15">
      <c r="A418" s="6">
        <v>417</v>
      </c>
      <c r="B418" s="1" t="s">
        <v>189</v>
      </c>
      <c r="C418" s="1" t="s">
        <v>14</v>
      </c>
      <c r="D418" s="1" t="s">
        <v>15</v>
      </c>
      <c r="E418" s="16">
        <f>VLOOKUP(C418,收费标准!A$3:B$5,2,FALSE)</f>
        <v>1.5</v>
      </c>
      <c r="F418" s="2">
        <v>41790</v>
      </c>
      <c r="G418" s="4">
        <v>0.45420300000000002</v>
      </c>
      <c r="H418" s="2">
        <v>41790</v>
      </c>
      <c r="I418" s="4">
        <v>0.863958</v>
      </c>
      <c r="J418" s="29">
        <f t="shared" si="24"/>
        <v>0.40975499999999998</v>
      </c>
      <c r="K418" s="16">
        <f t="shared" si="25"/>
        <v>60</v>
      </c>
      <c r="L418" s="17">
        <f t="shared" si="26"/>
        <v>58.5</v>
      </c>
      <c r="M418" s="17">
        <f t="shared" si="27"/>
        <v>-1.5</v>
      </c>
    </row>
    <row r="419" spans="1:13" ht="14.25" x14ac:dyDescent="0.15">
      <c r="A419" s="6">
        <v>418</v>
      </c>
      <c r="B419" s="1" t="s">
        <v>177</v>
      </c>
      <c r="C419" s="1" t="s">
        <v>14</v>
      </c>
      <c r="D419" s="1" t="s">
        <v>12</v>
      </c>
      <c r="E419" s="16">
        <f>VLOOKUP(C419,收费标准!A$3:B$5,2,FALSE)</f>
        <v>1.5</v>
      </c>
      <c r="F419" s="2">
        <v>41790</v>
      </c>
      <c r="G419" s="4">
        <v>0.45628650000000004</v>
      </c>
      <c r="H419" s="2">
        <v>41790</v>
      </c>
      <c r="I419" s="4">
        <v>0.9841065</v>
      </c>
      <c r="J419" s="29">
        <f t="shared" si="24"/>
        <v>0.52781999999999996</v>
      </c>
      <c r="K419" s="16">
        <f t="shared" si="25"/>
        <v>76.5</v>
      </c>
      <c r="L419" s="17">
        <f t="shared" si="26"/>
        <v>75</v>
      </c>
      <c r="M419" s="17">
        <f t="shared" si="27"/>
        <v>-1.5</v>
      </c>
    </row>
    <row r="420" spans="1:13" ht="14.25" x14ac:dyDescent="0.15">
      <c r="A420" s="6">
        <v>419</v>
      </c>
      <c r="B420" s="1" t="s">
        <v>121</v>
      </c>
      <c r="C420" s="1" t="s">
        <v>11</v>
      </c>
      <c r="D420" s="1" t="s">
        <v>12</v>
      </c>
      <c r="E420" s="16">
        <f>VLOOKUP(C420,收费标准!A$3:B$5,2,FALSE)</f>
        <v>2</v>
      </c>
      <c r="F420" s="2">
        <v>41790</v>
      </c>
      <c r="G420" s="4">
        <v>0.46531500000000003</v>
      </c>
      <c r="H420" s="2">
        <v>41791</v>
      </c>
      <c r="I420" s="4">
        <v>5.6254499999999999E-2</v>
      </c>
      <c r="J420" s="29">
        <f t="shared" si="24"/>
        <v>0.59093950000000006</v>
      </c>
      <c r="K420" s="16">
        <f t="shared" si="25"/>
        <v>114</v>
      </c>
      <c r="L420" s="17">
        <f t="shared" si="26"/>
        <v>112</v>
      </c>
      <c r="M420" s="17">
        <f t="shared" si="27"/>
        <v>-2</v>
      </c>
    </row>
    <row r="421" spans="1:13" ht="14.25" x14ac:dyDescent="0.15">
      <c r="A421" s="6">
        <v>420</v>
      </c>
      <c r="B421" s="1" t="s">
        <v>200</v>
      </c>
      <c r="C421" s="1" t="s">
        <v>14</v>
      </c>
      <c r="D421" s="1" t="s">
        <v>12</v>
      </c>
      <c r="E421" s="16">
        <f>VLOOKUP(C421,收费标准!A$3:B$5,2,FALSE)</f>
        <v>1.5</v>
      </c>
      <c r="F421" s="2">
        <v>41790</v>
      </c>
      <c r="G421" s="4">
        <v>0.47434350000000003</v>
      </c>
      <c r="H421" s="2">
        <v>41790</v>
      </c>
      <c r="I421" s="4">
        <v>0.67505400000000004</v>
      </c>
      <c r="J421" s="29">
        <f t="shared" si="24"/>
        <v>0.20071050000000001</v>
      </c>
      <c r="K421" s="16">
        <f t="shared" si="25"/>
        <v>30</v>
      </c>
      <c r="L421" s="17">
        <f t="shared" si="26"/>
        <v>28.5</v>
      </c>
      <c r="M421" s="17">
        <f t="shared" si="27"/>
        <v>-1.5</v>
      </c>
    </row>
    <row r="422" spans="1:13" ht="14.25" x14ac:dyDescent="0.15">
      <c r="A422" s="6">
        <v>421</v>
      </c>
      <c r="B422" s="1" t="s">
        <v>54</v>
      </c>
      <c r="C422" s="1" t="s">
        <v>11</v>
      </c>
      <c r="D422" s="1" t="s">
        <v>15</v>
      </c>
      <c r="E422" s="16">
        <f>VLOOKUP(C422,收费标准!A$3:B$5,2,FALSE)</f>
        <v>2</v>
      </c>
      <c r="F422" s="2">
        <v>41790</v>
      </c>
      <c r="G422" s="4">
        <v>0.47920499999999999</v>
      </c>
      <c r="H422" s="2">
        <v>41790</v>
      </c>
      <c r="I422" s="4">
        <v>0.89104349999999999</v>
      </c>
      <c r="J422" s="29">
        <f t="shared" si="24"/>
        <v>0.4118385</v>
      </c>
      <c r="K422" s="16">
        <f t="shared" si="25"/>
        <v>80</v>
      </c>
      <c r="L422" s="17">
        <f t="shared" si="26"/>
        <v>78</v>
      </c>
      <c r="M422" s="17">
        <f t="shared" si="27"/>
        <v>-2</v>
      </c>
    </row>
    <row r="423" spans="1:13" ht="14.25" x14ac:dyDescent="0.15">
      <c r="A423" s="6">
        <v>422</v>
      </c>
      <c r="B423" s="1" t="s">
        <v>103</v>
      </c>
      <c r="C423" s="1" t="s">
        <v>14</v>
      </c>
      <c r="D423" s="1" t="s">
        <v>15</v>
      </c>
      <c r="E423" s="16">
        <f>VLOOKUP(C423,收费标准!A$3:B$5,2,FALSE)</f>
        <v>1.5</v>
      </c>
      <c r="F423" s="2">
        <v>41790</v>
      </c>
      <c r="G423" s="4">
        <v>0.48892800000000003</v>
      </c>
      <c r="H423" s="2">
        <v>41790</v>
      </c>
      <c r="I423" s="4">
        <v>0.64796850000000006</v>
      </c>
      <c r="J423" s="29">
        <f t="shared" si="24"/>
        <v>0.15904050000000003</v>
      </c>
      <c r="K423" s="16">
        <f t="shared" si="25"/>
        <v>24</v>
      </c>
      <c r="L423" s="17">
        <f t="shared" si="26"/>
        <v>22.5</v>
      </c>
      <c r="M423" s="17">
        <f t="shared" si="27"/>
        <v>-1.5</v>
      </c>
    </row>
    <row r="424" spans="1:13" ht="14.25" x14ac:dyDescent="0.15">
      <c r="A424" s="6">
        <v>423</v>
      </c>
      <c r="B424" s="1" t="s">
        <v>52</v>
      </c>
      <c r="C424" s="1" t="s">
        <v>26</v>
      </c>
      <c r="D424" s="1" t="s">
        <v>12</v>
      </c>
      <c r="E424" s="16">
        <f>VLOOKUP(C424,收费标准!A$3:B$5,2,FALSE)</f>
        <v>2.5</v>
      </c>
      <c r="F424" s="2">
        <v>41790</v>
      </c>
      <c r="G424" s="4">
        <v>0.49726200000000004</v>
      </c>
      <c r="H424" s="2">
        <v>41790</v>
      </c>
      <c r="I424" s="4">
        <v>0.60629850000000007</v>
      </c>
      <c r="J424" s="29">
        <f t="shared" si="24"/>
        <v>0.10903650000000004</v>
      </c>
      <c r="K424" s="16">
        <f t="shared" si="25"/>
        <v>27.5</v>
      </c>
      <c r="L424" s="17">
        <f t="shared" si="26"/>
        <v>25</v>
      </c>
      <c r="M424" s="17">
        <f t="shared" si="27"/>
        <v>-2.5</v>
      </c>
    </row>
    <row r="425" spans="1:13" ht="14.25" x14ac:dyDescent="0.15">
      <c r="A425" s="6">
        <v>424</v>
      </c>
      <c r="B425" s="1" t="s">
        <v>203</v>
      </c>
      <c r="C425" s="1" t="s">
        <v>26</v>
      </c>
      <c r="D425" s="1" t="s">
        <v>15</v>
      </c>
      <c r="E425" s="16">
        <f>VLOOKUP(C425,收费标准!A$3:B$5,2,FALSE)</f>
        <v>2.5</v>
      </c>
      <c r="F425" s="2">
        <v>41790</v>
      </c>
      <c r="G425" s="4">
        <v>0.51809700000000003</v>
      </c>
      <c r="H425" s="2">
        <v>41790</v>
      </c>
      <c r="I425" s="4">
        <v>0.59657550000000004</v>
      </c>
      <c r="J425" s="29">
        <f t="shared" si="24"/>
        <v>7.8478500000000007E-2</v>
      </c>
      <c r="K425" s="16">
        <f t="shared" si="25"/>
        <v>20</v>
      </c>
      <c r="L425" s="17">
        <f t="shared" si="26"/>
        <v>17.5</v>
      </c>
      <c r="M425" s="17">
        <f t="shared" si="27"/>
        <v>-2.5</v>
      </c>
    </row>
    <row r="426" spans="1:13" ht="14.25" x14ac:dyDescent="0.15">
      <c r="A426" s="6">
        <v>425</v>
      </c>
      <c r="B426" s="1" t="s">
        <v>114</v>
      </c>
      <c r="C426" s="1" t="s">
        <v>26</v>
      </c>
      <c r="D426" s="1" t="s">
        <v>17</v>
      </c>
      <c r="E426" s="16">
        <f>VLOOKUP(C426,收费标准!A$3:B$5,2,FALSE)</f>
        <v>2.5</v>
      </c>
      <c r="F426" s="2">
        <v>41790</v>
      </c>
      <c r="G426" s="4">
        <v>0.53476500000000005</v>
      </c>
      <c r="H426" s="2">
        <v>41790</v>
      </c>
      <c r="I426" s="4">
        <v>0.91882350000000002</v>
      </c>
      <c r="J426" s="29">
        <f t="shared" si="24"/>
        <v>0.38405849999999997</v>
      </c>
      <c r="K426" s="16">
        <f t="shared" si="25"/>
        <v>92.5</v>
      </c>
      <c r="L426" s="17">
        <f t="shared" si="26"/>
        <v>90</v>
      </c>
      <c r="M426" s="17">
        <f t="shared" si="27"/>
        <v>-2.5</v>
      </c>
    </row>
    <row r="427" spans="1:13" ht="14.25" x14ac:dyDescent="0.15">
      <c r="A427" s="6">
        <v>426</v>
      </c>
      <c r="B427" s="1" t="s">
        <v>53</v>
      </c>
      <c r="C427" s="1" t="s">
        <v>14</v>
      </c>
      <c r="D427" s="1" t="s">
        <v>17</v>
      </c>
      <c r="E427" s="16">
        <f>VLOOKUP(C427,收费标准!A$3:B$5,2,FALSE)</f>
        <v>1.5</v>
      </c>
      <c r="F427" s="2">
        <v>41790</v>
      </c>
      <c r="G427" s="4">
        <v>0.53615400000000002</v>
      </c>
      <c r="H427" s="2">
        <v>41791</v>
      </c>
      <c r="I427" s="4">
        <v>8.4728999999999999E-2</v>
      </c>
      <c r="J427" s="29">
        <f t="shared" si="24"/>
        <v>0.54857500000000003</v>
      </c>
      <c r="K427" s="16">
        <f t="shared" si="25"/>
        <v>79.5</v>
      </c>
      <c r="L427" s="17">
        <f t="shared" si="26"/>
        <v>78</v>
      </c>
      <c r="M427" s="17">
        <f t="shared" si="27"/>
        <v>-1.5</v>
      </c>
    </row>
    <row r="428" spans="1:13" ht="14.25" x14ac:dyDescent="0.15">
      <c r="A428" s="6">
        <v>427</v>
      </c>
      <c r="B428" s="1" t="s">
        <v>46</v>
      </c>
      <c r="C428" s="1" t="s">
        <v>14</v>
      </c>
      <c r="D428" s="1" t="s">
        <v>17</v>
      </c>
      <c r="E428" s="16">
        <f>VLOOKUP(C428,收费标准!A$3:B$5,2,FALSE)</f>
        <v>1.5</v>
      </c>
      <c r="F428" s="2">
        <v>41790</v>
      </c>
      <c r="G428" s="4">
        <v>0.53893199999999997</v>
      </c>
      <c r="H428" s="2">
        <v>41791</v>
      </c>
      <c r="I428" s="4">
        <v>0.229185</v>
      </c>
      <c r="J428" s="29">
        <f t="shared" si="24"/>
        <v>0.69025300000000001</v>
      </c>
      <c r="K428" s="16">
        <f t="shared" si="25"/>
        <v>100.5</v>
      </c>
      <c r="L428" s="17">
        <f t="shared" si="26"/>
        <v>99</v>
      </c>
      <c r="M428" s="17">
        <f t="shared" si="27"/>
        <v>-1.5</v>
      </c>
    </row>
    <row r="429" spans="1:13" ht="14.25" x14ac:dyDescent="0.15">
      <c r="A429" s="6">
        <v>428</v>
      </c>
      <c r="B429" s="1" t="s">
        <v>194</v>
      </c>
      <c r="C429" s="1" t="s">
        <v>11</v>
      </c>
      <c r="D429" s="1" t="s">
        <v>12</v>
      </c>
      <c r="E429" s="16">
        <f>VLOOKUP(C429,收费标准!A$3:B$5,2,FALSE)</f>
        <v>2</v>
      </c>
      <c r="F429" s="2">
        <v>41790</v>
      </c>
      <c r="G429" s="4">
        <v>0.54171000000000002</v>
      </c>
      <c r="H429" s="2">
        <v>41790</v>
      </c>
      <c r="I429" s="4">
        <v>0.69172200000000006</v>
      </c>
      <c r="J429" s="29">
        <f t="shared" si="24"/>
        <v>0.15001200000000003</v>
      </c>
      <c r="K429" s="16">
        <f t="shared" si="25"/>
        <v>30</v>
      </c>
      <c r="L429" s="17">
        <f t="shared" si="26"/>
        <v>28</v>
      </c>
      <c r="M429" s="17">
        <f t="shared" si="27"/>
        <v>-2</v>
      </c>
    </row>
    <row r="430" spans="1:13" ht="14.25" x14ac:dyDescent="0.15">
      <c r="A430" s="6">
        <v>429</v>
      </c>
      <c r="B430" s="1" t="s">
        <v>170</v>
      </c>
      <c r="C430" s="1" t="s">
        <v>26</v>
      </c>
      <c r="D430" s="1" t="s">
        <v>15</v>
      </c>
      <c r="E430" s="16">
        <f>VLOOKUP(C430,收费标准!A$3:B$5,2,FALSE)</f>
        <v>2.5</v>
      </c>
      <c r="F430" s="2">
        <v>41790</v>
      </c>
      <c r="G430" s="4">
        <v>0.54448799999999997</v>
      </c>
      <c r="H430" s="2">
        <v>41791</v>
      </c>
      <c r="I430" s="4">
        <v>7.6395000000000005E-3</v>
      </c>
      <c r="J430" s="29">
        <f t="shared" si="24"/>
        <v>0.46315150000000005</v>
      </c>
      <c r="K430" s="16">
        <f t="shared" si="25"/>
        <v>112.5</v>
      </c>
      <c r="L430" s="17">
        <f t="shared" si="26"/>
        <v>110</v>
      </c>
      <c r="M430" s="17">
        <f t="shared" si="27"/>
        <v>-2.5</v>
      </c>
    </row>
    <row r="431" spans="1:13" ht="14.25" x14ac:dyDescent="0.15">
      <c r="A431" s="6">
        <v>430</v>
      </c>
      <c r="B431" s="1" t="s">
        <v>69</v>
      </c>
      <c r="C431" s="1" t="s">
        <v>14</v>
      </c>
      <c r="D431" s="1" t="s">
        <v>17</v>
      </c>
      <c r="E431" s="16">
        <f>VLOOKUP(C431,收费标准!A$3:B$5,2,FALSE)</f>
        <v>1.5</v>
      </c>
      <c r="F431" s="2">
        <v>41790</v>
      </c>
      <c r="G431" s="4">
        <v>0.55559999999999998</v>
      </c>
      <c r="H431" s="2">
        <v>41790</v>
      </c>
      <c r="I431" s="4">
        <v>0.829233</v>
      </c>
      <c r="J431" s="29">
        <f t="shared" si="24"/>
        <v>0.27363300000000002</v>
      </c>
      <c r="K431" s="16">
        <f t="shared" si="25"/>
        <v>40.5</v>
      </c>
      <c r="L431" s="17">
        <f t="shared" si="26"/>
        <v>39</v>
      </c>
      <c r="M431" s="17">
        <f t="shared" si="27"/>
        <v>-1.5</v>
      </c>
    </row>
    <row r="432" spans="1:13" ht="14.25" x14ac:dyDescent="0.15">
      <c r="A432" s="6">
        <v>431</v>
      </c>
      <c r="B432" s="1" t="s">
        <v>166</v>
      </c>
      <c r="C432" s="1" t="s">
        <v>11</v>
      </c>
      <c r="D432" s="1" t="s">
        <v>22</v>
      </c>
      <c r="E432" s="16">
        <f>VLOOKUP(C432,收费标准!A$3:B$5,2,FALSE)</f>
        <v>2</v>
      </c>
      <c r="F432" s="2">
        <v>41790</v>
      </c>
      <c r="G432" s="4">
        <v>0.58963050000000006</v>
      </c>
      <c r="H432" s="2">
        <v>41791</v>
      </c>
      <c r="I432" s="4">
        <v>6.6672000000000009E-2</v>
      </c>
      <c r="J432" s="29">
        <f t="shared" si="24"/>
        <v>0.47704150000000001</v>
      </c>
      <c r="K432" s="16">
        <f t="shared" si="25"/>
        <v>92</v>
      </c>
      <c r="L432" s="17">
        <f t="shared" si="26"/>
        <v>90</v>
      </c>
      <c r="M432" s="17">
        <f t="shared" si="27"/>
        <v>-2</v>
      </c>
    </row>
    <row r="433" spans="1:13" ht="14.25" x14ac:dyDescent="0.15">
      <c r="A433" s="6">
        <v>432</v>
      </c>
      <c r="B433" s="1" t="s">
        <v>41</v>
      </c>
      <c r="C433" s="1" t="s">
        <v>26</v>
      </c>
      <c r="D433" s="1" t="s">
        <v>22</v>
      </c>
      <c r="E433" s="16">
        <f>VLOOKUP(C433,收费标准!A$3:B$5,2,FALSE)</f>
        <v>2.5</v>
      </c>
      <c r="F433" s="2">
        <v>41790</v>
      </c>
      <c r="G433" s="4">
        <v>0.59032499999999999</v>
      </c>
      <c r="H433" s="2">
        <v>41790</v>
      </c>
      <c r="I433" s="4">
        <v>0.80353649999999999</v>
      </c>
      <c r="J433" s="29">
        <f t="shared" si="24"/>
        <v>0.2132115</v>
      </c>
      <c r="K433" s="16">
        <f t="shared" si="25"/>
        <v>52.5</v>
      </c>
      <c r="L433" s="17">
        <f t="shared" si="26"/>
        <v>50</v>
      </c>
      <c r="M433" s="17">
        <f t="shared" si="27"/>
        <v>-2.5</v>
      </c>
    </row>
    <row r="434" spans="1:13" ht="14.25" x14ac:dyDescent="0.15">
      <c r="A434" s="6">
        <v>433</v>
      </c>
      <c r="B434" s="1" t="s">
        <v>145</v>
      </c>
      <c r="C434" s="1" t="s">
        <v>11</v>
      </c>
      <c r="D434" s="1" t="s">
        <v>12</v>
      </c>
      <c r="E434" s="16">
        <f>VLOOKUP(C434,收费标准!A$3:B$5,2,FALSE)</f>
        <v>2</v>
      </c>
      <c r="F434" s="2">
        <v>41790</v>
      </c>
      <c r="G434" s="4">
        <v>0.61116000000000004</v>
      </c>
      <c r="H434" s="2">
        <v>41790</v>
      </c>
      <c r="I434" s="4">
        <v>0.92021249999999999</v>
      </c>
      <c r="J434" s="29">
        <f t="shared" si="24"/>
        <v>0.30905249999999995</v>
      </c>
      <c r="K434" s="16">
        <f t="shared" si="25"/>
        <v>60</v>
      </c>
      <c r="L434" s="17">
        <f t="shared" si="26"/>
        <v>58</v>
      </c>
      <c r="M434" s="17">
        <f t="shared" si="27"/>
        <v>-2</v>
      </c>
    </row>
    <row r="435" spans="1:13" ht="14.25" x14ac:dyDescent="0.15">
      <c r="A435" s="6">
        <v>434</v>
      </c>
      <c r="B435" s="1" t="s">
        <v>130</v>
      </c>
      <c r="C435" s="1" t="s">
        <v>26</v>
      </c>
      <c r="D435" s="1" t="s">
        <v>17</v>
      </c>
      <c r="E435" s="16">
        <f>VLOOKUP(C435,收费标准!A$3:B$5,2,FALSE)</f>
        <v>2.5</v>
      </c>
      <c r="F435" s="2">
        <v>41790</v>
      </c>
      <c r="G435" s="4">
        <v>0.66324749999999999</v>
      </c>
      <c r="H435" s="2">
        <v>41790</v>
      </c>
      <c r="I435" s="4">
        <v>0.81742650000000006</v>
      </c>
      <c r="J435" s="29">
        <f t="shared" si="24"/>
        <v>0.15417900000000007</v>
      </c>
      <c r="K435" s="16">
        <f t="shared" si="25"/>
        <v>37.5</v>
      </c>
      <c r="L435" s="17">
        <f t="shared" si="26"/>
        <v>35</v>
      </c>
      <c r="M435" s="17">
        <f t="shared" si="27"/>
        <v>-2.5</v>
      </c>
    </row>
    <row r="436" spans="1:13" ht="14.25" x14ac:dyDescent="0.15">
      <c r="A436" s="6">
        <v>435</v>
      </c>
      <c r="B436" s="1" t="s">
        <v>198</v>
      </c>
      <c r="C436" s="1" t="s">
        <v>14</v>
      </c>
      <c r="D436" s="1" t="s">
        <v>15</v>
      </c>
      <c r="E436" s="16">
        <f>VLOOKUP(C436,收费标准!A$3:B$5,2,FALSE)</f>
        <v>1.5</v>
      </c>
      <c r="F436" s="2">
        <v>41790</v>
      </c>
      <c r="G436" s="4">
        <v>0.66671999999999998</v>
      </c>
      <c r="H436" s="2">
        <v>41790</v>
      </c>
      <c r="I436" s="4">
        <v>0.81048150000000008</v>
      </c>
      <c r="J436" s="29">
        <f t="shared" si="24"/>
        <v>0.1437615000000001</v>
      </c>
      <c r="K436" s="16">
        <f t="shared" si="25"/>
        <v>21</v>
      </c>
      <c r="L436" s="17">
        <f t="shared" si="26"/>
        <v>19.5</v>
      </c>
      <c r="M436" s="17">
        <f t="shared" si="27"/>
        <v>-1.5</v>
      </c>
    </row>
    <row r="437" spans="1:13" ht="14.25" x14ac:dyDescent="0.15">
      <c r="A437" s="6">
        <v>436</v>
      </c>
      <c r="B437" s="1" t="s">
        <v>83</v>
      </c>
      <c r="C437" s="1" t="s">
        <v>11</v>
      </c>
      <c r="D437" s="1" t="s">
        <v>15</v>
      </c>
      <c r="E437" s="16">
        <f>VLOOKUP(C437,收费标准!A$3:B$5,2,FALSE)</f>
        <v>2</v>
      </c>
      <c r="F437" s="2">
        <v>41790</v>
      </c>
      <c r="G437" s="4">
        <v>0.66671999999999998</v>
      </c>
      <c r="H437" s="2">
        <v>41791</v>
      </c>
      <c r="I437" s="4">
        <v>0.26113200000000003</v>
      </c>
      <c r="J437" s="29">
        <f t="shared" si="24"/>
        <v>0.59441199999999994</v>
      </c>
      <c r="K437" s="16">
        <f t="shared" si="25"/>
        <v>116</v>
      </c>
      <c r="L437" s="17">
        <f t="shared" si="26"/>
        <v>114</v>
      </c>
      <c r="M437" s="17">
        <f t="shared" si="27"/>
        <v>-2</v>
      </c>
    </row>
    <row r="438" spans="1:13" ht="14.25" x14ac:dyDescent="0.15">
      <c r="A438" s="6">
        <v>437</v>
      </c>
      <c r="B438" s="1" t="s">
        <v>199</v>
      </c>
      <c r="C438" s="1" t="s">
        <v>11</v>
      </c>
      <c r="D438" s="1" t="s">
        <v>17</v>
      </c>
      <c r="E438" s="16">
        <f>VLOOKUP(C438,收费标准!A$3:B$5,2,FALSE)</f>
        <v>2</v>
      </c>
      <c r="F438" s="2">
        <v>41790</v>
      </c>
      <c r="G438" s="4">
        <v>0.67088700000000001</v>
      </c>
      <c r="H438" s="2">
        <v>41791</v>
      </c>
      <c r="I438" s="4">
        <v>0.26321549999999999</v>
      </c>
      <c r="J438" s="29">
        <f t="shared" si="24"/>
        <v>0.59232850000000004</v>
      </c>
      <c r="K438" s="16">
        <f t="shared" si="25"/>
        <v>114</v>
      </c>
      <c r="L438" s="17">
        <f t="shared" si="26"/>
        <v>112</v>
      </c>
      <c r="M438" s="17">
        <f t="shared" si="27"/>
        <v>-2</v>
      </c>
    </row>
    <row r="439" spans="1:13" ht="14.25" x14ac:dyDescent="0.15">
      <c r="A439" s="6">
        <v>438</v>
      </c>
      <c r="B439" s="1" t="s">
        <v>50</v>
      </c>
      <c r="C439" s="1" t="s">
        <v>11</v>
      </c>
      <c r="D439" s="1" t="s">
        <v>17</v>
      </c>
      <c r="E439" s="16">
        <f>VLOOKUP(C439,收费标准!A$3:B$5,2,FALSE)</f>
        <v>2</v>
      </c>
      <c r="F439" s="2">
        <v>41790</v>
      </c>
      <c r="G439" s="4">
        <v>0.683388</v>
      </c>
      <c r="H439" s="2">
        <v>41790</v>
      </c>
      <c r="I439" s="4">
        <v>0.79936950000000007</v>
      </c>
      <c r="J439" s="29">
        <f t="shared" si="24"/>
        <v>0.11598150000000007</v>
      </c>
      <c r="K439" s="16">
        <f t="shared" si="25"/>
        <v>24</v>
      </c>
      <c r="L439" s="17">
        <f t="shared" si="26"/>
        <v>22</v>
      </c>
      <c r="M439" s="17">
        <f t="shared" si="27"/>
        <v>-2</v>
      </c>
    </row>
    <row r="440" spans="1:13" ht="14.25" x14ac:dyDescent="0.15">
      <c r="A440" s="6">
        <v>439</v>
      </c>
      <c r="B440" s="1" t="s">
        <v>111</v>
      </c>
      <c r="C440" s="1" t="s">
        <v>11</v>
      </c>
      <c r="D440" s="1" t="s">
        <v>15</v>
      </c>
      <c r="E440" s="16">
        <f>VLOOKUP(C440,收费标准!A$3:B$5,2,FALSE)</f>
        <v>2</v>
      </c>
      <c r="F440" s="2">
        <v>41790</v>
      </c>
      <c r="G440" s="4">
        <v>0.70700099999999999</v>
      </c>
      <c r="H440" s="2">
        <v>41791</v>
      </c>
      <c r="I440" s="4">
        <v>0.2465475</v>
      </c>
      <c r="J440" s="29">
        <f t="shared" si="24"/>
        <v>0.53954649999999993</v>
      </c>
      <c r="K440" s="16">
        <f t="shared" si="25"/>
        <v>104</v>
      </c>
      <c r="L440" s="17">
        <f t="shared" si="26"/>
        <v>102</v>
      </c>
      <c r="M440" s="17">
        <f t="shared" si="27"/>
        <v>-2</v>
      </c>
    </row>
    <row r="441" spans="1:13" ht="14.25" x14ac:dyDescent="0.15">
      <c r="A441" s="6">
        <v>440</v>
      </c>
      <c r="B441" s="1" t="s">
        <v>116</v>
      </c>
      <c r="C441" s="1" t="s">
        <v>14</v>
      </c>
      <c r="D441" s="1" t="s">
        <v>12</v>
      </c>
      <c r="E441" s="16">
        <f>VLOOKUP(C441,收费标准!A$3:B$5,2,FALSE)</f>
        <v>1.5</v>
      </c>
      <c r="F441" s="2">
        <v>41790</v>
      </c>
      <c r="G441" s="4">
        <v>0.71047349999999998</v>
      </c>
      <c r="H441" s="2">
        <v>41790</v>
      </c>
      <c r="I441" s="4">
        <v>0.99105150000000009</v>
      </c>
      <c r="J441" s="29">
        <f t="shared" si="24"/>
        <v>0.28057800000000011</v>
      </c>
      <c r="K441" s="16">
        <f t="shared" si="25"/>
        <v>40.5</v>
      </c>
      <c r="L441" s="17">
        <f t="shared" si="26"/>
        <v>39</v>
      </c>
      <c r="M441" s="17">
        <f t="shared" si="27"/>
        <v>-1.5</v>
      </c>
    </row>
    <row r="442" spans="1:13" ht="14.25" x14ac:dyDescent="0.15">
      <c r="A442" s="6">
        <v>441</v>
      </c>
      <c r="B442" s="1" t="s">
        <v>100</v>
      </c>
      <c r="C442" s="1" t="s">
        <v>26</v>
      </c>
      <c r="D442" s="1" t="s">
        <v>12</v>
      </c>
      <c r="E442" s="16">
        <f>VLOOKUP(C442,收费标准!A$3:B$5,2,FALSE)</f>
        <v>2.5</v>
      </c>
      <c r="F442" s="2">
        <v>41790</v>
      </c>
      <c r="G442" s="4">
        <v>0.71880750000000004</v>
      </c>
      <c r="H442" s="2">
        <v>41790</v>
      </c>
      <c r="I442" s="4">
        <v>0.87437549999999997</v>
      </c>
      <c r="J442" s="29">
        <f t="shared" si="24"/>
        <v>0.15556799999999993</v>
      </c>
      <c r="K442" s="16">
        <f t="shared" si="25"/>
        <v>37.5</v>
      </c>
      <c r="L442" s="17">
        <f t="shared" si="26"/>
        <v>35</v>
      </c>
      <c r="M442" s="17">
        <f t="shared" si="27"/>
        <v>-2.5</v>
      </c>
    </row>
    <row r="443" spans="1:13" ht="14.25" x14ac:dyDescent="0.15">
      <c r="A443" s="6">
        <v>442</v>
      </c>
      <c r="B443" s="1" t="s">
        <v>30</v>
      </c>
      <c r="C443" s="1" t="s">
        <v>14</v>
      </c>
      <c r="D443" s="1" t="s">
        <v>22</v>
      </c>
      <c r="E443" s="16">
        <f>VLOOKUP(C443,收费标准!A$3:B$5,2,FALSE)</f>
        <v>1.5</v>
      </c>
      <c r="F443" s="2">
        <v>41790</v>
      </c>
      <c r="G443" s="4">
        <v>0.72228000000000003</v>
      </c>
      <c r="H443" s="2">
        <v>41791</v>
      </c>
      <c r="I443" s="4">
        <v>1.389E-2</v>
      </c>
      <c r="J443" s="29">
        <f t="shared" si="24"/>
        <v>0.29160999999999992</v>
      </c>
      <c r="K443" s="16">
        <f t="shared" si="25"/>
        <v>42</v>
      </c>
      <c r="L443" s="17">
        <f t="shared" si="26"/>
        <v>40.5</v>
      </c>
      <c r="M443" s="17">
        <f t="shared" si="27"/>
        <v>-1.5</v>
      </c>
    </row>
    <row r="444" spans="1:13" ht="14.25" x14ac:dyDescent="0.15">
      <c r="A444" s="6">
        <v>443</v>
      </c>
      <c r="B444" s="1" t="s">
        <v>133</v>
      </c>
      <c r="C444" s="1" t="s">
        <v>26</v>
      </c>
      <c r="D444" s="1" t="s">
        <v>15</v>
      </c>
      <c r="E444" s="16">
        <f>VLOOKUP(C444,收费标准!A$3:B$5,2,FALSE)</f>
        <v>2.5</v>
      </c>
      <c r="F444" s="2">
        <v>41790</v>
      </c>
      <c r="G444" s="4">
        <v>0.73547550000000006</v>
      </c>
      <c r="H444" s="2">
        <v>41791</v>
      </c>
      <c r="I444" s="4">
        <v>0.28196700000000002</v>
      </c>
      <c r="J444" s="29">
        <f t="shared" si="24"/>
        <v>0.54649150000000002</v>
      </c>
      <c r="K444" s="16">
        <f t="shared" si="25"/>
        <v>132.5</v>
      </c>
      <c r="L444" s="17">
        <f t="shared" si="26"/>
        <v>130</v>
      </c>
      <c r="M444" s="17">
        <f t="shared" si="27"/>
        <v>-2.5</v>
      </c>
    </row>
    <row r="445" spans="1:13" ht="14.25" x14ac:dyDescent="0.15">
      <c r="A445" s="6">
        <v>444</v>
      </c>
      <c r="B445" s="1" t="s">
        <v>70</v>
      </c>
      <c r="C445" s="1" t="s">
        <v>26</v>
      </c>
      <c r="D445" s="1" t="s">
        <v>22</v>
      </c>
      <c r="E445" s="16">
        <f>VLOOKUP(C445,收费标准!A$3:B$5,2,FALSE)</f>
        <v>2.5</v>
      </c>
      <c r="F445" s="2">
        <v>41790</v>
      </c>
      <c r="G445" s="4">
        <v>0.74589300000000003</v>
      </c>
      <c r="H445" s="2">
        <v>41791</v>
      </c>
      <c r="I445" s="4">
        <v>7.7784000000000006E-2</v>
      </c>
      <c r="J445" s="29">
        <f t="shared" si="24"/>
        <v>0.33189100000000005</v>
      </c>
      <c r="K445" s="16">
        <f t="shared" si="25"/>
        <v>80</v>
      </c>
      <c r="L445" s="17">
        <f t="shared" si="26"/>
        <v>77.5</v>
      </c>
      <c r="M445" s="17">
        <f t="shared" si="27"/>
        <v>-2.5</v>
      </c>
    </row>
    <row r="446" spans="1:13" ht="14.25" x14ac:dyDescent="0.15">
      <c r="A446" s="6">
        <v>445</v>
      </c>
      <c r="B446" s="1" t="s">
        <v>108</v>
      </c>
      <c r="C446" s="1" t="s">
        <v>11</v>
      </c>
      <c r="D446" s="1" t="s">
        <v>22</v>
      </c>
      <c r="E446" s="16">
        <f>VLOOKUP(C446,收费标准!A$3:B$5,2,FALSE)</f>
        <v>2</v>
      </c>
      <c r="F446" s="2">
        <v>41790</v>
      </c>
      <c r="G446" s="4">
        <v>0.75075449999999999</v>
      </c>
      <c r="H446" s="2">
        <v>41790</v>
      </c>
      <c r="I446" s="4">
        <v>0.87368100000000004</v>
      </c>
      <c r="J446" s="29">
        <f t="shared" si="24"/>
        <v>0.12292650000000005</v>
      </c>
      <c r="K446" s="16">
        <f t="shared" si="25"/>
        <v>24</v>
      </c>
      <c r="L446" s="17">
        <f t="shared" si="26"/>
        <v>22</v>
      </c>
      <c r="M446" s="17">
        <f t="shared" si="27"/>
        <v>-2</v>
      </c>
    </row>
    <row r="447" spans="1:13" ht="14.25" x14ac:dyDescent="0.15">
      <c r="A447" s="6">
        <v>446</v>
      </c>
      <c r="B447" s="1" t="s">
        <v>59</v>
      </c>
      <c r="C447" s="1" t="s">
        <v>11</v>
      </c>
      <c r="D447" s="1" t="s">
        <v>17</v>
      </c>
      <c r="E447" s="16">
        <f>VLOOKUP(C447,收费标准!A$3:B$5,2,FALSE)</f>
        <v>2</v>
      </c>
      <c r="F447" s="2">
        <v>41790</v>
      </c>
      <c r="G447" s="4">
        <v>0.75214350000000008</v>
      </c>
      <c r="H447" s="2">
        <v>41790</v>
      </c>
      <c r="I447" s="4">
        <v>0.93757500000000005</v>
      </c>
      <c r="J447" s="29">
        <f t="shared" si="24"/>
        <v>0.18543149999999997</v>
      </c>
      <c r="K447" s="16">
        <f t="shared" si="25"/>
        <v>36</v>
      </c>
      <c r="L447" s="17">
        <f t="shared" si="26"/>
        <v>34</v>
      </c>
      <c r="M447" s="17">
        <f t="shared" si="27"/>
        <v>-2</v>
      </c>
    </row>
    <row r="448" spans="1:13" ht="14.25" x14ac:dyDescent="0.15">
      <c r="A448" s="6">
        <v>447</v>
      </c>
      <c r="B448" s="1" t="s">
        <v>125</v>
      </c>
      <c r="C448" s="1" t="s">
        <v>26</v>
      </c>
      <c r="D448" s="1" t="s">
        <v>17</v>
      </c>
      <c r="E448" s="16">
        <f>VLOOKUP(C448,收费标准!A$3:B$5,2,FALSE)</f>
        <v>2.5</v>
      </c>
      <c r="F448" s="2">
        <v>41790</v>
      </c>
      <c r="G448" s="4">
        <v>0.76325549999999998</v>
      </c>
      <c r="H448" s="2">
        <v>41790</v>
      </c>
      <c r="I448" s="4">
        <v>0.86256900000000003</v>
      </c>
      <c r="J448" s="29">
        <f t="shared" si="24"/>
        <v>9.9313500000000055E-2</v>
      </c>
      <c r="K448" s="16">
        <f t="shared" si="25"/>
        <v>25</v>
      </c>
      <c r="L448" s="17">
        <f t="shared" si="26"/>
        <v>22.5</v>
      </c>
      <c r="M448" s="17">
        <f t="shared" si="27"/>
        <v>-2.5</v>
      </c>
    </row>
    <row r="449" spans="1:13" ht="14.25" x14ac:dyDescent="0.15">
      <c r="A449" s="6">
        <v>448</v>
      </c>
      <c r="B449" s="1" t="s">
        <v>20</v>
      </c>
      <c r="C449" s="1" t="s">
        <v>11</v>
      </c>
      <c r="D449" s="1" t="s">
        <v>17</v>
      </c>
      <c r="E449" s="16">
        <f>VLOOKUP(C449,收费标准!A$3:B$5,2,FALSE)</f>
        <v>2</v>
      </c>
      <c r="F449" s="2">
        <v>41790</v>
      </c>
      <c r="G449" s="4">
        <v>0.78409050000000002</v>
      </c>
      <c r="H449" s="2">
        <v>41790</v>
      </c>
      <c r="I449" s="4">
        <v>0.82089900000000005</v>
      </c>
      <c r="J449" s="29">
        <f t="shared" si="24"/>
        <v>3.6808500000000022E-2</v>
      </c>
      <c r="K449" s="16">
        <f t="shared" si="25"/>
        <v>8</v>
      </c>
      <c r="L449" s="17">
        <f t="shared" si="26"/>
        <v>6</v>
      </c>
      <c r="M449" s="17">
        <f t="shared" si="27"/>
        <v>-2</v>
      </c>
    </row>
    <row r="450" spans="1:13" ht="14.25" x14ac:dyDescent="0.15">
      <c r="A450" s="6">
        <v>449</v>
      </c>
      <c r="B450" s="1" t="s">
        <v>119</v>
      </c>
      <c r="C450" s="1" t="s">
        <v>26</v>
      </c>
      <c r="D450" s="1" t="s">
        <v>12</v>
      </c>
      <c r="E450" s="16">
        <f>VLOOKUP(C450,收费标准!A$3:B$5,2,FALSE)</f>
        <v>2.5</v>
      </c>
      <c r="F450" s="2">
        <v>41790</v>
      </c>
      <c r="G450" s="4">
        <v>0.79173000000000004</v>
      </c>
      <c r="H450" s="2">
        <v>41790</v>
      </c>
      <c r="I450" s="4">
        <v>0.80353649999999999</v>
      </c>
      <c r="J450" s="29">
        <f t="shared" si="24"/>
        <v>1.1806499999999942E-2</v>
      </c>
      <c r="K450" s="16">
        <f t="shared" si="25"/>
        <v>5</v>
      </c>
      <c r="L450" s="17">
        <f t="shared" si="26"/>
        <v>2.5</v>
      </c>
      <c r="M450" s="17">
        <f t="shared" si="27"/>
        <v>-2.5</v>
      </c>
    </row>
    <row r="451" spans="1:13" ht="14.25" x14ac:dyDescent="0.15">
      <c r="A451" s="6">
        <v>450</v>
      </c>
      <c r="B451" s="1" t="s">
        <v>29</v>
      </c>
      <c r="C451" s="1" t="s">
        <v>11</v>
      </c>
      <c r="D451" s="1" t="s">
        <v>22</v>
      </c>
      <c r="E451" s="16">
        <f>VLOOKUP(C451,收费标准!A$3:B$5,2,FALSE)</f>
        <v>2</v>
      </c>
      <c r="F451" s="2">
        <v>41790</v>
      </c>
      <c r="G451" s="4">
        <v>0.81812099999999999</v>
      </c>
      <c r="H451" s="2">
        <v>41791</v>
      </c>
      <c r="I451" s="4">
        <v>0.50281799999999999</v>
      </c>
      <c r="J451" s="29">
        <f t="shared" ref="J451:J514" si="28">H451-F451+I451-G451</f>
        <v>0.684697</v>
      </c>
      <c r="K451" s="16">
        <f t="shared" ref="K451:K514" si="29">ROUNDUP(J451*60*24/15,0)*E451</f>
        <v>132</v>
      </c>
      <c r="L451" s="17">
        <f t="shared" ref="L451:L514" si="30">ROUNDDOWN(J451*60*24/15,0)*E451</f>
        <v>130</v>
      </c>
      <c r="M451" s="17">
        <f t="shared" ref="M451:M514" si="31">L451-K451</f>
        <v>-2</v>
      </c>
    </row>
    <row r="452" spans="1:13" ht="14.25" x14ac:dyDescent="0.15">
      <c r="A452" s="6">
        <v>451</v>
      </c>
      <c r="B452" s="1" t="s">
        <v>201</v>
      </c>
      <c r="C452" s="1" t="s">
        <v>14</v>
      </c>
      <c r="D452" s="1" t="s">
        <v>22</v>
      </c>
      <c r="E452" s="16">
        <f>VLOOKUP(C452,收费标准!A$3:B$5,2,FALSE)</f>
        <v>1.5</v>
      </c>
      <c r="F452" s="2">
        <v>41790</v>
      </c>
      <c r="G452" s="4">
        <v>0.84798450000000003</v>
      </c>
      <c r="H452" s="2">
        <v>41791</v>
      </c>
      <c r="I452" s="4">
        <v>5.5559999999999998E-2</v>
      </c>
      <c r="J452" s="29">
        <f t="shared" si="28"/>
        <v>0.20757550000000002</v>
      </c>
      <c r="K452" s="16">
        <f t="shared" si="29"/>
        <v>30</v>
      </c>
      <c r="L452" s="17">
        <f t="shared" si="30"/>
        <v>28.5</v>
      </c>
      <c r="M452" s="17">
        <f t="shared" si="31"/>
        <v>-1.5</v>
      </c>
    </row>
    <row r="453" spans="1:13" ht="14.25" x14ac:dyDescent="0.15">
      <c r="A453" s="6">
        <v>452</v>
      </c>
      <c r="B453" s="1" t="s">
        <v>169</v>
      </c>
      <c r="C453" s="1" t="s">
        <v>26</v>
      </c>
      <c r="D453" s="1" t="s">
        <v>15</v>
      </c>
      <c r="E453" s="16">
        <f>VLOOKUP(C453,收费标准!A$3:B$5,2,FALSE)</f>
        <v>2.5</v>
      </c>
      <c r="F453" s="2">
        <v>41790</v>
      </c>
      <c r="G453" s="4">
        <v>0.85562400000000005</v>
      </c>
      <c r="H453" s="2">
        <v>41791</v>
      </c>
      <c r="I453" s="4">
        <v>0.15695700000000001</v>
      </c>
      <c r="J453" s="29">
        <f t="shared" si="28"/>
        <v>0.30133299999999996</v>
      </c>
      <c r="K453" s="16">
        <f t="shared" si="29"/>
        <v>72.5</v>
      </c>
      <c r="L453" s="17">
        <f t="shared" si="30"/>
        <v>70</v>
      </c>
      <c r="M453" s="17">
        <f t="shared" si="31"/>
        <v>-2.5</v>
      </c>
    </row>
    <row r="454" spans="1:13" ht="14.25" x14ac:dyDescent="0.15">
      <c r="A454" s="6">
        <v>453</v>
      </c>
      <c r="B454" s="1" t="s">
        <v>120</v>
      </c>
      <c r="C454" s="1" t="s">
        <v>11</v>
      </c>
      <c r="D454" s="1" t="s">
        <v>17</v>
      </c>
      <c r="E454" s="16">
        <f>VLOOKUP(C454,收费标准!A$3:B$5,2,FALSE)</f>
        <v>2</v>
      </c>
      <c r="F454" s="2">
        <v>41790</v>
      </c>
      <c r="G454" s="4">
        <v>0.87645899999999999</v>
      </c>
      <c r="H454" s="2">
        <v>41791</v>
      </c>
      <c r="I454" s="4">
        <v>6.9449999999999998E-2</v>
      </c>
      <c r="J454" s="29">
        <f t="shared" si="28"/>
        <v>0.19299100000000002</v>
      </c>
      <c r="K454" s="16">
        <f t="shared" si="29"/>
        <v>38</v>
      </c>
      <c r="L454" s="17">
        <f t="shared" si="30"/>
        <v>36</v>
      </c>
      <c r="M454" s="17">
        <f t="shared" si="31"/>
        <v>-2</v>
      </c>
    </row>
    <row r="455" spans="1:13" ht="14.25" x14ac:dyDescent="0.15">
      <c r="A455" s="6">
        <v>454</v>
      </c>
      <c r="B455" s="1" t="s">
        <v>49</v>
      </c>
      <c r="C455" s="1" t="s">
        <v>26</v>
      </c>
      <c r="D455" s="1" t="s">
        <v>15</v>
      </c>
      <c r="E455" s="16">
        <f>VLOOKUP(C455,收费标准!A$3:B$5,2,FALSE)</f>
        <v>2.5</v>
      </c>
      <c r="F455" s="2">
        <v>41790</v>
      </c>
      <c r="G455" s="4">
        <v>0.89104349999999999</v>
      </c>
      <c r="H455" s="2">
        <v>41791</v>
      </c>
      <c r="I455" s="4">
        <v>0.50906850000000003</v>
      </c>
      <c r="J455" s="29">
        <f t="shared" si="28"/>
        <v>0.61802500000000016</v>
      </c>
      <c r="K455" s="16">
        <f t="shared" si="29"/>
        <v>150</v>
      </c>
      <c r="L455" s="17">
        <f t="shared" si="30"/>
        <v>147.5</v>
      </c>
      <c r="M455" s="17">
        <f t="shared" si="31"/>
        <v>-2.5</v>
      </c>
    </row>
    <row r="456" spans="1:13" ht="14.25" x14ac:dyDescent="0.15">
      <c r="A456" s="6">
        <v>455</v>
      </c>
      <c r="B456" s="1" t="s">
        <v>30</v>
      </c>
      <c r="C456" s="1" t="s">
        <v>14</v>
      </c>
      <c r="D456" s="1" t="s">
        <v>22</v>
      </c>
      <c r="E456" s="16">
        <f>VLOOKUP(C456,收费标准!A$3:B$5,2,FALSE)</f>
        <v>1.5</v>
      </c>
      <c r="F456" s="2">
        <v>41790</v>
      </c>
      <c r="G456" s="4">
        <v>0.89382150000000005</v>
      </c>
      <c r="H456" s="2">
        <v>41790</v>
      </c>
      <c r="I456" s="4">
        <v>0.94452000000000003</v>
      </c>
      <c r="J456" s="29">
        <f t="shared" si="28"/>
        <v>5.069849999999998E-2</v>
      </c>
      <c r="K456" s="16">
        <f t="shared" si="29"/>
        <v>7.5</v>
      </c>
      <c r="L456" s="17">
        <f t="shared" si="30"/>
        <v>6</v>
      </c>
      <c r="M456" s="17">
        <f t="shared" si="31"/>
        <v>-1.5</v>
      </c>
    </row>
    <row r="457" spans="1:13" ht="14.25" x14ac:dyDescent="0.15">
      <c r="A457" s="6">
        <v>456</v>
      </c>
      <c r="B457" s="1" t="s">
        <v>24</v>
      </c>
      <c r="C457" s="1" t="s">
        <v>14</v>
      </c>
      <c r="D457" s="1" t="s">
        <v>12</v>
      </c>
      <c r="E457" s="16">
        <f>VLOOKUP(C457,收费标准!A$3:B$5,2,FALSE)</f>
        <v>1.5</v>
      </c>
      <c r="F457" s="2">
        <v>41790</v>
      </c>
      <c r="G457" s="4">
        <v>0.922296</v>
      </c>
      <c r="H457" s="2">
        <v>41790</v>
      </c>
      <c r="I457" s="4">
        <v>0.96466050000000003</v>
      </c>
      <c r="J457" s="29">
        <f t="shared" si="28"/>
        <v>4.2364500000000027E-2</v>
      </c>
      <c r="K457" s="16">
        <f t="shared" si="29"/>
        <v>7.5</v>
      </c>
      <c r="L457" s="17">
        <f t="shared" si="30"/>
        <v>6</v>
      </c>
      <c r="M457" s="17">
        <f t="shared" si="31"/>
        <v>-1.5</v>
      </c>
    </row>
    <row r="458" spans="1:13" ht="14.25" x14ac:dyDescent="0.15">
      <c r="A458" s="6">
        <v>457</v>
      </c>
      <c r="B458" s="1" t="s">
        <v>202</v>
      </c>
      <c r="C458" s="1" t="s">
        <v>26</v>
      </c>
      <c r="D458" s="1" t="s">
        <v>22</v>
      </c>
      <c r="E458" s="16">
        <f>VLOOKUP(C458,收费标准!A$3:B$5,2,FALSE)</f>
        <v>2.5</v>
      </c>
      <c r="F458" s="2">
        <v>41790</v>
      </c>
      <c r="G458" s="4">
        <v>0.94382549999999998</v>
      </c>
      <c r="H458" s="2">
        <v>41791</v>
      </c>
      <c r="I458" s="4">
        <v>1.1806500000000001E-2</v>
      </c>
      <c r="J458" s="29">
        <f t="shared" si="28"/>
        <v>6.7981000000000069E-2</v>
      </c>
      <c r="K458" s="16">
        <f t="shared" si="29"/>
        <v>17.5</v>
      </c>
      <c r="L458" s="17">
        <f t="shared" si="30"/>
        <v>15</v>
      </c>
      <c r="M458" s="17">
        <f t="shared" si="31"/>
        <v>-2.5</v>
      </c>
    </row>
    <row r="459" spans="1:13" ht="14.25" x14ac:dyDescent="0.15">
      <c r="A459" s="6">
        <v>458</v>
      </c>
      <c r="B459" s="1" t="s">
        <v>52</v>
      </c>
      <c r="C459" s="1" t="s">
        <v>26</v>
      </c>
      <c r="D459" s="1" t="s">
        <v>12</v>
      </c>
      <c r="E459" s="16">
        <f>VLOOKUP(C459,收费标准!A$3:B$5,2,FALSE)</f>
        <v>2.5</v>
      </c>
      <c r="F459" s="2">
        <v>41790</v>
      </c>
      <c r="G459" s="4">
        <v>0.96743849999999998</v>
      </c>
      <c r="H459" s="2">
        <v>41791</v>
      </c>
      <c r="I459" s="4">
        <v>0.56949000000000005</v>
      </c>
      <c r="J459" s="29">
        <f t="shared" si="28"/>
        <v>0.60205150000000007</v>
      </c>
      <c r="K459" s="16">
        <f t="shared" si="29"/>
        <v>145</v>
      </c>
      <c r="L459" s="17">
        <f t="shared" si="30"/>
        <v>142.5</v>
      </c>
      <c r="M459" s="17">
        <f t="shared" si="31"/>
        <v>-2.5</v>
      </c>
    </row>
    <row r="460" spans="1:13" ht="14.25" x14ac:dyDescent="0.15">
      <c r="A460" s="6">
        <v>459</v>
      </c>
      <c r="B460" s="1" t="s">
        <v>176</v>
      </c>
      <c r="C460" s="1" t="s">
        <v>11</v>
      </c>
      <c r="D460" s="1" t="s">
        <v>17</v>
      </c>
      <c r="E460" s="16">
        <f>VLOOKUP(C460,收费标准!A$3:B$5,2,FALSE)</f>
        <v>2</v>
      </c>
      <c r="F460" s="2">
        <v>41791</v>
      </c>
      <c r="G460" s="4">
        <v>2.7780000000000001E-3</v>
      </c>
      <c r="H460" s="2">
        <v>41791</v>
      </c>
      <c r="I460" s="4">
        <v>0.65630250000000001</v>
      </c>
      <c r="J460" s="29">
        <f t="shared" si="28"/>
        <v>0.65352450000000006</v>
      </c>
      <c r="K460" s="16">
        <f t="shared" si="29"/>
        <v>126</v>
      </c>
      <c r="L460" s="17">
        <f t="shared" si="30"/>
        <v>124</v>
      </c>
      <c r="M460" s="17">
        <f t="shared" si="31"/>
        <v>-2</v>
      </c>
    </row>
    <row r="461" spans="1:13" ht="14.25" x14ac:dyDescent="0.15">
      <c r="A461" s="6">
        <v>460</v>
      </c>
      <c r="B461" s="1" t="s">
        <v>50</v>
      </c>
      <c r="C461" s="1" t="s">
        <v>11</v>
      </c>
      <c r="D461" s="1" t="s">
        <v>17</v>
      </c>
      <c r="E461" s="16">
        <f>VLOOKUP(C461,收费标准!A$3:B$5,2,FALSE)</f>
        <v>2</v>
      </c>
      <c r="F461" s="2">
        <v>41791</v>
      </c>
      <c r="G461" s="4">
        <v>1.2501E-2</v>
      </c>
      <c r="H461" s="2">
        <v>41791</v>
      </c>
      <c r="I461" s="4">
        <v>0.51531899999999997</v>
      </c>
      <c r="J461" s="29">
        <f t="shared" si="28"/>
        <v>0.50281799999999999</v>
      </c>
      <c r="K461" s="16">
        <f t="shared" si="29"/>
        <v>98</v>
      </c>
      <c r="L461" s="17">
        <f t="shared" si="30"/>
        <v>96</v>
      </c>
      <c r="M461" s="17">
        <f t="shared" si="31"/>
        <v>-2</v>
      </c>
    </row>
    <row r="462" spans="1:13" ht="14.25" x14ac:dyDescent="0.15">
      <c r="A462" s="6">
        <v>461</v>
      </c>
      <c r="B462" s="1" t="s">
        <v>29</v>
      </c>
      <c r="C462" s="1" t="s">
        <v>11</v>
      </c>
      <c r="D462" s="1" t="s">
        <v>22</v>
      </c>
      <c r="E462" s="16">
        <f>VLOOKUP(C462,收费标准!A$3:B$5,2,FALSE)</f>
        <v>2</v>
      </c>
      <c r="F462" s="2">
        <v>41791</v>
      </c>
      <c r="G462" s="4">
        <v>2.3613000000000002E-2</v>
      </c>
      <c r="H462" s="2">
        <v>41791</v>
      </c>
      <c r="I462" s="4">
        <v>0.572268</v>
      </c>
      <c r="J462" s="29">
        <f t="shared" si="28"/>
        <v>0.548655</v>
      </c>
      <c r="K462" s="16">
        <f t="shared" si="29"/>
        <v>106</v>
      </c>
      <c r="L462" s="17">
        <f t="shared" si="30"/>
        <v>104</v>
      </c>
      <c r="M462" s="17">
        <f t="shared" si="31"/>
        <v>-2</v>
      </c>
    </row>
    <row r="463" spans="1:13" ht="14.25" x14ac:dyDescent="0.15">
      <c r="A463" s="6">
        <v>462</v>
      </c>
      <c r="B463" s="1" t="s">
        <v>81</v>
      </c>
      <c r="C463" s="1" t="s">
        <v>11</v>
      </c>
      <c r="D463" s="1" t="s">
        <v>22</v>
      </c>
      <c r="E463" s="16">
        <f>VLOOKUP(C463,收费标准!A$3:B$5,2,FALSE)</f>
        <v>2</v>
      </c>
      <c r="F463" s="2">
        <v>41791</v>
      </c>
      <c r="G463" s="4">
        <v>2.5002E-2</v>
      </c>
      <c r="H463" s="2">
        <v>41791</v>
      </c>
      <c r="I463" s="4">
        <v>0.2159895</v>
      </c>
      <c r="J463" s="29">
        <f t="shared" si="28"/>
        <v>0.1909875</v>
      </c>
      <c r="K463" s="16">
        <f t="shared" si="29"/>
        <v>38</v>
      </c>
      <c r="L463" s="17">
        <f t="shared" si="30"/>
        <v>36</v>
      </c>
      <c r="M463" s="17">
        <f t="shared" si="31"/>
        <v>-2</v>
      </c>
    </row>
    <row r="464" spans="1:13" ht="14.25" x14ac:dyDescent="0.15">
      <c r="A464" s="6">
        <v>463</v>
      </c>
      <c r="B464" s="1" t="s">
        <v>204</v>
      </c>
      <c r="C464" s="1" t="s">
        <v>14</v>
      </c>
      <c r="D464" s="1" t="s">
        <v>17</v>
      </c>
      <c r="E464" s="16">
        <f>VLOOKUP(C464,收费标准!A$3:B$5,2,FALSE)</f>
        <v>1.5</v>
      </c>
      <c r="F464" s="2">
        <v>41791</v>
      </c>
      <c r="G464" s="4">
        <v>2.7779999999999999E-2</v>
      </c>
      <c r="H464" s="2">
        <v>41791</v>
      </c>
      <c r="I464" s="4">
        <v>0.46462049999999999</v>
      </c>
      <c r="J464" s="29">
        <f t="shared" si="28"/>
        <v>0.43684049999999996</v>
      </c>
      <c r="K464" s="16">
        <f t="shared" si="29"/>
        <v>63</v>
      </c>
      <c r="L464" s="17">
        <f t="shared" si="30"/>
        <v>61.5</v>
      </c>
      <c r="M464" s="17">
        <f t="shared" si="31"/>
        <v>-1.5</v>
      </c>
    </row>
    <row r="465" spans="1:13" ht="14.25" x14ac:dyDescent="0.15">
      <c r="A465" s="6">
        <v>464</v>
      </c>
      <c r="B465" s="1" t="s">
        <v>31</v>
      </c>
      <c r="C465" s="1" t="s">
        <v>11</v>
      </c>
      <c r="D465" s="1" t="s">
        <v>17</v>
      </c>
      <c r="E465" s="16">
        <f>VLOOKUP(C465,收费标准!A$3:B$5,2,FALSE)</f>
        <v>2</v>
      </c>
      <c r="F465" s="2">
        <v>41791</v>
      </c>
      <c r="G465" s="4">
        <v>3.6808500000000001E-2</v>
      </c>
      <c r="H465" s="2">
        <v>41791</v>
      </c>
      <c r="I465" s="4">
        <v>0.3826695</v>
      </c>
      <c r="J465" s="29">
        <f t="shared" si="28"/>
        <v>0.34586099999999997</v>
      </c>
      <c r="K465" s="16">
        <f t="shared" si="29"/>
        <v>68</v>
      </c>
      <c r="L465" s="17">
        <f t="shared" si="30"/>
        <v>66</v>
      </c>
      <c r="M465" s="17">
        <f t="shared" si="31"/>
        <v>-2</v>
      </c>
    </row>
    <row r="466" spans="1:13" ht="14.25" x14ac:dyDescent="0.15">
      <c r="A466" s="6">
        <v>465</v>
      </c>
      <c r="B466" s="1" t="s">
        <v>91</v>
      </c>
      <c r="C466" s="1" t="s">
        <v>26</v>
      </c>
      <c r="D466" s="1" t="s">
        <v>22</v>
      </c>
      <c r="E466" s="16">
        <f>VLOOKUP(C466,收费标准!A$3:B$5,2,FALSE)</f>
        <v>2.5</v>
      </c>
      <c r="F466" s="2">
        <v>41791</v>
      </c>
      <c r="G466" s="4">
        <v>8.4034499999999998E-2</v>
      </c>
      <c r="H466" s="2">
        <v>41791</v>
      </c>
      <c r="I466" s="4">
        <v>0.2159895</v>
      </c>
      <c r="J466" s="29">
        <f t="shared" si="28"/>
        <v>0.13195499999999999</v>
      </c>
      <c r="K466" s="16">
        <f t="shared" si="29"/>
        <v>32.5</v>
      </c>
      <c r="L466" s="17">
        <f t="shared" si="30"/>
        <v>30</v>
      </c>
      <c r="M466" s="17">
        <f t="shared" si="31"/>
        <v>-2.5</v>
      </c>
    </row>
    <row r="467" spans="1:13" ht="14.25" x14ac:dyDescent="0.15">
      <c r="A467" s="6">
        <v>466</v>
      </c>
      <c r="B467" s="1" t="s">
        <v>109</v>
      </c>
      <c r="C467" s="1" t="s">
        <v>14</v>
      </c>
      <c r="D467" s="1" t="s">
        <v>17</v>
      </c>
      <c r="E467" s="16">
        <f>VLOOKUP(C467,收费标准!A$3:B$5,2,FALSE)</f>
        <v>1.5</v>
      </c>
      <c r="F467" s="2">
        <v>41791</v>
      </c>
      <c r="G467" s="4">
        <v>0.10903650000000001</v>
      </c>
      <c r="H467" s="2">
        <v>41791</v>
      </c>
      <c r="I467" s="4">
        <v>0.58199100000000004</v>
      </c>
      <c r="J467" s="29">
        <f t="shared" si="28"/>
        <v>0.47295450000000006</v>
      </c>
      <c r="K467" s="16">
        <f t="shared" si="29"/>
        <v>69</v>
      </c>
      <c r="L467" s="17">
        <f t="shared" si="30"/>
        <v>67.5</v>
      </c>
      <c r="M467" s="17">
        <f t="shared" si="31"/>
        <v>-1.5</v>
      </c>
    </row>
    <row r="468" spans="1:13" ht="14.25" x14ac:dyDescent="0.15">
      <c r="A468" s="6">
        <v>467</v>
      </c>
      <c r="B468" s="1" t="s">
        <v>205</v>
      </c>
      <c r="C468" s="1" t="s">
        <v>26</v>
      </c>
      <c r="D468" s="1" t="s">
        <v>12</v>
      </c>
      <c r="E468" s="16">
        <f>VLOOKUP(C468,收费标准!A$3:B$5,2,FALSE)</f>
        <v>2.5</v>
      </c>
      <c r="F468" s="2">
        <v>41791</v>
      </c>
      <c r="G468" s="4">
        <v>0.113898</v>
      </c>
      <c r="H468" s="2">
        <v>41791</v>
      </c>
      <c r="I468" s="4">
        <v>0.64796850000000006</v>
      </c>
      <c r="J468" s="29">
        <f t="shared" si="28"/>
        <v>0.53407050000000011</v>
      </c>
      <c r="K468" s="16">
        <f t="shared" si="29"/>
        <v>130</v>
      </c>
      <c r="L468" s="17">
        <f t="shared" si="30"/>
        <v>127.5</v>
      </c>
      <c r="M468" s="17">
        <f t="shared" si="31"/>
        <v>-2.5</v>
      </c>
    </row>
    <row r="469" spans="1:13" ht="14.25" x14ac:dyDescent="0.15">
      <c r="A469" s="6">
        <v>468</v>
      </c>
      <c r="B469" s="1" t="s">
        <v>44</v>
      </c>
      <c r="C469" s="1" t="s">
        <v>14</v>
      </c>
      <c r="D469" s="1" t="s">
        <v>17</v>
      </c>
      <c r="E469" s="16">
        <f>VLOOKUP(C469,收费标准!A$3:B$5,2,FALSE)</f>
        <v>1.5</v>
      </c>
      <c r="F469" s="2">
        <v>41791</v>
      </c>
      <c r="G469" s="4">
        <v>0.1326495</v>
      </c>
      <c r="H469" s="2">
        <v>41791</v>
      </c>
      <c r="I469" s="4">
        <v>0.56601750000000006</v>
      </c>
      <c r="J469" s="29">
        <f t="shared" si="28"/>
        <v>0.43336800000000009</v>
      </c>
      <c r="K469" s="16">
        <f t="shared" si="29"/>
        <v>63</v>
      </c>
      <c r="L469" s="17">
        <f t="shared" si="30"/>
        <v>61.5</v>
      </c>
      <c r="M469" s="17">
        <f t="shared" si="31"/>
        <v>-1.5</v>
      </c>
    </row>
    <row r="470" spans="1:13" ht="14.25" x14ac:dyDescent="0.15">
      <c r="A470" s="6">
        <v>469</v>
      </c>
      <c r="B470" s="1" t="s">
        <v>70</v>
      </c>
      <c r="C470" s="1" t="s">
        <v>26</v>
      </c>
      <c r="D470" s="1" t="s">
        <v>22</v>
      </c>
      <c r="E470" s="16">
        <f>VLOOKUP(C470,收费标准!A$3:B$5,2,FALSE)</f>
        <v>2.5</v>
      </c>
      <c r="F470" s="2">
        <v>41791</v>
      </c>
      <c r="G470" s="4">
        <v>0.1326495</v>
      </c>
      <c r="H470" s="2">
        <v>41791</v>
      </c>
      <c r="I470" s="4">
        <v>0.60977100000000006</v>
      </c>
      <c r="J470" s="29">
        <f t="shared" si="28"/>
        <v>0.47712150000000009</v>
      </c>
      <c r="K470" s="16">
        <f t="shared" si="29"/>
        <v>115</v>
      </c>
      <c r="L470" s="17">
        <f t="shared" si="30"/>
        <v>112.5</v>
      </c>
      <c r="M470" s="17">
        <f t="shared" si="31"/>
        <v>-2.5</v>
      </c>
    </row>
    <row r="471" spans="1:13" ht="14.25" x14ac:dyDescent="0.15">
      <c r="A471" s="6">
        <v>470</v>
      </c>
      <c r="B471" s="1" t="s">
        <v>42</v>
      </c>
      <c r="C471" s="1" t="s">
        <v>26</v>
      </c>
      <c r="D471" s="1" t="s">
        <v>12</v>
      </c>
      <c r="E471" s="16">
        <f>VLOOKUP(C471,收费标准!A$3:B$5,2,FALSE)</f>
        <v>2.5</v>
      </c>
      <c r="F471" s="2">
        <v>41791</v>
      </c>
      <c r="G471" s="4">
        <v>0.13612199999999999</v>
      </c>
      <c r="H471" s="2">
        <v>41791</v>
      </c>
      <c r="I471" s="4">
        <v>0.22085100000000002</v>
      </c>
      <c r="J471" s="29">
        <f t="shared" si="28"/>
        <v>8.4729000000000027E-2</v>
      </c>
      <c r="K471" s="16">
        <f t="shared" si="29"/>
        <v>22.5</v>
      </c>
      <c r="L471" s="17">
        <f t="shared" si="30"/>
        <v>20</v>
      </c>
      <c r="M471" s="17">
        <f t="shared" si="31"/>
        <v>-2.5</v>
      </c>
    </row>
    <row r="472" spans="1:13" ht="14.25" x14ac:dyDescent="0.15">
      <c r="A472" s="6">
        <v>471</v>
      </c>
      <c r="B472" s="1" t="s">
        <v>32</v>
      </c>
      <c r="C472" s="1" t="s">
        <v>11</v>
      </c>
      <c r="D472" s="1" t="s">
        <v>15</v>
      </c>
      <c r="E472" s="16">
        <f>VLOOKUP(C472,收费标准!A$3:B$5,2,FALSE)</f>
        <v>2</v>
      </c>
      <c r="F472" s="2">
        <v>41791</v>
      </c>
      <c r="G472" s="4">
        <v>0.1389</v>
      </c>
      <c r="H472" s="2">
        <v>41791</v>
      </c>
      <c r="I472" s="4">
        <v>0.55976700000000001</v>
      </c>
      <c r="J472" s="29">
        <f t="shared" si="28"/>
        <v>0.42086699999999999</v>
      </c>
      <c r="K472" s="16">
        <f t="shared" si="29"/>
        <v>82</v>
      </c>
      <c r="L472" s="17">
        <f t="shared" si="30"/>
        <v>80</v>
      </c>
      <c r="M472" s="17">
        <f t="shared" si="31"/>
        <v>-2</v>
      </c>
    </row>
    <row r="473" spans="1:13" ht="14.25" x14ac:dyDescent="0.15">
      <c r="A473" s="6">
        <v>472</v>
      </c>
      <c r="B473" s="1" t="s">
        <v>192</v>
      </c>
      <c r="C473" s="1" t="s">
        <v>26</v>
      </c>
      <c r="D473" s="1" t="s">
        <v>22</v>
      </c>
      <c r="E473" s="16">
        <f>VLOOKUP(C473,收费标准!A$3:B$5,2,FALSE)</f>
        <v>2.5</v>
      </c>
      <c r="F473" s="2">
        <v>41791</v>
      </c>
      <c r="G473" s="4">
        <v>0.15417900000000001</v>
      </c>
      <c r="H473" s="2">
        <v>41791</v>
      </c>
      <c r="I473" s="4">
        <v>0.73408649999999998</v>
      </c>
      <c r="J473" s="29">
        <f t="shared" si="28"/>
        <v>0.57990750000000002</v>
      </c>
      <c r="K473" s="16">
        <f t="shared" si="29"/>
        <v>140</v>
      </c>
      <c r="L473" s="17">
        <f t="shared" si="30"/>
        <v>137.5</v>
      </c>
      <c r="M473" s="17">
        <f t="shared" si="31"/>
        <v>-2.5</v>
      </c>
    </row>
    <row r="474" spans="1:13" ht="14.25" x14ac:dyDescent="0.15">
      <c r="A474" s="6">
        <v>473</v>
      </c>
      <c r="B474" s="1" t="s">
        <v>140</v>
      </c>
      <c r="C474" s="1" t="s">
        <v>26</v>
      </c>
      <c r="D474" s="1" t="s">
        <v>12</v>
      </c>
      <c r="E474" s="16">
        <f>VLOOKUP(C474,收费标准!A$3:B$5,2,FALSE)</f>
        <v>2.5</v>
      </c>
      <c r="F474" s="2">
        <v>41791</v>
      </c>
      <c r="G474" s="4">
        <v>0.15417900000000001</v>
      </c>
      <c r="H474" s="2">
        <v>41791</v>
      </c>
      <c r="I474" s="4">
        <v>0.36877950000000004</v>
      </c>
      <c r="J474" s="29">
        <f t="shared" si="28"/>
        <v>0.21460050000000003</v>
      </c>
      <c r="K474" s="16">
        <f t="shared" si="29"/>
        <v>52.5</v>
      </c>
      <c r="L474" s="17">
        <f t="shared" si="30"/>
        <v>50</v>
      </c>
      <c r="M474" s="17">
        <f t="shared" si="31"/>
        <v>-2.5</v>
      </c>
    </row>
    <row r="475" spans="1:13" ht="14.25" x14ac:dyDescent="0.15">
      <c r="A475" s="6">
        <v>474</v>
      </c>
      <c r="B475" s="1" t="s">
        <v>16</v>
      </c>
      <c r="C475" s="1" t="s">
        <v>14</v>
      </c>
      <c r="D475" s="1" t="s">
        <v>17</v>
      </c>
      <c r="E475" s="16">
        <f>VLOOKUP(C475,收费标准!A$3:B$5,2,FALSE)</f>
        <v>1.5</v>
      </c>
      <c r="F475" s="2">
        <v>41791</v>
      </c>
      <c r="G475" s="4">
        <v>0.176403</v>
      </c>
      <c r="H475" s="2">
        <v>41791</v>
      </c>
      <c r="I475" s="4">
        <v>0.62921700000000003</v>
      </c>
      <c r="J475" s="29">
        <f t="shared" si="28"/>
        <v>0.45281400000000005</v>
      </c>
      <c r="K475" s="16">
        <f t="shared" si="29"/>
        <v>66</v>
      </c>
      <c r="L475" s="17">
        <f t="shared" si="30"/>
        <v>64.5</v>
      </c>
      <c r="M475" s="17">
        <f t="shared" si="31"/>
        <v>-1.5</v>
      </c>
    </row>
    <row r="476" spans="1:13" ht="14.25" x14ac:dyDescent="0.15">
      <c r="A476" s="6">
        <v>475</v>
      </c>
      <c r="B476" s="1" t="s">
        <v>194</v>
      </c>
      <c r="C476" s="1" t="s">
        <v>11</v>
      </c>
      <c r="D476" s="1" t="s">
        <v>12</v>
      </c>
      <c r="E476" s="16">
        <f>VLOOKUP(C476,收费标准!A$3:B$5,2,FALSE)</f>
        <v>2</v>
      </c>
      <c r="F476" s="2">
        <v>41791</v>
      </c>
      <c r="G476" s="4">
        <v>0.18195900000000001</v>
      </c>
      <c r="H476" s="2">
        <v>41791</v>
      </c>
      <c r="I476" s="4">
        <v>0.75214350000000008</v>
      </c>
      <c r="J476" s="29">
        <f t="shared" si="28"/>
        <v>0.57018450000000009</v>
      </c>
      <c r="K476" s="16">
        <f t="shared" si="29"/>
        <v>110</v>
      </c>
      <c r="L476" s="17">
        <f t="shared" si="30"/>
        <v>108</v>
      </c>
      <c r="M476" s="17">
        <f t="shared" si="31"/>
        <v>-2</v>
      </c>
    </row>
    <row r="477" spans="1:13" ht="14.25" x14ac:dyDescent="0.15">
      <c r="A477" s="6">
        <v>476</v>
      </c>
      <c r="B477" s="1" t="s">
        <v>63</v>
      </c>
      <c r="C477" s="1" t="s">
        <v>14</v>
      </c>
      <c r="D477" s="1" t="s">
        <v>22</v>
      </c>
      <c r="E477" s="16">
        <f>VLOOKUP(C477,收费标准!A$3:B$5,2,FALSE)</f>
        <v>1.5</v>
      </c>
      <c r="F477" s="2">
        <v>41791</v>
      </c>
      <c r="G477" s="4">
        <v>0.1826535</v>
      </c>
      <c r="H477" s="2">
        <v>41791</v>
      </c>
      <c r="I477" s="4">
        <v>0.42572850000000001</v>
      </c>
      <c r="J477" s="29">
        <f t="shared" si="28"/>
        <v>0.24307500000000001</v>
      </c>
      <c r="K477" s="16">
        <f t="shared" si="29"/>
        <v>36</v>
      </c>
      <c r="L477" s="17">
        <f t="shared" si="30"/>
        <v>34.5</v>
      </c>
      <c r="M477" s="17">
        <f t="shared" si="31"/>
        <v>-1.5</v>
      </c>
    </row>
    <row r="478" spans="1:13" ht="14.25" x14ac:dyDescent="0.15">
      <c r="A478" s="6">
        <v>477</v>
      </c>
      <c r="B478" s="1" t="s">
        <v>184</v>
      </c>
      <c r="C478" s="1" t="s">
        <v>11</v>
      </c>
      <c r="D478" s="1" t="s">
        <v>15</v>
      </c>
      <c r="E478" s="16">
        <f>VLOOKUP(C478,收费标准!A$3:B$5,2,FALSE)</f>
        <v>2</v>
      </c>
      <c r="F478" s="2">
        <v>41791</v>
      </c>
      <c r="G478" s="4">
        <v>0.18612600000000001</v>
      </c>
      <c r="H478" s="2">
        <v>41791</v>
      </c>
      <c r="I478" s="4">
        <v>0.4146165</v>
      </c>
      <c r="J478" s="29">
        <f t="shared" si="28"/>
        <v>0.22849049999999999</v>
      </c>
      <c r="K478" s="16">
        <f t="shared" si="29"/>
        <v>44</v>
      </c>
      <c r="L478" s="17">
        <f t="shared" si="30"/>
        <v>42</v>
      </c>
      <c r="M478" s="17">
        <f t="shared" si="31"/>
        <v>-2</v>
      </c>
    </row>
    <row r="479" spans="1:13" ht="14.25" x14ac:dyDescent="0.15">
      <c r="A479" s="6">
        <v>478</v>
      </c>
      <c r="B479" s="1" t="s">
        <v>89</v>
      </c>
      <c r="C479" s="1" t="s">
        <v>26</v>
      </c>
      <c r="D479" s="1" t="s">
        <v>15</v>
      </c>
      <c r="E479" s="16">
        <f>VLOOKUP(C479,收费标准!A$3:B$5,2,FALSE)</f>
        <v>2.5</v>
      </c>
      <c r="F479" s="2">
        <v>41791</v>
      </c>
      <c r="G479" s="4">
        <v>0.1909875</v>
      </c>
      <c r="H479" s="2">
        <v>41791</v>
      </c>
      <c r="I479" s="4">
        <v>0.5632395</v>
      </c>
      <c r="J479" s="29">
        <f t="shared" si="28"/>
        <v>0.37225200000000003</v>
      </c>
      <c r="K479" s="16">
        <f t="shared" si="29"/>
        <v>90</v>
      </c>
      <c r="L479" s="17">
        <f t="shared" si="30"/>
        <v>87.5</v>
      </c>
      <c r="M479" s="17">
        <f t="shared" si="31"/>
        <v>-2.5</v>
      </c>
    </row>
    <row r="480" spans="1:13" ht="14.25" x14ac:dyDescent="0.15">
      <c r="A480" s="6">
        <v>479</v>
      </c>
      <c r="B480" s="1" t="s">
        <v>123</v>
      </c>
      <c r="C480" s="1" t="s">
        <v>14</v>
      </c>
      <c r="D480" s="1" t="s">
        <v>22</v>
      </c>
      <c r="E480" s="16">
        <f>VLOOKUP(C480,收费标准!A$3:B$5,2,FALSE)</f>
        <v>1.5</v>
      </c>
      <c r="F480" s="2">
        <v>41791</v>
      </c>
      <c r="G480" s="4">
        <v>0.2118225</v>
      </c>
      <c r="H480" s="2">
        <v>41791</v>
      </c>
      <c r="I480" s="4">
        <v>0.56115599999999999</v>
      </c>
      <c r="J480" s="29">
        <f t="shared" si="28"/>
        <v>0.34933349999999996</v>
      </c>
      <c r="K480" s="16">
        <f t="shared" si="29"/>
        <v>51</v>
      </c>
      <c r="L480" s="17">
        <f t="shared" si="30"/>
        <v>49.5</v>
      </c>
      <c r="M480" s="17">
        <f t="shared" si="31"/>
        <v>-1.5</v>
      </c>
    </row>
    <row r="481" spans="1:13" ht="14.25" x14ac:dyDescent="0.15">
      <c r="A481" s="6">
        <v>480</v>
      </c>
      <c r="B481" s="1" t="s">
        <v>174</v>
      </c>
      <c r="C481" s="1" t="s">
        <v>11</v>
      </c>
      <c r="D481" s="1" t="s">
        <v>22</v>
      </c>
      <c r="E481" s="16">
        <f>VLOOKUP(C481,收费标准!A$3:B$5,2,FALSE)</f>
        <v>2</v>
      </c>
      <c r="F481" s="2">
        <v>41791</v>
      </c>
      <c r="G481" s="4">
        <v>0.21807300000000002</v>
      </c>
      <c r="H481" s="2">
        <v>41791</v>
      </c>
      <c r="I481" s="4">
        <v>0.39030900000000002</v>
      </c>
      <c r="J481" s="29">
        <f t="shared" si="28"/>
        <v>0.172236</v>
      </c>
      <c r="K481" s="16">
        <f t="shared" si="29"/>
        <v>34</v>
      </c>
      <c r="L481" s="17">
        <f t="shared" si="30"/>
        <v>32</v>
      </c>
      <c r="M481" s="17">
        <f t="shared" si="31"/>
        <v>-2</v>
      </c>
    </row>
    <row r="482" spans="1:13" ht="14.25" x14ac:dyDescent="0.15">
      <c r="A482" s="6">
        <v>481</v>
      </c>
      <c r="B482" s="1" t="s">
        <v>90</v>
      </c>
      <c r="C482" s="1" t="s">
        <v>11</v>
      </c>
      <c r="D482" s="1" t="s">
        <v>12</v>
      </c>
      <c r="E482" s="16">
        <f>VLOOKUP(C482,收费标准!A$3:B$5,2,FALSE)</f>
        <v>2</v>
      </c>
      <c r="F482" s="2">
        <v>41791</v>
      </c>
      <c r="G482" s="4">
        <v>0.24307500000000001</v>
      </c>
      <c r="H482" s="2">
        <v>41791</v>
      </c>
      <c r="I482" s="4">
        <v>0.4965675</v>
      </c>
      <c r="J482" s="29">
        <f t="shared" si="28"/>
        <v>0.25349250000000001</v>
      </c>
      <c r="K482" s="16">
        <f t="shared" si="29"/>
        <v>50</v>
      </c>
      <c r="L482" s="17">
        <f t="shared" si="30"/>
        <v>48</v>
      </c>
      <c r="M482" s="17">
        <f t="shared" si="31"/>
        <v>-2</v>
      </c>
    </row>
    <row r="483" spans="1:13" ht="14.25" x14ac:dyDescent="0.15">
      <c r="A483" s="6">
        <v>482</v>
      </c>
      <c r="B483" s="1" t="s">
        <v>127</v>
      </c>
      <c r="C483" s="1" t="s">
        <v>14</v>
      </c>
      <c r="D483" s="1" t="s">
        <v>22</v>
      </c>
      <c r="E483" s="16">
        <f>VLOOKUP(C483,收费标准!A$3:B$5,2,FALSE)</f>
        <v>1.5</v>
      </c>
      <c r="F483" s="2">
        <v>41791</v>
      </c>
      <c r="G483" s="4">
        <v>0.24307500000000001</v>
      </c>
      <c r="H483" s="2">
        <v>41791</v>
      </c>
      <c r="I483" s="4">
        <v>0.68408250000000004</v>
      </c>
      <c r="J483" s="29">
        <f t="shared" si="28"/>
        <v>0.4410075</v>
      </c>
      <c r="K483" s="16">
        <f t="shared" si="29"/>
        <v>64.5</v>
      </c>
      <c r="L483" s="17">
        <f t="shared" si="30"/>
        <v>63</v>
      </c>
      <c r="M483" s="17">
        <f t="shared" si="31"/>
        <v>-1.5</v>
      </c>
    </row>
    <row r="484" spans="1:13" ht="14.25" x14ac:dyDescent="0.15">
      <c r="A484" s="6">
        <v>483</v>
      </c>
      <c r="B484" s="1" t="s">
        <v>41</v>
      </c>
      <c r="C484" s="1" t="s">
        <v>26</v>
      </c>
      <c r="D484" s="1" t="s">
        <v>22</v>
      </c>
      <c r="E484" s="16">
        <f>VLOOKUP(C484,收费标准!A$3:B$5,2,FALSE)</f>
        <v>2.5</v>
      </c>
      <c r="F484" s="2">
        <v>41791</v>
      </c>
      <c r="G484" s="4">
        <v>0.24724200000000002</v>
      </c>
      <c r="H484" s="2">
        <v>41791</v>
      </c>
      <c r="I484" s="4">
        <v>0.32016450000000002</v>
      </c>
      <c r="J484" s="29">
        <f t="shared" si="28"/>
        <v>7.2922500000000001E-2</v>
      </c>
      <c r="K484" s="16">
        <f t="shared" si="29"/>
        <v>20</v>
      </c>
      <c r="L484" s="17">
        <f t="shared" si="30"/>
        <v>17.5</v>
      </c>
      <c r="M484" s="17">
        <f t="shared" si="31"/>
        <v>-2.5</v>
      </c>
    </row>
    <row r="485" spans="1:13" ht="14.25" x14ac:dyDescent="0.15">
      <c r="A485" s="6">
        <v>484</v>
      </c>
      <c r="B485" s="1" t="s">
        <v>39</v>
      </c>
      <c r="C485" s="1" t="s">
        <v>11</v>
      </c>
      <c r="D485" s="1" t="s">
        <v>15</v>
      </c>
      <c r="E485" s="16">
        <f>VLOOKUP(C485,收费标准!A$3:B$5,2,FALSE)</f>
        <v>2</v>
      </c>
      <c r="F485" s="2">
        <v>41791</v>
      </c>
      <c r="G485" s="4">
        <v>0.256965</v>
      </c>
      <c r="H485" s="2">
        <v>41791</v>
      </c>
      <c r="I485" s="4">
        <v>0.46600950000000002</v>
      </c>
      <c r="J485" s="29">
        <f t="shared" si="28"/>
        <v>0.20904450000000002</v>
      </c>
      <c r="K485" s="16">
        <f t="shared" si="29"/>
        <v>42</v>
      </c>
      <c r="L485" s="17">
        <f t="shared" si="30"/>
        <v>40</v>
      </c>
      <c r="M485" s="17">
        <f t="shared" si="31"/>
        <v>-2</v>
      </c>
    </row>
    <row r="486" spans="1:13" ht="14.25" x14ac:dyDescent="0.15">
      <c r="A486" s="6">
        <v>485</v>
      </c>
      <c r="B486" s="1" t="s">
        <v>46</v>
      </c>
      <c r="C486" s="1" t="s">
        <v>14</v>
      </c>
      <c r="D486" s="1" t="s">
        <v>17</v>
      </c>
      <c r="E486" s="16">
        <f>VLOOKUP(C486,收费标准!A$3:B$5,2,FALSE)</f>
        <v>1.5</v>
      </c>
      <c r="F486" s="2">
        <v>41791</v>
      </c>
      <c r="G486" s="4">
        <v>0.26182650000000002</v>
      </c>
      <c r="H486" s="2">
        <v>41791</v>
      </c>
      <c r="I486" s="4">
        <v>0.50212350000000006</v>
      </c>
      <c r="J486" s="29">
        <f t="shared" si="28"/>
        <v>0.24029700000000004</v>
      </c>
      <c r="K486" s="16">
        <f t="shared" si="29"/>
        <v>36</v>
      </c>
      <c r="L486" s="17">
        <f t="shared" si="30"/>
        <v>34.5</v>
      </c>
      <c r="M486" s="17">
        <f t="shared" si="31"/>
        <v>-1.5</v>
      </c>
    </row>
    <row r="487" spans="1:13" ht="14.25" x14ac:dyDescent="0.15">
      <c r="A487" s="6">
        <v>486</v>
      </c>
      <c r="B487" s="1" t="s">
        <v>208</v>
      </c>
      <c r="C487" s="1" t="s">
        <v>26</v>
      </c>
      <c r="D487" s="1" t="s">
        <v>22</v>
      </c>
      <c r="E487" s="16">
        <f>VLOOKUP(C487,收费标准!A$3:B$5,2,FALSE)</f>
        <v>2.5</v>
      </c>
      <c r="F487" s="2">
        <v>41791</v>
      </c>
      <c r="G487" s="4">
        <v>0.27016050000000003</v>
      </c>
      <c r="H487" s="2">
        <v>41791</v>
      </c>
      <c r="I487" s="4">
        <v>0.82159349999999998</v>
      </c>
      <c r="J487" s="29">
        <f t="shared" si="28"/>
        <v>0.55143299999999995</v>
      </c>
      <c r="K487" s="16">
        <f t="shared" si="29"/>
        <v>132.5</v>
      </c>
      <c r="L487" s="17">
        <f t="shared" si="30"/>
        <v>130</v>
      </c>
      <c r="M487" s="17">
        <f t="shared" si="31"/>
        <v>-2.5</v>
      </c>
    </row>
    <row r="488" spans="1:13" ht="14.25" x14ac:dyDescent="0.15">
      <c r="A488" s="6">
        <v>487</v>
      </c>
      <c r="B488" s="1" t="s">
        <v>123</v>
      </c>
      <c r="C488" s="1" t="s">
        <v>14</v>
      </c>
      <c r="D488" s="1" t="s">
        <v>22</v>
      </c>
      <c r="E488" s="16">
        <f>VLOOKUP(C488,收费标准!A$3:B$5,2,FALSE)</f>
        <v>1.5</v>
      </c>
      <c r="F488" s="2">
        <v>41791</v>
      </c>
      <c r="G488" s="4">
        <v>0.2715495</v>
      </c>
      <c r="H488" s="2">
        <v>41791</v>
      </c>
      <c r="I488" s="4">
        <v>0.58199100000000004</v>
      </c>
      <c r="J488" s="29">
        <f t="shared" si="28"/>
        <v>0.31044150000000004</v>
      </c>
      <c r="K488" s="16">
        <f t="shared" si="29"/>
        <v>45</v>
      </c>
      <c r="L488" s="17">
        <f t="shared" si="30"/>
        <v>43.5</v>
      </c>
      <c r="M488" s="17">
        <f t="shared" si="31"/>
        <v>-1.5</v>
      </c>
    </row>
    <row r="489" spans="1:13" ht="14.25" x14ac:dyDescent="0.15">
      <c r="A489" s="6">
        <v>488</v>
      </c>
      <c r="B489" s="1" t="s">
        <v>78</v>
      </c>
      <c r="C489" s="1" t="s">
        <v>26</v>
      </c>
      <c r="D489" s="1" t="s">
        <v>15</v>
      </c>
      <c r="E489" s="16">
        <f>VLOOKUP(C489,收费标准!A$3:B$5,2,FALSE)</f>
        <v>2.5</v>
      </c>
      <c r="F489" s="2">
        <v>41791</v>
      </c>
      <c r="G489" s="4">
        <v>0.27363300000000002</v>
      </c>
      <c r="H489" s="2">
        <v>41791</v>
      </c>
      <c r="I489" s="4">
        <v>0.40767150000000002</v>
      </c>
      <c r="J489" s="29">
        <f t="shared" si="28"/>
        <v>0.1340385</v>
      </c>
      <c r="K489" s="16">
        <f t="shared" si="29"/>
        <v>32.5</v>
      </c>
      <c r="L489" s="17">
        <f t="shared" si="30"/>
        <v>30</v>
      </c>
      <c r="M489" s="17">
        <f t="shared" si="31"/>
        <v>-2.5</v>
      </c>
    </row>
    <row r="490" spans="1:13" ht="14.25" x14ac:dyDescent="0.15">
      <c r="A490" s="6">
        <v>489</v>
      </c>
      <c r="B490" s="1" t="s">
        <v>175</v>
      </c>
      <c r="C490" s="1" t="s">
        <v>26</v>
      </c>
      <c r="D490" s="1" t="s">
        <v>22</v>
      </c>
      <c r="E490" s="16">
        <f>VLOOKUP(C490,收费标准!A$3:B$5,2,FALSE)</f>
        <v>2.5</v>
      </c>
      <c r="F490" s="2">
        <v>41791</v>
      </c>
      <c r="G490" s="4">
        <v>0.29516249999999999</v>
      </c>
      <c r="H490" s="2">
        <v>41791</v>
      </c>
      <c r="I490" s="4">
        <v>0.34516649999999999</v>
      </c>
      <c r="J490" s="29">
        <f t="shared" si="28"/>
        <v>5.0003999999999993E-2</v>
      </c>
      <c r="K490" s="16">
        <f t="shared" si="29"/>
        <v>12.5</v>
      </c>
      <c r="L490" s="17">
        <f t="shared" si="30"/>
        <v>10</v>
      </c>
      <c r="M490" s="17">
        <f t="shared" si="31"/>
        <v>-2.5</v>
      </c>
    </row>
    <row r="491" spans="1:13" ht="14.25" x14ac:dyDescent="0.15">
      <c r="A491" s="6">
        <v>490</v>
      </c>
      <c r="B491" s="1" t="s">
        <v>134</v>
      </c>
      <c r="C491" s="1" t="s">
        <v>14</v>
      </c>
      <c r="D491" s="1" t="s">
        <v>15</v>
      </c>
      <c r="E491" s="16">
        <f>VLOOKUP(C491,收费标准!A$3:B$5,2,FALSE)</f>
        <v>1.5</v>
      </c>
      <c r="F491" s="2">
        <v>41791</v>
      </c>
      <c r="G491" s="4">
        <v>0.30280200000000002</v>
      </c>
      <c r="H491" s="2">
        <v>41791</v>
      </c>
      <c r="I491" s="4">
        <v>0.76603350000000003</v>
      </c>
      <c r="J491" s="29">
        <f t="shared" si="28"/>
        <v>0.46323150000000002</v>
      </c>
      <c r="K491" s="16">
        <f t="shared" si="29"/>
        <v>67.5</v>
      </c>
      <c r="L491" s="17">
        <f t="shared" si="30"/>
        <v>66</v>
      </c>
      <c r="M491" s="17">
        <f t="shared" si="31"/>
        <v>-1.5</v>
      </c>
    </row>
    <row r="492" spans="1:13" ht="14.25" x14ac:dyDescent="0.15">
      <c r="A492" s="6">
        <v>491</v>
      </c>
      <c r="B492" s="1" t="s">
        <v>95</v>
      </c>
      <c r="C492" s="1" t="s">
        <v>26</v>
      </c>
      <c r="D492" s="1" t="s">
        <v>22</v>
      </c>
      <c r="E492" s="16">
        <f>VLOOKUP(C492,收费标准!A$3:B$5,2,FALSE)</f>
        <v>2.5</v>
      </c>
      <c r="F492" s="2">
        <v>41791</v>
      </c>
      <c r="G492" s="4">
        <v>0.315303</v>
      </c>
      <c r="H492" s="2">
        <v>41791</v>
      </c>
      <c r="I492" s="4">
        <v>0.75283800000000001</v>
      </c>
      <c r="J492" s="29">
        <f t="shared" si="28"/>
        <v>0.43753500000000001</v>
      </c>
      <c r="K492" s="16">
        <f t="shared" si="29"/>
        <v>107.5</v>
      </c>
      <c r="L492" s="17">
        <f t="shared" si="30"/>
        <v>105</v>
      </c>
      <c r="M492" s="17">
        <f t="shared" si="31"/>
        <v>-2.5</v>
      </c>
    </row>
    <row r="493" spans="1:13" ht="14.25" x14ac:dyDescent="0.15">
      <c r="A493" s="6">
        <v>492</v>
      </c>
      <c r="B493" s="1" t="s">
        <v>129</v>
      </c>
      <c r="C493" s="1" t="s">
        <v>11</v>
      </c>
      <c r="D493" s="1" t="s">
        <v>12</v>
      </c>
      <c r="E493" s="16">
        <f>VLOOKUP(C493,收费标准!A$3:B$5,2,FALSE)</f>
        <v>2</v>
      </c>
      <c r="F493" s="2">
        <v>41791</v>
      </c>
      <c r="G493" s="4">
        <v>0.32641500000000001</v>
      </c>
      <c r="H493" s="2">
        <v>41791</v>
      </c>
      <c r="I493" s="4">
        <v>0.92854650000000005</v>
      </c>
      <c r="J493" s="29">
        <f t="shared" si="28"/>
        <v>0.60213150000000004</v>
      </c>
      <c r="K493" s="16">
        <f t="shared" si="29"/>
        <v>116</v>
      </c>
      <c r="L493" s="17">
        <f t="shared" si="30"/>
        <v>114</v>
      </c>
      <c r="M493" s="17">
        <f t="shared" si="31"/>
        <v>-2</v>
      </c>
    </row>
    <row r="494" spans="1:13" ht="14.25" x14ac:dyDescent="0.15">
      <c r="A494" s="6">
        <v>493</v>
      </c>
      <c r="B494" s="1" t="s">
        <v>148</v>
      </c>
      <c r="C494" s="1" t="s">
        <v>11</v>
      </c>
      <c r="D494" s="1" t="s">
        <v>12</v>
      </c>
      <c r="E494" s="16">
        <f>VLOOKUP(C494,收费标准!A$3:B$5,2,FALSE)</f>
        <v>2</v>
      </c>
      <c r="F494" s="2">
        <v>41791</v>
      </c>
      <c r="G494" s="4">
        <v>0.3271095</v>
      </c>
      <c r="H494" s="2">
        <v>41791</v>
      </c>
      <c r="I494" s="4">
        <v>0.69658350000000002</v>
      </c>
      <c r="J494" s="29">
        <f t="shared" si="28"/>
        <v>0.36947400000000002</v>
      </c>
      <c r="K494" s="16">
        <f t="shared" si="29"/>
        <v>72</v>
      </c>
      <c r="L494" s="17">
        <f t="shared" si="30"/>
        <v>70</v>
      </c>
      <c r="M494" s="17">
        <f t="shared" si="31"/>
        <v>-2</v>
      </c>
    </row>
    <row r="495" spans="1:13" ht="14.25" x14ac:dyDescent="0.15">
      <c r="A495" s="6">
        <v>494</v>
      </c>
      <c r="B495" s="1" t="s">
        <v>154</v>
      </c>
      <c r="C495" s="1" t="s">
        <v>11</v>
      </c>
      <c r="D495" s="1" t="s">
        <v>12</v>
      </c>
      <c r="E495" s="16">
        <f>VLOOKUP(C495,收费标准!A$3:B$5,2,FALSE)</f>
        <v>2</v>
      </c>
      <c r="F495" s="2">
        <v>41791</v>
      </c>
      <c r="G495" s="4">
        <v>0.33127650000000003</v>
      </c>
      <c r="H495" s="2">
        <v>41791</v>
      </c>
      <c r="I495" s="4">
        <v>0.76742250000000001</v>
      </c>
      <c r="J495" s="29">
        <f t="shared" si="28"/>
        <v>0.43614599999999998</v>
      </c>
      <c r="K495" s="16">
        <f t="shared" si="29"/>
        <v>84</v>
      </c>
      <c r="L495" s="17">
        <f t="shared" si="30"/>
        <v>82</v>
      </c>
      <c r="M495" s="17">
        <f t="shared" si="31"/>
        <v>-2</v>
      </c>
    </row>
    <row r="496" spans="1:13" ht="14.25" x14ac:dyDescent="0.15">
      <c r="A496" s="6">
        <v>495</v>
      </c>
      <c r="B496" s="1" t="s">
        <v>75</v>
      </c>
      <c r="C496" s="1" t="s">
        <v>14</v>
      </c>
      <c r="D496" s="1" t="s">
        <v>15</v>
      </c>
      <c r="E496" s="16">
        <f>VLOOKUP(C496,收费标准!A$3:B$5,2,FALSE)</f>
        <v>1.5</v>
      </c>
      <c r="F496" s="2">
        <v>41791</v>
      </c>
      <c r="G496" s="4">
        <v>0.33613799999999999</v>
      </c>
      <c r="H496" s="2">
        <v>41791</v>
      </c>
      <c r="I496" s="4">
        <v>0.81742650000000006</v>
      </c>
      <c r="J496" s="29">
        <f t="shared" si="28"/>
        <v>0.48128850000000006</v>
      </c>
      <c r="K496" s="16">
        <f t="shared" si="29"/>
        <v>70.5</v>
      </c>
      <c r="L496" s="17">
        <f t="shared" si="30"/>
        <v>69</v>
      </c>
      <c r="M496" s="17">
        <f t="shared" si="31"/>
        <v>-1.5</v>
      </c>
    </row>
    <row r="497" spans="1:13" ht="14.25" x14ac:dyDescent="0.15">
      <c r="A497" s="6">
        <v>496</v>
      </c>
      <c r="B497" s="1" t="s">
        <v>114</v>
      </c>
      <c r="C497" s="1" t="s">
        <v>26</v>
      </c>
      <c r="D497" s="1" t="s">
        <v>17</v>
      </c>
      <c r="E497" s="16">
        <f>VLOOKUP(C497,收费标准!A$3:B$5,2,FALSE)</f>
        <v>2.5</v>
      </c>
      <c r="F497" s="2">
        <v>41791</v>
      </c>
      <c r="G497" s="4">
        <v>0.34308300000000003</v>
      </c>
      <c r="H497" s="2">
        <v>41791</v>
      </c>
      <c r="I497" s="4">
        <v>0.88687650000000007</v>
      </c>
      <c r="J497" s="29">
        <f t="shared" si="28"/>
        <v>0.54379350000000004</v>
      </c>
      <c r="K497" s="16">
        <f t="shared" si="29"/>
        <v>132.5</v>
      </c>
      <c r="L497" s="17">
        <f t="shared" si="30"/>
        <v>130</v>
      </c>
      <c r="M497" s="17">
        <f t="shared" si="31"/>
        <v>-2.5</v>
      </c>
    </row>
    <row r="498" spans="1:13" ht="14.25" x14ac:dyDescent="0.15">
      <c r="A498" s="6">
        <v>497</v>
      </c>
      <c r="B498" s="1" t="s">
        <v>82</v>
      </c>
      <c r="C498" s="1" t="s">
        <v>14</v>
      </c>
      <c r="D498" s="1" t="s">
        <v>12</v>
      </c>
      <c r="E498" s="16">
        <f>VLOOKUP(C498,收费标准!A$3:B$5,2,FALSE)</f>
        <v>1.5</v>
      </c>
      <c r="F498" s="2">
        <v>41791</v>
      </c>
      <c r="G498" s="4">
        <v>0.34655550000000002</v>
      </c>
      <c r="H498" s="2">
        <v>41791</v>
      </c>
      <c r="I498" s="4">
        <v>0.38197500000000001</v>
      </c>
      <c r="J498" s="29">
        <f t="shared" si="28"/>
        <v>3.5419499999999993E-2</v>
      </c>
      <c r="K498" s="16">
        <f t="shared" si="29"/>
        <v>6</v>
      </c>
      <c r="L498" s="17">
        <f t="shared" si="30"/>
        <v>4.5</v>
      </c>
      <c r="M498" s="17">
        <f t="shared" si="31"/>
        <v>-1.5</v>
      </c>
    </row>
    <row r="499" spans="1:13" ht="14.25" x14ac:dyDescent="0.15">
      <c r="A499" s="6">
        <v>498</v>
      </c>
      <c r="B499" s="1" t="s">
        <v>111</v>
      </c>
      <c r="C499" s="1" t="s">
        <v>11</v>
      </c>
      <c r="D499" s="1" t="s">
        <v>15</v>
      </c>
      <c r="E499" s="16">
        <f>VLOOKUP(C499,收费标准!A$3:B$5,2,FALSE)</f>
        <v>2</v>
      </c>
      <c r="F499" s="2">
        <v>41791</v>
      </c>
      <c r="G499" s="4">
        <v>0.36530699999999999</v>
      </c>
      <c r="H499" s="2">
        <v>41791</v>
      </c>
      <c r="I499" s="4">
        <v>0.50281799999999999</v>
      </c>
      <c r="J499" s="29">
        <f t="shared" si="28"/>
        <v>0.13751099999999999</v>
      </c>
      <c r="K499" s="16">
        <f t="shared" si="29"/>
        <v>28</v>
      </c>
      <c r="L499" s="17">
        <f t="shared" si="30"/>
        <v>26</v>
      </c>
      <c r="M499" s="17">
        <f t="shared" si="31"/>
        <v>-2</v>
      </c>
    </row>
    <row r="500" spans="1:13" ht="14.25" x14ac:dyDescent="0.15">
      <c r="A500" s="6">
        <v>499</v>
      </c>
      <c r="B500" s="1" t="s">
        <v>19</v>
      </c>
      <c r="C500" s="1" t="s">
        <v>11</v>
      </c>
      <c r="D500" s="1" t="s">
        <v>17</v>
      </c>
      <c r="E500" s="16">
        <f>VLOOKUP(C500,收费标准!A$3:B$5,2,FALSE)</f>
        <v>2</v>
      </c>
      <c r="F500" s="2">
        <v>41791</v>
      </c>
      <c r="G500" s="4">
        <v>0.37503000000000003</v>
      </c>
      <c r="H500" s="2">
        <v>41791</v>
      </c>
      <c r="I500" s="4">
        <v>0.49309500000000001</v>
      </c>
      <c r="J500" s="29">
        <f t="shared" si="28"/>
        <v>0.11806499999999998</v>
      </c>
      <c r="K500" s="16">
        <f t="shared" si="29"/>
        <v>24</v>
      </c>
      <c r="L500" s="17">
        <f t="shared" si="30"/>
        <v>22</v>
      </c>
      <c r="M500" s="17">
        <f t="shared" si="31"/>
        <v>-2</v>
      </c>
    </row>
    <row r="501" spans="1:13" ht="14.25" x14ac:dyDescent="0.15">
      <c r="A501" s="6">
        <v>500</v>
      </c>
      <c r="B501" s="1" t="s">
        <v>207</v>
      </c>
      <c r="C501" s="1" t="s">
        <v>11</v>
      </c>
      <c r="D501" s="1" t="s">
        <v>22</v>
      </c>
      <c r="E501" s="16">
        <f>VLOOKUP(C501,收费标准!A$3:B$5,2,FALSE)</f>
        <v>2</v>
      </c>
      <c r="F501" s="2">
        <v>41791</v>
      </c>
      <c r="G501" s="4">
        <v>0.37780800000000003</v>
      </c>
      <c r="H501" s="2">
        <v>41791</v>
      </c>
      <c r="I501" s="4">
        <v>0.484761</v>
      </c>
      <c r="J501" s="29">
        <f t="shared" si="28"/>
        <v>0.10695299999999996</v>
      </c>
      <c r="K501" s="16">
        <f t="shared" si="29"/>
        <v>22</v>
      </c>
      <c r="L501" s="17">
        <f t="shared" si="30"/>
        <v>20</v>
      </c>
      <c r="M501" s="17">
        <f t="shared" si="31"/>
        <v>-2</v>
      </c>
    </row>
    <row r="502" spans="1:13" ht="14.25" x14ac:dyDescent="0.15">
      <c r="A502" s="6">
        <v>501</v>
      </c>
      <c r="B502" s="1" t="s">
        <v>60</v>
      </c>
      <c r="C502" s="1" t="s">
        <v>26</v>
      </c>
      <c r="D502" s="1" t="s">
        <v>12</v>
      </c>
      <c r="E502" s="16">
        <f>VLOOKUP(C502,收费标准!A$3:B$5,2,FALSE)</f>
        <v>2.5</v>
      </c>
      <c r="F502" s="2">
        <v>41791</v>
      </c>
      <c r="G502" s="4">
        <v>0.39447599999999999</v>
      </c>
      <c r="H502" s="2">
        <v>41792</v>
      </c>
      <c r="I502" s="4">
        <v>2.7085500000000002E-2</v>
      </c>
      <c r="J502" s="29">
        <f t="shared" si="28"/>
        <v>0.63260950000000005</v>
      </c>
      <c r="K502" s="16">
        <f t="shared" si="29"/>
        <v>152.5</v>
      </c>
      <c r="L502" s="17">
        <f t="shared" si="30"/>
        <v>150</v>
      </c>
      <c r="M502" s="17">
        <f t="shared" si="31"/>
        <v>-2.5</v>
      </c>
    </row>
    <row r="503" spans="1:13" ht="14.25" x14ac:dyDescent="0.15">
      <c r="A503" s="6">
        <v>502</v>
      </c>
      <c r="B503" s="1" t="s">
        <v>170</v>
      </c>
      <c r="C503" s="1" t="s">
        <v>26</v>
      </c>
      <c r="D503" s="1" t="s">
        <v>15</v>
      </c>
      <c r="E503" s="16">
        <f>VLOOKUP(C503,收费标准!A$3:B$5,2,FALSE)</f>
        <v>2.5</v>
      </c>
      <c r="F503" s="2">
        <v>41791</v>
      </c>
      <c r="G503" s="4">
        <v>0.4173945</v>
      </c>
      <c r="H503" s="2">
        <v>41791</v>
      </c>
      <c r="I503" s="4">
        <v>0.73547550000000006</v>
      </c>
      <c r="J503" s="29">
        <f t="shared" si="28"/>
        <v>0.31808100000000006</v>
      </c>
      <c r="K503" s="16">
        <f t="shared" si="29"/>
        <v>77.5</v>
      </c>
      <c r="L503" s="17">
        <f t="shared" si="30"/>
        <v>75</v>
      </c>
      <c r="M503" s="17">
        <f t="shared" si="31"/>
        <v>-2.5</v>
      </c>
    </row>
    <row r="504" spans="1:13" ht="14.25" x14ac:dyDescent="0.15">
      <c r="A504" s="6">
        <v>503</v>
      </c>
      <c r="B504" s="1" t="s">
        <v>162</v>
      </c>
      <c r="C504" s="1" t="s">
        <v>11</v>
      </c>
      <c r="D504" s="1" t="s">
        <v>22</v>
      </c>
      <c r="E504" s="16">
        <f>VLOOKUP(C504,收费标准!A$3:B$5,2,FALSE)</f>
        <v>2</v>
      </c>
      <c r="F504" s="2">
        <v>41791</v>
      </c>
      <c r="G504" s="4">
        <v>0.4201725</v>
      </c>
      <c r="H504" s="2">
        <v>41791</v>
      </c>
      <c r="I504" s="4">
        <v>0.59101950000000003</v>
      </c>
      <c r="J504" s="29">
        <f t="shared" si="28"/>
        <v>0.17084700000000003</v>
      </c>
      <c r="K504" s="16">
        <f t="shared" si="29"/>
        <v>34</v>
      </c>
      <c r="L504" s="17">
        <f t="shared" si="30"/>
        <v>32</v>
      </c>
      <c r="M504" s="17">
        <f t="shared" si="31"/>
        <v>-2</v>
      </c>
    </row>
    <row r="505" spans="1:13" ht="14.25" x14ac:dyDescent="0.15">
      <c r="A505" s="6">
        <v>504</v>
      </c>
      <c r="B505" s="1" t="s">
        <v>167</v>
      </c>
      <c r="C505" s="1" t="s">
        <v>11</v>
      </c>
      <c r="D505" s="1" t="s">
        <v>22</v>
      </c>
      <c r="E505" s="16">
        <f>VLOOKUP(C505,收费标准!A$3:B$5,2,FALSE)</f>
        <v>2</v>
      </c>
      <c r="F505" s="2">
        <v>41791</v>
      </c>
      <c r="G505" s="4">
        <v>0.42989549999999999</v>
      </c>
      <c r="H505" s="2">
        <v>41791</v>
      </c>
      <c r="I505" s="4">
        <v>0.65630250000000001</v>
      </c>
      <c r="J505" s="29">
        <f t="shared" si="28"/>
        <v>0.22640700000000002</v>
      </c>
      <c r="K505" s="16">
        <f t="shared" si="29"/>
        <v>44</v>
      </c>
      <c r="L505" s="17">
        <f t="shared" si="30"/>
        <v>42</v>
      </c>
      <c r="M505" s="17">
        <f t="shared" si="31"/>
        <v>-2</v>
      </c>
    </row>
    <row r="506" spans="1:13" ht="14.25" x14ac:dyDescent="0.15">
      <c r="A506" s="6">
        <v>505</v>
      </c>
      <c r="B506" s="1" t="s">
        <v>55</v>
      </c>
      <c r="C506" s="1" t="s">
        <v>26</v>
      </c>
      <c r="D506" s="1" t="s">
        <v>15</v>
      </c>
      <c r="E506" s="16">
        <f>VLOOKUP(C506,收费标准!A$3:B$5,2,FALSE)</f>
        <v>2.5</v>
      </c>
      <c r="F506" s="2">
        <v>41791</v>
      </c>
      <c r="G506" s="4">
        <v>0.43614600000000003</v>
      </c>
      <c r="H506" s="2">
        <v>41791</v>
      </c>
      <c r="I506" s="4">
        <v>0.70491749999999997</v>
      </c>
      <c r="J506" s="29">
        <f t="shared" si="28"/>
        <v>0.26877149999999994</v>
      </c>
      <c r="K506" s="16">
        <f t="shared" si="29"/>
        <v>65</v>
      </c>
      <c r="L506" s="17">
        <f t="shared" si="30"/>
        <v>62.5</v>
      </c>
      <c r="M506" s="17">
        <f t="shared" si="31"/>
        <v>-2.5</v>
      </c>
    </row>
    <row r="507" spans="1:13" ht="14.25" x14ac:dyDescent="0.15">
      <c r="A507" s="6">
        <v>506</v>
      </c>
      <c r="B507" s="1" t="s">
        <v>35</v>
      </c>
      <c r="C507" s="1" t="s">
        <v>14</v>
      </c>
      <c r="D507" s="1" t="s">
        <v>17</v>
      </c>
      <c r="E507" s="16">
        <f>VLOOKUP(C507,收费标准!A$3:B$5,2,FALSE)</f>
        <v>1.5</v>
      </c>
      <c r="F507" s="2">
        <v>41791</v>
      </c>
      <c r="G507" s="4">
        <v>0.46253700000000003</v>
      </c>
      <c r="H507" s="2">
        <v>41791</v>
      </c>
      <c r="I507" s="4">
        <v>0.76047750000000003</v>
      </c>
      <c r="J507" s="29">
        <f t="shared" si="28"/>
        <v>0.2979405</v>
      </c>
      <c r="K507" s="16">
        <f t="shared" si="29"/>
        <v>43.5</v>
      </c>
      <c r="L507" s="17">
        <f t="shared" si="30"/>
        <v>42</v>
      </c>
      <c r="M507" s="17">
        <f t="shared" si="31"/>
        <v>-1.5</v>
      </c>
    </row>
    <row r="508" spans="1:13" ht="14.25" x14ac:dyDescent="0.15">
      <c r="A508" s="6">
        <v>507</v>
      </c>
      <c r="B508" s="1" t="s">
        <v>56</v>
      </c>
      <c r="C508" s="1" t="s">
        <v>11</v>
      </c>
      <c r="D508" s="1" t="s">
        <v>17</v>
      </c>
      <c r="E508" s="16">
        <f>VLOOKUP(C508,收费标准!A$3:B$5,2,FALSE)</f>
        <v>2</v>
      </c>
      <c r="F508" s="2">
        <v>41791</v>
      </c>
      <c r="G508" s="4">
        <v>0.47989950000000003</v>
      </c>
      <c r="H508" s="2">
        <v>41791</v>
      </c>
      <c r="I508" s="4">
        <v>0.69450000000000001</v>
      </c>
      <c r="J508" s="29">
        <f t="shared" si="28"/>
        <v>0.21460049999999997</v>
      </c>
      <c r="K508" s="16">
        <f t="shared" si="29"/>
        <v>42</v>
      </c>
      <c r="L508" s="17">
        <f t="shared" si="30"/>
        <v>40</v>
      </c>
      <c r="M508" s="17">
        <f t="shared" si="31"/>
        <v>-2</v>
      </c>
    </row>
    <row r="509" spans="1:13" ht="14.25" x14ac:dyDescent="0.15">
      <c r="A509" s="6">
        <v>508</v>
      </c>
      <c r="B509" s="1" t="s">
        <v>104</v>
      </c>
      <c r="C509" s="1" t="s">
        <v>26</v>
      </c>
      <c r="D509" s="1" t="s">
        <v>22</v>
      </c>
      <c r="E509" s="16">
        <f>VLOOKUP(C509,收费标准!A$3:B$5,2,FALSE)</f>
        <v>2.5</v>
      </c>
      <c r="F509" s="2">
        <v>41791</v>
      </c>
      <c r="G509" s="4">
        <v>0.484761</v>
      </c>
      <c r="H509" s="2">
        <v>41791</v>
      </c>
      <c r="I509" s="4">
        <v>0.58129649999999999</v>
      </c>
      <c r="J509" s="29">
        <f t="shared" si="28"/>
        <v>9.6535499999999996E-2</v>
      </c>
      <c r="K509" s="16">
        <f t="shared" si="29"/>
        <v>25</v>
      </c>
      <c r="L509" s="17">
        <f t="shared" si="30"/>
        <v>22.5</v>
      </c>
      <c r="M509" s="17">
        <f t="shared" si="31"/>
        <v>-2.5</v>
      </c>
    </row>
    <row r="510" spans="1:13" ht="14.25" x14ac:dyDescent="0.15">
      <c r="A510" s="6">
        <v>509</v>
      </c>
      <c r="B510" s="1" t="s">
        <v>27</v>
      </c>
      <c r="C510" s="1" t="s">
        <v>14</v>
      </c>
      <c r="D510" s="1" t="s">
        <v>15</v>
      </c>
      <c r="E510" s="16">
        <f>VLOOKUP(C510,收费标准!A$3:B$5,2,FALSE)</f>
        <v>1.5</v>
      </c>
      <c r="F510" s="2">
        <v>41791</v>
      </c>
      <c r="G510" s="4">
        <v>0.48684450000000001</v>
      </c>
      <c r="H510" s="2">
        <v>41792</v>
      </c>
      <c r="I510" s="4">
        <v>0.14931749999999999</v>
      </c>
      <c r="J510" s="29">
        <f t="shared" si="28"/>
        <v>0.66247299999999998</v>
      </c>
      <c r="K510" s="16">
        <f t="shared" si="29"/>
        <v>96</v>
      </c>
      <c r="L510" s="17">
        <f t="shared" si="30"/>
        <v>94.5</v>
      </c>
      <c r="M510" s="17">
        <f t="shared" si="31"/>
        <v>-1.5</v>
      </c>
    </row>
    <row r="511" spans="1:13" ht="14.25" x14ac:dyDescent="0.15">
      <c r="A511" s="6">
        <v>510</v>
      </c>
      <c r="B511" s="1" t="s">
        <v>147</v>
      </c>
      <c r="C511" s="1" t="s">
        <v>26</v>
      </c>
      <c r="D511" s="1" t="s">
        <v>12</v>
      </c>
      <c r="E511" s="16">
        <f>VLOOKUP(C511,收费标准!A$3:B$5,2,FALSE)</f>
        <v>2.5</v>
      </c>
      <c r="F511" s="2">
        <v>41791</v>
      </c>
      <c r="G511" s="4">
        <v>0.49101149999999999</v>
      </c>
      <c r="H511" s="2">
        <v>41791</v>
      </c>
      <c r="I511" s="4">
        <v>0.50351250000000003</v>
      </c>
      <c r="J511" s="29">
        <f t="shared" si="28"/>
        <v>1.250100000000004E-2</v>
      </c>
      <c r="K511" s="16">
        <f t="shared" si="29"/>
        <v>5</v>
      </c>
      <c r="L511" s="17">
        <f t="shared" si="30"/>
        <v>2.5</v>
      </c>
      <c r="M511" s="17">
        <f t="shared" si="31"/>
        <v>-2.5</v>
      </c>
    </row>
    <row r="512" spans="1:13" ht="14.25" x14ac:dyDescent="0.15">
      <c r="A512" s="6">
        <v>511</v>
      </c>
      <c r="B512" s="1" t="s">
        <v>97</v>
      </c>
      <c r="C512" s="1" t="s">
        <v>11</v>
      </c>
      <c r="D512" s="1" t="s">
        <v>12</v>
      </c>
      <c r="E512" s="16">
        <f>VLOOKUP(C512,收费标准!A$3:B$5,2,FALSE)</f>
        <v>2</v>
      </c>
      <c r="F512" s="2">
        <v>41791</v>
      </c>
      <c r="G512" s="4">
        <v>0.49378949999999999</v>
      </c>
      <c r="H512" s="2">
        <v>41791</v>
      </c>
      <c r="I512" s="4">
        <v>0.69936149999999997</v>
      </c>
      <c r="J512" s="29">
        <f t="shared" si="28"/>
        <v>0.20557199999999998</v>
      </c>
      <c r="K512" s="16">
        <f t="shared" si="29"/>
        <v>40</v>
      </c>
      <c r="L512" s="17">
        <f t="shared" si="30"/>
        <v>38</v>
      </c>
      <c r="M512" s="17">
        <f t="shared" si="31"/>
        <v>-2</v>
      </c>
    </row>
    <row r="513" spans="1:13" ht="14.25" x14ac:dyDescent="0.15">
      <c r="A513" s="6">
        <v>512</v>
      </c>
      <c r="B513" s="1" t="s">
        <v>48</v>
      </c>
      <c r="C513" s="1" t="s">
        <v>26</v>
      </c>
      <c r="D513" s="1" t="s">
        <v>15</v>
      </c>
      <c r="E513" s="16">
        <f>VLOOKUP(C513,收费标准!A$3:B$5,2,FALSE)</f>
        <v>2.5</v>
      </c>
      <c r="F513" s="2">
        <v>41791</v>
      </c>
      <c r="G513" s="4">
        <v>0.50142900000000001</v>
      </c>
      <c r="H513" s="2">
        <v>41791</v>
      </c>
      <c r="I513" s="4">
        <v>0.78478500000000007</v>
      </c>
      <c r="J513" s="29">
        <f t="shared" si="28"/>
        <v>0.28335600000000005</v>
      </c>
      <c r="K513" s="16">
        <f t="shared" si="29"/>
        <v>70</v>
      </c>
      <c r="L513" s="17">
        <f t="shared" si="30"/>
        <v>67.5</v>
      </c>
      <c r="M513" s="17">
        <f t="shared" si="31"/>
        <v>-2.5</v>
      </c>
    </row>
    <row r="514" spans="1:13" ht="14.25" x14ac:dyDescent="0.15">
      <c r="A514" s="6">
        <v>513</v>
      </c>
      <c r="B514" s="1" t="s">
        <v>40</v>
      </c>
      <c r="C514" s="1" t="s">
        <v>11</v>
      </c>
      <c r="D514" s="1" t="s">
        <v>15</v>
      </c>
      <c r="E514" s="16">
        <f>VLOOKUP(C514,收费标准!A$3:B$5,2,FALSE)</f>
        <v>2</v>
      </c>
      <c r="F514" s="2">
        <v>41791</v>
      </c>
      <c r="G514" s="4">
        <v>0.53198699999999999</v>
      </c>
      <c r="H514" s="2">
        <v>41791</v>
      </c>
      <c r="I514" s="4">
        <v>0.79728600000000005</v>
      </c>
      <c r="J514" s="29">
        <f t="shared" si="28"/>
        <v>0.26529900000000006</v>
      </c>
      <c r="K514" s="16">
        <f t="shared" si="29"/>
        <v>52</v>
      </c>
      <c r="L514" s="17">
        <f t="shared" si="30"/>
        <v>50</v>
      </c>
      <c r="M514" s="17">
        <f t="shared" si="31"/>
        <v>-2</v>
      </c>
    </row>
    <row r="515" spans="1:13" ht="14.25" x14ac:dyDescent="0.15">
      <c r="A515" s="6">
        <v>514</v>
      </c>
      <c r="B515" s="1" t="s">
        <v>151</v>
      </c>
      <c r="C515" s="1" t="s">
        <v>14</v>
      </c>
      <c r="D515" s="1" t="s">
        <v>12</v>
      </c>
      <c r="E515" s="16">
        <f>VLOOKUP(C515,收费标准!A$3:B$5,2,FALSE)</f>
        <v>1.5</v>
      </c>
      <c r="F515" s="2">
        <v>41791</v>
      </c>
      <c r="G515" s="4">
        <v>0.53545949999999998</v>
      </c>
      <c r="H515" s="2">
        <v>41791</v>
      </c>
      <c r="I515" s="4">
        <v>0.76047750000000003</v>
      </c>
      <c r="J515" s="29">
        <f t="shared" ref="J515:J550" si="32">H515-F515+I515-G515</f>
        <v>0.22501800000000005</v>
      </c>
      <c r="K515" s="16">
        <f t="shared" ref="K515:K550" si="33">ROUNDUP(J515*60*24/15,0)*E515</f>
        <v>33</v>
      </c>
      <c r="L515" s="17">
        <f t="shared" ref="L515:L550" si="34">ROUNDDOWN(J515*60*24/15,0)*E515</f>
        <v>31.5</v>
      </c>
      <c r="M515" s="17">
        <f t="shared" ref="M515:M550" si="35">L515-K515</f>
        <v>-1.5</v>
      </c>
    </row>
    <row r="516" spans="1:13" ht="14.25" x14ac:dyDescent="0.15">
      <c r="A516" s="6">
        <v>515</v>
      </c>
      <c r="B516" s="1" t="s">
        <v>93</v>
      </c>
      <c r="C516" s="1" t="s">
        <v>11</v>
      </c>
      <c r="D516" s="1" t="s">
        <v>22</v>
      </c>
      <c r="E516" s="16">
        <f>VLOOKUP(C516,收费标准!A$3:B$5,2,FALSE)</f>
        <v>2</v>
      </c>
      <c r="F516" s="2">
        <v>41791</v>
      </c>
      <c r="G516" s="4">
        <v>0.55073850000000002</v>
      </c>
      <c r="H516" s="2">
        <v>41792</v>
      </c>
      <c r="I516" s="4">
        <v>7.5700500000000004E-2</v>
      </c>
      <c r="J516" s="29">
        <f t="shared" si="32"/>
        <v>0.52496199999999993</v>
      </c>
      <c r="K516" s="16">
        <f t="shared" si="33"/>
        <v>102</v>
      </c>
      <c r="L516" s="17">
        <f t="shared" si="34"/>
        <v>100</v>
      </c>
      <c r="M516" s="17">
        <f t="shared" si="35"/>
        <v>-2</v>
      </c>
    </row>
    <row r="517" spans="1:13" ht="14.25" x14ac:dyDescent="0.15">
      <c r="A517" s="6">
        <v>516</v>
      </c>
      <c r="B517" s="1" t="s">
        <v>158</v>
      </c>
      <c r="C517" s="1" t="s">
        <v>14</v>
      </c>
      <c r="D517" s="1" t="s">
        <v>12</v>
      </c>
      <c r="E517" s="16">
        <f>VLOOKUP(C517,收费标准!A$3:B$5,2,FALSE)</f>
        <v>1.5</v>
      </c>
      <c r="F517" s="2">
        <v>41791</v>
      </c>
      <c r="G517" s="4">
        <v>0.56254500000000007</v>
      </c>
      <c r="H517" s="2">
        <v>41791</v>
      </c>
      <c r="I517" s="4">
        <v>0.65838600000000003</v>
      </c>
      <c r="J517" s="29">
        <f t="shared" si="32"/>
        <v>9.5840999999999954E-2</v>
      </c>
      <c r="K517" s="16">
        <f t="shared" si="33"/>
        <v>15</v>
      </c>
      <c r="L517" s="17">
        <f t="shared" si="34"/>
        <v>13.5</v>
      </c>
      <c r="M517" s="17">
        <f t="shared" si="35"/>
        <v>-1.5</v>
      </c>
    </row>
    <row r="518" spans="1:13" ht="14.25" x14ac:dyDescent="0.15">
      <c r="A518" s="6">
        <v>517</v>
      </c>
      <c r="B518" s="1" t="s">
        <v>163</v>
      </c>
      <c r="C518" s="1" t="s">
        <v>14</v>
      </c>
      <c r="D518" s="1" t="s">
        <v>17</v>
      </c>
      <c r="E518" s="16">
        <f>VLOOKUP(C518,收费标准!A$3:B$5,2,FALSE)</f>
        <v>1.5</v>
      </c>
      <c r="F518" s="2">
        <v>41791</v>
      </c>
      <c r="G518" s="4">
        <v>0.56671199999999999</v>
      </c>
      <c r="H518" s="2">
        <v>41791</v>
      </c>
      <c r="I518" s="4">
        <v>0.86256900000000003</v>
      </c>
      <c r="J518" s="29">
        <f t="shared" si="32"/>
        <v>0.29585700000000004</v>
      </c>
      <c r="K518" s="16">
        <f t="shared" si="33"/>
        <v>43.5</v>
      </c>
      <c r="L518" s="17">
        <f t="shared" si="34"/>
        <v>42</v>
      </c>
      <c r="M518" s="17">
        <f t="shared" si="35"/>
        <v>-1.5</v>
      </c>
    </row>
    <row r="519" spans="1:13" ht="14.25" x14ac:dyDescent="0.15">
      <c r="A519" s="6">
        <v>518</v>
      </c>
      <c r="B519" s="1" t="s">
        <v>152</v>
      </c>
      <c r="C519" s="1" t="s">
        <v>26</v>
      </c>
      <c r="D519" s="1" t="s">
        <v>22</v>
      </c>
      <c r="E519" s="16">
        <f>VLOOKUP(C519,收费标准!A$3:B$5,2,FALSE)</f>
        <v>2.5</v>
      </c>
      <c r="F519" s="2">
        <v>41791</v>
      </c>
      <c r="G519" s="4">
        <v>0.56740650000000004</v>
      </c>
      <c r="H519" s="2">
        <v>41791</v>
      </c>
      <c r="I519" s="4">
        <v>0.75492150000000002</v>
      </c>
      <c r="J519" s="29">
        <f t="shared" si="32"/>
        <v>0.18751499999999999</v>
      </c>
      <c r="K519" s="16">
        <f t="shared" si="33"/>
        <v>47.5</v>
      </c>
      <c r="L519" s="17">
        <f t="shared" si="34"/>
        <v>45</v>
      </c>
      <c r="M519" s="17">
        <f t="shared" si="35"/>
        <v>-2.5</v>
      </c>
    </row>
    <row r="520" spans="1:13" ht="14.25" x14ac:dyDescent="0.15">
      <c r="A520" s="6">
        <v>519</v>
      </c>
      <c r="B520" s="1" t="s">
        <v>61</v>
      </c>
      <c r="C520" s="1" t="s">
        <v>26</v>
      </c>
      <c r="D520" s="1" t="s">
        <v>12</v>
      </c>
      <c r="E520" s="16">
        <f>VLOOKUP(C520,收费标准!A$3:B$5,2,FALSE)</f>
        <v>2.5</v>
      </c>
      <c r="F520" s="2">
        <v>41791</v>
      </c>
      <c r="G520" s="4">
        <v>0.57643500000000003</v>
      </c>
      <c r="H520" s="2">
        <v>41792</v>
      </c>
      <c r="I520" s="4">
        <v>0.21946200000000002</v>
      </c>
      <c r="J520" s="29">
        <f t="shared" si="32"/>
        <v>0.64302700000000002</v>
      </c>
      <c r="K520" s="16">
        <f t="shared" si="33"/>
        <v>155</v>
      </c>
      <c r="L520" s="17">
        <f t="shared" si="34"/>
        <v>152.5</v>
      </c>
      <c r="M520" s="17">
        <f t="shared" si="35"/>
        <v>-2.5</v>
      </c>
    </row>
    <row r="521" spans="1:13" ht="14.25" x14ac:dyDescent="0.15">
      <c r="A521" s="6">
        <v>520</v>
      </c>
      <c r="B521" s="1" t="s">
        <v>96</v>
      </c>
      <c r="C521" s="1" t="s">
        <v>14</v>
      </c>
      <c r="D521" s="1" t="s">
        <v>15</v>
      </c>
      <c r="E521" s="16">
        <f>VLOOKUP(C521,收费标准!A$3:B$5,2,FALSE)</f>
        <v>1.5</v>
      </c>
      <c r="F521" s="2">
        <v>41791</v>
      </c>
      <c r="G521" s="4">
        <v>0.57921299999999998</v>
      </c>
      <c r="H521" s="2">
        <v>41791</v>
      </c>
      <c r="I521" s="4">
        <v>0.91396200000000005</v>
      </c>
      <c r="J521" s="29">
        <f t="shared" si="32"/>
        <v>0.33474900000000007</v>
      </c>
      <c r="K521" s="16">
        <f t="shared" si="33"/>
        <v>49.5</v>
      </c>
      <c r="L521" s="17">
        <f t="shared" si="34"/>
        <v>48</v>
      </c>
      <c r="M521" s="17">
        <f t="shared" si="35"/>
        <v>-1.5</v>
      </c>
    </row>
    <row r="522" spans="1:13" ht="14.25" x14ac:dyDescent="0.15">
      <c r="A522" s="6">
        <v>521</v>
      </c>
      <c r="B522" s="1" t="s">
        <v>67</v>
      </c>
      <c r="C522" s="1" t="s">
        <v>11</v>
      </c>
      <c r="D522" s="1" t="s">
        <v>22</v>
      </c>
      <c r="E522" s="16">
        <f>VLOOKUP(C522,收费标准!A$3:B$5,2,FALSE)</f>
        <v>2</v>
      </c>
      <c r="F522" s="2">
        <v>41791</v>
      </c>
      <c r="G522" s="4">
        <v>0.58546350000000003</v>
      </c>
      <c r="H522" s="2">
        <v>41791</v>
      </c>
      <c r="I522" s="4">
        <v>0.97993950000000007</v>
      </c>
      <c r="J522" s="29">
        <f t="shared" si="32"/>
        <v>0.39447600000000005</v>
      </c>
      <c r="K522" s="16">
        <f t="shared" si="33"/>
        <v>76</v>
      </c>
      <c r="L522" s="17">
        <f t="shared" si="34"/>
        <v>74</v>
      </c>
      <c r="M522" s="17">
        <f t="shared" si="35"/>
        <v>-2</v>
      </c>
    </row>
    <row r="523" spans="1:13" ht="14.25" x14ac:dyDescent="0.15">
      <c r="A523" s="6">
        <v>522</v>
      </c>
      <c r="B523" s="1" t="s">
        <v>36</v>
      </c>
      <c r="C523" s="1" t="s">
        <v>11</v>
      </c>
      <c r="D523" s="1" t="s">
        <v>15</v>
      </c>
      <c r="E523" s="16">
        <f>VLOOKUP(C523,收费标准!A$3:B$5,2,FALSE)</f>
        <v>2</v>
      </c>
      <c r="F523" s="2">
        <v>41791</v>
      </c>
      <c r="G523" s="4">
        <v>0.61810500000000002</v>
      </c>
      <c r="H523" s="2">
        <v>41792</v>
      </c>
      <c r="I523" s="4">
        <v>0.227796</v>
      </c>
      <c r="J523" s="29">
        <f t="shared" si="32"/>
        <v>0.60969100000000009</v>
      </c>
      <c r="K523" s="16">
        <f t="shared" si="33"/>
        <v>118</v>
      </c>
      <c r="L523" s="17">
        <f t="shared" si="34"/>
        <v>116</v>
      </c>
      <c r="M523" s="17">
        <f t="shared" si="35"/>
        <v>-2</v>
      </c>
    </row>
    <row r="524" spans="1:13" ht="14.25" x14ac:dyDescent="0.15">
      <c r="A524" s="6">
        <v>523</v>
      </c>
      <c r="B524" s="1" t="s">
        <v>166</v>
      </c>
      <c r="C524" s="1" t="s">
        <v>11</v>
      </c>
      <c r="D524" s="1" t="s">
        <v>22</v>
      </c>
      <c r="E524" s="16">
        <f>VLOOKUP(C524,收费标准!A$3:B$5,2,FALSE)</f>
        <v>2</v>
      </c>
      <c r="F524" s="2">
        <v>41791</v>
      </c>
      <c r="G524" s="4">
        <v>0.61949399999999999</v>
      </c>
      <c r="H524" s="2">
        <v>41792</v>
      </c>
      <c r="I524" s="4">
        <v>3.9586500000000004E-2</v>
      </c>
      <c r="J524" s="29">
        <f t="shared" si="32"/>
        <v>0.42009249999999998</v>
      </c>
      <c r="K524" s="16">
        <f t="shared" si="33"/>
        <v>82</v>
      </c>
      <c r="L524" s="17">
        <f t="shared" si="34"/>
        <v>80</v>
      </c>
      <c r="M524" s="17">
        <f t="shared" si="35"/>
        <v>-2</v>
      </c>
    </row>
    <row r="525" spans="1:13" ht="14.25" x14ac:dyDescent="0.15">
      <c r="A525" s="6">
        <v>524</v>
      </c>
      <c r="B525" s="1" t="s">
        <v>105</v>
      </c>
      <c r="C525" s="1" t="s">
        <v>11</v>
      </c>
      <c r="D525" s="1" t="s">
        <v>22</v>
      </c>
      <c r="E525" s="16">
        <f>VLOOKUP(C525,收费标准!A$3:B$5,2,FALSE)</f>
        <v>2</v>
      </c>
      <c r="F525" s="2">
        <v>41791</v>
      </c>
      <c r="G525" s="4">
        <v>0.65491350000000004</v>
      </c>
      <c r="H525" s="2">
        <v>41792</v>
      </c>
      <c r="I525" s="4">
        <v>0.1007025</v>
      </c>
      <c r="J525" s="29">
        <f t="shared" si="32"/>
        <v>0.44578899999999988</v>
      </c>
      <c r="K525" s="16">
        <f t="shared" si="33"/>
        <v>86</v>
      </c>
      <c r="L525" s="17">
        <f t="shared" si="34"/>
        <v>84</v>
      </c>
      <c r="M525" s="17">
        <f t="shared" si="35"/>
        <v>-2</v>
      </c>
    </row>
    <row r="526" spans="1:13" ht="14.25" x14ac:dyDescent="0.15">
      <c r="A526" s="6">
        <v>525</v>
      </c>
      <c r="B526" s="1" t="s">
        <v>87</v>
      </c>
      <c r="C526" s="1" t="s">
        <v>11</v>
      </c>
      <c r="D526" s="1" t="s">
        <v>12</v>
      </c>
      <c r="E526" s="16">
        <f>VLOOKUP(C526,收费标准!A$3:B$5,2,FALSE)</f>
        <v>2</v>
      </c>
      <c r="F526" s="2">
        <v>41791</v>
      </c>
      <c r="G526" s="4">
        <v>0.66533100000000001</v>
      </c>
      <c r="H526" s="2">
        <v>41791</v>
      </c>
      <c r="I526" s="4">
        <v>0.70075050000000005</v>
      </c>
      <c r="J526" s="29">
        <f t="shared" si="32"/>
        <v>3.5419500000000048E-2</v>
      </c>
      <c r="K526" s="16">
        <f t="shared" si="33"/>
        <v>8</v>
      </c>
      <c r="L526" s="17">
        <f t="shared" si="34"/>
        <v>6</v>
      </c>
      <c r="M526" s="17">
        <f t="shared" si="35"/>
        <v>-2</v>
      </c>
    </row>
    <row r="527" spans="1:13" ht="14.25" x14ac:dyDescent="0.15">
      <c r="A527" s="6">
        <v>526</v>
      </c>
      <c r="B527" s="1" t="s">
        <v>45</v>
      </c>
      <c r="C527" s="1" t="s">
        <v>11</v>
      </c>
      <c r="D527" s="1" t="s">
        <v>22</v>
      </c>
      <c r="E527" s="16">
        <f>VLOOKUP(C527,收费标准!A$3:B$5,2,FALSE)</f>
        <v>2</v>
      </c>
      <c r="F527" s="2">
        <v>41791</v>
      </c>
      <c r="G527" s="4">
        <v>0.66671999999999998</v>
      </c>
      <c r="H527" s="2">
        <v>41791</v>
      </c>
      <c r="I527" s="4">
        <v>0.67297050000000003</v>
      </c>
      <c r="J527" s="29">
        <f t="shared" si="32"/>
        <v>6.2505000000000477E-3</v>
      </c>
      <c r="K527" s="16">
        <f t="shared" si="33"/>
        <v>2</v>
      </c>
      <c r="L527" s="17">
        <f t="shared" si="34"/>
        <v>0</v>
      </c>
      <c r="M527" s="17">
        <f t="shared" si="35"/>
        <v>-2</v>
      </c>
    </row>
    <row r="528" spans="1:13" ht="14.25" x14ac:dyDescent="0.15">
      <c r="A528" s="6">
        <v>527</v>
      </c>
      <c r="B528" s="1" t="s">
        <v>178</v>
      </c>
      <c r="C528" s="1" t="s">
        <v>26</v>
      </c>
      <c r="D528" s="1" t="s">
        <v>15</v>
      </c>
      <c r="E528" s="16">
        <f>VLOOKUP(C528,收费标准!A$3:B$5,2,FALSE)</f>
        <v>2.5</v>
      </c>
      <c r="F528" s="2">
        <v>41791</v>
      </c>
      <c r="G528" s="4">
        <v>0.66810900000000006</v>
      </c>
      <c r="H528" s="2">
        <v>41791</v>
      </c>
      <c r="I528" s="4">
        <v>0.82367699999999999</v>
      </c>
      <c r="J528" s="29">
        <f t="shared" si="32"/>
        <v>0.15556799999999993</v>
      </c>
      <c r="K528" s="16">
        <f t="shared" si="33"/>
        <v>37.5</v>
      </c>
      <c r="L528" s="17">
        <f t="shared" si="34"/>
        <v>35</v>
      </c>
      <c r="M528" s="17">
        <f t="shared" si="35"/>
        <v>-2.5</v>
      </c>
    </row>
    <row r="529" spans="1:13" ht="14.25" x14ac:dyDescent="0.15">
      <c r="A529" s="6">
        <v>528</v>
      </c>
      <c r="B529" s="1" t="s">
        <v>88</v>
      </c>
      <c r="C529" s="1" t="s">
        <v>11</v>
      </c>
      <c r="D529" s="1" t="s">
        <v>15</v>
      </c>
      <c r="E529" s="16">
        <f>VLOOKUP(C529,收费标准!A$3:B$5,2,FALSE)</f>
        <v>2</v>
      </c>
      <c r="F529" s="2">
        <v>41791</v>
      </c>
      <c r="G529" s="4">
        <v>0.67574849999999997</v>
      </c>
      <c r="H529" s="2">
        <v>41791</v>
      </c>
      <c r="I529" s="4">
        <v>0.99174600000000002</v>
      </c>
      <c r="J529" s="29">
        <f t="shared" si="32"/>
        <v>0.31599750000000004</v>
      </c>
      <c r="K529" s="16">
        <f t="shared" si="33"/>
        <v>62</v>
      </c>
      <c r="L529" s="17">
        <f t="shared" si="34"/>
        <v>60</v>
      </c>
      <c r="M529" s="17">
        <f t="shared" si="35"/>
        <v>-2</v>
      </c>
    </row>
    <row r="530" spans="1:13" ht="14.25" x14ac:dyDescent="0.15">
      <c r="A530" s="6">
        <v>529</v>
      </c>
      <c r="B530" s="1" t="s">
        <v>198</v>
      </c>
      <c r="C530" s="1" t="s">
        <v>14</v>
      </c>
      <c r="D530" s="1" t="s">
        <v>15</v>
      </c>
      <c r="E530" s="16">
        <f>VLOOKUP(C530,收费标准!A$3:B$5,2,FALSE)</f>
        <v>1.5</v>
      </c>
      <c r="F530" s="2">
        <v>41791</v>
      </c>
      <c r="G530" s="4">
        <v>0.68755500000000003</v>
      </c>
      <c r="H530" s="2">
        <v>41792</v>
      </c>
      <c r="I530" s="4">
        <v>0.32016450000000002</v>
      </c>
      <c r="J530" s="29">
        <f t="shared" si="32"/>
        <v>0.63260949999999994</v>
      </c>
      <c r="K530" s="16">
        <f t="shared" si="33"/>
        <v>91.5</v>
      </c>
      <c r="L530" s="17">
        <f t="shared" si="34"/>
        <v>90</v>
      </c>
      <c r="M530" s="17">
        <f t="shared" si="35"/>
        <v>-1.5</v>
      </c>
    </row>
    <row r="531" spans="1:13" ht="14.25" x14ac:dyDescent="0.15">
      <c r="A531" s="6">
        <v>530</v>
      </c>
      <c r="B531" s="1" t="s">
        <v>190</v>
      </c>
      <c r="C531" s="1" t="s">
        <v>11</v>
      </c>
      <c r="D531" s="1" t="s">
        <v>12</v>
      </c>
      <c r="E531" s="16">
        <f>VLOOKUP(C531,收费标准!A$3:B$5,2,FALSE)</f>
        <v>2</v>
      </c>
      <c r="F531" s="2">
        <v>41791</v>
      </c>
      <c r="G531" s="4">
        <v>0.73408649999999998</v>
      </c>
      <c r="H531" s="2">
        <v>41792</v>
      </c>
      <c r="I531" s="4">
        <v>0.41322750000000003</v>
      </c>
      <c r="J531" s="29">
        <f t="shared" si="32"/>
        <v>0.67914100000000011</v>
      </c>
      <c r="K531" s="16">
        <f t="shared" si="33"/>
        <v>132</v>
      </c>
      <c r="L531" s="17">
        <f t="shared" si="34"/>
        <v>130</v>
      </c>
      <c r="M531" s="17">
        <f t="shared" si="35"/>
        <v>-2</v>
      </c>
    </row>
    <row r="532" spans="1:13" ht="14.25" x14ac:dyDescent="0.15">
      <c r="A532" s="6">
        <v>531</v>
      </c>
      <c r="B532" s="1" t="s">
        <v>59</v>
      </c>
      <c r="C532" s="1" t="s">
        <v>11</v>
      </c>
      <c r="D532" s="1" t="s">
        <v>17</v>
      </c>
      <c r="E532" s="16">
        <f>VLOOKUP(C532,收费标准!A$3:B$5,2,FALSE)</f>
        <v>2</v>
      </c>
      <c r="F532" s="2">
        <v>41791</v>
      </c>
      <c r="G532" s="4">
        <v>0.73755900000000008</v>
      </c>
      <c r="H532" s="2">
        <v>41792</v>
      </c>
      <c r="I532" s="4">
        <v>9.0979500000000005E-2</v>
      </c>
      <c r="J532" s="29">
        <f t="shared" si="32"/>
        <v>0.35342049999999992</v>
      </c>
      <c r="K532" s="16">
        <f t="shared" si="33"/>
        <v>68</v>
      </c>
      <c r="L532" s="17">
        <f t="shared" si="34"/>
        <v>66</v>
      </c>
      <c r="M532" s="17">
        <f t="shared" si="35"/>
        <v>-2</v>
      </c>
    </row>
    <row r="533" spans="1:13" ht="14.25" x14ac:dyDescent="0.15">
      <c r="A533" s="6">
        <v>532</v>
      </c>
      <c r="B533" s="1" t="s">
        <v>154</v>
      </c>
      <c r="C533" s="1" t="s">
        <v>11</v>
      </c>
      <c r="D533" s="1" t="s">
        <v>12</v>
      </c>
      <c r="E533" s="16">
        <f>VLOOKUP(C533,收费标准!A$3:B$5,2,FALSE)</f>
        <v>2</v>
      </c>
      <c r="F533" s="2">
        <v>41791</v>
      </c>
      <c r="G533" s="4">
        <v>0.76047750000000003</v>
      </c>
      <c r="H533" s="2">
        <v>41791</v>
      </c>
      <c r="I533" s="4">
        <v>0.829233</v>
      </c>
      <c r="J533" s="29">
        <f t="shared" si="32"/>
        <v>6.8755499999999969E-2</v>
      </c>
      <c r="K533" s="16">
        <f t="shared" si="33"/>
        <v>14</v>
      </c>
      <c r="L533" s="17">
        <f t="shared" si="34"/>
        <v>12</v>
      </c>
      <c r="M533" s="17">
        <f t="shared" si="35"/>
        <v>-2</v>
      </c>
    </row>
    <row r="534" spans="1:13" ht="14.25" x14ac:dyDescent="0.15">
      <c r="A534" s="6">
        <v>533</v>
      </c>
      <c r="B534" s="1" t="s">
        <v>187</v>
      </c>
      <c r="C534" s="1" t="s">
        <v>14</v>
      </c>
      <c r="D534" s="1" t="s">
        <v>22</v>
      </c>
      <c r="E534" s="16">
        <f>VLOOKUP(C534,收费标准!A$3:B$5,2,FALSE)</f>
        <v>1.5</v>
      </c>
      <c r="F534" s="2">
        <v>41791</v>
      </c>
      <c r="G534" s="4">
        <v>0.77228399999999997</v>
      </c>
      <c r="H534" s="2">
        <v>41791</v>
      </c>
      <c r="I534" s="4">
        <v>0.77251157407407411</v>
      </c>
      <c r="J534" s="29">
        <f t="shared" si="32"/>
        <v>2.2757407407414387E-4</v>
      </c>
      <c r="K534" s="16">
        <f t="shared" si="33"/>
        <v>1.5</v>
      </c>
      <c r="L534" s="17">
        <f t="shared" si="34"/>
        <v>0</v>
      </c>
      <c r="M534" s="17">
        <f t="shared" si="35"/>
        <v>-1.5</v>
      </c>
    </row>
    <row r="535" spans="1:13" ht="14.25" x14ac:dyDescent="0.15">
      <c r="A535" s="6">
        <v>534</v>
      </c>
      <c r="B535" s="1" t="s">
        <v>49</v>
      </c>
      <c r="C535" s="1" t="s">
        <v>26</v>
      </c>
      <c r="D535" s="1" t="s">
        <v>15</v>
      </c>
      <c r="E535" s="16">
        <f>VLOOKUP(C535,收费标准!A$3:B$5,2,FALSE)</f>
        <v>2.5</v>
      </c>
      <c r="F535" s="2">
        <v>41791</v>
      </c>
      <c r="G535" s="4">
        <v>0.77853450000000002</v>
      </c>
      <c r="H535" s="2">
        <v>41791</v>
      </c>
      <c r="I535" s="4">
        <v>0.96882750000000006</v>
      </c>
      <c r="J535" s="29">
        <f t="shared" si="32"/>
        <v>0.19029300000000005</v>
      </c>
      <c r="K535" s="16">
        <f t="shared" si="33"/>
        <v>47.5</v>
      </c>
      <c r="L535" s="17">
        <f t="shared" si="34"/>
        <v>45</v>
      </c>
      <c r="M535" s="17">
        <f t="shared" si="35"/>
        <v>-2.5</v>
      </c>
    </row>
    <row r="536" spans="1:13" ht="14.25" x14ac:dyDescent="0.15">
      <c r="A536" s="6">
        <v>535</v>
      </c>
      <c r="B536" s="1" t="s">
        <v>113</v>
      </c>
      <c r="C536" s="1" t="s">
        <v>26</v>
      </c>
      <c r="D536" s="1" t="s">
        <v>17</v>
      </c>
      <c r="E536" s="16">
        <f>VLOOKUP(C536,收费标准!A$3:B$5,2,FALSE)</f>
        <v>2.5</v>
      </c>
      <c r="F536" s="2">
        <v>41791</v>
      </c>
      <c r="G536" s="4">
        <v>0.79311900000000002</v>
      </c>
      <c r="H536" s="2">
        <v>41791</v>
      </c>
      <c r="I536" s="4">
        <v>0.99452400000000007</v>
      </c>
      <c r="J536" s="29">
        <f t="shared" si="32"/>
        <v>0.20140500000000006</v>
      </c>
      <c r="K536" s="16">
        <f t="shared" si="33"/>
        <v>50</v>
      </c>
      <c r="L536" s="17">
        <f t="shared" si="34"/>
        <v>47.5</v>
      </c>
      <c r="M536" s="17">
        <f t="shared" si="35"/>
        <v>-2.5</v>
      </c>
    </row>
    <row r="537" spans="1:13" ht="14.25" x14ac:dyDescent="0.15">
      <c r="A537" s="6">
        <v>536</v>
      </c>
      <c r="B537" s="1" t="s">
        <v>103</v>
      </c>
      <c r="C537" s="1" t="s">
        <v>14</v>
      </c>
      <c r="D537" s="1" t="s">
        <v>15</v>
      </c>
      <c r="E537" s="16">
        <f>VLOOKUP(C537,收费标准!A$3:B$5,2,FALSE)</f>
        <v>1.5</v>
      </c>
      <c r="F537" s="2">
        <v>41791</v>
      </c>
      <c r="G537" s="4">
        <v>0.79311900000000002</v>
      </c>
      <c r="H537" s="2">
        <v>41792</v>
      </c>
      <c r="I537" s="4">
        <v>0.11112</v>
      </c>
      <c r="J537" s="29">
        <f t="shared" si="32"/>
        <v>0.31800100000000009</v>
      </c>
      <c r="K537" s="16">
        <f t="shared" si="33"/>
        <v>46.5</v>
      </c>
      <c r="L537" s="17">
        <f t="shared" si="34"/>
        <v>45</v>
      </c>
      <c r="M537" s="17">
        <f t="shared" si="35"/>
        <v>-1.5</v>
      </c>
    </row>
    <row r="538" spans="1:13" ht="14.25" x14ac:dyDescent="0.15">
      <c r="A538" s="6">
        <v>537</v>
      </c>
      <c r="B538" s="1" t="s">
        <v>102</v>
      </c>
      <c r="C538" s="1" t="s">
        <v>26</v>
      </c>
      <c r="D538" s="1" t="s">
        <v>15</v>
      </c>
      <c r="E538" s="16">
        <f>VLOOKUP(C538,收费标准!A$3:B$5,2,FALSE)</f>
        <v>2.5</v>
      </c>
      <c r="F538" s="2">
        <v>41791</v>
      </c>
      <c r="G538" s="4">
        <v>0.83965050000000008</v>
      </c>
      <c r="H538" s="2">
        <v>41792</v>
      </c>
      <c r="I538" s="4">
        <v>0.20765549999999999</v>
      </c>
      <c r="J538" s="29">
        <f t="shared" si="32"/>
        <v>0.36800499999999992</v>
      </c>
      <c r="K538" s="16">
        <f t="shared" si="33"/>
        <v>90</v>
      </c>
      <c r="L538" s="17">
        <f t="shared" si="34"/>
        <v>87.5</v>
      </c>
      <c r="M538" s="17">
        <f t="shared" si="35"/>
        <v>-2.5</v>
      </c>
    </row>
    <row r="539" spans="1:13" ht="14.25" x14ac:dyDescent="0.15">
      <c r="A539" s="6">
        <v>538</v>
      </c>
      <c r="B539" s="1" t="s">
        <v>92</v>
      </c>
      <c r="C539" s="1" t="s">
        <v>26</v>
      </c>
      <c r="D539" s="1" t="s">
        <v>12</v>
      </c>
      <c r="E539" s="16">
        <f>VLOOKUP(C539,收费标准!A$3:B$5,2,FALSE)</f>
        <v>2.5</v>
      </c>
      <c r="F539" s="2">
        <v>41791</v>
      </c>
      <c r="G539" s="4">
        <v>0.85284599999999999</v>
      </c>
      <c r="H539" s="2">
        <v>41791</v>
      </c>
      <c r="I539" s="4">
        <v>0.86118000000000006</v>
      </c>
      <c r="J539" s="29">
        <f t="shared" si="32"/>
        <v>8.3340000000000636E-3</v>
      </c>
      <c r="K539" s="16">
        <f t="shared" si="33"/>
        <v>2.5</v>
      </c>
      <c r="L539" s="17">
        <f t="shared" si="34"/>
        <v>0</v>
      </c>
      <c r="M539" s="17">
        <f t="shared" si="35"/>
        <v>-2.5</v>
      </c>
    </row>
    <row r="540" spans="1:13" ht="14.25" x14ac:dyDescent="0.15">
      <c r="A540" s="6">
        <v>539</v>
      </c>
      <c r="B540" s="1" t="s">
        <v>43</v>
      </c>
      <c r="C540" s="1" t="s">
        <v>26</v>
      </c>
      <c r="D540" s="1" t="s">
        <v>15</v>
      </c>
      <c r="E540" s="16">
        <f>VLOOKUP(C540,收费标准!A$3:B$5,2,FALSE)</f>
        <v>2.5</v>
      </c>
      <c r="F540" s="2">
        <v>41791</v>
      </c>
      <c r="G540" s="4">
        <v>0.86604150000000002</v>
      </c>
      <c r="H540" s="2">
        <v>41792</v>
      </c>
      <c r="I540" s="4">
        <v>0.37503000000000003</v>
      </c>
      <c r="J540" s="29">
        <f t="shared" si="32"/>
        <v>0.50898849999999995</v>
      </c>
      <c r="K540" s="16">
        <f t="shared" si="33"/>
        <v>122.5</v>
      </c>
      <c r="L540" s="17">
        <f t="shared" si="34"/>
        <v>120</v>
      </c>
      <c r="M540" s="17">
        <f t="shared" si="35"/>
        <v>-2.5</v>
      </c>
    </row>
    <row r="541" spans="1:13" ht="14.25" x14ac:dyDescent="0.15">
      <c r="A541" s="6">
        <v>540</v>
      </c>
      <c r="B541" s="1" t="s">
        <v>76</v>
      </c>
      <c r="C541" s="1" t="s">
        <v>14</v>
      </c>
      <c r="D541" s="1" t="s">
        <v>12</v>
      </c>
      <c r="E541" s="16">
        <f>VLOOKUP(C541,收费标准!A$3:B$5,2,FALSE)</f>
        <v>1.5</v>
      </c>
      <c r="F541" s="2">
        <v>41791</v>
      </c>
      <c r="G541" s="4">
        <v>0.87576450000000006</v>
      </c>
      <c r="H541" s="2">
        <v>41792</v>
      </c>
      <c r="I541" s="4">
        <v>0.434757</v>
      </c>
      <c r="J541" s="29">
        <f t="shared" si="32"/>
        <v>0.5589925</v>
      </c>
      <c r="K541" s="16">
        <f t="shared" si="33"/>
        <v>81</v>
      </c>
      <c r="L541" s="17">
        <f t="shared" si="34"/>
        <v>79.5</v>
      </c>
      <c r="M541" s="17">
        <f t="shared" si="35"/>
        <v>-1.5</v>
      </c>
    </row>
    <row r="542" spans="1:13" ht="14.25" x14ac:dyDescent="0.15">
      <c r="A542" s="6">
        <v>541</v>
      </c>
      <c r="B542" s="1" t="s">
        <v>174</v>
      </c>
      <c r="C542" s="1" t="s">
        <v>11</v>
      </c>
      <c r="D542" s="1" t="s">
        <v>22</v>
      </c>
      <c r="E542" s="16">
        <f>VLOOKUP(C542,收费标准!A$3:B$5,2,FALSE)</f>
        <v>2</v>
      </c>
      <c r="F542" s="2">
        <v>41791</v>
      </c>
      <c r="G542" s="4">
        <v>0.88270950000000004</v>
      </c>
      <c r="H542" s="2">
        <v>41792</v>
      </c>
      <c r="I542" s="4">
        <v>2.6391000000000001E-2</v>
      </c>
      <c r="J542" s="29">
        <f t="shared" si="32"/>
        <v>0.14368150000000002</v>
      </c>
      <c r="K542" s="16">
        <f t="shared" si="33"/>
        <v>28</v>
      </c>
      <c r="L542" s="17">
        <f t="shared" si="34"/>
        <v>26</v>
      </c>
      <c r="M542" s="17">
        <f t="shared" si="35"/>
        <v>-2</v>
      </c>
    </row>
    <row r="543" spans="1:13" ht="14.25" x14ac:dyDescent="0.15">
      <c r="A543" s="6">
        <v>542</v>
      </c>
      <c r="B543" s="1" t="s">
        <v>157</v>
      </c>
      <c r="C543" s="1" t="s">
        <v>26</v>
      </c>
      <c r="D543" s="1" t="s">
        <v>12</v>
      </c>
      <c r="E543" s="16">
        <f>VLOOKUP(C543,收费标准!A$3:B$5,2,FALSE)</f>
        <v>2.5</v>
      </c>
      <c r="F543" s="2">
        <v>41791</v>
      </c>
      <c r="G543" s="4">
        <v>0.88826550000000004</v>
      </c>
      <c r="H543" s="2">
        <v>41792</v>
      </c>
      <c r="I543" s="4">
        <v>0.12084300000000001</v>
      </c>
      <c r="J543" s="29">
        <f t="shared" si="32"/>
        <v>0.23257749999999999</v>
      </c>
      <c r="K543" s="16">
        <f t="shared" si="33"/>
        <v>57.5</v>
      </c>
      <c r="L543" s="17">
        <f t="shared" si="34"/>
        <v>55</v>
      </c>
      <c r="M543" s="17">
        <f t="shared" si="35"/>
        <v>-2.5</v>
      </c>
    </row>
    <row r="544" spans="1:13" ht="14.25" x14ac:dyDescent="0.15">
      <c r="A544" s="6">
        <v>543</v>
      </c>
      <c r="B544" s="1" t="s">
        <v>112</v>
      </c>
      <c r="C544" s="1" t="s">
        <v>26</v>
      </c>
      <c r="D544" s="1" t="s">
        <v>17</v>
      </c>
      <c r="E544" s="16">
        <f>VLOOKUP(C544,收费标准!A$3:B$5,2,FALSE)</f>
        <v>2.5</v>
      </c>
      <c r="F544" s="2">
        <v>41791</v>
      </c>
      <c r="G544" s="4">
        <v>0.90146100000000007</v>
      </c>
      <c r="H544" s="2">
        <v>41792</v>
      </c>
      <c r="I544" s="4">
        <v>0.40211550000000001</v>
      </c>
      <c r="J544" s="29">
        <f t="shared" si="32"/>
        <v>0.5006545</v>
      </c>
      <c r="K544" s="16">
        <f t="shared" si="33"/>
        <v>122.5</v>
      </c>
      <c r="L544" s="17">
        <f t="shared" si="34"/>
        <v>120</v>
      </c>
      <c r="M544" s="17">
        <f t="shared" si="35"/>
        <v>-2.5</v>
      </c>
    </row>
    <row r="545" spans="1:13" ht="14.25" x14ac:dyDescent="0.15">
      <c r="A545" s="6">
        <v>544</v>
      </c>
      <c r="B545" s="1" t="s">
        <v>191</v>
      </c>
      <c r="C545" s="1" t="s">
        <v>26</v>
      </c>
      <c r="D545" s="1" t="s">
        <v>17</v>
      </c>
      <c r="E545" s="16">
        <f>VLOOKUP(C545,收费标准!A$3:B$5,2,FALSE)</f>
        <v>2.5</v>
      </c>
      <c r="F545" s="2">
        <v>41791</v>
      </c>
      <c r="G545" s="4">
        <v>0.93340800000000002</v>
      </c>
      <c r="H545" s="2">
        <v>41792</v>
      </c>
      <c r="I545" s="4">
        <v>0.44447999999999999</v>
      </c>
      <c r="J545" s="29">
        <f t="shared" si="32"/>
        <v>0.51107199999999997</v>
      </c>
      <c r="K545" s="16">
        <f t="shared" si="33"/>
        <v>125</v>
      </c>
      <c r="L545" s="17">
        <f t="shared" si="34"/>
        <v>122.5</v>
      </c>
      <c r="M545" s="17">
        <f t="shared" si="35"/>
        <v>-2.5</v>
      </c>
    </row>
    <row r="546" spans="1:13" ht="14.25" x14ac:dyDescent="0.15">
      <c r="A546" s="6">
        <v>545</v>
      </c>
      <c r="B546" s="1" t="s">
        <v>91</v>
      </c>
      <c r="C546" s="1" t="s">
        <v>26</v>
      </c>
      <c r="D546" s="1" t="s">
        <v>22</v>
      </c>
      <c r="E546" s="16">
        <f>VLOOKUP(C546,收费标准!A$3:B$5,2,FALSE)</f>
        <v>2.5</v>
      </c>
      <c r="F546" s="2">
        <v>41791</v>
      </c>
      <c r="G546" s="4">
        <v>0.945909</v>
      </c>
      <c r="H546" s="2">
        <v>41791</v>
      </c>
      <c r="I546" s="4">
        <v>0.99244050000000006</v>
      </c>
      <c r="J546" s="29">
        <f t="shared" si="32"/>
        <v>4.6531500000000059E-2</v>
      </c>
      <c r="K546" s="16">
        <f t="shared" si="33"/>
        <v>12.5</v>
      </c>
      <c r="L546" s="17">
        <f t="shared" si="34"/>
        <v>10</v>
      </c>
      <c r="M546" s="17">
        <f t="shared" si="35"/>
        <v>-2.5</v>
      </c>
    </row>
    <row r="547" spans="1:13" ht="14.25" x14ac:dyDescent="0.15">
      <c r="A547" s="6">
        <v>546</v>
      </c>
      <c r="B547" s="1" t="s">
        <v>47</v>
      </c>
      <c r="C547" s="1" t="s">
        <v>11</v>
      </c>
      <c r="D547" s="1" t="s">
        <v>17</v>
      </c>
      <c r="E547" s="16">
        <f>VLOOKUP(C547,收费标准!A$3:B$5,2,FALSE)</f>
        <v>2</v>
      </c>
      <c r="F547" s="2">
        <v>41791</v>
      </c>
      <c r="G547" s="4">
        <v>0.95632650000000008</v>
      </c>
      <c r="H547" s="2">
        <v>41792</v>
      </c>
      <c r="I547" s="4">
        <v>0.43614600000000003</v>
      </c>
      <c r="J547" s="29">
        <f t="shared" si="32"/>
        <v>0.47981949999999984</v>
      </c>
      <c r="K547" s="16">
        <f t="shared" si="33"/>
        <v>94</v>
      </c>
      <c r="L547" s="17">
        <f t="shared" si="34"/>
        <v>92</v>
      </c>
      <c r="M547" s="17">
        <f t="shared" si="35"/>
        <v>-2</v>
      </c>
    </row>
    <row r="548" spans="1:13" ht="14.25" x14ac:dyDescent="0.15">
      <c r="A548" s="6">
        <v>547</v>
      </c>
      <c r="B548" s="1" t="s">
        <v>181</v>
      </c>
      <c r="C548" s="1" t="s">
        <v>26</v>
      </c>
      <c r="D548" s="1" t="s">
        <v>15</v>
      </c>
      <c r="E548" s="16">
        <f>VLOOKUP(C548,收费标准!A$3:B$5,2,FALSE)</f>
        <v>2.5</v>
      </c>
      <c r="F548" s="2">
        <v>41791</v>
      </c>
      <c r="G548" s="4">
        <v>0.95632650000000008</v>
      </c>
      <c r="H548" s="2">
        <v>41792</v>
      </c>
      <c r="I548" s="4">
        <v>0.43892400000000004</v>
      </c>
      <c r="J548" s="29">
        <f t="shared" si="32"/>
        <v>0.48259750000000001</v>
      </c>
      <c r="K548" s="16">
        <f t="shared" si="33"/>
        <v>117.5</v>
      </c>
      <c r="L548" s="17">
        <f t="shared" si="34"/>
        <v>115</v>
      </c>
      <c r="M548" s="17">
        <f t="shared" si="35"/>
        <v>-2.5</v>
      </c>
    </row>
    <row r="549" spans="1:13" ht="14.25" x14ac:dyDescent="0.15">
      <c r="A549" s="6">
        <v>548</v>
      </c>
      <c r="B549" s="1" t="s">
        <v>107</v>
      </c>
      <c r="C549" s="1" t="s">
        <v>11</v>
      </c>
      <c r="D549" s="1" t="s">
        <v>15</v>
      </c>
      <c r="E549" s="16">
        <f>VLOOKUP(C549,收费标准!A$3:B$5,2,FALSE)</f>
        <v>2</v>
      </c>
      <c r="F549" s="2">
        <v>41791</v>
      </c>
      <c r="G549" s="4">
        <v>0.98757899999999998</v>
      </c>
      <c r="H549" s="2">
        <v>41792</v>
      </c>
      <c r="I549" s="4">
        <v>0.41808899999999999</v>
      </c>
      <c r="J549" s="29">
        <f t="shared" si="32"/>
        <v>0.43050999999999995</v>
      </c>
      <c r="K549" s="16">
        <f t="shared" si="33"/>
        <v>84</v>
      </c>
      <c r="L549" s="17">
        <f t="shared" si="34"/>
        <v>82</v>
      </c>
      <c r="M549" s="17">
        <f t="shared" si="35"/>
        <v>-2</v>
      </c>
    </row>
    <row r="550" spans="1:13" ht="14.25" x14ac:dyDescent="0.15">
      <c r="A550" s="6">
        <v>549</v>
      </c>
      <c r="B550" s="1" t="s">
        <v>206</v>
      </c>
      <c r="C550" s="1" t="s">
        <v>26</v>
      </c>
      <c r="D550" s="1" t="s">
        <v>22</v>
      </c>
      <c r="E550" s="16">
        <f>VLOOKUP(C550,收费标准!A$3:B$5,2,FALSE)</f>
        <v>2.5</v>
      </c>
      <c r="F550" s="2">
        <v>41791</v>
      </c>
      <c r="G550" s="4">
        <v>0.99452400000000007</v>
      </c>
      <c r="H550" s="2">
        <v>41792</v>
      </c>
      <c r="I550" s="4">
        <v>0.17848649999999999</v>
      </c>
      <c r="J550" s="29">
        <f t="shared" si="32"/>
        <v>0.18396249999999992</v>
      </c>
      <c r="K550" s="16">
        <f t="shared" si="33"/>
        <v>45</v>
      </c>
      <c r="L550" s="17">
        <f t="shared" si="34"/>
        <v>42.5</v>
      </c>
      <c r="M550" s="17">
        <f t="shared" si="35"/>
        <v>-2.5</v>
      </c>
    </row>
    <row r="551" spans="1:13" ht="14.25" x14ac:dyDescent="0.15">
      <c r="A551" s="26" t="s">
        <v>221</v>
      </c>
      <c r="B551" s="20"/>
      <c r="C551" s="20"/>
      <c r="D551" s="20"/>
      <c r="E551" s="19"/>
      <c r="F551" s="21"/>
      <c r="G551" s="21"/>
      <c r="H551" s="21"/>
      <c r="I551" s="21"/>
      <c r="J551" s="19"/>
      <c r="K551" s="22">
        <f>SUBTOTAL(109,表1[收费金额])</f>
        <v>34022</v>
      </c>
      <c r="L551" s="17">
        <f>SUBTOTAL(109,表1[拟收费金额])</f>
        <v>32915</v>
      </c>
      <c r="M551" s="17">
        <f>SUBTOTAL(109,表1[收费差值])</f>
        <v>-1107</v>
      </c>
    </row>
  </sheetData>
  <sortState ref="B2:L882">
    <sortCondition ref="F2:F882"/>
    <sortCondition ref="G2:G882"/>
  </sortState>
  <phoneticPr fontId="3" type="noConversion"/>
  <conditionalFormatting sqref="K2:K550">
    <cfRule type="cellIs" dxfId="26" priority="1" operator="greaterThanOrEqual">
      <formula>100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4"/>
  <sheetViews>
    <sheetView workbookViewId="0">
      <selection activeCell="A19" sqref="A19"/>
    </sheetView>
  </sheetViews>
  <sheetFormatPr defaultRowHeight="13.5" x14ac:dyDescent="0.15"/>
  <cols>
    <col min="1" max="1" width="17.625" customWidth="1"/>
    <col min="2" max="2" width="9.75" customWidth="1"/>
    <col min="3" max="7" width="9.125" customWidth="1"/>
    <col min="8" max="8" width="8.5" customWidth="1"/>
    <col min="9" max="9" width="7.5" customWidth="1"/>
  </cols>
  <sheetData>
    <row r="3" spans="1:9" x14ac:dyDescent="0.15">
      <c r="A3" s="23" t="s">
        <v>232</v>
      </c>
      <c r="B3" s="23" t="s">
        <v>224</v>
      </c>
    </row>
    <row r="4" spans="1:9" x14ac:dyDescent="0.15">
      <c r="A4" s="23" t="s">
        <v>222</v>
      </c>
      <c r="B4" s="3" t="s">
        <v>225</v>
      </c>
      <c r="C4" s="3" t="s">
        <v>226</v>
      </c>
      <c r="D4" s="3" t="s">
        <v>227</v>
      </c>
      <c r="E4" s="3" t="s">
        <v>228</v>
      </c>
      <c r="F4" s="3" t="s">
        <v>229</v>
      </c>
      <c r="G4" s="3" t="s">
        <v>230</v>
      </c>
      <c r="H4" s="3" t="s">
        <v>231</v>
      </c>
      <c r="I4" s="3" t="s">
        <v>223</v>
      </c>
    </row>
    <row r="5" spans="1:9" x14ac:dyDescent="0.15">
      <c r="A5" s="24" t="s">
        <v>26</v>
      </c>
      <c r="B5" s="25">
        <v>3202.5</v>
      </c>
      <c r="C5" s="25">
        <v>1107.5</v>
      </c>
      <c r="D5" s="25">
        <v>1910</v>
      </c>
      <c r="E5" s="25">
        <v>2512.5</v>
      </c>
      <c r="F5" s="25">
        <v>1682.5</v>
      </c>
      <c r="G5" s="25">
        <v>1987.5</v>
      </c>
      <c r="H5" s="25">
        <v>2447.5</v>
      </c>
      <c r="I5" s="25">
        <v>14850</v>
      </c>
    </row>
    <row r="6" spans="1:9" x14ac:dyDescent="0.15">
      <c r="A6" s="24" t="s">
        <v>14</v>
      </c>
      <c r="B6" s="25">
        <v>1632</v>
      </c>
      <c r="C6" s="25">
        <v>807</v>
      </c>
      <c r="D6" s="25">
        <v>768</v>
      </c>
      <c r="E6" s="25">
        <v>1311</v>
      </c>
      <c r="F6" s="25">
        <v>1422</v>
      </c>
      <c r="G6" s="25">
        <v>1129.5</v>
      </c>
      <c r="H6" s="25">
        <v>1138.5</v>
      </c>
      <c r="I6" s="25">
        <v>8208</v>
      </c>
    </row>
    <row r="7" spans="1:9" x14ac:dyDescent="0.15">
      <c r="A7" s="24" t="s">
        <v>11</v>
      </c>
      <c r="B7" s="25">
        <v>1946</v>
      </c>
      <c r="C7" s="25">
        <v>996</v>
      </c>
      <c r="D7" s="25">
        <v>1616</v>
      </c>
      <c r="E7" s="25">
        <v>968</v>
      </c>
      <c r="F7" s="25">
        <v>1454</v>
      </c>
      <c r="G7" s="25">
        <v>1672</v>
      </c>
      <c r="H7" s="25">
        <v>2312</v>
      </c>
      <c r="I7" s="25">
        <v>10964</v>
      </c>
    </row>
    <row r="8" spans="1:9" x14ac:dyDescent="0.15">
      <c r="A8" s="24" t="s">
        <v>223</v>
      </c>
      <c r="B8" s="25">
        <v>6780.5</v>
      </c>
      <c r="C8" s="25">
        <v>2910.5</v>
      </c>
      <c r="D8" s="25">
        <v>4294</v>
      </c>
      <c r="E8" s="25">
        <v>4791.5</v>
      </c>
      <c r="F8" s="25">
        <v>4558.5</v>
      </c>
      <c r="G8" s="25">
        <v>4789</v>
      </c>
      <c r="H8" s="25">
        <v>5898</v>
      </c>
      <c r="I8" s="25">
        <v>34022</v>
      </c>
    </row>
    <row r="11" spans="1:9" x14ac:dyDescent="0.15">
      <c r="A11" s="23" t="s">
        <v>233</v>
      </c>
      <c r="B11" s="23" t="s">
        <v>224</v>
      </c>
    </row>
    <row r="12" spans="1:9" x14ac:dyDescent="0.15">
      <c r="A12" s="23" t="s">
        <v>222</v>
      </c>
      <c r="B12" s="3" t="s">
        <v>225</v>
      </c>
      <c r="C12" s="3" t="s">
        <v>226</v>
      </c>
      <c r="D12" s="3" t="s">
        <v>227</v>
      </c>
      <c r="E12" s="3" t="s">
        <v>228</v>
      </c>
      <c r="F12" s="3" t="s">
        <v>229</v>
      </c>
      <c r="G12" s="3" t="s">
        <v>230</v>
      </c>
      <c r="H12" s="3" t="s">
        <v>231</v>
      </c>
      <c r="I12" s="3" t="s">
        <v>223</v>
      </c>
    </row>
    <row r="13" spans="1:9" x14ac:dyDescent="0.15">
      <c r="A13" s="24" t="s">
        <v>26</v>
      </c>
      <c r="B13" s="25">
        <v>3122.5</v>
      </c>
      <c r="C13" s="25">
        <v>1067.5</v>
      </c>
      <c r="D13" s="25">
        <v>1850</v>
      </c>
      <c r="E13" s="25">
        <v>2427.5</v>
      </c>
      <c r="F13" s="25">
        <v>1620</v>
      </c>
      <c r="G13" s="25">
        <v>1920</v>
      </c>
      <c r="H13" s="25">
        <v>2365</v>
      </c>
      <c r="I13" s="25">
        <v>14372.5</v>
      </c>
    </row>
    <row r="14" spans="1:9" x14ac:dyDescent="0.15">
      <c r="A14" s="24" t="s">
        <v>14</v>
      </c>
      <c r="B14" s="25">
        <v>1584</v>
      </c>
      <c r="C14" s="25">
        <v>777</v>
      </c>
      <c r="D14" s="25">
        <v>745.5</v>
      </c>
      <c r="E14" s="25">
        <v>1272</v>
      </c>
      <c r="F14" s="25">
        <v>1371</v>
      </c>
      <c r="G14" s="25">
        <v>1093.5</v>
      </c>
      <c r="H14" s="25">
        <v>1105.5</v>
      </c>
      <c r="I14" s="25">
        <v>7948.5</v>
      </c>
    </row>
    <row r="15" spans="1:9" x14ac:dyDescent="0.15">
      <c r="A15" s="24" t="s">
        <v>11</v>
      </c>
      <c r="B15" s="25">
        <v>1882</v>
      </c>
      <c r="C15" s="25">
        <v>954</v>
      </c>
      <c r="D15" s="25">
        <v>1570</v>
      </c>
      <c r="E15" s="25">
        <v>924</v>
      </c>
      <c r="F15" s="25">
        <v>1402</v>
      </c>
      <c r="G15" s="25">
        <v>1622</v>
      </c>
      <c r="H15" s="25">
        <v>2240</v>
      </c>
      <c r="I15" s="25">
        <v>10594</v>
      </c>
    </row>
    <row r="16" spans="1:9" x14ac:dyDescent="0.15">
      <c r="A16" s="24" t="s">
        <v>223</v>
      </c>
      <c r="B16" s="25">
        <v>6588.5</v>
      </c>
      <c r="C16" s="25">
        <v>2798.5</v>
      </c>
      <c r="D16" s="25">
        <v>4165.5</v>
      </c>
      <c r="E16" s="25">
        <v>4623.5</v>
      </c>
      <c r="F16" s="25">
        <v>4393</v>
      </c>
      <c r="G16" s="25">
        <v>4635.5</v>
      </c>
      <c r="H16" s="25">
        <v>5710.5</v>
      </c>
      <c r="I16" s="25">
        <v>32915</v>
      </c>
    </row>
    <row r="19" spans="1:9" x14ac:dyDescent="0.15">
      <c r="A19" s="23" t="s">
        <v>234</v>
      </c>
      <c r="B19" s="23" t="s">
        <v>224</v>
      </c>
    </row>
    <row r="20" spans="1:9" x14ac:dyDescent="0.15">
      <c r="A20" s="23" t="s">
        <v>222</v>
      </c>
      <c r="B20" s="3" t="s">
        <v>225</v>
      </c>
      <c r="C20" s="3" t="s">
        <v>226</v>
      </c>
      <c r="D20" s="3" t="s">
        <v>227</v>
      </c>
      <c r="E20" s="3" t="s">
        <v>228</v>
      </c>
      <c r="F20" s="3" t="s">
        <v>229</v>
      </c>
      <c r="G20" s="3" t="s">
        <v>230</v>
      </c>
      <c r="H20" s="3" t="s">
        <v>231</v>
      </c>
      <c r="I20" s="3" t="s">
        <v>223</v>
      </c>
    </row>
    <row r="21" spans="1:9" x14ac:dyDescent="0.15">
      <c r="A21" s="24" t="s">
        <v>26</v>
      </c>
      <c r="B21" s="25">
        <v>-80</v>
      </c>
      <c r="C21" s="25">
        <v>-40</v>
      </c>
      <c r="D21" s="25">
        <v>-60</v>
      </c>
      <c r="E21" s="25">
        <v>-85</v>
      </c>
      <c r="F21" s="25">
        <v>-62.5</v>
      </c>
      <c r="G21" s="25">
        <v>-67.5</v>
      </c>
      <c r="H21" s="25">
        <v>-82.5</v>
      </c>
      <c r="I21" s="25">
        <v>-477.5</v>
      </c>
    </row>
    <row r="22" spans="1:9" x14ac:dyDescent="0.15">
      <c r="A22" s="24" t="s">
        <v>14</v>
      </c>
      <c r="B22" s="25">
        <v>-48</v>
      </c>
      <c r="C22" s="25">
        <v>-30</v>
      </c>
      <c r="D22" s="25">
        <v>-22.5</v>
      </c>
      <c r="E22" s="25">
        <v>-39</v>
      </c>
      <c r="F22" s="25">
        <v>-51</v>
      </c>
      <c r="G22" s="25">
        <v>-36</v>
      </c>
      <c r="H22" s="25">
        <v>-33</v>
      </c>
      <c r="I22" s="25">
        <v>-259.5</v>
      </c>
    </row>
    <row r="23" spans="1:9" x14ac:dyDescent="0.15">
      <c r="A23" s="24" t="s">
        <v>11</v>
      </c>
      <c r="B23" s="25">
        <v>-64</v>
      </c>
      <c r="C23" s="25">
        <v>-42</v>
      </c>
      <c r="D23" s="25">
        <v>-46</v>
      </c>
      <c r="E23" s="25">
        <v>-44</v>
      </c>
      <c r="F23" s="25">
        <v>-52</v>
      </c>
      <c r="G23" s="25">
        <v>-50</v>
      </c>
      <c r="H23" s="25">
        <v>-72</v>
      </c>
      <c r="I23" s="25">
        <v>-370</v>
      </c>
    </row>
    <row r="24" spans="1:9" x14ac:dyDescent="0.15">
      <c r="A24" s="24" t="s">
        <v>223</v>
      </c>
      <c r="B24" s="25">
        <v>-192</v>
      </c>
      <c r="C24" s="25">
        <v>-112</v>
      </c>
      <c r="D24" s="25">
        <v>-128.5</v>
      </c>
      <c r="E24" s="25">
        <v>-168</v>
      </c>
      <c r="F24" s="25">
        <v>-165.5</v>
      </c>
      <c r="G24" s="25">
        <v>-153.5</v>
      </c>
      <c r="H24" s="25">
        <v>-187.5</v>
      </c>
      <c r="I24" s="25">
        <v>-1107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3.5" x14ac:dyDescent="0.15"/>
  <cols>
    <col min="2" max="2" width="12.25" bestFit="1" customWidth="1"/>
  </cols>
  <sheetData>
    <row r="1" spans="1:2" ht="23.25" customHeight="1" x14ac:dyDescent="0.15">
      <c r="A1" s="27" t="s">
        <v>210</v>
      </c>
      <c r="B1" s="27"/>
    </row>
    <row r="2" spans="1:2" x14ac:dyDescent="0.15">
      <c r="A2" s="7" t="s">
        <v>211</v>
      </c>
      <c r="B2" s="7" t="s">
        <v>212</v>
      </c>
    </row>
    <row r="3" spans="1:2" x14ac:dyDescent="0.15">
      <c r="A3" s="7" t="s">
        <v>213</v>
      </c>
      <c r="B3" s="8">
        <v>1.5</v>
      </c>
    </row>
    <row r="4" spans="1:2" x14ac:dyDescent="0.15">
      <c r="A4" s="9" t="s">
        <v>11</v>
      </c>
      <c r="B4" s="8">
        <v>2</v>
      </c>
    </row>
    <row r="5" spans="1:2" x14ac:dyDescent="0.15">
      <c r="A5" s="9" t="s">
        <v>26</v>
      </c>
      <c r="B5" s="8">
        <v>2.5</v>
      </c>
    </row>
    <row r="6" spans="1:2" ht="39" customHeight="1" x14ac:dyDescent="0.15">
      <c r="A6" s="28" t="s">
        <v>214</v>
      </c>
      <c r="B6" s="28"/>
    </row>
  </sheetData>
  <mergeCells count="2">
    <mergeCell ref="A1:B1"/>
    <mergeCell ref="A6:B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3.5" x14ac:dyDescent="0.15"/>
  <sheetData>
    <row r="1" spans="1:2" ht="20.25" customHeight="1" x14ac:dyDescent="0.15">
      <c r="A1" s="27" t="s">
        <v>210</v>
      </c>
      <c r="B1" s="27"/>
    </row>
    <row r="2" spans="1:2" x14ac:dyDescent="0.15">
      <c r="A2" s="7" t="s">
        <v>215</v>
      </c>
      <c r="B2" s="7" t="s">
        <v>216</v>
      </c>
    </row>
    <row r="3" spans="1:2" x14ac:dyDescent="0.15">
      <c r="A3" s="7" t="s">
        <v>217</v>
      </c>
      <c r="B3" s="8">
        <v>1.5</v>
      </c>
    </row>
    <row r="4" spans="1:2" x14ac:dyDescent="0.15">
      <c r="A4" s="9" t="s">
        <v>11</v>
      </c>
      <c r="B4" s="8">
        <v>2</v>
      </c>
    </row>
    <row r="5" spans="1:2" x14ac:dyDescent="0.15">
      <c r="A5" s="9" t="s">
        <v>26</v>
      </c>
      <c r="B5" s="8">
        <v>2.5</v>
      </c>
    </row>
    <row r="6" spans="1:2" ht="34.5" customHeight="1" x14ac:dyDescent="0.15">
      <c r="A6" s="28" t="s">
        <v>218</v>
      </c>
      <c r="B6" s="28"/>
    </row>
  </sheetData>
  <mergeCells count="2">
    <mergeCell ref="A1:B1"/>
    <mergeCell ref="A6:B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停车收费记录</vt:lpstr>
      <vt:lpstr>数据透视分析</vt:lpstr>
      <vt:lpstr>收费标准</vt:lpstr>
      <vt:lpstr>拟采用的收费标准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Microsoft</cp:lastModifiedBy>
  <dcterms:created xsi:type="dcterms:W3CDTF">2014-06-23T18:27:18Z</dcterms:created>
  <dcterms:modified xsi:type="dcterms:W3CDTF">2021-10-08T09:03:54Z</dcterms:modified>
</cp:coreProperties>
</file>