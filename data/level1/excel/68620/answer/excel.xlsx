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EndFile\ExtractFile\"/>
    </mc:Choice>
  </mc:AlternateContent>
  <bookViews>
    <workbookView xWindow="15" yWindow="-45" windowWidth="12510" windowHeight="3930"/>
  </bookViews>
  <sheets>
    <sheet name="工资统计表" sheetId="1" r:id="rId1"/>
    <sheet name="绩效等级与绩效工资对照表" sheetId="3" r:id="rId2"/>
    <sheet name="图书销售统计表" sheetId="2" r:id="rId3"/>
  </sheets>
  <definedNames>
    <definedName name="_xlnm._FilterDatabase" localSheetId="0" hidden="1">工资统计表!$A$2:$K$42</definedName>
    <definedName name="_xlnm._FilterDatabase" localSheetId="2" hidden="1">图书销售统计表!$A$1:$G$65</definedName>
  </definedNames>
  <calcPr calcId="162913"/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3" i="1"/>
  <c r="K13" i="1" l="1"/>
  <c r="K14" i="1"/>
  <c r="K15" i="1"/>
  <c r="K12" i="1"/>
  <c r="K7" i="1"/>
  <c r="K8" i="1"/>
  <c r="K6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3" i="1"/>
  <c r="G41" i="2" l="1"/>
  <c r="F41" i="2"/>
  <c r="G29" i="2"/>
  <c r="F29" i="2"/>
  <c r="G57" i="2"/>
  <c r="F57" i="2"/>
  <c r="G45" i="2"/>
  <c r="F45" i="2"/>
  <c r="G56" i="2"/>
  <c r="F56" i="2"/>
  <c r="G65" i="2"/>
  <c r="F65" i="2"/>
  <c r="G25" i="2"/>
  <c r="F25" i="2"/>
  <c r="G64" i="2"/>
  <c r="F64" i="2"/>
  <c r="G13" i="2"/>
  <c r="F13" i="2"/>
  <c r="G61" i="2"/>
  <c r="F61" i="2"/>
  <c r="G60" i="2"/>
  <c r="F60" i="2"/>
  <c r="G12" i="2"/>
  <c r="F12" i="2"/>
  <c r="G44" i="2"/>
  <c r="F44" i="2"/>
  <c r="G55" i="2"/>
  <c r="F55" i="2"/>
  <c r="G43" i="2"/>
  <c r="F43" i="2"/>
  <c r="G63" i="2"/>
  <c r="F63" i="2"/>
  <c r="G42" i="2"/>
  <c r="F42" i="2"/>
  <c r="G54" i="2"/>
  <c r="F54" i="2"/>
  <c r="G28" i="2"/>
  <c r="F28" i="2"/>
  <c r="G62" i="2"/>
  <c r="F62" i="2"/>
  <c r="G27" i="2"/>
  <c r="F27" i="2"/>
  <c r="G26" i="2"/>
  <c r="F26" i="2"/>
  <c r="G59" i="2"/>
  <c r="F59" i="2"/>
  <c r="G11" i="2"/>
  <c r="F11" i="2"/>
  <c r="G58" i="2"/>
  <c r="F58" i="2"/>
  <c r="G10" i="2"/>
  <c r="F10" i="2"/>
  <c r="G53" i="2"/>
  <c r="F53" i="2"/>
  <c r="G52" i="2"/>
  <c r="F52" i="2"/>
  <c r="G51" i="2"/>
  <c r="F51" i="2"/>
  <c r="G40" i="2"/>
  <c r="F40" i="2"/>
  <c r="G50" i="2"/>
  <c r="F50" i="2"/>
  <c r="G9" i="2"/>
  <c r="F9" i="2"/>
  <c r="G8" i="2"/>
  <c r="F8" i="2"/>
  <c r="G17" i="2"/>
  <c r="F17" i="2"/>
  <c r="G24" i="2"/>
  <c r="F24" i="2"/>
  <c r="G5" i="2"/>
  <c r="F5" i="2"/>
  <c r="G7" i="2"/>
  <c r="F7" i="2"/>
  <c r="G4" i="2"/>
  <c r="F4" i="2"/>
  <c r="G37" i="2"/>
  <c r="F37" i="2"/>
  <c r="G23" i="2"/>
  <c r="F23" i="2"/>
  <c r="G36" i="2"/>
  <c r="F36" i="2"/>
  <c r="G39" i="2"/>
  <c r="F39" i="2"/>
  <c r="G49" i="2"/>
  <c r="F49" i="2"/>
  <c r="G33" i="2"/>
  <c r="F33" i="2"/>
  <c r="G16" i="2"/>
  <c r="F16" i="2"/>
  <c r="G6" i="2"/>
  <c r="F6" i="2"/>
  <c r="G15" i="2"/>
  <c r="F15" i="2"/>
  <c r="G3" i="2"/>
  <c r="F3" i="2"/>
  <c r="G38" i="2"/>
  <c r="F38" i="2"/>
  <c r="G22" i="2"/>
  <c r="F22" i="2"/>
  <c r="G48" i="2"/>
  <c r="F48" i="2"/>
  <c r="G32" i="2"/>
  <c r="F32" i="2"/>
  <c r="G21" i="2"/>
  <c r="F21" i="2"/>
  <c r="G20" i="2"/>
  <c r="F20" i="2"/>
  <c r="G31" i="2"/>
  <c r="F31" i="2"/>
  <c r="G19" i="2"/>
  <c r="F19" i="2"/>
  <c r="G47" i="2"/>
  <c r="F47" i="2"/>
  <c r="G2" i="2"/>
  <c r="F2" i="2"/>
  <c r="G35" i="2"/>
  <c r="F35" i="2"/>
  <c r="G30" i="2"/>
  <c r="F30" i="2"/>
  <c r="G18" i="2"/>
  <c r="F18" i="2"/>
  <c r="G14" i="2"/>
  <c r="F14" i="2"/>
  <c r="G46" i="2"/>
  <c r="F46" i="2"/>
  <c r="G34" i="2"/>
  <c r="F34" i="2"/>
</calcChain>
</file>

<file path=xl/sharedStrings.xml><?xml version="1.0" encoding="utf-8"?>
<sst xmlns="http://schemas.openxmlformats.org/spreadsheetml/2006/main" count="238" uniqueCount="92">
  <si>
    <t>经销部门</t>
    <phoneticPr fontId="5" type="noConversion"/>
  </si>
  <si>
    <t>图书类别</t>
    <phoneticPr fontId="5" type="noConversion"/>
  </si>
  <si>
    <t>季度</t>
    <phoneticPr fontId="5" type="noConversion"/>
  </si>
  <si>
    <t>销售额(元)</t>
    <phoneticPr fontId="5" type="noConversion"/>
  </si>
  <si>
    <t>销售数量排名</t>
    <phoneticPr fontId="5" type="noConversion"/>
  </si>
  <si>
    <t>销售额排名</t>
    <phoneticPr fontId="5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</si>
  <si>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5" type="noConversion"/>
  </si>
  <si>
    <t>生物科学</t>
    <phoneticPr fontId="5" type="noConversion"/>
  </si>
  <si>
    <t>工业技术</t>
    <phoneticPr fontId="5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</si>
  <si>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5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</si>
  <si>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5" type="noConversion"/>
  </si>
  <si>
    <t>农业科学</t>
    <phoneticPr fontId="5" type="noConversion"/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</si>
  <si>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  <phoneticPr fontId="5" type="noConversion"/>
  </si>
  <si>
    <t>第1分部</t>
    <phoneticPr fontId="5" type="noConversion"/>
  </si>
  <si>
    <t>交通科学</t>
    <phoneticPr fontId="5" type="noConversion"/>
  </si>
  <si>
    <t>第4分部</t>
    <phoneticPr fontId="5" type="noConversion"/>
  </si>
  <si>
    <t>交通科学</t>
  </si>
  <si>
    <t>第1分部</t>
  </si>
  <si>
    <t>第2分部</t>
    <phoneticPr fontId="5" type="noConversion"/>
  </si>
  <si>
    <t>第3分部</t>
    <phoneticPr fontId="5" type="noConversion"/>
  </si>
  <si>
    <t>销售数量(册)</t>
    <phoneticPr fontId="5" type="noConversion"/>
  </si>
  <si>
    <t>HR002</t>
  </si>
  <si>
    <t>HR003</t>
  </si>
  <si>
    <t>HR004</t>
  </si>
  <si>
    <t>HR005</t>
  </si>
  <si>
    <t>HR006</t>
  </si>
  <si>
    <t>HR007</t>
  </si>
  <si>
    <t>HR008</t>
  </si>
  <si>
    <t>HR009</t>
  </si>
  <si>
    <t>HR010</t>
  </si>
  <si>
    <t>HR011</t>
  </si>
  <si>
    <t>HR012</t>
  </si>
  <si>
    <t>HR013</t>
  </si>
  <si>
    <t>HR014</t>
  </si>
  <si>
    <t>HR015</t>
  </si>
  <si>
    <t>HR016</t>
  </si>
  <si>
    <t>HR017</t>
  </si>
  <si>
    <t>HR018</t>
  </si>
  <si>
    <t>HR019</t>
  </si>
  <si>
    <t>HR020</t>
  </si>
  <si>
    <t>职工号</t>
    <phoneticPr fontId="1" type="noConversion"/>
  </si>
  <si>
    <t>职称</t>
    <phoneticPr fontId="1" type="noConversion"/>
  </si>
  <si>
    <t>HR001</t>
    <phoneticPr fontId="1" type="noConversion"/>
  </si>
  <si>
    <t>高工</t>
    <phoneticPr fontId="1" type="noConversion"/>
  </si>
  <si>
    <t>工程师</t>
    <phoneticPr fontId="1" type="noConversion"/>
  </si>
  <si>
    <t>HR021</t>
  </si>
  <si>
    <t>HR022</t>
  </si>
  <si>
    <t>助工</t>
    <phoneticPr fontId="1" type="noConversion"/>
  </si>
  <si>
    <t>助工</t>
    <phoneticPr fontId="1" type="noConversion"/>
  </si>
  <si>
    <t>工程师</t>
    <phoneticPr fontId="1" type="noConversion"/>
  </si>
  <si>
    <t>职称</t>
    <phoneticPr fontId="1" type="noConversion"/>
  </si>
  <si>
    <t>高工</t>
    <phoneticPr fontId="1" type="noConversion"/>
  </si>
  <si>
    <t>人数</t>
    <phoneticPr fontId="1" type="noConversion"/>
  </si>
  <si>
    <t>工资合计范围</t>
    <phoneticPr fontId="1" type="noConversion"/>
  </si>
  <si>
    <t>绩效等级</t>
    <phoneticPr fontId="1" type="noConversion"/>
  </si>
  <si>
    <t>HR023</t>
  </si>
  <si>
    <t>HR024</t>
  </si>
  <si>
    <t>HR025</t>
  </si>
  <si>
    <t>HR026</t>
  </si>
  <si>
    <t>HR027</t>
  </si>
  <si>
    <t>HR028</t>
  </si>
  <si>
    <t>HR029</t>
  </si>
  <si>
    <t>HR030</t>
  </si>
  <si>
    <t>HR031</t>
  </si>
  <si>
    <t>HR032</t>
  </si>
  <si>
    <t>HR033</t>
  </si>
  <si>
    <t>HR034</t>
  </si>
  <si>
    <t>HR035</t>
  </si>
  <si>
    <t>HR036</t>
  </si>
  <si>
    <t>HR037</t>
  </si>
  <si>
    <t>HR038</t>
  </si>
  <si>
    <t>HR039</t>
  </si>
  <si>
    <t>HR040</t>
  </si>
  <si>
    <t>助工</t>
  </si>
  <si>
    <t>工程师</t>
  </si>
  <si>
    <t>高工</t>
  </si>
  <si>
    <t>工程师</t>
    <phoneticPr fontId="1" type="noConversion"/>
  </si>
  <si>
    <t>高工</t>
    <phoneticPr fontId="1" type="noConversion"/>
  </si>
  <si>
    <t>绩效等级</t>
    <phoneticPr fontId="1" type="noConversion"/>
  </si>
  <si>
    <t>绩效工资</t>
    <phoneticPr fontId="1" type="noConversion"/>
  </si>
  <si>
    <t>某单位人员工资情况表</t>
    <phoneticPr fontId="1" type="noConversion"/>
  </si>
  <si>
    <r>
      <t>基本工资(</t>
    </r>
    <r>
      <rPr>
        <sz val="12"/>
        <rFont val="宋体"/>
        <family val="3"/>
        <charset val="134"/>
      </rPr>
      <t>元）</t>
    </r>
    <phoneticPr fontId="1" type="noConversion"/>
  </si>
  <si>
    <t>岗位补贴（元）</t>
    <phoneticPr fontId="1" type="noConversion"/>
  </si>
  <si>
    <t>绩效工资（元）</t>
    <phoneticPr fontId="1" type="noConversion"/>
  </si>
  <si>
    <t>工资合计（元）</t>
    <phoneticPr fontId="1" type="noConversion"/>
  </si>
  <si>
    <t>平均工资</t>
    <phoneticPr fontId="1" type="noConversion"/>
  </si>
  <si>
    <t>&gt;=20000</t>
    <phoneticPr fontId="1" type="noConversion"/>
  </si>
  <si>
    <t>&gt;=18000</t>
    <phoneticPr fontId="1" type="noConversion"/>
  </si>
  <si>
    <t>&gt;=16000</t>
    <phoneticPr fontId="1" type="noConversion"/>
  </si>
  <si>
    <t>&gt;=22000</t>
    <phoneticPr fontId="1" type="noConversion"/>
  </si>
  <si>
    <t>统计表1</t>
    <phoneticPr fontId="1" type="noConversion"/>
  </si>
  <si>
    <t>统计表2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</si>
</sst>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.00_ "/>
  </numFmts>
  <fonts count="10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4" fillId="0" borderId="1" xfId="0" applyFont="1" applyBorder="1"/>
    <xf numFmtId="0" fontId="6" fillId="0" borderId="1" xfId="0" applyFont="1" applyBorder="1"/>
    <xf numFmtId="0" fontId="0" fillId="0" borderId="1" xfId="0" applyFont="1" applyFill="1" applyBorder="1"/>
    <xf numFmtId="0" fontId="6" fillId="0" borderId="1" xfId="0" applyFont="1" applyFill="1" applyBorder="1"/>
    <xf numFmtId="0" fontId="0" fillId="0" borderId="1" xfId="0" applyFill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/>
    <xf numFmtId="0" fontId="3" fillId="0" borderId="0" xfId="0" applyFont="1" applyAlignment="1"/>
    <xf numFmtId="0" fontId="3" fillId="0" borderId="0" xfId="0" applyFont="1"/>
    <xf numFmtId="0" fontId="3" fillId="0" borderId="1" xfId="0" applyFont="1" applyBorder="1"/>
    <xf numFmtId="0" fontId="3" fillId="0" borderId="1" xfId="0" applyNumberFormat="1" applyFont="1" applyBorder="1"/>
    <xf numFmtId="0" fontId="3" fillId="0" borderId="0" xfId="0" applyNumberFormat="1" applyFont="1"/>
    <xf numFmtId="0" fontId="3" fillId="0" borderId="0" xfId="0" applyFont="1" applyFill="1" applyBorder="1"/>
    <xf numFmtId="0" fontId="7" fillId="0" borderId="3" xfId="0" applyFont="1" applyBorder="1"/>
    <xf numFmtId="0" fontId="3" fillId="0" borderId="4" xfId="0" applyFont="1" applyBorder="1"/>
    <xf numFmtId="10" fontId="3" fillId="0" borderId="4" xfId="0" applyNumberFormat="1" applyFont="1" applyBorder="1"/>
    <xf numFmtId="176" fontId="7" fillId="0" borderId="0" xfId="0" applyNumberFormat="1" applyFont="1"/>
    <xf numFmtId="177" fontId="3" fillId="0" borderId="1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4">
    <dxf>
      <fill>
        <patternFill patternType="lightHorizontal">
          <fgColor theme="7" tint="0.39994506668294322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0" i="0" u="none" strike="noStrike" cap="none" baseline="0" smtClean="0"/>
              <a:t>工资统计图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solidFill>
          <a:schemeClr val="accent3">
            <a:lumMod val="20000"/>
            <a:lumOff val="80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accent3">
            <a:lumMod val="20000"/>
            <a:lumOff val="80000"/>
          </a:schemeClr>
        </a:solidFill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工资统计表!$K$11</c:f>
              <c:strCache>
                <c:ptCount val="1"/>
                <c:pt idx="0">
                  <c:v>人数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工资统计表!$J$12:$J$15</c:f>
              <c:strCache>
                <c:ptCount val="4"/>
                <c:pt idx="0">
                  <c:v>&gt;=22000</c:v>
                </c:pt>
                <c:pt idx="1">
                  <c:v>&gt;=20000</c:v>
                </c:pt>
                <c:pt idx="2">
                  <c:v>&gt;=18000</c:v>
                </c:pt>
                <c:pt idx="3">
                  <c:v>&gt;=16000</c:v>
                </c:pt>
              </c:strCache>
            </c:strRef>
          </c:cat>
          <c:val>
            <c:numRef>
              <c:f>工资统计表!$K$12:$K$15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24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5-4C51-A7E6-15BE0DFA2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1315400"/>
        <c:axId val="371314416"/>
        <c:axId val="0"/>
      </c:bar3DChart>
      <c:catAx>
        <c:axId val="371315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1314416"/>
        <c:crosses val="autoZero"/>
        <c:auto val="1"/>
        <c:lblAlgn val="ctr"/>
        <c:lblOffset val="100"/>
        <c:noMultiLvlLbl val="0"/>
      </c:catAx>
      <c:valAx>
        <c:axId val="37131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1315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90487</xdr:colOff>
      <xdr:row>17</xdr:row>
      <xdr:rowOff>52387</xdr:rowOff>
    </xdr:from>
    <xdr:to>
      <xdr:col>12</xdr:col>
      <xdr:colOff>581025</xdr:colOff>
      <xdr:row>32</xdr:row>
      <xdr:rowOff>114300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workbookViewId="0">
      <selection activeCell="I6" sqref="I6"/>
    </sheetView>
  </sheetViews>
  <sheetFormatPr defaultColWidth="8.625" defaultRowHeight="14.25" x14ac:dyDescent="0.15"/>
  <cols>
    <col min="1" max="1" width="11.5" style="7" customWidth="1"/>
    <col min="2" max="2" width="8.625" style="7" customWidth="1"/>
    <col min="3" max="3" width="12.875" style="7" customWidth="1"/>
    <col min="4" max="4" width="14.25" style="7" customWidth="1"/>
    <col min="5" max="5" width="8.625" style="7" customWidth="1"/>
    <col min="6" max="6" width="14" style="7" customWidth="1"/>
    <col min="7" max="7" width="15" style="7" customWidth="1"/>
    <col min="8" max="8" width="9.25" style="7" customWidth="1"/>
    <col min="9" max="9" width="8.625" style="7" customWidth="1"/>
    <col min="10" max="10" width="13.25" style="7" customWidth="1"/>
    <col min="11" max="11" width="10.625" style="7" customWidth="1"/>
    <col min="12" max="16384" width="8.625" style="7"/>
  </cols>
  <sheetData>
    <row r="1" spans="1:12" x14ac:dyDescent="0.15">
      <c r="A1" s="25" t="s">
        <v>80</v>
      </c>
      <c r="B1" s="25"/>
      <c r="C1" s="25"/>
      <c r="D1" s="25"/>
      <c r="E1" s="25"/>
      <c r="F1" s="25"/>
      <c r="G1" s="25"/>
      <c r="H1" s="9"/>
      <c r="I1" s="9"/>
    </row>
    <row r="2" spans="1:12" x14ac:dyDescent="0.15">
      <c r="A2" s="10" t="s">
        <v>40</v>
      </c>
      <c r="B2" s="10" t="s">
        <v>41</v>
      </c>
      <c r="C2" s="11" t="s">
        <v>81</v>
      </c>
      <c r="D2" s="12" t="s">
        <v>82</v>
      </c>
      <c r="E2" s="12" t="s">
        <v>54</v>
      </c>
      <c r="F2" s="12" t="s">
        <v>83</v>
      </c>
      <c r="G2" s="12" t="s">
        <v>84</v>
      </c>
    </row>
    <row r="3" spans="1:12" x14ac:dyDescent="0.15">
      <c r="A3" s="11" t="s">
        <v>42</v>
      </c>
      <c r="B3" s="11" t="s">
        <v>43</v>
      </c>
      <c r="C3" s="12">
        <v>8700</v>
      </c>
      <c r="D3" s="12">
        <v>6550</v>
      </c>
      <c r="E3" s="12">
        <v>1</v>
      </c>
      <c r="F3" s="15">
        <f>VLOOKUP(E3,绩效等级与绩效工资对照表!$A$1:$B$6,2,0)</f>
        <v>10000</v>
      </c>
      <c r="G3" s="20">
        <f>SUM(C3:D3,F3)</f>
        <v>25250</v>
      </c>
    </row>
    <row r="4" spans="1:12" x14ac:dyDescent="0.15">
      <c r="A4" s="11" t="s">
        <v>21</v>
      </c>
      <c r="B4" s="11" t="s">
        <v>43</v>
      </c>
      <c r="C4" s="12">
        <v>8200</v>
      </c>
      <c r="D4" s="12">
        <v>6350</v>
      </c>
      <c r="E4" s="12">
        <v>2</v>
      </c>
      <c r="F4" s="15">
        <f>VLOOKUP(E4,绩效等级与绩效工资对照表!$A$1:$B$6,2,0)</f>
        <v>8500</v>
      </c>
      <c r="G4" s="20">
        <f t="shared" ref="G4:G42" si="0">SUM(C4:D4,F4)</f>
        <v>23050</v>
      </c>
      <c r="J4" s="22" t="s">
        <v>90</v>
      </c>
      <c r="K4" s="22"/>
    </row>
    <row r="5" spans="1:12" x14ac:dyDescent="0.15">
      <c r="A5" s="11" t="s">
        <v>22</v>
      </c>
      <c r="B5" s="11" t="s">
        <v>44</v>
      </c>
      <c r="C5" s="12">
        <v>7100</v>
      </c>
      <c r="D5" s="12">
        <v>4550</v>
      </c>
      <c r="E5" s="12">
        <v>4</v>
      </c>
      <c r="F5" s="15">
        <f>VLOOKUP(E5,绩效等级与绩效工资对照表!$A$1:$B$6,2,0)</f>
        <v>5000</v>
      </c>
      <c r="G5" s="20">
        <f t="shared" si="0"/>
        <v>16650</v>
      </c>
      <c r="J5" s="13" t="s">
        <v>50</v>
      </c>
      <c r="K5" s="13" t="s">
        <v>85</v>
      </c>
    </row>
    <row r="6" spans="1:12" x14ac:dyDescent="0.15">
      <c r="A6" s="11" t="s">
        <v>23</v>
      </c>
      <c r="B6" s="11" t="s">
        <v>43</v>
      </c>
      <c r="C6" s="12">
        <v>8500</v>
      </c>
      <c r="D6" s="12">
        <v>6800</v>
      </c>
      <c r="E6" s="12">
        <v>1</v>
      </c>
      <c r="F6" s="15">
        <f>VLOOKUP(E6,绩效等级与绩效工资对照表!$A$1:$B$6,2,0)</f>
        <v>10000</v>
      </c>
      <c r="G6" s="20">
        <f t="shared" si="0"/>
        <v>25300</v>
      </c>
      <c r="J6" s="13" t="s">
        <v>51</v>
      </c>
      <c r="K6" s="21">
        <f>AVERAGEIF($B$3:$B$42,J6,$G$3:$G$42)</f>
        <v>22431.333333333332</v>
      </c>
    </row>
    <row r="7" spans="1:12" x14ac:dyDescent="0.15">
      <c r="A7" s="11" t="s">
        <v>24</v>
      </c>
      <c r="B7" s="11" t="s">
        <v>44</v>
      </c>
      <c r="C7" s="12">
        <v>6500</v>
      </c>
      <c r="D7" s="12">
        <v>4820</v>
      </c>
      <c r="E7" s="12">
        <v>2</v>
      </c>
      <c r="F7" s="15">
        <f>VLOOKUP(E7,绩效等级与绩效工资对照表!$A$1:$B$6,2,0)</f>
        <v>8500</v>
      </c>
      <c r="G7" s="20">
        <f t="shared" si="0"/>
        <v>19820</v>
      </c>
      <c r="H7" s="12"/>
      <c r="J7" s="13" t="s">
        <v>49</v>
      </c>
      <c r="K7" s="21">
        <f t="shared" ref="K7:K8" si="1">AVERAGEIF($B$3:$B$42,J7,$G$3:$G$42)</f>
        <v>18094.705882352941</v>
      </c>
    </row>
    <row r="8" spans="1:12" x14ac:dyDescent="0.15">
      <c r="A8" s="11" t="s">
        <v>25</v>
      </c>
      <c r="B8" s="11" t="s">
        <v>47</v>
      </c>
      <c r="C8" s="12">
        <v>5600</v>
      </c>
      <c r="D8" s="12">
        <v>3550</v>
      </c>
      <c r="E8" s="12">
        <v>5</v>
      </c>
      <c r="F8" s="15">
        <f>VLOOKUP(E8,绩效等级与绩效工资对照表!$A$1:$B$6,2,0)</f>
        <v>3500</v>
      </c>
      <c r="G8" s="20">
        <f t="shared" si="0"/>
        <v>12650</v>
      </c>
      <c r="J8" s="13" t="s">
        <v>48</v>
      </c>
      <c r="K8" s="21">
        <f t="shared" si="1"/>
        <v>15111.25</v>
      </c>
    </row>
    <row r="9" spans="1:12" x14ac:dyDescent="0.15">
      <c r="A9" s="11" t="s">
        <v>26</v>
      </c>
      <c r="B9" s="11" t="s">
        <v>44</v>
      </c>
      <c r="C9" s="12">
        <v>6700</v>
      </c>
      <c r="D9" s="12">
        <v>4350</v>
      </c>
      <c r="E9" s="12">
        <v>1</v>
      </c>
      <c r="F9" s="15">
        <f>VLOOKUP(E9,绩效等级与绩效工资对照表!$A$1:$B$6,2,0)</f>
        <v>10000</v>
      </c>
      <c r="G9" s="20">
        <f t="shared" si="0"/>
        <v>21050</v>
      </c>
    </row>
    <row r="10" spans="1:12" x14ac:dyDescent="0.15">
      <c r="A10" s="11" t="s">
        <v>27</v>
      </c>
      <c r="B10" s="11" t="s">
        <v>43</v>
      </c>
      <c r="C10" s="12">
        <v>8100</v>
      </c>
      <c r="D10" s="12">
        <v>6550</v>
      </c>
      <c r="E10" s="12">
        <v>3</v>
      </c>
      <c r="F10" s="15">
        <f>VLOOKUP(E10,绩效等级与绩效工资对照表!$A$1:$B$6,2,0)</f>
        <v>6500</v>
      </c>
      <c r="G10" s="20">
        <f t="shared" si="0"/>
        <v>21150</v>
      </c>
      <c r="J10" s="23" t="s">
        <v>91</v>
      </c>
      <c r="K10" s="23"/>
      <c r="L10" s="24"/>
    </row>
    <row r="11" spans="1:12" x14ac:dyDescent="0.15">
      <c r="A11" s="11" t="s">
        <v>28</v>
      </c>
      <c r="B11" s="11" t="s">
        <v>47</v>
      </c>
      <c r="C11" s="12">
        <v>4600</v>
      </c>
      <c r="D11" s="12">
        <v>3350</v>
      </c>
      <c r="E11" s="12">
        <v>4</v>
      </c>
      <c r="F11" s="15">
        <f>VLOOKUP(E11,绩效等级与绩效工资对照表!$A$1:$B$6,2,0)</f>
        <v>5000</v>
      </c>
      <c r="G11" s="20">
        <f t="shared" si="0"/>
        <v>12950</v>
      </c>
      <c r="J11" s="13" t="s">
        <v>53</v>
      </c>
      <c r="K11" s="13" t="s">
        <v>52</v>
      </c>
      <c r="L11" s="18"/>
    </row>
    <row r="12" spans="1:12" x14ac:dyDescent="0.15">
      <c r="A12" s="11" t="s">
        <v>29</v>
      </c>
      <c r="B12" s="11" t="s">
        <v>43</v>
      </c>
      <c r="C12" s="12">
        <v>7800</v>
      </c>
      <c r="D12" s="12">
        <v>6560</v>
      </c>
      <c r="E12" s="12">
        <v>4</v>
      </c>
      <c r="F12" s="15">
        <f>VLOOKUP(E12,绩效等级与绩效工资对照表!$A$1:$B$6,2,0)</f>
        <v>5000</v>
      </c>
      <c r="G12" s="20">
        <f t="shared" si="0"/>
        <v>19360</v>
      </c>
      <c r="J12" s="13" t="s">
        <v>89</v>
      </c>
      <c r="K12" s="14">
        <f>COUNTIF($G$3:$G$42,J12)</f>
        <v>8</v>
      </c>
      <c r="L12" s="19"/>
    </row>
    <row r="13" spans="1:12" x14ac:dyDescent="0.15">
      <c r="A13" s="11" t="s">
        <v>30</v>
      </c>
      <c r="B13" s="11" t="s">
        <v>44</v>
      </c>
      <c r="C13" s="12">
        <v>6500</v>
      </c>
      <c r="D13" s="12">
        <v>5050</v>
      </c>
      <c r="E13" s="12">
        <v>3</v>
      </c>
      <c r="F13" s="15">
        <f>VLOOKUP(E13,绩效等级与绩效工资对照表!$A$1:$B$6,2,0)</f>
        <v>6500</v>
      </c>
      <c r="G13" s="20">
        <f t="shared" si="0"/>
        <v>18050</v>
      </c>
      <c r="H13" s="9"/>
      <c r="J13" s="13" t="s">
        <v>86</v>
      </c>
      <c r="K13" s="14">
        <f t="shared" ref="K13:K15" si="2">COUNTIF($G$3:$G$42,J13)</f>
        <v>16</v>
      </c>
      <c r="L13" s="19"/>
    </row>
    <row r="14" spans="1:12" x14ac:dyDescent="0.15">
      <c r="A14" s="11" t="s">
        <v>31</v>
      </c>
      <c r="B14" s="11" t="s">
        <v>43</v>
      </c>
      <c r="C14" s="12">
        <v>8700</v>
      </c>
      <c r="D14" s="12">
        <v>6370</v>
      </c>
      <c r="E14" s="12">
        <v>1</v>
      </c>
      <c r="F14" s="15">
        <f>VLOOKUP(E14,绩效等级与绩效工资对照表!$A$1:$B$6,2,0)</f>
        <v>10000</v>
      </c>
      <c r="G14" s="20">
        <f t="shared" si="0"/>
        <v>25070</v>
      </c>
      <c r="H14" s="9"/>
      <c r="J14" s="13" t="s">
        <v>87</v>
      </c>
      <c r="K14" s="14">
        <f t="shared" si="2"/>
        <v>24</v>
      </c>
      <c r="L14" s="19"/>
    </row>
    <row r="15" spans="1:12" x14ac:dyDescent="0.15">
      <c r="A15" s="11" t="s">
        <v>32</v>
      </c>
      <c r="B15" s="11" t="s">
        <v>44</v>
      </c>
      <c r="C15" s="12">
        <v>6300</v>
      </c>
      <c r="D15" s="12">
        <v>4780</v>
      </c>
      <c r="E15" s="12">
        <v>5</v>
      </c>
      <c r="F15" s="15">
        <f>VLOOKUP(E15,绩效等级与绩效工资对照表!$A$1:$B$6,2,0)</f>
        <v>3500</v>
      </c>
      <c r="G15" s="20">
        <f t="shared" si="0"/>
        <v>14580</v>
      </c>
      <c r="H15" s="9"/>
      <c r="J15" s="13" t="s">
        <v>88</v>
      </c>
      <c r="K15" s="14">
        <f t="shared" si="2"/>
        <v>32</v>
      </c>
      <c r="L15" s="19"/>
    </row>
    <row r="16" spans="1:12" x14ac:dyDescent="0.15">
      <c r="A16" s="11" t="s">
        <v>33</v>
      </c>
      <c r="B16" s="11" t="s">
        <v>44</v>
      </c>
      <c r="C16" s="12">
        <v>6100</v>
      </c>
      <c r="D16" s="12">
        <v>4560</v>
      </c>
      <c r="E16" s="12">
        <v>2</v>
      </c>
      <c r="F16" s="15">
        <f>VLOOKUP(E16,绩效等级与绩效工资对照表!$A$1:$B$6,2,0)</f>
        <v>8500</v>
      </c>
      <c r="G16" s="20">
        <f t="shared" si="0"/>
        <v>19160</v>
      </c>
      <c r="H16" s="9"/>
      <c r="I16" s="16"/>
      <c r="J16" s="17"/>
    </row>
    <row r="17" spans="1:9" x14ac:dyDescent="0.15">
      <c r="A17" s="11" t="s">
        <v>34</v>
      </c>
      <c r="B17" s="11" t="s">
        <v>43</v>
      </c>
      <c r="C17" s="12">
        <v>8200</v>
      </c>
      <c r="D17" s="12">
        <v>6280</v>
      </c>
      <c r="E17" s="12">
        <v>4</v>
      </c>
      <c r="F17" s="15">
        <f>VLOOKUP(E17,绩效等级与绩效工资对照表!$A$1:$B$6,2,0)</f>
        <v>5000</v>
      </c>
      <c r="G17" s="20">
        <f t="shared" si="0"/>
        <v>19480</v>
      </c>
      <c r="H17" s="9"/>
      <c r="I17" s="9"/>
    </row>
    <row r="18" spans="1:9" x14ac:dyDescent="0.15">
      <c r="A18" s="11" t="s">
        <v>35</v>
      </c>
      <c r="B18" s="11" t="s">
        <v>43</v>
      </c>
      <c r="C18" s="12">
        <v>8500</v>
      </c>
      <c r="D18" s="12">
        <v>6390</v>
      </c>
      <c r="E18" s="12">
        <v>1</v>
      </c>
      <c r="F18" s="15">
        <f>VLOOKUP(E18,绩效等级与绩效工资对照表!$A$1:$B$6,2,0)</f>
        <v>10000</v>
      </c>
      <c r="G18" s="20">
        <f t="shared" si="0"/>
        <v>24890</v>
      </c>
      <c r="H18" s="9"/>
      <c r="I18" s="9"/>
    </row>
    <row r="19" spans="1:9" x14ac:dyDescent="0.15">
      <c r="A19" s="11" t="s">
        <v>36</v>
      </c>
      <c r="B19" s="11" t="s">
        <v>44</v>
      </c>
      <c r="C19" s="12">
        <v>6900</v>
      </c>
      <c r="D19" s="12">
        <v>4880</v>
      </c>
      <c r="E19" s="12">
        <v>4</v>
      </c>
      <c r="F19" s="15">
        <f>VLOOKUP(E19,绩效等级与绩效工资对照表!$A$1:$B$6,2,0)</f>
        <v>5000</v>
      </c>
      <c r="G19" s="20">
        <f t="shared" si="0"/>
        <v>16780</v>
      </c>
      <c r="H19" s="9"/>
      <c r="I19" s="9"/>
    </row>
    <row r="20" spans="1:9" x14ac:dyDescent="0.15">
      <c r="A20" s="11" t="s">
        <v>37</v>
      </c>
      <c r="B20" s="11" t="s">
        <v>44</v>
      </c>
      <c r="C20" s="12">
        <v>7200</v>
      </c>
      <c r="D20" s="12">
        <v>4260</v>
      </c>
      <c r="E20" s="12">
        <v>3</v>
      </c>
      <c r="F20" s="15">
        <f>VLOOKUP(E20,绩效等级与绩效工资对照表!$A$1:$B$6,2,0)</f>
        <v>6500</v>
      </c>
      <c r="G20" s="20">
        <f t="shared" si="0"/>
        <v>17960</v>
      </c>
      <c r="H20" s="9"/>
      <c r="I20" s="9"/>
    </row>
    <row r="21" spans="1:9" x14ac:dyDescent="0.15">
      <c r="A21" s="11" t="s">
        <v>38</v>
      </c>
      <c r="B21" s="11" t="s">
        <v>47</v>
      </c>
      <c r="C21" s="12">
        <v>4800</v>
      </c>
      <c r="D21" s="12">
        <v>3050</v>
      </c>
      <c r="E21" s="12">
        <v>3</v>
      </c>
      <c r="F21" s="15">
        <f>VLOOKUP(E21,绩效等级与绩效工资对照表!$A$1:$B$6,2,0)</f>
        <v>6500</v>
      </c>
      <c r="G21" s="20">
        <f t="shared" si="0"/>
        <v>14350</v>
      </c>
      <c r="H21" s="9"/>
      <c r="I21" s="9"/>
    </row>
    <row r="22" spans="1:9" ht="15.75" x14ac:dyDescent="0.25">
      <c r="A22" s="11" t="s">
        <v>39</v>
      </c>
      <c r="B22" s="11" t="s">
        <v>44</v>
      </c>
      <c r="C22" s="12">
        <v>7200</v>
      </c>
      <c r="D22" s="12">
        <v>4570</v>
      </c>
      <c r="E22" s="12">
        <v>2</v>
      </c>
      <c r="F22" s="15">
        <f>VLOOKUP(E22,绩效等级与绩效工资对照表!$A$1:$B$6,2,0)</f>
        <v>8500</v>
      </c>
      <c r="G22" s="20">
        <f t="shared" si="0"/>
        <v>20270</v>
      </c>
      <c r="H22" s="8"/>
    </row>
    <row r="23" spans="1:9" ht="15.75" x14ac:dyDescent="0.25">
      <c r="A23" s="11" t="s">
        <v>45</v>
      </c>
      <c r="B23" s="11" t="s">
        <v>48</v>
      </c>
      <c r="C23" s="12">
        <v>4500</v>
      </c>
      <c r="D23" s="12">
        <v>3450</v>
      </c>
      <c r="E23" s="12">
        <v>1</v>
      </c>
      <c r="F23" s="15">
        <f>VLOOKUP(E23,绩效等级与绩效工资对照表!$A$1:$B$6,2,0)</f>
        <v>10000</v>
      </c>
      <c r="G23" s="20">
        <f t="shared" si="0"/>
        <v>17950</v>
      </c>
      <c r="H23" s="8"/>
    </row>
    <row r="24" spans="1:9" ht="15.75" x14ac:dyDescent="0.25">
      <c r="A24" s="11" t="s">
        <v>46</v>
      </c>
      <c r="B24" s="11" t="s">
        <v>49</v>
      </c>
      <c r="C24" s="12">
        <v>6500</v>
      </c>
      <c r="D24" s="12">
        <v>4950</v>
      </c>
      <c r="E24" s="12">
        <v>3</v>
      </c>
      <c r="F24" s="15">
        <f>VLOOKUP(E24,绩效等级与绩效工资对照表!$A$1:$B$6,2,0)</f>
        <v>6500</v>
      </c>
      <c r="G24" s="20">
        <f t="shared" si="0"/>
        <v>17950</v>
      </c>
      <c r="H24" s="8"/>
    </row>
    <row r="25" spans="1:9" ht="15.75" x14ac:dyDescent="0.25">
      <c r="A25" s="11" t="s">
        <v>55</v>
      </c>
      <c r="B25" s="7" t="s">
        <v>73</v>
      </c>
      <c r="C25" s="12">
        <v>4600</v>
      </c>
      <c r="D25" s="12">
        <v>3380</v>
      </c>
      <c r="E25" s="12">
        <v>4</v>
      </c>
      <c r="F25" s="15">
        <f>VLOOKUP(E25,绩效等级与绩效工资对照表!$A$1:$B$6,2,0)</f>
        <v>5000</v>
      </c>
      <c r="G25" s="20">
        <f t="shared" si="0"/>
        <v>12980</v>
      </c>
      <c r="H25" s="8"/>
    </row>
    <row r="26" spans="1:9" ht="15.75" x14ac:dyDescent="0.25">
      <c r="A26" s="11" t="s">
        <v>56</v>
      </c>
      <c r="B26" s="7" t="s">
        <v>74</v>
      </c>
      <c r="C26" s="12">
        <v>6200</v>
      </c>
      <c r="D26" s="12">
        <v>4860</v>
      </c>
      <c r="E26" s="12">
        <v>1</v>
      </c>
      <c r="F26" s="15">
        <f>VLOOKUP(E26,绩效等级与绩效工资对照表!$A$1:$B$6,2,0)</f>
        <v>10000</v>
      </c>
      <c r="G26" s="20">
        <f t="shared" si="0"/>
        <v>21060</v>
      </c>
      <c r="H26" s="8"/>
    </row>
    <row r="27" spans="1:9" x14ac:dyDescent="0.15">
      <c r="A27" s="11" t="s">
        <v>57</v>
      </c>
      <c r="B27" s="7" t="s">
        <v>75</v>
      </c>
      <c r="C27" s="12">
        <v>8200</v>
      </c>
      <c r="D27" s="12">
        <v>6750</v>
      </c>
      <c r="E27" s="12">
        <v>2</v>
      </c>
      <c r="F27" s="15">
        <f>VLOOKUP(E27,绩效等级与绩效工资对照表!$A$1:$B$6,2,0)</f>
        <v>8500</v>
      </c>
      <c r="G27" s="20">
        <f t="shared" si="0"/>
        <v>23450</v>
      </c>
    </row>
    <row r="28" spans="1:9" x14ac:dyDescent="0.15">
      <c r="A28" s="11" t="s">
        <v>58</v>
      </c>
      <c r="B28" s="7" t="s">
        <v>73</v>
      </c>
      <c r="C28" s="12">
        <v>4800</v>
      </c>
      <c r="D28" s="12">
        <v>3830</v>
      </c>
      <c r="E28" s="12">
        <v>3</v>
      </c>
      <c r="F28" s="15">
        <f>VLOOKUP(E28,绩效等级与绩效工资对照表!$A$1:$B$6,2,0)</f>
        <v>6500</v>
      </c>
      <c r="G28" s="20">
        <f t="shared" si="0"/>
        <v>15130</v>
      </c>
    </row>
    <row r="29" spans="1:9" x14ac:dyDescent="0.15">
      <c r="A29" s="11" t="s">
        <v>59</v>
      </c>
      <c r="B29" s="7" t="s">
        <v>75</v>
      </c>
      <c r="C29" s="12">
        <v>8500</v>
      </c>
      <c r="D29" s="12">
        <v>6870</v>
      </c>
      <c r="E29" s="12">
        <v>2</v>
      </c>
      <c r="F29" s="15">
        <f>VLOOKUP(E29,绩效等级与绩效工资对照表!$A$1:$B$6,2,0)</f>
        <v>8500</v>
      </c>
      <c r="G29" s="20">
        <f t="shared" si="0"/>
        <v>23870</v>
      </c>
    </row>
    <row r="30" spans="1:9" x14ac:dyDescent="0.15">
      <c r="A30" s="11" t="s">
        <v>60</v>
      </c>
      <c r="B30" s="7" t="s">
        <v>74</v>
      </c>
      <c r="C30" s="12">
        <v>6500</v>
      </c>
      <c r="D30" s="12">
        <v>4680</v>
      </c>
      <c r="E30" s="12">
        <v>5</v>
      </c>
      <c r="F30" s="15">
        <f>VLOOKUP(E30,绩效等级与绩效工资对照表!$A$1:$B$6,2,0)</f>
        <v>3500</v>
      </c>
      <c r="G30" s="20">
        <f t="shared" si="0"/>
        <v>14680</v>
      </c>
    </row>
    <row r="31" spans="1:9" x14ac:dyDescent="0.15">
      <c r="A31" s="11" t="s">
        <v>61</v>
      </c>
      <c r="B31" s="7" t="s">
        <v>75</v>
      </c>
      <c r="C31" s="12">
        <v>8700</v>
      </c>
      <c r="D31" s="12">
        <v>6780</v>
      </c>
      <c r="E31" s="12">
        <v>3</v>
      </c>
      <c r="F31" s="15">
        <f>VLOOKUP(E31,绩效等级与绩效工资对照表!$A$1:$B$6,2,0)</f>
        <v>6500</v>
      </c>
      <c r="G31" s="20">
        <f t="shared" si="0"/>
        <v>21980</v>
      </c>
    </row>
    <row r="32" spans="1:9" x14ac:dyDescent="0.15">
      <c r="A32" s="11" t="s">
        <v>62</v>
      </c>
      <c r="B32" s="7" t="s">
        <v>74</v>
      </c>
      <c r="C32" s="12">
        <v>6500</v>
      </c>
      <c r="D32" s="12">
        <v>4530</v>
      </c>
      <c r="E32" s="12">
        <v>5</v>
      </c>
      <c r="F32" s="15">
        <f>VLOOKUP(E32,绩效等级与绩效工资对照表!$A$1:$B$6,2,0)</f>
        <v>3500</v>
      </c>
      <c r="G32" s="20">
        <f t="shared" si="0"/>
        <v>14530</v>
      </c>
    </row>
    <row r="33" spans="1:7" x14ac:dyDescent="0.15">
      <c r="A33" s="11" t="s">
        <v>63</v>
      </c>
      <c r="B33" s="7" t="s">
        <v>74</v>
      </c>
      <c r="C33" s="12">
        <v>6400</v>
      </c>
      <c r="D33" s="12">
        <v>4280</v>
      </c>
      <c r="E33" s="12">
        <v>3</v>
      </c>
      <c r="F33" s="15">
        <f>VLOOKUP(E33,绩效等级与绩效工资对照表!$A$1:$B$6,2,0)</f>
        <v>6500</v>
      </c>
      <c r="G33" s="20">
        <f t="shared" si="0"/>
        <v>17180</v>
      </c>
    </row>
    <row r="34" spans="1:7" x14ac:dyDescent="0.15">
      <c r="A34" s="11" t="s">
        <v>64</v>
      </c>
      <c r="B34" s="7" t="s">
        <v>75</v>
      </c>
      <c r="C34" s="12">
        <v>8200</v>
      </c>
      <c r="D34" s="12">
        <v>6530</v>
      </c>
      <c r="E34" s="12">
        <v>2</v>
      </c>
      <c r="F34" s="15">
        <f>VLOOKUP(E34,绩效等级与绩效工资对照表!$A$1:$B$6,2,0)</f>
        <v>8500</v>
      </c>
      <c r="G34" s="20">
        <f t="shared" si="0"/>
        <v>23230</v>
      </c>
    </row>
    <row r="35" spans="1:7" x14ac:dyDescent="0.15">
      <c r="A35" s="11" t="s">
        <v>65</v>
      </c>
      <c r="B35" s="7" t="s">
        <v>75</v>
      </c>
      <c r="C35" s="12">
        <v>8300</v>
      </c>
      <c r="D35" s="12">
        <v>6350</v>
      </c>
      <c r="E35" s="12">
        <v>3</v>
      </c>
      <c r="F35" s="15">
        <f>VLOOKUP(E35,绩效等级与绩效工资对照表!$A$1:$B$6,2,0)</f>
        <v>6500</v>
      </c>
      <c r="G35" s="20">
        <f t="shared" si="0"/>
        <v>21150</v>
      </c>
    </row>
    <row r="36" spans="1:7" x14ac:dyDescent="0.15">
      <c r="A36" s="11" t="s">
        <v>66</v>
      </c>
      <c r="B36" s="11" t="s">
        <v>76</v>
      </c>
      <c r="C36" s="12">
        <v>6100</v>
      </c>
      <c r="D36" s="12">
        <v>4860</v>
      </c>
      <c r="E36" s="12">
        <v>3</v>
      </c>
      <c r="F36" s="15">
        <f>VLOOKUP(E36,绩效等级与绩效工资对照表!$A$1:$B$6,2,0)</f>
        <v>6500</v>
      </c>
      <c r="G36" s="20">
        <f t="shared" si="0"/>
        <v>17460</v>
      </c>
    </row>
    <row r="37" spans="1:7" x14ac:dyDescent="0.15">
      <c r="A37" s="11" t="s">
        <v>67</v>
      </c>
      <c r="B37" s="11" t="s">
        <v>43</v>
      </c>
      <c r="C37" s="12">
        <v>8300</v>
      </c>
      <c r="D37" s="12">
        <v>6950</v>
      </c>
      <c r="E37" s="12">
        <v>5</v>
      </c>
      <c r="F37" s="15">
        <f>VLOOKUP(E37,绩效等级与绩效工资对照表!$A$1:$B$6,2,0)</f>
        <v>3500</v>
      </c>
      <c r="G37" s="20">
        <f t="shared" si="0"/>
        <v>18750</v>
      </c>
    </row>
    <row r="38" spans="1:7" x14ac:dyDescent="0.15">
      <c r="A38" s="11" t="s">
        <v>68</v>
      </c>
      <c r="B38" s="11" t="s">
        <v>44</v>
      </c>
      <c r="C38" s="12">
        <v>6200</v>
      </c>
      <c r="D38" s="12">
        <v>4680</v>
      </c>
      <c r="E38" s="12">
        <v>2</v>
      </c>
      <c r="F38" s="15">
        <f>VLOOKUP(E38,绩效等级与绩效工资对照表!$A$1:$B$6,2,0)</f>
        <v>8500</v>
      </c>
      <c r="G38" s="20">
        <f t="shared" si="0"/>
        <v>19380</v>
      </c>
    </row>
    <row r="39" spans="1:7" x14ac:dyDescent="0.15">
      <c r="A39" s="11" t="s">
        <v>69</v>
      </c>
      <c r="B39" s="11" t="s">
        <v>77</v>
      </c>
      <c r="C39" s="12">
        <v>8900</v>
      </c>
      <c r="D39" s="12">
        <v>6590</v>
      </c>
      <c r="E39" s="12">
        <v>4</v>
      </c>
      <c r="F39" s="15">
        <f>VLOOKUP(E39,绩效等级与绩效工资对照表!$A$1:$B$6,2,0)</f>
        <v>5000</v>
      </c>
      <c r="G39" s="20">
        <f t="shared" si="0"/>
        <v>20490</v>
      </c>
    </row>
    <row r="40" spans="1:7" x14ac:dyDescent="0.15">
      <c r="A40" s="11" t="s">
        <v>70</v>
      </c>
      <c r="B40" s="11" t="s">
        <v>47</v>
      </c>
      <c r="C40" s="12">
        <v>4600</v>
      </c>
      <c r="D40" s="12">
        <v>3530</v>
      </c>
      <c r="E40" s="12">
        <v>1</v>
      </c>
      <c r="F40" s="15">
        <f>VLOOKUP(E40,绩效等级与绩效工资对照表!$A$1:$B$6,2,0)</f>
        <v>10000</v>
      </c>
      <c r="G40" s="20">
        <f t="shared" si="0"/>
        <v>18130</v>
      </c>
    </row>
    <row r="41" spans="1:7" x14ac:dyDescent="0.15">
      <c r="A41" s="11" t="s">
        <v>71</v>
      </c>
      <c r="B41" s="11" t="s">
        <v>44</v>
      </c>
      <c r="C41" s="12">
        <v>6400</v>
      </c>
      <c r="D41" s="12">
        <v>4650</v>
      </c>
      <c r="E41" s="12">
        <v>1</v>
      </c>
      <c r="F41" s="15">
        <f>VLOOKUP(E41,绩效等级与绩效工资对照表!$A$1:$B$6,2,0)</f>
        <v>10000</v>
      </c>
      <c r="G41" s="20">
        <f t="shared" si="0"/>
        <v>21050</v>
      </c>
    </row>
    <row r="42" spans="1:7" x14ac:dyDescent="0.15">
      <c r="A42" s="11" t="s">
        <v>72</v>
      </c>
      <c r="B42" s="11" t="s">
        <v>47</v>
      </c>
      <c r="C42" s="12">
        <v>4600</v>
      </c>
      <c r="D42" s="12">
        <v>3650</v>
      </c>
      <c r="E42" s="12">
        <v>2</v>
      </c>
      <c r="F42" s="15">
        <f>VLOOKUP(E42,绩效等级与绩效工资对照表!$A$1:$B$6,2,0)</f>
        <v>8500</v>
      </c>
      <c r="G42" s="20">
        <f t="shared" si="0"/>
        <v>16750</v>
      </c>
    </row>
    <row r="43" spans="1:7" x14ac:dyDescent="0.15">
      <c r="G43" s="12"/>
    </row>
  </sheetData>
  <mergeCells count="3">
    <mergeCell ref="J4:K4"/>
    <mergeCell ref="J10:L10"/>
    <mergeCell ref="A1:G1"/>
  </mergeCells>
  <phoneticPr fontId="1" type="noConversion"/>
  <conditionalFormatting sqref="E3:F42">
    <cfRule type="cellIs" dxfId="3" priority="15" stopIfTrue="1" operator="greaterThanOrEqual">
      <formula>130</formula>
    </cfRule>
  </conditionalFormatting>
  <conditionalFormatting sqref="B10:B14 D10:D14 D3:D8 B5:C5 B3:B4 B6:B8 D27 D29 D31 D34:D35 D37 D39">
    <cfRule type="cellIs" dxfId="2" priority="14" stopIfTrue="1" operator="greaterThanOrEqual">
      <formula>130</formula>
    </cfRule>
  </conditionalFormatting>
  <conditionalFormatting sqref="J11 J13 L11 J5:K5">
    <cfRule type="cellIs" dxfId="1" priority="13" stopIfTrue="1" operator="greaterThanOrEqual">
      <formula>130</formula>
    </cfRule>
  </conditionalFormatting>
  <conditionalFormatting sqref="H17">
    <cfRule type="iconSet" priority="9">
      <iconSet iconSet="3Flags">
        <cfvo type="percent" val="0"/>
        <cfvo type="percent" val="33"/>
        <cfvo type="percent" val="67"/>
      </iconSet>
    </cfRule>
  </conditionalFormatting>
  <conditionalFormatting sqref="H20">
    <cfRule type="colorScale" priority="6">
      <colorScale>
        <cfvo type="min"/>
        <cfvo type="percentile" val="50"/>
        <cfvo type="max"/>
        <color theme="9" tint="0.79998168889431442"/>
        <color theme="8" tint="0.79998168889431442"/>
        <color theme="6" tint="0.79998168889431442"/>
      </colorScale>
    </cfRule>
  </conditionalFormatting>
  <conditionalFormatting sqref="G3:G42">
    <cfRule type="aboveAverage" dxfId="0" priority="1"/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G14" sqref="G14"/>
    </sheetView>
  </sheetViews>
  <sheetFormatPr defaultRowHeight="14.25" x14ac:dyDescent="0.15"/>
  <sheetData>
    <row r="1" spans="1:2" x14ac:dyDescent="0.15">
      <c r="A1" s="12" t="s">
        <v>78</v>
      </c>
      <c r="B1" s="12" t="s">
        <v>79</v>
      </c>
    </row>
    <row r="2" spans="1:2" x14ac:dyDescent="0.15">
      <c r="A2" s="12">
        <v>1</v>
      </c>
      <c r="B2">
        <v>10000</v>
      </c>
    </row>
    <row r="3" spans="1:2" x14ac:dyDescent="0.15">
      <c r="A3" s="12">
        <v>2</v>
      </c>
      <c r="B3">
        <v>8500</v>
      </c>
    </row>
    <row r="4" spans="1:2" x14ac:dyDescent="0.15">
      <c r="A4" s="12">
        <v>3</v>
      </c>
      <c r="B4">
        <v>6500</v>
      </c>
    </row>
    <row r="5" spans="1:2" x14ac:dyDescent="0.15">
      <c r="A5" s="12">
        <v>4</v>
      </c>
      <c r="B5">
        <v>5000</v>
      </c>
    </row>
    <row r="6" spans="1:2" x14ac:dyDescent="0.15">
      <c r="A6" s="12">
        <v>5</v>
      </c>
      <c r="B6">
        <v>3500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65"/>
  <sheetViews>
    <sheetView workbookViewId="0">
      <selection activeCell="B4" sqref="B4"/>
    </sheetView>
  </sheetViews>
  <sheetFormatPr defaultRowHeight="14.25" x14ac:dyDescent="0.15"/>
  <cols>
    <col min="1" max="1" width="9.875" customWidth="1"/>
    <col min="2" max="2" width="9.75" customWidth="1"/>
    <col min="3" max="3" width="6.5" customWidth="1"/>
    <col min="4" max="4" width="13.5" customWidth="1"/>
    <col min="5" max="5" width="11.625" customWidth="1"/>
    <col min="6" max="6" width="13.375" customWidth="1"/>
    <col min="7" max="7" width="12.125" customWidth="1"/>
  </cols>
  <sheetData>
    <row r="1" spans="1:7" x14ac:dyDescent="0.15">
      <c r="A1" s="2" t="s">
        <v>0</v>
      </c>
      <c r="B1" s="2" t="s">
        <v>1</v>
      </c>
      <c r="C1" s="2" t="s">
        <v>2</v>
      </c>
      <c r="D1" s="2" t="s">
        <v>20</v>
      </c>
      <c r="E1" s="2" t="s">
        <v>3</v>
      </c>
      <c r="F1" s="2" t="s">
        <v>4</v>
      </c>
      <c r="G1" s="2" t="s">
        <v>5</v>
      </c>
    </row>
    <row r="2" spans="1:7" ht="15.75" hidden="1" x14ac:dyDescent="0.25">
      <c r="A2" s="1" t="s">
        <v>9</v>
      </c>
      <c r="B2" s="3" t="s">
        <v>7</v>
      </c>
      <c r="C2" s="1">
        <v>4</v>
      </c>
      <c r="D2" s="1">
        <v>187</v>
      </c>
      <c r="E2" s="1">
        <v>13090</v>
      </c>
      <c r="F2" s="1">
        <f t="shared" ref="F2:F33" si="0">_xlfn.RANK.EQ(D2,$D$2:$D$65)</f>
        <v>54</v>
      </c>
      <c r="G2" s="1">
        <f t="shared" ref="G2:G33" si="1">_xlfn.RANK.EQ(E2,$E$2:$E$65)</f>
        <v>38</v>
      </c>
    </row>
    <row r="3" spans="1:7" ht="15.75" hidden="1" x14ac:dyDescent="0.25">
      <c r="A3" s="1" t="s">
        <v>9</v>
      </c>
      <c r="B3" s="3" t="s">
        <v>7</v>
      </c>
      <c r="C3" s="1">
        <v>3</v>
      </c>
      <c r="D3" s="1">
        <v>323</v>
      </c>
      <c r="E3" s="1">
        <v>22610</v>
      </c>
      <c r="F3" s="1">
        <f t="shared" si="0"/>
        <v>28</v>
      </c>
      <c r="G3" s="1">
        <f t="shared" si="1"/>
        <v>22</v>
      </c>
    </row>
    <row r="4" spans="1:7" ht="15.75" x14ac:dyDescent="0.25">
      <c r="A4" s="1" t="s">
        <v>9</v>
      </c>
      <c r="B4" s="3" t="s">
        <v>7</v>
      </c>
      <c r="C4" s="1">
        <v>1</v>
      </c>
      <c r="D4" s="1">
        <v>345</v>
      </c>
      <c r="E4" s="1">
        <v>24150</v>
      </c>
      <c r="F4" s="1">
        <f t="shared" si="0"/>
        <v>20</v>
      </c>
      <c r="G4" s="1">
        <f t="shared" si="1"/>
        <v>15</v>
      </c>
    </row>
    <row r="5" spans="1:7" ht="15.75" x14ac:dyDescent="0.25">
      <c r="A5" s="1" t="s">
        <v>9</v>
      </c>
      <c r="B5" s="3" t="s">
        <v>7</v>
      </c>
      <c r="C5" s="1">
        <v>2</v>
      </c>
      <c r="D5" s="1">
        <v>412</v>
      </c>
      <c r="E5" s="1">
        <v>28840</v>
      </c>
      <c r="F5" s="1">
        <f t="shared" si="0"/>
        <v>14</v>
      </c>
      <c r="G5" s="1">
        <f t="shared" si="1"/>
        <v>10</v>
      </c>
    </row>
    <row r="6" spans="1:7" ht="15.75" hidden="1" x14ac:dyDescent="0.25">
      <c r="A6" s="1" t="s">
        <v>9</v>
      </c>
      <c r="B6" s="3" t="s">
        <v>11</v>
      </c>
      <c r="C6" s="1">
        <v>4</v>
      </c>
      <c r="D6" s="1">
        <v>342</v>
      </c>
      <c r="E6" s="1">
        <v>10260</v>
      </c>
      <c r="F6" s="1">
        <f t="shared" si="0"/>
        <v>22</v>
      </c>
      <c r="G6" s="1">
        <f t="shared" si="1"/>
        <v>50</v>
      </c>
    </row>
    <row r="7" spans="1:7" ht="15.75" hidden="1" x14ac:dyDescent="0.25">
      <c r="A7" s="1" t="s">
        <v>9</v>
      </c>
      <c r="B7" s="3" t="s">
        <v>11</v>
      </c>
      <c r="C7" s="1">
        <v>3</v>
      </c>
      <c r="D7" s="1">
        <v>365</v>
      </c>
      <c r="E7" s="1">
        <v>10950</v>
      </c>
      <c r="F7" s="1">
        <f t="shared" si="0"/>
        <v>17</v>
      </c>
      <c r="G7" s="1">
        <f t="shared" si="1"/>
        <v>44</v>
      </c>
    </row>
    <row r="8" spans="1:7" ht="15.75" hidden="1" x14ac:dyDescent="0.25">
      <c r="A8" s="1" t="s">
        <v>9</v>
      </c>
      <c r="B8" s="3" t="s">
        <v>11</v>
      </c>
      <c r="C8" s="1">
        <v>2</v>
      </c>
      <c r="D8" s="1">
        <v>654</v>
      </c>
      <c r="E8" s="1">
        <v>19620</v>
      </c>
      <c r="F8" s="1">
        <f t="shared" si="0"/>
        <v>2</v>
      </c>
      <c r="G8" s="1">
        <f t="shared" si="1"/>
        <v>26</v>
      </c>
    </row>
    <row r="9" spans="1:7" ht="15.75" hidden="1" x14ac:dyDescent="0.25">
      <c r="A9" s="1" t="s">
        <v>9</v>
      </c>
      <c r="B9" s="3" t="s">
        <v>11</v>
      </c>
      <c r="C9" s="1">
        <v>1</v>
      </c>
      <c r="D9" s="1">
        <v>765</v>
      </c>
      <c r="E9" s="1">
        <v>22950</v>
      </c>
      <c r="F9" s="1">
        <f t="shared" si="0"/>
        <v>1</v>
      </c>
      <c r="G9" s="1">
        <f t="shared" si="1"/>
        <v>20</v>
      </c>
    </row>
    <row r="10" spans="1:7" x14ac:dyDescent="0.15">
      <c r="A10" s="3" t="s">
        <v>13</v>
      </c>
      <c r="B10" s="3" t="s">
        <v>14</v>
      </c>
      <c r="C10" s="1">
        <v>1</v>
      </c>
      <c r="D10" s="1">
        <v>436</v>
      </c>
      <c r="E10" s="1">
        <v>35648</v>
      </c>
      <c r="F10" s="1">
        <f t="shared" si="0"/>
        <v>7</v>
      </c>
      <c r="G10" s="1">
        <f t="shared" si="1"/>
        <v>3</v>
      </c>
    </row>
    <row r="11" spans="1:7" x14ac:dyDescent="0.15">
      <c r="A11" s="3" t="s">
        <v>17</v>
      </c>
      <c r="B11" s="3" t="s">
        <v>14</v>
      </c>
      <c r="C11" s="1">
        <v>3</v>
      </c>
      <c r="D11" s="1">
        <v>231</v>
      </c>
      <c r="E11" s="1">
        <v>23217</v>
      </c>
      <c r="F11" s="1">
        <f t="shared" si="0"/>
        <v>40</v>
      </c>
      <c r="G11" s="1">
        <f t="shared" si="1"/>
        <v>18</v>
      </c>
    </row>
    <row r="12" spans="1:7" x14ac:dyDescent="0.15">
      <c r="A12" s="3" t="s">
        <v>17</v>
      </c>
      <c r="B12" s="3" t="s">
        <v>14</v>
      </c>
      <c r="C12" s="1">
        <v>4</v>
      </c>
      <c r="D12" s="1">
        <v>365</v>
      </c>
      <c r="E12" s="1">
        <v>29879</v>
      </c>
      <c r="F12" s="1">
        <f t="shared" si="0"/>
        <v>17</v>
      </c>
      <c r="G12" s="1">
        <f t="shared" si="1"/>
        <v>7</v>
      </c>
    </row>
    <row r="13" spans="1:7" x14ac:dyDescent="0.15">
      <c r="A13" s="3" t="s">
        <v>13</v>
      </c>
      <c r="B13" s="3" t="s">
        <v>14</v>
      </c>
      <c r="C13" s="1">
        <v>2</v>
      </c>
      <c r="D13" s="1">
        <v>654</v>
      </c>
      <c r="E13" s="1">
        <v>45321</v>
      </c>
      <c r="F13" s="1">
        <f t="shared" si="0"/>
        <v>2</v>
      </c>
      <c r="G13" s="1">
        <f t="shared" si="1"/>
        <v>1</v>
      </c>
    </row>
    <row r="14" spans="1:7" ht="15.75" hidden="1" x14ac:dyDescent="0.25">
      <c r="A14" s="1" t="s">
        <v>9</v>
      </c>
      <c r="B14" s="3" t="s">
        <v>8</v>
      </c>
      <c r="C14" s="1">
        <v>2</v>
      </c>
      <c r="D14" s="1">
        <v>435</v>
      </c>
      <c r="E14" s="1">
        <v>21750</v>
      </c>
      <c r="F14" s="1">
        <f t="shared" si="0"/>
        <v>8</v>
      </c>
      <c r="G14" s="1">
        <f t="shared" si="1"/>
        <v>23</v>
      </c>
    </row>
    <row r="15" spans="1:7" ht="15.75" hidden="1" x14ac:dyDescent="0.25">
      <c r="A15" s="1" t="s">
        <v>9</v>
      </c>
      <c r="B15" s="3" t="s">
        <v>8</v>
      </c>
      <c r="C15" s="1">
        <v>3</v>
      </c>
      <c r="D15" s="1">
        <v>324</v>
      </c>
      <c r="E15" s="1">
        <v>16200</v>
      </c>
      <c r="F15" s="1">
        <f t="shared" si="0"/>
        <v>26</v>
      </c>
      <c r="G15" s="1">
        <f t="shared" si="1"/>
        <v>31</v>
      </c>
    </row>
    <row r="16" spans="1:7" ht="15.75" hidden="1" x14ac:dyDescent="0.25">
      <c r="A16" s="1" t="s">
        <v>9</v>
      </c>
      <c r="B16" s="3" t="s">
        <v>8</v>
      </c>
      <c r="C16" s="1">
        <v>4</v>
      </c>
      <c r="D16" s="1">
        <v>287</v>
      </c>
      <c r="E16" s="1">
        <v>14350</v>
      </c>
      <c r="F16" s="1">
        <f t="shared" si="0"/>
        <v>34</v>
      </c>
      <c r="G16" s="1">
        <f t="shared" si="1"/>
        <v>35</v>
      </c>
    </row>
    <row r="17" spans="1:7" ht="15.75" x14ac:dyDescent="0.25">
      <c r="A17" s="1" t="s">
        <v>9</v>
      </c>
      <c r="B17" s="3" t="s">
        <v>8</v>
      </c>
      <c r="C17" s="1">
        <v>1</v>
      </c>
      <c r="D17" s="1">
        <v>569</v>
      </c>
      <c r="E17" s="1">
        <v>28450</v>
      </c>
      <c r="F17" s="1">
        <f t="shared" si="0"/>
        <v>4</v>
      </c>
      <c r="G17" s="1">
        <f t="shared" si="1"/>
        <v>11</v>
      </c>
    </row>
    <row r="18" spans="1:7" ht="15.75" hidden="1" x14ac:dyDescent="0.25">
      <c r="A18" s="1" t="s">
        <v>10</v>
      </c>
      <c r="B18" s="3" t="s">
        <v>7</v>
      </c>
      <c r="C18" s="1">
        <v>2</v>
      </c>
      <c r="D18" s="1">
        <v>256</v>
      </c>
      <c r="E18" s="1">
        <v>17920</v>
      </c>
      <c r="F18" s="1">
        <f t="shared" si="0"/>
        <v>36</v>
      </c>
      <c r="G18" s="1">
        <f t="shared" si="1"/>
        <v>28</v>
      </c>
    </row>
    <row r="19" spans="1:7" ht="15.75" hidden="1" x14ac:dyDescent="0.25">
      <c r="A19" s="1" t="s">
        <v>10</v>
      </c>
      <c r="B19" s="3" t="s">
        <v>7</v>
      </c>
      <c r="C19" s="1">
        <v>4</v>
      </c>
      <c r="D19" s="1">
        <v>196</v>
      </c>
      <c r="E19" s="1">
        <v>13720</v>
      </c>
      <c r="F19" s="1">
        <f t="shared" si="0"/>
        <v>52</v>
      </c>
      <c r="G19" s="1">
        <f t="shared" si="1"/>
        <v>37</v>
      </c>
    </row>
    <row r="20" spans="1:7" ht="15.75" hidden="1" x14ac:dyDescent="0.25">
      <c r="A20" s="1" t="s">
        <v>10</v>
      </c>
      <c r="B20" s="3" t="s">
        <v>7</v>
      </c>
      <c r="C20" s="1">
        <v>3</v>
      </c>
      <c r="D20" s="1">
        <v>234</v>
      </c>
      <c r="E20" s="1">
        <v>16380</v>
      </c>
      <c r="F20" s="1">
        <f t="shared" si="0"/>
        <v>37</v>
      </c>
      <c r="G20" s="1">
        <f t="shared" si="1"/>
        <v>29</v>
      </c>
    </row>
    <row r="21" spans="1:7" ht="15.75" hidden="1" x14ac:dyDescent="0.25">
      <c r="A21" s="1" t="s">
        <v>10</v>
      </c>
      <c r="B21" s="3" t="s">
        <v>7</v>
      </c>
      <c r="C21" s="1">
        <v>1</v>
      </c>
      <c r="D21" s="1">
        <v>206</v>
      </c>
      <c r="E21" s="1">
        <v>14420</v>
      </c>
      <c r="F21" s="1">
        <f t="shared" si="0"/>
        <v>50</v>
      </c>
      <c r="G21" s="1">
        <f t="shared" si="1"/>
        <v>34</v>
      </c>
    </row>
    <row r="22" spans="1:7" ht="15.75" hidden="1" x14ac:dyDescent="0.25">
      <c r="A22" s="1" t="s">
        <v>10</v>
      </c>
      <c r="B22" s="3" t="s">
        <v>11</v>
      </c>
      <c r="C22" s="1">
        <v>1</v>
      </c>
      <c r="D22" s="1">
        <v>221</v>
      </c>
      <c r="E22" s="1">
        <v>6630</v>
      </c>
      <c r="F22" s="1">
        <f t="shared" si="0"/>
        <v>41</v>
      </c>
      <c r="G22" s="1">
        <f t="shared" si="1"/>
        <v>64</v>
      </c>
    </row>
    <row r="23" spans="1:7" ht="15.75" hidden="1" x14ac:dyDescent="0.25">
      <c r="A23" s="1" t="s">
        <v>10</v>
      </c>
      <c r="B23" s="3" t="s">
        <v>11</v>
      </c>
      <c r="C23" s="1">
        <v>2</v>
      </c>
      <c r="D23" s="1">
        <v>312</v>
      </c>
      <c r="E23" s="1">
        <v>9360</v>
      </c>
      <c r="F23" s="1">
        <f t="shared" si="0"/>
        <v>31</v>
      </c>
      <c r="G23" s="1">
        <f t="shared" si="1"/>
        <v>56</v>
      </c>
    </row>
    <row r="24" spans="1:7" ht="15.75" hidden="1" x14ac:dyDescent="0.25">
      <c r="A24" s="1" t="s">
        <v>10</v>
      </c>
      <c r="B24" s="3" t="s">
        <v>11</v>
      </c>
      <c r="C24" s="1">
        <v>4</v>
      </c>
      <c r="D24" s="1">
        <v>421</v>
      </c>
      <c r="E24" s="1">
        <v>12630</v>
      </c>
      <c r="F24" s="1">
        <f t="shared" si="0"/>
        <v>12</v>
      </c>
      <c r="G24" s="1">
        <f t="shared" si="1"/>
        <v>40</v>
      </c>
    </row>
    <row r="25" spans="1:7" ht="15.75" hidden="1" x14ac:dyDescent="0.25">
      <c r="A25" s="1" t="s">
        <v>10</v>
      </c>
      <c r="B25" s="3" t="s">
        <v>11</v>
      </c>
      <c r="C25" s="1">
        <v>3</v>
      </c>
      <c r="D25" s="1">
        <v>543</v>
      </c>
      <c r="E25" s="1">
        <v>16290</v>
      </c>
      <c r="F25" s="1">
        <f t="shared" si="0"/>
        <v>5</v>
      </c>
      <c r="G25" s="1">
        <f t="shared" si="1"/>
        <v>30</v>
      </c>
    </row>
    <row r="26" spans="1:7" hidden="1" x14ac:dyDescent="0.15">
      <c r="A26" s="3" t="s">
        <v>18</v>
      </c>
      <c r="B26" s="1" t="s">
        <v>16</v>
      </c>
      <c r="C26" s="1">
        <v>1</v>
      </c>
      <c r="D26" s="1">
        <v>123</v>
      </c>
      <c r="E26" s="1">
        <v>7685</v>
      </c>
      <c r="F26" s="1">
        <f t="shared" si="0"/>
        <v>62</v>
      </c>
      <c r="G26" s="1">
        <f t="shared" si="1"/>
        <v>63</v>
      </c>
    </row>
    <row r="27" spans="1:7" hidden="1" x14ac:dyDescent="0.15">
      <c r="A27" s="3" t="s">
        <v>18</v>
      </c>
      <c r="B27" s="1" t="s">
        <v>16</v>
      </c>
      <c r="C27" s="1">
        <v>2</v>
      </c>
      <c r="D27" s="1">
        <v>342</v>
      </c>
      <c r="E27" s="1">
        <v>23718</v>
      </c>
      <c r="F27" s="1">
        <f t="shared" si="0"/>
        <v>22</v>
      </c>
      <c r="G27" s="1">
        <f t="shared" si="1"/>
        <v>17</v>
      </c>
    </row>
    <row r="28" spans="1:7" hidden="1" x14ac:dyDescent="0.15">
      <c r="A28" s="3" t="s">
        <v>18</v>
      </c>
      <c r="B28" s="1" t="s">
        <v>16</v>
      </c>
      <c r="C28" s="1">
        <v>4</v>
      </c>
      <c r="D28" s="1">
        <v>341</v>
      </c>
      <c r="E28" s="1">
        <v>26785</v>
      </c>
      <c r="F28" s="1">
        <f t="shared" si="0"/>
        <v>24</v>
      </c>
      <c r="G28" s="1">
        <f t="shared" si="1"/>
        <v>13</v>
      </c>
    </row>
    <row r="29" spans="1:7" hidden="1" x14ac:dyDescent="0.15">
      <c r="A29" s="3" t="s">
        <v>18</v>
      </c>
      <c r="B29" s="1" t="s">
        <v>16</v>
      </c>
      <c r="C29" s="1">
        <v>3</v>
      </c>
      <c r="D29" s="1">
        <v>542</v>
      </c>
      <c r="E29" s="1">
        <v>41234</v>
      </c>
      <c r="F29" s="1">
        <f t="shared" si="0"/>
        <v>6</v>
      </c>
      <c r="G29" s="1">
        <f t="shared" si="1"/>
        <v>2</v>
      </c>
    </row>
    <row r="30" spans="1:7" ht="15.75" hidden="1" x14ac:dyDescent="0.25">
      <c r="A30" s="1" t="s">
        <v>10</v>
      </c>
      <c r="B30" s="3" t="s">
        <v>8</v>
      </c>
      <c r="C30" s="1">
        <v>1</v>
      </c>
      <c r="D30" s="1">
        <v>167</v>
      </c>
      <c r="E30" s="1">
        <v>8350</v>
      </c>
      <c r="F30" s="1">
        <f t="shared" si="0"/>
        <v>55</v>
      </c>
      <c r="G30" s="1">
        <f t="shared" si="1"/>
        <v>61</v>
      </c>
    </row>
    <row r="31" spans="1:7" ht="15.75" hidden="1" x14ac:dyDescent="0.25">
      <c r="A31" s="1" t="s">
        <v>10</v>
      </c>
      <c r="B31" s="3" t="s">
        <v>8</v>
      </c>
      <c r="C31" s="1">
        <v>4</v>
      </c>
      <c r="D31" s="1">
        <v>219</v>
      </c>
      <c r="E31" s="1">
        <v>10950</v>
      </c>
      <c r="F31" s="1">
        <f t="shared" si="0"/>
        <v>42</v>
      </c>
      <c r="G31" s="1">
        <f t="shared" si="1"/>
        <v>44</v>
      </c>
    </row>
    <row r="32" spans="1:7" ht="15.75" hidden="1" x14ac:dyDescent="0.25">
      <c r="A32" s="1" t="s">
        <v>10</v>
      </c>
      <c r="B32" s="3" t="s">
        <v>8</v>
      </c>
      <c r="C32" s="1">
        <v>2</v>
      </c>
      <c r="D32" s="1">
        <v>211</v>
      </c>
      <c r="E32" s="1">
        <v>10550</v>
      </c>
      <c r="F32" s="1">
        <f t="shared" si="0"/>
        <v>49</v>
      </c>
      <c r="G32" s="1">
        <f t="shared" si="1"/>
        <v>49</v>
      </c>
    </row>
    <row r="33" spans="1:7" ht="15.75" hidden="1" x14ac:dyDescent="0.25">
      <c r="A33" s="1" t="s">
        <v>10</v>
      </c>
      <c r="B33" s="3" t="s">
        <v>8</v>
      </c>
      <c r="C33" s="1">
        <v>3</v>
      </c>
      <c r="D33" s="1">
        <v>218</v>
      </c>
      <c r="E33" s="1">
        <v>10900</v>
      </c>
      <c r="F33" s="1">
        <f t="shared" si="0"/>
        <v>44</v>
      </c>
      <c r="G33" s="1">
        <f t="shared" si="1"/>
        <v>46</v>
      </c>
    </row>
    <row r="34" spans="1:7" ht="15.75" hidden="1" x14ac:dyDescent="0.25">
      <c r="A34" s="1" t="s">
        <v>6</v>
      </c>
      <c r="B34" s="3" t="s">
        <v>7</v>
      </c>
      <c r="C34" s="1">
        <v>3</v>
      </c>
      <c r="D34" s="1">
        <v>124</v>
      </c>
      <c r="E34" s="1">
        <v>8680</v>
      </c>
      <c r="F34" s="1">
        <f t="shared" ref="F34:F65" si="2">_xlfn.RANK.EQ(D34,$D$2:$D$65)</f>
        <v>61</v>
      </c>
      <c r="G34" s="1">
        <f t="shared" ref="G34:G65" si="3">_xlfn.RANK.EQ(E34,$E$2:$E$65)</f>
        <v>60</v>
      </c>
    </row>
    <row r="35" spans="1:7" ht="15.75" hidden="1" x14ac:dyDescent="0.25">
      <c r="A35" s="1" t="s">
        <v>6</v>
      </c>
      <c r="B35" s="3" t="s">
        <v>7</v>
      </c>
      <c r="C35" s="1">
        <v>4</v>
      </c>
      <c r="D35" s="1">
        <v>157</v>
      </c>
      <c r="E35" s="1">
        <v>10990</v>
      </c>
      <c r="F35" s="1">
        <f t="shared" si="2"/>
        <v>57</v>
      </c>
      <c r="G35" s="1">
        <f t="shared" si="3"/>
        <v>43</v>
      </c>
    </row>
    <row r="36" spans="1:7" ht="15.75" x14ac:dyDescent="0.25">
      <c r="A36" s="1" t="s">
        <v>6</v>
      </c>
      <c r="B36" s="3" t="s">
        <v>7</v>
      </c>
      <c r="C36" s="1">
        <v>2</v>
      </c>
      <c r="D36" s="1">
        <v>345</v>
      </c>
      <c r="E36" s="1">
        <v>24150</v>
      </c>
      <c r="F36" s="1">
        <f t="shared" si="2"/>
        <v>20</v>
      </c>
      <c r="G36" s="1">
        <f t="shared" si="3"/>
        <v>15</v>
      </c>
    </row>
    <row r="37" spans="1:7" ht="15.75" hidden="1" x14ac:dyDescent="0.25">
      <c r="A37" s="1" t="s">
        <v>6</v>
      </c>
      <c r="B37" s="3" t="s">
        <v>7</v>
      </c>
      <c r="C37" s="1">
        <v>1</v>
      </c>
      <c r="D37" s="1">
        <v>212</v>
      </c>
      <c r="E37" s="1">
        <v>14840</v>
      </c>
      <c r="F37" s="1">
        <f t="shared" si="2"/>
        <v>48</v>
      </c>
      <c r="G37" s="1">
        <f t="shared" si="3"/>
        <v>33</v>
      </c>
    </row>
    <row r="38" spans="1:7" ht="15.75" x14ac:dyDescent="0.25">
      <c r="A38" s="1" t="s">
        <v>6</v>
      </c>
      <c r="B38" s="3" t="s">
        <v>11</v>
      </c>
      <c r="C38" s="1">
        <v>4</v>
      </c>
      <c r="D38" s="1">
        <v>432</v>
      </c>
      <c r="E38" s="1">
        <v>32960</v>
      </c>
      <c r="F38" s="1">
        <f t="shared" si="2"/>
        <v>9</v>
      </c>
      <c r="G38" s="1">
        <f t="shared" si="3"/>
        <v>4</v>
      </c>
    </row>
    <row r="39" spans="1:7" ht="15.75" x14ac:dyDescent="0.25">
      <c r="A39" s="1" t="s">
        <v>6</v>
      </c>
      <c r="B39" s="3" t="s">
        <v>11</v>
      </c>
      <c r="C39" s="1">
        <v>1</v>
      </c>
      <c r="D39" s="1">
        <v>306</v>
      </c>
      <c r="E39" s="1">
        <v>29180</v>
      </c>
      <c r="F39" s="1">
        <f t="shared" si="2"/>
        <v>32</v>
      </c>
      <c r="G39" s="1">
        <f t="shared" si="3"/>
        <v>9</v>
      </c>
    </row>
    <row r="40" spans="1:7" ht="15.75" hidden="1" x14ac:dyDescent="0.25">
      <c r="A40" s="1" t="s">
        <v>6</v>
      </c>
      <c r="B40" s="3" t="s">
        <v>11</v>
      </c>
      <c r="C40" s="1">
        <v>3</v>
      </c>
      <c r="D40" s="1">
        <v>219</v>
      </c>
      <c r="E40" s="1">
        <v>12990</v>
      </c>
      <c r="F40" s="1">
        <f t="shared" si="2"/>
        <v>42</v>
      </c>
      <c r="G40" s="1">
        <f t="shared" si="3"/>
        <v>39</v>
      </c>
    </row>
    <row r="41" spans="1:7" hidden="1" x14ac:dyDescent="0.15">
      <c r="A41" s="4" t="s">
        <v>19</v>
      </c>
      <c r="B41" s="5" t="s">
        <v>11</v>
      </c>
      <c r="C41" s="6">
        <v>2</v>
      </c>
      <c r="D41" s="6">
        <v>148</v>
      </c>
      <c r="E41" s="6">
        <v>9078</v>
      </c>
      <c r="F41" s="1">
        <f t="shared" si="2"/>
        <v>59</v>
      </c>
      <c r="G41" s="1">
        <f t="shared" si="3"/>
        <v>57</v>
      </c>
    </row>
    <row r="42" spans="1:7" hidden="1" x14ac:dyDescent="0.15">
      <c r="A42" s="3" t="s">
        <v>19</v>
      </c>
      <c r="B42" s="1" t="s">
        <v>16</v>
      </c>
      <c r="C42" s="1">
        <v>1</v>
      </c>
      <c r="D42" s="1">
        <v>166</v>
      </c>
      <c r="E42" s="1">
        <v>8765</v>
      </c>
      <c r="F42" s="1">
        <f t="shared" si="2"/>
        <v>56</v>
      </c>
      <c r="G42" s="1">
        <f t="shared" si="3"/>
        <v>59</v>
      </c>
    </row>
    <row r="43" spans="1:7" hidden="1" x14ac:dyDescent="0.15">
      <c r="A43" s="3" t="s">
        <v>19</v>
      </c>
      <c r="B43" s="1" t="s">
        <v>16</v>
      </c>
      <c r="C43" s="1">
        <v>3</v>
      </c>
      <c r="D43" s="1">
        <v>216</v>
      </c>
      <c r="E43" s="1">
        <v>10238</v>
      </c>
      <c r="F43" s="1">
        <f t="shared" si="2"/>
        <v>46</v>
      </c>
      <c r="G43" s="1">
        <f t="shared" si="3"/>
        <v>51</v>
      </c>
    </row>
    <row r="44" spans="1:7" hidden="1" x14ac:dyDescent="0.15">
      <c r="A44" s="3" t="s">
        <v>19</v>
      </c>
      <c r="B44" s="1" t="s">
        <v>16</v>
      </c>
      <c r="C44" s="1">
        <v>4</v>
      </c>
      <c r="D44" s="1">
        <v>432</v>
      </c>
      <c r="E44" s="1">
        <v>20563</v>
      </c>
      <c r="F44" s="1">
        <f t="shared" si="2"/>
        <v>9</v>
      </c>
      <c r="G44" s="1">
        <f t="shared" si="3"/>
        <v>24</v>
      </c>
    </row>
    <row r="45" spans="1:7" hidden="1" x14ac:dyDescent="0.15">
      <c r="A45" s="3" t="s">
        <v>19</v>
      </c>
      <c r="B45" s="1" t="s">
        <v>16</v>
      </c>
      <c r="C45" s="1">
        <v>2</v>
      </c>
      <c r="D45" s="1">
        <v>199</v>
      </c>
      <c r="E45" s="1">
        <v>9675</v>
      </c>
      <c r="F45" s="1">
        <f t="shared" si="2"/>
        <v>51</v>
      </c>
      <c r="G45" s="1">
        <f t="shared" si="3"/>
        <v>52</v>
      </c>
    </row>
    <row r="46" spans="1:7" ht="15.75" hidden="1" x14ac:dyDescent="0.25">
      <c r="A46" s="1" t="s">
        <v>6</v>
      </c>
      <c r="B46" s="3" t="s">
        <v>8</v>
      </c>
      <c r="C46" s="1">
        <v>2</v>
      </c>
      <c r="D46" s="1">
        <v>321</v>
      </c>
      <c r="E46" s="1">
        <v>9630</v>
      </c>
      <c r="F46" s="1">
        <f t="shared" si="2"/>
        <v>29</v>
      </c>
      <c r="G46" s="1">
        <f t="shared" si="3"/>
        <v>54</v>
      </c>
    </row>
    <row r="47" spans="1:7" ht="15.75" hidden="1" x14ac:dyDescent="0.25">
      <c r="A47" s="1" t="s">
        <v>6</v>
      </c>
      <c r="B47" s="3" t="s">
        <v>8</v>
      </c>
      <c r="C47" s="1">
        <v>4</v>
      </c>
      <c r="D47" s="1">
        <v>213</v>
      </c>
      <c r="E47" s="1">
        <v>10650</v>
      </c>
      <c r="F47" s="1">
        <f t="shared" si="2"/>
        <v>47</v>
      </c>
      <c r="G47" s="1">
        <f t="shared" si="3"/>
        <v>48</v>
      </c>
    </row>
    <row r="48" spans="1:7" ht="15.75" hidden="1" x14ac:dyDescent="0.25">
      <c r="A48" s="1" t="s">
        <v>6</v>
      </c>
      <c r="B48" s="3" t="s">
        <v>8</v>
      </c>
      <c r="C48" s="1">
        <v>3</v>
      </c>
      <c r="D48" s="1">
        <v>189</v>
      </c>
      <c r="E48" s="1">
        <v>9450</v>
      </c>
      <c r="F48" s="1">
        <f t="shared" si="2"/>
        <v>53</v>
      </c>
      <c r="G48" s="1">
        <f t="shared" si="3"/>
        <v>55</v>
      </c>
    </row>
    <row r="49" spans="1:7" ht="15.75" hidden="1" x14ac:dyDescent="0.25">
      <c r="A49" s="1" t="s">
        <v>6</v>
      </c>
      <c r="B49" s="3" t="s">
        <v>8</v>
      </c>
      <c r="C49" s="1">
        <v>1</v>
      </c>
      <c r="D49" s="1">
        <v>301</v>
      </c>
      <c r="E49" s="1">
        <v>15050</v>
      </c>
      <c r="F49" s="1">
        <f t="shared" si="2"/>
        <v>33</v>
      </c>
      <c r="G49" s="1">
        <f t="shared" si="3"/>
        <v>32</v>
      </c>
    </row>
    <row r="50" spans="1:7" hidden="1" x14ac:dyDescent="0.15">
      <c r="A50" s="3" t="s">
        <v>12</v>
      </c>
      <c r="B50" s="3" t="s">
        <v>7</v>
      </c>
      <c r="C50" s="1">
        <v>3</v>
      </c>
      <c r="D50" s="1">
        <v>378</v>
      </c>
      <c r="E50" s="1">
        <v>26460</v>
      </c>
      <c r="F50" s="1">
        <f t="shared" si="2"/>
        <v>16</v>
      </c>
      <c r="G50" s="1">
        <f t="shared" si="3"/>
        <v>14</v>
      </c>
    </row>
    <row r="51" spans="1:7" hidden="1" x14ac:dyDescent="0.15">
      <c r="A51" s="3" t="s">
        <v>12</v>
      </c>
      <c r="B51" s="3" t="s">
        <v>7</v>
      </c>
      <c r="C51" s="1">
        <v>1</v>
      </c>
      <c r="D51" s="1">
        <v>324</v>
      </c>
      <c r="E51" s="1">
        <v>22680</v>
      </c>
      <c r="F51" s="1">
        <f t="shared" si="2"/>
        <v>26</v>
      </c>
      <c r="G51" s="1">
        <f t="shared" si="3"/>
        <v>21</v>
      </c>
    </row>
    <row r="52" spans="1:7" hidden="1" x14ac:dyDescent="0.15">
      <c r="A52" s="3" t="s">
        <v>12</v>
      </c>
      <c r="B52" s="3" t="s">
        <v>7</v>
      </c>
      <c r="C52" s="1">
        <v>2</v>
      </c>
      <c r="D52" s="1">
        <v>329</v>
      </c>
      <c r="E52" s="1">
        <v>23030</v>
      </c>
      <c r="F52" s="1">
        <f t="shared" si="2"/>
        <v>25</v>
      </c>
      <c r="G52" s="1">
        <f t="shared" si="3"/>
        <v>19</v>
      </c>
    </row>
    <row r="53" spans="1:7" hidden="1" x14ac:dyDescent="0.15">
      <c r="A53" s="3" t="s">
        <v>12</v>
      </c>
      <c r="B53" s="3" t="s">
        <v>7</v>
      </c>
      <c r="C53" s="1">
        <v>4</v>
      </c>
      <c r="D53" s="1">
        <v>398</v>
      </c>
      <c r="E53" s="1">
        <v>27860</v>
      </c>
      <c r="F53" s="1">
        <f t="shared" si="2"/>
        <v>15</v>
      </c>
      <c r="G53" s="1">
        <f t="shared" si="3"/>
        <v>12</v>
      </c>
    </row>
    <row r="54" spans="1:7" hidden="1" x14ac:dyDescent="0.15">
      <c r="A54" s="4" t="s">
        <v>15</v>
      </c>
      <c r="B54" s="5" t="s">
        <v>11</v>
      </c>
      <c r="C54" s="6">
        <v>4</v>
      </c>
      <c r="D54" s="6">
        <v>421</v>
      </c>
      <c r="E54" s="6">
        <v>32534</v>
      </c>
      <c r="F54" s="1">
        <f t="shared" si="2"/>
        <v>12</v>
      </c>
      <c r="G54" s="1">
        <f t="shared" si="3"/>
        <v>5</v>
      </c>
    </row>
    <row r="55" spans="1:7" hidden="1" x14ac:dyDescent="0.15">
      <c r="A55" s="4" t="s">
        <v>15</v>
      </c>
      <c r="B55" s="5" t="s">
        <v>11</v>
      </c>
      <c r="C55" s="6">
        <v>2</v>
      </c>
      <c r="D55" s="6">
        <v>217</v>
      </c>
      <c r="E55" s="6">
        <v>20453</v>
      </c>
      <c r="F55" s="1">
        <f t="shared" si="2"/>
        <v>45</v>
      </c>
      <c r="G55" s="1">
        <f t="shared" si="3"/>
        <v>25</v>
      </c>
    </row>
    <row r="56" spans="1:7" hidden="1" x14ac:dyDescent="0.15">
      <c r="A56" s="4" t="s">
        <v>15</v>
      </c>
      <c r="B56" s="5" t="s">
        <v>11</v>
      </c>
      <c r="C56" s="6">
        <v>1</v>
      </c>
      <c r="D56" s="6">
        <v>156</v>
      </c>
      <c r="E56" s="6">
        <v>10786</v>
      </c>
      <c r="F56" s="1">
        <f t="shared" si="2"/>
        <v>58</v>
      </c>
      <c r="G56" s="1">
        <f t="shared" si="3"/>
        <v>47</v>
      </c>
    </row>
    <row r="57" spans="1:7" hidden="1" x14ac:dyDescent="0.15">
      <c r="A57" s="4" t="s">
        <v>15</v>
      </c>
      <c r="B57" s="5" t="s">
        <v>11</v>
      </c>
      <c r="C57" s="6">
        <v>3</v>
      </c>
      <c r="D57" s="6">
        <v>356</v>
      </c>
      <c r="E57" s="6">
        <v>29342</v>
      </c>
      <c r="F57" s="1">
        <f t="shared" si="2"/>
        <v>19</v>
      </c>
      <c r="G57" s="1">
        <f t="shared" si="3"/>
        <v>8</v>
      </c>
    </row>
    <row r="58" spans="1:7" hidden="1" x14ac:dyDescent="0.15">
      <c r="A58" s="3" t="s">
        <v>15</v>
      </c>
      <c r="B58" s="1" t="s">
        <v>16</v>
      </c>
      <c r="C58" s="1">
        <v>3</v>
      </c>
      <c r="D58" s="1">
        <v>232</v>
      </c>
      <c r="E58" s="1">
        <v>11298</v>
      </c>
      <c r="F58" s="1">
        <f t="shared" si="2"/>
        <v>39</v>
      </c>
      <c r="G58" s="1">
        <f t="shared" si="3"/>
        <v>42</v>
      </c>
    </row>
    <row r="59" spans="1:7" hidden="1" x14ac:dyDescent="0.15">
      <c r="A59" s="3" t="s">
        <v>15</v>
      </c>
      <c r="B59" s="1" t="s">
        <v>16</v>
      </c>
      <c r="C59" s="1">
        <v>1</v>
      </c>
      <c r="D59" s="1">
        <v>321</v>
      </c>
      <c r="E59" s="1">
        <v>18976</v>
      </c>
      <c r="F59" s="1">
        <f t="shared" si="2"/>
        <v>29</v>
      </c>
      <c r="G59" s="1">
        <f t="shared" si="3"/>
        <v>27</v>
      </c>
    </row>
    <row r="60" spans="1:7" hidden="1" x14ac:dyDescent="0.15">
      <c r="A60" s="3" t="s">
        <v>15</v>
      </c>
      <c r="B60" s="1" t="s">
        <v>16</v>
      </c>
      <c r="C60" s="1">
        <v>2</v>
      </c>
      <c r="D60" s="1">
        <v>112</v>
      </c>
      <c r="E60" s="1">
        <v>8798</v>
      </c>
      <c r="F60" s="1">
        <f t="shared" si="2"/>
        <v>63</v>
      </c>
      <c r="G60" s="1">
        <f t="shared" si="3"/>
        <v>58</v>
      </c>
    </row>
    <row r="61" spans="1:7" hidden="1" x14ac:dyDescent="0.15">
      <c r="A61" s="3" t="s">
        <v>15</v>
      </c>
      <c r="B61" s="1" t="s">
        <v>16</v>
      </c>
      <c r="C61" s="1">
        <v>4</v>
      </c>
      <c r="D61" s="1">
        <v>261</v>
      </c>
      <c r="E61" s="1">
        <v>11675</v>
      </c>
      <c r="F61" s="1">
        <f t="shared" si="2"/>
        <v>35</v>
      </c>
      <c r="G61" s="1">
        <f t="shared" si="3"/>
        <v>41</v>
      </c>
    </row>
    <row r="62" spans="1:7" hidden="1" x14ac:dyDescent="0.15">
      <c r="A62" s="4" t="s">
        <v>15</v>
      </c>
      <c r="B62" s="5" t="s">
        <v>8</v>
      </c>
      <c r="C62" s="6">
        <v>1</v>
      </c>
      <c r="D62" s="6">
        <v>234</v>
      </c>
      <c r="E62" s="6">
        <v>14321</v>
      </c>
      <c r="F62" s="1">
        <f t="shared" si="2"/>
        <v>37</v>
      </c>
      <c r="G62" s="1">
        <f t="shared" si="3"/>
        <v>36</v>
      </c>
    </row>
    <row r="63" spans="1:7" hidden="1" x14ac:dyDescent="0.15">
      <c r="A63" s="4" t="s">
        <v>15</v>
      </c>
      <c r="B63" s="5" t="s">
        <v>8</v>
      </c>
      <c r="C63" s="6">
        <v>3</v>
      </c>
      <c r="D63" s="6">
        <v>129</v>
      </c>
      <c r="E63" s="6">
        <v>9637</v>
      </c>
      <c r="F63" s="1">
        <f t="shared" si="2"/>
        <v>60</v>
      </c>
      <c r="G63" s="1">
        <f t="shared" si="3"/>
        <v>53</v>
      </c>
    </row>
    <row r="64" spans="1:7" hidden="1" x14ac:dyDescent="0.15">
      <c r="A64" s="4" t="s">
        <v>15</v>
      </c>
      <c r="B64" s="5" t="s">
        <v>8</v>
      </c>
      <c r="C64" s="6">
        <v>2</v>
      </c>
      <c r="D64" s="6">
        <v>432</v>
      </c>
      <c r="E64" s="6">
        <v>31256</v>
      </c>
      <c r="F64" s="1">
        <f t="shared" si="2"/>
        <v>9</v>
      </c>
      <c r="G64" s="1">
        <f t="shared" si="3"/>
        <v>6</v>
      </c>
    </row>
    <row r="65" spans="1:7" hidden="1" x14ac:dyDescent="0.15">
      <c r="A65" s="4" t="s">
        <v>15</v>
      </c>
      <c r="B65" s="5" t="s">
        <v>8</v>
      </c>
      <c r="C65" s="6">
        <v>4</v>
      </c>
      <c r="D65" s="6">
        <v>112</v>
      </c>
      <c r="E65" s="6">
        <v>8178</v>
      </c>
      <c r="F65" s="1">
        <f t="shared" si="2"/>
        <v>63</v>
      </c>
      <c r="G65" s="1">
        <f t="shared" si="3"/>
        <v>62</v>
      </c>
    </row>
  </sheetData>
  <autoFilter ref="A1:G65">
    <filterColumn colId="0">
      <filters>
        <filter val="第1分部"/>
        <filter val="第3分部"/>
      </filters>
    </filterColumn>
    <filterColumn colId="6">
      <customFilters>
        <customFilter operator="lessThan" val="20"/>
      </customFilters>
    </filterColumn>
  </autoFilter>
  <sortState ref="A2:G65">
    <sortCondition ref="A2:A65"/>
    <sortCondition descending="1" ref="B2:B65"/>
  </sortState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工资统计表</vt:lpstr>
      <vt:lpstr>绩效等级与绩效工资对照表</vt:lpstr>
      <vt:lpstr>图书销售统计表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wuyou</cp:lastModifiedBy>
  <dcterms:created xsi:type="dcterms:W3CDTF">2005-08-24T03:08:06Z</dcterms:created>
  <dcterms:modified xsi:type="dcterms:W3CDTF">2023-03-31T07:49:23Z</dcterms:modified>
</cp:coreProperties>
</file>