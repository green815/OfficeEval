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K:\高校题库制作系统1ms\StartFile\excel27\"/>
    </mc:Choice>
  </mc:AlternateContent>
  <bookViews>
    <workbookView xWindow="-90" yWindow="-90" windowWidth="19380" windowHeight="11580"/>
  </bookViews>
  <sheets>
    <sheet name="家庭开支统计表" sheetId="14" r:id="rId1"/>
    <sheet name="健身开支" sheetId="4" r:id="rId2"/>
    <sheet name="图书销售情况" sheetId="17" r:id="rId3"/>
  </sheets>
  <calcPr calcId="162913"/>
</workbook>
</file>

<file path=xl/calcChain.xml><?xml version="1.0" encoding="utf-8"?>
<calcChain xmlns="http://schemas.openxmlformats.org/spreadsheetml/2006/main">
  <c r="E86" i="17" l="1"/>
  <c r="E85" i="17"/>
  <c r="E64" i="17"/>
  <c r="E43" i="17"/>
  <c r="E22" i="17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3" i="14"/>
  <c r="G42" i="17" l="1"/>
  <c r="F42" i="17"/>
  <c r="G41" i="17"/>
  <c r="F41" i="17"/>
  <c r="G84" i="17"/>
  <c r="F84" i="17"/>
  <c r="G40" i="17"/>
  <c r="F40" i="17"/>
  <c r="G63" i="17"/>
  <c r="F63" i="17"/>
  <c r="G62" i="17"/>
  <c r="F62" i="17"/>
  <c r="G83" i="17"/>
  <c r="F83" i="17"/>
  <c r="G61" i="17"/>
  <c r="F61" i="17"/>
  <c r="G39" i="17"/>
  <c r="F39" i="17"/>
  <c r="G60" i="17"/>
  <c r="F60" i="17"/>
  <c r="G59" i="17"/>
  <c r="F59" i="17"/>
  <c r="G82" i="17"/>
  <c r="F82" i="17"/>
  <c r="G58" i="17"/>
  <c r="F58" i="17"/>
  <c r="G57" i="17"/>
  <c r="F57" i="17"/>
  <c r="G21" i="17"/>
  <c r="F21" i="17"/>
  <c r="G38" i="17"/>
  <c r="F38" i="17"/>
  <c r="G56" i="17"/>
  <c r="F56" i="17"/>
  <c r="G81" i="17"/>
  <c r="F81" i="17"/>
  <c r="G37" i="17"/>
  <c r="F37" i="17"/>
  <c r="G36" i="17"/>
  <c r="F36" i="17"/>
  <c r="G20" i="17"/>
  <c r="F20" i="17"/>
  <c r="G55" i="17"/>
  <c r="F55" i="17"/>
  <c r="G80" i="17"/>
  <c r="F80" i="17"/>
  <c r="G79" i="17"/>
  <c r="F79" i="17"/>
  <c r="G35" i="17"/>
  <c r="F35" i="17"/>
  <c r="G54" i="17"/>
  <c r="F54" i="17"/>
  <c r="G19" i="17"/>
  <c r="F19" i="17"/>
  <c r="G34" i="17"/>
  <c r="F34" i="17"/>
  <c r="G78" i="17"/>
  <c r="F78" i="17"/>
  <c r="G18" i="17"/>
  <c r="F18" i="17"/>
  <c r="G33" i="17"/>
  <c r="F33" i="17"/>
  <c r="G53" i="17"/>
  <c r="F53" i="17"/>
  <c r="G52" i="17"/>
  <c r="F52" i="17"/>
  <c r="G17" i="17"/>
  <c r="F17" i="17"/>
  <c r="G32" i="17"/>
  <c r="F32" i="17"/>
  <c r="G31" i="17"/>
  <c r="F31" i="17"/>
  <c r="G77" i="17"/>
  <c r="F77" i="17"/>
  <c r="G76" i="17"/>
  <c r="F76" i="17"/>
  <c r="G30" i="17"/>
  <c r="F30" i="17"/>
  <c r="G16" i="17"/>
  <c r="F16" i="17"/>
  <c r="G51" i="17"/>
  <c r="F51" i="17"/>
  <c r="G75" i="17"/>
  <c r="F75" i="17"/>
  <c r="G50" i="17"/>
  <c r="F50" i="17"/>
  <c r="G29" i="17"/>
  <c r="F29" i="17"/>
  <c r="G15" i="17"/>
  <c r="F15" i="17"/>
  <c r="G14" i="17"/>
  <c r="F14" i="17"/>
  <c r="G74" i="17"/>
  <c r="F74" i="17"/>
  <c r="G73" i="17"/>
  <c r="F73" i="17"/>
  <c r="G72" i="17"/>
  <c r="F72" i="17"/>
  <c r="G13" i="17"/>
  <c r="F13" i="17"/>
  <c r="G49" i="17"/>
  <c r="F49" i="17"/>
  <c r="G28" i="17"/>
  <c r="F28" i="17"/>
  <c r="G12" i="17"/>
  <c r="F12" i="17"/>
  <c r="G48" i="17"/>
  <c r="F48" i="17"/>
  <c r="G11" i="17"/>
  <c r="F11" i="17"/>
  <c r="G47" i="17"/>
  <c r="F47" i="17"/>
  <c r="G10" i="17"/>
  <c r="F10" i="17"/>
  <c r="G71" i="17"/>
  <c r="F71" i="17"/>
  <c r="G46" i="17"/>
  <c r="F46" i="17"/>
  <c r="G27" i="17"/>
  <c r="F27" i="17"/>
  <c r="G70" i="17"/>
  <c r="F70" i="17"/>
  <c r="G9" i="17"/>
  <c r="F9" i="17"/>
  <c r="G8" i="17"/>
  <c r="F8" i="17"/>
  <c r="G45" i="17"/>
  <c r="F45" i="17"/>
  <c r="G69" i="17"/>
  <c r="F69" i="17"/>
  <c r="G7" i="17"/>
  <c r="F7" i="17"/>
  <c r="G68" i="17"/>
  <c r="F68" i="17"/>
  <c r="G26" i="17"/>
  <c r="F26" i="17"/>
  <c r="G6" i="17"/>
  <c r="F6" i="17"/>
  <c r="G67" i="17"/>
  <c r="F67" i="17"/>
  <c r="G66" i="17"/>
  <c r="F66" i="17"/>
  <c r="G5" i="17"/>
  <c r="F5" i="17"/>
  <c r="G44" i="17"/>
  <c r="F44" i="17"/>
  <c r="G4" i="17"/>
  <c r="F4" i="17"/>
  <c r="G25" i="17"/>
  <c r="F25" i="17"/>
  <c r="G65" i="17"/>
  <c r="F65" i="17"/>
  <c r="G3" i="17"/>
  <c r="F3" i="17"/>
  <c r="G24" i="17"/>
  <c r="F24" i="17"/>
  <c r="G23" i="17"/>
  <c r="F23" i="17"/>
  <c r="G2" i="17"/>
  <c r="F2" i="17"/>
</calcChain>
</file>

<file path=xl/sharedStrings.xml><?xml version="1.0" encoding="utf-8"?>
<sst xmlns="http://schemas.openxmlformats.org/spreadsheetml/2006/main" count="308" uniqueCount="72">
  <si>
    <t>一月</t>
    <phoneticPr fontId="1" type="noConversion"/>
  </si>
  <si>
    <t>月份</t>
    <phoneticPr fontId="1" type="noConversion"/>
  </si>
  <si>
    <t>二月</t>
    <phoneticPr fontId="1" type="noConversion"/>
  </si>
  <si>
    <t>三月</t>
    <phoneticPr fontId="1" type="noConversion"/>
  </si>
  <si>
    <t>四月</t>
    <phoneticPr fontId="1" type="noConversion"/>
  </si>
  <si>
    <t>五月</t>
    <phoneticPr fontId="1" type="noConversion"/>
  </si>
  <si>
    <t>六月</t>
    <phoneticPr fontId="1" type="noConversion"/>
  </si>
  <si>
    <t>七月</t>
    <phoneticPr fontId="1" type="noConversion"/>
  </si>
  <si>
    <t>八月</t>
    <phoneticPr fontId="1" type="noConversion"/>
  </si>
  <si>
    <t>九月</t>
    <phoneticPr fontId="1" type="noConversion"/>
  </si>
  <si>
    <t>十月</t>
    <phoneticPr fontId="1" type="noConversion"/>
  </si>
  <si>
    <t>十一月</t>
    <phoneticPr fontId="1" type="noConversion"/>
  </si>
  <si>
    <t>十二月</t>
    <phoneticPr fontId="1" type="noConversion"/>
  </si>
  <si>
    <t>家庭</t>
    <phoneticPr fontId="1" type="noConversion"/>
  </si>
  <si>
    <t>A</t>
    <phoneticPr fontId="1" type="noConversion"/>
  </si>
  <si>
    <t>B</t>
    <phoneticPr fontId="1" type="noConversion"/>
  </si>
  <si>
    <t>月份</t>
  </si>
  <si>
    <t>房租</t>
  </si>
  <si>
    <t>水电费</t>
  </si>
  <si>
    <t xml:space="preserve">食品及餐饮 </t>
  </si>
  <si>
    <t>零花</t>
  </si>
  <si>
    <t>通勤</t>
  </si>
  <si>
    <t>健身</t>
  </si>
  <si>
    <t>小计</t>
  </si>
  <si>
    <t>家庭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</si>
  <si>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</si>
  <si>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</si>
  <si>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</si>
  <si>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</si>
  <si>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</si>
  <si>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</si>
  <si>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</si>
  <si>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</si>
  <si>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</si>
  <si>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</si>
  <si>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</si>
  <si>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</si>
  <si>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健身开支</t>
    <phoneticPr fontId="1" type="noConversion"/>
  </si>
  <si>
    <t>家庭开支情况表</t>
    <phoneticPr fontId="1" type="noConversion"/>
  </si>
  <si>
    <t>经销部门</t>
  </si>
  <si>
    <t>图书类别</t>
  </si>
  <si>
    <t>季度</t>
  </si>
  <si>
    <t>销售数量(册)</t>
  </si>
  <si>
    <t>销售额(元)</t>
  </si>
  <si>
    <t>销售数量排名</t>
  </si>
  <si>
    <t>销售额排名</t>
  </si>
  <si>
    <t>第1分部</t>
  </si>
  <si>
    <t>交通科学</t>
  </si>
  <si>
    <t>第2分部</t>
  </si>
  <si>
    <t>信息技术</t>
    <phoneticPr fontId="1" type="noConversion"/>
  </si>
  <si>
    <t>第4分部</t>
  </si>
  <si>
    <r>
      <t>第</t>
    </r>
    <r>
      <rPr>
        <sz val="12"/>
        <rFont val="Times New Roman"/>
        <family val="1"/>
      </rPr>
      <t>2分部</t>
    </r>
    <r>
      <rPr>
        <sz val="12"/>
        <rFont val="宋体"/>
        <family val="3"/>
        <charset val="134"/>
      </rPr>
      <t/>
    </r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</si>
  <si>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</si>
  <si>
    <t>农业科学</t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</si>
  <si>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</si>
  <si>
    <t>工业技术</t>
  </si>
  <si>
    <t>生物科学</t>
  </si>
  <si>
    <t>第3分部</t>
  </si>
  <si>
    <t>第1分部</t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</si>
  <si>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</si>
  <si>
    <t>B101</t>
  </si>
  <si>
    <t>A2</t>
  </si>
  <si>
    <t>A1</t>
  </si>
  <si>
    <t xml:space="preserve">B203 </t>
  </si>
  <si>
    <t>B203</t>
  </si>
  <si>
    <t xml:space="preserve">开支排名 </t>
    <phoneticPr fontId="1" type="noConversion"/>
  </si>
  <si>
    <t>工号</t>
    <phoneticPr fontId="1" type="noConversion"/>
  </si>
  <si>
    <t>第1分部 汇总</t>
  </si>
  <si>
    <t>第2分部 汇总</t>
  </si>
  <si>
    <t>第3分部 汇总</t>
  </si>
  <si>
    <t>第4分部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</si>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</sst>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 &quot;¥&quot;* #,##0.00_ ;_ &quot;¥&quot;* \-#,##0.00_ ;_ &quot;¥&quot;* &quot;-&quot;??_ ;_ @_ "/>
    <numFmt numFmtId="176" formatCode="_-[$£-809]* #,##0.00_-;\-[$£-809]* #,##0.00_-;_-[$£-809]* &quot;-&quot;??_-;_-@_-"/>
    <numFmt numFmtId="177" formatCode="_ [$¥-804]* #,##0.00_ ;_ [$¥-804]* \-#,##0.00_ ;_ [$¥-804]* &quot;-&quot;??_ ;_ @_ "/>
  </numFmts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等线"/>
      <family val="2"/>
      <scheme val="minor"/>
    </font>
    <font>
      <sz val="12"/>
      <name val="等线"/>
      <family val="2"/>
      <scheme val="minor"/>
    </font>
    <font>
      <sz val="12"/>
      <name val="等线"/>
      <family val="3"/>
      <charset val="134"/>
      <scheme val="minor"/>
    </font>
    <font>
      <sz val="12"/>
      <name val="Times New Roman"/>
      <family val="1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2"/>
      <color theme="1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76" fontId="0" fillId="0" borderId="0" xfId="0" applyNumberFormat="1"/>
    <xf numFmtId="0" fontId="2" fillId="0" borderId="0" xfId="0" applyFont="1"/>
    <xf numFmtId="176" fontId="2" fillId="0" borderId="0" xfId="0" applyNumberFormat="1" applyFont="1"/>
    <xf numFmtId="0" fontId="4" fillId="0" borderId="0" xfId="0" applyFont="1"/>
    <xf numFmtId="177" fontId="2" fillId="0" borderId="0" xfId="0" applyNumberFormat="1" applyFont="1"/>
    <xf numFmtId="0" fontId="3" fillId="2" borderId="2" xfId="0" applyFont="1" applyFill="1" applyBorder="1" applyAlignment="1">
      <alignment horizontal="center"/>
    </xf>
    <xf numFmtId="176" fontId="3" fillId="2" borderId="3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/>
    <xf numFmtId="0" fontId="5" fillId="0" borderId="5" xfId="0" applyFont="1" applyBorder="1"/>
    <xf numFmtId="0" fontId="6" fillId="0" borderId="5" xfId="0" applyFont="1" applyBorder="1"/>
    <xf numFmtId="0" fontId="7" fillId="0" borderId="5" xfId="0" applyFont="1" applyBorder="1"/>
    <xf numFmtId="0" fontId="8" fillId="0" borderId="5" xfId="0" applyFont="1" applyBorder="1"/>
    <xf numFmtId="0" fontId="9" fillId="0" borderId="5" xfId="0" applyFont="1" applyBorder="1"/>
    <xf numFmtId="0" fontId="11" fillId="0" borderId="0" xfId="0" applyFont="1"/>
    <xf numFmtId="0" fontId="12" fillId="0" borderId="0" xfId="0" applyFont="1"/>
    <xf numFmtId="0" fontId="13" fillId="0" borderId="5" xfId="0" applyFont="1" applyBorder="1"/>
    <xf numFmtId="0" fontId="7" fillId="0" borderId="0" xfId="0" applyFont="1" applyBorder="1"/>
    <xf numFmtId="0" fontId="6" fillId="0" borderId="0" xfId="0" applyFont="1" applyBorder="1"/>
    <xf numFmtId="0" fontId="13" fillId="0" borderId="0" xfId="0" applyFont="1" applyBorder="1"/>
    <xf numFmtId="0" fontId="0" fillId="0" borderId="0" xfId="0" applyAlignment="1">
      <alignment horizontal="center"/>
    </xf>
  </cellXfs>
  <cellStyles count="1">
    <cellStyle name="常规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177" formatCode="_ [$¥-804]* #,##0.00_ ;_ [$¥-804]* \-#,##0.00_ ;_ [$¥-804]* &quot;-&quot;??_ ;_ @_ "/>
    </dxf>
    <dxf>
      <numFmt numFmtId="34" formatCode="_ &quot;¥&quot;* #,##0.00_ ;_ &quot;¥&quot;* \-#,##0.00_ ;_ &quot;¥&quot;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177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177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177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177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177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176" formatCode="_-[$£-809]* #,##0.00_-;\-[$£-809]* #,##0.00_-;_-[$£-809]* &quot;-&quot;??_-;_-@_-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A2</a:t>
            </a:r>
            <a:r>
              <a:rPr lang="zh-CN"/>
              <a:t>的食品、餐饮及通勤开支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家庭开支统计表!$E$2</c:f>
              <c:strCache>
                <c:ptCount val="1"/>
                <c:pt idx="0">
                  <c:v>食品及餐饮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家庭开支统计表!$B$15:$B$26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家庭开支统计表!$E$15:$E$26</c:f>
              <c:numCache>
                <c:formatCode>_ [$¥-804]* #,##0.00_ ;_ [$¥-804]* \-#,##0.00_ ;_ [$¥-804]* "-"??_ ;_ @_ </c:formatCode>
                <c:ptCount val="12"/>
                <c:pt idx="0">
                  <c:v>400</c:v>
                </c:pt>
                <c:pt idx="1">
                  <c:v>350</c:v>
                </c:pt>
                <c:pt idx="2">
                  <c:v>420</c:v>
                </c:pt>
                <c:pt idx="3">
                  <c:v>400</c:v>
                </c:pt>
                <c:pt idx="4">
                  <c:v>420</c:v>
                </c:pt>
                <c:pt idx="5">
                  <c:v>380</c:v>
                </c:pt>
                <c:pt idx="6">
                  <c:v>420</c:v>
                </c:pt>
                <c:pt idx="7">
                  <c:v>420</c:v>
                </c:pt>
                <c:pt idx="8">
                  <c:v>400</c:v>
                </c:pt>
                <c:pt idx="9">
                  <c:v>420</c:v>
                </c:pt>
                <c:pt idx="10">
                  <c:v>390</c:v>
                </c:pt>
                <c:pt idx="11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4-4B9D-9456-1552A2A6D11D}"/>
            </c:ext>
          </c:extLst>
        </c:ser>
        <c:ser>
          <c:idx val="1"/>
          <c:order val="1"/>
          <c:tx>
            <c:strRef>
              <c:f>家庭开支统计表!$G$2</c:f>
              <c:strCache>
                <c:ptCount val="1"/>
                <c:pt idx="0">
                  <c:v>通勤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家庭开支统计表!$B$15:$B$26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家庭开支统计表!$G$15:$G$26</c:f>
              <c:numCache>
                <c:formatCode>_ [$¥-804]* #,##0.00_ ;_ [$¥-804]* \-#,##0.00_ ;_ [$¥-804]* "-"??_ ;_ @_ </c:formatCode>
                <c:ptCount val="12"/>
                <c:pt idx="0">
                  <c:v>100</c:v>
                </c:pt>
                <c:pt idx="1">
                  <c:v>125</c:v>
                </c:pt>
                <c:pt idx="2">
                  <c:v>120</c:v>
                </c:pt>
                <c:pt idx="3">
                  <c:v>100</c:v>
                </c:pt>
                <c:pt idx="4">
                  <c:v>100</c:v>
                </c:pt>
                <c:pt idx="5">
                  <c:v>130</c:v>
                </c:pt>
                <c:pt idx="6">
                  <c:v>100</c:v>
                </c:pt>
                <c:pt idx="7">
                  <c:v>100</c:v>
                </c:pt>
                <c:pt idx="8">
                  <c:v>110</c:v>
                </c:pt>
                <c:pt idx="9">
                  <c:v>100</c:v>
                </c:pt>
                <c:pt idx="10">
                  <c:v>100</c:v>
                </c:pt>
                <c:pt idx="11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54-4B9D-9456-1552A2A6D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00982904"/>
        <c:axId val="400983232"/>
      </c:barChart>
      <c:catAx>
        <c:axId val="400982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0983232"/>
        <c:crosses val="autoZero"/>
        <c:auto val="1"/>
        <c:lblAlgn val="ctr"/>
        <c:lblOffset val="80"/>
        <c:tickMarkSkip val="2"/>
        <c:noMultiLvlLbl val="0"/>
      </c:catAx>
      <c:valAx>
        <c:axId val="40098323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¥-804]* #,##0.00_ ;_ [$¥-804]* \-#,##0.00_ ;_ [$¥-804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0982904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8</xdr:row>
      <xdr:rowOff>0</xdr:rowOff>
    </xdr:from>
    <xdr:to>
      <xdr:col>18</xdr:col>
      <xdr:colOff>628650</xdr:colOff>
      <xdr:row>22</xdr:row>
      <xdr:rowOff>114300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K50" totalsRowShown="0" headerRowDxfId="13">
  <autoFilter ref="A2:K50"/>
  <tableColumns count="11">
    <tableColumn id="1" name="工号" dataDxfId="12"/>
    <tableColumn id="2" name="月份" dataDxfId="11"/>
    <tableColumn id="3" name="房租" dataDxfId="10"/>
    <tableColumn id="4" name="水电费" dataDxfId="9"/>
    <tableColumn id="5" name="食品及餐饮 " dataDxfId="8"/>
    <tableColumn id="6" name="零花" dataDxfId="7"/>
    <tableColumn id="7" name="通勤" dataDxfId="6"/>
    <tableColumn id="8" name="健身" dataDxfId="5"/>
    <tableColumn id="9" name="小计" dataDxfId="4">
      <calculatedColumnFormula>SUM(C3:H3)</calculatedColumnFormula>
    </tableColumn>
    <tableColumn id="10" name="家庭" dataDxfId="3">
      <calculatedColumnFormula>VLOOKUP(A3,健身开支!$A$8:$B$12,2,0)</calculatedColumnFormula>
    </tableColumn>
    <tableColumn id="11" name="开支排名 " dataDxfId="2">
      <calculatedColumnFormula>_xlfn.RANK.EQ(I3,$I$3:$I$50,0)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topLeftCell="F1" workbookViewId="0">
      <selection activeCell="K4" sqref="K4"/>
    </sheetView>
  </sheetViews>
  <sheetFormatPr defaultColWidth="8.875" defaultRowHeight="14.25" x14ac:dyDescent="0.2"/>
  <cols>
    <col min="1" max="1" width="6.875" bestFit="1" customWidth="1"/>
    <col min="2" max="2" width="9.5" bestFit="1" customWidth="1"/>
    <col min="3" max="3" width="8.75" style="1" bestFit="1" customWidth="1"/>
    <col min="4" max="4" width="10.75" style="1" bestFit="1" customWidth="1"/>
    <col min="5" max="5" width="13.625" style="1" customWidth="1"/>
    <col min="6" max="8" width="8.75" style="1" bestFit="1" customWidth="1"/>
    <col min="9" max="9" width="10.25" style="1" bestFit="1" customWidth="1"/>
    <col min="11" max="11" width="11.75" customWidth="1"/>
  </cols>
  <sheetData>
    <row r="1" spans="1:11" x14ac:dyDescent="0.2">
      <c r="A1" s="24" t="s">
        <v>38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2">
      <c r="A2" s="2" t="s">
        <v>66</v>
      </c>
      <c r="B2" s="2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2" t="s">
        <v>24</v>
      </c>
      <c r="K2" s="3" t="s">
        <v>65</v>
      </c>
    </row>
    <row r="3" spans="1:11" x14ac:dyDescent="0.2">
      <c r="A3" s="4" t="s">
        <v>60</v>
      </c>
      <c r="B3" s="4" t="s">
        <v>25</v>
      </c>
      <c r="C3" s="5">
        <v>450</v>
      </c>
      <c r="D3" s="5">
        <v>180</v>
      </c>
      <c r="E3" s="5">
        <v>200</v>
      </c>
      <c r="F3" s="5">
        <v>120</v>
      </c>
      <c r="G3" s="5">
        <v>100</v>
      </c>
      <c r="H3" s="12">
        <v>200</v>
      </c>
      <c r="I3" s="5">
        <f>SUM(C3:H3)</f>
        <v>1250</v>
      </c>
      <c r="J3" s="2" t="str">
        <f>VLOOKUP(A3,健身开支!$A$8:$B$12,2,0)</f>
        <v>B</v>
      </c>
      <c r="K3">
        <f t="shared" ref="K3:K50" si="0">_xlfn.RANK.EQ(I3,$I$3:$I$50,0)</f>
        <v>30</v>
      </c>
    </row>
    <row r="4" spans="1:11" x14ac:dyDescent="0.2">
      <c r="A4" s="4" t="s">
        <v>60</v>
      </c>
      <c r="B4" s="4" t="s">
        <v>26</v>
      </c>
      <c r="C4" s="5">
        <v>450</v>
      </c>
      <c r="D4" s="5">
        <v>180</v>
      </c>
      <c r="E4" s="5">
        <v>300</v>
      </c>
      <c r="F4" s="5">
        <v>120</v>
      </c>
      <c r="G4" s="5">
        <v>100</v>
      </c>
      <c r="H4" s="12">
        <v>370</v>
      </c>
      <c r="I4" s="5">
        <f t="shared" ref="I4:I50" si="1">SUM(C4:H4)</f>
        <v>1520</v>
      </c>
      <c r="J4" s="2" t="str">
        <f>VLOOKUP(A4,健身开支!$A$8:$B$12,2,0)</f>
        <v>B</v>
      </c>
      <c r="K4">
        <f t="shared" si="0"/>
        <v>13</v>
      </c>
    </row>
    <row r="5" spans="1:11" x14ac:dyDescent="0.2">
      <c r="A5" s="4" t="s">
        <v>60</v>
      </c>
      <c r="B5" s="4" t="s">
        <v>27</v>
      </c>
      <c r="C5" s="5">
        <v>450</v>
      </c>
      <c r="D5" s="5">
        <v>180</v>
      </c>
      <c r="E5" s="5">
        <v>200</v>
      </c>
      <c r="F5" s="5">
        <v>120</v>
      </c>
      <c r="G5" s="5">
        <v>100</v>
      </c>
      <c r="H5" s="12">
        <v>360</v>
      </c>
      <c r="I5" s="5">
        <f t="shared" si="1"/>
        <v>1410</v>
      </c>
      <c r="J5" s="2" t="str">
        <f>VLOOKUP(A5,健身开支!$A$8:$B$12,2,0)</f>
        <v>B</v>
      </c>
      <c r="K5">
        <f t="shared" si="0"/>
        <v>17</v>
      </c>
    </row>
    <row r="6" spans="1:11" x14ac:dyDescent="0.2">
      <c r="A6" s="4" t="s">
        <v>60</v>
      </c>
      <c r="B6" s="4" t="s">
        <v>28</v>
      </c>
      <c r="C6" s="5">
        <v>450</v>
      </c>
      <c r="D6" s="5">
        <v>180</v>
      </c>
      <c r="E6" s="5">
        <v>200</v>
      </c>
      <c r="F6" s="5">
        <v>100</v>
      </c>
      <c r="G6" s="5">
        <v>100</v>
      </c>
      <c r="H6" s="12">
        <v>360</v>
      </c>
      <c r="I6" s="5">
        <f t="shared" si="1"/>
        <v>1390</v>
      </c>
      <c r="J6" s="2" t="str">
        <f>VLOOKUP(A6,健身开支!$A$8:$B$12,2,0)</f>
        <v>B</v>
      </c>
      <c r="K6">
        <f t="shared" si="0"/>
        <v>21</v>
      </c>
    </row>
    <row r="7" spans="1:11" x14ac:dyDescent="0.2">
      <c r="A7" s="4" t="s">
        <v>60</v>
      </c>
      <c r="B7" s="4" t="s">
        <v>29</v>
      </c>
      <c r="C7" s="5">
        <v>450</v>
      </c>
      <c r="D7" s="5">
        <v>180</v>
      </c>
      <c r="E7" s="5">
        <v>210</v>
      </c>
      <c r="F7" s="5">
        <v>120</v>
      </c>
      <c r="G7" s="5">
        <v>100</v>
      </c>
      <c r="H7" s="12">
        <v>380</v>
      </c>
      <c r="I7" s="5">
        <f t="shared" si="1"/>
        <v>1440</v>
      </c>
      <c r="J7" s="2" t="str">
        <f>VLOOKUP(A7,健身开支!$A$8:$B$12,2,0)</f>
        <v>B</v>
      </c>
      <c r="K7">
        <f t="shared" si="0"/>
        <v>15</v>
      </c>
    </row>
    <row r="8" spans="1:11" x14ac:dyDescent="0.2">
      <c r="A8" s="4" t="s">
        <v>60</v>
      </c>
      <c r="B8" s="4" t="s">
        <v>30</v>
      </c>
      <c r="C8" s="5">
        <v>450</v>
      </c>
      <c r="D8" s="5">
        <v>180</v>
      </c>
      <c r="E8" s="5">
        <v>180</v>
      </c>
      <c r="F8" s="5">
        <v>120</v>
      </c>
      <c r="G8" s="5">
        <v>100</v>
      </c>
      <c r="H8" s="12">
        <v>360</v>
      </c>
      <c r="I8" s="5">
        <f t="shared" si="1"/>
        <v>1390</v>
      </c>
      <c r="J8" s="2" t="str">
        <f>VLOOKUP(A8,健身开支!$A$8:$B$12,2,0)</f>
        <v>B</v>
      </c>
      <c r="K8">
        <f t="shared" si="0"/>
        <v>21</v>
      </c>
    </row>
    <row r="9" spans="1:11" x14ac:dyDescent="0.2">
      <c r="A9" s="4" t="s">
        <v>60</v>
      </c>
      <c r="B9" s="4" t="s">
        <v>31</v>
      </c>
      <c r="C9" s="5">
        <v>450</v>
      </c>
      <c r="D9" s="5">
        <v>180</v>
      </c>
      <c r="E9" s="5">
        <v>200</v>
      </c>
      <c r="F9" s="5">
        <v>100</v>
      </c>
      <c r="G9" s="5">
        <v>100</v>
      </c>
      <c r="H9" s="12">
        <v>360</v>
      </c>
      <c r="I9" s="5">
        <f t="shared" si="1"/>
        <v>1390</v>
      </c>
      <c r="J9" s="2" t="str">
        <f>VLOOKUP(A9,健身开支!$A$8:$B$12,2,0)</f>
        <v>B</v>
      </c>
      <c r="K9">
        <f t="shared" si="0"/>
        <v>21</v>
      </c>
    </row>
    <row r="10" spans="1:11" x14ac:dyDescent="0.2">
      <c r="A10" s="4" t="s">
        <v>60</v>
      </c>
      <c r="B10" s="4" t="s">
        <v>32</v>
      </c>
      <c r="C10" s="5">
        <v>450</v>
      </c>
      <c r="D10" s="5">
        <v>180</v>
      </c>
      <c r="E10" s="5">
        <v>210</v>
      </c>
      <c r="F10" s="5">
        <v>120</v>
      </c>
      <c r="G10" s="5">
        <v>100</v>
      </c>
      <c r="H10" s="12">
        <v>380</v>
      </c>
      <c r="I10" s="5">
        <f t="shared" si="1"/>
        <v>1440</v>
      </c>
      <c r="J10" s="2" t="str">
        <f>VLOOKUP(A10,健身开支!$A$8:$B$12,2,0)</f>
        <v>B</v>
      </c>
      <c r="K10">
        <f t="shared" si="0"/>
        <v>15</v>
      </c>
    </row>
    <row r="11" spans="1:11" x14ac:dyDescent="0.2">
      <c r="A11" s="4" t="s">
        <v>60</v>
      </c>
      <c r="B11" s="4" t="s">
        <v>33</v>
      </c>
      <c r="C11" s="5">
        <v>450</v>
      </c>
      <c r="D11" s="5">
        <v>180</v>
      </c>
      <c r="E11" s="5">
        <v>200</v>
      </c>
      <c r="F11" s="5">
        <v>100</v>
      </c>
      <c r="G11" s="5">
        <v>100</v>
      </c>
      <c r="H11" s="12">
        <v>360</v>
      </c>
      <c r="I11" s="5">
        <f t="shared" si="1"/>
        <v>1390</v>
      </c>
      <c r="J11" s="2" t="str">
        <f>VLOOKUP(A11,健身开支!$A$8:$B$12,2,0)</f>
        <v>B</v>
      </c>
      <c r="K11">
        <f t="shared" si="0"/>
        <v>21</v>
      </c>
    </row>
    <row r="12" spans="1:11" x14ac:dyDescent="0.2">
      <c r="A12" s="4" t="s">
        <v>60</v>
      </c>
      <c r="B12" s="4" t="s">
        <v>34</v>
      </c>
      <c r="C12" s="5">
        <v>450</v>
      </c>
      <c r="D12" s="5">
        <v>180</v>
      </c>
      <c r="E12" s="5">
        <v>200</v>
      </c>
      <c r="F12" s="5">
        <v>120</v>
      </c>
      <c r="G12" s="5">
        <v>100</v>
      </c>
      <c r="H12" s="12">
        <v>360</v>
      </c>
      <c r="I12" s="5">
        <f t="shared" si="1"/>
        <v>1410</v>
      </c>
      <c r="J12" s="2" t="str">
        <f>VLOOKUP(A12,健身开支!$A$8:$B$12,2,0)</f>
        <v>B</v>
      </c>
      <c r="K12">
        <f t="shared" si="0"/>
        <v>17</v>
      </c>
    </row>
    <row r="13" spans="1:11" x14ac:dyDescent="0.2">
      <c r="A13" s="4" t="s">
        <v>60</v>
      </c>
      <c r="B13" s="4" t="s">
        <v>35</v>
      </c>
      <c r="C13" s="5">
        <v>450</v>
      </c>
      <c r="D13" s="5">
        <v>180</v>
      </c>
      <c r="E13" s="5">
        <v>180</v>
      </c>
      <c r="F13" s="5">
        <v>100</v>
      </c>
      <c r="G13" s="5">
        <v>100</v>
      </c>
      <c r="H13" s="12">
        <v>350</v>
      </c>
      <c r="I13" s="5">
        <f t="shared" si="1"/>
        <v>1360</v>
      </c>
      <c r="J13" s="2" t="str">
        <f>VLOOKUP(A13,健身开支!$A$8:$B$12,2,0)</f>
        <v>B</v>
      </c>
      <c r="K13">
        <f t="shared" si="0"/>
        <v>29</v>
      </c>
    </row>
    <row r="14" spans="1:11" x14ac:dyDescent="0.2">
      <c r="A14" s="4" t="s">
        <v>60</v>
      </c>
      <c r="B14" s="4" t="s">
        <v>36</v>
      </c>
      <c r="C14" s="5">
        <v>450</v>
      </c>
      <c r="D14" s="5">
        <v>180</v>
      </c>
      <c r="E14" s="5">
        <v>200</v>
      </c>
      <c r="F14" s="5">
        <v>120</v>
      </c>
      <c r="G14" s="5">
        <v>100</v>
      </c>
      <c r="H14" s="12">
        <v>360</v>
      </c>
      <c r="I14" s="5">
        <f t="shared" si="1"/>
        <v>1410</v>
      </c>
      <c r="J14" s="2" t="str">
        <f>VLOOKUP(A14,健身开支!$A$8:$B$12,2,0)</f>
        <v>B</v>
      </c>
      <c r="K14">
        <f t="shared" si="0"/>
        <v>17</v>
      </c>
    </row>
    <row r="15" spans="1:11" x14ac:dyDescent="0.2">
      <c r="A15" s="4" t="s">
        <v>61</v>
      </c>
      <c r="B15" s="4" t="s">
        <v>25</v>
      </c>
      <c r="C15" s="5">
        <v>0</v>
      </c>
      <c r="D15" s="5">
        <v>0</v>
      </c>
      <c r="E15" s="5">
        <v>400</v>
      </c>
      <c r="F15" s="5">
        <v>100</v>
      </c>
      <c r="G15" s="5">
        <v>100</v>
      </c>
      <c r="H15" s="12">
        <v>0</v>
      </c>
      <c r="I15" s="5">
        <f t="shared" si="1"/>
        <v>600</v>
      </c>
      <c r="J15" s="2" t="str">
        <f>VLOOKUP(A15,健身开支!$A$8:$B$12,2,0)</f>
        <v>A</v>
      </c>
      <c r="K15">
        <f t="shared" si="0"/>
        <v>48</v>
      </c>
    </row>
    <row r="16" spans="1:11" x14ac:dyDescent="0.2">
      <c r="A16" s="4" t="s">
        <v>61</v>
      </c>
      <c r="B16" s="4" t="s">
        <v>26</v>
      </c>
      <c r="C16" s="5">
        <v>800</v>
      </c>
      <c r="D16" s="5">
        <v>180</v>
      </c>
      <c r="E16" s="5">
        <v>350</v>
      </c>
      <c r="F16" s="5">
        <v>100</v>
      </c>
      <c r="G16" s="5">
        <v>125</v>
      </c>
      <c r="H16" s="12">
        <v>0</v>
      </c>
      <c r="I16" s="5">
        <f t="shared" si="1"/>
        <v>1555</v>
      </c>
      <c r="J16" s="2" t="str">
        <f>VLOOKUP(A16,健身开支!$A$8:$B$12,2,0)</f>
        <v>A</v>
      </c>
      <c r="K16">
        <f t="shared" si="0"/>
        <v>12</v>
      </c>
    </row>
    <row r="17" spans="1:11" x14ac:dyDescent="0.2">
      <c r="A17" s="4" t="s">
        <v>61</v>
      </c>
      <c r="B17" s="4" t="s">
        <v>27</v>
      </c>
      <c r="C17" s="5">
        <v>0</v>
      </c>
      <c r="D17" s="5">
        <v>0</v>
      </c>
      <c r="E17" s="5">
        <v>420</v>
      </c>
      <c r="F17" s="5">
        <v>100</v>
      </c>
      <c r="G17" s="5">
        <v>120</v>
      </c>
      <c r="H17" s="12">
        <v>0</v>
      </c>
      <c r="I17" s="5">
        <f t="shared" si="1"/>
        <v>640</v>
      </c>
      <c r="J17" s="2" t="str">
        <f>VLOOKUP(A17,健身开支!$A$8:$B$12,2,0)</f>
        <v>A</v>
      </c>
      <c r="K17">
        <f t="shared" si="0"/>
        <v>43</v>
      </c>
    </row>
    <row r="18" spans="1:11" x14ac:dyDescent="0.2">
      <c r="A18" s="4" t="s">
        <v>61</v>
      </c>
      <c r="B18" s="4" t="s">
        <v>28</v>
      </c>
      <c r="C18" s="5">
        <v>800</v>
      </c>
      <c r="D18" s="5">
        <v>160</v>
      </c>
      <c r="E18" s="5">
        <v>400</v>
      </c>
      <c r="F18" s="5">
        <v>120</v>
      </c>
      <c r="G18" s="5">
        <v>100</v>
      </c>
      <c r="H18" s="12">
        <v>0</v>
      </c>
      <c r="I18" s="5">
        <f t="shared" si="1"/>
        <v>1580</v>
      </c>
      <c r="J18" s="2" t="str">
        <f>VLOOKUP(A18,健身开支!$A$8:$B$12,2,0)</f>
        <v>A</v>
      </c>
      <c r="K18">
        <f t="shared" si="0"/>
        <v>9</v>
      </c>
    </row>
    <row r="19" spans="1:11" x14ac:dyDescent="0.2">
      <c r="A19" s="4" t="s">
        <v>61</v>
      </c>
      <c r="B19" s="4" t="s">
        <v>29</v>
      </c>
      <c r="C19" s="5">
        <v>0</v>
      </c>
      <c r="D19" s="5">
        <v>0</v>
      </c>
      <c r="E19" s="5">
        <v>420</v>
      </c>
      <c r="F19" s="5">
        <v>100</v>
      </c>
      <c r="G19" s="5">
        <v>100</v>
      </c>
      <c r="H19" s="12">
        <v>0</v>
      </c>
      <c r="I19" s="5">
        <f t="shared" si="1"/>
        <v>620</v>
      </c>
      <c r="J19" s="2" t="str">
        <f>VLOOKUP(A19,健身开支!$A$8:$B$12,2,0)</f>
        <v>A</v>
      </c>
      <c r="K19">
        <f t="shared" si="0"/>
        <v>46</v>
      </c>
    </row>
    <row r="20" spans="1:11" x14ac:dyDescent="0.2">
      <c r="A20" s="4" t="s">
        <v>61</v>
      </c>
      <c r="B20" s="4" t="s">
        <v>30</v>
      </c>
      <c r="C20" s="5">
        <v>800</v>
      </c>
      <c r="D20" s="5">
        <v>150</v>
      </c>
      <c r="E20" s="5">
        <v>380</v>
      </c>
      <c r="F20" s="5">
        <v>100</v>
      </c>
      <c r="G20" s="5">
        <v>130</v>
      </c>
      <c r="H20" s="12">
        <v>0</v>
      </c>
      <c r="I20" s="5">
        <f t="shared" si="1"/>
        <v>1560</v>
      </c>
      <c r="J20" s="2" t="str">
        <f>VLOOKUP(A20,健身开支!$A$8:$B$12,2,0)</f>
        <v>A</v>
      </c>
      <c r="K20">
        <f t="shared" si="0"/>
        <v>11</v>
      </c>
    </row>
    <row r="21" spans="1:11" x14ac:dyDescent="0.2">
      <c r="A21" s="4" t="s">
        <v>61</v>
      </c>
      <c r="B21" s="4" t="s">
        <v>31</v>
      </c>
      <c r="C21" s="5">
        <v>0</v>
      </c>
      <c r="D21" s="5">
        <v>0</v>
      </c>
      <c r="E21" s="5">
        <v>420</v>
      </c>
      <c r="F21" s="5">
        <v>120</v>
      </c>
      <c r="G21" s="5">
        <v>100</v>
      </c>
      <c r="H21" s="12">
        <v>0</v>
      </c>
      <c r="I21" s="5">
        <f t="shared" si="1"/>
        <v>640</v>
      </c>
      <c r="J21" s="2" t="str">
        <f>VLOOKUP(A21,健身开支!$A$8:$B$12,2,0)</f>
        <v>A</v>
      </c>
      <c r="K21">
        <f t="shared" si="0"/>
        <v>43</v>
      </c>
    </row>
    <row r="22" spans="1:11" x14ac:dyDescent="0.2">
      <c r="A22" s="4" t="s">
        <v>61</v>
      </c>
      <c r="B22" s="4" t="s">
        <v>32</v>
      </c>
      <c r="C22" s="5">
        <v>800</v>
      </c>
      <c r="D22" s="5">
        <v>150</v>
      </c>
      <c r="E22" s="5">
        <v>420</v>
      </c>
      <c r="F22" s="5">
        <v>100</v>
      </c>
      <c r="G22" s="5">
        <v>100</v>
      </c>
      <c r="H22" s="12">
        <v>0</v>
      </c>
      <c r="I22" s="5">
        <f t="shared" si="1"/>
        <v>1570</v>
      </c>
      <c r="J22" s="2" t="str">
        <f>VLOOKUP(A22,健身开支!$A$8:$B$12,2,0)</f>
        <v>A</v>
      </c>
      <c r="K22">
        <f t="shared" si="0"/>
        <v>10</v>
      </c>
    </row>
    <row r="23" spans="1:11" x14ac:dyDescent="0.2">
      <c r="A23" s="4" t="s">
        <v>61</v>
      </c>
      <c r="B23" s="4" t="s">
        <v>33</v>
      </c>
      <c r="C23" s="5">
        <v>0</v>
      </c>
      <c r="D23" s="5">
        <v>0</v>
      </c>
      <c r="E23" s="5">
        <v>400</v>
      </c>
      <c r="F23" s="5">
        <v>120</v>
      </c>
      <c r="G23" s="5">
        <v>110</v>
      </c>
      <c r="H23" s="12">
        <v>0</v>
      </c>
      <c r="I23" s="5">
        <f t="shared" si="1"/>
        <v>630</v>
      </c>
      <c r="J23" s="2" t="str">
        <f>VLOOKUP(A23,健身开支!$A$8:$B$12,2,0)</f>
        <v>A</v>
      </c>
      <c r="K23">
        <f t="shared" si="0"/>
        <v>45</v>
      </c>
    </row>
    <row r="24" spans="1:11" x14ac:dyDescent="0.2">
      <c r="A24" s="4" t="s">
        <v>61</v>
      </c>
      <c r="B24" s="4" t="s">
        <v>34</v>
      </c>
      <c r="C24" s="5">
        <v>800</v>
      </c>
      <c r="D24" s="5">
        <v>170</v>
      </c>
      <c r="E24" s="5">
        <v>420</v>
      </c>
      <c r="F24" s="5">
        <v>100</v>
      </c>
      <c r="G24" s="5">
        <v>100</v>
      </c>
      <c r="H24" s="12">
        <v>0</v>
      </c>
      <c r="I24" s="5">
        <f t="shared" si="1"/>
        <v>1590</v>
      </c>
      <c r="J24" s="2" t="str">
        <f>VLOOKUP(A24,健身开支!$A$8:$B$12,2,0)</f>
        <v>A</v>
      </c>
      <c r="K24">
        <f t="shared" si="0"/>
        <v>8</v>
      </c>
    </row>
    <row r="25" spans="1:11" x14ac:dyDescent="0.2">
      <c r="A25" s="4" t="s">
        <v>61</v>
      </c>
      <c r="B25" s="4" t="s">
        <v>35</v>
      </c>
      <c r="C25" s="5">
        <v>0</v>
      </c>
      <c r="D25" s="5">
        <v>0</v>
      </c>
      <c r="E25" s="5">
        <v>390</v>
      </c>
      <c r="F25" s="5">
        <v>120</v>
      </c>
      <c r="G25" s="5">
        <v>100</v>
      </c>
      <c r="H25" s="12">
        <v>0</v>
      </c>
      <c r="I25" s="5">
        <f t="shared" si="1"/>
        <v>610</v>
      </c>
      <c r="J25" s="2" t="str">
        <f>VLOOKUP(A25,健身开支!$A$8:$B$12,2,0)</f>
        <v>A</v>
      </c>
      <c r="K25">
        <f t="shared" si="0"/>
        <v>47</v>
      </c>
    </row>
    <row r="26" spans="1:11" x14ac:dyDescent="0.2">
      <c r="A26" s="4" t="s">
        <v>61</v>
      </c>
      <c r="B26" s="4" t="s">
        <v>36</v>
      </c>
      <c r="C26" s="5">
        <v>800</v>
      </c>
      <c r="D26" s="5">
        <v>220</v>
      </c>
      <c r="E26" s="5">
        <v>400</v>
      </c>
      <c r="F26" s="5">
        <v>100</v>
      </c>
      <c r="G26" s="5">
        <v>115</v>
      </c>
      <c r="H26" s="12">
        <v>0</v>
      </c>
      <c r="I26" s="5">
        <f t="shared" si="1"/>
        <v>1635</v>
      </c>
      <c r="J26" s="2" t="str">
        <f>VLOOKUP(A26,健身开支!$A$8:$B$12,2,0)</f>
        <v>A</v>
      </c>
      <c r="K26">
        <f t="shared" si="0"/>
        <v>7</v>
      </c>
    </row>
    <row r="27" spans="1:11" x14ac:dyDescent="0.2">
      <c r="A27" s="4" t="s">
        <v>62</v>
      </c>
      <c r="B27" s="4" t="s">
        <v>25</v>
      </c>
      <c r="C27" s="5">
        <v>800</v>
      </c>
      <c r="D27" s="5">
        <v>210</v>
      </c>
      <c r="E27" s="5">
        <v>400</v>
      </c>
      <c r="F27" s="5">
        <v>100</v>
      </c>
      <c r="G27" s="5">
        <v>100</v>
      </c>
      <c r="H27" s="12">
        <v>360</v>
      </c>
      <c r="I27" s="5">
        <f t="shared" si="1"/>
        <v>1970</v>
      </c>
      <c r="J27" s="2" t="str">
        <f>VLOOKUP(A27,健身开支!$A$8:$B$12,2,0)</f>
        <v>A</v>
      </c>
      <c r="K27">
        <f t="shared" si="0"/>
        <v>1</v>
      </c>
    </row>
    <row r="28" spans="1:11" x14ac:dyDescent="0.2">
      <c r="A28" s="4" t="s">
        <v>62</v>
      </c>
      <c r="B28" s="4" t="s">
        <v>26</v>
      </c>
      <c r="C28" s="5">
        <v>0</v>
      </c>
      <c r="D28" s="5">
        <v>0</v>
      </c>
      <c r="E28" s="5">
        <v>350</v>
      </c>
      <c r="F28" s="5">
        <v>100</v>
      </c>
      <c r="G28" s="5">
        <v>125</v>
      </c>
      <c r="H28" s="12">
        <v>370</v>
      </c>
      <c r="I28" s="5">
        <f t="shared" si="1"/>
        <v>945</v>
      </c>
      <c r="J28" s="2" t="str">
        <f>VLOOKUP(A28,健身开支!$A$8:$B$12,2,0)</f>
        <v>A</v>
      </c>
      <c r="K28">
        <f t="shared" si="0"/>
        <v>42</v>
      </c>
    </row>
    <row r="29" spans="1:11" x14ac:dyDescent="0.2">
      <c r="A29" s="4" t="s">
        <v>62</v>
      </c>
      <c r="B29" s="4" t="s">
        <v>27</v>
      </c>
      <c r="C29" s="5">
        <v>800</v>
      </c>
      <c r="D29" s="5">
        <v>170</v>
      </c>
      <c r="E29" s="5">
        <v>420</v>
      </c>
      <c r="F29" s="5">
        <v>100</v>
      </c>
      <c r="G29" s="5">
        <v>120</v>
      </c>
      <c r="H29" s="12">
        <v>360</v>
      </c>
      <c r="I29" s="5">
        <f t="shared" si="1"/>
        <v>1970</v>
      </c>
      <c r="J29" s="2" t="str">
        <f>VLOOKUP(A29,健身开支!$A$8:$B$12,2,0)</f>
        <v>A</v>
      </c>
      <c r="K29">
        <f t="shared" si="0"/>
        <v>1</v>
      </c>
    </row>
    <row r="30" spans="1:11" x14ac:dyDescent="0.2">
      <c r="A30" s="4" t="s">
        <v>62</v>
      </c>
      <c r="B30" s="4" t="s">
        <v>28</v>
      </c>
      <c r="C30" s="5">
        <v>0</v>
      </c>
      <c r="D30" s="5">
        <v>0</v>
      </c>
      <c r="E30" s="5">
        <v>400</v>
      </c>
      <c r="F30" s="5">
        <v>120</v>
      </c>
      <c r="G30" s="5">
        <v>100</v>
      </c>
      <c r="H30" s="12">
        <v>360</v>
      </c>
      <c r="I30" s="5">
        <f t="shared" si="1"/>
        <v>980</v>
      </c>
      <c r="J30" s="2" t="str">
        <f>VLOOKUP(A30,健身开支!$A$8:$B$12,2,0)</f>
        <v>A</v>
      </c>
      <c r="K30">
        <f t="shared" si="0"/>
        <v>38</v>
      </c>
    </row>
    <row r="31" spans="1:11" x14ac:dyDescent="0.2">
      <c r="A31" s="4" t="s">
        <v>62</v>
      </c>
      <c r="B31" s="4" t="s">
        <v>29</v>
      </c>
      <c r="C31" s="5">
        <v>800</v>
      </c>
      <c r="D31" s="5">
        <v>150</v>
      </c>
      <c r="E31" s="5">
        <v>420</v>
      </c>
      <c r="F31" s="5">
        <v>100</v>
      </c>
      <c r="G31" s="5">
        <v>100</v>
      </c>
      <c r="H31" s="12">
        <v>380</v>
      </c>
      <c r="I31" s="5">
        <f t="shared" si="1"/>
        <v>1950</v>
      </c>
      <c r="J31" s="2" t="str">
        <f>VLOOKUP(A31,健身开支!$A$8:$B$12,2,0)</f>
        <v>A</v>
      </c>
      <c r="K31">
        <f t="shared" si="0"/>
        <v>4</v>
      </c>
    </row>
    <row r="32" spans="1:11" x14ac:dyDescent="0.2">
      <c r="A32" s="4" t="s">
        <v>62</v>
      </c>
      <c r="B32" s="4" t="s">
        <v>30</v>
      </c>
      <c r="C32" s="5">
        <v>0</v>
      </c>
      <c r="D32" s="5">
        <v>0</v>
      </c>
      <c r="E32" s="5">
        <v>380</v>
      </c>
      <c r="F32" s="5">
        <v>100</v>
      </c>
      <c r="G32" s="5">
        <v>130</v>
      </c>
      <c r="H32" s="12">
        <v>360</v>
      </c>
      <c r="I32" s="5">
        <f t="shared" si="1"/>
        <v>970</v>
      </c>
      <c r="J32" s="2" t="str">
        <f>VLOOKUP(A32,健身开支!$A$8:$B$12,2,0)</f>
        <v>A</v>
      </c>
      <c r="K32">
        <f t="shared" si="0"/>
        <v>41</v>
      </c>
    </row>
    <row r="33" spans="1:11" x14ac:dyDescent="0.2">
      <c r="A33" s="4" t="s">
        <v>62</v>
      </c>
      <c r="B33" s="4" t="s">
        <v>31</v>
      </c>
      <c r="C33" s="5">
        <v>800</v>
      </c>
      <c r="D33" s="5">
        <v>150</v>
      </c>
      <c r="E33" s="5">
        <v>420</v>
      </c>
      <c r="F33" s="5">
        <v>120</v>
      </c>
      <c r="G33" s="5">
        <v>100</v>
      </c>
      <c r="H33" s="12">
        <v>360</v>
      </c>
      <c r="I33" s="5">
        <f t="shared" si="1"/>
        <v>1950</v>
      </c>
      <c r="J33" s="2" t="str">
        <f>VLOOKUP(A33,健身开支!$A$8:$B$12,2,0)</f>
        <v>A</v>
      </c>
      <c r="K33">
        <f t="shared" si="0"/>
        <v>4</v>
      </c>
    </row>
    <row r="34" spans="1:11" x14ac:dyDescent="0.2">
      <c r="A34" s="4" t="s">
        <v>62</v>
      </c>
      <c r="B34" s="4" t="s">
        <v>32</v>
      </c>
      <c r="C34" s="5">
        <v>0</v>
      </c>
      <c r="D34" s="5">
        <v>0</v>
      </c>
      <c r="E34" s="5">
        <v>420</v>
      </c>
      <c r="F34" s="5">
        <v>100</v>
      </c>
      <c r="G34" s="5">
        <v>100</v>
      </c>
      <c r="H34" s="12">
        <v>380</v>
      </c>
      <c r="I34" s="5">
        <f t="shared" si="1"/>
        <v>1000</v>
      </c>
      <c r="J34" s="2" t="str">
        <f>VLOOKUP(A34,健身开支!$A$8:$B$12,2,0)</f>
        <v>A</v>
      </c>
      <c r="K34">
        <f t="shared" si="0"/>
        <v>36</v>
      </c>
    </row>
    <row r="35" spans="1:11" x14ac:dyDescent="0.2">
      <c r="A35" s="4" t="s">
        <v>62</v>
      </c>
      <c r="B35" s="4" t="s">
        <v>33</v>
      </c>
      <c r="C35" s="5">
        <v>800</v>
      </c>
      <c r="D35" s="5">
        <v>150</v>
      </c>
      <c r="E35" s="5">
        <v>400</v>
      </c>
      <c r="F35" s="5">
        <v>120</v>
      </c>
      <c r="G35" s="5">
        <v>110</v>
      </c>
      <c r="H35" s="12">
        <v>360</v>
      </c>
      <c r="I35" s="5">
        <f t="shared" si="1"/>
        <v>1940</v>
      </c>
      <c r="J35" s="2" t="str">
        <f>VLOOKUP(A35,健身开支!$A$8:$B$12,2,0)</f>
        <v>A</v>
      </c>
      <c r="K35">
        <f t="shared" si="0"/>
        <v>6</v>
      </c>
    </row>
    <row r="36" spans="1:11" x14ac:dyDescent="0.2">
      <c r="A36" s="4" t="s">
        <v>62</v>
      </c>
      <c r="B36" s="4" t="s">
        <v>34</v>
      </c>
      <c r="C36" s="5">
        <v>0</v>
      </c>
      <c r="D36" s="5">
        <v>0</v>
      </c>
      <c r="E36" s="5">
        <v>420</v>
      </c>
      <c r="F36" s="5">
        <v>100</v>
      </c>
      <c r="G36" s="5">
        <v>100</v>
      </c>
      <c r="H36" s="12">
        <v>360</v>
      </c>
      <c r="I36" s="5">
        <f t="shared" si="1"/>
        <v>980</v>
      </c>
      <c r="J36" s="2" t="str">
        <f>VLOOKUP(A36,健身开支!$A$8:$B$12,2,0)</f>
        <v>A</v>
      </c>
      <c r="K36">
        <f t="shared" si="0"/>
        <v>38</v>
      </c>
    </row>
    <row r="37" spans="1:11" x14ac:dyDescent="0.2">
      <c r="A37" s="4" t="s">
        <v>62</v>
      </c>
      <c r="B37" s="4" t="s">
        <v>35</v>
      </c>
      <c r="C37" s="5">
        <v>800</v>
      </c>
      <c r="D37" s="5">
        <v>200</v>
      </c>
      <c r="E37" s="5">
        <v>390</v>
      </c>
      <c r="F37" s="5">
        <v>120</v>
      </c>
      <c r="G37" s="5">
        <v>100</v>
      </c>
      <c r="H37" s="12">
        <v>350</v>
      </c>
      <c r="I37" s="5">
        <f t="shared" si="1"/>
        <v>1960</v>
      </c>
      <c r="J37" s="2" t="str">
        <f>VLOOKUP(A37,健身开支!$A$8:$B$12,2,0)</f>
        <v>A</v>
      </c>
      <c r="K37">
        <f t="shared" si="0"/>
        <v>3</v>
      </c>
    </row>
    <row r="38" spans="1:11" x14ac:dyDescent="0.2">
      <c r="A38" s="4" t="s">
        <v>62</v>
      </c>
      <c r="B38" s="4" t="s">
        <v>36</v>
      </c>
      <c r="C38" s="5">
        <v>0</v>
      </c>
      <c r="D38" s="5">
        <v>0</v>
      </c>
      <c r="E38" s="5">
        <v>400</v>
      </c>
      <c r="F38" s="5">
        <v>100</v>
      </c>
      <c r="G38" s="5">
        <v>115</v>
      </c>
      <c r="H38" s="12">
        <v>360</v>
      </c>
      <c r="I38" s="5">
        <f t="shared" si="1"/>
        <v>975</v>
      </c>
      <c r="J38" s="2" t="str">
        <f>VLOOKUP(A38,健身开支!$A$8:$B$12,2,0)</f>
        <v>A</v>
      </c>
      <c r="K38">
        <f t="shared" si="0"/>
        <v>40</v>
      </c>
    </row>
    <row r="39" spans="1:11" x14ac:dyDescent="0.2">
      <c r="A39" s="4" t="s">
        <v>63</v>
      </c>
      <c r="B39" s="4" t="s">
        <v>25</v>
      </c>
      <c r="C39" s="5">
        <v>450</v>
      </c>
      <c r="D39" s="5">
        <v>180</v>
      </c>
      <c r="E39" s="5">
        <v>200</v>
      </c>
      <c r="F39" s="5">
        <v>120</v>
      </c>
      <c r="G39" s="5">
        <v>80</v>
      </c>
      <c r="H39" s="12">
        <v>360</v>
      </c>
      <c r="I39" s="5">
        <f t="shared" si="1"/>
        <v>1390</v>
      </c>
      <c r="J39" s="2" t="str">
        <f>VLOOKUP(A39,健身开支!$A$8:$B$12,2,0)</f>
        <v>B</v>
      </c>
      <c r="K39">
        <f t="shared" si="0"/>
        <v>21</v>
      </c>
    </row>
    <row r="40" spans="1:11" x14ac:dyDescent="0.2">
      <c r="A40" s="4" t="s">
        <v>63</v>
      </c>
      <c r="B40" s="4" t="s">
        <v>26</v>
      </c>
      <c r="C40" s="5">
        <v>450</v>
      </c>
      <c r="D40" s="5">
        <v>180</v>
      </c>
      <c r="E40" s="5">
        <v>300</v>
      </c>
      <c r="F40" s="5">
        <v>120</v>
      </c>
      <c r="G40" s="5">
        <v>80</v>
      </c>
      <c r="H40" s="12">
        <v>360</v>
      </c>
      <c r="I40" s="5">
        <f t="shared" si="1"/>
        <v>1490</v>
      </c>
      <c r="J40" s="2" t="str">
        <f>VLOOKUP(A40,健身开支!$A$8:$B$12,2,0)</f>
        <v>B</v>
      </c>
      <c r="K40">
        <f t="shared" si="0"/>
        <v>14</v>
      </c>
    </row>
    <row r="41" spans="1:11" x14ac:dyDescent="0.2">
      <c r="A41" s="4" t="s">
        <v>63</v>
      </c>
      <c r="B41" s="4" t="s">
        <v>27</v>
      </c>
      <c r="C41" s="5">
        <v>450</v>
      </c>
      <c r="D41" s="5">
        <v>180</v>
      </c>
      <c r="E41" s="5">
        <v>200</v>
      </c>
      <c r="F41" s="5">
        <v>120</v>
      </c>
      <c r="G41" s="5">
        <v>80</v>
      </c>
      <c r="H41" s="12">
        <v>360</v>
      </c>
      <c r="I41" s="5">
        <f t="shared" si="1"/>
        <v>1390</v>
      </c>
      <c r="J41" s="2" t="str">
        <f>VLOOKUP(A41,健身开支!$A$8:$B$12,2,0)</f>
        <v>B</v>
      </c>
      <c r="K41">
        <f t="shared" si="0"/>
        <v>21</v>
      </c>
    </row>
    <row r="42" spans="1:11" x14ac:dyDescent="0.2">
      <c r="A42" s="4" t="s">
        <v>63</v>
      </c>
      <c r="B42" s="4" t="s">
        <v>28</v>
      </c>
      <c r="C42" s="5">
        <v>450</v>
      </c>
      <c r="D42" s="5">
        <v>180</v>
      </c>
      <c r="E42" s="5">
        <v>200</v>
      </c>
      <c r="F42" s="5">
        <v>100</v>
      </c>
      <c r="G42" s="5">
        <v>80</v>
      </c>
      <c r="H42" s="12">
        <v>360</v>
      </c>
      <c r="I42" s="5">
        <f t="shared" si="1"/>
        <v>1370</v>
      </c>
      <c r="J42" s="2" t="str">
        <f>VLOOKUP(A42,健身开支!$A$8:$B$12,2,0)</f>
        <v>B</v>
      </c>
      <c r="K42">
        <f t="shared" si="0"/>
        <v>27</v>
      </c>
    </row>
    <row r="43" spans="1:11" x14ac:dyDescent="0.2">
      <c r="A43" s="4" t="s">
        <v>63</v>
      </c>
      <c r="B43" s="4" t="s">
        <v>29</v>
      </c>
      <c r="C43" s="5">
        <v>450</v>
      </c>
      <c r="D43" s="5">
        <v>180</v>
      </c>
      <c r="E43" s="5">
        <v>210</v>
      </c>
      <c r="F43" s="5">
        <v>120</v>
      </c>
      <c r="G43" s="5">
        <v>80</v>
      </c>
      <c r="H43" s="12">
        <v>360</v>
      </c>
      <c r="I43" s="5">
        <f t="shared" si="1"/>
        <v>1400</v>
      </c>
      <c r="J43" s="2" t="str">
        <f>VLOOKUP(A43,健身开支!$A$8:$B$12,2,0)</f>
        <v>B</v>
      </c>
      <c r="K43">
        <f t="shared" si="0"/>
        <v>20</v>
      </c>
    </row>
    <row r="44" spans="1:11" x14ac:dyDescent="0.2">
      <c r="A44" s="4" t="s">
        <v>63</v>
      </c>
      <c r="B44" s="4" t="s">
        <v>30</v>
      </c>
      <c r="C44" s="5">
        <v>450</v>
      </c>
      <c r="D44" s="5">
        <v>180</v>
      </c>
      <c r="E44" s="5">
        <v>180</v>
      </c>
      <c r="F44" s="5">
        <v>120</v>
      </c>
      <c r="G44" s="5">
        <v>80</v>
      </c>
      <c r="H44" s="12">
        <v>360</v>
      </c>
      <c r="I44" s="5">
        <f t="shared" si="1"/>
        <v>1370</v>
      </c>
      <c r="J44" s="2" t="str">
        <f>VLOOKUP(A44,健身开支!$A$8:$B$12,2,0)</f>
        <v>B</v>
      </c>
      <c r="K44">
        <f t="shared" si="0"/>
        <v>27</v>
      </c>
    </row>
    <row r="45" spans="1:11" x14ac:dyDescent="0.2">
      <c r="A45" s="4" t="s">
        <v>63</v>
      </c>
      <c r="B45" s="4" t="s">
        <v>31</v>
      </c>
      <c r="C45" s="5">
        <v>450</v>
      </c>
      <c r="D45" s="5">
        <v>180</v>
      </c>
      <c r="E45" s="5">
        <v>200</v>
      </c>
      <c r="F45" s="5">
        <v>100</v>
      </c>
      <c r="G45" s="5">
        <v>80</v>
      </c>
      <c r="H45" s="12">
        <v>0</v>
      </c>
      <c r="I45" s="5">
        <f t="shared" si="1"/>
        <v>1010</v>
      </c>
      <c r="J45" s="2" t="str">
        <f>VLOOKUP(A45,健身开支!$A$8:$B$12,2,0)</f>
        <v>B</v>
      </c>
      <c r="K45">
        <f t="shared" si="0"/>
        <v>34</v>
      </c>
    </row>
    <row r="46" spans="1:11" x14ac:dyDescent="0.2">
      <c r="A46" s="4" t="s">
        <v>63</v>
      </c>
      <c r="B46" s="4" t="s">
        <v>32</v>
      </c>
      <c r="C46" s="5">
        <v>450</v>
      </c>
      <c r="D46" s="5">
        <v>180</v>
      </c>
      <c r="E46" s="5">
        <v>210</v>
      </c>
      <c r="F46" s="5">
        <v>120</v>
      </c>
      <c r="G46" s="5">
        <v>80</v>
      </c>
      <c r="H46" s="12">
        <v>0</v>
      </c>
      <c r="I46" s="5">
        <f t="shared" si="1"/>
        <v>1040</v>
      </c>
      <c r="J46" s="2" t="str">
        <f>VLOOKUP(A46,健身开支!$A$8:$B$12,2,0)</f>
        <v>B</v>
      </c>
      <c r="K46">
        <f t="shared" si="0"/>
        <v>31</v>
      </c>
    </row>
    <row r="47" spans="1:11" x14ac:dyDescent="0.2">
      <c r="A47" s="4" t="s">
        <v>63</v>
      </c>
      <c r="B47" s="4" t="s">
        <v>33</v>
      </c>
      <c r="C47" s="5">
        <v>450</v>
      </c>
      <c r="D47" s="5">
        <v>180</v>
      </c>
      <c r="E47" s="5">
        <v>200</v>
      </c>
      <c r="F47" s="5">
        <v>100</v>
      </c>
      <c r="G47" s="5">
        <v>80</v>
      </c>
      <c r="H47" s="12">
        <v>0</v>
      </c>
      <c r="I47" s="5">
        <f t="shared" si="1"/>
        <v>1010</v>
      </c>
      <c r="J47" s="2" t="str">
        <f>VLOOKUP(A47,健身开支!$A$8:$B$12,2,0)</f>
        <v>B</v>
      </c>
      <c r="K47">
        <f t="shared" si="0"/>
        <v>34</v>
      </c>
    </row>
    <row r="48" spans="1:11" x14ac:dyDescent="0.2">
      <c r="A48" s="4" t="s">
        <v>63</v>
      </c>
      <c r="B48" s="4" t="s">
        <v>34</v>
      </c>
      <c r="C48" s="5">
        <v>450</v>
      </c>
      <c r="D48" s="5">
        <v>180</v>
      </c>
      <c r="E48" s="5">
        <v>200</v>
      </c>
      <c r="F48" s="5">
        <v>120</v>
      </c>
      <c r="G48" s="5">
        <v>80</v>
      </c>
      <c r="H48" s="12">
        <v>0</v>
      </c>
      <c r="I48" s="5">
        <f t="shared" si="1"/>
        <v>1030</v>
      </c>
      <c r="J48" s="2" t="str">
        <f>VLOOKUP(A48,健身开支!$A$8:$B$12,2,0)</f>
        <v>B</v>
      </c>
      <c r="K48">
        <f t="shared" si="0"/>
        <v>32</v>
      </c>
    </row>
    <row r="49" spans="1:11" x14ac:dyDescent="0.2">
      <c r="A49" s="4" t="s">
        <v>63</v>
      </c>
      <c r="B49" s="4" t="s">
        <v>35</v>
      </c>
      <c r="C49" s="5">
        <v>450</v>
      </c>
      <c r="D49" s="5">
        <v>180</v>
      </c>
      <c r="E49" s="5">
        <v>180</v>
      </c>
      <c r="F49" s="5">
        <v>100</v>
      </c>
      <c r="G49" s="5">
        <v>80</v>
      </c>
      <c r="H49" s="12">
        <v>0</v>
      </c>
      <c r="I49" s="5">
        <f t="shared" si="1"/>
        <v>990</v>
      </c>
      <c r="J49" s="2" t="str">
        <f>VLOOKUP(A49,健身开支!$A$8:$B$12,2,0)</f>
        <v>B</v>
      </c>
      <c r="K49">
        <f t="shared" si="0"/>
        <v>37</v>
      </c>
    </row>
    <row r="50" spans="1:11" x14ac:dyDescent="0.2">
      <c r="A50" s="4" t="s">
        <v>63</v>
      </c>
      <c r="B50" s="4" t="s">
        <v>36</v>
      </c>
      <c r="C50" s="5">
        <v>450</v>
      </c>
      <c r="D50" s="5">
        <v>180</v>
      </c>
      <c r="E50" s="5">
        <v>200</v>
      </c>
      <c r="F50" s="5">
        <v>120</v>
      </c>
      <c r="G50" s="5">
        <v>80</v>
      </c>
      <c r="H50" s="12">
        <v>0</v>
      </c>
      <c r="I50" s="5">
        <f t="shared" si="1"/>
        <v>1030</v>
      </c>
      <c r="J50" s="2" t="str">
        <f>VLOOKUP(A50,健身开支!$A$8:$B$12,2,0)</f>
        <v>B</v>
      </c>
      <c r="K50">
        <f t="shared" si="0"/>
        <v>32</v>
      </c>
    </row>
  </sheetData>
  <sortState ref="A3:J50">
    <sortCondition ref="A3:A50"/>
    <sortCondition ref="B3:B50" customList="一月,二月,三月,四月,五月,六月,七月,八月,九月,十月,十一月,十二月"/>
  </sortState>
  <mergeCells count="1">
    <mergeCell ref="A1:K1"/>
  </mergeCells>
  <phoneticPr fontId="1" type="noConversion"/>
  <conditionalFormatting sqref="I3:I50">
    <cfRule type="top10" dxfId="1" priority="2" rank="12"/>
  </conditionalFormatting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0E01EE8-DAB9-43EA-9ED8-9B69993E39B5}">
            <x14:iconSet custom="1">
              <x14:cfvo type="percent">
                <xm:f>0</xm:f>
              </x14:cfvo>
              <x14:cfvo type="num">
                <xm:f>15</xm:f>
              </x14:cfvo>
              <x14:cfvo type="num">
                <xm:f>30</xm:f>
              </x14:cfvo>
              <x14:cfIcon iconSet="3Arrows" iconId="2"/>
              <x14:cfIcon iconSet="3ArrowsGray" iconId="1"/>
              <x14:cfIcon iconSet="4RedToBlack" iconId="3"/>
            </x14:iconSet>
          </x14:cfRule>
          <xm:sqref>K3:K50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activeCell="B6" sqref="B6:M6"/>
    </sheetView>
  </sheetViews>
  <sheetFormatPr defaultRowHeight="14.25" x14ac:dyDescent="0.2"/>
  <sheetData>
    <row r="1" spans="1:14" x14ac:dyDescent="0.2">
      <c r="A1" s="24" t="s">
        <v>37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4" ht="15" thickBot="1" x14ac:dyDescent="0.25">
      <c r="A2" s="10" t="s">
        <v>1</v>
      </c>
      <c r="B2" s="10" t="s">
        <v>0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1"/>
    </row>
    <row r="3" spans="1:14" ht="15.75" thickTop="1" thickBot="1" x14ac:dyDescent="0.25">
      <c r="A3" s="10" t="s">
        <v>62</v>
      </c>
      <c r="B3" s="12">
        <v>360</v>
      </c>
      <c r="C3" s="12">
        <v>370</v>
      </c>
      <c r="D3" s="12">
        <v>360</v>
      </c>
      <c r="E3" s="12">
        <v>360</v>
      </c>
      <c r="F3" s="12">
        <v>380</v>
      </c>
      <c r="G3" s="12">
        <v>360</v>
      </c>
      <c r="H3" s="12">
        <v>360</v>
      </c>
      <c r="I3" s="12">
        <v>380</v>
      </c>
      <c r="J3" s="12">
        <v>360</v>
      </c>
      <c r="K3" s="12">
        <v>360</v>
      </c>
      <c r="L3" s="12">
        <v>350</v>
      </c>
      <c r="M3" s="12">
        <v>360</v>
      </c>
      <c r="N3" s="11"/>
    </row>
    <row r="4" spans="1:14" ht="15.75" thickTop="1" thickBot="1" x14ac:dyDescent="0.25">
      <c r="A4" s="10" t="s">
        <v>61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1"/>
    </row>
    <row r="5" spans="1:14" ht="15.75" thickTop="1" thickBot="1" x14ac:dyDescent="0.25">
      <c r="A5" s="10" t="s">
        <v>60</v>
      </c>
      <c r="B5" s="12">
        <v>200</v>
      </c>
      <c r="C5" s="12">
        <v>370</v>
      </c>
      <c r="D5" s="12">
        <v>360</v>
      </c>
      <c r="E5" s="12">
        <v>360</v>
      </c>
      <c r="F5" s="12">
        <v>380</v>
      </c>
      <c r="G5" s="12">
        <v>360</v>
      </c>
      <c r="H5" s="12">
        <v>360</v>
      </c>
      <c r="I5" s="12">
        <v>380</v>
      </c>
      <c r="J5" s="12">
        <v>360</v>
      </c>
      <c r="K5" s="12">
        <v>360</v>
      </c>
      <c r="L5" s="12">
        <v>350</v>
      </c>
      <c r="M5" s="12">
        <v>360</v>
      </c>
      <c r="N5" s="11"/>
    </row>
    <row r="6" spans="1:14" ht="15.75" thickTop="1" thickBot="1" x14ac:dyDescent="0.25">
      <c r="A6" s="10" t="s">
        <v>64</v>
      </c>
      <c r="B6" s="12">
        <v>360</v>
      </c>
      <c r="C6" s="12">
        <v>360</v>
      </c>
      <c r="D6" s="12">
        <v>360</v>
      </c>
      <c r="E6" s="12">
        <v>360</v>
      </c>
      <c r="F6" s="12">
        <v>360</v>
      </c>
      <c r="G6" s="12">
        <v>360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1"/>
    </row>
    <row r="7" spans="1:14" ht="15" thickTop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ht="15" thickBot="1" x14ac:dyDescent="0.25">
      <c r="A8" s="6" t="s">
        <v>66</v>
      </c>
      <c r="B8" s="7" t="s">
        <v>13</v>
      </c>
    </row>
    <row r="9" spans="1:14" ht="15" thickTop="1" x14ac:dyDescent="0.2">
      <c r="A9" s="8" t="s">
        <v>62</v>
      </c>
      <c r="B9" s="8" t="s">
        <v>14</v>
      </c>
    </row>
    <row r="10" spans="1:14" x14ac:dyDescent="0.2">
      <c r="A10" s="9" t="s">
        <v>61</v>
      </c>
      <c r="B10" s="9" t="s">
        <v>14</v>
      </c>
    </row>
    <row r="11" spans="1:14" x14ac:dyDescent="0.2">
      <c r="A11" s="8" t="s">
        <v>60</v>
      </c>
      <c r="B11" s="8" t="s">
        <v>15</v>
      </c>
    </row>
    <row r="12" spans="1:14" x14ac:dyDescent="0.2">
      <c r="A12" s="9" t="s">
        <v>63</v>
      </c>
      <c r="B12" s="9" t="s">
        <v>15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"/>
  <sheetViews>
    <sheetView workbookViewId="0">
      <selection activeCell="B9" sqref="B9"/>
    </sheetView>
  </sheetViews>
  <sheetFormatPr defaultRowHeight="14.25" outlineLevelRow="2" x14ac:dyDescent="0.2"/>
  <cols>
    <col min="1" max="1" width="11.625" customWidth="1"/>
    <col min="2" max="2" width="10.75" customWidth="1"/>
    <col min="3" max="3" width="5.125" customWidth="1"/>
    <col min="4" max="4" width="13.875" customWidth="1"/>
    <col min="5" max="5" width="11.375" customWidth="1"/>
    <col min="6" max="6" width="14" customWidth="1"/>
    <col min="7" max="7" width="12.125" customWidth="1"/>
  </cols>
  <sheetData>
    <row r="1" spans="1:14" ht="15" x14ac:dyDescent="0.2">
      <c r="A1" s="13" t="s">
        <v>39</v>
      </c>
      <c r="B1" s="13" t="s">
        <v>40</v>
      </c>
      <c r="C1" s="13" t="s">
        <v>41</v>
      </c>
      <c r="D1" s="13" t="s">
        <v>42</v>
      </c>
      <c r="E1" s="13" t="s">
        <v>43</v>
      </c>
      <c r="F1" s="13" t="s">
        <v>44</v>
      </c>
      <c r="G1" s="13" t="s">
        <v>45</v>
      </c>
    </row>
    <row r="2" spans="1:14" ht="15.75" outlineLevel="2" x14ac:dyDescent="0.25">
      <c r="A2" s="14" t="s">
        <v>46</v>
      </c>
      <c r="B2" s="14" t="s">
        <v>47</v>
      </c>
      <c r="C2" s="15">
        <v>2</v>
      </c>
      <c r="D2" s="15">
        <v>654</v>
      </c>
      <c r="E2" s="15">
        <v>45321</v>
      </c>
      <c r="F2" s="15">
        <f t="shared" ref="F2:F21" si="0">_xlfn.RANK.EQ(D2,$D$2:$D$84)</f>
        <v>2</v>
      </c>
      <c r="G2" s="15">
        <f t="shared" ref="G2:G21" si="1">_xlfn.RANK.EQ(E2,$E$2:$E$84)</f>
        <v>4</v>
      </c>
    </row>
    <row r="3" spans="1:14" ht="15.75" outlineLevel="2" x14ac:dyDescent="0.25">
      <c r="A3" s="14" t="s">
        <v>46</v>
      </c>
      <c r="B3" s="14" t="s">
        <v>49</v>
      </c>
      <c r="C3" s="17">
        <v>4</v>
      </c>
      <c r="D3" s="17">
        <v>562</v>
      </c>
      <c r="E3" s="17">
        <v>38422</v>
      </c>
      <c r="F3" s="15">
        <f t="shared" si="0"/>
        <v>5</v>
      </c>
      <c r="G3" s="15">
        <f t="shared" si="1"/>
        <v>7</v>
      </c>
    </row>
    <row r="4" spans="1:14" ht="15.75" outlineLevel="2" x14ac:dyDescent="0.25">
      <c r="A4" s="14" t="s">
        <v>46</v>
      </c>
      <c r="B4" s="14" t="s">
        <v>47</v>
      </c>
      <c r="C4" s="15">
        <v>1</v>
      </c>
      <c r="D4" s="15">
        <v>436</v>
      </c>
      <c r="E4" s="15">
        <v>35648</v>
      </c>
      <c r="F4" s="15">
        <f t="shared" si="0"/>
        <v>11</v>
      </c>
      <c r="G4" s="15">
        <f t="shared" si="1"/>
        <v>10</v>
      </c>
    </row>
    <row r="5" spans="1:14" ht="15.75" outlineLevel="2" x14ac:dyDescent="0.25">
      <c r="A5" s="15" t="s">
        <v>54</v>
      </c>
      <c r="B5" s="14" t="s">
        <v>53</v>
      </c>
      <c r="C5" s="15">
        <v>1</v>
      </c>
      <c r="D5" s="15">
        <v>765</v>
      </c>
      <c r="E5" s="15">
        <v>32950</v>
      </c>
      <c r="F5" s="15">
        <f t="shared" si="0"/>
        <v>1</v>
      </c>
      <c r="G5" s="15">
        <f t="shared" si="1"/>
        <v>12</v>
      </c>
    </row>
    <row r="6" spans="1:14" ht="15.75" outlineLevel="2" x14ac:dyDescent="0.25">
      <c r="A6" s="14" t="s">
        <v>46</v>
      </c>
      <c r="B6" s="14" t="s">
        <v>49</v>
      </c>
      <c r="C6" s="17">
        <v>2</v>
      </c>
      <c r="D6" s="17">
        <v>453</v>
      </c>
      <c r="E6" s="17">
        <v>31950</v>
      </c>
      <c r="F6" s="15">
        <f t="shared" si="0"/>
        <v>10</v>
      </c>
      <c r="G6" s="15">
        <f t="shared" si="1"/>
        <v>15</v>
      </c>
    </row>
    <row r="7" spans="1:14" ht="15.75" outlineLevel="2" x14ac:dyDescent="0.25">
      <c r="A7" s="14" t="s">
        <v>46</v>
      </c>
      <c r="B7" s="14" t="s">
        <v>47</v>
      </c>
      <c r="C7" s="15">
        <v>4</v>
      </c>
      <c r="D7" s="15">
        <v>365</v>
      </c>
      <c r="E7" s="15">
        <v>29879</v>
      </c>
      <c r="F7" s="15">
        <f t="shared" si="0"/>
        <v>25</v>
      </c>
      <c r="G7" s="15">
        <f t="shared" si="1"/>
        <v>18</v>
      </c>
    </row>
    <row r="8" spans="1:14" ht="15.75" outlineLevel="2" x14ac:dyDescent="0.25">
      <c r="A8" s="15" t="s">
        <v>54</v>
      </c>
      <c r="B8" s="14" t="s">
        <v>56</v>
      </c>
      <c r="C8" s="15">
        <v>2</v>
      </c>
      <c r="D8" s="15">
        <v>412</v>
      </c>
      <c r="E8" s="15">
        <v>28840</v>
      </c>
      <c r="F8" s="15">
        <f t="shared" si="0"/>
        <v>20</v>
      </c>
      <c r="G8" s="15">
        <f t="shared" si="1"/>
        <v>21</v>
      </c>
    </row>
    <row r="9" spans="1:14" ht="15.75" outlineLevel="2" x14ac:dyDescent="0.25">
      <c r="A9" s="15" t="s">
        <v>54</v>
      </c>
      <c r="B9" s="14" t="s">
        <v>55</v>
      </c>
      <c r="C9" s="15">
        <v>1</v>
      </c>
      <c r="D9" s="15">
        <v>569</v>
      </c>
      <c r="E9" s="15">
        <v>28450</v>
      </c>
      <c r="F9" s="15">
        <f t="shared" si="0"/>
        <v>4</v>
      </c>
      <c r="G9" s="15">
        <f t="shared" si="1"/>
        <v>22</v>
      </c>
    </row>
    <row r="10" spans="1:14" ht="15.75" outlineLevel="2" x14ac:dyDescent="0.25">
      <c r="A10" s="14" t="s">
        <v>58</v>
      </c>
      <c r="B10" s="14" t="s">
        <v>49</v>
      </c>
      <c r="C10" s="17">
        <v>3</v>
      </c>
      <c r="D10" s="17">
        <v>231</v>
      </c>
      <c r="E10" s="17">
        <v>26380</v>
      </c>
      <c r="F10" s="15">
        <f t="shared" si="0"/>
        <v>53</v>
      </c>
      <c r="G10" s="15">
        <f t="shared" si="1"/>
        <v>27</v>
      </c>
    </row>
    <row r="11" spans="1:14" ht="15.75" outlineLevel="2" x14ac:dyDescent="0.25">
      <c r="A11" s="15" t="s">
        <v>54</v>
      </c>
      <c r="B11" s="14" t="s">
        <v>56</v>
      </c>
      <c r="C11" s="15">
        <v>1</v>
      </c>
      <c r="D11" s="15">
        <v>345</v>
      </c>
      <c r="E11" s="15">
        <v>24150</v>
      </c>
      <c r="F11" s="15">
        <f t="shared" si="0"/>
        <v>29</v>
      </c>
      <c r="G11" s="15">
        <f t="shared" si="1"/>
        <v>29</v>
      </c>
    </row>
    <row r="12" spans="1:14" ht="15.75" outlineLevel="2" x14ac:dyDescent="0.25">
      <c r="A12" s="14" t="s">
        <v>58</v>
      </c>
      <c r="B12" s="14" t="s">
        <v>49</v>
      </c>
      <c r="C12" s="17">
        <v>1</v>
      </c>
      <c r="D12" s="17">
        <v>356</v>
      </c>
      <c r="E12" s="17">
        <v>23721</v>
      </c>
      <c r="F12" s="15">
        <f t="shared" si="0"/>
        <v>27</v>
      </c>
      <c r="G12" s="15">
        <f t="shared" si="1"/>
        <v>31</v>
      </c>
    </row>
    <row r="13" spans="1:14" ht="15.75" outlineLevel="2" x14ac:dyDescent="0.25">
      <c r="A13" s="14" t="s">
        <v>46</v>
      </c>
      <c r="B13" s="14" t="s">
        <v>47</v>
      </c>
      <c r="C13" s="15">
        <v>3</v>
      </c>
      <c r="D13" s="15">
        <v>231</v>
      </c>
      <c r="E13" s="15">
        <v>23217</v>
      </c>
      <c r="F13" s="15">
        <f t="shared" si="0"/>
        <v>53</v>
      </c>
      <c r="G13" s="15">
        <f t="shared" si="1"/>
        <v>34</v>
      </c>
      <c r="N13" s="18"/>
    </row>
    <row r="14" spans="1:14" ht="15.75" outlineLevel="2" x14ac:dyDescent="0.25">
      <c r="A14" s="15" t="s">
        <v>54</v>
      </c>
      <c r="B14" s="14" t="s">
        <v>56</v>
      </c>
      <c r="C14" s="15">
        <v>3</v>
      </c>
      <c r="D14" s="15">
        <v>323</v>
      </c>
      <c r="E14" s="15">
        <v>22610</v>
      </c>
      <c r="F14" s="15">
        <f t="shared" si="0"/>
        <v>37</v>
      </c>
      <c r="G14" s="15">
        <f t="shared" si="1"/>
        <v>38</v>
      </c>
    </row>
    <row r="15" spans="1:14" ht="15.75" outlineLevel="2" x14ac:dyDescent="0.25">
      <c r="A15" s="15" t="s">
        <v>54</v>
      </c>
      <c r="B15" s="14" t="s">
        <v>55</v>
      </c>
      <c r="C15" s="15">
        <v>2</v>
      </c>
      <c r="D15" s="15">
        <v>435</v>
      </c>
      <c r="E15" s="15">
        <v>21750</v>
      </c>
      <c r="F15" s="15">
        <f t="shared" si="0"/>
        <v>12</v>
      </c>
      <c r="G15" s="15">
        <f t="shared" si="1"/>
        <v>39</v>
      </c>
    </row>
    <row r="16" spans="1:14" s="19" customFormat="1" ht="15.75" outlineLevel="2" x14ac:dyDescent="0.25">
      <c r="A16" s="15" t="s">
        <v>54</v>
      </c>
      <c r="B16" s="14" t="s">
        <v>53</v>
      </c>
      <c r="C16" s="15">
        <v>2</v>
      </c>
      <c r="D16" s="15">
        <v>654</v>
      </c>
      <c r="E16" s="15">
        <v>19620</v>
      </c>
      <c r="F16" s="15">
        <f t="shared" si="0"/>
        <v>2</v>
      </c>
      <c r="G16" s="15">
        <f t="shared" si="1"/>
        <v>44</v>
      </c>
    </row>
    <row r="17" spans="1:7" s="19" customFormat="1" ht="15.75" outlineLevel="2" x14ac:dyDescent="0.25">
      <c r="A17" s="15" t="s">
        <v>54</v>
      </c>
      <c r="B17" s="14" t="s">
        <v>55</v>
      </c>
      <c r="C17" s="15">
        <v>3</v>
      </c>
      <c r="D17" s="15">
        <v>324</v>
      </c>
      <c r="E17" s="15">
        <v>16200</v>
      </c>
      <c r="F17" s="15">
        <f t="shared" si="0"/>
        <v>35</v>
      </c>
      <c r="G17" s="15">
        <f t="shared" si="1"/>
        <v>50</v>
      </c>
    </row>
    <row r="18" spans="1:7" s="19" customFormat="1" ht="15.75" outlineLevel="2" x14ac:dyDescent="0.25">
      <c r="A18" s="15" t="s">
        <v>54</v>
      </c>
      <c r="B18" s="14" t="s">
        <v>55</v>
      </c>
      <c r="C18" s="15">
        <v>4</v>
      </c>
      <c r="D18" s="15">
        <v>287</v>
      </c>
      <c r="E18" s="15">
        <v>14350</v>
      </c>
      <c r="F18" s="15">
        <f t="shared" si="0"/>
        <v>45</v>
      </c>
      <c r="G18" s="15">
        <f t="shared" si="1"/>
        <v>54</v>
      </c>
    </row>
    <row r="19" spans="1:7" s="19" customFormat="1" ht="15.75" outlineLevel="2" x14ac:dyDescent="0.25">
      <c r="A19" s="15" t="s">
        <v>54</v>
      </c>
      <c r="B19" s="14" t="s">
        <v>56</v>
      </c>
      <c r="C19" s="15">
        <v>4</v>
      </c>
      <c r="D19" s="15">
        <v>187</v>
      </c>
      <c r="E19" s="15">
        <v>13090</v>
      </c>
      <c r="F19" s="15">
        <f t="shared" si="0"/>
        <v>70</v>
      </c>
      <c r="G19" s="15">
        <f t="shared" si="1"/>
        <v>57</v>
      </c>
    </row>
    <row r="20" spans="1:7" ht="15.75" outlineLevel="2" x14ac:dyDescent="0.25">
      <c r="A20" s="15" t="s">
        <v>54</v>
      </c>
      <c r="B20" s="14" t="s">
        <v>53</v>
      </c>
      <c r="C20" s="15">
        <v>3</v>
      </c>
      <c r="D20" s="15">
        <v>365</v>
      </c>
      <c r="E20" s="15">
        <v>10950</v>
      </c>
      <c r="F20" s="15">
        <f t="shared" si="0"/>
        <v>25</v>
      </c>
      <c r="G20" s="15">
        <f t="shared" si="1"/>
        <v>63</v>
      </c>
    </row>
    <row r="21" spans="1:7" ht="15.75" outlineLevel="2" x14ac:dyDescent="0.25">
      <c r="A21" s="15" t="s">
        <v>54</v>
      </c>
      <c r="B21" s="14" t="s">
        <v>53</v>
      </c>
      <c r="C21" s="15">
        <v>4</v>
      </c>
      <c r="D21" s="15">
        <v>342</v>
      </c>
      <c r="E21" s="15">
        <v>10260</v>
      </c>
      <c r="F21" s="15">
        <f t="shared" si="0"/>
        <v>31</v>
      </c>
      <c r="G21" s="15">
        <f t="shared" si="1"/>
        <v>69</v>
      </c>
    </row>
    <row r="22" spans="1:7" ht="15.75" outlineLevel="1" x14ac:dyDescent="0.25">
      <c r="A22" s="20" t="s">
        <v>67</v>
      </c>
      <c r="B22" s="14"/>
      <c r="C22" s="15"/>
      <c r="D22" s="15"/>
      <c r="E22" s="15">
        <f>SUBTOTAL(9,E2:E21)</f>
        <v>497758</v>
      </c>
      <c r="F22" s="15"/>
      <c r="G22" s="15"/>
    </row>
    <row r="23" spans="1:7" ht="15.75" outlineLevel="2" x14ac:dyDescent="0.25">
      <c r="A23" s="14" t="s">
        <v>48</v>
      </c>
      <c r="B23" s="16" t="s">
        <v>49</v>
      </c>
      <c r="C23" s="16">
        <v>4</v>
      </c>
      <c r="D23" s="16">
        <v>416</v>
      </c>
      <c r="E23" s="16">
        <v>42234</v>
      </c>
      <c r="F23" s="15">
        <f t="shared" ref="F23:F42" si="2">_xlfn.RANK.EQ(D23,$D$2:$D$84)</f>
        <v>19</v>
      </c>
      <c r="G23" s="15">
        <f t="shared" ref="G23:G42" si="3">_xlfn.RANK.EQ(E23,$E$2:$E$84)</f>
        <v>5</v>
      </c>
    </row>
    <row r="24" spans="1:7" ht="15.75" outlineLevel="2" x14ac:dyDescent="0.25">
      <c r="A24" s="14" t="s">
        <v>48</v>
      </c>
      <c r="B24" s="15" t="s">
        <v>47</v>
      </c>
      <c r="C24" s="15">
        <v>3</v>
      </c>
      <c r="D24" s="15">
        <v>542</v>
      </c>
      <c r="E24" s="15">
        <v>41234</v>
      </c>
      <c r="F24" s="15">
        <f t="shared" si="2"/>
        <v>7</v>
      </c>
      <c r="G24" s="15">
        <f t="shared" si="3"/>
        <v>6</v>
      </c>
    </row>
    <row r="25" spans="1:7" ht="15.75" outlineLevel="2" x14ac:dyDescent="0.25">
      <c r="A25" s="16" t="s">
        <v>51</v>
      </c>
      <c r="B25" s="16" t="s">
        <v>49</v>
      </c>
      <c r="C25" s="16">
        <v>3</v>
      </c>
      <c r="D25" s="16">
        <v>478</v>
      </c>
      <c r="E25" s="16">
        <v>36290</v>
      </c>
      <c r="F25" s="15">
        <f t="shared" si="2"/>
        <v>9</v>
      </c>
      <c r="G25" s="15">
        <f t="shared" si="3"/>
        <v>9</v>
      </c>
    </row>
    <row r="26" spans="1:7" ht="15.75" outlineLevel="2" x14ac:dyDescent="0.25">
      <c r="A26" s="14" t="s">
        <v>48</v>
      </c>
      <c r="B26" s="16" t="s">
        <v>49</v>
      </c>
      <c r="C26" s="16">
        <v>2</v>
      </c>
      <c r="D26" s="16">
        <v>367</v>
      </c>
      <c r="E26" s="16">
        <v>31785</v>
      </c>
      <c r="F26" s="15">
        <f t="shared" si="2"/>
        <v>24</v>
      </c>
      <c r="G26" s="15">
        <f t="shared" si="3"/>
        <v>16</v>
      </c>
    </row>
    <row r="27" spans="1:7" ht="15.75" outlineLevel="2" x14ac:dyDescent="0.25">
      <c r="A27" s="14" t="s">
        <v>48</v>
      </c>
      <c r="B27" s="15" t="s">
        <v>47</v>
      </c>
      <c r="C27" s="15">
        <v>4</v>
      </c>
      <c r="D27" s="15">
        <v>341</v>
      </c>
      <c r="E27" s="15">
        <v>26785</v>
      </c>
      <c r="F27" s="15">
        <f t="shared" si="2"/>
        <v>33</v>
      </c>
      <c r="G27" s="15">
        <f t="shared" si="3"/>
        <v>24</v>
      </c>
    </row>
    <row r="28" spans="1:7" ht="15.75" outlineLevel="2" x14ac:dyDescent="0.25">
      <c r="A28" s="14" t="s">
        <v>48</v>
      </c>
      <c r="B28" s="15" t="s">
        <v>47</v>
      </c>
      <c r="C28" s="15">
        <v>2</v>
      </c>
      <c r="D28" s="15">
        <v>342</v>
      </c>
      <c r="E28" s="15">
        <v>23718</v>
      </c>
      <c r="F28" s="15">
        <f t="shared" si="2"/>
        <v>31</v>
      </c>
      <c r="G28" s="15">
        <f t="shared" si="3"/>
        <v>32</v>
      </c>
    </row>
    <row r="29" spans="1:7" ht="15.75" outlineLevel="2" x14ac:dyDescent="0.25">
      <c r="A29" s="16" t="s">
        <v>51</v>
      </c>
      <c r="B29" s="16" t="s">
        <v>49</v>
      </c>
      <c r="C29" s="16">
        <v>1</v>
      </c>
      <c r="D29" s="16">
        <v>245</v>
      </c>
      <c r="E29" s="16">
        <v>21718</v>
      </c>
      <c r="F29" s="15">
        <f t="shared" si="2"/>
        <v>49</v>
      </c>
      <c r="G29" s="15">
        <f t="shared" si="3"/>
        <v>40</v>
      </c>
    </row>
    <row r="30" spans="1:7" ht="15.75" outlineLevel="2" x14ac:dyDescent="0.25">
      <c r="A30" s="15" t="s">
        <v>59</v>
      </c>
      <c r="B30" s="14" t="s">
        <v>53</v>
      </c>
      <c r="C30" s="15">
        <v>3</v>
      </c>
      <c r="D30" s="15">
        <v>543</v>
      </c>
      <c r="E30" s="15">
        <v>19290</v>
      </c>
      <c r="F30" s="15">
        <f t="shared" si="2"/>
        <v>6</v>
      </c>
      <c r="G30" s="15">
        <f t="shared" si="3"/>
        <v>45</v>
      </c>
    </row>
    <row r="31" spans="1:7" ht="15.75" outlineLevel="2" x14ac:dyDescent="0.25">
      <c r="A31" s="15" t="s">
        <v>59</v>
      </c>
      <c r="B31" s="14" t="s">
        <v>56</v>
      </c>
      <c r="C31" s="15">
        <v>2</v>
      </c>
      <c r="D31" s="15">
        <v>256</v>
      </c>
      <c r="E31" s="15">
        <v>17920</v>
      </c>
      <c r="F31" s="15">
        <f t="shared" si="2"/>
        <v>48</v>
      </c>
      <c r="G31" s="15">
        <f t="shared" si="3"/>
        <v>48</v>
      </c>
    </row>
    <row r="32" spans="1:7" ht="15.75" outlineLevel="2" x14ac:dyDescent="0.25">
      <c r="A32" s="15" t="s">
        <v>59</v>
      </c>
      <c r="B32" s="14" t="s">
        <v>56</v>
      </c>
      <c r="C32" s="15">
        <v>3</v>
      </c>
      <c r="D32" s="15">
        <v>234</v>
      </c>
      <c r="E32" s="15">
        <v>16380</v>
      </c>
      <c r="F32" s="15">
        <f t="shared" si="2"/>
        <v>50</v>
      </c>
      <c r="G32" s="15">
        <f t="shared" si="3"/>
        <v>49</v>
      </c>
    </row>
    <row r="33" spans="1:7" ht="15.75" outlineLevel="2" x14ac:dyDescent="0.25">
      <c r="A33" s="15" t="s">
        <v>59</v>
      </c>
      <c r="B33" s="14" t="s">
        <v>56</v>
      </c>
      <c r="C33" s="15">
        <v>1</v>
      </c>
      <c r="D33" s="15">
        <v>206</v>
      </c>
      <c r="E33" s="15">
        <v>14420</v>
      </c>
      <c r="F33" s="15">
        <f t="shared" si="2"/>
        <v>65</v>
      </c>
      <c r="G33" s="15">
        <f t="shared" si="3"/>
        <v>53</v>
      </c>
    </row>
    <row r="34" spans="1:7" ht="15.75" outlineLevel="2" x14ac:dyDescent="0.25">
      <c r="A34" s="15" t="s">
        <v>59</v>
      </c>
      <c r="B34" s="14" t="s">
        <v>56</v>
      </c>
      <c r="C34" s="15">
        <v>4</v>
      </c>
      <c r="D34" s="15">
        <v>196</v>
      </c>
      <c r="E34" s="15">
        <v>13720</v>
      </c>
      <c r="F34" s="15">
        <f t="shared" si="2"/>
        <v>68</v>
      </c>
      <c r="G34" s="15">
        <f t="shared" si="3"/>
        <v>56</v>
      </c>
    </row>
    <row r="35" spans="1:7" ht="15.75" outlineLevel="2" x14ac:dyDescent="0.25">
      <c r="A35" s="15" t="s">
        <v>59</v>
      </c>
      <c r="B35" s="14" t="s">
        <v>53</v>
      </c>
      <c r="C35" s="15">
        <v>4</v>
      </c>
      <c r="D35" s="15">
        <v>421</v>
      </c>
      <c r="E35" s="15">
        <v>12630</v>
      </c>
      <c r="F35" s="15">
        <f t="shared" si="2"/>
        <v>17</v>
      </c>
      <c r="G35" s="15">
        <f t="shared" si="3"/>
        <v>59</v>
      </c>
    </row>
    <row r="36" spans="1:7" ht="15.75" outlineLevel="2" x14ac:dyDescent="0.25">
      <c r="A36" s="15" t="s">
        <v>59</v>
      </c>
      <c r="B36" s="14" t="s">
        <v>55</v>
      </c>
      <c r="C36" s="15">
        <v>4</v>
      </c>
      <c r="D36" s="15">
        <v>219</v>
      </c>
      <c r="E36" s="15">
        <v>10950</v>
      </c>
      <c r="F36" s="15">
        <f t="shared" si="2"/>
        <v>56</v>
      </c>
      <c r="G36" s="15">
        <f t="shared" si="3"/>
        <v>63</v>
      </c>
    </row>
    <row r="37" spans="1:7" ht="15.75" outlineLevel="2" x14ac:dyDescent="0.25">
      <c r="A37" s="15" t="s">
        <v>59</v>
      </c>
      <c r="B37" s="14" t="s">
        <v>55</v>
      </c>
      <c r="C37" s="15">
        <v>3</v>
      </c>
      <c r="D37" s="15">
        <v>218</v>
      </c>
      <c r="E37" s="15">
        <v>10900</v>
      </c>
      <c r="F37" s="15">
        <f t="shared" si="2"/>
        <v>58</v>
      </c>
      <c r="G37" s="15">
        <f t="shared" si="3"/>
        <v>65</v>
      </c>
    </row>
    <row r="38" spans="1:7" ht="15.75" outlineLevel="2" x14ac:dyDescent="0.25">
      <c r="A38" s="15" t="s">
        <v>59</v>
      </c>
      <c r="B38" s="14" t="s">
        <v>55</v>
      </c>
      <c r="C38" s="15">
        <v>2</v>
      </c>
      <c r="D38" s="15">
        <v>211</v>
      </c>
      <c r="E38" s="15">
        <v>10550</v>
      </c>
      <c r="F38" s="15">
        <f t="shared" si="2"/>
        <v>64</v>
      </c>
      <c r="G38" s="15">
        <f t="shared" si="3"/>
        <v>68</v>
      </c>
    </row>
    <row r="39" spans="1:7" s="18" customFormat="1" ht="15.75" outlineLevel="2" x14ac:dyDescent="0.25">
      <c r="A39" s="15" t="s">
        <v>59</v>
      </c>
      <c r="B39" s="14" t="s">
        <v>53</v>
      </c>
      <c r="C39" s="15">
        <v>2</v>
      </c>
      <c r="D39" s="15">
        <v>312</v>
      </c>
      <c r="E39" s="15">
        <v>9360</v>
      </c>
      <c r="F39" s="15">
        <f t="shared" si="2"/>
        <v>41</v>
      </c>
      <c r="G39" s="15">
        <f t="shared" si="3"/>
        <v>75</v>
      </c>
    </row>
    <row r="40" spans="1:7" s="18" customFormat="1" ht="15.75" outlineLevel="2" x14ac:dyDescent="0.25">
      <c r="A40" s="15" t="s">
        <v>59</v>
      </c>
      <c r="B40" s="14" t="s">
        <v>55</v>
      </c>
      <c r="C40" s="15">
        <v>1</v>
      </c>
      <c r="D40" s="15">
        <v>167</v>
      </c>
      <c r="E40" s="15">
        <v>8350</v>
      </c>
      <c r="F40" s="15">
        <f t="shared" si="2"/>
        <v>71</v>
      </c>
      <c r="G40" s="15">
        <f t="shared" si="3"/>
        <v>80</v>
      </c>
    </row>
    <row r="41" spans="1:7" s="18" customFormat="1" ht="15.75" outlineLevel="2" x14ac:dyDescent="0.25">
      <c r="A41" s="14" t="s">
        <v>48</v>
      </c>
      <c r="B41" s="15" t="s">
        <v>47</v>
      </c>
      <c r="C41" s="15">
        <v>1</v>
      </c>
      <c r="D41" s="15">
        <v>123</v>
      </c>
      <c r="E41" s="15">
        <v>7685</v>
      </c>
      <c r="F41" s="15">
        <f t="shared" si="2"/>
        <v>78</v>
      </c>
      <c r="G41" s="15">
        <f t="shared" si="3"/>
        <v>82</v>
      </c>
    </row>
    <row r="42" spans="1:7" s="18" customFormat="1" ht="15.75" outlineLevel="2" x14ac:dyDescent="0.25">
      <c r="A42" s="15" t="s">
        <v>59</v>
      </c>
      <c r="B42" s="14" t="s">
        <v>53</v>
      </c>
      <c r="C42" s="15">
        <v>1</v>
      </c>
      <c r="D42" s="15">
        <v>221</v>
      </c>
      <c r="E42" s="15">
        <v>6630</v>
      </c>
      <c r="F42" s="15">
        <f t="shared" si="2"/>
        <v>55</v>
      </c>
      <c r="G42" s="15">
        <f t="shared" si="3"/>
        <v>83</v>
      </c>
    </row>
    <row r="43" spans="1:7" s="18" customFormat="1" ht="15.75" outlineLevel="1" x14ac:dyDescent="0.25">
      <c r="A43" s="20" t="s">
        <v>68</v>
      </c>
      <c r="B43" s="14"/>
      <c r="C43" s="15"/>
      <c r="D43" s="15"/>
      <c r="E43" s="15">
        <f>SUBTOTAL(9,E23:E42)</f>
        <v>382549</v>
      </c>
      <c r="F43" s="15"/>
      <c r="G43" s="15"/>
    </row>
    <row r="44" spans="1:7" ht="15.75" outlineLevel="2" x14ac:dyDescent="0.25">
      <c r="A44" s="15" t="s">
        <v>52</v>
      </c>
      <c r="B44" s="14" t="s">
        <v>53</v>
      </c>
      <c r="C44" s="15">
        <v>4</v>
      </c>
      <c r="D44" s="15">
        <v>432</v>
      </c>
      <c r="E44" s="15">
        <v>32960</v>
      </c>
      <c r="F44" s="15">
        <f t="shared" ref="F44:F63" si="4">_xlfn.RANK.EQ(D44,$D$2:$D$84)</f>
        <v>13</v>
      </c>
      <c r="G44" s="15">
        <f t="shared" ref="G44:G63" si="5">_xlfn.RANK.EQ(E44,$E$2:$E$84)</f>
        <v>11</v>
      </c>
    </row>
    <row r="45" spans="1:7" ht="15.75" outlineLevel="2" x14ac:dyDescent="0.25">
      <c r="A45" s="15" t="s">
        <v>52</v>
      </c>
      <c r="B45" s="14" t="s">
        <v>53</v>
      </c>
      <c r="C45" s="15">
        <v>1</v>
      </c>
      <c r="D45" s="15">
        <v>306</v>
      </c>
      <c r="E45" s="15">
        <v>29180</v>
      </c>
      <c r="F45" s="15">
        <f t="shared" si="4"/>
        <v>42</v>
      </c>
      <c r="G45" s="15">
        <f t="shared" si="5"/>
        <v>20</v>
      </c>
    </row>
    <row r="46" spans="1:7" ht="15.75" outlineLevel="2" x14ac:dyDescent="0.25">
      <c r="A46" s="17" t="s">
        <v>57</v>
      </c>
      <c r="B46" s="14" t="s">
        <v>49</v>
      </c>
      <c r="C46" s="17">
        <v>2</v>
      </c>
      <c r="D46" s="17">
        <v>498</v>
      </c>
      <c r="E46" s="17">
        <v>26680</v>
      </c>
      <c r="F46" s="15">
        <f t="shared" si="4"/>
        <v>8</v>
      </c>
      <c r="G46" s="15">
        <f t="shared" si="5"/>
        <v>25</v>
      </c>
    </row>
    <row r="47" spans="1:7" ht="15.75" outlineLevel="2" x14ac:dyDescent="0.25">
      <c r="A47" s="14" t="s">
        <v>57</v>
      </c>
      <c r="B47" s="14" t="s">
        <v>49</v>
      </c>
      <c r="C47" s="17">
        <v>3</v>
      </c>
      <c r="D47" s="17">
        <v>432</v>
      </c>
      <c r="E47" s="17">
        <v>25030</v>
      </c>
      <c r="F47" s="15">
        <f t="shared" si="4"/>
        <v>13</v>
      </c>
      <c r="G47" s="15">
        <f t="shared" si="5"/>
        <v>28</v>
      </c>
    </row>
    <row r="48" spans="1:7" ht="15.75" outlineLevel="2" x14ac:dyDescent="0.25">
      <c r="A48" s="15" t="s">
        <v>52</v>
      </c>
      <c r="B48" s="14" t="s">
        <v>56</v>
      </c>
      <c r="C48" s="15">
        <v>2</v>
      </c>
      <c r="D48" s="15">
        <v>345</v>
      </c>
      <c r="E48" s="15">
        <v>24150</v>
      </c>
      <c r="F48" s="15">
        <f t="shared" si="4"/>
        <v>29</v>
      </c>
      <c r="G48" s="15">
        <f t="shared" si="5"/>
        <v>29</v>
      </c>
    </row>
    <row r="49" spans="1:7" ht="15.75" outlineLevel="2" x14ac:dyDescent="0.25">
      <c r="A49" s="14" t="s">
        <v>57</v>
      </c>
      <c r="B49" s="14" t="s">
        <v>49</v>
      </c>
      <c r="C49" s="17">
        <v>1</v>
      </c>
      <c r="D49" s="17">
        <v>198</v>
      </c>
      <c r="E49" s="17">
        <v>23461</v>
      </c>
      <c r="F49" s="15">
        <f t="shared" si="4"/>
        <v>67</v>
      </c>
      <c r="G49" s="15">
        <f t="shared" si="5"/>
        <v>33</v>
      </c>
    </row>
    <row r="50" spans="1:7" ht="15.75" outlineLevel="2" x14ac:dyDescent="0.25">
      <c r="A50" s="14" t="s">
        <v>57</v>
      </c>
      <c r="B50" s="15" t="s">
        <v>47</v>
      </c>
      <c r="C50" s="15">
        <v>4</v>
      </c>
      <c r="D50" s="15">
        <v>432</v>
      </c>
      <c r="E50" s="15">
        <v>20563</v>
      </c>
      <c r="F50" s="15">
        <f t="shared" si="4"/>
        <v>13</v>
      </c>
      <c r="G50" s="15">
        <f t="shared" si="5"/>
        <v>41</v>
      </c>
    </row>
    <row r="51" spans="1:7" ht="15.75" outlineLevel="2" x14ac:dyDescent="0.25">
      <c r="A51" s="17" t="s">
        <v>57</v>
      </c>
      <c r="B51" s="14" t="s">
        <v>49</v>
      </c>
      <c r="C51" s="17">
        <v>4</v>
      </c>
      <c r="D51" s="17">
        <v>261</v>
      </c>
      <c r="E51" s="17">
        <v>19860</v>
      </c>
      <c r="F51" s="15">
        <f t="shared" si="4"/>
        <v>46</v>
      </c>
      <c r="G51" s="15">
        <f t="shared" si="5"/>
        <v>43</v>
      </c>
    </row>
    <row r="52" spans="1:7" ht="15.75" outlineLevel="2" x14ac:dyDescent="0.25">
      <c r="A52" s="15" t="s">
        <v>52</v>
      </c>
      <c r="B52" s="14" t="s">
        <v>55</v>
      </c>
      <c r="C52" s="15">
        <v>1</v>
      </c>
      <c r="D52" s="15">
        <v>301</v>
      </c>
      <c r="E52" s="15">
        <v>15050</v>
      </c>
      <c r="F52" s="15">
        <f t="shared" si="4"/>
        <v>43</v>
      </c>
      <c r="G52" s="15">
        <f t="shared" si="5"/>
        <v>51</v>
      </c>
    </row>
    <row r="53" spans="1:7" ht="15.75" outlineLevel="2" x14ac:dyDescent="0.25">
      <c r="A53" s="15" t="s">
        <v>52</v>
      </c>
      <c r="B53" s="14" t="s">
        <v>56</v>
      </c>
      <c r="C53" s="15">
        <v>1</v>
      </c>
      <c r="D53" s="15">
        <v>212</v>
      </c>
      <c r="E53" s="15">
        <v>14840</v>
      </c>
      <c r="F53" s="15">
        <f t="shared" si="4"/>
        <v>63</v>
      </c>
      <c r="G53" s="15">
        <f t="shared" si="5"/>
        <v>52</v>
      </c>
    </row>
    <row r="54" spans="1:7" ht="15.75" outlineLevel="2" x14ac:dyDescent="0.25">
      <c r="A54" s="15" t="s">
        <v>52</v>
      </c>
      <c r="B54" s="14" t="s">
        <v>53</v>
      </c>
      <c r="C54" s="15">
        <v>3</v>
      </c>
      <c r="D54" s="15">
        <v>219</v>
      </c>
      <c r="E54" s="15">
        <v>12990</v>
      </c>
      <c r="F54" s="15">
        <f t="shared" si="4"/>
        <v>56</v>
      </c>
      <c r="G54" s="15">
        <f t="shared" si="5"/>
        <v>58</v>
      </c>
    </row>
    <row r="55" spans="1:7" ht="15.75" outlineLevel="2" x14ac:dyDescent="0.25">
      <c r="A55" s="15" t="s">
        <v>52</v>
      </c>
      <c r="B55" s="14" t="s">
        <v>56</v>
      </c>
      <c r="C55" s="15">
        <v>4</v>
      </c>
      <c r="D55" s="15">
        <v>157</v>
      </c>
      <c r="E55" s="15">
        <v>10990</v>
      </c>
      <c r="F55" s="15">
        <f t="shared" si="4"/>
        <v>73</v>
      </c>
      <c r="G55" s="15">
        <f t="shared" si="5"/>
        <v>62</v>
      </c>
    </row>
    <row r="56" spans="1:7" ht="15.75" outlineLevel="2" x14ac:dyDescent="0.25">
      <c r="A56" s="15" t="s">
        <v>52</v>
      </c>
      <c r="B56" s="14" t="s">
        <v>55</v>
      </c>
      <c r="C56" s="15">
        <v>4</v>
      </c>
      <c r="D56" s="15">
        <v>213</v>
      </c>
      <c r="E56" s="15">
        <v>10650</v>
      </c>
      <c r="F56" s="15">
        <f t="shared" si="4"/>
        <v>62</v>
      </c>
      <c r="G56" s="15">
        <f t="shared" si="5"/>
        <v>67</v>
      </c>
    </row>
    <row r="57" spans="1:7" ht="15.75" outlineLevel="2" x14ac:dyDescent="0.25">
      <c r="A57" s="14" t="s">
        <v>57</v>
      </c>
      <c r="B57" s="15" t="s">
        <v>47</v>
      </c>
      <c r="C57" s="15">
        <v>3</v>
      </c>
      <c r="D57" s="15">
        <v>216</v>
      </c>
      <c r="E57" s="15">
        <v>10238</v>
      </c>
      <c r="F57" s="15">
        <f t="shared" si="4"/>
        <v>61</v>
      </c>
      <c r="G57" s="15">
        <f t="shared" si="5"/>
        <v>70</v>
      </c>
    </row>
    <row r="58" spans="1:7" ht="15.75" outlineLevel="2" x14ac:dyDescent="0.25">
      <c r="A58" s="14" t="s">
        <v>57</v>
      </c>
      <c r="B58" s="15" t="s">
        <v>47</v>
      </c>
      <c r="C58" s="15">
        <v>2</v>
      </c>
      <c r="D58" s="15">
        <v>199</v>
      </c>
      <c r="E58" s="15">
        <v>9675</v>
      </c>
      <c r="F58" s="15">
        <f t="shared" si="4"/>
        <v>66</v>
      </c>
      <c r="G58" s="15">
        <f t="shared" si="5"/>
        <v>71</v>
      </c>
    </row>
    <row r="59" spans="1:7" ht="15.75" outlineLevel="2" x14ac:dyDescent="0.25">
      <c r="A59" s="15" t="s">
        <v>52</v>
      </c>
      <c r="B59" s="14" t="s">
        <v>55</v>
      </c>
      <c r="C59" s="15">
        <v>2</v>
      </c>
      <c r="D59" s="15">
        <v>321</v>
      </c>
      <c r="E59" s="15">
        <v>9630</v>
      </c>
      <c r="F59" s="15">
        <f t="shared" si="4"/>
        <v>39</v>
      </c>
      <c r="G59" s="15">
        <f t="shared" si="5"/>
        <v>73</v>
      </c>
    </row>
    <row r="60" spans="1:7" s="19" customFormat="1" ht="15.75" outlineLevel="2" x14ac:dyDescent="0.25">
      <c r="A60" s="15" t="s">
        <v>52</v>
      </c>
      <c r="B60" s="14" t="s">
        <v>55</v>
      </c>
      <c r="C60" s="15">
        <v>3</v>
      </c>
      <c r="D60" s="15">
        <v>189</v>
      </c>
      <c r="E60" s="15">
        <v>9450</v>
      </c>
      <c r="F60" s="15">
        <f t="shared" si="4"/>
        <v>69</v>
      </c>
      <c r="G60" s="15">
        <f t="shared" si="5"/>
        <v>74</v>
      </c>
    </row>
    <row r="61" spans="1:7" s="19" customFormat="1" ht="15.75" outlineLevel="2" x14ac:dyDescent="0.25">
      <c r="A61" s="15" t="s">
        <v>57</v>
      </c>
      <c r="B61" s="14" t="s">
        <v>53</v>
      </c>
      <c r="C61" s="15">
        <v>2</v>
      </c>
      <c r="D61" s="15">
        <v>148</v>
      </c>
      <c r="E61" s="15">
        <v>9078</v>
      </c>
      <c r="F61" s="15">
        <f t="shared" si="4"/>
        <v>75</v>
      </c>
      <c r="G61" s="15">
        <f t="shared" si="5"/>
        <v>76</v>
      </c>
    </row>
    <row r="62" spans="1:7" s="19" customFormat="1" ht="15.75" outlineLevel="2" x14ac:dyDescent="0.25">
      <c r="A62" s="14" t="s">
        <v>57</v>
      </c>
      <c r="B62" s="15" t="s">
        <v>47</v>
      </c>
      <c r="C62" s="15">
        <v>1</v>
      </c>
      <c r="D62" s="15">
        <v>166</v>
      </c>
      <c r="E62" s="15">
        <v>8765</v>
      </c>
      <c r="F62" s="15">
        <f t="shared" si="4"/>
        <v>72</v>
      </c>
      <c r="G62" s="15">
        <f t="shared" si="5"/>
        <v>78</v>
      </c>
    </row>
    <row r="63" spans="1:7" s="19" customFormat="1" ht="15.75" outlineLevel="2" x14ac:dyDescent="0.25">
      <c r="A63" s="15" t="s">
        <v>52</v>
      </c>
      <c r="B63" s="14" t="s">
        <v>56</v>
      </c>
      <c r="C63" s="15">
        <v>3</v>
      </c>
      <c r="D63" s="15">
        <v>124</v>
      </c>
      <c r="E63" s="15">
        <v>8680</v>
      </c>
      <c r="F63" s="15">
        <f t="shared" si="4"/>
        <v>77</v>
      </c>
      <c r="G63" s="15">
        <f t="shared" si="5"/>
        <v>79</v>
      </c>
    </row>
    <row r="64" spans="1:7" s="19" customFormat="1" ht="15.75" outlineLevel="1" x14ac:dyDescent="0.25">
      <c r="A64" s="20" t="s">
        <v>69</v>
      </c>
      <c r="B64" s="14"/>
      <c r="C64" s="15"/>
      <c r="D64" s="15"/>
      <c r="E64" s="15">
        <f>SUBTOTAL(9,E44:E63)</f>
        <v>331920</v>
      </c>
      <c r="F64" s="15"/>
      <c r="G64" s="15"/>
    </row>
    <row r="65" spans="1:7" ht="15.75" outlineLevel="2" x14ac:dyDescent="0.25">
      <c r="A65" s="15" t="s">
        <v>50</v>
      </c>
      <c r="B65" s="14" t="s">
        <v>49</v>
      </c>
      <c r="C65" s="15">
        <v>4</v>
      </c>
      <c r="D65" s="16">
        <v>408</v>
      </c>
      <c r="E65" s="16">
        <v>37342</v>
      </c>
      <c r="F65" s="15">
        <f t="shared" ref="F65:F84" si="6">_xlfn.RANK.EQ(D65,$D$2:$D$84)</f>
        <v>21</v>
      </c>
      <c r="G65" s="15">
        <f t="shared" ref="G65:G84" si="7">_xlfn.RANK.EQ(E65,$E$2:$E$84)</f>
        <v>8</v>
      </c>
    </row>
    <row r="66" spans="1:7" ht="15.75" outlineLevel="2" x14ac:dyDescent="0.25">
      <c r="A66" s="15" t="s">
        <v>50</v>
      </c>
      <c r="B66" s="14" t="s">
        <v>53</v>
      </c>
      <c r="C66" s="15">
        <v>4</v>
      </c>
      <c r="D66" s="15">
        <v>421</v>
      </c>
      <c r="E66" s="15">
        <v>32534</v>
      </c>
      <c r="F66" s="15">
        <f t="shared" si="6"/>
        <v>17</v>
      </c>
      <c r="G66" s="15">
        <f t="shared" si="7"/>
        <v>13</v>
      </c>
    </row>
    <row r="67" spans="1:7" ht="15.75" outlineLevel="2" x14ac:dyDescent="0.25">
      <c r="A67" s="15" t="s">
        <v>50</v>
      </c>
      <c r="B67" s="14" t="s">
        <v>49</v>
      </c>
      <c r="C67" s="15">
        <v>1</v>
      </c>
      <c r="D67" s="16">
        <v>323</v>
      </c>
      <c r="E67" s="16">
        <v>32256</v>
      </c>
      <c r="F67" s="15">
        <f t="shared" si="6"/>
        <v>37</v>
      </c>
      <c r="G67" s="15">
        <f t="shared" si="7"/>
        <v>14</v>
      </c>
    </row>
    <row r="68" spans="1:7" ht="15.75" outlineLevel="2" x14ac:dyDescent="0.25">
      <c r="A68" s="15" t="s">
        <v>50</v>
      </c>
      <c r="B68" s="14" t="s">
        <v>55</v>
      </c>
      <c r="C68" s="15">
        <v>2</v>
      </c>
      <c r="D68" s="15">
        <v>432</v>
      </c>
      <c r="E68" s="15">
        <v>31256</v>
      </c>
      <c r="F68" s="15">
        <f t="shared" si="6"/>
        <v>13</v>
      </c>
      <c r="G68" s="15">
        <f t="shared" si="7"/>
        <v>17</v>
      </c>
    </row>
    <row r="69" spans="1:7" ht="15.75" outlineLevel="2" x14ac:dyDescent="0.25">
      <c r="A69" s="15" t="s">
        <v>50</v>
      </c>
      <c r="B69" s="14" t="s">
        <v>53</v>
      </c>
      <c r="C69" s="15">
        <v>3</v>
      </c>
      <c r="D69" s="15">
        <v>356</v>
      </c>
      <c r="E69" s="15">
        <v>29342</v>
      </c>
      <c r="F69" s="15">
        <f t="shared" si="6"/>
        <v>27</v>
      </c>
      <c r="G69" s="15">
        <f t="shared" si="7"/>
        <v>19</v>
      </c>
    </row>
    <row r="70" spans="1:7" ht="15.75" outlineLevel="2" x14ac:dyDescent="0.25">
      <c r="A70" s="14" t="s">
        <v>50</v>
      </c>
      <c r="B70" s="14" t="s">
        <v>56</v>
      </c>
      <c r="C70" s="15">
        <v>4</v>
      </c>
      <c r="D70" s="15">
        <v>398</v>
      </c>
      <c r="E70" s="15">
        <v>27860</v>
      </c>
      <c r="F70" s="15">
        <f t="shared" si="6"/>
        <v>22</v>
      </c>
      <c r="G70" s="15">
        <f t="shared" si="7"/>
        <v>23</v>
      </c>
    </row>
    <row r="71" spans="1:7" ht="15.75" outlineLevel="2" x14ac:dyDescent="0.25">
      <c r="A71" s="14" t="s">
        <v>50</v>
      </c>
      <c r="B71" s="14" t="s">
        <v>56</v>
      </c>
      <c r="C71" s="15">
        <v>3</v>
      </c>
      <c r="D71" s="15">
        <v>378</v>
      </c>
      <c r="E71" s="15">
        <v>26460</v>
      </c>
      <c r="F71" s="15">
        <f t="shared" si="6"/>
        <v>23</v>
      </c>
      <c r="G71" s="15">
        <f t="shared" si="7"/>
        <v>26</v>
      </c>
    </row>
    <row r="72" spans="1:7" ht="15.75" outlineLevel="2" x14ac:dyDescent="0.25">
      <c r="A72" s="14" t="s">
        <v>50</v>
      </c>
      <c r="B72" s="14" t="s">
        <v>56</v>
      </c>
      <c r="C72" s="15">
        <v>2</v>
      </c>
      <c r="D72" s="15">
        <v>329</v>
      </c>
      <c r="E72" s="15">
        <v>23030</v>
      </c>
      <c r="F72" s="15">
        <f t="shared" si="6"/>
        <v>34</v>
      </c>
      <c r="G72" s="15">
        <f t="shared" si="7"/>
        <v>35</v>
      </c>
    </row>
    <row r="73" spans="1:7" ht="15.75" outlineLevel="2" x14ac:dyDescent="0.25">
      <c r="A73" s="15" t="s">
        <v>50</v>
      </c>
      <c r="B73" s="14" t="s">
        <v>49</v>
      </c>
      <c r="C73" s="15">
        <v>3</v>
      </c>
      <c r="D73" s="16">
        <v>292</v>
      </c>
      <c r="E73" s="16">
        <v>22786</v>
      </c>
      <c r="F73" s="15">
        <f t="shared" si="6"/>
        <v>44</v>
      </c>
      <c r="G73" s="15">
        <f t="shared" si="7"/>
        <v>36</v>
      </c>
    </row>
    <row r="74" spans="1:7" ht="15.75" outlineLevel="2" x14ac:dyDescent="0.25">
      <c r="A74" s="14" t="s">
        <v>50</v>
      </c>
      <c r="B74" s="14" t="s">
        <v>56</v>
      </c>
      <c r="C74" s="15">
        <v>1</v>
      </c>
      <c r="D74" s="15">
        <v>324</v>
      </c>
      <c r="E74" s="15">
        <v>22680</v>
      </c>
      <c r="F74" s="15">
        <f t="shared" si="6"/>
        <v>35</v>
      </c>
      <c r="G74" s="15">
        <f t="shared" si="7"/>
        <v>37</v>
      </c>
    </row>
    <row r="75" spans="1:7" ht="15.75" outlineLevel="2" x14ac:dyDescent="0.25">
      <c r="A75" s="15" t="s">
        <v>50</v>
      </c>
      <c r="B75" s="14" t="s">
        <v>53</v>
      </c>
      <c r="C75" s="15">
        <v>2</v>
      </c>
      <c r="D75" s="15">
        <v>217</v>
      </c>
      <c r="E75" s="15">
        <v>20453</v>
      </c>
      <c r="F75" s="15">
        <f t="shared" si="6"/>
        <v>59</v>
      </c>
      <c r="G75" s="15">
        <f t="shared" si="7"/>
        <v>42</v>
      </c>
    </row>
    <row r="76" spans="1:7" ht="15.75" outlineLevel="2" x14ac:dyDescent="0.25">
      <c r="A76" s="14" t="s">
        <v>50</v>
      </c>
      <c r="B76" s="15" t="s">
        <v>47</v>
      </c>
      <c r="C76" s="15">
        <v>1</v>
      </c>
      <c r="D76" s="15">
        <v>321</v>
      </c>
      <c r="E76" s="15">
        <v>18976</v>
      </c>
      <c r="F76" s="15">
        <f t="shared" si="6"/>
        <v>39</v>
      </c>
      <c r="G76" s="15">
        <f t="shared" si="7"/>
        <v>46</v>
      </c>
    </row>
    <row r="77" spans="1:7" ht="15.75" outlineLevel="2" x14ac:dyDescent="0.25">
      <c r="A77" s="15" t="s">
        <v>50</v>
      </c>
      <c r="B77" s="14" t="s">
        <v>49</v>
      </c>
      <c r="C77" s="15">
        <v>2</v>
      </c>
      <c r="D77" s="16">
        <v>217</v>
      </c>
      <c r="E77" s="16">
        <v>18178</v>
      </c>
      <c r="F77" s="15">
        <f t="shared" si="6"/>
        <v>59</v>
      </c>
      <c r="G77" s="15">
        <f t="shared" si="7"/>
        <v>47</v>
      </c>
    </row>
    <row r="78" spans="1:7" ht="15.75" outlineLevel="2" x14ac:dyDescent="0.25">
      <c r="A78" s="15" t="s">
        <v>50</v>
      </c>
      <c r="B78" s="14" t="s">
        <v>55</v>
      </c>
      <c r="C78" s="15">
        <v>1</v>
      </c>
      <c r="D78" s="15">
        <v>234</v>
      </c>
      <c r="E78" s="15">
        <v>14321</v>
      </c>
      <c r="F78" s="15">
        <f t="shared" si="6"/>
        <v>50</v>
      </c>
      <c r="G78" s="15">
        <f t="shared" si="7"/>
        <v>55</v>
      </c>
    </row>
    <row r="79" spans="1:7" ht="15.75" outlineLevel="2" x14ac:dyDescent="0.25">
      <c r="A79" s="14" t="s">
        <v>50</v>
      </c>
      <c r="B79" s="15" t="s">
        <v>47</v>
      </c>
      <c r="C79" s="15">
        <v>4</v>
      </c>
      <c r="D79" s="15">
        <v>261</v>
      </c>
      <c r="E79" s="15">
        <v>11675</v>
      </c>
      <c r="F79" s="15">
        <f t="shared" si="6"/>
        <v>46</v>
      </c>
      <c r="G79" s="15">
        <f t="shared" si="7"/>
        <v>60</v>
      </c>
    </row>
    <row r="80" spans="1:7" ht="15.75" outlineLevel="2" x14ac:dyDescent="0.25">
      <c r="A80" s="14" t="s">
        <v>50</v>
      </c>
      <c r="B80" s="15" t="s">
        <v>47</v>
      </c>
      <c r="C80" s="15">
        <v>3</v>
      </c>
      <c r="D80" s="15">
        <v>232</v>
      </c>
      <c r="E80" s="15">
        <v>11298</v>
      </c>
      <c r="F80" s="15">
        <f t="shared" si="6"/>
        <v>52</v>
      </c>
      <c r="G80" s="15">
        <f t="shared" si="7"/>
        <v>61</v>
      </c>
    </row>
    <row r="81" spans="1:7" ht="15.75" outlineLevel="2" x14ac:dyDescent="0.25">
      <c r="A81" s="15" t="s">
        <v>50</v>
      </c>
      <c r="B81" s="14" t="s">
        <v>53</v>
      </c>
      <c r="C81" s="15">
        <v>1</v>
      </c>
      <c r="D81" s="15">
        <v>156</v>
      </c>
      <c r="E81" s="15">
        <v>10786</v>
      </c>
      <c r="F81" s="15">
        <f t="shared" si="6"/>
        <v>74</v>
      </c>
      <c r="G81" s="15">
        <f t="shared" si="7"/>
        <v>66</v>
      </c>
    </row>
    <row r="82" spans="1:7" ht="15.75" outlineLevel="2" x14ac:dyDescent="0.25">
      <c r="A82" s="15" t="s">
        <v>50</v>
      </c>
      <c r="B82" s="14" t="s">
        <v>55</v>
      </c>
      <c r="C82" s="15">
        <v>3</v>
      </c>
      <c r="D82" s="15">
        <v>129</v>
      </c>
      <c r="E82" s="15">
        <v>9637</v>
      </c>
      <c r="F82" s="15">
        <f t="shared" si="6"/>
        <v>76</v>
      </c>
      <c r="G82" s="15">
        <f t="shared" si="7"/>
        <v>72</v>
      </c>
    </row>
    <row r="83" spans="1:7" ht="15.75" outlineLevel="2" x14ac:dyDescent="0.25">
      <c r="A83" s="14" t="s">
        <v>50</v>
      </c>
      <c r="B83" s="15" t="s">
        <v>47</v>
      </c>
      <c r="C83" s="15">
        <v>2</v>
      </c>
      <c r="D83" s="15">
        <v>112</v>
      </c>
      <c r="E83" s="15">
        <v>8798</v>
      </c>
      <c r="F83" s="15">
        <f t="shared" si="6"/>
        <v>79</v>
      </c>
      <c r="G83" s="15">
        <f t="shared" si="7"/>
        <v>77</v>
      </c>
    </row>
    <row r="84" spans="1:7" ht="15.75" outlineLevel="2" x14ac:dyDescent="0.25">
      <c r="A84" s="15" t="s">
        <v>50</v>
      </c>
      <c r="B84" s="14" t="s">
        <v>55</v>
      </c>
      <c r="C84" s="15">
        <v>4</v>
      </c>
      <c r="D84" s="15">
        <v>112</v>
      </c>
      <c r="E84" s="15">
        <v>8178</v>
      </c>
      <c r="F84" s="15">
        <f t="shared" si="6"/>
        <v>79</v>
      </c>
      <c r="G84" s="15">
        <f t="shared" si="7"/>
        <v>81</v>
      </c>
    </row>
    <row r="85" spans="1:7" ht="15.75" outlineLevel="1" x14ac:dyDescent="0.25">
      <c r="A85" s="23" t="s">
        <v>70</v>
      </c>
      <c r="B85" s="22"/>
      <c r="C85" s="21"/>
      <c r="D85" s="21"/>
      <c r="E85" s="21">
        <f>SUBTOTAL(9,E65:E84)</f>
        <v>417846</v>
      </c>
      <c r="F85" s="21"/>
      <c r="G85" s="21"/>
    </row>
    <row r="86" spans="1:7" ht="15.75" x14ac:dyDescent="0.25">
      <c r="A86" s="23" t="s">
        <v>71</v>
      </c>
      <c r="B86" s="22"/>
      <c r="C86" s="21"/>
      <c r="D86" s="21"/>
      <c r="E86" s="21">
        <f>SUBTOTAL(9,E2:E84)</f>
        <v>1630073</v>
      </c>
      <c r="F86" s="21"/>
      <c r="G86" s="21"/>
    </row>
  </sheetData>
  <sortState ref="A2:G81">
    <sortCondition ref="A2:A81"/>
    <sortCondition descending="1" ref="E2:E81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家庭开支统计表</vt:lpstr>
      <vt:lpstr>健身开支</vt:lpstr>
      <vt:lpstr>图书销售情况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wanhan</dc:creator>
  <cp:keywords/>
  <dc:description/>
  <cp:lastModifiedBy>Windows User</cp:lastModifiedBy>
  <cp:revision/>
  <dcterms:created xsi:type="dcterms:W3CDTF">2020-06-01T10:09:08Z</dcterms:created>
  <dcterms:modified xsi:type="dcterms:W3CDTF">2024-10-19T07:51:52Z</dcterms:modified>
  <cp:category/>
  <cp:contentStatus/>
</cp:coreProperties>
</file>