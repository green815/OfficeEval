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K:\高校题库制作系统1ms\StartFile\excel26\"/>
    </mc:Choice>
  </mc:AlternateContent>
  <bookViews>
    <workbookView xWindow="0" yWindow="0" windowWidth="19200" windowHeight="7005"/>
  </bookViews>
  <sheets>
    <sheet name="产品销售统计表" sheetId="1" r:id="rId1"/>
    <sheet name="产品名称与产品序号对照表" sheetId="2" r:id="rId2"/>
    <sheet name="图书销售情况表" sheetId="3" r:id="rId3"/>
  </sheets>
  <definedNames>
    <definedName name="_xlnm._FilterDatabase" localSheetId="0" hidden="1">产品销售统计表!$B$2:$D$2</definedName>
    <definedName name="_xlnm._FilterDatabase" localSheetId="2" hidden="1">图书销售情况表!$A$1:$G$65</definedName>
    <definedName name="_xlnm.Criteria" localSheetId="2">图书销售情况表!#REF!</definedName>
  </definedNames>
  <calcPr calcId="162913"/>
  <pivotCaches>
    <pivotCache cacheId="0" r:id="rId4"/>
  </pivotCaches>
</workbook>
</file>

<file path=xl/calcChain.xml><?xml version="1.0" encoding="utf-8"?>
<calcChain xmlns="http://schemas.openxmlformats.org/spreadsheetml/2006/main">
  <c r="H5" i="1" l="1"/>
  <c r="H6" i="1"/>
  <c r="H7" i="1"/>
  <c r="H4" i="1"/>
  <c r="G5" i="1"/>
  <c r="G6" i="1"/>
  <c r="G7" i="1"/>
  <c r="G4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" i="1"/>
</calcChain>
</file>

<file path=xl/sharedStrings.xml><?xml version="1.0" encoding="utf-8"?>
<sst xmlns="http://schemas.openxmlformats.org/spreadsheetml/2006/main" count="305" uniqueCount="76">
  <si>
    <t>产品名称</t>
    <phoneticPr fontId="1" type="noConversion"/>
  </si>
  <si>
    <t>部门1</t>
  </si>
  <si>
    <t>部门2</t>
  </si>
  <si>
    <t>产品名称</t>
    <phoneticPr fontId="1" type="noConversion"/>
  </si>
  <si>
    <t>备注</t>
  </si>
  <si>
    <t>第1分部</t>
  </si>
  <si>
    <t>交通科学</t>
  </si>
  <si>
    <t>备注填写要求</t>
  </si>
  <si>
    <t>A</t>
    <phoneticPr fontId="1" type="noConversion"/>
  </si>
  <si>
    <t>B</t>
    <phoneticPr fontId="1" type="noConversion"/>
  </si>
  <si>
    <t>部门3</t>
  </si>
  <si>
    <t>销售部门</t>
  </si>
  <si>
    <t>销量额（万元）</t>
    <phoneticPr fontId="1" type="noConversion"/>
  </si>
  <si>
    <t>产品销售情况表</t>
    <phoneticPr fontId="1" type="noConversion"/>
  </si>
  <si>
    <t>A2</t>
    <phoneticPr fontId="1" type="noConversion"/>
  </si>
  <si>
    <t>A3</t>
    <phoneticPr fontId="1" type="noConversion"/>
  </si>
  <si>
    <t>A5</t>
    <phoneticPr fontId="1" type="noConversion"/>
  </si>
  <si>
    <t>B1</t>
    <phoneticPr fontId="1" type="noConversion"/>
  </si>
  <si>
    <t>B2</t>
    <phoneticPr fontId="1" type="noConversion"/>
  </si>
  <si>
    <t>B4</t>
    <phoneticPr fontId="1" type="noConversion"/>
  </si>
  <si>
    <t>B5</t>
    <phoneticPr fontId="1" type="noConversion"/>
  </si>
  <si>
    <t>C1</t>
    <phoneticPr fontId="1" type="noConversion"/>
  </si>
  <si>
    <t>C2</t>
    <phoneticPr fontId="1" type="noConversion"/>
  </si>
  <si>
    <t>C6</t>
    <phoneticPr fontId="1" type="noConversion"/>
  </si>
  <si>
    <t>C5</t>
    <phoneticPr fontId="1" type="noConversion"/>
  </si>
  <si>
    <t>A2</t>
    <phoneticPr fontId="1" type="noConversion"/>
  </si>
  <si>
    <t>A6</t>
    <phoneticPr fontId="1" type="noConversion"/>
  </si>
  <si>
    <t>B1</t>
    <phoneticPr fontId="1" type="noConversion"/>
  </si>
  <si>
    <t>B3</t>
    <phoneticPr fontId="1" type="noConversion"/>
  </si>
  <si>
    <t>B6</t>
    <phoneticPr fontId="1" type="noConversion"/>
  </si>
  <si>
    <t>C1</t>
    <phoneticPr fontId="1" type="noConversion"/>
  </si>
  <si>
    <t>C3</t>
    <phoneticPr fontId="1" type="noConversion"/>
  </si>
  <si>
    <t>C4</t>
    <phoneticPr fontId="1" type="noConversion"/>
  </si>
  <si>
    <t>A4</t>
    <phoneticPr fontId="1" type="noConversion"/>
  </si>
  <si>
    <t>产品序号</t>
    <phoneticPr fontId="1" type="noConversion"/>
  </si>
  <si>
    <r>
      <t>1811</t>
    </r>
    <r>
      <rPr>
        <sz val="12"/>
        <rFont val="宋体"/>
        <family val="3"/>
        <charset val="134"/>
      </rPr>
      <t>X</t>
    </r>
    <phoneticPr fontId="1" type="noConversion"/>
  </si>
  <si>
    <r>
      <t>1721</t>
    </r>
    <r>
      <rPr>
        <sz val="12"/>
        <rFont val="宋体"/>
        <family val="3"/>
        <charset val="134"/>
      </rPr>
      <t>X</t>
    </r>
    <phoneticPr fontId="1" type="noConversion"/>
  </si>
  <si>
    <r>
      <t>1936</t>
    </r>
    <r>
      <rPr>
        <sz val="12"/>
        <rFont val="宋体"/>
        <family val="3"/>
        <charset val="134"/>
      </rPr>
      <t>S</t>
    </r>
    <phoneticPr fontId="1" type="noConversion"/>
  </si>
  <si>
    <r>
      <t>2021</t>
    </r>
    <r>
      <rPr>
        <sz val="12"/>
        <rFont val="宋体"/>
        <family val="3"/>
        <charset val="134"/>
      </rPr>
      <t>S</t>
    </r>
    <phoneticPr fontId="1" type="noConversion"/>
  </si>
  <si>
    <r>
      <t>2156</t>
    </r>
    <r>
      <rPr>
        <sz val="12"/>
        <rFont val="宋体"/>
        <family val="3"/>
        <charset val="134"/>
      </rPr>
      <t>X</t>
    </r>
    <phoneticPr fontId="1" type="noConversion"/>
  </si>
  <si>
    <r>
      <t>2133</t>
    </r>
    <r>
      <rPr>
        <sz val="12"/>
        <rFont val="宋体"/>
        <family val="3"/>
        <charset val="134"/>
      </rPr>
      <t>E</t>
    </r>
    <phoneticPr fontId="1" type="noConversion"/>
  </si>
  <si>
    <r>
      <t>2155</t>
    </r>
    <r>
      <rPr>
        <sz val="12"/>
        <rFont val="宋体"/>
        <family val="3"/>
        <charset val="134"/>
      </rPr>
      <t>E</t>
    </r>
    <phoneticPr fontId="1" type="noConversion"/>
  </si>
  <si>
    <r>
      <t>2089</t>
    </r>
    <r>
      <rPr>
        <sz val="12"/>
        <rFont val="宋体"/>
        <family val="3"/>
        <charset val="134"/>
      </rPr>
      <t>S</t>
    </r>
    <phoneticPr fontId="1" type="noConversion"/>
  </si>
  <si>
    <r>
      <t>1977</t>
    </r>
    <r>
      <rPr>
        <sz val="12"/>
        <rFont val="宋体"/>
        <family val="3"/>
        <charset val="134"/>
      </rPr>
      <t>G</t>
    </r>
    <phoneticPr fontId="1" type="noConversion"/>
  </si>
  <si>
    <r>
      <t>1833</t>
    </r>
    <r>
      <rPr>
        <sz val="12"/>
        <rFont val="宋体"/>
        <family val="3"/>
        <charset val="134"/>
      </rPr>
      <t>Y</t>
    </r>
    <phoneticPr fontId="1" type="noConversion"/>
  </si>
  <si>
    <r>
      <t>1655</t>
    </r>
    <r>
      <rPr>
        <sz val="12"/>
        <rFont val="宋体"/>
        <family val="3"/>
        <charset val="134"/>
      </rPr>
      <t>Y</t>
    </r>
    <phoneticPr fontId="1" type="noConversion"/>
  </si>
  <si>
    <r>
      <t>1911</t>
    </r>
    <r>
      <rPr>
        <sz val="12"/>
        <rFont val="宋体"/>
        <family val="3"/>
        <charset val="134"/>
      </rPr>
      <t>S</t>
    </r>
    <phoneticPr fontId="1" type="noConversion"/>
  </si>
  <si>
    <r>
      <t>1889</t>
    </r>
    <r>
      <rPr>
        <sz val="12"/>
        <rFont val="宋体"/>
        <family val="3"/>
        <charset val="134"/>
      </rPr>
      <t>E</t>
    </r>
    <phoneticPr fontId="1" type="noConversion"/>
  </si>
  <si>
    <r>
      <t>1726</t>
    </r>
    <r>
      <rPr>
        <sz val="12"/>
        <rFont val="宋体"/>
        <family val="3"/>
        <charset val="134"/>
      </rPr>
      <t>G</t>
    </r>
    <phoneticPr fontId="1" type="noConversion"/>
  </si>
  <si>
    <r>
      <t>1922</t>
    </r>
    <r>
      <rPr>
        <sz val="12"/>
        <rFont val="宋体"/>
        <family val="3"/>
        <charset val="134"/>
      </rPr>
      <t>Y</t>
    </r>
    <phoneticPr fontId="1" type="noConversion"/>
  </si>
  <si>
    <t>2166G</t>
    <phoneticPr fontId="1" type="noConversion"/>
  </si>
  <si>
    <t>2152Y</t>
    <phoneticPr fontId="1" type="noConversion"/>
  </si>
  <si>
    <t>部门4</t>
  </si>
  <si>
    <t>经销部门</t>
  </si>
  <si>
    <t>图书类别</t>
  </si>
  <si>
    <t>季度</t>
  </si>
  <si>
    <t>销售数量(册)</t>
  </si>
  <si>
    <t>销售额(元)</t>
  </si>
  <si>
    <t>销售数量排名</t>
  </si>
  <si>
    <t>销售额排名</t>
  </si>
  <si>
    <t>第2分部</t>
  </si>
  <si>
    <t>信息技术</t>
  </si>
  <si>
    <t>第4分部</t>
  </si>
  <si>
    <t>第3分部</t>
  </si>
  <si>
    <t>农业科学</t>
  </si>
  <si>
    <t>工业技术</t>
  </si>
  <si>
    <t>生物科学</t>
  </si>
  <si>
    <t>部门销售情况统计表</t>
    <phoneticPr fontId="1" type="noConversion"/>
  </si>
  <si>
    <t>总销售额（万元）</t>
    <phoneticPr fontId="1" type="noConversion"/>
  </si>
  <si>
    <t>总销售额（万元）</t>
    <phoneticPr fontId="1" type="noConversion"/>
  </si>
  <si>
    <t>&gt;=450</t>
    <phoneticPr fontId="1" type="noConversion"/>
  </si>
  <si>
    <t>&lt;450</t>
    <phoneticPr fontId="1" type="noConversion"/>
  </si>
  <si>
    <t>行标签</t>
  </si>
  <si>
    <t>总计</t>
  </si>
  <si>
    <t>列标签</t>
  </si>
  <si>
    <t>求和项:销售额(元)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</si>
</sst>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2"/>
      <name val="宋体"/>
      <charset val="134"/>
    </font>
    <font>
      <sz val="9"/>
      <name val="宋体"/>
      <family val="3"/>
      <charset val="134"/>
    </font>
    <font>
      <sz val="12"/>
      <name val="宋体"/>
      <family val="3"/>
      <charset val="134"/>
      <scheme val="minor"/>
    </font>
    <font>
      <sz val="12"/>
      <name val="宋体"/>
      <family val="3"/>
      <charset val="134"/>
    </font>
    <font>
      <b/>
      <sz val="12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0" borderId="0" xfId="0" applyNumberFormat="1" applyFont="1"/>
    <xf numFmtId="0" fontId="3" fillId="0" borderId="0" xfId="0" applyFont="1"/>
    <xf numFmtId="0" fontId="0" fillId="0" borderId="0" xfId="0" applyAlignment="1">
      <alignment horizontal="center"/>
    </xf>
    <xf numFmtId="0" fontId="4" fillId="0" borderId="1" xfId="0" applyFont="1" applyBorder="1"/>
    <xf numFmtId="0" fontId="0" fillId="0" borderId="1" xfId="0" applyBorder="1"/>
    <xf numFmtId="0" fontId="3" fillId="0" borderId="1" xfId="0" applyFont="1" applyBorder="1"/>
    <xf numFmtId="0" fontId="0" fillId="0" borderId="1" xfId="0" applyFont="1" applyFill="1" applyBorder="1"/>
    <xf numFmtId="0" fontId="3" fillId="0" borderId="1" xfId="0" applyFont="1" applyFill="1" applyBorder="1"/>
    <xf numFmtId="0" fontId="0" fillId="0" borderId="1" xfId="0" applyFill="1" applyBorder="1"/>
    <xf numFmtId="0" fontId="3" fillId="0" borderId="1" xfId="0" applyFont="1" applyBorder="1" applyAlignment="1">
      <alignment vertical="center"/>
    </xf>
    <xf numFmtId="0" fontId="3" fillId="0" borderId="0" xfId="0" applyFont="1" applyFill="1" applyBorder="1" applyAlignment="1">
      <alignment vertical="center"/>
    </xf>
    <xf numFmtId="0" fontId="3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3" fillId="0" borderId="0" xfId="0" applyNumberFormat="1" applyFont="1"/>
    <xf numFmtId="0" fontId="3" fillId="0" borderId="0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5" xfId="0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/>
    <xf numFmtId="0" fontId="0" fillId="0" borderId="10" xfId="0" applyBorder="1"/>
    <xf numFmtId="0" fontId="0" fillId="0" borderId="0" xfId="0" pivotButton="1"/>
    <xf numFmtId="0" fontId="0" fillId="0" borderId="0" xfId="0" applyNumberFormat="1"/>
    <xf numFmtId="0" fontId="4" fillId="0" borderId="2" xfId="0" applyFont="1" applyBorder="1" applyAlignment="1">
      <alignment horizontal="center"/>
    </xf>
    <xf numFmtId="0" fontId="4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/>
    </xf>
  </cellXfs>
  <cellStyles count="1">
    <cellStyle name="常规" xfId="0" builtinId="0"/>
  </cellStyles>
  <dxfs count="7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gray125">
          <fgColor theme="5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/>
              <a:t>部门销售统计图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产品销售统计表!$G$3</c:f>
              <c:strCache>
                <c:ptCount val="1"/>
                <c:pt idx="0">
                  <c:v>总销售额（万元）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1-3D87-429B-B60B-520EB82C6E73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3-3D87-429B-B60B-520EB82C6E73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5-3D87-429B-B60B-520EB82C6E73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7-3D87-429B-B60B-520EB82C6E7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产品销售统计表!$F$4:$F$7</c:f>
              <c:strCache>
                <c:ptCount val="4"/>
                <c:pt idx="0">
                  <c:v>部门1</c:v>
                </c:pt>
                <c:pt idx="1">
                  <c:v>部门2</c:v>
                </c:pt>
                <c:pt idx="2">
                  <c:v>部门3</c:v>
                </c:pt>
                <c:pt idx="3">
                  <c:v>部门4</c:v>
                </c:pt>
              </c:strCache>
            </c:strRef>
          </c:cat>
          <c:val>
            <c:numRef>
              <c:f>产品销售统计表!$G$4:$G$7</c:f>
              <c:numCache>
                <c:formatCode>General</c:formatCode>
                <c:ptCount val="4"/>
                <c:pt idx="0">
                  <c:v>410</c:v>
                </c:pt>
                <c:pt idx="1">
                  <c:v>551</c:v>
                </c:pt>
                <c:pt idx="2">
                  <c:v>469</c:v>
                </c:pt>
                <c:pt idx="3">
                  <c:v>384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D87-429B-B60B-520EB82C6E7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9</xdr:row>
      <xdr:rowOff>0</xdr:rowOff>
    </xdr:from>
    <xdr:to>
      <xdr:col>8</xdr:col>
      <xdr:colOff>876300</xdr:colOff>
      <xdr:row>24</xdr:row>
      <xdr:rowOff>114300</xdr:rowOff>
    </xdr:to>
    <xdr:graphicFrame macro="">
      <xdr:nvGraphicFramePr>
        <xdr:cNvPr id="4" name="图表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Windows User" refreshedDate="45584.609974421299" createdVersion="6" refreshedVersion="6" minRefreshableVersion="3" recordCount="80">
  <cacheSource type="worksheet">
    <worksheetSource ref="A1:G81" sheet="图书销售情况表"/>
  </cacheSource>
  <cacheFields count="7">
    <cacheField name="经销部门" numFmtId="0">
      <sharedItems count="4">
        <s v="第1分部"/>
        <s v="第2分部"/>
        <s v="第4分部"/>
        <s v="第3分部"/>
      </sharedItems>
    </cacheField>
    <cacheField name="图书类别" numFmtId="0">
      <sharedItems count="5">
        <s v="交通科学"/>
        <s v="信息技术"/>
        <s v="农业科学"/>
        <s v="工业技术"/>
        <s v="生物科学"/>
      </sharedItems>
    </cacheField>
    <cacheField name="季度" numFmtId="0">
      <sharedItems containsSemiMixedTypes="0" containsString="0" containsNumber="1" containsInteger="1" minValue="1" maxValue="4"/>
    </cacheField>
    <cacheField name="销售数量(册)" numFmtId="0">
      <sharedItems containsSemiMixedTypes="0" containsString="0" containsNumber="1" containsInteger="1" minValue="112" maxValue="765"/>
    </cacheField>
    <cacheField name="销售额(元)" numFmtId="0">
      <sharedItems containsSemiMixedTypes="0" containsString="0" containsNumber="1" containsInteger="1" minValue="6630" maxValue="45321"/>
    </cacheField>
    <cacheField name="销售数量排名" numFmtId="0">
      <sharedItems containsSemiMixedTypes="0" containsString="0" containsNumber="1" containsInteger="1" minValue="1" maxValue="79"/>
    </cacheField>
    <cacheField name="销售额排名" numFmtId="0">
      <sharedItems containsSemiMixedTypes="0" containsString="0" containsNumber="1" containsInteger="1" minValue="1" maxValue="8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80">
  <r>
    <x v="0"/>
    <x v="0"/>
    <n v="2"/>
    <n v="654"/>
    <n v="45321"/>
    <n v="2"/>
    <n v="1"/>
  </r>
  <r>
    <x v="1"/>
    <x v="1"/>
    <n v="4"/>
    <n v="416"/>
    <n v="42234"/>
    <n v="19"/>
    <n v="2"/>
  </r>
  <r>
    <x v="1"/>
    <x v="0"/>
    <n v="3"/>
    <n v="542"/>
    <n v="41234"/>
    <n v="7"/>
    <n v="3"/>
  </r>
  <r>
    <x v="0"/>
    <x v="1"/>
    <n v="4"/>
    <n v="562"/>
    <n v="38422"/>
    <n v="5"/>
    <n v="4"/>
  </r>
  <r>
    <x v="2"/>
    <x v="1"/>
    <n v="4"/>
    <n v="408"/>
    <n v="37342"/>
    <n v="21"/>
    <n v="5"/>
  </r>
  <r>
    <x v="1"/>
    <x v="1"/>
    <n v="3"/>
    <n v="478"/>
    <n v="36290"/>
    <n v="9"/>
    <n v="6"/>
  </r>
  <r>
    <x v="0"/>
    <x v="0"/>
    <n v="1"/>
    <n v="436"/>
    <n v="35648"/>
    <n v="11"/>
    <n v="7"/>
  </r>
  <r>
    <x v="3"/>
    <x v="2"/>
    <n v="4"/>
    <n v="432"/>
    <n v="32960"/>
    <n v="13"/>
    <n v="8"/>
  </r>
  <r>
    <x v="0"/>
    <x v="2"/>
    <n v="1"/>
    <n v="765"/>
    <n v="32950"/>
    <n v="1"/>
    <n v="9"/>
  </r>
  <r>
    <x v="2"/>
    <x v="2"/>
    <n v="4"/>
    <n v="421"/>
    <n v="32534"/>
    <n v="17"/>
    <n v="10"/>
  </r>
  <r>
    <x v="2"/>
    <x v="1"/>
    <n v="1"/>
    <n v="323"/>
    <n v="32256"/>
    <n v="37"/>
    <n v="11"/>
  </r>
  <r>
    <x v="0"/>
    <x v="1"/>
    <n v="2"/>
    <n v="453"/>
    <n v="31950"/>
    <n v="10"/>
    <n v="12"/>
  </r>
  <r>
    <x v="1"/>
    <x v="1"/>
    <n v="2"/>
    <n v="367"/>
    <n v="31785"/>
    <n v="24"/>
    <n v="13"/>
  </r>
  <r>
    <x v="2"/>
    <x v="3"/>
    <n v="2"/>
    <n v="432"/>
    <n v="31256"/>
    <n v="13"/>
    <n v="14"/>
  </r>
  <r>
    <x v="0"/>
    <x v="0"/>
    <n v="4"/>
    <n v="365"/>
    <n v="29879"/>
    <n v="25"/>
    <n v="15"/>
  </r>
  <r>
    <x v="2"/>
    <x v="2"/>
    <n v="3"/>
    <n v="356"/>
    <n v="29342"/>
    <n v="27"/>
    <n v="16"/>
  </r>
  <r>
    <x v="3"/>
    <x v="2"/>
    <n v="1"/>
    <n v="306"/>
    <n v="29180"/>
    <n v="42"/>
    <n v="17"/>
  </r>
  <r>
    <x v="0"/>
    <x v="4"/>
    <n v="2"/>
    <n v="412"/>
    <n v="28840"/>
    <n v="20"/>
    <n v="18"/>
  </r>
  <r>
    <x v="0"/>
    <x v="3"/>
    <n v="1"/>
    <n v="569"/>
    <n v="28450"/>
    <n v="4"/>
    <n v="19"/>
  </r>
  <r>
    <x v="2"/>
    <x v="4"/>
    <n v="4"/>
    <n v="398"/>
    <n v="27860"/>
    <n v="22"/>
    <n v="20"/>
  </r>
  <r>
    <x v="1"/>
    <x v="0"/>
    <n v="4"/>
    <n v="341"/>
    <n v="26785"/>
    <n v="33"/>
    <n v="21"/>
  </r>
  <r>
    <x v="3"/>
    <x v="1"/>
    <n v="2"/>
    <n v="498"/>
    <n v="26680"/>
    <n v="8"/>
    <n v="22"/>
  </r>
  <r>
    <x v="2"/>
    <x v="4"/>
    <n v="3"/>
    <n v="378"/>
    <n v="26460"/>
    <n v="23"/>
    <n v="23"/>
  </r>
  <r>
    <x v="0"/>
    <x v="1"/>
    <n v="3"/>
    <n v="231"/>
    <n v="26380"/>
    <n v="53"/>
    <n v="24"/>
  </r>
  <r>
    <x v="3"/>
    <x v="1"/>
    <n v="3"/>
    <n v="432"/>
    <n v="25030"/>
    <n v="13"/>
    <n v="25"/>
  </r>
  <r>
    <x v="0"/>
    <x v="4"/>
    <n v="1"/>
    <n v="345"/>
    <n v="24150"/>
    <n v="29"/>
    <n v="26"/>
  </r>
  <r>
    <x v="3"/>
    <x v="4"/>
    <n v="2"/>
    <n v="345"/>
    <n v="24150"/>
    <n v="29"/>
    <n v="26"/>
  </r>
  <r>
    <x v="0"/>
    <x v="1"/>
    <n v="1"/>
    <n v="356"/>
    <n v="23721"/>
    <n v="27"/>
    <n v="28"/>
  </r>
  <r>
    <x v="1"/>
    <x v="0"/>
    <n v="2"/>
    <n v="342"/>
    <n v="23718"/>
    <n v="31"/>
    <n v="29"/>
  </r>
  <r>
    <x v="3"/>
    <x v="1"/>
    <n v="1"/>
    <n v="198"/>
    <n v="23461"/>
    <n v="67"/>
    <n v="30"/>
  </r>
  <r>
    <x v="0"/>
    <x v="0"/>
    <n v="3"/>
    <n v="231"/>
    <n v="23217"/>
    <n v="53"/>
    <n v="31"/>
  </r>
  <r>
    <x v="2"/>
    <x v="4"/>
    <n v="2"/>
    <n v="329"/>
    <n v="23030"/>
    <n v="34"/>
    <n v="32"/>
  </r>
  <r>
    <x v="2"/>
    <x v="1"/>
    <n v="3"/>
    <n v="292"/>
    <n v="22786"/>
    <n v="44"/>
    <n v="33"/>
  </r>
  <r>
    <x v="2"/>
    <x v="4"/>
    <n v="1"/>
    <n v="324"/>
    <n v="22680"/>
    <n v="35"/>
    <n v="34"/>
  </r>
  <r>
    <x v="0"/>
    <x v="4"/>
    <n v="3"/>
    <n v="323"/>
    <n v="22610"/>
    <n v="37"/>
    <n v="35"/>
  </r>
  <r>
    <x v="0"/>
    <x v="3"/>
    <n v="2"/>
    <n v="435"/>
    <n v="21750"/>
    <n v="12"/>
    <n v="36"/>
  </r>
  <r>
    <x v="1"/>
    <x v="1"/>
    <n v="1"/>
    <n v="245"/>
    <n v="21718"/>
    <n v="49"/>
    <n v="37"/>
  </r>
  <r>
    <x v="3"/>
    <x v="0"/>
    <n v="4"/>
    <n v="432"/>
    <n v="20563"/>
    <n v="13"/>
    <n v="38"/>
  </r>
  <r>
    <x v="2"/>
    <x v="2"/>
    <n v="2"/>
    <n v="217"/>
    <n v="20453"/>
    <n v="59"/>
    <n v="39"/>
  </r>
  <r>
    <x v="3"/>
    <x v="1"/>
    <n v="4"/>
    <n v="261"/>
    <n v="19860"/>
    <n v="46"/>
    <n v="40"/>
  </r>
  <r>
    <x v="0"/>
    <x v="2"/>
    <n v="2"/>
    <n v="654"/>
    <n v="19620"/>
    <n v="2"/>
    <n v="41"/>
  </r>
  <r>
    <x v="1"/>
    <x v="2"/>
    <n v="3"/>
    <n v="543"/>
    <n v="19290"/>
    <n v="6"/>
    <n v="42"/>
  </r>
  <r>
    <x v="2"/>
    <x v="0"/>
    <n v="1"/>
    <n v="321"/>
    <n v="18976"/>
    <n v="39"/>
    <n v="43"/>
  </r>
  <r>
    <x v="2"/>
    <x v="1"/>
    <n v="2"/>
    <n v="217"/>
    <n v="18178"/>
    <n v="59"/>
    <n v="44"/>
  </r>
  <r>
    <x v="1"/>
    <x v="4"/>
    <n v="2"/>
    <n v="256"/>
    <n v="17920"/>
    <n v="48"/>
    <n v="45"/>
  </r>
  <r>
    <x v="1"/>
    <x v="4"/>
    <n v="3"/>
    <n v="234"/>
    <n v="16380"/>
    <n v="50"/>
    <n v="46"/>
  </r>
  <r>
    <x v="0"/>
    <x v="3"/>
    <n v="3"/>
    <n v="324"/>
    <n v="16200"/>
    <n v="35"/>
    <n v="47"/>
  </r>
  <r>
    <x v="3"/>
    <x v="3"/>
    <n v="1"/>
    <n v="301"/>
    <n v="15050"/>
    <n v="43"/>
    <n v="48"/>
  </r>
  <r>
    <x v="3"/>
    <x v="4"/>
    <n v="1"/>
    <n v="212"/>
    <n v="14840"/>
    <n v="63"/>
    <n v="49"/>
  </r>
  <r>
    <x v="1"/>
    <x v="4"/>
    <n v="1"/>
    <n v="206"/>
    <n v="14420"/>
    <n v="65"/>
    <n v="50"/>
  </r>
  <r>
    <x v="0"/>
    <x v="3"/>
    <n v="4"/>
    <n v="287"/>
    <n v="14350"/>
    <n v="45"/>
    <n v="51"/>
  </r>
  <r>
    <x v="2"/>
    <x v="3"/>
    <n v="1"/>
    <n v="234"/>
    <n v="14321"/>
    <n v="50"/>
    <n v="52"/>
  </r>
  <r>
    <x v="1"/>
    <x v="4"/>
    <n v="4"/>
    <n v="196"/>
    <n v="13720"/>
    <n v="68"/>
    <n v="53"/>
  </r>
  <r>
    <x v="0"/>
    <x v="4"/>
    <n v="4"/>
    <n v="187"/>
    <n v="13090"/>
    <n v="70"/>
    <n v="54"/>
  </r>
  <r>
    <x v="3"/>
    <x v="2"/>
    <n v="3"/>
    <n v="219"/>
    <n v="12990"/>
    <n v="56"/>
    <n v="55"/>
  </r>
  <r>
    <x v="1"/>
    <x v="2"/>
    <n v="4"/>
    <n v="421"/>
    <n v="12630"/>
    <n v="17"/>
    <n v="56"/>
  </r>
  <r>
    <x v="2"/>
    <x v="0"/>
    <n v="4"/>
    <n v="261"/>
    <n v="11675"/>
    <n v="46"/>
    <n v="57"/>
  </r>
  <r>
    <x v="2"/>
    <x v="0"/>
    <n v="3"/>
    <n v="232"/>
    <n v="11298"/>
    <n v="52"/>
    <n v="58"/>
  </r>
  <r>
    <x v="3"/>
    <x v="4"/>
    <n v="4"/>
    <n v="157"/>
    <n v="10990"/>
    <n v="73"/>
    <n v="59"/>
  </r>
  <r>
    <x v="0"/>
    <x v="2"/>
    <n v="3"/>
    <n v="365"/>
    <n v="10950"/>
    <n v="25"/>
    <n v="60"/>
  </r>
  <r>
    <x v="1"/>
    <x v="3"/>
    <n v="4"/>
    <n v="219"/>
    <n v="10950"/>
    <n v="56"/>
    <n v="60"/>
  </r>
  <r>
    <x v="1"/>
    <x v="3"/>
    <n v="3"/>
    <n v="218"/>
    <n v="10900"/>
    <n v="58"/>
    <n v="62"/>
  </r>
  <r>
    <x v="2"/>
    <x v="2"/>
    <n v="1"/>
    <n v="156"/>
    <n v="10786"/>
    <n v="74"/>
    <n v="63"/>
  </r>
  <r>
    <x v="3"/>
    <x v="3"/>
    <n v="4"/>
    <n v="213"/>
    <n v="10650"/>
    <n v="62"/>
    <n v="64"/>
  </r>
  <r>
    <x v="1"/>
    <x v="3"/>
    <n v="2"/>
    <n v="211"/>
    <n v="10550"/>
    <n v="64"/>
    <n v="65"/>
  </r>
  <r>
    <x v="0"/>
    <x v="2"/>
    <n v="4"/>
    <n v="342"/>
    <n v="10260"/>
    <n v="31"/>
    <n v="66"/>
  </r>
  <r>
    <x v="3"/>
    <x v="0"/>
    <n v="3"/>
    <n v="216"/>
    <n v="10238"/>
    <n v="61"/>
    <n v="67"/>
  </r>
  <r>
    <x v="3"/>
    <x v="0"/>
    <n v="2"/>
    <n v="199"/>
    <n v="9675"/>
    <n v="66"/>
    <n v="68"/>
  </r>
  <r>
    <x v="2"/>
    <x v="3"/>
    <n v="3"/>
    <n v="129"/>
    <n v="9637"/>
    <n v="76"/>
    <n v="69"/>
  </r>
  <r>
    <x v="3"/>
    <x v="3"/>
    <n v="2"/>
    <n v="321"/>
    <n v="9630"/>
    <n v="39"/>
    <n v="70"/>
  </r>
  <r>
    <x v="3"/>
    <x v="3"/>
    <n v="3"/>
    <n v="189"/>
    <n v="9450"/>
    <n v="69"/>
    <n v="71"/>
  </r>
  <r>
    <x v="1"/>
    <x v="2"/>
    <n v="2"/>
    <n v="312"/>
    <n v="9360"/>
    <n v="41"/>
    <n v="72"/>
  </r>
  <r>
    <x v="3"/>
    <x v="2"/>
    <n v="2"/>
    <n v="148"/>
    <n v="9078"/>
    <n v="75"/>
    <n v="73"/>
  </r>
  <r>
    <x v="2"/>
    <x v="0"/>
    <n v="2"/>
    <n v="112"/>
    <n v="8798"/>
    <n v="79"/>
    <n v="74"/>
  </r>
  <r>
    <x v="3"/>
    <x v="0"/>
    <n v="1"/>
    <n v="166"/>
    <n v="8765"/>
    <n v="72"/>
    <n v="75"/>
  </r>
  <r>
    <x v="3"/>
    <x v="4"/>
    <n v="3"/>
    <n v="124"/>
    <n v="8680"/>
    <n v="77"/>
    <n v="76"/>
  </r>
  <r>
    <x v="1"/>
    <x v="3"/>
    <n v="1"/>
    <n v="167"/>
    <n v="8350"/>
    <n v="71"/>
    <n v="77"/>
  </r>
  <r>
    <x v="2"/>
    <x v="3"/>
    <n v="4"/>
    <n v="112"/>
    <n v="8178"/>
    <n v="79"/>
    <n v="78"/>
  </r>
  <r>
    <x v="1"/>
    <x v="0"/>
    <n v="1"/>
    <n v="123"/>
    <n v="7685"/>
    <n v="78"/>
    <n v="79"/>
  </r>
  <r>
    <x v="1"/>
    <x v="2"/>
    <n v="1"/>
    <n v="221"/>
    <n v="6630"/>
    <n v="55"/>
    <n v="8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1" cacheId="0" applyNumberFormats="0" applyBorderFormats="0" applyFontFormats="0" applyPatternFormats="0" applyAlignmentFormats="0" applyWidthHeightFormats="1" dataCaption="值" updatedVersion="6" minRefreshableVersion="3" useAutoFormatting="1" itemPrintTitles="1" createdVersion="6" indent="0" outline="1" outlineData="1" multipleFieldFilters="0">
  <location ref="I5:N12" firstHeaderRow="1" firstDataRow="2" firstDataCol="1"/>
  <pivotFields count="7">
    <pivotField axis="axisCol" showAll="0">
      <items count="5">
        <item x="0"/>
        <item x="1"/>
        <item x="3"/>
        <item x="2"/>
        <item t="default"/>
      </items>
    </pivotField>
    <pivotField axis="axisRow" showAll="0">
      <items count="6">
        <item x="3"/>
        <item x="0"/>
        <item x="2"/>
        <item x="4"/>
        <item x="1"/>
        <item t="default"/>
      </items>
    </pivotField>
    <pivotField showAll="0"/>
    <pivotField showAll="0"/>
    <pivotField dataField="1" showAll="0"/>
    <pivotField showAll="0"/>
    <pivotField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0"/>
  </colFields>
  <colItems count="5">
    <i>
      <x/>
    </i>
    <i>
      <x v="1"/>
    </i>
    <i>
      <x v="2"/>
    </i>
    <i>
      <x v="3"/>
    </i>
    <i t="grand">
      <x/>
    </i>
  </colItems>
  <dataFields count="1">
    <dataField name="求和项:销售额(元)" fld="4" baseField="0" baseItem="0"/>
  </dataFields>
  <pivotTableStyleInfo name="PivotStyleLight2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表1" displayName="表1" ref="F3:H7" totalsRowShown="0" headerRowBorderDxfId="5" tableBorderDxfId="4" totalsRowBorderDxfId="3">
  <autoFilter ref="F3:H7"/>
  <tableColumns count="3">
    <tableColumn id="1" name="销售部门" dataDxfId="2"/>
    <tableColumn id="2" name="总销售额（万元）" dataDxfId="1">
      <calculatedColumnFormula>SUMIF($A$3:$A$36,F4,$D$3:$D$36)</calculatedColumnFormula>
    </tableColumn>
    <tableColumn id="3" name="备注" dataDxfId="0">
      <calculatedColumnFormula>IF(G4&gt;=450,"A","B")</calculatedColumnFormula>
    </tableColumn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0"/>
  <sheetViews>
    <sheetView tabSelected="1" topLeftCell="D1" workbookViewId="0">
      <selection activeCell="F10" sqref="F10"/>
    </sheetView>
  </sheetViews>
  <sheetFormatPr defaultRowHeight="14.25" x14ac:dyDescent="0.15"/>
  <cols>
    <col min="2" max="2" width="8.875" customWidth="1"/>
    <col min="3" max="3" width="10.625" customWidth="1"/>
    <col min="4" max="4" width="14.375" customWidth="1"/>
    <col min="6" max="6" width="10.75" customWidth="1"/>
    <col min="7" max="7" width="18.75" customWidth="1"/>
    <col min="8" max="8" width="6.875" customWidth="1"/>
    <col min="9" max="9" width="13.5" customWidth="1"/>
    <col min="10" max="10" width="16.25" customWidth="1"/>
    <col min="11" max="11" width="6.125" customWidth="1"/>
  </cols>
  <sheetData>
    <row r="1" spans="1:11" x14ac:dyDescent="0.15">
      <c r="A1" s="32" t="s">
        <v>13</v>
      </c>
      <c r="B1" s="32"/>
      <c r="C1" s="32"/>
      <c r="D1" s="32"/>
    </row>
    <row r="2" spans="1:11" x14ac:dyDescent="0.15">
      <c r="A2" t="s">
        <v>11</v>
      </c>
      <c r="B2" t="s">
        <v>0</v>
      </c>
      <c r="C2" s="2" t="s">
        <v>34</v>
      </c>
      <c r="D2" s="2" t="s">
        <v>12</v>
      </c>
      <c r="F2" s="31" t="s">
        <v>67</v>
      </c>
      <c r="G2" s="31"/>
      <c r="H2" s="31"/>
    </row>
    <row r="3" spans="1:11" x14ac:dyDescent="0.15">
      <c r="A3" t="s">
        <v>1</v>
      </c>
      <c r="B3" s="1" t="s">
        <v>17</v>
      </c>
      <c r="C3" s="1" t="str">
        <f>VLOOKUP(B3,产品名称与产品序号对照表!A:B,2,0)</f>
        <v>2133E</v>
      </c>
      <c r="D3">
        <v>49</v>
      </c>
      <c r="F3" s="22" t="s">
        <v>11</v>
      </c>
      <c r="G3" s="23" t="s">
        <v>68</v>
      </c>
      <c r="H3" s="24" t="s">
        <v>4</v>
      </c>
      <c r="J3" s="30" t="s">
        <v>7</v>
      </c>
      <c r="K3" s="30"/>
    </row>
    <row r="4" spans="1:11" x14ac:dyDescent="0.15">
      <c r="A4" t="s">
        <v>2</v>
      </c>
      <c r="B4" s="1" t="s">
        <v>24</v>
      </c>
      <c r="C4" s="1" t="str">
        <f>VLOOKUP(B4,产品名称与产品序号对照表!A:B,2,0)</f>
        <v>2166G</v>
      </c>
      <c r="D4">
        <v>42</v>
      </c>
      <c r="F4" s="20" t="s">
        <v>1</v>
      </c>
      <c r="G4" s="5">
        <f>SUMIF($A$3:$A$36,F4,$D$3:$D$36)</f>
        <v>410</v>
      </c>
      <c r="H4" s="21" t="str">
        <f>IF(G4&gt;=450,"A","B")</f>
        <v>B</v>
      </c>
      <c r="J4" s="18" t="s">
        <v>69</v>
      </c>
      <c r="K4" s="19" t="s">
        <v>4</v>
      </c>
    </row>
    <row r="5" spans="1:11" x14ac:dyDescent="0.15">
      <c r="A5" t="s">
        <v>2</v>
      </c>
      <c r="B5" s="2" t="s">
        <v>16</v>
      </c>
      <c r="C5" s="1" t="str">
        <f>VLOOKUP(B5,产品名称与产品序号对照表!A:B,2,0)</f>
        <v>2021S</v>
      </c>
      <c r="D5">
        <v>36</v>
      </c>
      <c r="F5" s="20" t="s">
        <v>2</v>
      </c>
      <c r="G5" s="5">
        <f t="shared" ref="G5:G7" si="0">SUMIF($A$3:$A$36,F5,$D$3:$D$36)</f>
        <v>551</v>
      </c>
      <c r="H5" s="21" t="str">
        <f t="shared" ref="H5:H7" si="1">IF(G5&gt;=450,"A","B")</f>
        <v>A</v>
      </c>
      <c r="J5" s="10" t="s">
        <v>70</v>
      </c>
      <c r="K5" s="10" t="s">
        <v>8</v>
      </c>
    </row>
    <row r="6" spans="1:11" x14ac:dyDescent="0.15">
      <c r="A6" t="s">
        <v>1</v>
      </c>
      <c r="B6" s="1" t="s">
        <v>20</v>
      </c>
      <c r="C6" s="1" t="str">
        <f>VLOOKUP(B6,产品名称与产品序号对照表!A:B,2,0)</f>
        <v>1833Y</v>
      </c>
      <c r="D6">
        <v>48</v>
      </c>
      <c r="F6" s="20" t="s">
        <v>10</v>
      </c>
      <c r="G6" s="5">
        <f t="shared" si="0"/>
        <v>469</v>
      </c>
      <c r="H6" s="21" t="str">
        <f t="shared" si="1"/>
        <v>A</v>
      </c>
      <c r="J6" s="10" t="s">
        <v>71</v>
      </c>
      <c r="K6" s="10" t="s">
        <v>9</v>
      </c>
    </row>
    <row r="7" spans="1:11" x14ac:dyDescent="0.15">
      <c r="A7" t="s">
        <v>1</v>
      </c>
      <c r="B7" s="1" t="s">
        <v>15</v>
      </c>
      <c r="C7" s="1" t="str">
        <f>VLOOKUP(B7,产品名称与产品序号对照表!A:B,2,0)</f>
        <v>1721X</v>
      </c>
      <c r="D7">
        <v>51</v>
      </c>
      <c r="F7" s="25" t="s">
        <v>52</v>
      </c>
      <c r="G7" s="26">
        <f t="shared" si="0"/>
        <v>384</v>
      </c>
      <c r="H7" s="27" t="str">
        <f t="shared" si="1"/>
        <v>B</v>
      </c>
      <c r="J7" s="17"/>
      <c r="K7" s="17"/>
    </row>
    <row r="8" spans="1:11" x14ac:dyDescent="0.15">
      <c r="A8" t="s">
        <v>2</v>
      </c>
      <c r="B8" s="2" t="s">
        <v>19</v>
      </c>
      <c r="C8" s="1" t="str">
        <f>VLOOKUP(B8,产品名称与产品序号对照表!A:B,2,0)</f>
        <v>1977G</v>
      </c>
      <c r="D8">
        <v>78</v>
      </c>
    </row>
    <row r="9" spans="1:11" x14ac:dyDescent="0.15">
      <c r="A9" t="s">
        <v>2</v>
      </c>
      <c r="B9" s="2" t="s">
        <v>30</v>
      </c>
      <c r="C9" s="1" t="str">
        <f>VLOOKUP(B9,产品名称与产品序号对照表!A:B,2,0)</f>
        <v>1911S</v>
      </c>
      <c r="D9">
        <v>67</v>
      </c>
      <c r="F9" s="3"/>
      <c r="G9" s="11"/>
    </row>
    <row r="10" spans="1:11" x14ac:dyDescent="0.15">
      <c r="A10" t="s">
        <v>2</v>
      </c>
      <c r="B10" s="2" t="s">
        <v>33</v>
      </c>
      <c r="C10" s="1" t="str">
        <f>VLOOKUP(B10,产品名称与产品序号对照表!A:B,2,0)</f>
        <v>1936S</v>
      </c>
      <c r="D10">
        <v>45</v>
      </c>
      <c r="F10" s="3"/>
    </row>
    <row r="11" spans="1:11" x14ac:dyDescent="0.15">
      <c r="A11" t="s">
        <v>1</v>
      </c>
      <c r="B11" s="1" t="s">
        <v>18</v>
      </c>
      <c r="C11" s="1" t="str">
        <f>VLOOKUP(B11,产品名称与产品序号对照表!A:B,2,0)</f>
        <v>2155E</v>
      </c>
      <c r="D11">
        <v>65</v>
      </c>
      <c r="F11" s="3"/>
    </row>
    <row r="12" spans="1:11" x14ac:dyDescent="0.15">
      <c r="A12" t="s">
        <v>1</v>
      </c>
      <c r="B12" s="1" t="s">
        <v>14</v>
      </c>
      <c r="C12" s="1" t="str">
        <f>VLOOKUP(B12,产品名称与产品序号对照表!A:B,2,0)</f>
        <v>1811X</v>
      </c>
      <c r="D12">
        <v>75</v>
      </c>
      <c r="F12" s="3"/>
    </row>
    <row r="13" spans="1:11" x14ac:dyDescent="0.15">
      <c r="A13" t="s">
        <v>1</v>
      </c>
      <c r="B13" s="1" t="s">
        <v>16</v>
      </c>
      <c r="C13" s="1" t="str">
        <f>VLOOKUP(B13,产品名称与产品序号对照表!A:B,2,0)</f>
        <v>2021S</v>
      </c>
      <c r="D13">
        <v>26</v>
      </c>
      <c r="F13" s="3"/>
    </row>
    <row r="14" spans="1:11" x14ac:dyDescent="0.15">
      <c r="A14" t="s">
        <v>1</v>
      </c>
      <c r="B14" s="1" t="s">
        <v>22</v>
      </c>
      <c r="C14" s="1" t="str">
        <f>VLOOKUP(B14,产品名称与产品序号对照表!A:B,2,0)</f>
        <v>1889E</v>
      </c>
      <c r="D14">
        <v>23</v>
      </c>
      <c r="F14" s="3"/>
    </row>
    <row r="15" spans="1:11" x14ac:dyDescent="0.15">
      <c r="A15" t="s">
        <v>10</v>
      </c>
      <c r="B15" s="2" t="s">
        <v>22</v>
      </c>
      <c r="C15" s="1" t="str">
        <f>VLOOKUP(B15,产品名称与产品序号对照表!A:B,2,0)</f>
        <v>1889E</v>
      </c>
      <c r="D15">
        <v>57</v>
      </c>
      <c r="F15" s="3"/>
    </row>
    <row r="16" spans="1:11" x14ac:dyDescent="0.15">
      <c r="A16" t="s">
        <v>52</v>
      </c>
      <c r="B16" s="2" t="s">
        <v>27</v>
      </c>
      <c r="C16" s="1" t="str">
        <f>VLOOKUP(B16,产品名称与产品序号对照表!A:B,2,0)</f>
        <v>2133E</v>
      </c>
      <c r="D16">
        <v>18</v>
      </c>
      <c r="F16" s="3"/>
    </row>
    <row r="17" spans="1:8" x14ac:dyDescent="0.15">
      <c r="A17" t="s">
        <v>10</v>
      </c>
      <c r="B17" s="1" t="s">
        <v>28</v>
      </c>
      <c r="C17" s="1" t="str">
        <f>VLOOKUP(B17,产品名称与产品序号对照表!A:B,2,0)</f>
        <v>2089S</v>
      </c>
      <c r="D17">
        <v>34</v>
      </c>
      <c r="F17" s="3"/>
    </row>
    <row r="18" spans="1:8" x14ac:dyDescent="0.15">
      <c r="A18" t="s">
        <v>52</v>
      </c>
      <c r="B18" s="2" t="s">
        <v>31</v>
      </c>
      <c r="C18" s="1" t="str">
        <f>VLOOKUP(B18,产品名称与产品序号对照表!A:B,2,0)</f>
        <v>1726G</v>
      </c>
      <c r="D18">
        <v>89</v>
      </c>
      <c r="F18" s="3"/>
      <c r="H18" s="14"/>
    </row>
    <row r="19" spans="1:8" x14ac:dyDescent="0.15">
      <c r="A19" t="s">
        <v>52</v>
      </c>
      <c r="B19" s="1" t="s">
        <v>21</v>
      </c>
      <c r="C19" s="1" t="str">
        <f>VLOOKUP(B19,产品名称与产品序号对照表!A:B,2,0)</f>
        <v>1911S</v>
      </c>
      <c r="D19">
        <v>71</v>
      </c>
      <c r="F19" s="3"/>
      <c r="H19" s="14"/>
    </row>
    <row r="20" spans="1:8" x14ac:dyDescent="0.15">
      <c r="A20" t="s">
        <v>10</v>
      </c>
      <c r="B20" s="1" t="s">
        <v>29</v>
      </c>
      <c r="C20" s="1" t="str">
        <f>VLOOKUP(B20,产品名称与产品序号对照表!A:B,2,0)</f>
        <v>1655Y</v>
      </c>
      <c r="D20">
        <v>87</v>
      </c>
      <c r="H20" s="14"/>
    </row>
    <row r="21" spans="1:8" x14ac:dyDescent="0.15">
      <c r="A21" t="s">
        <v>10</v>
      </c>
      <c r="B21" s="1" t="s">
        <v>32</v>
      </c>
      <c r="C21" s="1" t="str">
        <f>VLOOKUP(B21,产品名称与产品序号对照表!A:B,2,0)</f>
        <v>1922Y</v>
      </c>
      <c r="D21">
        <v>56</v>
      </c>
      <c r="H21" s="14"/>
    </row>
    <row r="22" spans="1:8" x14ac:dyDescent="0.15">
      <c r="A22" t="s">
        <v>2</v>
      </c>
      <c r="B22" s="2" t="s">
        <v>23</v>
      </c>
      <c r="C22" s="1" t="str">
        <f>VLOOKUP(B22,产品名称与产品序号对照表!A:B,2,0)</f>
        <v>2152Y</v>
      </c>
      <c r="D22">
        <v>39</v>
      </c>
      <c r="H22" s="14"/>
    </row>
    <row r="23" spans="1:8" x14ac:dyDescent="0.15">
      <c r="A23" t="s">
        <v>52</v>
      </c>
      <c r="B23" s="2" t="s">
        <v>24</v>
      </c>
      <c r="C23" s="1" t="str">
        <f>VLOOKUP(B23,产品名称与产品序号对照表!A:B,2,0)</f>
        <v>2166G</v>
      </c>
      <c r="D23">
        <v>75</v>
      </c>
    </row>
    <row r="24" spans="1:8" x14ac:dyDescent="0.15">
      <c r="A24" t="s">
        <v>1</v>
      </c>
      <c r="B24" s="1" t="s">
        <v>23</v>
      </c>
      <c r="C24" s="1" t="str">
        <f>VLOOKUP(B24,产品名称与产品序号对照表!A:B,2,0)</f>
        <v>2152Y</v>
      </c>
      <c r="D24">
        <v>73</v>
      </c>
    </row>
    <row r="25" spans="1:8" x14ac:dyDescent="0.15">
      <c r="A25" t="s">
        <v>2</v>
      </c>
      <c r="B25" s="2" t="s">
        <v>15</v>
      </c>
      <c r="C25" s="1" t="str">
        <f>VLOOKUP(B25,产品名称与产品序号对照表!A:B,2,0)</f>
        <v>1721X</v>
      </c>
      <c r="D25">
        <v>65</v>
      </c>
    </row>
    <row r="26" spans="1:8" x14ac:dyDescent="0.15">
      <c r="A26" t="s">
        <v>2</v>
      </c>
      <c r="B26" s="2" t="s">
        <v>26</v>
      </c>
      <c r="C26" s="1" t="str">
        <f>VLOOKUP(B26,产品名称与产品序号对照表!A:B,2,0)</f>
        <v>2156X</v>
      </c>
      <c r="D26">
        <v>21</v>
      </c>
    </row>
    <row r="27" spans="1:8" x14ac:dyDescent="0.15">
      <c r="A27" t="s">
        <v>2</v>
      </c>
      <c r="B27" s="2" t="s">
        <v>29</v>
      </c>
      <c r="C27" s="1" t="str">
        <f>VLOOKUP(B27,产品名称与产品序号对照表!A:B,2,0)</f>
        <v>1655Y</v>
      </c>
      <c r="D27">
        <v>97</v>
      </c>
    </row>
    <row r="28" spans="1:8" x14ac:dyDescent="0.15">
      <c r="A28" t="s">
        <v>2</v>
      </c>
      <c r="B28" s="2" t="s">
        <v>28</v>
      </c>
      <c r="C28" s="1" t="str">
        <f>VLOOKUP(B28,产品名称与产品序号对照表!A:B,2,0)</f>
        <v>2089S</v>
      </c>
      <c r="D28">
        <v>39</v>
      </c>
    </row>
    <row r="29" spans="1:8" x14ac:dyDescent="0.15">
      <c r="A29" t="s">
        <v>10</v>
      </c>
      <c r="B29" s="1" t="s">
        <v>26</v>
      </c>
      <c r="C29" s="1" t="str">
        <f>VLOOKUP(B29,产品名称与产品序号对照表!A:B,2,0)</f>
        <v>2156X</v>
      </c>
      <c r="D29">
        <v>77</v>
      </c>
      <c r="H29" s="14"/>
    </row>
    <row r="30" spans="1:8" x14ac:dyDescent="0.15">
      <c r="A30" t="s">
        <v>10</v>
      </c>
      <c r="B30" s="1" t="s">
        <v>31</v>
      </c>
      <c r="C30" s="1" t="str">
        <f>VLOOKUP(B30,产品名称与产品序号对照表!A:B,2,0)</f>
        <v>1726G</v>
      </c>
      <c r="D30">
        <v>89</v>
      </c>
    </row>
    <row r="31" spans="1:8" x14ac:dyDescent="0.15">
      <c r="A31" t="s">
        <v>2</v>
      </c>
      <c r="B31" s="2" t="s">
        <v>32</v>
      </c>
      <c r="C31" s="1" t="str">
        <f>VLOOKUP(B31,产品名称与产品序号对照表!A:B,2,0)</f>
        <v>1922Y</v>
      </c>
      <c r="D31">
        <v>22</v>
      </c>
    </row>
    <row r="32" spans="1:8" x14ac:dyDescent="0.15">
      <c r="A32" t="s">
        <v>10</v>
      </c>
      <c r="B32" s="2" t="s">
        <v>18</v>
      </c>
      <c r="C32" s="1" t="str">
        <f>VLOOKUP(B32,产品名称与产品序号对照表!A:B,2,0)</f>
        <v>2155E</v>
      </c>
      <c r="D32">
        <v>23</v>
      </c>
    </row>
    <row r="33" spans="1:9" x14ac:dyDescent="0.15">
      <c r="A33" t="s">
        <v>52</v>
      </c>
      <c r="B33" s="16" t="s">
        <v>25</v>
      </c>
      <c r="C33" s="1" t="str">
        <f>VLOOKUP(B33,产品名称与产品序号对照表!A:B,2,0)</f>
        <v>1811X</v>
      </c>
      <c r="D33">
        <v>25</v>
      </c>
    </row>
    <row r="34" spans="1:9" x14ac:dyDescent="0.15">
      <c r="A34" t="s">
        <v>10</v>
      </c>
      <c r="B34" s="1" t="s">
        <v>33</v>
      </c>
      <c r="C34" s="1" t="str">
        <f>VLOOKUP(B34,产品名称与产品序号对照表!A:B,2,0)</f>
        <v>1936S</v>
      </c>
      <c r="D34">
        <v>46</v>
      </c>
    </row>
    <row r="35" spans="1:9" x14ac:dyDescent="0.15">
      <c r="A35" t="s">
        <v>52</v>
      </c>
      <c r="B35" s="1" t="s">
        <v>19</v>
      </c>
      <c r="C35" s="1" t="str">
        <f>VLOOKUP(B35,产品名称与产品序号对照表!A:B,2,0)</f>
        <v>1977G</v>
      </c>
      <c r="D35">
        <v>61</v>
      </c>
    </row>
    <row r="36" spans="1:9" x14ac:dyDescent="0.15">
      <c r="A36" t="s">
        <v>52</v>
      </c>
      <c r="B36" s="2" t="s">
        <v>20</v>
      </c>
      <c r="C36" s="1" t="str">
        <f>VLOOKUP(B36,产品名称与产品序号对照表!A:B,2,0)</f>
        <v>1833Y</v>
      </c>
      <c r="D36">
        <v>45</v>
      </c>
    </row>
    <row r="46" spans="1:9" x14ac:dyDescent="0.15">
      <c r="G46" s="12"/>
      <c r="H46" s="12"/>
      <c r="I46" s="13"/>
    </row>
    <row r="47" spans="1:9" x14ac:dyDescent="0.15">
      <c r="G47" s="14"/>
      <c r="H47" s="15"/>
      <c r="I47" s="15"/>
    </row>
    <row r="48" spans="1:9" x14ac:dyDescent="0.15">
      <c r="G48" s="12"/>
      <c r="H48" s="15"/>
      <c r="I48" s="15"/>
    </row>
    <row r="49" spans="7:9" x14ac:dyDescent="0.15">
      <c r="G49" s="12"/>
      <c r="H49" s="15"/>
      <c r="I49" s="15"/>
    </row>
    <row r="50" spans="7:9" x14ac:dyDescent="0.15">
      <c r="G50" s="12"/>
      <c r="H50" s="15"/>
      <c r="I50" s="15"/>
    </row>
  </sheetData>
  <mergeCells count="3">
    <mergeCell ref="J3:K3"/>
    <mergeCell ref="F2:H2"/>
    <mergeCell ref="A1:D1"/>
  </mergeCells>
  <phoneticPr fontId="1" type="noConversion"/>
  <conditionalFormatting sqref="I47:I50">
    <cfRule type="iconSet" priority="2">
      <iconSet>
        <cfvo type="percent" val="0"/>
        <cfvo type="percent" val="33"/>
        <cfvo type="percent" val="67"/>
      </iconSet>
    </cfRule>
  </conditionalFormatting>
  <conditionalFormatting sqref="D3:D36">
    <cfRule type="aboveAverage" dxfId="6" priority="1"/>
  </conditionalFormatting>
  <pageMargins left="0.75" right="0.75" top="1" bottom="1" header="0.5" footer="0.5"/>
  <pageSetup paperSize="9" orientation="portrait" r:id="rId1"/>
  <headerFooter alignWithMargins="0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"/>
  <sheetViews>
    <sheetView topLeftCell="A4" workbookViewId="0">
      <selection activeCell="J17" sqref="J17"/>
    </sheetView>
  </sheetViews>
  <sheetFormatPr defaultRowHeight="14.25" x14ac:dyDescent="0.15"/>
  <cols>
    <col min="2" max="2" width="9.125" customWidth="1"/>
  </cols>
  <sheetData>
    <row r="1" spans="1:2" x14ac:dyDescent="0.15">
      <c r="A1" s="2" t="s">
        <v>3</v>
      </c>
      <c r="B1" s="2" t="s">
        <v>34</v>
      </c>
    </row>
    <row r="2" spans="1:2" x14ac:dyDescent="0.15">
      <c r="A2" s="2" t="s">
        <v>25</v>
      </c>
      <c r="B2" s="2" t="s">
        <v>35</v>
      </c>
    </row>
    <row r="3" spans="1:2" x14ac:dyDescent="0.15">
      <c r="A3" s="2" t="s">
        <v>15</v>
      </c>
      <c r="B3" s="2" t="s">
        <v>36</v>
      </c>
    </row>
    <row r="4" spans="1:2" x14ac:dyDescent="0.15">
      <c r="A4" s="2" t="s">
        <v>33</v>
      </c>
      <c r="B4" s="2" t="s">
        <v>37</v>
      </c>
    </row>
    <row r="5" spans="1:2" x14ac:dyDescent="0.15">
      <c r="A5" s="2" t="s">
        <v>16</v>
      </c>
      <c r="B5" s="2" t="s">
        <v>38</v>
      </c>
    </row>
    <row r="6" spans="1:2" x14ac:dyDescent="0.15">
      <c r="A6" s="2" t="s">
        <v>26</v>
      </c>
      <c r="B6" s="2" t="s">
        <v>39</v>
      </c>
    </row>
    <row r="7" spans="1:2" x14ac:dyDescent="0.15">
      <c r="A7" s="2" t="s">
        <v>27</v>
      </c>
      <c r="B7" s="2" t="s">
        <v>40</v>
      </c>
    </row>
    <row r="8" spans="1:2" x14ac:dyDescent="0.15">
      <c r="A8" s="2" t="s">
        <v>18</v>
      </c>
      <c r="B8" s="2" t="s">
        <v>41</v>
      </c>
    </row>
    <row r="9" spans="1:2" x14ac:dyDescent="0.15">
      <c r="A9" s="2" t="s">
        <v>28</v>
      </c>
      <c r="B9" s="2" t="s">
        <v>42</v>
      </c>
    </row>
    <row r="10" spans="1:2" x14ac:dyDescent="0.15">
      <c r="A10" s="2" t="s">
        <v>19</v>
      </c>
      <c r="B10" s="2" t="s">
        <v>43</v>
      </c>
    </row>
    <row r="11" spans="1:2" x14ac:dyDescent="0.15">
      <c r="A11" s="2" t="s">
        <v>20</v>
      </c>
      <c r="B11" s="2" t="s">
        <v>44</v>
      </c>
    </row>
    <row r="12" spans="1:2" x14ac:dyDescent="0.15">
      <c r="A12" s="2" t="s">
        <v>29</v>
      </c>
      <c r="B12" s="2" t="s">
        <v>45</v>
      </c>
    </row>
    <row r="13" spans="1:2" x14ac:dyDescent="0.15">
      <c r="A13" s="2" t="s">
        <v>30</v>
      </c>
      <c r="B13" s="2" t="s">
        <v>46</v>
      </c>
    </row>
    <row r="14" spans="1:2" x14ac:dyDescent="0.15">
      <c r="A14" s="2" t="s">
        <v>22</v>
      </c>
      <c r="B14" s="2" t="s">
        <v>47</v>
      </c>
    </row>
    <row r="15" spans="1:2" x14ac:dyDescent="0.15">
      <c r="A15" s="2" t="s">
        <v>31</v>
      </c>
      <c r="B15" s="2" t="s">
        <v>48</v>
      </c>
    </row>
    <row r="16" spans="1:2" x14ac:dyDescent="0.15">
      <c r="A16" s="2" t="s">
        <v>32</v>
      </c>
      <c r="B16" s="2" t="s">
        <v>49</v>
      </c>
    </row>
    <row r="17" spans="1:2" x14ac:dyDescent="0.15">
      <c r="A17" s="2" t="s">
        <v>24</v>
      </c>
      <c r="B17" s="2" t="s">
        <v>50</v>
      </c>
    </row>
    <row r="18" spans="1:2" x14ac:dyDescent="0.15">
      <c r="A18" s="2" t="s">
        <v>23</v>
      </c>
      <c r="B18" s="2" t="s">
        <v>51</v>
      </c>
    </row>
  </sheetData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1"/>
  <sheetViews>
    <sheetView topLeftCell="I1" workbookViewId="0">
      <selection activeCell="I5" sqref="I5"/>
    </sheetView>
  </sheetViews>
  <sheetFormatPr defaultRowHeight="14.25" x14ac:dyDescent="0.15"/>
  <cols>
    <col min="1" max="1" width="9.125" customWidth="1"/>
    <col min="2" max="2" width="9.875" customWidth="1"/>
    <col min="3" max="3" width="5.875" customWidth="1"/>
    <col min="5" max="5" width="11.5" customWidth="1"/>
    <col min="6" max="6" width="14" customWidth="1"/>
    <col min="7" max="7" width="11.625" customWidth="1"/>
    <col min="9" max="9" width="21" bestFit="1" customWidth="1"/>
    <col min="10" max="10" width="10.125" bestFit="1" customWidth="1"/>
    <col min="11" max="13" width="9.25" bestFit="1" customWidth="1"/>
    <col min="14" max="14" width="9.625" customWidth="1"/>
  </cols>
  <sheetData>
    <row r="1" spans="1:14" x14ac:dyDescent="0.15">
      <c r="A1" s="4" t="s">
        <v>53</v>
      </c>
      <c r="B1" s="4" t="s">
        <v>54</v>
      </c>
      <c r="C1" s="4" t="s">
        <v>55</v>
      </c>
      <c r="D1" s="4" t="s">
        <v>56</v>
      </c>
      <c r="E1" s="4" t="s">
        <v>57</v>
      </c>
      <c r="F1" s="4" t="s">
        <v>58</v>
      </c>
      <c r="G1" s="4" t="s">
        <v>59</v>
      </c>
    </row>
    <row r="2" spans="1:14" x14ac:dyDescent="0.15">
      <c r="A2" s="5" t="s">
        <v>5</v>
      </c>
      <c r="B2" s="6" t="s">
        <v>6</v>
      </c>
      <c r="C2" s="5">
        <v>2</v>
      </c>
      <c r="D2" s="5">
        <v>654</v>
      </c>
      <c r="E2" s="5">
        <v>45321</v>
      </c>
      <c r="F2" s="5">
        <v>2</v>
      </c>
      <c r="G2" s="5">
        <v>1</v>
      </c>
    </row>
    <row r="3" spans="1:14" x14ac:dyDescent="0.15">
      <c r="A3" s="5" t="s">
        <v>60</v>
      </c>
      <c r="B3" s="6" t="s">
        <v>61</v>
      </c>
      <c r="C3" s="5">
        <v>4</v>
      </c>
      <c r="D3" s="5">
        <v>416</v>
      </c>
      <c r="E3" s="5">
        <v>42234</v>
      </c>
      <c r="F3" s="5">
        <v>19</v>
      </c>
      <c r="G3" s="5">
        <v>2</v>
      </c>
    </row>
    <row r="4" spans="1:14" x14ac:dyDescent="0.15">
      <c r="A4" s="5" t="s">
        <v>60</v>
      </c>
      <c r="B4" s="6" t="s">
        <v>6</v>
      </c>
      <c r="C4" s="5">
        <v>3</v>
      </c>
      <c r="D4" s="5">
        <v>542</v>
      </c>
      <c r="E4" s="5">
        <v>41234</v>
      </c>
      <c r="F4" s="5">
        <v>7</v>
      </c>
      <c r="G4" s="5">
        <v>3</v>
      </c>
    </row>
    <row r="5" spans="1:14" x14ac:dyDescent="0.15">
      <c r="A5" s="5" t="s">
        <v>5</v>
      </c>
      <c r="B5" s="6" t="s">
        <v>61</v>
      </c>
      <c r="C5" s="5">
        <v>4</v>
      </c>
      <c r="D5" s="5">
        <v>562</v>
      </c>
      <c r="E5" s="5">
        <v>38422</v>
      </c>
      <c r="F5" s="5">
        <v>5</v>
      </c>
      <c r="G5" s="5">
        <v>4</v>
      </c>
      <c r="I5" s="28" t="s">
        <v>75</v>
      </c>
      <c r="J5" s="28" t="s">
        <v>74</v>
      </c>
    </row>
    <row r="6" spans="1:14" x14ac:dyDescent="0.15">
      <c r="A6" s="5" t="s">
        <v>62</v>
      </c>
      <c r="B6" s="6" t="s">
        <v>61</v>
      </c>
      <c r="C6" s="5">
        <v>4</v>
      </c>
      <c r="D6" s="5">
        <v>408</v>
      </c>
      <c r="E6" s="5">
        <v>37342</v>
      </c>
      <c r="F6" s="5">
        <v>21</v>
      </c>
      <c r="G6" s="5">
        <v>5</v>
      </c>
      <c r="I6" s="28" t="s">
        <v>72</v>
      </c>
      <c r="J6" t="s">
        <v>5</v>
      </c>
      <c r="K6" t="s">
        <v>60</v>
      </c>
      <c r="L6" t="s">
        <v>63</v>
      </c>
      <c r="M6" t="s">
        <v>62</v>
      </c>
      <c r="N6" t="s">
        <v>73</v>
      </c>
    </row>
    <row r="7" spans="1:14" x14ac:dyDescent="0.15">
      <c r="A7" s="5" t="s">
        <v>60</v>
      </c>
      <c r="B7" s="6" t="s">
        <v>61</v>
      </c>
      <c r="C7" s="5">
        <v>3</v>
      </c>
      <c r="D7" s="5">
        <v>478</v>
      </c>
      <c r="E7" s="5">
        <v>36290</v>
      </c>
      <c r="F7" s="5">
        <v>9</v>
      </c>
      <c r="G7" s="5">
        <v>6</v>
      </c>
      <c r="I7" s="14" t="s">
        <v>65</v>
      </c>
      <c r="J7" s="29">
        <v>80750</v>
      </c>
      <c r="K7" s="29">
        <v>40750</v>
      </c>
      <c r="L7" s="29">
        <v>44780</v>
      </c>
      <c r="M7" s="29">
        <v>63392</v>
      </c>
      <c r="N7" s="29">
        <v>229672</v>
      </c>
    </row>
    <row r="8" spans="1:14" x14ac:dyDescent="0.15">
      <c r="A8" s="5" t="s">
        <v>5</v>
      </c>
      <c r="B8" s="6" t="s">
        <v>6</v>
      </c>
      <c r="C8" s="5">
        <v>1</v>
      </c>
      <c r="D8" s="5">
        <v>436</v>
      </c>
      <c r="E8" s="5">
        <v>35648</v>
      </c>
      <c r="F8" s="5">
        <v>11</v>
      </c>
      <c r="G8" s="5">
        <v>7</v>
      </c>
      <c r="I8" s="14" t="s">
        <v>6</v>
      </c>
      <c r="J8" s="29">
        <v>134065</v>
      </c>
      <c r="K8" s="29">
        <v>99422</v>
      </c>
      <c r="L8" s="29">
        <v>49241</v>
      </c>
      <c r="M8" s="29">
        <v>50747</v>
      </c>
      <c r="N8" s="29">
        <v>333475</v>
      </c>
    </row>
    <row r="9" spans="1:14" x14ac:dyDescent="0.15">
      <c r="A9" s="5" t="s">
        <v>63</v>
      </c>
      <c r="B9" s="6" t="s">
        <v>64</v>
      </c>
      <c r="C9" s="5">
        <v>4</v>
      </c>
      <c r="D9" s="5">
        <v>432</v>
      </c>
      <c r="E9" s="5">
        <v>32960</v>
      </c>
      <c r="F9" s="5">
        <v>13</v>
      </c>
      <c r="G9" s="5">
        <v>8</v>
      </c>
      <c r="I9" s="14" t="s">
        <v>64</v>
      </c>
      <c r="J9" s="29">
        <v>73780</v>
      </c>
      <c r="K9" s="29">
        <v>47910</v>
      </c>
      <c r="L9" s="29">
        <v>84208</v>
      </c>
      <c r="M9" s="29">
        <v>93115</v>
      </c>
      <c r="N9" s="29">
        <v>299013</v>
      </c>
    </row>
    <row r="10" spans="1:14" x14ac:dyDescent="0.15">
      <c r="A10" s="5" t="s">
        <v>5</v>
      </c>
      <c r="B10" s="6" t="s">
        <v>64</v>
      </c>
      <c r="C10" s="5">
        <v>1</v>
      </c>
      <c r="D10" s="5">
        <v>765</v>
      </c>
      <c r="E10" s="5">
        <v>32950</v>
      </c>
      <c r="F10" s="5">
        <v>1</v>
      </c>
      <c r="G10" s="5">
        <v>9</v>
      </c>
      <c r="I10" s="14" t="s">
        <v>66</v>
      </c>
      <c r="J10" s="29">
        <v>88690</v>
      </c>
      <c r="K10" s="29">
        <v>62440</v>
      </c>
      <c r="L10" s="29">
        <v>58660</v>
      </c>
      <c r="M10" s="29">
        <v>100030</v>
      </c>
      <c r="N10" s="29">
        <v>309820</v>
      </c>
    </row>
    <row r="11" spans="1:14" x14ac:dyDescent="0.15">
      <c r="A11" s="5" t="s">
        <v>62</v>
      </c>
      <c r="B11" s="6" t="s">
        <v>64</v>
      </c>
      <c r="C11" s="5">
        <v>4</v>
      </c>
      <c r="D11" s="5">
        <v>421</v>
      </c>
      <c r="E11" s="5">
        <v>32534</v>
      </c>
      <c r="F11" s="5">
        <v>17</v>
      </c>
      <c r="G11" s="5">
        <v>10</v>
      </c>
      <c r="I11" s="14" t="s">
        <v>61</v>
      </c>
      <c r="J11" s="29">
        <v>120473</v>
      </c>
      <c r="K11" s="29">
        <v>132027</v>
      </c>
      <c r="L11" s="29">
        <v>95031</v>
      </c>
      <c r="M11" s="29">
        <v>110562</v>
      </c>
      <c r="N11" s="29">
        <v>458093</v>
      </c>
    </row>
    <row r="12" spans="1:14" x14ac:dyDescent="0.15">
      <c r="A12" s="5" t="s">
        <v>62</v>
      </c>
      <c r="B12" s="6" t="s">
        <v>61</v>
      </c>
      <c r="C12" s="5">
        <v>1</v>
      </c>
      <c r="D12" s="5">
        <v>323</v>
      </c>
      <c r="E12" s="5">
        <v>32256</v>
      </c>
      <c r="F12" s="5">
        <v>37</v>
      </c>
      <c r="G12" s="5">
        <v>11</v>
      </c>
      <c r="I12" s="14" t="s">
        <v>73</v>
      </c>
      <c r="J12" s="29">
        <v>497758</v>
      </c>
      <c r="K12" s="29">
        <v>382549</v>
      </c>
      <c r="L12" s="29">
        <v>331920</v>
      </c>
      <c r="M12" s="29">
        <v>417846</v>
      </c>
      <c r="N12" s="29">
        <v>1630073</v>
      </c>
    </row>
    <row r="13" spans="1:14" x14ac:dyDescent="0.15">
      <c r="A13" s="5" t="s">
        <v>5</v>
      </c>
      <c r="B13" s="6" t="s">
        <v>61</v>
      </c>
      <c r="C13" s="5">
        <v>2</v>
      </c>
      <c r="D13" s="5">
        <v>453</v>
      </c>
      <c r="E13" s="5">
        <v>31950</v>
      </c>
      <c r="F13" s="5">
        <v>10</v>
      </c>
      <c r="G13" s="5">
        <v>12</v>
      </c>
    </row>
    <row r="14" spans="1:14" x14ac:dyDescent="0.15">
      <c r="A14" s="5" t="s">
        <v>60</v>
      </c>
      <c r="B14" s="6" t="s">
        <v>61</v>
      </c>
      <c r="C14" s="5">
        <v>2</v>
      </c>
      <c r="D14" s="5">
        <v>367</v>
      </c>
      <c r="E14" s="5">
        <v>31785</v>
      </c>
      <c r="F14" s="5">
        <v>24</v>
      </c>
      <c r="G14" s="5">
        <v>13</v>
      </c>
    </row>
    <row r="15" spans="1:14" x14ac:dyDescent="0.15">
      <c r="A15" s="5" t="s">
        <v>62</v>
      </c>
      <c r="B15" s="6" t="s">
        <v>65</v>
      </c>
      <c r="C15" s="5">
        <v>2</v>
      </c>
      <c r="D15" s="5">
        <v>432</v>
      </c>
      <c r="E15" s="5">
        <v>31256</v>
      </c>
      <c r="F15" s="5">
        <v>13</v>
      </c>
      <c r="G15" s="5">
        <v>14</v>
      </c>
    </row>
    <row r="16" spans="1:14" x14ac:dyDescent="0.15">
      <c r="A16" s="5" t="s">
        <v>5</v>
      </c>
      <c r="B16" s="6" t="s">
        <v>6</v>
      </c>
      <c r="C16" s="5">
        <v>4</v>
      </c>
      <c r="D16" s="5">
        <v>365</v>
      </c>
      <c r="E16" s="5">
        <v>29879</v>
      </c>
      <c r="F16" s="5">
        <v>25</v>
      </c>
      <c r="G16" s="5">
        <v>15</v>
      </c>
    </row>
    <row r="17" spans="1:7" x14ac:dyDescent="0.15">
      <c r="A17" s="5" t="s">
        <v>62</v>
      </c>
      <c r="B17" s="6" t="s">
        <v>64</v>
      </c>
      <c r="C17" s="5">
        <v>3</v>
      </c>
      <c r="D17" s="5">
        <v>356</v>
      </c>
      <c r="E17" s="5">
        <v>29342</v>
      </c>
      <c r="F17" s="5">
        <v>27</v>
      </c>
      <c r="G17" s="5">
        <v>16</v>
      </c>
    </row>
    <row r="18" spans="1:7" x14ac:dyDescent="0.15">
      <c r="A18" s="5" t="s">
        <v>63</v>
      </c>
      <c r="B18" s="6" t="s">
        <v>64</v>
      </c>
      <c r="C18" s="5">
        <v>1</v>
      </c>
      <c r="D18" s="5">
        <v>306</v>
      </c>
      <c r="E18" s="5">
        <v>29180</v>
      </c>
      <c r="F18" s="5">
        <v>42</v>
      </c>
      <c r="G18" s="5">
        <v>17</v>
      </c>
    </row>
    <row r="19" spans="1:7" x14ac:dyDescent="0.15">
      <c r="A19" s="5" t="s">
        <v>5</v>
      </c>
      <c r="B19" s="6" t="s">
        <v>66</v>
      </c>
      <c r="C19" s="5">
        <v>2</v>
      </c>
      <c r="D19" s="5">
        <v>412</v>
      </c>
      <c r="E19" s="5">
        <v>28840</v>
      </c>
      <c r="F19" s="5">
        <v>20</v>
      </c>
      <c r="G19" s="5">
        <v>18</v>
      </c>
    </row>
    <row r="20" spans="1:7" x14ac:dyDescent="0.15">
      <c r="A20" s="5" t="s">
        <v>5</v>
      </c>
      <c r="B20" s="6" t="s">
        <v>65</v>
      </c>
      <c r="C20" s="5">
        <v>1</v>
      </c>
      <c r="D20" s="5">
        <v>569</v>
      </c>
      <c r="E20" s="5">
        <v>28450</v>
      </c>
      <c r="F20" s="5">
        <v>4</v>
      </c>
      <c r="G20" s="5">
        <v>19</v>
      </c>
    </row>
    <row r="21" spans="1:7" x14ac:dyDescent="0.15">
      <c r="A21" s="5" t="s">
        <v>62</v>
      </c>
      <c r="B21" s="6" t="s">
        <v>66</v>
      </c>
      <c r="C21" s="5">
        <v>4</v>
      </c>
      <c r="D21" s="5">
        <v>398</v>
      </c>
      <c r="E21" s="5">
        <v>27860</v>
      </c>
      <c r="F21" s="5">
        <v>22</v>
      </c>
      <c r="G21" s="5">
        <v>20</v>
      </c>
    </row>
    <row r="22" spans="1:7" x14ac:dyDescent="0.15">
      <c r="A22" s="5" t="s">
        <v>60</v>
      </c>
      <c r="B22" s="6" t="s">
        <v>6</v>
      </c>
      <c r="C22" s="5">
        <v>4</v>
      </c>
      <c r="D22" s="5">
        <v>341</v>
      </c>
      <c r="E22" s="5">
        <v>26785</v>
      </c>
      <c r="F22" s="5">
        <v>33</v>
      </c>
      <c r="G22" s="5">
        <v>21</v>
      </c>
    </row>
    <row r="23" spans="1:7" x14ac:dyDescent="0.15">
      <c r="A23" s="5" t="s">
        <v>63</v>
      </c>
      <c r="B23" s="6" t="s">
        <v>61</v>
      </c>
      <c r="C23" s="5">
        <v>2</v>
      </c>
      <c r="D23" s="5">
        <v>498</v>
      </c>
      <c r="E23" s="5">
        <v>26680</v>
      </c>
      <c r="F23" s="5">
        <v>8</v>
      </c>
      <c r="G23" s="5">
        <v>22</v>
      </c>
    </row>
    <row r="24" spans="1:7" x14ac:dyDescent="0.15">
      <c r="A24" s="5" t="s">
        <v>62</v>
      </c>
      <c r="B24" s="6" t="s">
        <v>66</v>
      </c>
      <c r="C24" s="5">
        <v>3</v>
      </c>
      <c r="D24" s="5">
        <v>378</v>
      </c>
      <c r="E24" s="5">
        <v>26460</v>
      </c>
      <c r="F24" s="5">
        <v>23</v>
      </c>
      <c r="G24" s="5">
        <v>23</v>
      </c>
    </row>
    <row r="25" spans="1:7" x14ac:dyDescent="0.15">
      <c r="A25" s="5" t="s">
        <v>5</v>
      </c>
      <c r="B25" s="6" t="s">
        <v>61</v>
      </c>
      <c r="C25" s="5">
        <v>3</v>
      </c>
      <c r="D25" s="5">
        <v>231</v>
      </c>
      <c r="E25" s="5">
        <v>26380</v>
      </c>
      <c r="F25" s="5">
        <v>53</v>
      </c>
      <c r="G25" s="5">
        <v>24</v>
      </c>
    </row>
    <row r="26" spans="1:7" x14ac:dyDescent="0.15">
      <c r="A26" s="5" t="s">
        <v>63</v>
      </c>
      <c r="B26" s="6" t="s">
        <v>61</v>
      </c>
      <c r="C26" s="5">
        <v>3</v>
      </c>
      <c r="D26" s="5">
        <v>432</v>
      </c>
      <c r="E26" s="5">
        <v>25030</v>
      </c>
      <c r="F26" s="5">
        <v>13</v>
      </c>
      <c r="G26" s="5">
        <v>25</v>
      </c>
    </row>
    <row r="27" spans="1:7" x14ac:dyDescent="0.15">
      <c r="A27" s="5" t="s">
        <v>5</v>
      </c>
      <c r="B27" s="6" t="s">
        <v>66</v>
      </c>
      <c r="C27" s="5">
        <v>1</v>
      </c>
      <c r="D27" s="5">
        <v>345</v>
      </c>
      <c r="E27" s="5">
        <v>24150</v>
      </c>
      <c r="F27" s="5">
        <v>29</v>
      </c>
      <c r="G27" s="5">
        <v>26</v>
      </c>
    </row>
    <row r="28" spans="1:7" x14ac:dyDescent="0.15">
      <c r="A28" s="5" t="s">
        <v>63</v>
      </c>
      <c r="B28" s="6" t="s">
        <v>66</v>
      </c>
      <c r="C28" s="5">
        <v>2</v>
      </c>
      <c r="D28" s="5">
        <v>345</v>
      </c>
      <c r="E28" s="5">
        <v>24150</v>
      </c>
      <c r="F28" s="5">
        <v>29</v>
      </c>
      <c r="G28" s="5">
        <v>26</v>
      </c>
    </row>
    <row r="29" spans="1:7" x14ac:dyDescent="0.15">
      <c r="A29" s="5" t="s">
        <v>5</v>
      </c>
      <c r="B29" s="6" t="s">
        <v>61</v>
      </c>
      <c r="C29" s="5">
        <v>1</v>
      </c>
      <c r="D29" s="5">
        <v>356</v>
      </c>
      <c r="E29" s="5">
        <v>23721</v>
      </c>
      <c r="F29" s="5">
        <v>27</v>
      </c>
      <c r="G29" s="5">
        <v>28</v>
      </c>
    </row>
    <row r="30" spans="1:7" x14ac:dyDescent="0.15">
      <c r="A30" s="5" t="s">
        <v>60</v>
      </c>
      <c r="B30" s="6" t="s">
        <v>6</v>
      </c>
      <c r="C30" s="5">
        <v>2</v>
      </c>
      <c r="D30" s="5">
        <v>342</v>
      </c>
      <c r="E30" s="5">
        <v>23718</v>
      </c>
      <c r="F30" s="5">
        <v>31</v>
      </c>
      <c r="G30" s="5">
        <v>29</v>
      </c>
    </row>
    <row r="31" spans="1:7" x14ac:dyDescent="0.15">
      <c r="A31" s="5" t="s">
        <v>63</v>
      </c>
      <c r="B31" s="6" t="s">
        <v>61</v>
      </c>
      <c r="C31" s="5">
        <v>1</v>
      </c>
      <c r="D31" s="5">
        <v>198</v>
      </c>
      <c r="E31" s="5">
        <v>23461</v>
      </c>
      <c r="F31" s="5">
        <v>67</v>
      </c>
      <c r="G31" s="5">
        <v>30</v>
      </c>
    </row>
    <row r="32" spans="1:7" x14ac:dyDescent="0.15">
      <c r="A32" s="5" t="s">
        <v>5</v>
      </c>
      <c r="B32" s="6" t="s">
        <v>6</v>
      </c>
      <c r="C32" s="5">
        <v>3</v>
      </c>
      <c r="D32" s="5">
        <v>231</v>
      </c>
      <c r="E32" s="5">
        <v>23217</v>
      </c>
      <c r="F32" s="5">
        <v>53</v>
      </c>
      <c r="G32" s="5">
        <v>31</v>
      </c>
    </row>
    <row r="33" spans="1:7" x14ac:dyDescent="0.15">
      <c r="A33" s="5" t="s">
        <v>62</v>
      </c>
      <c r="B33" s="6" t="s">
        <v>66</v>
      </c>
      <c r="C33" s="5">
        <v>2</v>
      </c>
      <c r="D33" s="5">
        <v>329</v>
      </c>
      <c r="E33" s="5">
        <v>23030</v>
      </c>
      <c r="F33" s="5">
        <v>34</v>
      </c>
      <c r="G33" s="5">
        <v>32</v>
      </c>
    </row>
    <row r="34" spans="1:7" x14ac:dyDescent="0.15">
      <c r="A34" s="5" t="s">
        <v>62</v>
      </c>
      <c r="B34" s="6" t="s">
        <v>61</v>
      </c>
      <c r="C34" s="5">
        <v>3</v>
      </c>
      <c r="D34" s="5">
        <v>292</v>
      </c>
      <c r="E34" s="5">
        <v>22786</v>
      </c>
      <c r="F34" s="5">
        <v>44</v>
      </c>
      <c r="G34" s="5">
        <v>33</v>
      </c>
    </row>
    <row r="35" spans="1:7" x14ac:dyDescent="0.15">
      <c r="A35" s="6" t="s">
        <v>62</v>
      </c>
      <c r="B35" s="6" t="s">
        <v>66</v>
      </c>
      <c r="C35" s="5">
        <v>1</v>
      </c>
      <c r="D35" s="5">
        <v>324</v>
      </c>
      <c r="E35" s="5">
        <v>22680</v>
      </c>
      <c r="F35" s="5">
        <v>35</v>
      </c>
      <c r="G35" s="5">
        <v>34</v>
      </c>
    </row>
    <row r="36" spans="1:7" x14ac:dyDescent="0.15">
      <c r="A36" s="5" t="s">
        <v>5</v>
      </c>
      <c r="B36" s="6" t="s">
        <v>66</v>
      </c>
      <c r="C36" s="5">
        <v>3</v>
      </c>
      <c r="D36" s="5">
        <v>323</v>
      </c>
      <c r="E36" s="5">
        <v>22610</v>
      </c>
      <c r="F36" s="5">
        <v>37</v>
      </c>
      <c r="G36" s="5">
        <v>35</v>
      </c>
    </row>
    <row r="37" spans="1:7" x14ac:dyDescent="0.15">
      <c r="A37" s="6" t="s">
        <v>5</v>
      </c>
      <c r="B37" s="6" t="s">
        <v>65</v>
      </c>
      <c r="C37" s="5">
        <v>2</v>
      </c>
      <c r="D37" s="5">
        <v>435</v>
      </c>
      <c r="E37" s="5">
        <v>21750</v>
      </c>
      <c r="F37" s="5">
        <v>12</v>
      </c>
      <c r="G37" s="5">
        <v>36</v>
      </c>
    </row>
    <row r="38" spans="1:7" x14ac:dyDescent="0.15">
      <c r="A38" s="6" t="s">
        <v>60</v>
      </c>
      <c r="B38" s="6" t="s">
        <v>61</v>
      </c>
      <c r="C38" s="5">
        <v>1</v>
      </c>
      <c r="D38" s="5">
        <v>245</v>
      </c>
      <c r="E38" s="5">
        <v>21718</v>
      </c>
      <c r="F38" s="5">
        <v>49</v>
      </c>
      <c r="G38" s="5">
        <v>37</v>
      </c>
    </row>
    <row r="39" spans="1:7" x14ac:dyDescent="0.15">
      <c r="A39" s="6" t="s">
        <v>63</v>
      </c>
      <c r="B39" s="6" t="s">
        <v>6</v>
      </c>
      <c r="C39" s="5">
        <v>4</v>
      </c>
      <c r="D39" s="5">
        <v>432</v>
      </c>
      <c r="E39" s="5">
        <v>20563</v>
      </c>
      <c r="F39" s="5">
        <v>13</v>
      </c>
      <c r="G39" s="5">
        <v>38</v>
      </c>
    </row>
    <row r="40" spans="1:7" x14ac:dyDescent="0.15">
      <c r="A40" s="6" t="s">
        <v>62</v>
      </c>
      <c r="B40" s="6" t="s">
        <v>64</v>
      </c>
      <c r="C40" s="5">
        <v>2</v>
      </c>
      <c r="D40" s="5">
        <v>217</v>
      </c>
      <c r="E40" s="5">
        <v>20453</v>
      </c>
      <c r="F40" s="5">
        <v>59</v>
      </c>
      <c r="G40" s="5">
        <v>39</v>
      </c>
    </row>
    <row r="41" spans="1:7" x14ac:dyDescent="0.15">
      <c r="A41" s="6" t="s">
        <v>63</v>
      </c>
      <c r="B41" s="5" t="s">
        <v>61</v>
      </c>
      <c r="C41" s="5">
        <v>4</v>
      </c>
      <c r="D41" s="5">
        <v>261</v>
      </c>
      <c r="E41" s="5">
        <v>19860</v>
      </c>
      <c r="F41" s="5">
        <v>46</v>
      </c>
      <c r="G41" s="5">
        <v>40</v>
      </c>
    </row>
    <row r="42" spans="1:7" x14ac:dyDescent="0.15">
      <c r="A42" s="6" t="s">
        <v>5</v>
      </c>
      <c r="B42" s="6" t="s">
        <v>64</v>
      </c>
      <c r="C42" s="5">
        <v>2</v>
      </c>
      <c r="D42" s="5">
        <v>654</v>
      </c>
      <c r="E42" s="5">
        <v>19620</v>
      </c>
      <c r="F42" s="5">
        <v>2</v>
      </c>
      <c r="G42" s="5">
        <v>41</v>
      </c>
    </row>
    <row r="43" spans="1:7" x14ac:dyDescent="0.15">
      <c r="A43" s="6" t="s">
        <v>60</v>
      </c>
      <c r="B43" s="5" t="s">
        <v>64</v>
      </c>
      <c r="C43" s="5">
        <v>3</v>
      </c>
      <c r="D43" s="5">
        <v>543</v>
      </c>
      <c r="E43" s="5">
        <v>19290</v>
      </c>
      <c r="F43" s="5">
        <v>6</v>
      </c>
      <c r="G43" s="5">
        <v>42</v>
      </c>
    </row>
    <row r="44" spans="1:7" x14ac:dyDescent="0.15">
      <c r="A44" s="6" t="s">
        <v>62</v>
      </c>
      <c r="B44" s="5" t="s">
        <v>6</v>
      </c>
      <c r="C44" s="5">
        <v>1</v>
      </c>
      <c r="D44" s="5">
        <v>321</v>
      </c>
      <c r="E44" s="5">
        <v>18976</v>
      </c>
      <c r="F44" s="5">
        <v>39</v>
      </c>
      <c r="G44" s="5">
        <v>43</v>
      </c>
    </row>
    <row r="45" spans="1:7" x14ac:dyDescent="0.15">
      <c r="A45" s="6" t="s">
        <v>62</v>
      </c>
      <c r="B45" s="5" t="s">
        <v>61</v>
      </c>
      <c r="C45" s="5">
        <v>2</v>
      </c>
      <c r="D45" s="5">
        <v>217</v>
      </c>
      <c r="E45" s="5">
        <v>18178</v>
      </c>
      <c r="F45" s="5">
        <v>59</v>
      </c>
      <c r="G45" s="5">
        <v>44</v>
      </c>
    </row>
    <row r="46" spans="1:7" x14ac:dyDescent="0.15">
      <c r="A46" s="7" t="s">
        <v>60</v>
      </c>
      <c r="B46" s="8" t="s">
        <v>66</v>
      </c>
      <c r="C46" s="9">
        <v>2</v>
      </c>
      <c r="D46" s="9">
        <v>256</v>
      </c>
      <c r="E46" s="9">
        <v>17920</v>
      </c>
      <c r="F46" s="5">
        <v>48</v>
      </c>
      <c r="G46" s="5">
        <v>45</v>
      </c>
    </row>
    <row r="47" spans="1:7" x14ac:dyDescent="0.15">
      <c r="A47" s="6" t="s">
        <v>60</v>
      </c>
      <c r="B47" s="5" t="s">
        <v>66</v>
      </c>
      <c r="C47" s="5">
        <v>3</v>
      </c>
      <c r="D47" s="5">
        <v>234</v>
      </c>
      <c r="E47" s="5">
        <v>16380</v>
      </c>
      <c r="F47" s="5">
        <v>50</v>
      </c>
      <c r="G47" s="5">
        <v>46</v>
      </c>
    </row>
    <row r="48" spans="1:7" x14ac:dyDescent="0.15">
      <c r="A48" s="7" t="s">
        <v>5</v>
      </c>
      <c r="B48" s="8" t="s">
        <v>65</v>
      </c>
      <c r="C48" s="9">
        <v>3</v>
      </c>
      <c r="D48" s="9">
        <v>324</v>
      </c>
      <c r="E48" s="9">
        <v>16200</v>
      </c>
      <c r="F48" s="5">
        <v>35</v>
      </c>
      <c r="G48" s="5">
        <v>47</v>
      </c>
    </row>
    <row r="49" spans="1:7" x14ac:dyDescent="0.15">
      <c r="A49" s="6" t="s">
        <v>63</v>
      </c>
      <c r="B49" s="5" t="s">
        <v>65</v>
      </c>
      <c r="C49" s="5">
        <v>1</v>
      </c>
      <c r="D49" s="5">
        <v>301</v>
      </c>
      <c r="E49" s="5">
        <v>15050</v>
      </c>
      <c r="F49" s="5">
        <v>43</v>
      </c>
      <c r="G49" s="5">
        <v>48</v>
      </c>
    </row>
    <row r="50" spans="1:7" x14ac:dyDescent="0.15">
      <c r="A50" s="7" t="s">
        <v>63</v>
      </c>
      <c r="B50" s="8" t="s">
        <v>66</v>
      </c>
      <c r="C50" s="9">
        <v>1</v>
      </c>
      <c r="D50" s="9">
        <v>212</v>
      </c>
      <c r="E50" s="9">
        <v>14840</v>
      </c>
      <c r="F50" s="5">
        <v>63</v>
      </c>
      <c r="G50" s="5">
        <v>49</v>
      </c>
    </row>
    <row r="51" spans="1:7" x14ac:dyDescent="0.15">
      <c r="A51" s="6" t="s">
        <v>60</v>
      </c>
      <c r="B51" s="5" t="s">
        <v>66</v>
      </c>
      <c r="C51" s="5">
        <v>1</v>
      </c>
      <c r="D51" s="5">
        <v>206</v>
      </c>
      <c r="E51" s="5">
        <v>14420</v>
      </c>
      <c r="F51" s="5">
        <v>65</v>
      </c>
      <c r="G51" s="5">
        <v>50</v>
      </c>
    </row>
    <row r="52" spans="1:7" x14ac:dyDescent="0.15">
      <c r="A52" s="7" t="s">
        <v>5</v>
      </c>
      <c r="B52" s="8" t="s">
        <v>65</v>
      </c>
      <c r="C52" s="9">
        <v>4</v>
      </c>
      <c r="D52" s="9">
        <v>287</v>
      </c>
      <c r="E52" s="9">
        <v>14350</v>
      </c>
      <c r="F52" s="5">
        <v>45</v>
      </c>
      <c r="G52" s="5">
        <v>51</v>
      </c>
    </row>
    <row r="53" spans="1:7" x14ac:dyDescent="0.15">
      <c r="A53" s="6" t="s">
        <v>62</v>
      </c>
      <c r="B53" s="5" t="s">
        <v>65</v>
      </c>
      <c r="C53" s="5">
        <v>1</v>
      </c>
      <c r="D53" s="5">
        <v>234</v>
      </c>
      <c r="E53" s="5">
        <v>14321</v>
      </c>
      <c r="F53" s="5">
        <v>50</v>
      </c>
      <c r="G53" s="5">
        <v>52</v>
      </c>
    </row>
    <row r="54" spans="1:7" x14ac:dyDescent="0.15">
      <c r="A54" s="6" t="s">
        <v>60</v>
      </c>
      <c r="B54" s="6" t="s">
        <v>66</v>
      </c>
      <c r="C54" s="5">
        <v>4</v>
      </c>
      <c r="D54" s="5">
        <v>196</v>
      </c>
      <c r="E54" s="5">
        <v>13720</v>
      </c>
      <c r="F54" s="5">
        <v>68</v>
      </c>
      <c r="G54" s="5">
        <v>53</v>
      </c>
    </row>
    <row r="55" spans="1:7" x14ac:dyDescent="0.15">
      <c r="A55" s="6" t="s">
        <v>5</v>
      </c>
      <c r="B55" s="5" t="s">
        <v>66</v>
      </c>
      <c r="C55" s="5">
        <v>4</v>
      </c>
      <c r="D55" s="5">
        <v>187</v>
      </c>
      <c r="E55" s="5">
        <v>13090</v>
      </c>
      <c r="F55" s="5">
        <v>70</v>
      </c>
      <c r="G55" s="5">
        <v>54</v>
      </c>
    </row>
    <row r="56" spans="1:7" x14ac:dyDescent="0.15">
      <c r="A56" s="6" t="s">
        <v>63</v>
      </c>
      <c r="B56" s="5" t="s">
        <v>64</v>
      </c>
      <c r="C56" s="5">
        <v>3</v>
      </c>
      <c r="D56" s="5">
        <v>219</v>
      </c>
      <c r="E56" s="5">
        <v>12990</v>
      </c>
      <c r="F56" s="5">
        <v>56</v>
      </c>
      <c r="G56" s="5">
        <v>55</v>
      </c>
    </row>
    <row r="57" spans="1:7" x14ac:dyDescent="0.15">
      <c r="A57" s="6" t="s">
        <v>60</v>
      </c>
      <c r="B57" s="6" t="s">
        <v>64</v>
      </c>
      <c r="C57" s="5">
        <v>4</v>
      </c>
      <c r="D57" s="5">
        <v>421</v>
      </c>
      <c r="E57" s="5">
        <v>12630</v>
      </c>
      <c r="F57" s="5">
        <v>17</v>
      </c>
      <c r="G57" s="5">
        <v>56</v>
      </c>
    </row>
    <row r="58" spans="1:7" x14ac:dyDescent="0.15">
      <c r="A58" s="7" t="s">
        <v>62</v>
      </c>
      <c r="B58" s="8" t="s">
        <v>6</v>
      </c>
      <c r="C58" s="9">
        <v>4</v>
      </c>
      <c r="D58" s="9">
        <v>261</v>
      </c>
      <c r="E58" s="9">
        <v>11675</v>
      </c>
      <c r="F58" s="5">
        <v>46</v>
      </c>
      <c r="G58" s="5">
        <v>57</v>
      </c>
    </row>
    <row r="59" spans="1:7" x14ac:dyDescent="0.15">
      <c r="A59" s="5" t="s">
        <v>62</v>
      </c>
      <c r="B59" s="6" t="s">
        <v>6</v>
      </c>
      <c r="C59" s="5">
        <v>3</v>
      </c>
      <c r="D59" s="5">
        <v>232</v>
      </c>
      <c r="E59" s="5">
        <v>11298</v>
      </c>
      <c r="F59" s="5">
        <v>52</v>
      </c>
      <c r="G59" s="5">
        <v>58</v>
      </c>
    </row>
    <row r="60" spans="1:7" x14ac:dyDescent="0.15">
      <c r="A60" s="7" t="s">
        <v>63</v>
      </c>
      <c r="B60" s="8" t="s">
        <v>66</v>
      </c>
      <c r="C60" s="9">
        <v>4</v>
      </c>
      <c r="D60" s="9">
        <v>157</v>
      </c>
      <c r="E60" s="9">
        <v>10990</v>
      </c>
      <c r="F60" s="5">
        <v>73</v>
      </c>
      <c r="G60" s="5">
        <v>59</v>
      </c>
    </row>
    <row r="61" spans="1:7" x14ac:dyDescent="0.15">
      <c r="A61" s="7" t="s">
        <v>5</v>
      </c>
      <c r="B61" s="8" t="s">
        <v>64</v>
      </c>
      <c r="C61" s="9">
        <v>3</v>
      </c>
      <c r="D61" s="9">
        <v>365</v>
      </c>
      <c r="E61" s="9">
        <v>10950</v>
      </c>
      <c r="F61" s="5">
        <v>25</v>
      </c>
      <c r="G61" s="5">
        <v>60</v>
      </c>
    </row>
    <row r="62" spans="1:7" x14ac:dyDescent="0.15">
      <c r="A62" s="6" t="s">
        <v>60</v>
      </c>
      <c r="B62" s="5" t="s">
        <v>65</v>
      </c>
      <c r="C62" s="5">
        <v>4</v>
      </c>
      <c r="D62" s="5">
        <v>219</v>
      </c>
      <c r="E62" s="5">
        <v>10950</v>
      </c>
      <c r="F62" s="5">
        <v>56</v>
      </c>
      <c r="G62" s="5">
        <v>60</v>
      </c>
    </row>
    <row r="63" spans="1:7" x14ac:dyDescent="0.15">
      <c r="A63" s="7" t="s">
        <v>60</v>
      </c>
      <c r="B63" s="8" t="s">
        <v>65</v>
      </c>
      <c r="C63" s="9">
        <v>3</v>
      </c>
      <c r="D63" s="9">
        <v>218</v>
      </c>
      <c r="E63" s="9">
        <v>10900</v>
      </c>
      <c r="F63" s="5">
        <v>58</v>
      </c>
      <c r="G63" s="5">
        <v>62</v>
      </c>
    </row>
    <row r="64" spans="1:7" x14ac:dyDescent="0.15">
      <c r="A64" s="6" t="s">
        <v>62</v>
      </c>
      <c r="B64" s="5" t="s">
        <v>64</v>
      </c>
      <c r="C64" s="5">
        <v>1</v>
      </c>
      <c r="D64" s="5">
        <v>156</v>
      </c>
      <c r="E64" s="5">
        <v>10786</v>
      </c>
      <c r="F64" s="5">
        <v>74</v>
      </c>
      <c r="G64" s="5">
        <v>63</v>
      </c>
    </row>
    <row r="65" spans="1:7" x14ac:dyDescent="0.15">
      <c r="A65" s="7" t="s">
        <v>63</v>
      </c>
      <c r="B65" s="8" t="s">
        <v>65</v>
      </c>
      <c r="C65" s="9">
        <v>4</v>
      </c>
      <c r="D65" s="9">
        <v>213</v>
      </c>
      <c r="E65" s="9">
        <v>10650</v>
      </c>
      <c r="F65" s="5">
        <v>62</v>
      </c>
      <c r="G65" s="5">
        <v>64</v>
      </c>
    </row>
    <row r="66" spans="1:7" x14ac:dyDescent="0.15">
      <c r="A66" s="5" t="s">
        <v>60</v>
      </c>
      <c r="B66" s="5" t="s">
        <v>65</v>
      </c>
      <c r="C66" s="5">
        <v>2</v>
      </c>
      <c r="D66" s="5">
        <v>211</v>
      </c>
      <c r="E66" s="5">
        <v>10550</v>
      </c>
      <c r="F66" s="5">
        <v>64</v>
      </c>
      <c r="G66" s="5">
        <v>65</v>
      </c>
    </row>
    <row r="67" spans="1:7" x14ac:dyDescent="0.15">
      <c r="A67" s="5" t="s">
        <v>5</v>
      </c>
      <c r="B67" s="5" t="s">
        <v>64</v>
      </c>
      <c r="C67" s="5">
        <v>4</v>
      </c>
      <c r="D67" s="5">
        <v>342</v>
      </c>
      <c r="E67" s="5">
        <v>10260</v>
      </c>
      <c r="F67" s="5">
        <v>31</v>
      </c>
      <c r="G67" s="5">
        <v>66</v>
      </c>
    </row>
    <row r="68" spans="1:7" x14ac:dyDescent="0.15">
      <c r="A68" s="5" t="s">
        <v>63</v>
      </c>
      <c r="B68" s="5" t="s">
        <v>6</v>
      </c>
      <c r="C68" s="5">
        <v>3</v>
      </c>
      <c r="D68" s="5">
        <v>216</v>
      </c>
      <c r="E68" s="5">
        <v>10238</v>
      </c>
      <c r="F68" s="5">
        <v>61</v>
      </c>
      <c r="G68" s="5">
        <v>67</v>
      </c>
    </row>
    <row r="69" spans="1:7" x14ac:dyDescent="0.15">
      <c r="A69" s="5" t="s">
        <v>63</v>
      </c>
      <c r="B69" s="5" t="s">
        <v>6</v>
      </c>
      <c r="C69" s="5">
        <v>2</v>
      </c>
      <c r="D69" s="5">
        <v>199</v>
      </c>
      <c r="E69" s="5">
        <v>9675</v>
      </c>
      <c r="F69" s="5">
        <v>66</v>
      </c>
      <c r="G69" s="5">
        <v>68</v>
      </c>
    </row>
    <row r="70" spans="1:7" x14ac:dyDescent="0.15">
      <c r="A70" s="5" t="s">
        <v>62</v>
      </c>
      <c r="B70" s="5" t="s">
        <v>65</v>
      </c>
      <c r="C70" s="5">
        <v>3</v>
      </c>
      <c r="D70" s="5">
        <v>129</v>
      </c>
      <c r="E70" s="5">
        <v>9637</v>
      </c>
      <c r="F70" s="5">
        <v>76</v>
      </c>
      <c r="G70" s="5">
        <v>69</v>
      </c>
    </row>
    <row r="71" spans="1:7" x14ac:dyDescent="0.15">
      <c r="A71" s="5" t="s">
        <v>63</v>
      </c>
      <c r="B71" s="5" t="s">
        <v>65</v>
      </c>
      <c r="C71" s="5">
        <v>2</v>
      </c>
      <c r="D71" s="5">
        <v>321</v>
      </c>
      <c r="E71" s="5">
        <v>9630</v>
      </c>
      <c r="F71" s="5">
        <v>39</v>
      </c>
      <c r="G71" s="5">
        <v>70</v>
      </c>
    </row>
    <row r="72" spans="1:7" x14ac:dyDescent="0.15">
      <c r="A72" s="5" t="s">
        <v>63</v>
      </c>
      <c r="B72" s="5" t="s">
        <v>65</v>
      </c>
      <c r="C72" s="5">
        <v>3</v>
      </c>
      <c r="D72" s="5">
        <v>189</v>
      </c>
      <c r="E72" s="5">
        <v>9450</v>
      </c>
      <c r="F72" s="5">
        <v>69</v>
      </c>
      <c r="G72" s="5">
        <v>71</v>
      </c>
    </row>
    <row r="73" spans="1:7" x14ac:dyDescent="0.15">
      <c r="A73" s="5" t="s">
        <v>60</v>
      </c>
      <c r="B73" s="5" t="s">
        <v>64</v>
      </c>
      <c r="C73" s="5">
        <v>2</v>
      </c>
      <c r="D73" s="5">
        <v>312</v>
      </c>
      <c r="E73" s="5">
        <v>9360</v>
      </c>
      <c r="F73" s="5">
        <v>41</v>
      </c>
      <c r="G73" s="5">
        <v>72</v>
      </c>
    </row>
    <row r="74" spans="1:7" x14ac:dyDescent="0.15">
      <c r="A74" s="5" t="s">
        <v>63</v>
      </c>
      <c r="B74" s="5" t="s">
        <v>64</v>
      </c>
      <c r="C74" s="5">
        <v>2</v>
      </c>
      <c r="D74" s="5">
        <v>148</v>
      </c>
      <c r="E74" s="5">
        <v>9078</v>
      </c>
      <c r="F74" s="5">
        <v>75</v>
      </c>
      <c r="G74" s="5">
        <v>73</v>
      </c>
    </row>
    <row r="75" spans="1:7" x14ac:dyDescent="0.15">
      <c r="A75" s="5" t="s">
        <v>62</v>
      </c>
      <c r="B75" s="5" t="s">
        <v>6</v>
      </c>
      <c r="C75" s="5">
        <v>2</v>
      </c>
      <c r="D75" s="5">
        <v>112</v>
      </c>
      <c r="E75" s="5">
        <v>8798</v>
      </c>
      <c r="F75" s="5">
        <v>79</v>
      </c>
      <c r="G75" s="5">
        <v>74</v>
      </c>
    </row>
    <row r="76" spans="1:7" x14ac:dyDescent="0.15">
      <c r="A76" s="5" t="s">
        <v>63</v>
      </c>
      <c r="B76" s="5" t="s">
        <v>6</v>
      </c>
      <c r="C76" s="5">
        <v>1</v>
      </c>
      <c r="D76" s="5">
        <v>166</v>
      </c>
      <c r="E76" s="5">
        <v>8765</v>
      </c>
      <c r="F76" s="5">
        <v>72</v>
      </c>
      <c r="G76" s="5">
        <v>75</v>
      </c>
    </row>
    <row r="77" spans="1:7" x14ac:dyDescent="0.15">
      <c r="A77" s="5" t="s">
        <v>63</v>
      </c>
      <c r="B77" s="5" t="s">
        <v>66</v>
      </c>
      <c r="C77" s="5">
        <v>3</v>
      </c>
      <c r="D77" s="5">
        <v>124</v>
      </c>
      <c r="E77" s="5">
        <v>8680</v>
      </c>
      <c r="F77" s="5">
        <v>77</v>
      </c>
      <c r="G77" s="5">
        <v>76</v>
      </c>
    </row>
    <row r="78" spans="1:7" x14ac:dyDescent="0.15">
      <c r="A78" s="5" t="s">
        <v>60</v>
      </c>
      <c r="B78" s="5" t="s">
        <v>65</v>
      </c>
      <c r="C78" s="5">
        <v>1</v>
      </c>
      <c r="D78" s="5">
        <v>167</v>
      </c>
      <c r="E78" s="5">
        <v>8350</v>
      </c>
      <c r="F78" s="5">
        <v>71</v>
      </c>
      <c r="G78" s="5">
        <v>77</v>
      </c>
    </row>
    <row r="79" spans="1:7" x14ac:dyDescent="0.15">
      <c r="A79" s="5" t="s">
        <v>62</v>
      </c>
      <c r="B79" s="5" t="s">
        <v>65</v>
      </c>
      <c r="C79" s="5">
        <v>4</v>
      </c>
      <c r="D79" s="5">
        <v>112</v>
      </c>
      <c r="E79" s="5">
        <v>8178</v>
      </c>
      <c r="F79" s="5">
        <v>79</v>
      </c>
      <c r="G79" s="5">
        <v>78</v>
      </c>
    </row>
    <row r="80" spans="1:7" x14ac:dyDescent="0.15">
      <c r="A80" s="5" t="s">
        <v>60</v>
      </c>
      <c r="B80" s="5" t="s">
        <v>6</v>
      </c>
      <c r="C80" s="5">
        <v>1</v>
      </c>
      <c r="D80" s="5">
        <v>123</v>
      </c>
      <c r="E80" s="5">
        <v>7685</v>
      </c>
      <c r="F80" s="5">
        <v>78</v>
      </c>
      <c r="G80" s="5">
        <v>79</v>
      </c>
    </row>
    <row r="81" spans="1:7" x14ac:dyDescent="0.15">
      <c r="A81" s="5" t="s">
        <v>60</v>
      </c>
      <c r="B81" s="5" t="s">
        <v>64</v>
      </c>
      <c r="C81" s="5">
        <v>1</v>
      </c>
      <c r="D81" s="5">
        <v>221</v>
      </c>
      <c r="E81" s="5">
        <v>6630</v>
      </c>
      <c r="F81" s="5">
        <v>55</v>
      </c>
      <c r="G81" s="5">
        <v>80</v>
      </c>
    </row>
  </sheetData>
  <sortState ref="A2:G65">
    <sortCondition ref="C2:C65"/>
    <sortCondition ref="A2:A65"/>
  </sortState>
  <phoneticPr fontId="1" type="noConversion"/>
  <pageMargins left="0.75" right="0.75" top="1" bottom="1" header="0.5" footer="0.5"/>
  <pageSetup paperSize="9" orientation="portrait" r:id="rId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产品销售统计表</vt:lpstr>
      <vt:lpstr>产品名称与产品序号对照表</vt:lpstr>
      <vt:lpstr>图书销售情况表</vt:lpstr>
    </vt:vector>
  </TitlesOfParts>
  <Company>home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zt</dc:creator>
  <cp:lastModifiedBy>Windows User</cp:lastModifiedBy>
  <dcterms:created xsi:type="dcterms:W3CDTF">2001-12-20T11:26:03Z</dcterms:created>
  <dcterms:modified xsi:type="dcterms:W3CDTF">2024-10-19T06:42:38Z</dcterms:modified>
</cp:coreProperties>
</file>