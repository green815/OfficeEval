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17280" windowHeight="9060"/>
  </bookViews>
  <sheets>
    <sheet name="学生成绩情况表" sheetId="1" r:id="rId1"/>
    <sheet name="图书销售情况表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70" i="2" l="1"/>
  <c r="D70" i="2"/>
  <c r="E69" i="2"/>
  <c r="D69" i="2"/>
  <c r="E52" i="2"/>
  <c r="D52" i="2"/>
  <c r="E35" i="2"/>
  <c r="D35" i="2"/>
  <c r="E18" i="2"/>
  <c r="D18" i="2"/>
  <c r="M4" i="1"/>
  <c r="M5" i="1"/>
  <c r="M6" i="1"/>
  <c r="M7" i="1"/>
  <c r="M3" i="1"/>
  <c r="L4" i="1"/>
  <c r="L5" i="1"/>
  <c r="L6" i="1"/>
  <c r="L7" i="1"/>
  <c r="L3" i="1"/>
  <c r="K4" i="1"/>
  <c r="K5" i="1"/>
  <c r="K6" i="1"/>
  <c r="K7" i="1"/>
  <c r="K3" i="1"/>
  <c r="J4" i="1"/>
  <c r="J5" i="1"/>
  <c r="J6" i="1"/>
  <c r="J7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G42" i="2" l="1"/>
  <c r="F42" i="2"/>
  <c r="G28" i="2"/>
  <c r="F28" i="2"/>
  <c r="G63" i="2"/>
  <c r="F63" i="2"/>
  <c r="G41" i="2"/>
  <c r="F41" i="2"/>
  <c r="G55" i="2"/>
  <c r="F55" i="2"/>
  <c r="G65" i="2"/>
  <c r="F65" i="2"/>
  <c r="G29" i="2"/>
  <c r="F29" i="2"/>
  <c r="G57" i="2"/>
  <c r="F57" i="2"/>
  <c r="G7" i="2"/>
  <c r="F7" i="2"/>
  <c r="G66" i="2"/>
  <c r="F66" i="2"/>
  <c r="G58" i="2"/>
  <c r="F58" i="2"/>
  <c r="G15" i="2"/>
  <c r="F15" i="2"/>
  <c r="G49" i="2"/>
  <c r="F49" i="2"/>
  <c r="G59" i="2"/>
  <c r="F59" i="2"/>
  <c r="G45" i="2"/>
  <c r="F45" i="2"/>
  <c r="G61" i="2"/>
  <c r="F61" i="2"/>
  <c r="G37" i="2"/>
  <c r="F37" i="2"/>
  <c r="G67" i="2"/>
  <c r="F67" i="2"/>
  <c r="G32" i="2"/>
  <c r="F32" i="2"/>
  <c r="G53" i="2"/>
  <c r="F53" i="2"/>
  <c r="G24" i="2"/>
  <c r="F24" i="2"/>
  <c r="G20" i="2"/>
  <c r="F20" i="2"/>
  <c r="G54" i="2"/>
  <c r="F54" i="2"/>
  <c r="G11" i="2"/>
  <c r="F11" i="2"/>
  <c r="G62" i="2"/>
  <c r="F62" i="2"/>
  <c r="G3" i="2"/>
  <c r="F3" i="2"/>
  <c r="G68" i="2"/>
  <c r="F68" i="2"/>
  <c r="G60" i="2"/>
  <c r="F60" i="2"/>
  <c r="G56" i="2"/>
  <c r="F56" i="2"/>
  <c r="G46" i="2"/>
  <c r="F46" i="2"/>
  <c r="G64" i="2"/>
  <c r="F64" i="2"/>
  <c r="G4" i="2"/>
  <c r="F4" i="2"/>
  <c r="G8" i="2"/>
  <c r="F8" i="2"/>
  <c r="G2" i="2"/>
  <c r="F2" i="2"/>
  <c r="G33" i="2"/>
  <c r="F33" i="2"/>
  <c r="G9" i="2"/>
  <c r="F9" i="2"/>
  <c r="G12" i="2"/>
  <c r="F12" i="2"/>
  <c r="G5" i="2"/>
  <c r="F5" i="2"/>
  <c r="G39" i="2"/>
  <c r="F39" i="2"/>
  <c r="G25" i="2"/>
  <c r="F25" i="2"/>
  <c r="G43" i="2"/>
  <c r="F43" i="2"/>
  <c r="G38" i="2"/>
  <c r="F38" i="2"/>
  <c r="G36" i="2"/>
  <c r="F36" i="2"/>
  <c r="G27" i="2"/>
  <c r="F27" i="2"/>
  <c r="G14" i="2"/>
  <c r="F14" i="2"/>
  <c r="G16" i="2"/>
  <c r="F16" i="2"/>
  <c r="G10" i="2"/>
  <c r="F10" i="2"/>
  <c r="G13" i="2"/>
  <c r="F13" i="2"/>
  <c r="G50" i="2"/>
  <c r="F50" i="2"/>
  <c r="G21" i="2"/>
  <c r="F21" i="2"/>
  <c r="G44" i="2"/>
  <c r="F44" i="2"/>
  <c r="G23" i="2"/>
  <c r="F23" i="2"/>
  <c r="G22" i="2"/>
  <c r="F22" i="2"/>
  <c r="G30" i="2"/>
  <c r="F30" i="2"/>
  <c r="G31" i="2"/>
  <c r="F31" i="2"/>
  <c r="G34" i="2"/>
  <c r="F34" i="2"/>
  <c r="G48" i="2"/>
  <c r="F48" i="2"/>
  <c r="G17" i="2"/>
  <c r="F17" i="2"/>
  <c r="G51" i="2"/>
  <c r="F51" i="2"/>
  <c r="G19" i="2"/>
  <c r="F19" i="2"/>
  <c r="G26" i="2"/>
  <c r="F26" i="2"/>
  <c r="G6" i="2"/>
  <c r="F6" i="2"/>
  <c r="G40" i="2"/>
  <c r="F40" i="2"/>
  <c r="G47" i="2"/>
  <c r="F47" i="2"/>
</calcChain>
</file>

<file path=xl/sharedStrings.xml><?xml version="1.0" encoding="utf-8"?>
<sst xmlns="http://schemas.openxmlformats.org/spreadsheetml/2006/main" count="219" uniqueCount="100">
  <si>
    <t>总成绩</t>
    <phoneticPr fontId="2" type="noConversion"/>
  </si>
  <si>
    <t>成绩排名</t>
    <phoneticPr fontId="2" type="noConversion"/>
  </si>
  <si>
    <t>学号</t>
    <phoneticPr fontId="2" type="noConversion"/>
  </si>
  <si>
    <t>学生成绩统计表</t>
    <phoneticPr fontId="2" type="noConversion"/>
  </si>
  <si>
    <t>笔试成绩（占40%）</t>
    <phoneticPr fontId="2" type="noConversion"/>
  </si>
  <si>
    <t>面试成绩（占20%）</t>
    <phoneticPr fontId="2" type="noConversion"/>
  </si>
  <si>
    <t>实验成绩（占40%）</t>
    <phoneticPr fontId="2" type="noConversion"/>
  </si>
  <si>
    <t>班级</t>
    <phoneticPr fontId="2" type="noConversion"/>
  </si>
  <si>
    <t>2班</t>
    <phoneticPr fontId="2" type="noConversion"/>
  </si>
  <si>
    <t>2班</t>
    <phoneticPr fontId="2" type="noConversion"/>
  </si>
  <si>
    <t>2班</t>
    <phoneticPr fontId="2" type="noConversion"/>
  </si>
  <si>
    <t>2班</t>
    <phoneticPr fontId="2" type="noConversion"/>
  </si>
  <si>
    <t>3班</t>
  </si>
  <si>
    <t>3班</t>
    <phoneticPr fontId="2" type="noConversion"/>
  </si>
  <si>
    <t>3班</t>
    <phoneticPr fontId="2" type="noConversion"/>
  </si>
  <si>
    <t>3班</t>
    <phoneticPr fontId="2" type="noConversion"/>
  </si>
  <si>
    <t>4班</t>
  </si>
  <si>
    <t>4班</t>
    <phoneticPr fontId="2" type="noConversion"/>
  </si>
  <si>
    <t>4班</t>
    <phoneticPr fontId="2" type="noConversion"/>
  </si>
  <si>
    <t>5班</t>
  </si>
  <si>
    <t>5班</t>
    <phoneticPr fontId="2" type="noConversion"/>
  </si>
  <si>
    <t>5班</t>
    <phoneticPr fontId="2" type="noConversion"/>
  </si>
  <si>
    <t>1班</t>
  </si>
  <si>
    <t>1班</t>
    <phoneticPr fontId="2" type="noConversion"/>
  </si>
  <si>
    <t>1班</t>
    <phoneticPr fontId="2" type="noConversion"/>
  </si>
  <si>
    <r>
      <rPr>
        <sz val="12"/>
        <rFont val="宋体"/>
        <family val="3"/>
        <charset val="134"/>
      </rPr>
      <t>S</t>
    </r>
    <r>
      <rPr>
        <sz val="12"/>
        <rFont val="宋体"/>
        <charset val="134"/>
      </rPr>
      <t>0</t>
    </r>
    <r>
      <rPr>
        <sz val="12"/>
        <rFont val="宋体"/>
        <family val="3"/>
        <charset val="134"/>
      </rPr>
      <t>1</t>
    </r>
    <phoneticPr fontId="2" type="noConversion"/>
  </si>
  <si>
    <r>
      <t>S</t>
    </r>
    <r>
      <rPr>
        <sz val="12"/>
        <rFont val="宋体"/>
        <family val="3"/>
        <charset val="134"/>
      </rPr>
      <t>02</t>
    </r>
    <phoneticPr fontId="2" type="noConversion"/>
  </si>
  <si>
    <r>
      <rPr>
        <sz val="12"/>
        <rFont val="宋体"/>
        <family val="3"/>
        <charset val="134"/>
      </rPr>
      <t>S</t>
    </r>
    <r>
      <rPr>
        <sz val="12"/>
        <rFont val="宋体"/>
        <charset val="134"/>
      </rPr>
      <t>03</t>
    </r>
    <r>
      <rPr>
        <sz val="12"/>
        <rFont val="宋体"/>
        <family val="3"/>
        <charset val="134"/>
      </rPr>
      <t/>
    </r>
  </si>
  <si>
    <r>
      <t>S</t>
    </r>
    <r>
      <rPr>
        <sz val="12"/>
        <rFont val="宋体"/>
        <family val="3"/>
        <charset val="134"/>
      </rPr>
      <t>04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</si>
  <si>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2"/>
        <rFont val="宋体"/>
        <family val="3"/>
        <charset val="134"/>
      </rPr>
      <t>S</t>
    </r>
    <r>
      <rPr>
        <sz val="12"/>
        <rFont val="宋体"/>
        <charset val="134"/>
      </rPr>
      <t>05</t>
    </r>
    <r>
      <rPr>
        <sz val="12"/>
        <rFont val="宋体"/>
        <family val="3"/>
        <charset val="134"/>
      </rPr>
      <t/>
    </r>
  </si>
  <si>
    <r>
      <t>S</t>
    </r>
    <r>
      <rPr>
        <sz val="12"/>
        <rFont val="宋体"/>
        <family val="3"/>
        <charset val="134"/>
      </rPr>
      <t>06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</si>
  <si>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11</t>
    </r>
    <phoneticPr fontId="2" type="noConversion"/>
  </si>
  <si>
    <r>
      <t>S</t>
    </r>
    <r>
      <rPr>
        <sz val="12"/>
        <rFont val="宋体"/>
        <family val="3"/>
        <charset val="134"/>
      </rPr>
      <t>12</t>
    </r>
    <phoneticPr fontId="2" type="noConversion"/>
  </si>
  <si>
    <r>
      <t>S</t>
    </r>
    <r>
      <rPr>
        <sz val="12"/>
        <rFont val="宋体"/>
        <family val="3"/>
        <charset val="134"/>
      </rPr>
      <t>13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</si>
  <si>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</si>
  <si>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</si>
  <si>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</si>
  <si>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31</t>
    </r>
    <phoneticPr fontId="2" type="noConversion"/>
  </si>
  <si>
    <r>
      <t>S</t>
    </r>
    <r>
      <rPr>
        <sz val="12"/>
        <rFont val="宋体"/>
        <family val="3"/>
        <charset val="134"/>
      </rPr>
      <t>32</t>
    </r>
    <phoneticPr fontId="2" type="noConversion"/>
  </si>
  <si>
    <r>
      <t>S</t>
    </r>
    <r>
      <rPr>
        <sz val="12"/>
        <rFont val="宋体"/>
        <family val="3"/>
        <charset val="134"/>
      </rPr>
      <t>33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</si>
  <si>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</si>
  <si>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</si>
  <si>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</si>
  <si>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41</t>
    </r>
    <phoneticPr fontId="2" type="noConversion"/>
  </si>
  <si>
    <r>
      <t>S</t>
    </r>
    <r>
      <rPr>
        <sz val="12"/>
        <rFont val="宋体"/>
        <family val="3"/>
        <charset val="134"/>
      </rPr>
      <t>42</t>
    </r>
    <phoneticPr fontId="2" type="noConversion"/>
  </si>
  <si>
    <r>
      <t>S</t>
    </r>
    <r>
      <rPr>
        <sz val="12"/>
        <rFont val="宋体"/>
        <family val="3"/>
        <charset val="134"/>
      </rPr>
      <t>43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</si>
  <si>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</si>
  <si>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</si>
  <si>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</si>
  <si>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51</t>
    </r>
    <phoneticPr fontId="2" type="noConversion"/>
  </si>
  <si>
    <r>
      <t>S</t>
    </r>
    <r>
      <rPr>
        <sz val="12"/>
        <rFont val="宋体"/>
        <family val="3"/>
        <charset val="134"/>
      </rPr>
      <t>52</t>
    </r>
    <phoneticPr fontId="2" type="noConversion"/>
  </si>
  <si>
    <r>
      <t>S</t>
    </r>
    <r>
      <rPr>
        <sz val="12"/>
        <rFont val="宋体"/>
        <family val="3"/>
        <charset val="134"/>
      </rPr>
      <t>53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</si>
  <si>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</si>
  <si>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</si>
  <si>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56</t>
    </r>
    <r>
      <rPr>
        <sz val="11"/>
        <color theme="1"/>
        <rFont val="宋体"/>
        <family val="2"/>
        <charset val="134"/>
        <scheme val="minor"/>
      </rPr>
      <t/>
    </r>
  </si>
  <si>
    <t>平均成绩统计表</t>
    <phoneticPr fontId="5" type="noConversion"/>
  </si>
  <si>
    <t>班级名</t>
    <phoneticPr fontId="5" type="noConversion"/>
  </si>
  <si>
    <t>1班</t>
    <phoneticPr fontId="5" type="noConversion"/>
  </si>
  <si>
    <t>2班</t>
    <phoneticPr fontId="5" type="noConversion"/>
  </si>
  <si>
    <t>3班</t>
    <phoneticPr fontId="5" type="noConversion"/>
  </si>
  <si>
    <t>4班</t>
    <phoneticPr fontId="5" type="noConversion"/>
  </si>
  <si>
    <t>5班</t>
    <phoneticPr fontId="2" type="noConversion"/>
  </si>
  <si>
    <t>笔试成绩部分</t>
    <phoneticPr fontId="5" type="noConversion"/>
  </si>
  <si>
    <t>面试成绩部分</t>
    <phoneticPr fontId="5" type="noConversion"/>
  </si>
  <si>
    <t>实验成绩部分</t>
    <phoneticPr fontId="5" type="noConversion"/>
  </si>
  <si>
    <t>班平均成绩</t>
    <phoneticPr fontId="5" type="noConversion"/>
  </si>
  <si>
    <t>图书类别</t>
    <phoneticPr fontId="5" type="noConversion"/>
  </si>
  <si>
    <t>销售额(元)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</si>
  <si>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</si>
  <si>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</si>
  <si>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</si>
  <si>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</si>
  <si>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</si>
  <si>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</si>
  <si>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t>农业科学</t>
    <phoneticPr fontId="5" type="noConversion"/>
  </si>
  <si>
    <t>交通科学</t>
  </si>
  <si>
    <t>第1分部</t>
  </si>
  <si>
    <t>经销部门</t>
    <phoneticPr fontId="5" type="noConversion"/>
  </si>
  <si>
    <t>季度</t>
    <phoneticPr fontId="5" type="noConversion"/>
  </si>
  <si>
    <t>销售数量(册)</t>
    <phoneticPr fontId="5" type="noConversion"/>
  </si>
  <si>
    <t>销售数量排名</t>
    <phoneticPr fontId="5" type="noConversion"/>
  </si>
  <si>
    <t>工业技术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</si>
  <si>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</si>
  <si>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</si>
  <si>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</si>
  <si>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</si>
  <si>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</si>
  <si>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第2分部</t>
    <phoneticPr fontId="5" type="noConversion"/>
  </si>
  <si>
    <t>农业科学</t>
    <phoneticPr fontId="5" type="noConversion"/>
  </si>
  <si>
    <t>第3分部</t>
    <phoneticPr fontId="5" type="noConversion"/>
  </si>
  <si>
    <t>第4分部</t>
    <phoneticPr fontId="5" type="noConversion"/>
  </si>
  <si>
    <t>第3分部</t>
    <phoneticPr fontId="5" type="noConversion"/>
  </si>
  <si>
    <t>交通科学</t>
    <phoneticPr fontId="5" type="noConversion"/>
  </si>
  <si>
    <t>第1分部</t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</si>
  <si>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</si>
  <si>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第1分部 汇总</t>
  </si>
  <si>
    <t>第2分部 汇总</t>
  </si>
  <si>
    <t>第3分部 汇总</t>
  </si>
  <si>
    <t>第4分部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</si>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</sst>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;[Red]\-0\ "/>
    <numFmt numFmtId="177" formatCode="0.0_ "/>
    <numFmt numFmtId="178" formatCode="0.0"/>
  </numFmts>
  <fonts count="8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3" fillId="0" borderId="0" xfId="0" applyNumberFormat="1" applyFont="1" applyFill="1" applyBorder="1" applyAlignment="1"/>
    <xf numFmtId="0" fontId="0" fillId="0" borderId="0" xfId="0" applyNumberFormat="1"/>
    <xf numFmtId="0" fontId="4" fillId="0" borderId="0" xfId="0" applyNumberFormat="1" applyFont="1" applyFill="1" applyBorder="1" applyAlignment="1"/>
    <xf numFmtId="0" fontId="4" fillId="0" borderId="0" xfId="0" applyFont="1"/>
    <xf numFmtId="0" fontId="4" fillId="0" borderId="2" xfId="0" applyFont="1" applyBorder="1"/>
    <xf numFmtId="0" fontId="4" fillId="0" borderId="2" xfId="0" applyFont="1" applyFill="1" applyBorder="1"/>
    <xf numFmtId="178" fontId="0" fillId="0" borderId="0" xfId="0" applyNumberFormat="1"/>
    <xf numFmtId="0" fontId="0" fillId="0" borderId="0" xfId="0" applyBorder="1"/>
    <xf numFmtId="177" fontId="0" fillId="0" borderId="0" xfId="0" applyNumberFormat="1"/>
    <xf numFmtId="0" fontId="6" fillId="0" borderId="2" xfId="0" applyFont="1" applyBorder="1"/>
    <xf numFmtId="0" fontId="0" fillId="0" borderId="2" xfId="0" applyBorder="1"/>
    <xf numFmtId="0" fontId="0" fillId="0" borderId="2" xfId="0" applyFont="1" applyFill="1" applyBorder="1"/>
    <xf numFmtId="0" fontId="0" fillId="0" borderId="2" xfId="0" applyFill="1" applyBorder="1"/>
    <xf numFmtId="177" fontId="4" fillId="0" borderId="2" xfId="0" applyNumberFormat="1" applyFont="1" applyBorder="1"/>
    <xf numFmtId="0" fontId="4" fillId="0" borderId="0" xfId="0" applyFont="1" applyBorder="1"/>
    <xf numFmtId="0" fontId="6" fillId="0" borderId="0" xfId="0" applyFont="1" applyBorder="1"/>
    <xf numFmtId="176" fontId="4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 sz="1600" b="1" i="0" u="none" strike="noStrike" cap="none" normalizeH="0" baseline="0" smtClean="0"/>
              <a:t>各班平均成绩统计图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学生成绩情况表!$I$3</c:f>
              <c:strCache>
                <c:ptCount val="1"/>
                <c:pt idx="0">
                  <c:v>1班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学生成绩情况表!$J$2:$M$2</c:f>
              <c:strCache>
                <c:ptCount val="4"/>
                <c:pt idx="0">
                  <c:v>笔试成绩部分</c:v>
                </c:pt>
                <c:pt idx="1">
                  <c:v>面试成绩部分</c:v>
                </c:pt>
                <c:pt idx="2">
                  <c:v>实验成绩部分</c:v>
                </c:pt>
                <c:pt idx="3">
                  <c:v>班平均成绩</c:v>
                </c:pt>
              </c:strCache>
            </c:strRef>
          </c:cat>
          <c:val>
            <c:numRef>
              <c:f>学生成绩情况表!$J$3:$M$3</c:f>
              <c:numCache>
                <c:formatCode>0.0_ </c:formatCode>
                <c:ptCount val="4"/>
                <c:pt idx="0">
                  <c:v>80</c:v>
                </c:pt>
                <c:pt idx="1">
                  <c:v>83.666666666666671</c:v>
                </c:pt>
                <c:pt idx="2">
                  <c:v>78.666666666666671</c:v>
                </c:pt>
                <c:pt idx="3">
                  <c:v>80.2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F-484B-B826-17E7654BAC07}"/>
            </c:ext>
          </c:extLst>
        </c:ser>
        <c:ser>
          <c:idx val="1"/>
          <c:order val="1"/>
          <c:tx>
            <c:strRef>
              <c:f>学生成绩情况表!$I$4</c:f>
              <c:strCache>
                <c:ptCount val="1"/>
                <c:pt idx="0">
                  <c:v>2班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学生成绩情况表!$J$2:$M$2</c:f>
              <c:strCache>
                <c:ptCount val="4"/>
                <c:pt idx="0">
                  <c:v>笔试成绩部分</c:v>
                </c:pt>
                <c:pt idx="1">
                  <c:v>面试成绩部分</c:v>
                </c:pt>
                <c:pt idx="2">
                  <c:v>实验成绩部分</c:v>
                </c:pt>
                <c:pt idx="3">
                  <c:v>班平均成绩</c:v>
                </c:pt>
              </c:strCache>
            </c:strRef>
          </c:cat>
          <c:val>
            <c:numRef>
              <c:f>学生成绩情况表!$J$4:$M$4</c:f>
              <c:numCache>
                <c:formatCode>0.0_ </c:formatCode>
                <c:ptCount val="4"/>
                <c:pt idx="0">
                  <c:v>85.333333333333329</c:v>
                </c:pt>
                <c:pt idx="1">
                  <c:v>75.833333333333329</c:v>
                </c:pt>
                <c:pt idx="2">
                  <c:v>75.833333333333329</c:v>
                </c:pt>
                <c:pt idx="3">
                  <c:v>79.63333333333334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F-484B-B826-17E7654BAC07}"/>
            </c:ext>
          </c:extLst>
        </c:ser>
        <c:ser>
          <c:idx val="2"/>
          <c:order val="2"/>
          <c:tx>
            <c:strRef>
              <c:f>学生成绩情况表!$I$5</c:f>
              <c:strCache>
                <c:ptCount val="1"/>
                <c:pt idx="0">
                  <c:v>3班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学生成绩情况表!$J$2:$M$2</c:f>
              <c:strCache>
                <c:ptCount val="4"/>
                <c:pt idx="0">
                  <c:v>笔试成绩部分</c:v>
                </c:pt>
                <c:pt idx="1">
                  <c:v>面试成绩部分</c:v>
                </c:pt>
                <c:pt idx="2">
                  <c:v>实验成绩部分</c:v>
                </c:pt>
                <c:pt idx="3">
                  <c:v>班平均成绩</c:v>
                </c:pt>
              </c:strCache>
            </c:strRef>
          </c:cat>
          <c:val>
            <c:numRef>
              <c:f>学生成绩情况表!$J$5:$M$5</c:f>
              <c:numCache>
                <c:formatCode>0.0_ </c:formatCode>
                <c:ptCount val="4"/>
                <c:pt idx="0">
                  <c:v>81.333333333333329</c:v>
                </c:pt>
                <c:pt idx="1">
                  <c:v>81.833333333333329</c:v>
                </c:pt>
                <c:pt idx="2">
                  <c:v>82</c:v>
                </c:pt>
                <c:pt idx="3">
                  <c:v>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BF-484B-B826-17E7654BAC07}"/>
            </c:ext>
          </c:extLst>
        </c:ser>
        <c:ser>
          <c:idx val="3"/>
          <c:order val="3"/>
          <c:tx>
            <c:strRef>
              <c:f>学生成绩情况表!$I$6</c:f>
              <c:strCache>
                <c:ptCount val="1"/>
                <c:pt idx="0">
                  <c:v>4班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学生成绩情况表!$J$2:$M$2</c:f>
              <c:strCache>
                <c:ptCount val="4"/>
                <c:pt idx="0">
                  <c:v>笔试成绩部分</c:v>
                </c:pt>
                <c:pt idx="1">
                  <c:v>面试成绩部分</c:v>
                </c:pt>
                <c:pt idx="2">
                  <c:v>实验成绩部分</c:v>
                </c:pt>
                <c:pt idx="3">
                  <c:v>班平均成绩</c:v>
                </c:pt>
              </c:strCache>
            </c:strRef>
          </c:cat>
          <c:val>
            <c:numRef>
              <c:f>学生成绩情况表!$J$6:$M$6</c:f>
              <c:numCache>
                <c:formatCode>0.0_ </c:formatCode>
                <c:ptCount val="4"/>
                <c:pt idx="0">
                  <c:v>80.333333333333329</c:v>
                </c:pt>
                <c:pt idx="1">
                  <c:v>79</c:v>
                </c:pt>
                <c:pt idx="2">
                  <c:v>80.333333333333329</c:v>
                </c:pt>
                <c:pt idx="3">
                  <c:v>80.066666666666677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BF-484B-B826-17E7654BAC07}"/>
            </c:ext>
          </c:extLst>
        </c:ser>
        <c:ser>
          <c:idx val="4"/>
          <c:order val="4"/>
          <c:tx>
            <c:strRef>
              <c:f>学生成绩情况表!$I$7</c:f>
              <c:strCache>
                <c:ptCount val="1"/>
                <c:pt idx="0">
                  <c:v>5班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学生成绩情况表!$J$2:$M$2</c:f>
              <c:strCache>
                <c:ptCount val="4"/>
                <c:pt idx="0">
                  <c:v>笔试成绩部分</c:v>
                </c:pt>
                <c:pt idx="1">
                  <c:v>面试成绩部分</c:v>
                </c:pt>
                <c:pt idx="2">
                  <c:v>实验成绩部分</c:v>
                </c:pt>
                <c:pt idx="3">
                  <c:v>班平均成绩</c:v>
                </c:pt>
              </c:strCache>
            </c:strRef>
          </c:cat>
          <c:val>
            <c:numRef>
              <c:f>学生成绩情况表!$J$7:$M$7</c:f>
              <c:numCache>
                <c:formatCode>0.0_ </c:formatCode>
                <c:ptCount val="4"/>
                <c:pt idx="0">
                  <c:v>80.833333333333329</c:v>
                </c:pt>
                <c:pt idx="1">
                  <c:v>82.166666666666671</c:v>
                </c:pt>
                <c:pt idx="2">
                  <c:v>81.666666666666671</c:v>
                </c:pt>
                <c:pt idx="3">
                  <c:v>81.433333333333337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BF-484B-B826-17E7654BA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59442464"/>
        <c:axId val="359443448"/>
      </c:barChart>
      <c:catAx>
        <c:axId val="35944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443448"/>
        <c:crosses val="autoZero"/>
        <c:auto val="1"/>
        <c:lblAlgn val="ctr"/>
        <c:lblOffset val="100"/>
        <c:noMultiLvlLbl val="0"/>
      </c:catAx>
      <c:valAx>
        <c:axId val="359443448"/>
        <c:scaling>
          <c:orientation val="minMax"/>
          <c:max val="8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4424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90487</xdr:colOff>
      <xdr:row>8</xdr:row>
      <xdr:rowOff>52387</xdr:rowOff>
    </xdr:from>
    <xdr:to>
      <xdr:col>12</xdr:col>
      <xdr:colOff>800100</xdr:colOff>
      <xdr:row>22</xdr:row>
      <xdr:rowOff>85725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D18" sqref="D18"/>
    </sheetView>
  </sheetViews>
  <sheetFormatPr defaultRowHeight="14.25" x14ac:dyDescent="0.15"/>
  <cols>
    <col min="1" max="2" width="5.625" customWidth="1"/>
    <col min="3" max="3" width="16.75" customWidth="1"/>
    <col min="4" max="4" width="17.25" customWidth="1"/>
    <col min="5" max="5" width="16.875" customWidth="1"/>
    <col min="6" max="6" width="8.125" customWidth="1"/>
    <col min="7" max="7" width="10.25" bestFit="1" customWidth="1"/>
    <col min="8" max="8" width="7.125" customWidth="1"/>
    <col min="9" max="9" width="7" customWidth="1"/>
    <col min="10" max="10" width="12.875" customWidth="1"/>
    <col min="11" max="11" width="13.125" customWidth="1"/>
    <col min="12" max="12" width="13" customWidth="1"/>
    <col min="13" max="13" width="11.25" customWidth="1"/>
  </cols>
  <sheetData>
    <row r="1" spans="1:13" x14ac:dyDescent="0.15">
      <c r="A1" s="20" t="s">
        <v>3</v>
      </c>
      <c r="B1" s="20"/>
      <c r="C1" s="20"/>
      <c r="D1" s="20"/>
      <c r="E1" s="20"/>
      <c r="F1" s="20"/>
      <c r="G1" s="20"/>
      <c r="I1" s="19" t="s">
        <v>55</v>
      </c>
      <c r="J1" s="19"/>
      <c r="K1" s="19"/>
      <c r="L1" s="19"/>
      <c r="M1" s="19"/>
    </row>
    <row r="2" spans="1:13" x14ac:dyDescent="0.15">
      <c r="A2" s="2" t="s">
        <v>2</v>
      </c>
      <c r="B2" s="2" t="s">
        <v>7</v>
      </c>
      <c r="C2" s="2" t="s">
        <v>4</v>
      </c>
      <c r="D2" s="2" t="s">
        <v>5</v>
      </c>
      <c r="E2" s="2" t="s">
        <v>6</v>
      </c>
      <c r="F2" s="2" t="s">
        <v>0</v>
      </c>
      <c r="G2" s="3" t="s">
        <v>1</v>
      </c>
      <c r="I2" s="7" t="s">
        <v>56</v>
      </c>
      <c r="J2" s="7" t="s">
        <v>62</v>
      </c>
      <c r="K2" s="7" t="s">
        <v>63</v>
      </c>
      <c r="L2" s="7" t="s">
        <v>64</v>
      </c>
      <c r="M2" s="7" t="s">
        <v>65</v>
      </c>
    </row>
    <row r="3" spans="1:13" x14ac:dyDescent="0.15">
      <c r="A3" s="5" t="s">
        <v>25</v>
      </c>
      <c r="B3" s="5" t="s">
        <v>23</v>
      </c>
      <c r="C3" s="1">
        <v>81</v>
      </c>
      <c r="D3" s="1">
        <v>80</v>
      </c>
      <c r="E3" s="1">
        <v>86</v>
      </c>
      <c r="F3" s="11">
        <f>C3*0.4+D3*0.2+E3*0.4</f>
        <v>82.8</v>
      </c>
      <c r="G3">
        <f>_xlfn.RANK.EQ(F3,$F$3:$F$32,0)</f>
        <v>12</v>
      </c>
      <c r="H3" s="10"/>
      <c r="I3" s="7" t="s">
        <v>57</v>
      </c>
      <c r="J3" s="16">
        <f>AVERAGEIF($B$3:$B$32,I3,$C$3:$C$32)</f>
        <v>80</v>
      </c>
      <c r="K3" s="16">
        <f>AVERAGEIF($B$3:$B$32,I3,$D$3:$D$32)</f>
        <v>83.666666666666671</v>
      </c>
      <c r="L3" s="16">
        <f>AVERAGEIF($B$3:$B$32,I3,$E$3:$E$32)</f>
        <v>78.666666666666671</v>
      </c>
      <c r="M3" s="16">
        <f>AVERAGEIF($B$3:$B$32,I3,$F$3:$F$32)</f>
        <v>80.2</v>
      </c>
    </row>
    <row r="4" spans="1:13" x14ac:dyDescent="0.15">
      <c r="A4" s="5" t="s">
        <v>26</v>
      </c>
      <c r="B4" s="6" t="s">
        <v>24</v>
      </c>
      <c r="C4" s="1">
        <v>77</v>
      </c>
      <c r="D4" s="1">
        <v>90</v>
      </c>
      <c r="E4" s="1">
        <v>64</v>
      </c>
      <c r="F4" s="11">
        <f t="shared" ref="F4:F32" si="0">C4*0.4+D4*0.2+E4*0.4</f>
        <v>74.400000000000006</v>
      </c>
      <c r="G4">
        <f t="shared" ref="G4:G32" si="1">_xlfn.RANK.EQ(F4,$F$3:$F$32,0)</f>
        <v>25</v>
      </c>
      <c r="I4" s="7" t="s">
        <v>58</v>
      </c>
      <c r="J4" s="16">
        <f t="shared" ref="J4:J7" si="2">AVERAGEIF($B$3:$B$32,I4,$C$3:$C$32)</f>
        <v>85.333333333333329</v>
      </c>
      <c r="K4" s="16">
        <f t="shared" ref="K4:K7" si="3">AVERAGEIF($B$3:$B$32,I4,$D$3:$D$32)</f>
        <v>75.833333333333329</v>
      </c>
      <c r="L4" s="16">
        <f t="shared" ref="L4:L7" si="4">AVERAGEIF($B$3:$B$32,I4,$E$3:$E$32)</f>
        <v>75.833333333333329</v>
      </c>
      <c r="M4" s="16">
        <f t="shared" ref="M4:M7" si="5">AVERAGEIF($B$3:$B$32,I4,$F$3:$F$32)</f>
        <v>79.63333333333334</v>
      </c>
    </row>
    <row r="5" spans="1:13" x14ac:dyDescent="0.15">
      <c r="A5" s="5" t="s">
        <v>27</v>
      </c>
      <c r="B5" s="5" t="s">
        <v>22</v>
      </c>
      <c r="C5">
        <v>92</v>
      </c>
      <c r="D5">
        <v>85</v>
      </c>
      <c r="E5">
        <v>76</v>
      </c>
      <c r="F5" s="11">
        <f t="shared" si="0"/>
        <v>84.2</v>
      </c>
      <c r="G5">
        <f t="shared" si="1"/>
        <v>10</v>
      </c>
      <c r="I5" s="7" t="s">
        <v>59</v>
      </c>
      <c r="J5" s="16">
        <f t="shared" si="2"/>
        <v>81.333333333333329</v>
      </c>
      <c r="K5" s="16">
        <f t="shared" si="3"/>
        <v>81.833333333333329</v>
      </c>
      <c r="L5" s="16">
        <f t="shared" si="4"/>
        <v>82</v>
      </c>
      <c r="M5" s="16">
        <f t="shared" si="5"/>
        <v>81.7</v>
      </c>
    </row>
    <row r="6" spans="1:13" x14ac:dyDescent="0.15">
      <c r="A6" s="5" t="s">
        <v>28</v>
      </c>
      <c r="B6" s="6" t="s">
        <v>22</v>
      </c>
      <c r="C6">
        <v>85</v>
      </c>
      <c r="D6">
        <v>74</v>
      </c>
      <c r="E6">
        <v>82</v>
      </c>
      <c r="F6" s="11">
        <f t="shared" si="0"/>
        <v>81.599999999999994</v>
      </c>
      <c r="G6">
        <f t="shared" si="1"/>
        <v>15</v>
      </c>
      <c r="I6" s="7" t="s">
        <v>60</v>
      </c>
      <c r="J6" s="16">
        <f t="shared" si="2"/>
        <v>80.333333333333329</v>
      </c>
      <c r="K6" s="16">
        <f t="shared" si="3"/>
        <v>79</v>
      </c>
      <c r="L6" s="16">
        <f t="shared" si="4"/>
        <v>80.333333333333329</v>
      </c>
      <c r="M6" s="16">
        <f t="shared" si="5"/>
        <v>80.066666666666677</v>
      </c>
    </row>
    <row r="7" spans="1:13" x14ac:dyDescent="0.15">
      <c r="A7" s="5" t="s">
        <v>29</v>
      </c>
      <c r="B7" s="5" t="s">
        <v>22</v>
      </c>
      <c r="C7">
        <v>79</v>
      </c>
      <c r="D7">
        <v>91</v>
      </c>
      <c r="E7">
        <v>73</v>
      </c>
      <c r="F7" s="11">
        <f t="shared" si="0"/>
        <v>79</v>
      </c>
      <c r="G7">
        <f t="shared" si="1"/>
        <v>18</v>
      </c>
      <c r="I7" s="8" t="s">
        <v>61</v>
      </c>
      <c r="J7" s="16">
        <f t="shared" si="2"/>
        <v>80.833333333333329</v>
      </c>
      <c r="K7" s="16">
        <f t="shared" si="3"/>
        <v>82.166666666666671</v>
      </c>
      <c r="L7" s="16">
        <f t="shared" si="4"/>
        <v>81.666666666666671</v>
      </c>
      <c r="M7" s="16">
        <f t="shared" si="5"/>
        <v>81.433333333333337</v>
      </c>
    </row>
    <row r="8" spans="1:13" x14ac:dyDescent="0.15">
      <c r="A8" s="5" t="s">
        <v>30</v>
      </c>
      <c r="B8" s="6" t="s">
        <v>22</v>
      </c>
      <c r="C8">
        <v>66</v>
      </c>
      <c r="D8">
        <v>82</v>
      </c>
      <c r="E8">
        <v>91</v>
      </c>
      <c r="F8" s="11">
        <f t="shared" si="0"/>
        <v>79.2</v>
      </c>
      <c r="G8">
        <f t="shared" si="1"/>
        <v>17</v>
      </c>
    </row>
    <row r="9" spans="1:13" x14ac:dyDescent="0.15">
      <c r="A9" s="5" t="s">
        <v>31</v>
      </c>
      <c r="B9" s="5" t="s">
        <v>8</v>
      </c>
      <c r="C9">
        <v>78</v>
      </c>
      <c r="D9">
        <v>68</v>
      </c>
      <c r="E9">
        <v>67</v>
      </c>
      <c r="F9" s="11">
        <f t="shared" si="0"/>
        <v>71.600000000000009</v>
      </c>
      <c r="G9">
        <f t="shared" si="1"/>
        <v>29</v>
      </c>
      <c r="H9" s="4"/>
      <c r="M9" s="11"/>
    </row>
    <row r="10" spans="1:13" x14ac:dyDescent="0.15">
      <c r="A10" s="5" t="s">
        <v>32</v>
      </c>
      <c r="B10" s="5" t="s">
        <v>8</v>
      </c>
      <c r="C10" s="1">
        <v>88</v>
      </c>
      <c r="D10" s="1">
        <v>65</v>
      </c>
      <c r="E10" s="1">
        <v>66</v>
      </c>
      <c r="F10" s="11">
        <f t="shared" si="0"/>
        <v>74.600000000000009</v>
      </c>
      <c r="G10">
        <f t="shared" si="1"/>
        <v>24</v>
      </c>
      <c r="H10" s="4"/>
    </row>
    <row r="11" spans="1:13" x14ac:dyDescent="0.15">
      <c r="A11" s="5" t="s">
        <v>33</v>
      </c>
      <c r="B11" s="5" t="s">
        <v>9</v>
      </c>
      <c r="C11" s="1">
        <v>93</v>
      </c>
      <c r="D11" s="1">
        <v>89</v>
      </c>
      <c r="E11" s="1">
        <v>87</v>
      </c>
      <c r="F11" s="11">
        <f t="shared" si="0"/>
        <v>89.800000000000011</v>
      </c>
      <c r="G11">
        <f t="shared" si="1"/>
        <v>2</v>
      </c>
      <c r="H11" s="4"/>
    </row>
    <row r="12" spans="1:13" x14ac:dyDescent="0.15">
      <c r="A12" s="5" t="s">
        <v>34</v>
      </c>
      <c r="B12" s="6" t="s">
        <v>10</v>
      </c>
      <c r="C12">
        <v>68</v>
      </c>
      <c r="D12">
        <v>73</v>
      </c>
      <c r="E12">
        <v>78</v>
      </c>
      <c r="F12" s="11">
        <f t="shared" si="0"/>
        <v>73</v>
      </c>
      <c r="G12">
        <f t="shared" si="1"/>
        <v>26</v>
      </c>
    </row>
    <row r="13" spans="1:13" x14ac:dyDescent="0.15">
      <c r="A13" s="5" t="s">
        <v>35</v>
      </c>
      <c r="B13" s="6" t="s">
        <v>8</v>
      </c>
      <c r="C13" s="1">
        <v>92</v>
      </c>
      <c r="D13" s="1">
        <v>80</v>
      </c>
      <c r="E13" s="1">
        <v>82</v>
      </c>
      <c r="F13" s="11">
        <f t="shared" si="0"/>
        <v>85.600000000000009</v>
      </c>
      <c r="G13">
        <f t="shared" si="1"/>
        <v>7</v>
      </c>
    </row>
    <row r="14" spans="1:13" x14ac:dyDescent="0.15">
      <c r="A14" s="5" t="s">
        <v>36</v>
      </c>
      <c r="B14" s="6" t="s">
        <v>11</v>
      </c>
      <c r="C14" s="1">
        <v>93</v>
      </c>
      <c r="D14" s="1">
        <v>80</v>
      </c>
      <c r="E14" s="1">
        <v>75</v>
      </c>
      <c r="F14" s="11">
        <f t="shared" si="0"/>
        <v>83.2</v>
      </c>
      <c r="G14">
        <f t="shared" si="1"/>
        <v>11</v>
      </c>
    </row>
    <row r="15" spans="1:13" x14ac:dyDescent="0.15">
      <c r="A15" s="5" t="s">
        <v>37</v>
      </c>
      <c r="B15" s="6" t="s">
        <v>13</v>
      </c>
      <c r="C15">
        <v>66</v>
      </c>
      <c r="D15">
        <v>68</v>
      </c>
      <c r="E15">
        <v>81</v>
      </c>
      <c r="F15" s="11">
        <f t="shared" si="0"/>
        <v>72.400000000000006</v>
      </c>
      <c r="G15">
        <f t="shared" si="1"/>
        <v>28</v>
      </c>
    </row>
    <row r="16" spans="1:13" x14ac:dyDescent="0.15">
      <c r="A16" s="5" t="s">
        <v>38</v>
      </c>
      <c r="B16" s="6" t="s">
        <v>14</v>
      </c>
      <c r="C16">
        <v>92</v>
      </c>
      <c r="D16">
        <v>88</v>
      </c>
      <c r="E16">
        <v>69</v>
      </c>
      <c r="F16" s="11">
        <f t="shared" si="0"/>
        <v>82</v>
      </c>
      <c r="G16">
        <f t="shared" si="1"/>
        <v>13</v>
      </c>
    </row>
    <row r="17" spans="1:7" x14ac:dyDescent="0.15">
      <c r="A17" s="5" t="s">
        <v>39</v>
      </c>
      <c r="B17" s="5" t="s">
        <v>13</v>
      </c>
      <c r="C17">
        <v>73</v>
      </c>
      <c r="D17">
        <v>96</v>
      </c>
      <c r="E17">
        <v>76</v>
      </c>
      <c r="F17" s="11">
        <f t="shared" si="0"/>
        <v>78.800000000000011</v>
      </c>
      <c r="G17">
        <f t="shared" si="1"/>
        <v>19</v>
      </c>
    </row>
    <row r="18" spans="1:7" x14ac:dyDescent="0.15">
      <c r="A18" s="5" t="s">
        <v>40</v>
      </c>
      <c r="B18" s="5" t="s">
        <v>15</v>
      </c>
      <c r="C18">
        <v>91</v>
      </c>
      <c r="D18">
        <v>68</v>
      </c>
      <c r="E18">
        <v>92</v>
      </c>
      <c r="F18" s="11">
        <f t="shared" si="0"/>
        <v>86.800000000000011</v>
      </c>
      <c r="G18">
        <f t="shared" si="1"/>
        <v>6</v>
      </c>
    </row>
    <row r="19" spans="1:7" x14ac:dyDescent="0.15">
      <c r="A19" s="5" t="s">
        <v>41</v>
      </c>
      <c r="B19" s="6" t="s">
        <v>13</v>
      </c>
      <c r="C19">
        <v>70</v>
      </c>
      <c r="D19">
        <v>75</v>
      </c>
      <c r="E19">
        <v>83</v>
      </c>
      <c r="F19" s="11">
        <f t="shared" si="0"/>
        <v>76.2</v>
      </c>
      <c r="G19">
        <f t="shared" si="1"/>
        <v>22</v>
      </c>
    </row>
    <row r="20" spans="1:7" x14ac:dyDescent="0.15">
      <c r="A20" s="5" t="s">
        <v>42</v>
      </c>
      <c r="B20" s="6" t="s">
        <v>12</v>
      </c>
      <c r="C20">
        <v>96</v>
      </c>
      <c r="D20">
        <v>96</v>
      </c>
      <c r="E20">
        <v>91</v>
      </c>
      <c r="F20" s="11">
        <f t="shared" si="0"/>
        <v>94</v>
      </c>
      <c r="G20">
        <f t="shared" si="1"/>
        <v>1</v>
      </c>
    </row>
    <row r="21" spans="1:7" x14ac:dyDescent="0.15">
      <c r="A21" s="5" t="s">
        <v>43</v>
      </c>
      <c r="B21" s="6" t="s">
        <v>17</v>
      </c>
      <c r="C21">
        <v>96</v>
      </c>
      <c r="D21">
        <v>93</v>
      </c>
      <c r="E21">
        <v>70</v>
      </c>
      <c r="F21" s="11">
        <f t="shared" si="0"/>
        <v>85</v>
      </c>
      <c r="G21">
        <f t="shared" si="1"/>
        <v>9</v>
      </c>
    </row>
    <row r="22" spans="1:7" x14ac:dyDescent="0.15">
      <c r="A22" s="5" t="s">
        <v>44</v>
      </c>
      <c r="B22" s="6" t="s">
        <v>18</v>
      </c>
      <c r="C22">
        <v>67</v>
      </c>
      <c r="D22">
        <v>69</v>
      </c>
      <c r="E22">
        <v>90</v>
      </c>
      <c r="F22" s="11">
        <f t="shared" si="0"/>
        <v>76.599999999999994</v>
      </c>
      <c r="G22">
        <f t="shared" si="1"/>
        <v>21</v>
      </c>
    </row>
    <row r="23" spans="1:7" x14ac:dyDescent="0.15">
      <c r="A23" s="5" t="s">
        <v>45</v>
      </c>
      <c r="B23" s="6" t="s">
        <v>16</v>
      </c>
      <c r="C23" s="1">
        <v>68</v>
      </c>
      <c r="D23" s="1">
        <v>85</v>
      </c>
      <c r="E23" s="1">
        <v>72</v>
      </c>
      <c r="F23" s="11">
        <f t="shared" si="0"/>
        <v>73</v>
      </c>
      <c r="G23">
        <f t="shared" si="1"/>
        <v>26</v>
      </c>
    </row>
    <row r="24" spans="1:7" x14ac:dyDescent="0.15">
      <c r="A24" s="5" t="s">
        <v>46</v>
      </c>
      <c r="B24" s="6" t="s">
        <v>16</v>
      </c>
      <c r="C24" s="1">
        <v>84</v>
      </c>
      <c r="D24" s="1">
        <v>85</v>
      </c>
      <c r="E24" s="1">
        <v>94</v>
      </c>
      <c r="F24" s="11">
        <f t="shared" si="0"/>
        <v>88.2</v>
      </c>
      <c r="G24">
        <f t="shared" si="1"/>
        <v>3</v>
      </c>
    </row>
    <row r="25" spans="1:7" x14ac:dyDescent="0.15">
      <c r="A25" s="5" t="s">
        <v>47</v>
      </c>
      <c r="B25" s="6" t="s">
        <v>16</v>
      </c>
      <c r="C25">
        <v>75</v>
      </c>
      <c r="D25">
        <v>66</v>
      </c>
      <c r="E25">
        <v>68</v>
      </c>
      <c r="F25" s="11">
        <f t="shared" si="0"/>
        <v>70.400000000000006</v>
      </c>
      <c r="G25">
        <f t="shared" si="1"/>
        <v>30</v>
      </c>
    </row>
    <row r="26" spans="1:7" x14ac:dyDescent="0.15">
      <c r="A26" s="5" t="s">
        <v>48</v>
      </c>
      <c r="B26" s="6" t="s">
        <v>16</v>
      </c>
      <c r="C26">
        <v>92</v>
      </c>
      <c r="D26">
        <v>76</v>
      </c>
      <c r="E26">
        <v>88</v>
      </c>
      <c r="F26" s="11">
        <f t="shared" si="0"/>
        <v>87.200000000000017</v>
      </c>
      <c r="G26">
        <f t="shared" si="1"/>
        <v>5</v>
      </c>
    </row>
    <row r="27" spans="1:7" x14ac:dyDescent="0.15">
      <c r="A27" s="5" t="s">
        <v>49</v>
      </c>
      <c r="B27" s="6" t="s">
        <v>20</v>
      </c>
      <c r="C27">
        <v>82</v>
      </c>
      <c r="D27">
        <v>81</v>
      </c>
      <c r="E27">
        <v>67</v>
      </c>
      <c r="F27" s="11">
        <f t="shared" si="0"/>
        <v>75.8</v>
      </c>
      <c r="G27">
        <f t="shared" si="1"/>
        <v>23</v>
      </c>
    </row>
    <row r="28" spans="1:7" x14ac:dyDescent="0.15">
      <c r="A28" s="5" t="s">
        <v>50</v>
      </c>
      <c r="B28" s="6" t="s">
        <v>21</v>
      </c>
      <c r="C28">
        <v>81</v>
      </c>
      <c r="D28">
        <v>91</v>
      </c>
      <c r="E28">
        <v>78</v>
      </c>
      <c r="F28" s="11">
        <f t="shared" si="0"/>
        <v>81.8</v>
      </c>
      <c r="G28">
        <f t="shared" si="1"/>
        <v>14</v>
      </c>
    </row>
    <row r="29" spans="1:7" x14ac:dyDescent="0.15">
      <c r="A29" s="5" t="s">
        <v>51</v>
      </c>
      <c r="B29" s="6" t="s">
        <v>19</v>
      </c>
      <c r="C29">
        <v>68</v>
      </c>
      <c r="D29">
        <v>73</v>
      </c>
      <c r="E29">
        <v>89</v>
      </c>
      <c r="F29" s="11">
        <f t="shared" si="0"/>
        <v>77.400000000000006</v>
      </c>
      <c r="G29">
        <f t="shared" si="1"/>
        <v>20</v>
      </c>
    </row>
    <row r="30" spans="1:7" x14ac:dyDescent="0.15">
      <c r="A30" s="5" t="s">
        <v>52</v>
      </c>
      <c r="B30" s="6" t="s">
        <v>19</v>
      </c>
      <c r="C30">
        <v>78</v>
      </c>
      <c r="D30">
        <v>88</v>
      </c>
      <c r="E30">
        <v>91</v>
      </c>
      <c r="F30" s="11">
        <f t="shared" si="0"/>
        <v>85.2</v>
      </c>
      <c r="G30">
        <f t="shared" si="1"/>
        <v>8</v>
      </c>
    </row>
    <row r="31" spans="1:7" x14ac:dyDescent="0.15">
      <c r="A31" s="5" t="s">
        <v>53</v>
      </c>
      <c r="B31" s="6" t="s">
        <v>19</v>
      </c>
      <c r="C31" s="1">
        <v>90</v>
      </c>
      <c r="D31" s="1">
        <v>85</v>
      </c>
      <c r="E31" s="1">
        <v>87</v>
      </c>
      <c r="F31" s="11">
        <f t="shared" si="0"/>
        <v>87.800000000000011</v>
      </c>
      <c r="G31">
        <f t="shared" si="1"/>
        <v>4</v>
      </c>
    </row>
    <row r="32" spans="1:7" x14ac:dyDescent="0.15">
      <c r="A32" s="5" t="s">
        <v>54</v>
      </c>
      <c r="B32" s="6" t="s">
        <v>19</v>
      </c>
      <c r="C32" s="1">
        <v>86</v>
      </c>
      <c r="D32" s="1">
        <v>75</v>
      </c>
      <c r="E32" s="1">
        <v>78</v>
      </c>
      <c r="F32" s="11">
        <f t="shared" si="0"/>
        <v>80.599999999999994</v>
      </c>
      <c r="G32">
        <f t="shared" si="1"/>
        <v>16</v>
      </c>
    </row>
    <row r="33" spans="6:7" x14ac:dyDescent="0.15">
      <c r="F33" s="9"/>
      <c r="G33" s="4"/>
    </row>
  </sheetData>
  <sortState ref="A3:G32">
    <sortCondition ref="B3:B32"/>
  </sortState>
  <mergeCells count="2">
    <mergeCell ref="I1:M1"/>
    <mergeCell ref="A1:G1"/>
  </mergeCells>
  <phoneticPr fontId="2" type="noConversion"/>
  <conditionalFormatting sqref="I1">
    <cfRule type="cellIs" dxfId="1" priority="13" stopIfTrue="1" operator="greaterThanOrEqual">
      <formula>130</formula>
    </cfRule>
  </conditionalFormatting>
  <conditionalFormatting sqref="F3:F32">
    <cfRule type="top10" dxfId="0" priority="2" percent="1" bottom="1" rank="30"/>
  </conditionalFormatting>
  <conditionalFormatting sqref="G3:G32">
    <cfRule type="dataBar" priority="1">
      <dataBar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{AB5F88F4-6784-4B7C-B841-CAFB7746688B}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5F88F4-6784-4B7C-B841-CAFB7746688B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G3:G32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opLeftCell="A28" workbookViewId="0">
      <selection activeCell="C10" sqref="C10"/>
    </sheetView>
  </sheetViews>
  <sheetFormatPr defaultRowHeight="14.25" outlineLevelRow="2" x14ac:dyDescent="0.15"/>
  <cols>
    <col min="3" max="3" width="5.875" customWidth="1"/>
    <col min="4" max="4" width="9.125" customWidth="1"/>
    <col min="5" max="5" width="12.625" customWidth="1"/>
    <col min="6" max="6" width="13.625" customWidth="1"/>
    <col min="7" max="7" width="12" customWidth="1"/>
  </cols>
  <sheetData>
    <row r="1" spans="1:7" x14ac:dyDescent="0.15">
      <c r="A1" s="12" t="s">
        <v>77</v>
      </c>
      <c r="B1" s="12" t="s">
        <v>66</v>
      </c>
      <c r="C1" s="12" t="s">
        <v>78</v>
      </c>
      <c r="D1" s="12" t="s">
        <v>79</v>
      </c>
      <c r="E1" s="12" t="s">
        <v>67</v>
      </c>
      <c r="F1" s="12" t="s">
        <v>80</v>
      </c>
      <c r="G1" s="12" t="s">
        <v>68</v>
      </c>
    </row>
    <row r="2" spans="1:7" ht="15.75" outlineLevel="2" x14ac:dyDescent="0.25">
      <c r="A2" s="13" t="s">
        <v>71</v>
      </c>
      <c r="B2" s="7" t="s">
        <v>73</v>
      </c>
      <c r="C2" s="13">
        <v>1</v>
      </c>
      <c r="D2" s="13">
        <v>569</v>
      </c>
      <c r="E2" s="13">
        <v>28450</v>
      </c>
      <c r="F2" s="13">
        <f t="shared" ref="F2:F17" si="0">_xlfn.RANK.EQ(D2,$D$2:$D$68)</f>
        <v>7</v>
      </c>
      <c r="G2" s="13">
        <f t="shared" ref="G2:G17" si="1">_xlfn.RANK.EQ(E2,$E$2:$E$68)</f>
        <v>14</v>
      </c>
    </row>
    <row r="3" spans="1:7" outlineLevel="2" x14ac:dyDescent="0.15">
      <c r="A3" s="7" t="s">
        <v>84</v>
      </c>
      <c r="B3" s="7" t="s">
        <v>85</v>
      </c>
      <c r="C3" s="13">
        <v>1</v>
      </c>
      <c r="D3" s="13">
        <v>436</v>
      </c>
      <c r="E3" s="13">
        <v>35648</v>
      </c>
      <c r="F3" s="13">
        <f t="shared" si="0"/>
        <v>10</v>
      </c>
      <c r="G3" s="13">
        <f t="shared" si="1"/>
        <v>6</v>
      </c>
    </row>
    <row r="4" spans="1:7" ht="15.75" outlineLevel="2" x14ac:dyDescent="0.25">
      <c r="A4" s="13" t="s">
        <v>71</v>
      </c>
      <c r="B4" s="7" t="s">
        <v>74</v>
      </c>
      <c r="C4" s="13">
        <v>1</v>
      </c>
      <c r="D4" s="13">
        <v>765</v>
      </c>
      <c r="E4" s="13">
        <v>22950</v>
      </c>
      <c r="F4" s="13">
        <f t="shared" si="0"/>
        <v>4</v>
      </c>
      <c r="G4" s="13">
        <f t="shared" si="1"/>
        <v>23</v>
      </c>
    </row>
    <row r="5" spans="1:7" ht="15.75" outlineLevel="2" x14ac:dyDescent="0.25">
      <c r="A5" s="13" t="s">
        <v>71</v>
      </c>
      <c r="B5" s="7" t="s">
        <v>72</v>
      </c>
      <c r="C5" s="13">
        <v>1</v>
      </c>
      <c r="D5" s="13">
        <v>345</v>
      </c>
      <c r="E5" s="13">
        <v>24150</v>
      </c>
      <c r="F5" s="13">
        <f t="shared" si="0"/>
        <v>23</v>
      </c>
      <c r="G5" s="13">
        <f t="shared" si="1"/>
        <v>18</v>
      </c>
    </row>
    <row r="6" spans="1:7" ht="15.75" outlineLevel="2" x14ac:dyDescent="0.25">
      <c r="A6" s="13" t="s">
        <v>71</v>
      </c>
      <c r="B6" s="7" t="s">
        <v>73</v>
      </c>
      <c r="C6" s="13">
        <v>2</v>
      </c>
      <c r="D6" s="13">
        <v>435</v>
      </c>
      <c r="E6" s="13">
        <v>21750</v>
      </c>
      <c r="F6" s="13">
        <f t="shared" si="0"/>
        <v>11</v>
      </c>
      <c r="G6" s="13">
        <f t="shared" si="1"/>
        <v>26</v>
      </c>
    </row>
    <row r="7" spans="1:7" outlineLevel="2" x14ac:dyDescent="0.15">
      <c r="A7" s="7" t="s">
        <v>93</v>
      </c>
      <c r="B7" s="7" t="s">
        <v>92</v>
      </c>
      <c r="C7" s="13">
        <v>2</v>
      </c>
      <c r="D7" s="13">
        <v>654</v>
      </c>
      <c r="E7" s="13">
        <v>45321</v>
      </c>
      <c r="F7" s="13">
        <f t="shared" si="0"/>
        <v>5</v>
      </c>
      <c r="G7" s="13">
        <f t="shared" si="1"/>
        <v>4</v>
      </c>
    </row>
    <row r="8" spans="1:7" ht="15.75" outlineLevel="2" x14ac:dyDescent="0.25">
      <c r="A8" s="13" t="s">
        <v>71</v>
      </c>
      <c r="B8" s="7" t="s">
        <v>74</v>
      </c>
      <c r="C8" s="13">
        <v>2</v>
      </c>
      <c r="D8" s="13">
        <v>654</v>
      </c>
      <c r="E8" s="13">
        <v>19620</v>
      </c>
      <c r="F8" s="13">
        <f t="shared" si="0"/>
        <v>5</v>
      </c>
      <c r="G8" s="13">
        <f t="shared" si="1"/>
        <v>29</v>
      </c>
    </row>
    <row r="9" spans="1:7" ht="15.75" outlineLevel="2" x14ac:dyDescent="0.25">
      <c r="A9" s="13" t="s">
        <v>71</v>
      </c>
      <c r="B9" s="7" t="s">
        <v>72</v>
      </c>
      <c r="C9" s="13">
        <v>2</v>
      </c>
      <c r="D9" s="13">
        <v>412</v>
      </c>
      <c r="E9" s="13">
        <v>28840</v>
      </c>
      <c r="F9" s="13">
        <f t="shared" si="0"/>
        <v>17</v>
      </c>
      <c r="G9" s="13">
        <f t="shared" si="1"/>
        <v>13</v>
      </c>
    </row>
    <row r="10" spans="1:7" ht="15.75" outlineLevel="2" x14ac:dyDescent="0.25">
      <c r="A10" s="13" t="s">
        <v>71</v>
      </c>
      <c r="B10" s="7" t="s">
        <v>73</v>
      </c>
      <c r="C10" s="13">
        <v>3</v>
      </c>
      <c r="D10" s="13">
        <v>324</v>
      </c>
      <c r="E10" s="13">
        <v>16200</v>
      </c>
      <c r="F10" s="13">
        <f t="shared" si="0"/>
        <v>29</v>
      </c>
      <c r="G10" s="13">
        <f t="shared" si="1"/>
        <v>34</v>
      </c>
    </row>
    <row r="11" spans="1:7" outlineLevel="2" x14ac:dyDescent="0.15">
      <c r="A11" s="7" t="s">
        <v>76</v>
      </c>
      <c r="B11" s="7" t="s">
        <v>85</v>
      </c>
      <c r="C11" s="13">
        <v>3</v>
      </c>
      <c r="D11" s="13">
        <v>231</v>
      </c>
      <c r="E11" s="13">
        <v>23217</v>
      </c>
      <c r="F11" s="13">
        <f t="shared" si="0"/>
        <v>43</v>
      </c>
      <c r="G11" s="13">
        <f t="shared" si="1"/>
        <v>21</v>
      </c>
    </row>
    <row r="12" spans="1:7" ht="15.75" outlineLevel="2" x14ac:dyDescent="0.25">
      <c r="A12" s="13" t="s">
        <v>71</v>
      </c>
      <c r="B12" s="7" t="s">
        <v>74</v>
      </c>
      <c r="C12" s="13">
        <v>3</v>
      </c>
      <c r="D12" s="13">
        <v>365</v>
      </c>
      <c r="E12" s="13">
        <v>10950</v>
      </c>
      <c r="F12" s="13">
        <f t="shared" si="0"/>
        <v>20</v>
      </c>
      <c r="G12" s="13">
        <f t="shared" si="1"/>
        <v>47</v>
      </c>
    </row>
    <row r="13" spans="1:7" ht="15.75" outlineLevel="2" x14ac:dyDescent="0.25">
      <c r="A13" s="13" t="s">
        <v>71</v>
      </c>
      <c r="B13" s="7" t="s">
        <v>72</v>
      </c>
      <c r="C13" s="13">
        <v>3</v>
      </c>
      <c r="D13" s="13">
        <v>323</v>
      </c>
      <c r="E13" s="13">
        <v>22610</v>
      </c>
      <c r="F13" s="13">
        <f t="shared" si="0"/>
        <v>31</v>
      </c>
      <c r="G13" s="13">
        <f t="shared" si="1"/>
        <v>25</v>
      </c>
    </row>
    <row r="14" spans="1:7" ht="15.75" outlineLevel="2" x14ac:dyDescent="0.25">
      <c r="A14" s="13" t="s">
        <v>71</v>
      </c>
      <c r="B14" s="7" t="s">
        <v>73</v>
      </c>
      <c r="C14" s="13">
        <v>4</v>
      </c>
      <c r="D14" s="13">
        <v>287</v>
      </c>
      <c r="E14" s="13">
        <v>14350</v>
      </c>
      <c r="F14" s="13">
        <f t="shared" si="0"/>
        <v>37</v>
      </c>
      <c r="G14" s="13">
        <f t="shared" si="1"/>
        <v>38</v>
      </c>
    </row>
    <row r="15" spans="1:7" outlineLevel="2" x14ac:dyDescent="0.15">
      <c r="A15" s="7" t="s">
        <v>76</v>
      </c>
      <c r="B15" s="7" t="s">
        <v>92</v>
      </c>
      <c r="C15" s="13">
        <v>4</v>
      </c>
      <c r="D15" s="13">
        <v>365</v>
      </c>
      <c r="E15" s="13">
        <v>29879</v>
      </c>
      <c r="F15" s="13">
        <f t="shared" si="0"/>
        <v>20</v>
      </c>
      <c r="G15" s="13">
        <f t="shared" si="1"/>
        <v>10</v>
      </c>
    </row>
    <row r="16" spans="1:7" ht="15.75" outlineLevel="2" x14ac:dyDescent="0.25">
      <c r="A16" s="13" t="s">
        <v>71</v>
      </c>
      <c r="B16" s="7" t="s">
        <v>74</v>
      </c>
      <c r="C16" s="13">
        <v>4</v>
      </c>
      <c r="D16" s="13">
        <v>342</v>
      </c>
      <c r="E16" s="13">
        <v>10260</v>
      </c>
      <c r="F16" s="13">
        <f t="shared" si="0"/>
        <v>25</v>
      </c>
      <c r="G16" s="13">
        <f t="shared" si="1"/>
        <v>53</v>
      </c>
    </row>
    <row r="17" spans="1:7" ht="15.75" outlineLevel="2" x14ac:dyDescent="0.25">
      <c r="A17" s="13" t="s">
        <v>71</v>
      </c>
      <c r="B17" s="7" t="s">
        <v>72</v>
      </c>
      <c r="C17" s="13">
        <v>4</v>
      </c>
      <c r="D17" s="13">
        <v>187</v>
      </c>
      <c r="E17" s="13">
        <v>13090</v>
      </c>
      <c r="F17" s="13">
        <f t="shared" si="0"/>
        <v>57</v>
      </c>
      <c r="G17" s="13">
        <f t="shared" si="1"/>
        <v>41</v>
      </c>
    </row>
    <row r="18" spans="1:7" outlineLevel="1" x14ac:dyDescent="0.15">
      <c r="A18" s="12" t="s">
        <v>95</v>
      </c>
      <c r="B18" s="7"/>
      <c r="C18" s="13"/>
      <c r="D18" s="13">
        <f>SUBTOTAL(9,D2:D17)</f>
        <v>6694</v>
      </c>
      <c r="E18" s="13">
        <f>SUBTOTAL(9,E2:E17)</f>
        <v>367285</v>
      </c>
      <c r="F18" s="13"/>
      <c r="G18" s="13"/>
    </row>
    <row r="19" spans="1:7" ht="15.75" outlineLevel="2" x14ac:dyDescent="0.25">
      <c r="A19" s="13" t="s">
        <v>70</v>
      </c>
      <c r="B19" s="7" t="s">
        <v>73</v>
      </c>
      <c r="C19" s="13">
        <v>1</v>
      </c>
      <c r="D19" s="13">
        <v>167</v>
      </c>
      <c r="E19" s="13">
        <v>8350</v>
      </c>
      <c r="F19" s="13">
        <f t="shared" ref="F19:F34" si="2">_xlfn.RANK.EQ(D19,$D$2:$D$68)</f>
        <v>58</v>
      </c>
      <c r="G19" s="13">
        <f t="shared" ref="G19:G34" si="3">_xlfn.RANK.EQ(E19,$E$2:$E$68)</f>
        <v>64</v>
      </c>
    </row>
    <row r="20" spans="1:7" outlineLevel="2" x14ac:dyDescent="0.15">
      <c r="A20" s="7" t="s">
        <v>87</v>
      </c>
      <c r="B20" s="13" t="s">
        <v>75</v>
      </c>
      <c r="C20" s="13">
        <v>1</v>
      </c>
      <c r="D20" s="13">
        <v>123</v>
      </c>
      <c r="E20" s="13">
        <v>7685</v>
      </c>
      <c r="F20" s="13">
        <f t="shared" si="2"/>
        <v>65</v>
      </c>
      <c r="G20" s="13">
        <f t="shared" si="3"/>
        <v>66</v>
      </c>
    </row>
    <row r="21" spans="1:7" ht="15.75" outlineLevel="2" x14ac:dyDescent="0.25">
      <c r="A21" s="13" t="s">
        <v>70</v>
      </c>
      <c r="B21" s="7" t="s">
        <v>74</v>
      </c>
      <c r="C21" s="13">
        <v>1</v>
      </c>
      <c r="D21" s="13">
        <v>221</v>
      </c>
      <c r="E21" s="13">
        <v>6630</v>
      </c>
      <c r="F21" s="13">
        <f t="shared" si="2"/>
        <v>44</v>
      </c>
      <c r="G21" s="13">
        <f t="shared" si="3"/>
        <v>67</v>
      </c>
    </row>
    <row r="22" spans="1:7" ht="15.75" outlineLevel="2" x14ac:dyDescent="0.25">
      <c r="A22" s="13" t="s">
        <v>70</v>
      </c>
      <c r="B22" s="7" t="s">
        <v>72</v>
      </c>
      <c r="C22" s="13">
        <v>1</v>
      </c>
      <c r="D22" s="13">
        <v>206</v>
      </c>
      <c r="E22" s="13">
        <v>14420</v>
      </c>
      <c r="F22" s="13">
        <f t="shared" si="2"/>
        <v>53</v>
      </c>
      <c r="G22" s="13">
        <f t="shared" si="3"/>
        <v>37</v>
      </c>
    </row>
    <row r="23" spans="1:7" ht="15.75" outlineLevel="2" x14ac:dyDescent="0.25">
      <c r="A23" s="13" t="s">
        <v>70</v>
      </c>
      <c r="B23" s="7" t="s">
        <v>73</v>
      </c>
      <c r="C23" s="13">
        <v>2</v>
      </c>
      <c r="D23" s="13">
        <v>211</v>
      </c>
      <c r="E23" s="13">
        <v>10550</v>
      </c>
      <c r="F23" s="13">
        <f t="shared" si="2"/>
        <v>52</v>
      </c>
      <c r="G23" s="13">
        <f t="shared" si="3"/>
        <v>52</v>
      </c>
    </row>
    <row r="24" spans="1:7" outlineLevel="2" x14ac:dyDescent="0.15">
      <c r="A24" s="7" t="s">
        <v>87</v>
      </c>
      <c r="B24" s="13" t="s">
        <v>75</v>
      </c>
      <c r="C24" s="13">
        <v>2</v>
      </c>
      <c r="D24" s="13">
        <v>342</v>
      </c>
      <c r="E24" s="13">
        <v>23718</v>
      </c>
      <c r="F24" s="13">
        <f t="shared" si="2"/>
        <v>25</v>
      </c>
      <c r="G24" s="13">
        <f t="shared" si="3"/>
        <v>20</v>
      </c>
    </row>
    <row r="25" spans="1:7" ht="15.75" outlineLevel="2" x14ac:dyDescent="0.25">
      <c r="A25" s="13" t="s">
        <v>70</v>
      </c>
      <c r="B25" s="7" t="s">
        <v>74</v>
      </c>
      <c r="C25" s="13">
        <v>2</v>
      </c>
      <c r="D25" s="13">
        <v>312</v>
      </c>
      <c r="E25" s="13">
        <v>9360</v>
      </c>
      <c r="F25" s="13">
        <f t="shared" si="2"/>
        <v>34</v>
      </c>
      <c r="G25" s="13">
        <f t="shared" si="3"/>
        <v>59</v>
      </c>
    </row>
    <row r="26" spans="1:7" ht="15.75" outlineLevel="2" x14ac:dyDescent="0.25">
      <c r="A26" s="13" t="s">
        <v>70</v>
      </c>
      <c r="B26" s="7" t="s">
        <v>72</v>
      </c>
      <c r="C26" s="13">
        <v>2</v>
      </c>
      <c r="D26" s="13">
        <v>256</v>
      </c>
      <c r="E26" s="13">
        <v>17920</v>
      </c>
      <c r="F26" s="13">
        <f t="shared" si="2"/>
        <v>39</v>
      </c>
      <c r="G26" s="13">
        <f t="shared" si="3"/>
        <v>31</v>
      </c>
    </row>
    <row r="27" spans="1:7" ht="15.75" outlineLevel="2" x14ac:dyDescent="0.25">
      <c r="A27" s="13" t="s">
        <v>70</v>
      </c>
      <c r="B27" s="7" t="s">
        <v>73</v>
      </c>
      <c r="C27" s="13">
        <v>3</v>
      </c>
      <c r="D27" s="13">
        <v>218</v>
      </c>
      <c r="E27" s="13">
        <v>10900</v>
      </c>
      <c r="F27" s="13">
        <f t="shared" si="2"/>
        <v>47</v>
      </c>
      <c r="G27" s="13">
        <f t="shared" si="3"/>
        <v>49</v>
      </c>
    </row>
    <row r="28" spans="1:7" outlineLevel="2" x14ac:dyDescent="0.15">
      <c r="A28" s="7" t="s">
        <v>87</v>
      </c>
      <c r="B28" s="13" t="s">
        <v>75</v>
      </c>
      <c r="C28" s="13">
        <v>3</v>
      </c>
      <c r="D28" s="13">
        <v>542</v>
      </c>
      <c r="E28" s="13">
        <v>41234</v>
      </c>
      <c r="F28" s="13">
        <f t="shared" si="2"/>
        <v>9</v>
      </c>
      <c r="G28" s="13">
        <f t="shared" si="3"/>
        <v>5</v>
      </c>
    </row>
    <row r="29" spans="1:7" ht="15.75" outlineLevel="2" x14ac:dyDescent="0.25">
      <c r="A29" s="13" t="s">
        <v>94</v>
      </c>
      <c r="B29" s="7" t="s">
        <v>74</v>
      </c>
      <c r="C29" s="13">
        <v>3</v>
      </c>
      <c r="D29" s="13">
        <v>543</v>
      </c>
      <c r="E29" s="13">
        <v>16290</v>
      </c>
      <c r="F29" s="13">
        <f t="shared" si="2"/>
        <v>8</v>
      </c>
      <c r="G29" s="13">
        <f t="shared" si="3"/>
        <v>33</v>
      </c>
    </row>
    <row r="30" spans="1:7" ht="15.75" outlineLevel="2" x14ac:dyDescent="0.25">
      <c r="A30" s="13" t="s">
        <v>70</v>
      </c>
      <c r="B30" s="7" t="s">
        <v>72</v>
      </c>
      <c r="C30" s="13">
        <v>3</v>
      </c>
      <c r="D30" s="13">
        <v>234</v>
      </c>
      <c r="E30" s="13">
        <v>16380</v>
      </c>
      <c r="F30" s="13">
        <f t="shared" si="2"/>
        <v>40</v>
      </c>
      <c r="G30" s="13">
        <f t="shared" si="3"/>
        <v>32</v>
      </c>
    </row>
    <row r="31" spans="1:7" ht="15.75" outlineLevel="2" x14ac:dyDescent="0.25">
      <c r="A31" s="13" t="s">
        <v>70</v>
      </c>
      <c r="B31" s="7" t="s">
        <v>81</v>
      </c>
      <c r="C31" s="13">
        <v>4</v>
      </c>
      <c r="D31" s="13">
        <v>219</v>
      </c>
      <c r="E31" s="13">
        <v>10950</v>
      </c>
      <c r="F31" s="13">
        <f t="shared" si="2"/>
        <v>45</v>
      </c>
      <c r="G31" s="13">
        <f t="shared" si="3"/>
        <v>47</v>
      </c>
    </row>
    <row r="32" spans="1:7" outlineLevel="2" x14ac:dyDescent="0.15">
      <c r="A32" s="7" t="s">
        <v>87</v>
      </c>
      <c r="B32" s="13" t="s">
        <v>75</v>
      </c>
      <c r="C32" s="13">
        <v>4</v>
      </c>
      <c r="D32" s="13">
        <v>341</v>
      </c>
      <c r="E32" s="13">
        <v>26785</v>
      </c>
      <c r="F32" s="13">
        <f t="shared" si="2"/>
        <v>27</v>
      </c>
      <c r="G32" s="13">
        <f t="shared" si="3"/>
        <v>16</v>
      </c>
    </row>
    <row r="33" spans="1:7" ht="15.75" outlineLevel="2" x14ac:dyDescent="0.25">
      <c r="A33" s="13" t="s">
        <v>70</v>
      </c>
      <c r="B33" s="7" t="s">
        <v>74</v>
      </c>
      <c r="C33" s="13">
        <v>4</v>
      </c>
      <c r="D33" s="13">
        <v>421</v>
      </c>
      <c r="E33" s="13">
        <v>12630</v>
      </c>
      <c r="F33" s="13">
        <f t="shared" si="2"/>
        <v>15</v>
      </c>
      <c r="G33" s="13">
        <f t="shared" si="3"/>
        <v>43</v>
      </c>
    </row>
    <row r="34" spans="1:7" ht="15.75" outlineLevel="2" x14ac:dyDescent="0.25">
      <c r="A34" s="13" t="s">
        <v>70</v>
      </c>
      <c r="B34" s="7" t="s">
        <v>72</v>
      </c>
      <c r="C34" s="13">
        <v>4</v>
      </c>
      <c r="D34" s="13">
        <v>196</v>
      </c>
      <c r="E34" s="13">
        <v>13720</v>
      </c>
      <c r="F34" s="13">
        <f t="shared" si="2"/>
        <v>55</v>
      </c>
      <c r="G34" s="13">
        <f t="shared" si="3"/>
        <v>40</v>
      </c>
    </row>
    <row r="35" spans="1:7" outlineLevel="1" x14ac:dyDescent="0.15">
      <c r="A35" s="12" t="s">
        <v>96</v>
      </c>
      <c r="B35" s="7"/>
      <c r="C35" s="13"/>
      <c r="D35" s="13">
        <f>SUBTOTAL(9,D19:D34)</f>
        <v>4552</v>
      </c>
      <c r="E35" s="13">
        <f>SUBTOTAL(9,E19:E34)</f>
        <v>247522</v>
      </c>
      <c r="F35" s="13"/>
      <c r="G35" s="13"/>
    </row>
    <row r="36" spans="1:7" ht="15.75" outlineLevel="2" x14ac:dyDescent="0.25">
      <c r="A36" s="13" t="s">
        <v>69</v>
      </c>
      <c r="B36" s="7" t="s">
        <v>73</v>
      </c>
      <c r="C36" s="13">
        <v>1</v>
      </c>
      <c r="D36" s="13">
        <v>301</v>
      </c>
      <c r="E36" s="13">
        <v>15050</v>
      </c>
      <c r="F36" s="13">
        <f t="shared" ref="F36:F51" si="4">_xlfn.RANK.EQ(D36,$D$2:$D$68)</f>
        <v>36</v>
      </c>
      <c r="G36" s="13">
        <f t="shared" ref="G36:G51" si="5">_xlfn.RANK.EQ(E36,$E$2:$E$68)</f>
        <v>35</v>
      </c>
    </row>
    <row r="37" spans="1:7" outlineLevel="2" x14ac:dyDescent="0.15">
      <c r="A37" s="7" t="s">
        <v>89</v>
      </c>
      <c r="B37" s="13" t="s">
        <v>75</v>
      </c>
      <c r="C37" s="13">
        <v>1</v>
      </c>
      <c r="D37" s="13">
        <v>166</v>
      </c>
      <c r="E37" s="13">
        <v>8765</v>
      </c>
      <c r="F37" s="13">
        <f t="shared" si="4"/>
        <v>59</v>
      </c>
      <c r="G37" s="13">
        <f t="shared" si="5"/>
        <v>62</v>
      </c>
    </row>
    <row r="38" spans="1:7" ht="15.75" outlineLevel="2" x14ac:dyDescent="0.25">
      <c r="A38" s="13" t="s">
        <v>69</v>
      </c>
      <c r="B38" s="7" t="s">
        <v>74</v>
      </c>
      <c r="C38" s="13">
        <v>1</v>
      </c>
      <c r="D38" s="13">
        <v>306</v>
      </c>
      <c r="E38" s="13">
        <v>29180</v>
      </c>
      <c r="F38" s="13">
        <f t="shared" si="4"/>
        <v>35</v>
      </c>
      <c r="G38" s="13">
        <f t="shared" si="5"/>
        <v>12</v>
      </c>
    </row>
    <row r="39" spans="1:7" ht="15.75" outlineLevel="2" x14ac:dyDescent="0.25">
      <c r="A39" s="13" t="s">
        <v>69</v>
      </c>
      <c r="B39" s="7" t="s">
        <v>72</v>
      </c>
      <c r="C39" s="13">
        <v>1</v>
      </c>
      <c r="D39" s="13">
        <v>212</v>
      </c>
      <c r="E39" s="13">
        <v>14840</v>
      </c>
      <c r="F39" s="13">
        <f t="shared" si="4"/>
        <v>51</v>
      </c>
      <c r="G39" s="13">
        <f t="shared" si="5"/>
        <v>36</v>
      </c>
    </row>
    <row r="40" spans="1:7" ht="15.75" outlineLevel="2" x14ac:dyDescent="0.25">
      <c r="A40" s="13" t="s">
        <v>69</v>
      </c>
      <c r="B40" s="7" t="s">
        <v>73</v>
      </c>
      <c r="C40" s="13">
        <v>2</v>
      </c>
      <c r="D40" s="13">
        <v>321</v>
      </c>
      <c r="E40" s="13">
        <v>9630</v>
      </c>
      <c r="F40" s="13">
        <f t="shared" si="4"/>
        <v>32</v>
      </c>
      <c r="G40" s="13">
        <f t="shared" si="5"/>
        <v>57</v>
      </c>
    </row>
    <row r="41" spans="1:7" outlineLevel="2" x14ac:dyDescent="0.15">
      <c r="A41" s="7" t="s">
        <v>91</v>
      </c>
      <c r="B41" s="13" t="s">
        <v>75</v>
      </c>
      <c r="C41" s="13">
        <v>2</v>
      </c>
      <c r="D41" s="13">
        <v>199</v>
      </c>
      <c r="E41" s="13">
        <v>9675</v>
      </c>
      <c r="F41" s="13">
        <f t="shared" si="4"/>
        <v>54</v>
      </c>
      <c r="G41" s="13">
        <f t="shared" si="5"/>
        <v>55</v>
      </c>
    </row>
    <row r="42" spans="1:7" outlineLevel="2" x14ac:dyDescent="0.15">
      <c r="A42" s="14" t="s">
        <v>91</v>
      </c>
      <c r="B42" s="8" t="s">
        <v>74</v>
      </c>
      <c r="C42" s="15">
        <v>2</v>
      </c>
      <c r="D42" s="15">
        <v>148</v>
      </c>
      <c r="E42" s="15">
        <v>9078</v>
      </c>
      <c r="F42" s="13">
        <f t="shared" si="4"/>
        <v>62</v>
      </c>
      <c r="G42" s="13">
        <f t="shared" si="5"/>
        <v>60</v>
      </c>
    </row>
    <row r="43" spans="1:7" ht="15.75" outlineLevel="2" x14ac:dyDescent="0.25">
      <c r="A43" s="13" t="s">
        <v>69</v>
      </c>
      <c r="B43" s="7" t="s">
        <v>72</v>
      </c>
      <c r="C43" s="13">
        <v>2</v>
      </c>
      <c r="D43" s="13">
        <v>345</v>
      </c>
      <c r="E43" s="13">
        <v>24150</v>
      </c>
      <c r="F43" s="13">
        <f t="shared" si="4"/>
        <v>23</v>
      </c>
      <c r="G43" s="13">
        <f t="shared" si="5"/>
        <v>18</v>
      </c>
    </row>
    <row r="44" spans="1:7" ht="15.75" outlineLevel="2" x14ac:dyDescent="0.25">
      <c r="A44" s="13" t="s">
        <v>69</v>
      </c>
      <c r="B44" s="7" t="s">
        <v>73</v>
      </c>
      <c r="C44" s="13">
        <v>3</v>
      </c>
      <c r="D44" s="13">
        <v>189</v>
      </c>
      <c r="E44" s="13">
        <v>9450</v>
      </c>
      <c r="F44" s="13">
        <f t="shared" si="4"/>
        <v>56</v>
      </c>
      <c r="G44" s="13">
        <f t="shared" si="5"/>
        <v>58</v>
      </c>
    </row>
    <row r="45" spans="1:7" outlineLevel="2" x14ac:dyDescent="0.15">
      <c r="A45" s="7" t="s">
        <v>89</v>
      </c>
      <c r="B45" s="13" t="s">
        <v>75</v>
      </c>
      <c r="C45" s="13">
        <v>3</v>
      </c>
      <c r="D45" s="13">
        <v>216</v>
      </c>
      <c r="E45" s="13">
        <v>10238</v>
      </c>
      <c r="F45" s="13">
        <f t="shared" si="4"/>
        <v>49</v>
      </c>
      <c r="G45" s="13">
        <f t="shared" si="5"/>
        <v>54</v>
      </c>
    </row>
    <row r="46" spans="1:7" ht="15.75" outlineLevel="2" x14ac:dyDescent="0.25">
      <c r="A46" s="13" t="s">
        <v>69</v>
      </c>
      <c r="B46" s="7" t="s">
        <v>74</v>
      </c>
      <c r="C46" s="13">
        <v>3</v>
      </c>
      <c r="D46" s="13">
        <v>219</v>
      </c>
      <c r="E46" s="13">
        <v>12990</v>
      </c>
      <c r="F46" s="13">
        <f t="shared" si="4"/>
        <v>45</v>
      </c>
      <c r="G46" s="13">
        <f t="shared" si="5"/>
        <v>42</v>
      </c>
    </row>
    <row r="47" spans="1:7" ht="15.75" outlineLevel="2" x14ac:dyDescent="0.25">
      <c r="A47" s="13" t="s">
        <v>69</v>
      </c>
      <c r="B47" s="7" t="s">
        <v>72</v>
      </c>
      <c r="C47" s="13">
        <v>3</v>
      </c>
      <c r="D47" s="13">
        <v>124</v>
      </c>
      <c r="E47" s="13">
        <v>8680</v>
      </c>
      <c r="F47" s="13">
        <f t="shared" si="4"/>
        <v>64</v>
      </c>
      <c r="G47" s="13">
        <f t="shared" si="5"/>
        <v>63</v>
      </c>
    </row>
    <row r="48" spans="1:7" ht="15.75" outlineLevel="2" x14ac:dyDescent="0.25">
      <c r="A48" s="13" t="s">
        <v>69</v>
      </c>
      <c r="B48" s="7" t="s">
        <v>73</v>
      </c>
      <c r="C48" s="13">
        <v>4</v>
      </c>
      <c r="D48" s="13">
        <v>213</v>
      </c>
      <c r="E48" s="13">
        <v>10650</v>
      </c>
      <c r="F48" s="13">
        <f t="shared" si="4"/>
        <v>50</v>
      </c>
      <c r="G48" s="13">
        <f t="shared" si="5"/>
        <v>51</v>
      </c>
    </row>
    <row r="49" spans="1:7" outlineLevel="2" x14ac:dyDescent="0.15">
      <c r="A49" s="7" t="s">
        <v>91</v>
      </c>
      <c r="B49" s="13" t="s">
        <v>75</v>
      </c>
      <c r="C49" s="13">
        <v>4</v>
      </c>
      <c r="D49" s="13">
        <v>432</v>
      </c>
      <c r="E49" s="13">
        <v>20563</v>
      </c>
      <c r="F49" s="13">
        <f t="shared" si="4"/>
        <v>12</v>
      </c>
      <c r="G49" s="13">
        <f t="shared" si="5"/>
        <v>27</v>
      </c>
    </row>
    <row r="50" spans="1:7" ht="15.75" outlineLevel="2" x14ac:dyDescent="0.25">
      <c r="A50" s="13" t="s">
        <v>69</v>
      </c>
      <c r="B50" s="7" t="s">
        <v>74</v>
      </c>
      <c r="C50" s="13">
        <v>4</v>
      </c>
      <c r="D50" s="13">
        <v>432</v>
      </c>
      <c r="E50" s="13">
        <v>32960</v>
      </c>
      <c r="F50" s="13">
        <f t="shared" si="4"/>
        <v>12</v>
      </c>
      <c r="G50" s="13">
        <f t="shared" si="5"/>
        <v>7</v>
      </c>
    </row>
    <row r="51" spans="1:7" ht="15.75" outlineLevel="2" x14ac:dyDescent="0.25">
      <c r="A51" s="13" t="s">
        <v>69</v>
      </c>
      <c r="B51" s="7" t="s">
        <v>72</v>
      </c>
      <c r="C51" s="13">
        <v>4</v>
      </c>
      <c r="D51" s="13">
        <v>157</v>
      </c>
      <c r="E51" s="13">
        <v>10990</v>
      </c>
      <c r="F51" s="13">
        <f t="shared" si="4"/>
        <v>60</v>
      </c>
      <c r="G51" s="13">
        <f t="shared" si="5"/>
        <v>46</v>
      </c>
    </row>
    <row r="52" spans="1:7" outlineLevel="1" x14ac:dyDescent="0.15">
      <c r="A52" s="12" t="s">
        <v>97</v>
      </c>
      <c r="B52" s="7"/>
      <c r="C52" s="13"/>
      <c r="D52" s="13">
        <f>SUBTOTAL(9,D36:D51)</f>
        <v>3980</v>
      </c>
      <c r="E52" s="13">
        <f>SUBTOTAL(9,E36:E51)</f>
        <v>236889</v>
      </c>
      <c r="F52" s="13"/>
      <c r="G52" s="13"/>
    </row>
    <row r="53" spans="1:7" outlineLevel="2" x14ac:dyDescent="0.15">
      <c r="A53" s="14" t="s">
        <v>86</v>
      </c>
      <c r="B53" s="8" t="s">
        <v>73</v>
      </c>
      <c r="C53" s="15">
        <v>1</v>
      </c>
      <c r="D53" s="15">
        <v>234</v>
      </c>
      <c r="E53" s="15">
        <v>14321</v>
      </c>
      <c r="F53" s="13">
        <f t="shared" ref="F53:F68" si="6">_xlfn.RANK.EQ(D53,$D$2:$D$68)</f>
        <v>40</v>
      </c>
      <c r="G53" s="13">
        <f t="shared" ref="G53:G68" si="7">_xlfn.RANK.EQ(E53,$E$2:$E$68)</f>
        <v>39</v>
      </c>
    </row>
    <row r="54" spans="1:7" outlineLevel="2" x14ac:dyDescent="0.15">
      <c r="A54" s="7" t="s">
        <v>86</v>
      </c>
      <c r="B54" s="13" t="s">
        <v>75</v>
      </c>
      <c r="C54" s="13">
        <v>1</v>
      </c>
      <c r="D54" s="13">
        <v>321</v>
      </c>
      <c r="E54" s="13">
        <v>18976</v>
      </c>
      <c r="F54" s="13">
        <f t="shared" si="6"/>
        <v>32</v>
      </c>
      <c r="G54" s="13">
        <f t="shared" si="7"/>
        <v>30</v>
      </c>
    </row>
    <row r="55" spans="1:7" outlineLevel="2" x14ac:dyDescent="0.15">
      <c r="A55" s="14" t="s">
        <v>86</v>
      </c>
      <c r="B55" s="8" t="s">
        <v>88</v>
      </c>
      <c r="C55" s="15">
        <v>1</v>
      </c>
      <c r="D55" s="15">
        <v>156</v>
      </c>
      <c r="E55" s="15">
        <v>10786</v>
      </c>
      <c r="F55" s="13">
        <f t="shared" si="6"/>
        <v>61</v>
      </c>
      <c r="G55" s="13">
        <f t="shared" si="7"/>
        <v>50</v>
      </c>
    </row>
    <row r="56" spans="1:7" outlineLevel="2" x14ac:dyDescent="0.15">
      <c r="A56" s="7" t="s">
        <v>82</v>
      </c>
      <c r="B56" s="7" t="s">
        <v>72</v>
      </c>
      <c r="C56" s="13">
        <v>1</v>
      </c>
      <c r="D56" s="13">
        <v>324</v>
      </c>
      <c r="E56" s="13">
        <v>22680</v>
      </c>
      <c r="F56" s="13">
        <f t="shared" si="6"/>
        <v>29</v>
      </c>
      <c r="G56" s="13">
        <f t="shared" si="7"/>
        <v>24</v>
      </c>
    </row>
    <row r="57" spans="1:7" outlineLevel="2" x14ac:dyDescent="0.15">
      <c r="A57" s="14" t="s">
        <v>90</v>
      </c>
      <c r="B57" s="8" t="s">
        <v>73</v>
      </c>
      <c r="C57" s="15">
        <v>2</v>
      </c>
      <c r="D57" s="15">
        <v>432</v>
      </c>
      <c r="E57" s="15">
        <v>31256</v>
      </c>
      <c r="F57" s="13">
        <f t="shared" si="6"/>
        <v>12</v>
      </c>
      <c r="G57" s="13">
        <f t="shared" si="7"/>
        <v>9</v>
      </c>
    </row>
    <row r="58" spans="1:7" outlineLevel="2" x14ac:dyDescent="0.15">
      <c r="A58" s="7" t="s">
        <v>90</v>
      </c>
      <c r="B58" s="13" t="s">
        <v>75</v>
      </c>
      <c r="C58" s="13">
        <v>2</v>
      </c>
      <c r="D58" s="13">
        <v>112</v>
      </c>
      <c r="E58" s="13">
        <v>8798</v>
      </c>
      <c r="F58" s="13">
        <f t="shared" si="6"/>
        <v>66</v>
      </c>
      <c r="G58" s="13">
        <f t="shared" si="7"/>
        <v>61</v>
      </c>
    </row>
    <row r="59" spans="1:7" outlineLevel="2" x14ac:dyDescent="0.15">
      <c r="A59" s="14" t="s">
        <v>90</v>
      </c>
      <c r="B59" s="8" t="s">
        <v>74</v>
      </c>
      <c r="C59" s="15">
        <v>2</v>
      </c>
      <c r="D59" s="15">
        <v>217</v>
      </c>
      <c r="E59" s="15">
        <v>20453</v>
      </c>
      <c r="F59" s="13">
        <f t="shared" si="6"/>
        <v>48</v>
      </c>
      <c r="G59" s="13">
        <f t="shared" si="7"/>
        <v>28</v>
      </c>
    </row>
    <row r="60" spans="1:7" outlineLevel="2" x14ac:dyDescent="0.15">
      <c r="A60" s="7" t="s">
        <v>83</v>
      </c>
      <c r="B60" s="7" t="s">
        <v>72</v>
      </c>
      <c r="C60" s="13">
        <v>2</v>
      </c>
      <c r="D60" s="13">
        <v>329</v>
      </c>
      <c r="E60" s="13">
        <v>23030</v>
      </c>
      <c r="F60" s="13">
        <f t="shared" si="6"/>
        <v>28</v>
      </c>
      <c r="G60" s="13">
        <f t="shared" si="7"/>
        <v>22</v>
      </c>
    </row>
    <row r="61" spans="1:7" outlineLevel="2" x14ac:dyDescent="0.15">
      <c r="A61" s="14" t="s">
        <v>90</v>
      </c>
      <c r="B61" s="8" t="s">
        <v>73</v>
      </c>
      <c r="C61" s="15">
        <v>3</v>
      </c>
      <c r="D61" s="15">
        <v>129</v>
      </c>
      <c r="E61" s="15">
        <v>9637</v>
      </c>
      <c r="F61" s="13">
        <f t="shared" si="6"/>
        <v>63</v>
      </c>
      <c r="G61" s="13">
        <f t="shared" si="7"/>
        <v>56</v>
      </c>
    </row>
    <row r="62" spans="1:7" outlineLevel="2" x14ac:dyDescent="0.15">
      <c r="A62" s="7" t="s">
        <v>86</v>
      </c>
      <c r="B62" s="13" t="s">
        <v>75</v>
      </c>
      <c r="C62" s="13">
        <v>3</v>
      </c>
      <c r="D62" s="13">
        <v>232</v>
      </c>
      <c r="E62" s="13">
        <v>11298</v>
      </c>
      <c r="F62" s="13">
        <f t="shared" si="6"/>
        <v>42</v>
      </c>
      <c r="G62" s="13">
        <f t="shared" si="7"/>
        <v>45</v>
      </c>
    </row>
    <row r="63" spans="1:7" outlineLevel="2" x14ac:dyDescent="0.15">
      <c r="A63" s="14" t="s">
        <v>90</v>
      </c>
      <c r="B63" s="8" t="s">
        <v>88</v>
      </c>
      <c r="C63" s="15">
        <v>3</v>
      </c>
      <c r="D63" s="15">
        <v>356</v>
      </c>
      <c r="E63" s="15">
        <v>29342</v>
      </c>
      <c r="F63" s="13">
        <f t="shared" si="6"/>
        <v>22</v>
      </c>
      <c r="G63" s="13">
        <f t="shared" si="7"/>
        <v>11</v>
      </c>
    </row>
    <row r="64" spans="1:7" outlineLevel="2" x14ac:dyDescent="0.15">
      <c r="A64" s="7" t="s">
        <v>82</v>
      </c>
      <c r="B64" s="7" t="s">
        <v>72</v>
      </c>
      <c r="C64" s="13">
        <v>3</v>
      </c>
      <c r="D64" s="13">
        <v>378</v>
      </c>
      <c r="E64" s="13">
        <v>26460</v>
      </c>
      <c r="F64" s="13">
        <f t="shared" si="6"/>
        <v>19</v>
      </c>
      <c r="G64" s="13">
        <f t="shared" si="7"/>
        <v>17</v>
      </c>
    </row>
    <row r="65" spans="1:7" outlineLevel="2" x14ac:dyDescent="0.15">
      <c r="A65" s="14" t="s">
        <v>86</v>
      </c>
      <c r="B65" s="8" t="s">
        <v>81</v>
      </c>
      <c r="C65" s="15">
        <v>4</v>
      </c>
      <c r="D65" s="15">
        <v>112</v>
      </c>
      <c r="E65" s="15">
        <v>8178</v>
      </c>
      <c r="F65" s="13">
        <f t="shared" si="6"/>
        <v>66</v>
      </c>
      <c r="G65" s="13">
        <f t="shared" si="7"/>
        <v>65</v>
      </c>
    </row>
    <row r="66" spans="1:7" outlineLevel="2" x14ac:dyDescent="0.15">
      <c r="A66" s="7" t="s">
        <v>90</v>
      </c>
      <c r="B66" s="13" t="s">
        <v>75</v>
      </c>
      <c r="C66" s="13">
        <v>4</v>
      </c>
      <c r="D66" s="13">
        <v>261</v>
      </c>
      <c r="E66" s="13">
        <v>11675</v>
      </c>
      <c r="F66" s="13">
        <f t="shared" si="6"/>
        <v>38</v>
      </c>
      <c r="G66" s="13">
        <f t="shared" si="7"/>
        <v>44</v>
      </c>
    </row>
    <row r="67" spans="1:7" outlineLevel="2" x14ac:dyDescent="0.15">
      <c r="A67" s="14" t="s">
        <v>86</v>
      </c>
      <c r="B67" s="8" t="s">
        <v>88</v>
      </c>
      <c r="C67" s="15">
        <v>4</v>
      </c>
      <c r="D67" s="15">
        <v>421</v>
      </c>
      <c r="E67" s="15">
        <v>32534</v>
      </c>
      <c r="F67" s="13">
        <f t="shared" si="6"/>
        <v>15</v>
      </c>
      <c r="G67" s="13">
        <f t="shared" si="7"/>
        <v>8</v>
      </c>
    </row>
    <row r="68" spans="1:7" outlineLevel="2" x14ac:dyDescent="0.15">
      <c r="A68" s="7" t="s">
        <v>82</v>
      </c>
      <c r="B68" s="7" t="s">
        <v>72</v>
      </c>
      <c r="C68" s="13">
        <v>4</v>
      </c>
      <c r="D68" s="13">
        <v>398</v>
      </c>
      <c r="E68" s="13">
        <v>27860</v>
      </c>
      <c r="F68" s="13">
        <f t="shared" si="6"/>
        <v>18</v>
      </c>
      <c r="G68" s="13">
        <f t="shared" si="7"/>
        <v>15</v>
      </c>
    </row>
    <row r="69" spans="1:7" outlineLevel="1" x14ac:dyDescent="0.15">
      <c r="A69" s="18" t="s">
        <v>98</v>
      </c>
      <c r="B69" s="17"/>
      <c r="C69" s="10"/>
      <c r="D69" s="10">
        <f>SUBTOTAL(9,D53:D68)</f>
        <v>4412</v>
      </c>
      <c r="E69" s="10">
        <f>SUBTOTAL(9,E53:E68)</f>
        <v>307284</v>
      </c>
      <c r="F69" s="10"/>
      <c r="G69" s="10"/>
    </row>
    <row r="70" spans="1:7" x14ac:dyDescent="0.15">
      <c r="A70" s="18" t="s">
        <v>99</v>
      </c>
      <c r="B70" s="17"/>
      <c r="C70" s="10"/>
      <c r="D70" s="10">
        <f>SUBTOTAL(9,D2:D68)</f>
        <v>19638</v>
      </c>
      <c r="E70" s="10">
        <f>SUBTOTAL(9,E2:E68)</f>
        <v>1158980</v>
      </c>
      <c r="F70" s="10"/>
      <c r="G70" s="10"/>
    </row>
  </sheetData>
  <sortState ref="A2:G65">
    <sortCondition ref="A2:A65"/>
    <sortCondition ref="C2:C65"/>
  </sortState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学生成绩情况表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2005-08-24T23:59:40Z</dcterms:created>
  <dcterms:modified xsi:type="dcterms:W3CDTF">2023-03-31T03:08:10Z</dcterms:modified>
</cp:coreProperties>
</file>