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9200" windowHeight="7005" activeTab="2"/>
  </bookViews>
  <sheets>
    <sheet name="成绩统计表" sheetId="2" r:id="rId1"/>
    <sheet name="课程学分对照表" sheetId="1" r:id="rId2"/>
    <sheet name="图书销售统计表" sheetId="4" r:id="rId3"/>
  </sheets>
  <definedNames>
    <definedName name="_xlnm._FilterDatabase" localSheetId="0" hidden="1">成绩统计表!$A$2:$K$2</definedName>
  </definedNames>
  <calcPr calcId="162913"/>
  <pivotCaches>
    <pivotCache cacheId="3" r:id="rId4"/>
  </pivotCaches>
</workbook>
</file>

<file path=xl/calcChain.xml><?xml version="1.0" encoding="utf-8"?>
<calcChain xmlns="http://schemas.openxmlformats.org/spreadsheetml/2006/main">
  <c r="I15" i="2" l="1"/>
  <c r="I16" i="2"/>
  <c r="I17" i="2"/>
  <c r="I14" i="2"/>
  <c r="H15" i="2"/>
  <c r="H16" i="2"/>
  <c r="H17" i="2"/>
  <c r="H14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3" i="2"/>
</calcChain>
</file>

<file path=xl/sharedStrings.xml><?xml version="1.0" encoding="utf-8"?>
<sst xmlns="http://schemas.openxmlformats.org/spreadsheetml/2006/main" count="392" uniqueCount="156">
  <si>
    <t>学号</t>
  </si>
  <si>
    <t>成绩</t>
  </si>
  <si>
    <t>C020</t>
  </si>
  <si>
    <t>C026</t>
  </si>
  <si>
    <t>C020</t>
    <phoneticPr fontId="1" type="noConversion"/>
  </si>
  <si>
    <t>C020</t>
    <phoneticPr fontId="1" type="noConversion"/>
  </si>
  <si>
    <t>课程号</t>
    <phoneticPr fontId="1" type="noConversion"/>
  </si>
  <si>
    <t>C020</t>
    <phoneticPr fontId="1" type="noConversion"/>
  </si>
  <si>
    <t>C020</t>
    <phoneticPr fontId="1" type="noConversion"/>
  </si>
  <si>
    <t>C026</t>
    <phoneticPr fontId="1" type="noConversion"/>
  </si>
  <si>
    <t>C026</t>
    <phoneticPr fontId="1" type="noConversion"/>
  </si>
  <si>
    <t>课程号</t>
    <phoneticPr fontId="1" type="noConversion"/>
  </si>
  <si>
    <t>季度</t>
  </si>
  <si>
    <t>销售额排名</t>
  </si>
  <si>
    <t>成绩</t>
    <phoneticPr fontId="1" type="noConversion"/>
  </si>
  <si>
    <t>平均成绩</t>
    <phoneticPr fontId="1" type="noConversion"/>
  </si>
  <si>
    <t>统计表</t>
    <phoneticPr fontId="1" type="noConversion"/>
  </si>
  <si>
    <t>学分</t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</si>
  <si>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01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</si>
  <si>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02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</si>
  <si>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03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</si>
  <si>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05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</si>
  <si>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07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</si>
  <si>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08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</si>
  <si>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10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</si>
  <si>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12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</si>
  <si>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13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</si>
  <si>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14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</si>
  <si>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16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</si>
  <si>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17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</si>
  <si>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19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</si>
  <si>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20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</si>
  <si>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24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</si>
  <si>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26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</si>
  <si>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27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</si>
  <si>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32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</si>
  <si>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35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</si>
  <si>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36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</si>
  <si>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37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</si>
  <si>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38</t>
    </r>
    <phoneticPr fontId="1" type="noConversion"/>
  </si>
  <si>
    <t>C011</t>
    <phoneticPr fontId="1" type="noConversion"/>
  </si>
  <si>
    <t>C015</t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</si>
  <si>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</t>
    </r>
    <r>
      <rPr>
        <sz val="12"/>
        <rFont val="宋体"/>
        <family val="3"/>
        <charset val="134"/>
      </rPr>
      <t>3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</si>
  <si>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06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</si>
  <si>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09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</si>
  <si>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11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</si>
  <si>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15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</si>
  <si>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18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</si>
  <si>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21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</si>
  <si>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22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</si>
  <si>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23</t>
    </r>
    <phoneticPr fontId="1" type="noConversion"/>
  </si>
  <si>
    <t>S2025</t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</si>
  <si>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28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</si>
  <si>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29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</si>
  <si>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30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</si>
  <si>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31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</si>
  <si>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01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</si>
  <si>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02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</si>
  <si>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03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</si>
  <si>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04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</si>
  <si>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05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</si>
  <si>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06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</si>
  <si>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07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</si>
  <si>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08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</si>
  <si>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09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</si>
  <si>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10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</si>
  <si>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11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</si>
  <si>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12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</si>
  <si>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13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</si>
  <si>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14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</si>
  <si>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15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</si>
  <si>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16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</si>
  <si>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17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</si>
  <si>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18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</si>
  <si>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19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</si>
  <si>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21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</si>
  <si>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22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</si>
  <si>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24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</si>
  <si>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40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</si>
  <si>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40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</si>
  <si>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39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</si>
  <si>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37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</si>
  <si>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35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</si>
  <si>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34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</si>
  <si>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33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</si>
  <si>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31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</si>
  <si>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30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</si>
  <si>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25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</si>
  <si>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02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</si>
  <si>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03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</si>
  <si>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04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</si>
  <si>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05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</si>
  <si>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06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</si>
  <si>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07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</si>
  <si>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08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</si>
  <si>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09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</si>
  <si>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10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</si>
  <si>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11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</si>
  <si>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12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</si>
  <si>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14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</si>
  <si>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16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</si>
  <si>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17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</si>
  <si>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18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</si>
  <si>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19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</si>
  <si>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21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</si>
  <si>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23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</si>
  <si>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25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</si>
  <si>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26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</si>
  <si>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27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</si>
  <si>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28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</si>
  <si>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29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</si>
  <si>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30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</si>
  <si>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32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</si>
  <si>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33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</si>
  <si>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34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</si>
  <si>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35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</si>
  <si>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36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</si>
  <si>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37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</si>
  <si>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38</t>
    </r>
    <phoneticPr fontId="1" type="noConversion"/>
  </si>
  <si>
    <r>
      <t>S</t>
    </r>
    <r>
      <rPr>
        <sz val="12"/>
        <rFont val="宋体"/>
        <family val="3"/>
        <charset val="134"/>
      </rPr>
      <t>20</t>
    </r>
    <r>
      <rPr>
        <sz val="12"/>
        <rFont val="宋体"/>
        <charset val="134"/>
      </rPr>
      <t>39</t>
    </r>
    <phoneticPr fontId="1" type="noConversion"/>
  </si>
  <si>
    <r>
      <t>C01</t>
    </r>
    <r>
      <rPr>
        <sz val="12"/>
        <rFont val="宋体"/>
        <family val="3"/>
        <charset val="134"/>
      </rPr>
      <t>1</t>
    </r>
    <phoneticPr fontId="1" type="noConversion"/>
  </si>
  <si>
    <r>
      <t>C01</t>
    </r>
    <r>
      <rPr>
        <sz val="12"/>
        <rFont val="宋体"/>
        <family val="3"/>
        <charset val="134"/>
      </rPr>
      <t>5</t>
    </r>
    <phoneticPr fontId="1" type="noConversion"/>
  </si>
  <si>
    <t>C011</t>
  </si>
  <si>
    <t>C015</t>
  </si>
  <si>
    <t>课程号</t>
    <phoneticPr fontId="1" type="noConversion"/>
  </si>
  <si>
    <t>学分</t>
    <phoneticPr fontId="1" type="noConversion"/>
  </si>
  <si>
    <t>学生课程成绩表</t>
    <phoneticPr fontId="1" type="noConversion"/>
  </si>
  <si>
    <t>选课人数</t>
    <phoneticPr fontId="1" type="noConversion"/>
  </si>
  <si>
    <t>备注</t>
    <phoneticPr fontId="1" type="noConversion"/>
  </si>
  <si>
    <t>优良</t>
    <phoneticPr fontId="1" type="noConversion"/>
  </si>
  <si>
    <t>&gt;=80</t>
    <phoneticPr fontId="1" type="noConversion"/>
  </si>
  <si>
    <t>中等</t>
    <phoneticPr fontId="1" type="noConversion"/>
  </si>
  <si>
    <t>备注填写要求</t>
    <phoneticPr fontId="1" type="noConversion"/>
  </si>
  <si>
    <t>经销部门</t>
  </si>
  <si>
    <t>图书类别</t>
  </si>
  <si>
    <t>销售数量(册)</t>
  </si>
  <si>
    <t>销售额(元)</t>
  </si>
  <si>
    <t>销售数量排名</t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</si>
  <si>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</si>
  <si>
    <t>生物科学</t>
  </si>
  <si>
    <t>工业技术</t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</si>
  <si>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</si>
  <si>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</si>
  <si>
    <t>农业科学</t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</si>
  <si>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</si>
  <si>
    <t>第1分部</t>
  </si>
  <si>
    <t>交通科学</t>
  </si>
  <si>
    <t>第4分部</t>
  </si>
  <si>
    <t>第2分部</t>
  </si>
  <si>
    <t>第3分部</t>
  </si>
  <si>
    <t>&lt;60</t>
    <phoneticPr fontId="1" type="noConversion"/>
  </si>
  <si>
    <t>&gt;=60且&lt;=79</t>
    <phoneticPr fontId="1" type="noConversion"/>
  </si>
  <si>
    <t>行标签</t>
  </si>
  <si>
    <t>总计</t>
  </si>
  <si>
    <t>列标签</t>
  </si>
  <si>
    <t>求和项:销售额(元)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</si>
</sst>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_ "/>
  </numFmts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176" fontId="0" fillId="0" borderId="0" xfId="0" applyNumberForma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6" fillId="0" borderId="0" xfId="0" applyFont="1" applyBorder="1" applyAlignment="1"/>
    <xf numFmtId="0" fontId="0" fillId="0" borderId="0" xfId="0" applyFill="1" applyBorder="1"/>
    <xf numFmtId="0" fontId="3" fillId="0" borderId="0" xfId="0" applyFont="1" applyFill="1" applyBorder="1"/>
    <xf numFmtId="0" fontId="0" fillId="0" borderId="0" xfId="0" applyNumberFormat="1" applyBorder="1"/>
    <xf numFmtId="0" fontId="4" fillId="0" borderId="0" xfId="0" applyFont="1" applyBorder="1"/>
    <xf numFmtId="0" fontId="6" fillId="0" borderId="1" xfId="0" applyFont="1" applyBorder="1"/>
    <xf numFmtId="0" fontId="0" fillId="0" borderId="1" xfId="0" applyFont="1" applyFill="1" applyBorder="1"/>
    <xf numFmtId="0" fontId="3" fillId="0" borderId="1" xfId="0" applyFont="1" applyFill="1" applyBorder="1"/>
    <xf numFmtId="0" fontId="0" fillId="0" borderId="1" xfId="0" applyFill="1" applyBorder="1"/>
    <xf numFmtId="0" fontId="6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3" xfId="0" applyBorder="1"/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177" fontId="0" fillId="0" borderId="5" xfId="0" applyNumberForma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9" xfId="0" applyBorder="1" applyAlignment="1">
      <alignment horizontal="center"/>
    </xf>
    <xf numFmtId="177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7" formatCode="0.0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/>
              <a:t>选课人数与成绩统计图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成绩统计表!$H$13</c:f>
              <c:strCache>
                <c:ptCount val="1"/>
                <c:pt idx="0">
                  <c:v>选课人数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成绩统计表!$G$14:$G$17</c:f>
              <c:strCache>
                <c:ptCount val="4"/>
                <c:pt idx="0">
                  <c:v>C011</c:v>
                </c:pt>
                <c:pt idx="1">
                  <c:v>C015</c:v>
                </c:pt>
                <c:pt idx="2">
                  <c:v>C020</c:v>
                </c:pt>
                <c:pt idx="3">
                  <c:v>C026</c:v>
                </c:pt>
              </c:strCache>
            </c:strRef>
          </c:cat>
          <c:val>
            <c:numRef>
              <c:f>成绩统计表!$H$14:$H$17</c:f>
              <c:numCache>
                <c:formatCode>General</c:formatCode>
                <c:ptCount val="4"/>
                <c:pt idx="0">
                  <c:v>22</c:v>
                </c:pt>
                <c:pt idx="1">
                  <c:v>14</c:v>
                </c:pt>
                <c:pt idx="2">
                  <c:v>34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8-4E14-8124-05AF3EEDC324}"/>
            </c:ext>
          </c:extLst>
        </c:ser>
        <c:ser>
          <c:idx val="1"/>
          <c:order val="1"/>
          <c:tx>
            <c:strRef>
              <c:f>成绩统计表!$I$13</c:f>
              <c:strCache>
                <c:ptCount val="1"/>
                <c:pt idx="0">
                  <c:v>平均成绩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成绩统计表!$G$14:$G$17</c:f>
              <c:strCache>
                <c:ptCount val="4"/>
                <c:pt idx="0">
                  <c:v>C011</c:v>
                </c:pt>
                <c:pt idx="1">
                  <c:v>C015</c:v>
                </c:pt>
                <c:pt idx="2">
                  <c:v>C020</c:v>
                </c:pt>
                <c:pt idx="3">
                  <c:v>C026</c:v>
                </c:pt>
              </c:strCache>
            </c:strRef>
          </c:cat>
          <c:val>
            <c:numRef>
              <c:f>成绩统计表!$I$14:$I$17</c:f>
              <c:numCache>
                <c:formatCode>0.0_ </c:formatCode>
                <c:ptCount val="4"/>
                <c:pt idx="0">
                  <c:v>79.954545454545453</c:v>
                </c:pt>
                <c:pt idx="1">
                  <c:v>82.928571428571431</c:v>
                </c:pt>
                <c:pt idx="2">
                  <c:v>81.82352941176471</c:v>
                </c:pt>
                <c:pt idx="3">
                  <c:v>81.05263157894737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8-4E14-8124-05AF3EEDC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677813448"/>
        <c:axId val="677816400"/>
      </c:barChart>
      <c:catAx>
        <c:axId val="67781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7816400"/>
        <c:crosses val="autoZero"/>
        <c:auto val="1"/>
        <c:lblAlgn val="ctr"/>
        <c:lblOffset val="100"/>
        <c:noMultiLvlLbl val="0"/>
      </c:catAx>
      <c:valAx>
        <c:axId val="6778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781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71436</xdr:colOff>
      <xdr:row>18</xdr:row>
      <xdr:rowOff>80962</xdr:rowOff>
    </xdr:from>
    <xdr:to>
      <xdr:col>10</xdr:col>
      <xdr:colOff>742949</xdr:colOff>
      <xdr:row>32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uyou" refreshedDate="44658.681666203702" createdVersion="6" refreshedVersion="6" minRefreshableVersion="3" recordCount="64">
  <cacheSource type="worksheet">
    <worksheetSource ref="A1:G65" sheet="图书销售统计表"/>
  </cacheSource>
  <cacheFields count="7">
    <cacheField name="经销部门" numFmtId="0">
      <sharedItems count="4">
        <s v="第3分部"/>
        <s v="第1分部"/>
        <s v="第2分部"/>
        <s v="第4分部"/>
      </sharedItems>
    </cacheField>
    <cacheField name="图书类别" numFmtId="0">
      <sharedItems count="4">
        <s v="生物科学"/>
        <s v="工业技术"/>
        <s v="农业科学"/>
        <s v="交通科学"/>
      </sharedItems>
    </cacheField>
    <cacheField name="季度" numFmtId="0">
      <sharedItems containsSemiMixedTypes="0" containsString="0" containsNumber="1" containsInteger="1" minValue="1" maxValue="4"/>
    </cacheField>
    <cacheField name="销售数量(册)" numFmtId="0">
      <sharedItems containsSemiMixedTypes="0" containsString="0" containsNumber="1" containsInteger="1" minValue="112" maxValue="765"/>
    </cacheField>
    <cacheField name="销售额(元)" numFmtId="0">
      <sharedItems containsSemiMixedTypes="0" containsString="0" containsNumber="1" containsInteger="1" minValue="6630" maxValue="45321"/>
    </cacheField>
    <cacheField name="销售数量排名" numFmtId="0">
      <sharedItems containsSemiMixedTypes="0" containsString="0" containsNumber="1" containsInteger="1" minValue="1" maxValue="63"/>
    </cacheField>
    <cacheField name="销售额排名" numFmtId="0">
      <sharedItems containsSemiMixedTypes="0" containsString="0" containsNumber="1" containsInteger="1" minValue="1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n v="3"/>
    <n v="124"/>
    <n v="8680"/>
    <n v="61"/>
    <n v="60"/>
  </r>
  <r>
    <x v="0"/>
    <x v="1"/>
    <n v="2"/>
    <n v="321"/>
    <n v="9630"/>
    <n v="29"/>
    <n v="54"/>
  </r>
  <r>
    <x v="1"/>
    <x v="1"/>
    <n v="2"/>
    <n v="435"/>
    <n v="21750"/>
    <n v="8"/>
    <n v="23"/>
  </r>
  <r>
    <x v="2"/>
    <x v="0"/>
    <n v="2"/>
    <n v="256"/>
    <n v="17920"/>
    <n v="36"/>
    <n v="28"/>
  </r>
  <r>
    <x v="2"/>
    <x v="1"/>
    <n v="1"/>
    <n v="167"/>
    <n v="8350"/>
    <n v="55"/>
    <n v="61"/>
  </r>
  <r>
    <x v="0"/>
    <x v="0"/>
    <n v="4"/>
    <n v="157"/>
    <n v="10990"/>
    <n v="57"/>
    <n v="43"/>
  </r>
  <r>
    <x v="1"/>
    <x v="0"/>
    <n v="4"/>
    <n v="187"/>
    <n v="13090"/>
    <n v="54"/>
    <n v="38"/>
  </r>
  <r>
    <x v="0"/>
    <x v="1"/>
    <n v="4"/>
    <n v="213"/>
    <n v="10650"/>
    <n v="47"/>
    <n v="48"/>
  </r>
  <r>
    <x v="2"/>
    <x v="0"/>
    <n v="4"/>
    <n v="196"/>
    <n v="13720"/>
    <n v="52"/>
    <n v="37"/>
  </r>
  <r>
    <x v="2"/>
    <x v="1"/>
    <n v="4"/>
    <n v="219"/>
    <n v="10950"/>
    <n v="42"/>
    <n v="44"/>
  </r>
  <r>
    <x v="2"/>
    <x v="0"/>
    <n v="3"/>
    <n v="234"/>
    <n v="16380"/>
    <n v="37"/>
    <n v="29"/>
  </r>
  <r>
    <x v="2"/>
    <x v="0"/>
    <n v="1"/>
    <n v="206"/>
    <n v="14420"/>
    <n v="50"/>
    <n v="34"/>
  </r>
  <r>
    <x v="2"/>
    <x v="1"/>
    <n v="2"/>
    <n v="211"/>
    <n v="10550"/>
    <n v="49"/>
    <n v="49"/>
  </r>
  <r>
    <x v="0"/>
    <x v="1"/>
    <n v="3"/>
    <n v="189"/>
    <n v="9450"/>
    <n v="53"/>
    <n v="55"/>
  </r>
  <r>
    <x v="2"/>
    <x v="2"/>
    <n v="1"/>
    <n v="221"/>
    <n v="6630"/>
    <n v="41"/>
    <n v="64"/>
  </r>
  <r>
    <x v="0"/>
    <x v="2"/>
    <n v="4"/>
    <n v="432"/>
    <n v="32960"/>
    <n v="9"/>
    <n v="4"/>
  </r>
  <r>
    <x v="1"/>
    <x v="0"/>
    <n v="3"/>
    <n v="323"/>
    <n v="22610"/>
    <n v="28"/>
    <n v="22"/>
  </r>
  <r>
    <x v="1"/>
    <x v="1"/>
    <n v="3"/>
    <n v="324"/>
    <n v="16200"/>
    <n v="26"/>
    <n v="31"/>
  </r>
  <r>
    <x v="1"/>
    <x v="2"/>
    <n v="4"/>
    <n v="342"/>
    <n v="10260"/>
    <n v="22"/>
    <n v="50"/>
  </r>
  <r>
    <x v="1"/>
    <x v="1"/>
    <n v="4"/>
    <n v="287"/>
    <n v="14350"/>
    <n v="34"/>
    <n v="35"/>
  </r>
  <r>
    <x v="2"/>
    <x v="1"/>
    <n v="3"/>
    <n v="218"/>
    <n v="10900"/>
    <n v="44"/>
    <n v="46"/>
  </r>
  <r>
    <x v="0"/>
    <x v="1"/>
    <n v="1"/>
    <n v="301"/>
    <n v="15050"/>
    <n v="33"/>
    <n v="32"/>
  </r>
  <r>
    <x v="0"/>
    <x v="2"/>
    <n v="1"/>
    <n v="306"/>
    <n v="29180"/>
    <n v="32"/>
    <n v="9"/>
  </r>
  <r>
    <x v="0"/>
    <x v="0"/>
    <n v="2"/>
    <n v="345"/>
    <n v="24150"/>
    <n v="20"/>
    <n v="15"/>
  </r>
  <r>
    <x v="2"/>
    <x v="2"/>
    <n v="2"/>
    <n v="312"/>
    <n v="9360"/>
    <n v="31"/>
    <n v="56"/>
  </r>
  <r>
    <x v="0"/>
    <x v="0"/>
    <n v="1"/>
    <n v="212"/>
    <n v="14840"/>
    <n v="48"/>
    <n v="33"/>
  </r>
  <r>
    <x v="1"/>
    <x v="0"/>
    <n v="1"/>
    <n v="345"/>
    <n v="24150"/>
    <n v="20"/>
    <n v="15"/>
  </r>
  <r>
    <x v="1"/>
    <x v="2"/>
    <n v="3"/>
    <n v="365"/>
    <n v="10950"/>
    <n v="17"/>
    <n v="44"/>
  </r>
  <r>
    <x v="1"/>
    <x v="0"/>
    <n v="2"/>
    <n v="412"/>
    <n v="28840"/>
    <n v="14"/>
    <n v="10"/>
  </r>
  <r>
    <x v="2"/>
    <x v="2"/>
    <n v="4"/>
    <n v="421"/>
    <n v="12630"/>
    <n v="12"/>
    <n v="40"/>
  </r>
  <r>
    <x v="1"/>
    <x v="1"/>
    <n v="1"/>
    <n v="569"/>
    <n v="28450"/>
    <n v="4"/>
    <n v="11"/>
  </r>
  <r>
    <x v="1"/>
    <x v="2"/>
    <n v="2"/>
    <n v="654"/>
    <n v="19620"/>
    <n v="2"/>
    <n v="26"/>
  </r>
  <r>
    <x v="1"/>
    <x v="2"/>
    <n v="1"/>
    <n v="765"/>
    <n v="22950"/>
    <n v="1"/>
    <n v="20"/>
  </r>
  <r>
    <x v="3"/>
    <x v="0"/>
    <n v="3"/>
    <n v="378"/>
    <n v="26460"/>
    <n v="16"/>
    <n v="14"/>
  </r>
  <r>
    <x v="0"/>
    <x v="2"/>
    <n v="3"/>
    <n v="219"/>
    <n v="12990"/>
    <n v="42"/>
    <n v="39"/>
  </r>
  <r>
    <x v="3"/>
    <x v="0"/>
    <n v="1"/>
    <n v="324"/>
    <n v="22680"/>
    <n v="26"/>
    <n v="21"/>
  </r>
  <r>
    <x v="3"/>
    <x v="0"/>
    <n v="2"/>
    <n v="329"/>
    <n v="23030"/>
    <n v="25"/>
    <n v="19"/>
  </r>
  <r>
    <x v="3"/>
    <x v="0"/>
    <n v="4"/>
    <n v="398"/>
    <n v="27860"/>
    <n v="15"/>
    <n v="12"/>
  </r>
  <r>
    <x v="1"/>
    <x v="3"/>
    <n v="1"/>
    <n v="436"/>
    <n v="35648"/>
    <n v="7"/>
    <n v="3"/>
  </r>
  <r>
    <x v="3"/>
    <x v="3"/>
    <n v="3"/>
    <n v="232"/>
    <n v="11298"/>
    <n v="39"/>
    <n v="42"/>
  </r>
  <r>
    <x v="1"/>
    <x v="3"/>
    <n v="3"/>
    <n v="231"/>
    <n v="23217"/>
    <n v="40"/>
    <n v="18"/>
  </r>
  <r>
    <x v="3"/>
    <x v="3"/>
    <n v="1"/>
    <n v="321"/>
    <n v="18976"/>
    <n v="29"/>
    <n v="27"/>
  </r>
  <r>
    <x v="2"/>
    <x v="3"/>
    <n v="1"/>
    <n v="123"/>
    <n v="7685"/>
    <n v="62"/>
    <n v="63"/>
  </r>
  <r>
    <x v="2"/>
    <x v="3"/>
    <n v="2"/>
    <n v="342"/>
    <n v="23718"/>
    <n v="22"/>
    <n v="17"/>
  </r>
  <r>
    <x v="3"/>
    <x v="1"/>
    <n v="1"/>
    <n v="234"/>
    <n v="14321"/>
    <n v="37"/>
    <n v="36"/>
  </r>
  <r>
    <x v="2"/>
    <x v="3"/>
    <n v="4"/>
    <n v="341"/>
    <n v="26785"/>
    <n v="24"/>
    <n v="13"/>
  </r>
  <r>
    <x v="3"/>
    <x v="2"/>
    <n v="4"/>
    <n v="421"/>
    <n v="32534"/>
    <n v="12"/>
    <n v="5"/>
  </r>
  <r>
    <x v="0"/>
    <x v="3"/>
    <n v="1"/>
    <n v="166"/>
    <n v="8765"/>
    <n v="56"/>
    <n v="59"/>
  </r>
  <r>
    <x v="3"/>
    <x v="1"/>
    <n v="3"/>
    <n v="129"/>
    <n v="9637"/>
    <n v="60"/>
    <n v="53"/>
  </r>
  <r>
    <x v="0"/>
    <x v="3"/>
    <n v="3"/>
    <n v="216"/>
    <n v="10238"/>
    <n v="46"/>
    <n v="51"/>
  </r>
  <r>
    <x v="3"/>
    <x v="2"/>
    <n v="2"/>
    <n v="217"/>
    <n v="20453"/>
    <n v="45"/>
    <n v="25"/>
  </r>
  <r>
    <x v="0"/>
    <x v="3"/>
    <n v="4"/>
    <n v="432"/>
    <n v="20563"/>
    <n v="9"/>
    <n v="24"/>
  </r>
  <r>
    <x v="1"/>
    <x v="3"/>
    <n v="4"/>
    <n v="365"/>
    <n v="29879"/>
    <n v="17"/>
    <n v="7"/>
  </r>
  <r>
    <x v="3"/>
    <x v="3"/>
    <n v="2"/>
    <n v="112"/>
    <n v="8798"/>
    <n v="63"/>
    <n v="58"/>
  </r>
  <r>
    <x v="3"/>
    <x v="3"/>
    <n v="4"/>
    <n v="261"/>
    <n v="11675"/>
    <n v="35"/>
    <n v="41"/>
  </r>
  <r>
    <x v="1"/>
    <x v="3"/>
    <n v="2"/>
    <n v="654"/>
    <n v="45321"/>
    <n v="2"/>
    <n v="1"/>
  </r>
  <r>
    <x v="3"/>
    <x v="1"/>
    <n v="2"/>
    <n v="432"/>
    <n v="31256"/>
    <n v="9"/>
    <n v="6"/>
  </r>
  <r>
    <x v="2"/>
    <x v="2"/>
    <n v="3"/>
    <n v="543"/>
    <n v="16290"/>
    <n v="5"/>
    <n v="30"/>
  </r>
  <r>
    <x v="3"/>
    <x v="1"/>
    <n v="4"/>
    <n v="112"/>
    <n v="8178"/>
    <n v="63"/>
    <n v="62"/>
  </r>
  <r>
    <x v="3"/>
    <x v="2"/>
    <n v="1"/>
    <n v="156"/>
    <n v="10786"/>
    <n v="58"/>
    <n v="47"/>
  </r>
  <r>
    <x v="0"/>
    <x v="3"/>
    <n v="2"/>
    <n v="199"/>
    <n v="9675"/>
    <n v="51"/>
    <n v="52"/>
  </r>
  <r>
    <x v="3"/>
    <x v="2"/>
    <n v="3"/>
    <n v="356"/>
    <n v="29342"/>
    <n v="19"/>
    <n v="8"/>
  </r>
  <r>
    <x v="2"/>
    <x v="3"/>
    <n v="3"/>
    <n v="542"/>
    <n v="41234"/>
    <n v="6"/>
    <n v="2"/>
  </r>
  <r>
    <x v="0"/>
    <x v="2"/>
    <n v="2"/>
    <n v="148"/>
    <n v="9078"/>
    <n v="59"/>
    <n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I5:N11" firstHeaderRow="1" firstDataRow="2" firstDataCol="1"/>
  <pivotFields count="7">
    <pivotField axis="axisCol" showAll="0">
      <items count="5">
        <item x="1"/>
        <item x="2"/>
        <item x="0"/>
        <item x="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销售额(元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表3" displayName="表3" ref="G13:I17" totalsRowShown="0" headerRowDxfId="0" headerRowBorderDxfId="4" tableBorderDxfId="5" totalsRowBorderDxfId="3">
  <autoFilter ref="G13:I17"/>
  <tableColumns count="3">
    <tableColumn id="1" name="课程号"/>
    <tableColumn id="2" name="选课人数" dataDxfId="2">
      <calculatedColumnFormula>COUNTIF($B$3:$B$110,G14)</calculatedColumnFormula>
    </tableColumn>
    <tableColumn id="3" name="平均成绩" dataDxfId="1">
      <calculatedColumnFormula>AVERAGEIF($B$3:$B$110,G14,$D$3:$D$110)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opLeftCell="A16" workbookViewId="0">
      <selection activeCell="G38" sqref="G38"/>
    </sheetView>
  </sheetViews>
  <sheetFormatPr defaultRowHeight="14.25" x14ac:dyDescent="0.15"/>
  <cols>
    <col min="2" max="2" width="8.375" customWidth="1"/>
    <col min="3" max="3" width="6.875" customWidth="1"/>
    <col min="4" max="4" width="7.125" customWidth="1"/>
    <col min="7" max="7" width="11.125" customWidth="1"/>
    <col min="8" max="10" width="14.625" customWidth="1"/>
    <col min="11" max="11" width="10.625" customWidth="1"/>
  </cols>
  <sheetData>
    <row r="1" spans="1:11" x14ac:dyDescent="0.15">
      <c r="A1" s="20" t="s">
        <v>126</v>
      </c>
      <c r="B1" s="20"/>
      <c r="C1" s="20"/>
      <c r="D1" s="20"/>
      <c r="E1" s="20"/>
    </row>
    <row r="2" spans="1:11" x14ac:dyDescent="0.15">
      <c r="A2" t="s">
        <v>0</v>
      </c>
      <c r="B2" s="4" t="s">
        <v>6</v>
      </c>
      <c r="C2" s="4" t="s">
        <v>17</v>
      </c>
      <c r="D2" t="s">
        <v>1</v>
      </c>
      <c r="E2" s="4" t="s">
        <v>128</v>
      </c>
    </row>
    <row r="3" spans="1:11" x14ac:dyDescent="0.15">
      <c r="A3" s="4" t="s">
        <v>18</v>
      </c>
      <c r="B3" s="4" t="s">
        <v>40</v>
      </c>
      <c r="C3" s="4">
        <f>VLOOKUP(B3,课程学分对照表!$A$2:$B$5,2,0)</f>
        <v>4</v>
      </c>
      <c r="D3">
        <v>83</v>
      </c>
      <c r="E3" t="str">
        <f>IF(D3&gt;=80,"优良",IF(D3&gt;=60,"中等",""))</f>
        <v>优良</v>
      </c>
      <c r="G3" s="19" t="s">
        <v>132</v>
      </c>
      <c r="H3" s="19"/>
      <c r="I3" s="5"/>
    </row>
    <row r="4" spans="1:11" x14ac:dyDescent="0.15">
      <c r="A4" s="4" t="s">
        <v>56</v>
      </c>
      <c r="B4" s="4" t="s">
        <v>2</v>
      </c>
      <c r="C4" s="4">
        <f>VLOOKUP(B4,课程学分对照表!$A$2:$B$5,2,0)</f>
        <v>2</v>
      </c>
      <c r="D4">
        <v>93</v>
      </c>
      <c r="E4" t="str">
        <f t="shared" ref="E4:E67" si="0">IF(D4&gt;=80,"优良",IF(D4&gt;=60,"中等",""))</f>
        <v>优良</v>
      </c>
      <c r="G4" s="6" t="s">
        <v>14</v>
      </c>
      <c r="H4" s="6" t="s">
        <v>128</v>
      </c>
    </row>
    <row r="5" spans="1:11" x14ac:dyDescent="0.15">
      <c r="A5" s="4" t="s">
        <v>56</v>
      </c>
      <c r="B5" s="4" t="s">
        <v>9</v>
      </c>
      <c r="C5" s="4">
        <f>VLOOKUP(B5,课程学分对照表!$A$2:$B$5,2,0)</f>
        <v>4</v>
      </c>
      <c r="D5" s="4">
        <v>91</v>
      </c>
      <c r="E5" t="str">
        <f t="shared" si="0"/>
        <v>优良</v>
      </c>
      <c r="G5" s="6" t="s">
        <v>130</v>
      </c>
      <c r="H5" s="6" t="s">
        <v>129</v>
      </c>
    </row>
    <row r="6" spans="1:11" x14ac:dyDescent="0.15">
      <c r="A6" s="4" t="s">
        <v>19</v>
      </c>
      <c r="B6" s="4" t="s">
        <v>40</v>
      </c>
      <c r="C6" s="4">
        <f>VLOOKUP(B6,课程学分对照表!$A$2:$B$5,2,0)</f>
        <v>4</v>
      </c>
      <c r="D6">
        <v>76</v>
      </c>
      <c r="E6" t="str">
        <f t="shared" si="0"/>
        <v>中等</v>
      </c>
      <c r="G6" s="6" t="s">
        <v>151</v>
      </c>
      <c r="H6" s="6" t="s">
        <v>131</v>
      </c>
    </row>
    <row r="7" spans="1:11" x14ac:dyDescent="0.15">
      <c r="A7" s="4" t="s">
        <v>57</v>
      </c>
      <c r="B7" s="4" t="s">
        <v>2</v>
      </c>
      <c r="C7" s="4">
        <f>VLOOKUP(B7,课程学分对照表!$A$2:$B$5,2,0)</f>
        <v>2</v>
      </c>
      <c r="D7">
        <v>85</v>
      </c>
      <c r="E7" t="str">
        <f t="shared" si="0"/>
        <v>优良</v>
      </c>
      <c r="G7" s="6" t="s">
        <v>150</v>
      </c>
      <c r="H7" s="6"/>
      <c r="I7" s="5"/>
    </row>
    <row r="8" spans="1:11" x14ac:dyDescent="0.15">
      <c r="A8" s="4" t="s">
        <v>88</v>
      </c>
      <c r="B8" s="4" t="s">
        <v>3</v>
      </c>
      <c r="C8" s="4">
        <f>VLOOKUP(B8,课程学分对照表!$A$2:$B$5,2,0)</f>
        <v>4</v>
      </c>
      <c r="D8" s="4">
        <v>85</v>
      </c>
      <c r="E8" t="str">
        <f t="shared" si="0"/>
        <v>优良</v>
      </c>
      <c r="G8" s="14"/>
      <c r="H8" s="14"/>
      <c r="I8" s="5"/>
    </row>
    <row r="9" spans="1:11" x14ac:dyDescent="0.15">
      <c r="A9" s="4" t="s">
        <v>20</v>
      </c>
      <c r="B9" s="4" t="s">
        <v>40</v>
      </c>
      <c r="C9" s="4">
        <f>VLOOKUP(B9,课程学分对照表!$A$2:$B$5,2,0)</f>
        <v>4</v>
      </c>
      <c r="D9">
        <v>78</v>
      </c>
      <c r="E9" t="str">
        <f t="shared" si="0"/>
        <v>中等</v>
      </c>
    </row>
    <row r="10" spans="1:11" x14ac:dyDescent="0.15">
      <c r="A10" s="4" t="s">
        <v>58</v>
      </c>
      <c r="B10" s="4" t="s">
        <v>2</v>
      </c>
      <c r="C10" s="4">
        <f>VLOOKUP(B10,课程学分对照表!$A$2:$B$5,2,0)</f>
        <v>2</v>
      </c>
      <c r="D10">
        <v>87</v>
      </c>
      <c r="E10" t="str">
        <f t="shared" si="0"/>
        <v>优良</v>
      </c>
    </row>
    <row r="11" spans="1:11" x14ac:dyDescent="0.15">
      <c r="A11" s="4" t="s">
        <v>89</v>
      </c>
      <c r="B11" s="4" t="s">
        <v>3</v>
      </c>
      <c r="C11" s="4">
        <f>VLOOKUP(B11,课程学分对照表!$A$2:$B$5,2,0)</f>
        <v>4</v>
      </c>
      <c r="D11">
        <v>82</v>
      </c>
      <c r="E11" t="str">
        <f t="shared" si="0"/>
        <v>优良</v>
      </c>
    </row>
    <row r="12" spans="1:11" x14ac:dyDescent="0.15">
      <c r="A12" s="4" t="s">
        <v>42</v>
      </c>
      <c r="B12" s="4" t="s">
        <v>41</v>
      </c>
      <c r="C12" s="4">
        <f>VLOOKUP(B12,课程学分对照表!$A$2:$B$5,2,0)</f>
        <v>3</v>
      </c>
      <c r="D12">
        <v>85</v>
      </c>
      <c r="E12" t="str">
        <f t="shared" si="0"/>
        <v>优良</v>
      </c>
      <c r="G12" s="19" t="s">
        <v>16</v>
      </c>
      <c r="H12" s="19"/>
      <c r="I12" s="19"/>
      <c r="J12" s="10"/>
      <c r="K12" s="10"/>
    </row>
    <row r="13" spans="1:11" x14ac:dyDescent="0.15">
      <c r="A13" s="4" t="s">
        <v>59</v>
      </c>
      <c r="B13" s="4" t="s">
        <v>2</v>
      </c>
      <c r="C13" s="4">
        <f>VLOOKUP(B13,课程学分对照表!$A$2:$B$5,2,0)</f>
        <v>2</v>
      </c>
      <c r="D13">
        <v>76</v>
      </c>
      <c r="E13" t="str">
        <f t="shared" si="0"/>
        <v>中等</v>
      </c>
      <c r="G13" s="25" t="s">
        <v>11</v>
      </c>
      <c r="H13" s="26" t="s">
        <v>127</v>
      </c>
      <c r="I13" s="27" t="s">
        <v>15</v>
      </c>
      <c r="J13" s="12"/>
      <c r="K13" s="12"/>
    </row>
    <row r="14" spans="1:11" x14ac:dyDescent="0.15">
      <c r="A14" s="4" t="s">
        <v>90</v>
      </c>
      <c r="B14" s="4" t="s">
        <v>3</v>
      </c>
      <c r="C14" s="4">
        <f>VLOOKUP(B14,课程学分对照表!$A$2:$B$5,2,0)</f>
        <v>4</v>
      </c>
      <c r="D14">
        <v>85</v>
      </c>
      <c r="E14" t="str">
        <f t="shared" si="0"/>
        <v>优良</v>
      </c>
      <c r="G14" s="22" t="s">
        <v>120</v>
      </c>
      <c r="H14" s="3">
        <f>COUNTIF($B$3:$B$110,G14)</f>
        <v>22</v>
      </c>
      <c r="I14" s="24">
        <f>AVERAGEIF($B$3:$B$110,G14,$D$3:$D$110)</f>
        <v>79.954545454545453</v>
      </c>
      <c r="J14" s="13"/>
      <c r="K14" s="13"/>
    </row>
    <row r="15" spans="1:11" x14ac:dyDescent="0.15">
      <c r="A15" s="4" t="s">
        <v>21</v>
      </c>
      <c r="B15" s="4" t="s">
        <v>40</v>
      </c>
      <c r="C15" s="4">
        <f>VLOOKUP(B15,课程学分对照表!$A$2:$B$5,2,0)</f>
        <v>4</v>
      </c>
      <c r="D15">
        <v>92</v>
      </c>
      <c r="E15" t="str">
        <f t="shared" si="0"/>
        <v>优良</v>
      </c>
      <c r="G15" s="22" t="s">
        <v>121</v>
      </c>
      <c r="H15" s="3">
        <f t="shared" ref="H15:H17" si="1">COUNTIF($B$3:$B$110,G15)</f>
        <v>14</v>
      </c>
      <c r="I15" s="24">
        <f t="shared" ref="I15:I17" si="2">AVERAGEIF($B$3:$B$110,G15,$D$3:$D$110)</f>
        <v>82.928571428571431</v>
      </c>
      <c r="J15" s="13"/>
      <c r="K15" s="13"/>
    </row>
    <row r="16" spans="1:11" x14ac:dyDescent="0.15">
      <c r="A16" s="4" t="s">
        <v>60</v>
      </c>
      <c r="B16" s="4" t="s">
        <v>2</v>
      </c>
      <c r="C16" s="4">
        <f>VLOOKUP(B16,课程学分对照表!$A$2:$B$5,2,0)</f>
        <v>2</v>
      </c>
      <c r="D16">
        <v>65</v>
      </c>
      <c r="E16" t="str">
        <f t="shared" si="0"/>
        <v>中等</v>
      </c>
      <c r="G16" s="23" t="s">
        <v>2</v>
      </c>
      <c r="H16" s="3">
        <f t="shared" si="1"/>
        <v>34</v>
      </c>
      <c r="I16" s="24">
        <f t="shared" si="2"/>
        <v>81.82352941176471</v>
      </c>
      <c r="J16" s="13"/>
      <c r="K16" s="13"/>
    </row>
    <row r="17" spans="1:11" x14ac:dyDescent="0.15">
      <c r="A17" s="4" t="s">
        <v>91</v>
      </c>
      <c r="B17" s="4" t="s">
        <v>10</v>
      </c>
      <c r="C17" s="4">
        <f>VLOOKUP(B17,课程学分对照表!$A$2:$B$5,2,0)</f>
        <v>4</v>
      </c>
      <c r="D17">
        <v>84</v>
      </c>
      <c r="E17" t="str">
        <f t="shared" si="0"/>
        <v>优良</v>
      </c>
      <c r="G17" s="28" t="s">
        <v>3</v>
      </c>
      <c r="H17" s="21">
        <f t="shared" si="1"/>
        <v>38</v>
      </c>
      <c r="I17" s="29">
        <f t="shared" si="2"/>
        <v>81.05263157894737</v>
      </c>
      <c r="J17" s="13"/>
      <c r="K17" s="13"/>
    </row>
    <row r="18" spans="1:11" x14ac:dyDescent="0.15">
      <c r="A18" s="4" t="s">
        <v>43</v>
      </c>
      <c r="B18" s="4" t="s">
        <v>41</v>
      </c>
      <c r="C18" s="4">
        <f>VLOOKUP(B18,课程学分对照表!$A$2:$B$5,2,0)</f>
        <v>3</v>
      </c>
      <c r="D18" s="4">
        <v>72</v>
      </c>
      <c r="E18" t="str">
        <f t="shared" si="0"/>
        <v>中等</v>
      </c>
      <c r="G18" s="9"/>
      <c r="H18" s="9"/>
      <c r="I18" s="11"/>
      <c r="J18" s="11"/>
      <c r="K18" s="9"/>
    </row>
    <row r="19" spans="1:11" x14ac:dyDescent="0.15">
      <c r="A19" s="4" t="s">
        <v>61</v>
      </c>
      <c r="B19" s="4" t="s">
        <v>2</v>
      </c>
      <c r="C19" s="4">
        <f>VLOOKUP(B19,课程学分对照表!$A$2:$B$5,2,0)</f>
        <v>2</v>
      </c>
      <c r="D19">
        <v>91</v>
      </c>
      <c r="E19" t="str">
        <f t="shared" si="0"/>
        <v>优良</v>
      </c>
      <c r="G19" s="10"/>
      <c r="H19" s="10"/>
      <c r="I19" s="10"/>
      <c r="J19" s="10"/>
      <c r="K19" s="9"/>
    </row>
    <row r="20" spans="1:11" x14ac:dyDescent="0.15">
      <c r="A20" s="4" t="s">
        <v>92</v>
      </c>
      <c r="B20" s="4" t="s">
        <v>3</v>
      </c>
      <c r="C20" s="4">
        <f>VLOOKUP(B20,课程学分对照表!$A$2:$B$5,2,0)</f>
        <v>4</v>
      </c>
      <c r="D20" s="4">
        <v>87</v>
      </c>
      <c r="E20" t="str">
        <f t="shared" si="0"/>
        <v>优良</v>
      </c>
      <c r="G20" s="7"/>
      <c r="H20" s="7"/>
      <c r="I20" s="7"/>
      <c r="J20" s="7"/>
      <c r="K20" s="9"/>
    </row>
    <row r="21" spans="1:11" x14ac:dyDescent="0.15">
      <c r="A21" s="4" t="s">
        <v>22</v>
      </c>
      <c r="B21" s="4" t="s">
        <v>40</v>
      </c>
      <c r="C21" s="4">
        <f>VLOOKUP(B21,课程学分对照表!$A$2:$B$5,2,0)</f>
        <v>4</v>
      </c>
      <c r="D21">
        <v>85</v>
      </c>
      <c r="E21" t="str">
        <f t="shared" si="0"/>
        <v>优良</v>
      </c>
      <c r="G21" s="8"/>
      <c r="H21" s="7"/>
      <c r="I21" s="9"/>
      <c r="J21" s="9"/>
      <c r="K21" s="9"/>
    </row>
    <row r="22" spans="1:11" x14ac:dyDescent="0.15">
      <c r="A22" s="4" t="s">
        <v>62</v>
      </c>
      <c r="B22" s="4" t="s">
        <v>2</v>
      </c>
      <c r="C22" s="4">
        <f>VLOOKUP(B22,课程学分对照表!$A$2:$B$5,2,0)</f>
        <v>2</v>
      </c>
      <c r="D22">
        <v>95</v>
      </c>
      <c r="E22" t="str">
        <f t="shared" si="0"/>
        <v>优良</v>
      </c>
      <c r="G22" s="8"/>
      <c r="H22" s="9"/>
      <c r="I22" s="9"/>
      <c r="J22" s="9"/>
    </row>
    <row r="23" spans="1:11" x14ac:dyDescent="0.15">
      <c r="A23" s="4" t="s">
        <v>93</v>
      </c>
      <c r="B23" s="4" t="s">
        <v>3</v>
      </c>
      <c r="C23" s="4">
        <f>VLOOKUP(B23,课程学分对照表!$A$2:$B$5,2,0)</f>
        <v>4</v>
      </c>
      <c r="D23">
        <v>89</v>
      </c>
      <c r="E23" t="str">
        <f t="shared" si="0"/>
        <v>优良</v>
      </c>
      <c r="G23" s="8"/>
      <c r="I23" s="9"/>
      <c r="J23" s="9"/>
    </row>
    <row r="24" spans="1:11" x14ac:dyDescent="0.15">
      <c r="A24" s="4" t="s">
        <v>23</v>
      </c>
      <c r="B24" s="4" t="s">
        <v>40</v>
      </c>
      <c r="C24" s="4">
        <f>VLOOKUP(B24,课程学分对照表!$A$2:$B$5,2,0)</f>
        <v>4</v>
      </c>
      <c r="D24">
        <v>82</v>
      </c>
      <c r="E24" t="str">
        <f t="shared" si="0"/>
        <v>优良</v>
      </c>
      <c r="G24" s="8"/>
      <c r="I24" s="9"/>
      <c r="J24" s="9"/>
    </row>
    <row r="25" spans="1:11" x14ac:dyDescent="0.15">
      <c r="A25" s="4" t="s">
        <v>63</v>
      </c>
      <c r="B25" s="4" t="s">
        <v>2</v>
      </c>
      <c r="C25" s="4">
        <f>VLOOKUP(B25,课程学分对照表!$A$2:$B$5,2,0)</f>
        <v>2</v>
      </c>
      <c r="D25" s="4">
        <v>78</v>
      </c>
      <c r="E25" t="str">
        <f t="shared" si="0"/>
        <v>中等</v>
      </c>
    </row>
    <row r="26" spans="1:11" x14ac:dyDescent="0.15">
      <c r="A26" s="4" t="s">
        <v>94</v>
      </c>
      <c r="B26" s="4" t="s">
        <v>3</v>
      </c>
      <c r="C26" s="4">
        <f>VLOOKUP(B26,课程学分对照表!$A$2:$B$5,2,0)</f>
        <v>4</v>
      </c>
      <c r="D26">
        <v>74</v>
      </c>
      <c r="E26" t="str">
        <f t="shared" si="0"/>
        <v>中等</v>
      </c>
    </row>
    <row r="27" spans="1:11" x14ac:dyDescent="0.15">
      <c r="A27" s="4" t="s">
        <v>44</v>
      </c>
      <c r="B27" s="4" t="s">
        <v>41</v>
      </c>
      <c r="C27" s="4">
        <f>VLOOKUP(B27,课程学分对照表!$A$2:$B$5,2,0)</f>
        <v>3</v>
      </c>
      <c r="D27">
        <v>81</v>
      </c>
      <c r="E27" t="str">
        <f t="shared" si="0"/>
        <v>优良</v>
      </c>
    </row>
    <row r="28" spans="1:11" x14ac:dyDescent="0.15">
      <c r="A28" s="4" t="s">
        <v>64</v>
      </c>
      <c r="B28" s="4" t="s">
        <v>2</v>
      </c>
      <c r="C28" s="4">
        <f>VLOOKUP(B28,课程学分对照表!$A$2:$B$5,2,0)</f>
        <v>2</v>
      </c>
      <c r="D28">
        <v>86</v>
      </c>
      <c r="E28" t="str">
        <f t="shared" si="0"/>
        <v>优良</v>
      </c>
    </row>
    <row r="29" spans="1:11" x14ac:dyDescent="0.15">
      <c r="A29" s="4" t="s">
        <v>95</v>
      </c>
      <c r="B29" s="4" t="s">
        <v>3</v>
      </c>
      <c r="C29" s="4">
        <f>VLOOKUP(B29,课程学分对照表!$A$2:$B$5,2,0)</f>
        <v>4</v>
      </c>
      <c r="D29">
        <v>89</v>
      </c>
      <c r="E29" t="str">
        <f t="shared" si="0"/>
        <v>优良</v>
      </c>
    </row>
    <row r="30" spans="1:11" x14ac:dyDescent="0.15">
      <c r="A30" s="4" t="s">
        <v>24</v>
      </c>
      <c r="B30" s="4" t="s">
        <v>40</v>
      </c>
      <c r="C30" s="4">
        <f>VLOOKUP(B30,课程学分对照表!$A$2:$B$5,2,0)</f>
        <v>4</v>
      </c>
      <c r="D30">
        <v>77</v>
      </c>
      <c r="E30" t="str">
        <f t="shared" si="0"/>
        <v>中等</v>
      </c>
    </row>
    <row r="31" spans="1:11" x14ac:dyDescent="0.15">
      <c r="A31" s="4" t="s">
        <v>65</v>
      </c>
      <c r="B31" s="4" t="s">
        <v>2</v>
      </c>
      <c r="C31" s="4">
        <f>VLOOKUP(B31,课程学分对照表!$A$2:$B$5,2,0)</f>
        <v>2</v>
      </c>
      <c r="D31" s="4">
        <v>76</v>
      </c>
      <c r="E31" t="str">
        <f t="shared" si="0"/>
        <v>中等</v>
      </c>
    </row>
    <row r="32" spans="1:11" x14ac:dyDescent="0.15">
      <c r="A32" s="4" t="s">
        <v>96</v>
      </c>
      <c r="B32" s="4" t="s">
        <v>3</v>
      </c>
      <c r="C32" s="4">
        <f>VLOOKUP(B32,课程学分对照表!$A$2:$B$5,2,0)</f>
        <v>4</v>
      </c>
      <c r="D32">
        <v>95</v>
      </c>
      <c r="E32" t="str">
        <f t="shared" si="0"/>
        <v>优良</v>
      </c>
    </row>
    <row r="33" spans="1:5" x14ac:dyDescent="0.15">
      <c r="A33" s="4" t="s">
        <v>45</v>
      </c>
      <c r="B33" s="4" t="s">
        <v>41</v>
      </c>
      <c r="C33" s="4">
        <f>VLOOKUP(B33,课程学分对照表!$A$2:$B$5,2,0)</f>
        <v>3</v>
      </c>
      <c r="D33">
        <v>54</v>
      </c>
      <c r="E33" t="str">
        <f t="shared" si="0"/>
        <v/>
      </c>
    </row>
    <row r="34" spans="1:5" x14ac:dyDescent="0.15">
      <c r="A34" s="4" t="s">
        <v>66</v>
      </c>
      <c r="B34" s="4" t="s">
        <v>2</v>
      </c>
      <c r="C34" s="4">
        <f>VLOOKUP(B34,课程学分对照表!$A$2:$B$5,2,0)</f>
        <v>2</v>
      </c>
      <c r="D34">
        <v>87</v>
      </c>
      <c r="E34" t="str">
        <f t="shared" si="0"/>
        <v>优良</v>
      </c>
    </row>
    <row r="35" spans="1:5" x14ac:dyDescent="0.15">
      <c r="A35" s="4" t="s">
        <v>97</v>
      </c>
      <c r="B35" s="4" t="s">
        <v>3</v>
      </c>
      <c r="C35" s="4">
        <f>VLOOKUP(B35,课程学分对照表!$A$2:$B$5,2,0)</f>
        <v>4</v>
      </c>
      <c r="D35">
        <v>74</v>
      </c>
      <c r="E35" t="str">
        <f t="shared" si="0"/>
        <v>中等</v>
      </c>
    </row>
    <row r="36" spans="1:5" x14ac:dyDescent="0.15">
      <c r="A36" s="4" t="s">
        <v>25</v>
      </c>
      <c r="B36" s="4" t="s">
        <v>40</v>
      </c>
      <c r="C36" s="4">
        <f>VLOOKUP(B36,课程学分对照表!$A$2:$B$5,2,0)</f>
        <v>4</v>
      </c>
      <c r="D36">
        <v>78</v>
      </c>
      <c r="E36" t="str">
        <f t="shared" si="0"/>
        <v>中等</v>
      </c>
    </row>
    <row r="37" spans="1:5" x14ac:dyDescent="0.15">
      <c r="A37" s="4" t="s">
        <v>67</v>
      </c>
      <c r="B37" s="4" t="s">
        <v>2</v>
      </c>
      <c r="C37" s="4">
        <f>VLOOKUP(B37,课程学分对照表!$A$2:$B$5,2,0)</f>
        <v>2</v>
      </c>
      <c r="D37" s="4">
        <v>74</v>
      </c>
      <c r="E37" t="str">
        <f t="shared" si="0"/>
        <v>中等</v>
      </c>
    </row>
    <row r="38" spans="1:5" x14ac:dyDescent="0.15">
      <c r="A38" s="4" t="s">
        <v>98</v>
      </c>
      <c r="B38" s="4" t="s">
        <v>3</v>
      </c>
      <c r="C38" s="4">
        <f>VLOOKUP(B38,课程学分对照表!$A$2:$B$5,2,0)</f>
        <v>4</v>
      </c>
      <c r="D38">
        <v>89</v>
      </c>
      <c r="E38" t="str">
        <f t="shared" si="0"/>
        <v>优良</v>
      </c>
    </row>
    <row r="39" spans="1:5" x14ac:dyDescent="0.15">
      <c r="A39" s="4" t="s">
        <v>26</v>
      </c>
      <c r="B39" s="4" t="s">
        <v>40</v>
      </c>
      <c r="C39" s="4">
        <f>VLOOKUP(B39,课程学分对照表!$A$2:$B$5,2,0)</f>
        <v>4</v>
      </c>
      <c r="D39">
        <v>67</v>
      </c>
      <c r="E39" t="str">
        <f t="shared" si="0"/>
        <v>中等</v>
      </c>
    </row>
    <row r="40" spans="1:5" x14ac:dyDescent="0.15">
      <c r="A40" s="4" t="s">
        <v>68</v>
      </c>
      <c r="B40" s="4" t="s">
        <v>2</v>
      </c>
      <c r="C40" s="4">
        <f>VLOOKUP(B40,课程学分对照表!$A$2:$B$5,2,0)</f>
        <v>2</v>
      </c>
      <c r="D40" s="4">
        <v>65</v>
      </c>
      <c r="E40" t="str">
        <f t="shared" si="0"/>
        <v>中等</v>
      </c>
    </row>
    <row r="41" spans="1:5" x14ac:dyDescent="0.15">
      <c r="A41" s="4" t="s">
        <v>68</v>
      </c>
      <c r="B41" s="4" t="s">
        <v>3</v>
      </c>
      <c r="C41" s="4">
        <f>VLOOKUP(B41,课程学分对照表!$A$2:$B$5,2,0)</f>
        <v>4</v>
      </c>
      <c r="D41">
        <v>67</v>
      </c>
      <c r="E41" t="str">
        <f t="shared" si="0"/>
        <v>中等</v>
      </c>
    </row>
    <row r="42" spans="1:5" x14ac:dyDescent="0.15">
      <c r="A42" s="4" t="s">
        <v>27</v>
      </c>
      <c r="B42" s="4" t="s">
        <v>40</v>
      </c>
      <c r="C42" s="4">
        <f>VLOOKUP(B42,课程学分对照表!$A$2:$B$5,2,0)</f>
        <v>4</v>
      </c>
      <c r="D42">
        <v>83</v>
      </c>
      <c r="E42" t="str">
        <f t="shared" si="0"/>
        <v>优良</v>
      </c>
    </row>
    <row r="43" spans="1:5" x14ac:dyDescent="0.15">
      <c r="A43" s="4" t="s">
        <v>69</v>
      </c>
      <c r="B43" s="4" t="s">
        <v>2</v>
      </c>
      <c r="C43" s="4">
        <f>VLOOKUP(B43,课程学分对照表!$A$2:$B$5,2,0)</f>
        <v>2</v>
      </c>
      <c r="D43">
        <v>87</v>
      </c>
      <c r="E43" t="str">
        <f t="shared" si="0"/>
        <v>优良</v>
      </c>
    </row>
    <row r="44" spans="1:5" x14ac:dyDescent="0.15">
      <c r="A44" s="4" t="s">
        <v>99</v>
      </c>
      <c r="B44" s="4" t="s">
        <v>3</v>
      </c>
      <c r="C44" s="4">
        <f>VLOOKUP(B44,课程学分对照表!$A$2:$B$5,2,0)</f>
        <v>4</v>
      </c>
      <c r="D44">
        <v>87</v>
      </c>
      <c r="E44" t="str">
        <f t="shared" si="0"/>
        <v>优良</v>
      </c>
    </row>
    <row r="45" spans="1:5" x14ac:dyDescent="0.15">
      <c r="A45" s="4" t="s">
        <v>46</v>
      </c>
      <c r="B45" s="4" t="s">
        <v>41</v>
      </c>
      <c r="C45" s="4">
        <f>VLOOKUP(B45,课程学分对照表!$A$2:$B$5,2,0)</f>
        <v>3</v>
      </c>
      <c r="D45" s="4">
        <v>91</v>
      </c>
      <c r="E45" t="str">
        <f t="shared" si="0"/>
        <v>优良</v>
      </c>
    </row>
    <row r="46" spans="1:5" x14ac:dyDescent="0.15">
      <c r="A46" s="4" t="s">
        <v>70</v>
      </c>
      <c r="B46" s="4" t="s">
        <v>2</v>
      </c>
      <c r="C46" s="4">
        <f>VLOOKUP(B46,课程学分对照表!$A$2:$B$5,2,0)</f>
        <v>2</v>
      </c>
      <c r="D46">
        <v>87</v>
      </c>
      <c r="E46" t="str">
        <f t="shared" si="0"/>
        <v>优良</v>
      </c>
    </row>
    <row r="47" spans="1:5" x14ac:dyDescent="0.15">
      <c r="A47" s="4" t="s">
        <v>28</v>
      </c>
      <c r="B47" s="4" t="s">
        <v>40</v>
      </c>
      <c r="C47" s="4">
        <f>VLOOKUP(B47,课程学分对照表!$A$2:$B$5,2,0)</f>
        <v>4</v>
      </c>
      <c r="D47">
        <v>56</v>
      </c>
      <c r="E47" t="str">
        <f t="shared" si="0"/>
        <v/>
      </c>
    </row>
    <row r="48" spans="1:5" x14ac:dyDescent="0.15">
      <c r="A48" s="4" t="s">
        <v>71</v>
      </c>
      <c r="B48" s="4" t="s">
        <v>2</v>
      </c>
      <c r="C48" s="4">
        <f>VLOOKUP(B48,课程学分对照表!$A$2:$B$5,2,0)</f>
        <v>2</v>
      </c>
      <c r="D48">
        <v>85</v>
      </c>
      <c r="E48" t="str">
        <f t="shared" si="0"/>
        <v>优良</v>
      </c>
    </row>
    <row r="49" spans="1:5" x14ac:dyDescent="0.15">
      <c r="A49" s="4" t="s">
        <v>100</v>
      </c>
      <c r="B49" s="4" t="s">
        <v>3</v>
      </c>
      <c r="C49" s="4">
        <f>VLOOKUP(B49,课程学分对照表!$A$2:$B$5,2,0)</f>
        <v>4</v>
      </c>
      <c r="D49">
        <v>84</v>
      </c>
      <c r="E49" t="str">
        <f t="shared" si="0"/>
        <v>优良</v>
      </c>
    </row>
    <row r="50" spans="1:5" x14ac:dyDescent="0.15">
      <c r="A50" s="4" t="s">
        <v>29</v>
      </c>
      <c r="B50" s="4" t="s">
        <v>40</v>
      </c>
      <c r="C50" s="4">
        <f>VLOOKUP(B50,课程学分对照表!$A$2:$B$5,2,0)</f>
        <v>4</v>
      </c>
      <c r="D50">
        <v>72</v>
      </c>
      <c r="E50" t="str">
        <f t="shared" si="0"/>
        <v>中等</v>
      </c>
    </row>
    <row r="51" spans="1:5" x14ac:dyDescent="0.15">
      <c r="A51" s="4" t="s">
        <v>72</v>
      </c>
      <c r="B51" s="4" t="s">
        <v>2</v>
      </c>
      <c r="C51" s="4">
        <f>VLOOKUP(B51,课程学分对照表!$A$2:$B$5,2,0)</f>
        <v>2</v>
      </c>
      <c r="D51">
        <v>75</v>
      </c>
      <c r="E51" t="str">
        <f t="shared" si="0"/>
        <v>中等</v>
      </c>
    </row>
    <row r="52" spans="1:5" x14ac:dyDescent="0.15">
      <c r="A52" s="4" t="s">
        <v>101</v>
      </c>
      <c r="B52" s="4" t="s">
        <v>3</v>
      </c>
      <c r="C52" s="4">
        <f>VLOOKUP(B52,课程学分对照表!$A$2:$B$5,2,0)</f>
        <v>4</v>
      </c>
      <c r="D52">
        <v>86</v>
      </c>
      <c r="E52" t="str">
        <f t="shared" si="0"/>
        <v>优良</v>
      </c>
    </row>
    <row r="53" spans="1:5" x14ac:dyDescent="0.15">
      <c r="A53" s="4" t="s">
        <v>47</v>
      </c>
      <c r="B53" s="4" t="s">
        <v>41</v>
      </c>
      <c r="C53" s="4">
        <f>VLOOKUP(B53,课程学分对照表!$A$2:$B$5,2,0)</f>
        <v>3</v>
      </c>
      <c r="D53" s="4">
        <v>95</v>
      </c>
      <c r="E53" t="str">
        <f t="shared" si="0"/>
        <v>优良</v>
      </c>
    </row>
    <row r="54" spans="1:5" x14ac:dyDescent="0.15">
      <c r="A54" s="4" t="s">
        <v>73</v>
      </c>
      <c r="B54" s="4" t="s">
        <v>2</v>
      </c>
      <c r="C54" s="4">
        <f>VLOOKUP(B54,课程学分对照表!$A$2:$B$5,2,0)</f>
        <v>2</v>
      </c>
      <c r="D54">
        <v>91</v>
      </c>
      <c r="E54" t="str">
        <f t="shared" si="0"/>
        <v>优良</v>
      </c>
    </row>
    <row r="55" spans="1:5" x14ac:dyDescent="0.15">
      <c r="A55" s="4" t="s">
        <v>102</v>
      </c>
      <c r="B55" s="4" t="s">
        <v>3</v>
      </c>
      <c r="C55" s="4">
        <f>VLOOKUP(B55,课程学分对照表!$A$2:$B$5,2,0)</f>
        <v>4</v>
      </c>
      <c r="D55">
        <v>91</v>
      </c>
      <c r="E55" t="str">
        <f t="shared" si="0"/>
        <v>优良</v>
      </c>
    </row>
    <row r="56" spans="1:5" x14ac:dyDescent="0.15">
      <c r="A56" s="4" t="s">
        <v>30</v>
      </c>
      <c r="B56" s="4" t="s">
        <v>40</v>
      </c>
      <c r="C56" s="4">
        <f>VLOOKUP(B56,课程学分对照表!$A$2:$B$5,2,0)</f>
        <v>4</v>
      </c>
      <c r="D56">
        <v>83</v>
      </c>
      <c r="E56" t="str">
        <f t="shared" si="0"/>
        <v>优良</v>
      </c>
    </row>
    <row r="57" spans="1:5" x14ac:dyDescent="0.15">
      <c r="A57" s="4" t="s">
        <v>74</v>
      </c>
      <c r="B57" s="4" t="s">
        <v>2</v>
      </c>
      <c r="C57" s="4">
        <f>VLOOKUP(B57,课程学分对照表!$A$2:$B$5,2,0)</f>
        <v>2</v>
      </c>
      <c r="D57" s="4">
        <v>92</v>
      </c>
      <c r="E57" t="str">
        <f t="shared" si="0"/>
        <v>优良</v>
      </c>
    </row>
    <row r="58" spans="1:5" x14ac:dyDescent="0.15">
      <c r="A58" s="4" t="s">
        <v>103</v>
      </c>
      <c r="B58" s="4" t="s">
        <v>3</v>
      </c>
      <c r="C58" s="4">
        <f>VLOOKUP(B58,课程学分对照表!$A$2:$B$5,2,0)</f>
        <v>4</v>
      </c>
      <c r="D58">
        <v>79</v>
      </c>
      <c r="E58" t="str">
        <f t="shared" si="0"/>
        <v>中等</v>
      </c>
    </row>
    <row r="59" spans="1:5" x14ac:dyDescent="0.15">
      <c r="A59" s="4" t="s">
        <v>31</v>
      </c>
      <c r="B59" s="4" t="s">
        <v>40</v>
      </c>
      <c r="C59" s="4">
        <f>VLOOKUP(B59,课程学分对照表!$A$2:$B$5,2,0)</f>
        <v>4</v>
      </c>
      <c r="D59">
        <v>83</v>
      </c>
      <c r="E59" t="str">
        <f t="shared" si="0"/>
        <v>优良</v>
      </c>
    </row>
    <row r="60" spans="1:5" x14ac:dyDescent="0.15">
      <c r="A60" s="4" t="s">
        <v>48</v>
      </c>
      <c r="B60" s="4" t="s">
        <v>41</v>
      </c>
      <c r="C60" s="4">
        <f>VLOOKUP(B60,课程学分对照表!$A$2:$B$5,2,0)</f>
        <v>3</v>
      </c>
      <c r="D60" s="4">
        <v>83</v>
      </c>
      <c r="E60" t="str">
        <f t="shared" si="0"/>
        <v>优良</v>
      </c>
    </row>
    <row r="61" spans="1:5" x14ac:dyDescent="0.15">
      <c r="A61" s="4" t="s">
        <v>75</v>
      </c>
      <c r="B61" s="4" t="s">
        <v>2</v>
      </c>
      <c r="C61" s="4">
        <f>VLOOKUP(B61,课程学分对照表!$A$2:$B$5,2,0)</f>
        <v>2</v>
      </c>
      <c r="D61">
        <v>91</v>
      </c>
      <c r="E61" t="str">
        <f t="shared" si="0"/>
        <v>优良</v>
      </c>
    </row>
    <row r="62" spans="1:5" x14ac:dyDescent="0.15">
      <c r="A62" s="4" t="s">
        <v>104</v>
      </c>
      <c r="B62" s="4" t="s">
        <v>3</v>
      </c>
      <c r="C62" s="4">
        <f>VLOOKUP(B62,课程学分对照表!$A$2:$B$5,2,0)</f>
        <v>4</v>
      </c>
      <c r="D62">
        <v>85</v>
      </c>
      <c r="E62" t="str">
        <f t="shared" si="0"/>
        <v>优良</v>
      </c>
    </row>
    <row r="63" spans="1:5" x14ac:dyDescent="0.15">
      <c r="A63" s="4" t="s">
        <v>49</v>
      </c>
      <c r="B63" s="4" t="s">
        <v>41</v>
      </c>
      <c r="C63" s="4">
        <f>VLOOKUP(B63,课程学分对照表!$A$2:$B$5,2,0)</f>
        <v>3</v>
      </c>
      <c r="D63">
        <v>92</v>
      </c>
      <c r="E63" t="str">
        <f t="shared" si="0"/>
        <v>优良</v>
      </c>
    </row>
    <row r="64" spans="1:5" x14ac:dyDescent="0.15">
      <c r="A64" s="4" t="s">
        <v>76</v>
      </c>
      <c r="B64" s="4" t="s">
        <v>2</v>
      </c>
      <c r="C64" s="4">
        <f>VLOOKUP(B64,课程学分对照表!$A$2:$B$5,2,0)</f>
        <v>2</v>
      </c>
      <c r="D64" s="4">
        <v>67</v>
      </c>
      <c r="E64" t="str">
        <f t="shared" si="0"/>
        <v>中等</v>
      </c>
    </row>
    <row r="65" spans="1:5" x14ac:dyDescent="0.15">
      <c r="A65" s="4" t="s">
        <v>76</v>
      </c>
      <c r="B65" s="4" t="s">
        <v>3</v>
      </c>
      <c r="C65" s="4">
        <f>VLOOKUP(B65,课程学分对照表!$A$2:$B$5,2,0)</f>
        <v>4</v>
      </c>
      <c r="D65">
        <v>89</v>
      </c>
      <c r="E65" t="str">
        <f t="shared" si="0"/>
        <v>优良</v>
      </c>
    </row>
    <row r="66" spans="1:5" x14ac:dyDescent="0.15">
      <c r="A66" s="4" t="s">
        <v>50</v>
      </c>
      <c r="B66" s="4" t="s">
        <v>41</v>
      </c>
      <c r="C66" s="4">
        <f>VLOOKUP(B66,课程学分对照表!$A$2:$B$5,2,0)</f>
        <v>3</v>
      </c>
      <c r="D66">
        <v>91</v>
      </c>
      <c r="E66" t="str">
        <f t="shared" si="0"/>
        <v>优良</v>
      </c>
    </row>
    <row r="67" spans="1:5" x14ac:dyDescent="0.15">
      <c r="A67" s="4" t="s">
        <v>105</v>
      </c>
      <c r="B67" s="4" t="s">
        <v>3</v>
      </c>
      <c r="C67" s="4">
        <f>VLOOKUP(B67,课程学分对照表!$A$2:$B$5,2,0)</f>
        <v>4</v>
      </c>
      <c r="D67">
        <v>89</v>
      </c>
      <c r="E67" t="str">
        <f t="shared" si="0"/>
        <v>优良</v>
      </c>
    </row>
    <row r="68" spans="1:5" x14ac:dyDescent="0.15">
      <c r="A68" s="4" t="s">
        <v>32</v>
      </c>
      <c r="B68" s="4" t="s">
        <v>40</v>
      </c>
      <c r="C68" s="4">
        <f>VLOOKUP(B68,课程学分对照表!$A$2:$B$5,2,0)</f>
        <v>4</v>
      </c>
      <c r="D68">
        <v>83</v>
      </c>
      <c r="E68" t="str">
        <f t="shared" ref="E68:E110" si="3">IF(D68&gt;=80,"优良",IF(D68&gt;=60,"中等",""))</f>
        <v>优良</v>
      </c>
    </row>
    <row r="69" spans="1:5" x14ac:dyDescent="0.15">
      <c r="A69" s="4" t="s">
        <v>77</v>
      </c>
      <c r="B69" s="4" t="s">
        <v>2</v>
      </c>
      <c r="C69" s="4">
        <f>VLOOKUP(B69,课程学分对照表!$A$2:$B$5,2,0)</f>
        <v>2</v>
      </c>
      <c r="D69">
        <v>89</v>
      </c>
      <c r="E69" t="str">
        <f t="shared" si="3"/>
        <v>优良</v>
      </c>
    </row>
    <row r="70" spans="1:5" x14ac:dyDescent="0.15">
      <c r="A70" s="4" t="s">
        <v>77</v>
      </c>
      <c r="B70" s="4" t="s">
        <v>3</v>
      </c>
      <c r="C70" s="4">
        <f>VLOOKUP(B70,课程学分对照表!$A$2:$B$5,2,0)</f>
        <v>4</v>
      </c>
      <c r="D70">
        <v>85</v>
      </c>
      <c r="E70" t="str">
        <f t="shared" si="3"/>
        <v>优良</v>
      </c>
    </row>
    <row r="71" spans="1:5" x14ac:dyDescent="0.15">
      <c r="A71" t="s">
        <v>51</v>
      </c>
      <c r="B71" s="4" t="s">
        <v>41</v>
      </c>
      <c r="C71" s="4">
        <f>VLOOKUP(B71,课程学分对照表!$A$2:$B$5,2,0)</f>
        <v>3</v>
      </c>
      <c r="D71" s="4">
        <v>90</v>
      </c>
      <c r="E71" t="str">
        <f t="shared" si="3"/>
        <v>优良</v>
      </c>
    </row>
    <row r="72" spans="1:5" x14ac:dyDescent="0.15">
      <c r="A72" s="4" t="s">
        <v>87</v>
      </c>
      <c r="B72" s="4" t="s">
        <v>2</v>
      </c>
      <c r="C72" s="4">
        <f>VLOOKUP(B72,课程学分对照表!$A$2:$B$5,2,0)</f>
        <v>2</v>
      </c>
      <c r="D72" s="4">
        <v>89</v>
      </c>
      <c r="E72" t="str">
        <f t="shared" si="3"/>
        <v>优良</v>
      </c>
    </row>
    <row r="73" spans="1:5" x14ac:dyDescent="0.15">
      <c r="A73" s="4" t="s">
        <v>106</v>
      </c>
      <c r="B73" s="4" t="s">
        <v>3</v>
      </c>
      <c r="C73" s="4">
        <f>VLOOKUP(B73,课程学分对照表!$A$2:$B$5,2,0)</f>
        <v>4</v>
      </c>
      <c r="D73">
        <v>56</v>
      </c>
      <c r="E73" t="str">
        <f t="shared" si="3"/>
        <v/>
      </c>
    </row>
    <row r="74" spans="1:5" x14ac:dyDescent="0.15">
      <c r="A74" s="4" t="s">
        <v>33</v>
      </c>
      <c r="B74" s="4" t="s">
        <v>40</v>
      </c>
      <c r="C74" s="4">
        <f>VLOOKUP(B74,课程学分对照表!$A$2:$B$5,2,0)</f>
        <v>4</v>
      </c>
      <c r="D74" s="4">
        <v>79</v>
      </c>
      <c r="E74" t="str">
        <f t="shared" si="3"/>
        <v>中等</v>
      </c>
    </row>
    <row r="75" spans="1:5" x14ac:dyDescent="0.15">
      <c r="A75" s="4" t="s">
        <v>107</v>
      </c>
      <c r="B75" s="4" t="s">
        <v>3</v>
      </c>
      <c r="C75" s="4">
        <f>VLOOKUP(B75,课程学分对照表!$A$2:$B$5,2,0)</f>
        <v>4</v>
      </c>
      <c r="D75" s="4">
        <v>55</v>
      </c>
      <c r="E75" t="str">
        <f t="shared" si="3"/>
        <v/>
      </c>
    </row>
    <row r="76" spans="1:5" x14ac:dyDescent="0.15">
      <c r="A76" s="4" t="s">
        <v>34</v>
      </c>
      <c r="B76" s="4" t="s">
        <v>40</v>
      </c>
      <c r="C76" s="4">
        <f>VLOOKUP(B76,课程学分对照表!$A$2:$B$5,2,0)</f>
        <v>4</v>
      </c>
      <c r="D76">
        <v>76</v>
      </c>
      <c r="E76" t="str">
        <f t="shared" si="3"/>
        <v>中等</v>
      </c>
    </row>
    <row r="77" spans="1:5" x14ac:dyDescent="0.15">
      <c r="A77" s="4" t="s">
        <v>108</v>
      </c>
      <c r="B77" s="4" t="s">
        <v>3</v>
      </c>
      <c r="C77" s="4">
        <f>VLOOKUP(B77,课程学分对照表!$A$2:$B$5,2,0)</f>
        <v>4</v>
      </c>
      <c r="D77">
        <v>76</v>
      </c>
      <c r="E77" t="str">
        <f t="shared" si="3"/>
        <v>中等</v>
      </c>
    </row>
    <row r="78" spans="1:5" x14ac:dyDescent="0.15">
      <c r="A78" s="4" t="s">
        <v>52</v>
      </c>
      <c r="B78" s="4" t="s">
        <v>41</v>
      </c>
      <c r="C78" s="4">
        <f>VLOOKUP(B78,课程学分对照表!$A$2:$B$5,2,0)</f>
        <v>3</v>
      </c>
      <c r="D78">
        <v>74</v>
      </c>
      <c r="E78" t="str">
        <f t="shared" si="3"/>
        <v>中等</v>
      </c>
    </row>
    <row r="79" spans="1:5" x14ac:dyDescent="0.15">
      <c r="A79" s="4" t="s">
        <v>109</v>
      </c>
      <c r="B79" s="4" t="s">
        <v>3</v>
      </c>
      <c r="C79" s="4">
        <f>VLOOKUP(B79,课程学分对照表!$A$2:$B$5,2,0)</f>
        <v>4</v>
      </c>
      <c r="D79" s="4">
        <v>82</v>
      </c>
      <c r="E79" t="str">
        <f t="shared" si="3"/>
        <v>优良</v>
      </c>
    </row>
    <row r="80" spans="1:5" x14ac:dyDescent="0.15">
      <c r="A80" s="4" t="s">
        <v>53</v>
      </c>
      <c r="B80" s="4" t="s">
        <v>41</v>
      </c>
      <c r="C80" s="4">
        <f>VLOOKUP(B80,课程学分对照表!$A$2:$B$5,2,0)</f>
        <v>3</v>
      </c>
      <c r="D80" s="4">
        <v>85</v>
      </c>
      <c r="E80" t="str">
        <f t="shared" si="3"/>
        <v>优良</v>
      </c>
    </row>
    <row r="81" spans="1:5" x14ac:dyDescent="0.15">
      <c r="A81" s="4" t="s">
        <v>53</v>
      </c>
      <c r="B81" s="4" t="s">
        <v>2</v>
      </c>
      <c r="C81" s="4">
        <f>VLOOKUP(B81,课程学分对照表!$A$2:$B$5,2,0)</f>
        <v>2</v>
      </c>
      <c r="D81" s="4">
        <v>71</v>
      </c>
      <c r="E81" t="str">
        <f t="shared" si="3"/>
        <v>中等</v>
      </c>
    </row>
    <row r="82" spans="1:5" x14ac:dyDescent="0.15">
      <c r="A82" s="4" t="s">
        <v>110</v>
      </c>
      <c r="B82" s="4" t="s">
        <v>3</v>
      </c>
      <c r="C82" s="4">
        <f>VLOOKUP(B82,课程学分对照表!$A$2:$B$5,2,0)</f>
        <v>4</v>
      </c>
      <c r="D82">
        <v>85</v>
      </c>
      <c r="E82" t="str">
        <f t="shared" si="3"/>
        <v>优良</v>
      </c>
    </row>
    <row r="83" spans="1:5" x14ac:dyDescent="0.15">
      <c r="A83" s="4" t="s">
        <v>54</v>
      </c>
      <c r="B83" s="4" t="s">
        <v>41</v>
      </c>
      <c r="C83" s="4">
        <f>VLOOKUP(B83,课程学分对照表!$A$2:$B$5,2,0)</f>
        <v>3</v>
      </c>
      <c r="D83" s="4">
        <v>75</v>
      </c>
      <c r="E83" t="str">
        <f t="shared" si="3"/>
        <v>中等</v>
      </c>
    </row>
    <row r="84" spans="1:5" x14ac:dyDescent="0.15">
      <c r="A84" s="4" t="s">
        <v>86</v>
      </c>
      <c r="B84" s="4" t="s">
        <v>2</v>
      </c>
      <c r="C84" s="4">
        <f>VLOOKUP(B84,课程学分对照表!$A$2:$B$5,2,0)</f>
        <v>2</v>
      </c>
      <c r="D84" s="4">
        <v>76</v>
      </c>
      <c r="E84" t="str">
        <f t="shared" si="3"/>
        <v>中等</v>
      </c>
    </row>
    <row r="85" spans="1:5" x14ac:dyDescent="0.15">
      <c r="A85" s="4" t="s">
        <v>111</v>
      </c>
      <c r="B85" s="4" t="s">
        <v>3</v>
      </c>
      <c r="C85" s="4">
        <f>VLOOKUP(B85,课程学分对照表!$A$2:$B$5,2,0)</f>
        <v>4</v>
      </c>
      <c r="D85">
        <v>51</v>
      </c>
      <c r="E85" t="str">
        <f t="shared" si="3"/>
        <v/>
      </c>
    </row>
    <row r="86" spans="1:5" x14ac:dyDescent="0.15">
      <c r="A86" s="4" t="s">
        <v>55</v>
      </c>
      <c r="B86" s="4" t="s">
        <v>41</v>
      </c>
      <c r="C86" s="4">
        <f>VLOOKUP(B86,课程学分对照表!$A$2:$B$5,2,0)</f>
        <v>3</v>
      </c>
      <c r="D86">
        <v>93</v>
      </c>
      <c r="E86" t="str">
        <f t="shared" si="3"/>
        <v>优良</v>
      </c>
    </row>
    <row r="87" spans="1:5" x14ac:dyDescent="0.15">
      <c r="A87" s="4" t="s">
        <v>85</v>
      </c>
      <c r="B87" s="4" t="s">
        <v>2</v>
      </c>
      <c r="C87" s="4">
        <f>VLOOKUP(B87,课程学分对照表!$A$2:$B$5,2,0)</f>
        <v>2</v>
      </c>
      <c r="D87" s="4">
        <v>87</v>
      </c>
      <c r="E87" t="str">
        <f t="shared" si="3"/>
        <v>优良</v>
      </c>
    </row>
    <row r="88" spans="1:5" x14ac:dyDescent="0.15">
      <c r="A88" s="4" t="s">
        <v>55</v>
      </c>
      <c r="B88" s="4" t="s">
        <v>3</v>
      </c>
      <c r="C88" s="4">
        <f>VLOOKUP(B88,课程学分对照表!$A$2:$B$5,2,0)</f>
        <v>4</v>
      </c>
      <c r="D88">
        <v>93</v>
      </c>
      <c r="E88" t="str">
        <f t="shared" si="3"/>
        <v>优良</v>
      </c>
    </row>
    <row r="89" spans="1:5" x14ac:dyDescent="0.15">
      <c r="A89" s="4" t="s">
        <v>35</v>
      </c>
      <c r="B89" s="4" t="s">
        <v>40</v>
      </c>
      <c r="C89" s="4">
        <f>VLOOKUP(B89,课程学分对照表!$A$2:$B$5,2,0)</f>
        <v>4</v>
      </c>
      <c r="D89">
        <v>95</v>
      </c>
      <c r="E89" t="str">
        <f t="shared" si="3"/>
        <v>优良</v>
      </c>
    </row>
    <row r="90" spans="1:5" x14ac:dyDescent="0.15">
      <c r="A90" s="4" t="s">
        <v>112</v>
      </c>
      <c r="B90" s="4" t="s">
        <v>3</v>
      </c>
      <c r="C90" s="4">
        <f>VLOOKUP(B90,课程学分对照表!$A$2:$B$5,2,0)</f>
        <v>4</v>
      </c>
      <c r="D90">
        <v>76</v>
      </c>
      <c r="E90" t="str">
        <f t="shared" si="3"/>
        <v>中等</v>
      </c>
    </row>
    <row r="91" spans="1:5" x14ac:dyDescent="0.15">
      <c r="A91" s="4" t="s">
        <v>84</v>
      </c>
      <c r="B91" s="4" t="s">
        <v>7</v>
      </c>
      <c r="C91" s="4">
        <f>VLOOKUP(B91,课程学分对照表!$A$2:$B$5,2,0)</f>
        <v>2</v>
      </c>
      <c r="D91">
        <v>74</v>
      </c>
      <c r="E91" t="str">
        <f t="shared" si="3"/>
        <v>中等</v>
      </c>
    </row>
    <row r="92" spans="1:5" x14ac:dyDescent="0.15">
      <c r="A92" s="4" t="s">
        <v>113</v>
      </c>
      <c r="B92" s="4" t="s">
        <v>3</v>
      </c>
      <c r="C92" s="4">
        <f>VLOOKUP(B92,课程学分对照表!$A$2:$B$5,2,0)</f>
        <v>4</v>
      </c>
      <c r="D92">
        <v>81</v>
      </c>
      <c r="E92" t="str">
        <f t="shared" si="3"/>
        <v>优良</v>
      </c>
    </row>
    <row r="93" spans="1:5" x14ac:dyDescent="0.15">
      <c r="A93" s="4" t="s">
        <v>83</v>
      </c>
      <c r="B93" s="4" t="s">
        <v>8</v>
      </c>
      <c r="C93" s="4">
        <f>VLOOKUP(B93,课程学分对照表!$A$2:$B$5,2,0)</f>
        <v>2</v>
      </c>
      <c r="D93" s="4">
        <v>85</v>
      </c>
      <c r="E93" t="str">
        <f t="shared" si="3"/>
        <v>优良</v>
      </c>
    </row>
    <row r="94" spans="1:5" x14ac:dyDescent="0.15">
      <c r="A94" s="4" t="s">
        <v>83</v>
      </c>
      <c r="B94" s="4" t="s">
        <v>2</v>
      </c>
      <c r="C94" s="4">
        <f>VLOOKUP(B94,课程学分对照表!$A$2:$B$5,2,0)</f>
        <v>2</v>
      </c>
      <c r="D94">
        <v>93</v>
      </c>
      <c r="E94" t="str">
        <f t="shared" si="3"/>
        <v>优良</v>
      </c>
    </row>
    <row r="95" spans="1:5" x14ac:dyDescent="0.15">
      <c r="A95" s="4" t="s">
        <v>114</v>
      </c>
      <c r="B95" s="4" t="s">
        <v>3</v>
      </c>
      <c r="C95" s="4">
        <f>VLOOKUP(B95,课程学分对照表!$A$2:$B$5,2,0)</f>
        <v>4</v>
      </c>
      <c r="D95">
        <v>95</v>
      </c>
      <c r="E95" t="str">
        <f t="shared" si="3"/>
        <v>优良</v>
      </c>
    </row>
    <row r="96" spans="1:5" x14ac:dyDescent="0.15">
      <c r="A96" s="4" t="s">
        <v>36</v>
      </c>
      <c r="B96" s="4" t="s">
        <v>40</v>
      </c>
      <c r="C96" s="4">
        <f>VLOOKUP(B96,课程学分对照表!$A$2:$B$5,2,0)</f>
        <v>4</v>
      </c>
      <c r="D96" s="4">
        <v>86</v>
      </c>
      <c r="E96" t="str">
        <f t="shared" si="3"/>
        <v>优良</v>
      </c>
    </row>
    <row r="97" spans="1:5" x14ac:dyDescent="0.15">
      <c r="A97" s="4" t="s">
        <v>82</v>
      </c>
      <c r="B97" s="4" t="s">
        <v>2</v>
      </c>
      <c r="C97" s="4">
        <f>VLOOKUP(B97,课程学分对照表!$A$2:$B$5,2,0)</f>
        <v>2</v>
      </c>
      <c r="D97">
        <v>68</v>
      </c>
      <c r="E97" t="str">
        <f t="shared" si="3"/>
        <v>中等</v>
      </c>
    </row>
    <row r="98" spans="1:5" x14ac:dyDescent="0.15">
      <c r="A98" s="4" t="s">
        <v>115</v>
      </c>
      <c r="B98" s="4" t="s">
        <v>3</v>
      </c>
      <c r="C98" s="4">
        <f>VLOOKUP(B98,课程学分对照表!$A$2:$B$5,2,0)</f>
        <v>4</v>
      </c>
      <c r="D98" s="4">
        <v>74</v>
      </c>
      <c r="E98" t="str">
        <f t="shared" si="3"/>
        <v>中等</v>
      </c>
    </row>
    <row r="99" spans="1:5" x14ac:dyDescent="0.15">
      <c r="A99" s="4" t="s">
        <v>37</v>
      </c>
      <c r="B99" s="4" t="s">
        <v>40</v>
      </c>
      <c r="C99" s="4">
        <f>VLOOKUP(B99,课程学分对照表!$A$2:$B$5,2,0)</f>
        <v>4</v>
      </c>
      <c r="D99">
        <v>74</v>
      </c>
      <c r="E99" t="str">
        <f t="shared" si="3"/>
        <v>中等</v>
      </c>
    </row>
    <row r="100" spans="1:5" x14ac:dyDescent="0.15">
      <c r="A100" s="4" t="s">
        <v>116</v>
      </c>
      <c r="B100" s="4" t="s">
        <v>3</v>
      </c>
      <c r="C100" s="4">
        <f>VLOOKUP(B100,课程学分对照表!$A$2:$B$5,2,0)</f>
        <v>4</v>
      </c>
      <c r="D100">
        <v>45</v>
      </c>
      <c r="E100" t="str">
        <f t="shared" si="3"/>
        <v/>
      </c>
    </row>
    <row r="101" spans="1:5" x14ac:dyDescent="0.15">
      <c r="A101" s="4" t="s">
        <v>38</v>
      </c>
      <c r="B101" s="4" t="s">
        <v>40</v>
      </c>
      <c r="C101" s="4">
        <f>VLOOKUP(B101,课程学分对照表!$A$2:$B$5,2,0)</f>
        <v>4</v>
      </c>
      <c r="D101">
        <v>82</v>
      </c>
      <c r="E101" t="str">
        <f t="shared" si="3"/>
        <v>优良</v>
      </c>
    </row>
    <row r="102" spans="1:5" x14ac:dyDescent="0.15">
      <c r="A102" s="4" t="s">
        <v>81</v>
      </c>
      <c r="B102" s="4" t="s">
        <v>2</v>
      </c>
      <c r="C102" s="4">
        <f>VLOOKUP(B102,课程学分对照表!$A$2:$B$5,2,0)</f>
        <v>2</v>
      </c>
      <c r="D102">
        <v>95</v>
      </c>
      <c r="E102" t="str">
        <f t="shared" si="3"/>
        <v>优良</v>
      </c>
    </row>
    <row r="103" spans="1:5" x14ac:dyDescent="0.15">
      <c r="A103" s="4" t="s">
        <v>117</v>
      </c>
      <c r="B103" s="4" t="s">
        <v>3</v>
      </c>
      <c r="C103" s="4">
        <f>VLOOKUP(B103,课程学分对照表!$A$2:$B$5,2,0)</f>
        <v>4</v>
      </c>
      <c r="D103">
        <v>74</v>
      </c>
      <c r="E103" t="str">
        <f t="shared" si="3"/>
        <v>中等</v>
      </c>
    </row>
    <row r="104" spans="1:5" x14ac:dyDescent="0.15">
      <c r="A104" s="4" t="s">
        <v>39</v>
      </c>
      <c r="B104" s="4" t="s">
        <v>40</v>
      </c>
      <c r="C104" s="4">
        <f>VLOOKUP(B104,课程学分对照表!$A$2:$B$5,2,0)</f>
        <v>4</v>
      </c>
      <c r="D104">
        <v>89</v>
      </c>
      <c r="E104" t="str">
        <f t="shared" si="3"/>
        <v>优良</v>
      </c>
    </row>
    <row r="105" spans="1:5" x14ac:dyDescent="0.15">
      <c r="A105" s="4" t="s">
        <v>118</v>
      </c>
      <c r="B105" s="4" t="s">
        <v>3</v>
      </c>
      <c r="C105" s="4">
        <f>VLOOKUP(B105,课程学分对照表!$A$2:$B$5,2,0)</f>
        <v>4</v>
      </c>
      <c r="D105">
        <v>91</v>
      </c>
      <c r="E105" t="str">
        <f t="shared" si="3"/>
        <v>优良</v>
      </c>
    </row>
    <row r="106" spans="1:5" x14ac:dyDescent="0.15">
      <c r="A106" s="4" t="s">
        <v>80</v>
      </c>
      <c r="B106" s="4" t="s">
        <v>4</v>
      </c>
      <c r="C106" s="4">
        <f>VLOOKUP(B106,课程学分对照表!$A$2:$B$5,2,0)</f>
        <v>2</v>
      </c>
      <c r="D106">
        <v>85</v>
      </c>
      <c r="E106" t="str">
        <f t="shared" si="3"/>
        <v>优良</v>
      </c>
    </row>
    <row r="107" spans="1:5" x14ac:dyDescent="0.15">
      <c r="A107" s="4" t="s">
        <v>119</v>
      </c>
      <c r="B107" s="4" t="s">
        <v>3</v>
      </c>
      <c r="C107" s="4">
        <f>VLOOKUP(B107,课程学分对照表!$A$2:$B$5,2,0)</f>
        <v>4</v>
      </c>
      <c r="D107">
        <v>85</v>
      </c>
      <c r="E107" t="str">
        <f t="shared" si="3"/>
        <v>优良</v>
      </c>
    </row>
    <row r="108" spans="1:5" x14ac:dyDescent="0.15">
      <c r="A108" s="4" t="s">
        <v>79</v>
      </c>
      <c r="B108" s="4" t="s">
        <v>5</v>
      </c>
      <c r="C108" s="4">
        <f>VLOOKUP(B108,课程学分对照表!$A$2:$B$5,2,0)</f>
        <v>2</v>
      </c>
      <c r="D108">
        <v>51</v>
      </c>
      <c r="E108" t="str">
        <f t="shared" si="3"/>
        <v/>
      </c>
    </row>
    <row r="109" spans="1:5" x14ac:dyDescent="0.15">
      <c r="A109" s="4" t="s">
        <v>78</v>
      </c>
      <c r="B109" s="4" t="s">
        <v>2</v>
      </c>
      <c r="C109" s="4">
        <f>VLOOKUP(B109,课程学分对照表!$A$2:$B$5,2,0)</f>
        <v>2</v>
      </c>
      <c r="D109">
        <v>86</v>
      </c>
      <c r="E109" t="str">
        <f t="shared" si="3"/>
        <v>优良</v>
      </c>
    </row>
    <row r="110" spans="1:5" x14ac:dyDescent="0.15">
      <c r="A110" s="4" t="s">
        <v>79</v>
      </c>
      <c r="B110" s="4" t="s">
        <v>3</v>
      </c>
      <c r="C110" s="4">
        <f>VLOOKUP(B110,课程学分对照表!$A$2:$B$5,2,0)</f>
        <v>4</v>
      </c>
      <c r="D110" s="4">
        <v>95</v>
      </c>
      <c r="E110" t="str">
        <f t="shared" si="3"/>
        <v>优良</v>
      </c>
    </row>
  </sheetData>
  <sortState ref="A3:F110">
    <sortCondition ref="A3:A110"/>
  </sortState>
  <mergeCells count="3">
    <mergeCell ref="G3:H3"/>
    <mergeCell ref="G12:I12"/>
    <mergeCell ref="A1:E1"/>
  </mergeCells>
  <phoneticPr fontId="1" type="noConversion"/>
  <conditionalFormatting sqref="D3:D110">
    <cfRule type="cellIs" dxfId="7" priority="1" operator="lessThan">
      <formula>60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selection activeCell="K17" sqref="K17"/>
    </sheetView>
  </sheetViews>
  <sheetFormatPr defaultRowHeight="14.25" x14ac:dyDescent="0.15"/>
  <cols>
    <col min="1" max="1" width="7.5" customWidth="1"/>
    <col min="2" max="2" width="5.75" customWidth="1"/>
    <col min="3" max="3" width="8.5" customWidth="1"/>
    <col min="4" max="4" width="8.625" customWidth="1"/>
    <col min="5" max="5" width="8.375" customWidth="1"/>
    <col min="6" max="6" width="8.75" customWidth="1"/>
    <col min="7" max="7" width="8.625" customWidth="1"/>
    <col min="8" max="8" width="8.5" customWidth="1"/>
    <col min="9" max="9" width="13.5" customWidth="1"/>
    <col min="10" max="10" width="14.125" customWidth="1"/>
    <col min="11" max="11" width="9.375" customWidth="1"/>
    <col min="12" max="12" width="8.125" customWidth="1"/>
    <col min="13" max="13" width="7.75" customWidth="1"/>
    <col min="14" max="14" width="11.75" customWidth="1"/>
  </cols>
  <sheetData>
    <row r="1" spans="1:11" ht="15.75" x14ac:dyDescent="0.25">
      <c r="A1" s="6" t="s">
        <v>124</v>
      </c>
      <c r="B1" s="6" t="s">
        <v>125</v>
      </c>
      <c r="C1" s="2"/>
      <c r="D1" s="2"/>
      <c r="E1" s="2"/>
      <c r="F1" s="2"/>
      <c r="I1" s="1"/>
      <c r="J1" s="2"/>
      <c r="K1" s="2"/>
    </row>
    <row r="2" spans="1:11" x14ac:dyDescent="0.15">
      <c r="A2" s="3" t="s">
        <v>122</v>
      </c>
      <c r="B2" s="6">
        <v>4</v>
      </c>
      <c r="I2" s="5"/>
      <c r="J2" s="2"/>
      <c r="K2" s="2"/>
    </row>
    <row r="3" spans="1:11" x14ac:dyDescent="0.15">
      <c r="A3" s="3" t="s">
        <v>123</v>
      </c>
      <c r="B3" s="6">
        <v>3</v>
      </c>
      <c r="H3" s="5"/>
      <c r="K3" s="2"/>
    </row>
    <row r="4" spans="1:11" x14ac:dyDescent="0.15">
      <c r="A4" s="3" t="s">
        <v>2</v>
      </c>
      <c r="B4" s="6">
        <v>2</v>
      </c>
      <c r="H4" s="5"/>
      <c r="J4" s="2"/>
      <c r="K4" s="2"/>
    </row>
    <row r="5" spans="1:11" x14ac:dyDescent="0.15">
      <c r="A5" s="3" t="s">
        <v>3</v>
      </c>
      <c r="B5" s="6">
        <v>4</v>
      </c>
      <c r="I5" s="5"/>
    </row>
    <row r="6" spans="1:11" x14ac:dyDescent="0.15">
      <c r="A6" s="4"/>
      <c r="B6" s="4"/>
      <c r="H6" s="5"/>
    </row>
    <row r="7" spans="1:11" x14ac:dyDescent="0.15">
      <c r="A7" s="4"/>
      <c r="B7" s="4"/>
      <c r="I7" s="5"/>
    </row>
    <row r="8" spans="1:11" x14ac:dyDescent="0.15">
      <c r="A8" s="4"/>
      <c r="B8" s="4"/>
      <c r="H8" s="5"/>
    </row>
    <row r="9" spans="1:11" x14ac:dyDescent="0.15">
      <c r="A9" s="4"/>
      <c r="B9" s="4"/>
      <c r="I9" s="5"/>
    </row>
    <row r="10" spans="1:11" x14ac:dyDescent="0.15">
      <c r="A10" s="4"/>
      <c r="B10" s="4"/>
      <c r="H10" s="5"/>
    </row>
    <row r="11" spans="1:11" x14ac:dyDescent="0.15">
      <c r="A11" s="4"/>
      <c r="B11" s="4"/>
      <c r="I11" s="5"/>
    </row>
    <row r="12" spans="1:11" x14ac:dyDescent="0.15">
      <c r="A12" s="4"/>
      <c r="B12" s="4"/>
      <c r="H12" s="5"/>
    </row>
    <row r="13" spans="1:11" x14ac:dyDescent="0.15">
      <c r="A13" s="4"/>
      <c r="B13" s="4"/>
      <c r="I13" s="5"/>
    </row>
    <row r="14" spans="1:11" x14ac:dyDescent="0.15">
      <c r="A14" s="4"/>
      <c r="B14" s="4"/>
      <c r="H14" s="5"/>
    </row>
    <row r="15" spans="1:11" x14ac:dyDescent="0.15">
      <c r="A15" s="4"/>
      <c r="B15" s="4"/>
      <c r="I15" s="5"/>
    </row>
    <row r="16" spans="1:11" x14ac:dyDescent="0.15">
      <c r="A16" s="4"/>
      <c r="B16" s="4"/>
      <c r="I16" s="5"/>
    </row>
    <row r="17" spans="1:9" x14ac:dyDescent="0.15">
      <c r="A17" s="4"/>
      <c r="B17" s="4"/>
      <c r="I17" s="5"/>
    </row>
    <row r="18" spans="1:9" x14ac:dyDescent="0.15">
      <c r="A18" s="4"/>
      <c r="B18" s="4"/>
    </row>
    <row r="19" spans="1:9" x14ac:dyDescent="0.15">
      <c r="A19" s="4"/>
      <c r="B19" s="4"/>
    </row>
    <row r="20" spans="1:9" x14ac:dyDescent="0.15">
      <c r="A20" s="4"/>
      <c r="B20" s="4"/>
    </row>
    <row r="21" spans="1:9" x14ac:dyDescent="0.15">
      <c r="A21" s="4"/>
      <c r="B21" s="4"/>
    </row>
    <row r="22" spans="1:9" x14ac:dyDescent="0.15">
      <c r="A22" s="4"/>
      <c r="B22" s="4"/>
    </row>
    <row r="23" spans="1:9" x14ac:dyDescent="0.15">
      <c r="A23" s="4"/>
      <c r="B23" s="4"/>
    </row>
    <row r="24" spans="1:9" x14ac:dyDescent="0.15">
      <c r="A24" s="4"/>
      <c r="B24" s="4"/>
    </row>
    <row r="25" spans="1:9" x14ac:dyDescent="0.15">
      <c r="A25" s="4"/>
      <c r="B25" s="4"/>
    </row>
    <row r="26" spans="1:9" x14ac:dyDescent="0.15">
      <c r="A26" s="4"/>
      <c r="B26" s="4"/>
    </row>
    <row r="27" spans="1:9" x14ac:dyDescent="0.15">
      <c r="A27" s="4"/>
      <c r="B27" s="4"/>
    </row>
    <row r="28" spans="1:9" x14ac:dyDescent="0.15">
      <c r="A28" s="4"/>
      <c r="B28" s="4"/>
    </row>
    <row r="29" spans="1:9" x14ac:dyDescent="0.15">
      <c r="A29" s="4"/>
      <c r="B29" s="4"/>
    </row>
    <row r="30" spans="1:9" x14ac:dyDescent="0.15">
      <c r="A30" s="4"/>
      <c r="B30" s="4"/>
    </row>
    <row r="31" spans="1:9" x14ac:dyDescent="0.15">
      <c r="A31" s="4"/>
      <c r="B31" s="4"/>
    </row>
    <row r="32" spans="1:9" x14ac:dyDescent="0.15">
      <c r="A32" s="4"/>
      <c r="B32" s="4"/>
    </row>
    <row r="33" spans="1:2" x14ac:dyDescent="0.15">
      <c r="A33" s="4"/>
      <c r="B33" s="4"/>
    </row>
    <row r="34" spans="1:2" x14ac:dyDescent="0.15">
      <c r="A34" s="4"/>
      <c r="B34" s="4"/>
    </row>
    <row r="35" spans="1:2" x14ac:dyDescent="0.15">
      <c r="A35" s="4"/>
      <c r="B35" s="4"/>
    </row>
    <row r="36" spans="1:2" x14ac:dyDescent="0.15">
      <c r="A36" s="4"/>
      <c r="B36" s="4"/>
    </row>
    <row r="37" spans="1:2" x14ac:dyDescent="0.15">
      <c r="A37" s="4"/>
      <c r="B37" s="4"/>
    </row>
    <row r="38" spans="1:2" x14ac:dyDescent="0.15">
      <c r="A38" s="4"/>
      <c r="B38" s="4"/>
    </row>
    <row r="39" spans="1:2" x14ac:dyDescent="0.15">
      <c r="A39" s="4"/>
      <c r="B39" s="4"/>
    </row>
    <row r="40" spans="1:2" x14ac:dyDescent="0.15">
      <c r="A40" s="4"/>
      <c r="B40" s="4"/>
    </row>
    <row r="41" spans="1:2" x14ac:dyDescent="0.15">
      <c r="A41" s="4"/>
      <c r="B41" s="4"/>
    </row>
  </sheetData>
  <phoneticPr fontId="1" type="noConversion"/>
  <conditionalFormatting sqref="J1:K2 J4:K4 K3">
    <cfRule type="cellIs" dxfId="6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topLeftCell="D1" workbookViewId="0">
      <selection activeCell="J18" sqref="J18"/>
    </sheetView>
  </sheetViews>
  <sheetFormatPr defaultRowHeight="14.25" x14ac:dyDescent="0.15"/>
  <cols>
    <col min="1" max="1" width="9.375" customWidth="1"/>
    <col min="2" max="2" width="10.625" customWidth="1"/>
    <col min="3" max="3" width="10.375" customWidth="1"/>
    <col min="4" max="4" width="9.75" customWidth="1"/>
    <col min="5" max="5" width="14.625" customWidth="1"/>
    <col min="6" max="6" width="12.875" customWidth="1"/>
    <col min="7" max="7" width="11.5" customWidth="1"/>
    <col min="9" max="9" width="21" bestFit="1" customWidth="1"/>
    <col min="10" max="10" width="10.125" bestFit="1" customWidth="1"/>
    <col min="11" max="13" width="9.25" bestFit="1" customWidth="1"/>
    <col min="14" max="14" width="9.625" customWidth="1"/>
  </cols>
  <sheetData>
    <row r="1" spans="1:14" x14ac:dyDescent="0.15">
      <c r="A1" s="15" t="s">
        <v>133</v>
      </c>
      <c r="B1" s="15" t="s">
        <v>134</v>
      </c>
      <c r="C1" s="15" t="s">
        <v>12</v>
      </c>
      <c r="D1" s="15" t="s">
        <v>135</v>
      </c>
      <c r="E1" s="15" t="s">
        <v>136</v>
      </c>
      <c r="F1" s="15" t="s">
        <v>137</v>
      </c>
      <c r="G1" s="15" t="s">
        <v>13</v>
      </c>
    </row>
    <row r="2" spans="1:14" ht="15.75" x14ac:dyDescent="0.25">
      <c r="A2" s="3" t="s">
        <v>138</v>
      </c>
      <c r="B2" s="6" t="s">
        <v>139</v>
      </c>
      <c r="C2" s="3">
        <v>3</v>
      </c>
      <c r="D2" s="3">
        <v>124</v>
      </c>
      <c r="E2" s="3">
        <v>8680</v>
      </c>
      <c r="F2" s="3">
        <v>61</v>
      </c>
      <c r="G2" s="3">
        <v>60</v>
      </c>
    </row>
    <row r="3" spans="1:14" ht="15.75" x14ac:dyDescent="0.25">
      <c r="A3" s="3" t="s">
        <v>138</v>
      </c>
      <c r="B3" s="6" t="s">
        <v>140</v>
      </c>
      <c r="C3" s="3">
        <v>2</v>
      </c>
      <c r="D3" s="3">
        <v>321</v>
      </c>
      <c r="E3" s="3">
        <v>9630</v>
      </c>
      <c r="F3" s="3">
        <v>29</v>
      </c>
      <c r="G3" s="3">
        <v>54</v>
      </c>
    </row>
    <row r="4" spans="1:14" ht="15.75" x14ac:dyDescent="0.25">
      <c r="A4" s="3" t="s">
        <v>141</v>
      </c>
      <c r="B4" s="6" t="s">
        <v>140</v>
      </c>
      <c r="C4" s="3">
        <v>2</v>
      </c>
      <c r="D4" s="3">
        <v>435</v>
      </c>
      <c r="E4" s="3">
        <v>21750</v>
      </c>
      <c r="F4" s="3">
        <v>8</v>
      </c>
      <c r="G4" s="3">
        <v>23</v>
      </c>
    </row>
    <row r="5" spans="1:14" ht="15.75" x14ac:dyDescent="0.25">
      <c r="A5" s="3" t="s">
        <v>142</v>
      </c>
      <c r="B5" s="6" t="s">
        <v>139</v>
      </c>
      <c r="C5" s="3">
        <v>2</v>
      </c>
      <c r="D5" s="3">
        <v>256</v>
      </c>
      <c r="E5" s="3">
        <v>17920</v>
      </c>
      <c r="F5" s="3">
        <v>36</v>
      </c>
      <c r="G5" s="3">
        <v>28</v>
      </c>
      <c r="I5" s="30" t="s">
        <v>155</v>
      </c>
      <c r="J5" s="30" t="s">
        <v>154</v>
      </c>
    </row>
    <row r="6" spans="1:14" ht="15.75" x14ac:dyDescent="0.25">
      <c r="A6" s="3" t="s">
        <v>142</v>
      </c>
      <c r="B6" s="6" t="s">
        <v>140</v>
      </c>
      <c r="C6" s="3">
        <v>1</v>
      </c>
      <c r="D6" s="3">
        <v>167</v>
      </c>
      <c r="E6" s="3">
        <v>8350</v>
      </c>
      <c r="F6" s="3">
        <v>55</v>
      </c>
      <c r="G6" s="3">
        <v>61</v>
      </c>
      <c r="I6" s="30" t="s">
        <v>152</v>
      </c>
      <c r="J6" t="s">
        <v>145</v>
      </c>
      <c r="K6" t="s">
        <v>148</v>
      </c>
      <c r="L6" t="s">
        <v>149</v>
      </c>
      <c r="M6" t="s">
        <v>147</v>
      </c>
      <c r="N6" t="s">
        <v>153</v>
      </c>
    </row>
    <row r="7" spans="1:14" ht="15.75" x14ac:dyDescent="0.25">
      <c r="A7" s="3" t="s">
        <v>138</v>
      </c>
      <c r="B7" s="6" t="s">
        <v>139</v>
      </c>
      <c r="C7" s="3">
        <v>4</v>
      </c>
      <c r="D7" s="3">
        <v>157</v>
      </c>
      <c r="E7" s="3">
        <v>10990</v>
      </c>
      <c r="F7" s="3">
        <v>57</v>
      </c>
      <c r="G7" s="3">
        <v>43</v>
      </c>
      <c r="I7" s="31" t="s">
        <v>140</v>
      </c>
      <c r="J7" s="32">
        <v>80750</v>
      </c>
      <c r="K7" s="32">
        <v>40750</v>
      </c>
      <c r="L7" s="32">
        <v>44780</v>
      </c>
      <c r="M7" s="32">
        <v>63392</v>
      </c>
      <c r="N7" s="32">
        <v>229672</v>
      </c>
    </row>
    <row r="8" spans="1:14" ht="15.75" x14ac:dyDescent="0.25">
      <c r="A8" s="3" t="s">
        <v>141</v>
      </c>
      <c r="B8" s="6" t="s">
        <v>139</v>
      </c>
      <c r="C8" s="3">
        <v>4</v>
      </c>
      <c r="D8" s="3">
        <v>187</v>
      </c>
      <c r="E8" s="3">
        <v>13090</v>
      </c>
      <c r="F8" s="3">
        <v>54</v>
      </c>
      <c r="G8" s="3">
        <v>38</v>
      </c>
      <c r="I8" s="31" t="s">
        <v>146</v>
      </c>
      <c r="J8" s="32">
        <v>134065</v>
      </c>
      <c r="K8" s="32">
        <v>99422</v>
      </c>
      <c r="L8" s="32">
        <v>49241</v>
      </c>
      <c r="M8" s="32">
        <v>50747</v>
      </c>
      <c r="N8" s="32">
        <v>333475</v>
      </c>
    </row>
    <row r="9" spans="1:14" ht="15.75" x14ac:dyDescent="0.25">
      <c r="A9" s="3" t="s">
        <v>138</v>
      </c>
      <c r="B9" s="6" t="s">
        <v>140</v>
      </c>
      <c r="C9" s="3">
        <v>4</v>
      </c>
      <c r="D9" s="3">
        <v>213</v>
      </c>
      <c r="E9" s="3">
        <v>10650</v>
      </c>
      <c r="F9" s="3">
        <v>47</v>
      </c>
      <c r="G9" s="3">
        <v>48</v>
      </c>
      <c r="I9" s="31" t="s">
        <v>143</v>
      </c>
      <c r="J9" s="32">
        <v>63780</v>
      </c>
      <c r="K9" s="32">
        <v>44910</v>
      </c>
      <c r="L9" s="32">
        <v>84208</v>
      </c>
      <c r="M9" s="32">
        <v>93115</v>
      </c>
      <c r="N9" s="32">
        <v>286013</v>
      </c>
    </row>
    <row r="10" spans="1:14" ht="15.75" x14ac:dyDescent="0.25">
      <c r="A10" s="3" t="s">
        <v>142</v>
      </c>
      <c r="B10" s="6" t="s">
        <v>139</v>
      </c>
      <c r="C10" s="3">
        <v>4</v>
      </c>
      <c r="D10" s="3">
        <v>196</v>
      </c>
      <c r="E10" s="3">
        <v>13720</v>
      </c>
      <c r="F10" s="3">
        <v>52</v>
      </c>
      <c r="G10" s="3">
        <v>37</v>
      </c>
      <c r="I10" s="31" t="s">
        <v>139</v>
      </c>
      <c r="J10" s="32">
        <v>88690</v>
      </c>
      <c r="K10" s="32">
        <v>62440</v>
      </c>
      <c r="L10" s="32">
        <v>58660</v>
      </c>
      <c r="M10" s="32">
        <v>100030</v>
      </c>
      <c r="N10" s="32">
        <v>309820</v>
      </c>
    </row>
    <row r="11" spans="1:14" ht="15.75" x14ac:dyDescent="0.25">
      <c r="A11" s="3" t="s">
        <v>142</v>
      </c>
      <c r="B11" s="6" t="s">
        <v>140</v>
      </c>
      <c r="C11" s="3">
        <v>4</v>
      </c>
      <c r="D11" s="3">
        <v>219</v>
      </c>
      <c r="E11" s="3">
        <v>10950</v>
      </c>
      <c r="F11" s="3">
        <v>42</v>
      </c>
      <c r="G11" s="3">
        <v>44</v>
      </c>
      <c r="I11" s="31" t="s">
        <v>153</v>
      </c>
      <c r="J11" s="32">
        <v>367285</v>
      </c>
      <c r="K11" s="32">
        <v>247522</v>
      </c>
      <c r="L11" s="32">
        <v>236889</v>
      </c>
      <c r="M11" s="32">
        <v>307284</v>
      </c>
      <c r="N11" s="32">
        <v>1158980</v>
      </c>
    </row>
    <row r="12" spans="1:14" ht="15.75" x14ac:dyDescent="0.25">
      <c r="A12" s="3" t="s">
        <v>142</v>
      </c>
      <c r="B12" s="6" t="s">
        <v>139</v>
      </c>
      <c r="C12" s="3">
        <v>3</v>
      </c>
      <c r="D12" s="3">
        <v>234</v>
      </c>
      <c r="E12" s="3">
        <v>16380</v>
      </c>
      <c r="F12" s="3">
        <v>37</v>
      </c>
      <c r="G12" s="3">
        <v>29</v>
      </c>
    </row>
    <row r="13" spans="1:14" ht="15.75" x14ac:dyDescent="0.25">
      <c r="A13" s="3" t="s">
        <v>142</v>
      </c>
      <c r="B13" s="6" t="s">
        <v>139</v>
      </c>
      <c r="C13" s="3">
        <v>1</v>
      </c>
      <c r="D13" s="3">
        <v>206</v>
      </c>
      <c r="E13" s="3">
        <v>14420</v>
      </c>
      <c r="F13" s="3">
        <v>50</v>
      </c>
      <c r="G13" s="3">
        <v>34</v>
      </c>
    </row>
    <row r="14" spans="1:14" ht="15.75" x14ac:dyDescent="0.25">
      <c r="A14" s="3" t="s">
        <v>142</v>
      </c>
      <c r="B14" s="6" t="s">
        <v>140</v>
      </c>
      <c r="C14" s="3">
        <v>2</v>
      </c>
      <c r="D14" s="3">
        <v>211</v>
      </c>
      <c r="E14" s="3">
        <v>10550</v>
      </c>
      <c r="F14" s="3">
        <v>49</v>
      </c>
      <c r="G14" s="3">
        <v>49</v>
      </c>
    </row>
    <row r="15" spans="1:14" ht="15.75" x14ac:dyDescent="0.25">
      <c r="A15" s="3" t="s">
        <v>138</v>
      </c>
      <c r="B15" s="6" t="s">
        <v>140</v>
      </c>
      <c r="C15" s="3">
        <v>3</v>
      </c>
      <c r="D15" s="3">
        <v>189</v>
      </c>
      <c r="E15" s="3">
        <v>9450</v>
      </c>
      <c r="F15" s="3">
        <v>53</v>
      </c>
      <c r="G15" s="3">
        <v>55</v>
      </c>
    </row>
    <row r="16" spans="1:14" ht="15.75" x14ac:dyDescent="0.25">
      <c r="A16" s="3" t="s">
        <v>142</v>
      </c>
      <c r="B16" s="6" t="s">
        <v>143</v>
      </c>
      <c r="C16" s="3">
        <v>1</v>
      </c>
      <c r="D16" s="3">
        <v>221</v>
      </c>
      <c r="E16" s="3">
        <v>6630</v>
      </c>
      <c r="F16" s="3">
        <v>41</v>
      </c>
      <c r="G16" s="3">
        <v>64</v>
      </c>
    </row>
    <row r="17" spans="1:7" ht="15.75" x14ac:dyDescent="0.25">
      <c r="A17" s="3" t="s">
        <v>138</v>
      </c>
      <c r="B17" s="6" t="s">
        <v>143</v>
      </c>
      <c r="C17" s="3">
        <v>4</v>
      </c>
      <c r="D17" s="3">
        <v>432</v>
      </c>
      <c r="E17" s="3">
        <v>32960</v>
      </c>
      <c r="F17" s="3">
        <v>9</v>
      </c>
      <c r="G17" s="3">
        <v>4</v>
      </c>
    </row>
    <row r="18" spans="1:7" ht="15.75" x14ac:dyDescent="0.25">
      <c r="A18" s="3" t="s">
        <v>141</v>
      </c>
      <c r="B18" s="6" t="s">
        <v>139</v>
      </c>
      <c r="C18" s="3">
        <v>3</v>
      </c>
      <c r="D18" s="3">
        <v>323</v>
      </c>
      <c r="E18" s="3">
        <v>22610</v>
      </c>
      <c r="F18" s="3">
        <v>28</v>
      </c>
      <c r="G18" s="3">
        <v>22</v>
      </c>
    </row>
    <row r="19" spans="1:7" ht="15.75" x14ac:dyDescent="0.25">
      <c r="A19" s="3" t="s">
        <v>141</v>
      </c>
      <c r="B19" s="6" t="s">
        <v>140</v>
      </c>
      <c r="C19" s="3">
        <v>3</v>
      </c>
      <c r="D19" s="3">
        <v>324</v>
      </c>
      <c r="E19" s="3">
        <v>16200</v>
      </c>
      <c r="F19" s="3">
        <v>26</v>
      </c>
      <c r="G19" s="3">
        <v>31</v>
      </c>
    </row>
    <row r="20" spans="1:7" ht="15.75" x14ac:dyDescent="0.25">
      <c r="A20" s="3" t="s">
        <v>141</v>
      </c>
      <c r="B20" s="6" t="s">
        <v>143</v>
      </c>
      <c r="C20" s="3">
        <v>4</v>
      </c>
      <c r="D20" s="3">
        <v>342</v>
      </c>
      <c r="E20" s="3">
        <v>10260</v>
      </c>
      <c r="F20" s="3">
        <v>22</v>
      </c>
      <c r="G20" s="3">
        <v>50</v>
      </c>
    </row>
    <row r="21" spans="1:7" ht="15.75" x14ac:dyDescent="0.25">
      <c r="A21" s="3" t="s">
        <v>141</v>
      </c>
      <c r="B21" s="6" t="s">
        <v>140</v>
      </c>
      <c r="C21" s="3">
        <v>4</v>
      </c>
      <c r="D21" s="3">
        <v>287</v>
      </c>
      <c r="E21" s="3">
        <v>14350</v>
      </c>
      <c r="F21" s="3">
        <v>34</v>
      </c>
      <c r="G21" s="3">
        <v>35</v>
      </c>
    </row>
    <row r="22" spans="1:7" ht="15.75" x14ac:dyDescent="0.25">
      <c r="A22" s="3" t="s">
        <v>142</v>
      </c>
      <c r="B22" s="6" t="s">
        <v>140</v>
      </c>
      <c r="C22" s="3">
        <v>3</v>
      </c>
      <c r="D22" s="3">
        <v>218</v>
      </c>
      <c r="E22" s="3">
        <v>10900</v>
      </c>
      <c r="F22" s="3">
        <v>44</v>
      </c>
      <c r="G22" s="3">
        <v>46</v>
      </c>
    </row>
    <row r="23" spans="1:7" ht="15.75" x14ac:dyDescent="0.25">
      <c r="A23" s="3" t="s">
        <v>138</v>
      </c>
      <c r="B23" s="6" t="s">
        <v>140</v>
      </c>
      <c r="C23" s="3">
        <v>1</v>
      </c>
      <c r="D23" s="3">
        <v>301</v>
      </c>
      <c r="E23" s="3">
        <v>15050</v>
      </c>
      <c r="F23" s="3">
        <v>33</v>
      </c>
      <c r="G23" s="3">
        <v>32</v>
      </c>
    </row>
    <row r="24" spans="1:7" ht="15.75" x14ac:dyDescent="0.25">
      <c r="A24" s="3" t="s">
        <v>138</v>
      </c>
      <c r="B24" s="6" t="s">
        <v>143</v>
      </c>
      <c r="C24" s="3">
        <v>1</v>
      </c>
      <c r="D24" s="3">
        <v>306</v>
      </c>
      <c r="E24" s="3">
        <v>29180</v>
      </c>
      <c r="F24" s="3">
        <v>32</v>
      </c>
      <c r="G24" s="3">
        <v>9</v>
      </c>
    </row>
    <row r="25" spans="1:7" ht="15.75" x14ac:dyDescent="0.25">
      <c r="A25" s="3" t="s">
        <v>138</v>
      </c>
      <c r="B25" s="6" t="s">
        <v>139</v>
      </c>
      <c r="C25" s="3">
        <v>2</v>
      </c>
      <c r="D25" s="3">
        <v>345</v>
      </c>
      <c r="E25" s="3">
        <v>24150</v>
      </c>
      <c r="F25" s="3">
        <v>20</v>
      </c>
      <c r="G25" s="3">
        <v>15</v>
      </c>
    </row>
    <row r="26" spans="1:7" ht="15.75" x14ac:dyDescent="0.25">
      <c r="A26" s="3" t="s">
        <v>142</v>
      </c>
      <c r="B26" s="6" t="s">
        <v>143</v>
      </c>
      <c r="C26" s="3">
        <v>2</v>
      </c>
      <c r="D26" s="3">
        <v>312</v>
      </c>
      <c r="E26" s="3">
        <v>9360</v>
      </c>
      <c r="F26" s="3">
        <v>31</v>
      </c>
      <c r="G26" s="3">
        <v>56</v>
      </c>
    </row>
    <row r="27" spans="1:7" ht="15.75" x14ac:dyDescent="0.25">
      <c r="A27" s="3" t="s">
        <v>138</v>
      </c>
      <c r="B27" s="6" t="s">
        <v>139</v>
      </c>
      <c r="C27" s="3">
        <v>1</v>
      </c>
      <c r="D27" s="3">
        <v>212</v>
      </c>
      <c r="E27" s="3">
        <v>14840</v>
      </c>
      <c r="F27" s="3">
        <v>48</v>
      </c>
      <c r="G27" s="3">
        <v>33</v>
      </c>
    </row>
    <row r="28" spans="1:7" ht="15.75" x14ac:dyDescent="0.25">
      <c r="A28" s="3" t="s">
        <v>141</v>
      </c>
      <c r="B28" s="6" t="s">
        <v>139</v>
      </c>
      <c r="C28" s="3">
        <v>1</v>
      </c>
      <c r="D28" s="3">
        <v>345</v>
      </c>
      <c r="E28" s="3">
        <v>24150</v>
      </c>
      <c r="F28" s="3">
        <v>20</v>
      </c>
      <c r="G28" s="3">
        <v>15</v>
      </c>
    </row>
    <row r="29" spans="1:7" ht="15.75" x14ac:dyDescent="0.25">
      <c r="A29" s="3" t="s">
        <v>141</v>
      </c>
      <c r="B29" s="6" t="s">
        <v>143</v>
      </c>
      <c r="C29" s="3">
        <v>3</v>
      </c>
      <c r="D29" s="3">
        <v>365</v>
      </c>
      <c r="E29" s="3">
        <v>10950</v>
      </c>
      <c r="F29" s="3">
        <v>17</v>
      </c>
      <c r="G29" s="3">
        <v>44</v>
      </c>
    </row>
    <row r="30" spans="1:7" ht="15.75" x14ac:dyDescent="0.25">
      <c r="A30" s="3" t="s">
        <v>141</v>
      </c>
      <c r="B30" s="6" t="s">
        <v>139</v>
      </c>
      <c r="C30" s="3">
        <v>2</v>
      </c>
      <c r="D30" s="3">
        <v>412</v>
      </c>
      <c r="E30" s="3">
        <v>28840</v>
      </c>
      <c r="F30" s="3">
        <v>14</v>
      </c>
      <c r="G30" s="3">
        <v>10</v>
      </c>
    </row>
    <row r="31" spans="1:7" ht="15.75" x14ac:dyDescent="0.25">
      <c r="A31" s="3" t="s">
        <v>142</v>
      </c>
      <c r="B31" s="6" t="s">
        <v>143</v>
      </c>
      <c r="C31" s="3">
        <v>4</v>
      </c>
      <c r="D31" s="3">
        <v>421</v>
      </c>
      <c r="E31" s="3">
        <v>12630</v>
      </c>
      <c r="F31" s="3">
        <v>12</v>
      </c>
      <c r="G31" s="3">
        <v>40</v>
      </c>
    </row>
    <row r="32" spans="1:7" ht="15.75" x14ac:dyDescent="0.25">
      <c r="A32" s="3" t="s">
        <v>141</v>
      </c>
      <c r="B32" s="6" t="s">
        <v>140</v>
      </c>
      <c r="C32" s="3">
        <v>1</v>
      </c>
      <c r="D32" s="3">
        <v>569</v>
      </c>
      <c r="E32" s="3">
        <v>28450</v>
      </c>
      <c r="F32" s="3">
        <v>4</v>
      </c>
      <c r="G32" s="3">
        <v>11</v>
      </c>
    </row>
    <row r="33" spans="1:7" ht="15.75" x14ac:dyDescent="0.25">
      <c r="A33" s="3" t="s">
        <v>141</v>
      </c>
      <c r="B33" s="6" t="s">
        <v>143</v>
      </c>
      <c r="C33" s="3">
        <v>2</v>
      </c>
      <c r="D33" s="3">
        <v>654</v>
      </c>
      <c r="E33" s="3">
        <v>19620</v>
      </c>
      <c r="F33" s="3">
        <v>2</v>
      </c>
      <c r="G33" s="3">
        <v>26</v>
      </c>
    </row>
    <row r="34" spans="1:7" ht="15.75" x14ac:dyDescent="0.25">
      <c r="A34" s="3" t="s">
        <v>141</v>
      </c>
      <c r="B34" s="6" t="s">
        <v>143</v>
      </c>
      <c r="C34" s="3">
        <v>1</v>
      </c>
      <c r="D34" s="3">
        <v>765</v>
      </c>
      <c r="E34" s="3">
        <v>22950</v>
      </c>
      <c r="F34" s="3">
        <v>1</v>
      </c>
      <c r="G34" s="3">
        <v>20</v>
      </c>
    </row>
    <row r="35" spans="1:7" x14ac:dyDescent="0.15">
      <c r="A35" s="6" t="s">
        <v>144</v>
      </c>
      <c r="B35" s="6" t="s">
        <v>139</v>
      </c>
      <c r="C35" s="3">
        <v>3</v>
      </c>
      <c r="D35" s="3">
        <v>378</v>
      </c>
      <c r="E35" s="3">
        <v>26460</v>
      </c>
      <c r="F35" s="3">
        <v>16</v>
      </c>
      <c r="G35" s="3">
        <v>14</v>
      </c>
    </row>
    <row r="36" spans="1:7" ht="15.75" x14ac:dyDescent="0.25">
      <c r="A36" s="3" t="s">
        <v>138</v>
      </c>
      <c r="B36" s="6" t="s">
        <v>143</v>
      </c>
      <c r="C36" s="3">
        <v>3</v>
      </c>
      <c r="D36" s="3">
        <v>219</v>
      </c>
      <c r="E36" s="3">
        <v>12990</v>
      </c>
      <c r="F36" s="3">
        <v>42</v>
      </c>
      <c r="G36" s="3">
        <v>39</v>
      </c>
    </row>
    <row r="37" spans="1:7" x14ac:dyDescent="0.15">
      <c r="A37" s="6" t="s">
        <v>144</v>
      </c>
      <c r="B37" s="6" t="s">
        <v>139</v>
      </c>
      <c r="C37" s="3">
        <v>1</v>
      </c>
      <c r="D37" s="3">
        <v>324</v>
      </c>
      <c r="E37" s="3">
        <v>22680</v>
      </c>
      <c r="F37" s="3">
        <v>26</v>
      </c>
      <c r="G37" s="3">
        <v>21</v>
      </c>
    </row>
    <row r="38" spans="1:7" x14ac:dyDescent="0.15">
      <c r="A38" s="6" t="s">
        <v>144</v>
      </c>
      <c r="B38" s="6" t="s">
        <v>139</v>
      </c>
      <c r="C38" s="3">
        <v>2</v>
      </c>
      <c r="D38" s="3">
        <v>329</v>
      </c>
      <c r="E38" s="3">
        <v>23030</v>
      </c>
      <c r="F38" s="3">
        <v>25</v>
      </c>
      <c r="G38" s="3">
        <v>19</v>
      </c>
    </row>
    <row r="39" spans="1:7" x14ac:dyDescent="0.15">
      <c r="A39" s="6" t="s">
        <v>144</v>
      </c>
      <c r="B39" s="6" t="s">
        <v>139</v>
      </c>
      <c r="C39" s="3">
        <v>4</v>
      </c>
      <c r="D39" s="3">
        <v>398</v>
      </c>
      <c r="E39" s="3">
        <v>27860</v>
      </c>
      <c r="F39" s="3">
        <v>15</v>
      </c>
      <c r="G39" s="3">
        <v>12</v>
      </c>
    </row>
    <row r="40" spans="1:7" x14ac:dyDescent="0.15">
      <c r="A40" s="6" t="s">
        <v>145</v>
      </c>
      <c r="B40" s="6" t="s">
        <v>146</v>
      </c>
      <c r="C40" s="3">
        <v>1</v>
      </c>
      <c r="D40" s="3">
        <v>436</v>
      </c>
      <c r="E40" s="3">
        <v>35648</v>
      </c>
      <c r="F40" s="3">
        <v>7</v>
      </c>
      <c r="G40" s="3">
        <v>3</v>
      </c>
    </row>
    <row r="41" spans="1:7" x14ac:dyDescent="0.15">
      <c r="A41" s="6" t="s">
        <v>147</v>
      </c>
      <c r="B41" s="3" t="s">
        <v>146</v>
      </c>
      <c r="C41" s="3">
        <v>3</v>
      </c>
      <c r="D41" s="3">
        <v>232</v>
      </c>
      <c r="E41" s="3">
        <v>11298</v>
      </c>
      <c r="F41" s="3">
        <v>39</v>
      </c>
      <c r="G41" s="3">
        <v>42</v>
      </c>
    </row>
    <row r="42" spans="1:7" x14ac:dyDescent="0.15">
      <c r="A42" s="6" t="s">
        <v>145</v>
      </c>
      <c r="B42" s="6" t="s">
        <v>146</v>
      </c>
      <c r="C42" s="3">
        <v>3</v>
      </c>
      <c r="D42" s="3">
        <v>231</v>
      </c>
      <c r="E42" s="3">
        <v>23217</v>
      </c>
      <c r="F42" s="3">
        <v>40</v>
      </c>
      <c r="G42" s="3">
        <v>18</v>
      </c>
    </row>
    <row r="43" spans="1:7" x14ac:dyDescent="0.15">
      <c r="A43" s="6" t="s">
        <v>147</v>
      </c>
      <c r="B43" s="3" t="s">
        <v>146</v>
      </c>
      <c r="C43" s="3">
        <v>1</v>
      </c>
      <c r="D43" s="3">
        <v>321</v>
      </c>
      <c r="E43" s="3">
        <v>18976</v>
      </c>
      <c r="F43" s="3">
        <v>29</v>
      </c>
      <c r="G43" s="3">
        <v>27</v>
      </c>
    </row>
    <row r="44" spans="1:7" x14ac:dyDescent="0.15">
      <c r="A44" s="6" t="s">
        <v>148</v>
      </c>
      <c r="B44" s="3" t="s">
        <v>146</v>
      </c>
      <c r="C44" s="3">
        <v>1</v>
      </c>
      <c r="D44" s="3">
        <v>123</v>
      </c>
      <c r="E44" s="3">
        <v>7685</v>
      </c>
      <c r="F44" s="3">
        <v>62</v>
      </c>
      <c r="G44" s="3">
        <v>63</v>
      </c>
    </row>
    <row r="45" spans="1:7" x14ac:dyDescent="0.15">
      <c r="A45" s="6" t="s">
        <v>148</v>
      </c>
      <c r="B45" s="3" t="s">
        <v>146</v>
      </c>
      <c r="C45" s="3">
        <v>2</v>
      </c>
      <c r="D45" s="3">
        <v>342</v>
      </c>
      <c r="E45" s="3">
        <v>23718</v>
      </c>
      <c r="F45" s="3">
        <v>22</v>
      </c>
      <c r="G45" s="3">
        <v>17</v>
      </c>
    </row>
    <row r="46" spans="1:7" x14ac:dyDescent="0.15">
      <c r="A46" s="16" t="s">
        <v>147</v>
      </c>
      <c r="B46" s="17" t="s">
        <v>140</v>
      </c>
      <c r="C46" s="18">
        <v>1</v>
      </c>
      <c r="D46" s="18">
        <v>234</v>
      </c>
      <c r="E46" s="18">
        <v>14321</v>
      </c>
      <c r="F46" s="3">
        <v>37</v>
      </c>
      <c r="G46" s="3">
        <v>36</v>
      </c>
    </row>
    <row r="47" spans="1:7" x14ac:dyDescent="0.15">
      <c r="A47" s="6" t="s">
        <v>148</v>
      </c>
      <c r="B47" s="3" t="s">
        <v>146</v>
      </c>
      <c r="C47" s="3">
        <v>4</v>
      </c>
      <c r="D47" s="3">
        <v>341</v>
      </c>
      <c r="E47" s="3">
        <v>26785</v>
      </c>
      <c r="F47" s="3">
        <v>24</v>
      </c>
      <c r="G47" s="3">
        <v>13</v>
      </c>
    </row>
    <row r="48" spans="1:7" x14ac:dyDescent="0.15">
      <c r="A48" s="16" t="s">
        <v>147</v>
      </c>
      <c r="B48" s="17" t="s">
        <v>143</v>
      </c>
      <c r="C48" s="18">
        <v>4</v>
      </c>
      <c r="D48" s="18">
        <v>421</v>
      </c>
      <c r="E48" s="18">
        <v>32534</v>
      </c>
      <c r="F48" s="3">
        <v>12</v>
      </c>
      <c r="G48" s="3">
        <v>5</v>
      </c>
    </row>
    <row r="49" spans="1:7" x14ac:dyDescent="0.15">
      <c r="A49" s="6" t="s">
        <v>149</v>
      </c>
      <c r="B49" s="3" t="s">
        <v>146</v>
      </c>
      <c r="C49" s="3">
        <v>1</v>
      </c>
      <c r="D49" s="3">
        <v>166</v>
      </c>
      <c r="E49" s="3">
        <v>8765</v>
      </c>
      <c r="F49" s="3">
        <v>56</v>
      </c>
      <c r="G49" s="3">
        <v>59</v>
      </c>
    </row>
    <row r="50" spans="1:7" x14ac:dyDescent="0.15">
      <c r="A50" s="16" t="s">
        <v>147</v>
      </c>
      <c r="B50" s="17" t="s">
        <v>140</v>
      </c>
      <c r="C50" s="18">
        <v>3</v>
      </c>
      <c r="D50" s="18">
        <v>129</v>
      </c>
      <c r="E50" s="18">
        <v>9637</v>
      </c>
      <c r="F50" s="3">
        <v>60</v>
      </c>
      <c r="G50" s="3">
        <v>53</v>
      </c>
    </row>
    <row r="51" spans="1:7" x14ac:dyDescent="0.15">
      <c r="A51" s="6" t="s">
        <v>149</v>
      </c>
      <c r="B51" s="3" t="s">
        <v>146</v>
      </c>
      <c r="C51" s="3">
        <v>3</v>
      </c>
      <c r="D51" s="3">
        <v>216</v>
      </c>
      <c r="E51" s="3">
        <v>10238</v>
      </c>
      <c r="F51" s="3">
        <v>46</v>
      </c>
      <c r="G51" s="3">
        <v>51</v>
      </c>
    </row>
    <row r="52" spans="1:7" x14ac:dyDescent="0.15">
      <c r="A52" s="16" t="s">
        <v>147</v>
      </c>
      <c r="B52" s="17" t="s">
        <v>143</v>
      </c>
      <c r="C52" s="18">
        <v>2</v>
      </c>
      <c r="D52" s="18">
        <v>217</v>
      </c>
      <c r="E52" s="18">
        <v>20453</v>
      </c>
      <c r="F52" s="3">
        <v>45</v>
      </c>
      <c r="G52" s="3">
        <v>25</v>
      </c>
    </row>
    <row r="53" spans="1:7" x14ac:dyDescent="0.15">
      <c r="A53" s="6" t="s">
        <v>149</v>
      </c>
      <c r="B53" s="3" t="s">
        <v>146</v>
      </c>
      <c r="C53" s="3">
        <v>4</v>
      </c>
      <c r="D53" s="3">
        <v>432</v>
      </c>
      <c r="E53" s="3">
        <v>20563</v>
      </c>
      <c r="F53" s="3">
        <v>9</v>
      </c>
      <c r="G53" s="3">
        <v>24</v>
      </c>
    </row>
    <row r="54" spans="1:7" x14ac:dyDescent="0.15">
      <c r="A54" s="6" t="s">
        <v>145</v>
      </c>
      <c r="B54" s="6" t="s">
        <v>146</v>
      </c>
      <c r="C54" s="3">
        <v>4</v>
      </c>
      <c r="D54" s="3">
        <v>365</v>
      </c>
      <c r="E54" s="3">
        <v>29879</v>
      </c>
      <c r="F54" s="3">
        <v>17</v>
      </c>
      <c r="G54" s="3">
        <v>7</v>
      </c>
    </row>
    <row r="55" spans="1:7" x14ac:dyDescent="0.15">
      <c r="A55" s="6" t="s">
        <v>147</v>
      </c>
      <c r="B55" s="3" t="s">
        <v>146</v>
      </c>
      <c r="C55" s="3">
        <v>2</v>
      </c>
      <c r="D55" s="3">
        <v>112</v>
      </c>
      <c r="E55" s="3">
        <v>8798</v>
      </c>
      <c r="F55" s="3">
        <v>63</v>
      </c>
      <c r="G55" s="3">
        <v>58</v>
      </c>
    </row>
    <row r="56" spans="1:7" x14ac:dyDescent="0.15">
      <c r="A56" s="6" t="s">
        <v>147</v>
      </c>
      <c r="B56" s="3" t="s">
        <v>146</v>
      </c>
      <c r="C56" s="3">
        <v>4</v>
      </c>
      <c r="D56" s="3">
        <v>261</v>
      </c>
      <c r="E56" s="3">
        <v>11675</v>
      </c>
      <c r="F56" s="3">
        <v>35</v>
      </c>
      <c r="G56" s="3">
        <v>41</v>
      </c>
    </row>
    <row r="57" spans="1:7" x14ac:dyDescent="0.15">
      <c r="A57" s="6" t="s">
        <v>145</v>
      </c>
      <c r="B57" s="6" t="s">
        <v>146</v>
      </c>
      <c r="C57" s="3">
        <v>2</v>
      </c>
      <c r="D57" s="3">
        <v>654</v>
      </c>
      <c r="E57" s="3">
        <v>45321</v>
      </c>
      <c r="F57" s="3">
        <v>2</v>
      </c>
      <c r="G57" s="3">
        <v>1</v>
      </c>
    </row>
    <row r="58" spans="1:7" x14ac:dyDescent="0.15">
      <c r="A58" s="16" t="s">
        <v>147</v>
      </c>
      <c r="B58" s="17" t="s">
        <v>140</v>
      </c>
      <c r="C58" s="18">
        <v>2</v>
      </c>
      <c r="D58" s="18">
        <v>432</v>
      </c>
      <c r="E58" s="18">
        <v>31256</v>
      </c>
      <c r="F58" s="3">
        <v>9</v>
      </c>
      <c r="G58" s="3">
        <v>6</v>
      </c>
    </row>
    <row r="59" spans="1:7" ht="15.75" x14ac:dyDescent="0.25">
      <c r="A59" s="3" t="s">
        <v>142</v>
      </c>
      <c r="B59" s="6" t="s">
        <v>143</v>
      </c>
      <c r="C59" s="3">
        <v>3</v>
      </c>
      <c r="D59" s="3">
        <v>543</v>
      </c>
      <c r="E59" s="3">
        <v>16290</v>
      </c>
      <c r="F59" s="3">
        <v>5</v>
      </c>
      <c r="G59" s="3">
        <v>30</v>
      </c>
    </row>
    <row r="60" spans="1:7" x14ac:dyDescent="0.15">
      <c r="A60" s="16" t="s">
        <v>147</v>
      </c>
      <c r="B60" s="17" t="s">
        <v>140</v>
      </c>
      <c r="C60" s="18">
        <v>4</v>
      </c>
      <c r="D60" s="18">
        <v>112</v>
      </c>
      <c r="E60" s="18">
        <v>8178</v>
      </c>
      <c r="F60" s="3">
        <v>63</v>
      </c>
      <c r="G60" s="3">
        <v>62</v>
      </c>
    </row>
    <row r="61" spans="1:7" x14ac:dyDescent="0.15">
      <c r="A61" s="16" t="s">
        <v>147</v>
      </c>
      <c r="B61" s="17" t="s">
        <v>143</v>
      </c>
      <c r="C61" s="18">
        <v>1</v>
      </c>
      <c r="D61" s="18">
        <v>156</v>
      </c>
      <c r="E61" s="18">
        <v>10786</v>
      </c>
      <c r="F61" s="3">
        <v>58</v>
      </c>
      <c r="G61" s="3">
        <v>47</v>
      </c>
    </row>
    <row r="62" spans="1:7" x14ac:dyDescent="0.15">
      <c r="A62" s="6" t="s">
        <v>149</v>
      </c>
      <c r="B62" s="3" t="s">
        <v>146</v>
      </c>
      <c r="C62" s="3">
        <v>2</v>
      </c>
      <c r="D62" s="3">
        <v>199</v>
      </c>
      <c r="E62" s="3">
        <v>9675</v>
      </c>
      <c r="F62" s="3">
        <v>51</v>
      </c>
      <c r="G62" s="3">
        <v>52</v>
      </c>
    </row>
    <row r="63" spans="1:7" x14ac:dyDescent="0.15">
      <c r="A63" s="16" t="s">
        <v>147</v>
      </c>
      <c r="B63" s="17" t="s">
        <v>143</v>
      </c>
      <c r="C63" s="18">
        <v>3</v>
      </c>
      <c r="D63" s="18">
        <v>356</v>
      </c>
      <c r="E63" s="18">
        <v>29342</v>
      </c>
      <c r="F63" s="3">
        <v>19</v>
      </c>
      <c r="G63" s="3">
        <v>8</v>
      </c>
    </row>
    <row r="64" spans="1:7" x14ac:dyDescent="0.15">
      <c r="A64" s="6" t="s">
        <v>148</v>
      </c>
      <c r="B64" s="3" t="s">
        <v>146</v>
      </c>
      <c r="C64" s="3">
        <v>3</v>
      </c>
      <c r="D64" s="3">
        <v>542</v>
      </c>
      <c r="E64" s="3">
        <v>41234</v>
      </c>
      <c r="F64" s="3">
        <v>6</v>
      </c>
      <c r="G64" s="3">
        <v>2</v>
      </c>
    </row>
    <row r="65" spans="1:7" x14ac:dyDescent="0.15">
      <c r="A65" s="16" t="s">
        <v>149</v>
      </c>
      <c r="B65" s="17" t="s">
        <v>143</v>
      </c>
      <c r="C65" s="18">
        <v>2</v>
      </c>
      <c r="D65" s="18">
        <v>148</v>
      </c>
      <c r="E65" s="18">
        <v>9078</v>
      </c>
      <c r="F65" s="3">
        <v>59</v>
      </c>
      <c r="G65" s="3">
        <v>57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成绩统计表</vt:lpstr>
      <vt:lpstr>课程学分对照表</vt:lpstr>
      <vt:lpstr>图书销售统计表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wuyou</cp:lastModifiedBy>
  <dcterms:created xsi:type="dcterms:W3CDTF">2005-08-24T03:08:06Z</dcterms:created>
  <dcterms:modified xsi:type="dcterms:W3CDTF">2022-04-07T08:22:18Z</dcterms:modified>
</cp:coreProperties>
</file>