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05" tabRatio="600" firstSheet="0" activeTab="0" autoFilterDateGrouping="1"/>
  </bookViews>
  <sheets>
    <sheet xmlns:r="http://schemas.openxmlformats.org/officeDocument/2006/relationships" name="成绩统计表" sheetId="1" state="visible" r:id="rId1"/>
    <sheet xmlns:r="http://schemas.openxmlformats.org/officeDocument/2006/relationships" name="课程学分对照表" sheetId="2" state="visible" r:id="rId2"/>
    <sheet xmlns:r="http://schemas.openxmlformats.org/officeDocument/2006/relationships" name="图书销售统计表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0.0"/>
  </numFmts>
  <fonts count="7">
    <font>
      <name val="宋体"/>
      <charset val="134"/>
      <sz val="12"/>
    </font>
    <font>
      <name val="宋体"/>
      <charset val="134"/>
      <family val="3"/>
      <sz val="9"/>
    </font>
    <font>
      <name val="Times New Roman"/>
      <family val="1"/>
      <sz val="12"/>
    </font>
    <font>
      <name val="宋体"/>
      <charset val="134"/>
      <family val="3"/>
      <sz val="12"/>
    </font>
    <font>
      <name val="宋体"/>
      <charset val="134"/>
      <family val="3"/>
      <color rgb="FFFF0000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6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2" pivotButton="0" quotePrefix="0" xfId="0"/>
    <xf numFmtId="165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dxfs count="2">
    <dxf>
      <fill>
        <patternFill>
          <fgColor indexed="64"/>
          <bgColor indexed="65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选课人数与成绩统计图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'Sheet1'!$G$14:$G$17</f>
            </numRef>
          </cat>
          <val>
            <numRef>
              <f>'Sheet1'!$H$14:$H$17</f>
            </numRef>
          </val>
        </ser>
        <ser>
          <idx val="1"/>
          <order val="1"/>
          <tx>
            <strRef>
              <f>'Sheet1'!I13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'Sheet1'!$G$14:$G$17</f>
            </numRef>
          </cat>
          <val>
            <numRef>
              <f>'Sheet1'!$I$14:$I$17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统计表" displayName="统计表" ref="G13:I17" headerRowCount="1">
  <autoFilter ref="G13:I17"/>
  <tableColumns count="3">
    <tableColumn id="7" name="课程号"/>
    <tableColumn id="8" name="选课人数"/>
    <tableColumn id="9" name="平均成绩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tabSelected="1" workbookViewId="0">
      <selection activeCell="H7" sqref="H7"/>
    </sheetView>
  </sheetViews>
  <sheetFormatPr baseColWidth="8" defaultRowHeight="14.25"/>
  <cols>
    <col width="8.375" customWidth="1" style="15" min="2" max="2"/>
    <col width="6.875" customWidth="1" style="15" min="3" max="3"/>
    <col width="7.125" customWidth="1" style="15" min="4" max="4"/>
    <col width="11.125" customWidth="1" style="15" min="7" max="7"/>
    <col width="14.625" customWidth="1" style="15" min="8" max="10"/>
    <col width="10.625" customWidth="1" style="15" min="11" max="11"/>
  </cols>
  <sheetData>
    <row r="1">
      <c r="A1" s="24" t="inlineStr">
        <is>
          <t>学生课程成绩表</t>
        </is>
      </c>
    </row>
    <row r="2">
      <c r="A2" t="inlineStr">
        <is>
          <t>学号</t>
        </is>
      </c>
      <c r="B2" s="14" t="inlineStr">
        <is>
          <t>课程号</t>
        </is>
      </c>
      <c r="C2" s="14" t="inlineStr">
        <is>
          <t>学分</t>
        </is>
      </c>
      <c r="D2" t="inlineStr">
        <is>
          <t>成绩</t>
        </is>
      </c>
      <c r="E2" s="14" t="inlineStr">
        <is>
          <t>备注</t>
        </is>
      </c>
    </row>
    <row r="3">
      <c r="A3" s="14" t="inlineStr">
        <is>
          <t>S2001</t>
        </is>
      </c>
      <c r="B3" s="14" t="inlineStr">
        <is>
          <t>C011</t>
        </is>
      </c>
      <c r="C3" s="14">
        <f>VLOOKUP(B3,课程学分对照表!$A$2:$B$5,2,FALSE)</f>
        <v/>
      </c>
      <c r="D3" t="n">
        <v>83</v>
      </c>
      <c r="E3">
        <f>IF(D3&gt;=80,"优秀",IF(D3&gt;=60,"合格","不合格"))</f>
        <v/>
      </c>
      <c r="G3" s="23" t="inlineStr">
        <is>
          <t>备注填写要求</t>
        </is>
      </c>
      <c r="H3" s="25" t="n"/>
      <c r="I3" s="18" t="n"/>
    </row>
    <row r="4">
      <c r="A4" s="14" t="inlineStr">
        <is>
          <t>S2001</t>
        </is>
      </c>
      <c r="B4" s="14" t="inlineStr">
        <is>
          <t>C020</t>
        </is>
      </c>
      <c r="C4" s="14">
        <f>VLOOKUP(B4,课程学分对照表!$A$2:$B$5,2,FALSE)</f>
        <v/>
      </c>
      <c r="D4" t="n">
        <v>93</v>
      </c>
      <c r="E4">
        <f>IF(D4&gt;=80,"优秀",IF(D4&gt;=60,"合格","不合格"))</f>
        <v/>
      </c>
      <c r="G4" s="21" t="inlineStr">
        <is>
          <t>成绩</t>
        </is>
      </c>
      <c r="H4" s="21" t="inlineStr">
        <is>
          <t>备注</t>
        </is>
      </c>
    </row>
    <row r="5">
      <c r="A5" s="14" t="inlineStr">
        <is>
          <t>S2001</t>
        </is>
      </c>
      <c r="B5" s="14" t="inlineStr">
        <is>
          <t>C026</t>
        </is>
      </c>
      <c r="C5" s="14">
        <f>VLOOKUP(B5,课程学分对照表!$A$2:$B$5,2,FALSE)</f>
        <v/>
      </c>
      <c r="D5" s="14" t="n">
        <v>91</v>
      </c>
      <c r="E5">
        <f>IF(D5&gt;=80,"优秀",IF(D5&gt;=60,"合格","不合格"))</f>
        <v/>
      </c>
      <c r="G5" s="21" t="inlineStr">
        <is>
          <t>&gt;=80</t>
        </is>
      </c>
      <c r="H5" s="21" t="inlineStr">
        <is>
          <t>优良</t>
        </is>
      </c>
    </row>
    <row r="6">
      <c r="A6" s="14" t="inlineStr">
        <is>
          <t>S2002</t>
        </is>
      </c>
      <c r="B6" s="14" t="inlineStr">
        <is>
          <t>C011</t>
        </is>
      </c>
      <c r="C6" s="14">
        <f>VLOOKUP(B6,课程学分对照表!$A$2:$B$5,2,FALSE)</f>
        <v/>
      </c>
      <c r="D6" t="n">
        <v>76</v>
      </c>
      <c r="E6">
        <f>IF(D6&gt;=80,"优秀",IF(D6&gt;=60,"合格","不合格"))</f>
        <v/>
      </c>
      <c r="G6" s="21" t="inlineStr">
        <is>
          <t>&gt;=60且&lt;=79</t>
        </is>
      </c>
      <c r="H6" s="21" t="inlineStr">
        <is>
          <t>中等</t>
        </is>
      </c>
    </row>
    <row r="7">
      <c r="A7" s="14" t="inlineStr">
        <is>
          <t>S2002</t>
        </is>
      </c>
      <c r="B7" s="14" t="inlineStr">
        <is>
          <t>C020</t>
        </is>
      </c>
      <c r="C7" s="14">
        <f>VLOOKUP(B7,课程学分对照表!$A$2:$B$5,2,FALSE)</f>
        <v/>
      </c>
      <c r="D7" t="n">
        <v>85</v>
      </c>
      <c r="E7">
        <f>IF(D7&gt;=80,"优秀",IF(D7&gt;=60,"合格","不合格"))</f>
        <v/>
      </c>
      <c r="G7" s="21" t="inlineStr">
        <is>
          <t>&lt;60</t>
        </is>
      </c>
      <c r="H7" s="21" t="n"/>
      <c r="I7" s="18" t="n"/>
    </row>
    <row r="8">
      <c r="A8" s="14" t="inlineStr">
        <is>
          <t>S2002</t>
        </is>
      </c>
      <c r="B8" s="14" t="inlineStr">
        <is>
          <t>C026</t>
        </is>
      </c>
      <c r="C8" s="14">
        <f>VLOOKUP(B8,课程学分对照表!$A$2:$B$5,2,FALSE)</f>
        <v/>
      </c>
      <c r="D8" s="14" t="n">
        <v>85</v>
      </c>
      <c r="E8">
        <f>IF(D8&gt;=80,"优秀",IF(D8&gt;=60,"合格","不合格"))</f>
        <v/>
      </c>
      <c r="G8" s="18" t="n"/>
      <c r="H8" s="18" t="n"/>
      <c r="I8" s="18" t="n"/>
    </row>
    <row r="9">
      <c r="A9" s="14" t="inlineStr">
        <is>
          <t>S2003</t>
        </is>
      </c>
      <c r="B9" s="14" t="inlineStr">
        <is>
          <t>C011</t>
        </is>
      </c>
      <c r="C9" s="14">
        <f>VLOOKUP(B9,课程学分对照表!$A$2:$B$5,2,FALSE)</f>
        <v/>
      </c>
      <c r="D9" t="n">
        <v>78</v>
      </c>
      <c r="E9">
        <f>IF(D9&gt;=80,"优秀",IF(D9&gt;=60,"合格","不合格"))</f>
        <v/>
      </c>
    </row>
    <row r="10">
      <c r="A10" s="14" t="inlineStr">
        <is>
          <t>S2003</t>
        </is>
      </c>
      <c r="B10" s="14" t="inlineStr">
        <is>
          <t>C020</t>
        </is>
      </c>
      <c r="C10" s="14">
        <f>VLOOKUP(B10,课程学分对照表!$A$2:$B$5,2,FALSE)</f>
        <v/>
      </c>
      <c r="D10" t="n">
        <v>87</v>
      </c>
      <c r="E10">
        <f>IF(D10&gt;=80,"优秀",IF(D10&gt;=60,"合格","不合格"))</f>
        <v/>
      </c>
    </row>
    <row r="11">
      <c r="A11" s="14" t="inlineStr">
        <is>
          <t>S2003</t>
        </is>
      </c>
      <c r="B11" s="14" t="inlineStr">
        <is>
          <t>C026</t>
        </is>
      </c>
      <c r="C11" s="14">
        <f>VLOOKUP(B11,课程学分对照表!$A$2:$B$5,2,FALSE)</f>
        <v/>
      </c>
      <c r="D11" t="n">
        <v>82</v>
      </c>
      <c r="E11">
        <f>IF(D11&gt;=80,"优秀",IF(D11&gt;=60,"合格","不合格"))</f>
        <v/>
      </c>
    </row>
    <row r="12">
      <c r="A12" s="14" t="inlineStr">
        <is>
          <t>S2003</t>
        </is>
      </c>
      <c r="B12" s="14" t="inlineStr">
        <is>
          <t>C015</t>
        </is>
      </c>
      <c r="C12" s="14">
        <f>VLOOKUP(B12,课程学分对照表!$A$2:$B$5,2,FALSE)</f>
        <v/>
      </c>
      <c r="D12" t="n">
        <v>85</v>
      </c>
      <c r="E12">
        <f>IF(D12&gt;=80,"优秀",IF(D12&gt;=60,"合格","不合格"))</f>
        <v/>
      </c>
      <c r="G12" s="23" t="inlineStr">
        <is>
          <t>统计表</t>
        </is>
      </c>
      <c r="H12" s="25" t="n"/>
      <c r="I12" s="25" t="n"/>
      <c r="J12" s="10" t="n"/>
      <c r="K12" s="10" t="n"/>
    </row>
    <row r="13">
      <c r="A13" s="14" t="inlineStr">
        <is>
          <t>S2004</t>
        </is>
      </c>
      <c r="B13" s="14" t="inlineStr">
        <is>
          <t>C020</t>
        </is>
      </c>
      <c r="C13" s="14">
        <f>VLOOKUP(B13,课程学分对照表!$A$2:$B$5,2,FALSE)</f>
        <v/>
      </c>
      <c r="D13" t="n">
        <v>76</v>
      </c>
      <c r="E13">
        <f>IF(D13&gt;=80,"优秀",IF(D13&gt;=60,"合格","不合格"))</f>
        <v/>
      </c>
      <c r="G13" s="21" t="inlineStr">
        <is>
          <t>课程号</t>
        </is>
      </c>
      <c r="H13" s="21" t="inlineStr">
        <is>
          <t>选课人数</t>
        </is>
      </c>
      <c r="I13" s="21" t="inlineStr">
        <is>
          <t>平均成绩</t>
        </is>
      </c>
      <c r="J13" s="14" t="n"/>
      <c r="K13" s="14" t="n"/>
    </row>
    <row r="14">
      <c r="A14" s="14" t="inlineStr">
        <is>
          <t>S2004</t>
        </is>
      </c>
      <c r="B14" s="14" t="inlineStr">
        <is>
          <t>C026</t>
        </is>
      </c>
      <c r="C14" s="14">
        <f>VLOOKUP(B14,课程学分对照表!$A$2:$B$5,2,FALSE)</f>
        <v/>
      </c>
      <c r="D14" t="n">
        <v>85</v>
      </c>
      <c r="E14">
        <f>IF(D14&gt;=80,"优秀",IF(D14&gt;=60,"合格","不合格"))</f>
        <v/>
      </c>
      <c r="G14" s="16" t="inlineStr">
        <is>
          <t>C011</t>
        </is>
      </c>
      <c r="H14" s="22">
        <f>COUNTIF($B$3:$B$110,G14)</f>
        <v/>
      </c>
      <c r="I14" s="26">
        <f>AVERAGEIF($B$3:$B$110,G14,$D$3:$D$110)</f>
        <v/>
      </c>
    </row>
    <row r="15">
      <c r="A15" s="14" t="inlineStr">
        <is>
          <t>S2005</t>
        </is>
      </c>
      <c r="B15" s="14" t="inlineStr">
        <is>
          <t>C011</t>
        </is>
      </c>
      <c r="C15" s="14">
        <f>VLOOKUP(B15,课程学分对照表!$A$2:$B$5,2,FALSE)</f>
        <v/>
      </c>
      <c r="D15" t="n">
        <v>92</v>
      </c>
      <c r="E15">
        <f>IF(D15&gt;=80,"优秀",IF(D15&gt;=60,"合格","不合格"))</f>
        <v/>
      </c>
      <c r="G15" s="16" t="inlineStr">
        <is>
          <t>C015</t>
        </is>
      </c>
      <c r="H15" s="22">
        <f>COUNTIF($B$3:$B$110,G15)</f>
        <v/>
      </c>
      <c r="I15" s="26">
        <f>AVERAGEIF($B$3:$B$110,G15,$D$3:$D$110)</f>
        <v/>
      </c>
    </row>
    <row r="16">
      <c r="A16" s="14" t="inlineStr">
        <is>
          <t>S2005</t>
        </is>
      </c>
      <c r="B16" s="14" t="inlineStr">
        <is>
          <t>C020</t>
        </is>
      </c>
      <c r="C16" s="14">
        <f>VLOOKUP(B16,课程学分对照表!$A$2:$B$5,2,FALSE)</f>
        <v/>
      </c>
      <c r="D16" t="n">
        <v>65</v>
      </c>
      <c r="E16">
        <f>IF(D16&gt;=80,"优秀",IF(D16&gt;=60,"合格","不合格"))</f>
        <v/>
      </c>
      <c r="G16" s="17" t="inlineStr">
        <is>
          <t>C020</t>
        </is>
      </c>
      <c r="H16" s="22">
        <f>COUNTIF($B$3:$B$110,G16)</f>
        <v/>
      </c>
      <c r="I16" s="26">
        <f>AVERAGEIF($B$3:$B$110,G16,$D$3:$D$110)</f>
        <v/>
      </c>
    </row>
    <row r="17">
      <c r="A17" s="14" t="inlineStr">
        <is>
          <t>S2005</t>
        </is>
      </c>
      <c r="B17" s="14" t="inlineStr">
        <is>
          <t>C026</t>
        </is>
      </c>
      <c r="C17" s="14">
        <f>VLOOKUP(B17,课程学分对照表!$A$2:$B$5,2,FALSE)</f>
        <v/>
      </c>
      <c r="D17" t="n">
        <v>84</v>
      </c>
      <c r="E17">
        <f>IF(D17&gt;=80,"优秀",IF(D17&gt;=60,"合格","不合格"))</f>
        <v/>
      </c>
      <c r="G17" s="17" t="inlineStr">
        <is>
          <t>C026</t>
        </is>
      </c>
      <c r="H17" s="22">
        <f>COUNTIF($B$3:$B$110,G17)</f>
        <v/>
      </c>
      <c r="I17" s="26">
        <f>AVERAGEIF($B$3:$B$110,G17,$D$3:$D$110)</f>
        <v/>
      </c>
    </row>
    <row r="18">
      <c r="A18" s="14" t="inlineStr">
        <is>
          <t>S2006</t>
        </is>
      </c>
      <c r="B18" s="14" t="inlineStr">
        <is>
          <t>C015</t>
        </is>
      </c>
      <c r="C18" s="14">
        <f>VLOOKUP(B18,课程学分对照表!$A$2:$B$5,2,FALSE)</f>
        <v/>
      </c>
      <c r="D18" s="14" t="n">
        <v>72</v>
      </c>
      <c r="E18">
        <f>IF(D18&gt;=80,"优秀",IF(D18&gt;=60,"合格","不合格"))</f>
        <v/>
      </c>
    </row>
    <row r="19">
      <c r="A19" s="14" t="inlineStr">
        <is>
          <t>S2006</t>
        </is>
      </c>
      <c r="B19" s="14" t="inlineStr">
        <is>
          <t>C020</t>
        </is>
      </c>
      <c r="C19" s="14">
        <f>VLOOKUP(B19,课程学分对照表!$A$2:$B$5,2,FALSE)</f>
        <v/>
      </c>
      <c r="D19" t="n">
        <v>91</v>
      </c>
      <c r="E19">
        <f>IF(D19&gt;=80,"优秀",IF(D19&gt;=60,"合格","不合格"))</f>
        <v/>
      </c>
      <c r="G19" s="10" t="n"/>
      <c r="H19" s="10" t="n"/>
      <c r="I19" s="10" t="n"/>
      <c r="J19" s="10" t="n"/>
    </row>
    <row r="20">
      <c r="A20" s="14" t="inlineStr">
        <is>
          <t>S2006</t>
        </is>
      </c>
      <c r="B20" s="14" t="inlineStr">
        <is>
          <t>C026</t>
        </is>
      </c>
      <c r="C20" s="14">
        <f>VLOOKUP(B20,课程学分对照表!$A$2:$B$5,2,FALSE)</f>
        <v/>
      </c>
      <c r="D20" s="14" t="n">
        <v>87</v>
      </c>
      <c r="E20">
        <f>IF(D20&gt;=80,"优秀",IF(D20&gt;=60,"合格","不合格"))</f>
        <v/>
      </c>
      <c r="G20" s="14" t="n"/>
      <c r="H20" s="14" t="n"/>
      <c r="I20" s="14" t="n"/>
      <c r="J20" s="14" t="n"/>
    </row>
    <row r="21">
      <c r="A21" s="14" t="inlineStr">
        <is>
          <t>S2007</t>
        </is>
      </c>
      <c r="B21" s="14" t="inlineStr">
        <is>
          <t>C011</t>
        </is>
      </c>
      <c r="C21" s="14">
        <f>VLOOKUP(B21,课程学分对照表!$A$2:$B$5,2,FALSE)</f>
        <v/>
      </c>
      <c r="D21" t="n">
        <v>85</v>
      </c>
      <c r="E21">
        <f>IF(D21&gt;=80,"优秀",IF(D21&gt;=60,"合格","不合格"))</f>
        <v/>
      </c>
      <c r="G21" s="8" t="n"/>
      <c r="H21" s="14" t="n"/>
    </row>
    <row r="22">
      <c r="A22" s="14" t="inlineStr">
        <is>
          <t>S2007</t>
        </is>
      </c>
      <c r="B22" s="14" t="inlineStr">
        <is>
          <t>C020</t>
        </is>
      </c>
      <c r="C22" s="14">
        <f>VLOOKUP(B22,课程学分对照表!$A$2:$B$5,2,FALSE)</f>
        <v/>
      </c>
      <c r="D22" t="n">
        <v>95</v>
      </c>
      <c r="E22">
        <f>IF(D22&gt;=80,"优秀",IF(D22&gt;=60,"合格","不合格"))</f>
        <v/>
      </c>
      <c r="G22" s="8" t="n"/>
    </row>
    <row r="23">
      <c r="A23" s="14" t="inlineStr">
        <is>
          <t>S2007</t>
        </is>
      </c>
      <c r="B23" s="14" t="inlineStr">
        <is>
          <t>C026</t>
        </is>
      </c>
      <c r="C23" s="14">
        <f>VLOOKUP(B23,课程学分对照表!$A$2:$B$5,2,FALSE)</f>
        <v/>
      </c>
      <c r="D23" t="n">
        <v>89</v>
      </c>
      <c r="E23">
        <f>IF(D23&gt;=80,"优秀",IF(D23&gt;=60,"合格","不合格"))</f>
        <v/>
      </c>
      <c r="G23" s="8" t="n"/>
    </row>
    <row r="24">
      <c r="A24" s="14" t="inlineStr">
        <is>
          <t>S2008</t>
        </is>
      </c>
      <c r="B24" s="14" t="inlineStr">
        <is>
          <t>C011</t>
        </is>
      </c>
      <c r="C24" s="14">
        <f>VLOOKUP(B24,课程学分对照表!$A$2:$B$5,2,FALSE)</f>
        <v/>
      </c>
      <c r="D24" t="n">
        <v>82</v>
      </c>
      <c r="E24">
        <f>IF(D24&gt;=80,"优秀",IF(D24&gt;=60,"合格","不合格"))</f>
        <v/>
      </c>
      <c r="G24" s="8" t="n"/>
    </row>
    <row r="25">
      <c r="A25" s="14" t="inlineStr">
        <is>
          <t>S2008</t>
        </is>
      </c>
      <c r="B25" s="14" t="inlineStr">
        <is>
          <t>C020</t>
        </is>
      </c>
      <c r="C25" s="14">
        <f>VLOOKUP(B25,课程学分对照表!$A$2:$B$5,2,FALSE)</f>
        <v/>
      </c>
      <c r="D25" s="14" t="n">
        <v>78</v>
      </c>
      <c r="E25">
        <f>IF(D25&gt;=80,"优秀",IF(D25&gt;=60,"合格","不合格"))</f>
        <v/>
      </c>
    </row>
    <row r="26">
      <c r="A26" s="14" t="inlineStr">
        <is>
          <t>S2008</t>
        </is>
      </c>
      <c r="B26" s="14" t="inlineStr">
        <is>
          <t>C026</t>
        </is>
      </c>
      <c r="C26" s="14">
        <f>VLOOKUP(B26,课程学分对照表!$A$2:$B$5,2,FALSE)</f>
        <v/>
      </c>
      <c r="D26" t="n">
        <v>74</v>
      </c>
      <c r="E26">
        <f>IF(D26&gt;=80,"优秀",IF(D26&gt;=60,"合格","不合格"))</f>
        <v/>
      </c>
    </row>
    <row r="27">
      <c r="A27" s="14" t="inlineStr">
        <is>
          <t>S2009</t>
        </is>
      </c>
      <c r="B27" s="14" t="inlineStr">
        <is>
          <t>C015</t>
        </is>
      </c>
      <c r="C27" s="14">
        <f>VLOOKUP(B27,课程学分对照表!$A$2:$B$5,2,FALSE)</f>
        <v/>
      </c>
      <c r="D27" t="n">
        <v>81</v>
      </c>
      <c r="E27">
        <f>IF(D27&gt;=80,"优秀",IF(D27&gt;=60,"合格","不合格"))</f>
        <v/>
      </c>
    </row>
    <row r="28">
      <c r="A28" s="14" t="inlineStr">
        <is>
          <t>S2009</t>
        </is>
      </c>
      <c r="B28" s="14" t="inlineStr">
        <is>
          <t>C020</t>
        </is>
      </c>
      <c r="C28" s="14">
        <f>VLOOKUP(B28,课程学分对照表!$A$2:$B$5,2,FALSE)</f>
        <v/>
      </c>
      <c r="D28" t="n">
        <v>86</v>
      </c>
      <c r="E28">
        <f>IF(D28&gt;=80,"优秀",IF(D28&gt;=60,"合格","不合格"))</f>
        <v/>
      </c>
    </row>
    <row r="29">
      <c r="A29" s="14" t="inlineStr">
        <is>
          <t>S2009</t>
        </is>
      </c>
      <c r="B29" s="14" t="inlineStr">
        <is>
          <t>C026</t>
        </is>
      </c>
      <c r="C29" s="14">
        <f>VLOOKUP(B29,课程学分对照表!$A$2:$B$5,2,FALSE)</f>
        <v/>
      </c>
      <c r="D29" t="n">
        <v>89</v>
      </c>
      <c r="E29">
        <f>IF(D29&gt;=80,"优秀",IF(D29&gt;=60,"合格","不合格"))</f>
        <v/>
      </c>
    </row>
    <row r="30">
      <c r="A30" s="14" t="inlineStr">
        <is>
          <t>S2010</t>
        </is>
      </c>
      <c r="B30" s="14" t="inlineStr">
        <is>
          <t>C011</t>
        </is>
      </c>
      <c r="C30" s="14">
        <f>VLOOKUP(B30,课程学分对照表!$A$2:$B$5,2,FALSE)</f>
        <v/>
      </c>
      <c r="D30" t="n">
        <v>77</v>
      </c>
      <c r="E30">
        <f>IF(D30&gt;=80,"优秀",IF(D30&gt;=60,"合格","不合格"))</f>
        <v/>
      </c>
    </row>
    <row r="31">
      <c r="A31" s="14" t="inlineStr">
        <is>
          <t>S2010</t>
        </is>
      </c>
      <c r="B31" s="14" t="inlineStr">
        <is>
          <t>C020</t>
        </is>
      </c>
      <c r="C31" s="14">
        <f>VLOOKUP(B31,课程学分对照表!$A$2:$B$5,2,FALSE)</f>
        <v/>
      </c>
      <c r="D31" s="14" t="n">
        <v>76</v>
      </c>
      <c r="E31">
        <f>IF(D31&gt;=80,"优秀",IF(D31&gt;=60,"合格","不合格"))</f>
        <v/>
      </c>
    </row>
    <row r="32">
      <c r="A32" s="14" t="inlineStr">
        <is>
          <t>S2010</t>
        </is>
      </c>
      <c r="B32" s="14" t="inlineStr">
        <is>
          <t>C026</t>
        </is>
      </c>
      <c r="C32" s="14">
        <f>VLOOKUP(B32,课程学分对照表!$A$2:$B$5,2,FALSE)</f>
        <v/>
      </c>
      <c r="D32" t="n">
        <v>95</v>
      </c>
      <c r="E32">
        <f>IF(D32&gt;=80,"优秀",IF(D32&gt;=60,"合格","不合格"))</f>
        <v/>
      </c>
    </row>
    <row r="33">
      <c r="A33" s="14" t="inlineStr">
        <is>
          <t>S2011</t>
        </is>
      </c>
      <c r="B33" s="14" t="inlineStr">
        <is>
          <t>C015</t>
        </is>
      </c>
      <c r="C33" s="14">
        <f>VLOOKUP(B33,课程学分对照表!$A$2:$B$5,2,FALSE)</f>
        <v/>
      </c>
      <c r="D33" t="n">
        <v>54</v>
      </c>
      <c r="E33">
        <f>IF(D33&gt;=80,"优秀",IF(D33&gt;=60,"合格","不合格"))</f>
        <v/>
      </c>
    </row>
    <row r="34">
      <c r="A34" s="14" t="inlineStr">
        <is>
          <t>S2011</t>
        </is>
      </c>
      <c r="B34" s="14" t="inlineStr">
        <is>
          <t>C020</t>
        </is>
      </c>
      <c r="C34" s="14">
        <f>VLOOKUP(B34,课程学分对照表!$A$2:$B$5,2,FALSE)</f>
        <v/>
      </c>
      <c r="D34" t="n">
        <v>87</v>
      </c>
      <c r="E34">
        <f>IF(D34&gt;=80,"优秀",IF(D34&gt;=60,"合格","不合格"))</f>
        <v/>
      </c>
    </row>
    <row r="35">
      <c r="A35" s="14" t="inlineStr">
        <is>
          <t>S2011</t>
        </is>
      </c>
      <c r="B35" s="14" t="inlineStr">
        <is>
          <t>C026</t>
        </is>
      </c>
      <c r="C35" s="14">
        <f>VLOOKUP(B35,课程学分对照表!$A$2:$B$5,2,FALSE)</f>
        <v/>
      </c>
      <c r="D35" t="n">
        <v>74</v>
      </c>
      <c r="E35">
        <f>IF(D35&gt;=80,"优秀",IF(D35&gt;=60,"合格","不合格"))</f>
        <v/>
      </c>
    </row>
    <row r="36">
      <c r="A36" s="14" t="inlineStr">
        <is>
          <t>S2012</t>
        </is>
      </c>
      <c r="B36" s="14" t="inlineStr">
        <is>
          <t>C011</t>
        </is>
      </c>
      <c r="C36" s="14">
        <f>VLOOKUP(B36,课程学分对照表!$A$2:$B$5,2,FALSE)</f>
        <v/>
      </c>
      <c r="D36" t="n">
        <v>78</v>
      </c>
      <c r="E36">
        <f>IF(D36&gt;=80,"优秀",IF(D36&gt;=60,"合格","不合格"))</f>
        <v/>
      </c>
    </row>
    <row r="37">
      <c r="A37" s="14" t="inlineStr">
        <is>
          <t>S2012</t>
        </is>
      </c>
      <c r="B37" s="14" t="inlineStr">
        <is>
          <t>C020</t>
        </is>
      </c>
      <c r="C37" s="14">
        <f>VLOOKUP(B37,课程学分对照表!$A$2:$B$5,2,FALSE)</f>
        <v/>
      </c>
      <c r="D37" s="14" t="n">
        <v>74</v>
      </c>
      <c r="E37">
        <f>IF(D37&gt;=80,"优秀",IF(D37&gt;=60,"合格","不合格"))</f>
        <v/>
      </c>
    </row>
    <row r="38">
      <c r="A38" s="14" t="inlineStr">
        <is>
          <t>S2012</t>
        </is>
      </c>
      <c r="B38" s="14" t="inlineStr">
        <is>
          <t>C026</t>
        </is>
      </c>
      <c r="C38" s="14">
        <f>VLOOKUP(B38,课程学分对照表!$A$2:$B$5,2,FALSE)</f>
        <v/>
      </c>
      <c r="D38" t="n">
        <v>89</v>
      </c>
      <c r="E38">
        <f>IF(D38&gt;=80,"优秀",IF(D38&gt;=60,"合格","不合格"))</f>
        <v/>
      </c>
    </row>
    <row r="39">
      <c r="A39" s="14" t="inlineStr">
        <is>
          <t>S2013</t>
        </is>
      </c>
      <c r="B39" s="14" t="inlineStr">
        <is>
          <t>C011</t>
        </is>
      </c>
      <c r="C39" s="14">
        <f>VLOOKUP(B39,课程学分对照表!$A$2:$B$5,2,FALSE)</f>
        <v/>
      </c>
      <c r="D39" t="n">
        <v>67</v>
      </c>
      <c r="E39">
        <f>IF(D39&gt;=80,"优秀",IF(D39&gt;=60,"合格","不合格"))</f>
        <v/>
      </c>
    </row>
    <row r="40">
      <c r="A40" s="14" t="inlineStr">
        <is>
          <t>S2013</t>
        </is>
      </c>
      <c r="B40" s="14" t="inlineStr">
        <is>
          <t>C020</t>
        </is>
      </c>
      <c r="C40" s="14">
        <f>VLOOKUP(B40,课程学分对照表!$A$2:$B$5,2,FALSE)</f>
        <v/>
      </c>
      <c r="D40" s="14" t="n">
        <v>65</v>
      </c>
      <c r="E40">
        <f>IF(D40&gt;=80,"优秀",IF(D40&gt;=60,"合格","不合格"))</f>
        <v/>
      </c>
    </row>
    <row r="41">
      <c r="A41" s="14" t="inlineStr">
        <is>
          <t>S2013</t>
        </is>
      </c>
      <c r="B41" s="14" t="inlineStr">
        <is>
          <t>C026</t>
        </is>
      </c>
      <c r="C41" s="14">
        <f>VLOOKUP(B41,课程学分对照表!$A$2:$B$5,2,FALSE)</f>
        <v/>
      </c>
      <c r="D41" t="n">
        <v>67</v>
      </c>
      <c r="E41">
        <f>IF(D41&gt;=80,"优秀",IF(D41&gt;=60,"合格","不合格"))</f>
        <v/>
      </c>
    </row>
    <row r="42">
      <c r="A42" s="14" t="inlineStr">
        <is>
          <t>S2014</t>
        </is>
      </c>
      <c r="B42" s="14" t="inlineStr">
        <is>
          <t>C011</t>
        </is>
      </c>
      <c r="C42" s="14">
        <f>VLOOKUP(B42,课程学分对照表!$A$2:$B$5,2,FALSE)</f>
        <v/>
      </c>
      <c r="D42" t="n">
        <v>83</v>
      </c>
      <c r="E42">
        <f>IF(D42&gt;=80,"优秀",IF(D42&gt;=60,"合格","不合格"))</f>
        <v/>
      </c>
    </row>
    <row r="43">
      <c r="A43" s="14" t="inlineStr">
        <is>
          <t>S2014</t>
        </is>
      </c>
      <c r="B43" s="14" t="inlineStr">
        <is>
          <t>C020</t>
        </is>
      </c>
      <c r="C43" s="14">
        <f>VLOOKUP(B43,课程学分对照表!$A$2:$B$5,2,FALSE)</f>
        <v/>
      </c>
      <c r="D43" t="n">
        <v>87</v>
      </c>
      <c r="E43">
        <f>IF(D43&gt;=80,"优秀",IF(D43&gt;=60,"合格","不合格"))</f>
        <v/>
      </c>
    </row>
    <row r="44">
      <c r="A44" s="14" t="inlineStr">
        <is>
          <t>S2014</t>
        </is>
      </c>
      <c r="B44" s="14" t="inlineStr">
        <is>
          <t>C026</t>
        </is>
      </c>
      <c r="C44" s="14">
        <f>VLOOKUP(B44,课程学分对照表!$A$2:$B$5,2,FALSE)</f>
        <v/>
      </c>
      <c r="D44" t="n">
        <v>87</v>
      </c>
      <c r="E44">
        <f>IF(D44&gt;=80,"优秀",IF(D44&gt;=60,"合格","不合格"))</f>
        <v/>
      </c>
    </row>
    <row r="45">
      <c r="A45" s="14" t="inlineStr">
        <is>
          <t>S2015</t>
        </is>
      </c>
      <c r="B45" s="14" t="inlineStr">
        <is>
          <t>C015</t>
        </is>
      </c>
      <c r="C45" s="14">
        <f>VLOOKUP(B45,课程学分对照表!$A$2:$B$5,2,FALSE)</f>
        <v/>
      </c>
      <c r="D45" s="14" t="n">
        <v>91</v>
      </c>
      <c r="E45">
        <f>IF(D45&gt;=80,"优秀",IF(D45&gt;=60,"合格","不合格"))</f>
        <v/>
      </c>
    </row>
    <row r="46">
      <c r="A46" s="14" t="inlineStr">
        <is>
          <t>S2015</t>
        </is>
      </c>
      <c r="B46" s="14" t="inlineStr">
        <is>
          <t>C020</t>
        </is>
      </c>
      <c r="C46" s="14">
        <f>VLOOKUP(B46,课程学分对照表!$A$2:$B$5,2,FALSE)</f>
        <v/>
      </c>
      <c r="D46" t="n">
        <v>87</v>
      </c>
      <c r="E46">
        <f>IF(D46&gt;=80,"优秀",IF(D46&gt;=60,"合格","不合格"))</f>
        <v/>
      </c>
    </row>
    <row r="47">
      <c r="A47" s="14" t="inlineStr">
        <is>
          <t>S2016</t>
        </is>
      </c>
      <c r="B47" s="14" t="inlineStr">
        <is>
          <t>C011</t>
        </is>
      </c>
      <c r="C47" s="14">
        <f>VLOOKUP(B47,课程学分对照表!$A$2:$B$5,2,FALSE)</f>
        <v/>
      </c>
      <c r="D47" t="n">
        <v>56</v>
      </c>
      <c r="E47">
        <f>IF(D47&gt;=80,"优秀",IF(D47&gt;=60,"合格","不合格"))</f>
        <v/>
      </c>
    </row>
    <row r="48">
      <c r="A48" s="14" t="inlineStr">
        <is>
          <t>S2016</t>
        </is>
      </c>
      <c r="B48" s="14" t="inlineStr">
        <is>
          <t>C020</t>
        </is>
      </c>
      <c r="C48" s="14">
        <f>VLOOKUP(B48,课程学分对照表!$A$2:$B$5,2,FALSE)</f>
        <v/>
      </c>
      <c r="D48" t="n">
        <v>85</v>
      </c>
      <c r="E48">
        <f>IF(D48&gt;=80,"优秀",IF(D48&gt;=60,"合格","不合格"))</f>
        <v/>
      </c>
    </row>
    <row r="49">
      <c r="A49" s="14" t="inlineStr">
        <is>
          <t>S2016</t>
        </is>
      </c>
      <c r="B49" s="14" t="inlineStr">
        <is>
          <t>C026</t>
        </is>
      </c>
      <c r="C49" s="14">
        <f>VLOOKUP(B49,课程学分对照表!$A$2:$B$5,2,FALSE)</f>
        <v/>
      </c>
      <c r="D49" t="n">
        <v>84</v>
      </c>
      <c r="E49">
        <f>IF(D49&gt;=80,"优秀",IF(D49&gt;=60,"合格","不合格"))</f>
        <v/>
      </c>
    </row>
    <row r="50">
      <c r="A50" s="14" t="inlineStr">
        <is>
          <t>S2017</t>
        </is>
      </c>
      <c r="B50" s="14" t="inlineStr">
        <is>
          <t>C011</t>
        </is>
      </c>
      <c r="C50" s="14">
        <f>VLOOKUP(B50,课程学分对照表!$A$2:$B$5,2,FALSE)</f>
        <v/>
      </c>
      <c r="D50" t="n">
        <v>72</v>
      </c>
      <c r="E50">
        <f>IF(D50&gt;=80,"优秀",IF(D50&gt;=60,"合格","不合格"))</f>
        <v/>
      </c>
    </row>
    <row r="51">
      <c r="A51" s="14" t="inlineStr">
        <is>
          <t>S2017</t>
        </is>
      </c>
      <c r="B51" s="14" t="inlineStr">
        <is>
          <t>C020</t>
        </is>
      </c>
      <c r="C51" s="14">
        <f>VLOOKUP(B51,课程学分对照表!$A$2:$B$5,2,FALSE)</f>
        <v/>
      </c>
      <c r="D51" t="n">
        <v>75</v>
      </c>
      <c r="E51">
        <f>IF(D51&gt;=80,"优秀",IF(D51&gt;=60,"合格","不合格"))</f>
        <v/>
      </c>
    </row>
    <row r="52">
      <c r="A52" s="14" t="inlineStr">
        <is>
          <t>S2017</t>
        </is>
      </c>
      <c r="B52" s="14" t="inlineStr">
        <is>
          <t>C026</t>
        </is>
      </c>
      <c r="C52" s="14">
        <f>VLOOKUP(B52,课程学分对照表!$A$2:$B$5,2,FALSE)</f>
        <v/>
      </c>
      <c r="D52" t="n">
        <v>86</v>
      </c>
      <c r="E52">
        <f>IF(D52&gt;=80,"优秀",IF(D52&gt;=60,"合格","不合格"))</f>
        <v/>
      </c>
    </row>
    <row r="53">
      <c r="A53" s="14" t="inlineStr">
        <is>
          <t>S2018</t>
        </is>
      </c>
      <c r="B53" s="14" t="inlineStr">
        <is>
          <t>C015</t>
        </is>
      </c>
      <c r="C53" s="14">
        <f>VLOOKUP(B53,课程学分对照表!$A$2:$B$5,2,FALSE)</f>
        <v/>
      </c>
      <c r="D53" s="14" t="n">
        <v>95</v>
      </c>
      <c r="E53">
        <f>IF(D53&gt;=80,"优秀",IF(D53&gt;=60,"合格","不合格"))</f>
        <v/>
      </c>
    </row>
    <row r="54">
      <c r="A54" s="14" t="inlineStr">
        <is>
          <t>S2018</t>
        </is>
      </c>
      <c r="B54" s="14" t="inlineStr">
        <is>
          <t>C020</t>
        </is>
      </c>
      <c r="C54" s="14">
        <f>VLOOKUP(B54,课程学分对照表!$A$2:$B$5,2,FALSE)</f>
        <v/>
      </c>
      <c r="D54" t="n">
        <v>91</v>
      </c>
      <c r="E54">
        <f>IF(D54&gt;=80,"优秀",IF(D54&gt;=60,"合格","不合格"))</f>
        <v/>
      </c>
    </row>
    <row r="55">
      <c r="A55" s="14" t="inlineStr">
        <is>
          <t>S2018</t>
        </is>
      </c>
      <c r="B55" s="14" t="inlineStr">
        <is>
          <t>C026</t>
        </is>
      </c>
      <c r="C55" s="14">
        <f>VLOOKUP(B55,课程学分对照表!$A$2:$B$5,2,FALSE)</f>
        <v/>
      </c>
      <c r="D55" t="n">
        <v>91</v>
      </c>
      <c r="E55">
        <f>IF(D55&gt;=80,"优秀",IF(D55&gt;=60,"合格","不合格"))</f>
        <v/>
      </c>
    </row>
    <row r="56">
      <c r="A56" s="14" t="inlineStr">
        <is>
          <t>S2019</t>
        </is>
      </c>
      <c r="B56" s="14" t="inlineStr">
        <is>
          <t>C011</t>
        </is>
      </c>
      <c r="C56" s="14">
        <f>VLOOKUP(B56,课程学分对照表!$A$2:$B$5,2,FALSE)</f>
        <v/>
      </c>
      <c r="D56" t="n">
        <v>83</v>
      </c>
      <c r="E56">
        <f>IF(D56&gt;=80,"优秀",IF(D56&gt;=60,"合格","不合格"))</f>
        <v/>
      </c>
    </row>
    <row r="57">
      <c r="A57" s="14" t="inlineStr">
        <is>
          <t>S2019</t>
        </is>
      </c>
      <c r="B57" s="14" t="inlineStr">
        <is>
          <t>C020</t>
        </is>
      </c>
      <c r="C57" s="14">
        <f>VLOOKUP(B57,课程学分对照表!$A$2:$B$5,2,FALSE)</f>
        <v/>
      </c>
      <c r="D57" s="14" t="n">
        <v>92</v>
      </c>
      <c r="E57">
        <f>IF(D57&gt;=80,"优秀",IF(D57&gt;=60,"合格","不合格"))</f>
        <v/>
      </c>
    </row>
    <row r="58">
      <c r="A58" s="14" t="inlineStr">
        <is>
          <t>S2019</t>
        </is>
      </c>
      <c r="B58" s="14" t="inlineStr">
        <is>
          <t>C026</t>
        </is>
      </c>
      <c r="C58" s="14">
        <f>VLOOKUP(B58,课程学分对照表!$A$2:$B$5,2,FALSE)</f>
        <v/>
      </c>
      <c r="D58" t="n">
        <v>79</v>
      </c>
      <c r="E58">
        <f>IF(D58&gt;=80,"优秀",IF(D58&gt;=60,"合格","不合格"))</f>
        <v/>
      </c>
    </row>
    <row r="59">
      <c r="A59" s="14" t="inlineStr">
        <is>
          <t>S2020</t>
        </is>
      </c>
      <c r="B59" s="14" t="inlineStr">
        <is>
          <t>C011</t>
        </is>
      </c>
      <c r="C59" s="14">
        <f>VLOOKUP(B59,课程学分对照表!$A$2:$B$5,2,FALSE)</f>
        <v/>
      </c>
      <c r="D59" t="n">
        <v>83</v>
      </c>
      <c r="E59">
        <f>IF(D59&gt;=80,"优秀",IF(D59&gt;=60,"合格","不合格"))</f>
        <v/>
      </c>
    </row>
    <row r="60">
      <c r="A60" s="14" t="inlineStr">
        <is>
          <t>S2021</t>
        </is>
      </c>
      <c r="B60" s="14" t="inlineStr">
        <is>
          <t>C015</t>
        </is>
      </c>
      <c r="C60" s="14">
        <f>VLOOKUP(B60,课程学分对照表!$A$2:$B$5,2,FALSE)</f>
        <v/>
      </c>
      <c r="D60" s="14" t="n">
        <v>83</v>
      </c>
      <c r="E60">
        <f>IF(D60&gt;=80,"优秀",IF(D60&gt;=60,"合格","不合格"))</f>
        <v/>
      </c>
    </row>
    <row r="61">
      <c r="A61" s="14" t="inlineStr">
        <is>
          <t>S2021</t>
        </is>
      </c>
      <c r="B61" s="14" t="inlineStr">
        <is>
          <t>C020</t>
        </is>
      </c>
      <c r="C61" s="14">
        <f>VLOOKUP(B61,课程学分对照表!$A$2:$B$5,2,FALSE)</f>
        <v/>
      </c>
      <c r="D61" t="n">
        <v>91</v>
      </c>
      <c r="E61">
        <f>IF(D61&gt;=80,"优秀",IF(D61&gt;=60,"合格","不合格"))</f>
        <v/>
      </c>
    </row>
    <row r="62">
      <c r="A62" s="14" t="inlineStr">
        <is>
          <t>S2021</t>
        </is>
      </c>
      <c r="B62" s="14" t="inlineStr">
        <is>
          <t>C026</t>
        </is>
      </c>
      <c r="C62" s="14">
        <f>VLOOKUP(B62,课程学分对照表!$A$2:$B$5,2,FALSE)</f>
        <v/>
      </c>
      <c r="D62" t="n">
        <v>85</v>
      </c>
      <c r="E62">
        <f>IF(D62&gt;=80,"优秀",IF(D62&gt;=60,"合格","不合格"))</f>
        <v/>
      </c>
    </row>
    <row r="63">
      <c r="A63" s="14" t="inlineStr">
        <is>
          <t>S2022</t>
        </is>
      </c>
      <c r="B63" s="14" t="inlineStr">
        <is>
          <t>C015</t>
        </is>
      </c>
      <c r="C63" s="14">
        <f>VLOOKUP(B63,课程学分对照表!$A$2:$B$5,2,FALSE)</f>
        <v/>
      </c>
      <c r="D63" t="n">
        <v>92</v>
      </c>
      <c r="E63">
        <f>IF(D63&gt;=80,"优秀",IF(D63&gt;=60,"合格","不合格"))</f>
        <v/>
      </c>
    </row>
    <row r="64">
      <c r="A64" s="14" t="inlineStr">
        <is>
          <t>S2022</t>
        </is>
      </c>
      <c r="B64" s="14" t="inlineStr">
        <is>
          <t>C020</t>
        </is>
      </c>
      <c r="C64" s="14">
        <f>VLOOKUP(B64,课程学分对照表!$A$2:$B$5,2,FALSE)</f>
        <v/>
      </c>
      <c r="D64" s="14" t="n">
        <v>67</v>
      </c>
      <c r="E64">
        <f>IF(D64&gt;=80,"优秀",IF(D64&gt;=60,"合格","不合格"))</f>
        <v/>
      </c>
    </row>
    <row r="65">
      <c r="A65" s="14" t="inlineStr">
        <is>
          <t>S2022</t>
        </is>
      </c>
      <c r="B65" s="14" t="inlineStr">
        <is>
          <t>C026</t>
        </is>
      </c>
      <c r="C65" s="14">
        <f>VLOOKUP(B65,课程学分对照表!$A$2:$B$5,2,FALSE)</f>
        <v/>
      </c>
      <c r="D65" t="n">
        <v>89</v>
      </c>
      <c r="E65">
        <f>IF(D65&gt;=80,"优秀",IF(D65&gt;=60,"合格","不合格"))</f>
        <v/>
      </c>
    </row>
    <row r="66">
      <c r="A66" s="14" t="inlineStr">
        <is>
          <t>S2023</t>
        </is>
      </c>
      <c r="B66" s="14" t="inlineStr">
        <is>
          <t>C015</t>
        </is>
      </c>
      <c r="C66" s="14">
        <f>VLOOKUP(B66,课程学分对照表!$A$2:$B$5,2,FALSE)</f>
        <v/>
      </c>
      <c r="D66" t="n">
        <v>91</v>
      </c>
      <c r="E66">
        <f>IF(D66&gt;=80,"优秀",IF(D66&gt;=60,"合格","不合格"))</f>
        <v/>
      </c>
    </row>
    <row r="67">
      <c r="A67" s="14" t="inlineStr">
        <is>
          <t>S2023</t>
        </is>
      </c>
      <c r="B67" s="14" t="inlineStr">
        <is>
          <t>C026</t>
        </is>
      </c>
      <c r="C67" s="14">
        <f>VLOOKUP(B67,课程学分对照表!$A$2:$B$5,2,FALSE)</f>
        <v/>
      </c>
      <c r="D67" t="n">
        <v>89</v>
      </c>
      <c r="E67">
        <f>IF(D67&gt;=80,"优秀",IF(D67&gt;=60,"合格","不合格"))</f>
        <v/>
      </c>
    </row>
    <row r="68">
      <c r="A68" s="14" t="inlineStr">
        <is>
          <t>S2024</t>
        </is>
      </c>
      <c r="B68" s="14" t="inlineStr">
        <is>
          <t>C011</t>
        </is>
      </c>
      <c r="C68" s="14">
        <f>VLOOKUP(B68,课程学分对照表!$A$2:$B$5,2,FALSE)</f>
        <v/>
      </c>
      <c r="D68" t="n">
        <v>83</v>
      </c>
      <c r="E68">
        <f>IF(D68&gt;=80,"优秀",IF(D68&gt;=60,"合格","不合格"))</f>
        <v/>
      </c>
    </row>
    <row r="69">
      <c r="A69" s="14" t="inlineStr">
        <is>
          <t>S2024</t>
        </is>
      </c>
      <c r="B69" s="14" t="inlineStr">
        <is>
          <t>C020</t>
        </is>
      </c>
      <c r="C69" s="14">
        <f>VLOOKUP(B69,课程学分对照表!$A$2:$B$5,2,FALSE)</f>
        <v/>
      </c>
      <c r="D69" t="n">
        <v>89</v>
      </c>
      <c r="E69">
        <f>IF(D69&gt;=80,"优秀",IF(D69&gt;=60,"合格","不合格"))</f>
        <v/>
      </c>
    </row>
    <row r="70">
      <c r="A70" s="14" t="inlineStr">
        <is>
          <t>S2024</t>
        </is>
      </c>
      <c r="B70" s="14" t="inlineStr">
        <is>
          <t>C026</t>
        </is>
      </c>
      <c r="C70" s="14">
        <f>VLOOKUP(B70,课程学分对照表!$A$2:$B$5,2,FALSE)</f>
        <v/>
      </c>
      <c r="D70" t="n">
        <v>85</v>
      </c>
      <c r="E70">
        <f>IF(D70&gt;=80,"优秀",IF(D70&gt;=60,"合格","不合格"))</f>
        <v/>
      </c>
    </row>
    <row r="71">
      <c r="A71" t="inlineStr">
        <is>
          <t>S2025</t>
        </is>
      </c>
      <c r="B71" s="14" t="inlineStr">
        <is>
          <t>C015</t>
        </is>
      </c>
      <c r="C71" s="14">
        <f>VLOOKUP(B71,课程学分对照表!$A$2:$B$5,2,FALSE)</f>
        <v/>
      </c>
      <c r="D71" s="14" t="n">
        <v>90</v>
      </c>
      <c r="E71">
        <f>IF(D71&gt;=80,"优秀",IF(D71&gt;=60,"合格","不合格"))</f>
        <v/>
      </c>
    </row>
    <row r="72">
      <c r="A72" s="14" t="inlineStr">
        <is>
          <t>S2025</t>
        </is>
      </c>
      <c r="B72" s="14" t="inlineStr">
        <is>
          <t>C020</t>
        </is>
      </c>
      <c r="C72" s="14">
        <f>VLOOKUP(B72,课程学分对照表!$A$2:$B$5,2,FALSE)</f>
        <v/>
      </c>
      <c r="D72" s="14" t="n">
        <v>89</v>
      </c>
      <c r="E72">
        <f>IF(D72&gt;=80,"优秀",IF(D72&gt;=60,"合格","不合格"))</f>
        <v/>
      </c>
    </row>
    <row r="73">
      <c r="A73" s="14" t="inlineStr">
        <is>
          <t>S2025</t>
        </is>
      </c>
      <c r="B73" s="14" t="inlineStr">
        <is>
          <t>C026</t>
        </is>
      </c>
      <c r="C73" s="14">
        <f>VLOOKUP(B73,课程学分对照表!$A$2:$B$5,2,FALSE)</f>
        <v/>
      </c>
      <c r="D73" t="n">
        <v>56</v>
      </c>
      <c r="E73">
        <f>IF(D73&gt;=80,"优秀",IF(D73&gt;=60,"合格","不合格"))</f>
        <v/>
      </c>
    </row>
    <row r="74">
      <c r="A74" s="14" t="inlineStr">
        <is>
          <t>S2026</t>
        </is>
      </c>
      <c r="B74" s="14" t="inlineStr">
        <is>
          <t>C011</t>
        </is>
      </c>
      <c r="C74" s="14">
        <f>VLOOKUP(B74,课程学分对照表!$A$2:$B$5,2,FALSE)</f>
        <v/>
      </c>
      <c r="D74" s="14" t="n">
        <v>79</v>
      </c>
      <c r="E74">
        <f>IF(D74&gt;=80,"优秀",IF(D74&gt;=60,"合格","不合格"))</f>
        <v/>
      </c>
    </row>
    <row r="75">
      <c r="A75" s="14" t="inlineStr">
        <is>
          <t>S2026</t>
        </is>
      </c>
      <c r="B75" s="14" t="inlineStr">
        <is>
          <t>C026</t>
        </is>
      </c>
      <c r="C75" s="14">
        <f>VLOOKUP(B75,课程学分对照表!$A$2:$B$5,2,FALSE)</f>
        <v/>
      </c>
      <c r="D75" s="14" t="n">
        <v>55</v>
      </c>
      <c r="E75">
        <f>IF(D75&gt;=80,"优秀",IF(D75&gt;=60,"合格","不合格"))</f>
        <v/>
      </c>
    </row>
    <row r="76">
      <c r="A76" s="14" t="inlineStr">
        <is>
          <t>S2027</t>
        </is>
      </c>
      <c r="B76" s="14" t="inlineStr">
        <is>
          <t>C011</t>
        </is>
      </c>
      <c r="C76" s="14">
        <f>VLOOKUP(B76,课程学分对照表!$A$2:$B$5,2,FALSE)</f>
        <v/>
      </c>
      <c r="D76" t="n">
        <v>76</v>
      </c>
      <c r="E76">
        <f>IF(D76&gt;=80,"优秀",IF(D76&gt;=60,"合格","不合格"))</f>
        <v/>
      </c>
    </row>
    <row r="77">
      <c r="A77" s="14" t="inlineStr">
        <is>
          <t>S2027</t>
        </is>
      </c>
      <c r="B77" s="14" t="inlineStr">
        <is>
          <t>C026</t>
        </is>
      </c>
      <c r="C77" s="14">
        <f>VLOOKUP(B77,课程学分对照表!$A$2:$B$5,2,FALSE)</f>
        <v/>
      </c>
      <c r="D77" t="n">
        <v>76</v>
      </c>
      <c r="E77">
        <f>IF(D77&gt;=80,"优秀",IF(D77&gt;=60,"合格","不合格"))</f>
        <v/>
      </c>
    </row>
    <row r="78">
      <c r="A78" s="14" t="inlineStr">
        <is>
          <t>S2028</t>
        </is>
      </c>
      <c r="B78" s="14" t="inlineStr">
        <is>
          <t>C015</t>
        </is>
      </c>
      <c r="C78" s="14">
        <f>VLOOKUP(B78,课程学分对照表!$A$2:$B$5,2,FALSE)</f>
        <v/>
      </c>
      <c r="D78" t="n">
        <v>74</v>
      </c>
      <c r="E78">
        <f>IF(D78&gt;=80,"优秀",IF(D78&gt;=60,"合格","不合格"))</f>
        <v/>
      </c>
    </row>
    <row r="79">
      <c r="A79" s="14" t="inlineStr">
        <is>
          <t>S2028</t>
        </is>
      </c>
      <c r="B79" s="14" t="inlineStr">
        <is>
          <t>C026</t>
        </is>
      </c>
      <c r="C79" s="14">
        <f>VLOOKUP(B79,课程学分对照表!$A$2:$B$5,2,FALSE)</f>
        <v/>
      </c>
      <c r="D79" s="14" t="n">
        <v>82</v>
      </c>
      <c r="E79">
        <f>IF(D79&gt;=80,"优秀",IF(D79&gt;=60,"合格","不合格"))</f>
        <v/>
      </c>
    </row>
    <row r="80">
      <c r="A80" s="14" t="inlineStr">
        <is>
          <t>S2029</t>
        </is>
      </c>
      <c r="B80" s="14" t="inlineStr">
        <is>
          <t>C015</t>
        </is>
      </c>
      <c r="C80" s="14">
        <f>VLOOKUP(B80,课程学分对照表!$A$2:$B$5,2,FALSE)</f>
        <v/>
      </c>
      <c r="D80" s="14" t="n">
        <v>85</v>
      </c>
      <c r="E80">
        <f>IF(D80&gt;=80,"优秀",IF(D80&gt;=60,"合格","不合格"))</f>
        <v/>
      </c>
    </row>
    <row r="81">
      <c r="A81" s="14" t="inlineStr">
        <is>
          <t>S2029</t>
        </is>
      </c>
      <c r="B81" s="14" t="inlineStr">
        <is>
          <t>C020</t>
        </is>
      </c>
      <c r="C81" s="14">
        <f>VLOOKUP(B81,课程学分对照表!$A$2:$B$5,2,FALSE)</f>
        <v/>
      </c>
      <c r="D81" s="14" t="n">
        <v>71</v>
      </c>
      <c r="E81">
        <f>IF(D81&gt;=80,"优秀",IF(D81&gt;=60,"合格","不合格"))</f>
        <v/>
      </c>
    </row>
    <row r="82">
      <c r="A82" s="14" t="inlineStr">
        <is>
          <t>S2029</t>
        </is>
      </c>
      <c r="B82" s="14" t="inlineStr">
        <is>
          <t>C026</t>
        </is>
      </c>
      <c r="C82" s="14">
        <f>VLOOKUP(B82,课程学分对照表!$A$2:$B$5,2,FALSE)</f>
        <v/>
      </c>
      <c r="D82" t="n">
        <v>85</v>
      </c>
      <c r="E82">
        <f>IF(D82&gt;=80,"优秀",IF(D82&gt;=60,"合格","不合格"))</f>
        <v/>
      </c>
    </row>
    <row r="83">
      <c r="A83" s="14" t="inlineStr">
        <is>
          <t>S2030</t>
        </is>
      </c>
      <c r="B83" s="14" t="inlineStr">
        <is>
          <t>C015</t>
        </is>
      </c>
      <c r="C83" s="14">
        <f>VLOOKUP(B83,课程学分对照表!$A$2:$B$5,2,FALSE)</f>
        <v/>
      </c>
      <c r="D83" s="14" t="n">
        <v>75</v>
      </c>
      <c r="E83">
        <f>IF(D83&gt;=80,"优秀",IF(D83&gt;=60,"合格","不合格"))</f>
        <v/>
      </c>
    </row>
    <row r="84">
      <c r="A84" s="14" t="inlineStr">
        <is>
          <t>S2030</t>
        </is>
      </c>
      <c r="B84" s="14" t="inlineStr">
        <is>
          <t>C020</t>
        </is>
      </c>
      <c r="C84" s="14">
        <f>VLOOKUP(B84,课程学分对照表!$A$2:$B$5,2,FALSE)</f>
        <v/>
      </c>
      <c r="D84" s="14" t="n">
        <v>76</v>
      </c>
      <c r="E84">
        <f>IF(D84&gt;=80,"优秀",IF(D84&gt;=60,"合格","不合格"))</f>
        <v/>
      </c>
    </row>
    <row r="85">
      <c r="A85" s="14" t="inlineStr">
        <is>
          <t>S2030</t>
        </is>
      </c>
      <c r="B85" s="14" t="inlineStr">
        <is>
          <t>C026</t>
        </is>
      </c>
      <c r="C85" s="14">
        <f>VLOOKUP(B85,课程学分对照表!$A$2:$B$5,2,FALSE)</f>
        <v/>
      </c>
      <c r="D85" t="n">
        <v>51</v>
      </c>
      <c r="E85">
        <f>IF(D85&gt;=80,"优秀",IF(D85&gt;=60,"合格","不合格"))</f>
        <v/>
      </c>
    </row>
    <row r="86">
      <c r="A86" s="14" t="inlineStr">
        <is>
          <t>S2031</t>
        </is>
      </c>
      <c r="B86" s="14" t="inlineStr">
        <is>
          <t>C015</t>
        </is>
      </c>
      <c r="C86" s="14">
        <f>VLOOKUP(B86,课程学分对照表!$A$2:$B$5,2,FALSE)</f>
        <v/>
      </c>
      <c r="D86" t="n">
        <v>93</v>
      </c>
      <c r="E86">
        <f>IF(D86&gt;=80,"优秀",IF(D86&gt;=60,"合格","不合格"))</f>
        <v/>
      </c>
    </row>
    <row r="87">
      <c r="A87" s="14" t="inlineStr">
        <is>
          <t>S2031</t>
        </is>
      </c>
      <c r="B87" s="14" t="inlineStr">
        <is>
          <t>C020</t>
        </is>
      </c>
      <c r="C87" s="14">
        <f>VLOOKUP(B87,课程学分对照表!$A$2:$B$5,2,FALSE)</f>
        <v/>
      </c>
      <c r="D87" s="14" t="n">
        <v>87</v>
      </c>
      <c r="E87">
        <f>IF(D87&gt;=80,"优秀",IF(D87&gt;=60,"合格","不合格"))</f>
        <v/>
      </c>
    </row>
    <row r="88">
      <c r="A88" s="14" t="inlineStr">
        <is>
          <t>S2031</t>
        </is>
      </c>
      <c r="B88" s="14" t="inlineStr">
        <is>
          <t>C026</t>
        </is>
      </c>
      <c r="C88" s="14">
        <f>VLOOKUP(B88,课程学分对照表!$A$2:$B$5,2,FALSE)</f>
        <v/>
      </c>
      <c r="D88" t="n">
        <v>93</v>
      </c>
      <c r="E88">
        <f>IF(D88&gt;=80,"优秀",IF(D88&gt;=60,"合格","不合格"))</f>
        <v/>
      </c>
    </row>
    <row r="89">
      <c r="A89" s="14" t="inlineStr">
        <is>
          <t>S2032</t>
        </is>
      </c>
      <c r="B89" s="14" t="inlineStr">
        <is>
          <t>C011</t>
        </is>
      </c>
      <c r="C89" s="14">
        <f>VLOOKUP(B89,课程学分对照表!$A$2:$B$5,2,FALSE)</f>
        <v/>
      </c>
      <c r="D89" t="n">
        <v>95</v>
      </c>
      <c r="E89">
        <f>IF(D89&gt;=80,"优秀",IF(D89&gt;=60,"合格","不合格"))</f>
        <v/>
      </c>
    </row>
    <row r="90">
      <c r="A90" s="14" t="inlineStr">
        <is>
          <t>S2032</t>
        </is>
      </c>
      <c r="B90" s="14" t="inlineStr">
        <is>
          <t>C026</t>
        </is>
      </c>
      <c r="C90" s="14">
        <f>VLOOKUP(B90,课程学分对照表!$A$2:$B$5,2,FALSE)</f>
        <v/>
      </c>
      <c r="D90" t="n">
        <v>76</v>
      </c>
      <c r="E90">
        <f>IF(D90&gt;=80,"优秀",IF(D90&gt;=60,"合格","不合格"))</f>
        <v/>
      </c>
    </row>
    <row r="91">
      <c r="A91" s="14" t="inlineStr">
        <is>
          <t>S2033</t>
        </is>
      </c>
      <c r="B91" s="14" t="inlineStr">
        <is>
          <t>C020</t>
        </is>
      </c>
      <c r="C91" s="14">
        <f>VLOOKUP(B91,课程学分对照表!$A$2:$B$5,2,FALSE)</f>
        <v/>
      </c>
      <c r="D91" t="n">
        <v>74</v>
      </c>
      <c r="E91">
        <f>IF(D91&gt;=80,"优秀",IF(D91&gt;=60,"合格","不合格"))</f>
        <v/>
      </c>
    </row>
    <row r="92">
      <c r="A92" s="14" t="inlineStr">
        <is>
          <t>S2033</t>
        </is>
      </c>
      <c r="B92" s="14" t="inlineStr">
        <is>
          <t>C026</t>
        </is>
      </c>
      <c r="C92" s="14">
        <f>VLOOKUP(B92,课程学分对照表!$A$2:$B$5,2,FALSE)</f>
        <v/>
      </c>
      <c r="D92" t="n">
        <v>81</v>
      </c>
      <c r="E92">
        <f>IF(D92&gt;=80,"优秀",IF(D92&gt;=60,"合格","不合格"))</f>
        <v/>
      </c>
    </row>
    <row r="93">
      <c r="A93" s="14" t="inlineStr">
        <is>
          <t>S2034</t>
        </is>
      </c>
      <c r="B93" s="14" t="inlineStr">
        <is>
          <t>C020</t>
        </is>
      </c>
      <c r="C93" s="14">
        <f>VLOOKUP(B93,课程学分对照表!$A$2:$B$5,2,FALSE)</f>
        <v/>
      </c>
      <c r="D93" s="14" t="n">
        <v>85</v>
      </c>
      <c r="E93">
        <f>IF(D93&gt;=80,"优秀",IF(D93&gt;=60,"合格","不合格"))</f>
        <v/>
      </c>
    </row>
    <row r="94">
      <c r="A94" s="14" t="inlineStr">
        <is>
          <t>S2034</t>
        </is>
      </c>
      <c r="B94" s="14" t="inlineStr">
        <is>
          <t>C020</t>
        </is>
      </c>
      <c r="C94" s="14">
        <f>VLOOKUP(B94,课程学分对照表!$A$2:$B$5,2,FALSE)</f>
        <v/>
      </c>
      <c r="D94" t="n">
        <v>93</v>
      </c>
      <c r="E94">
        <f>IF(D94&gt;=80,"优秀",IF(D94&gt;=60,"合格","不合格"))</f>
        <v/>
      </c>
    </row>
    <row r="95">
      <c r="A95" s="14" t="inlineStr">
        <is>
          <t>S2034</t>
        </is>
      </c>
      <c r="B95" s="14" t="inlineStr">
        <is>
          <t>C026</t>
        </is>
      </c>
      <c r="C95" s="14">
        <f>VLOOKUP(B95,课程学分对照表!$A$2:$B$5,2,FALSE)</f>
        <v/>
      </c>
      <c r="D95" t="n">
        <v>95</v>
      </c>
      <c r="E95">
        <f>IF(D95&gt;=80,"优秀",IF(D95&gt;=60,"合格","不合格"))</f>
        <v/>
      </c>
    </row>
    <row r="96">
      <c r="A96" s="14" t="inlineStr">
        <is>
          <t>S2035</t>
        </is>
      </c>
      <c r="B96" s="14" t="inlineStr">
        <is>
          <t>C011</t>
        </is>
      </c>
      <c r="C96" s="14">
        <f>VLOOKUP(B96,课程学分对照表!$A$2:$B$5,2,FALSE)</f>
        <v/>
      </c>
      <c r="D96" s="14" t="n">
        <v>86</v>
      </c>
      <c r="E96">
        <f>IF(D96&gt;=80,"优秀",IF(D96&gt;=60,"合格","不合格"))</f>
        <v/>
      </c>
    </row>
    <row r="97">
      <c r="A97" s="14" t="inlineStr">
        <is>
          <t>S2035</t>
        </is>
      </c>
      <c r="B97" s="14" t="inlineStr">
        <is>
          <t>C020</t>
        </is>
      </c>
      <c r="C97" s="14">
        <f>VLOOKUP(B97,课程学分对照表!$A$2:$B$5,2,FALSE)</f>
        <v/>
      </c>
      <c r="D97" t="n">
        <v>68</v>
      </c>
      <c r="E97">
        <f>IF(D97&gt;=80,"优秀",IF(D97&gt;=60,"合格","不合格"))</f>
        <v/>
      </c>
    </row>
    <row r="98">
      <c r="A98" s="14" t="inlineStr">
        <is>
          <t>S2035</t>
        </is>
      </c>
      <c r="B98" s="14" t="inlineStr">
        <is>
          <t>C026</t>
        </is>
      </c>
      <c r="C98" s="14">
        <f>VLOOKUP(B98,课程学分对照表!$A$2:$B$5,2,FALSE)</f>
        <v/>
      </c>
      <c r="D98" s="14" t="n">
        <v>74</v>
      </c>
      <c r="E98">
        <f>IF(D98&gt;=80,"优秀",IF(D98&gt;=60,"合格","不合格"))</f>
        <v/>
      </c>
    </row>
    <row r="99">
      <c r="A99" s="14" t="inlineStr">
        <is>
          <t>S2036</t>
        </is>
      </c>
      <c r="B99" s="14" t="inlineStr">
        <is>
          <t>C011</t>
        </is>
      </c>
      <c r="C99" s="14">
        <f>VLOOKUP(B99,课程学分对照表!$A$2:$B$5,2,FALSE)</f>
        <v/>
      </c>
      <c r="D99" t="n">
        <v>74</v>
      </c>
      <c r="E99">
        <f>IF(D99&gt;=80,"优秀",IF(D99&gt;=60,"合格","不合格"))</f>
        <v/>
      </c>
    </row>
    <row r="100">
      <c r="A100" s="14" t="inlineStr">
        <is>
          <t>S2036</t>
        </is>
      </c>
      <c r="B100" s="14" t="inlineStr">
        <is>
          <t>C026</t>
        </is>
      </c>
      <c r="C100" s="14">
        <f>VLOOKUP(B100,课程学分对照表!$A$2:$B$5,2,FALSE)</f>
        <v/>
      </c>
      <c r="D100" t="n">
        <v>45</v>
      </c>
      <c r="E100">
        <f>IF(D100&gt;=80,"优秀",IF(D100&gt;=60,"合格","不合格"))</f>
        <v/>
      </c>
    </row>
    <row r="101">
      <c r="A101" s="14" t="inlineStr">
        <is>
          <t>S2037</t>
        </is>
      </c>
      <c r="B101" s="14" t="inlineStr">
        <is>
          <t>C011</t>
        </is>
      </c>
      <c r="C101" s="14">
        <f>VLOOKUP(B101,课程学分对照表!$A$2:$B$5,2,FALSE)</f>
        <v/>
      </c>
      <c r="D101" t="n">
        <v>82</v>
      </c>
      <c r="E101">
        <f>IF(D101&gt;=80,"优秀",IF(D101&gt;=60,"合格","不合格"))</f>
        <v/>
      </c>
    </row>
    <row r="102">
      <c r="A102" s="14" t="inlineStr">
        <is>
          <t>S2037</t>
        </is>
      </c>
      <c r="B102" s="14" t="inlineStr">
        <is>
          <t>C020</t>
        </is>
      </c>
      <c r="C102" s="14">
        <f>VLOOKUP(B102,课程学分对照表!$A$2:$B$5,2,FALSE)</f>
        <v/>
      </c>
      <c r="D102" t="n">
        <v>95</v>
      </c>
      <c r="E102">
        <f>IF(D102&gt;=80,"优秀",IF(D102&gt;=60,"合格","不合格"))</f>
        <v/>
      </c>
    </row>
    <row r="103">
      <c r="A103" s="14" t="inlineStr">
        <is>
          <t>S2037</t>
        </is>
      </c>
      <c r="B103" s="14" t="inlineStr">
        <is>
          <t>C026</t>
        </is>
      </c>
      <c r="C103" s="14">
        <f>VLOOKUP(B103,课程学分对照表!$A$2:$B$5,2,FALSE)</f>
        <v/>
      </c>
      <c r="D103" t="n">
        <v>74</v>
      </c>
      <c r="E103">
        <f>IF(D103&gt;=80,"优秀",IF(D103&gt;=60,"合格","不合格"))</f>
        <v/>
      </c>
    </row>
    <row r="104">
      <c r="A104" s="14" t="inlineStr">
        <is>
          <t>S2038</t>
        </is>
      </c>
      <c r="B104" s="14" t="inlineStr">
        <is>
          <t>C011</t>
        </is>
      </c>
      <c r="C104" s="14">
        <f>VLOOKUP(B104,课程学分对照表!$A$2:$B$5,2,FALSE)</f>
        <v/>
      </c>
      <c r="D104" t="n">
        <v>89</v>
      </c>
      <c r="E104">
        <f>IF(D104&gt;=80,"优秀",IF(D104&gt;=60,"合格","不合格"))</f>
        <v/>
      </c>
    </row>
    <row r="105">
      <c r="A105" s="14" t="inlineStr">
        <is>
          <t>S2038</t>
        </is>
      </c>
      <c r="B105" s="14" t="inlineStr">
        <is>
          <t>C026</t>
        </is>
      </c>
      <c r="C105" s="14">
        <f>VLOOKUP(B105,课程学分对照表!$A$2:$B$5,2,FALSE)</f>
        <v/>
      </c>
      <c r="D105" t="n">
        <v>91</v>
      </c>
      <c r="E105">
        <f>IF(D105&gt;=80,"优秀",IF(D105&gt;=60,"合格","不合格"))</f>
        <v/>
      </c>
    </row>
    <row r="106">
      <c r="A106" s="14" t="inlineStr">
        <is>
          <t>S2039</t>
        </is>
      </c>
      <c r="B106" s="14" t="inlineStr">
        <is>
          <t>C020</t>
        </is>
      </c>
      <c r="C106" s="14">
        <f>VLOOKUP(B106,课程学分对照表!$A$2:$B$5,2,FALSE)</f>
        <v/>
      </c>
      <c r="D106" t="n">
        <v>85</v>
      </c>
      <c r="E106">
        <f>IF(D106&gt;=80,"优秀",IF(D106&gt;=60,"合格","不合格"))</f>
        <v/>
      </c>
    </row>
    <row r="107">
      <c r="A107" s="14" t="inlineStr">
        <is>
          <t>S2039</t>
        </is>
      </c>
      <c r="B107" s="14" t="inlineStr">
        <is>
          <t>C026</t>
        </is>
      </c>
      <c r="C107" s="14">
        <f>VLOOKUP(B107,课程学分对照表!$A$2:$B$5,2,FALSE)</f>
        <v/>
      </c>
      <c r="D107" t="n">
        <v>85</v>
      </c>
      <c r="E107">
        <f>IF(D107&gt;=80,"优秀",IF(D107&gt;=60,"合格","不合格"))</f>
        <v/>
      </c>
    </row>
    <row r="108">
      <c r="A108" s="14" t="inlineStr">
        <is>
          <t>S2040</t>
        </is>
      </c>
      <c r="B108" s="14" t="inlineStr">
        <is>
          <t>C020</t>
        </is>
      </c>
      <c r="C108" s="14">
        <f>VLOOKUP(B108,课程学分对照表!$A$2:$B$5,2,FALSE)</f>
        <v/>
      </c>
      <c r="D108" t="n">
        <v>51</v>
      </c>
      <c r="E108">
        <f>IF(D108&gt;=80,"优秀",IF(D108&gt;=60,"合格","不合格"))</f>
        <v/>
      </c>
    </row>
    <row r="109">
      <c r="A109" s="14" t="inlineStr">
        <is>
          <t>S2040</t>
        </is>
      </c>
      <c r="B109" s="14" t="inlineStr">
        <is>
          <t>C020</t>
        </is>
      </c>
      <c r="C109" s="14">
        <f>VLOOKUP(B109,课程学分对照表!$A$2:$B$5,2,FALSE)</f>
        <v/>
      </c>
      <c r="D109" t="n">
        <v>86</v>
      </c>
      <c r="E109">
        <f>IF(D109&gt;=80,"优秀",IF(D109&gt;=60,"合格","不合格"))</f>
        <v/>
      </c>
    </row>
    <row r="110">
      <c r="A110" s="14" t="inlineStr">
        <is>
          <t>S2040</t>
        </is>
      </c>
      <c r="B110" s="14" t="inlineStr">
        <is>
          <t>C026</t>
        </is>
      </c>
      <c r="C110" s="14">
        <f>VLOOKUP(B110,课程学分对照表!$A$2:$B$5,2,FALSE)</f>
        <v/>
      </c>
      <c r="D110" s="14" t="n">
        <v>95</v>
      </c>
      <c r="E110">
        <f>IF(D110&gt;=80,"优秀",IF(D110&gt;=60,"合格","不合格"))</f>
        <v/>
      </c>
    </row>
  </sheetData>
  <mergeCells count="3">
    <mergeCell ref="A1:E1"/>
    <mergeCell ref="G3:H3"/>
    <mergeCell ref="G12:I12"/>
  </mergeCells>
  <conditionalFormatting sqref="D3:D110">
    <cfRule type="cellIs" priority="1" operator="lessThan" dxfId="1">
      <formula>60</formula>
    </cfRule>
  </conditionalFormatting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K17" sqref="K17"/>
    </sheetView>
  </sheetViews>
  <sheetFormatPr baseColWidth="8" defaultRowHeight="14.25"/>
  <cols>
    <col width="7.5" customWidth="1" style="15" min="1" max="1"/>
    <col width="5.75" customWidth="1" style="15" min="2" max="2"/>
    <col width="8.5" customWidth="1" style="15" min="3" max="3"/>
    <col width="8.625" customWidth="1" style="15" min="4" max="4"/>
    <col width="8.375" customWidth="1" style="15" min="5" max="5"/>
    <col width="8.75" customWidth="1" style="15" min="6" max="6"/>
    <col width="8.625" customWidth="1" style="15" min="7" max="7"/>
    <col width="8.5" customWidth="1" style="15" min="8" max="8"/>
    <col width="13.5" customWidth="1" style="15" min="9" max="9"/>
    <col width="14.125" customWidth="1" style="15" min="10" max="10"/>
    <col width="9.375" customWidth="1" style="15" min="11" max="11"/>
    <col width="8.125" customWidth="1" style="15" min="12" max="12"/>
    <col width="7.75" customWidth="1" style="15" min="13" max="13"/>
    <col width="11.75" customWidth="1" style="15" min="14" max="14"/>
  </cols>
  <sheetData>
    <row r="1" ht="15.75" customHeight="1" s="15">
      <c r="A1" s="21" t="inlineStr">
        <is>
          <t>课程号</t>
        </is>
      </c>
      <c r="B1" s="21" t="inlineStr">
        <is>
          <t>学分</t>
        </is>
      </c>
      <c r="C1" s="27" t="n"/>
      <c r="D1" s="27" t="n"/>
      <c r="E1" s="27" t="n"/>
      <c r="F1" s="27" t="n"/>
      <c r="I1" s="1" t="n"/>
      <c r="J1" s="27" t="n"/>
      <c r="K1" s="27" t="n"/>
    </row>
    <row r="2">
      <c r="A2" s="22" t="inlineStr">
        <is>
          <t>C011</t>
        </is>
      </c>
      <c r="B2" s="21" t="n">
        <v>4</v>
      </c>
      <c r="I2" s="18" t="n"/>
      <c r="J2" s="27" t="n"/>
      <c r="K2" s="27" t="n"/>
    </row>
    <row r="3">
      <c r="A3" s="22" t="inlineStr">
        <is>
          <t>C015</t>
        </is>
      </c>
      <c r="B3" s="21" t="n">
        <v>3</v>
      </c>
      <c r="H3" s="18" t="n"/>
      <c r="K3" s="27" t="n"/>
    </row>
    <row r="4">
      <c r="A4" s="22" t="inlineStr">
        <is>
          <t>C020</t>
        </is>
      </c>
      <c r="B4" s="21" t="n">
        <v>2</v>
      </c>
      <c r="H4" s="18" t="n"/>
      <c r="J4" s="27" t="n"/>
      <c r="K4" s="27" t="n"/>
    </row>
    <row r="5">
      <c r="A5" s="22" t="inlineStr">
        <is>
          <t>C026</t>
        </is>
      </c>
      <c r="B5" s="21" t="n">
        <v>4</v>
      </c>
      <c r="I5" s="18" t="n"/>
    </row>
    <row r="6">
      <c r="A6" s="14" t="n"/>
      <c r="B6" s="14" t="n"/>
      <c r="H6" s="18" t="n"/>
    </row>
    <row r="7">
      <c r="A7" s="14" t="n"/>
      <c r="B7" s="14" t="n"/>
      <c r="I7" s="18" t="n"/>
    </row>
    <row r="8">
      <c r="A8" s="14" t="n"/>
      <c r="B8" s="14" t="n"/>
      <c r="H8" s="18" t="n"/>
    </row>
    <row r="9">
      <c r="A9" s="14" t="n"/>
      <c r="B9" s="14" t="n"/>
      <c r="I9" s="18" t="n"/>
    </row>
    <row r="10">
      <c r="A10" s="14" t="n"/>
      <c r="B10" s="14" t="n"/>
      <c r="H10" s="18" t="n"/>
    </row>
    <row r="11">
      <c r="A11" s="14" t="n"/>
      <c r="B11" s="14" t="n"/>
      <c r="I11" s="18" t="n"/>
    </row>
    <row r="12">
      <c r="A12" s="14" t="n"/>
      <c r="B12" s="14" t="n"/>
      <c r="H12" s="18" t="n"/>
    </row>
    <row r="13">
      <c r="A13" s="14" t="n"/>
      <c r="B13" s="14" t="n"/>
      <c r="I13" s="18" t="n"/>
    </row>
    <row r="14">
      <c r="A14" s="14" t="n"/>
      <c r="B14" s="14" t="n"/>
      <c r="H14" s="18" t="n"/>
    </row>
    <row r="15">
      <c r="A15" s="14" t="n"/>
      <c r="B15" s="14" t="n"/>
      <c r="I15" s="18" t="n"/>
    </row>
    <row r="16">
      <c r="A16" s="14" t="n"/>
      <c r="B16" s="14" t="n"/>
      <c r="I16" s="18" t="n"/>
    </row>
    <row r="17">
      <c r="A17" s="14" t="n"/>
      <c r="B17" s="14" t="n"/>
      <c r="I17" s="18" t="n"/>
    </row>
    <row r="18">
      <c r="A18" s="14" t="n"/>
      <c r="B18" s="14" t="n"/>
    </row>
    <row r="19">
      <c r="A19" s="14" t="n"/>
      <c r="B19" s="14" t="n"/>
    </row>
    <row r="20">
      <c r="A20" s="14" t="n"/>
      <c r="B20" s="14" t="n"/>
    </row>
    <row r="21">
      <c r="A21" s="14" t="n"/>
      <c r="B21" s="14" t="n"/>
    </row>
    <row r="22">
      <c r="A22" s="14" t="n"/>
      <c r="B22" s="14" t="n"/>
    </row>
    <row r="23">
      <c r="A23" s="14" t="n"/>
      <c r="B23" s="14" t="n"/>
    </row>
    <row r="24">
      <c r="A24" s="14" t="n"/>
      <c r="B24" s="14" t="n"/>
    </row>
    <row r="25">
      <c r="A25" s="14" t="n"/>
      <c r="B25" s="14" t="n"/>
    </row>
    <row r="26">
      <c r="A26" s="14" t="n"/>
      <c r="B26" s="14" t="n"/>
    </row>
    <row r="27">
      <c r="A27" s="14" t="n"/>
      <c r="B27" s="14" t="n"/>
    </row>
    <row r="28">
      <c r="A28" s="14" t="n"/>
      <c r="B28" s="14" t="n"/>
    </row>
    <row r="29">
      <c r="A29" s="14" t="n"/>
      <c r="B29" s="14" t="n"/>
    </row>
    <row r="30">
      <c r="A30" s="14" t="n"/>
      <c r="B30" s="14" t="n"/>
    </row>
    <row r="31">
      <c r="A31" s="14" t="n"/>
      <c r="B31" s="14" t="n"/>
    </row>
    <row r="32">
      <c r="A32" s="14" t="n"/>
      <c r="B32" s="14" t="n"/>
    </row>
    <row r="33">
      <c r="A33" s="14" t="n"/>
      <c r="B33" s="14" t="n"/>
    </row>
    <row r="34">
      <c r="A34" s="14" t="n"/>
      <c r="B34" s="14" t="n"/>
    </row>
    <row r="35">
      <c r="A35" s="14" t="n"/>
      <c r="B35" s="14" t="n"/>
    </row>
    <row r="36">
      <c r="A36" s="14" t="n"/>
      <c r="B36" s="14" t="n"/>
    </row>
    <row r="37">
      <c r="A37" s="14" t="n"/>
      <c r="B37" s="14" t="n"/>
    </row>
    <row r="38">
      <c r="A38" s="14" t="n"/>
      <c r="B38" s="14" t="n"/>
    </row>
    <row r="39">
      <c r="A39" s="14" t="n"/>
      <c r="B39" s="14" t="n"/>
    </row>
    <row r="40">
      <c r="A40" s="14" t="n"/>
      <c r="B40" s="14" t="n"/>
    </row>
    <row r="41">
      <c r="A41" s="14" t="n"/>
      <c r="B41" s="14" t="n"/>
    </row>
  </sheetData>
  <conditionalFormatting sqref="J1:K2 J4:K4 K3">
    <cfRule type="cellIs" priority="1" operator="greaterThanOrEqual" dxfId="0" stopIfTrue="1">
      <formula>130</formula>
    </cfRule>
  </conditionalFormatting>
  <pageMargins left="0.75" right="0.75" top="1" bottom="1" header="0.5" footer="0.5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I13" sqref="I13"/>
    </sheetView>
  </sheetViews>
  <sheetFormatPr baseColWidth="8" defaultRowHeight="14.25"/>
  <cols>
    <col width="9.375" customWidth="1" style="15" min="1" max="1"/>
    <col width="10.625" customWidth="1" style="15" min="2" max="2"/>
    <col width="10.375" customWidth="1" style="15" min="3" max="3"/>
    <col width="9.75" customWidth="1" style="15" min="4" max="4"/>
    <col width="14.625" customWidth="1" style="15" min="5" max="5"/>
    <col width="12.875" customWidth="1" style="15" min="6" max="6"/>
    <col width="11.5" customWidth="1" style="15" min="7" max="7"/>
  </cols>
  <sheetData>
    <row r="1">
      <c r="A1" s="19" t="inlineStr">
        <is>
          <t>经销部门</t>
        </is>
      </c>
      <c r="B1" s="19" t="inlineStr">
        <is>
          <t>图书类别</t>
        </is>
      </c>
      <c r="C1" s="19" t="inlineStr">
        <is>
          <t>季度</t>
        </is>
      </c>
      <c r="D1" s="19" t="inlineStr">
        <is>
          <t>销售数量(册)</t>
        </is>
      </c>
      <c r="E1" s="19" t="inlineStr">
        <is>
          <t>销售额(元)</t>
        </is>
      </c>
      <c r="F1" s="19" t="inlineStr">
        <is>
          <t>销售数量排名</t>
        </is>
      </c>
      <c r="G1" s="19" t="inlineStr">
        <is>
          <t>销售额排名</t>
        </is>
      </c>
    </row>
    <row r="2" ht="15.75" customHeight="1" s="15">
      <c r="A2" s="22" t="inlineStr">
        <is>
          <t>第3分部</t>
        </is>
      </c>
      <c r="B2" s="21" t="inlineStr">
        <is>
          <t>生物科学</t>
        </is>
      </c>
      <c r="C2" s="22" t="n">
        <v>3</v>
      </c>
      <c r="D2" s="22" t="n">
        <v>124</v>
      </c>
      <c r="E2" s="22" t="n">
        <v>8680</v>
      </c>
      <c r="F2" s="22" t="n">
        <v>61</v>
      </c>
      <c r="G2" s="22" t="n">
        <v>60</v>
      </c>
    </row>
    <row r="3" ht="15.75" customHeight="1" s="15">
      <c r="A3" s="22" t="inlineStr">
        <is>
          <t>第3分部</t>
        </is>
      </c>
      <c r="B3" s="21" t="inlineStr">
        <is>
          <t>工业技术</t>
        </is>
      </c>
      <c r="C3" s="22" t="n">
        <v>2</v>
      </c>
      <c r="D3" s="22" t="n">
        <v>321</v>
      </c>
      <c r="E3" s="22" t="n">
        <v>9630</v>
      </c>
      <c r="F3" s="22" t="n">
        <v>29</v>
      </c>
      <c r="G3" s="22" t="n">
        <v>54</v>
      </c>
    </row>
    <row r="4" ht="15.75" customHeight="1" s="15">
      <c r="A4" s="22" t="inlineStr">
        <is>
          <t>第1分部</t>
        </is>
      </c>
      <c r="B4" s="21" t="inlineStr">
        <is>
          <t>工业技术</t>
        </is>
      </c>
      <c r="C4" s="22" t="n">
        <v>2</v>
      </c>
      <c r="D4" s="22" t="n">
        <v>435</v>
      </c>
      <c r="E4" s="22" t="n">
        <v>21750</v>
      </c>
      <c r="F4" s="22" t="n">
        <v>8</v>
      </c>
      <c r="G4" s="22" t="n">
        <v>23</v>
      </c>
    </row>
    <row r="5" ht="15.75" customHeight="1" s="15">
      <c r="A5" s="22" t="inlineStr">
        <is>
          <t>第2分部</t>
        </is>
      </c>
      <c r="B5" s="21" t="inlineStr">
        <is>
          <t>生物科学</t>
        </is>
      </c>
      <c r="C5" s="22" t="n">
        <v>2</v>
      </c>
      <c r="D5" s="22" t="n">
        <v>256</v>
      </c>
      <c r="E5" s="22" t="n">
        <v>17920</v>
      </c>
      <c r="F5" s="22" t="n">
        <v>36</v>
      </c>
      <c r="G5" s="22" t="n">
        <v>28</v>
      </c>
      <c r="J5" t="inlineStr">
        <is>
          <t>第1分部</t>
        </is>
      </c>
      <c r="K5" t="inlineStr">
        <is>
          <t>第2分部</t>
        </is>
      </c>
      <c r="L5" t="inlineStr">
        <is>
          <t>第3分部</t>
        </is>
      </c>
      <c r="M5" t="inlineStr">
        <is>
          <t>第4分部</t>
        </is>
      </c>
    </row>
    <row r="6" ht="15.75" customHeight="1" s="15">
      <c r="A6" s="22" t="inlineStr">
        <is>
          <t>第2分部</t>
        </is>
      </c>
      <c r="B6" s="21" t="inlineStr">
        <is>
          <t>工业技术</t>
        </is>
      </c>
      <c r="C6" s="22" t="n">
        <v>1</v>
      </c>
      <c r="D6" s="22" t="n">
        <v>167</v>
      </c>
      <c r="E6" s="22" t="n">
        <v>8350</v>
      </c>
      <c r="F6" s="22" t="n">
        <v>55</v>
      </c>
      <c r="G6" s="22" t="n">
        <v>61</v>
      </c>
      <c r="I6" t="inlineStr">
        <is>
          <t>交通科学</t>
        </is>
      </c>
      <c r="J6">
        <f>SUMIFS($E:$E,$B:$B,"交通科学",$A:$A,"第1分部")</f>
        <v/>
      </c>
      <c r="K6">
        <f>SUMIFS($E:$E,$B:$B,"交通科学",$A:$A,"第2分部")</f>
        <v/>
      </c>
      <c r="L6">
        <f>SUMIFS($E:$E,$B:$B,"交通科学",$A:$A,"第3分部")</f>
        <v/>
      </c>
      <c r="M6">
        <f>SUMIFS($E:$E,$B:$B,"交通科学",$A:$A,"第4分部")</f>
        <v/>
      </c>
    </row>
    <row r="7" ht="15.75" customHeight="1" s="15">
      <c r="A7" s="22" t="inlineStr">
        <is>
          <t>第3分部</t>
        </is>
      </c>
      <c r="B7" s="21" t="inlineStr">
        <is>
          <t>生物科学</t>
        </is>
      </c>
      <c r="C7" s="22" t="n">
        <v>4</v>
      </c>
      <c r="D7" s="22" t="n">
        <v>157</v>
      </c>
      <c r="E7" s="22" t="n">
        <v>10990</v>
      </c>
      <c r="F7" s="22" t="n">
        <v>57</v>
      </c>
      <c r="G7" s="22" t="n">
        <v>43</v>
      </c>
      <c r="I7" t="inlineStr">
        <is>
          <t>农业科学</t>
        </is>
      </c>
      <c r="J7">
        <f>SUMIFS($E:$E,$B:$B,"农业科学",$A:$A,"第1分部")</f>
        <v/>
      </c>
      <c r="K7">
        <f>SUMIFS($E:$E,$B:$B,"农业科学",$A:$A,"第2分部")</f>
        <v/>
      </c>
      <c r="L7">
        <f>SUMIFS($E:$E,$B:$B,"农业科学",$A:$A,"第3分部")</f>
        <v/>
      </c>
      <c r="M7">
        <f>SUMIFS($E:$E,$B:$B,"农业科学",$A:$A,"第4分部")</f>
        <v/>
      </c>
    </row>
    <row r="8" ht="15.75" customHeight="1" s="15">
      <c r="A8" s="22" t="inlineStr">
        <is>
          <t>第1分部</t>
        </is>
      </c>
      <c r="B8" s="21" t="inlineStr">
        <is>
          <t>生物科学</t>
        </is>
      </c>
      <c r="C8" s="22" t="n">
        <v>4</v>
      </c>
      <c r="D8" s="22" t="n">
        <v>187</v>
      </c>
      <c r="E8" s="22" t="n">
        <v>13090</v>
      </c>
      <c r="F8" s="22" t="n">
        <v>54</v>
      </c>
      <c r="G8" s="22" t="n">
        <v>38</v>
      </c>
      <c r="I8" t="inlineStr">
        <is>
          <t>工业技术</t>
        </is>
      </c>
      <c r="J8">
        <f>SUMIFS($E:$E,$B:$B,"工业技术",$A:$A,"第1分部")</f>
        <v/>
      </c>
      <c r="K8">
        <f>SUMIFS($E:$E,$B:$B,"工业技术",$A:$A,"第2分部")</f>
        <v/>
      </c>
      <c r="L8">
        <f>SUMIFS($E:$E,$B:$B,"工业技术",$A:$A,"第3分部")</f>
        <v/>
      </c>
      <c r="M8">
        <f>SUMIFS($E:$E,$B:$B,"工业技术",$A:$A,"第4分部")</f>
        <v/>
      </c>
    </row>
    <row r="9" ht="15.75" customHeight="1" s="15">
      <c r="A9" s="22" t="inlineStr">
        <is>
          <t>第3分部</t>
        </is>
      </c>
      <c r="B9" s="21" t="inlineStr">
        <is>
          <t>工业技术</t>
        </is>
      </c>
      <c r="C9" s="22" t="n">
        <v>4</v>
      </c>
      <c r="D9" s="22" t="n">
        <v>213</v>
      </c>
      <c r="E9" s="22" t="n">
        <v>10650</v>
      </c>
      <c r="F9" s="22" t="n">
        <v>47</v>
      </c>
      <c r="G9" s="22" t="n">
        <v>48</v>
      </c>
      <c r="I9" t="inlineStr">
        <is>
          <t>生物科学</t>
        </is>
      </c>
      <c r="J9">
        <f>SUMIFS($E:$E,$B:$B,"生物科学",$A:$A,"第1分部")</f>
        <v/>
      </c>
      <c r="K9">
        <f>SUMIFS($E:$E,$B:$B,"生物科学",$A:$A,"第2分部")</f>
        <v/>
      </c>
      <c r="L9">
        <f>SUMIFS($E:$E,$B:$B,"生物科学",$A:$A,"第3分部")</f>
        <v/>
      </c>
      <c r="M9">
        <f>SUMIFS($E:$E,$B:$B,"生物科学",$A:$A,"第4分部")</f>
        <v/>
      </c>
    </row>
    <row r="10" ht="15.75" customHeight="1" s="15">
      <c r="A10" s="22" t="inlineStr">
        <is>
          <t>第2分部</t>
        </is>
      </c>
      <c r="B10" s="21" t="inlineStr">
        <is>
          <t>生物科学</t>
        </is>
      </c>
      <c r="C10" s="22" t="n">
        <v>4</v>
      </c>
      <c r="D10" s="22" t="n">
        <v>196</v>
      </c>
      <c r="E10" s="22" t="n">
        <v>13720</v>
      </c>
      <c r="F10" s="22" t="n">
        <v>52</v>
      </c>
      <c r="G10" s="22" t="n">
        <v>37</v>
      </c>
    </row>
    <row r="11" ht="15.75" customHeight="1" s="15">
      <c r="A11" s="22" t="inlineStr">
        <is>
          <t>第2分部</t>
        </is>
      </c>
      <c r="B11" s="21" t="inlineStr">
        <is>
          <t>工业技术</t>
        </is>
      </c>
      <c r="C11" s="22" t="n">
        <v>4</v>
      </c>
      <c r="D11" s="22" t="n">
        <v>219</v>
      </c>
      <c r="E11" s="22" t="n">
        <v>10950</v>
      </c>
      <c r="F11" s="22" t="n">
        <v>42</v>
      </c>
      <c r="G11" s="22" t="n">
        <v>44</v>
      </c>
    </row>
    <row r="12" ht="15.75" customHeight="1" s="15">
      <c r="A12" s="22" t="inlineStr">
        <is>
          <t>第2分部</t>
        </is>
      </c>
      <c r="B12" s="21" t="inlineStr">
        <is>
          <t>生物科学</t>
        </is>
      </c>
      <c r="C12" s="22" t="n">
        <v>3</v>
      </c>
      <c r="D12" s="22" t="n">
        <v>234</v>
      </c>
      <c r="E12" s="22" t="n">
        <v>16380</v>
      </c>
      <c r="F12" s="22" t="n">
        <v>37</v>
      </c>
      <c r="G12" s="22" t="n">
        <v>29</v>
      </c>
    </row>
    <row r="13" ht="15.75" customHeight="1" s="15">
      <c r="A13" s="22" t="inlineStr">
        <is>
          <t>第2分部</t>
        </is>
      </c>
      <c r="B13" s="21" t="inlineStr">
        <is>
          <t>生物科学</t>
        </is>
      </c>
      <c r="C13" s="22" t="n">
        <v>1</v>
      </c>
      <c r="D13" s="22" t="n">
        <v>206</v>
      </c>
      <c r="E13" s="22" t="n">
        <v>14420</v>
      </c>
      <c r="F13" s="22" t="n">
        <v>50</v>
      </c>
      <c r="G13" s="22" t="n">
        <v>34</v>
      </c>
    </row>
    <row r="14" ht="15.75" customHeight="1" s="15">
      <c r="A14" s="22" t="inlineStr">
        <is>
          <t>第2分部</t>
        </is>
      </c>
      <c r="B14" s="21" t="inlineStr">
        <is>
          <t>工业技术</t>
        </is>
      </c>
      <c r="C14" s="22" t="n">
        <v>2</v>
      </c>
      <c r="D14" s="22" t="n">
        <v>211</v>
      </c>
      <c r="E14" s="22" t="n">
        <v>10550</v>
      </c>
      <c r="F14" s="22" t="n">
        <v>49</v>
      </c>
      <c r="G14" s="22" t="n">
        <v>49</v>
      </c>
    </row>
    <row r="15" ht="15.75" customHeight="1" s="15">
      <c r="A15" s="22" t="inlineStr">
        <is>
          <t>第3分部</t>
        </is>
      </c>
      <c r="B15" s="21" t="inlineStr">
        <is>
          <t>工业技术</t>
        </is>
      </c>
      <c r="C15" s="22" t="n">
        <v>3</v>
      </c>
      <c r="D15" s="22" t="n">
        <v>189</v>
      </c>
      <c r="E15" s="22" t="n">
        <v>9450</v>
      </c>
      <c r="F15" s="22" t="n">
        <v>53</v>
      </c>
      <c r="G15" s="22" t="n">
        <v>55</v>
      </c>
    </row>
    <row r="16" ht="15.75" customHeight="1" s="15">
      <c r="A16" s="22" t="inlineStr">
        <is>
          <t>第2分部</t>
        </is>
      </c>
      <c r="B16" s="21" t="inlineStr">
        <is>
          <t>农业科学</t>
        </is>
      </c>
      <c r="C16" s="22" t="n">
        <v>1</v>
      </c>
      <c r="D16" s="22" t="n">
        <v>221</v>
      </c>
      <c r="E16" s="22" t="n">
        <v>6630</v>
      </c>
      <c r="F16" s="22" t="n">
        <v>41</v>
      </c>
      <c r="G16" s="22" t="n">
        <v>64</v>
      </c>
    </row>
    <row r="17" ht="15.75" customHeight="1" s="15">
      <c r="A17" s="22" t="inlineStr">
        <is>
          <t>第3分部</t>
        </is>
      </c>
      <c r="B17" s="21" t="inlineStr">
        <is>
          <t>农业科学</t>
        </is>
      </c>
      <c r="C17" s="22" t="n">
        <v>4</v>
      </c>
      <c r="D17" s="22" t="n">
        <v>432</v>
      </c>
      <c r="E17" s="22" t="n">
        <v>32960</v>
      </c>
      <c r="F17" s="22" t="n">
        <v>9</v>
      </c>
      <c r="G17" s="22" t="n">
        <v>4</v>
      </c>
    </row>
    <row r="18" ht="15.75" customHeight="1" s="15">
      <c r="A18" s="22" t="inlineStr">
        <is>
          <t>第1分部</t>
        </is>
      </c>
      <c r="B18" s="21" t="inlineStr">
        <is>
          <t>生物科学</t>
        </is>
      </c>
      <c r="C18" s="22" t="n">
        <v>3</v>
      </c>
      <c r="D18" s="22" t="n">
        <v>323</v>
      </c>
      <c r="E18" s="22" t="n">
        <v>22610</v>
      </c>
      <c r="F18" s="22" t="n">
        <v>28</v>
      </c>
      <c r="G18" s="22" t="n">
        <v>22</v>
      </c>
    </row>
    <row r="19" ht="15.75" customHeight="1" s="15">
      <c r="A19" s="22" t="inlineStr">
        <is>
          <t>第1分部</t>
        </is>
      </c>
      <c r="B19" s="21" t="inlineStr">
        <is>
          <t>工业技术</t>
        </is>
      </c>
      <c r="C19" s="22" t="n">
        <v>3</v>
      </c>
      <c r="D19" s="22" t="n">
        <v>324</v>
      </c>
      <c r="E19" s="22" t="n">
        <v>16200</v>
      </c>
      <c r="F19" s="22" t="n">
        <v>26</v>
      </c>
      <c r="G19" s="22" t="n">
        <v>31</v>
      </c>
    </row>
    <row r="20" ht="15.75" customHeight="1" s="15">
      <c r="A20" s="22" t="inlineStr">
        <is>
          <t>第1分部</t>
        </is>
      </c>
      <c r="B20" s="21" t="inlineStr">
        <is>
          <t>农业科学</t>
        </is>
      </c>
      <c r="C20" s="22" t="n">
        <v>4</v>
      </c>
      <c r="D20" s="22" t="n">
        <v>342</v>
      </c>
      <c r="E20" s="22" t="n">
        <v>10260</v>
      </c>
      <c r="F20" s="22" t="n">
        <v>22</v>
      </c>
      <c r="G20" s="22" t="n">
        <v>50</v>
      </c>
    </row>
    <row r="21" ht="15.75" customHeight="1" s="15">
      <c r="A21" s="22" t="inlineStr">
        <is>
          <t>第1分部</t>
        </is>
      </c>
      <c r="B21" s="21" t="inlineStr">
        <is>
          <t>工业技术</t>
        </is>
      </c>
      <c r="C21" s="22" t="n">
        <v>4</v>
      </c>
      <c r="D21" s="22" t="n">
        <v>287</v>
      </c>
      <c r="E21" s="22" t="n">
        <v>14350</v>
      </c>
      <c r="F21" s="22" t="n">
        <v>34</v>
      </c>
      <c r="G21" s="22" t="n">
        <v>35</v>
      </c>
    </row>
    <row r="22" ht="15.75" customHeight="1" s="15">
      <c r="A22" s="22" t="inlineStr">
        <is>
          <t>第2分部</t>
        </is>
      </c>
      <c r="B22" s="21" t="inlineStr">
        <is>
          <t>工业技术</t>
        </is>
      </c>
      <c r="C22" s="22" t="n">
        <v>3</v>
      </c>
      <c r="D22" s="22" t="n">
        <v>218</v>
      </c>
      <c r="E22" s="22" t="n">
        <v>10900</v>
      </c>
      <c r="F22" s="22" t="n">
        <v>44</v>
      </c>
      <c r="G22" s="22" t="n">
        <v>46</v>
      </c>
    </row>
    <row r="23" ht="15.75" customHeight="1" s="15">
      <c r="A23" s="22" t="inlineStr">
        <is>
          <t>第3分部</t>
        </is>
      </c>
      <c r="B23" s="21" t="inlineStr">
        <is>
          <t>工业技术</t>
        </is>
      </c>
      <c r="C23" s="22" t="n">
        <v>1</v>
      </c>
      <c r="D23" s="22" t="n">
        <v>301</v>
      </c>
      <c r="E23" s="22" t="n">
        <v>15050</v>
      </c>
      <c r="F23" s="22" t="n">
        <v>33</v>
      </c>
      <c r="G23" s="22" t="n">
        <v>32</v>
      </c>
    </row>
    <row r="24" ht="15.75" customHeight="1" s="15">
      <c r="A24" s="22" t="inlineStr">
        <is>
          <t>第3分部</t>
        </is>
      </c>
      <c r="B24" s="21" t="inlineStr">
        <is>
          <t>农业科学</t>
        </is>
      </c>
      <c r="C24" s="22" t="n">
        <v>1</v>
      </c>
      <c r="D24" s="22" t="n">
        <v>306</v>
      </c>
      <c r="E24" s="22" t="n">
        <v>29180</v>
      </c>
      <c r="F24" s="22" t="n">
        <v>32</v>
      </c>
      <c r="G24" s="22" t="n">
        <v>9</v>
      </c>
    </row>
    <row r="25" ht="15.75" customHeight="1" s="15">
      <c r="A25" s="22" t="inlineStr">
        <is>
          <t>第3分部</t>
        </is>
      </c>
      <c r="B25" s="21" t="inlineStr">
        <is>
          <t>生物科学</t>
        </is>
      </c>
      <c r="C25" s="22" t="n">
        <v>2</v>
      </c>
      <c r="D25" s="22" t="n">
        <v>345</v>
      </c>
      <c r="E25" s="22" t="n">
        <v>24150</v>
      </c>
      <c r="F25" s="22" t="n">
        <v>20</v>
      </c>
      <c r="G25" s="22" t="n">
        <v>15</v>
      </c>
    </row>
    <row r="26" ht="15.75" customHeight="1" s="15">
      <c r="A26" s="22" t="inlineStr">
        <is>
          <t>第2分部</t>
        </is>
      </c>
      <c r="B26" s="21" t="inlineStr">
        <is>
          <t>农业科学</t>
        </is>
      </c>
      <c r="C26" s="22" t="n">
        <v>2</v>
      </c>
      <c r="D26" s="22" t="n">
        <v>312</v>
      </c>
      <c r="E26" s="22" t="n">
        <v>9360</v>
      </c>
      <c r="F26" s="22" t="n">
        <v>31</v>
      </c>
      <c r="G26" s="22" t="n">
        <v>56</v>
      </c>
    </row>
    <row r="27" ht="15.75" customHeight="1" s="15">
      <c r="A27" s="22" t="inlineStr">
        <is>
          <t>第3分部</t>
        </is>
      </c>
      <c r="B27" s="21" t="inlineStr">
        <is>
          <t>生物科学</t>
        </is>
      </c>
      <c r="C27" s="22" t="n">
        <v>1</v>
      </c>
      <c r="D27" s="22" t="n">
        <v>212</v>
      </c>
      <c r="E27" s="22" t="n">
        <v>14840</v>
      </c>
      <c r="F27" s="22" t="n">
        <v>48</v>
      </c>
      <c r="G27" s="22" t="n">
        <v>33</v>
      </c>
    </row>
    <row r="28" ht="15.75" customHeight="1" s="15">
      <c r="A28" s="22" t="inlineStr">
        <is>
          <t>第1分部</t>
        </is>
      </c>
      <c r="B28" s="21" t="inlineStr">
        <is>
          <t>生物科学</t>
        </is>
      </c>
      <c r="C28" s="22" t="n">
        <v>1</v>
      </c>
      <c r="D28" s="22" t="n">
        <v>345</v>
      </c>
      <c r="E28" s="22" t="n">
        <v>24150</v>
      </c>
      <c r="F28" s="22" t="n">
        <v>20</v>
      </c>
      <c r="G28" s="22" t="n">
        <v>15</v>
      </c>
    </row>
    <row r="29" ht="15.75" customHeight="1" s="15">
      <c r="A29" s="22" t="inlineStr">
        <is>
          <t>第1分部</t>
        </is>
      </c>
      <c r="B29" s="21" t="inlineStr">
        <is>
          <t>农业科学</t>
        </is>
      </c>
      <c r="C29" s="22" t="n">
        <v>3</v>
      </c>
      <c r="D29" s="22" t="n">
        <v>365</v>
      </c>
      <c r="E29" s="22" t="n">
        <v>10950</v>
      </c>
      <c r="F29" s="22" t="n">
        <v>17</v>
      </c>
      <c r="G29" s="22" t="n">
        <v>44</v>
      </c>
    </row>
    <row r="30" ht="15.75" customHeight="1" s="15">
      <c r="A30" s="22" t="inlineStr">
        <is>
          <t>第1分部</t>
        </is>
      </c>
      <c r="B30" s="21" t="inlineStr">
        <is>
          <t>生物科学</t>
        </is>
      </c>
      <c r="C30" s="22" t="n">
        <v>2</v>
      </c>
      <c r="D30" s="22" t="n">
        <v>412</v>
      </c>
      <c r="E30" s="22" t="n">
        <v>28840</v>
      </c>
      <c r="F30" s="22" t="n">
        <v>14</v>
      </c>
      <c r="G30" s="22" t="n">
        <v>10</v>
      </c>
    </row>
    <row r="31" ht="15.75" customHeight="1" s="15">
      <c r="A31" s="22" t="inlineStr">
        <is>
          <t>第2分部</t>
        </is>
      </c>
      <c r="B31" s="21" t="inlineStr">
        <is>
          <t>农业科学</t>
        </is>
      </c>
      <c r="C31" s="22" t="n">
        <v>4</v>
      </c>
      <c r="D31" s="22" t="n">
        <v>421</v>
      </c>
      <c r="E31" s="22" t="n">
        <v>12630</v>
      </c>
      <c r="F31" s="22" t="n">
        <v>12</v>
      </c>
      <c r="G31" s="22" t="n">
        <v>40</v>
      </c>
    </row>
    <row r="32" ht="15.75" customHeight="1" s="15">
      <c r="A32" s="22" t="inlineStr">
        <is>
          <t>第1分部</t>
        </is>
      </c>
      <c r="B32" s="21" t="inlineStr">
        <is>
          <t>工业技术</t>
        </is>
      </c>
      <c r="C32" s="22" t="n">
        <v>1</v>
      </c>
      <c r="D32" s="22" t="n">
        <v>569</v>
      </c>
      <c r="E32" s="22" t="n">
        <v>28450</v>
      </c>
      <c r="F32" s="22" t="n">
        <v>4</v>
      </c>
      <c r="G32" s="22" t="n">
        <v>11</v>
      </c>
    </row>
    <row r="33" ht="15.75" customHeight="1" s="15">
      <c r="A33" s="22" t="inlineStr">
        <is>
          <t>第1分部</t>
        </is>
      </c>
      <c r="B33" s="21" t="inlineStr">
        <is>
          <t>农业科学</t>
        </is>
      </c>
      <c r="C33" s="22" t="n">
        <v>2</v>
      </c>
      <c r="D33" s="22" t="n">
        <v>654</v>
      </c>
      <c r="E33" s="22" t="n">
        <v>19620</v>
      </c>
      <c r="F33" s="22" t="n">
        <v>2</v>
      </c>
      <c r="G33" s="22" t="n">
        <v>26</v>
      </c>
    </row>
    <row r="34" ht="15.75" customHeight="1" s="15">
      <c r="A34" s="22" t="inlineStr">
        <is>
          <t>第1分部</t>
        </is>
      </c>
      <c r="B34" s="21" t="inlineStr">
        <is>
          <t>农业科学</t>
        </is>
      </c>
      <c r="C34" s="22" t="n">
        <v>1</v>
      </c>
      <c r="D34" s="22" t="n">
        <v>765</v>
      </c>
      <c r="E34" s="22" t="n">
        <v>22950</v>
      </c>
      <c r="F34" s="22" t="n">
        <v>1</v>
      </c>
      <c r="G34" s="22" t="n">
        <v>20</v>
      </c>
    </row>
    <row r="35">
      <c r="A35" s="21" t="inlineStr">
        <is>
          <t>第4分部</t>
        </is>
      </c>
      <c r="B35" s="21" t="inlineStr">
        <is>
          <t>生物科学</t>
        </is>
      </c>
      <c r="C35" s="22" t="n">
        <v>3</v>
      </c>
      <c r="D35" s="22" t="n">
        <v>378</v>
      </c>
      <c r="E35" s="22" t="n">
        <v>26460</v>
      </c>
      <c r="F35" s="22" t="n">
        <v>16</v>
      </c>
      <c r="G35" s="22" t="n">
        <v>14</v>
      </c>
    </row>
    <row r="36" ht="15.75" customHeight="1" s="15">
      <c r="A36" s="22" t="inlineStr">
        <is>
          <t>第3分部</t>
        </is>
      </c>
      <c r="B36" s="21" t="inlineStr">
        <is>
          <t>农业科学</t>
        </is>
      </c>
      <c r="C36" s="22" t="n">
        <v>3</v>
      </c>
      <c r="D36" s="22" t="n">
        <v>219</v>
      </c>
      <c r="E36" s="22" t="n">
        <v>12990</v>
      </c>
      <c r="F36" s="22" t="n">
        <v>42</v>
      </c>
      <c r="G36" s="22" t="n">
        <v>39</v>
      </c>
    </row>
    <row r="37">
      <c r="A37" s="21" t="inlineStr">
        <is>
          <t>第4分部</t>
        </is>
      </c>
      <c r="B37" s="21" t="inlineStr">
        <is>
          <t>生物科学</t>
        </is>
      </c>
      <c r="C37" s="22" t="n">
        <v>1</v>
      </c>
      <c r="D37" s="22" t="n">
        <v>324</v>
      </c>
      <c r="E37" s="22" t="n">
        <v>22680</v>
      </c>
      <c r="F37" s="22" t="n">
        <v>26</v>
      </c>
      <c r="G37" s="22" t="n">
        <v>21</v>
      </c>
    </row>
    <row r="38">
      <c r="A38" s="21" t="inlineStr">
        <is>
          <t>第4分部</t>
        </is>
      </c>
      <c r="B38" s="21" t="inlineStr">
        <is>
          <t>生物科学</t>
        </is>
      </c>
      <c r="C38" s="22" t="n">
        <v>2</v>
      </c>
      <c r="D38" s="22" t="n">
        <v>329</v>
      </c>
      <c r="E38" s="22" t="n">
        <v>23030</v>
      </c>
      <c r="F38" s="22" t="n">
        <v>25</v>
      </c>
      <c r="G38" s="22" t="n">
        <v>19</v>
      </c>
    </row>
    <row r="39">
      <c r="A39" s="21" t="inlineStr">
        <is>
          <t>第4分部</t>
        </is>
      </c>
      <c r="B39" s="21" t="inlineStr">
        <is>
          <t>生物科学</t>
        </is>
      </c>
      <c r="C39" s="22" t="n">
        <v>4</v>
      </c>
      <c r="D39" s="22" t="n">
        <v>398</v>
      </c>
      <c r="E39" s="22" t="n">
        <v>27860</v>
      </c>
      <c r="F39" s="22" t="n">
        <v>15</v>
      </c>
      <c r="G39" s="22" t="n">
        <v>12</v>
      </c>
    </row>
    <row r="40">
      <c r="A40" s="21" t="inlineStr">
        <is>
          <t>第1分部</t>
        </is>
      </c>
      <c r="B40" s="21" t="inlineStr">
        <is>
          <t>交通科学</t>
        </is>
      </c>
      <c r="C40" s="22" t="n">
        <v>1</v>
      </c>
      <c r="D40" s="22" t="n">
        <v>436</v>
      </c>
      <c r="E40" s="22" t="n">
        <v>35648</v>
      </c>
      <c r="F40" s="22" t="n">
        <v>7</v>
      </c>
      <c r="G40" s="22" t="n">
        <v>3</v>
      </c>
    </row>
    <row r="41">
      <c r="A41" s="21" t="inlineStr">
        <is>
          <t>第4分部</t>
        </is>
      </c>
      <c r="B41" s="22" t="inlineStr">
        <is>
          <t>交通科学</t>
        </is>
      </c>
      <c r="C41" s="22" t="n">
        <v>3</v>
      </c>
      <c r="D41" s="22" t="n">
        <v>232</v>
      </c>
      <c r="E41" s="22" t="n">
        <v>11298</v>
      </c>
      <c r="F41" s="22" t="n">
        <v>39</v>
      </c>
      <c r="G41" s="22" t="n">
        <v>42</v>
      </c>
    </row>
    <row r="42">
      <c r="A42" s="21" t="inlineStr">
        <is>
          <t>第1分部</t>
        </is>
      </c>
      <c r="B42" s="21" t="inlineStr">
        <is>
          <t>交通科学</t>
        </is>
      </c>
      <c r="C42" s="22" t="n">
        <v>3</v>
      </c>
      <c r="D42" s="22" t="n">
        <v>231</v>
      </c>
      <c r="E42" s="22" t="n">
        <v>23217</v>
      </c>
      <c r="F42" s="22" t="n">
        <v>40</v>
      </c>
      <c r="G42" s="22" t="n">
        <v>18</v>
      </c>
    </row>
    <row r="43">
      <c r="A43" s="21" t="inlineStr">
        <is>
          <t>第4分部</t>
        </is>
      </c>
      <c r="B43" s="22" t="inlineStr">
        <is>
          <t>交通科学</t>
        </is>
      </c>
      <c r="C43" s="22" t="n">
        <v>1</v>
      </c>
      <c r="D43" s="22" t="n">
        <v>321</v>
      </c>
      <c r="E43" s="22" t="n">
        <v>18976</v>
      </c>
      <c r="F43" s="22" t="n">
        <v>29</v>
      </c>
      <c r="G43" s="22" t="n">
        <v>27</v>
      </c>
    </row>
    <row r="44">
      <c r="A44" s="21" t="inlineStr">
        <is>
          <t>第2分部</t>
        </is>
      </c>
      <c r="B44" s="22" t="inlineStr">
        <is>
          <t>交通科学</t>
        </is>
      </c>
      <c r="C44" s="22" t="n">
        <v>1</v>
      </c>
      <c r="D44" s="22" t="n">
        <v>123</v>
      </c>
      <c r="E44" s="22" t="n">
        <v>7685</v>
      </c>
      <c r="F44" s="22" t="n">
        <v>62</v>
      </c>
      <c r="G44" s="22" t="n">
        <v>63</v>
      </c>
    </row>
    <row r="45">
      <c r="A45" s="21" t="inlineStr">
        <is>
          <t>第2分部</t>
        </is>
      </c>
      <c r="B45" s="22" t="inlineStr">
        <is>
          <t>交通科学</t>
        </is>
      </c>
      <c r="C45" s="22" t="n">
        <v>2</v>
      </c>
      <c r="D45" s="22" t="n">
        <v>342</v>
      </c>
      <c r="E45" s="22" t="n">
        <v>23718</v>
      </c>
      <c r="F45" s="22" t="n">
        <v>22</v>
      </c>
      <c r="G45" s="22" t="n">
        <v>17</v>
      </c>
    </row>
    <row r="46">
      <c r="A46" s="22" t="inlineStr">
        <is>
          <t>第4分部</t>
        </is>
      </c>
      <c r="B46" s="21" t="inlineStr">
        <is>
          <t>工业技术</t>
        </is>
      </c>
      <c r="C46" s="22" t="n">
        <v>1</v>
      </c>
      <c r="D46" s="22" t="n">
        <v>234</v>
      </c>
      <c r="E46" s="22" t="n">
        <v>14321</v>
      </c>
      <c r="F46" s="22" t="n">
        <v>37</v>
      </c>
      <c r="G46" s="22" t="n">
        <v>36</v>
      </c>
    </row>
    <row r="47">
      <c r="A47" s="21" t="inlineStr">
        <is>
          <t>第2分部</t>
        </is>
      </c>
      <c r="B47" s="22" t="inlineStr">
        <is>
          <t>交通科学</t>
        </is>
      </c>
      <c r="C47" s="22" t="n">
        <v>4</v>
      </c>
      <c r="D47" s="22" t="n">
        <v>341</v>
      </c>
      <c r="E47" s="22" t="n">
        <v>26785</v>
      </c>
      <c r="F47" s="22" t="n">
        <v>24</v>
      </c>
      <c r="G47" s="22" t="n">
        <v>13</v>
      </c>
    </row>
    <row r="48">
      <c r="A48" s="22" t="inlineStr">
        <is>
          <t>第4分部</t>
        </is>
      </c>
      <c r="B48" s="21" t="inlineStr">
        <is>
          <t>农业科学</t>
        </is>
      </c>
      <c r="C48" s="22" t="n">
        <v>4</v>
      </c>
      <c r="D48" s="22" t="n">
        <v>421</v>
      </c>
      <c r="E48" s="22" t="n">
        <v>32534</v>
      </c>
      <c r="F48" s="22" t="n">
        <v>12</v>
      </c>
      <c r="G48" s="22" t="n">
        <v>5</v>
      </c>
    </row>
    <row r="49">
      <c r="A49" s="21" t="inlineStr">
        <is>
          <t>第3分部</t>
        </is>
      </c>
      <c r="B49" s="22" t="inlineStr">
        <is>
          <t>交通科学</t>
        </is>
      </c>
      <c r="C49" s="22" t="n">
        <v>1</v>
      </c>
      <c r="D49" s="22" t="n">
        <v>166</v>
      </c>
      <c r="E49" s="22" t="n">
        <v>8765</v>
      </c>
      <c r="F49" s="22" t="n">
        <v>56</v>
      </c>
      <c r="G49" s="22" t="n">
        <v>59</v>
      </c>
    </row>
    <row r="50">
      <c r="A50" s="22" t="inlineStr">
        <is>
          <t>第4分部</t>
        </is>
      </c>
      <c r="B50" s="21" t="inlineStr">
        <is>
          <t>工业技术</t>
        </is>
      </c>
      <c r="C50" s="22" t="n">
        <v>3</v>
      </c>
      <c r="D50" s="22" t="n">
        <v>129</v>
      </c>
      <c r="E50" s="22" t="n">
        <v>9637</v>
      </c>
      <c r="F50" s="22" t="n">
        <v>60</v>
      </c>
      <c r="G50" s="22" t="n">
        <v>53</v>
      </c>
    </row>
    <row r="51">
      <c r="A51" s="21" t="inlineStr">
        <is>
          <t>第3分部</t>
        </is>
      </c>
      <c r="B51" s="22" t="inlineStr">
        <is>
          <t>交通科学</t>
        </is>
      </c>
      <c r="C51" s="22" t="n">
        <v>3</v>
      </c>
      <c r="D51" s="22" t="n">
        <v>216</v>
      </c>
      <c r="E51" s="22" t="n">
        <v>10238</v>
      </c>
      <c r="F51" s="22" t="n">
        <v>46</v>
      </c>
      <c r="G51" s="22" t="n">
        <v>51</v>
      </c>
    </row>
    <row r="52">
      <c r="A52" s="22" t="inlineStr">
        <is>
          <t>第4分部</t>
        </is>
      </c>
      <c r="B52" s="21" t="inlineStr">
        <is>
          <t>农业科学</t>
        </is>
      </c>
      <c r="C52" s="22" t="n">
        <v>2</v>
      </c>
      <c r="D52" s="22" t="n">
        <v>217</v>
      </c>
      <c r="E52" s="22" t="n">
        <v>20453</v>
      </c>
      <c r="F52" s="22" t="n">
        <v>45</v>
      </c>
      <c r="G52" s="22" t="n">
        <v>25</v>
      </c>
    </row>
    <row r="53">
      <c r="A53" s="21" t="inlineStr">
        <is>
          <t>第3分部</t>
        </is>
      </c>
      <c r="B53" s="22" t="inlineStr">
        <is>
          <t>交通科学</t>
        </is>
      </c>
      <c r="C53" s="22" t="n">
        <v>4</v>
      </c>
      <c r="D53" s="22" t="n">
        <v>432</v>
      </c>
      <c r="E53" s="22" t="n">
        <v>20563</v>
      </c>
      <c r="F53" s="22" t="n">
        <v>9</v>
      </c>
      <c r="G53" s="22" t="n">
        <v>24</v>
      </c>
    </row>
    <row r="54">
      <c r="A54" s="21" t="inlineStr">
        <is>
          <t>第1分部</t>
        </is>
      </c>
      <c r="B54" s="21" t="inlineStr">
        <is>
          <t>交通科学</t>
        </is>
      </c>
      <c r="C54" s="22" t="n">
        <v>4</v>
      </c>
      <c r="D54" s="22" t="n">
        <v>365</v>
      </c>
      <c r="E54" s="22" t="n">
        <v>29879</v>
      </c>
      <c r="F54" s="22" t="n">
        <v>17</v>
      </c>
      <c r="G54" s="22" t="n">
        <v>7</v>
      </c>
    </row>
    <row r="55">
      <c r="A55" s="21" t="inlineStr">
        <is>
          <t>第4分部</t>
        </is>
      </c>
      <c r="B55" s="22" t="inlineStr">
        <is>
          <t>交通科学</t>
        </is>
      </c>
      <c r="C55" s="22" t="n">
        <v>2</v>
      </c>
      <c r="D55" s="22" t="n">
        <v>112</v>
      </c>
      <c r="E55" s="22" t="n">
        <v>8798</v>
      </c>
      <c r="F55" s="22" t="n">
        <v>63</v>
      </c>
      <c r="G55" s="22" t="n">
        <v>58</v>
      </c>
    </row>
    <row r="56">
      <c r="A56" s="21" t="inlineStr">
        <is>
          <t>第4分部</t>
        </is>
      </c>
      <c r="B56" s="22" t="inlineStr">
        <is>
          <t>交通科学</t>
        </is>
      </c>
      <c r="C56" s="22" t="n">
        <v>4</v>
      </c>
      <c r="D56" s="22" t="n">
        <v>261</v>
      </c>
      <c r="E56" s="22" t="n">
        <v>11675</v>
      </c>
      <c r="F56" s="22" t="n">
        <v>35</v>
      </c>
      <c r="G56" s="22" t="n">
        <v>41</v>
      </c>
    </row>
    <row r="57">
      <c r="A57" s="21" t="inlineStr">
        <is>
          <t>第1分部</t>
        </is>
      </c>
      <c r="B57" s="21" t="inlineStr">
        <is>
          <t>交通科学</t>
        </is>
      </c>
      <c r="C57" s="22" t="n">
        <v>2</v>
      </c>
      <c r="D57" s="22" t="n">
        <v>654</v>
      </c>
      <c r="E57" s="22" t="n">
        <v>45321</v>
      </c>
      <c r="F57" s="22" t="n">
        <v>2</v>
      </c>
      <c r="G57" s="22" t="n">
        <v>1</v>
      </c>
    </row>
    <row r="58">
      <c r="A58" s="22" t="inlineStr">
        <is>
          <t>第4分部</t>
        </is>
      </c>
      <c r="B58" s="21" t="inlineStr">
        <is>
          <t>工业技术</t>
        </is>
      </c>
      <c r="C58" s="22" t="n">
        <v>2</v>
      </c>
      <c r="D58" s="22" t="n">
        <v>432</v>
      </c>
      <c r="E58" s="22" t="n">
        <v>31256</v>
      </c>
      <c r="F58" s="22" t="n">
        <v>9</v>
      </c>
      <c r="G58" s="22" t="n">
        <v>6</v>
      </c>
    </row>
    <row r="59" ht="15.75" customHeight="1" s="15">
      <c r="A59" s="22" t="inlineStr">
        <is>
          <t>第2分部</t>
        </is>
      </c>
      <c r="B59" s="21" t="inlineStr">
        <is>
          <t>农业科学</t>
        </is>
      </c>
      <c r="C59" s="22" t="n">
        <v>3</v>
      </c>
      <c r="D59" s="22" t="n">
        <v>543</v>
      </c>
      <c r="E59" s="22" t="n">
        <v>16290</v>
      </c>
      <c r="F59" s="22" t="n">
        <v>5</v>
      </c>
      <c r="G59" s="22" t="n">
        <v>30</v>
      </c>
    </row>
    <row r="60">
      <c r="A60" s="22" t="inlineStr">
        <is>
          <t>第4分部</t>
        </is>
      </c>
      <c r="B60" s="21" t="inlineStr">
        <is>
          <t>工业技术</t>
        </is>
      </c>
      <c r="C60" s="22" t="n">
        <v>4</v>
      </c>
      <c r="D60" s="22" t="n">
        <v>112</v>
      </c>
      <c r="E60" s="22" t="n">
        <v>8178</v>
      </c>
      <c r="F60" s="22" t="n">
        <v>63</v>
      </c>
      <c r="G60" s="22" t="n">
        <v>62</v>
      </c>
    </row>
    <row r="61">
      <c r="A61" s="22" t="inlineStr">
        <is>
          <t>第4分部</t>
        </is>
      </c>
      <c r="B61" s="21" t="inlineStr">
        <is>
          <t>农业科学</t>
        </is>
      </c>
      <c r="C61" s="22" t="n">
        <v>1</v>
      </c>
      <c r="D61" s="22" t="n">
        <v>156</v>
      </c>
      <c r="E61" s="22" t="n">
        <v>10786</v>
      </c>
      <c r="F61" s="22" t="n">
        <v>58</v>
      </c>
      <c r="G61" s="22" t="n">
        <v>47</v>
      </c>
    </row>
    <row r="62">
      <c r="A62" s="21" t="inlineStr">
        <is>
          <t>第3分部</t>
        </is>
      </c>
      <c r="B62" s="22" t="inlineStr">
        <is>
          <t>交通科学</t>
        </is>
      </c>
      <c r="C62" s="22" t="n">
        <v>2</v>
      </c>
      <c r="D62" s="22" t="n">
        <v>199</v>
      </c>
      <c r="E62" s="22" t="n">
        <v>9675</v>
      </c>
      <c r="F62" s="22" t="n">
        <v>51</v>
      </c>
      <c r="G62" s="22" t="n">
        <v>52</v>
      </c>
    </row>
    <row r="63">
      <c r="A63" s="22" t="inlineStr">
        <is>
          <t>第4分部</t>
        </is>
      </c>
      <c r="B63" s="21" t="inlineStr">
        <is>
          <t>农业科学</t>
        </is>
      </c>
      <c r="C63" s="22" t="n">
        <v>3</v>
      </c>
      <c r="D63" s="22" t="n">
        <v>356</v>
      </c>
      <c r="E63" s="22" t="n">
        <v>29342</v>
      </c>
      <c r="F63" s="22" t="n">
        <v>19</v>
      </c>
      <c r="G63" s="22" t="n">
        <v>8</v>
      </c>
    </row>
    <row r="64">
      <c r="A64" s="21" t="inlineStr">
        <is>
          <t>第2分部</t>
        </is>
      </c>
      <c r="B64" s="22" t="inlineStr">
        <is>
          <t>交通科学</t>
        </is>
      </c>
      <c r="C64" s="22" t="n">
        <v>3</v>
      </c>
      <c r="D64" s="22" t="n">
        <v>542</v>
      </c>
      <c r="E64" s="22" t="n">
        <v>41234</v>
      </c>
      <c r="F64" s="22" t="n">
        <v>6</v>
      </c>
      <c r="G64" s="22" t="n">
        <v>2</v>
      </c>
    </row>
    <row r="65">
      <c r="A65" s="22" t="inlineStr">
        <is>
          <t>第3分部</t>
        </is>
      </c>
      <c r="B65" s="21" t="inlineStr">
        <is>
          <t>农业科学</t>
        </is>
      </c>
      <c r="C65" s="22" t="n">
        <v>2</v>
      </c>
      <c r="D65" s="22" t="n">
        <v>148</v>
      </c>
      <c r="E65" s="22" t="n">
        <v>9078</v>
      </c>
      <c r="F65" s="22" t="n">
        <v>59</v>
      </c>
      <c r="G65" s="22" t="n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ysy</dc:creator>
  <dcterms:created xmlns:dcterms="http://purl.org/dc/terms/" xmlns:xsi="http://www.w3.org/2001/XMLSchema-instance" xsi:type="dcterms:W3CDTF">2005-08-24T03:08:06Z</dcterms:created>
  <dcterms:modified xmlns:dcterms="http://purl.org/dc/terms/" xmlns:xsi="http://www.w3.org/2001/XMLSchema-instance" xsi:type="dcterms:W3CDTF">2026-04-17T08:10:18Z</dcterms:modified>
  <cp:lastModifiedBy>Microsoft</cp:lastModifiedBy>
</cp:coreProperties>
</file>