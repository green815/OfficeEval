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525" windowHeight="12690" tabRatio="600" firstSheet="0" activeTab="2" autoFilterDateGrouping="1"/>
  </bookViews>
  <sheets>
    <sheet xmlns:r="http://schemas.openxmlformats.org/officeDocument/2006/relationships" name="产品销售表" sheetId="1" state="visible" r:id="rId1"/>
    <sheet xmlns:r="http://schemas.openxmlformats.org/officeDocument/2006/relationships" name="图书销售统计表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宋体"/>
      <charset val="134"/>
      <sz val="12"/>
    </font>
    <font>
      <name val="宋体"/>
      <charset val="134"/>
      <family val="3"/>
      <sz val="12"/>
    </font>
    <font>
      <name val="Times New Roman"/>
      <family val="1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2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5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9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2" pivotButton="0" quotePrefix="0" xfId="1"/>
    <xf numFmtId="0" fontId="1" fillId="0" borderId="0" pivotButton="0" quotePrefix="0" xfId="1"/>
    <xf numFmtId="0" fontId="1" fillId="0" borderId="2" pivotButton="0" quotePrefix="0" xfId="1"/>
    <xf numFmtId="0" fontId="1" fillId="0" borderId="2" pivotButton="0" quotePrefix="0" xfId="1"/>
    <xf numFmtId="0" fontId="1" fillId="0" borderId="2" pivotButton="0" quotePrefix="0" xfId="1"/>
    <xf numFmtId="0" fontId="1" fillId="0" borderId="2" pivotButton="0" quotePrefix="0" xfId="1"/>
    <xf numFmtId="0" fontId="0" fillId="0" borderId="1" pivotButton="0" quotePrefix="0" xfId="0"/>
    <xf numFmtId="164" fontId="0" fillId="0" borderId="5" pivotButton="0" quotePrefix="0" xfId="0"/>
    <xf numFmtId="2" fontId="1" fillId="0" borderId="2" pivotButton="0" quotePrefix="0" xfId="0"/>
    <xf numFmtId="2" fontId="1" fillId="0" borderId="2" pivotButton="0" quotePrefix="0" xfId="1"/>
    <xf numFmtId="2" fontId="0" fillId="0" borderId="0" pivotButton="0" quotePrefix="0" xfId="0"/>
  </cellXfs>
  <cellStyles count="2">
    <cellStyle name="常规" xfId="0" builtinId="0"/>
    <cellStyle name="常规 2" xfId="1"/>
  </cellStyles>
  <dxfs count="1"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 月销售提成（万元）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5F824D"/>
            </a:solidFill>
            <a:ln xmlns:a="http://schemas.openxmlformats.org/drawingml/2006/main">
              <a:prstDash val="solid"/>
            </a:ln>
          </spPr>
          <cat>
            <numRef>
              <f>'Sheet1'!$A$2:$A$12</f>
            </numRef>
          </cat>
          <val>
            <numRef>
              <f>'Sheet1'!$H$2:$H$12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F38" sqref="F38:H42"/>
    </sheetView>
  </sheetViews>
  <sheetFormatPr baseColWidth="8" defaultColWidth="8.625" defaultRowHeight="14.25"/>
  <cols>
    <col width="12.625" customWidth="1" style="1" min="1" max="1"/>
    <col width="7.75" customWidth="1" style="1" min="2" max="2"/>
    <col width="14.875" customWidth="1" style="1" min="3" max="5"/>
    <col width="12.875" customWidth="1" style="1" min="6" max="6"/>
    <col width="8.75" customWidth="1" style="1" min="7" max="7"/>
    <col width="16.625" customWidth="1" style="1" min="8" max="8"/>
    <col width="8.625" customWidth="1" style="1" min="9" max="9"/>
    <col width="20.5" customWidth="1" style="1" min="10" max="10"/>
    <col width="13.625" customWidth="1" style="1" min="11" max="11"/>
    <col width="8.625" customWidth="1" style="1" min="12" max="16384"/>
  </cols>
  <sheetData>
    <row r="1">
      <c r="A1" s="13" t="inlineStr">
        <is>
          <t>某公司员工销售业绩情况表</t>
        </is>
      </c>
      <c r="B1" s="21" t="n"/>
      <c r="C1" s="21" t="n"/>
      <c r="D1" s="21" t="n"/>
      <c r="E1" s="21" t="n"/>
      <c r="F1" s="21" t="n"/>
      <c r="G1" s="21" t="n"/>
      <c r="H1" s="21" t="n"/>
    </row>
    <row r="2">
      <c r="A2" s="3" t="inlineStr">
        <is>
          <t>员工号</t>
        </is>
      </c>
      <c r="B2" s="4" t="inlineStr">
        <is>
          <t>月份</t>
        </is>
      </c>
      <c r="C2" s="4" t="inlineStr">
        <is>
          <t>A产品销售数量</t>
        </is>
      </c>
      <c r="D2" s="4" t="inlineStr">
        <is>
          <t>B产品销售数量</t>
        </is>
      </c>
      <c r="E2" s="4" t="inlineStr">
        <is>
          <t>C产品销售数量</t>
        </is>
      </c>
      <c r="F2" s="3" t="inlineStr">
        <is>
          <t>销售额(万元）</t>
        </is>
      </c>
      <c r="G2" s="9" t="inlineStr">
        <is>
          <t>销售排名</t>
        </is>
      </c>
      <c r="H2" s="9" t="inlineStr">
        <is>
          <t>销售提成（万元）</t>
        </is>
      </c>
      <c r="J2" s="13" t="inlineStr">
        <is>
          <t>产品单品价格表</t>
        </is>
      </c>
      <c r="K2" s="21" t="n"/>
    </row>
    <row r="3" ht="15.75" customHeight="1">
      <c r="A3" s="6" t="inlineStr">
        <is>
          <t>H01</t>
        </is>
      </c>
      <c r="B3" s="7" t="inlineStr">
        <is>
          <t>1月</t>
        </is>
      </c>
      <c r="C3" s="22" t="n">
        <v>34</v>
      </c>
      <c r="D3" s="22" t="n">
        <v>56</v>
      </c>
      <c r="E3" s="22" t="n">
        <v>45</v>
      </c>
      <c r="F3" s="22" t="n">
        <v>59.7</v>
      </c>
      <c r="G3" s="9">
        <f>RANK.EQ(F3,$F$3:$F$42,0)</f>
        <v/>
      </c>
      <c r="H3" s="23">
        <f>IF(F3&lt;50,F3*0.1,IF(F3&lt;80,F3*0.15,F3*0.2))</f>
        <v/>
      </c>
      <c r="J3" s="11" t="inlineStr">
        <is>
          <t>产品名称</t>
        </is>
      </c>
      <c r="K3" s="11" t="inlineStr">
        <is>
          <t>单价（万元）</t>
        </is>
      </c>
    </row>
    <row r="4" ht="15.75" customHeight="1">
      <c r="A4" s="6" t="inlineStr">
        <is>
          <t>H02</t>
        </is>
      </c>
      <c r="B4" s="7" t="inlineStr">
        <is>
          <t>1月</t>
        </is>
      </c>
      <c r="C4" s="22" t="n">
        <v>67</v>
      </c>
      <c r="D4" s="22" t="n">
        <v>23</v>
      </c>
      <c r="E4" s="22" t="n">
        <v>54</v>
      </c>
      <c r="F4" s="22" t="n">
        <v>63.9</v>
      </c>
      <c r="G4" s="9">
        <f>RANK.EQ(F4,$F$3:$F$42,0)</f>
        <v/>
      </c>
      <c r="H4" s="23">
        <f>IF(F4&lt;50,F4*0.1,IF(F4&lt;80,F4*0.15,F4*0.2))</f>
        <v/>
      </c>
      <c r="J4" s="11" t="inlineStr">
        <is>
          <t>A产品</t>
        </is>
      </c>
      <c r="K4" s="11" t="n">
        <v>0.16</v>
      </c>
    </row>
    <row r="5" ht="15.75" customHeight="1">
      <c r="A5" s="6" t="inlineStr">
        <is>
          <t>H03</t>
        </is>
      </c>
      <c r="B5" s="7" t="inlineStr">
        <is>
          <t>1月</t>
        </is>
      </c>
      <c r="C5" s="22" t="n">
        <v>45</v>
      </c>
      <c r="D5" s="22" t="n">
        <v>58</v>
      </c>
      <c r="E5" s="22" t="n">
        <v>79</v>
      </c>
      <c r="F5" s="22" t="n">
        <v>91.59999999999999</v>
      </c>
      <c r="G5" s="9">
        <f>RANK.EQ(F5,$F$3:$F$42,0)</f>
        <v/>
      </c>
      <c r="H5" s="23">
        <f>IF(F5&lt;50,F5*0.1,IF(F5&lt;80,F5*0.15,F5*0.2))</f>
        <v/>
      </c>
      <c r="J5" s="11" t="inlineStr">
        <is>
          <t>B产品</t>
        </is>
      </c>
      <c r="K5" s="11" t="n">
        <v>0.27</v>
      </c>
    </row>
    <row r="6" ht="15.75" customHeight="1">
      <c r="A6" s="6" t="inlineStr">
        <is>
          <t>H04</t>
        </is>
      </c>
      <c r="B6" s="7" t="inlineStr">
        <is>
          <t>1月</t>
        </is>
      </c>
      <c r="C6" s="22" t="n">
        <v>62</v>
      </c>
      <c r="D6" s="22" t="n">
        <v>109</v>
      </c>
      <c r="E6" s="22" t="n">
        <v>39</v>
      </c>
      <c r="F6" s="22" t="n">
        <v>73.3</v>
      </c>
      <c r="G6" s="9">
        <f>RANK.EQ(F6,$F$3:$F$42,0)</f>
        <v/>
      </c>
      <c r="H6" s="23">
        <f>IF(F6&lt;50,F6*0.1,IF(F6&lt;80,F6*0.15,F6*0.2))</f>
        <v/>
      </c>
      <c r="J6" s="11" t="inlineStr">
        <is>
          <t>C产品</t>
        </is>
      </c>
      <c r="K6" s="11" t="n">
        <v>0.87</v>
      </c>
    </row>
    <row r="7" ht="15.75" customHeight="1">
      <c r="A7" s="6" t="inlineStr">
        <is>
          <t>H05</t>
        </is>
      </c>
      <c r="B7" s="7" t="inlineStr">
        <is>
          <t>1月</t>
        </is>
      </c>
      <c r="C7" s="22" t="n">
        <v>89</v>
      </c>
      <c r="D7" s="22" t="n">
        <v>91</v>
      </c>
      <c r="E7" s="22" t="n">
        <v>65</v>
      </c>
      <c r="F7" s="22" t="n">
        <v>95.40000000000001</v>
      </c>
      <c r="G7" s="9">
        <f>RANK.EQ(F7,$F$3:$F$42,0)</f>
        <v/>
      </c>
      <c r="H7" s="23">
        <f>IF(F7&lt;50,F7*0.1,IF(F7&lt;80,F7*0.15,F7*0.2))</f>
        <v/>
      </c>
    </row>
    <row r="8" ht="15.75" customHeight="1">
      <c r="A8" s="6" t="inlineStr">
        <is>
          <t>H06</t>
        </is>
      </c>
      <c r="B8" s="7" t="inlineStr">
        <is>
          <t>1月</t>
        </is>
      </c>
      <c r="C8" s="22" t="n">
        <v>112</v>
      </c>
      <c r="D8" s="22" t="n">
        <v>45</v>
      </c>
      <c r="E8" s="22" t="n">
        <v>59</v>
      </c>
      <c r="F8" s="22" t="n">
        <v>81.40000000000001</v>
      </c>
      <c r="G8" s="9">
        <f>RANK.EQ(F8,$F$3:$F$42,0)</f>
        <v/>
      </c>
      <c r="H8" s="23">
        <f>IF(F8&lt;50,F8*0.1,IF(F8&lt;80,F8*0.15,F8*0.2))</f>
        <v/>
      </c>
      <c r="J8" s="14" t="inlineStr">
        <is>
          <t>销售提成比例</t>
        </is>
      </c>
    </row>
    <row r="9" ht="15.75" customHeight="1">
      <c r="A9" s="6" t="inlineStr">
        <is>
          <t>H07</t>
        </is>
      </c>
      <c r="B9" s="7" t="inlineStr">
        <is>
          <t>1月</t>
        </is>
      </c>
      <c r="C9" s="22" t="n">
        <v>28</v>
      </c>
      <c r="D9" s="22" t="n">
        <v>63</v>
      </c>
      <c r="E9" s="22" t="n">
        <v>56</v>
      </c>
      <c r="F9" s="22" t="n">
        <v>70.2</v>
      </c>
      <c r="G9" s="9">
        <f>RANK.EQ(F9,$F$3:$F$42,0)</f>
        <v/>
      </c>
      <c r="H9" s="23">
        <f>IF(F9&lt;50,F9*0.1,IF(F9&lt;80,F9*0.15,F9*0.2))</f>
        <v/>
      </c>
      <c r="J9" s="11" t="inlineStr">
        <is>
          <t>销售额范围</t>
        </is>
      </c>
      <c r="K9" s="11" t="inlineStr">
        <is>
          <t>提成比例</t>
        </is>
      </c>
    </row>
    <row r="10" ht="15.75" customHeight="1">
      <c r="A10" s="6" t="inlineStr">
        <is>
          <t>H08</t>
        </is>
      </c>
      <c r="B10" s="7" t="inlineStr">
        <is>
          <t>1月</t>
        </is>
      </c>
      <c r="C10" s="22" t="n">
        <v>52</v>
      </c>
      <c r="D10" s="22" t="n">
        <v>72</v>
      </c>
      <c r="E10" s="22" t="n">
        <v>57</v>
      </c>
      <c r="F10" s="22" t="n">
        <v>77.3</v>
      </c>
      <c r="G10" s="9">
        <f>RANK.EQ(F10,$F$3:$F$42,0)</f>
        <v/>
      </c>
      <c r="H10" s="23">
        <f>IF(F10&lt;50,F10*0.1,IF(F10&lt;80,F10*0.15,F10*0.2))</f>
        <v/>
      </c>
      <c r="J10" s="11" t="inlineStr">
        <is>
          <t>销售额&lt;50万</t>
        </is>
      </c>
      <c r="K10" s="12" t="n">
        <v>0.1</v>
      </c>
    </row>
    <row r="11" ht="15.75" customHeight="1">
      <c r="A11" s="6" t="inlineStr">
        <is>
          <t>H09</t>
        </is>
      </c>
      <c r="B11" s="7" t="inlineStr">
        <is>
          <t>1月</t>
        </is>
      </c>
      <c r="C11" s="22" t="n">
        <v>59</v>
      </c>
      <c r="D11" s="22" t="n">
        <v>51</v>
      </c>
      <c r="E11" s="22" t="n">
        <v>59</v>
      </c>
      <c r="F11" s="22" t="n">
        <v>74.5</v>
      </c>
      <c r="G11" s="9">
        <f>RANK.EQ(F11,$F$3:$F$42,0)</f>
        <v/>
      </c>
      <c r="H11" s="23">
        <f>IF(F11&lt;50,F11*0.1,IF(F11&lt;80,F11*0.15,F11*0.2))</f>
        <v/>
      </c>
      <c r="J11" s="11" t="inlineStr">
        <is>
          <t>50万≤销售额&lt;80万</t>
        </is>
      </c>
      <c r="K11" s="12" t="n">
        <v>0.15</v>
      </c>
    </row>
    <row r="12" ht="15.75" customHeight="1">
      <c r="A12" s="6" t="inlineStr">
        <is>
          <t>H10</t>
        </is>
      </c>
      <c r="B12" s="7" t="inlineStr">
        <is>
          <t>1月</t>
        </is>
      </c>
      <c r="C12" s="22" t="n">
        <v>46</v>
      </c>
      <c r="D12" s="22" t="n">
        <v>32</v>
      </c>
      <c r="E12" s="22" t="n">
        <v>61</v>
      </c>
      <c r="F12" s="22" t="n">
        <v>69.09999999999999</v>
      </c>
      <c r="G12" s="9">
        <f>RANK.EQ(F12,$F$3:$F$42,0)</f>
        <v/>
      </c>
      <c r="H12" s="23">
        <f>IF(F12&lt;50,F12*0.1,IF(F12&lt;80,F12*0.15,F12*0.2))</f>
        <v/>
      </c>
      <c r="J12" s="11" t="inlineStr">
        <is>
          <t>80万≤销售额</t>
        </is>
      </c>
      <c r="K12" s="12" t="n">
        <v>0.2</v>
      </c>
    </row>
    <row r="13" ht="15.75" customHeight="1">
      <c r="A13" s="6" t="inlineStr">
        <is>
          <t>H01</t>
        </is>
      </c>
      <c r="B13" s="7" t="inlineStr">
        <is>
          <t>2月</t>
        </is>
      </c>
      <c r="C13" s="22" t="n">
        <v>78</v>
      </c>
      <c r="D13" s="22" t="n">
        <v>82</v>
      </c>
      <c r="E13" s="22" t="n">
        <v>54</v>
      </c>
      <c r="F13" s="22" t="n">
        <v>81.59999999999999</v>
      </c>
      <c r="G13" s="9">
        <f>RANK.EQ(F13,$F$3:$F$42,0)</f>
        <v/>
      </c>
      <c r="H13" s="23">
        <f>IF(F13&lt;50,F13*0.1,IF(F13&lt;80,F13*0.15,F13*0.2))</f>
        <v/>
      </c>
    </row>
    <row r="14" ht="15.75" customHeight="1">
      <c r="A14" s="6" t="inlineStr">
        <is>
          <t>H02</t>
        </is>
      </c>
      <c r="B14" s="7" t="inlineStr">
        <is>
          <t>2月</t>
        </is>
      </c>
      <c r="C14" s="22" t="n">
        <v>59</v>
      </c>
      <c r="D14" s="22" t="n">
        <v>51</v>
      </c>
      <c r="E14" s="22" t="n">
        <v>56</v>
      </c>
      <c r="F14" s="22" t="n">
        <v>71.90000000000001</v>
      </c>
      <c r="G14" s="9">
        <f>RANK.EQ(F14,$F$3:$F$42,0)</f>
        <v/>
      </c>
      <c r="H14" s="23">
        <f>IF(F14&lt;50,F14*0.1,IF(F14&lt;80,F14*0.15,F14*0.2))</f>
        <v/>
      </c>
    </row>
    <row r="15" ht="15.75" customHeight="1">
      <c r="A15" s="6" t="inlineStr">
        <is>
          <t>H03</t>
        </is>
      </c>
      <c r="B15" s="7" t="inlineStr">
        <is>
          <t>2月</t>
        </is>
      </c>
      <c r="C15" s="22" t="n">
        <v>40</v>
      </c>
      <c r="D15" s="22" t="n">
        <v>68</v>
      </c>
      <c r="E15" s="22" t="n">
        <v>83</v>
      </c>
      <c r="F15" s="22" t="n">
        <v>97</v>
      </c>
      <c r="G15" s="9">
        <f>RANK.EQ(F15,$F$3:$F$42,0)</f>
        <v/>
      </c>
      <c r="H15" s="23">
        <f>IF(F15&lt;50,F15*0.1,IF(F15&lt;80,F15*0.15,F15*0.2))</f>
        <v/>
      </c>
    </row>
    <row r="16" ht="15.75" customHeight="1">
      <c r="A16" s="6" t="inlineStr">
        <is>
          <t>H04</t>
        </is>
      </c>
      <c r="B16" s="7" t="inlineStr">
        <is>
          <t>2月</t>
        </is>
      </c>
      <c r="C16" s="22" t="n">
        <v>82</v>
      </c>
      <c r="D16" s="22" t="n">
        <v>81</v>
      </c>
      <c r="E16" s="22" t="n">
        <v>61</v>
      </c>
      <c r="F16" s="22" t="n">
        <v>88.09999999999999</v>
      </c>
      <c r="G16" s="9">
        <f>RANK.EQ(F16,$F$3:$F$42,0)</f>
        <v/>
      </c>
      <c r="H16" s="23">
        <f>IF(F16&lt;50,F16*0.1,IF(F16&lt;80,F16*0.15,F16*0.2))</f>
        <v/>
      </c>
    </row>
    <row r="17" ht="15.75" customHeight="1">
      <c r="A17" s="6" t="inlineStr">
        <is>
          <t>H05</t>
        </is>
      </c>
      <c r="B17" s="7" t="inlineStr">
        <is>
          <t>2月</t>
        </is>
      </c>
      <c r="C17" s="22" t="n">
        <v>87</v>
      </c>
      <c r="D17" s="22" t="n">
        <v>44</v>
      </c>
      <c r="E17" s="22" t="n">
        <v>88</v>
      </c>
      <c r="F17" s="22" t="n">
        <v>102.4</v>
      </c>
      <c r="G17" s="9">
        <f>RANK.EQ(F17,$F$3:$F$42,0)</f>
        <v/>
      </c>
      <c r="H17" s="23">
        <f>IF(F17&lt;50,F17*0.1,IF(F17&lt;80,F17*0.15,F17*0.2))</f>
        <v/>
      </c>
    </row>
    <row r="18" ht="15.75" customHeight="1">
      <c r="A18" s="6" t="inlineStr">
        <is>
          <t>H06</t>
        </is>
      </c>
      <c r="B18" s="7" t="inlineStr">
        <is>
          <t>2月</t>
        </is>
      </c>
      <c r="C18" s="22" t="n">
        <v>49</v>
      </c>
      <c r="D18" s="22" t="n">
        <v>43</v>
      </c>
      <c r="E18" s="22" t="n">
        <v>54</v>
      </c>
      <c r="F18" s="22" t="n">
        <v>66.40000000000001</v>
      </c>
      <c r="G18" s="9">
        <f>RANK.EQ(F18,$F$3:$F$42,0)</f>
        <v/>
      </c>
      <c r="H18" s="23">
        <f>IF(F18&lt;50,F18*0.1,IF(F18&lt;80,F18*0.15,F18*0.2))</f>
        <v/>
      </c>
    </row>
    <row r="19" ht="15.75" customHeight="1">
      <c r="A19" s="6" t="inlineStr">
        <is>
          <t>H07</t>
        </is>
      </c>
      <c r="B19" s="7" t="inlineStr">
        <is>
          <t>2月</t>
        </is>
      </c>
      <c r="C19" s="22" t="n">
        <v>61</v>
      </c>
      <c r="D19" s="22" t="n">
        <v>77</v>
      </c>
      <c r="E19" s="22" t="n">
        <v>47</v>
      </c>
      <c r="F19" s="22" t="n">
        <v>71.40000000000001</v>
      </c>
      <c r="G19" s="9">
        <f>RANK.EQ(F19,$F$3:$F$42,0)</f>
        <v/>
      </c>
      <c r="H19" s="23">
        <f>IF(F19&lt;50,F19*0.1,IF(F19&lt;80,F19*0.15,F19*0.2))</f>
        <v/>
      </c>
    </row>
    <row r="20" ht="15.75" customHeight="1">
      <c r="A20" s="6" t="inlineStr">
        <is>
          <t>H08</t>
        </is>
      </c>
      <c r="B20" s="7" t="inlineStr">
        <is>
          <t>2月</t>
        </is>
      </c>
      <c r="C20" s="22" t="n">
        <v>56</v>
      </c>
      <c r="D20" s="22" t="n">
        <v>42</v>
      </c>
      <c r="E20" s="22" t="n">
        <v>84</v>
      </c>
      <c r="F20" s="22" t="n">
        <v>93.40000000000001</v>
      </c>
      <c r="G20" s="9">
        <f>RANK.EQ(F20,$F$3:$F$42,0)</f>
        <v/>
      </c>
      <c r="H20" s="23">
        <f>IF(F20&lt;50,F20*0.1,IF(F20&lt;80,F20*0.15,F20*0.2))</f>
        <v/>
      </c>
    </row>
    <row r="21" ht="15.75" customHeight="1">
      <c r="A21" s="6" t="inlineStr">
        <is>
          <t>H09</t>
        </is>
      </c>
      <c r="B21" s="7" t="inlineStr">
        <is>
          <t>2月</t>
        </is>
      </c>
      <c r="C21" s="22" t="n">
        <v>51</v>
      </c>
      <c r="D21" s="22" t="n">
        <v>57</v>
      </c>
      <c r="E21" s="22" t="n">
        <v>45</v>
      </c>
      <c r="F21" s="22" t="n">
        <v>62.7</v>
      </c>
      <c r="G21" s="9">
        <f>RANK.EQ(F21,$F$3:$F$42,0)</f>
        <v/>
      </c>
      <c r="H21" s="23">
        <f>IF(F21&lt;50,F21*0.1,IF(F21&lt;80,F21*0.15,F21*0.2))</f>
        <v/>
      </c>
    </row>
    <row r="22" ht="15.75" customHeight="1">
      <c r="A22" s="6" t="inlineStr">
        <is>
          <t>H10</t>
        </is>
      </c>
      <c r="B22" s="7" t="inlineStr">
        <is>
          <t>2月</t>
        </is>
      </c>
      <c r="C22" s="22" t="n">
        <v>57</v>
      </c>
      <c r="D22" s="22" t="n">
        <v>44</v>
      </c>
      <c r="E22" s="22" t="n">
        <v>57</v>
      </c>
      <c r="F22" s="22" t="n">
        <v>70.59999999999999</v>
      </c>
      <c r="G22" s="9">
        <f>RANK.EQ(F22,$F$3:$F$42,0)</f>
        <v/>
      </c>
      <c r="H22" s="23">
        <f>IF(F22&lt;50,F22*0.1,IF(F22&lt;80,F22*0.15,F22*0.2))</f>
        <v/>
      </c>
    </row>
    <row r="23" ht="15.75" customHeight="1">
      <c r="A23" s="6" t="inlineStr">
        <is>
          <t>H01</t>
        </is>
      </c>
      <c r="B23" s="7" t="inlineStr">
        <is>
          <t>3月</t>
        </is>
      </c>
      <c r="C23" s="22" t="n">
        <v>60</v>
      </c>
      <c r="D23" s="22" t="n">
        <v>46</v>
      </c>
      <c r="E23" s="22" t="n">
        <v>73</v>
      </c>
      <c r="F23" s="22" t="n">
        <v>85.5</v>
      </c>
      <c r="G23" s="9">
        <f>RANK.EQ(F23,$F$3:$F$42,0)</f>
        <v/>
      </c>
      <c r="H23" s="23">
        <f>IF(F23&lt;50,F23*0.1,IF(F23&lt;80,F23*0.15,F23*0.2))</f>
        <v/>
      </c>
    </row>
    <row r="24" ht="15.75" customHeight="1">
      <c r="A24" s="6" t="inlineStr">
        <is>
          <t>H02</t>
        </is>
      </c>
      <c r="B24" s="7" t="inlineStr">
        <is>
          <t>3月</t>
        </is>
      </c>
      <c r="C24" s="22" t="n">
        <v>71</v>
      </c>
      <c r="D24" s="22" t="n">
        <v>43</v>
      </c>
      <c r="E24" s="22" t="n">
        <v>52</v>
      </c>
      <c r="F24" s="22" t="n">
        <v>68.2</v>
      </c>
      <c r="G24" s="9">
        <f>RANK.EQ(F24,$F$3:$F$42,0)</f>
        <v/>
      </c>
      <c r="H24" s="23">
        <f>IF(F24&lt;50,F24*0.1,IF(F24&lt;80,F24*0.15,F24*0.2))</f>
        <v/>
      </c>
    </row>
    <row r="25" ht="15.75" customHeight="1">
      <c r="A25" s="6" t="inlineStr">
        <is>
          <t>H03</t>
        </is>
      </c>
      <c r="B25" s="7" t="inlineStr">
        <is>
          <t>3月</t>
        </is>
      </c>
      <c r="C25" s="22" t="n">
        <v>72</v>
      </c>
      <c r="D25" s="22" t="n">
        <v>78</v>
      </c>
      <c r="E25" s="22" t="n">
        <v>47</v>
      </c>
      <c r="F25" s="22" t="n">
        <v>73.5</v>
      </c>
      <c r="G25" s="9">
        <f>RANK.EQ(F25,$F$3:$F$42,0)</f>
        <v/>
      </c>
      <c r="H25" s="23">
        <f>IF(F25&lt;50,F25*0.1,IF(F25&lt;80,F25*0.15,F25*0.2))</f>
        <v/>
      </c>
    </row>
    <row r="26" ht="15.75" customHeight="1">
      <c r="A26" s="6" t="inlineStr">
        <is>
          <t>H04</t>
        </is>
      </c>
      <c r="B26" s="7" t="inlineStr">
        <is>
          <t>3月</t>
        </is>
      </c>
      <c r="C26" s="22" t="n">
        <v>78</v>
      </c>
      <c r="D26" s="22" t="n">
        <v>47</v>
      </c>
      <c r="E26" s="22" t="n">
        <v>90</v>
      </c>
      <c r="F26" s="22" t="n">
        <v>103.5</v>
      </c>
      <c r="G26" s="9">
        <f>RANK.EQ(F26,$F$3:$F$42,0)</f>
        <v/>
      </c>
      <c r="H26" s="23">
        <f>IF(F26&lt;50,F26*0.1,IF(F26&lt;80,F26*0.15,F26*0.2))</f>
        <v/>
      </c>
    </row>
    <row r="27" ht="15.75" customHeight="1">
      <c r="A27" s="6" t="inlineStr">
        <is>
          <t>H05</t>
        </is>
      </c>
      <c r="B27" s="7" t="inlineStr">
        <is>
          <t>3月</t>
        </is>
      </c>
      <c r="C27" s="22" t="n">
        <v>57</v>
      </c>
      <c r="D27" s="22" t="n">
        <v>74</v>
      </c>
      <c r="E27" s="22" t="n">
        <v>69</v>
      </c>
      <c r="F27" s="22" t="n">
        <v>89.09999999999999</v>
      </c>
      <c r="G27" s="9">
        <f>RANK.EQ(F27,$F$3:$F$42,0)</f>
        <v/>
      </c>
      <c r="H27" s="23">
        <f>IF(F27&lt;50,F27*0.1,IF(F27&lt;80,F27*0.15,F27*0.2))</f>
        <v/>
      </c>
    </row>
    <row r="28" ht="15.75" customHeight="1">
      <c r="A28" s="6" t="inlineStr">
        <is>
          <t>H06</t>
        </is>
      </c>
      <c r="B28" s="7" t="inlineStr">
        <is>
          <t>3月</t>
        </is>
      </c>
      <c r="C28" s="22" t="n">
        <v>78</v>
      </c>
      <c r="D28" s="22" t="n">
        <v>67</v>
      </c>
      <c r="E28" s="22" t="n">
        <v>50</v>
      </c>
      <c r="F28" s="22" t="n">
        <v>74.09999999999999</v>
      </c>
      <c r="G28" s="9">
        <f>RANK.EQ(F28,$F$3:$F$42,0)</f>
        <v/>
      </c>
      <c r="H28" s="23">
        <f>IF(F28&lt;50,F28*0.1,IF(F28&lt;80,F28*0.15,F28*0.2))</f>
        <v/>
      </c>
    </row>
    <row r="29" ht="15.75" customHeight="1">
      <c r="A29" s="6" t="inlineStr">
        <is>
          <t>H07</t>
        </is>
      </c>
      <c r="B29" s="7" t="inlineStr">
        <is>
          <t>3月</t>
        </is>
      </c>
      <c r="C29" s="22" t="n">
        <v>81</v>
      </c>
      <c r="D29" s="22" t="n">
        <v>55</v>
      </c>
      <c r="E29" s="22" t="n">
        <v>84</v>
      </c>
      <c r="F29" s="22" t="n">
        <v>100.9</v>
      </c>
      <c r="G29" s="9">
        <f>RANK.EQ(F29,$F$3:$F$42,0)</f>
        <v/>
      </c>
      <c r="H29" s="23">
        <f>IF(F29&lt;50,F29*0.1,IF(F29&lt;80,F29*0.15,F29*0.2))</f>
        <v/>
      </c>
    </row>
    <row r="30" ht="15.75" customHeight="1">
      <c r="A30" s="6" t="inlineStr">
        <is>
          <t>H08</t>
        </is>
      </c>
      <c r="B30" s="7" t="inlineStr">
        <is>
          <t>3月</t>
        </is>
      </c>
      <c r="C30" s="22" t="n">
        <v>63</v>
      </c>
      <c r="D30" s="22" t="n">
        <v>47</v>
      </c>
      <c r="E30" s="22" t="n">
        <v>56</v>
      </c>
      <c r="F30" s="22" t="n">
        <v>71.5</v>
      </c>
      <c r="G30" s="9">
        <f>RANK.EQ(F30,$F$3:$F$42,0)</f>
        <v/>
      </c>
      <c r="H30" s="23">
        <f>IF(F30&lt;50,F30*0.1,IF(F30&lt;80,F30*0.15,F30*0.2))</f>
        <v/>
      </c>
    </row>
    <row r="31" ht="15.75" customHeight="1">
      <c r="A31" s="6" t="inlineStr">
        <is>
          <t>H09</t>
        </is>
      </c>
      <c r="B31" s="7" t="inlineStr">
        <is>
          <t>3月</t>
        </is>
      </c>
      <c r="C31" s="22" t="n">
        <v>81</v>
      </c>
      <c r="D31" s="22" t="n">
        <v>68</v>
      </c>
      <c r="E31" s="22" t="n">
        <v>84</v>
      </c>
      <c r="F31" s="22" t="n">
        <v>104.4</v>
      </c>
      <c r="G31" s="9">
        <f>RANK.EQ(F31,$F$3:$F$42,0)</f>
        <v/>
      </c>
      <c r="H31" s="23">
        <f>IF(F31&lt;50,F31*0.1,IF(F31&lt;80,F31*0.15,F31*0.2))</f>
        <v/>
      </c>
    </row>
    <row r="32" ht="15.75" customHeight="1">
      <c r="A32" s="6" t="inlineStr">
        <is>
          <t>H10</t>
        </is>
      </c>
      <c r="B32" s="7" t="inlineStr">
        <is>
          <t>3月</t>
        </is>
      </c>
      <c r="C32" s="22" t="n">
        <v>87</v>
      </c>
      <c r="D32" s="22" t="n">
        <v>72</v>
      </c>
      <c r="E32" s="22" t="n">
        <v>88</v>
      </c>
      <c r="F32" s="22" t="n">
        <v>109.9</v>
      </c>
      <c r="G32" s="9">
        <f>RANK.EQ(F32,$F$3:$F$42,0)</f>
        <v/>
      </c>
      <c r="H32" s="23">
        <f>IF(F32&lt;50,F32*0.1,IF(F32&lt;80,F32*0.15,F32*0.2))</f>
        <v/>
      </c>
    </row>
    <row r="33" ht="15.75" customHeight="1">
      <c r="A33" s="6" t="inlineStr">
        <is>
          <t>H01</t>
        </is>
      </c>
      <c r="B33" s="7" t="inlineStr">
        <is>
          <t>4月</t>
        </is>
      </c>
      <c r="C33" s="22" t="n">
        <v>54</v>
      </c>
      <c r="D33" s="22" t="n">
        <v>40</v>
      </c>
      <c r="E33" s="22" t="n">
        <v>60</v>
      </c>
      <c r="F33" s="22" t="n">
        <v>71.59999999999999</v>
      </c>
      <c r="G33" s="9">
        <f>RANK.EQ(F33,$F$3:$F$42,0)</f>
        <v/>
      </c>
      <c r="H33" s="23">
        <f>IF(F33&lt;50,F33*0.1,IF(F33&lt;80,F33*0.15,F33*0.2))</f>
        <v/>
      </c>
    </row>
    <row r="34" ht="15.75" customHeight="1">
      <c r="A34" s="6" t="inlineStr">
        <is>
          <t>H02</t>
        </is>
      </c>
      <c r="B34" s="7" t="inlineStr">
        <is>
          <t>4月</t>
        </is>
      </c>
      <c r="C34" s="22" t="n">
        <v>73</v>
      </c>
      <c r="D34" s="22" t="n">
        <v>74</v>
      </c>
      <c r="E34" s="22" t="n">
        <v>55</v>
      </c>
      <c r="F34" s="22" t="n">
        <v>79.5</v>
      </c>
      <c r="G34" s="9">
        <f>RANK.EQ(F34,$F$3:$F$42,0)</f>
        <v/>
      </c>
      <c r="H34" s="23">
        <f>IF(F34&lt;50,F34*0.1,IF(F34&lt;80,F34*0.15,F34*0.2))</f>
        <v/>
      </c>
    </row>
    <row r="35" ht="15.75" customHeight="1">
      <c r="A35" s="6" t="inlineStr">
        <is>
          <t>H03</t>
        </is>
      </c>
      <c r="B35" s="7" t="inlineStr">
        <is>
          <t>4月</t>
        </is>
      </c>
      <c r="C35" s="22" t="n">
        <v>71</v>
      </c>
      <c r="D35" s="22" t="n">
        <v>68</v>
      </c>
      <c r="E35" s="22" t="n">
        <v>52</v>
      </c>
      <c r="F35" s="22" t="n">
        <v>75</v>
      </c>
      <c r="G35" s="9">
        <f>RANK.EQ(F35,$F$3:$F$42,0)</f>
        <v/>
      </c>
      <c r="H35" s="23">
        <f>IF(F35&lt;50,F35*0.1,IF(F35&lt;80,F35*0.15,F35*0.2))</f>
        <v/>
      </c>
    </row>
    <row r="36" ht="15.75" customHeight="1">
      <c r="A36" s="6" t="inlineStr">
        <is>
          <t>H04</t>
        </is>
      </c>
      <c r="B36" s="7" t="inlineStr">
        <is>
          <t>4月</t>
        </is>
      </c>
      <c r="C36" s="22" t="n">
        <v>41</v>
      </c>
      <c r="D36" s="22" t="n">
        <v>84</v>
      </c>
      <c r="E36" s="22" t="n">
        <v>69</v>
      </c>
      <c r="F36" s="22" t="n">
        <v>89.3</v>
      </c>
      <c r="G36" s="9">
        <f>RANK.EQ(F36,$F$3:$F$42,0)</f>
        <v/>
      </c>
      <c r="H36" s="23">
        <f>IF(F36&lt;50,F36*0.1,IF(F36&lt;80,F36*0.15,F36*0.2))</f>
        <v/>
      </c>
    </row>
    <row r="37" ht="15.75" customHeight="1">
      <c r="A37" s="6" t="inlineStr">
        <is>
          <t>H05</t>
        </is>
      </c>
      <c r="B37" s="7" t="inlineStr">
        <is>
          <t>4月</t>
        </is>
      </c>
      <c r="C37" s="22" t="n">
        <v>45</v>
      </c>
      <c r="D37" s="22" t="n">
        <v>62</v>
      </c>
      <c r="E37" s="22" t="n">
        <v>66</v>
      </c>
      <c r="F37" s="22" t="n">
        <v>81.40000000000001</v>
      </c>
      <c r="G37" s="9">
        <f>RANK.EQ(F37,$F$3:$F$42,0)</f>
        <v/>
      </c>
      <c r="H37" s="23">
        <f>IF(F37&lt;50,F37*0.1,IF(F37&lt;80,F37*0.15,F37*0.2))</f>
        <v/>
      </c>
    </row>
    <row r="38" ht="15.75" customHeight="1">
      <c r="A38" s="6" t="inlineStr">
        <is>
          <t>H06</t>
        </is>
      </c>
      <c r="B38" s="7" t="inlineStr">
        <is>
          <t>4月</t>
        </is>
      </c>
      <c r="C38" s="22" t="n">
        <v>43</v>
      </c>
      <c r="D38" s="22" t="n">
        <v>73</v>
      </c>
      <c r="E38" s="22" t="n">
        <v>57</v>
      </c>
      <c r="F38" s="22" t="n">
        <v>76.2</v>
      </c>
      <c r="G38" s="9">
        <f>RANK.EQ(F38,$F$3:$F$42,0)</f>
        <v/>
      </c>
      <c r="H38" s="23">
        <f>IF(F38&lt;50,F38*0.1,IF(F38&lt;80,F38*0.15,F38*0.2))</f>
        <v/>
      </c>
    </row>
    <row r="39" ht="15.75" customHeight="1">
      <c r="A39" s="6" t="inlineStr">
        <is>
          <t>H07</t>
        </is>
      </c>
      <c r="B39" s="7" t="inlineStr">
        <is>
          <t>4月</t>
        </is>
      </c>
      <c r="C39" s="22" t="n">
        <v>57</v>
      </c>
      <c r="D39" s="22" t="n">
        <v>74</v>
      </c>
      <c r="E39" s="22" t="n">
        <v>69</v>
      </c>
      <c r="F39" s="22" t="n">
        <v>89.09999999999999</v>
      </c>
      <c r="G39" s="9">
        <f>RANK.EQ(F39,$F$3:$F$42,0)</f>
        <v/>
      </c>
      <c r="H39" s="23">
        <f>IF(F39&lt;50,F39*0.1,IF(F39&lt;80,F39*0.15,F39*0.2))</f>
        <v/>
      </c>
    </row>
    <row r="40" ht="15.75" customHeight="1">
      <c r="A40" s="6" t="inlineStr">
        <is>
          <t>H08</t>
        </is>
      </c>
      <c r="B40" s="7" t="inlineStr">
        <is>
          <t>4月</t>
        </is>
      </c>
      <c r="C40" s="22" t="n">
        <v>60</v>
      </c>
      <c r="D40" s="22" t="n">
        <v>46</v>
      </c>
      <c r="E40" s="22" t="n">
        <v>73</v>
      </c>
      <c r="F40" s="22" t="n">
        <v>85.5</v>
      </c>
      <c r="G40" s="9">
        <f>RANK.EQ(F40,$F$3:$F$42,0)</f>
        <v/>
      </c>
      <c r="H40" s="23">
        <f>IF(F40&lt;50,F40*0.1,IF(F40&lt;80,F40*0.15,F40*0.2))</f>
        <v/>
      </c>
    </row>
    <row r="41" ht="15.75" customHeight="1">
      <c r="A41" s="6" t="inlineStr">
        <is>
          <t>H09</t>
        </is>
      </c>
      <c r="B41" s="7" t="inlineStr">
        <is>
          <t>4月</t>
        </is>
      </c>
      <c r="C41" s="22" t="n">
        <v>78</v>
      </c>
      <c r="D41" s="22" t="n">
        <v>47</v>
      </c>
      <c r="E41" s="22" t="n">
        <v>90</v>
      </c>
      <c r="F41" s="22" t="n">
        <v>103.5</v>
      </c>
      <c r="G41" s="9">
        <f>RANK.EQ(F41,$F$3:$F$42,0)</f>
        <v/>
      </c>
      <c r="H41" s="23">
        <f>IF(F41&lt;50,F41*0.1,IF(F41&lt;80,F41*0.15,F41*0.2))</f>
        <v/>
      </c>
    </row>
    <row r="42" ht="15.75" customHeight="1">
      <c r="A42" s="6" t="inlineStr">
        <is>
          <t>H10</t>
        </is>
      </c>
      <c r="B42" s="7" t="inlineStr">
        <is>
          <t>4月</t>
        </is>
      </c>
      <c r="C42" s="22" t="n">
        <v>56</v>
      </c>
      <c r="D42" s="22" t="n">
        <v>42</v>
      </c>
      <c r="E42" s="22" t="n">
        <v>84</v>
      </c>
      <c r="F42" s="22" t="n">
        <v>93.40000000000001</v>
      </c>
      <c r="G42" s="9">
        <f>RANK.EQ(F42,$F$3:$F$42,0)</f>
        <v/>
      </c>
      <c r="H42" s="23">
        <f>IF(F42&lt;50,F42*0.1,IF(F42&lt;80,F42*0.15,F42*0.2))</f>
        <v/>
      </c>
    </row>
  </sheetData>
  <mergeCells count="3">
    <mergeCell ref="J8:K8"/>
    <mergeCell ref="J2:K2"/>
    <mergeCell ref="A1:H1"/>
  </mergeCells>
  <conditionalFormatting sqref="G3:H4 G9">
    <cfRule type="cellIs" priority="1" operator="greaterThanOrEqual" dxfId="0" stopIfTrue="1">
      <formula>130</formula>
    </cfRule>
  </conditionalFormatting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L12" sqref="L12"/>
    </sheetView>
  </sheetViews>
  <sheetFormatPr baseColWidth="8" defaultColWidth="9" defaultRowHeight="14.25"/>
  <cols>
    <col width="9.875" customWidth="1" style="16" min="1" max="1"/>
    <col width="9.75" customWidth="1" style="16" min="2" max="2"/>
    <col width="6.5" customWidth="1" style="16" min="3" max="3"/>
    <col width="13.5" customWidth="1" style="16" min="4" max="4"/>
    <col width="11.625" customWidth="1" style="16" min="5" max="5"/>
    <col width="13.375" customWidth="1" style="16" min="6" max="6"/>
    <col width="12.125" customWidth="1" style="16" min="7" max="7"/>
    <col width="9" customWidth="1" style="16" min="8" max="16384"/>
  </cols>
  <sheetData>
    <row r="1">
      <c r="A1" s="15" t="inlineStr">
        <is>
          <t>经销部门</t>
        </is>
      </c>
      <c r="B1" s="15" t="inlineStr">
        <is>
          <t>图书类别</t>
        </is>
      </c>
      <c r="C1" s="15" t="inlineStr">
        <is>
          <t>季度</t>
        </is>
      </c>
      <c r="D1" s="15" t="inlineStr">
        <is>
          <t>销售数量(册)</t>
        </is>
      </c>
      <c r="E1" s="15" t="inlineStr">
        <is>
          <t>销售额(元)</t>
        </is>
      </c>
      <c r="F1" s="15" t="inlineStr">
        <is>
          <t>销售数量排名</t>
        </is>
      </c>
      <c r="G1" s="15" t="inlineStr">
        <is>
          <t>销售额排名</t>
        </is>
      </c>
    </row>
    <row r="2" ht="15.75" customHeight="1">
      <c r="A2" s="20" t="inlineStr">
        <is>
          <t>第1分部</t>
        </is>
      </c>
      <c r="B2" s="20" t="inlineStr">
        <is>
          <t>生物科学</t>
        </is>
      </c>
      <c r="C2" s="20" t="n">
        <v>4</v>
      </c>
      <c r="D2" s="20" t="n">
        <v>187</v>
      </c>
      <c r="E2" s="20" t="n">
        <v>13090</v>
      </c>
      <c r="F2" s="20">
        <f>_xlfn.RANK.EQ(D8,$D$2:$D$65)</f>
        <v/>
      </c>
      <c r="G2" s="20">
        <f>_xlfn.RANK.EQ(E8,$E$2:$E$65)</f>
        <v/>
      </c>
    </row>
    <row r="3" ht="15.75" customHeight="1">
      <c r="A3" s="20" t="inlineStr">
        <is>
          <t>第1分部</t>
        </is>
      </c>
      <c r="B3" s="20" t="inlineStr">
        <is>
          <t>生物科学</t>
        </is>
      </c>
      <c r="C3" s="20" t="n">
        <v>3</v>
      </c>
      <c r="D3" s="20" t="n">
        <v>323</v>
      </c>
      <c r="E3" s="20" t="n">
        <v>22610</v>
      </c>
      <c r="F3" s="20">
        <f>_xlfn.RANK.EQ(D18,$D$2:$D$65)</f>
        <v/>
      </c>
      <c r="G3" s="20">
        <f>_xlfn.RANK.EQ(E18,$E$2:$E$65)</f>
        <v/>
      </c>
    </row>
    <row r="4" ht="15.75" customHeight="1">
      <c r="A4" s="20" t="inlineStr">
        <is>
          <t>第1分部</t>
        </is>
      </c>
      <c r="B4" s="20" t="inlineStr">
        <is>
          <t>生物科学</t>
        </is>
      </c>
      <c r="C4" s="20" t="n">
        <v>1</v>
      </c>
      <c r="D4" s="20" t="n">
        <v>345</v>
      </c>
      <c r="E4" s="20" t="n">
        <v>24150</v>
      </c>
      <c r="F4" s="20">
        <f>_xlfn.RANK.EQ(D28,$D$2:$D$65)</f>
        <v/>
      </c>
      <c r="G4" s="20">
        <f>_xlfn.RANK.EQ(E28,$E$2:$E$65)</f>
        <v/>
      </c>
    </row>
    <row r="5" ht="15.75" customHeight="1">
      <c r="A5" s="20" t="inlineStr">
        <is>
          <t>第1分部</t>
        </is>
      </c>
      <c r="B5" s="20" t="inlineStr">
        <is>
          <t>生物科学</t>
        </is>
      </c>
      <c r="C5" s="20" t="n">
        <v>2</v>
      </c>
      <c r="D5" s="20" t="n">
        <v>412</v>
      </c>
      <c r="E5" s="20" t="n">
        <v>28840</v>
      </c>
      <c r="F5" s="20">
        <f>_xlfn.RANK.EQ(D30,$D$2:$D$65)</f>
        <v/>
      </c>
      <c r="G5" s="20">
        <f>_xlfn.RANK.EQ(E30,$E$2:$E$65)</f>
        <v/>
      </c>
    </row>
    <row r="6" ht="15.75" customHeight="1">
      <c r="A6" s="20" t="inlineStr">
        <is>
          <t>第1分部</t>
        </is>
      </c>
      <c r="B6" s="20" t="inlineStr">
        <is>
          <t>工业技术</t>
        </is>
      </c>
      <c r="C6" s="20" t="n">
        <v>2</v>
      </c>
      <c r="D6" s="20" t="n">
        <v>435</v>
      </c>
      <c r="E6" s="20" t="n">
        <v>21750</v>
      </c>
      <c r="F6" s="20">
        <f>_xlfn.RANK.EQ(D4,$D$2:$D$65)</f>
        <v/>
      </c>
      <c r="G6" s="20">
        <f>_xlfn.RANK.EQ(E4,$E$2:$E$65)</f>
        <v/>
      </c>
    </row>
    <row r="7" ht="15.75" customHeight="1">
      <c r="A7" s="20" t="inlineStr">
        <is>
          <t>第1分部</t>
        </is>
      </c>
      <c r="B7" s="20" t="inlineStr">
        <is>
          <t>工业技术</t>
        </is>
      </c>
      <c r="C7" s="20" t="n">
        <v>3</v>
      </c>
      <c r="D7" s="20" t="n">
        <v>324</v>
      </c>
      <c r="E7" s="20" t="n">
        <v>16200</v>
      </c>
      <c r="F7" s="20">
        <f>_xlfn.RANK.EQ(D19,$D$2:$D$65)</f>
        <v/>
      </c>
      <c r="G7" s="20">
        <f>_xlfn.RANK.EQ(E19,$E$2:$E$65)</f>
        <v/>
      </c>
    </row>
    <row r="8" ht="15.75" customHeight="1">
      <c r="A8" s="20" t="inlineStr">
        <is>
          <t>第1分部</t>
        </is>
      </c>
      <c r="B8" s="20" t="inlineStr">
        <is>
          <t>工业技术</t>
        </is>
      </c>
      <c r="C8" s="20" t="n">
        <v>4</v>
      </c>
      <c r="D8" s="20" t="n">
        <v>287</v>
      </c>
      <c r="E8" s="20" t="n">
        <v>14350</v>
      </c>
      <c r="F8" s="20">
        <f>_xlfn.RANK.EQ(D21,$D$2:$D$65)</f>
        <v/>
      </c>
      <c r="G8" s="20">
        <f>_xlfn.RANK.EQ(E21,$E$2:$E$65)</f>
        <v/>
      </c>
    </row>
    <row r="9" ht="15.75" customHeight="1">
      <c r="A9" s="20" t="inlineStr">
        <is>
          <t>第1分部</t>
        </is>
      </c>
      <c r="B9" s="20" t="inlineStr">
        <is>
          <t>工业技术</t>
        </is>
      </c>
      <c r="C9" s="20" t="n">
        <v>1</v>
      </c>
      <c r="D9" s="20" t="n">
        <v>569</v>
      </c>
      <c r="E9" s="20" t="n">
        <v>28450</v>
      </c>
      <c r="F9" s="20">
        <f>_xlfn.RANK.EQ(D32,$D$2:$D$65)</f>
        <v/>
      </c>
      <c r="G9" s="20">
        <f>_xlfn.RANK.EQ(E32,$E$2:$E$65)</f>
        <v/>
      </c>
    </row>
    <row r="10" ht="15.75" customHeight="1">
      <c r="A10" s="20" t="inlineStr">
        <is>
          <t>第1分部</t>
        </is>
      </c>
      <c r="B10" s="20" t="inlineStr">
        <is>
          <t>农业科学</t>
        </is>
      </c>
      <c r="C10" s="20" t="n">
        <v>4</v>
      </c>
      <c r="D10" s="20" t="n">
        <v>342</v>
      </c>
      <c r="E10" s="20" t="n">
        <v>10260</v>
      </c>
      <c r="F10" s="20">
        <f>_xlfn.RANK.EQ(D20,$D$2:$D$65)</f>
        <v/>
      </c>
      <c r="G10" s="20">
        <f>_xlfn.RANK.EQ(E20,$E$2:$E$65)</f>
        <v/>
      </c>
    </row>
    <row r="11" ht="15.75" customHeight="1">
      <c r="A11" s="20" t="inlineStr">
        <is>
          <t>第1分部</t>
        </is>
      </c>
      <c r="B11" s="20" t="inlineStr">
        <is>
          <t>农业科学</t>
        </is>
      </c>
      <c r="C11" s="20" t="n">
        <v>3</v>
      </c>
      <c r="D11" s="20" t="n">
        <v>365</v>
      </c>
      <c r="E11" s="20" t="n">
        <v>10950</v>
      </c>
      <c r="F11" s="20">
        <f>_xlfn.RANK.EQ(D29,$D$2:$D$65)</f>
        <v/>
      </c>
      <c r="G11" s="20">
        <f>_xlfn.RANK.EQ(E29,$E$2:$E$65)</f>
        <v/>
      </c>
    </row>
    <row r="12" ht="15.75" customHeight="1">
      <c r="A12" s="20" t="inlineStr">
        <is>
          <t>第1分部</t>
        </is>
      </c>
      <c r="B12" s="20" t="inlineStr">
        <is>
          <t>农业科学</t>
        </is>
      </c>
      <c r="C12" s="20" t="n">
        <v>2</v>
      </c>
      <c r="D12" s="20" t="n">
        <v>654</v>
      </c>
      <c r="E12" s="20" t="n">
        <v>19620</v>
      </c>
      <c r="F12" s="20">
        <f>_xlfn.RANK.EQ(D33,$D$2:$D$65)</f>
        <v/>
      </c>
      <c r="G12" s="20">
        <f>_xlfn.RANK.EQ(E33,$E$2:$E$65)</f>
        <v/>
      </c>
    </row>
    <row r="13" ht="15.75" customHeight="1">
      <c r="A13" s="20" t="inlineStr">
        <is>
          <t>第1分部</t>
        </is>
      </c>
      <c r="B13" s="20" t="inlineStr">
        <is>
          <t>农业科学</t>
        </is>
      </c>
      <c r="C13" s="20" t="n">
        <v>1</v>
      </c>
      <c r="D13" s="20" t="n">
        <v>765</v>
      </c>
      <c r="E13" s="20" t="n">
        <v>22950</v>
      </c>
      <c r="F13" s="20">
        <f>_xlfn.RANK.EQ(D34,$D$2:$D$65)</f>
        <v/>
      </c>
      <c r="G13" s="20">
        <f>_xlfn.RANK.EQ(E34,$E$2:$E$65)</f>
        <v/>
      </c>
    </row>
    <row r="14" ht="15.75" customHeight="1">
      <c r="A14" s="20" t="inlineStr">
        <is>
          <t>第1分部</t>
        </is>
      </c>
      <c r="B14" s="20" t="inlineStr">
        <is>
          <t>交通科学</t>
        </is>
      </c>
      <c r="C14" s="20" t="n">
        <v>1</v>
      </c>
      <c r="D14" s="20" t="n">
        <v>436</v>
      </c>
      <c r="E14" s="20" t="n">
        <v>35648</v>
      </c>
      <c r="F14" s="20">
        <f>_xlfn.RANK.EQ(D40,$D$2:$D$65)</f>
        <v/>
      </c>
      <c r="G14" s="20">
        <f>_xlfn.RANK.EQ(E40,$E$2:$E$65)</f>
        <v/>
      </c>
    </row>
    <row r="15" ht="15.75" customHeight="1">
      <c r="A15" s="20" t="inlineStr">
        <is>
          <t>第1分部</t>
        </is>
      </c>
      <c r="B15" s="20" t="inlineStr">
        <is>
          <t>交通科学</t>
        </is>
      </c>
      <c r="C15" s="20" t="n">
        <v>3</v>
      </c>
      <c r="D15" s="20" t="n">
        <v>231</v>
      </c>
      <c r="E15" s="20" t="n">
        <v>23217</v>
      </c>
      <c r="F15" s="20">
        <f>_xlfn.RANK.EQ(D42,$D$2:$D$65)</f>
        <v/>
      </c>
      <c r="G15" s="20">
        <f>_xlfn.RANK.EQ(E42,$E$2:$E$65)</f>
        <v/>
      </c>
    </row>
    <row r="16" ht="15.75" customHeight="1">
      <c r="A16" s="20" t="inlineStr">
        <is>
          <t>第1分部</t>
        </is>
      </c>
      <c r="B16" s="20" t="inlineStr">
        <is>
          <t>交通科学</t>
        </is>
      </c>
      <c r="C16" s="20" t="n">
        <v>4</v>
      </c>
      <c r="D16" s="20" t="n">
        <v>365</v>
      </c>
      <c r="E16" s="20" t="n">
        <v>29879</v>
      </c>
      <c r="F16" s="20">
        <f>_xlfn.RANK.EQ(D54,$D$2:$D$65)</f>
        <v/>
      </c>
      <c r="G16" s="20">
        <f>_xlfn.RANK.EQ(E54,$E$2:$E$65)</f>
        <v/>
      </c>
    </row>
    <row r="17" ht="15.75" customHeight="1">
      <c r="A17" s="20" t="inlineStr">
        <is>
          <t>第1分部</t>
        </is>
      </c>
      <c r="B17" s="20" t="inlineStr">
        <is>
          <t>交通科学</t>
        </is>
      </c>
      <c r="C17" s="20" t="n">
        <v>2</v>
      </c>
      <c r="D17" s="20" t="n">
        <v>654</v>
      </c>
      <c r="E17" s="20" t="n">
        <v>45321</v>
      </c>
      <c r="F17" s="20">
        <f>_xlfn.RANK.EQ(D57,$D$2:$D$65)</f>
        <v/>
      </c>
      <c r="G17" s="20">
        <f>_xlfn.RANK.EQ(E57,$E$2:$E$65)</f>
        <v/>
      </c>
    </row>
    <row r="18" ht="15.75" customHeight="1">
      <c r="A18" s="20" t="inlineStr">
        <is>
          <t>第1分部 小计</t>
        </is>
      </c>
      <c r="B18" s="20" t="inlineStr">
        <is>
          <t>生物科学</t>
        </is>
      </c>
      <c r="C18" s="20" t="n">
        <v>2</v>
      </c>
      <c r="D18" s="20" t="n">
        <v>256</v>
      </c>
      <c r="E18" s="24">
        <f>AVERAGE(E2:E17)</f>
        <v/>
      </c>
      <c r="F18" s="20">
        <f>_xlfn.RANK.EQ(D5,$D$2:$D$65)</f>
        <v/>
      </c>
      <c r="G18" s="20">
        <f>_xlfn.RANK.EQ(E5,$E$2:$E$65)</f>
        <v/>
      </c>
    </row>
    <row r="19" ht="15.75" customHeight="1">
      <c r="A19" s="20" t="inlineStr">
        <is>
          <t>第2分部</t>
        </is>
      </c>
      <c r="B19" s="20" t="inlineStr">
        <is>
          <t>生物科学</t>
        </is>
      </c>
      <c r="C19" s="20" t="n">
        <v>4</v>
      </c>
      <c r="D19" s="20" t="n">
        <v>196</v>
      </c>
      <c r="E19" s="20" t="n">
        <v>13720</v>
      </c>
      <c r="F19" s="20">
        <f>_xlfn.RANK.EQ(D10,$D$2:$D$65)</f>
        <v/>
      </c>
      <c r="G19" s="20">
        <f>_xlfn.RANK.EQ(E10,$E$2:$E$65)</f>
        <v/>
      </c>
    </row>
    <row r="20" ht="15.75" customHeight="1">
      <c r="A20" s="20" t="inlineStr">
        <is>
          <t>第2分部</t>
        </is>
      </c>
      <c r="B20" s="20" t="inlineStr">
        <is>
          <t>生物科学</t>
        </is>
      </c>
      <c r="C20" s="20" t="n">
        <v>3</v>
      </c>
      <c r="D20" s="20" t="n">
        <v>234</v>
      </c>
      <c r="E20" s="20" t="n">
        <v>16380</v>
      </c>
      <c r="F20" s="20">
        <f>_xlfn.RANK.EQ(D12,$D$2:$D$65)</f>
        <v/>
      </c>
      <c r="G20" s="20">
        <f>_xlfn.RANK.EQ(E12,$E$2:$E$65)</f>
        <v/>
      </c>
    </row>
    <row r="21" ht="15.75" customHeight="1">
      <c r="A21" s="20" t="inlineStr">
        <is>
          <t>第2分部</t>
        </is>
      </c>
      <c r="B21" s="20" t="inlineStr">
        <is>
          <t>生物科学</t>
        </is>
      </c>
      <c r="C21" s="20" t="n">
        <v>1</v>
      </c>
      <c r="D21" s="20" t="n">
        <v>206</v>
      </c>
      <c r="E21" s="20" t="n">
        <v>14420</v>
      </c>
      <c r="F21" s="20">
        <f>_xlfn.RANK.EQ(D13,$D$2:$D$65)</f>
        <v/>
      </c>
      <c r="G21" s="20">
        <f>_xlfn.RANK.EQ(E13,$E$2:$E$65)</f>
        <v/>
      </c>
    </row>
    <row r="22" ht="15.75" customHeight="1">
      <c r="A22" s="20" t="inlineStr">
        <is>
          <t>第2分部</t>
        </is>
      </c>
      <c r="B22" s="20" t="inlineStr">
        <is>
          <t>工业技术</t>
        </is>
      </c>
      <c r="C22" s="20" t="n">
        <v>1</v>
      </c>
      <c r="D22" s="20" t="n">
        <v>167</v>
      </c>
      <c r="E22" s="20" t="n">
        <v>8350</v>
      </c>
      <c r="F22" s="20">
        <f>_xlfn.RANK.EQ(D6,$D$2:$D$65)</f>
        <v/>
      </c>
      <c r="G22" s="20">
        <f>_xlfn.RANK.EQ(E6,$E$2:$E$65)</f>
        <v/>
      </c>
    </row>
    <row r="23" ht="15.75" customHeight="1">
      <c r="A23" s="20" t="inlineStr">
        <is>
          <t>第2分部</t>
        </is>
      </c>
      <c r="B23" s="20" t="inlineStr">
        <is>
          <t>工业技术</t>
        </is>
      </c>
      <c r="C23" s="20" t="n">
        <v>4</v>
      </c>
      <c r="D23" s="20" t="n">
        <v>219</v>
      </c>
      <c r="E23" s="20" t="n">
        <v>10950</v>
      </c>
      <c r="F23" s="20">
        <f>_xlfn.RANK.EQ(D11,$D$2:$D$65)</f>
        <v/>
      </c>
      <c r="G23" s="20">
        <f>_xlfn.RANK.EQ(E11,$E$2:$E$65)</f>
        <v/>
      </c>
    </row>
    <row r="24" ht="15.75" customHeight="1">
      <c r="A24" s="20" t="inlineStr">
        <is>
          <t>第2分部</t>
        </is>
      </c>
      <c r="B24" s="20" t="inlineStr">
        <is>
          <t>工业技术</t>
        </is>
      </c>
      <c r="C24" s="20" t="n">
        <v>2</v>
      </c>
      <c r="D24" s="20" t="n">
        <v>211</v>
      </c>
      <c r="E24" s="20" t="n">
        <v>10550</v>
      </c>
      <c r="F24" s="20">
        <f>_xlfn.RANK.EQ(D14,$D$2:$D$65)</f>
        <v/>
      </c>
      <c r="G24" s="20">
        <f>_xlfn.RANK.EQ(E14,$E$2:$E$65)</f>
        <v/>
      </c>
    </row>
    <row r="25" ht="15.75" customHeight="1">
      <c r="A25" s="20" t="inlineStr">
        <is>
          <t>第2分部</t>
        </is>
      </c>
      <c r="B25" s="20" t="inlineStr">
        <is>
          <t>工业技术</t>
        </is>
      </c>
      <c r="C25" s="20" t="n">
        <v>3</v>
      </c>
      <c r="D25" s="20" t="n">
        <v>218</v>
      </c>
      <c r="E25" s="20" t="n">
        <v>10900</v>
      </c>
      <c r="F25" s="20">
        <f>_xlfn.RANK.EQ(D22,$D$2:$D$65)</f>
        <v/>
      </c>
      <c r="G25" s="20">
        <f>_xlfn.RANK.EQ(E22,$E$2:$E$65)</f>
        <v/>
      </c>
    </row>
    <row r="26" ht="15.75" customHeight="1">
      <c r="A26" s="20" t="inlineStr">
        <is>
          <t>第2分部</t>
        </is>
      </c>
      <c r="B26" s="20" t="inlineStr">
        <is>
          <t>农业科学</t>
        </is>
      </c>
      <c r="C26" s="20" t="n">
        <v>1</v>
      </c>
      <c r="D26" s="20" t="n">
        <v>221</v>
      </c>
      <c r="E26" s="20" t="n">
        <v>6630</v>
      </c>
      <c r="F26" s="20">
        <f>_xlfn.RANK.EQ(D16,$D$2:$D$65)</f>
        <v/>
      </c>
      <c r="G26" s="20">
        <f>_xlfn.RANK.EQ(E16,$E$2:$E$65)</f>
        <v/>
      </c>
    </row>
    <row r="27" ht="15.75" customHeight="1">
      <c r="A27" s="20" t="inlineStr">
        <is>
          <t>第2分部</t>
        </is>
      </c>
      <c r="B27" s="20" t="inlineStr">
        <is>
          <t>农业科学</t>
        </is>
      </c>
      <c r="C27" s="20" t="n">
        <v>2</v>
      </c>
      <c r="D27" s="20" t="n">
        <v>312</v>
      </c>
      <c r="E27" s="20" t="n">
        <v>9360</v>
      </c>
      <c r="F27" s="20">
        <f>_xlfn.RANK.EQ(D26,$D$2:$D$65)</f>
        <v/>
      </c>
      <c r="G27" s="20">
        <f>_xlfn.RANK.EQ(E26,$E$2:$E$65)</f>
        <v/>
      </c>
    </row>
    <row r="28" ht="15.75" customHeight="1">
      <c r="A28" s="20" t="inlineStr">
        <is>
          <t>第2分部</t>
        </is>
      </c>
      <c r="B28" s="20" t="inlineStr">
        <is>
          <t>农业科学</t>
        </is>
      </c>
      <c r="C28" s="20" t="n">
        <v>4</v>
      </c>
      <c r="D28" s="20" t="n">
        <v>421</v>
      </c>
      <c r="E28" s="20" t="n">
        <v>12630</v>
      </c>
      <c r="F28" s="20">
        <f>_xlfn.RANK.EQ(D31,$D$2:$D$65)</f>
        <v/>
      </c>
      <c r="G28" s="20">
        <f>_xlfn.RANK.EQ(E31,$E$2:$E$65)</f>
        <v/>
      </c>
    </row>
    <row r="29" ht="15.75" customHeight="1">
      <c r="A29" s="20" t="inlineStr">
        <is>
          <t>第2分部</t>
        </is>
      </c>
      <c r="B29" s="20" t="inlineStr">
        <is>
          <t>农业科学</t>
        </is>
      </c>
      <c r="C29" s="20" t="n">
        <v>3</v>
      </c>
      <c r="D29" s="20" t="n">
        <v>543</v>
      </c>
      <c r="E29" s="20" t="n">
        <v>16290</v>
      </c>
      <c r="F29" s="20">
        <f>_xlfn.RANK.EQ(D59,$D$2:$D$65)</f>
        <v/>
      </c>
      <c r="G29" s="20">
        <f>_xlfn.RANK.EQ(E59,$E$2:$E$65)</f>
        <v/>
      </c>
    </row>
    <row r="30" ht="15.75" customHeight="1">
      <c r="A30" s="20" t="inlineStr">
        <is>
          <t>第2分部</t>
        </is>
      </c>
      <c r="B30" s="20" t="inlineStr">
        <is>
          <t>交通科学</t>
        </is>
      </c>
      <c r="C30" s="20" t="n">
        <v>1</v>
      </c>
      <c r="D30" s="20" t="n">
        <v>123</v>
      </c>
      <c r="E30" s="20" t="n">
        <v>7685</v>
      </c>
      <c r="F30" s="20">
        <f>_xlfn.RANK.EQ(D44,$D$2:$D$65)</f>
        <v/>
      </c>
      <c r="G30" s="20">
        <f>_xlfn.RANK.EQ(E44,$E$2:$E$65)</f>
        <v/>
      </c>
    </row>
    <row r="31" ht="15.75" customHeight="1">
      <c r="A31" s="20" t="inlineStr">
        <is>
          <t>第2分部</t>
        </is>
      </c>
      <c r="B31" s="20" t="inlineStr">
        <is>
          <t>交通科学</t>
        </is>
      </c>
      <c r="C31" s="20" t="n">
        <v>2</v>
      </c>
      <c r="D31" s="20" t="n">
        <v>342</v>
      </c>
      <c r="E31" s="20" t="n">
        <v>23718</v>
      </c>
      <c r="F31" s="20">
        <f>_xlfn.RANK.EQ(D45,$D$2:$D$65)</f>
        <v/>
      </c>
      <c r="G31" s="20">
        <f>_xlfn.RANK.EQ(E45,$E$2:$E$65)</f>
        <v/>
      </c>
    </row>
    <row r="32" ht="15.75" customHeight="1">
      <c r="A32" s="20" t="inlineStr">
        <is>
          <t>第2分部</t>
        </is>
      </c>
      <c r="B32" s="20" t="inlineStr">
        <is>
          <t>交通科学</t>
        </is>
      </c>
      <c r="C32" s="20" t="n">
        <v>4</v>
      </c>
      <c r="D32" s="20" t="n">
        <v>341</v>
      </c>
      <c r="E32" s="20" t="n">
        <v>26785</v>
      </c>
      <c r="F32" s="20">
        <f>_xlfn.RANK.EQ(D47,$D$2:$D$65)</f>
        <v/>
      </c>
      <c r="G32" s="20">
        <f>_xlfn.RANK.EQ(E47,$E$2:$E$65)</f>
        <v/>
      </c>
    </row>
    <row r="33" ht="15.75" customHeight="1">
      <c r="A33" s="20" t="inlineStr">
        <is>
          <t>第2分部</t>
        </is>
      </c>
      <c r="B33" s="20" t="inlineStr">
        <is>
          <t>交通科学</t>
        </is>
      </c>
      <c r="C33" s="20" t="n">
        <v>3</v>
      </c>
      <c r="D33" s="20" t="n">
        <v>542</v>
      </c>
      <c r="E33" s="20" t="n">
        <v>41234</v>
      </c>
      <c r="F33" s="20">
        <f>_xlfn.RANK.EQ(D64,$D$2:$D$65)</f>
        <v/>
      </c>
      <c r="G33" s="20">
        <f>_xlfn.RANK.EQ(E64,$E$2:$E$65)</f>
        <v/>
      </c>
    </row>
    <row r="34" ht="15.75" customHeight="1">
      <c r="A34" s="20" t="inlineStr">
        <is>
          <t>第3分部</t>
        </is>
      </c>
      <c r="B34" s="20" t="inlineStr">
        <is>
          <t>生物科学</t>
        </is>
      </c>
      <c r="C34" s="20" t="n">
        <v>3</v>
      </c>
      <c r="D34" s="20" t="n">
        <v>124</v>
      </c>
      <c r="E34" s="20" t="n">
        <v>8680</v>
      </c>
      <c r="F34" s="20">
        <f>_xlfn.RANK.EQ(D2,$D$2:$D$65)</f>
        <v/>
      </c>
      <c r="G34" s="20">
        <f>_xlfn.RANK.EQ(E2,$E$2:$E$65)</f>
        <v/>
      </c>
    </row>
    <row r="35">
      <c r="A35" s="20" t="inlineStr">
        <is>
          <t>第2分部 小计</t>
        </is>
      </c>
      <c r="B35" s="20" t="inlineStr">
        <is>
          <t>生物科学</t>
        </is>
      </c>
      <c r="C35" s="20" t="n">
        <v>4</v>
      </c>
      <c r="D35" s="20" t="n">
        <v>157</v>
      </c>
      <c r="E35" s="24">
        <f>AVERAGE(E19:E34)</f>
        <v/>
      </c>
      <c r="F35" s="20">
        <f>_xlfn.RANK.EQ(D7,$D$2:$D$65)</f>
        <v/>
      </c>
      <c r="G35" s="20">
        <f>_xlfn.RANK.EQ(E7,$E$2:$E$65)</f>
        <v/>
      </c>
    </row>
    <row r="36" ht="15.75" customHeight="1">
      <c r="A36" s="20" t="inlineStr">
        <is>
          <t>第3分部</t>
        </is>
      </c>
      <c r="B36" s="20" t="inlineStr">
        <is>
          <t>生物科学</t>
        </is>
      </c>
      <c r="C36" s="20" t="n">
        <v>2</v>
      </c>
      <c r="D36" s="20" t="n">
        <v>345</v>
      </c>
      <c r="E36" s="20" t="n">
        <v>24150</v>
      </c>
      <c r="F36" s="20">
        <f>_xlfn.RANK.EQ(D25,$D$2:$D$65)</f>
        <v/>
      </c>
      <c r="G36" s="20">
        <f>_xlfn.RANK.EQ(E25,$E$2:$E$65)</f>
        <v/>
      </c>
    </row>
    <row r="37">
      <c r="A37" s="20" t="inlineStr">
        <is>
          <t>第3分部</t>
        </is>
      </c>
      <c r="B37" s="20" t="inlineStr">
        <is>
          <t>生物科学</t>
        </is>
      </c>
      <c r="C37" s="20" t="n">
        <v>1</v>
      </c>
      <c r="D37" s="20" t="n">
        <v>212</v>
      </c>
      <c r="E37" s="20" t="n">
        <v>14840</v>
      </c>
      <c r="F37" s="20">
        <f>_xlfn.RANK.EQ(D27,$D$2:$D$65)</f>
        <v/>
      </c>
      <c r="G37" s="20">
        <f>_xlfn.RANK.EQ(E27,$E$2:$E$65)</f>
        <v/>
      </c>
    </row>
    <row r="38">
      <c r="A38" s="20" t="inlineStr">
        <is>
          <t>第3分部</t>
        </is>
      </c>
      <c r="B38" s="20" t="inlineStr">
        <is>
          <t>工业技术</t>
        </is>
      </c>
      <c r="C38" s="20" t="n">
        <v>2</v>
      </c>
      <c r="D38" s="20" t="n">
        <v>321</v>
      </c>
      <c r="E38" s="20" t="n">
        <v>9630</v>
      </c>
      <c r="F38" s="20">
        <f>_xlfn.RANK.EQ(D3,$D$2:$D$65)</f>
        <v/>
      </c>
      <c r="G38" s="20">
        <f>_xlfn.RANK.EQ(E3,$E$2:$E$65)</f>
        <v/>
      </c>
    </row>
    <row r="39">
      <c r="A39" s="20" t="inlineStr">
        <is>
          <t>第3分部</t>
        </is>
      </c>
      <c r="B39" s="20" t="inlineStr">
        <is>
          <t>工业技术</t>
        </is>
      </c>
      <c r="C39" s="20" t="n">
        <v>4</v>
      </c>
      <c r="D39" s="20" t="n">
        <v>213</v>
      </c>
      <c r="E39" s="20" t="n">
        <v>10650</v>
      </c>
      <c r="F39" s="20">
        <f>_xlfn.RANK.EQ(D9,$D$2:$D$65)</f>
        <v/>
      </c>
      <c r="G39" s="20">
        <f>_xlfn.RANK.EQ(E9,$E$2:$E$65)</f>
        <v/>
      </c>
    </row>
    <row r="40">
      <c r="A40" s="20" t="inlineStr">
        <is>
          <t>第3分部</t>
        </is>
      </c>
      <c r="B40" s="20" t="inlineStr">
        <is>
          <t>工业技术</t>
        </is>
      </c>
      <c r="C40" s="20" t="n">
        <v>3</v>
      </c>
      <c r="D40" s="20" t="n">
        <v>189</v>
      </c>
      <c r="E40" s="20" t="n">
        <v>9450</v>
      </c>
      <c r="F40" s="20">
        <f>_xlfn.RANK.EQ(D15,$D$2:$D$65)</f>
        <v/>
      </c>
      <c r="G40" s="20">
        <f>_xlfn.RANK.EQ(E15,$E$2:$E$65)</f>
        <v/>
      </c>
    </row>
    <row r="41">
      <c r="A41" s="20" t="inlineStr">
        <is>
          <t>第3分部</t>
        </is>
      </c>
      <c r="B41" s="20" t="inlineStr">
        <is>
          <t>工业技术</t>
        </is>
      </c>
      <c r="C41" s="20" t="n">
        <v>1</v>
      </c>
      <c r="D41" s="20" t="n">
        <v>301</v>
      </c>
      <c r="E41" s="20" t="n">
        <v>15050</v>
      </c>
      <c r="F41" s="20">
        <f>_xlfn.RANK.EQ(D23,$D$2:$D$65)</f>
        <v/>
      </c>
      <c r="G41" s="20">
        <f>_xlfn.RANK.EQ(E23,$E$2:$E$65)</f>
        <v/>
      </c>
    </row>
    <row r="42">
      <c r="A42" s="20" t="inlineStr">
        <is>
          <t>第3分部</t>
        </is>
      </c>
      <c r="B42" s="20" t="inlineStr">
        <is>
          <t>农业科学</t>
        </is>
      </c>
      <c r="C42" s="20" t="n">
        <v>4</v>
      </c>
      <c r="D42" s="20" t="n">
        <v>432</v>
      </c>
      <c r="E42" s="20" t="n">
        <v>32960</v>
      </c>
      <c r="F42" s="20">
        <f>_xlfn.RANK.EQ(D17,$D$2:$D$65)</f>
        <v/>
      </c>
      <c r="G42" s="20">
        <f>_xlfn.RANK.EQ(E17,$E$2:$E$65)</f>
        <v/>
      </c>
    </row>
    <row r="43">
      <c r="A43" s="20" t="inlineStr">
        <is>
          <t>第3分部</t>
        </is>
      </c>
      <c r="B43" s="20" t="inlineStr">
        <is>
          <t>农业科学</t>
        </is>
      </c>
      <c r="C43" s="20" t="n">
        <v>1</v>
      </c>
      <c r="D43" s="20" t="n">
        <v>306</v>
      </c>
      <c r="E43" s="20" t="n">
        <v>29180</v>
      </c>
      <c r="F43" s="20">
        <f>_xlfn.RANK.EQ(D24,$D$2:$D$65)</f>
        <v/>
      </c>
      <c r="G43" s="20">
        <f>_xlfn.RANK.EQ(E24,$E$2:$E$65)</f>
        <v/>
      </c>
    </row>
    <row r="44">
      <c r="A44" s="20" t="inlineStr">
        <is>
          <t>第3分部</t>
        </is>
      </c>
      <c r="B44" s="20" t="inlineStr">
        <is>
          <t>农业科学</t>
        </is>
      </c>
      <c r="C44" s="20" t="n">
        <v>3</v>
      </c>
      <c r="D44" s="20" t="n">
        <v>219</v>
      </c>
      <c r="E44" s="20" t="n">
        <v>12990</v>
      </c>
      <c r="F44" s="20">
        <f>_xlfn.RANK.EQ(D36,$D$2:$D$65)</f>
        <v/>
      </c>
      <c r="G44" s="20">
        <f>_xlfn.RANK.EQ(E36,$E$2:$E$65)</f>
        <v/>
      </c>
    </row>
    <row r="45">
      <c r="A45" s="20" t="inlineStr">
        <is>
          <t>第3分部</t>
        </is>
      </c>
      <c r="B45" s="20" t="inlineStr">
        <is>
          <t>农业科学</t>
        </is>
      </c>
      <c r="C45" s="20" t="n">
        <v>2</v>
      </c>
      <c r="D45" s="20" t="n">
        <v>148</v>
      </c>
      <c r="E45" s="20" t="n">
        <v>9078</v>
      </c>
      <c r="F45" s="20">
        <f>_xlfn.RANK.EQ(D65,$D$2:$D$65)</f>
        <v/>
      </c>
      <c r="G45" s="20">
        <f>_xlfn.RANK.EQ(E65,$E$2:$E$65)</f>
        <v/>
      </c>
    </row>
    <row r="46">
      <c r="A46" s="20" t="inlineStr">
        <is>
          <t>第3分部</t>
        </is>
      </c>
      <c r="B46" s="20" t="inlineStr">
        <is>
          <t>交通科学</t>
        </is>
      </c>
      <c r="C46" s="20" t="n">
        <v>1</v>
      </c>
      <c r="D46" s="20" t="n">
        <v>166</v>
      </c>
      <c r="E46" s="20" t="n">
        <v>8765</v>
      </c>
      <c r="F46" s="20">
        <f>_xlfn.RANK.EQ(D49,$D$2:$D$65)</f>
        <v/>
      </c>
      <c r="G46" s="20">
        <f>_xlfn.RANK.EQ(E49,$E$2:$E$65)</f>
        <v/>
      </c>
    </row>
    <row r="47">
      <c r="A47" s="20" t="inlineStr">
        <is>
          <t>第3分部</t>
        </is>
      </c>
      <c r="B47" s="20" t="inlineStr">
        <is>
          <t>交通科学</t>
        </is>
      </c>
      <c r="C47" s="20" t="n">
        <v>3</v>
      </c>
      <c r="D47" s="20" t="n">
        <v>216</v>
      </c>
      <c r="E47" s="20" t="n">
        <v>10238</v>
      </c>
      <c r="F47" s="20">
        <f>_xlfn.RANK.EQ(D51,$D$2:$D$65)</f>
        <v/>
      </c>
      <c r="G47" s="20">
        <f>_xlfn.RANK.EQ(E51,$E$2:$E$65)</f>
        <v/>
      </c>
    </row>
    <row r="48">
      <c r="A48" s="20" t="inlineStr">
        <is>
          <t>第3分部</t>
        </is>
      </c>
      <c r="B48" s="20" t="inlineStr">
        <is>
          <t>交通科学</t>
        </is>
      </c>
      <c r="C48" s="20" t="n">
        <v>4</v>
      </c>
      <c r="D48" s="20" t="n">
        <v>432</v>
      </c>
      <c r="E48" s="20" t="n">
        <v>20563</v>
      </c>
      <c r="F48" s="20">
        <f>_xlfn.RANK.EQ(D53,$D$2:$D$65)</f>
        <v/>
      </c>
      <c r="G48" s="20">
        <f>_xlfn.RANK.EQ(E53,$E$2:$E$65)</f>
        <v/>
      </c>
    </row>
    <row r="49">
      <c r="A49" s="20" t="inlineStr">
        <is>
          <t>第3分部</t>
        </is>
      </c>
      <c r="B49" s="20" t="inlineStr">
        <is>
          <t>交通科学</t>
        </is>
      </c>
      <c r="C49" s="20" t="n">
        <v>2</v>
      </c>
      <c r="D49" s="20" t="n">
        <v>199</v>
      </c>
      <c r="E49" s="20" t="n">
        <v>9675</v>
      </c>
      <c r="F49" s="20">
        <f>_xlfn.RANK.EQ(D62,$D$2:$D$65)</f>
        <v/>
      </c>
      <c r="G49" s="20">
        <f>_xlfn.RANK.EQ(E62,$E$2:$E$65)</f>
        <v/>
      </c>
    </row>
    <row r="50">
      <c r="A50" s="20" t="inlineStr">
        <is>
          <t>第4分部</t>
        </is>
      </c>
      <c r="B50" s="20" t="inlineStr">
        <is>
          <t>生物科学</t>
        </is>
      </c>
      <c r="C50" s="20" t="n">
        <v>3</v>
      </c>
      <c r="D50" s="20" t="n">
        <v>378</v>
      </c>
      <c r="E50" s="20" t="n">
        <v>26460</v>
      </c>
      <c r="F50" s="20">
        <f>_xlfn.RANK.EQ(D35,$D$2:$D$65)</f>
        <v/>
      </c>
      <c r="G50" s="20">
        <f>_xlfn.RANK.EQ(E35,$E$2:$E$65)</f>
        <v/>
      </c>
    </row>
    <row r="51">
      <c r="A51" s="20" t="inlineStr">
        <is>
          <t>第4分部</t>
        </is>
      </c>
      <c r="B51" s="20" t="inlineStr">
        <is>
          <t>生物科学</t>
        </is>
      </c>
      <c r="C51" s="20" t="n">
        <v>1</v>
      </c>
      <c r="D51" s="20" t="n">
        <v>324</v>
      </c>
      <c r="E51" s="20" t="n">
        <v>22680</v>
      </c>
      <c r="F51" s="20">
        <f>_xlfn.RANK.EQ(D37,$D$2:$D$65)</f>
        <v/>
      </c>
      <c r="G51" s="20">
        <f>_xlfn.RANK.EQ(E37,$E$2:$E$65)</f>
        <v/>
      </c>
    </row>
    <row r="52">
      <c r="A52" s="20" t="inlineStr">
        <is>
          <t>第3分部 小计</t>
        </is>
      </c>
      <c r="B52" s="20" t="inlineStr">
        <is>
          <t>生物科学</t>
        </is>
      </c>
      <c r="C52" s="20" t="n">
        <v>2</v>
      </c>
      <c r="D52" s="20" t="n">
        <v>329</v>
      </c>
      <c r="E52" s="24">
        <f>AVERAGE(E36:E51)</f>
        <v/>
      </c>
      <c r="F52" s="20">
        <f>_xlfn.RANK.EQ(D38,$D$2:$D$65)</f>
        <v/>
      </c>
      <c r="G52" s="20">
        <f>_xlfn.RANK.EQ(E38,$E$2:$E$65)</f>
        <v/>
      </c>
    </row>
    <row r="53">
      <c r="A53" s="20" t="inlineStr">
        <is>
          <t>第4分部</t>
        </is>
      </c>
      <c r="B53" s="20" t="inlineStr">
        <is>
          <t>生物科学</t>
        </is>
      </c>
      <c r="C53" s="20" t="n">
        <v>4</v>
      </c>
      <c r="D53" s="20" t="n">
        <v>398</v>
      </c>
      <c r="E53" s="20" t="n">
        <v>27860</v>
      </c>
      <c r="F53" s="20">
        <f>_xlfn.RANK.EQ(D39,$D$2:$D$65)</f>
        <v/>
      </c>
      <c r="G53" s="20">
        <f>_xlfn.RANK.EQ(E39,$E$2:$E$65)</f>
        <v/>
      </c>
    </row>
    <row r="54">
      <c r="A54" s="20" t="inlineStr">
        <is>
          <t>第4分部</t>
        </is>
      </c>
      <c r="B54" s="20" t="inlineStr">
        <is>
          <t>工业技术</t>
        </is>
      </c>
      <c r="C54" s="20" t="n">
        <v>1</v>
      </c>
      <c r="D54" s="20" t="n">
        <v>234</v>
      </c>
      <c r="E54" s="20" t="n">
        <v>14321</v>
      </c>
      <c r="F54" s="20">
        <f>_xlfn.RANK.EQ(D46,$D$2:$D$65)</f>
        <v/>
      </c>
      <c r="G54" s="20">
        <f>_xlfn.RANK.EQ(E46,$E$2:$E$65)</f>
        <v/>
      </c>
    </row>
    <row r="55">
      <c r="A55" s="20" t="inlineStr">
        <is>
          <t>第4分部</t>
        </is>
      </c>
      <c r="B55" s="20" t="inlineStr">
        <is>
          <t>工业技术</t>
        </is>
      </c>
      <c r="C55" s="20" t="n">
        <v>3</v>
      </c>
      <c r="D55" s="20" t="n">
        <v>129</v>
      </c>
      <c r="E55" s="20" t="n">
        <v>9637</v>
      </c>
      <c r="F55" s="20">
        <f>_xlfn.RANK.EQ(D50,$D$2:$D$65)</f>
        <v/>
      </c>
      <c r="G55" s="20">
        <f>_xlfn.RANK.EQ(E50,$E$2:$E$65)</f>
        <v/>
      </c>
    </row>
    <row r="56">
      <c r="A56" s="20" t="inlineStr">
        <is>
          <t>第4分部</t>
        </is>
      </c>
      <c r="B56" s="20" t="inlineStr">
        <is>
          <t>工业技术</t>
        </is>
      </c>
      <c r="C56" s="20" t="n">
        <v>2</v>
      </c>
      <c r="D56" s="20" t="n">
        <v>432</v>
      </c>
      <c r="E56" s="20" t="n">
        <v>31256</v>
      </c>
      <c r="F56" s="20">
        <f>_xlfn.RANK.EQ(D58,$D$2:$D$65)</f>
        <v/>
      </c>
      <c r="G56" s="20">
        <f>_xlfn.RANK.EQ(E58,$E$2:$E$65)</f>
        <v/>
      </c>
    </row>
    <row r="57">
      <c r="A57" s="20" t="inlineStr">
        <is>
          <t>第4分部</t>
        </is>
      </c>
      <c r="B57" s="20" t="inlineStr">
        <is>
          <t>工业技术</t>
        </is>
      </c>
      <c r="C57" s="20" t="n">
        <v>4</v>
      </c>
      <c r="D57" s="20" t="n">
        <v>112</v>
      </c>
      <c r="E57" s="20" t="n">
        <v>8178</v>
      </c>
      <c r="F57" s="20">
        <f>_xlfn.RANK.EQ(D60,$D$2:$D$65)</f>
        <v/>
      </c>
      <c r="G57" s="20">
        <f>_xlfn.RANK.EQ(E60,$E$2:$E$65)</f>
        <v/>
      </c>
    </row>
    <row r="58">
      <c r="A58" s="20" t="inlineStr">
        <is>
          <t>第4分部</t>
        </is>
      </c>
      <c r="B58" s="20" t="inlineStr">
        <is>
          <t>农业科学</t>
        </is>
      </c>
      <c r="C58" s="20" t="n">
        <v>4</v>
      </c>
      <c r="D58" s="20" t="n">
        <v>421</v>
      </c>
      <c r="E58" s="20" t="n">
        <v>32534</v>
      </c>
      <c r="F58" s="20">
        <f>_xlfn.RANK.EQ(D48,$D$2:$D$65)</f>
        <v/>
      </c>
      <c r="G58" s="20">
        <f>_xlfn.RANK.EQ(E48,$E$2:$E$65)</f>
        <v/>
      </c>
    </row>
    <row r="59" ht="15.75" customHeight="1">
      <c r="A59" s="20" t="inlineStr">
        <is>
          <t>第4分部</t>
        </is>
      </c>
      <c r="B59" s="20" t="inlineStr">
        <is>
          <t>农业科学</t>
        </is>
      </c>
      <c r="C59" s="20" t="n">
        <v>2</v>
      </c>
      <c r="D59" s="20" t="n">
        <v>217</v>
      </c>
      <c r="E59" s="20" t="n">
        <v>20453</v>
      </c>
      <c r="F59" s="20">
        <f>_xlfn.RANK.EQ(D52,$D$2:$D$65)</f>
        <v/>
      </c>
      <c r="G59" s="20">
        <f>_xlfn.RANK.EQ(E52,$E$2:$E$65)</f>
        <v/>
      </c>
    </row>
    <row r="60">
      <c r="A60" s="20" t="inlineStr">
        <is>
          <t>第4分部</t>
        </is>
      </c>
      <c r="B60" s="20" t="inlineStr">
        <is>
          <t>农业科学</t>
        </is>
      </c>
      <c r="C60" s="20" t="n">
        <v>1</v>
      </c>
      <c r="D60" s="20" t="n">
        <v>156</v>
      </c>
      <c r="E60" s="20" t="n">
        <v>10786</v>
      </c>
      <c r="F60" s="20">
        <f>_xlfn.RANK.EQ(D61,$D$2:$D$65)</f>
        <v/>
      </c>
      <c r="G60" s="20">
        <f>_xlfn.RANK.EQ(E61,$E$2:$E$65)</f>
        <v/>
      </c>
    </row>
    <row r="61">
      <c r="A61" s="20" t="inlineStr">
        <is>
          <t>第4分部</t>
        </is>
      </c>
      <c r="B61" s="20" t="inlineStr">
        <is>
          <t>农业科学</t>
        </is>
      </c>
      <c r="C61" s="20" t="n">
        <v>3</v>
      </c>
      <c r="D61" s="20" t="n">
        <v>356</v>
      </c>
      <c r="E61" s="20" t="n">
        <v>29342</v>
      </c>
      <c r="F61" s="20">
        <f>_xlfn.RANK.EQ(D63,$D$2:$D$65)</f>
        <v/>
      </c>
      <c r="G61" s="20">
        <f>_xlfn.RANK.EQ(E63,$E$2:$E$65)</f>
        <v/>
      </c>
    </row>
    <row r="62">
      <c r="A62" s="20" t="inlineStr">
        <is>
          <t>第4分部</t>
        </is>
      </c>
      <c r="B62" s="20" t="inlineStr">
        <is>
          <t>交通科学</t>
        </is>
      </c>
      <c r="C62" s="20" t="n">
        <v>3</v>
      </c>
      <c r="D62" s="20" t="n">
        <v>232</v>
      </c>
      <c r="E62" s="20" t="n">
        <v>11298</v>
      </c>
      <c r="F62" s="20">
        <f>_xlfn.RANK.EQ(D41,$D$2:$D$65)</f>
        <v/>
      </c>
      <c r="G62" s="20">
        <f>_xlfn.RANK.EQ(E41,$E$2:$E$65)</f>
        <v/>
      </c>
    </row>
    <row r="63">
      <c r="A63" s="20" t="inlineStr">
        <is>
          <t>第4分部</t>
        </is>
      </c>
      <c r="B63" s="20" t="inlineStr">
        <is>
          <t>交通科学</t>
        </is>
      </c>
      <c r="C63" s="20" t="n">
        <v>1</v>
      </c>
      <c r="D63" s="20" t="n">
        <v>321</v>
      </c>
      <c r="E63" s="20" t="n">
        <v>18976</v>
      </c>
      <c r="F63" s="20">
        <f>_xlfn.RANK.EQ(D43,$D$2:$D$65)</f>
        <v/>
      </c>
      <c r="G63" s="20">
        <f>_xlfn.RANK.EQ(E43,$E$2:$E$65)</f>
        <v/>
      </c>
    </row>
    <row r="64">
      <c r="A64" s="20" t="inlineStr">
        <is>
          <t>第4分部</t>
        </is>
      </c>
      <c r="B64" s="20" t="inlineStr">
        <is>
          <t>交通科学</t>
        </is>
      </c>
      <c r="C64" s="20" t="n">
        <v>2</v>
      </c>
      <c r="D64" s="20" t="n">
        <v>112</v>
      </c>
      <c r="E64" s="20" t="n">
        <v>8798</v>
      </c>
      <c r="F64" s="20">
        <f>_xlfn.RANK.EQ(D55,$D$2:$D$65)</f>
        <v/>
      </c>
      <c r="G64" s="20">
        <f>_xlfn.RANK.EQ(E55,$E$2:$E$65)</f>
        <v/>
      </c>
    </row>
    <row r="65">
      <c r="A65" s="20" t="inlineStr">
        <is>
          <t>第4分部</t>
        </is>
      </c>
      <c r="B65" s="20" t="inlineStr">
        <is>
          <t>交通科学</t>
        </is>
      </c>
      <c r="C65" s="20" t="n">
        <v>4</v>
      </c>
      <c r="D65" s="20" t="n">
        <v>261</v>
      </c>
      <c r="E65" s="20" t="n">
        <v>11675</v>
      </c>
      <c r="F65" s="20">
        <f>_xlfn.RANK.EQ(D56,$D$2:$D$65)</f>
        <v/>
      </c>
      <c r="G65" s="20">
        <f>_xlfn.RANK.EQ(E56,$E$2:$E$65)</f>
        <v/>
      </c>
    </row>
    <row r="69">
      <c r="A69" t="inlineStr">
        <is>
          <t>第4分部 小计</t>
        </is>
      </c>
      <c r="E69" s="25">
        <f>AVERAGE(E53:E68)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C15" sqref="C15"/>
    </sheetView>
  </sheetViews>
  <sheetFormatPr baseColWidth="8" defaultRowHeight="14.25"/>
  <cols>
    <col width="9" customWidth="1" style="16" min="1" max="16384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ysy</dc:creator>
  <dcterms:created xmlns:dcterms="http://purl.org/dc/terms/" xmlns:xsi="http://www.w3.org/2001/XMLSchema-instance" xsi:type="dcterms:W3CDTF">2005-08-24T03:08:00Z</dcterms:created>
  <dcterms:modified xmlns:dcterms="http://purl.org/dc/terms/" xmlns:xsi="http://www.w3.org/2001/XMLSchema-instance" xsi:type="dcterms:W3CDTF">2026-04-17T08:09:46Z</dcterms:modified>
  <cp:lastModifiedBy>NTKO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2052-11.1.0.10314</vt:lpwstr>
  </property>
</Properties>
</file>