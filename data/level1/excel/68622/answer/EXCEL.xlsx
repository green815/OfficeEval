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815" windowHeight="8010" activeTab="2"/>
  </bookViews>
  <sheets>
    <sheet name="每日门店销售" sheetId="1" r:id="rId1"/>
    <sheet name="按年统计" sheetId="6" r:id="rId2"/>
    <sheet name="销售清单" sheetId="8" r:id="rId3"/>
  </sheets>
  <definedNames>
    <definedName name="_xlnm._FilterDatabase" localSheetId="0" hidden="1">每日门店销售!$C$1:$L$358</definedName>
    <definedName name="_xlnm._FilterDatabase" localSheetId="2" hidden="1">销售清单!$A$1:$J$58</definedName>
  </definedNames>
  <calcPr calcId="162913"/>
</workbook>
</file>

<file path=xl/calcChain.xml><?xml version="1.0" encoding="utf-8"?>
<calcChain xmlns="http://schemas.openxmlformats.org/spreadsheetml/2006/main">
  <c r="C4" i="6" l="1"/>
  <c r="C3" i="6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B2" i="1"/>
  <c r="A2" i="1"/>
  <c r="I12" i="8"/>
  <c r="G12" i="8"/>
  <c r="I9" i="8"/>
  <c r="G9" i="8"/>
  <c r="I14" i="8"/>
  <c r="G14" i="8"/>
  <c r="I18" i="8"/>
  <c r="G18" i="8"/>
  <c r="I21" i="8"/>
  <c r="G21" i="8"/>
  <c r="I8" i="8"/>
  <c r="G8" i="8"/>
  <c r="I4" i="8"/>
  <c r="G4" i="8"/>
  <c r="I7" i="8"/>
  <c r="G7" i="8"/>
  <c r="I17" i="8"/>
  <c r="G17" i="8"/>
  <c r="I20" i="8"/>
  <c r="G20" i="8"/>
  <c r="I22" i="8"/>
  <c r="G22" i="8"/>
  <c r="I13" i="8"/>
  <c r="G13" i="8"/>
  <c r="I3" i="8"/>
  <c r="G3" i="8"/>
  <c r="I6" i="8"/>
  <c r="G6" i="8"/>
  <c r="I2" i="8"/>
  <c r="G2" i="8"/>
  <c r="I11" i="8"/>
  <c r="G11" i="8"/>
  <c r="I16" i="8"/>
  <c r="G16" i="8"/>
  <c r="I19" i="8"/>
  <c r="G19" i="8"/>
  <c r="I32" i="8"/>
  <c r="G32" i="8"/>
  <c r="I5" i="8"/>
  <c r="G5" i="8"/>
  <c r="I34" i="8"/>
  <c r="G34" i="8"/>
  <c r="I36" i="8"/>
  <c r="G36" i="8"/>
  <c r="I40" i="8"/>
  <c r="G40" i="8"/>
  <c r="I44" i="8"/>
  <c r="G44" i="8"/>
  <c r="I42" i="8"/>
  <c r="G42" i="8"/>
  <c r="I41" i="8"/>
  <c r="G41" i="8"/>
  <c r="I28" i="8"/>
  <c r="G28" i="8"/>
  <c r="I25" i="8"/>
  <c r="G25" i="8"/>
  <c r="I23" i="8"/>
  <c r="G23" i="8"/>
  <c r="I24" i="8"/>
  <c r="G24" i="8"/>
  <c r="I30" i="8"/>
  <c r="G30" i="8"/>
  <c r="I35" i="8"/>
  <c r="G35" i="8"/>
  <c r="I53" i="8"/>
  <c r="G53" i="8"/>
  <c r="I27" i="8"/>
  <c r="G27" i="8"/>
  <c r="I26" i="8"/>
  <c r="G26" i="8"/>
  <c r="I29" i="8"/>
  <c r="G29" i="8"/>
  <c r="I33" i="8"/>
  <c r="G33" i="8"/>
  <c r="I39" i="8"/>
  <c r="G39" i="8"/>
  <c r="I38" i="8"/>
  <c r="G38" i="8"/>
  <c r="I10" i="8"/>
  <c r="G10" i="8"/>
  <c r="I37" i="8"/>
  <c r="G37" i="8"/>
  <c r="I31" i="8"/>
  <c r="G31" i="8"/>
  <c r="I47" i="8"/>
  <c r="G47" i="8"/>
  <c r="I45" i="8"/>
  <c r="G45" i="8"/>
  <c r="I46" i="8"/>
  <c r="G46" i="8"/>
  <c r="I49" i="8"/>
  <c r="G49" i="8"/>
  <c r="I57" i="8"/>
  <c r="G57" i="8"/>
  <c r="I55" i="8"/>
  <c r="G55" i="8"/>
  <c r="I48" i="8"/>
  <c r="G48" i="8"/>
  <c r="I51" i="8"/>
  <c r="G51" i="8"/>
  <c r="I50" i="8"/>
  <c r="G50" i="8"/>
  <c r="I54" i="8"/>
  <c r="G54" i="8"/>
  <c r="I56" i="8"/>
  <c r="G56" i="8"/>
  <c r="I58" i="8"/>
  <c r="G58" i="8"/>
  <c r="I15" i="8"/>
  <c r="G15" i="8"/>
  <c r="I43" i="8"/>
  <c r="G43" i="8"/>
  <c r="I52" i="8"/>
  <c r="G52" i="8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<sst xmlns="http://schemas.openxmlformats.org/spreadsheetml/2006/main" count="764" uniqueCount="162">
  <si>
    <t>日期</t>
  </si>
  <si>
    <t>订单号</t>
  </si>
  <si>
    <t>商品</t>
  </si>
  <si>
    <t>区域</t>
  </si>
  <si>
    <t>门店</t>
  </si>
  <si>
    <t>品类</t>
  </si>
  <si>
    <t>收入</t>
  </si>
  <si>
    <t>数量</t>
  </si>
  <si>
    <t>销售单价</t>
  </si>
  <si>
    <t>成本</t>
  </si>
  <si>
    <t>毛利</t>
  </si>
  <si>
    <t>业绩表现</t>
  </si>
  <si>
    <t>神奇伸缩带柄滴水筛/沥水筛</t>
  </si>
  <si>
    <t>辽宁</t>
  </si>
  <si>
    <t>大西街店</t>
  </si>
  <si>
    <t>置物</t>
  </si>
  <si>
    <t>新款日式整理鞋架</t>
  </si>
  <si>
    <t>小精灵布艺纸巾抽（黄色）</t>
  </si>
  <si>
    <t>纸巾抽</t>
  </si>
  <si>
    <t>FFXS时尚红酒伞(鸟语花香白底银花)</t>
  </si>
  <si>
    <t>雨伞</t>
  </si>
  <si>
    <t>立体时钟12音</t>
  </si>
  <si>
    <t>益智玩具</t>
  </si>
  <si>
    <t>大脚丫敲琴 脚丫子五音琴</t>
  </si>
  <si>
    <t>MR.P套套表情牙签筒-哭脸</t>
  </si>
  <si>
    <t>牙签盒</t>
  </si>
  <si>
    <t>强力银河老品牌 毛球修剪器 剃绒器</t>
  </si>
  <si>
    <t>卫浴清洁</t>
  </si>
  <si>
    <t>长方形超大双面吸盘-白色</t>
  </si>
  <si>
    <t>新款一次性手套(150只装)</t>
  </si>
  <si>
    <t>好神/真神/好惠拖专用拖把头</t>
  </si>
  <si>
    <t>简装爱心超强双面吸盘贴物器-黄色</t>
  </si>
  <si>
    <t>方形测紫外线手机链</t>
  </si>
  <si>
    <t>手机周边</t>
  </si>
  <si>
    <t>新款七彩月亮小人灯</t>
  </si>
  <si>
    <t>发光玩具</t>
  </si>
  <si>
    <t>浪漫满屋声控蜡烛灯(七彩)</t>
  </si>
  <si>
    <t>ROCKY镶钻款手表</t>
  </si>
  <si>
    <t>山西</t>
  </si>
  <si>
    <t>铁西分店</t>
  </si>
  <si>
    <t>钟表</t>
  </si>
  <si>
    <t>炫彩四面钟</t>
  </si>
  <si>
    <t>太平分店</t>
  </si>
  <si>
    <t>2011年最新 DIY墙贴画钟（重叠）</t>
  </si>
  <si>
    <t>自然声音乐吧焕彩球闹钟</t>
  </si>
  <si>
    <t>FIYKL款手表</t>
  </si>
  <si>
    <t>铜锣湾店</t>
  </si>
  <si>
    <t>进口机芯 韩版街头潮女手表</t>
  </si>
  <si>
    <t>韩国潮人街女式手表</t>
  </si>
  <si>
    <t>Z形鞋架</t>
  </si>
  <si>
    <t>信和多功能组合式大碗盘收纳架/整理棚（0601-2）</t>
  </si>
  <si>
    <t>创意油漆滴落挂钩</t>
  </si>
  <si>
    <t>高品质彩色旅行折叠衣架 两用衣架(5个装)</t>
  </si>
  <si>
    <t>神奇魔术裤架(不锈钢管)</t>
  </si>
  <si>
    <t>双庆多功能置物架（1895）</t>
  </si>
  <si>
    <t>滴水碗盆收纳架－白色</t>
  </si>
  <si>
    <t>振兴圆形晒架12头旋转式钩头</t>
  </si>
  <si>
    <t>韩版奶牛垃圾桶(粉色)</t>
  </si>
  <si>
    <t>双庆吸盘卫浴毛巾架</t>
  </si>
  <si>
    <t>幸福100%爱心香皂盒</t>
  </si>
  <si>
    <t>双庆双层角落架</t>
  </si>
  <si>
    <t>多用途不锈钢厨房置物架（5698）</t>
  </si>
  <si>
    <t>一次性鞋套(100只装)</t>
  </si>
  <si>
    <t>优质带支架印花文胸护洗袋</t>
  </si>
  <si>
    <t>吸盘式立体MR.P挂钩</t>
  </si>
  <si>
    <t xml:space="preserve">创意游泳衣架 </t>
  </si>
  <si>
    <t>欧林樱花 日式两用厨房浴室多用挂</t>
  </si>
  <si>
    <t>圆点牛津布纸巾套/纸巾收纳盒（咖啡色）</t>
  </si>
  <si>
    <t>日本风味超大牙膏纸巾抽</t>
  </si>
  <si>
    <t>蒙娜丽莎超大牙膏纸巾抽</t>
  </si>
  <si>
    <t>小精灵布艺纸巾抽（绿色）</t>
  </si>
  <si>
    <t>大力水手超大牙膏纸巾抽</t>
  </si>
  <si>
    <t>黑色章鱼纸巾抽</t>
  </si>
  <si>
    <t>浪漫三合一蛋糕纸巾筒-天使</t>
  </si>
  <si>
    <t>FFXS可乐罐纸巾抽(可乐罐红)</t>
  </si>
  <si>
    <t>品佳创意缩口布艺纸巾抽</t>
  </si>
  <si>
    <t>台灯纸巾筒--心之乐章</t>
  </si>
  <si>
    <t>皱皮狗全身毛绒纸巾套/纸巾抽</t>
  </si>
  <si>
    <t>浪漫三合一蛋糕纸巾筒-老鼠</t>
  </si>
  <si>
    <t>超可爱毛绒粉色圆桶形猪猪纸巾筒</t>
  </si>
  <si>
    <t>浪漫三合一蛋糕纸巾筒-礼带</t>
  </si>
  <si>
    <t>圆点牛津布纸巾套/纸巾收纳盒（黑色）</t>
  </si>
  <si>
    <t>台灯纸巾筒--恋之吻(红)</t>
  </si>
  <si>
    <t>台灯纸巾筒--心之变幻</t>
  </si>
  <si>
    <t>FFXS时尚红酒伞(梦境树白)</t>
  </si>
  <si>
    <t>FFXS时尚红酒伞(牛牛开怀)</t>
  </si>
  <si>
    <t>FFXS时尚红酒伞(时尚女人)</t>
  </si>
  <si>
    <t>FFXS时尚红酒伞(0%蓝)</t>
  </si>
  <si>
    <t>FFXS时尚红酒伞(黑米奇)</t>
  </si>
  <si>
    <t>FFXS时尚红酒伞(梦境树粉)</t>
  </si>
  <si>
    <t>FFXS时尚红酒伞(绿衣男人)</t>
  </si>
  <si>
    <t>FFXS时尚红酒伞(可爱Mao Mao)</t>
  </si>
  <si>
    <t>FFXS时尚红酒伞(情侣-女)</t>
  </si>
  <si>
    <t>FFXS时尚红酒伞(恋爱男女)</t>
  </si>
  <si>
    <t>FFXS时尚红酒伞(非诚勿扰白)</t>
  </si>
  <si>
    <t>FFXS时尚红酒伞(非诚勿扰粉)</t>
  </si>
  <si>
    <t>FFXS时尚红酒伞(0%白)</t>
  </si>
  <si>
    <t>FFXS时尚红酒伞(天使)</t>
  </si>
  <si>
    <t>FFXS时尚红酒伞(0%黄)</t>
  </si>
  <si>
    <t>FFXS时尚红酒伞(白苹果)</t>
  </si>
  <si>
    <t>斑马立体八音琴 彩色琴</t>
  </si>
  <si>
    <t xml:space="preserve">米老鼠米奇五音敲琴 </t>
  </si>
  <si>
    <t>小兔八音手敲琴 敲击玩具</t>
  </si>
  <si>
    <t>小羊羊八音琴 八音琴拖车</t>
  </si>
  <si>
    <t>手指五音琴 卡通木敲琴</t>
  </si>
  <si>
    <t>手提青蛙八音琴</t>
  </si>
  <si>
    <t>立体长颈鹿八音琴 儿童易智玩具</t>
  </si>
  <si>
    <t>咖啡豆钥匙包</t>
  </si>
  <si>
    <t>钥匙扣</t>
  </si>
  <si>
    <t>八款动物钥匙扣伸缩笔SSB01</t>
  </si>
  <si>
    <t>家庭保健药箱</t>
  </si>
  <si>
    <t>药盒</t>
  </si>
  <si>
    <t>半圆形滑盖磨砂双格药盒</t>
  </si>
  <si>
    <t>大号半透明炫彩一周药盒-橙色</t>
  </si>
  <si>
    <t>扇形磨砂滑盖式一格药盒</t>
  </si>
  <si>
    <t>机灵兔牙签筒-红色</t>
  </si>
  <si>
    <t>MR.P套套表情牙签筒-笑脸</t>
  </si>
  <si>
    <t>创意梨子便签纸</t>
  </si>
  <si>
    <t>文体用品</t>
  </si>
  <si>
    <t>比赛专用12寸飞镖靶</t>
  </si>
  <si>
    <t>复古式 香味四合一DIY相框便签座（红色）</t>
  </si>
  <si>
    <t>铁盒装可爱妞子笔记本/日记本三件套装[铁盒+日记本+圆</t>
  </si>
  <si>
    <t>节日贺呀 教师节情人节贺卡/创意立体贺卡/卡片</t>
  </si>
  <si>
    <t>创意苹果便签纸</t>
  </si>
  <si>
    <t>韩国小吃美食橡皮擦（6块）</t>
  </si>
  <si>
    <t>复古式 香味四合一DIY相框便签座（黑色）</t>
  </si>
  <si>
    <t>爱情密码 情人/生日 12秒录音贺卡 笑脸蛋糕</t>
  </si>
  <si>
    <t>年份</t>
  </si>
  <si>
    <t>销售统计</t>
  </si>
  <si>
    <t>2016年</t>
  </si>
  <si>
    <t>2017年</t>
  </si>
  <si>
    <t>类别</t>
  </si>
  <si>
    <t>商品型号</t>
  </si>
  <si>
    <t>市场定价</t>
  </si>
  <si>
    <t>促销方式</t>
  </si>
  <si>
    <t>成交单价</t>
  </si>
  <si>
    <t>降价幅度</t>
  </si>
  <si>
    <t>销售额</t>
  </si>
  <si>
    <t>销售员</t>
  </si>
  <si>
    <t>冰箱</t>
  </si>
  <si>
    <t>海尔T1017</t>
  </si>
  <si>
    <t>降价</t>
  </si>
  <si>
    <t>A1</t>
  </si>
  <si>
    <t>彩电</t>
  </si>
  <si>
    <t>三星液晶169</t>
  </si>
  <si>
    <t>空调</t>
  </si>
  <si>
    <t>美的3110</t>
  </si>
  <si>
    <t>西门子610</t>
  </si>
  <si>
    <t>A2</t>
  </si>
  <si>
    <t>三星A108</t>
  </si>
  <si>
    <t>A3</t>
  </si>
  <si>
    <t>格力7650</t>
  </si>
  <si>
    <t>送大礼包</t>
  </si>
  <si>
    <t>长虹GDP60</t>
  </si>
  <si>
    <t>A4</t>
  </si>
  <si>
    <t>A5</t>
  </si>
  <si>
    <t>A6</t>
  </si>
  <si>
    <t>海尔KTP20P</t>
  </si>
  <si>
    <t>A7</t>
  </si>
  <si>
    <t>A8</t>
  </si>
  <si>
    <t>年份</t>
    <phoneticPr fontId="4" type="noConversion"/>
  </si>
  <si>
    <t>月份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</si>
</sst>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¥&quot;#,##0.00;&quot;¥&quot;\-#,##0.00"/>
    <numFmt numFmtId="178" formatCode="\¥#,##0.00;\¥\-#,##0.00"/>
  </numFmts>
  <fonts count="6" x14ac:knownFonts="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8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78" fontId="1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5" fillId="0" borderId="0" xfId="0" applyFont="1">
      <alignment vertical="center"/>
    </xf>
    <xf numFmtId="7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按年统计!$C$2</c:f>
              <c:strCache>
                <c:ptCount val="1"/>
                <c:pt idx="0">
                  <c:v>销售统计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按年统计!$B$3:$B$4</c:f>
              <c:strCache>
                <c:ptCount val="2"/>
                <c:pt idx="0">
                  <c:v>2016年</c:v>
                </c:pt>
                <c:pt idx="1">
                  <c:v>2017年</c:v>
                </c:pt>
              </c:strCache>
            </c:strRef>
          </c:cat>
          <c:val>
            <c:numRef>
              <c:f>按年统计!$C$3:$C$4</c:f>
              <c:numCache>
                <c:formatCode>"¥"#,##0.00_);\("¥"#,##0.00\)</c:formatCode>
                <c:ptCount val="2"/>
                <c:pt idx="0">
                  <c:v>6307.46</c:v>
                </c:pt>
                <c:pt idx="1">
                  <c:v>25779.909999999993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3-4D43-92AB-AB1D23F8CC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9091816"/>
        <c:axId val="449092144"/>
      </c:barChart>
      <c:catAx>
        <c:axId val="44909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9092144"/>
        <c:crosses val="autoZero"/>
        <c:auto val="1"/>
        <c:lblAlgn val="ctr"/>
        <c:lblOffset val="100"/>
        <c:noMultiLvlLbl val="0"/>
      </c:catAx>
      <c:valAx>
        <c:axId val="449092144"/>
        <c:scaling>
          <c:orientation val="minMax"/>
          <c:max val="28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 smtClean="0"/>
                  <a:t>年收入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&quot;¥&quot;#,##0.00_);\(&quot;¥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9091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6</xdr:row>
      <xdr:rowOff>71437</xdr:rowOff>
    </xdr:from>
    <xdr:to>
      <xdr:col>5</xdr:col>
      <xdr:colOff>628650</xdr:colOff>
      <xdr:row>21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8"/>
  <sheetViews>
    <sheetView topLeftCell="A114" workbookViewId="0">
      <selection activeCell="E11" sqref="E11"/>
    </sheetView>
  </sheetViews>
  <sheetFormatPr defaultColWidth="9" defaultRowHeight="13.5" x14ac:dyDescent="0.15"/>
  <cols>
    <col min="3" max="3" width="11.625" customWidth="1"/>
    <col min="5" max="5" width="22.5" customWidth="1"/>
    <col min="6" max="6" width="7.375" customWidth="1"/>
    <col min="7" max="7" width="12.5" customWidth="1"/>
    <col min="8" max="8" width="13.75" customWidth="1"/>
    <col min="11" max="11" width="13.75" customWidth="1"/>
  </cols>
  <sheetData>
    <row r="1" spans="1:14" x14ac:dyDescent="0.15">
      <c r="A1" s="10" t="s">
        <v>160</v>
      </c>
      <c r="B1" s="10" t="s">
        <v>161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15">
      <c r="A2" t="str">
        <f>TEXT(C2,"yyyy")</f>
        <v>2017</v>
      </c>
      <c r="B2" t="str">
        <f>TEXT(C2,"m")</f>
        <v>6</v>
      </c>
      <c r="C2" s="9">
        <v>42891</v>
      </c>
      <c r="D2">
        <v>103046</v>
      </c>
      <c r="E2" t="s">
        <v>12</v>
      </c>
      <c r="F2" t="s">
        <v>13</v>
      </c>
      <c r="G2" t="s">
        <v>14</v>
      </c>
      <c r="H2" t="s">
        <v>15</v>
      </c>
      <c r="I2">
        <f>J2*K2</f>
        <v>175.23</v>
      </c>
      <c r="J2">
        <v>3</v>
      </c>
      <c r="K2">
        <v>58.41</v>
      </c>
      <c r="L2">
        <v>88</v>
      </c>
      <c r="M2">
        <v>87.23</v>
      </c>
      <c r="N2" t="str">
        <f>IF(I2&gt;500,"业绩优",IF(I2&gt;300,"业绩良好",IF(I2&gt;200,"业绩合格","业绩差")))</f>
        <v>业绩差</v>
      </c>
    </row>
    <row r="3" spans="1:14" x14ac:dyDescent="0.15">
      <c r="A3" t="str">
        <f t="shared" ref="A3:A66" si="0">TEXT(C3,"yyyy")</f>
        <v>2017</v>
      </c>
      <c r="B3" t="str">
        <f t="shared" ref="B3:B66" si="1">TEXT(C3,"m")</f>
        <v>9</v>
      </c>
      <c r="C3" s="9">
        <v>42984</v>
      </c>
      <c r="D3">
        <v>103544</v>
      </c>
      <c r="E3" t="s">
        <v>16</v>
      </c>
      <c r="F3" t="s">
        <v>13</v>
      </c>
      <c r="G3" t="s">
        <v>14</v>
      </c>
      <c r="H3" t="s">
        <v>15</v>
      </c>
      <c r="I3">
        <f t="shared" ref="I3:I66" si="2">J3*K3</f>
        <v>203.48</v>
      </c>
      <c r="J3">
        <v>4</v>
      </c>
      <c r="K3">
        <v>50.87</v>
      </c>
      <c r="L3">
        <v>100</v>
      </c>
      <c r="M3">
        <v>103.48</v>
      </c>
      <c r="N3" t="str">
        <f t="shared" ref="N3:N66" si="3">IF(I3&gt;500,"业绩优",IF(I3&gt;300,"业绩良好",IF(I3&gt;200,"业绩合格","业绩差")))</f>
        <v>业绩合格</v>
      </c>
    </row>
    <row r="4" spans="1:14" x14ac:dyDescent="0.15">
      <c r="A4" t="str">
        <f t="shared" si="0"/>
        <v>2017</v>
      </c>
      <c r="B4" t="str">
        <f t="shared" si="1"/>
        <v>6</v>
      </c>
      <c r="C4" s="9">
        <v>42914</v>
      </c>
      <c r="D4">
        <v>103216</v>
      </c>
      <c r="E4" t="s">
        <v>17</v>
      </c>
      <c r="F4" t="s">
        <v>13</v>
      </c>
      <c r="G4" t="s">
        <v>14</v>
      </c>
      <c r="H4" t="s">
        <v>18</v>
      </c>
      <c r="I4">
        <f t="shared" si="2"/>
        <v>197</v>
      </c>
      <c r="J4">
        <v>10</v>
      </c>
      <c r="K4">
        <v>19.7</v>
      </c>
      <c r="L4">
        <v>98</v>
      </c>
      <c r="M4">
        <v>99</v>
      </c>
      <c r="N4" t="str">
        <f t="shared" si="3"/>
        <v>业绩差</v>
      </c>
    </row>
    <row r="5" spans="1:14" x14ac:dyDescent="0.15">
      <c r="A5" t="str">
        <f t="shared" si="0"/>
        <v>2017</v>
      </c>
      <c r="B5" t="str">
        <f t="shared" si="1"/>
        <v>10</v>
      </c>
      <c r="C5" s="9">
        <v>43038</v>
      </c>
      <c r="D5">
        <v>102960</v>
      </c>
      <c r="E5" t="s">
        <v>19</v>
      </c>
      <c r="F5" t="s">
        <v>13</v>
      </c>
      <c r="G5" t="s">
        <v>14</v>
      </c>
      <c r="H5" t="s">
        <v>20</v>
      </c>
      <c r="I5">
        <f t="shared" si="2"/>
        <v>61.31</v>
      </c>
      <c r="J5">
        <v>1</v>
      </c>
      <c r="K5">
        <v>61.31</v>
      </c>
      <c r="L5">
        <v>30</v>
      </c>
      <c r="M5">
        <v>31.31</v>
      </c>
      <c r="N5" t="str">
        <f t="shared" si="3"/>
        <v>业绩差</v>
      </c>
    </row>
    <row r="6" spans="1:14" x14ac:dyDescent="0.15">
      <c r="A6" t="str">
        <f t="shared" si="0"/>
        <v>2017</v>
      </c>
      <c r="B6" t="str">
        <f t="shared" si="1"/>
        <v>9</v>
      </c>
      <c r="C6" s="9">
        <v>42979</v>
      </c>
      <c r="D6">
        <v>102690</v>
      </c>
      <c r="E6" t="s">
        <v>21</v>
      </c>
      <c r="F6" t="s">
        <v>13</v>
      </c>
      <c r="G6" t="s">
        <v>14</v>
      </c>
      <c r="H6" t="s">
        <v>22</v>
      </c>
      <c r="I6">
        <f t="shared" si="2"/>
        <v>37.1</v>
      </c>
      <c r="J6">
        <v>1</v>
      </c>
      <c r="K6">
        <v>37.1</v>
      </c>
      <c r="L6">
        <v>19</v>
      </c>
      <c r="M6">
        <v>18.100000000000001</v>
      </c>
      <c r="N6" t="str">
        <f t="shared" si="3"/>
        <v>业绩差</v>
      </c>
    </row>
    <row r="7" spans="1:14" x14ac:dyDescent="0.15">
      <c r="A7" t="str">
        <f t="shared" si="0"/>
        <v>2017</v>
      </c>
      <c r="B7" t="str">
        <f t="shared" si="1"/>
        <v>4</v>
      </c>
      <c r="C7" s="9">
        <v>42845</v>
      </c>
      <c r="D7">
        <v>103328</v>
      </c>
      <c r="E7" t="s">
        <v>23</v>
      </c>
      <c r="F7" t="s">
        <v>13</v>
      </c>
      <c r="G7" t="s">
        <v>14</v>
      </c>
      <c r="H7" t="s">
        <v>22</v>
      </c>
      <c r="I7">
        <f t="shared" si="2"/>
        <v>38.979999999999997</v>
      </c>
      <c r="J7">
        <v>1</v>
      </c>
      <c r="K7">
        <v>38.979999999999997</v>
      </c>
      <c r="L7">
        <v>19</v>
      </c>
      <c r="M7">
        <v>19.98</v>
      </c>
      <c r="N7" t="str">
        <f t="shared" si="3"/>
        <v>业绩差</v>
      </c>
    </row>
    <row r="8" spans="1:14" x14ac:dyDescent="0.15">
      <c r="A8" t="str">
        <f t="shared" si="0"/>
        <v>2017</v>
      </c>
      <c r="B8" t="str">
        <f t="shared" si="1"/>
        <v>1</v>
      </c>
      <c r="C8" s="9">
        <v>42754</v>
      </c>
      <c r="D8">
        <v>103618</v>
      </c>
      <c r="E8" t="s">
        <v>24</v>
      </c>
      <c r="F8" t="s">
        <v>13</v>
      </c>
      <c r="G8" t="s">
        <v>14</v>
      </c>
      <c r="H8" t="s">
        <v>25</v>
      </c>
      <c r="I8">
        <f t="shared" si="2"/>
        <v>194.56</v>
      </c>
      <c r="J8">
        <v>8</v>
      </c>
      <c r="K8">
        <v>24.32</v>
      </c>
      <c r="L8">
        <v>97</v>
      </c>
      <c r="M8">
        <v>97.56</v>
      </c>
      <c r="N8" t="str">
        <f t="shared" si="3"/>
        <v>业绩差</v>
      </c>
    </row>
    <row r="9" spans="1:14" x14ac:dyDescent="0.15">
      <c r="A9" t="str">
        <f t="shared" si="0"/>
        <v>2017</v>
      </c>
      <c r="B9" t="str">
        <f t="shared" si="1"/>
        <v>8</v>
      </c>
      <c r="C9" s="9">
        <v>42952</v>
      </c>
      <c r="D9">
        <v>103244</v>
      </c>
      <c r="E9" t="s">
        <v>26</v>
      </c>
      <c r="F9" t="s">
        <v>13</v>
      </c>
      <c r="G9" t="s">
        <v>14</v>
      </c>
      <c r="H9" t="s">
        <v>27</v>
      </c>
      <c r="I9">
        <f t="shared" si="2"/>
        <v>98.16</v>
      </c>
      <c r="J9">
        <v>2</v>
      </c>
      <c r="K9">
        <v>49.08</v>
      </c>
      <c r="L9">
        <v>49</v>
      </c>
      <c r="M9">
        <v>49.16</v>
      </c>
      <c r="N9" t="str">
        <f t="shared" si="3"/>
        <v>业绩差</v>
      </c>
    </row>
    <row r="10" spans="1:14" x14ac:dyDescent="0.15">
      <c r="A10" t="str">
        <f t="shared" si="0"/>
        <v>2017</v>
      </c>
      <c r="B10" t="str">
        <f t="shared" si="1"/>
        <v>5</v>
      </c>
      <c r="C10" s="9">
        <v>42877</v>
      </c>
      <c r="D10">
        <v>103263</v>
      </c>
      <c r="E10" t="s">
        <v>28</v>
      </c>
      <c r="F10" t="s">
        <v>13</v>
      </c>
      <c r="G10" t="s">
        <v>14</v>
      </c>
      <c r="H10" t="s">
        <v>27</v>
      </c>
      <c r="I10">
        <f t="shared" si="2"/>
        <v>44.32</v>
      </c>
      <c r="J10">
        <v>8</v>
      </c>
      <c r="K10">
        <v>5.54</v>
      </c>
      <c r="L10">
        <v>22</v>
      </c>
      <c r="M10">
        <v>22.32</v>
      </c>
      <c r="N10" t="str">
        <f t="shared" si="3"/>
        <v>业绩差</v>
      </c>
    </row>
    <row r="11" spans="1:14" x14ac:dyDescent="0.15">
      <c r="A11" t="str">
        <f t="shared" si="0"/>
        <v>2017</v>
      </c>
      <c r="B11" t="str">
        <f t="shared" si="1"/>
        <v>7</v>
      </c>
      <c r="C11" s="9">
        <v>42926</v>
      </c>
      <c r="D11">
        <v>103358</v>
      </c>
      <c r="E11" t="s">
        <v>29</v>
      </c>
      <c r="F11" t="s">
        <v>13</v>
      </c>
      <c r="G11" t="s">
        <v>14</v>
      </c>
      <c r="H11" t="s">
        <v>27</v>
      </c>
      <c r="I11">
        <f t="shared" si="2"/>
        <v>156</v>
      </c>
      <c r="J11">
        <v>2</v>
      </c>
      <c r="K11">
        <v>78</v>
      </c>
      <c r="L11">
        <v>78</v>
      </c>
      <c r="M11">
        <v>78</v>
      </c>
      <c r="N11" t="str">
        <f t="shared" si="3"/>
        <v>业绩差</v>
      </c>
    </row>
    <row r="12" spans="1:14" x14ac:dyDescent="0.15">
      <c r="A12" t="str">
        <f t="shared" si="0"/>
        <v>2017</v>
      </c>
      <c r="B12" t="str">
        <f t="shared" si="1"/>
        <v>11</v>
      </c>
      <c r="C12" s="9">
        <v>43069</v>
      </c>
      <c r="D12">
        <v>103401</v>
      </c>
      <c r="E12" t="s">
        <v>30</v>
      </c>
      <c r="F12" t="s">
        <v>13</v>
      </c>
      <c r="G12" t="s">
        <v>14</v>
      </c>
      <c r="H12" t="s">
        <v>27</v>
      </c>
      <c r="I12">
        <f t="shared" si="2"/>
        <v>172.10000000000002</v>
      </c>
      <c r="J12">
        <v>10</v>
      </c>
      <c r="K12">
        <v>17.21</v>
      </c>
      <c r="L12">
        <v>86</v>
      </c>
      <c r="M12">
        <v>86.1</v>
      </c>
      <c r="N12" t="str">
        <f t="shared" si="3"/>
        <v>业绩差</v>
      </c>
    </row>
    <row r="13" spans="1:14" x14ac:dyDescent="0.15">
      <c r="A13" t="str">
        <f t="shared" si="0"/>
        <v>2017</v>
      </c>
      <c r="B13" t="str">
        <f t="shared" si="1"/>
        <v>1</v>
      </c>
      <c r="C13" s="9">
        <v>42752</v>
      </c>
      <c r="D13">
        <v>103545</v>
      </c>
      <c r="E13" t="s">
        <v>31</v>
      </c>
      <c r="F13" t="s">
        <v>13</v>
      </c>
      <c r="G13" t="s">
        <v>14</v>
      </c>
      <c r="H13" t="s">
        <v>27</v>
      </c>
      <c r="I13">
        <f t="shared" si="2"/>
        <v>380.94</v>
      </c>
      <c r="J13">
        <v>6</v>
      </c>
      <c r="K13">
        <v>63.49</v>
      </c>
      <c r="L13">
        <v>190</v>
      </c>
      <c r="M13">
        <v>190.94</v>
      </c>
      <c r="N13" t="str">
        <f t="shared" si="3"/>
        <v>业绩良好</v>
      </c>
    </row>
    <row r="14" spans="1:14" x14ac:dyDescent="0.15">
      <c r="A14" t="str">
        <f t="shared" si="0"/>
        <v>2017</v>
      </c>
      <c r="B14" t="str">
        <f t="shared" si="1"/>
        <v>10</v>
      </c>
      <c r="C14" s="9">
        <v>43036</v>
      </c>
      <c r="D14">
        <v>102654</v>
      </c>
      <c r="E14" t="s">
        <v>32</v>
      </c>
      <c r="F14" t="s">
        <v>13</v>
      </c>
      <c r="G14" t="s">
        <v>14</v>
      </c>
      <c r="H14" t="s">
        <v>33</v>
      </c>
      <c r="I14">
        <f t="shared" si="2"/>
        <v>166.96</v>
      </c>
      <c r="J14">
        <v>8</v>
      </c>
      <c r="K14">
        <v>20.87</v>
      </c>
      <c r="L14">
        <v>83</v>
      </c>
      <c r="M14">
        <v>83.96</v>
      </c>
      <c r="N14" t="str">
        <f t="shared" si="3"/>
        <v>业绩差</v>
      </c>
    </row>
    <row r="15" spans="1:14" x14ac:dyDescent="0.15">
      <c r="A15" t="str">
        <f t="shared" si="0"/>
        <v>2017</v>
      </c>
      <c r="B15" t="str">
        <f t="shared" si="1"/>
        <v>7</v>
      </c>
      <c r="C15" s="9">
        <v>42932</v>
      </c>
      <c r="D15">
        <v>102746</v>
      </c>
      <c r="E15" t="s">
        <v>34</v>
      </c>
      <c r="F15" t="s">
        <v>13</v>
      </c>
      <c r="G15" t="s">
        <v>14</v>
      </c>
      <c r="H15" t="s">
        <v>35</v>
      </c>
      <c r="I15">
        <f t="shared" si="2"/>
        <v>868.41</v>
      </c>
      <c r="J15">
        <v>9</v>
      </c>
      <c r="K15">
        <v>96.49</v>
      </c>
      <c r="L15">
        <v>434</v>
      </c>
      <c r="M15">
        <v>434.41</v>
      </c>
      <c r="N15" t="str">
        <f t="shared" si="3"/>
        <v>业绩优</v>
      </c>
    </row>
    <row r="16" spans="1:14" x14ac:dyDescent="0.15">
      <c r="A16" t="str">
        <f t="shared" si="0"/>
        <v>2017</v>
      </c>
      <c r="B16" t="str">
        <f t="shared" si="1"/>
        <v>11</v>
      </c>
      <c r="C16" s="9">
        <v>43053</v>
      </c>
      <c r="D16">
        <v>103499</v>
      </c>
      <c r="E16" t="s">
        <v>36</v>
      </c>
      <c r="F16" t="s">
        <v>13</v>
      </c>
      <c r="G16" t="s">
        <v>14</v>
      </c>
      <c r="H16" t="s">
        <v>35</v>
      </c>
      <c r="I16">
        <f t="shared" si="2"/>
        <v>163.6</v>
      </c>
      <c r="J16">
        <v>8</v>
      </c>
      <c r="K16">
        <v>20.45</v>
      </c>
      <c r="L16">
        <v>81</v>
      </c>
      <c r="M16">
        <v>82.6</v>
      </c>
      <c r="N16" t="str">
        <f t="shared" si="3"/>
        <v>业绩差</v>
      </c>
    </row>
    <row r="17" spans="1:14" x14ac:dyDescent="0.15">
      <c r="A17" t="str">
        <f t="shared" si="0"/>
        <v>2016</v>
      </c>
      <c r="B17" t="str">
        <f t="shared" si="1"/>
        <v>11</v>
      </c>
      <c r="C17" s="9">
        <v>42679</v>
      </c>
      <c r="D17">
        <v>100186</v>
      </c>
      <c r="E17" t="s">
        <v>37</v>
      </c>
      <c r="F17" t="s">
        <v>38</v>
      </c>
      <c r="G17" t="s">
        <v>39</v>
      </c>
      <c r="H17" t="s">
        <v>40</v>
      </c>
      <c r="I17">
        <f t="shared" si="2"/>
        <v>447.95000000000005</v>
      </c>
      <c r="J17">
        <v>5</v>
      </c>
      <c r="K17">
        <v>89.59</v>
      </c>
      <c r="L17">
        <v>223</v>
      </c>
      <c r="M17">
        <v>224.95</v>
      </c>
      <c r="N17" t="str">
        <f t="shared" si="3"/>
        <v>业绩良好</v>
      </c>
    </row>
    <row r="18" spans="1:14" x14ac:dyDescent="0.15">
      <c r="A18" t="str">
        <f t="shared" si="0"/>
        <v>2016</v>
      </c>
      <c r="B18" t="str">
        <f t="shared" si="1"/>
        <v>4</v>
      </c>
      <c r="C18" s="9">
        <v>42486</v>
      </c>
      <c r="D18">
        <v>100507</v>
      </c>
      <c r="E18" t="s">
        <v>41</v>
      </c>
      <c r="F18" t="s">
        <v>38</v>
      </c>
      <c r="G18" t="s">
        <v>42</v>
      </c>
      <c r="H18" t="s">
        <v>40</v>
      </c>
      <c r="I18">
        <f t="shared" si="2"/>
        <v>52.9</v>
      </c>
      <c r="J18">
        <v>2</v>
      </c>
      <c r="K18">
        <v>26.45</v>
      </c>
      <c r="L18">
        <v>26</v>
      </c>
      <c r="M18">
        <v>26.9</v>
      </c>
      <c r="N18" t="str">
        <f t="shared" si="3"/>
        <v>业绩差</v>
      </c>
    </row>
    <row r="19" spans="1:14" x14ac:dyDescent="0.15">
      <c r="A19" t="str">
        <f t="shared" si="0"/>
        <v>2017</v>
      </c>
      <c r="B19" t="str">
        <f t="shared" si="1"/>
        <v>1</v>
      </c>
      <c r="C19" s="9">
        <v>42753</v>
      </c>
      <c r="D19">
        <v>102751</v>
      </c>
      <c r="E19" t="s">
        <v>43</v>
      </c>
      <c r="F19" t="s">
        <v>38</v>
      </c>
      <c r="G19" t="s">
        <v>39</v>
      </c>
      <c r="H19" t="s">
        <v>40</v>
      </c>
      <c r="I19">
        <f t="shared" si="2"/>
        <v>19.54</v>
      </c>
      <c r="J19">
        <v>1</v>
      </c>
      <c r="K19">
        <v>19.54</v>
      </c>
      <c r="L19">
        <v>9</v>
      </c>
      <c r="M19">
        <v>10.54</v>
      </c>
      <c r="N19" t="str">
        <f t="shared" si="3"/>
        <v>业绩差</v>
      </c>
    </row>
    <row r="20" spans="1:14" x14ac:dyDescent="0.15">
      <c r="A20" t="str">
        <f t="shared" si="0"/>
        <v>2017</v>
      </c>
      <c r="B20" t="str">
        <f t="shared" si="1"/>
        <v>1</v>
      </c>
      <c r="C20" s="9">
        <v>42765</v>
      </c>
      <c r="D20">
        <v>102818</v>
      </c>
      <c r="E20" t="s">
        <v>44</v>
      </c>
      <c r="F20" t="s">
        <v>38</v>
      </c>
      <c r="G20" t="s">
        <v>42</v>
      </c>
      <c r="H20" t="s">
        <v>40</v>
      </c>
      <c r="I20">
        <f t="shared" si="2"/>
        <v>215.44</v>
      </c>
      <c r="J20">
        <v>4</v>
      </c>
      <c r="K20">
        <v>53.86</v>
      </c>
      <c r="L20">
        <v>107</v>
      </c>
      <c r="M20">
        <v>108.44</v>
      </c>
      <c r="N20" t="str">
        <f t="shared" si="3"/>
        <v>业绩合格</v>
      </c>
    </row>
    <row r="21" spans="1:14" x14ac:dyDescent="0.15">
      <c r="A21" t="str">
        <f t="shared" si="0"/>
        <v>2017</v>
      </c>
      <c r="B21" t="str">
        <f t="shared" si="1"/>
        <v>11</v>
      </c>
      <c r="C21" s="9">
        <v>43052</v>
      </c>
      <c r="D21">
        <v>103008</v>
      </c>
      <c r="E21" t="s">
        <v>45</v>
      </c>
      <c r="F21" t="s">
        <v>38</v>
      </c>
      <c r="G21" t="s">
        <v>46</v>
      </c>
      <c r="H21" t="s">
        <v>40</v>
      </c>
      <c r="I21">
        <f t="shared" si="2"/>
        <v>65.900000000000006</v>
      </c>
      <c r="J21">
        <v>5</v>
      </c>
      <c r="K21">
        <v>13.18</v>
      </c>
      <c r="L21">
        <v>32</v>
      </c>
      <c r="M21">
        <v>33.9</v>
      </c>
      <c r="N21" t="str">
        <f t="shared" si="3"/>
        <v>业绩差</v>
      </c>
    </row>
    <row r="22" spans="1:14" x14ac:dyDescent="0.15">
      <c r="A22" t="str">
        <f t="shared" si="0"/>
        <v>2017</v>
      </c>
      <c r="B22" t="str">
        <f t="shared" si="1"/>
        <v>2</v>
      </c>
      <c r="C22" s="9">
        <v>42782</v>
      </c>
      <c r="D22">
        <v>103055</v>
      </c>
      <c r="E22" t="s">
        <v>44</v>
      </c>
      <c r="F22" t="s">
        <v>38</v>
      </c>
      <c r="G22" t="s">
        <v>46</v>
      </c>
      <c r="H22" t="s">
        <v>40</v>
      </c>
      <c r="I22">
        <f t="shared" si="2"/>
        <v>253.19</v>
      </c>
      <c r="J22">
        <v>7</v>
      </c>
      <c r="K22">
        <v>36.17</v>
      </c>
      <c r="L22">
        <v>126</v>
      </c>
      <c r="M22">
        <v>127.19</v>
      </c>
      <c r="N22" t="str">
        <f t="shared" si="3"/>
        <v>业绩合格</v>
      </c>
    </row>
    <row r="23" spans="1:14" x14ac:dyDescent="0.15">
      <c r="A23" t="str">
        <f t="shared" si="0"/>
        <v>2017</v>
      </c>
      <c r="B23" t="str">
        <f t="shared" si="1"/>
        <v>8</v>
      </c>
      <c r="C23" s="9">
        <v>42965</v>
      </c>
      <c r="D23">
        <v>103094</v>
      </c>
      <c r="E23" t="s">
        <v>47</v>
      </c>
      <c r="F23" t="s">
        <v>38</v>
      </c>
      <c r="G23" t="s">
        <v>42</v>
      </c>
      <c r="H23" t="s">
        <v>40</v>
      </c>
      <c r="I23">
        <f t="shared" si="2"/>
        <v>37.35</v>
      </c>
      <c r="J23">
        <v>5</v>
      </c>
      <c r="K23">
        <v>7.47</v>
      </c>
      <c r="L23">
        <v>18</v>
      </c>
      <c r="M23">
        <v>19.350000000000001</v>
      </c>
      <c r="N23" t="str">
        <f t="shared" si="3"/>
        <v>业绩差</v>
      </c>
    </row>
    <row r="24" spans="1:14" x14ac:dyDescent="0.15">
      <c r="A24" t="str">
        <f t="shared" si="0"/>
        <v>2017</v>
      </c>
      <c r="B24" t="str">
        <f t="shared" si="1"/>
        <v>8</v>
      </c>
      <c r="C24" s="9">
        <v>42956</v>
      </c>
      <c r="D24">
        <v>103603</v>
      </c>
      <c r="E24" t="s">
        <v>48</v>
      </c>
      <c r="F24" t="s">
        <v>38</v>
      </c>
      <c r="G24" t="s">
        <v>42</v>
      </c>
      <c r="H24" t="s">
        <v>40</v>
      </c>
      <c r="I24">
        <f t="shared" si="2"/>
        <v>368.32</v>
      </c>
      <c r="J24">
        <v>8</v>
      </c>
      <c r="K24">
        <v>46.04</v>
      </c>
      <c r="L24">
        <v>184</v>
      </c>
      <c r="M24">
        <v>184.32</v>
      </c>
      <c r="N24" t="str">
        <f t="shared" si="3"/>
        <v>业绩良好</v>
      </c>
    </row>
    <row r="25" spans="1:14" x14ac:dyDescent="0.15">
      <c r="A25" t="str">
        <f t="shared" si="0"/>
        <v>2016</v>
      </c>
      <c r="B25" t="str">
        <f t="shared" si="1"/>
        <v>6</v>
      </c>
      <c r="C25" s="9">
        <v>42528</v>
      </c>
      <c r="D25">
        <v>100052</v>
      </c>
      <c r="E25" t="s">
        <v>49</v>
      </c>
      <c r="F25" t="s">
        <v>38</v>
      </c>
      <c r="G25" t="s">
        <v>39</v>
      </c>
      <c r="H25" t="s">
        <v>15</v>
      </c>
      <c r="I25">
        <f t="shared" si="2"/>
        <v>351.28</v>
      </c>
      <c r="J25">
        <v>8</v>
      </c>
      <c r="K25">
        <v>43.91</v>
      </c>
      <c r="L25">
        <v>175</v>
      </c>
      <c r="M25">
        <v>176.28</v>
      </c>
      <c r="N25" t="str">
        <f t="shared" si="3"/>
        <v>业绩良好</v>
      </c>
    </row>
    <row r="26" spans="1:14" x14ac:dyDescent="0.15">
      <c r="A26" t="str">
        <f t="shared" si="0"/>
        <v>2016</v>
      </c>
      <c r="B26" t="str">
        <f t="shared" si="1"/>
        <v>11</v>
      </c>
      <c r="C26" s="9">
        <v>42703</v>
      </c>
      <c r="D26">
        <v>100193</v>
      </c>
      <c r="E26" t="s">
        <v>50</v>
      </c>
      <c r="F26" t="s">
        <v>38</v>
      </c>
      <c r="G26" t="s">
        <v>39</v>
      </c>
      <c r="H26" t="s">
        <v>15</v>
      </c>
      <c r="I26">
        <f t="shared" si="2"/>
        <v>241.70999999999998</v>
      </c>
      <c r="J26">
        <v>3</v>
      </c>
      <c r="K26">
        <v>80.569999999999993</v>
      </c>
      <c r="L26">
        <v>120</v>
      </c>
      <c r="M26">
        <v>121.71</v>
      </c>
      <c r="N26" t="str">
        <f t="shared" si="3"/>
        <v>业绩合格</v>
      </c>
    </row>
    <row r="27" spans="1:14" x14ac:dyDescent="0.15">
      <c r="A27" t="str">
        <f t="shared" si="0"/>
        <v>2016</v>
      </c>
      <c r="B27" t="str">
        <f t="shared" si="1"/>
        <v>7</v>
      </c>
      <c r="C27" s="9">
        <v>42556</v>
      </c>
      <c r="D27">
        <v>100259</v>
      </c>
      <c r="E27" t="s">
        <v>51</v>
      </c>
      <c r="F27" t="s">
        <v>38</v>
      </c>
      <c r="G27" t="s">
        <v>42</v>
      </c>
      <c r="H27" t="s">
        <v>15</v>
      </c>
      <c r="I27">
        <f t="shared" si="2"/>
        <v>181.5</v>
      </c>
      <c r="J27">
        <v>6</v>
      </c>
      <c r="K27">
        <v>30.25</v>
      </c>
      <c r="L27">
        <v>90</v>
      </c>
      <c r="M27">
        <v>91.5</v>
      </c>
      <c r="N27" t="str">
        <f t="shared" si="3"/>
        <v>业绩差</v>
      </c>
    </row>
    <row r="28" spans="1:14" x14ac:dyDescent="0.15">
      <c r="A28" t="str">
        <f t="shared" si="0"/>
        <v>2016</v>
      </c>
      <c r="B28" t="str">
        <f t="shared" si="1"/>
        <v>2</v>
      </c>
      <c r="C28" s="9">
        <v>42411</v>
      </c>
      <c r="D28">
        <v>100351</v>
      </c>
      <c r="E28" t="s">
        <v>52</v>
      </c>
      <c r="F28" t="s">
        <v>38</v>
      </c>
      <c r="G28" t="s">
        <v>39</v>
      </c>
      <c r="H28" t="s">
        <v>15</v>
      </c>
      <c r="I28">
        <f t="shared" si="2"/>
        <v>3.12</v>
      </c>
      <c r="J28">
        <v>8</v>
      </c>
      <c r="K28">
        <v>0.39</v>
      </c>
      <c r="L28">
        <v>1</v>
      </c>
      <c r="M28">
        <v>2.12</v>
      </c>
      <c r="N28" t="str">
        <f t="shared" si="3"/>
        <v>业绩差</v>
      </c>
    </row>
    <row r="29" spans="1:14" x14ac:dyDescent="0.15">
      <c r="A29" t="str">
        <f t="shared" si="0"/>
        <v>2016</v>
      </c>
      <c r="B29" t="str">
        <f t="shared" si="1"/>
        <v>2</v>
      </c>
      <c r="C29" s="9">
        <v>42418</v>
      </c>
      <c r="D29">
        <v>100510</v>
      </c>
      <c r="E29" t="s">
        <v>50</v>
      </c>
      <c r="F29" t="s">
        <v>38</v>
      </c>
      <c r="G29" t="s">
        <v>39</v>
      </c>
      <c r="H29" t="s">
        <v>15</v>
      </c>
      <c r="I29">
        <f t="shared" si="2"/>
        <v>419.93</v>
      </c>
      <c r="J29">
        <v>7</v>
      </c>
      <c r="K29">
        <v>59.99</v>
      </c>
      <c r="L29">
        <v>209</v>
      </c>
      <c r="M29">
        <v>210.93</v>
      </c>
      <c r="N29" t="str">
        <f t="shared" si="3"/>
        <v>业绩良好</v>
      </c>
    </row>
    <row r="30" spans="1:14" x14ac:dyDescent="0.15">
      <c r="A30" t="str">
        <f t="shared" si="0"/>
        <v>2017</v>
      </c>
      <c r="B30" t="str">
        <f t="shared" si="1"/>
        <v>9</v>
      </c>
      <c r="C30" s="9">
        <v>43002</v>
      </c>
      <c r="D30">
        <v>102664</v>
      </c>
      <c r="E30" t="s">
        <v>53</v>
      </c>
      <c r="F30" t="s">
        <v>38</v>
      </c>
      <c r="G30" t="s">
        <v>39</v>
      </c>
      <c r="H30" t="s">
        <v>15</v>
      </c>
      <c r="I30">
        <f t="shared" si="2"/>
        <v>308.29999999999995</v>
      </c>
      <c r="J30">
        <v>5</v>
      </c>
      <c r="K30">
        <v>61.66</v>
      </c>
      <c r="L30">
        <v>154</v>
      </c>
      <c r="M30">
        <v>154.30000000000001</v>
      </c>
      <c r="N30" t="str">
        <f t="shared" si="3"/>
        <v>业绩良好</v>
      </c>
    </row>
    <row r="31" spans="1:14" x14ac:dyDescent="0.15">
      <c r="A31" t="str">
        <f t="shared" si="0"/>
        <v>2017</v>
      </c>
      <c r="B31" t="str">
        <f t="shared" si="1"/>
        <v>10</v>
      </c>
      <c r="C31" s="9">
        <v>43034</v>
      </c>
      <c r="D31">
        <v>102732</v>
      </c>
      <c r="E31" t="s">
        <v>54</v>
      </c>
      <c r="F31" t="s">
        <v>38</v>
      </c>
      <c r="G31" t="s">
        <v>46</v>
      </c>
      <c r="H31" t="s">
        <v>15</v>
      </c>
      <c r="I31">
        <f t="shared" si="2"/>
        <v>20.96</v>
      </c>
      <c r="J31">
        <v>4</v>
      </c>
      <c r="K31">
        <v>5.24</v>
      </c>
      <c r="L31">
        <v>10</v>
      </c>
      <c r="M31">
        <v>10.96</v>
      </c>
      <c r="N31" t="str">
        <f t="shared" si="3"/>
        <v>业绩差</v>
      </c>
    </row>
    <row r="32" spans="1:14" x14ac:dyDescent="0.15">
      <c r="A32" t="str">
        <f t="shared" si="0"/>
        <v>2017</v>
      </c>
      <c r="B32" t="str">
        <f t="shared" si="1"/>
        <v>4</v>
      </c>
      <c r="C32" s="9">
        <v>42828</v>
      </c>
      <c r="D32">
        <v>102800</v>
      </c>
      <c r="E32" t="s">
        <v>50</v>
      </c>
      <c r="F32" t="s">
        <v>38</v>
      </c>
      <c r="G32" t="s">
        <v>39</v>
      </c>
      <c r="H32" t="s">
        <v>15</v>
      </c>
      <c r="I32">
        <f t="shared" si="2"/>
        <v>712.2</v>
      </c>
      <c r="J32">
        <v>10</v>
      </c>
      <c r="K32">
        <v>71.22</v>
      </c>
      <c r="L32">
        <v>356</v>
      </c>
      <c r="M32">
        <v>356.2</v>
      </c>
      <c r="N32" t="str">
        <f t="shared" si="3"/>
        <v>业绩优</v>
      </c>
    </row>
    <row r="33" spans="1:14" x14ac:dyDescent="0.15">
      <c r="A33" t="str">
        <f t="shared" si="0"/>
        <v>2017</v>
      </c>
      <c r="B33" t="str">
        <f t="shared" si="1"/>
        <v>6</v>
      </c>
      <c r="C33" s="9">
        <v>42893</v>
      </c>
      <c r="D33">
        <v>102952</v>
      </c>
      <c r="E33" t="s">
        <v>55</v>
      </c>
      <c r="F33" t="s">
        <v>38</v>
      </c>
      <c r="G33" t="s">
        <v>39</v>
      </c>
      <c r="H33" t="s">
        <v>15</v>
      </c>
      <c r="I33">
        <f t="shared" si="2"/>
        <v>163.17000000000002</v>
      </c>
      <c r="J33">
        <v>3</v>
      </c>
      <c r="K33">
        <v>54.39</v>
      </c>
      <c r="L33">
        <v>81</v>
      </c>
      <c r="M33">
        <v>82.17</v>
      </c>
      <c r="N33" t="str">
        <f t="shared" si="3"/>
        <v>业绩差</v>
      </c>
    </row>
    <row r="34" spans="1:14" x14ac:dyDescent="0.15">
      <c r="A34" t="str">
        <f t="shared" si="0"/>
        <v>2017</v>
      </c>
      <c r="B34" t="str">
        <f t="shared" si="1"/>
        <v>10</v>
      </c>
      <c r="C34" s="9">
        <v>43039</v>
      </c>
      <c r="D34">
        <v>102981</v>
      </c>
      <c r="E34" t="s">
        <v>56</v>
      </c>
      <c r="F34" t="s">
        <v>38</v>
      </c>
      <c r="G34" t="s">
        <v>42</v>
      </c>
      <c r="H34" t="s">
        <v>15</v>
      </c>
      <c r="I34">
        <f t="shared" si="2"/>
        <v>11.61</v>
      </c>
      <c r="J34">
        <v>1</v>
      </c>
      <c r="K34">
        <v>11.61</v>
      </c>
      <c r="L34">
        <v>5</v>
      </c>
      <c r="M34">
        <v>6.61</v>
      </c>
      <c r="N34" t="str">
        <f t="shared" si="3"/>
        <v>业绩差</v>
      </c>
    </row>
    <row r="35" spans="1:14" x14ac:dyDescent="0.15">
      <c r="A35" t="str">
        <f t="shared" si="0"/>
        <v>2017</v>
      </c>
      <c r="B35" t="str">
        <f t="shared" si="1"/>
        <v>3</v>
      </c>
      <c r="C35" s="9">
        <v>42804</v>
      </c>
      <c r="D35">
        <v>103012</v>
      </c>
      <c r="E35" t="s">
        <v>57</v>
      </c>
      <c r="F35" t="s">
        <v>38</v>
      </c>
      <c r="G35" t="s">
        <v>39</v>
      </c>
      <c r="H35" t="s">
        <v>15</v>
      </c>
      <c r="I35">
        <f t="shared" si="2"/>
        <v>69.12</v>
      </c>
      <c r="J35">
        <v>3</v>
      </c>
      <c r="K35">
        <v>23.04</v>
      </c>
      <c r="L35">
        <v>34</v>
      </c>
      <c r="M35">
        <v>35.119999999999997</v>
      </c>
      <c r="N35" t="str">
        <f t="shared" si="3"/>
        <v>业绩差</v>
      </c>
    </row>
    <row r="36" spans="1:14" x14ac:dyDescent="0.15">
      <c r="A36" t="str">
        <f t="shared" si="0"/>
        <v>2017</v>
      </c>
      <c r="B36" t="str">
        <f t="shared" si="1"/>
        <v>5</v>
      </c>
      <c r="C36" s="9">
        <v>42862</v>
      </c>
      <c r="D36">
        <v>103076</v>
      </c>
      <c r="E36" t="s">
        <v>58</v>
      </c>
      <c r="F36" t="s">
        <v>38</v>
      </c>
      <c r="G36" t="s">
        <v>42</v>
      </c>
      <c r="H36" t="s">
        <v>15</v>
      </c>
      <c r="I36">
        <f t="shared" si="2"/>
        <v>284.40000000000003</v>
      </c>
      <c r="J36">
        <v>10</v>
      </c>
      <c r="K36">
        <v>28.44</v>
      </c>
      <c r="L36">
        <v>142</v>
      </c>
      <c r="M36">
        <v>142.4</v>
      </c>
      <c r="N36" t="str">
        <f t="shared" si="3"/>
        <v>业绩合格</v>
      </c>
    </row>
    <row r="37" spans="1:14" x14ac:dyDescent="0.15">
      <c r="A37" t="str">
        <f t="shared" si="0"/>
        <v>2017</v>
      </c>
      <c r="B37" t="str">
        <f t="shared" si="1"/>
        <v>4</v>
      </c>
      <c r="C37" s="9">
        <v>42845</v>
      </c>
      <c r="D37">
        <v>103221</v>
      </c>
      <c r="E37" t="s">
        <v>59</v>
      </c>
      <c r="F37" t="s">
        <v>38</v>
      </c>
      <c r="G37" t="s">
        <v>39</v>
      </c>
      <c r="H37" t="s">
        <v>15</v>
      </c>
      <c r="I37">
        <f t="shared" si="2"/>
        <v>338.48</v>
      </c>
      <c r="J37">
        <v>8</v>
      </c>
      <c r="K37">
        <v>42.31</v>
      </c>
      <c r="L37">
        <v>169</v>
      </c>
      <c r="M37">
        <v>169.48</v>
      </c>
      <c r="N37" t="str">
        <f t="shared" si="3"/>
        <v>业绩良好</v>
      </c>
    </row>
    <row r="38" spans="1:14" x14ac:dyDescent="0.15">
      <c r="A38" t="str">
        <f t="shared" si="0"/>
        <v>2017</v>
      </c>
      <c r="B38" t="str">
        <f t="shared" si="1"/>
        <v>5</v>
      </c>
      <c r="C38" s="9">
        <v>42866</v>
      </c>
      <c r="D38">
        <v>103245</v>
      </c>
      <c r="E38" t="s">
        <v>60</v>
      </c>
      <c r="F38" t="s">
        <v>38</v>
      </c>
      <c r="G38" t="s">
        <v>46</v>
      </c>
      <c r="H38" t="s">
        <v>15</v>
      </c>
      <c r="I38">
        <f t="shared" si="2"/>
        <v>49.92</v>
      </c>
      <c r="J38">
        <v>1</v>
      </c>
      <c r="K38">
        <v>49.92</v>
      </c>
      <c r="L38">
        <v>24</v>
      </c>
      <c r="M38">
        <v>25.92</v>
      </c>
      <c r="N38" t="str">
        <f t="shared" si="3"/>
        <v>业绩差</v>
      </c>
    </row>
    <row r="39" spans="1:14" x14ac:dyDescent="0.15">
      <c r="A39" t="str">
        <f t="shared" si="0"/>
        <v>2017</v>
      </c>
      <c r="B39" t="str">
        <f t="shared" si="1"/>
        <v>2</v>
      </c>
      <c r="C39" s="9">
        <v>42771</v>
      </c>
      <c r="D39">
        <v>103308</v>
      </c>
      <c r="E39" t="s">
        <v>61</v>
      </c>
      <c r="F39" t="s">
        <v>38</v>
      </c>
      <c r="G39" t="s">
        <v>42</v>
      </c>
      <c r="H39" t="s">
        <v>15</v>
      </c>
      <c r="I39">
        <f t="shared" si="2"/>
        <v>74</v>
      </c>
      <c r="J39">
        <v>5</v>
      </c>
      <c r="K39">
        <v>14.8</v>
      </c>
      <c r="L39">
        <v>37</v>
      </c>
      <c r="M39">
        <v>37</v>
      </c>
      <c r="N39" t="str">
        <f t="shared" si="3"/>
        <v>业绩差</v>
      </c>
    </row>
    <row r="40" spans="1:14" x14ac:dyDescent="0.15">
      <c r="A40" t="str">
        <f t="shared" si="0"/>
        <v>2017</v>
      </c>
      <c r="B40" t="str">
        <f t="shared" si="1"/>
        <v>1</v>
      </c>
      <c r="C40" s="9">
        <v>42748</v>
      </c>
      <c r="D40">
        <v>103330</v>
      </c>
      <c r="E40" t="s">
        <v>62</v>
      </c>
      <c r="F40" t="s">
        <v>38</v>
      </c>
      <c r="G40" t="s">
        <v>39</v>
      </c>
      <c r="H40" t="s">
        <v>15</v>
      </c>
      <c r="I40">
        <f t="shared" si="2"/>
        <v>822.06000000000006</v>
      </c>
      <c r="J40">
        <v>9</v>
      </c>
      <c r="K40">
        <v>91.34</v>
      </c>
      <c r="L40">
        <v>411</v>
      </c>
      <c r="M40">
        <v>411.06</v>
      </c>
      <c r="N40" t="str">
        <f t="shared" si="3"/>
        <v>业绩优</v>
      </c>
    </row>
    <row r="41" spans="1:14" x14ac:dyDescent="0.15">
      <c r="A41" t="str">
        <f t="shared" si="0"/>
        <v>2017</v>
      </c>
      <c r="B41" t="str">
        <f t="shared" si="1"/>
        <v>4</v>
      </c>
      <c r="C41" s="9">
        <v>42838</v>
      </c>
      <c r="D41">
        <v>103417</v>
      </c>
      <c r="E41" t="s">
        <v>63</v>
      </c>
      <c r="F41" t="s">
        <v>38</v>
      </c>
      <c r="G41" t="s">
        <v>42</v>
      </c>
      <c r="H41" t="s">
        <v>15</v>
      </c>
      <c r="I41">
        <f t="shared" si="2"/>
        <v>38.919999999999995</v>
      </c>
      <c r="J41">
        <v>7</v>
      </c>
      <c r="K41">
        <v>5.56</v>
      </c>
      <c r="L41">
        <v>19</v>
      </c>
      <c r="M41">
        <v>19.920000000000002</v>
      </c>
      <c r="N41" t="str">
        <f t="shared" si="3"/>
        <v>业绩差</v>
      </c>
    </row>
    <row r="42" spans="1:14" x14ac:dyDescent="0.15">
      <c r="A42" t="str">
        <f t="shared" si="0"/>
        <v>2017</v>
      </c>
      <c r="B42" t="str">
        <f t="shared" si="1"/>
        <v>6</v>
      </c>
      <c r="C42" s="9">
        <v>42905</v>
      </c>
      <c r="D42">
        <v>103456</v>
      </c>
      <c r="E42" t="s">
        <v>64</v>
      </c>
      <c r="F42" t="s">
        <v>38</v>
      </c>
      <c r="G42" t="s">
        <v>42</v>
      </c>
      <c r="H42" t="s">
        <v>15</v>
      </c>
      <c r="I42">
        <f t="shared" si="2"/>
        <v>448.8</v>
      </c>
      <c r="J42">
        <v>5</v>
      </c>
      <c r="K42">
        <v>89.76</v>
      </c>
      <c r="L42">
        <v>224</v>
      </c>
      <c r="M42">
        <v>224.8</v>
      </c>
      <c r="N42" t="str">
        <f t="shared" si="3"/>
        <v>业绩良好</v>
      </c>
    </row>
    <row r="43" spans="1:14" x14ac:dyDescent="0.15">
      <c r="A43" t="str">
        <f t="shared" si="0"/>
        <v>2017</v>
      </c>
      <c r="B43" t="str">
        <f t="shared" si="1"/>
        <v>12</v>
      </c>
      <c r="C43" s="9">
        <v>43094</v>
      </c>
      <c r="D43">
        <v>103518</v>
      </c>
      <c r="E43" t="s">
        <v>64</v>
      </c>
      <c r="F43" t="s">
        <v>38</v>
      </c>
      <c r="G43" t="s">
        <v>46</v>
      </c>
      <c r="H43" t="s">
        <v>15</v>
      </c>
      <c r="I43">
        <f t="shared" si="2"/>
        <v>85.88</v>
      </c>
      <c r="J43">
        <v>2</v>
      </c>
      <c r="K43">
        <v>42.94</v>
      </c>
      <c r="L43">
        <v>42</v>
      </c>
      <c r="M43">
        <v>43.88</v>
      </c>
      <c r="N43" t="str">
        <f t="shared" si="3"/>
        <v>业绩差</v>
      </c>
    </row>
    <row r="44" spans="1:14" x14ac:dyDescent="0.15">
      <c r="A44" t="str">
        <f t="shared" si="0"/>
        <v>2017</v>
      </c>
      <c r="B44" t="str">
        <f t="shared" si="1"/>
        <v>11</v>
      </c>
      <c r="C44" s="9">
        <v>43059</v>
      </c>
      <c r="D44">
        <v>103582</v>
      </c>
      <c r="E44" t="s">
        <v>65</v>
      </c>
      <c r="F44" t="s">
        <v>38</v>
      </c>
      <c r="G44" t="s">
        <v>42</v>
      </c>
      <c r="H44" t="s">
        <v>15</v>
      </c>
      <c r="I44">
        <f t="shared" si="2"/>
        <v>97.3</v>
      </c>
      <c r="J44">
        <v>7</v>
      </c>
      <c r="K44">
        <v>13.9</v>
      </c>
      <c r="L44">
        <v>48</v>
      </c>
      <c r="M44">
        <v>49.3</v>
      </c>
      <c r="N44" t="str">
        <f t="shared" si="3"/>
        <v>业绩差</v>
      </c>
    </row>
    <row r="45" spans="1:14" x14ac:dyDescent="0.15">
      <c r="A45" t="str">
        <f t="shared" si="0"/>
        <v>2017</v>
      </c>
      <c r="B45" t="str">
        <f t="shared" si="1"/>
        <v>2</v>
      </c>
      <c r="C45" s="9">
        <v>42769</v>
      </c>
      <c r="D45">
        <v>103704</v>
      </c>
      <c r="E45" t="s">
        <v>66</v>
      </c>
      <c r="F45" t="s">
        <v>38</v>
      </c>
      <c r="G45" t="s">
        <v>39</v>
      </c>
      <c r="H45" t="s">
        <v>15</v>
      </c>
      <c r="I45">
        <f t="shared" si="2"/>
        <v>342.42</v>
      </c>
      <c r="J45">
        <v>6</v>
      </c>
      <c r="K45">
        <v>57.07</v>
      </c>
      <c r="L45">
        <v>171</v>
      </c>
      <c r="M45">
        <v>171.42</v>
      </c>
      <c r="N45" t="str">
        <f t="shared" si="3"/>
        <v>业绩良好</v>
      </c>
    </row>
    <row r="46" spans="1:14" x14ac:dyDescent="0.15">
      <c r="A46" t="str">
        <f t="shared" si="0"/>
        <v>2016</v>
      </c>
      <c r="B46" t="str">
        <f t="shared" si="1"/>
        <v>3</v>
      </c>
      <c r="C46" s="9">
        <v>42439</v>
      </c>
      <c r="D46">
        <v>100123</v>
      </c>
      <c r="E46" t="s">
        <v>67</v>
      </c>
      <c r="F46" t="s">
        <v>38</v>
      </c>
      <c r="G46" t="s">
        <v>42</v>
      </c>
      <c r="H46" t="s">
        <v>18</v>
      </c>
      <c r="I46">
        <f t="shared" si="2"/>
        <v>82.55</v>
      </c>
      <c r="J46">
        <v>1</v>
      </c>
      <c r="K46">
        <v>82.55</v>
      </c>
      <c r="L46">
        <v>41</v>
      </c>
      <c r="M46">
        <v>41.55</v>
      </c>
      <c r="N46" t="str">
        <f t="shared" si="3"/>
        <v>业绩差</v>
      </c>
    </row>
    <row r="47" spans="1:14" x14ac:dyDescent="0.15">
      <c r="A47" t="str">
        <f t="shared" si="0"/>
        <v>2016</v>
      </c>
      <c r="B47" t="str">
        <f t="shared" si="1"/>
        <v>5</v>
      </c>
      <c r="C47" s="9">
        <v>42515</v>
      </c>
      <c r="D47">
        <v>100478</v>
      </c>
      <c r="E47" t="s">
        <v>68</v>
      </c>
      <c r="F47" t="s">
        <v>38</v>
      </c>
      <c r="G47" t="s">
        <v>46</v>
      </c>
      <c r="H47" t="s">
        <v>18</v>
      </c>
      <c r="I47">
        <f t="shared" si="2"/>
        <v>13.99</v>
      </c>
      <c r="J47">
        <v>1</v>
      </c>
      <c r="K47">
        <v>13.99</v>
      </c>
      <c r="L47">
        <v>6</v>
      </c>
      <c r="M47">
        <v>7.99</v>
      </c>
      <c r="N47" t="str">
        <f t="shared" si="3"/>
        <v>业绩差</v>
      </c>
    </row>
    <row r="48" spans="1:14" x14ac:dyDescent="0.15">
      <c r="A48" t="str">
        <f t="shared" si="0"/>
        <v>2016</v>
      </c>
      <c r="B48" t="str">
        <f t="shared" si="1"/>
        <v>8</v>
      </c>
      <c r="C48" s="9">
        <v>42586</v>
      </c>
      <c r="D48">
        <v>100565</v>
      </c>
      <c r="E48" t="s">
        <v>69</v>
      </c>
      <c r="F48" t="s">
        <v>38</v>
      </c>
      <c r="G48" t="s">
        <v>42</v>
      </c>
      <c r="H48" t="s">
        <v>18</v>
      </c>
      <c r="I48">
        <f t="shared" si="2"/>
        <v>90.63</v>
      </c>
      <c r="J48">
        <v>3</v>
      </c>
      <c r="K48">
        <v>30.21</v>
      </c>
      <c r="L48">
        <v>45</v>
      </c>
      <c r="M48">
        <v>45.63</v>
      </c>
      <c r="N48" t="str">
        <f t="shared" si="3"/>
        <v>业绩差</v>
      </c>
    </row>
    <row r="49" spans="1:14" x14ac:dyDescent="0.15">
      <c r="A49" t="str">
        <f t="shared" si="0"/>
        <v>2017</v>
      </c>
      <c r="B49" t="str">
        <f t="shared" si="1"/>
        <v>8</v>
      </c>
      <c r="C49" s="9">
        <v>42950</v>
      </c>
      <c r="D49">
        <v>102646</v>
      </c>
      <c r="E49" t="s">
        <v>70</v>
      </c>
      <c r="F49" t="s">
        <v>38</v>
      </c>
      <c r="G49" t="s">
        <v>42</v>
      </c>
      <c r="H49" t="s">
        <v>18</v>
      </c>
      <c r="I49">
        <f t="shared" si="2"/>
        <v>144.76</v>
      </c>
      <c r="J49">
        <v>7</v>
      </c>
      <c r="K49">
        <v>20.68</v>
      </c>
      <c r="L49">
        <v>72</v>
      </c>
      <c r="M49">
        <v>72.760000000000005</v>
      </c>
      <c r="N49" t="str">
        <f t="shared" si="3"/>
        <v>业绩差</v>
      </c>
    </row>
    <row r="50" spans="1:14" x14ac:dyDescent="0.15">
      <c r="A50" t="str">
        <f t="shared" si="0"/>
        <v>2017</v>
      </c>
      <c r="B50" t="str">
        <f t="shared" si="1"/>
        <v>4</v>
      </c>
      <c r="C50" s="9">
        <v>42835</v>
      </c>
      <c r="D50">
        <v>102663</v>
      </c>
      <c r="E50" t="s">
        <v>71</v>
      </c>
      <c r="F50" t="s">
        <v>38</v>
      </c>
      <c r="G50" t="s">
        <v>42</v>
      </c>
      <c r="H50" t="s">
        <v>18</v>
      </c>
      <c r="I50">
        <f t="shared" si="2"/>
        <v>259</v>
      </c>
      <c r="J50">
        <v>10</v>
      </c>
      <c r="K50">
        <v>25.9</v>
      </c>
      <c r="L50">
        <v>129</v>
      </c>
      <c r="M50">
        <v>130</v>
      </c>
      <c r="N50" t="str">
        <f t="shared" si="3"/>
        <v>业绩合格</v>
      </c>
    </row>
    <row r="51" spans="1:14" x14ac:dyDescent="0.15">
      <c r="A51" t="str">
        <f t="shared" si="0"/>
        <v>2017</v>
      </c>
      <c r="B51" t="str">
        <f t="shared" si="1"/>
        <v>11</v>
      </c>
      <c r="C51" s="9">
        <v>43067</v>
      </c>
      <c r="D51">
        <v>102733</v>
      </c>
      <c r="E51" t="s">
        <v>68</v>
      </c>
      <c r="F51" t="s">
        <v>38</v>
      </c>
      <c r="G51" t="s">
        <v>46</v>
      </c>
      <c r="H51" t="s">
        <v>18</v>
      </c>
      <c r="I51">
        <f t="shared" si="2"/>
        <v>389.16</v>
      </c>
      <c r="J51">
        <v>4</v>
      </c>
      <c r="K51">
        <v>97.29</v>
      </c>
      <c r="L51">
        <v>194</v>
      </c>
      <c r="M51">
        <v>195.16</v>
      </c>
      <c r="N51" t="str">
        <f t="shared" si="3"/>
        <v>业绩良好</v>
      </c>
    </row>
    <row r="52" spans="1:14" x14ac:dyDescent="0.15">
      <c r="A52" t="str">
        <f t="shared" si="0"/>
        <v>2017</v>
      </c>
      <c r="B52" t="str">
        <f t="shared" si="1"/>
        <v>3</v>
      </c>
      <c r="C52" s="9">
        <v>42809</v>
      </c>
      <c r="D52">
        <v>102750</v>
      </c>
      <c r="E52" t="s">
        <v>72</v>
      </c>
      <c r="F52" t="s">
        <v>38</v>
      </c>
      <c r="G52" t="s">
        <v>42</v>
      </c>
      <c r="H52" t="s">
        <v>18</v>
      </c>
      <c r="I52">
        <f t="shared" si="2"/>
        <v>7.4</v>
      </c>
      <c r="J52">
        <v>2</v>
      </c>
      <c r="K52">
        <v>3.7</v>
      </c>
      <c r="L52">
        <v>3</v>
      </c>
      <c r="M52">
        <v>4.4000000000000004</v>
      </c>
      <c r="N52" t="str">
        <f t="shared" si="3"/>
        <v>业绩差</v>
      </c>
    </row>
    <row r="53" spans="1:14" x14ac:dyDescent="0.15">
      <c r="A53" t="str">
        <f t="shared" si="0"/>
        <v>2017</v>
      </c>
      <c r="B53" t="str">
        <f t="shared" si="1"/>
        <v>3</v>
      </c>
      <c r="C53" s="9">
        <v>42804</v>
      </c>
      <c r="D53">
        <v>102824</v>
      </c>
      <c r="E53" t="s">
        <v>73</v>
      </c>
      <c r="F53" t="s">
        <v>38</v>
      </c>
      <c r="G53" t="s">
        <v>39</v>
      </c>
      <c r="H53" t="s">
        <v>18</v>
      </c>
      <c r="I53">
        <f t="shared" si="2"/>
        <v>379.79999999999995</v>
      </c>
      <c r="J53">
        <v>10</v>
      </c>
      <c r="K53">
        <v>37.979999999999997</v>
      </c>
      <c r="L53">
        <v>189</v>
      </c>
      <c r="M53">
        <v>190.8</v>
      </c>
      <c r="N53" t="str">
        <f t="shared" si="3"/>
        <v>业绩良好</v>
      </c>
    </row>
    <row r="54" spans="1:14" x14ac:dyDescent="0.15">
      <c r="A54" t="str">
        <f t="shared" si="0"/>
        <v>2017</v>
      </c>
      <c r="B54" t="str">
        <f t="shared" si="1"/>
        <v>6</v>
      </c>
      <c r="C54" s="9">
        <v>42905</v>
      </c>
      <c r="D54">
        <v>102871</v>
      </c>
      <c r="E54" t="s">
        <v>74</v>
      </c>
      <c r="F54" t="s">
        <v>38</v>
      </c>
      <c r="G54" t="s">
        <v>46</v>
      </c>
      <c r="H54" t="s">
        <v>18</v>
      </c>
      <c r="I54">
        <f t="shared" si="2"/>
        <v>30.9</v>
      </c>
      <c r="J54">
        <v>1</v>
      </c>
      <c r="K54">
        <v>30.9</v>
      </c>
      <c r="L54">
        <v>15</v>
      </c>
      <c r="M54">
        <v>15.9</v>
      </c>
      <c r="N54" t="str">
        <f t="shared" si="3"/>
        <v>业绩差</v>
      </c>
    </row>
    <row r="55" spans="1:14" x14ac:dyDescent="0.15">
      <c r="A55" t="str">
        <f t="shared" si="0"/>
        <v>2017</v>
      </c>
      <c r="B55" t="str">
        <f t="shared" si="1"/>
        <v>6</v>
      </c>
      <c r="C55" s="9">
        <v>42905</v>
      </c>
      <c r="D55">
        <v>102921</v>
      </c>
      <c r="E55" t="s">
        <v>75</v>
      </c>
      <c r="F55" t="s">
        <v>38</v>
      </c>
      <c r="G55" t="s">
        <v>39</v>
      </c>
      <c r="H55" t="s">
        <v>18</v>
      </c>
      <c r="I55">
        <f t="shared" si="2"/>
        <v>179.68</v>
      </c>
      <c r="J55">
        <v>8</v>
      </c>
      <c r="K55">
        <v>22.46</v>
      </c>
      <c r="L55">
        <v>89</v>
      </c>
      <c r="M55">
        <v>90.68</v>
      </c>
      <c r="N55" t="str">
        <f t="shared" si="3"/>
        <v>业绩差</v>
      </c>
    </row>
    <row r="56" spans="1:14" x14ac:dyDescent="0.15">
      <c r="A56" t="str">
        <f t="shared" si="0"/>
        <v>2017</v>
      </c>
      <c r="B56" t="str">
        <f t="shared" si="1"/>
        <v>3</v>
      </c>
      <c r="C56" s="9">
        <v>42809</v>
      </c>
      <c r="D56">
        <v>102941</v>
      </c>
      <c r="E56" t="s">
        <v>76</v>
      </c>
      <c r="F56" t="s">
        <v>38</v>
      </c>
      <c r="G56" t="s">
        <v>42</v>
      </c>
      <c r="H56" t="s">
        <v>18</v>
      </c>
      <c r="I56">
        <f t="shared" si="2"/>
        <v>699.66</v>
      </c>
      <c r="J56">
        <v>9</v>
      </c>
      <c r="K56">
        <v>77.739999999999995</v>
      </c>
      <c r="L56">
        <v>349</v>
      </c>
      <c r="M56">
        <v>350.66</v>
      </c>
      <c r="N56" t="str">
        <f t="shared" si="3"/>
        <v>业绩优</v>
      </c>
    </row>
    <row r="57" spans="1:14" x14ac:dyDescent="0.15">
      <c r="A57" t="str">
        <f t="shared" si="0"/>
        <v>2017</v>
      </c>
      <c r="B57" t="str">
        <f t="shared" si="1"/>
        <v>11</v>
      </c>
      <c r="C57" s="9">
        <v>43047</v>
      </c>
      <c r="D57">
        <v>102961</v>
      </c>
      <c r="E57" t="s">
        <v>77</v>
      </c>
      <c r="F57" t="s">
        <v>38</v>
      </c>
      <c r="G57" t="s">
        <v>42</v>
      </c>
      <c r="H57" t="s">
        <v>18</v>
      </c>
      <c r="I57">
        <f t="shared" si="2"/>
        <v>19.04</v>
      </c>
      <c r="J57">
        <v>4</v>
      </c>
      <c r="K57">
        <v>4.76</v>
      </c>
      <c r="L57">
        <v>9</v>
      </c>
      <c r="M57">
        <v>10.039999999999999</v>
      </c>
      <c r="N57" t="str">
        <f t="shared" si="3"/>
        <v>业绩差</v>
      </c>
    </row>
    <row r="58" spans="1:14" x14ac:dyDescent="0.15">
      <c r="A58" t="str">
        <f t="shared" si="0"/>
        <v>2017</v>
      </c>
      <c r="B58" t="str">
        <f t="shared" si="1"/>
        <v>1</v>
      </c>
      <c r="C58" s="9">
        <v>42741</v>
      </c>
      <c r="D58">
        <v>103045</v>
      </c>
      <c r="E58" t="s">
        <v>78</v>
      </c>
      <c r="F58" t="s">
        <v>38</v>
      </c>
      <c r="G58" t="s">
        <v>42</v>
      </c>
      <c r="H58" t="s">
        <v>18</v>
      </c>
      <c r="I58">
        <f t="shared" si="2"/>
        <v>309</v>
      </c>
      <c r="J58">
        <v>5</v>
      </c>
      <c r="K58">
        <v>61.8</v>
      </c>
      <c r="L58">
        <v>154</v>
      </c>
      <c r="M58">
        <v>155</v>
      </c>
      <c r="N58" t="str">
        <f t="shared" si="3"/>
        <v>业绩良好</v>
      </c>
    </row>
    <row r="59" spans="1:14" x14ac:dyDescent="0.15">
      <c r="A59" t="str">
        <f t="shared" si="0"/>
        <v>2017</v>
      </c>
      <c r="B59" t="str">
        <f t="shared" si="1"/>
        <v>9</v>
      </c>
      <c r="C59" s="9">
        <v>42998</v>
      </c>
      <c r="D59">
        <v>103059</v>
      </c>
      <c r="E59" t="s">
        <v>77</v>
      </c>
      <c r="F59" t="s">
        <v>38</v>
      </c>
      <c r="G59" t="s">
        <v>39</v>
      </c>
      <c r="H59" t="s">
        <v>18</v>
      </c>
      <c r="I59">
        <f t="shared" si="2"/>
        <v>456.2</v>
      </c>
      <c r="J59">
        <v>10</v>
      </c>
      <c r="K59">
        <v>45.62</v>
      </c>
      <c r="L59">
        <v>228</v>
      </c>
      <c r="M59">
        <v>228.2</v>
      </c>
      <c r="N59" t="str">
        <f t="shared" si="3"/>
        <v>业绩良好</v>
      </c>
    </row>
    <row r="60" spans="1:14" x14ac:dyDescent="0.15">
      <c r="A60" t="str">
        <f t="shared" si="0"/>
        <v>2017</v>
      </c>
      <c r="B60" t="str">
        <f t="shared" si="1"/>
        <v>8</v>
      </c>
      <c r="C60" s="9">
        <v>42971</v>
      </c>
      <c r="D60">
        <v>103254</v>
      </c>
      <c r="E60" t="s">
        <v>78</v>
      </c>
      <c r="F60" t="s">
        <v>38</v>
      </c>
      <c r="G60" t="s">
        <v>46</v>
      </c>
      <c r="H60" t="s">
        <v>18</v>
      </c>
      <c r="I60">
        <f t="shared" si="2"/>
        <v>270.89999999999998</v>
      </c>
      <c r="J60">
        <v>6</v>
      </c>
      <c r="K60">
        <v>45.15</v>
      </c>
      <c r="L60">
        <v>135</v>
      </c>
      <c r="M60">
        <v>135.9</v>
      </c>
      <c r="N60" t="str">
        <f t="shared" si="3"/>
        <v>业绩合格</v>
      </c>
    </row>
    <row r="61" spans="1:14" x14ac:dyDescent="0.15">
      <c r="A61" t="str">
        <f t="shared" si="0"/>
        <v>2017</v>
      </c>
      <c r="B61" t="str">
        <f t="shared" si="1"/>
        <v>3</v>
      </c>
      <c r="C61" s="9">
        <v>42811</v>
      </c>
      <c r="D61">
        <v>103288</v>
      </c>
      <c r="E61" t="s">
        <v>79</v>
      </c>
      <c r="F61" t="s">
        <v>38</v>
      </c>
      <c r="G61" t="s">
        <v>39</v>
      </c>
      <c r="H61" t="s">
        <v>18</v>
      </c>
      <c r="I61">
        <f t="shared" si="2"/>
        <v>129.27000000000001</v>
      </c>
      <c r="J61">
        <v>3</v>
      </c>
      <c r="K61">
        <v>43.09</v>
      </c>
      <c r="L61">
        <v>64</v>
      </c>
      <c r="M61">
        <v>65.27</v>
      </c>
      <c r="N61" t="str">
        <f t="shared" si="3"/>
        <v>业绩差</v>
      </c>
    </row>
    <row r="62" spans="1:14" x14ac:dyDescent="0.15">
      <c r="A62" t="str">
        <f t="shared" si="0"/>
        <v>2017</v>
      </c>
      <c r="B62" t="str">
        <f t="shared" si="1"/>
        <v>12</v>
      </c>
      <c r="C62" s="9">
        <v>43093</v>
      </c>
      <c r="D62">
        <v>103297</v>
      </c>
      <c r="E62" t="s">
        <v>80</v>
      </c>
      <c r="F62" t="s">
        <v>38</v>
      </c>
      <c r="G62" t="s">
        <v>46</v>
      </c>
      <c r="H62" t="s">
        <v>18</v>
      </c>
      <c r="I62">
        <f t="shared" si="2"/>
        <v>119.25</v>
      </c>
      <c r="J62">
        <v>5</v>
      </c>
      <c r="K62">
        <v>23.85</v>
      </c>
      <c r="L62">
        <v>59</v>
      </c>
      <c r="M62">
        <v>60.25</v>
      </c>
      <c r="N62" t="str">
        <f t="shared" si="3"/>
        <v>业绩差</v>
      </c>
    </row>
    <row r="63" spans="1:14" x14ac:dyDescent="0.15">
      <c r="A63" t="str">
        <f t="shared" si="0"/>
        <v>2017</v>
      </c>
      <c r="B63" t="str">
        <f t="shared" si="1"/>
        <v>11</v>
      </c>
      <c r="C63" s="9">
        <v>43047</v>
      </c>
      <c r="D63">
        <v>103454</v>
      </c>
      <c r="E63" t="s">
        <v>81</v>
      </c>
      <c r="F63" t="s">
        <v>38</v>
      </c>
      <c r="G63" t="s">
        <v>46</v>
      </c>
      <c r="H63" t="s">
        <v>18</v>
      </c>
      <c r="I63">
        <f t="shared" si="2"/>
        <v>158.28</v>
      </c>
      <c r="J63">
        <v>6</v>
      </c>
      <c r="K63">
        <v>26.38</v>
      </c>
      <c r="L63">
        <v>79</v>
      </c>
      <c r="M63">
        <v>79.28</v>
      </c>
      <c r="N63" t="str">
        <f t="shared" si="3"/>
        <v>业绩差</v>
      </c>
    </row>
    <row r="64" spans="1:14" x14ac:dyDescent="0.15">
      <c r="A64" t="str">
        <f t="shared" si="0"/>
        <v>2017</v>
      </c>
      <c r="B64" t="str">
        <f t="shared" si="1"/>
        <v>6</v>
      </c>
      <c r="C64" s="9">
        <v>42902</v>
      </c>
      <c r="D64">
        <v>103480</v>
      </c>
      <c r="E64" t="s">
        <v>82</v>
      </c>
      <c r="F64" t="s">
        <v>38</v>
      </c>
      <c r="G64" t="s">
        <v>39</v>
      </c>
      <c r="H64" t="s">
        <v>18</v>
      </c>
      <c r="I64">
        <f t="shared" si="2"/>
        <v>527.76</v>
      </c>
      <c r="J64">
        <v>9</v>
      </c>
      <c r="K64">
        <v>58.64</v>
      </c>
      <c r="L64">
        <v>263</v>
      </c>
      <c r="M64">
        <v>264.76</v>
      </c>
      <c r="N64" t="str">
        <f t="shared" si="3"/>
        <v>业绩优</v>
      </c>
    </row>
    <row r="65" spans="1:14" x14ac:dyDescent="0.15">
      <c r="A65" t="str">
        <f t="shared" si="0"/>
        <v>2017</v>
      </c>
      <c r="B65" t="str">
        <f t="shared" si="1"/>
        <v>11</v>
      </c>
      <c r="C65" s="9">
        <v>43063</v>
      </c>
      <c r="D65">
        <v>103555</v>
      </c>
      <c r="E65" t="s">
        <v>78</v>
      </c>
      <c r="F65" t="s">
        <v>38</v>
      </c>
      <c r="G65" t="s">
        <v>42</v>
      </c>
      <c r="H65" t="s">
        <v>18</v>
      </c>
      <c r="I65">
        <f t="shared" si="2"/>
        <v>819.44999999999993</v>
      </c>
      <c r="J65">
        <v>9</v>
      </c>
      <c r="K65">
        <v>91.05</v>
      </c>
      <c r="L65">
        <v>409</v>
      </c>
      <c r="M65">
        <v>410.45</v>
      </c>
      <c r="N65" t="str">
        <f t="shared" si="3"/>
        <v>业绩优</v>
      </c>
    </row>
    <row r="66" spans="1:14" x14ac:dyDescent="0.15">
      <c r="A66" t="str">
        <f t="shared" si="0"/>
        <v>2017</v>
      </c>
      <c r="B66" t="str">
        <f t="shared" si="1"/>
        <v>1</v>
      </c>
      <c r="C66" s="9">
        <v>42741</v>
      </c>
      <c r="D66">
        <v>103800</v>
      </c>
      <c r="E66" t="s">
        <v>83</v>
      </c>
      <c r="F66" t="s">
        <v>38</v>
      </c>
      <c r="G66" t="s">
        <v>39</v>
      </c>
      <c r="H66" t="s">
        <v>18</v>
      </c>
      <c r="I66">
        <f t="shared" si="2"/>
        <v>551.44000000000005</v>
      </c>
      <c r="J66">
        <v>8</v>
      </c>
      <c r="K66">
        <v>68.930000000000007</v>
      </c>
      <c r="L66">
        <v>275</v>
      </c>
      <c r="M66">
        <v>276.44</v>
      </c>
      <c r="N66" t="str">
        <f t="shared" si="3"/>
        <v>业绩优</v>
      </c>
    </row>
    <row r="67" spans="1:14" x14ac:dyDescent="0.15">
      <c r="A67" t="str">
        <f t="shared" ref="A67:A128" si="4">TEXT(C67,"yyyy")</f>
        <v>2016</v>
      </c>
      <c r="B67" t="str">
        <f t="shared" ref="B67:B128" si="5">TEXT(C67,"m")</f>
        <v>11</v>
      </c>
      <c r="C67" s="9">
        <v>42680</v>
      </c>
      <c r="D67">
        <v>100031</v>
      </c>
      <c r="E67" t="s">
        <v>84</v>
      </c>
      <c r="F67" t="s">
        <v>38</v>
      </c>
      <c r="G67" t="s">
        <v>39</v>
      </c>
      <c r="H67" t="s">
        <v>20</v>
      </c>
      <c r="I67">
        <f t="shared" ref="I67:I128" si="6">J67*K67</f>
        <v>526.31999999999994</v>
      </c>
      <c r="J67">
        <v>6</v>
      </c>
      <c r="K67">
        <v>87.72</v>
      </c>
      <c r="L67">
        <v>263</v>
      </c>
      <c r="M67">
        <v>263.32</v>
      </c>
      <c r="N67" t="str">
        <f t="shared" ref="N67:N128" si="7">IF(I67&gt;500,"业绩优",IF(I67&gt;300,"业绩良好",IF(I67&gt;200,"业绩合格","业绩差")))</f>
        <v>业绩优</v>
      </c>
    </row>
    <row r="68" spans="1:14" x14ac:dyDescent="0.15">
      <c r="A68" t="str">
        <f t="shared" si="4"/>
        <v>2016</v>
      </c>
      <c r="B68" t="str">
        <f t="shared" si="5"/>
        <v>1</v>
      </c>
      <c r="C68" s="9">
        <v>42388</v>
      </c>
      <c r="D68">
        <v>100088</v>
      </c>
      <c r="E68" t="s">
        <v>85</v>
      </c>
      <c r="F68" t="s">
        <v>38</v>
      </c>
      <c r="G68" t="s">
        <v>39</v>
      </c>
      <c r="H68" t="s">
        <v>20</v>
      </c>
      <c r="I68">
        <f t="shared" si="6"/>
        <v>359.64</v>
      </c>
      <c r="J68">
        <v>4</v>
      </c>
      <c r="K68">
        <v>89.91</v>
      </c>
      <c r="L68">
        <v>179</v>
      </c>
      <c r="M68">
        <v>180.64</v>
      </c>
      <c r="N68" t="str">
        <f t="shared" si="7"/>
        <v>业绩良好</v>
      </c>
    </row>
    <row r="69" spans="1:14" x14ac:dyDescent="0.15">
      <c r="A69" t="str">
        <f t="shared" si="4"/>
        <v>2016</v>
      </c>
      <c r="B69" t="str">
        <f t="shared" si="5"/>
        <v>3</v>
      </c>
      <c r="C69" s="9">
        <v>42441</v>
      </c>
      <c r="D69">
        <v>100205</v>
      </c>
      <c r="E69" t="s">
        <v>86</v>
      </c>
      <c r="F69" t="s">
        <v>38</v>
      </c>
      <c r="G69" t="s">
        <v>39</v>
      </c>
      <c r="H69" t="s">
        <v>20</v>
      </c>
      <c r="I69">
        <f t="shared" si="6"/>
        <v>351.2</v>
      </c>
      <c r="J69">
        <v>5</v>
      </c>
      <c r="K69">
        <v>70.239999999999995</v>
      </c>
      <c r="L69">
        <v>175</v>
      </c>
      <c r="M69">
        <v>176.2</v>
      </c>
      <c r="N69" t="str">
        <f t="shared" si="7"/>
        <v>业绩良好</v>
      </c>
    </row>
    <row r="70" spans="1:14" x14ac:dyDescent="0.15">
      <c r="A70" t="str">
        <f t="shared" si="4"/>
        <v>2016</v>
      </c>
      <c r="B70" t="str">
        <f t="shared" si="5"/>
        <v>3</v>
      </c>
      <c r="C70" s="9">
        <v>42447</v>
      </c>
      <c r="D70">
        <v>100241</v>
      </c>
      <c r="E70" t="s">
        <v>87</v>
      </c>
      <c r="F70" t="s">
        <v>38</v>
      </c>
      <c r="G70" t="s">
        <v>46</v>
      </c>
      <c r="H70" t="s">
        <v>20</v>
      </c>
      <c r="I70">
        <f t="shared" si="6"/>
        <v>118.56</v>
      </c>
      <c r="J70">
        <v>4</v>
      </c>
      <c r="K70">
        <v>29.64</v>
      </c>
      <c r="L70">
        <v>59</v>
      </c>
      <c r="M70">
        <v>59.56</v>
      </c>
      <c r="N70" t="str">
        <f t="shared" si="7"/>
        <v>业绩差</v>
      </c>
    </row>
    <row r="71" spans="1:14" x14ac:dyDescent="0.15">
      <c r="A71" t="str">
        <f t="shared" si="4"/>
        <v>2016</v>
      </c>
      <c r="B71" t="str">
        <f t="shared" si="5"/>
        <v>10</v>
      </c>
      <c r="C71" s="9">
        <v>42650</v>
      </c>
      <c r="D71">
        <v>100303</v>
      </c>
      <c r="E71" t="s">
        <v>88</v>
      </c>
      <c r="F71" t="s">
        <v>38</v>
      </c>
      <c r="G71" t="s">
        <v>39</v>
      </c>
      <c r="H71" t="s">
        <v>20</v>
      </c>
      <c r="I71">
        <f t="shared" si="6"/>
        <v>170.82</v>
      </c>
      <c r="J71">
        <v>2</v>
      </c>
      <c r="K71">
        <v>85.41</v>
      </c>
      <c r="L71">
        <v>85</v>
      </c>
      <c r="M71">
        <v>85.82</v>
      </c>
      <c r="N71" t="str">
        <f t="shared" si="7"/>
        <v>业绩差</v>
      </c>
    </row>
    <row r="72" spans="1:14" x14ac:dyDescent="0.15">
      <c r="A72" t="str">
        <f t="shared" si="4"/>
        <v>2016</v>
      </c>
      <c r="B72" t="str">
        <f t="shared" si="5"/>
        <v>10</v>
      </c>
      <c r="C72" s="9">
        <v>42671</v>
      </c>
      <c r="D72">
        <v>100406</v>
      </c>
      <c r="E72" t="s">
        <v>89</v>
      </c>
      <c r="F72" t="s">
        <v>38</v>
      </c>
      <c r="G72" t="s">
        <v>42</v>
      </c>
      <c r="H72" t="s">
        <v>20</v>
      </c>
      <c r="I72">
        <f t="shared" si="6"/>
        <v>203.58</v>
      </c>
      <c r="J72">
        <v>9</v>
      </c>
      <c r="K72">
        <v>22.62</v>
      </c>
      <c r="L72">
        <v>101</v>
      </c>
      <c r="M72">
        <v>102.58</v>
      </c>
      <c r="N72" t="str">
        <f t="shared" si="7"/>
        <v>业绩合格</v>
      </c>
    </row>
    <row r="73" spans="1:14" x14ac:dyDescent="0.15">
      <c r="A73" t="str">
        <f t="shared" si="4"/>
        <v>2016</v>
      </c>
      <c r="B73" t="str">
        <f t="shared" si="5"/>
        <v>4</v>
      </c>
      <c r="C73" s="9">
        <v>42470</v>
      </c>
      <c r="D73">
        <v>100469</v>
      </c>
      <c r="E73" t="s">
        <v>90</v>
      </c>
      <c r="F73" t="s">
        <v>38</v>
      </c>
      <c r="G73" t="s">
        <v>39</v>
      </c>
      <c r="H73" t="s">
        <v>20</v>
      </c>
      <c r="I73">
        <f t="shared" si="6"/>
        <v>12.33</v>
      </c>
      <c r="J73">
        <v>1</v>
      </c>
      <c r="K73">
        <v>12.33</v>
      </c>
      <c r="L73">
        <v>6</v>
      </c>
      <c r="M73">
        <v>6.33</v>
      </c>
      <c r="N73" t="str">
        <f t="shared" si="7"/>
        <v>业绩差</v>
      </c>
    </row>
    <row r="74" spans="1:14" x14ac:dyDescent="0.15">
      <c r="A74" t="str">
        <f t="shared" si="4"/>
        <v>2016</v>
      </c>
      <c r="B74" t="str">
        <f t="shared" si="5"/>
        <v>10</v>
      </c>
      <c r="C74" s="9">
        <v>42650</v>
      </c>
      <c r="D74">
        <v>100516</v>
      </c>
      <c r="E74" t="s">
        <v>91</v>
      </c>
      <c r="F74" t="s">
        <v>38</v>
      </c>
      <c r="G74" t="s">
        <v>39</v>
      </c>
      <c r="H74" t="s">
        <v>20</v>
      </c>
      <c r="I74">
        <f t="shared" si="6"/>
        <v>179.7</v>
      </c>
      <c r="J74">
        <v>10</v>
      </c>
      <c r="K74">
        <v>17.97</v>
      </c>
      <c r="L74">
        <v>89</v>
      </c>
      <c r="M74">
        <v>90.7</v>
      </c>
      <c r="N74" t="str">
        <f t="shared" si="7"/>
        <v>业绩差</v>
      </c>
    </row>
    <row r="75" spans="1:14" x14ac:dyDescent="0.15">
      <c r="A75" t="str">
        <f t="shared" si="4"/>
        <v>2017</v>
      </c>
      <c r="B75" t="str">
        <f t="shared" si="5"/>
        <v>1</v>
      </c>
      <c r="C75" s="9">
        <v>42765</v>
      </c>
      <c r="D75">
        <v>102818</v>
      </c>
      <c r="E75" t="s">
        <v>92</v>
      </c>
      <c r="F75" t="s">
        <v>38</v>
      </c>
      <c r="G75" t="s">
        <v>42</v>
      </c>
      <c r="H75" t="s">
        <v>20</v>
      </c>
      <c r="I75">
        <f t="shared" si="6"/>
        <v>79.23</v>
      </c>
      <c r="J75">
        <v>1</v>
      </c>
      <c r="K75">
        <v>79.23</v>
      </c>
      <c r="L75">
        <v>39</v>
      </c>
      <c r="M75">
        <v>40.229999999999997</v>
      </c>
      <c r="N75" t="str">
        <f t="shared" si="7"/>
        <v>业绩差</v>
      </c>
    </row>
    <row r="76" spans="1:14" x14ac:dyDescent="0.15">
      <c r="A76" t="str">
        <f t="shared" si="4"/>
        <v>2017</v>
      </c>
      <c r="B76" t="str">
        <f t="shared" si="5"/>
        <v>8</v>
      </c>
      <c r="C76" s="9">
        <v>42953</v>
      </c>
      <c r="D76">
        <v>102826</v>
      </c>
      <c r="E76" t="s">
        <v>87</v>
      </c>
      <c r="F76" t="s">
        <v>38</v>
      </c>
      <c r="G76" t="s">
        <v>39</v>
      </c>
      <c r="H76" t="s">
        <v>20</v>
      </c>
      <c r="I76">
        <f t="shared" si="6"/>
        <v>356.6</v>
      </c>
      <c r="J76">
        <v>4</v>
      </c>
      <c r="K76">
        <v>89.15</v>
      </c>
      <c r="L76">
        <v>178</v>
      </c>
      <c r="M76">
        <v>178.6</v>
      </c>
      <c r="N76" t="str">
        <f t="shared" si="7"/>
        <v>业绩良好</v>
      </c>
    </row>
    <row r="77" spans="1:14" x14ac:dyDescent="0.15">
      <c r="A77" t="str">
        <f t="shared" si="4"/>
        <v>2017</v>
      </c>
      <c r="B77" t="str">
        <f t="shared" si="5"/>
        <v>5</v>
      </c>
      <c r="C77" s="9">
        <v>42872</v>
      </c>
      <c r="D77">
        <v>102835</v>
      </c>
      <c r="E77" t="s">
        <v>93</v>
      </c>
      <c r="F77" t="s">
        <v>38</v>
      </c>
      <c r="G77" t="s">
        <v>46</v>
      </c>
      <c r="H77" t="s">
        <v>20</v>
      </c>
      <c r="I77">
        <f t="shared" si="6"/>
        <v>13.799999999999999</v>
      </c>
      <c r="J77">
        <v>10</v>
      </c>
      <c r="K77">
        <v>1.38</v>
      </c>
      <c r="L77">
        <v>6</v>
      </c>
      <c r="M77">
        <v>7.8</v>
      </c>
      <c r="N77" t="str">
        <f t="shared" si="7"/>
        <v>业绩差</v>
      </c>
    </row>
    <row r="78" spans="1:14" x14ac:dyDescent="0.15">
      <c r="A78" t="str">
        <f t="shared" si="4"/>
        <v>2017</v>
      </c>
      <c r="B78" t="str">
        <f t="shared" si="5"/>
        <v>1</v>
      </c>
      <c r="C78" s="9">
        <v>42761</v>
      </c>
      <c r="D78">
        <v>102940</v>
      </c>
      <c r="E78" t="s">
        <v>94</v>
      </c>
      <c r="F78" t="s">
        <v>38</v>
      </c>
      <c r="G78" t="s">
        <v>42</v>
      </c>
      <c r="H78" t="s">
        <v>20</v>
      </c>
      <c r="I78">
        <f t="shared" si="6"/>
        <v>121.96</v>
      </c>
      <c r="J78">
        <v>4</v>
      </c>
      <c r="K78">
        <v>30.49</v>
      </c>
      <c r="L78">
        <v>60</v>
      </c>
      <c r="M78">
        <v>61.96</v>
      </c>
      <c r="N78" t="str">
        <f t="shared" si="7"/>
        <v>业绩差</v>
      </c>
    </row>
    <row r="79" spans="1:14" x14ac:dyDescent="0.15">
      <c r="A79" t="str">
        <f t="shared" si="4"/>
        <v>2017</v>
      </c>
      <c r="B79" t="str">
        <f t="shared" si="5"/>
        <v>1</v>
      </c>
      <c r="C79" s="9">
        <v>42761</v>
      </c>
      <c r="D79">
        <v>102940</v>
      </c>
      <c r="E79" t="s">
        <v>89</v>
      </c>
      <c r="F79" t="s">
        <v>38</v>
      </c>
      <c r="G79" t="s">
        <v>42</v>
      </c>
      <c r="H79" t="s">
        <v>20</v>
      </c>
      <c r="I79">
        <f t="shared" si="6"/>
        <v>849.51</v>
      </c>
      <c r="J79">
        <v>9</v>
      </c>
      <c r="K79">
        <v>94.39</v>
      </c>
      <c r="L79">
        <v>424</v>
      </c>
      <c r="M79">
        <v>425.51</v>
      </c>
      <c r="N79" t="str">
        <f t="shared" si="7"/>
        <v>业绩优</v>
      </c>
    </row>
    <row r="80" spans="1:14" x14ac:dyDescent="0.15">
      <c r="A80" t="str">
        <f t="shared" si="4"/>
        <v>2017</v>
      </c>
      <c r="B80" t="str">
        <f t="shared" si="5"/>
        <v>10</v>
      </c>
      <c r="C80" s="9">
        <v>43039</v>
      </c>
      <c r="D80">
        <v>102981</v>
      </c>
      <c r="E80" t="s">
        <v>87</v>
      </c>
      <c r="F80" t="s">
        <v>38</v>
      </c>
      <c r="G80" t="s">
        <v>42</v>
      </c>
      <c r="H80" t="s">
        <v>20</v>
      </c>
      <c r="I80">
        <f t="shared" si="6"/>
        <v>291.2</v>
      </c>
      <c r="J80">
        <v>8</v>
      </c>
      <c r="K80">
        <v>36.4</v>
      </c>
      <c r="L80">
        <v>145</v>
      </c>
      <c r="M80">
        <v>146.19999999999999</v>
      </c>
      <c r="N80" t="str">
        <f t="shared" si="7"/>
        <v>业绩合格</v>
      </c>
    </row>
    <row r="81" spans="1:14" x14ac:dyDescent="0.15">
      <c r="A81" t="str">
        <f t="shared" si="4"/>
        <v>2017</v>
      </c>
      <c r="B81" t="str">
        <f t="shared" si="5"/>
        <v>9</v>
      </c>
      <c r="C81" s="9">
        <v>42995</v>
      </c>
      <c r="D81">
        <v>103100</v>
      </c>
      <c r="E81" t="s">
        <v>85</v>
      </c>
      <c r="F81" t="s">
        <v>38</v>
      </c>
      <c r="G81" t="s">
        <v>42</v>
      </c>
      <c r="H81" t="s">
        <v>20</v>
      </c>
      <c r="I81">
        <f t="shared" si="6"/>
        <v>536.05999999999995</v>
      </c>
      <c r="J81">
        <v>7</v>
      </c>
      <c r="K81">
        <v>76.58</v>
      </c>
      <c r="L81">
        <v>268</v>
      </c>
      <c r="M81">
        <v>268.06</v>
      </c>
      <c r="N81" t="str">
        <f t="shared" si="7"/>
        <v>业绩优</v>
      </c>
    </row>
    <row r="82" spans="1:14" x14ac:dyDescent="0.15">
      <c r="A82" t="str">
        <f t="shared" si="4"/>
        <v>2017</v>
      </c>
      <c r="B82" t="str">
        <f t="shared" si="5"/>
        <v>11</v>
      </c>
      <c r="C82" s="9">
        <v>43066</v>
      </c>
      <c r="D82">
        <v>103178</v>
      </c>
      <c r="E82" t="s">
        <v>95</v>
      </c>
      <c r="F82" t="s">
        <v>38</v>
      </c>
      <c r="G82" t="s">
        <v>42</v>
      </c>
      <c r="H82" t="s">
        <v>20</v>
      </c>
      <c r="I82">
        <f t="shared" si="6"/>
        <v>50.12</v>
      </c>
      <c r="J82">
        <v>4</v>
      </c>
      <c r="K82">
        <v>12.53</v>
      </c>
      <c r="L82">
        <v>25</v>
      </c>
      <c r="M82">
        <v>25.12</v>
      </c>
      <c r="N82" t="str">
        <f t="shared" si="7"/>
        <v>业绩差</v>
      </c>
    </row>
    <row r="83" spans="1:14" x14ac:dyDescent="0.15">
      <c r="A83" t="str">
        <f t="shared" si="4"/>
        <v>2017</v>
      </c>
      <c r="B83" t="str">
        <f t="shared" si="5"/>
        <v>2</v>
      </c>
      <c r="C83" s="9">
        <v>42777</v>
      </c>
      <c r="D83">
        <v>103371</v>
      </c>
      <c r="E83" t="s">
        <v>87</v>
      </c>
      <c r="F83" t="s">
        <v>38</v>
      </c>
      <c r="G83" t="s">
        <v>46</v>
      </c>
      <c r="H83" t="s">
        <v>20</v>
      </c>
      <c r="I83">
        <f t="shared" si="6"/>
        <v>296.2</v>
      </c>
      <c r="J83">
        <v>10</v>
      </c>
      <c r="K83">
        <v>29.62</v>
      </c>
      <c r="L83">
        <v>148</v>
      </c>
      <c r="M83">
        <v>148.19999999999999</v>
      </c>
      <c r="N83" t="str">
        <f t="shared" si="7"/>
        <v>业绩合格</v>
      </c>
    </row>
    <row r="84" spans="1:14" x14ac:dyDescent="0.15">
      <c r="A84" t="str">
        <f t="shared" si="4"/>
        <v>2017</v>
      </c>
      <c r="B84" t="str">
        <f t="shared" si="5"/>
        <v>7</v>
      </c>
      <c r="C84" s="9">
        <v>42934</v>
      </c>
      <c r="D84">
        <v>103624</v>
      </c>
      <c r="E84" t="s">
        <v>92</v>
      </c>
      <c r="F84" t="s">
        <v>38</v>
      </c>
      <c r="G84" t="s">
        <v>46</v>
      </c>
      <c r="H84" t="s">
        <v>20</v>
      </c>
      <c r="I84">
        <f t="shared" si="6"/>
        <v>202.2</v>
      </c>
      <c r="J84">
        <v>4</v>
      </c>
      <c r="K84">
        <v>50.55</v>
      </c>
      <c r="L84">
        <v>101</v>
      </c>
      <c r="M84">
        <v>101.2</v>
      </c>
      <c r="N84" t="str">
        <f t="shared" si="7"/>
        <v>业绩合格</v>
      </c>
    </row>
    <row r="85" spans="1:14" x14ac:dyDescent="0.15">
      <c r="A85" t="str">
        <f t="shared" si="4"/>
        <v>2017</v>
      </c>
      <c r="B85" t="str">
        <f t="shared" si="5"/>
        <v>11</v>
      </c>
      <c r="C85" s="9">
        <v>43055</v>
      </c>
      <c r="D85">
        <v>103631</v>
      </c>
      <c r="E85" t="s">
        <v>96</v>
      </c>
      <c r="F85" t="s">
        <v>38</v>
      </c>
      <c r="G85" t="s">
        <v>46</v>
      </c>
      <c r="H85" t="s">
        <v>20</v>
      </c>
      <c r="I85">
        <f t="shared" si="6"/>
        <v>445</v>
      </c>
      <c r="J85">
        <v>10</v>
      </c>
      <c r="K85">
        <v>44.5</v>
      </c>
      <c r="L85">
        <v>222</v>
      </c>
      <c r="M85">
        <v>223</v>
      </c>
      <c r="N85" t="str">
        <f t="shared" si="7"/>
        <v>业绩良好</v>
      </c>
    </row>
    <row r="86" spans="1:14" x14ac:dyDescent="0.15">
      <c r="A86" t="str">
        <f t="shared" si="4"/>
        <v>2017</v>
      </c>
      <c r="B86" t="str">
        <f t="shared" si="5"/>
        <v>10</v>
      </c>
      <c r="C86" s="9">
        <v>43014</v>
      </c>
      <c r="D86">
        <v>103635</v>
      </c>
      <c r="E86" t="s">
        <v>97</v>
      </c>
      <c r="F86" t="s">
        <v>38</v>
      </c>
      <c r="G86" t="s">
        <v>39</v>
      </c>
      <c r="H86" t="s">
        <v>20</v>
      </c>
      <c r="I86">
        <f t="shared" si="6"/>
        <v>42.88</v>
      </c>
      <c r="J86">
        <v>1</v>
      </c>
      <c r="K86">
        <v>42.88</v>
      </c>
      <c r="L86">
        <v>21</v>
      </c>
      <c r="M86">
        <v>21.88</v>
      </c>
      <c r="N86" t="str">
        <f t="shared" si="7"/>
        <v>业绩差</v>
      </c>
    </row>
    <row r="87" spans="1:14" x14ac:dyDescent="0.15">
      <c r="A87" t="str">
        <f t="shared" si="4"/>
        <v>2017</v>
      </c>
      <c r="B87" t="str">
        <f t="shared" si="5"/>
        <v>5</v>
      </c>
      <c r="C87" s="9">
        <v>42856</v>
      </c>
      <c r="D87">
        <v>103696</v>
      </c>
      <c r="E87" t="s">
        <v>98</v>
      </c>
      <c r="F87" t="s">
        <v>38</v>
      </c>
      <c r="G87" t="s">
        <v>42</v>
      </c>
      <c r="H87" t="s">
        <v>20</v>
      </c>
      <c r="I87">
        <f t="shared" si="6"/>
        <v>194.8</v>
      </c>
      <c r="J87">
        <v>2</v>
      </c>
      <c r="K87">
        <v>97.4</v>
      </c>
      <c r="L87">
        <v>97</v>
      </c>
      <c r="M87">
        <v>97.8</v>
      </c>
      <c r="N87" t="str">
        <f t="shared" si="7"/>
        <v>业绩差</v>
      </c>
    </row>
    <row r="88" spans="1:14" x14ac:dyDescent="0.15">
      <c r="A88" t="str">
        <f t="shared" si="4"/>
        <v>2017</v>
      </c>
      <c r="B88" t="str">
        <f t="shared" si="5"/>
        <v>10</v>
      </c>
      <c r="C88" s="9">
        <v>43025</v>
      </c>
      <c r="D88">
        <v>103703</v>
      </c>
      <c r="E88" t="s">
        <v>99</v>
      </c>
      <c r="F88" t="s">
        <v>38</v>
      </c>
      <c r="G88" t="s">
        <v>39</v>
      </c>
      <c r="H88" t="s">
        <v>20</v>
      </c>
      <c r="I88">
        <f t="shared" si="6"/>
        <v>195.18</v>
      </c>
      <c r="J88">
        <v>2</v>
      </c>
      <c r="K88">
        <v>97.59</v>
      </c>
      <c r="L88">
        <v>97</v>
      </c>
      <c r="M88">
        <v>98.18</v>
      </c>
      <c r="N88" t="str">
        <f t="shared" si="7"/>
        <v>业绩差</v>
      </c>
    </row>
    <row r="89" spans="1:14" x14ac:dyDescent="0.15">
      <c r="A89" t="str">
        <f t="shared" si="4"/>
        <v>2017</v>
      </c>
      <c r="B89" t="str">
        <f t="shared" si="5"/>
        <v>10</v>
      </c>
      <c r="C89" s="9">
        <v>43015</v>
      </c>
      <c r="D89">
        <v>103713</v>
      </c>
      <c r="E89" t="s">
        <v>96</v>
      </c>
      <c r="F89" t="s">
        <v>38</v>
      </c>
      <c r="G89" t="s">
        <v>39</v>
      </c>
      <c r="H89" t="s">
        <v>20</v>
      </c>
      <c r="I89">
        <f t="shared" si="6"/>
        <v>77.64</v>
      </c>
      <c r="J89">
        <v>6</v>
      </c>
      <c r="K89">
        <v>12.94</v>
      </c>
      <c r="L89">
        <v>38</v>
      </c>
      <c r="M89">
        <v>39.64</v>
      </c>
      <c r="N89" t="str">
        <f t="shared" si="7"/>
        <v>业绩差</v>
      </c>
    </row>
    <row r="90" spans="1:14" x14ac:dyDescent="0.15">
      <c r="A90" t="str">
        <f t="shared" si="4"/>
        <v>2017</v>
      </c>
      <c r="B90" t="str">
        <f t="shared" si="5"/>
        <v>9</v>
      </c>
      <c r="C90" s="9">
        <v>42989</v>
      </c>
      <c r="D90">
        <v>103778</v>
      </c>
      <c r="E90" t="s">
        <v>93</v>
      </c>
      <c r="F90" t="s">
        <v>38</v>
      </c>
      <c r="G90" t="s">
        <v>42</v>
      </c>
      <c r="H90" t="s">
        <v>20</v>
      </c>
      <c r="I90">
        <f t="shared" si="6"/>
        <v>114.64</v>
      </c>
      <c r="J90">
        <v>2</v>
      </c>
      <c r="K90">
        <v>57.32</v>
      </c>
      <c r="L90">
        <v>57</v>
      </c>
      <c r="M90">
        <v>57.64</v>
      </c>
      <c r="N90" t="str">
        <f t="shared" si="7"/>
        <v>业绩差</v>
      </c>
    </row>
    <row r="91" spans="1:14" x14ac:dyDescent="0.15">
      <c r="A91" t="str">
        <f t="shared" si="4"/>
        <v>2016</v>
      </c>
      <c r="B91" t="str">
        <f t="shared" si="5"/>
        <v>10</v>
      </c>
      <c r="C91" s="9">
        <v>42670</v>
      </c>
      <c r="D91">
        <v>100531</v>
      </c>
      <c r="E91" t="s">
        <v>100</v>
      </c>
      <c r="F91" t="s">
        <v>38</v>
      </c>
      <c r="G91" t="s">
        <v>42</v>
      </c>
      <c r="H91" t="s">
        <v>22</v>
      </c>
      <c r="I91">
        <f t="shared" si="6"/>
        <v>387.65</v>
      </c>
      <c r="J91">
        <v>5</v>
      </c>
      <c r="K91">
        <v>77.53</v>
      </c>
      <c r="L91">
        <v>193</v>
      </c>
      <c r="M91">
        <v>194.65</v>
      </c>
      <c r="N91" t="str">
        <f t="shared" si="7"/>
        <v>业绩良好</v>
      </c>
    </row>
    <row r="92" spans="1:14" x14ac:dyDescent="0.15">
      <c r="A92" t="str">
        <f t="shared" si="4"/>
        <v>2017</v>
      </c>
      <c r="B92" t="str">
        <f t="shared" si="5"/>
        <v>7</v>
      </c>
      <c r="C92" s="9">
        <v>42934</v>
      </c>
      <c r="D92">
        <v>102816</v>
      </c>
      <c r="E92" t="s">
        <v>23</v>
      </c>
      <c r="F92" t="s">
        <v>38</v>
      </c>
      <c r="G92" t="s">
        <v>46</v>
      </c>
      <c r="H92" t="s">
        <v>22</v>
      </c>
      <c r="I92">
        <f t="shared" si="6"/>
        <v>178.98</v>
      </c>
      <c r="J92">
        <v>3</v>
      </c>
      <c r="K92">
        <v>59.66</v>
      </c>
      <c r="L92">
        <v>89</v>
      </c>
      <c r="M92">
        <v>89.98</v>
      </c>
      <c r="N92" t="str">
        <f t="shared" si="7"/>
        <v>业绩差</v>
      </c>
    </row>
    <row r="93" spans="1:14" x14ac:dyDescent="0.15">
      <c r="A93" t="str">
        <f t="shared" si="4"/>
        <v>2017</v>
      </c>
      <c r="B93" t="str">
        <f t="shared" si="5"/>
        <v>2</v>
      </c>
      <c r="C93" s="9">
        <v>42769</v>
      </c>
      <c r="D93">
        <v>102919</v>
      </c>
      <c r="E93" t="s">
        <v>101</v>
      </c>
      <c r="F93" t="s">
        <v>38</v>
      </c>
      <c r="G93" t="s">
        <v>39</v>
      </c>
      <c r="H93" t="s">
        <v>22</v>
      </c>
      <c r="I93">
        <f t="shared" si="6"/>
        <v>107.76</v>
      </c>
      <c r="J93">
        <v>6</v>
      </c>
      <c r="K93">
        <v>17.96</v>
      </c>
      <c r="L93">
        <v>53</v>
      </c>
      <c r="M93">
        <v>54.76</v>
      </c>
      <c r="N93" t="str">
        <f t="shared" si="7"/>
        <v>业绩差</v>
      </c>
    </row>
    <row r="94" spans="1:14" x14ac:dyDescent="0.15">
      <c r="A94" t="str">
        <f t="shared" si="4"/>
        <v>2017</v>
      </c>
      <c r="B94" t="str">
        <f t="shared" si="5"/>
        <v>2</v>
      </c>
      <c r="C94" s="9">
        <v>42794</v>
      </c>
      <c r="D94">
        <v>102928</v>
      </c>
      <c r="E94" t="s">
        <v>102</v>
      </c>
      <c r="F94" t="s">
        <v>38</v>
      </c>
      <c r="G94" t="s">
        <v>42</v>
      </c>
      <c r="H94" t="s">
        <v>22</v>
      </c>
      <c r="I94">
        <f t="shared" si="6"/>
        <v>149.14999999999998</v>
      </c>
      <c r="J94">
        <v>5</v>
      </c>
      <c r="K94">
        <v>29.83</v>
      </c>
      <c r="L94">
        <v>74</v>
      </c>
      <c r="M94">
        <v>75.150000000000006</v>
      </c>
      <c r="N94" t="str">
        <f t="shared" si="7"/>
        <v>业绩差</v>
      </c>
    </row>
    <row r="95" spans="1:14" x14ac:dyDescent="0.15">
      <c r="A95" t="str">
        <f t="shared" si="4"/>
        <v>2017</v>
      </c>
      <c r="B95" t="str">
        <f t="shared" si="5"/>
        <v>9</v>
      </c>
      <c r="C95" s="9">
        <v>43006</v>
      </c>
      <c r="D95">
        <v>102954</v>
      </c>
      <c r="E95" t="s">
        <v>103</v>
      </c>
      <c r="F95" t="s">
        <v>38</v>
      </c>
      <c r="G95" t="s">
        <v>46</v>
      </c>
      <c r="H95" t="s">
        <v>22</v>
      </c>
      <c r="I95">
        <f t="shared" si="6"/>
        <v>5.76</v>
      </c>
      <c r="J95">
        <v>2</v>
      </c>
      <c r="K95">
        <v>2.88</v>
      </c>
      <c r="L95">
        <v>2</v>
      </c>
      <c r="M95">
        <v>3.76</v>
      </c>
      <c r="N95" t="str">
        <f t="shared" si="7"/>
        <v>业绩差</v>
      </c>
    </row>
    <row r="96" spans="1:14" x14ac:dyDescent="0.15">
      <c r="A96" t="str">
        <f t="shared" si="4"/>
        <v>2017</v>
      </c>
      <c r="B96" t="str">
        <f t="shared" si="5"/>
        <v>10</v>
      </c>
      <c r="C96" s="9">
        <v>43029</v>
      </c>
      <c r="D96">
        <v>103009</v>
      </c>
      <c r="E96" t="s">
        <v>104</v>
      </c>
      <c r="F96" t="s">
        <v>38</v>
      </c>
      <c r="G96" t="s">
        <v>39</v>
      </c>
      <c r="H96" t="s">
        <v>22</v>
      </c>
      <c r="I96">
        <f t="shared" si="6"/>
        <v>176.96</v>
      </c>
      <c r="J96">
        <v>7</v>
      </c>
      <c r="K96">
        <v>25.28</v>
      </c>
      <c r="L96">
        <v>88</v>
      </c>
      <c r="M96">
        <v>88.96</v>
      </c>
      <c r="N96" t="str">
        <f t="shared" si="7"/>
        <v>业绩差</v>
      </c>
    </row>
    <row r="97" spans="1:14" x14ac:dyDescent="0.15">
      <c r="A97" t="str">
        <f t="shared" si="4"/>
        <v>2017</v>
      </c>
      <c r="B97" t="str">
        <f t="shared" si="5"/>
        <v>12</v>
      </c>
      <c r="C97" s="9">
        <v>43091</v>
      </c>
      <c r="D97">
        <v>103054</v>
      </c>
      <c r="E97" t="s">
        <v>105</v>
      </c>
      <c r="F97" t="s">
        <v>38</v>
      </c>
      <c r="G97" t="s">
        <v>46</v>
      </c>
      <c r="H97" t="s">
        <v>22</v>
      </c>
      <c r="I97">
        <f t="shared" si="6"/>
        <v>54.179999999999993</v>
      </c>
      <c r="J97">
        <v>6</v>
      </c>
      <c r="K97">
        <v>9.0299999999999994</v>
      </c>
      <c r="L97">
        <v>27</v>
      </c>
      <c r="M97">
        <v>27.18</v>
      </c>
      <c r="N97" t="str">
        <f t="shared" si="7"/>
        <v>业绩差</v>
      </c>
    </row>
    <row r="98" spans="1:14" x14ac:dyDescent="0.15">
      <c r="A98" t="str">
        <f t="shared" si="4"/>
        <v>2017</v>
      </c>
      <c r="B98" t="str">
        <f t="shared" si="5"/>
        <v>1</v>
      </c>
      <c r="C98" s="9">
        <v>42763</v>
      </c>
      <c r="D98">
        <v>103103</v>
      </c>
      <c r="E98" t="s">
        <v>102</v>
      </c>
      <c r="F98" t="s">
        <v>38</v>
      </c>
      <c r="G98" t="s">
        <v>46</v>
      </c>
      <c r="H98" t="s">
        <v>22</v>
      </c>
      <c r="I98">
        <f t="shared" si="6"/>
        <v>527.12</v>
      </c>
      <c r="J98">
        <v>8</v>
      </c>
      <c r="K98">
        <v>65.89</v>
      </c>
      <c r="L98">
        <v>263</v>
      </c>
      <c r="M98">
        <v>264.12</v>
      </c>
      <c r="N98" t="str">
        <f t="shared" si="7"/>
        <v>业绩优</v>
      </c>
    </row>
    <row r="99" spans="1:14" x14ac:dyDescent="0.15">
      <c r="A99" t="str">
        <f t="shared" si="4"/>
        <v>2017</v>
      </c>
      <c r="B99" t="str">
        <f t="shared" si="5"/>
        <v>4</v>
      </c>
      <c r="C99" s="9">
        <v>42853</v>
      </c>
      <c r="D99">
        <v>103110</v>
      </c>
      <c r="E99" t="s">
        <v>100</v>
      </c>
      <c r="F99" t="s">
        <v>38</v>
      </c>
      <c r="G99" t="s">
        <v>42</v>
      </c>
      <c r="H99" t="s">
        <v>22</v>
      </c>
      <c r="I99">
        <f t="shared" si="6"/>
        <v>183.94</v>
      </c>
      <c r="J99">
        <v>2</v>
      </c>
      <c r="K99">
        <v>91.97</v>
      </c>
      <c r="L99">
        <v>91</v>
      </c>
      <c r="M99">
        <v>92.94</v>
      </c>
      <c r="N99" t="str">
        <f t="shared" si="7"/>
        <v>业绩差</v>
      </c>
    </row>
    <row r="100" spans="1:14" x14ac:dyDescent="0.15">
      <c r="A100" t="str">
        <f t="shared" si="4"/>
        <v>2017</v>
      </c>
      <c r="B100" t="str">
        <f t="shared" si="5"/>
        <v>9</v>
      </c>
      <c r="C100" s="9">
        <v>42998</v>
      </c>
      <c r="D100">
        <v>103183</v>
      </c>
      <c r="E100" t="s">
        <v>106</v>
      </c>
      <c r="F100" t="s">
        <v>38</v>
      </c>
      <c r="G100" t="s">
        <v>42</v>
      </c>
      <c r="H100" t="s">
        <v>22</v>
      </c>
      <c r="I100">
        <f t="shared" si="6"/>
        <v>271</v>
      </c>
      <c r="J100">
        <v>4</v>
      </c>
      <c r="K100">
        <v>67.75</v>
      </c>
      <c r="L100">
        <v>135</v>
      </c>
      <c r="M100">
        <v>136</v>
      </c>
      <c r="N100" t="str">
        <f t="shared" si="7"/>
        <v>业绩合格</v>
      </c>
    </row>
    <row r="101" spans="1:14" x14ac:dyDescent="0.15">
      <c r="A101" t="str">
        <f t="shared" si="4"/>
        <v>2017</v>
      </c>
      <c r="B101" t="str">
        <f t="shared" si="5"/>
        <v>10</v>
      </c>
      <c r="C101" s="9">
        <v>43014</v>
      </c>
      <c r="D101">
        <v>103376</v>
      </c>
      <c r="E101" t="s">
        <v>23</v>
      </c>
      <c r="F101" t="s">
        <v>38</v>
      </c>
      <c r="G101" t="s">
        <v>39</v>
      </c>
      <c r="H101" t="s">
        <v>22</v>
      </c>
      <c r="I101">
        <f t="shared" si="6"/>
        <v>843.21</v>
      </c>
      <c r="J101">
        <v>9</v>
      </c>
      <c r="K101">
        <v>93.69</v>
      </c>
      <c r="L101">
        <v>421</v>
      </c>
      <c r="M101">
        <v>422.21</v>
      </c>
      <c r="N101" t="str">
        <f t="shared" si="7"/>
        <v>业绩优</v>
      </c>
    </row>
    <row r="102" spans="1:14" x14ac:dyDescent="0.15">
      <c r="A102" t="str">
        <f t="shared" si="4"/>
        <v>2017</v>
      </c>
      <c r="B102" t="str">
        <f t="shared" si="5"/>
        <v>7</v>
      </c>
      <c r="C102" s="9">
        <v>42945</v>
      </c>
      <c r="D102">
        <v>103439</v>
      </c>
      <c r="E102" t="s">
        <v>100</v>
      </c>
      <c r="F102" t="s">
        <v>38</v>
      </c>
      <c r="G102" t="s">
        <v>46</v>
      </c>
      <c r="H102" t="s">
        <v>22</v>
      </c>
      <c r="I102">
        <f t="shared" si="6"/>
        <v>279.12</v>
      </c>
      <c r="J102">
        <v>4</v>
      </c>
      <c r="K102">
        <v>69.78</v>
      </c>
      <c r="L102">
        <v>139</v>
      </c>
      <c r="M102">
        <v>140.12</v>
      </c>
      <c r="N102" t="str">
        <f t="shared" si="7"/>
        <v>业绩合格</v>
      </c>
    </row>
    <row r="103" spans="1:14" x14ac:dyDescent="0.15">
      <c r="A103" t="str">
        <f t="shared" si="4"/>
        <v>2017</v>
      </c>
      <c r="B103" t="str">
        <f t="shared" si="5"/>
        <v>4</v>
      </c>
      <c r="C103" s="9">
        <v>42855</v>
      </c>
      <c r="D103">
        <v>103642</v>
      </c>
      <c r="E103" t="s">
        <v>104</v>
      </c>
      <c r="F103" t="s">
        <v>38</v>
      </c>
      <c r="G103" t="s">
        <v>42</v>
      </c>
      <c r="H103" t="s">
        <v>22</v>
      </c>
      <c r="I103">
        <f t="shared" si="6"/>
        <v>190.2</v>
      </c>
      <c r="J103">
        <v>3</v>
      </c>
      <c r="K103">
        <v>63.4</v>
      </c>
      <c r="L103">
        <v>95</v>
      </c>
      <c r="M103">
        <v>95.2</v>
      </c>
      <c r="N103" t="str">
        <f t="shared" si="7"/>
        <v>业绩差</v>
      </c>
    </row>
    <row r="104" spans="1:14" x14ac:dyDescent="0.15">
      <c r="A104" t="str">
        <f t="shared" si="4"/>
        <v>2017</v>
      </c>
      <c r="B104" t="str">
        <f t="shared" si="5"/>
        <v>2</v>
      </c>
      <c r="C104" s="9">
        <v>42786</v>
      </c>
      <c r="D104">
        <v>103644</v>
      </c>
      <c r="E104" t="s">
        <v>107</v>
      </c>
      <c r="F104" t="s">
        <v>38</v>
      </c>
      <c r="G104" t="s">
        <v>46</v>
      </c>
      <c r="H104" t="s">
        <v>108</v>
      </c>
      <c r="I104">
        <f t="shared" si="6"/>
        <v>315.18</v>
      </c>
      <c r="J104">
        <v>6</v>
      </c>
      <c r="K104">
        <v>52.53</v>
      </c>
      <c r="L104">
        <v>157</v>
      </c>
      <c r="M104">
        <v>158.18</v>
      </c>
      <c r="N104" t="str">
        <f t="shared" si="7"/>
        <v>业绩良好</v>
      </c>
    </row>
    <row r="105" spans="1:14" x14ac:dyDescent="0.15">
      <c r="A105" t="str">
        <f t="shared" si="4"/>
        <v>2017</v>
      </c>
      <c r="B105" t="str">
        <f t="shared" si="5"/>
        <v>10</v>
      </c>
      <c r="C105" s="9">
        <v>43015</v>
      </c>
      <c r="D105">
        <v>103713</v>
      </c>
      <c r="E105" t="s">
        <v>109</v>
      </c>
      <c r="F105" t="s">
        <v>38</v>
      </c>
      <c r="G105" t="s">
        <v>39</v>
      </c>
      <c r="H105" t="s">
        <v>108</v>
      </c>
      <c r="I105">
        <f t="shared" si="6"/>
        <v>321.48</v>
      </c>
      <c r="J105">
        <v>4</v>
      </c>
      <c r="K105">
        <v>80.37</v>
      </c>
      <c r="L105">
        <v>160</v>
      </c>
      <c r="M105">
        <v>161.47999999999999</v>
      </c>
      <c r="N105" t="str">
        <f t="shared" si="7"/>
        <v>业绩良好</v>
      </c>
    </row>
    <row r="106" spans="1:14" x14ac:dyDescent="0.15">
      <c r="A106" t="str">
        <f t="shared" si="4"/>
        <v>2016</v>
      </c>
      <c r="B106" t="str">
        <f t="shared" si="5"/>
        <v>1</v>
      </c>
      <c r="C106" s="9">
        <v>42388</v>
      </c>
      <c r="D106">
        <v>100088</v>
      </c>
      <c r="E106" t="s">
        <v>110</v>
      </c>
      <c r="F106" t="s">
        <v>38</v>
      </c>
      <c r="G106" t="s">
        <v>39</v>
      </c>
      <c r="H106" t="s">
        <v>111</v>
      </c>
      <c r="I106">
        <f t="shared" si="6"/>
        <v>74.92</v>
      </c>
      <c r="J106">
        <v>4</v>
      </c>
      <c r="K106">
        <v>18.73</v>
      </c>
      <c r="L106">
        <v>37</v>
      </c>
      <c r="M106">
        <v>37.92</v>
      </c>
      <c r="N106" t="str">
        <f t="shared" si="7"/>
        <v>业绩差</v>
      </c>
    </row>
    <row r="107" spans="1:14" x14ac:dyDescent="0.15">
      <c r="A107" t="str">
        <f t="shared" si="4"/>
        <v>2016</v>
      </c>
      <c r="B107" t="str">
        <f t="shared" si="5"/>
        <v>9</v>
      </c>
      <c r="C107" s="9">
        <v>42642</v>
      </c>
      <c r="D107">
        <v>100227</v>
      </c>
      <c r="E107" t="s">
        <v>110</v>
      </c>
      <c r="F107" t="s">
        <v>38</v>
      </c>
      <c r="G107" t="s">
        <v>42</v>
      </c>
      <c r="H107" t="s">
        <v>111</v>
      </c>
      <c r="I107">
        <f t="shared" si="6"/>
        <v>192.42000000000002</v>
      </c>
      <c r="J107">
        <v>6</v>
      </c>
      <c r="K107">
        <v>32.07</v>
      </c>
      <c r="L107">
        <v>96</v>
      </c>
      <c r="M107">
        <v>96.42</v>
      </c>
      <c r="N107" t="str">
        <f t="shared" si="7"/>
        <v>业绩差</v>
      </c>
    </row>
    <row r="108" spans="1:14" x14ac:dyDescent="0.15">
      <c r="A108" t="str">
        <f t="shared" si="4"/>
        <v>2016</v>
      </c>
      <c r="B108" t="str">
        <f t="shared" si="5"/>
        <v>4</v>
      </c>
      <c r="C108" s="9">
        <v>42490</v>
      </c>
      <c r="D108">
        <v>100580</v>
      </c>
      <c r="E108" t="s">
        <v>112</v>
      </c>
      <c r="F108" t="s">
        <v>38</v>
      </c>
      <c r="G108" t="s">
        <v>42</v>
      </c>
      <c r="H108" t="s">
        <v>111</v>
      </c>
      <c r="I108">
        <f t="shared" si="6"/>
        <v>480.06000000000006</v>
      </c>
      <c r="J108">
        <v>6</v>
      </c>
      <c r="K108">
        <v>80.010000000000005</v>
      </c>
      <c r="L108">
        <v>240</v>
      </c>
      <c r="M108">
        <v>240.06</v>
      </c>
      <c r="N108" t="str">
        <f t="shared" si="7"/>
        <v>业绩良好</v>
      </c>
    </row>
    <row r="109" spans="1:14" x14ac:dyDescent="0.15">
      <c r="A109" t="str">
        <f t="shared" si="4"/>
        <v>2017</v>
      </c>
      <c r="B109" t="str">
        <f t="shared" si="5"/>
        <v>3</v>
      </c>
      <c r="C109" s="9">
        <v>42795</v>
      </c>
      <c r="D109">
        <v>103515</v>
      </c>
      <c r="E109" t="s">
        <v>113</v>
      </c>
      <c r="F109" t="s">
        <v>38</v>
      </c>
      <c r="G109" t="s">
        <v>39</v>
      </c>
      <c r="H109" t="s">
        <v>111</v>
      </c>
      <c r="I109">
        <f t="shared" si="6"/>
        <v>181.9</v>
      </c>
      <c r="J109">
        <v>10</v>
      </c>
      <c r="K109">
        <v>18.190000000000001</v>
      </c>
      <c r="L109">
        <v>90</v>
      </c>
      <c r="M109">
        <v>91.9</v>
      </c>
      <c r="N109" t="str">
        <f t="shared" si="7"/>
        <v>业绩差</v>
      </c>
    </row>
    <row r="110" spans="1:14" x14ac:dyDescent="0.15">
      <c r="A110" t="str">
        <f t="shared" si="4"/>
        <v>2017</v>
      </c>
      <c r="B110" t="str">
        <f t="shared" si="5"/>
        <v>9</v>
      </c>
      <c r="C110" s="9">
        <v>42982</v>
      </c>
      <c r="D110">
        <v>103705</v>
      </c>
      <c r="E110" t="s">
        <v>114</v>
      </c>
      <c r="F110" t="s">
        <v>38</v>
      </c>
      <c r="G110" t="s">
        <v>46</v>
      </c>
      <c r="H110" t="s">
        <v>111</v>
      </c>
      <c r="I110">
        <f t="shared" si="6"/>
        <v>18.36</v>
      </c>
      <c r="J110">
        <v>9</v>
      </c>
      <c r="K110">
        <v>2.04</v>
      </c>
      <c r="L110">
        <v>9</v>
      </c>
      <c r="M110">
        <v>9.36</v>
      </c>
      <c r="N110" t="str">
        <f t="shared" si="7"/>
        <v>业绩差</v>
      </c>
    </row>
    <row r="111" spans="1:14" x14ac:dyDescent="0.15">
      <c r="A111" t="str">
        <f t="shared" si="4"/>
        <v>2017</v>
      </c>
      <c r="B111" t="str">
        <f t="shared" si="5"/>
        <v>9</v>
      </c>
      <c r="C111" s="9">
        <v>42995</v>
      </c>
      <c r="D111">
        <v>103723</v>
      </c>
      <c r="E111" t="s">
        <v>112</v>
      </c>
      <c r="F111" t="s">
        <v>38</v>
      </c>
      <c r="G111" t="s">
        <v>46</v>
      </c>
      <c r="H111" t="s">
        <v>111</v>
      </c>
      <c r="I111">
        <f t="shared" si="6"/>
        <v>173.07</v>
      </c>
      <c r="J111">
        <v>3</v>
      </c>
      <c r="K111">
        <v>57.69</v>
      </c>
      <c r="L111">
        <v>86</v>
      </c>
      <c r="M111">
        <v>87.07</v>
      </c>
      <c r="N111" t="str">
        <f t="shared" si="7"/>
        <v>业绩差</v>
      </c>
    </row>
    <row r="112" spans="1:14" x14ac:dyDescent="0.15">
      <c r="A112" t="str">
        <f t="shared" si="4"/>
        <v>2017</v>
      </c>
      <c r="B112" t="str">
        <f t="shared" si="5"/>
        <v>2</v>
      </c>
      <c r="C112" s="9">
        <v>42771</v>
      </c>
      <c r="D112">
        <v>103308</v>
      </c>
      <c r="E112" t="s">
        <v>115</v>
      </c>
      <c r="F112" t="s">
        <v>38</v>
      </c>
      <c r="G112" t="s">
        <v>42</v>
      </c>
      <c r="H112" t="s">
        <v>25</v>
      </c>
      <c r="I112">
        <f t="shared" si="6"/>
        <v>616.30000000000007</v>
      </c>
      <c r="J112">
        <v>10</v>
      </c>
      <c r="K112">
        <v>61.63</v>
      </c>
      <c r="L112">
        <v>308</v>
      </c>
      <c r="M112">
        <v>308.3</v>
      </c>
      <c r="N112" t="str">
        <f t="shared" si="7"/>
        <v>业绩优</v>
      </c>
    </row>
    <row r="113" spans="1:14" x14ac:dyDescent="0.15">
      <c r="A113" t="str">
        <f t="shared" si="4"/>
        <v>2017</v>
      </c>
      <c r="B113" t="str">
        <f t="shared" si="5"/>
        <v>9</v>
      </c>
      <c r="C113" s="9">
        <v>42995</v>
      </c>
      <c r="D113">
        <v>103418</v>
      </c>
      <c r="E113" t="s">
        <v>116</v>
      </c>
      <c r="F113" t="s">
        <v>38</v>
      </c>
      <c r="G113" t="s">
        <v>39</v>
      </c>
      <c r="H113" t="s">
        <v>25</v>
      </c>
      <c r="I113">
        <f t="shared" si="6"/>
        <v>639.73</v>
      </c>
      <c r="J113">
        <v>7</v>
      </c>
      <c r="K113">
        <v>91.39</v>
      </c>
      <c r="L113">
        <v>319</v>
      </c>
      <c r="M113">
        <v>320.73</v>
      </c>
      <c r="N113" t="str">
        <f t="shared" si="7"/>
        <v>业绩优</v>
      </c>
    </row>
    <row r="114" spans="1:14" x14ac:dyDescent="0.15">
      <c r="A114" t="str">
        <f t="shared" si="4"/>
        <v>2017</v>
      </c>
      <c r="B114" t="str">
        <f t="shared" si="5"/>
        <v>4</v>
      </c>
      <c r="C114" s="9">
        <v>42827</v>
      </c>
      <c r="D114">
        <v>103421</v>
      </c>
      <c r="E114" t="s">
        <v>116</v>
      </c>
      <c r="F114" t="s">
        <v>38</v>
      </c>
      <c r="G114" t="s">
        <v>42</v>
      </c>
      <c r="H114" t="s">
        <v>25</v>
      </c>
      <c r="I114">
        <f t="shared" si="6"/>
        <v>4.0999999999999996</v>
      </c>
      <c r="J114">
        <v>1</v>
      </c>
      <c r="K114">
        <v>4.0999999999999996</v>
      </c>
      <c r="L114">
        <v>2</v>
      </c>
      <c r="M114">
        <v>2.1</v>
      </c>
      <c r="N114" t="str">
        <f t="shared" si="7"/>
        <v>业绩差</v>
      </c>
    </row>
    <row r="115" spans="1:14" x14ac:dyDescent="0.15">
      <c r="A115" t="str">
        <f t="shared" si="4"/>
        <v>2016</v>
      </c>
      <c r="B115" t="str">
        <f t="shared" si="5"/>
        <v>12</v>
      </c>
      <c r="C115" s="9">
        <v>42712</v>
      </c>
      <c r="D115">
        <v>100062</v>
      </c>
      <c r="E115" t="s">
        <v>117</v>
      </c>
      <c r="F115" t="s">
        <v>38</v>
      </c>
      <c r="G115" t="s">
        <v>39</v>
      </c>
      <c r="H115" t="s">
        <v>118</v>
      </c>
      <c r="I115">
        <f t="shared" si="6"/>
        <v>278.37</v>
      </c>
      <c r="J115">
        <v>9</v>
      </c>
      <c r="K115">
        <v>30.93</v>
      </c>
      <c r="L115">
        <v>139</v>
      </c>
      <c r="M115">
        <v>139.37</v>
      </c>
      <c r="N115" t="str">
        <f t="shared" si="7"/>
        <v>业绩合格</v>
      </c>
    </row>
    <row r="116" spans="1:14" x14ac:dyDescent="0.15">
      <c r="A116" t="str">
        <f t="shared" si="4"/>
        <v>2016</v>
      </c>
      <c r="B116" t="str">
        <f t="shared" si="5"/>
        <v>5</v>
      </c>
      <c r="C116" s="9">
        <v>42500</v>
      </c>
      <c r="D116">
        <v>100150</v>
      </c>
      <c r="E116" t="s">
        <v>119</v>
      </c>
      <c r="F116" t="s">
        <v>38</v>
      </c>
      <c r="G116" t="s">
        <v>42</v>
      </c>
      <c r="H116" t="s">
        <v>118</v>
      </c>
      <c r="I116">
        <f t="shared" si="6"/>
        <v>509.81</v>
      </c>
      <c r="J116">
        <v>7</v>
      </c>
      <c r="K116">
        <v>72.83</v>
      </c>
      <c r="L116">
        <v>254</v>
      </c>
      <c r="M116">
        <v>255.81</v>
      </c>
      <c r="N116" t="str">
        <f t="shared" si="7"/>
        <v>业绩优</v>
      </c>
    </row>
    <row r="117" spans="1:14" x14ac:dyDescent="0.15">
      <c r="A117" t="str">
        <f t="shared" si="4"/>
        <v>2016</v>
      </c>
      <c r="B117" t="str">
        <f t="shared" si="5"/>
        <v>2</v>
      </c>
      <c r="C117" s="9">
        <v>42420</v>
      </c>
      <c r="D117">
        <v>100206</v>
      </c>
      <c r="E117" t="s">
        <v>120</v>
      </c>
      <c r="F117" t="s">
        <v>38</v>
      </c>
      <c r="G117" t="s">
        <v>39</v>
      </c>
      <c r="H117" t="s">
        <v>118</v>
      </c>
      <c r="I117">
        <f t="shared" si="6"/>
        <v>32.24</v>
      </c>
      <c r="J117">
        <v>4</v>
      </c>
      <c r="K117">
        <v>8.06</v>
      </c>
      <c r="L117">
        <v>16</v>
      </c>
      <c r="M117">
        <v>16.239999999999998</v>
      </c>
      <c r="N117" t="str">
        <f t="shared" si="7"/>
        <v>业绩差</v>
      </c>
    </row>
    <row r="118" spans="1:14" x14ac:dyDescent="0.15">
      <c r="A118" t="str">
        <f t="shared" si="4"/>
        <v>2016</v>
      </c>
      <c r="B118" t="str">
        <f t="shared" si="5"/>
        <v>6</v>
      </c>
      <c r="C118" s="9">
        <v>42546</v>
      </c>
      <c r="D118">
        <v>100433</v>
      </c>
      <c r="E118" t="s">
        <v>120</v>
      </c>
      <c r="F118" t="s">
        <v>38</v>
      </c>
      <c r="G118" t="s">
        <v>46</v>
      </c>
      <c r="H118" t="s">
        <v>118</v>
      </c>
      <c r="I118">
        <f t="shared" si="6"/>
        <v>499.32</v>
      </c>
      <c r="J118">
        <v>6</v>
      </c>
      <c r="K118">
        <v>83.22</v>
      </c>
      <c r="L118">
        <v>249</v>
      </c>
      <c r="M118">
        <v>250.32</v>
      </c>
      <c r="N118" t="str">
        <f t="shared" si="7"/>
        <v>业绩良好</v>
      </c>
    </row>
    <row r="119" spans="1:14" x14ac:dyDescent="0.15">
      <c r="A119" t="str">
        <f t="shared" si="4"/>
        <v>2016</v>
      </c>
      <c r="B119" t="str">
        <f t="shared" si="5"/>
        <v>9</v>
      </c>
      <c r="C119" s="9">
        <v>42614</v>
      </c>
      <c r="D119">
        <v>100530</v>
      </c>
      <c r="E119" t="s">
        <v>121</v>
      </c>
      <c r="F119" t="s">
        <v>38</v>
      </c>
      <c r="G119" t="s">
        <v>42</v>
      </c>
      <c r="H119" t="s">
        <v>118</v>
      </c>
      <c r="I119">
        <f t="shared" si="6"/>
        <v>44.96</v>
      </c>
      <c r="J119">
        <v>2</v>
      </c>
      <c r="K119">
        <v>22.48</v>
      </c>
      <c r="L119">
        <v>22</v>
      </c>
      <c r="M119">
        <v>22.96</v>
      </c>
      <c r="N119" t="str">
        <f t="shared" si="7"/>
        <v>业绩差</v>
      </c>
    </row>
    <row r="120" spans="1:14" x14ac:dyDescent="0.15">
      <c r="A120" t="str">
        <f t="shared" si="4"/>
        <v>2017</v>
      </c>
      <c r="B120" t="str">
        <f t="shared" si="5"/>
        <v>12</v>
      </c>
      <c r="C120" s="9">
        <v>43100</v>
      </c>
      <c r="D120">
        <v>102809</v>
      </c>
      <c r="E120" t="s">
        <v>122</v>
      </c>
      <c r="F120" t="s">
        <v>38</v>
      </c>
      <c r="G120" t="s">
        <v>42</v>
      </c>
      <c r="H120" t="s">
        <v>118</v>
      </c>
      <c r="I120">
        <f t="shared" si="6"/>
        <v>174.24</v>
      </c>
      <c r="J120">
        <v>9</v>
      </c>
      <c r="K120">
        <v>19.36</v>
      </c>
      <c r="L120">
        <v>87</v>
      </c>
      <c r="M120">
        <v>87.24</v>
      </c>
      <c r="N120" t="str">
        <f t="shared" si="7"/>
        <v>业绩差</v>
      </c>
    </row>
    <row r="121" spans="1:14" x14ac:dyDescent="0.15">
      <c r="A121" t="str">
        <f t="shared" si="4"/>
        <v>2017</v>
      </c>
      <c r="B121" t="str">
        <f t="shared" si="5"/>
        <v>7</v>
      </c>
      <c r="C121" s="9">
        <v>42934</v>
      </c>
      <c r="D121">
        <v>102816</v>
      </c>
      <c r="E121" t="s">
        <v>123</v>
      </c>
      <c r="F121" t="s">
        <v>38</v>
      </c>
      <c r="G121" t="s">
        <v>46</v>
      </c>
      <c r="H121" t="s">
        <v>118</v>
      </c>
      <c r="I121">
        <f t="shared" si="6"/>
        <v>234.06</v>
      </c>
      <c r="J121">
        <v>3</v>
      </c>
      <c r="K121">
        <v>78.02</v>
      </c>
      <c r="L121">
        <v>117</v>
      </c>
      <c r="M121">
        <v>117.06</v>
      </c>
      <c r="N121" t="str">
        <f t="shared" si="7"/>
        <v>业绩合格</v>
      </c>
    </row>
    <row r="122" spans="1:14" x14ac:dyDescent="0.15">
      <c r="A122" t="str">
        <f t="shared" si="4"/>
        <v>2017</v>
      </c>
      <c r="B122" t="str">
        <f t="shared" si="5"/>
        <v>3</v>
      </c>
      <c r="C122" s="9">
        <v>42804</v>
      </c>
      <c r="D122">
        <v>102824</v>
      </c>
      <c r="E122" t="s">
        <v>124</v>
      </c>
      <c r="F122" t="s">
        <v>38</v>
      </c>
      <c r="G122" t="s">
        <v>39</v>
      </c>
      <c r="H122" t="s">
        <v>118</v>
      </c>
      <c r="I122">
        <f t="shared" si="6"/>
        <v>429.85</v>
      </c>
      <c r="J122">
        <v>5</v>
      </c>
      <c r="K122">
        <v>85.97</v>
      </c>
      <c r="L122">
        <v>214</v>
      </c>
      <c r="M122">
        <v>215.85</v>
      </c>
      <c r="N122" t="str">
        <f t="shared" si="7"/>
        <v>业绩良好</v>
      </c>
    </row>
    <row r="123" spans="1:14" x14ac:dyDescent="0.15">
      <c r="A123" t="str">
        <f t="shared" si="4"/>
        <v>2017</v>
      </c>
      <c r="B123" t="str">
        <f t="shared" si="5"/>
        <v>3</v>
      </c>
      <c r="C123" s="9">
        <v>42809</v>
      </c>
      <c r="D123">
        <v>102941</v>
      </c>
      <c r="E123" t="s">
        <v>121</v>
      </c>
      <c r="F123" t="s">
        <v>38</v>
      </c>
      <c r="G123" t="s">
        <v>42</v>
      </c>
      <c r="H123" t="s">
        <v>118</v>
      </c>
      <c r="I123">
        <f t="shared" si="6"/>
        <v>348.48</v>
      </c>
      <c r="J123">
        <v>8</v>
      </c>
      <c r="K123">
        <v>43.56</v>
      </c>
      <c r="L123">
        <v>174</v>
      </c>
      <c r="M123">
        <v>174.48</v>
      </c>
      <c r="N123" t="str">
        <f t="shared" si="7"/>
        <v>业绩良好</v>
      </c>
    </row>
    <row r="124" spans="1:14" x14ac:dyDescent="0.15">
      <c r="A124" t="str">
        <f t="shared" si="4"/>
        <v>2017</v>
      </c>
      <c r="B124" t="str">
        <f t="shared" si="5"/>
        <v>9</v>
      </c>
      <c r="C124" s="9">
        <v>43006</v>
      </c>
      <c r="D124">
        <v>102994</v>
      </c>
      <c r="E124" t="s">
        <v>121</v>
      </c>
      <c r="F124" t="s">
        <v>38</v>
      </c>
      <c r="G124" t="s">
        <v>42</v>
      </c>
      <c r="H124" t="s">
        <v>118</v>
      </c>
      <c r="I124">
        <f t="shared" si="6"/>
        <v>905</v>
      </c>
      <c r="J124">
        <v>10</v>
      </c>
      <c r="K124">
        <v>90.5</v>
      </c>
      <c r="L124">
        <v>452</v>
      </c>
      <c r="M124">
        <v>453</v>
      </c>
      <c r="N124" t="str">
        <f t="shared" si="7"/>
        <v>业绩优</v>
      </c>
    </row>
    <row r="125" spans="1:14" x14ac:dyDescent="0.15">
      <c r="A125" t="str">
        <f t="shared" si="4"/>
        <v>2017</v>
      </c>
      <c r="B125" t="str">
        <f t="shared" si="5"/>
        <v>12</v>
      </c>
      <c r="C125" s="9">
        <v>43088</v>
      </c>
      <c r="D125">
        <v>103011</v>
      </c>
      <c r="E125" t="s">
        <v>125</v>
      </c>
      <c r="F125" t="s">
        <v>38</v>
      </c>
      <c r="G125" t="s">
        <v>42</v>
      </c>
      <c r="H125" t="s">
        <v>118</v>
      </c>
      <c r="I125">
        <f t="shared" si="6"/>
        <v>118.17</v>
      </c>
      <c r="J125">
        <v>3</v>
      </c>
      <c r="K125">
        <v>39.39</v>
      </c>
      <c r="L125">
        <v>59</v>
      </c>
      <c r="M125">
        <v>59.17</v>
      </c>
      <c r="N125" t="str">
        <f t="shared" si="7"/>
        <v>业绩差</v>
      </c>
    </row>
    <row r="126" spans="1:14" x14ac:dyDescent="0.15">
      <c r="A126" t="str">
        <f t="shared" si="4"/>
        <v>2017</v>
      </c>
      <c r="B126" t="str">
        <f t="shared" si="5"/>
        <v>7</v>
      </c>
      <c r="C126" s="9">
        <v>42930</v>
      </c>
      <c r="D126">
        <v>103023</v>
      </c>
      <c r="E126" t="s">
        <v>126</v>
      </c>
      <c r="F126" t="s">
        <v>38</v>
      </c>
      <c r="G126" t="s">
        <v>46</v>
      </c>
      <c r="H126" t="s">
        <v>118</v>
      </c>
      <c r="I126">
        <f t="shared" si="6"/>
        <v>213.12</v>
      </c>
      <c r="J126">
        <v>3</v>
      </c>
      <c r="K126">
        <v>71.040000000000006</v>
      </c>
      <c r="L126">
        <v>106</v>
      </c>
      <c r="M126">
        <v>107.12</v>
      </c>
      <c r="N126" t="str">
        <f t="shared" si="7"/>
        <v>业绩合格</v>
      </c>
    </row>
    <row r="127" spans="1:14" x14ac:dyDescent="0.15">
      <c r="A127" t="str">
        <f t="shared" si="4"/>
        <v>2017</v>
      </c>
      <c r="B127" t="str">
        <f t="shared" si="5"/>
        <v>1</v>
      </c>
      <c r="C127" s="9">
        <v>42741</v>
      </c>
      <c r="D127">
        <v>103045</v>
      </c>
      <c r="E127" t="s">
        <v>126</v>
      </c>
      <c r="F127" t="s">
        <v>38</v>
      </c>
      <c r="G127" t="s">
        <v>42</v>
      </c>
      <c r="H127" t="s">
        <v>118</v>
      </c>
      <c r="I127">
        <f t="shared" si="6"/>
        <v>439.39000000000004</v>
      </c>
      <c r="J127">
        <v>7</v>
      </c>
      <c r="K127">
        <v>62.77</v>
      </c>
      <c r="L127">
        <v>219</v>
      </c>
      <c r="M127">
        <v>220.39</v>
      </c>
      <c r="N127" t="str">
        <f t="shared" si="7"/>
        <v>业绩良好</v>
      </c>
    </row>
    <row r="128" spans="1:14" x14ac:dyDescent="0.15">
      <c r="A128" t="str">
        <f t="shared" si="4"/>
        <v>2017</v>
      </c>
      <c r="B128" t="str">
        <f t="shared" si="5"/>
        <v>3</v>
      </c>
      <c r="C128" s="9">
        <v>42799</v>
      </c>
      <c r="D128">
        <v>103079</v>
      </c>
      <c r="E128" t="s">
        <v>124</v>
      </c>
      <c r="F128" t="s">
        <v>38</v>
      </c>
      <c r="G128" t="s">
        <v>46</v>
      </c>
      <c r="H128" t="s">
        <v>118</v>
      </c>
      <c r="I128">
        <f t="shared" si="6"/>
        <v>576.70000000000005</v>
      </c>
      <c r="J128">
        <v>10</v>
      </c>
      <c r="K128">
        <v>57.67</v>
      </c>
      <c r="L128">
        <v>288</v>
      </c>
      <c r="M128">
        <v>288.7</v>
      </c>
      <c r="N128" t="str">
        <f t="shared" si="7"/>
        <v>业绩优</v>
      </c>
    </row>
    <row r="129" spans="3:3" x14ac:dyDescent="0.15">
      <c r="C129" s="9"/>
    </row>
    <row r="130" spans="3:3" x14ac:dyDescent="0.15">
      <c r="C130" s="9"/>
    </row>
    <row r="131" spans="3:3" x14ac:dyDescent="0.15">
      <c r="C131" s="9"/>
    </row>
    <row r="132" spans="3:3" x14ac:dyDescent="0.15">
      <c r="C132" s="9"/>
    </row>
    <row r="133" spans="3:3" x14ac:dyDescent="0.15">
      <c r="C133" s="9"/>
    </row>
    <row r="134" spans="3:3" x14ac:dyDescent="0.15">
      <c r="C134" s="9"/>
    </row>
    <row r="135" spans="3:3" x14ac:dyDescent="0.15">
      <c r="C135" s="9"/>
    </row>
    <row r="136" spans="3:3" x14ac:dyDescent="0.15">
      <c r="C136" s="9"/>
    </row>
    <row r="137" spans="3:3" x14ac:dyDescent="0.15">
      <c r="C137" s="9"/>
    </row>
    <row r="138" spans="3:3" x14ac:dyDescent="0.15">
      <c r="C138" s="9"/>
    </row>
    <row r="139" spans="3:3" x14ac:dyDescent="0.15">
      <c r="C139" s="9"/>
    </row>
    <row r="140" spans="3:3" x14ac:dyDescent="0.15">
      <c r="C140" s="9"/>
    </row>
    <row r="141" spans="3:3" x14ac:dyDescent="0.15">
      <c r="C141" s="9"/>
    </row>
    <row r="142" spans="3:3" x14ac:dyDescent="0.15">
      <c r="C142" s="9"/>
    </row>
    <row r="143" spans="3:3" x14ac:dyDescent="0.15">
      <c r="C143" s="9"/>
    </row>
    <row r="144" spans="3:3" x14ac:dyDescent="0.15">
      <c r="C144" s="9"/>
    </row>
    <row r="145" spans="3:3" x14ac:dyDescent="0.15">
      <c r="C145" s="9"/>
    </row>
    <row r="146" spans="3:3" x14ac:dyDescent="0.15">
      <c r="C146" s="9"/>
    </row>
    <row r="147" spans="3:3" x14ac:dyDescent="0.15">
      <c r="C147" s="9"/>
    </row>
    <row r="148" spans="3:3" x14ac:dyDescent="0.15">
      <c r="C148" s="9"/>
    </row>
    <row r="149" spans="3:3" x14ac:dyDescent="0.15">
      <c r="C149" s="9"/>
    </row>
    <row r="150" spans="3:3" x14ac:dyDescent="0.15">
      <c r="C150" s="9"/>
    </row>
    <row r="151" spans="3:3" x14ac:dyDescent="0.15">
      <c r="C151" s="9"/>
    </row>
    <row r="152" spans="3:3" x14ac:dyDescent="0.15">
      <c r="C152" s="9"/>
    </row>
    <row r="153" spans="3:3" x14ac:dyDescent="0.15">
      <c r="C153" s="9"/>
    </row>
    <row r="154" spans="3:3" x14ac:dyDescent="0.15">
      <c r="C154" s="9"/>
    </row>
    <row r="155" spans="3:3" x14ac:dyDescent="0.15">
      <c r="C155" s="9"/>
    </row>
    <row r="156" spans="3:3" x14ac:dyDescent="0.15">
      <c r="C156" s="9"/>
    </row>
    <row r="157" spans="3:3" x14ac:dyDescent="0.15">
      <c r="C157" s="9"/>
    </row>
    <row r="158" spans="3:3" x14ac:dyDescent="0.15">
      <c r="C158" s="9"/>
    </row>
    <row r="159" spans="3:3" x14ac:dyDescent="0.15">
      <c r="C159" s="9"/>
    </row>
    <row r="160" spans="3:3" x14ac:dyDescent="0.15">
      <c r="C160" s="9"/>
    </row>
    <row r="161" spans="3:3" x14ac:dyDescent="0.15">
      <c r="C161" s="9"/>
    </row>
    <row r="162" spans="3:3" x14ac:dyDescent="0.15">
      <c r="C162" s="9"/>
    </row>
    <row r="163" spans="3:3" x14ac:dyDescent="0.15">
      <c r="C163" s="9"/>
    </row>
    <row r="164" spans="3:3" x14ac:dyDescent="0.15">
      <c r="C164" s="9"/>
    </row>
    <row r="165" spans="3:3" x14ac:dyDescent="0.15">
      <c r="C165" s="9"/>
    </row>
    <row r="166" spans="3:3" x14ac:dyDescent="0.15">
      <c r="C166" s="9"/>
    </row>
    <row r="167" spans="3:3" x14ac:dyDescent="0.15">
      <c r="C167" s="9"/>
    </row>
    <row r="168" spans="3:3" x14ac:dyDescent="0.15">
      <c r="C168" s="9"/>
    </row>
    <row r="169" spans="3:3" x14ac:dyDescent="0.15">
      <c r="C169" s="9"/>
    </row>
    <row r="170" spans="3:3" x14ac:dyDescent="0.15">
      <c r="C170" s="9"/>
    </row>
    <row r="171" spans="3:3" x14ac:dyDescent="0.15">
      <c r="C171" s="9"/>
    </row>
    <row r="172" spans="3:3" x14ac:dyDescent="0.15">
      <c r="C172" s="9"/>
    </row>
    <row r="173" spans="3:3" x14ac:dyDescent="0.15">
      <c r="C173" s="9"/>
    </row>
    <row r="174" spans="3:3" x14ac:dyDescent="0.15">
      <c r="C174" s="9"/>
    </row>
    <row r="175" spans="3:3" x14ac:dyDescent="0.15">
      <c r="C175" s="9"/>
    </row>
    <row r="176" spans="3:3" x14ac:dyDescent="0.15">
      <c r="C176" s="9"/>
    </row>
    <row r="177" spans="3:3" x14ac:dyDescent="0.15">
      <c r="C177" s="9"/>
    </row>
    <row r="178" spans="3:3" x14ac:dyDescent="0.15">
      <c r="C178" s="9"/>
    </row>
    <row r="179" spans="3:3" x14ac:dyDescent="0.15">
      <c r="C179" s="9"/>
    </row>
    <row r="180" spans="3:3" x14ac:dyDescent="0.15">
      <c r="C180" s="9"/>
    </row>
    <row r="181" spans="3:3" x14ac:dyDescent="0.15">
      <c r="C181" s="9"/>
    </row>
    <row r="182" spans="3:3" x14ac:dyDescent="0.15">
      <c r="C182" s="9"/>
    </row>
    <row r="183" spans="3:3" x14ac:dyDescent="0.15">
      <c r="C183" s="9"/>
    </row>
    <row r="184" spans="3:3" x14ac:dyDescent="0.15">
      <c r="C184" s="9"/>
    </row>
    <row r="185" spans="3:3" x14ac:dyDescent="0.15">
      <c r="C185" s="9"/>
    </row>
    <row r="186" spans="3:3" x14ac:dyDescent="0.15">
      <c r="C186" s="9"/>
    </row>
    <row r="187" spans="3:3" x14ac:dyDescent="0.15">
      <c r="C187" s="9"/>
    </row>
    <row r="188" spans="3:3" x14ac:dyDescent="0.15">
      <c r="C188" s="9"/>
    </row>
    <row r="189" spans="3:3" x14ac:dyDescent="0.15">
      <c r="C189" s="9"/>
    </row>
    <row r="190" spans="3:3" x14ac:dyDescent="0.15">
      <c r="C190" s="9"/>
    </row>
    <row r="191" spans="3:3" x14ac:dyDescent="0.15">
      <c r="C191" s="9"/>
    </row>
    <row r="192" spans="3:3" x14ac:dyDescent="0.15">
      <c r="C192" s="9"/>
    </row>
    <row r="193" spans="3:3" x14ac:dyDescent="0.15">
      <c r="C193" s="9"/>
    </row>
    <row r="194" spans="3:3" x14ac:dyDescent="0.15">
      <c r="C194" s="9"/>
    </row>
    <row r="195" spans="3:3" x14ac:dyDescent="0.15">
      <c r="C195" s="9"/>
    </row>
    <row r="196" spans="3:3" x14ac:dyDescent="0.15">
      <c r="C196" s="9"/>
    </row>
    <row r="197" spans="3:3" x14ac:dyDescent="0.15">
      <c r="C197" s="9"/>
    </row>
    <row r="198" spans="3:3" x14ac:dyDescent="0.15">
      <c r="C198" s="9"/>
    </row>
    <row r="199" spans="3:3" x14ac:dyDescent="0.15">
      <c r="C199" s="9"/>
    </row>
    <row r="200" spans="3:3" x14ac:dyDescent="0.15">
      <c r="C200" s="9"/>
    </row>
    <row r="201" spans="3:3" x14ac:dyDescent="0.15">
      <c r="C201" s="9"/>
    </row>
    <row r="202" spans="3:3" x14ac:dyDescent="0.15">
      <c r="C202" s="9"/>
    </row>
    <row r="203" spans="3:3" x14ac:dyDescent="0.15">
      <c r="C203" s="9"/>
    </row>
    <row r="204" spans="3:3" x14ac:dyDescent="0.15">
      <c r="C204" s="9"/>
    </row>
    <row r="205" spans="3:3" x14ac:dyDescent="0.15">
      <c r="C205" s="9"/>
    </row>
    <row r="206" spans="3:3" x14ac:dyDescent="0.15">
      <c r="C206" s="9"/>
    </row>
    <row r="207" spans="3:3" x14ac:dyDescent="0.15">
      <c r="C207" s="9"/>
    </row>
    <row r="208" spans="3:3" x14ac:dyDescent="0.15">
      <c r="C208" s="9"/>
    </row>
    <row r="209" spans="3:3" x14ac:dyDescent="0.15">
      <c r="C209" s="9"/>
    </row>
    <row r="210" spans="3:3" x14ac:dyDescent="0.15">
      <c r="C210" s="9"/>
    </row>
    <row r="211" spans="3:3" x14ac:dyDescent="0.15">
      <c r="C211" s="9"/>
    </row>
    <row r="212" spans="3:3" x14ac:dyDescent="0.15">
      <c r="C212" s="9"/>
    </row>
    <row r="213" spans="3:3" x14ac:dyDescent="0.15">
      <c r="C213" s="9"/>
    </row>
    <row r="214" spans="3:3" x14ac:dyDescent="0.15">
      <c r="C214" s="9"/>
    </row>
    <row r="215" spans="3:3" x14ac:dyDescent="0.15">
      <c r="C215" s="9"/>
    </row>
    <row r="216" spans="3:3" x14ac:dyDescent="0.15">
      <c r="C216" s="9"/>
    </row>
    <row r="217" spans="3:3" x14ac:dyDescent="0.15">
      <c r="C217" s="9"/>
    </row>
    <row r="218" spans="3:3" x14ac:dyDescent="0.15">
      <c r="C218" s="9"/>
    </row>
    <row r="219" spans="3:3" x14ac:dyDescent="0.15">
      <c r="C219" s="9"/>
    </row>
    <row r="220" spans="3:3" x14ac:dyDescent="0.15">
      <c r="C220" s="9"/>
    </row>
    <row r="221" spans="3:3" x14ac:dyDescent="0.15">
      <c r="C221" s="9"/>
    </row>
    <row r="222" spans="3:3" x14ac:dyDescent="0.15">
      <c r="C222" s="9"/>
    </row>
    <row r="223" spans="3:3" x14ac:dyDescent="0.15">
      <c r="C223" s="9"/>
    </row>
    <row r="224" spans="3:3" x14ac:dyDescent="0.15">
      <c r="C224" s="9"/>
    </row>
    <row r="225" spans="3:3" x14ac:dyDescent="0.15">
      <c r="C225" s="9"/>
    </row>
    <row r="226" spans="3:3" x14ac:dyDescent="0.15">
      <c r="C226" s="9"/>
    </row>
    <row r="227" spans="3:3" x14ac:dyDescent="0.15">
      <c r="C227" s="9"/>
    </row>
    <row r="228" spans="3:3" x14ac:dyDescent="0.15">
      <c r="C228" s="9"/>
    </row>
    <row r="229" spans="3:3" x14ac:dyDescent="0.15">
      <c r="C229" s="9"/>
    </row>
    <row r="230" spans="3:3" x14ac:dyDescent="0.15">
      <c r="C230" s="9"/>
    </row>
    <row r="231" spans="3:3" x14ac:dyDescent="0.15">
      <c r="C231" s="9"/>
    </row>
    <row r="232" spans="3:3" x14ac:dyDescent="0.15">
      <c r="C232" s="9"/>
    </row>
    <row r="233" spans="3:3" x14ac:dyDescent="0.15">
      <c r="C233" s="9"/>
    </row>
    <row r="234" spans="3:3" x14ac:dyDescent="0.15">
      <c r="C234" s="9"/>
    </row>
    <row r="235" spans="3:3" x14ac:dyDescent="0.15">
      <c r="C235" s="9"/>
    </row>
    <row r="236" spans="3:3" x14ac:dyDescent="0.15">
      <c r="C236" s="9"/>
    </row>
    <row r="237" spans="3:3" x14ac:dyDescent="0.15">
      <c r="C237" s="9"/>
    </row>
    <row r="238" spans="3:3" x14ac:dyDescent="0.15">
      <c r="C238" s="9"/>
    </row>
    <row r="239" spans="3:3" x14ac:dyDescent="0.15">
      <c r="C239" s="9"/>
    </row>
    <row r="240" spans="3:3" x14ac:dyDescent="0.15">
      <c r="C240" s="9"/>
    </row>
    <row r="241" spans="3:3" x14ac:dyDescent="0.15">
      <c r="C241" s="9"/>
    </row>
    <row r="242" spans="3:3" x14ac:dyDescent="0.15">
      <c r="C242" s="9"/>
    </row>
    <row r="243" spans="3:3" x14ac:dyDescent="0.15">
      <c r="C243" s="9"/>
    </row>
    <row r="244" spans="3:3" x14ac:dyDescent="0.15">
      <c r="C244" s="9"/>
    </row>
    <row r="245" spans="3:3" x14ac:dyDescent="0.15">
      <c r="C245" s="9"/>
    </row>
    <row r="246" spans="3:3" x14ac:dyDescent="0.15">
      <c r="C246" s="9"/>
    </row>
    <row r="247" spans="3:3" x14ac:dyDescent="0.15">
      <c r="C247" s="9"/>
    </row>
    <row r="248" spans="3:3" x14ac:dyDescent="0.15">
      <c r="C248" s="9"/>
    </row>
    <row r="249" spans="3:3" x14ac:dyDescent="0.15">
      <c r="C249" s="9"/>
    </row>
    <row r="250" spans="3:3" x14ac:dyDescent="0.15">
      <c r="C250" s="9"/>
    </row>
    <row r="251" spans="3:3" x14ac:dyDescent="0.15">
      <c r="C251" s="9"/>
    </row>
    <row r="252" spans="3:3" x14ac:dyDescent="0.15">
      <c r="C252" s="9"/>
    </row>
    <row r="253" spans="3:3" x14ac:dyDescent="0.15">
      <c r="C253" s="9"/>
    </row>
    <row r="254" spans="3:3" x14ac:dyDescent="0.15">
      <c r="C254" s="9"/>
    </row>
    <row r="255" spans="3:3" x14ac:dyDescent="0.15">
      <c r="C255" s="9"/>
    </row>
    <row r="256" spans="3:3" x14ac:dyDescent="0.15">
      <c r="C256" s="9"/>
    </row>
    <row r="257" spans="3:3" x14ac:dyDescent="0.15">
      <c r="C257" s="9"/>
    </row>
    <row r="258" spans="3:3" x14ac:dyDescent="0.15">
      <c r="C258" s="9"/>
    </row>
    <row r="259" spans="3:3" x14ac:dyDescent="0.15">
      <c r="C259" s="9"/>
    </row>
    <row r="260" spans="3:3" x14ac:dyDescent="0.15">
      <c r="C260" s="9"/>
    </row>
    <row r="261" spans="3:3" x14ac:dyDescent="0.15">
      <c r="C261" s="9"/>
    </row>
    <row r="262" spans="3:3" x14ac:dyDescent="0.15">
      <c r="C262" s="9"/>
    </row>
    <row r="263" spans="3:3" x14ac:dyDescent="0.15">
      <c r="C263" s="9"/>
    </row>
    <row r="264" spans="3:3" x14ac:dyDescent="0.15">
      <c r="C264" s="9"/>
    </row>
    <row r="265" spans="3:3" x14ac:dyDescent="0.15">
      <c r="C265" s="9"/>
    </row>
    <row r="266" spans="3:3" x14ac:dyDescent="0.15">
      <c r="C266" s="9"/>
    </row>
    <row r="267" spans="3:3" x14ac:dyDescent="0.15">
      <c r="C267" s="9"/>
    </row>
    <row r="268" spans="3:3" x14ac:dyDescent="0.15">
      <c r="C268" s="9"/>
    </row>
    <row r="269" spans="3:3" x14ac:dyDescent="0.15">
      <c r="C269" s="9"/>
    </row>
    <row r="270" spans="3:3" x14ac:dyDescent="0.15">
      <c r="C270" s="9"/>
    </row>
    <row r="271" spans="3:3" x14ac:dyDescent="0.15">
      <c r="C271" s="9"/>
    </row>
    <row r="272" spans="3:3" x14ac:dyDescent="0.15">
      <c r="C272" s="9"/>
    </row>
    <row r="273" spans="3:3" x14ac:dyDescent="0.15">
      <c r="C273" s="9"/>
    </row>
    <row r="274" spans="3:3" x14ac:dyDescent="0.15">
      <c r="C274" s="9"/>
    </row>
    <row r="275" spans="3:3" x14ac:dyDescent="0.15">
      <c r="C275" s="9"/>
    </row>
    <row r="276" spans="3:3" x14ac:dyDescent="0.15">
      <c r="C276" s="9"/>
    </row>
    <row r="277" spans="3:3" x14ac:dyDescent="0.15">
      <c r="C277" s="9"/>
    </row>
    <row r="278" spans="3:3" x14ac:dyDescent="0.15">
      <c r="C278" s="9"/>
    </row>
    <row r="279" spans="3:3" x14ac:dyDescent="0.15">
      <c r="C279" s="9"/>
    </row>
    <row r="280" spans="3:3" x14ac:dyDescent="0.15">
      <c r="C280" s="9"/>
    </row>
    <row r="281" spans="3:3" x14ac:dyDescent="0.15">
      <c r="C281" s="9"/>
    </row>
    <row r="282" spans="3:3" x14ac:dyDescent="0.15">
      <c r="C282" s="9"/>
    </row>
    <row r="283" spans="3:3" x14ac:dyDescent="0.15">
      <c r="C283" s="9"/>
    </row>
    <row r="284" spans="3:3" x14ac:dyDescent="0.15">
      <c r="C284" s="9"/>
    </row>
    <row r="285" spans="3:3" x14ac:dyDescent="0.15">
      <c r="C285" s="9"/>
    </row>
    <row r="286" spans="3:3" x14ac:dyDescent="0.15">
      <c r="C286" s="9"/>
    </row>
    <row r="287" spans="3:3" x14ac:dyDescent="0.15">
      <c r="C287" s="9"/>
    </row>
    <row r="288" spans="3:3" x14ac:dyDescent="0.15">
      <c r="C288" s="9"/>
    </row>
    <row r="289" spans="3:3" x14ac:dyDescent="0.15">
      <c r="C289" s="9"/>
    </row>
    <row r="290" spans="3:3" x14ac:dyDescent="0.15">
      <c r="C290" s="9"/>
    </row>
    <row r="291" spans="3:3" x14ac:dyDescent="0.15">
      <c r="C291" s="9"/>
    </row>
    <row r="292" spans="3:3" x14ac:dyDescent="0.15">
      <c r="C292" s="9"/>
    </row>
    <row r="293" spans="3:3" x14ac:dyDescent="0.15">
      <c r="C293" s="9"/>
    </row>
    <row r="294" spans="3:3" x14ac:dyDescent="0.15">
      <c r="C294" s="9"/>
    </row>
    <row r="295" spans="3:3" x14ac:dyDescent="0.15">
      <c r="C295" s="9"/>
    </row>
    <row r="296" spans="3:3" x14ac:dyDescent="0.15">
      <c r="C296" s="9"/>
    </row>
    <row r="297" spans="3:3" x14ac:dyDescent="0.15">
      <c r="C297" s="9"/>
    </row>
    <row r="298" spans="3:3" x14ac:dyDescent="0.15">
      <c r="C298" s="9"/>
    </row>
    <row r="299" spans="3:3" x14ac:dyDescent="0.15">
      <c r="C299" s="9"/>
    </row>
    <row r="300" spans="3:3" x14ac:dyDescent="0.15">
      <c r="C300" s="9"/>
    </row>
    <row r="301" spans="3:3" x14ac:dyDescent="0.15">
      <c r="C301" s="9"/>
    </row>
    <row r="302" spans="3:3" x14ac:dyDescent="0.15">
      <c r="C302" s="9"/>
    </row>
    <row r="303" spans="3:3" x14ac:dyDescent="0.15">
      <c r="C303" s="9"/>
    </row>
    <row r="304" spans="3:3" x14ac:dyDescent="0.15">
      <c r="C304" s="9"/>
    </row>
    <row r="305" spans="3:3" x14ac:dyDescent="0.15">
      <c r="C305" s="9"/>
    </row>
    <row r="306" spans="3:3" x14ac:dyDescent="0.15">
      <c r="C306" s="9"/>
    </row>
    <row r="307" spans="3:3" x14ac:dyDescent="0.15">
      <c r="C307" s="9"/>
    </row>
    <row r="308" spans="3:3" x14ac:dyDescent="0.15">
      <c r="C308" s="9"/>
    </row>
    <row r="309" spans="3:3" x14ac:dyDescent="0.15">
      <c r="C309" s="9"/>
    </row>
    <row r="310" spans="3:3" x14ac:dyDescent="0.15">
      <c r="C310" s="9"/>
    </row>
    <row r="311" spans="3:3" x14ac:dyDescent="0.15">
      <c r="C311" s="9"/>
    </row>
    <row r="312" spans="3:3" x14ac:dyDescent="0.15">
      <c r="C312" s="9"/>
    </row>
    <row r="313" spans="3:3" x14ac:dyDescent="0.15">
      <c r="C313" s="9"/>
    </row>
    <row r="314" spans="3:3" x14ac:dyDescent="0.15">
      <c r="C314" s="9"/>
    </row>
    <row r="315" spans="3:3" x14ac:dyDescent="0.15">
      <c r="C315" s="9"/>
    </row>
    <row r="316" spans="3:3" x14ac:dyDescent="0.15">
      <c r="C316" s="9"/>
    </row>
    <row r="317" spans="3:3" x14ac:dyDescent="0.15">
      <c r="C317" s="9"/>
    </row>
    <row r="318" spans="3:3" x14ac:dyDescent="0.15">
      <c r="C318" s="9"/>
    </row>
    <row r="319" spans="3:3" x14ac:dyDescent="0.15">
      <c r="C319" s="9"/>
    </row>
    <row r="320" spans="3:3" x14ac:dyDescent="0.15">
      <c r="C320" s="9"/>
    </row>
    <row r="321" spans="3:3" x14ac:dyDescent="0.15">
      <c r="C321" s="9"/>
    </row>
    <row r="322" spans="3:3" x14ac:dyDescent="0.15">
      <c r="C322" s="9"/>
    </row>
    <row r="323" spans="3:3" x14ac:dyDescent="0.15">
      <c r="C323" s="9"/>
    </row>
    <row r="324" spans="3:3" x14ac:dyDescent="0.15">
      <c r="C324" s="9"/>
    </row>
    <row r="325" spans="3:3" x14ac:dyDescent="0.15">
      <c r="C325" s="9"/>
    </row>
    <row r="326" spans="3:3" x14ac:dyDescent="0.15">
      <c r="C326" s="9"/>
    </row>
    <row r="327" spans="3:3" x14ac:dyDescent="0.15">
      <c r="C327" s="9"/>
    </row>
    <row r="328" spans="3:3" x14ac:dyDescent="0.15">
      <c r="C328" s="9"/>
    </row>
    <row r="329" spans="3:3" x14ac:dyDescent="0.15">
      <c r="C329" s="9"/>
    </row>
    <row r="330" spans="3:3" x14ac:dyDescent="0.15">
      <c r="C330" s="9"/>
    </row>
    <row r="331" spans="3:3" x14ac:dyDescent="0.15">
      <c r="C331" s="9"/>
    </row>
    <row r="332" spans="3:3" x14ac:dyDescent="0.15">
      <c r="C332" s="9"/>
    </row>
    <row r="333" spans="3:3" x14ac:dyDescent="0.15">
      <c r="C333" s="9"/>
    </row>
    <row r="334" spans="3:3" x14ac:dyDescent="0.15">
      <c r="C334" s="9"/>
    </row>
    <row r="335" spans="3:3" x14ac:dyDescent="0.15">
      <c r="C335" s="9"/>
    </row>
    <row r="336" spans="3:3" x14ac:dyDescent="0.15">
      <c r="C336" s="9"/>
    </row>
    <row r="337" spans="3:3" x14ac:dyDescent="0.15">
      <c r="C337" s="9"/>
    </row>
    <row r="338" spans="3:3" x14ac:dyDescent="0.15">
      <c r="C338" s="9"/>
    </row>
    <row r="339" spans="3:3" x14ac:dyDescent="0.15">
      <c r="C339" s="9"/>
    </row>
    <row r="340" spans="3:3" x14ac:dyDescent="0.15">
      <c r="C340" s="9"/>
    </row>
    <row r="341" spans="3:3" x14ac:dyDescent="0.15">
      <c r="C341" s="9"/>
    </row>
    <row r="342" spans="3:3" x14ac:dyDescent="0.15">
      <c r="C342" s="9"/>
    </row>
    <row r="343" spans="3:3" x14ac:dyDescent="0.15">
      <c r="C343" s="9"/>
    </row>
    <row r="344" spans="3:3" x14ac:dyDescent="0.15">
      <c r="C344" s="9"/>
    </row>
    <row r="345" spans="3:3" x14ac:dyDescent="0.15">
      <c r="C345" s="9"/>
    </row>
    <row r="346" spans="3:3" x14ac:dyDescent="0.15">
      <c r="C346" s="9"/>
    </row>
    <row r="347" spans="3:3" x14ac:dyDescent="0.15">
      <c r="C347" s="9"/>
    </row>
    <row r="348" spans="3:3" x14ac:dyDescent="0.15">
      <c r="C348" s="9"/>
    </row>
    <row r="349" spans="3:3" x14ac:dyDescent="0.15">
      <c r="C349" s="9"/>
    </row>
    <row r="350" spans="3:3" x14ac:dyDescent="0.15">
      <c r="C350" s="9"/>
    </row>
    <row r="351" spans="3:3" x14ac:dyDescent="0.15">
      <c r="C351" s="9"/>
    </row>
    <row r="352" spans="3:3" x14ac:dyDescent="0.15">
      <c r="C352" s="9"/>
    </row>
    <row r="353" spans="3:3" x14ac:dyDescent="0.15">
      <c r="C353" s="9"/>
    </row>
    <row r="354" spans="3:3" x14ac:dyDescent="0.15">
      <c r="C354" s="9"/>
    </row>
    <row r="355" spans="3:3" x14ac:dyDescent="0.15">
      <c r="C355" s="9"/>
    </row>
    <row r="356" spans="3:3" x14ac:dyDescent="0.15">
      <c r="C356" s="9"/>
    </row>
    <row r="357" spans="3:3" x14ac:dyDescent="0.15">
      <c r="C357" s="9"/>
    </row>
    <row r="358" spans="3:3" x14ac:dyDescent="0.15">
      <c r="C358" s="9"/>
    </row>
  </sheetData>
  <sortState ref="C2:M1739">
    <sortCondition ref="F2:F1739"/>
    <sortCondition descending="1" ref="H2:H1739"/>
  </sortState>
  <phoneticPr fontId="4" type="noConversion"/>
  <conditionalFormatting sqref="N2:N128">
    <cfRule type="cellIs" dxfId="0" priority="1" operator="equal">
      <formula>"业绩差"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topLeftCell="A10" workbookViewId="0">
      <selection activeCell="H25" sqref="H25"/>
    </sheetView>
  </sheetViews>
  <sheetFormatPr defaultColWidth="9" defaultRowHeight="13.5" x14ac:dyDescent="0.15"/>
  <cols>
    <col min="2" max="2" width="10.75" customWidth="1"/>
    <col min="3" max="3" width="17.5" bestFit="1" customWidth="1"/>
  </cols>
  <sheetData>
    <row r="2" spans="2:3" ht="22.5" x14ac:dyDescent="0.15">
      <c r="B2" s="7" t="s">
        <v>127</v>
      </c>
      <c r="C2" s="7" t="s">
        <v>128</v>
      </c>
    </row>
    <row r="3" spans="2:3" ht="22.5" x14ac:dyDescent="0.15">
      <c r="B3" s="8" t="s">
        <v>129</v>
      </c>
      <c r="C3" s="11">
        <f>SUMIF(每日门店销售!A2:A128,"2016",每日门店销售!I2:I128)</f>
        <v>6307.46</v>
      </c>
    </row>
    <row r="4" spans="2:3" ht="22.5" x14ac:dyDescent="0.15">
      <c r="B4" s="8" t="s">
        <v>130</v>
      </c>
      <c r="C4" s="11">
        <f>SUMIF(每日门店销售!A2:A128,"2017",每日门店销售!I2:I128)</f>
        <v>25779.909999999993</v>
      </c>
    </row>
  </sheetData>
  <phoneticPr fontId="4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8"/>
  <sheetViews>
    <sheetView tabSelected="1" workbookViewId="0">
      <selection activeCell="D4" sqref="D4"/>
    </sheetView>
  </sheetViews>
  <sheetFormatPr defaultColWidth="9" defaultRowHeight="13.5" x14ac:dyDescent="0.15"/>
  <cols>
    <col min="9" max="9" width="10.25" customWidth="1"/>
  </cols>
  <sheetData>
    <row r="1" spans="1:10" x14ac:dyDescent="0.15">
      <c r="A1" s="1" t="s">
        <v>0</v>
      </c>
      <c r="B1" s="1" t="s">
        <v>131</v>
      </c>
      <c r="C1" s="1" t="s">
        <v>132</v>
      </c>
      <c r="D1" s="2" t="s">
        <v>133</v>
      </c>
      <c r="E1" s="1" t="s">
        <v>134</v>
      </c>
      <c r="F1" s="2" t="s">
        <v>135</v>
      </c>
      <c r="G1" s="2" t="s">
        <v>136</v>
      </c>
      <c r="H1" s="1" t="s">
        <v>7</v>
      </c>
      <c r="I1" s="2" t="s">
        <v>137</v>
      </c>
      <c r="J1" s="1" t="s">
        <v>138</v>
      </c>
    </row>
    <row r="2" spans="1:10" hidden="1" x14ac:dyDescent="0.15">
      <c r="A2" s="3">
        <v>38842</v>
      </c>
      <c r="B2" s="4" t="s">
        <v>145</v>
      </c>
      <c r="C2" s="4" t="s">
        <v>151</v>
      </c>
      <c r="D2" s="5">
        <v>2988</v>
      </c>
      <c r="E2" s="4" t="s">
        <v>152</v>
      </c>
      <c r="F2" s="5">
        <v>2988</v>
      </c>
      <c r="G2" s="6">
        <f>(D2-F2)/D2</f>
        <v>0</v>
      </c>
      <c r="H2" s="4">
        <v>0</v>
      </c>
      <c r="I2" s="5">
        <f>F2*H2</f>
        <v>0</v>
      </c>
      <c r="J2" s="4" t="s">
        <v>156</v>
      </c>
    </row>
    <row r="3" spans="1:10" hidden="1" x14ac:dyDescent="0.15">
      <c r="A3" s="3">
        <v>38844</v>
      </c>
      <c r="B3" s="4" t="s">
        <v>145</v>
      </c>
      <c r="C3" s="4" t="s">
        <v>151</v>
      </c>
      <c r="D3" s="5">
        <v>2988</v>
      </c>
      <c r="E3" s="4" t="s">
        <v>152</v>
      </c>
      <c r="F3" s="5">
        <v>2988</v>
      </c>
      <c r="G3" s="6">
        <f>(D3-F3)/D3</f>
        <v>0</v>
      </c>
      <c r="H3" s="4">
        <v>0</v>
      </c>
      <c r="I3" s="5">
        <f>F3*H3</f>
        <v>0</v>
      </c>
      <c r="J3" s="4" t="s">
        <v>156</v>
      </c>
    </row>
    <row r="4" spans="1:10" hidden="1" x14ac:dyDescent="0.15">
      <c r="A4" s="3">
        <v>38844</v>
      </c>
      <c r="B4" s="4" t="s">
        <v>145</v>
      </c>
      <c r="C4" s="4" t="s">
        <v>157</v>
      </c>
      <c r="D4" s="5">
        <v>3688</v>
      </c>
      <c r="E4" s="4" t="s">
        <v>141</v>
      </c>
      <c r="F4" s="5">
        <v>2988</v>
      </c>
      <c r="G4" s="6">
        <f>(D4-F4)/D4</f>
        <v>0.18980477223427331</v>
      </c>
      <c r="H4" s="4">
        <v>0</v>
      </c>
      <c r="I4" s="5">
        <f>F4*H4</f>
        <v>0</v>
      </c>
      <c r="J4" s="4" t="s">
        <v>158</v>
      </c>
    </row>
    <row r="5" spans="1:10" hidden="1" x14ac:dyDescent="0.15">
      <c r="A5" s="3">
        <v>38838</v>
      </c>
      <c r="B5" s="4" t="s">
        <v>145</v>
      </c>
      <c r="C5" s="4" t="s">
        <v>151</v>
      </c>
      <c r="D5" s="5">
        <v>2988</v>
      </c>
      <c r="E5" s="4" t="s">
        <v>152</v>
      </c>
      <c r="F5" s="5">
        <v>2988</v>
      </c>
      <c r="G5" s="6">
        <f>(D5-F5)/D5</f>
        <v>0</v>
      </c>
      <c r="H5" s="4">
        <v>2</v>
      </c>
      <c r="I5" s="5">
        <f>F5*H5</f>
        <v>5976</v>
      </c>
      <c r="J5" s="4" t="s">
        <v>156</v>
      </c>
    </row>
    <row r="6" spans="1:10" hidden="1" x14ac:dyDescent="0.15">
      <c r="A6" s="3">
        <v>38843</v>
      </c>
      <c r="B6" s="4" t="s">
        <v>145</v>
      </c>
      <c r="C6" s="4" t="s">
        <v>151</v>
      </c>
      <c r="D6" s="5">
        <v>2988</v>
      </c>
      <c r="E6" s="4" t="s">
        <v>152</v>
      </c>
      <c r="F6" s="5">
        <v>2988</v>
      </c>
      <c r="G6" s="6">
        <f>(D6-F6)/D6</f>
        <v>0</v>
      </c>
      <c r="H6" s="4">
        <v>2</v>
      </c>
      <c r="I6" s="5">
        <f>F6*H6</f>
        <v>5976</v>
      </c>
      <c r="J6" s="4" t="s">
        <v>156</v>
      </c>
    </row>
    <row r="7" spans="1:10" hidden="1" x14ac:dyDescent="0.15">
      <c r="A7" s="3">
        <v>38843</v>
      </c>
      <c r="B7" s="4" t="s">
        <v>145</v>
      </c>
      <c r="C7" s="4" t="s">
        <v>157</v>
      </c>
      <c r="D7" s="5">
        <v>3688</v>
      </c>
      <c r="E7" s="4" t="s">
        <v>141</v>
      </c>
      <c r="F7" s="5">
        <v>2988</v>
      </c>
      <c r="G7" s="6">
        <f>(D7-F7)/D7</f>
        <v>0.18980477223427331</v>
      </c>
      <c r="H7" s="4">
        <v>2</v>
      </c>
      <c r="I7" s="5">
        <f>F7*H7</f>
        <v>5976</v>
      </c>
      <c r="J7" s="4" t="s">
        <v>158</v>
      </c>
    </row>
    <row r="8" spans="1:10" hidden="1" x14ac:dyDescent="0.15">
      <c r="A8" s="3">
        <v>38838</v>
      </c>
      <c r="B8" s="4" t="s">
        <v>145</v>
      </c>
      <c r="C8" s="4" t="s">
        <v>146</v>
      </c>
      <c r="D8" s="5">
        <v>3188</v>
      </c>
      <c r="E8" s="4" t="s">
        <v>141</v>
      </c>
      <c r="F8" s="5">
        <v>2888</v>
      </c>
      <c r="G8" s="6">
        <f>(D8-F8)/D8</f>
        <v>9.4102885821831864E-2</v>
      </c>
      <c r="H8" s="4">
        <v>3</v>
      </c>
      <c r="I8" s="5">
        <f>F8*H8</f>
        <v>8664</v>
      </c>
      <c r="J8" s="4" t="s">
        <v>159</v>
      </c>
    </row>
    <row r="9" spans="1:10" hidden="1" x14ac:dyDescent="0.15">
      <c r="A9" s="3">
        <v>38843</v>
      </c>
      <c r="B9" s="4" t="s">
        <v>145</v>
      </c>
      <c r="C9" s="4" t="s">
        <v>146</v>
      </c>
      <c r="D9" s="5">
        <v>3188</v>
      </c>
      <c r="E9" s="4" t="s">
        <v>141</v>
      </c>
      <c r="F9" s="5">
        <v>2888</v>
      </c>
      <c r="G9" s="6">
        <f>(D9-F9)/D9</f>
        <v>9.4102885821831864E-2</v>
      </c>
      <c r="H9" s="4">
        <v>3</v>
      </c>
      <c r="I9" s="5">
        <f>F9*H9</f>
        <v>8664</v>
      </c>
      <c r="J9" s="4" t="s">
        <v>159</v>
      </c>
    </row>
    <row r="10" spans="1:10" hidden="1" x14ac:dyDescent="0.15">
      <c r="A10" s="3">
        <v>38839</v>
      </c>
      <c r="B10" s="4" t="s">
        <v>145</v>
      </c>
      <c r="C10" s="4" t="s">
        <v>151</v>
      </c>
      <c r="D10" s="5">
        <v>2988</v>
      </c>
      <c r="E10" s="4" t="s">
        <v>152</v>
      </c>
      <c r="F10" s="5">
        <v>2988</v>
      </c>
      <c r="G10" s="6">
        <f>(D10-F10)/D10</f>
        <v>0</v>
      </c>
      <c r="H10" s="4">
        <v>3</v>
      </c>
      <c r="I10" s="5">
        <f>F10*H10</f>
        <v>8964</v>
      </c>
      <c r="J10" s="4" t="s">
        <v>150</v>
      </c>
    </row>
    <row r="11" spans="1:10" hidden="1" x14ac:dyDescent="0.15">
      <c r="A11" s="3">
        <v>38841</v>
      </c>
      <c r="B11" s="4" t="s">
        <v>145</v>
      </c>
      <c r="C11" s="4" t="s">
        <v>151</v>
      </c>
      <c r="D11" s="5">
        <v>2988</v>
      </c>
      <c r="E11" s="4" t="s">
        <v>152</v>
      </c>
      <c r="F11" s="5">
        <v>2988</v>
      </c>
      <c r="G11" s="6">
        <f>(D11-F11)/D11</f>
        <v>0</v>
      </c>
      <c r="H11" s="4">
        <v>3</v>
      </c>
      <c r="I11" s="5">
        <f>F11*H11</f>
        <v>8964</v>
      </c>
      <c r="J11" s="4" t="s">
        <v>156</v>
      </c>
    </row>
    <row r="12" spans="1:10" hidden="1" x14ac:dyDescent="0.15">
      <c r="A12" s="3">
        <v>38844</v>
      </c>
      <c r="B12" s="4" t="s">
        <v>145</v>
      </c>
      <c r="C12" s="4" t="s">
        <v>146</v>
      </c>
      <c r="D12" s="5">
        <v>3188</v>
      </c>
      <c r="E12" s="4" t="s">
        <v>141</v>
      </c>
      <c r="F12" s="5">
        <v>2888</v>
      </c>
      <c r="G12" s="6">
        <f>(D12-F12)/D12</f>
        <v>9.4102885821831864E-2</v>
      </c>
      <c r="H12" s="4">
        <v>4</v>
      </c>
      <c r="I12" s="5">
        <f>F12*H12</f>
        <v>11552</v>
      </c>
      <c r="J12" s="4" t="s">
        <v>159</v>
      </c>
    </row>
    <row r="13" spans="1:10" hidden="1" x14ac:dyDescent="0.15">
      <c r="A13" s="3">
        <v>38838</v>
      </c>
      <c r="B13" s="4" t="s">
        <v>145</v>
      </c>
      <c r="C13" s="4" t="s">
        <v>157</v>
      </c>
      <c r="D13" s="5">
        <v>3688</v>
      </c>
      <c r="E13" s="4" t="s">
        <v>141</v>
      </c>
      <c r="F13" s="5">
        <v>2988</v>
      </c>
      <c r="G13" s="6">
        <f>(D13-F13)/D13</f>
        <v>0.18980477223427331</v>
      </c>
      <c r="H13" s="4">
        <v>4</v>
      </c>
      <c r="I13" s="5">
        <f>F13*H13</f>
        <v>11952</v>
      </c>
      <c r="J13" s="4" t="s">
        <v>158</v>
      </c>
    </row>
    <row r="14" spans="1:10" hidden="1" x14ac:dyDescent="0.15">
      <c r="A14" s="3">
        <v>38842</v>
      </c>
      <c r="B14" s="4" t="s">
        <v>145</v>
      </c>
      <c r="C14" s="4" t="s">
        <v>146</v>
      </c>
      <c r="D14" s="5">
        <v>3188</v>
      </c>
      <c r="E14" s="4" t="s">
        <v>141</v>
      </c>
      <c r="F14" s="5">
        <v>2888</v>
      </c>
      <c r="G14" s="6">
        <f>(D14-F14)/D14</f>
        <v>9.4102885821831864E-2</v>
      </c>
      <c r="H14" s="4">
        <v>5</v>
      </c>
      <c r="I14" s="5">
        <f>F14*H14</f>
        <v>14440</v>
      </c>
      <c r="J14" s="4" t="s">
        <v>159</v>
      </c>
    </row>
    <row r="15" spans="1:10" x14ac:dyDescent="0.15">
      <c r="A15" s="3">
        <v>38839</v>
      </c>
      <c r="B15" s="4" t="s">
        <v>145</v>
      </c>
      <c r="C15" s="4" t="s">
        <v>146</v>
      </c>
      <c r="D15" s="5">
        <v>3188</v>
      </c>
      <c r="E15" s="4" t="s">
        <v>141</v>
      </c>
      <c r="F15" s="5">
        <v>2888</v>
      </c>
      <c r="G15" s="6">
        <f>(D15-F15)/D15</f>
        <v>9.4102885821831864E-2</v>
      </c>
      <c r="H15" s="4">
        <v>6</v>
      </c>
      <c r="I15" s="5">
        <f>F15*H15</f>
        <v>17328</v>
      </c>
      <c r="J15" s="4" t="s">
        <v>142</v>
      </c>
    </row>
    <row r="16" spans="1:10" hidden="1" x14ac:dyDescent="0.15">
      <c r="A16" s="3">
        <v>38840</v>
      </c>
      <c r="B16" s="4" t="s">
        <v>145</v>
      </c>
      <c r="C16" s="4" t="s">
        <v>151</v>
      </c>
      <c r="D16" s="5">
        <v>2988</v>
      </c>
      <c r="E16" s="4" t="s">
        <v>152</v>
      </c>
      <c r="F16" s="5">
        <v>2988</v>
      </c>
      <c r="G16" s="6">
        <f>(D16-F16)/D16</f>
        <v>0</v>
      </c>
      <c r="H16" s="4">
        <v>6</v>
      </c>
      <c r="I16" s="5">
        <f>F16*H16</f>
        <v>17928</v>
      </c>
      <c r="J16" s="4" t="s">
        <v>156</v>
      </c>
    </row>
    <row r="17" spans="1:10" hidden="1" x14ac:dyDescent="0.15">
      <c r="A17" s="3">
        <v>38842</v>
      </c>
      <c r="B17" s="4" t="s">
        <v>145</v>
      </c>
      <c r="C17" s="4" t="s">
        <v>157</v>
      </c>
      <c r="D17" s="5">
        <v>3688</v>
      </c>
      <c r="E17" s="4" t="s">
        <v>141</v>
      </c>
      <c r="F17" s="5">
        <v>2988</v>
      </c>
      <c r="G17" s="6">
        <f>(D17-F17)/D17</f>
        <v>0.18980477223427331</v>
      </c>
      <c r="H17" s="4">
        <v>6</v>
      </c>
      <c r="I17" s="5">
        <f>F17*H17</f>
        <v>17928</v>
      </c>
      <c r="J17" s="4" t="s">
        <v>158</v>
      </c>
    </row>
    <row r="18" spans="1:10" hidden="1" x14ac:dyDescent="0.15">
      <c r="A18" s="3">
        <v>38841</v>
      </c>
      <c r="B18" s="4" t="s">
        <v>145</v>
      </c>
      <c r="C18" s="4" t="s">
        <v>146</v>
      </c>
      <c r="D18" s="5">
        <v>3188</v>
      </c>
      <c r="E18" s="4" t="s">
        <v>141</v>
      </c>
      <c r="F18" s="5">
        <v>2888</v>
      </c>
      <c r="G18" s="6">
        <f>(D18-F18)/D18</f>
        <v>9.4102885821831864E-2</v>
      </c>
      <c r="H18" s="4">
        <v>8</v>
      </c>
      <c r="I18" s="5">
        <f>F18*H18</f>
        <v>23104</v>
      </c>
      <c r="J18" s="4" t="s">
        <v>159</v>
      </c>
    </row>
    <row r="19" spans="1:10" hidden="1" x14ac:dyDescent="0.15">
      <c r="A19" s="3">
        <v>38839</v>
      </c>
      <c r="B19" s="4" t="s">
        <v>145</v>
      </c>
      <c r="C19" s="4" t="s">
        <v>157</v>
      </c>
      <c r="D19" s="5">
        <v>3688</v>
      </c>
      <c r="E19" s="4" t="s">
        <v>141</v>
      </c>
      <c r="F19" s="5">
        <v>2988</v>
      </c>
      <c r="G19" s="6">
        <f>(D19-F19)/D19</f>
        <v>0.18980477223427331</v>
      </c>
      <c r="H19" s="4">
        <v>10</v>
      </c>
      <c r="I19" s="5">
        <f>F19*H19</f>
        <v>29880</v>
      </c>
      <c r="J19" s="4" t="s">
        <v>156</v>
      </c>
    </row>
    <row r="20" spans="1:10" hidden="1" x14ac:dyDescent="0.15">
      <c r="A20" s="3">
        <v>38841</v>
      </c>
      <c r="B20" s="4" t="s">
        <v>145</v>
      </c>
      <c r="C20" s="4" t="s">
        <v>157</v>
      </c>
      <c r="D20" s="5">
        <v>3688</v>
      </c>
      <c r="E20" s="4" t="s">
        <v>141</v>
      </c>
      <c r="F20" s="5">
        <v>2988</v>
      </c>
      <c r="G20" s="6">
        <f>(D20-F20)/D20</f>
        <v>0.18980477223427331</v>
      </c>
      <c r="H20" s="4">
        <v>10</v>
      </c>
      <c r="I20" s="5">
        <f>F20*H20</f>
        <v>29880</v>
      </c>
      <c r="J20" s="4" t="s">
        <v>158</v>
      </c>
    </row>
    <row r="21" spans="1:10" hidden="1" x14ac:dyDescent="0.15">
      <c r="A21" s="3">
        <v>38840</v>
      </c>
      <c r="B21" s="4" t="s">
        <v>145</v>
      </c>
      <c r="C21" s="4" t="s">
        <v>146</v>
      </c>
      <c r="D21" s="5">
        <v>3188</v>
      </c>
      <c r="E21" s="4" t="s">
        <v>141</v>
      </c>
      <c r="F21" s="5">
        <v>2888</v>
      </c>
      <c r="G21" s="6">
        <f>(D21-F21)/D21</f>
        <v>9.4102885821831864E-2</v>
      </c>
      <c r="H21" s="4">
        <v>12</v>
      </c>
      <c r="I21" s="5">
        <f>F21*H21</f>
        <v>34656</v>
      </c>
      <c r="J21" s="4" t="s">
        <v>159</v>
      </c>
    </row>
    <row r="22" spans="1:10" hidden="1" x14ac:dyDescent="0.15">
      <c r="A22" s="3">
        <v>38840</v>
      </c>
      <c r="B22" s="4" t="s">
        <v>145</v>
      </c>
      <c r="C22" s="4" t="s">
        <v>157</v>
      </c>
      <c r="D22" s="5">
        <v>3688</v>
      </c>
      <c r="E22" s="4" t="s">
        <v>141</v>
      </c>
      <c r="F22" s="5">
        <v>2988</v>
      </c>
      <c r="G22" s="6">
        <f>(D22-F22)/D22</f>
        <v>0.18980477223427331</v>
      </c>
      <c r="H22" s="4">
        <v>15</v>
      </c>
      <c r="I22" s="5">
        <f>F22*H22</f>
        <v>44820</v>
      </c>
      <c r="J22" s="4" t="s">
        <v>158</v>
      </c>
    </row>
    <row r="23" spans="1:10" hidden="1" x14ac:dyDescent="0.15">
      <c r="A23" s="3">
        <v>38843</v>
      </c>
      <c r="B23" s="4" t="s">
        <v>143</v>
      </c>
      <c r="C23" s="4" t="s">
        <v>153</v>
      </c>
      <c r="D23" s="5">
        <v>1988</v>
      </c>
      <c r="E23" s="4" t="s">
        <v>152</v>
      </c>
      <c r="F23" s="5">
        <v>1988</v>
      </c>
      <c r="G23" s="6">
        <f>(D23-F23)/D23</f>
        <v>0</v>
      </c>
      <c r="H23" s="4">
        <v>0</v>
      </c>
      <c r="I23" s="5">
        <f>F23*H23</f>
        <v>0</v>
      </c>
      <c r="J23" s="4" t="s">
        <v>154</v>
      </c>
    </row>
    <row r="24" spans="1:10" hidden="1" x14ac:dyDescent="0.15">
      <c r="A24" s="3">
        <v>38842</v>
      </c>
      <c r="B24" s="4" t="s">
        <v>143</v>
      </c>
      <c r="C24" s="4" t="s">
        <v>153</v>
      </c>
      <c r="D24" s="5">
        <v>1988</v>
      </c>
      <c r="E24" s="4" t="s">
        <v>152</v>
      </c>
      <c r="F24" s="5">
        <v>1988</v>
      </c>
      <c r="G24" s="6">
        <f>(D24-F24)/D24</f>
        <v>0</v>
      </c>
      <c r="H24" s="4">
        <v>1</v>
      </c>
      <c r="I24" s="5">
        <f>F24*H24</f>
        <v>1988</v>
      </c>
      <c r="J24" s="4" t="s">
        <v>154</v>
      </c>
    </row>
    <row r="25" spans="1:10" hidden="1" x14ac:dyDescent="0.15">
      <c r="A25" s="3">
        <v>38844</v>
      </c>
      <c r="B25" s="4" t="s">
        <v>143</v>
      </c>
      <c r="C25" s="4" t="s">
        <v>153</v>
      </c>
      <c r="D25" s="5">
        <v>1988</v>
      </c>
      <c r="E25" s="4" t="s">
        <v>152</v>
      </c>
      <c r="F25" s="5">
        <v>1988</v>
      </c>
      <c r="G25" s="6">
        <f>(D25-F25)/D25</f>
        <v>0</v>
      </c>
      <c r="H25" s="4">
        <v>1</v>
      </c>
      <c r="I25" s="5">
        <f>F25*H25</f>
        <v>1988</v>
      </c>
      <c r="J25" s="4" t="s">
        <v>154</v>
      </c>
    </row>
    <row r="26" spans="1:10" hidden="1" x14ac:dyDescent="0.15">
      <c r="A26" s="3">
        <v>38844</v>
      </c>
      <c r="B26" s="4" t="s">
        <v>143</v>
      </c>
      <c r="C26" s="4" t="s">
        <v>149</v>
      </c>
      <c r="D26" s="5">
        <v>2688</v>
      </c>
      <c r="E26" s="4" t="s">
        <v>141</v>
      </c>
      <c r="F26" s="5">
        <v>2388</v>
      </c>
      <c r="G26" s="6">
        <f>(D26-F26)/D26</f>
        <v>0.11160714285714286</v>
      </c>
      <c r="H26" s="4">
        <v>1</v>
      </c>
      <c r="I26" s="5">
        <f>F26*H26</f>
        <v>2388</v>
      </c>
      <c r="J26" s="4" t="s">
        <v>150</v>
      </c>
    </row>
    <row r="27" spans="1:10" hidden="1" x14ac:dyDescent="0.15">
      <c r="A27" s="3">
        <v>38838</v>
      </c>
      <c r="B27" s="4" t="s">
        <v>143</v>
      </c>
      <c r="C27" s="4" t="s">
        <v>153</v>
      </c>
      <c r="D27" s="5">
        <v>1988</v>
      </c>
      <c r="E27" s="4" t="s">
        <v>152</v>
      </c>
      <c r="F27" s="5">
        <v>1988</v>
      </c>
      <c r="G27" s="6">
        <f>(D27-F27)/D27</f>
        <v>0</v>
      </c>
      <c r="H27" s="4">
        <v>2</v>
      </c>
      <c r="I27" s="5">
        <f>F27*H27</f>
        <v>3976</v>
      </c>
      <c r="J27" s="4" t="s">
        <v>154</v>
      </c>
    </row>
    <row r="28" spans="1:10" hidden="1" x14ac:dyDescent="0.15">
      <c r="A28" s="3">
        <v>38838</v>
      </c>
      <c r="B28" s="4" t="s">
        <v>143</v>
      </c>
      <c r="C28" s="4" t="s">
        <v>144</v>
      </c>
      <c r="D28" s="5">
        <v>4688</v>
      </c>
      <c r="E28" s="4" t="s">
        <v>141</v>
      </c>
      <c r="F28" s="5">
        <v>4088</v>
      </c>
      <c r="G28" s="6">
        <f>(D28-F28)/D28</f>
        <v>0.12798634812286688</v>
      </c>
      <c r="H28" s="4">
        <v>1</v>
      </c>
      <c r="I28" s="5">
        <f>F28*H28</f>
        <v>4088</v>
      </c>
      <c r="J28" s="4" t="s">
        <v>155</v>
      </c>
    </row>
    <row r="29" spans="1:10" hidden="1" x14ac:dyDescent="0.15">
      <c r="A29" s="3">
        <v>38843</v>
      </c>
      <c r="B29" s="4" t="s">
        <v>143</v>
      </c>
      <c r="C29" s="4" t="s">
        <v>149</v>
      </c>
      <c r="D29" s="5">
        <v>2688</v>
      </c>
      <c r="E29" s="4" t="s">
        <v>141</v>
      </c>
      <c r="F29" s="5">
        <v>2388</v>
      </c>
      <c r="G29" s="6">
        <f>(D29-F29)/D29</f>
        <v>0.11160714285714286</v>
      </c>
      <c r="H29" s="4">
        <v>2</v>
      </c>
      <c r="I29" s="5">
        <f>F29*H29</f>
        <v>4776</v>
      </c>
      <c r="J29" s="4" t="s">
        <v>150</v>
      </c>
    </row>
    <row r="30" spans="1:10" hidden="1" x14ac:dyDescent="0.15">
      <c r="A30" s="3">
        <v>38841</v>
      </c>
      <c r="B30" s="4" t="s">
        <v>143</v>
      </c>
      <c r="C30" s="4" t="s">
        <v>153</v>
      </c>
      <c r="D30" s="5">
        <v>1988</v>
      </c>
      <c r="E30" s="4" t="s">
        <v>152</v>
      </c>
      <c r="F30" s="5">
        <v>1988</v>
      </c>
      <c r="G30" s="6">
        <f>(D30-F30)/D30</f>
        <v>0</v>
      </c>
      <c r="H30" s="4">
        <v>3</v>
      </c>
      <c r="I30" s="5">
        <f>F30*H30</f>
        <v>5964</v>
      </c>
      <c r="J30" s="4" t="s">
        <v>154</v>
      </c>
    </row>
    <row r="31" spans="1:10" hidden="1" x14ac:dyDescent="0.15">
      <c r="A31" s="3">
        <v>38838</v>
      </c>
      <c r="B31" s="4" t="s">
        <v>143</v>
      </c>
      <c r="C31" s="4" t="s">
        <v>149</v>
      </c>
      <c r="D31" s="5">
        <v>2688</v>
      </c>
      <c r="E31" s="4" t="s">
        <v>141</v>
      </c>
      <c r="F31" s="5">
        <v>2388</v>
      </c>
      <c r="G31" s="6">
        <f>(D31-F31)/D31</f>
        <v>0.11160714285714286</v>
      </c>
      <c r="H31" s="4">
        <v>3</v>
      </c>
      <c r="I31" s="5">
        <f>F31*H31</f>
        <v>7164</v>
      </c>
      <c r="J31" s="4" t="s">
        <v>150</v>
      </c>
    </row>
    <row r="32" spans="1:10" hidden="1" x14ac:dyDescent="0.15">
      <c r="A32" s="3">
        <v>38839</v>
      </c>
      <c r="B32" s="4" t="s">
        <v>143</v>
      </c>
      <c r="C32" s="4" t="s">
        <v>153</v>
      </c>
      <c r="D32" s="5">
        <v>1988</v>
      </c>
      <c r="E32" s="4" t="s">
        <v>152</v>
      </c>
      <c r="F32" s="5">
        <v>1988</v>
      </c>
      <c r="G32" s="6">
        <f>(D32-F32)/D32</f>
        <v>0</v>
      </c>
      <c r="H32" s="4">
        <v>6</v>
      </c>
      <c r="I32" s="5">
        <f>F32*H32</f>
        <v>11928</v>
      </c>
      <c r="J32" s="4" t="s">
        <v>156</v>
      </c>
    </row>
    <row r="33" spans="1:10" hidden="1" x14ac:dyDescent="0.15">
      <c r="A33" s="3">
        <v>38842</v>
      </c>
      <c r="B33" s="4" t="s">
        <v>143</v>
      </c>
      <c r="C33" s="4" t="s">
        <v>149</v>
      </c>
      <c r="D33" s="5">
        <v>2688</v>
      </c>
      <c r="E33" s="4" t="s">
        <v>141</v>
      </c>
      <c r="F33" s="5">
        <v>2388</v>
      </c>
      <c r="G33" s="6">
        <f>(D33-F33)/D33</f>
        <v>0.11160714285714286</v>
      </c>
      <c r="H33" s="4">
        <v>5</v>
      </c>
      <c r="I33" s="5">
        <f>F33*H33</f>
        <v>11940</v>
      </c>
      <c r="J33" s="4" t="s">
        <v>150</v>
      </c>
    </row>
    <row r="34" spans="1:10" hidden="1" x14ac:dyDescent="0.15">
      <c r="A34" s="3">
        <v>38844</v>
      </c>
      <c r="B34" s="4" t="s">
        <v>143</v>
      </c>
      <c r="C34" s="4" t="s">
        <v>144</v>
      </c>
      <c r="D34" s="5">
        <v>4688</v>
      </c>
      <c r="E34" s="4" t="s">
        <v>141</v>
      </c>
      <c r="F34" s="5">
        <v>4088</v>
      </c>
      <c r="G34" s="6">
        <f>(D34-F34)/D34</f>
        <v>0.12798634812286688</v>
      </c>
      <c r="H34" s="4">
        <v>3</v>
      </c>
      <c r="I34" s="5">
        <f>F34*H34</f>
        <v>12264</v>
      </c>
      <c r="J34" s="4" t="s">
        <v>155</v>
      </c>
    </row>
    <row r="35" spans="1:10" hidden="1" x14ac:dyDescent="0.15">
      <c r="A35" s="3">
        <v>38840</v>
      </c>
      <c r="B35" s="4" t="s">
        <v>143</v>
      </c>
      <c r="C35" s="4" t="s">
        <v>153</v>
      </c>
      <c r="D35" s="5">
        <v>1988</v>
      </c>
      <c r="E35" s="4" t="s">
        <v>152</v>
      </c>
      <c r="F35" s="5">
        <v>1988</v>
      </c>
      <c r="G35" s="6">
        <f>(D35-F35)/D35</f>
        <v>0</v>
      </c>
      <c r="H35" s="4">
        <v>7</v>
      </c>
      <c r="I35" s="5">
        <f>F35*H35</f>
        <v>13916</v>
      </c>
      <c r="J35" s="4" t="s">
        <v>154</v>
      </c>
    </row>
    <row r="36" spans="1:10" hidden="1" x14ac:dyDescent="0.15">
      <c r="A36" s="3">
        <v>38843</v>
      </c>
      <c r="B36" s="4" t="s">
        <v>143</v>
      </c>
      <c r="C36" s="4" t="s">
        <v>144</v>
      </c>
      <c r="D36" s="5">
        <v>4688</v>
      </c>
      <c r="E36" s="4" t="s">
        <v>141</v>
      </c>
      <c r="F36" s="5">
        <v>4088</v>
      </c>
      <c r="G36" s="6">
        <f>(D36-F36)/D36</f>
        <v>0.12798634812286688</v>
      </c>
      <c r="H36" s="4">
        <v>4</v>
      </c>
      <c r="I36" s="5">
        <f>F36*H36</f>
        <v>16352</v>
      </c>
      <c r="J36" s="4" t="s">
        <v>155</v>
      </c>
    </row>
    <row r="37" spans="1:10" hidden="1" x14ac:dyDescent="0.15">
      <c r="A37" s="3">
        <v>38839</v>
      </c>
      <c r="B37" s="4" t="s">
        <v>143</v>
      </c>
      <c r="C37" s="4" t="s">
        <v>149</v>
      </c>
      <c r="D37" s="5">
        <v>2688</v>
      </c>
      <c r="E37" s="4" t="s">
        <v>141</v>
      </c>
      <c r="F37" s="5">
        <v>2388</v>
      </c>
      <c r="G37" s="6">
        <f>(D37-F37)/D37</f>
        <v>0.11160714285714286</v>
      </c>
      <c r="H37" s="4">
        <v>8</v>
      </c>
      <c r="I37" s="5">
        <f>F37*H37</f>
        <v>19104</v>
      </c>
      <c r="J37" s="4" t="s">
        <v>150</v>
      </c>
    </row>
    <row r="38" spans="1:10" hidden="1" x14ac:dyDescent="0.15">
      <c r="A38" s="3">
        <v>38840</v>
      </c>
      <c r="B38" s="4" t="s">
        <v>143</v>
      </c>
      <c r="C38" s="4" t="s">
        <v>149</v>
      </c>
      <c r="D38" s="5">
        <v>2688</v>
      </c>
      <c r="E38" s="4" t="s">
        <v>141</v>
      </c>
      <c r="F38" s="5">
        <v>2388</v>
      </c>
      <c r="G38" s="6">
        <f>(D38-F38)/D38</f>
        <v>0.11160714285714286</v>
      </c>
      <c r="H38" s="4">
        <v>8</v>
      </c>
      <c r="I38" s="5">
        <f>F38*H38</f>
        <v>19104</v>
      </c>
      <c r="J38" s="4" t="s">
        <v>150</v>
      </c>
    </row>
    <row r="39" spans="1:10" hidden="1" x14ac:dyDescent="0.15">
      <c r="A39" s="3">
        <v>38841</v>
      </c>
      <c r="B39" s="4" t="s">
        <v>143</v>
      </c>
      <c r="C39" s="4" t="s">
        <v>149</v>
      </c>
      <c r="D39" s="5">
        <v>2688</v>
      </c>
      <c r="E39" s="4" t="s">
        <v>141</v>
      </c>
      <c r="F39" s="5">
        <v>2388</v>
      </c>
      <c r="G39" s="6">
        <f>(D39-F39)/D39</f>
        <v>0.11160714285714286</v>
      </c>
      <c r="H39" s="4">
        <v>9</v>
      </c>
      <c r="I39" s="5">
        <f>F39*H39</f>
        <v>21492</v>
      </c>
      <c r="J39" s="4" t="s">
        <v>150</v>
      </c>
    </row>
    <row r="40" spans="1:10" hidden="1" x14ac:dyDescent="0.15">
      <c r="A40" s="3">
        <v>38842</v>
      </c>
      <c r="B40" s="4" t="s">
        <v>143</v>
      </c>
      <c r="C40" s="4" t="s">
        <v>144</v>
      </c>
      <c r="D40" s="5">
        <v>4688</v>
      </c>
      <c r="E40" s="4" t="s">
        <v>141</v>
      </c>
      <c r="F40" s="5">
        <v>4088</v>
      </c>
      <c r="G40" s="6">
        <f>(D40-F40)/D40</f>
        <v>0.12798634812286688</v>
      </c>
      <c r="H40" s="4">
        <v>6</v>
      </c>
      <c r="I40" s="5">
        <f>F40*H40</f>
        <v>24528</v>
      </c>
      <c r="J40" s="4" t="s">
        <v>155</v>
      </c>
    </row>
    <row r="41" spans="1:10" hidden="1" x14ac:dyDescent="0.15">
      <c r="A41" s="3">
        <v>38839</v>
      </c>
      <c r="B41" s="4" t="s">
        <v>143</v>
      </c>
      <c r="C41" s="4" t="s">
        <v>144</v>
      </c>
      <c r="D41" s="5">
        <v>4688</v>
      </c>
      <c r="E41" s="4" t="s">
        <v>141</v>
      </c>
      <c r="F41" s="5">
        <v>4088</v>
      </c>
      <c r="G41" s="6">
        <f>(D41-F41)/D41</f>
        <v>0.12798634812286688</v>
      </c>
      <c r="H41" s="4">
        <v>8</v>
      </c>
      <c r="I41" s="5">
        <f>F41*H41</f>
        <v>32704</v>
      </c>
      <c r="J41" s="4" t="s">
        <v>155</v>
      </c>
    </row>
    <row r="42" spans="1:10" hidden="1" x14ac:dyDescent="0.15">
      <c r="A42" s="3">
        <v>38840</v>
      </c>
      <c r="B42" s="4" t="s">
        <v>143</v>
      </c>
      <c r="C42" s="4" t="s">
        <v>144</v>
      </c>
      <c r="D42" s="5">
        <v>4688</v>
      </c>
      <c r="E42" s="4" t="s">
        <v>141</v>
      </c>
      <c r="F42" s="5">
        <v>4088</v>
      </c>
      <c r="G42" s="6">
        <f>(D42-F42)/D42</f>
        <v>0.12798634812286688</v>
      </c>
      <c r="H42" s="4">
        <v>10</v>
      </c>
      <c r="I42" s="5">
        <f>F42*H42</f>
        <v>40880</v>
      </c>
      <c r="J42" s="4" t="s">
        <v>155</v>
      </c>
    </row>
    <row r="43" spans="1:10" hidden="1" x14ac:dyDescent="0.15">
      <c r="A43" s="3">
        <v>38839</v>
      </c>
      <c r="B43" s="4" t="s">
        <v>143</v>
      </c>
      <c r="C43" s="4" t="s">
        <v>144</v>
      </c>
      <c r="D43" s="5">
        <v>4688</v>
      </c>
      <c r="E43" s="4" t="s">
        <v>141</v>
      </c>
      <c r="F43" s="5">
        <v>4088</v>
      </c>
      <c r="G43" s="6">
        <f>(D43-F43)/D43</f>
        <v>0.12798634812286688</v>
      </c>
      <c r="H43" s="4">
        <v>12</v>
      </c>
      <c r="I43" s="5">
        <f>F43*H43</f>
        <v>49056</v>
      </c>
      <c r="J43" s="4" t="s">
        <v>142</v>
      </c>
    </row>
    <row r="44" spans="1:10" hidden="1" x14ac:dyDescent="0.15">
      <c r="A44" s="3">
        <v>38841</v>
      </c>
      <c r="B44" s="4" t="s">
        <v>143</v>
      </c>
      <c r="C44" s="4" t="s">
        <v>144</v>
      </c>
      <c r="D44" s="5">
        <v>4688</v>
      </c>
      <c r="E44" s="4" t="s">
        <v>141</v>
      </c>
      <c r="F44" s="5">
        <v>4088</v>
      </c>
      <c r="G44" s="6">
        <f>(D44-F44)/D44</f>
        <v>0.12798634812286688</v>
      </c>
      <c r="H44" s="4">
        <v>12</v>
      </c>
      <c r="I44" s="5">
        <f>F44*H44</f>
        <v>49056</v>
      </c>
      <c r="J44" s="4" t="s">
        <v>155</v>
      </c>
    </row>
    <row r="45" spans="1:10" hidden="1" x14ac:dyDescent="0.15">
      <c r="A45" s="3">
        <v>38843</v>
      </c>
      <c r="B45" s="4" t="s">
        <v>139</v>
      </c>
      <c r="C45" s="4" t="s">
        <v>147</v>
      </c>
      <c r="D45" s="5">
        <v>1988</v>
      </c>
      <c r="E45" s="4" t="s">
        <v>141</v>
      </c>
      <c r="F45" s="5">
        <v>1788</v>
      </c>
      <c r="G45" s="6">
        <f>(D45-F45)/D45</f>
        <v>0.1006036217303823</v>
      </c>
      <c r="H45" s="4">
        <v>0</v>
      </c>
      <c r="I45" s="5">
        <f>F45*H45</f>
        <v>0</v>
      </c>
      <c r="J45" s="4" t="s">
        <v>148</v>
      </c>
    </row>
    <row r="46" spans="1:10" hidden="1" x14ac:dyDescent="0.15">
      <c r="A46" s="3">
        <v>38842</v>
      </c>
      <c r="B46" s="4" t="s">
        <v>139</v>
      </c>
      <c r="C46" s="4" t="s">
        <v>147</v>
      </c>
      <c r="D46" s="5">
        <v>1988</v>
      </c>
      <c r="E46" s="4" t="s">
        <v>141</v>
      </c>
      <c r="F46" s="5">
        <v>1788</v>
      </c>
      <c r="G46" s="6">
        <f>(D46-F46)/D46</f>
        <v>0.1006036217303823</v>
      </c>
      <c r="H46" s="4">
        <v>1</v>
      </c>
      <c r="I46" s="5">
        <f>F46*H46</f>
        <v>1788</v>
      </c>
      <c r="J46" s="4" t="s">
        <v>148</v>
      </c>
    </row>
    <row r="47" spans="1:10" hidden="1" x14ac:dyDescent="0.15">
      <c r="A47" s="3">
        <v>38844</v>
      </c>
      <c r="B47" s="4" t="s">
        <v>139</v>
      </c>
      <c r="C47" s="4" t="s">
        <v>147</v>
      </c>
      <c r="D47" s="5">
        <v>1988</v>
      </c>
      <c r="E47" s="4" t="s">
        <v>141</v>
      </c>
      <c r="F47" s="5">
        <v>1788</v>
      </c>
      <c r="G47" s="6">
        <f>(D47-F47)/D47</f>
        <v>0.1006036217303823</v>
      </c>
      <c r="H47" s="4">
        <v>1</v>
      </c>
      <c r="I47" s="5">
        <f>F47*H47</f>
        <v>1788</v>
      </c>
      <c r="J47" s="4" t="s">
        <v>148</v>
      </c>
    </row>
    <row r="48" spans="1:10" hidden="1" x14ac:dyDescent="0.15">
      <c r="A48" s="3">
        <v>38838</v>
      </c>
      <c r="B48" s="4" t="s">
        <v>139</v>
      </c>
      <c r="C48" s="4" t="s">
        <v>147</v>
      </c>
      <c r="D48" s="5">
        <v>1988</v>
      </c>
      <c r="E48" s="4" t="s">
        <v>141</v>
      </c>
      <c r="F48" s="5">
        <v>1788</v>
      </c>
      <c r="G48" s="6">
        <f>(D48-F48)/D48</f>
        <v>0.1006036217303823</v>
      </c>
      <c r="H48" s="4">
        <v>2</v>
      </c>
      <c r="I48" s="5">
        <f>F48*H48</f>
        <v>3576</v>
      </c>
      <c r="J48" s="4" t="s">
        <v>148</v>
      </c>
    </row>
    <row r="49" spans="1:10" hidden="1" x14ac:dyDescent="0.15">
      <c r="A49" s="3">
        <v>38841</v>
      </c>
      <c r="B49" s="4" t="s">
        <v>139</v>
      </c>
      <c r="C49" s="4" t="s">
        <v>147</v>
      </c>
      <c r="D49" s="5">
        <v>1988</v>
      </c>
      <c r="E49" s="4" t="s">
        <v>141</v>
      </c>
      <c r="F49" s="5">
        <v>1788</v>
      </c>
      <c r="G49" s="6">
        <f>(D49-F49)/D49</f>
        <v>0.1006036217303823</v>
      </c>
      <c r="H49" s="4">
        <v>2</v>
      </c>
      <c r="I49" s="5">
        <f>F49*H49</f>
        <v>3576</v>
      </c>
      <c r="J49" s="4" t="s">
        <v>148</v>
      </c>
    </row>
    <row r="50" spans="1:10" x14ac:dyDescent="0.15">
      <c r="A50" s="3">
        <v>38843</v>
      </c>
      <c r="B50" s="4" t="s">
        <v>139</v>
      </c>
      <c r="C50" s="4" t="s">
        <v>140</v>
      </c>
      <c r="D50" s="5">
        <v>2088</v>
      </c>
      <c r="E50" s="4" t="s">
        <v>141</v>
      </c>
      <c r="F50" s="5">
        <v>1888</v>
      </c>
      <c r="G50" s="6">
        <f>(D50-F50)/D50</f>
        <v>9.5785440613026823E-2</v>
      </c>
      <c r="H50" s="4">
        <v>2</v>
      </c>
      <c r="I50" s="5">
        <f>F50*H50</f>
        <v>3776</v>
      </c>
      <c r="J50" s="4" t="s">
        <v>142</v>
      </c>
    </row>
    <row r="51" spans="1:10" x14ac:dyDescent="0.15">
      <c r="A51" s="3">
        <v>38844</v>
      </c>
      <c r="B51" s="4" t="s">
        <v>139</v>
      </c>
      <c r="C51" s="4" t="s">
        <v>140</v>
      </c>
      <c r="D51" s="5">
        <v>2088</v>
      </c>
      <c r="E51" s="4" t="s">
        <v>141</v>
      </c>
      <c r="F51" s="5">
        <v>1888</v>
      </c>
      <c r="G51" s="6">
        <f>(D51-F51)/D51</f>
        <v>9.5785440613026823E-2</v>
      </c>
      <c r="H51" s="4">
        <v>2</v>
      </c>
      <c r="I51" s="5">
        <f>F51*H51</f>
        <v>3776</v>
      </c>
      <c r="J51" s="4" t="s">
        <v>142</v>
      </c>
    </row>
    <row r="52" spans="1:10" x14ac:dyDescent="0.15">
      <c r="A52" s="3">
        <v>38838</v>
      </c>
      <c r="B52" s="4" t="s">
        <v>139</v>
      </c>
      <c r="C52" s="4" t="s">
        <v>140</v>
      </c>
      <c r="D52" s="5">
        <v>2088</v>
      </c>
      <c r="E52" s="4" t="s">
        <v>141</v>
      </c>
      <c r="F52" s="5">
        <v>1888</v>
      </c>
      <c r="G52" s="6">
        <f>(D52-F52)/D52</f>
        <v>9.5785440613026823E-2</v>
      </c>
      <c r="H52" s="4">
        <v>3</v>
      </c>
      <c r="I52" s="5">
        <f>F52*H52</f>
        <v>5664</v>
      </c>
      <c r="J52" s="4" t="s">
        <v>142</v>
      </c>
    </row>
    <row r="53" spans="1:10" hidden="1" x14ac:dyDescent="0.15">
      <c r="A53" s="3">
        <v>38839</v>
      </c>
      <c r="B53" s="4" t="s">
        <v>139</v>
      </c>
      <c r="C53" s="4" t="s">
        <v>140</v>
      </c>
      <c r="D53" s="5">
        <v>2088</v>
      </c>
      <c r="E53" s="4" t="s">
        <v>141</v>
      </c>
      <c r="F53" s="5">
        <v>1888</v>
      </c>
      <c r="G53" s="6">
        <f>(D53-F53)/D53</f>
        <v>9.5785440613026823E-2</v>
      </c>
      <c r="H53" s="4">
        <v>3</v>
      </c>
      <c r="I53" s="5">
        <f>F53*H53</f>
        <v>5664</v>
      </c>
      <c r="J53" s="4" t="s">
        <v>154</v>
      </c>
    </row>
    <row r="54" spans="1:10" x14ac:dyDescent="0.15">
      <c r="A54" s="3">
        <v>38842</v>
      </c>
      <c r="B54" s="4" t="s">
        <v>139</v>
      </c>
      <c r="C54" s="4" t="s">
        <v>140</v>
      </c>
      <c r="D54" s="5">
        <v>2088</v>
      </c>
      <c r="E54" s="4" t="s">
        <v>141</v>
      </c>
      <c r="F54" s="5">
        <v>1888</v>
      </c>
      <c r="G54" s="6">
        <f>(D54-F54)/D54</f>
        <v>9.5785440613026823E-2</v>
      </c>
      <c r="H54" s="4">
        <v>4</v>
      </c>
      <c r="I54" s="5">
        <f>F54*H54</f>
        <v>7552</v>
      </c>
      <c r="J54" s="4" t="s">
        <v>142</v>
      </c>
    </row>
    <row r="55" spans="1:10" hidden="1" x14ac:dyDescent="0.15">
      <c r="A55" s="3">
        <v>38839</v>
      </c>
      <c r="B55" s="4" t="s">
        <v>139</v>
      </c>
      <c r="C55" s="4" t="s">
        <v>147</v>
      </c>
      <c r="D55" s="5">
        <v>1988</v>
      </c>
      <c r="E55" s="4" t="s">
        <v>141</v>
      </c>
      <c r="F55" s="5">
        <v>1788</v>
      </c>
      <c r="G55" s="6">
        <f>(D55-F55)/D55</f>
        <v>0.1006036217303823</v>
      </c>
      <c r="H55" s="4">
        <v>5</v>
      </c>
      <c r="I55" s="5">
        <f>F55*H55</f>
        <v>8940</v>
      </c>
      <c r="J55" s="4" t="s">
        <v>148</v>
      </c>
    </row>
    <row r="56" spans="1:10" x14ac:dyDescent="0.15">
      <c r="A56" s="3">
        <v>38841</v>
      </c>
      <c r="B56" s="4" t="s">
        <v>139</v>
      </c>
      <c r="C56" s="4" t="s">
        <v>140</v>
      </c>
      <c r="D56" s="5">
        <v>2088</v>
      </c>
      <c r="E56" s="4" t="s">
        <v>141</v>
      </c>
      <c r="F56" s="5">
        <v>1888</v>
      </c>
      <c r="G56" s="6">
        <f>(D56-F56)/D56</f>
        <v>9.5785440613026823E-2</v>
      </c>
      <c r="H56" s="4">
        <v>6</v>
      </c>
      <c r="I56" s="5">
        <f>F56*H56</f>
        <v>11328</v>
      </c>
      <c r="J56" s="4" t="s">
        <v>142</v>
      </c>
    </row>
    <row r="57" spans="1:10" hidden="1" x14ac:dyDescent="0.15">
      <c r="A57" s="3">
        <v>38840</v>
      </c>
      <c r="B57" s="4" t="s">
        <v>139</v>
      </c>
      <c r="C57" s="4" t="s">
        <v>147</v>
      </c>
      <c r="D57" s="5">
        <v>1988</v>
      </c>
      <c r="E57" s="4" t="s">
        <v>141</v>
      </c>
      <c r="F57" s="5">
        <v>1788</v>
      </c>
      <c r="G57" s="6">
        <f>(D57-F57)/D57</f>
        <v>0.1006036217303823</v>
      </c>
      <c r="H57" s="4">
        <v>9</v>
      </c>
      <c r="I57" s="5">
        <f>F57*H57</f>
        <v>16092</v>
      </c>
      <c r="J57" s="4" t="s">
        <v>148</v>
      </c>
    </row>
    <row r="58" spans="1:10" x14ac:dyDescent="0.15">
      <c r="A58" s="3">
        <v>38840</v>
      </c>
      <c r="B58" s="4" t="s">
        <v>139</v>
      </c>
      <c r="C58" s="4" t="s">
        <v>140</v>
      </c>
      <c r="D58" s="5">
        <v>2088</v>
      </c>
      <c r="E58" s="4" t="s">
        <v>141</v>
      </c>
      <c r="F58" s="5">
        <v>1888</v>
      </c>
      <c r="G58" s="6">
        <f>(D58-F58)/D58</f>
        <v>9.5785440613026823E-2</v>
      </c>
      <c r="H58" s="4">
        <v>10</v>
      </c>
      <c r="I58" s="5">
        <f>F58*H58</f>
        <v>18880</v>
      </c>
      <c r="J58" s="4" t="s">
        <v>142</v>
      </c>
    </row>
  </sheetData>
  <autoFilter ref="A1:J58">
    <filterColumn colId="1">
      <filters>
        <filter val="冰箱"/>
        <filter val="空调"/>
      </filters>
    </filterColumn>
    <filterColumn colId="9">
      <filters>
        <filter val="A1"/>
      </filters>
    </filterColumn>
  </autoFilter>
  <sortState ref="A2:J58">
    <sortCondition descending="1" ref="B2:B58"/>
    <sortCondition ref="I2:I58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每日门店销售</vt:lpstr>
      <vt:lpstr>按年统计</vt:lpstr>
      <vt:lpstr>销售清单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wuyou</cp:lastModifiedBy>
  <dcterms:created xsi:type="dcterms:W3CDTF">2016-03-02T14:02:00Z</dcterms:created>
  <dcterms:modified xsi:type="dcterms:W3CDTF">2022-04-07T09:54:04Z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