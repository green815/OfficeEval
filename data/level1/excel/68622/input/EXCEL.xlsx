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 activeTab="1"/>
  </bookViews>
  <sheets>
    <sheet name="每日门店销售" sheetId="1" r:id="rId1"/>
    <sheet name="按年统计" sheetId="6" r:id="rId2"/>
    <sheet name="销售清单" sheetId="8" r:id="rId3"/>
  </sheets>
  <definedNames>
    <definedName name="_xlnm._FilterDatabase" localSheetId="0" hidden="1">每日门店销售!$A$1:$J$358</definedName>
  </definedNames>
  <calcPr calcId="144525"/>
</workbook>
</file>

<file path=xl/sharedStrings.xml><?xml version="1.0" encoding="utf-8"?>
<sst xmlns="http://schemas.openxmlformats.org/spreadsheetml/2006/main" count="762" uniqueCount="160">
  <si>
    <t>日期</t>
  </si>
  <si>
    <t>订单号</t>
  </si>
  <si>
    <t>商品</t>
  </si>
  <si>
    <t>区域</t>
  </si>
  <si>
    <t>门店</t>
  </si>
  <si>
    <t>品类</t>
  </si>
  <si>
    <t>收入</t>
  </si>
  <si>
    <t>数量</t>
  </si>
  <si>
    <t>销售单价</t>
  </si>
  <si>
    <t>成本</t>
  </si>
  <si>
    <t>毛利</t>
  </si>
  <si>
    <t>业绩表现</t>
  </si>
  <si>
    <t>神奇伸缩带柄滴水筛/沥水筛</t>
  </si>
  <si>
    <t>辽宁</t>
  </si>
  <si>
    <t>大西街店</t>
  </si>
  <si>
    <t>置物</t>
  </si>
  <si>
    <t>新款日式整理鞋架</t>
  </si>
  <si>
    <t>小精灵布艺纸巾抽（黄色）</t>
  </si>
  <si>
    <t>纸巾抽</t>
  </si>
  <si>
    <t>FFXS时尚红酒伞(鸟语花香白底银花)</t>
  </si>
  <si>
    <t>雨伞</t>
  </si>
  <si>
    <t>立体时钟12音</t>
  </si>
  <si>
    <t>益智玩具</t>
  </si>
  <si>
    <t>大脚丫敲琴 脚丫子五音琴</t>
  </si>
  <si>
    <t>MR.P套套表情牙签筒-哭脸</t>
  </si>
  <si>
    <t>牙签盒</t>
  </si>
  <si>
    <t>强力银河老品牌 毛球修剪器 剃绒器</t>
  </si>
  <si>
    <t>卫浴清洁</t>
  </si>
  <si>
    <t>长方形超大双面吸盘-白色</t>
  </si>
  <si>
    <t>新款一次性手套(150只装)</t>
  </si>
  <si>
    <t>好神/真神/好惠拖专用拖把头</t>
  </si>
  <si>
    <t>简装爱心超强双面吸盘贴物器-黄色</t>
  </si>
  <si>
    <t>方形测紫外线手机链</t>
  </si>
  <si>
    <t>手机周边</t>
  </si>
  <si>
    <t>新款七彩月亮小人灯</t>
  </si>
  <si>
    <t>发光玩具</t>
  </si>
  <si>
    <t>浪漫满屋声控蜡烛灯(七彩)</t>
  </si>
  <si>
    <t>ROCKY镶钻款手表</t>
  </si>
  <si>
    <t>山西</t>
  </si>
  <si>
    <t>铁西分店</t>
  </si>
  <si>
    <t>钟表</t>
  </si>
  <si>
    <t>炫彩四面钟</t>
  </si>
  <si>
    <t>太平分店</t>
  </si>
  <si>
    <t>2011年最新 DIY墙贴画钟（重叠）</t>
  </si>
  <si>
    <t>自然声音乐吧焕彩球闹钟</t>
  </si>
  <si>
    <t>FIYKL款手表</t>
  </si>
  <si>
    <t>铜锣湾店</t>
  </si>
  <si>
    <t>进口机芯 韩版街头潮女手表</t>
  </si>
  <si>
    <t>韩国潮人街女式手表</t>
  </si>
  <si>
    <t>Z形鞋架</t>
  </si>
  <si>
    <t>信和多功能组合式大碗盘收纳架/整理棚（0601-2）</t>
  </si>
  <si>
    <t>创意油漆滴落挂钩</t>
  </si>
  <si>
    <t>高品质彩色旅行折叠衣架 两用衣架(5个装)</t>
  </si>
  <si>
    <t>神奇魔术裤架(不锈钢管)</t>
  </si>
  <si>
    <t>双庆多功能置物架（1895）</t>
  </si>
  <si>
    <t>滴水碗盆收纳架－白色</t>
  </si>
  <si>
    <t>振兴圆形晒架12头旋转式钩头</t>
  </si>
  <si>
    <t>韩版奶牛垃圾桶(粉色)</t>
  </si>
  <si>
    <t>双庆吸盘卫浴毛巾架</t>
  </si>
  <si>
    <t>幸福100%爱心香皂盒</t>
  </si>
  <si>
    <t>双庆双层角落架</t>
  </si>
  <si>
    <t>多用途不锈钢厨房置物架（5698）</t>
  </si>
  <si>
    <t>一次性鞋套(100只装)</t>
  </si>
  <si>
    <t>优质带支架印花文胸护洗袋</t>
  </si>
  <si>
    <t>吸盘式立体MR.P挂钩</t>
  </si>
  <si>
    <t xml:space="preserve">创意游泳衣架 </t>
  </si>
  <si>
    <t>欧林樱花 日式两用厨房浴室多用挂</t>
  </si>
  <si>
    <t>圆点牛津布纸巾套/纸巾收纳盒（咖啡色）</t>
  </si>
  <si>
    <t>日本风味超大牙膏纸巾抽</t>
  </si>
  <si>
    <t>蒙娜丽莎超大牙膏纸巾抽</t>
  </si>
  <si>
    <t>小精灵布艺纸巾抽（绿色）</t>
  </si>
  <si>
    <t>大力水手超大牙膏纸巾抽</t>
  </si>
  <si>
    <t>黑色章鱼纸巾抽</t>
  </si>
  <si>
    <t>浪漫三合一蛋糕纸巾筒-天使</t>
  </si>
  <si>
    <t>FFXS可乐罐纸巾抽(可乐罐红)</t>
  </si>
  <si>
    <t>品佳创意缩口布艺纸巾抽</t>
  </si>
  <si>
    <t>台灯纸巾筒--心之乐章</t>
  </si>
  <si>
    <t>皱皮狗全身毛绒纸巾套/纸巾抽</t>
  </si>
  <si>
    <t>浪漫三合一蛋糕纸巾筒-老鼠</t>
  </si>
  <si>
    <t>超可爱毛绒粉色圆桶形猪猪纸巾筒</t>
  </si>
  <si>
    <t>浪漫三合一蛋糕纸巾筒-礼带</t>
  </si>
  <si>
    <t>圆点牛津布纸巾套/纸巾收纳盒（黑色）</t>
  </si>
  <si>
    <t>台灯纸巾筒--恋之吻(红)</t>
  </si>
  <si>
    <t>台灯纸巾筒--心之变幻</t>
  </si>
  <si>
    <t>FFXS时尚红酒伞(梦境树白)</t>
  </si>
  <si>
    <t>FFXS时尚红酒伞(牛牛开怀)</t>
  </si>
  <si>
    <t>FFXS时尚红酒伞(时尚女人)</t>
  </si>
  <si>
    <t>FFXS时尚红酒伞(0%蓝)</t>
  </si>
  <si>
    <t>FFXS时尚红酒伞(黑米奇)</t>
  </si>
  <si>
    <t>FFXS时尚红酒伞(梦境树粉)</t>
  </si>
  <si>
    <t>FFXS时尚红酒伞(绿衣男人)</t>
  </si>
  <si>
    <t>FFXS时尚红酒伞(可爱Mao Mao)</t>
  </si>
  <si>
    <t>FFXS时尚红酒伞(情侣-女)</t>
  </si>
  <si>
    <t>FFXS时尚红酒伞(恋爱男女)</t>
  </si>
  <si>
    <t>FFXS时尚红酒伞(非诚勿扰白)</t>
  </si>
  <si>
    <t>FFXS时尚红酒伞(非诚勿扰粉)</t>
  </si>
  <si>
    <t>FFXS时尚红酒伞(0%白)</t>
  </si>
  <si>
    <t>FFXS时尚红酒伞(天使)</t>
  </si>
  <si>
    <t>FFXS时尚红酒伞(0%黄)</t>
  </si>
  <si>
    <t>FFXS时尚红酒伞(白苹果)</t>
  </si>
  <si>
    <t>斑马立体八音琴 彩色琴</t>
  </si>
  <si>
    <t xml:space="preserve">米老鼠米奇五音敲琴 </t>
  </si>
  <si>
    <t>小兔八音手敲琴 敲击玩具</t>
  </si>
  <si>
    <t>小羊羊八音琴 八音琴拖车</t>
  </si>
  <si>
    <t>手指五音琴 卡通木敲琴</t>
  </si>
  <si>
    <t>手提青蛙八音琴</t>
  </si>
  <si>
    <t>立体长颈鹿八音琴 儿童易智玩具</t>
  </si>
  <si>
    <t>咖啡豆钥匙包</t>
  </si>
  <si>
    <t>钥匙扣</t>
  </si>
  <si>
    <t>八款动物钥匙扣伸缩笔SSB01</t>
  </si>
  <si>
    <t>家庭保健药箱</t>
  </si>
  <si>
    <t>药盒</t>
  </si>
  <si>
    <t>半圆形滑盖磨砂双格药盒</t>
  </si>
  <si>
    <t>大号半透明炫彩一周药盒-橙色</t>
  </si>
  <si>
    <t>扇形磨砂滑盖式一格药盒</t>
  </si>
  <si>
    <t>机灵兔牙签筒-红色</t>
  </si>
  <si>
    <t>MR.P套套表情牙签筒-笑脸</t>
  </si>
  <si>
    <t>创意梨子便签纸</t>
  </si>
  <si>
    <t>文体用品</t>
  </si>
  <si>
    <t>比赛专用12寸飞镖靶</t>
  </si>
  <si>
    <t>复古式 香味四合一DIY相框便签座（红色）</t>
  </si>
  <si>
    <t>铁盒装可爱妞子笔记本/日记本三件套装[铁盒+日记本+圆</t>
  </si>
  <si>
    <t>节日贺呀 教师节情人节贺卡/创意立体贺卡/卡片</t>
  </si>
  <si>
    <t>创意苹果便签纸</t>
  </si>
  <si>
    <t>韩国小吃美食橡皮擦（6块）</t>
  </si>
  <si>
    <t>复古式 香味四合一DIY相框便签座（黑色）</t>
  </si>
  <si>
    <t>爱情密码 情人/生日 12秒录音贺卡 笑脸蛋糕</t>
  </si>
  <si>
    <t>年份</t>
  </si>
  <si>
    <t>销售统计</t>
  </si>
  <si>
    <t>2016年</t>
  </si>
  <si>
    <t>2017年</t>
  </si>
  <si>
    <t>类别</t>
  </si>
  <si>
    <t>商品型号</t>
  </si>
  <si>
    <t>市场定价</t>
  </si>
  <si>
    <t>促销方式</t>
  </si>
  <si>
    <t>成交单价</t>
  </si>
  <si>
    <t>降价幅度</t>
  </si>
  <si>
    <t>销售额</t>
  </si>
  <si>
    <t>销售员</t>
  </si>
  <si>
    <t>冰箱</t>
  </si>
  <si>
    <t>海尔T1017</t>
  </si>
  <si>
    <t>降价</t>
  </si>
  <si>
    <t>A1</t>
  </si>
  <si>
    <t>彩电</t>
  </si>
  <si>
    <t>三星液晶169</t>
  </si>
  <si>
    <t>空调</t>
  </si>
  <si>
    <t>美的3110</t>
  </si>
  <si>
    <t>西门子610</t>
  </si>
  <si>
    <t>A2</t>
  </si>
  <si>
    <t>三星A108</t>
  </si>
  <si>
    <t>A3</t>
  </si>
  <si>
    <t>格力7650</t>
  </si>
  <si>
    <t>送大礼包</t>
  </si>
  <si>
    <t>长虹GDP60</t>
  </si>
  <si>
    <t>A4</t>
  </si>
  <si>
    <t>A5</t>
  </si>
  <si>
    <t>A6</t>
  </si>
  <si>
    <t>海尔KTP20P</t>
  </si>
  <si>
    <t>A7</t>
  </si>
  <si>
    <t>A8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</si>
</sst>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\¥#,##0.00;\¥\-#,##0.00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21" fillId="21" borderId="3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8"/>
  <sheetViews>
    <sheetView workbookViewId="0">
      <selection activeCell="A3" sqref="A3"/>
    </sheetView>
  </sheetViews>
  <sheetFormatPr defaultColWidth="9" defaultRowHeight="13.5"/>
  <cols>
    <col min="1" max="1" width="11.625" customWidth="1"/>
    <col min="3" max="3" width="22.5" customWidth="1"/>
    <col min="4" max="4" width="7.375" customWidth="1"/>
    <col min="5" max="5" width="12.5" customWidth="1"/>
    <col min="6" max="6" width="13.75" customWidth="1"/>
    <col min="9" max="9" width="13.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1">
      <c r="A2" s="9">
        <v>42891</v>
      </c>
      <c r="B2">
        <v>103046</v>
      </c>
      <c r="C2" t="s">
        <v>12</v>
      </c>
      <c r="D2" t="s">
        <v>13</v>
      </c>
      <c r="E2" t="s">
        <v>14</v>
      </c>
      <c r="F2" t="s">
        <v>15</v>
      </c>
      <c r="G2">
        <f>H2*I2</f>
        <v>175.23</v>
      </c>
      <c r="H2">
        <v>3</v>
      </c>
      <c r="I2">
        <v>58.41</v>
      </c>
      <c r="J2">
        <v>88</v>
      </c>
      <c r="K2">
        <v>87.23</v>
      </c>
    </row>
    <row r="3" spans="1:11">
      <c r="A3" s="9">
        <v>42984</v>
      </c>
      <c r="B3">
        <v>103544</v>
      </c>
      <c r="C3" t="s">
        <v>16</v>
      </c>
      <c r="D3" t="s">
        <v>13</v>
      </c>
      <c r="E3" t="s">
        <v>14</v>
      </c>
      <c r="F3" t="s">
        <v>15</v>
      </c>
      <c r="G3">
        <f t="shared" ref="G3:G66" si="0">H3*I3</f>
        <v>203.48</v>
      </c>
      <c r="H3">
        <v>4</v>
      </c>
      <c r="I3">
        <v>50.87</v>
      </c>
      <c r="J3">
        <v>100</v>
      </c>
      <c r="K3">
        <v>103.48</v>
      </c>
    </row>
    <row r="4" spans="1:11">
      <c r="A4" s="9">
        <v>42914</v>
      </c>
      <c r="B4">
        <v>103216</v>
      </c>
      <c r="C4" t="s">
        <v>17</v>
      </c>
      <c r="D4" t="s">
        <v>13</v>
      </c>
      <c r="E4" t="s">
        <v>14</v>
      </c>
      <c r="F4" t="s">
        <v>18</v>
      </c>
      <c r="G4">
        <f t="shared" si="0"/>
        <v>197</v>
      </c>
      <c r="H4">
        <v>10</v>
      </c>
      <c r="I4">
        <v>19.7</v>
      </c>
      <c r="J4">
        <v>98</v>
      </c>
      <c r="K4">
        <v>99</v>
      </c>
    </row>
    <row r="5" spans="1:11">
      <c r="A5" s="9">
        <v>43038</v>
      </c>
      <c r="B5">
        <v>102960</v>
      </c>
      <c r="C5" t="s">
        <v>19</v>
      </c>
      <c r="D5" t="s">
        <v>13</v>
      </c>
      <c r="E5" t="s">
        <v>14</v>
      </c>
      <c r="F5" t="s">
        <v>20</v>
      </c>
      <c r="G5">
        <f t="shared" si="0"/>
        <v>61.31</v>
      </c>
      <c r="H5">
        <v>1</v>
      </c>
      <c r="I5">
        <v>61.31</v>
      </c>
      <c r="J5">
        <v>30</v>
      </c>
      <c r="K5">
        <v>31.31</v>
      </c>
    </row>
    <row r="6" spans="1:11">
      <c r="A6" s="9">
        <v>42979</v>
      </c>
      <c r="B6">
        <v>102690</v>
      </c>
      <c r="C6" t="s">
        <v>21</v>
      </c>
      <c r="D6" t="s">
        <v>13</v>
      </c>
      <c r="E6" t="s">
        <v>14</v>
      </c>
      <c r="F6" t="s">
        <v>22</v>
      </c>
      <c r="G6">
        <f t="shared" si="0"/>
        <v>37.1</v>
      </c>
      <c r="H6">
        <v>1</v>
      </c>
      <c r="I6">
        <v>37.1</v>
      </c>
      <c r="J6">
        <v>19</v>
      </c>
      <c r="K6">
        <v>18.1</v>
      </c>
    </row>
    <row r="7" spans="1:11">
      <c r="A7" s="9">
        <v>42845</v>
      </c>
      <c r="B7">
        <v>103328</v>
      </c>
      <c r="C7" t="s">
        <v>23</v>
      </c>
      <c r="D7" t="s">
        <v>13</v>
      </c>
      <c r="E7" t="s">
        <v>14</v>
      </c>
      <c r="F7" t="s">
        <v>22</v>
      </c>
      <c r="G7">
        <f t="shared" si="0"/>
        <v>38.98</v>
      </c>
      <c r="H7">
        <v>1</v>
      </c>
      <c r="I7">
        <v>38.98</v>
      </c>
      <c r="J7">
        <v>19</v>
      </c>
      <c r="K7">
        <v>19.98</v>
      </c>
    </row>
    <row r="8" spans="1:11">
      <c r="A8" s="9">
        <v>42754</v>
      </c>
      <c r="B8">
        <v>103618</v>
      </c>
      <c r="C8" t="s">
        <v>24</v>
      </c>
      <c r="D8" t="s">
        <v>13</v>
      </c>
      <c r="E8" t="s">
        <v>14</v>
      </c>
      <c r="F8" t="s">
        <v>25</v>
      </c>
      <c r="G8">
        <f t="shared" si="0"/>
        <v>194.56</v>
      </c>
      <c r="H8">
        <v>8</v>
      </c>
      <c r="I8">
        <v>24.32</v>
      </c>
      <c r="J8">
        <v>97</v>
      </c>
      <c r="K8">
        <v>97.56</v>
      </c>
    </row>
    <row r="9" spans="1:11">
      <c r="A9" s="9">
        <v>42952</v>
      </c>
      <c r="B9">
        <v>103244</v>
      </c>
      <c r="C9" t="s">
        <v>26</v>
      </c>
      <c r="D9" t="s">
        <v>13</v>
      </c>
      <c r="E9" t="s">
        <v>14</v>
      </c>
      <c r="F9" t="s">
        <v>27</v>
      </c>
      <c r="G9">
        <f t="shared" si="0"/>
        <v>98.16</v>
      </c>
      <c r="H9">
        <v>2</v>
      </c>
      <c r="I9">
        <v>49.08</v>
      </c>
      <c r="J9">
        <v>49</v>
      </c>
      <c r="K9">
        <v>49.16</v>
      </c>
    </row>
    <row r="10" spans="1:11">
      <c r="A10" s="9">
        <v>42877</v>
      </c>
      <c r="B10">
        <v>103263</v>
      </c>
      <c r="C10" t="s">
        <v>28</v>
      </c>
      <c r="D10" t="s">
        <v>13</v>
      </c>
      <c r="E10" t="s">
        <v>14</v>
      </c>
      <c r="F10" t="s">
        <v>27</v>
      </c>
      <c r="G10">
        <f t="shared" si="0"/>
        <v>44.32</v>
      </c>
      <c r="H10">
        <v>8</v>
      </c>
      <c r="I10">
        <v>5.54</v>
      </c>
      <c r="J10">
        <v>22</v>
      </c>
      <c r="K10">
        <v>22.32</v>
      </c>
    </row>
    <row r="11" spans="1:11">
      <c r="A11" s="9">
        <v>42926</v>
      </c>
      <c r="B11">
        <v>103358</v>
      </c>
      <c r="C11" t="s">
        <v>29</v>
      </c>
      <c r="D11" t="s">
        <v>13</v>
      </c>
      <c r="E11" t="s">
        <v>14</v>
      </c>
      <c r="F11" t="s">
        <v>27</v>
      </c>
      <c r="G11">
        <f t="shared" si="0"/>
        <v>156</v>
      </c>
      <c r="H11">
        <v>2</v>
      </c>
      <c r="I11">
        <v>78</v>
      </c>
      <c r="J11">
        <v>78</v>
      </c>
      <c r="K11">
        <v>78</v>
      </c>
    </row>
    <row r="12" spans="1:11">
      <c r="A12" s="9">
        <v>43069</v>
      </c>
      <c r="B12">
        <v>103401</v>
      </c>
      <c r="C12" t="s">
        <v>30</v>
      </c>
      <c r="D12" t="s">
        <v>13</v>
      </c>
      <c r="E12" t="s">
        <v>14</v>
      </c>
      <c r="F12" t="s">
        <v>27</v>
      </c>
      <c r="G12">
        <f t="shared" si="0"/>
        <v>172.1</v>
      </c>
      <c r="H12">
        <v>10</v>
      </c>
      <c r="I12">
        <v>17.21</v>
      </c>
      <c r="J12">
        <v>86</v>
      </c>
      <c r="K12">
        <v>86.1</v>
      </c>
    </row>
    <row r="13" spans="1:11">
      <c r="A13" s="9">
        <v>42752</v>
      </c>
      <c r="B13">
        <v>103545</v>
      </c>
      <c r="C13" t="s">
        <v>31</v>
      </c>
      <c r="D13" t="s">
        <v>13</v>
      </c>
      <c r="E13" t="s">
        <v>14</v>
      </c>
      <c r="F13" t="s">
        <v>27</v>
      </c>
      <c r="G13">
        <f t="shared" si="0"/>
        <v>380.94</v>
      </c>
      <c r="H13">
        <v>6</v>
      </c>
      <c r="I13">
        <v>63.49</v>
      </c>
      <c r="J13">
        <v>190</v>
      </c>
      <c r="K13">
        <v>190.94</v>
      </c>
    </row>
    <row r="14" spans="1:11">
      <c r="A14" s="9">
        <v>43036</v>
      </c>
      <c r="B14">
        <v>102654</v>
      </c>
      <c r="C14" t="s">
        <v>32</v>
      </c>
      <c r="D14" t="s">
        <v>13</v>
      </c>
      <c r="E14" t="s">
        <v>14</v>
      </c>
      <c r="F14" t="s">
        <v>33</v>
      </c>
      <c r="G14">
        <f t="shared" si="0"/>
        <v>166.96</v>
      </c>
      <c r="H14">
        <v>8</v>
      </c>
      <c r="I14">
        <v>20.87</v>
      </c>
      <c r="J14">
        <v>83</v>
      </c>
      <c r="K14">
        <v>83.96</v>
      </c>
    </row>
    <row r="15" spans="1:11">
      <c r="A15" s="9">
        <v>42932</v>
      </c>
      <c r="B15">
        <v>102746</v>
      </c>
      <c r="C15" t="s">
        <v>34</v>
      </c>
      <c r="D15" t="s">
        <v>13</v>
      </c>
      <c r="E15" t="s">
        <v>14</v>
      </c>
      <c r="F15" t="s">
        <v>35</v>
      </c>
      <c r="G15">
        <f t="shared" si="0"/>
        <v>868.41</v>
      </c>
      <c r="H15">
        <v>9</v>
      </c>
      <c r="I15">
        <v>96.49</v>
      </c>
      <c r="J15">
        <v>434</v>
      </c>
      <c r="K15">
        <v>434.41</v>
      </c>
    </row>
    <row r="16" spans="1:11">
      <c r="A16" s="9">
        <v>43053</v>
      </c>
      <c r="B16">
        <v>103499</v>
      </c>
      <c r="C16" t="s">
        <v>36</v>
      </c>
      <c r="D16" t="s">
        <v>13</v>
      </c>
      <c r="E16" t="s">
        <v>14</v>
      </c>
      <c r="F16" t="s">
        <v>35</v>
      </c>
      <c r="G16">
        <f t="shared" si="0"/>
        <v>163.6</v>
      </c>
      <c r="H16">
        <v>8</v>
      </c>
      <c r="I16">
        <v>20.45</v>
      </c>
      <c r="J16">
        <v>81</v>
      </c>
      <c r="K16">
        <v>82.6</v>
      </c>
    </row>
    <row r="17" spans="1:11">
      <c r="A17" s="9">
        <v>42679</v>
      </c>
      <c r="B17">
        <v>100186</v>
      </c>
      <c r="C17" t="s">
        <v>37</v>
      </c>
      <c r="D17" t="s">
        <v>38</v>
      </c>
      <c r="E17" t="s">
        <v>39</v>
      </c>
      <c r="F17" t="s">
        <v>40</v>
      </c>
      <c r="G17">
        <f t="shared" si="0"/>
        <v>447.95</v>
      </c>
      <c r="H17">
        <v>5</v>
      </c>
      <c r="I17">
        <v>89.59</v>
      </c>
      <c r="J17">
        <v>223</v>
      </c>
      <c r="K17">
        <v>224.95</v>
      </c>
    </row>
    <row r="18" spans="1:11">
      <c r="A18" s="9">
        <v>42486</v>
      </c>
      <c r="B18">
        <v>100507</v>
      </c>
      <c r="C18" t="s">
        <v>41</v>
      </c>
      <c r="D18" t="s">
        <v>38</v>
      </c>
      <c r="E18" t="s">
        <v>42</v>
      </c>
      <c r="F18" t="s">
        <v>40</v>
      </c>
      <c r="G18">
        <f t="shared" si="0"/>
        <v>52.9</v>
      </c>
      <c r="H18">
        <v>2</v>
      </c>
      <c r="I18">
        <v>26.45</v>
      </c>
      <c r="J18">
        <v>26</v>
      </c>
      <c r="K18">
        <v>26.9</v>
      </c>
    </row>
    <row r="19" spans="1:11">
      <c r="A19" s="9">
        <v>42753</v>
      </c>
      <c r="B19">
        <v>102751</v>
      </c>
      <c r="C19" t="s">
        <v>43</v>
      </c>
      <c r="D19" t="s">
        <v>38</v>
      </c>
      <c r="E19" t="s">
        <v>39</v>
      </c>
      <c r="F19" t="s">
        <v>40</v>
      </c>
      <c r="G19">
        <f t="shared" si="0"/>
        <v>19.54</v>
      </c>
      <c r="H19">
        <v>1</v>
      </c>
      <c r="I19">
        <v>19.54</v>
      </c>
      <c r="J19">
        <v>9</v>
      </c>
      <c r="K19">
        <v>10.54</v>
      </c>
    </row>
    <row r="20" spans="1:11">
      <c r="A20" s="9">
        <v>42765</v>
      </c>
      <c r="B20">
        <v>102818</v>
      </c>
      <c r="C20" t="s">
        <v>44</v>
      </c>
      <c r="D20" t="s">
        <v>38</v>
      </c>
      <c r="E20" t="s">
        <v>42</v>
      </c>
      <c r="F20" t="s">
        <v>40</v>
      </c>
      <c r="G20">
        <f t="shared" si="0"/>
        <v>215.44</v>
      </c>
      <c r="H20">
        <v>4</v>
      </c>
      <c r="I20">
        <v>53.86</v>
      </c>
      <c r="J20">
        <v>107</v>
      </c>
      <c r="K20">
        <v>108.44</v>
      </c>
    </row>
    <row r="21" spans="1:11">
      <c r="A21" s="9">
        <v>43052</v>
      </c>
      <c r="B21">
        <v>103008</v>
      </c>
      <c r="C21" t="s">
        <v>45</v>
      </c>
      <c r="D21" t="s">
        <v>38</v>
      </c>
      <c r="E21" t="s">
        <v>46</v>
      </c>
      <c r="F21" t="s">
        <v>40</v>
      </c>
      <c r="G21">
        <f t="shared" si="0"/>
        <v>65.9</v>
      </c>
      <c r="H21">
        <v>5</v>
      </c>
      <c r="I21">
        <v>13.18</v>
      </c>
      <c r="J21">
        <v>32</v>
      </c>
      <c r="K21">
        <v>33.9</v>
      </c>
    </row>
    <row r="22" spans="1:11">
      <c r="A22" s="9">
        <v>42782</v>
      </c>
      <c r="B22">
        <v>103055</v>
      </c>
      <c r="C22" t="s">
        <v>44</v>
      </c>
      <c r="D22" t="s">
        <v>38</v>
      </c>
      <c r="E22" t="s">
        <v>46</v>
      </c>
      <c r="F22" t="s">
        <v>40</v>
      </c>
      <c r="G22">
        <f t="shared" si="0"/>
        <v>253.19</v>
      </c>
      <c r="H22">
        <v>7</v>
      </c>
      <c r="I22">
        <v>36.17</v>
      </c>
      <c r="J22">
        <v>126</v>
      </c>
      <c r="K22">
        <v>127.19</v>
      </c>
    </row>
    <row r="23" spans="1:11">
      <c r="A23" s="9">
        <v>42965</v>
      </c>
      <c r="B23">
        <v>103094</v>
      </c>
      <c r="C23" t="s">
        <v>47</v>
      </c>
      <c r="D23" t="s">
        <v>38</v>
      </c>
      <c r="E23" t="s">
        <v>42</v>
      </c>
      <c r="F23" t="s">
        <v>40</v>
      </c>
      <c r="G23">
        <f t="shared" si="0"/>
        <v>37.35</v>
      </c>
      <c r="H23">
        <v>5</v>
      </c>
      <c r="I23">
        <v>7.47</v>
      </c>
      <c r="J23">
        <v>18</v>
      </c>
      <c r="K23">
        <v>19.35</v>
      </c>
    </row>
    <row r="24" spans="1:11">
      <c r="A24" s="9">
        <v>42956</v>
      </c>
      <c r="B24">
        <v>103603</v>
      </c>
      <c r="C24" t="s">
        <v>48</v>
      </c>
      <c r="D24" t="s">
        <v>38</v>
      </c>
      <c r="E24" t="s">
        <v>42</v>
      </c>
      <c r="F24" t="s">
        <v>40</v>
      </c>
      <c r="G24">
        <f t="shared" si="0"/>
        <v>368.32</v>
      </c>
      <c r="H24">
        <v>8</v>
      </c>
      <c r="I24">
        <v>46.04</v>
      </c>
      <c r="J24">
        <v>184</v>
      </c>
      <c r="K24">
        <v>184.32</v>
      </c>
    </row>
    <row r="25" spans="1:11">
      <c r="A25" s="9">
        <v>42528</v>
      </c>
      <c r="B25">
        <v>100052</v>
      </c>
      <c r="C25" t="s">
        <v>49</v>
      </c>
      <c r="D25" t="s">
        <v>38</v>
      </c>
      <c r="E25" t="s">
        <v>39</v>
      </c>
      <c r="F25" t="s">
        <v>15</v>
      </c>
      <c r="G25">
        <f t="shared" si="0"/>
        <v>351.28</v>
      </c>
      <c r="H25">
        <v>8</v>
      </c>
      <c r="I25">
        <v>43.91</v>
      </c>
      <c r="J25">
        <v>175</v>
      </c>
      <c r="K25">
        <v>176.28</v>
      </c>
    </row>
    <row r="26" spans="1:11">
      <c r="A26" s="9">
        <v>42703</v>
      </c>
      <c r="B26">
        <v>100193</v>
      </c>
      <c r="C26" t="s">
        <v>50</v>
      </c>
      <c r="D26" t="s">
        <v>38</v>
      </c>
      <c r="E26" t="s">
        <v>39</v>
      </c>
      <c r="F26" t="s">
        <v>15</v>
      </c>
      <c r="G26">
        <f t="shared" si="0"/>
        <v>241.71</v>
      </c>
      <c r="H26">
        <v>3</v>
      </c>
      <c r="I26">
        <v>80.57</v>
      </c>
      <c r="J26">
        <v>120</v>
      </c>
      <c r="K26">
        <v>121.71</v>
      </c>
    </row>
    <row r="27" spans="1:11">
      <c r="A27" s="9">
        <v>42556</v>
      </c>
      <c r="B27">
        <v>100259</v>
      </c>
      <c r="C27" t="s">
        <v>51</v>
      </c>
      <c r="D27" t="s">
        <v>38</v>
      </c>
      <c r="E27" t="s">
        <v>42</v>
      </c>
      <c r="F27" t="s">
        <v>15</v>
      </c>
      <c r="G27">
        <f t="shared" si="0"/>
        <v>181.5</v>
      </c>
      <c r="H27">
        <v>6</v>
      </c>
      <c r="I27">
        <v>30.25</v>
      </c>
      <c r="J27">
        <v>90</v>
      </c>
      <c r="K27">
        <v>91.5</v>
      </c>
    </row>
    <row r="28" spans="1:11">
      <c r="A28" s="9">
        <v>42411</v>
      </c>
      <c r="B28">
        <v>100351</v>
      </c>
      <c r="C28" t="s">
        <v>52</v>
      </c>
      <c r="D28" t="s">
        <v>38</v>
      </c>
      <c r="E28" t="s">
        <v>39</v>
      </c>
      <c r="F28" t="s">
        <v>15</v>
      </c>
      <c r="G28">
        <f t="shared" si="0"/>
        <v>3.12</v>
      </c>
      <c r="H28">
        <v>8</v>
      </c>
      <c r="I28">
        <v>0.39</v>
      </c>
      <c r="J28">
        <v>1</v>
      </c>
      <c r="K28">
        <v>2.12</v>
      </c>
    </row>
    <row r="29" spans="1:11">
      <c r="A29" s="9">
        <v>42418</v>
      </c>
      <c r="B29">
        <v>100510</v>
      </c>
      <c r="C29" t="s">
        <v>50</v>
      </c>
      <c r="D29" t="s">
        <v>38</v>
      </c>
      <c r="E29" t="s">
        <v>39</v>
      </c>
      <c r="F29" t="s">
        <v>15</v>
      </c>
      <c r="G29">
        <f t="shared" si="0"/>
        <v>419.93</v>
      </c>
      <c r="H29">
        <v>7</v>
      </c>
      <c r="I29">
        <v>59.99</v>
      </c>
      <c r="J29">
        <v>209</v>
      </c>
      <c r="K29">
        <v>210.93</v>
      </c>
    </row>
    <row r="30" spans="1:11">
      <c r="A30" s="9">
        <v>43002</v>
      </c>
      <c r="B30">
        <v>102664</v>
      </c>
      <c r="C30" t="s">
        <v>53</v>
      </c>
      <c r="D30" t="s">
        <v>38</v>
      </c>
      <c r="E30" t="s">
        <v>39</v>
      </c>
      <c r="F30" t="s">
        <v>15</v>
      </c>
      <c r="G30">
        <f t="shared" si="0"/>
        <v>308.3</v>
      </c>
      <c r="H30">
        <v>5</v>
      </c>
      <c r="I30">
        <v>61.66</v>
      </c>
      <c r="J30">
        <v>154</v>
      </c>
      <c r="K30">
        <v>154.3</v>
      </c>
    </row>
    <row r="31" spans="1:11">
      <c r="A31" s="9">
        <v>43034</v>
      </c>
      <c r="B31">
        <v>102732</v>
      </c>
      <c r="C31" t="s">
        <v>54</v>
      </c>
      <c r="D31" t="s">
        <v>38</v>
      </c>
      <c r="E31" t="s">
        <v>46</v>
      </c>
      <c r="F31" t="s">
        <v>15</v>
      </c>
      <c r="G31">
        <f t="shared" si="0"/>
        <v>20.96</v>
      </c>
      <c r="H31">
        <v>4</v>
      </c>
      <c r="I31">
        <v>5.24</v>
      </c>
      <c r="J31">
        <v>10</v>
      </c>
      <c r="K31">
        <v>10.96</v>
      </c>
    </row>
    <row r="32" spans="1:11">
      <c r="A32" s="9">
        <v>42828</v>
      </c>
      <c r="B32">
        <v>102800</v>
      </c>
      <c r="C32" t="s">
        <v>50</v>
      </c>
      <c r="D32" t="s">
        <v>38</v>
      </c>
      <c r="E32" t="s">
        <v>39</v>
      </c>
      <c r="F32" t="s">
        <v>15</v>
      </c>
      <c r="G32">
        <f t="shared" si="0"/>
        <v>712.2</v>
      </c>
      <c r="H32">
        <v>10</v>
      </c>
      <c r="I32">
        <v>71.22</v>
      </c>
      <c r="J32">
        <v>356</v>
      </c>
      <c r="K32">
        <v>356.2</v>
      </c>
    </row>
    <row r="33" spans="1:11">
      <c r="A33" s="9">
        <v>42893</v>
      </c>
      <c r="B33">
        <v>102952</v>
      </c>
      <c r="C33" t="s">
        <v>55</v>
      </c>
      <c r="D33" t="s">
        <v>38</v>
      </c>
      <c r="E33" t="s">
        <v>39</v>
      </c>
      <c r="F33" t="s">
        <v>15</v>
      </c>
      <c r="G33">
        <f t="shared" si="0"/>
        <v>163.17</v>
      </c>
      <c r="H33">
        <v>3</v>
      </c>
      <c r="I33">
        <v>54.39</v>
      </c>
      <c r="J33">
        <v>81</v>
      </c>
      <c r="K33">
        <v>82.17</v>
      </c>
    </row>
    <row r="34" spans="1:11">
      <c r="A34" s="9">
        <v>43039</v>
      </c>
      <c r="B34">
        <v>102981</v>
      </c>
      <c r="C34" t="s">
        <v>56</v>
      </c>
      <c r="D34" t="s">
        <v>38</v>
      </c>
      <c r="E34" t="s">
        <v>42</v>
      </c>
      <c r="F34" t="s">
        <v>15</v>
      </c>
      <c r="G34">
        <f t="shared" si="0"/>
        <v>11.61</v>
      </c>
      <c r="H34">
        <v>1</v>
      </c>
      <c r="I34">
        <v>11.61</v>
      </c>
      <c r="J34">
        <v>5</v>
      </c>
      <c r="K34">
        <v>6.61</v>
      </c>
    </row>
    <row r="35" spans="1:11">
      <c r="A35" s="9">
        <v>42804</v>
      </c>
      <c r="B35">
        <v>103012</v>
      </c>
      <c r="C35" t="s">
        <v>57</v>
      </c>
      <c r="D35" t="s">
        <v>38</v>
      </c>
      <c r="E35" t="s">
        <v>39</v>
      </c>
      <c r="F35" t="s">
        <v>15</v>
      </c>
      <c r="G35">
        <f t="shared" si="0"/>
        <v>69.12</v>
      </c>
      <c r="H35">
        <v>3</v>
      </c>
      <c r="I35">
        <v>23.04</v>
      </c>
      <c r="J35">
        <v>34</v>
      </c>
      <c r="K35">
        <v>35.12</v>
      </c>
    </row>
    <row r="36" spans="1:11">
      <c r="A36" s="9">
        <v>42862</v>
      </c>
      <c r="B36">
        <v>103076</v>
      </c>
      <c r="C36" t="s">
        <v>58</v>
      </c>
      <c r="D36" t="s">
        <v>38</v>
      </c>
      <c r="E36" t="s">
        <v>42</v>
      </c>
      <c r="F36" t="s">
        <v>15</v>
      </c>
      <c r="G36">
        <f t="shared" si="0"/>
        <v>284.4</v>
      </c>
      <c r="H36">
        <v>10</v>
      </c>
      <c r="I36">
        <v>28.44</v>
      </c>
      <c r="J36">
        <v>142</v>
      </c>
      <c r="K36">
        <v>142.4</v>
      </c>
    </row>
    <row r="37" spans="1:11">
      <c r="A37" s="9">
        <v>42845</v>
      </c>
      <c r="B37">
        <v>103221</v>
      </c>
      <c r="C37" t="s">
        <v>59</v>
      </c>
      <c r="D37" t="s">
        <v>38</v>
      </c>
      <c r="E37" t="s">
        <v>39</v>
      </c>
      <c r="F37" t="s">
        <v>15</v>
      </c>
      <c r="G37">
        <f t="shared" si="0"/>
        <v>338.48</v>
      </c>
      <c r="H37">
        <v>8</v>
      </c>
      <c r="I37">
        <v>42.31</v>
      </c>
      <c r="J37">
        <v>169</v>
      </c>
      <c r="K37">
        <v>169.48</v>
      </c>
    </row>
    <row r="38" spans="1:11">
      <c r="A38" s="9">
        <v>42866</v>
      </c>
      <c r="B38">
        <v>103245</v>
      </c>
      <c r="C38" t="s">
        <v>60</v>
      </c>
      <c r="D38" t="s">
        <v>38</v>
      </c>
      <c r="E38" t="s">
        <v>46</v>
      </c>
      <c r="F38" t="s">
        <v>15</v>
      </c>
      <c r="G38">
        <f t="shared" si="0"/>
        <v>49.92</v>
      </c>
      <c r="H38">
        <v>1</v>
      </c>
      <c r="I38">
        <v>49.92</v>
      </c>
      <c r="J38">
        <v>24</v>
      </c>
      <c r="K38">
        <v>25.92</v>
      </c>
    </row>
    <row r="39" spans="1:11">
      <c r="A39" s="9">
        <v>42771</v>
      </c>
      <c r="B39">
        <v>103308</v>
      </c>
      <c r="C39" t="s">
        <v>61</v>
      </c>
      <c r="D39" t="s">
        <v>38</v>
      </c>
      <c r="E39" t="s">
        <v>42</v>
      </c>
      <c r="F39" t="s">
        <v>15</v>
      </c>
      <c r="G39">
        <f t="shared" si="0"/>
        <v>74</v>
      </c>
      <c r="H39">
        <v>5</v>
      </c>
      <c r="I39">
        <v>14.8</v>
      </c>
      <c r="J39">
        <v>37</v>
      </c>
      <c r="K39">
        <v>37</v>
      </c>
    </row>
    <row r="40" spans="1:11">
      <c r="A40" s="9">
        <v>42748</v>
      </c>
      <c r="B40">
        <v>103330</v>
      </c>
      <c r="C40" t="s">
        <v>62</v>
      </c>
      <c r="D40" t="s">
        <v>38</v>
      </c>
      <c r="E40" t="s">
        <v>39</v>
      </c>
      <c r="F40" t="s">
        <v>15</v>
      </c>
      <c r="G40">
        <f t="shared" si="0"/>
        <v>822.06</v>
      </c>
      <c r="H40">
        <v>9</v>
      </c>
      <c r="I40">
        <v>91.34</v>
      </c>
      <c r="J40">
        <v>411</v>
      </c>
      <c r="K40">
        <v>411.06</v>
      </c>
    </row>
    <row r="41" spans="1:11">
      <c r="A41" s="9">
        <v>42838</v>
      </c>
      <c r="B41">
        <v>103417</v>
      </c>
      <c r="C41" t="s">
        <v>63</v>
      </c>
      <c r="D41" t="s">
        <v>38</v>
      </c>
      <c r="E41" t="s">
        <v>42</v>
      </c>
      <c r="F41" t="s">
        <v>15</v>
      </c>
      <c r="G41">
        <f t="shared" si="0"/>
        <v>38.92</v>
      </c>
      <c r="H41">
        <v>7</v>
      </c>
      <c r="I41">
        <v>5.56</v>
      </c>
      <c r="J41">
        <v>19</v>
      </c>
      <c r="K41">
        <v>19.92</v>
      </c>
    </row>
    <row r="42" spans="1:11">
      <c r="A42" s="9">
        <v>42905</v>
      </c>
      <c r="B42">
        <v>103456</v>
      </c>
      <c r="C42" t="s">
        <v>64</v>
      </c>
      <c r="D42" t="s">
        <v>38</v>
      </c>
      <c r="E42" t="s">
        <v>42</v>
      </c>
      <c r="F42" t="s">
        <v>15</v>
      </c>
      <c r="G42">
        <f t="shared" si="0"/>
        <v>448.8</v>
      </c>
      <c r="H42">
        <v>5</v>
      </c>
      <c r="I42">
        <v>89.76</v>
      </c>
      <c r="J42">
        <v>224</v>
      </c>
      <c r="K42">
        <v>224.8</v>
      </c>
    </row>
    <row r="43" spans="1:11">
      <c r="A43" s="9">
        <v>43094</v>
      </c>
      <c r="B43">
        <v>103518</v>
      </c>
      <c r="C43" t="s">
        <v>64</v>
      </c>
      <c r="D43" t="s">
        <v>38</v>
      </c>
      <c r="E43" t="s">
        <v>46</v>
      </c>
      <c r="F43" t="s">
        <v>15</v>
      </c>
      <c r="G43">
        <f t="shared" si="0"/>
        <v>85.88</v>
      </c>
      <c r="H43">
        <v>2</v>
      </c>
      <c r="I43">
        <v>42.94</v>
      </c>
      <c r="J43">
        <v>42</v>
      </c>
      <c r="K43">
        <v>43.88</v>
      </c>
    </row>
    <row r="44" spans="1:11">
      <c r="A44" s="9">
        <v>43059</v>
      </c>
      <c r="B44">
        <v>103582</v>
      </c>
      <c r="C44" t="s">
        <v>65</v>
      </c>
      <c r="D44" t="s">
        <v>38</v>
      </c>
      <c r="E44" t="s">
        <v>42</v>
      </c>
      <c r="F44" t="s">
        <v>15</v>
      </c>
      <c r="G44">
        <f t="shared" si="0"/>
        <v>97.3</v>
      </c>
      <c r="H44">
        <v>7</v>
      </c>
      <c r="I44">
        <v>13.9</v>
      </c>
      <c r="J44">
        <v>48</v>
      </c>
      <c r="K44">
        <v>49.3</v>
      </c>
    </row>
    <row r="45" spans="1:11">
      <c r="A45" s="9">
        <v>42769</v>
      </c>
      <c r="B45">
        <v>103704</v>
      </c>
      <c r="C45" t="s">
        <v>66</v>
      </c>
      <c r="D45" t="s">
        <v>38</v>
      </c>
      <c r="E45" t="s">
        <v>39</v>
      </c>
      <c r="F45" t="s">
        <v>15</v>
      </c>
      <c r="G45">
        <f t="shared" si="0"/>
        <v>342.42</v>
      </c>
      <c r="H45">
        <v>6</v>
      </c>
      <c r="I45">
        <v>57.07</v>
      </c>
      <c r="J45">
        <v>171</v>
      </c>
      <c r="K45">
        <v>171.42</v>
      </c>
    </row>
    <row r="46" spans="1:11">
      <c r="A46" s="9">
        <v>42439</v>
      </c>
      <c r="B46">
        <v>100123</v>
      </c>
      <c r="C46" t="s">
        <v>67</v>
      </c>
      <c r="D46" t="s">
        <v>38</v>
      </c>
      <c r="E46" t="s">
        <v>42</v>
      </c>
      <c r="F46" t="s">
        <v>18</v>
      </c>
      <c r="G46">
        <f t="shared" si="0"/>
        <v>82.55</v>
      </c>
      <c r="H46">
        <v>1</v>
      </c>
      <c r="I46">
        <v>82.55</v>
      </c>
      <c r="J46">
        <v>41</v>
      </c>
      <c r="K46">
        <v>41.55</v>
      </c>
    </row>
    <row r="47" spans="1:11">
      <c r="A47" s="9">
        <v>42515</v>
      </c>
      <c r="B47">
        <v>100478</v>
      </c>
      <c r="C47" t="s">
        <v>68</v>
      </c>
      <c r="D47" t="s">
        <v>38</v>
      </c>
      <c r="E47" t="s">
        <v>46</v>
      </c>
      <c r="F47" t="s">
        <v>18</v>
      </c>
      <c r="G47">
        <f t="shared" si="0"/>
        <v>13.99</v>
      </c>
      <c r="H47">
        <v>1</v>
      </c>
      <c r="I47">
        <v>13.99</v>
      </c>
      <c r="J47">
        <v>6</v>
      </c>
      <c r="K47">
        <v>7.99</v>
      </c>
    </row>
    <row r="48" spans="1:11">
      <c r="A48" s="9">
        <v>42586</v>
      </c>
      <c r="B48">
        <v>100565</v>
      </c>
      <c r="C48" t="s">
        <v>69</v>
      </c>
      <c r="D48" t="s">
        <v>38</v>
      </c>
      <c r="E48" t="s">
        <v>42</v>
      </c>
      <c r="F48" t="s">
        <v>18</v>
      </c>
      <c r="G48">
        <f t="shared" si="0"/>
        <v>90.63</v>
      </c>
      <c r="H48">
        <v>3</v>
      </c>
      <c r="I48">
        <v>30.21</v>
      </c>
      <c r="J48">
        <v>45</v>
      </c>
      <c r="K48">
        <v>45.63</v>
      </c>
    </row>
    <row r="49" spans="1:11">
      <c r="A49" s="9">
        <v>42950</v>
      </c>
      <c r="B49">
        <v>102646</v>
      </c>
      <c r="C49" t="s">
        <v>70</v>
      </c>
      <c r="D49" t="s">
        <v>38</v>
      </c>
      <c r="E49" t="s">
        <v>42</v>
      </c>
      <c r="F49" t="s">
        <v>18</v>
      </c>
      <c r="G49">
        <f t="shared" si="0"/>
        <v>144.76</v>
      </c>
      <c r="H49">
        <v>7</v>
      </c>
      <c r="I49">
        <v>20.68</v>
      </c>
      <c r="J49">
        <v>72</v>
      </c>
      <c r="K49">
        <v>72.76</v>
      </c>
    </row>
    <row r="50" spans="1:11">
      <c r="A50" s="9">
        <v>42835</v>
      </c>
      <c r="B50">
        <v>102663</v>
      </c>
      <c r="C50" t="s">
        <v>71</v>
      </c>
      <c r="D50" t="s">
        <v>38</v>
      </c>
      <c r="E50" t="s">
        <v>42</v>
      </c>
      <c r="F50" t="s">
        <v>18</v>
      </c>
      <c r="G50">
        <f t="shared" si="0"/>
        <v>259</v>
      </c>
      <c r="H50">
        <v>10</v>
      </c>
      <c r="I50">
        <v>25.9</v>
      </c>
      <c r="J50">
        <v>129</v>
      </c>
      <c r="K50">
        <v>130</v>
      </c>
    </row>
    <row r="51" spans="1:11">
      <c r="A51" s="9">
        <v>43067</v>
      </c>
      <c r="B51">
        <v>102733</v>
      </c>
      <c r="C51" t="s">
        <v>68</v>
      </c>
      <c r="D51" t="s">
        <v>38</v>
      </c>
      <c r="E51" t="s">
        <v>46</v>
      </c>
      <c r="F51" t="s">
        <v>18</v>
      </c>
      <c r="G51">
        <f t="shared" si="0"/>
        <v>389.16</v>
      </c>
      <c r="H51">
        <v>4</v>
      </c>
      <c r="I51">
        <v>97.29</v>
      </c>
      <c r="J51">
        <v>194</v>
      </c>
      <c r="K51">
        <v>195.16</v>
      </c>
    </row>
    <row r="52" spans="1:11">
      <c r="A52" s="9">
        <v>42809</v>
      </c>
      <c r="B52">
        <v>102750</v>
      </c>
      <c r="C52" t="s">
        <v>72</v>
      </c>
      <c r="D52" t="s">
        <v>38</v>
      </c>
      <c r="E52" t="s">
        <v>42</v>
      </c>
      <c r="F52" t="s">
        <v>18</v>
      </c>
      <c r="G52">
        <f t="shared" si="0"/>
        <v>7.4</v>
      </c>
      <c r="H52">
        <v>2</v>
      </c>
      <c r="I52">
        <v>3.7</v>
      </c>
      <c r="J52">
        <v>3</v>
      </c>
      <c r="K52">
        <v>4.4</v>
      </c>
    </row>
    <row r="53" spans="1:11">
      <c r="A53" s="9">
        <v>42804</v>
      </c>
      <c r="B53">
        <v>102824</v>
      </c>
      <c r="C53" t="s">
        <v>73</v>
      </c>
      <c r="D53" t="s">
        <v>38</v>
      </c>
      <c r="E53" t="s">
        <v>39</v>
      </c>
      <c r="F53" t="s">
        <v>18</v>
      </c>
      <c r="G53">
        <f t="shared" si="0"/>
        <v>379.8</v>
      </c>
      <c r="H53">
        <v>10</v>
      </c>
      <c r="I53">
        <v>37.98</v>
      </c>
      <c r="J53">
        <v>189</v>
      </c>
      <c r="K53">
        <v>190.8</v>
      </c>
    </row>
    <row r="54" spans="1:11">
      <c r="A54" s="9">
        <v>42905</v>
      </c>
      <c r="B54">
        <v>102871</v>
      </c>
      <c r="C54" t="s">
        <v>74</v>
      </c>
      <c r="D54" t="s">
        <v>38</v>
      </c>
      <c r="E54" t="s">
        <v>46</v>
      </c>
      <c r="F54" t="s">
        <v>18</v>
      </c>
      <c r="G54">
        <f t="shared" si="0"/>
        <v>30.9</v>
      </c>
      <c r="H54">
        <v>1</v>
      </c>
      <c r="I54">
        <v>30.9</v>
      </c>
      <c r="J54">
        <v>15</v>
      </c>
      <c r="K54">
        <v>15.9</v>
      </c>
    </row>
    <row r="55" spans="1:11">
      <c r="A55" s="9">
        <v>42905</v>
      </c>
      <c r="B55">
        <v>102921</v>
      </c>
      <c r="C55" t="s">
        <v>75</v>
      </c>
      <c r="D55" t="s">
        <v>38</v>
      </c>
      <c r="E55" t="s">
        <v>39</v>
      </c>
      <c r="F55" t="s">
        <v>18</v>
      </c>
      <c r="G55">
        <f t="shared" si="0"/>
        <v>179.68</v>
      </c>
      <c r="H55">
        <v>8</v>
      </c>
      <c r="I55">
        <v>22.46</v>
      </c>
      <c r="J55">
        <v>89</v>
      </c>
      <c r="K55">
        <v>90.68</v>
      </c>
    </row>
    <row r="56" spans="1:11">
      <c r="A56" s="9">
        <v>42809</v>
      </c>
      <c r="B56">
        <v>102941</v>
      </c>
      <c r="C56" t="s">
        <v>76</v>
      </c>
      <c r="D56" t="s">
        <v>38</v>
      </c>
      <c r="E56" t="s">
        <v>42</v>
      </c>
      <c r="F56" t="s">
        <v>18</v>
      </c>
      <c r="G56">
        <f t="shared" si="0"/>
        <v>699.66</v>
      </c>
      <c r="H56">
        <v>9</v>
      </c>
      <c r="I56">
        <v>77.74</v>
      </c>
      <c r="J56">
        <v>349</v>
      </c>
      <c r="K56">
        <v>350.66</v>
      </c>
    </row>
    <row r="57" spans="1:11">
      <c r="A57" s="9">
        <v>43047</v>
      </c>
      <c r="B57">
        <v>102961</v>
      </c>
      <c r="C57" t="s">
        <v>77</v>
      </c>
      <c r="D57" t="s">
        <v>38</v>
      </c>
      <c r="E57" t="s">
        <v>42</v>
      </c>
      <c r="F57" t="s">
        <v>18</v>
      </c>
      <c r="G57">
        <f t="shared" si="0"/>
        <v>19.04</v>
      </c>
      <c r="H57">
        <v>4</v>
      </c>
      <c r="I57">
        <v>4.76</v>
      </c>
      <c r="J57">
        <v>9</v>
      </c>
      <c r="K57">
        <v>10.04</v>
      </c>
    </row>
    <row r="58" spans="1:11">
      <c r="A58" s="9">
        <v>42741</v>
      </c>
      <c r="B58">
        <v>103045</v>
      </c>
      <c r="C58" t="s">
        <v>78</v>
      </c>
      <c r="D58" t="s">
        <v>38</v>
      </c>
      <c r="E58" t="s">
        <v>42</v>
      </c>
      <c r="F58" t="s">
        <v>18</v>
      </c>
      <c r="G58">
        <f t="shared" si="0"/>
        <v>309</v>
      </c>
      <c r="H58">
        <v>5</v>
      </c>
      <c r="I58">
        <v>61.8</v>
      </c>
      <c r="J58">
        <v>154</v>
      </c>
      <c r="K58">
        <v>155</v>
      </c>
    </row>
    <row r="59" spans="1:11">
      <c r="A59" s="9">
        <v>42998</v>
      </c>
      <c r="B59">
        <v>103059</v>
      </c>
      <c r="C59" t="s">
        <v>77</v>
      </c>
      <c r="D59" t="s">
        <v>38</v>
      </c>
      <c r="E59" t="s">
        <v>39</v>
      </c>
      <c r="F59" t="s">
        <v>18</v>
      </c>
      <c r="G59">
        <f t="shared" si="0"/>
        <v>456.2</v>
      </c>
      <c r="H59">
        <v>10</v>
      </c>
      <c r="I59">
        <v>45.62</v>
      </c>
      <c r="J59">
        <v>228</v>
      </c>
      <c r="K59">
        <v>228.2</v>
      </c>
    </row>
    <row r="60" spans="1:11">
      <c r="A60" s="9">
        <v>42971</v>
      </c>
      <c r="B60">
        <v>103254</v>
      </c>
      <c r="C60" t="s">
        <v>78</v>
      </c>
      <c r="D60" t="s">
        <v>38</v>
      </c>
      <c r="E60" t="s">
        <v>46</v>
      </c>
      <c r="F60" t="s">
        <v>18</v>
      </c>
      <c r="G60">
        <f t="shared" si="0"/>
        <v>270.9</v>
      </c>
      <c r="H60">
        <v>6</v>
      </c>
      <c r="I60">
        <v>45.15</v>
      </c>
      <c r="J60">
        <v>135</v>
      </c>
      <c r="K60">
        <v>135.9</v>
      </c>
    </row>
    <row r="61" spans="1:11">
      <c r="A61" s="9">
        <v>42811</v>
      </c>
      <c r="B61">
        <v>103288</v>
      </c>
      <c r="C61" t="s">
        <v>79</v>
      </c>
      <c r="D61" t="s">
        <v>38</v>
      </c>
      <c r="E61" t="s">
        <v>39</v>
      </c>
      <c r="F61" t="s">
        <v>18</v>
      </c>
      <c r="G61">
        <f t="shared" si="0"/>
        <v>129.27</v>
      </c>
      <c r="H61">
        <v>3</v>
      </c>
      <c r="I61">
        <v>43.09</v>
      </c>
      <c r="J61">
        <v>64</v>
      </c>
      <c r="K61">
        <v>65.27</v>
      </c>
    </row>
    <row r="62" spans="1:11">
      <c r="A62" s="9">
        <v>43093</v>
      </c>
      <c r="B62">
        <v>103297</v>
      </c>
      <c r="C62" t="s">
        <v>80</v>
      </c>
      <c r="D62" t="s">
        <v>38</v>
      </c>
      <c r="E62" t="s">
        <v>46</v>
      </c>
      <c r="F62" t="s">
        <v>18</v>
      </c>
      <c r="G62">
        <f t="shared" si="0"/>
        <v>119.25</v>
      </c>
      <c r="H62">
        <v>5</v>
      </c>
      <c r="I62">
        <v>23.85</v>
      </c>
      <c r="J62">
        <v>59</v>
      </c>
      <c r="K62">
        <v>60.25</v>
      </c>
    </row>
    <row r="63" spans="1:11">
      <c r="A63" s="9">
        <v>43047</v>
      </c>
      <c r="B63">
        <v>103454</v>
      </c>
      <c r="C63" t="s">
        <v>81</v>
      </c>
      <c r="D63" t="s">
        <v>38</v>
      </c>
      <c r="E63" t="s">
        <v>46</v>
      </c>
      <c r="F63" t="s">
        <v>18</v>
      </c>
      <c r="G63">
        <f t="shared" si="0"/>
        <v>158.28</v>
      </c>
      <c r="H63">
        <v>6</v>
      </c>
      <c r="I63">
        <v>26.38</v>
      </c>
      <c r="J63">
        <v>79</v>
      </c>
      <c r="K63">
        <v>79.28</v>
      </c>
    </row>
    <row r="64" spans="1:11">
      <c r="A64" s="9">
        <v>42902</v>
      </c>
      <c r="B64">
        <v>103480</v>
      </c>
      <c r="C64" t="s">
        <v>82</v>
      </c>
      <c r="D64" t="s">
        <v>38</v>
      </c>
      <c r="E64" t="s">
        <v>39</v>
      </c>
      <c r="F64" t="s">
        <v>18</v>
      </c>
      <c r="G64">
        <f t="shared" si="0"/>
        <v>527.76</v>
      </c>
      <c r="H64">
        <v>9</v>
      </c>
      <c r="I64">
        <v>58.64</v>
      </c>
      <c r="J64">
        <v>263</v>
      </c>
      <c r="K64">
        <v>264.76</v>
      </c>
    </row>
    <row r="65" spans="1:11">
      <c r="A65" s="9">
        <v>43063</v>
      </c>
      <c r="B65">
        <v>103555</v>
      </c>
      <c r="C65" t="s">
        <v>78</v>
      </c>
      <c r="D65" t="s">
        <v>38</v>
      </c>
      <c r="E65" t="s">
        <v>42</v>
      </c>
      <c r="F65" t="s">
        <v>18</v>
      </c>
      <c r="G65">
        <f t="shared" si="0"/>
        <v>819.45</v>
      </c>
      <c r="H65">
        <v>9</v>
      </c>
      <c r="I65">
        <v>91.05</v>
      </c>
      <c r="J65">
        <v>409</v>
      </c>
      <c r="K65">
        <v>410.45</v>
      </c>
    </row>
    <row r="66" spans="1:11">
      <c r="A66" s="9">
        <v>42741</v>
      </c>
      <c r="B66">
        <v>103800</v>
      </c>
      <c r="C66" t="s">
        <v>83</v>
      </c>
      <c r="D66" t="s">
        <v>38</v>
      </c>
      <c r="E66" t="s">
        <v>39</v>
      </c>
      <c r="F66" t="s">
        <v>18</v>
      </c>
      <c r="G66">
        <f t="shared" si="0"/>
        <v>551.44</v>
      </c>
      <c r="H66">
        <v>8</v>
      </c>
      <c r="I66">
        <v>68.93</v>
      </c>
      <c r="J66">
        <v>275</v>
      </c>
      <c r="K66">
        <v>276.44</v>
      </c>
    </row>
    <row r="67" spans="1:11">
      <c r="A67" s="9">
        <v>42680</v>
      </c>
      <c r="B67">
        <v>100031</v>
      </c>
      <c r="C67" t="s">
        <v>84</v>
      </c>
      <c r="D67" t="s">
        <v>38</v>
      </c>
      <c r="E67" t="s">
        <v>39</v>
      </c>
      <c r="F67" t="s">
        <v>20</v>
      </c>
      <c r="G67">
        <f t="shared" ref="G67:G130" si="1">H67*I67</f>
        <v>526.32</v>
      </c>
      <c r="H67">
        <v>6</v>
      </c>
      <c r="I67">
        <v>87.72</v>
      </c>
      <c r="J67">
        <v>263</v>
      </c>
      <c r="K67">
        <v>263.32</v>
      </c>
    </row>
    <row r="68" spans="1:11">
      <c r="A68" s="9">
        <v>42388</v>
      </c>
      <c r="B68">
        <v>100088</v>
      </c>
      <c r="C68" t="s">
        <v>85</v>
      </c>
      <c r="D68" t="s">
        <v>38</v>
      </c>
      <c r="E68" t="s">
        <v>39</v>
      </c>
      <c r="F68" t="s">
        <v>20</v>
      </c>
      <c r="G68">
        <f t="shared" si="1"/>
        <v>359.64</v>
      </c>
      <c r="H68">
        <v>4</v>
      </c>
      <c r="I68">
        <v>89.91</v>
      </c>
      <c r="J68">
        <v>179</v>
      </c>
      <c r="K68">
        <v>180.64</v>
      </c>
    </row>
    <row r="69" spans="1:11">
      <c r="A69" s="9">
        <v>42441</v>
      </c>
      <c r="B69">
        <v>100205</v>
      </c>
      <c r="C69" t="s">
        <v>86</v>
      </c>
      <c r="D69" t="s">
        <v>38</v>
      </c>
      <c r="E69" t="s">
        <v>39</v>
      </c>
      <c r="F69" t="s">
        <v>20</v>
      </c>
      <c r="G69">
        <f t="shared" si="1"/>
        <v>351.2</v>
      </c>
      <c r="H69">
        <v>5</v>
      </c>
      <c r="I69">
        <v>70.24</v>
      </c>
      <c r="J69">
        <v>175</v>
      </c>
      <c r="K69">
        <v>176.2</v>
      </c>
    </row>
    <row r="70" spans="1:11">
      <c r="A70" s="9">
        <v>42447</v>
      </c>
      <c r="B70">
        <v>100241</v>
      </c>
      <c r="C70" t="s">
        <v>87</v>
      </c>
      <c r="D70" t="s">
        <v>38</v>
      </c>
      <c r="E70" t="s">
        <v>46</v>
      </c>
      <c r="F70" t="s">
        <v>20</v>
      </c>
      <c r="G70">
        <f t="shared" si="1"/>
        <v>118.56</v>
      </c>
      <c r="H70">
        <v>4</v>
      </c>
      <c r="I70">
        <v>29.64</v>
      </c>
      <c r="J70">
        <v>59</v>
      </c>
      <c r="K70">
        <v>59.56</v>
      </c>
    </row>
    <row r="71" spans="1:11">
      <c r="A71" s="9">
        <v>42650</v>
      </c>
      <c r="B71">
        <v>100303</v>
      </c>
      <c r="C71" t="s">
        <v>88</v>
      </c>
      <c r="D71" t="s">
        <v>38</v>
      </c>
      <c r="E71" t="s">
        <v>39</v>
      </c>
      <c r="F71" t="s">
        <v>20</v>
      </c>
      <c r="G71">
        <f t="shared" si="1"/>
        <v>170.82</v>
      </c>
      <c r="H71">
        <v>2</v>
      </c>
      <c r="I71">
        <v>85.41</v>
      </c>
      <c r="J71">
        <v>85</v>
      </c>
      <c r="K71">
        <v>85.82</v>
      </c>
    </row>
    <row r="72" spans="1:11">
      <c r="A72" s="9">
        <v>42671</v>
      </c>
      <c r="B72">
        <v>100406</v>
      </c>
      <c r="C72" t="s">
        <v>89</v>
      </c>
      <c r="D72" t="s">
        <v>38</v>
      </c>
      <c r="E72" t="s">
        <v>42</v>
      </c>
      <c r="F72" t="s">
        <v>20</v>
      </c>
      <c r="G72">
        <f t="shared" si="1"/>
        <v>203.58</v>
      </c>
      <c r="H72">
        <v>9</v>
      </c>
      <c r="I72">
        <v>22.62</v>
      </c>
      <c r="J72">
        <v>101</v>
      </c>
      <c r="K72">
        <v>102.58</v>
      </c>
    </row>
    <row r="73" spans="1:11">
      <c r="A73" s="9">
        <v>42470</v>
      </c>
      <c r="B73">
        <v>100469</v>
      </c>
      <c r="C73" t="s">
        <v>90</v>
      </c>
      <c r="D73" t="s">
        <v>38</v>
      </c>
      <c r="E73" t="s">
        <v>39</v>
      </c>
      <c r="F73" t="s">
        <v>20</v>
      </c>
      <c r="G73">
        <f t="shared" si="1"/>
        <v>12.33</v>
      </c>
      <c r="H73">
        <v>1</v>
      </c>
      <c r="I73">
        <v>12.33</v>
      </c>
      <c r="J73">
        <v>6</v>
      </c>
      <c r="K73">
        <v>6.33</v>
      </c>
    </row>
    <row r="74" spans="1:11">
      <c r="A74" s="9">
        <v>42650</v>
      </c>
      <c r="B74">
        <v>100516</v>
      </c>
      <c r="C74" t="s">
        <v>91</v>
      </c>
      <c r="D74" t="s">
        <v>38</v>
      </c>
      <c r="E74" t="s">
        <v>39</v>
      </c>
      <c r="F74" t="s">
        <v>20</v>
      </c>
      <c r="G74">
        <f t="shared" si="1"/>
        <v>179.7</v>
      </c>
      <c r="H74">
        <v>10</v>
      </c>
      <c r="I74">
        <v>17.97</v>
      </c>
      <c r="J74">
        <v>89</v>
      </c>
      <c r="K74">
        <v>90.7</v>
      </c>
    </row>
    <row r="75" spans="1:11">
      <c r="A75" s="9">
        <v>42765</v>
      </c>
      <c r="B75">
        <v>102818</v>
      </c>
      <c r="C75" t="s">
        <v>92</v>
      </c>
      <c r="D75" t="s">
        <v>38</v>
      </c>
      <c r="E75" t="s">
        <v>42</v>
      </c>
      <c r="F75" t="s">
        <v>20</v>
      </c>
      <c r="G75">
        <f t="shared" si="1"/>
        <v>79.23</v>
      </c>
      <c r="H75">
        <v>1</v>
      </c>
      <c r="I75">
        <v>79.23</v>
      </c>
      <c r="J75">
        <v>39</v>
      </c>
      <c r="K75">
        <v>40.23</v>
      </c>
    </row>
    <row r="76" spans="1:11">
      <c r="A76" s="9">
        <v>42953</v>
      </c>
      <c r="B76">
        <v>102826</v>
      </c>
      <c r="C76" t="s">
        <v>87</v>
      </c>
      <c r="D76" t="s">
        <v>38</v>
      </c>
      <c r="E76" t="s">
        <v>39</v>
      </c>
      <c r="F76" t="s">
        <v>20</v>
      </c>
      <c r="G76">
        <f t="shared" si="1"/>
        <v>356.6</v>
      </c>
      <c r="H76">
        <v>4</v>
      </c>
      <c r="I76">
        <v>89.15</v>
      </c>
      <c r="J76">
        <v>178</v>
      </c>
      <c r="K76">
        <v>178.6</v>
      </c>
    </row>
    <row r="77" spans="1:11">
      <c r="A77" s="9">
        <v>42872</v>
      </c>
      <c r="B77">
        <v>102835</v>
      </c>
      <c r="C77" t="s">
        <v>93</v>
      </c>
      <c r="D77" t="s">
        <v>38</v>
      </c>
      <c r="E77" t="s">
        <v>46</v>
      </c>
      <c r="F77" t="s">
        <v>20</v>
      </c>
      <c r="G77">
        <f t="shared" si="1"/>
        <v>13.8</v>
      </c>
      <c r="H77">
        <v>10</v>
      </c>
      <c r="I77">
        <v>1.38</v>
      </c>
      <c r="J77">
        <v>6</v>
      </c>
      <c r="K77">
        <v>7.8</v>
      </c>
    </row>
    <row r="78" spans="1:11">
      <c r="A78" s="9">
        <v>42761</v>
      </c>
      <c r="B78">
        <v>102940</v>
      </c>
      <c r="C78" t="s">
        <v>94</v>
      </c>
      <c r="D78" t="s">
        <v>38</v>
      </c>
      <c r="E78" t="s">
        <v>42</v>
      </c>
      <c r="F78" t="s">
        <v>20</v>
      </c>
      <c r="G78">
        <f t="shared" si="1"/>
        <v>121.96</v>
      </c>
      <c r="H78">
        <v>4</v>
      </c>
      <c r="I78">
        <v>30.49</v>
      </c>
      <c r="J78">
        <v>60</v>
      </c>
      <c r="K78">
        <v>61.96</v>
      </c>
    </row>
    <row r="79" spans="1:11">
      <c r="A79" s="9">
        <v>42761</v>
      </c>
      <c r="B79">
        <v>102940</v>
      </c>
      <c r="C79" t="s">
        <v>89</v>
      </c>
      <c r="D79" t="s">
        <v>38</v>
      </c>
      <c r="E79" t="s">
        <v>42</v>
      </c>
      <c r="F79" t="s">
        <v>20</v>
      </c>
      <c r="G79">
        <f t="shared" si="1"/>
        <v>849.51</v>
      </c>
      <c r="H79">
        <v>9</v>
      </c>
      <c r="I79">
        <v>94.39</v>
      </c>
      <c r="J79">
        <v>424</v>
      </c>
      <c r="K79">
        <v>425.51</v>
      </c>
    </row>
    <row r="80" spans="1:11">
      <c r="A80" s="9">
        <v>43039</v>
      </c>
      <c r="B80">
        <v>102981</v>
      </c>
      <c r="C80" t="s">
        <v>87</v>
      </c>
      <c r="D80" t="s">
        <v>38</v>
      </c>
      <c r="E80" t="s">
        <v>42</v>
      </c>
      <c r="F80" t="s">
        <v>20</v>
      </c>
      <c r="G80">
        <f t="shared" si="1"/>
        <v>291.2</v>
      </c>
      <c r="H80">
        <v>8</v>
      </c>
      <c r="I80">
        <v>36.4</v>
      </c>
      <c r="J80">
        <v>145</v>
      </c>
      <c r="K80">
        <v>146.2</v>
      </c>
    </row>
    <row r="81" spans="1:11">
      <c r="A81" s="9">
        <v>42995</v>
      </c>
      <c r="B81">
        <v>103100</v>
      </c>
      <c r="C81" t="s">
        <v>85</v>
      </c>
      <c r="D81" t="s">
        <v>38</v>
      </c>
      <c r="E81" t="s">
        <v>42</v>
      </c>
      <c r="F81" t="s">
        <v>20</v>
      </c>
      <c r="G81">
        <f t="shared" si="1"/>
        <v>536.06</v>
      </c>
      <c r="H81">
        <v>7</v>
      </c>
      <c r="I81">
        <v>76.58</v>
      </c>
      <c r="J81">
        <v>268</v>
      </c>
      <c r="K81">
        <v>268.06</v>
      </c>
    </row>
    <row r="82" spans="1:11">
      <c r="A82" s="9">
        <v>43066</v>
      </c>
      <c r="B82">
        <v>103178</v>
      </c>
      <c r="C82" t="s">
        <v>95</v>
      </c>
      <c r="D82" t="s">
        <v>38</v>
      </c>
      <c r="E82" t="s">
        <v>42</v>
      </c>
      <c r="F82" t="s">
        <v>20</v>
      </c>
      <c r="G82">
        <f t="shared" si="1"/>
        <v>50.12</v>
      </c>
      <c r="H82">
        <v>4</v>
      </c>
      <c r="I82">
        <v>12.53</v>
      </c>
      <c r="J82">
        <v>25</v>
      </c>
      <c r="K82">
        <v>25.12</v>
      </c>
    </row>
    <row r="83" spans="1:11">
      <c r="A83" s="9">
        <v>42777</v>
      </c>
      <c r="B83">
        <v>103371</v>
      </c>
      <c r="C83" t="s">
        <v>87</v>
      </c>
      <c r="D83" t="s">
        <v>38</v>
      </c>
      <c r="E83" t="s">
        <v>46</v>
      </c>
      <c r="F83" t="s">
        <v>20</v>
      </c>
      <c r="G83">
        <f t="shared" si="1"/>
        <v>296.2</v>
      </c>
      <c r="H83">
        <v>10</v>
      </c>
      <c r="I83">
        <v>29.62</v>
      </c>
      <c r="J83">
        <v>148</v>
      </c>
      <c r="K83">
        <v>148.2</v>
      </c>
    </row>
    <row r="84" spans="1:11">
      <c r="A84" s="9">
        <v>42934</v>
      </c>
      <c r="B84">
        <v>103624</v>
      </c>
      <c r="C84" t="s">
        <v>92</v>
      </c>
      <c r="D84" t="s">
        <v>38</v>
      </c>
      <c r="E84" t="s">
        <v>46</v>
      </c>
      <c r="F84" t="s">
        <v>20</v>
      </c>
      <c r="G84">
        <f t="shared" si="1"/>
        <v>202.2</v>
      </c>
      <c r="H84">
        <v>4</v>
      </c>
      <c r="I84">
        <v>50.55</v>
      </c>
      <c r="J84">
        <v>101</v>
      </c>
      <c r="K84">
        <v>101.2</v>
      </c>
    </row>
    <row r="85" spans="1:11">
      <c r="A85" s="9">
        <v>43055</v>
      </c>
      <c r="B85">
        <v>103631</v>
      </c>
      <c r="C85" t="s">
        <v>96</v>
      </c>
      <c r="D85" t="s">
        <v>38</v>
      </c>
      <c r="E85" t="s">
        <v>46</v>
      </c>
      <c r="F85" t="s">
        <v>20</v>
      </c>
      <c r="G85">
        <f t="shared" si="1"/>
        <v>445</v>
      </c>
      <c r="H85">
        <v>10</v>
      </c>
      <c r="I85">
        <v>44.5</v>
      </c>
      <c r="J85">
        <v>222</v>
      </c>
      <c r="K85">
        <v>223</v>
      </c>
    </row>
    <row r="86" spans="1:11">
      <c r="A86" s="9">
        <v>43014</v>
      </c>
      <c r="B86">
        <v>103635</v>
      </c>
      <c r="C86" t="s">
        <v>97</v>
      </c>
      <c r="D86" t="s">
        <v>38</v>
      </c>
      <c r="E86" t="s">
        <v>39</v>
      </c>
      <c r="F86" t="s">
        <v>20</v>
      </c>
      <c r="G86">
        <f t="shared" si="1"/>
        <v>42.88</v>
      </c>
      <c r="H86">
        <v>1</v>
      </c>
      <c r="I86">
        <v>42.88</v>
      </c>
      <c r="J86">
        <v>21</v>
      </c>
      <c r="K86">
        <v>21.88</v>
      </c>
    </row>
    <row r="87" spans="1:11">
      <c r="A87" s="9">
        <v>42856</v>
      </c>
      <c r="B87">
        <v>103696</v>
      </c>
      <c r="C87" t="s">
        <v>98</v>
      </c>
      <c r="D87" t="s">
        <v>38</v>
      </c>
      <c r="E87" t="s">
        <v>42</v>
      </c>
      <c r="F87" t="s">
        <v>20</v>
      </c>
      <c r="G87">
        <f t="shared" si="1"/>
        <v>194.8</v>
      </c>
      <c r="H87">
        <v>2</v>
      </c>
      <c r="I87">
        <v>97.4</v>
      </c>
      <c r="J87">
        <v>97</v>
      </c>
      <c r="K87">
        <v>97.8</v>
      </c>
    </row>
    <row r="88" spans="1:11">
      <c r="A88" s="9">
        <v>43025</v>
      </c>
      <c r="B88">
        <v>103703</v>
      </c>
      <c r="C88" t="s">
        <v>99</v>
      </c>
      <c r="D88" t="s">
        <v>38</v>
      </c>
      <c r="E88" t="s">
        <v>39</v>
      </c>
      <c r="F88" t="s">
        <v>20</v>
      </c>
      <c r="G88">
        <f t="shared" si="1"/>
        <v>195.18</v>
      </c>
      <c r="H88">
        <v>2</v>
      </c>
      <c r="I88">
        <v>97.59</v>
      </c>
      <c r="J88">
        <v>97</v>
      </c>
      <c r="K88">
        <v>98.18</v>
      </c>
    </row>
    <row r="89" spans="1:11">
      <c r="A89" s="9">
        <v>43015</v>
      </c>
      <c r="B89">
        <v>103713</v>
      </c>
      <c r="C89" t="s">
        <v>96</v>
      </c>
      <c r="D89" t="s">
        <v>38</v>
      </c>
      <c r="E89" t="s">
        <v>39</v>
      </c>
      <c r="F89" t="s">
        <v>20</v>
      </c>
      <c r="G89">
        <f t="shared" si="1"/>
        <v>77.64</v>
      </c>
      <c r="H89">
        <v>6</v>
      </c>
      <c r="I89">
        <v>12.94</v>
      </c>
      <c r="J89">
        <v>38</v>
      </c>
      <c r="K89">
        <v>39.64</v>
      </c>
    </row>
    <row r="90" spans="1:11">
      <c r="A90" s="9">
        <v>42989</v>
      </c>
      <c r="B90">
        <v>103778</v>
      </c>
      <c r="C90" t="s">
        <v>93</v>
      </c>
      <c r="D90" t="s">
        <v>38</v>
      </c>
      <c r="E90" t="s">
        <v>42</v>
      </c>
      <c r="F90" t="s">
        <v>20</v>
      </c>
      <c r="G90">
        <f t="shared" si="1"/>
        <v>114.64</v>
      </c>
      <c r="H90">
        <v>2</v>
      </c>
      <c r="I90">
        <v>57.32</v>
      </c>
      <c r="J90">
        <v>57</v>
      </c>
      <c r="K90">
        <v>57.64</v>
      </c>
    </row>
    <row r="91" spans="1:11">
      <c r="A91" s="9">
        <v>42670</v>
      </c>
      <c r="B91">
        <v>100531</v>
      </c>
      <c r="C91" t="s">
        <v>100</v>
      </c>
      <c r="D91" t="s">
        <v>38</v>
      </c>
      <c r="E91" t="s">
        <v>42</v>
      </c>
      <c r="F91" t="s">
        <v>22</v>
      </c>
      <c r="G91">
        <f t="shared" si="1"/>
        <v>387.65</v>
      </c>
      <c r="H91">
        <v>5</v>
      </c>
      <c r="I91">
        <v>77.53</v>
      </c>
      <c r="J91">
        <v>193</v>
      </c>
      <c r="K91">
        <v>194.65</v>
      </c>
    </row>
    <row r="92" spans="1:11">
      <c r="A92" s="9">
        <v>42934</v>
      </c>
      <c r="B92">
        <v>102816</v>
      </c>
      <c r="C92" t="s">
        <v>23</v>
      </c>
      <c r="D92" t="s">
        <v>38</v>
      </c>
      <c r="E92" t="s">
        <v>46</v>
      </c>
      <c r="F92" t="s">
        <v>22</v>
      </c>
      <c r="G92">
        <f t="shared" si="1"/>
        <v>178.98</v>
      </c>
      <c r="H92">
        <v>3</v>
      </c>
      <c r="I92">
        <v>59.66</v>
      </c>
      <c r="J92">
        <v>89</v>
      </c>
      <c r="K92">
        <v>89.98</v>
      </c>
    </row>
    <row r="93" spans="1:11">
      <c r="A93" s="9">
        <v>42769</v>
      </c>
      <c r="B93">
        <v>102919</v>
      </c>
      <c r="C93" t="s">
        <v>101</v>
      </c>
      <c r="D93" t="s">
        <v>38</v>
      </c>
      <c r="E93" t="s">
        <v>39</v>
      </c>
      <c r="F93" t="s">
        <v>22</v>
      </c>
      <c r="G93">
        <f t="shared" si="1"/>
        <v>107.76</v>
      </c>
      <c r="H93">
        <v>6</v>
      </c>
      <c r="I93">
        <v>17.96</v>
      </c>
      <c r="J93">
        <v>53</v>
      </c>
      <c r="K93">
        <v>54.76</v>
      </c>
    </row>
    <row r="94" spans="1:11">
      <c r="A94" s="9">
        <v>42794</v>
      </c>
      <c r="B94">
        <v>102928</v>
      </c>
      <c r="C94" t="s">
        <v>102</v>
      </c>
      <c r="D94" t="s">
        <v>38</v>
      </c>
      <c r="E94" t="s">
        <v>42</v>
      </c>
      <c r="F94" t="s">
        <v>22</v>
      </c>
      <c r="G94">
        <f t="shared" si="1"/>
        <v>149.15</v>
      </c>
      <c r="H94">
        <v>5</v>
      </c>
      <c r="I94">
        <v>29.83</v>
      </c>
      <c r="J94">
        <v>74</v>
      </c>
      <c r="K94">
        <v>75.15</v>
      </c>
    </row>
    <row r="95" spans="1:11">
      <c r="A95" s="9">
        <v>43006</v>
      </c>
      <c r="B95">
        <v>102954</v>
      </c>
      <c r="C95" t="s">
        <v>103</v>
      </c>
      <c r="D95" t="s">
        <v>38</v>
      </c>
      <c r="E95" t="s">
        <v>46</v>
      </c>
      <c r="F95" t="s">
        <v>22</v>
      </c>
      <c r="G95">
        <f t="shared" si="1"/>
        <v>5.76</v>
      </c>
      <c r="H95">
        <v>2</v>
      </c>
      <c r="I95">
        <v>2.88</v>
      </c>
      <c r="J95">
        <v>2</v>
      </c>
      <c r="K95">
        <v>3.76</v>
      </c>
    </row>
    <row r="96" spans="1:11">
      <c r="A96" s="9">
        <v>43029</v>
      </c>
      <c r="B96">
        <v>103009</v>
      </c>
      <c r="C96" t="s">
        <v>104</v>
      </c>
      <c r="D96" t="s">
        <v>38</v>
      </c>
      <c r="E96" t="s">
        <v>39</v>
      </c>
      <c r="F96" t="s">
        <v>22</v>
      </c>
      <c r="G96">
        <f t="shared" si="1"/>
        <v>176.96</v>
      </c>
      <c r="H96">
        <v>7</v>
      </c>
      <c r="I96">
        <v>25.28</v>
      </c>
      <c r="J96">
        <v>88</v>
      </c>
      <c r="K96">
        <v>88.96</v>
      </c>
    </row>
    <row r="97" spans="1:11">
      <c r="A97" s="9">
        <v>43091</v>
      </c>
      <c r="B97">
        <v>103054</v>
      </c>
      <c r="C97" t="s">
        <v>105</v>
      </c>
      <c r="D97" t="s">
        <v>38</v>
      </c>
      <c r="E97" t="s">
        <v>46</v>
      </c>
      <c r="F97" t="s">
        <v>22</v>
      </c>
      <c r="G97">
        <f t="shared" si="1"/>
        <v>54.18</v>
      </c>
      <c r="H97">
        <v>6</v>
      </c>
      <c r="I97">
        <v>9.03</v>
      </c>
      <c r="J97">
        <v>27</v>
      </c>
      <c r="K97">
        <v>27.18</v>
      </c>
    </row>
    <row r="98" spans="1:11">
      <c r="A98" s="9">
        <v>42763</v>
      </c>
      <c r="B98">
        <v>103103</v>
      </c>
      <c r="C98" t="s">
        <v>102</v>
      </c>
      <c r="D98" t="s">
        <v>38</v>
      </c>
      <c r="E98" t="s">
        <v>46</v>
      </c>
      <c r="F98" t="s">
        <v>22</v>
      </c>
      <c r="G98">
        <f t="shared" si="1"/>
        <v>527.12</v>
      </c>
      <c r="H98">
        <v>8</v>
      </c>
      <c r="I98">
        <v>65.89</v>
      </c>
      <c r="J98">
        <v>263</v>
      </c>
      <c r="K98">
        <v>264.12</v>
      </c>
    </row>
    <row r="99" spans="1:11">
      <c r="A99" s="9">
        <v>42853</v>
      </c>
      <c r="B99">
        <v>103110</v>
      </c>
      <c r="C99" t="s">
        <v>100</v>
      </c>
      <c r="D99" t="s">
        <v>38</v>
      </c>
      <c r="E99" t="s">
        <v>42</v>
      </c>
      <c r="F99" t="s">
        <v>22</v>
      </c>
      <c r="G99">
        <f t="shared" si="1"/>
        <v>183.94</v>
      </c>
      <c r="H99">
        <v>2</v>
      </c>
      <c r="I99">
        <v>91.97</v>
      </c>
      <c r="J99">
        <v>91</v>
      </c>
      <c r="K99">
        <v>92.94</v>
      </c>
    </row>
    <row r="100" spans="1:11">
      <c r="A100" s="9">
        <v>42998</v>
      </c>
      <c r="B100">
        <v>103183</v>
      </c>
      <c r="C100" t="s">
        <v>106</v>
      </c>
      <c r="D100" t="s">
        <v>38</v>
      </c>
      <c r="E100" t="s">
        <v>42</v>
      </c>
      <c r="F100" t="s">
        <v>22</v>
      </c>
      <c r="G100">
        <f t="shared" si="1"/>
        <v>271</v>
      </c>
      <c r="H100">
        <v>4</v>
      </c>
      <c r="I100">
        <v>67.75</v>
      </c>
      <c r="J100">
        <v>135</v>
      </c>
      <c r="K100">
        <v>136</v>
      </c>
    </row>
    <row r="101" spans="1:11">
      <c r="A101" s="9">
        <v>43014</v>
      </c>
      <c r="B101">
        <v>103376</v>
      </c>
      <c r="C101" t="s">
        <v>23</v>
      </c>
      <c r="D101" t="s">
        <v>38</v>
      </c>
      <c r="E101" t="s">
        <v>39</v>
      </c>
      <c r="F101" t="s">
        <v>22</v>
      </c>
      <c r="G101">
        <f t="shared" si="1"/>
        <v>843.21</v>
      </c>
      <c r="H101">
        <v>9</v>
      </c>
      <c r="I101">
        <v>93.69</v>
      </c>
      <c r="J101">
        <v>421</v>
      </c>
      <c r="K101">
        <v>422.21</v>
      </c>
    </row>
    <row r="102" spans="1:11">
      <c r="A102" s="9">
        <v>42945</v>
      </c>
      <c r="B102">
        <v>103439</v>
      </c>
      <c r="C102" t="s">
        <v>100</v>
      </c>
      <c r="D102" t="s">
        <v>38</v>
      </c>
      <c r="E102" t="s">
        <v>46</v>
      </c>
      <c r="F102" t="s">
        <v>22</v>
      </c>
      <c r="G102">
        <f t="shared" si="1"/>
        <v>279.12</v>
      </c>
      <c r="H102">
        <v>4</v>
      </c>
      <c r="I102">
        <v>69.78</v>
      </c>
      <c r="J102">
        <v>139</v>
      </c>
      <c r="K102">
        <v>140.12</v>
      </c>
    </row>
    <row r="103" spans="1:11">
      <c r="A103" s="9">
        <v>42855</v>
      </c>
      <c r="B103">
        <v>103642</v>
      </c>
      <c r="C103" t="s">
        <v>104</v>
      </c>
      <c r="D103" t="s">
        <v>38</v>
      </c>
      <c r="E103" t="s">
        <v>42</v>
      </c>
      <c r="F103" t="s">
        <v>22</v>
      </c>
      <c r="G103">
        <f t="shared" si="1"/>
        <v>190.2</v>
      </c>
      <c r="H103">
        <v>3</v>
      </c>
      <c r="I103">
        <v>63.4</v>
      </c>
      <c r="J103">
        <v>95</v>
      </c>
      <c r="K103">
        <v>95.2</v>
      </c>
    </row>
    <row r="104" spans="1:11">
      <c r="A104" s="9">
        <v>42786</v>
      </c>
      <c r="B104">
        <v>103644</v>
      </c>
      <c r="C104" t="s">
        <v>107</v>
      </c>
      <c r="D104" t="s">
        <v>38</v>
      </c>
      <c r="E104" t="s">
        <v>46</v>
      </c>
      <c r="F104" t="s">
        <v>108</v>
      </c>
      <c r="G104">
        <f t="shared" si="1"/>
        <v>315.18</v>
      </c>
      <c r="H104">
        <v>6</v>
      </c>
      <c r="I104">
        <v>52.53</v>
      </c>
      <c r="J104">
        <v>157</v>
      </c>
      <c r="K104">
        <v>158.18</v>
      </c>
    </row>
    <row r="105" spans="1:11">
      <c r="A105" s="9">
        <v>43015</v>
      </c>
      <c r="B105">
        <v>103713</v>
      </c>
      <c r="C105" t="s">
        <v>109</v>
      </c>
      <c r="D105" t="s">
        <v>38</v>
      </c>
      <c r="E105" t="s">
        <v>39</v>
      </c>
      <c r="F105" t="s">
        <v>108</v>
      </c>
      <c r="G105">
        <f t="shared" si="1"/>
        <v>321.48</v>
      </c>
      <c r="H105">
        <v>4</v>
      </c>
      <c r="I105">
        <v>80.37</v>
      </c>
      <c r="J105">
        <v>160</v>
      </c>
      <c r="K105">
        <v>161.48</v>
      </c>
    </row>
    <row r="106" spans="1:11">
      <c r="A106" s="9">
        <v>42388</v>
      </c>
      <c r="B106">
        <v>100088</v>
      </c>
      <c r="C106" t="s">
        <v>110</v>
      </c>
      <c r="D106" t="s">
        <v>38</v>
      </c>
      <c r="E106" t="s">
        <v>39</v>
      </c>
      <c r="F106" t="s">
        <v>111</v>
      </c>
      <c r="G106">
        <f t="shared" si="1"/>
        <v>74.92</v>
      </c>
      <c r="H106">
        <v>4</v>
      </c>
      <c r="I106">
        <v>18.73</v>
      </c>
      <c r="J106">
        <v>37</v>
      </c>
      <c r="K106">
        <v>37.92</v>
      </c>
    </row>
    <row r="107" spans="1:11">
      <c r="A107" s="9">
        <v>42642</v>
      </c>
      <c r="B107">
        <v>100227</v>
      </c>
      <c r="C107" t="s">
        <v>110</v>
      </c>
      <c r="D107" t="s">
        <v>38</v>
      </c>
      <c r="E107" t="s">
        <v>42</v>
      </c>
      <c r="F107" t="s">
        <v>111</v>
      </c>
      <c r="G107">
        <f t="shared" si="1"/>
        <v>192.42</v>
      </c>
      <c r="H107">
        <v>6</v>
      </c>
      <c r="I107">
        <v>32.07</v>
      </c>
      <c r="J107">
        <v>96</v>
      </c>
      <c r="K107">
        <v>96.42</v>
      </c>
    </row>
    <row r="108" spans="1:11">
      <c r="A108" s="9">
        <v>42490</v>
      </c>
      <c r="B108">
        <v>100580</v>
      </c>
      <c r="C108" t="s">
        <v>112</v>
      </c>
      <c r="D108" t="s">
        <v>38</v>
      </c>
      <c r="E108" t="s">
        <v>42</v>
      </c>
      <c r="F108" t="s">
        <v>111</v>
      </c>
      <c r="G108">
        <f t="shared" si="1"/>
        <v>480.06</v>
      </c>
      <c r="H108">
        <v>6</v>
      </c>
      <c r="I108">
        <v>80.01</v>
      </c>
      <c r="J108">
        <v>240</v>
      </c>
      <c r="K108">
        <v>240.06</v>
      </c>
    </row>
    <row r="109" spans="1:11">
      <c r="A109" s="9">
        <v>42795</v>
      </c>
      <c r="B109">
        <v>103515</v>
      </c>
      <c r="C109" t="s">
        <v>113</v>
      </c>
      <c r="D109" t="s">
        <v>38</v>
      </c>
      <c r="E109" t="s">
        <v>39</v>
      </c>
      <c r="F109" t="s">
        <v>111</v>
      </c>
      <c r="G109">
        <f t="shared" si="1"/>
        <v>181.9</v>
      </c>
      <c r="H109">
        <v>10</v>
      </c>
      <c r="I109">
        <v>18.19</v>
      </c>
      <c r="J109">
        <v>90</v>
      </c>
      <c r="K109">
        <v>91.9</v>
      </c>
    </row>
    <row r="110" spans="1:11">
      <c r="A110" s="9">
        <v>42982</v>
      </c>
      <c r="B110">
        <v>103705</v>
      </c>
      <c r="C110" t="s">
        <v>114</v>
      </c>
      <c r="D110" t="s">
        <v>38</v>
      </c>
      <c r="E110" t="s">
        <v>46</v>
      </c>
      <c r="F110" t="s">
        <v>111</v>
      </c>
      <c r="G110">
        <f t="shared" si="1"/>
        <v>18.36</v>
      </c>
      <c r="H110">
        <v>9</v>
      </c>
      <c r="I110">
        <v>2.04</v>
      </c>
      <c r="J110">
        <v>9</v>
      </c>
      <c r="K110">
        <v>9.36</v>
      </c>
    </row>
    <row r="111" spans="1:11">
      <c r="A111" s="9">
        <v>42995</v>
      </c>
      <c r="B111">
        <v>103723</v>
      </c>
      <c r="C111" t="s">
        <v>112</v>
      </c>
      <c r="D111" t="s">
        <v>38</v>
      </c>
      <c r="E111" t="s">
        <v>46</v>
      </c>
      <c r="F111" t="s">
        <v>111</v>
      </c>
      <c r="G111">
        <f t="shared" si="1"/>
        <v>173.07</v>
      </c>
      <c r="H111">
        <v>3</v>
      </c>
      <c r="I111">
        <v>57.69</v>
      </c>
      <c r="J111">
        <v>86</v>
      </c>
      <c r="K111">
        <v>87.07</v>
      </c>
    </row>
    <row r="112" spans="1:11">
      <c r="A112" s="9">
        <v>42771</v>
      </c>
      <c r="B112">
        <v>103308</v>
      </c>
      <c r="C112" t="s">
        <v>115</v>
      </c>
      <c r="D112" t="s">
        <v>38</v>
      </c>
      <c r="E112" t="s">
        <v>42</v>
      </c>
      <c r="F112" t="s">
        <v>25</v>
      </c>
      <c r="G112">
        <f t="shared" si="1"/>
        <v>616.3</v>
      </c>
      <c r="H112">
        <v>10</v>
      </c>
      <c r="I112">
        <v>61.63</v>
      </c>
      <c r="J112">
        <v>308</v>
      </c>
      <c r="K112">
        <v>308.3</v>
      </c>
    </row>
    <row r="113" spans="1:11">
      <c r="A113" s="9">
        <v>42995</v>
      </c>
      <c r="B113">
        <v>103418</v>
      </c>
      <c r="C113" t="s">
        <v>116</v>
      </c>
      <c r="D113" t="s">
        <v>38</v>
      </c>
      <c r="E113" t="s">
        <v>39</v>
      </c>
      <c r="F113" t="s">
        <v>25</v>
      </c>
      <c r="G113">
        <f t="shared" si="1"/>
        <v>639.73</v>
      </c>
      <c r="H113">
        <v>7</v>
      </c>
      <c r="I113">
        <v>91.39</v>
      </c>
      <c r="J113">
        <v>319</v>
      </c>
      <c r="K113">
        <v>320.73</v>
      </c>
    </row>
    <row r="114" spans="1:11">
      <c r="A114" s="9">
        <v>42827</v>
      </c>
      <c r="B114">
        <v>103421</v>
      </c>
      <c r="C114" t="s">
        <v>116</v>
      </c>
      <c r="D114" t="s">
        <v>38</v>
      </c>
      <c r="E114" t="s">
        <v>42</v>
      </c>
      <c r="F114" t="s">
        <v>25</v>
      </c>
      <c r="G114">
        <f t="shared" si="1"/>
        <v>4.1</v>
      </c>
      <c r="H114">
        <v>1</v>
      </c>
      <c r="I114">
        <v>4.1</v>
      </c>
      <c r="J114">
        <v>2</v>
      </c>
      <c r="K114">
        <v>2.1</v>
      </c>
    </row>
    <row r="115" spans="1:11">
      <c r="A115" s="9">
        <v>42712</v>
      </c>
      <c r="B115">
        <v>100062</v>
      </c>
      <c r="C115" t="s">
        <v>117</v>
      </c>
      <c r="D115" t="s">
        <v>38</v>
      </c>
      <c r="E115" t="s">
        <v>39</v>
      </c>
      <c r="F115" t="s">
        <v>118</v>
      </c>
      <c r="G115">
        <f t="shared" si="1"/>
        <v>278.37</v>
      </c>
      <c r="H115">
        <v>9</v>
      </c>
      <c r="I115">
        <v>30.93</v>
      </c>
      <c r="J115">
        <v>139</v>
      </c>
      <c r="K115">
        <v>139.37</v>
      </c>
    </row>
    <row r="116" spans="1:11">
      <c r="A116" s="9">
        <v>42500</v>
      </c>
      <c r="B116">
        <v>100150</v>
      </c>
      <c r="C116" t="s">
        <v>119</v>
      </c>
      <c r="D116" t="s">
        <v>38</v>
      </c>
      <c r="E116" t="s">
        <v>42</v>
      </c>
      <c r="F116" t="s">
        <v>118</v>
      </c>
      <c r="G116">
        <f t="shared" si="1"/>
        <v>509.81</v>
      </c>
      <c r="H116">
        <v>7</v>
      </c>
      <c r="I116">
        <v>72.83</v>
      </c>
      <c r="J116">
        <v>254</v>
      </c>
      <c r="K116">
        <v>255.81</v>
      </c>
    </row>
    <row r="117" spans="1:11">
      <c r="A117" s="9">
        <v>42420</v>
      </c>
      <c r="B117">
        <v>100206</v>
      </c>
      <c r="C117" t="s">
        <v>120</v>
      </c>
      <c r="D117" t="s">
        <v>38</v>
      </c>
      <c r="E117" t="s">
        <v>39</v>
      </c>
      <c r="F117" t="s">
        <v>118</v>
      </c>
      <c r="G117">
        <f t="shared" si="1"/>
        <v>32.24</v>
      </c>
      <c r="H117">
        <v>4</v>
      </c>
      <c r="I117">
        <v>8.06</v>
      </c>
      <c r="J117">
        <v>16</v>
      </c>
      <c r="K117">
        <v>16.24</v>
      </c>
    </row>
    <row r="118" spans="1:11">
      <c r="A118" s="9">
        <v>42546</v>
      </c>
      <c r="B118">
        <v>100433</v>
      </c>
      <c r="C118" t="s">
        <v>120</v>
      </c>
      <c r="D118" t="s">
        <v>38</v>
      </c>
      <c r="E118" t="s">
        <v>46</v>
      </c>
      <c r="F118" t="s">
        <v>118</v>
      </c>
      <c r="G118">
        <f t="shared" si="1"/>
        <v>499.32</v>
      </c>
      <c r="H118">
        <v>6</v>
      </c>
      <c r="I118">
        <v>83.22</v>
      </c>
      <c r="J118">
        <v>249</v>
      </c>
      <c r="K118">
        <v>250.32</v>
      </c>
    </row>
    <row r="119" spans="1:11">
      <c r="A119" s="9">
        <v>42614</v>
      </c>
      <c r="B119">
        <v>100530</v>
      </c>
      <c r="C119" t="s">
        <v>121</v>
      </c>
      <c r="D119" t="s">
        <v>38</v>
      </c>
      <c r="E119" t="s">
        <v>42</v>
      </c>
      <c r="F119" t="s">
        <v>118</v>
      </c>
      <c r="G119">
        <f t="shared" si="1"/>
        <v>44.96</v>
      </c>
      <c r="H119">
        <v>2</v>
      </c>
      <c r="I119">
        <v>22.48</v>
      </c>
      <c r="J119">
        <v>22</v>
      </c>
      <c r="K119">
        <v>22.96</v>
      </c>
    </row>
    <row r="120" spans="1:11">
      <c r="A120" s="9">
        <v>43100</v>
      </c>
      <c r="B120">
        <v>102809</v>
      </c>
      <c r="C120" t="s">
        <v>122</v>
      </c>
      <c r="D120" t="s">
        <v>38</v>
      </c>
      <c r="E120" t="s">
        <v>42</v>
      </c>
      <c r="F120" t="s">
        <v>118</v>
      </c>
      <c r="G120">
        <f t="shared" si="1"/>
        <v>174.24</v>
      </c>
      <c r="H120">
        <v>9</v>
      </c>
      <c r="I120">
        <v>19.36</v>
      </c>
      <c r="J120">
        <v>87</v>
      </c>
      <c r="K120">
        <v>87.24</v>
      </c>
    </row>
    <row r="121" spans="1:11">
      <c r="A121" s="9">
        <v>42934</v>
      </c>
      <c r="B121">
        <v>102816</v>
      </c>
      <c r="C121" t="s">
        <v>123</v>
      </c>
      <c r="D121" t="s">
        <v>38</v>
      </c>
      <c r="E121" t="s">
        <v>46</v>
      </c>
      <c r="F121" t="s">
        <v>118</v>
      </c>
      <c r="G121">
        <f t="shared" si="1"/>
        <v>234.06</v>
      </c>
      <c r="H121">
        <v>3</v>
      </c>
      <c r="I121">
        <v>78.02</v>
      </c>
      <c r="J121">
        <v>117</v>
      </c>
      <c r="K121">
        <v>117.06</v>
      </c>
    </row>
    <row r="122" spans="1:11">
      <c r="A122" s="9">
        <v>42804</v>
      </c>
      <c r="B122">
        <v>102824</v>
      </c>
      <c r="C122" t="s">
        <v>124</v>
      </c>
      <c r="D122" t="s">
        <v>38</v>
      </c>
      <c r="E122" t="s">
        <v>39</v>
      </c>
      <c r="F122" t="s">
        <v>118</v>
      </c>
      <c r="G122">
        <f t="shared" si="1"/>
        <v>429.85</v>
      </c>
      <c r="H122">
        <v>5</v>
      </c>
      <c r="I122">
        <v>85.97</v>
      </c>
      <c r="J122">
        <v>214</v>
      </c>
      <c r="K122">
        <v>215.85</v>
      </c>
    </row>
    <row r="123" spans="1:11">
      <c r="A123" s="9">
        <v>42809</v>
      </c>
      <c r="B123">
        <v>102941</v>
      </c>
      <c r="C123" t="s">
        <v>121</v>
      </c>
      <c r="D123" t="s">
        <v>38</v>
      </c>
      <c r="E123" t="s">
        <v>42</v>
      </c>
      <c r="F123" t="s">
        <v>118</v>
      </c>
      <c r="G123">
        <f t="shared" si="1"/>
        <v>348.48</v>
      </c>
      <c r="H123">
        <v>8</v>
      </c>
      <c r="I123">
        <v>43.56</v>
      </c>
      <c r="J123">
        <v>174</v>
      </c>
      <c r="K123">
        <v>174.48</v>
      </c>
    </row>
    <row r="124" spans="1:11">
      <c r="A124" s="9">
        <v>43006</v>
      </c>
      <c r="B124">
        <v>102994</v>
      </c>
      <c r="C124" t="s">
        <v>121</v>
      </c>
      <c r="D124" t="s">
        <v>38</v>
      </c>
      <c r="E124" t="s">
        <v>42</v>
      </c>
      <c r="F124" t="s">
        <v>118</v>
      </c>
      <c r="G124">
        <f t="shared" si="1"/>
        <v>905</v>
      </c>
      <c r="H124">
        <v>10</v>
      </c>
      <c r="I124">
        <v>90.5</v>
      </c>
      <c r="J124">
        <v>452</v>
      </c>
      <c r="K124">
        <v>453</v>
      </c>
    </row>
    <row r="125" spans="1:11">
      <c r="A125" s="9">
        <v>43088</v>
      </c>
      <c r="B125">
        <v>103011</v>
      </c>
      <c r="C125" t="s">
        <v>125</v>
      </c>
      <c r="D125" t="s">
        <v>38</v>
      </c>
      <c r="E125" t="s">
        <v>42</v>
      </c>
      <c r="F125" t="s">
        <v>118</v>
      </c>
      <c r="G125">
        <f t="shared" si="1"/>
        <v>118.17</v>
      </c>
      <c r="H125">
        <v>3</v>
      </c>
      <c r="I125">
        <v>39.39</v>
      </c>
      <c r="J125">
        <v>59</v>
      </c>
      <c r="K125">
        <v>59.17</v>
      </c>
    </row>
    <row r="126" spans="1:11">
      <c r="A126" s="9">
        <v>42930</v>
      </c>
      <c r="B126">
        <v>103023</v>
      </c>
      <c r="C126" t="s">
        <v>126</v>
      </c>
      <c r="D126" t="s">
        <v>38</v>
      </c>
      <c r="E126" t="s">
        <v>46</v>
      </c>
      <c r="F126" t="s">
        <v>118</v>
      </c>
      <c r="G126">
        <f t="shared" si="1"/>
        <v>213.12</v>
      </c>
      <c r="H126">
        <v>3</v>
      </c>
      <c r="I126">
        <v>71.04</v>
      </c>
      <c r="J126">
        <v>106</v>
      </c>
      <c r="K126">
        <v>107.12</v>
      </c>
    </row>
    <row r="127" spans="1:11">
      <c r="A127" s="9">
        <v>42741</v>
      </c>
      <c r="B127">
        <v>103045</v>
      </c>
      <c r="C127" t="s">
        <v>126</v>
      </c>
      <c r="D127" t="s">
        <v>38</v>
      </c>
      <c r="E127" t="s">
        <v>42</v>
      </c>
      <c r="F127" t="s">
        <v>118</v>
      </c>
      <c r="G127">
        <f t="shared" si="1"/>
        <v>439.39</v>
      </c>
      <c r="H127">
        <v>7</v>
      </c>
      <c r="I127">
        <v>62.77</v>
      </c>
      <c r="J127">
        <v>219</v>
      </c>
      <c r="K127">
        <v>220.39</v>
      </c>
    </row>
    <row r="128" spans="1:11">
      <c r="A128" s="9">
        <v>42799</v>
      </c>
      <c r="B128">
        <v>103079</v>
      </c>
      <c r="C128" t="s">
        <v>124</v>
      </c>
      <c r="D128" t="s">
        <v>38</v>
      </c>
      <c r="E128" t="s">
        <v>46</v>
      </c>
      <c r="F128" t="s">
        <v>118</v>
      </c>
      <c r="G128">
        <f t="shared" si="1"/>
        <v>576.7</v>
      </c>
      <c r="H128">
        <v>10</v>
      </c>
      <c r="I128">
        <v>57.67</v>
      </c>
      <c r="J128">
        <v>288</v>
      </c>
      <c r="K128">
        <v>288.7</v>
      </c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</sheetData>
  <sortState ref="A2:K1739">
    <sortCondition ref="D2:D1739"/>
    <sortCondition ref="F2:F1739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4"/>
  <sheetViews>
    <sheetView tabSelected="1" workbookViewId="0">
      <selection activeCell="C3" sqref="C3"/>
    </sheetView>
  </sheetViews>
  <sheetFormatPr defaultColWidth="9" defaultRowHeight="13.5" outlineLevelRow="3" outlineLevelCol="2"/>
  <cols>
    <col min="2" max="2" width="10.75" customWidth="1"/>
    <col min="3" max="3" width="14.125" customWidth="1"/>
  </cols>
  <sheetData>
    <row r="2" ht="22.5" spans="2:3">
      <c r="B2" s="7" t="s">
        <v>127</v>
      </c>
      <c r="C2" s="7" t="s">
        <v>128</v>
      </c>
    </row>
    <row r="3" ht="22.5" spans="2:3">
      <c r="B3" s="8" t="s">
        <v>129</v>
      </c>
      <c r="C3" s="8"/>
    </row>
    <row r="4" ht="22.5" spans="2:3">
      <c r="B4" s="8" t="s">
        <v>130</v>
      </c>
      <c r="C4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A1" sqref="A1"/>
    </sheetView>
  </sheetViews>
  <sheetFormatPr defaultColWidth="9" defaultRowHeight="13.5"/>
  <cols>
    <col min="9" max="9" width="10.25" customWidth="1"/>
  </cols>
  <sheetData>
    <row r="1" spans="1:10">
      <c r="A1" s="1" t="s">
        <v>0</v>
      </c>
      <c r="B1" s="1" t="s">
        <v>131</v>
      </c>
      <c r="C1" s="1" t="s">
        <v>132</v>
      </c>
      <c r="D1" s="2" t="s">
        <v>133</v>
      </c>
      <c r="E1" s="1" t="s">
        <v>134</v>
      </c>
      <c r="F1" s="2" t="s">
        <v>135</v>
      </c>
      <c r="G1" s="2" t="s">
        <v>136</v>
      </c>
      <c r="H1" s="1" t="s">
        <v>7</v>
      </c>
      <c r="I1" s="2" t="s">
        <v>137</v>
      </c>
      <c r="J1" s="1" t="s">
        <v>138</v>
      </c>
    </row>
    <row r="2" spans="1:10">
      <c r="A2" s="3">
        <v>38838</v>
      </c>
      <c r="B2" s="4" t="s">
        <v>139</v>
      </c>
      <c r="C2" s="4" t="s">
        <v>140</v>
      </c>
      <c r="D2" s="5">
        <v>2088</v>
      </c>
      <c r="E2" s="4" t="s">
        <v>141</v>
      </c>
      <c r="F2" s="5">
        <v>1888</v>
      </c>
      <c r="G2" s="6">
        <f t="shared" ref="G2:G58" si="0">(D2-F2)/D2</f>
        <v>0.0957854406130268</v>
      </c>
      <c r="H2" s="4">
        <v>3</v>
      </c>
      <c r="I2" s="5">
        <f t="shared" ref="I2:I58" si="1">F2*H2</f>
        <v>5664</v>
      </c>
      <c r="J2" s="4" t="s">
        <v>142</v>
      </c>
    </row>
    <row r="3" spans="1:10">
      <c r="A3" s="3">
        <v>38839</v>
      </c>
      <c r="B3" s="4" t="s">
        <v>143</v>
      </c>
      <c r="C3" s="4" t="s">
        <v>144</v>
      </c>
      <c r="D3" s="5">
        <v>4688</v>
      </c>
      <c r="E3" s="4" t="s">
        <v>141</v>
      </c>
      <c r="F3" s="5">
        <v>4088</v>
      </c>
      <c r="G3" s="6">
        <f t="shared" si="0"/>
        <v>0.127986348122867</v>
      </c>
      <c r="H3" s="4">
        <v>12</v>
      </c>
      <c r="I3" s="5">
        <f t="shared" si="1"/>
        <v>49056</v>
      </c>
      <c r="J3" s="4" t="s">
        <v>142</v>
      </c>
    </row>
    <row r="4" spans="1:10">
      <c r="A4" s="3">
        <v>38839</v>
      </c>
      <c r="B4" s="4" t="s">
        <v>145</v>
      </c>
      <c r="C4" s="4" t="s">
        <v>146</v>
      </c>
      <c r="D4" s="5">
        <v>3188</v>
      </c>
      <c r="E4" s="4" t="s">
        <v>141</v>
      </c>
      <c r="F4" s="5">
        <v>2888</v>
      </c>
      <c r="G4" s="6">
        <f t="shared" si="0"/>
        <v>0.0941028858218319</v>
      </c>
      <c r="H4" s="4">
        <v>6</v>
      </c>
      <c r="I4" s="5">
        <f t="shared" si="1"/>
        <v>17328</v>
      </c>
      <c r="J4" s="4" t="s">
        <v>142</v>
      </c>
    </row>
    <row r="5" spans="1:10">
      <c r="A5" s="3">
        <v>38840</v>
      </c>
      <c r="B5" s="4" t="s">
        <v>139</v>
      </c>
      <c r="C5" s="4" t="s">
        <v>140</v>
      </c>
      <c r="D5" s="5">
        <v>2088</v>
      </c>
      <c r="E5" s="4" t="s">
        <v>141</v>
      </c>
      <c r="F5" s="5">
        <v>1888</v>
      </c>
      <c r="G5" s="6">
        <f t="shared" si="0"/>
        <v>0.0957854406130268</v>
      </c>
      <c r="H5" s="4">
        <v>10</v>
      </c>
      <c r="I5" s="5">
        <f t="shared" si="1"/>
        <v>18880</v>
      </c>
      <c r="J5" s="4" t="s">
        <v>142</v>
      </c>
    </row>
    <row r="6" spans="1:10">
      <c r="A6" s="3">
        <v>38841</v>
      </c>
      <c r="B6" s="4" t="s">
        <v>139</v>
      </c>
      <c r="C6" s="4" t="s">
        <v>140</v>
      </c>
      <c r="D6" s="5">
        <v>2088</v>
      </c>
      <c r="E6" s="4" t="s">
        <v>141</v>
      </c>
      <c r="F6" s="5">
        <v>1888</v>
      </c>
      <c r="G6" s="6">
        <f t="shared" si="0"/>
        <v>0.0957854406130268</v>
      </c>
      <c r="H6" s="4">
        <v>6</v>
      </c>
      <c r="I6" s="5">
        <f t="shared" si="1"/>
        <v>11328</v>
      </c>
      <c r="J6" s="4" t="s">
        <v>142</v>
      </c>
    </row>
    <row r="7" spans="1:10">
      <c r="A7" s="3">
        <v>38842</v>
      </c>
      <c r="B7" s="4" t="s">
        <v>139</v>
      </c>
      <c r="C7" s="4" t="s">
        <v>140</v>
      </c>
      <c r="D7" s="5">
        <v>2088</v>
      </c>
      <c r="E7" s="4" t="s">
        <v>141</v>
      </c>
      <c r="F7" s="5">
        <v>1888</v>
      </c>
      <c r="G7" s="6">
        <f t="shared" si="0"/>
        <v>0.0957854406130268</v>
      </c>
      <c r="H7" s="4">
        <v>4</v>
      </c>
      <c r="I7" s="5">
        <f t="shared" si="1"/>
        <v>7552</v>
      </c>
      <c r="J7" s="4" t="s">
        <v>142</v>
      </c>
    </row>
    <row r="8" spans="1:10">
      <c r="A8" s="3">
        <v>38843</v>
      </c>
      <c r="B8" s="4" t="s">
        <v>139</v>
      </c>
      <c r="C8" s="4" t="s">
        <v>140</v>
      </c>
      <c r="D8" s="5">
        <v>2088</v>
      </c>
      <c r="E8" s="4" t="s">
        <v>141</v>
      </c>
      <c r="F8" s="5">
        <v>1888</v>
      </c>
      <c r="G8" s="6">
        <f t="shared" si="0"/>
        <v>0.0957854406130268</v>
      </c>
      <c r="H8" s="4">
        <v>2</v>
      </c>
      <c r="I8" s="5">
        <f t="shared" si="1"/>
        <v>3776</v>
      </c>
      <c r="J8" s="4" t="s">
        <v>142</v>
      </c>
    </row>
    <row r="9" spans="1:10">
      <c r="A9" s="3">
        <v>38844</v>
      </c>
      <c r="B9" s="4" t="s">
        <v>139</v>
      </c>
      <c r="C9" s="4" t="s">
        <v>140</v>
      </c>
      <c r="D9" s="5">
        <v>2088</v>
      </c>
      <c r="E9" s="4" t="s">
        <v>141</v>
      </c>
      <c r="F9" s="5">
        <v>1888</v>
      </c>
      <c r="G9" s="6">
        <f t="shared" si="0"/>
        <v>0.0957854406130268</v>
      </c>
      <c r="H9" s="4">
        <v>2</v>
      </c>
      <c r="I9" s="5">
        <f t="shared" si="1"/>
        <v>3776</v>
      </c>
      <c r="J9" s="4" t="s">
        <v>142</v>
      </c>
    </row>
    <row r="10" spans="1:10">
      <c r="A10" s="3">
        <v>38838</v>
      </c>
      <c r="B10" s="4" t="s">
        <v>139</v>
      </c>
      <c r="C10" s="4" t="s">
        <v>147</v>
      </c>
      <c r="D10" s="5">
        <v>1988</v>
      </c>
      <c r="E10" s="4" t="s">
        <v>141</v>
      </c>
      <c r="F10" s="5">
        <v>1788</v>
      </c>
      <c r="G10" s="6">
        <f t="shared" si="0"/>
        <v>0.100603621730382</v>
      </c>
      <c r="H10" s="4">
        <v>2</v>
      </c>
      <c r="I10" s="5">
        <f t="shared" si="1"/>
        <v>3576</v>
      </c>
      <c r="J10" s="4" t="s">
        <v>148</v>
      </c>
    </row>
    <row r="11" spans="1:10">
      <c r="A11" s="3">
        <v>38839</v>
      </c>
      <c r="B11" s="4" t="s">
        <v>139</v>
      </c>
      <c r="C11" s="4" t="s">
        <v>147</v>
      </c>
      <c r="D11" s="5">
        <v>1988</v>
      </c>
      <c r="E11" s="4" t="s">
        <v>141</v>
      </c>
      <c r="F11" s="5">
        <v>1788</v>
      </c>
      <c r="G11" s="6">
        <f t="shared" si="0"/>
        <v>0.100603621730382</v>
      </c>
      <c r="H11" s="4">
        <v>5</v>
      </c>
      <c r="I11" s="5">
        <f t="shared" si="1"/>
        <v>8940</v>
      </c>
      <c r="J11" s="4" t="s">
        <v>148</v>
      </c>
    </row>
    <row r="12" spans="1:10">
      <c r="A12" s="3">
        <v>38840</v>
      </c>
      <c r="B12" s="4" t="s">
        <v>139</v>
      </c>
      <c r="C12" s="4" t="s">
        <v>147</v>
      </c>
      <c r="D12" s="5">
        <v>1988</v>
      </c>
      <c r="E12" s="4" t="s">
        <v>141</v>
      </c>
      <c r="F12" s="5">
        <v>1788</v>
      </c>
      <c r="G12" s="6">
        <f t="shared" si="0"/>
        <v>0.100603621730382</v>
      </c>
      <c r="H12" s="4">
        <v>9</v>
      </c>
      <c r="I12" s="5">
        <f t="shared" si="1"/>
        <v>16092</v>
      </c>
      <c r="J12" s="4" t="s">
        <v>148</v>
      </c>
    </row>
    <row r="13" spans="1:10">
      <c r="A13" s="3">
        <v>38841</v>
      </c>
      <c r="B13" s="4" t="s">
        <v>139</v>
      </c>
      <c r="C13" s="4" t="s">
        <v>147</v>
      </c>
      <c r="D13" s="5">
        <v>1988</v>
      </c>
      <c r="E13" s="4" t="s">
        <v>141</v>
      </c>
      <c r="F13" s="5">
        <v>1788</v>
      </c>
      <c r="G13" s="6">
        <f t="shared" si="0"/>
        <v>0.100603621730382</v>
      </c>
      <c r="H13" s="4">
        <v>2</v>
      </c>
      <c r="I13" s="5">
        <f t="shared" si="1"/>
        <v>3576</v>
      </c>
      <c r="J13" s="4" t="s">
        <v>148</v>
      </c>
    </row>
    <row r="14" spans="1:10">
      <c r="A14" s="3">
        <v>38842</v>
      </c>
      <c r="B14" s="4" t="s">
        <v>139</v>
      </c>
      <c r="C14" s="4" t="s">
        <v>147</v>
      </c>
      <c r="D14" s="5">
        <v>1988</v>
      </c>
      <c r="E14" s="4" t="s">
        <v>141</v>
      </c>
      <c r="F14" s="5">
        <v>1788</v>
      </c>
      <c r="G14" s="6">
        <f t="shared" si="0"/>
        <v>0.100603621730382</v>
      </c>
      <c r="H14" s="4">
        <v>1</v>
      </c>
      <c r="I14" s="5">
        <f t="shared" si="1"/>
        <v>1788</v>
      </c>
      <c r="J14" s="4" t="s">
        <v>148</v>
      </c>
    </row>
    <row r="15" spans="1:10">
      <c r="A15" s="3">
        <v>38843</v>
      </c>
      <c r="B15" s="4" t="s">
        <v>139</v>
      </c>
      <c r="C15" s="4" t="s">
        <v>147</v>
      </c>
      <c r="D15" s="5">
        <v>1988</v>
      </c>
      <c r="E15" s="4" t="s">
        <v>141</v>
      </c>
      <c r="F15" s="5">
        <v>1788</v>
      </c>
      <c r="G15" s="6">
        <f t="shared" si="0"/>
        <v>0.100603621730382</v>
      </c>
      <c r="H15" s="4">
        <v>0</v>
      </c>
      <c r="I15" s="5">
        <f t="shared" si="1"/>
        <v>0</v>
      </c>
      <c r="J15" s="4" t="s">
        <v>148</v>
      </c>
    </row>
    <row r="16" spans="1:10">
      <c r="A16" s="3">
        <v>38844</v>
      </c>
      <c r="B16" s="4" t="s">
        <v>139</v>
      </c>
      <c r="C16" s="4" t="s">
        <v>147</v>
      </c>
      <c r="D16" s="5">
        <v>1988</v>
      </c>
      <c r="E16" s="4" t="s">
        <v>141</v>
      </c>
      <c r="F16" s="5">
        <v>1788</v>
      </c>
      <c r="G16" s="6">
        <f t="shared" si="0"/>
        <v>0.100603621730382</v>
      </c>
      <c r="H16" s="4">
        <v>1</v>
      </c>
      <c r="I16" s="5">
        <f t="shared" si="1"/>
        <v>1788</v>
      </c>
      <c r="J16" s="4" t="s">
        <v>148</v>
      </c>
    </row>
    <row r="17" spans="1:10">
      <c r="A17" s="3">
        <v>38838</v>
      </c>
      <c r="B17" s="4" t="s">
        <v>143</v>
      </c>
      <c r="C17" s="4" t="s">
        <v>149</v>
      </c>
      <c r="D17" s="5">
        <v>2688</v>
      </c>
      <c r="E17" s="4" t="s">
        <v>141</v>
      </c>
      <c r="F17" s="5">
        <v>2388</v>
      </c>
      <c r="G17" s="6">
        <f t="shared" si="0"/>
        <v>0.111607142857143</v>
      </c>
      <c r="H17" s="4">
        <v>3</v>
      </c>
      <c r="I17" s="5">
        <f t="shared" si="1"/>
        <v>7164</v>
      </c>
      <c r="J17" s="4" t="s">
        <v>150</v>
      </c>
    </row>
    <row r="18" spans="1:10">
      <c r="A18" s="3">
        <v>38839</v>
      </c>
      <c r="B18" s="4" t="s">
        <v>143</v>
      </c>
      <c r="C18" s="4" t="s">
        <v>149</v>
      </c>
      <c r="D18" s="5">
        <v>2688</v>
      </c>
      <c r="E18" s="4" t="s">
        <v>141</v>
      </c>
      <c r="F18" s="5">
        <v>2388</v>
      </c>
      <c r="G18" s="6">
        <f t="shared" si="0"/>
        <v>0.111607142857143</v>
      </c>
      <c r="H18" s="4">
        <v>8</v>
      </c>
      <c r="I18" s="5">
        <f t="shared" si="1"/>
        <v>19104</v>
      </c>
      <c r="J18" s="4" t="s">
        <v>150</v>
      </c>
    </row>
    <row r="19" spans="1:10">
      <c r="A19" s="3">
        <v>38839</v>
      </c>
      <c r="B19" s="4" t="s">
        <v>145</v>
      </c>
      <c r="C19" s="4" t="s">
        <v>151</v>
      </c>
      <c r="D19" s="5">
        <v>2988</v>
      </c>
      <c r="E19" s="4" t="s">
        <v>152</v>
      </c>
      <c r="F19" s="5">
        <v>2988</v>
      </c>
      <c r="G19" s="6">
        <f t="shared" si="0"/>
        <v>0</v>
      </c>
      <c r="H19" s="4">
        <v>3</v>
      </c>
      <c r="I19" s="5">
        <f t="shared" si="1"/>
        <v>8964</v>
      </c>
      <c r="J19" s="4" t="s">
        <v>150</v>
      </c>
    </row>
    <row r="20" spans="1:10">
      <c r="A20" s="3">
        <v>38840</v>
      </c>
      <c r="B20" s="4" t="s">
        <v>143</v>
      </c>
      <c r="C20" s="4" t="s">
        <v>149</v>
      </c>
      <c r="D20" s="5">
        <v>2688</v>
      </c>
      <c r="E20" s="4" t="s">
        <v>141</v>
      </c>
      <c r="F20" s="5">
        <v>2388</v>
      </c>
      <c r="G20" s="6">
        <f t="shared" si="0"/>
        <v>0.111607142857143</v>
      </c>
      <c r="H20" s="4">
        <v>8</v>
      </c>
      <c r="I20" s="5">
        <f t="shared" si="1"/>
        <v>19104</v>
      </c>
      <c r="J20" s="4" t="s">
        <v>150</v>
      </c>
    </row>
    <row r="21" spans="1:10">
      <c r="A21" s="3">
        <v>38841</v>
      </c>
      <c r="B21" s="4" t="s">
        <v>143</v>
      </c>
      <c r="C21" s="4" t="s">
        <v>149</v>
      </c>
      <c r="D21" s="5">
        <v>2688</v>
      </c>
      <c r="E21" s="4" t="s">
        <v>141</v>
      </c>
      <c r="F21" s="5">
        <v>2388</v>
      </c>
      <c r="G21" s="6">
        <f t="shared" si="0"/>
        <v>0.111607142857143</v>
      </c>
      <c r="H21" s="4">
        <v>9</v>
      </c>
      <c r="I21" s="5">
        <f t="shared" si="1"/>
        <v>21492</v>
      </c>
      <c r="J21" s="4" t="s">
        <v>150</v>
      </c>
    </row>
    <row r="22" spans="1:10">
      <c r="A22" s="3">
        <v>38842</v>
      </c>
      <c r="B22" s="4" t="s">
        <v>143</v>
      </c>
      <c r="C22" s="4" t="s">
        <v>149</v>
      </c>
      <c r="D22" s="5">
        <v>2688</v>
      </c>
      <c r="E22" s="4" t="s">
        <v>141</v>
      </c>
      <c r="F22" s="5">
        <v>2388</v>
      </c>
      <c r="G22" s="6">
        <f t="shared" si="0"/>
        <v>0.111607142857143</v>
      </c>
      <c r="H22" s="4">
        <v>5</v>
      </c>
      <c r="I22" s="5">
        <f t="shared" si="1"/>
        <v>11940</v>
      </c>
      <c r="J22" s="4" t="s">
        <v>150</v>
      </c>
    </row>
    <row r="23" spans="1:10">
      <c r="A23" s="3">
        <v>38843</v>
      </c>
      <c r="B23" s="4" t="s">
        <v>143</v>
      </c>
      <c r="C23" s="4" t="s">
        <v>149</v>
      </c>
      <c r="D23" s="5">
        <v>2688</v>
      </c>
      <c r="E23" s="4" t="s">
        <v>141</v>
      </c>
      <c r="F23" s="5">
        <v>2388</v>
      </c>
      <c r="G23" s="6">
        <f t="shared" si="0"/>
        <v>0.111607142857143</v>
      </c>
      <c r="H23" s="4">
        <v>2</v>
      </c>
      <c r="I23" s="5">
        <f t="shared" si="1"/>
        <v>4776</v>
      </c>
      <c r="J23" s="4" t="s">
        <v>150</v>
      </c>
    </row>
    <row r="24" spans="1:10">
      <c r="A24" s="3">
        <v>38844</v>
      </c>
      <c r="B24" s="4" t="s">
        <v>143</v>
      </c>
      <c r="C24" s="4" t="s">
        <v>149</v>
      </c>
      <c r="D24" s="5">
        <v>2688</v>
      </c>
      <c r="E24" s="4" t="s">
        <v>141</v>
      </c>
      <c r="F24" s="5">
        <v>2388</v>
      </c>
      <c r="G24" s="6">
        <f t="shared" si="0"/>
        <v>0.111607142857143</v>
      </c>
      <c r="H24" s="4">
        <v>1</v>
      </c>
      <c r="I24" s="5">
        <f t="shared" si="1"/>
        <v>2388</v>
      </c>
      <c r="J24" s="4" t="s">
        <v>150</v>
      </c>
    </row>
    <row r="25" spans="1:10">
      <c r="A25" s="3">
        <v>38838</v>
      </c>
      <c r="B25" s="4" t="s">
        <v>143</v>
      </c>
      <c r="C25" s="4" t="s">
        <v>153</v>
      </c>
      <c r="D25" s="5">
        <v>1988</v>
      </c>
      <c r="E25" s="4" t="s">
        <v>152</v>
      </c>
      <c r="F25" s="5">
        <v>1988</v>
      </c>
      <c r="G25" s="6">
        <f t="shared" si="0"/>
        <v>0</v>
      </c>
      <c r="H25" s="4">
        <v>2</v>
      </c>
      <c r="I25" s="5">
        <f t="shared" si="1"/>
        <v>3976</v>
      </c>
      <c r="J25" s="4" t="s">
        <v>154</v>
      </c>
    </row>
    <row r="26" spans="1:10">
      <c r="A26" s="3">
        <v>38839</v>
      </c>
      <c r="B26" s="4" t="s">
        <v>139</v>
      </c>
      <c r="C26" s="4" t="s">
        <v>140</v>
      </c>
      <c r="D26" s="5">
        <v>2088</v>
      </c>
      <c r="E26" s="4" t="s">
        <v>141</v>
      </c>
      <c r="F26" s="5">
        <v>1888</v>
      </c>
      <c r="G26" s="6">
        <f t="shared" si="0"/>
        <v>0.0957854406130268</v>
      </c>
      <c r="H26" s="4">
        <v>3</v>
      </c>
      <c r="I26" s="5">
        <f t="shared" si="1"/>
        <v>5664</v>
      </c>
      <c r="J26" s="4" t="s">
        <v>154</v>
      </c>
    </row>
    <row r="27" spans="1:10">
      <c r="A27" s="3">
        <v>38840</v>
      </c>
      <c r="B27" s="4" t="s">
        <v>143</v>
      </c>
      <c r="C27" s="4" t="s">
        <v>153</v>
      </c>
      <c r="D27" s="5">
        <v>1988</v>
      </c>
      <c r="E27" s="4" t="s">
        <v>152</v>
      </c>
      <c r="F27" s="5">
        <v>1988</v>
      </c>
      <c r="G27" s="6">
        <f t="shared" si="0"/>
        <v>0</v>
      </c>
      <c r="H27" s="4">
        <v>7</v>
      </c>
      <c r="I27" s="5">
        <f t="shared" si="1"/>
        <v>13916</v>
      </c>
      <c r="J27" s="4" t="s">
        <v>154</v>
      </c>
    </row>
    <row r="28" spans="1:10">
      <c r="A28" s="3">
        <v>38841</v>
      </c>
      <c r="B28" s="4" t="s">
        <v>143</v>
      </c>
      <c r="C28" s="4" t="s">
        <v>153</v>
      </c>
      <c r="D28" s="5">
        <v>1988</v>
      </c>
      <c r="E28" s="4" t="s">
        <v>152</v>
      </c>
      <c r="F28" s="5">
        <v>1988</v>
      </c>
      <c r="G28" s="6">
        <f t="shared" si="0"/>
        <v>0</v>
      </c>
      <c r="H28" s="4">
        <v>3</v>
      </c>
      <c r="I28" s="5">
        <f t="shared" si="1"/>
        <v>5964</v>
      </c>
      <c r="J28" s="4" t="s">
        <v>154</v>
      </c>
    </row>
    <row r="29" spans="1:10">
      <c r="A29" s="3">
        <v>38842</v>
      </c>
      <c r="B29" s="4" t="s">
        <v>143</v>
      </c>
      <c r="C29" s="4" t="s">
        <v>153</v>
      </c>
      <c r="D29" s="5">
        <v>1988</v>
      </c>
      <c r="E29" s="4" t="s">
        <v>152</v>
      </c>
      <c r="F29" s="5">
        <v>1988</v>
      </c>
      <c r="G29" s="6">
        <f t="shared" si="0"/>
        <v>0</v>
      </c>
      <c r="H29" s="4">
        <v>1</v>
      </c>
      <c r="I29" s="5">
        <f t="shared" si="1"/>
        <v>1988</v>
      </c>
      <c r="J29" s="4" t="s">
        <v>154</v>
      </c>
    </row>
    <row r="30" spans="1:10">
      <c r="A30" s="3">
        <v>38843</v>
      </c>
      <c r="B30" s="4" t="s">
        <v>143</v>
      </c>
      <c r="C30" s="4" t="s">
        <v>153</v>
      </c>
      <c r="D30" s="5">
        <v>1988</v>
      </c>
      <c r="E30" s="4" t="s">
        <v>152</v>
      </c>
      <c r="F30" s="5">
        <v>1988</v>
      </c>
      <c r="G30" s="6">
        <f t="shared" si="0"/>
        <v>0</v>
      </c>
      <c r="H30" s="4">
        <v>0</v>
      </c>
      <c r="I30" s="5">
        <f t="shared" si="1"/>
        <v>0</v>
      </c>
      <c r="J30" s="4" t="s">
        <v>154</v>
      </c>
    </row>
    <row r="31" spans="1:10">
      <c r="A31" s="3">
        <v>38844</v>
      </c>
      <c r="B31" s="4" t="s">
        <v>143</v>
      </c>
      <c r="C31" s="4" t="s">
        <v>153</v>
      </c>
      <c r="D31" s="5">
        <v>1988</v>
      </c>
      <c r="E31" s="4" t="s">
        <v>152</v>
      </c>
      <c r="F31" s="5">
        <v>1988</v>
      </c>
      <c r="G31" s="6">
        <f t="shared" si="0"/>
        <v>0</v>
      </c>
      <c r="H31" s="4">
        <v>1</v>
      </c>
      <c r="I31" s="5">
        <f t="shared" si="1"/>
        <v>1988</v>
      </c>
      <c r="J31" s="4" t="s">
        <v>154</v>
      </c>
    </row>
    <row r="32" spans="1:10">
      <c r="A32" s="3">
        <v>38838</v>
      </c>
      <c r="B32" s="4" t="s">
        <v>143</v>
      </c>
      <c r="C32" s="4" t="s">
        <v>144</v>
      </c>
      <c r="D32" s="5">
        <v>4688</v>
      </c>
      <c r="E32" s="4" t="s">
        <v>141</v>
      </c>
      <c r="F32" s="5">
        <v>4088</v>
      </c>
      <c r="G32" s="6">
        <f t="shared" si="0"/>
        <v>0.127986348122867</v>
      </c>
      <c r="H32" s="4">
        <v>1</v>
      </c>
      <c r="I32" s="5">
        <f t="shared" si="1"/>
        <v>4088</v>
      </c>
      <c r="J32" s="4" t="s">
        <v>155</v>
      </c>
    </row>
    <row r="33" spans="1:10">
      <c r="A33" s="3">
        <v>38839</v>
      </c>
      <c r="B33" s="4" t="s">
        <v>143</v>
      </c>
      <c r="C33" s="4" t="s">
        <v>144</v>
      </c>
      <c r="D33" s="5">
        <v>4688</v>
      </c>
      <c r="E33" s="4" t="s">
        <v>141</v>
      </c>
      <c r="F33" s="5">
        <v>4088</v>
      </c>
      <c r="G33" s="6">
        <f t="shared" si="0"/>
        <v>0.127986348122867</v>
      </c>
      <c r="H33" s="4">
        <v>8</v>
      </c>
      <c r="I33" s="5">
        <f t="shared" si="1"/>
        <v>32704</v>
      </c>
      <c r="J33" s="4" t="s">
        <v>155</v>
      </c>
    </row>
    <row r="34" spans="1:10">
      <c r="A34" s="3">
        <v>38840</v>
      </c>
      <c r="B34" s="4" t="s">
        <v>143</v>
      </c>
      <c r="C34" s="4" t="s">
        <v>144</v>
      </c>
      <c r="D34" s="5">
        <v>4688</v>
      </c>
      <c r="E34" s="4" t="s">
        <v>141</v>
      </c>
      <c r="F34" s="5">
        <v>4088</v>
      </c>
      <c r="G34" s="6">
        <f t="shared" si="0"/>
        <v>0.127986348122867</v>
      </c>
      <c r="H34" s="4">
        <v>10</v>
      </c>
      <c r="I34" s="5">
        <f t="shared" si="1"/>
        <v>40880</v>
      </c>
      <c r="J34" s="4" t="s">
        <v>155</v>
      </c>
    </row>
    <row r="35" spans="1:10">
      <c r="A35" s="3">
        <v>38841</v>
      </c>
      <c r="B35" s="4" t="s">
        <v>143</v>
      </c>
      <c r="C35" s="4" t="s">
        <v>144</v>
      </c>
      <c r="D35" s="5">
        <v>4688</v>
      </c>
      <c r="E35" s="4" t="s">
        <v>141</v>
      </c>
      <c r="F35" s="5">
        <v>4088</v>
      </c>
      <c r="G35" s="6">
        <f t="shared" si="0"/>
        <v>0.127986348122867</v>
      </c>
      <c r="H35" s="4">
        <v>12</v>
      </c>
      <c r="I35" s="5">
        <f t="shared" si="1"/>
        <v>49056</v>
      </c>
      <c r="J35" s="4" t="s">
        <v>155</v>
      </c>
    </row>
    <row r="36" spans="1:10">
      <c r="A36" s="3">
        <v>38842</v>
      </c>
      <c r="B36" s="4" t="s">
        <v>143</v>
      </c>
      <c r="C36" s="4" t="s">
        <v>144</v>
      </c>
      <c r="D36" s="5">
        <v>4688</v>
      </c>
      <c r="E36" s="4" t="s">
        <v>141</v>
      </c>
      <c r="F36" s="5">
        <v>4088</v>
      </c>
      <c r="G36" s="6">
        <f t="shared" si="0"/>
        <v>0.127986348122867</v>
      </c>
      <c r="H36" s="4">
        <v>6</v>
      </c>
      <c r="I36" s="5">
        <f t="shared" si="1"/>
        <v>24528</v>
      </c>
      <c r="J36" s="4" t="s">
        <v>155</v>
      </c>
    </row>
    <row r="37" spans="1:10">
      <c r="A37" s="3">
        <v>38843</v>
      </c>
      <c r="B37" s="4" t="s">
        <v>143</v>
      </c>
      <c r="C37" s="4" t="s">
        <v>144</v>
      </c>
      <c r="D37" s="5">
        <v>4688</v>
      </c>
      <c r="E37" s="4" t="s">
        <v>141</v>
      </c>
      <c r="F37" s="5">
        <v>4088</v>
      </c>
      <c r="G37" s="6">
        <f t="shared" si="0"/>
        <v>0.127986348122867</v>
      </c>
      <c r="H37" s="4">
        <v>4</v>
      </c>
      <c r="I37" s="5">
        <f t="shared" si="1"/>
        <v>16352</v>
      </c>
      <c r="J37" s="4" t="s">
        <v>155</v>
      </c>
    </row>
    <row r="38" spans="1:10">
      <c r="A38" s="3">
        <v>38844</v>
      </c>
      <c r="B38" s="4" t="s">
        <v>143</v>
      </c>
      <c r="C38" s="4" t="s">
        <v>144</v>
      </c>
      <c r="D38" s="5">
        <v>4688</v>
      </c>
      <c r="E38" s="4" t="s">
        <v>141</v>
      </c>
      <c r="F38" s="5">
        <v>4088</v>
      </c>
      <c r="G38" s="6">
        <f t="shared" si="0"/>
        <v>0.127986348122867</v>
      </c>
      <c r="H38" s="4">
        <v>3</v>
      </c>
      <c r="I38" s="5">
        <f t="shared" si="1"/>
        <v>12264</v>
      </c>
      <c r="J38" s="4" t="s">
        <v>155</v>
      </c>
    </row>
    <row r="39" spans="1:10">
      <c r="A39" s="3">
        <v>38838</v>
      </c>
      <c r="B39" s="4" t="s">
        <v>145</v>
      </c>
      <c r="C39" s="4" t="s">
        <v>151</v>
      </c>
      <c r="D39" s="5">
        <v>2988</v>
      </c>
      <c r="E39" s="4" t="s">
        <v>152</v>
      </c>
      <c r="F39" s="5">
        <v>2988</v>
      </c>
      <c r="G39" s="6">
        <f t="shared" si="0"/>
        <v>0</v>
      </c>
      <c r="H39" s="4">
        <v>2</v>
      </c>
      <c r="I39" s="5">
        <f t="shared" si="1"/>
        <v>5976</v>
      </c>
      <c r="J39" s="4" t="s">
        <v>156</v>
      </c>
    </row>
    <row r="40" spans="1:10">
      <c r="A40" s="3">
        <v>38839</v>
      </c>
      <c r="B40" s="4" t="s">
        <v>143</v>
      </c>
      <c r="C40" s="4" t="s">
        <v>153</v>
      </c>
      <c r="D40" s="5">
        <v>1988</v>
      </c>
      <c r="E40" s="4" t="s">
        <v>152</v>
      </c>
      <c r="F40" s="5">
        <v>1988</v>
      </c>
      <c r="G40" s="6">
        <f t="shared" si="0"/>
        <v>0</v>
      </c>
      <c r="H40" s="4">
        <v>6</v>
      </c>
      <c r="I40" s="5">
        <f t="shared" si="1"/>
        <v>11928</v>
      </c>
      <c r="J40" s="4" t="s">
        <v>156</v>
      </c>
    </row>
    <row r="41" spans="1:10">
      <c r="A41" s="3">
        <v>38839</v>
      </c>
      <c r="B41" s="4" t="s">
        <v>145</v>
      </c>
      <c r="C41" s="4" t="s">
        <v>157</v>
      </c>
      <c r="D41" s="5">
        <v>3688</v>
      </c>
      <c r="E41" s="4" t="s">
        <v>141</v>
      </c>
      <c r="F41" s="5">
        <v>2988</v>
      </c>
      <c r="G41" s="6">
        <f t="shared" si="0"/>
        <v>0.189804772234273</v>
      </c>
      <c r="H41" s="4">
        <v>10</v>
      </c>
      <c r="I41" s="5">
        <f t="shared" si="1"/>
        <v>29880</v>
      </c>
      <c r="J41" s="4" t="s">
        <v>156</v>
      </c>
    </row>
    <row r="42" spans="1:10">
      <c r="A42" s="3">
        <v>38840</v>
      </c>
      <c r="B42" s="4" t="s">
        <v>145</v>
      </c>
      <c r="C42" s="4" t="s">
        <v>151</v>
      </c>
      <c r="D42" s="5">
        <v>2988</v>
      </c>
      <c r="E42" s="4" t="s">
        <v>152</v>
      </c>
      <c r="F42" s="5">
        <v>2988</v>
      </c>
      <c r="G42" s="6">
        <f t="shared" si="0"/>
        <v>0</v>
      </c>
      <c r="H42" s="4">
        <v>6</v>
      </c>
      <c r="I42" s="5">
        <f t="shared" si="1"/>
        <v>17928</v>
      </c>
      <c r="J42" s="4" t="s">
        <v>156</v>
      </c>
    </row>
    <row r="43" spans="1:10">
      <c r="A43" s="3">
        <v>38841</v>
      </c>
      <c r="B43" s="4" t="s">
        <v>145</v>
      </c>
      <c r="C43" s="4" t="s">
        <v>151</v>
      </c>
      <c r="D43" s="5">
        <v>2988</v>
      </c>
      <c r="E43" s="4" t="s">
        <v>152</v>
      </c>
      <c r="F43" s="5">
        <v>2988</v>
      </c>
      <c r="G43" s="6">
        <f t="shared" si="0"/>
        <v>0</v>
      </c>
      <c r="H43" s="4">
        <v>3</v>
      </c>
      <c r="I43" s="5">
        <f t="shared" si="1"/>
        <v>8964</v>
      </c>
      <c r="J43" s="4" t="s">
        <v>156</v>
      </c>
    </row>
    <row r="44" spans="1:10">
      <c r="A44" s="3">
        <v>38842</v>
      </c>
      <c r="B44" s="4" t="s">
        <v>145</v>
      </c>
      <c r="C44" s="4" t="s">
        <v>151</v>
      </c>
      <c r="D44" s="5">
        <v>2988</v>
      </c>
      <c r="E44" s="4" t="s">
        <v>152</v>
      </c>
      <c r="F44" s="5">
        <v>2988</v>
      </c>
      <c r="G44" s="6">
        <f t="shared" si="0"/>
        <v>0</v>
      </c>
      <c r="H44" s="4">
        <v>0</v>
      </c>
      <c r="I44" s="5">
        <f t="shared" si="1"/>
        <v>0</v>
      </c>
      <c r="J44" s="4" t="s">
        <v>156</v>
      </c>
    </row>
    <row r="45" spans="1:10">
      <c r="A45" s="3">
        <v>38843</v>
      </c>
      <c r="B45" s="4" t="s">
        <v>145</v>
      </c>
      <c r="C45" s="4" t="s">
        <v>151</v>
      </c>
      <c r="D45" s="5">
        <v>2988</v>
      </c>
      <c r="E45" s="4" t="s">
        <v>152</v>
      </c>
      <c r="F45" s="5">
        <v>2988</v>
      </c>
      <c r="G45" s="6">
        <f t="shared" si="0"/>
        <v>0</v>
      </c>
      <c r="H45" s="4">
        <v>2</v>
      </c>
      <c r="I45" s="5">
        <f t="shared" si="1"/>
        <v>5976</v>
      </c>
      <c r="J45" s="4" t="s">
        <v>156</v>
      </c>
    </row>
    <row r="46" spans="1:10">
      <c r="A46" s="3">
        <v>38844</v>
      </c>
      <c r="B46" s="4" t="s">
        <v>145</v>
      </c>
      <c r="C46" s="4" t="s">
        <v>151</v>
      </c>
      <c r="D46" s="5">
        <v>2988</v>
      </c>
      <c r="E46" s="4" t="s">
        <v>152</v>
      </c>
      <c r="F46" s="5">
        <v>2988</v>
      </c>
      <c r="G46" s="6">
        <f t="shared" si="0"/>
        <v>0</v>
      </c>
      <c r="H46" s="4">
        <v>0</v>
      </c>
      <c r="I46" s="5">
        <f t="shared" si="1"/>
        <v>0</v>
      </c>
      <c r="J46" s="4" t="s">
        <v>156</v>
      </c>
    </row>
    <row r="47" spans="1:10">
      <c r="A47" s="3">
        <v>38838</v>
      </c>
      <c r="B47" s="4" t="s">
        <v>145</v>
      </c>
      <c r="C47" s="4" t="s">
        <v>157</v>
      </c>
      <c r="D47" s="5">
        <v>3688</v>
      </c>
      <c r="E47" s="4" t="s">
        <v>141</v>
      </c>
      <c r="F47" s="5">
        <v>2988</v>
      </c>
      <c r="G47" s="6">
        <f t="shared" si="0"/>
        <v>0.189804772234273</v>
      </c>
      <c r="H47" s="4">
        <v>4</v>
      </c>
      <c r="I47" s="5">
        <f t="shared" si="1"/>
        <v>11952</v>
      </c>
      <c r="J47" s="4" t="s">
        <v>158</v>
      </c>
    </row>
    <row r="48" spans="1:10">
      <c r="A48" s="3">
        <v>38840</v>
      </c>
      <c r="B48" s="4" t="s">
        <v>145</v>
      </c>
      <c r="C48" s="4" t="s">
        <v>157</v>
      </c>
      <c r="D48" s="5">
        <v>3688</v>
      </c>
      <c r="E48" s="4" t="s">
        <v>141</v>
      </c>
      <c r="F48" s="5">
        <v>2988</v>
      </c>
      <c r="G48" s="6">
        <f t="shared" si="0"/>
        <v>0.189804772234273</v>
      </c>
      <c r="H48" s="4">
        <v>15</v>
      </c>
      <c r="I48" s="5">
        <f t="shared" si="1"/>
        <v>44820</v>
      </c>
      <c r="J48" s="4" t="s">
        <v>158</v>
      </c>
    </row>
    <row r="49" spans="1:10">
      <c r="A49" s="3">
        <v>38841</v>
      </c>
      <c r="B49" s="4" t="s">
        <v>145</v>
      </c>
      <c r="C49" s="4" t="s">
        <v>157</v>
      </c>
      <c r="D49" s="5">
        <v>3688</v>
      </c>
      <c r="E49" s="4" t="s">
        <v>141</v>
      </c>
      <c r="F49" s="5">
        <v>2988</v>
      </c>
      <c r="G49" s="6">
        <f t="shared" si="0"/>
        <v>0.189804772234273</v>
      </c>
      <c r="H49" s="4">
        <v>10</v>
      </c>
      <c r="I49" s="5">
        <f t="shared" si="1"/>
        <v>29880</v>
      </c>
      <c r="J49" s="4" t="s">
        <v>158</v>
      </c>
    </row>
    <row r="50" spans="1:10">
      <c r="A50" s="3">
        <v>38842</v>
      </c>
      <c r="B50" s="4" t="s">
        <v>145</v>
      </c>
      <c r="C50" s="4" t="s">
        <v>157</v>
      </c>
      <c r="D50" s="5">
        <v>3688</v>
      </c>
      <c r="E50" s="4" t="s">
        <v>141</v>
      </c>
      <c r="F50" s="5">
        <v>2988</v>
      </c>
      <c r="G50" s="6">
        <f t="shared" si="0"/>
        <v>0.189804772234273</v>
      </c>
      <c r="H50" s="4">
        <v>6</v>
      </c>
      <c r="I50" s="5">
        <f t="shared" si="1"/>
        <v>17928</v>
      </c>
      <c r="J50" s="4" t="s">
        <v>158</v>
      </c>
    </row>
    <row r="51" spans="1:10">
      <c r="A51" s="3">
        <v>38843</v>
      </c>
      <c r="B51" s="4" t="s">
        <v>145</v>
      </c>
      <c r="C51" s="4" t="s">
        <v>157</v>
      </c>
      <c r="D51" s="5">
        <v>3688</v>
      </c>
      <c r="E51" s="4" t="s">
        <v>141</v>
      </c>
      <c r="F51" s="5">
        <v>2988</v>
      </c>
      <c r="G51" s="6">
        <f t="shared" si="0"/>
        <v>0.189804772234273</v>
      </c>
      <c r="H51" s="4">
        <v>2</v>
      </c>
      <c r="I51" s="5">
        <f t="shared" si="1"/>
        <v>5976</v>
      </c>
      <c r="J51" s="4" t="s">
        <v>158</v>
      </c>
    </row>
    <row r="52" spans="1:10">
      <c r="A52" s="3">
        <v>38844</v>
      </c>
      <c r="B52" s="4" t="s">
        <v>145</v>
      </c>
      <c r="C52" s="4" t="s">
        <v>157</v>
      </c>
      <c r="D52" s="5">
        <v>3688</v>
      </c>
      <c r="E52" s="4" t="s">
        <v>141</v>
      </c>
      <c r="F52" s="5">
        <v>2988</v>
      </c>
      <c r="G52" s="6">
        <f t="shared" si="0"/>
        <v>0.189804772234273</v>
      </c>
      <c r="H52" s="4">
        <v>0</v>
      </c>
      <c r="I52" s="5">
        <f t="shared" si="1"/>
        <v>0</v>
      </c>
      <c r="J52" s="4" t="s">
        <v>158</v>
      </c>
    </row>
    <row r="53" spans="1:10">
      <c r="A53" s="3">
        <v>38838</v>
      </c>
      <c r="B53" s="4" t="s">
        <v>145</v>
      </c>
      <c r="C53" s="4" t="s">
        <v>146</v>
      </c>
      <c r="D53" s="5">
        <v>3188</v>
      </c>
      <c r="E53" s="4" t="s">
        <v>141</v>
      </c>
      <c r="F53" s="5">
        <v>2888</v>
      </c>
      <c r="G53" s="6">
        <f t="shared" si="0"/>
        <v>0.0941028858218319</v>
      </c>
      <c r="H53" s="4">
        <v>3</v>
      </c>
      <c r="I53" s="5">
        <f t="shared" si="1"/>
        <v>8664</v>
      </c>
      <c r="J53" s="4" t="s">
        <v>159</v>
      </c>
    </row>
    <row r="54" spans="1:10">
      <c r="A54" s="3">
        <v>38840</v>
      </c>
      <c r="B54" s="4" t="s">
        <v>145</v>
      </c>
      <c r="C54" s="4" t="s">
        <v>146</v>
      </c>
      <c r="D54" s="5">
        <v>3188</v>
      </c>
      <c r="E54" s="4" t="s">
        <v>141</v>
      </c>
      <c r="F54" s="5">
        <v>2888</v>
      </c>
      <c r="G54" s="6">
        <f t="shared" si="0"/>
        <v>0.0941028858218319</v>
      </c>
      <c r="H54" s="4">
        <v>12</v>
      </c>
      <c r="I54" s="5">
        <f t="shared" si="1"/>
        <v>34656</v>
      </c>
      <c r="J54" s="4" t="s">
        <v>159</v>
      </c>
    </row>
    <row r="55" spans="1:10">
      <c r="A55" s="3">
        <v>38841</v>
      </c>
      <c r="B55" s="4" t="s">
        <v>145</v>
      </c>
      <c r="C55" s="4" t="s">
        <v>146</v>
      </c>
      <c r="D55" s="5">
        <v>3188</v>
      </c>
      <c r="E55" s="4" t="s">
        <v>141</v>
      </c>
      <c r="F55" s="5">
        <v>2888</v>
      </c>
      <c r="G55" s="6">
        <f t="shared" si="0"/>
        <v>0.0941028858218319</v>
      </c>
      <c r="H55" s="4">
        <v>8</v>
      </c>
      <c r="I55" s="5">
        <f t="shared" si="1"/>
        <v>23104</v>
      </c>
      <c r="J55" s="4" t="s">
        <v>159</v>
      </c>
    </row>
    <row r="56" spans="1:10">
      <c r="A56" s="3">
        <v>38842</v>
      </c>
      <c r="B56" s="4" t="s">
        <v>145</v>
      </c>
      <c r="C56" s="4" t="s">
        <v>146</v>
      </c>
      <c r="D56" s="5">
        <v>3188</v>
      </c>
      <c r="E56" s="4" t="s">
        <v>141</v>
      </c>
      <c r="F56" s="5">
        <v>2888</v>
      </c>
      <c r="G56" s="6">
        <f t="shared" si="0"/>
        <v>0.0941028858218319</v>
      </c>
      <c r="H56" s="4">
        <v>5</v>
      </c>
      <c r="I56" s="5">
        <f t="shared" si="1"/>
        <v>14440</v>
      </c>
      <c r="J56" s="4" t="s">
        <v>159</v>
      </c>
    </row>
    <row r="57" spans="1:10">
      <c r="A57" s="3">
        <v>38843</v>
      </c>
      <c r="B57" s="4" t="s">
        <v>145</v>
      </c>
      <c r="C57" s="4" t="s">
        <v>146</v>
      </c>
      <c r="D57" s="5">
        <v>3188</v>
      </c>
      <c r="E57" s="4" t="s">
        <v>141</v>
      </c>
      <c r="F57" s="5">
        <v>2888</v>
      </c>
      <c r="G57" s="6">
        <f t="shared" si="0"/>
        <v>0.0941028858218319</v>
      </c>
      <c r="H57" s="4">
        <v>3</v>
      </c>
      <c r="I57" s="5">
        <f t="shared" si="1"/>
        <v>8664</v>
      </c>
      <c r="J57" s="4" t="s">
        <v>159</v>
      </c>
    </row>
    <row r="58" spans="1:10">
      <c r="A58" s="3">
        <v>38844</v>
      </c>
      <c r="B58" s="4" t="s">
        <v>145</v>
      </c>
      <c r="C58" s="4" t="s">
        <v>146</v>
      </c>
      <c r="D58" s="5">
        <v>3188</v>
      </c>
      <c r="E58" s="4" t="s">
        <v>141</v>
      </c>
      <c r="F58" s="5">
        <v>2888</v>
      </c>
      <c r="G58" s="6">
        <f t="shared" si="0"/>
        <v>0.0941028858218319</v>
      </c>
      <c r="H58" s="4">
        <v>4</v>
      </c>
      <c r="I58" s="5">
        <f t="shared" si="1"/>
        <v>11552</v>
      </c>
      <c r="J58" s="4" t="s">
        <v>159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每日门店销售</vt:lpstr>
      <vt:lpstr>按年统计</vt:lpstr>
      <vt:lpstr>销售清单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樱桃子</cp:lastModifiedBy>
  <dcterms:created xsi:type="dcterms:W3CDTF">2016-03-02T14:02:00Z</dcterms:created>
  <dcterms:modified xsi:type="dcterms:W3CDTF">2021-01-28T07:42:26Z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