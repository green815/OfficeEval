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EndFile\ExtractFile\"/>
    </mc:Choice>
  </mc:AlternateContent>
  <bookViews>
    <workbookView xWindow="15" yWindow="-45" windowWidth="12510" windowHeight="3930" activeTab="1"/>
  </bookViews>
  <sheets>
    <sheet name="产品销售统计表" sheetId="1" r:id="rId1"/>
    <sheet name="产品销售情况表" sheetId="2" r:id="rId2"/>
    <sheet name="Sheet3" sheetId="3" r:id="rId3"/>
  </sheets>
  <definedNames>
    <definedName name="_xlnm._FilterDatabase" localSheetId="1" hidden="1">产品销售情况表!$A$1:$G$49</definedName>
  </definedNames>
  <calcPr calcId="162913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3" i="1"/>
  <c r="F4" i="1"/>
  <c r="F5" i="1"/>
  <c r="F6" i="1"/>
  <c r="F7" i="1"/>
  <c r="F8" i="1"/>
  <c r="F9" i="1"/>
  <c r="F10" i="1"/>
  <c r="F11" i="1"/>
  <c r="F12" i="1"/>
  <c r="F13" i="1"/>
  <c r="F14" i="1"/>
  <c r="F3" i="1"/>
  <c r="E4" i="1"/>
  <c r="E5" i="1"/>
  <c r="E6" i="1"/>
  <c r="E7" i="1"/>
  <c r="E8" i="1"/>
  <c r="E9" i="1"/>
  <c r="E10" i="1"/>
  <c r="E11" i="1"/>
  <c r="E12" i="1"/>
  <c r="E13" i="1"/>
  <c r="E14" i="1"/>
  <c r="E3" i="1"/>
  <c r="C4" i="1"/>
  <c r="C5" i="1"/>
  <c r="C6" i="1"/>
  <c r="C7" i="1"/>
  <c r="C8" i="1"/>
  <c r="C9" i="1"/>
  <c r="C10" i="1"/>
  <c r="C11" i="1"/>
  <c r="C12" i="1"/>
  <c r="C13" i="1"/>
  <c r="C14" i="1"/>
  <c r="C3" i="1"/>
  <c r="D15" i="1"/>
  <c r="B15" i="1"/>
</calcChain>
</file>

<file path=xl/sharedStrings.xml><?xml version="1.0" encoding="utf-8"?>
<sst xmlns="http://schemas.openxmlformats.org/spreadsheetml/2006/main" count="172" uniqueCount="51">
  <si>
    <r>
      <t>2</t>
    </r>
    <r>
      <rPr>
        <sz val="12"/>
        <rFont val="宋体"/>
        <charset val="134"/>
      </rPr>
      <t>月</t>
    </r>
    <phoneticPr fontId="1" type="noConversion"/>
  </si>
  <si>
    <t>月份</t>
    <phoneticPr fontId="1" type="noConversion"/>
  </si>
  <si>
    <r>
      <t>1</t>
    </r>
    <r>
      <rPr>
        <sz val="12"/>
        <rFont val="宋体"/>
        <charset val="134"/>
      </rPr>
      <t>月</t>
    </r>
    <phoneticPr fontId="1" type="noConversion"/>
  </si>
  <si>
    <r>
      <t>4月</t>
    </r>
    <r>
      <rPr>
        <sz val="12"/>
        <rFont val="宋体"/>
        <charset val="134"/>
      </rPr>
      <t/>
    </r>
  </si>
  <si>
    <r>
      <t>5月</t>
    </r>
    <r>
      <rPr>
        <sz val="12"/>
        <rFont val="宋体"/>
        <charset val="134"/>
      </rPr>
      <t/>
    </r>
  </si>
  <si>
    <r>
      <t>6月</t>
    </r>
    <r>
      <rPr>
        <sz val="12"/>
        <rFont val="宋体"/>
        <charset val="134"/>
      </rPr>
      <t/>
    </r>
  </si>
  <si>
    <r>
      <t>7月</t>
    </r>
    <r>
      <rPr>
        <sz val="12"/>
        <rFont val="宋体"/>
        <charset val="134"/>
      </rPr>
      <t/>
    </r>
  </si>
  <si>
    <r>
      <t>8月</t>
    </r>
    <r>
      <rPr>
        <sz val="12"/>
        <rFont val="宋体"/>
        <charset val="134"/>
      </rPr>
      <t/>
    </r>
  </si>
  <si>
    <r>
      <t>9月</t>
    </r>
    <r>
      <rPr>
        <sz val="12"/>
        <rFont val="宋体"/>
        <charset val="134"/>
      </rPr>
      <t/>
    </r>
  </si>
  <si>
    <r>
      <t>10月</t>
    </r>
    <r>
      <rPr>
        <sz val="12"/>
        <rFont val="宋体"/>
        <charset val="134"/>
      </rPr>
      <t/>
    </r>
  </si>
  <si>
    <r>
      <t>11月</t>
    </r>
    <r>
      <rPr>
        <sz val="12"/>
        <rFont val="宋体"/>
        <charset val="134"/>
      </rPr>
      <t/>
    </r>
  </si>
  <si>
    <r>
      <t>12月</t>
    </r>
    <r>
      <rPr>
        <sz val="12"/>
        <rFont val="宋体"/>
        <charset val="134"/>
      </rPr>
      <t/>
    </r>
  </si>
  <si>
    <r>
      <t>3月</t>
    </r>
    <r>
      <rPr>
        <sz val="12"/>
        <rFont val="宋体"/>
        <charset val="134"/>
      </rPr>
      <t/>
    </r>
  </si>
  <si>
    <t>备注</t>
    <phoneticPr fontId="1" type="noConversion"/>
  </si>
  <si>
    <t>全年总量</t>
    <phoneticPr fontId="1" type="noConversion"/>
  </si>
  <si>
    <t>所占百分比</t>
    <phoneticPr fontId="1" type="noConversion"/>
  </si>
  <si>
    <r>
      <t>2015</t>
    </r>
    <r>
      <rPr>
        <sz val="12"/>
        <rFont val="宋体"/>
        <charset val="134"/>
      </rPr>
      <t>年销量</t>
    </r>
    <phoneticPr fontId="1" type="noConversion"/>
  </si>
  <si>
    <r>
      <t>2016</t>
    </r>
    <r>
      <rPr>
        <sz val="12"/>
        <rFont val="宋体"/>
        <charset val="134"/>
      </rPr>
      <t>年</t>
    </r>
    <r>
      <rPr>
        <sz val="12"/>
        <rFont val="宋体"/>
        <charset val="134"/>
      </rPr>
      <t>销量</t>
    </r>
    <phoneticPr fontId="1" type="noConversion"/>
  </si>
  <si>
    <t>同比增长率</t>
    <phoneticPr fontId="1" type="noConversion"/>
  </si>
  <si>
    <r>
      <t>某产品销量情况表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charset val="134"/>
      </rPr>
      <t>个</t>
    </r>
    <r>
      <rPr>
        <sz val="12"/>
        <rFont val="Times New Roman"/>
        <family val="1"/>
      </rPr>
      <t>)</t>
    </r>
    <phoneticPr fontId="1" type="noConversion"/>
  </si>
  <si>
    <t>季度</t>
  </si>
  <si>
    <t>分公司</t>
  </si>
  <si>
    <t>产品类别</t>
  </si>
  <si>
    <t>产品名称</t>
  </si>
  <si>
    <t>销售数量</t>
  </si>
  <si>
    <t>销售额（万元）</t>
  </si>
  <si>
    <t>销售额排名</t>
  </si>
  <si>
    <t>西部1</t>
  </si>
  <si>
    <t>D-1</t>
  </si>
  <si>
    <t>电视</t>
  </si>
  <si>
    <t>东部2</t>
  </si>
  <si>
    <t>K-1</t>
  </si>
  <si>
    <t>空调</t>
  </si>
  <si>
    <t>南部1</t>
  </si>
  <si>
    <t>北部2</t>
  </si>
  <si>
    <t>东部3</t>
  </si>
  <si>
    <t>D-2</t>
  </si>
  <si>
    <t>电冰箱</t>
  </si>
  <si>
    <t>北部3</t>
  </si>
  <si>
    <t>南部3</t>
  </si>
  <si>
    <t>南部2</t>
  </si>
  <si>
    <t>东部1</t>
  </si>
  <si>
    <t>西部2</t>
  </si>
  <si>
    <t>西部3</t>
  </si>
  <si>
    <t>北部1</t>
  </si>
  <si>
    <t>西部4</t>
  </si>
  <si>
    <t>S-1</t>
  </si>
  <si>
    <t>手机</t>
  </si>
  <si>
    <t>东部4</t>
  </si>
  <si>
    <t>北部4</t>
  </si>
  <si>
    <t>南部4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</si>
</sst>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_);[Red]\(0.00\)"/>
    <numFmt numFmtId="177" formatCode="0.00_ "/>
    <numFmt numFmtId="178" formatCode="0_);[Red]\(0\)"/>
  </numFmts>
  <fonts count="4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3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 b="0" i="0" u="none" strike="noStrike" baseline="0" smtClean="0"/>
              <a:t>同比增长率统计图</a:t>
            </a:r>
            <a:endParaRPr lang="zh-CN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产品销售统计表!$D$2</c:f>
              <c:strCache>
                <c:ptCount val="1"/>
                <c:pt idx="0">
                  <c:v>2016年销量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产品销售统计表!$A$3:$A$14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产品销售统计表!$D$3:$D$14</c:f>
              <c:numCache>
                <c:formatCode>0_);[Red]\(0\)</c:formatCode>
                <c:ptCount val="12"/>
                <c:pt idx="0">
                  <c:v>1568</c:v>
                </c:pt>
                <c:pt idx="1">
                  <c:v>1089</c:v>
                </c:pt>
                <c:pt idx="2">
                  <c:v>3189</c:v>
                </c:pt>
                <c:pt idx="3">
                  <c:v>2192</c:v>
                </c:pt>
                <c:pt idx="4">
                  <c:v>2451</c:v>
                </c:pt>
                <c:pt idx="5">
                  <c:v>1892</c:v>
                </c:pt>
                <c:pt idx="6">
                  <c:v>1789</c:v>
                </c:pt>
                <c:pt idx="7">
                  <c:v>1658</c:v>
                </c:pt>
                <c:pt idx="8">
                  <c:v>1789</c:v>
                </c:pt>
                <c:pt idx="9">
                  <c:v>2199</c:v>
                </c:pt>
                <c:pt idx="10">
                  <c:v>1989</c:v>
                </c:pt>
                <c:pt idx="11">
                  <c:v>2019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9-47F9-911C-C7D03E04A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983560"/>
        <c:axId val="548985528"/>
      </c:barChart>
      <c:lineChart>
        <c:grouping val="standard"/>
        <c:varyColors val="0"/>
        <c:ser>
          <c:idx val="1"/>
          <c:order val="1"/>
          <c:tx>
            <c:strRef>
              <c:f>产品销售统计表!$F$2</c:f>
              <c:strCache>
                <c:ptCount val="1"/>
                <c:pt idx="0">
                  <c:v>同比增长率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产品销售统计表!$A$3:$A$14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产品销售统计表!$F$3:$F$14</c:f>
              <c:numCache>
                <c:formatCode>0.00%</c:formatCode>
                <c:ptCount val="12"/>
                <c:pt idx="0">
                  <c:v>0.17717717717717718</c:v>
                </c:pt>
                <c:pt idx="1">
                  <c:v>-5.7958477508650519E-2</c:v>
                </c:pt>
                <c:pt idx="2">
                  <c:v>0.46284403669724772</c:v>
                </c:pt>
                <c:pt idx="3">
                  <c:v>0.54257565095003524</c:v>
                </c:pt>
                <c:pt idx="4">
                  <c:v>-8.5106382978723402E-2</c:v>
                </c:pt>
                <c:pt idx="5">
                  <c:v>-2.1716649431230611E-2</c:v>
                </c:pt>
                <c:pt idx="6">
                  <c:v>9.6873083997547516E-2</c:v>
                </c:pt>
                <c:pt idx="7">
                  <c:v>0.19452449567723343</c:v>
                </c:pt>
                <c:pt idx="8">
                  <c:v>0.22199453551912568</c:v>
                </c:pt>
                <c:pt idx="9">
                  <c:v>-3.9737991266375547E-2</c:v>
                </c:pt>
                <c:pt idx="10">
                  <c:v>-0.13068181818181818</c:v>
                </c:pt>
                <c:pt idx="11">
                  <c:v>2.2278481012658228E-2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9-47F9-911C-C7D03E04A1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099144"/>
        <c:axId val="551099472"/>
      </c:lineChart>
      <c:catAx>
        <c:axId val="548983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985528"/>
        <c:crosses val="autoZero"/>
        <c:auto val="1"/>
        <c:lblAlgn val="ctr"/>
        <c:lblOffset val="100"/>
        <c:noMultiLvlLbl val="0"/>
      </c:catAx>
      <c:valAx>
        <c:axId val="54898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48983560"/>
        <c:crosses val="autoZero"/>
        <c:crossBetween val="between"/>
      </c:valAx>
      <c:valAx>
        <c:axId val="55109947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1099144"/>
        <c:crosses val="max"/>
        <c:crossBetween val="between"/>
      </c:valAx>
      <c:catAx>
        <c:axId val="5510991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51099472"/>
        <c:crosses val="autoZero"/>
        <c:auto val="1"/>
        <c:lblAlgn val="ctr"/>
        <c:lblOffset val="100"/>
        <c:noMultiLvlLbl val="0"/>
      </c:catAx>
      <c:spPr>
        <a:pattFill prst="dotGrid">
          <a:fgClr>
            <a:schemeClr val="accent1"/>
          </a:fgClr>
          <a:bgClr>
            <a:schemeClr val="bg1"/>
          </a:bgClr>
        </a:pattFill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15</xdr:row>
      <xdr:rowOff>176212</xdr:rowOff>
    </xdr:from>
    <xdr:to>
      <xdr:col>7</xdr:col>
      <xdr:colOff>9524</xdr:colOff>
      <xdr:row>31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topLeftCell="A16" workbookViewId="0">
      <selection activeCell="I32" sqref="I32"/>
    </sheetView>
  </sheetViews>
  <sheetFormatPr defaultRowHeight="14.25" x14ac:dyDescent="0.15"/>
  <cols>
    <col min="1" max="1" width="11.5" customWidth="1"/>
    <col min="2" max="2" width="11.625" customWidth="1"/>
    <col min="3" max="3" width="11.75" customWidth="1"/>
    <col min="4" max="4" width="11.625" customWidth="1"/>
    <col min="5" max="5" width="11.375" customWidth="1"/>
    <col min="6" max="6" width="11" customWidth="1"/>
    <col min="7" max="7" width="8.625" customWidth="1"/>
    <col min="8" max="8" width="8.5" customWidth="1"/>
    <col min="9" max="9" width="8.875" customWidth="1"/>
    <col min="10" max="10" width="9.375" customWidth="1"/>
    <col min="11" max="11" width="8.125" customWidth="1"/>
    <col min="12" max="12" width="7.75" customWidth="1"/>
    <col min="13" max="13" width="11.75" customWidth="1"/>
  </cols>
  <sheetData>
    <row r="1" spans="1:13" ht="15.75" x14ac:dyDescent="0.25">
      <c r="A1" s="9" t="s">
        <v>19</v>
      </c>
      <c r="B1" s="9"/>
      <c r="C1" s="9"/>
      <c r="D1" s="9"/>
      <c r="E1" s="9"/>
      <c r="F1" s="9"/>
      <c r="G1" s="9"/>
    </row>
    <row r="2" spans="1:13" ht="15.75" x14ac:dyDescent="0.25">
      <c r="A2" t="s">
        <v>1</v>
      </c>
      <c r="B2" s="1" t="s">
        <v>16</v>
      </c>
      <c r="C2" s="5" t="s">
        <v>15</v>
      </c>
      <c r="D2" s="1" t="s">
        <v>17</v>
      </c>
      <c r="E2" s="5" t="s">
        <v>15</v>
      </c>
      <c r="F2" s="6" t="s">
        <v>18</v>
      </c>
      <c r="G2" t="s">
        <v>13</v>
      </c>
      <c r="H2" s="1"/>
      <c r="I2" s="1"/>
      <c r="J2" s="1"/>
      <c r="K2" s="1"/>
      <c r="L2" s="1"/>
      <c r="M2" s="1"/>
    </row>
    <row r="3" spans="1:13" ht="15.75" x14ac:dyDescent="0.25">
      <c r="A3" s="1" t="s">
        <v>2</v>
      </c>
      <c r="B3" s="4">
        <v>1332</v>
      </c>
      <c r="C3" s="8">
        <f>B3/$B$15</f>
        <v>6.1275186309688104E-2</v>
      </c>
      <c r="D3" s="4">
        <v>1568</v>
      </c>
      <c r="E3" s="8">
        <f>D3/$D$15</f>
        <v>6.5815983881799864E-2</v>
      </c>
      <c r="F3" s="8">
        <f>(D3-B3)/B3</f>
        <v>0.17717717717717718</v>
      </c>
      <c r="G3" t="str">
        <f>IF(F3&gt;=20%,"较快","一般")</f>
        <v>一般</v>
      </c>
      <c r="H3" s="3"/>
      <c r="I3" s="3"/>
      <c r="J3" s="3"/>
      <c r="K3" s="3"/>
      <c r="L3" s="3"/>
    </row>
    <row r="4" spans="1:13" ht="15.75" x14ac:dyDescent="0.25">
      <c r="A4" s="1" t="s">
        <v>0</v>
      </c>
      <c r="B4" s="4">
        <v>1156</v>
      </c>
      <c r="C4" s="8">
        <f t="shared" ref="C4:C14" si="0">B4/$B$15</f>
        <v>5.3178765295795384E-2</v>
      </c>
      <c r="D4" s="4">
        <v>1089</v>
      </c>
      <c r="E4" s="8">
        <f t="shared" ref="E4:E14" si="1">D4/$D$15</f>
        <v>4.5710208193418402E-2</v>
      </c>
      <c r="F4" s="8">
        <f t="shared" ref="F4:F14" si="2">(D4-B4)/B4</f>
        <v>-5.7958477508650519E-2</v>
      </c>
      <c r="G4" t="str">
        <f t="shared" ref="G4:G14" si="3">IF(F4&gt;=20%,"较快","一般")</f>
        <v>一般</v>
      </c>
      <c r="H4" s="3"/>
      <c r="I4" s="3"/>
      <c r="J4" s="3"/>
      <c r="K4" s="3"/>
      <c r="L4" s="3"/>
      <c r="M4" s="2"/>
    </row>
    <row r="5" spans="1:13" ht="15.75" x14ac:dyDescent="0.25">
      <c r="A5" s="1" t="s">
        <v>12</v>
      </c>
      <c r="B5" s="4">
        <v>2180</v>
      </c>
      <c r="C5" s="8">
        <f t="shared" si="0"/>
        <v>0.10028521483117123</v>
      </c>
      <c r="D5" s="4">
        <v>3189</v>
      </c>
      <c r="E5" s="8">
        <f t="shared" si="1"/>
        <v>0.13385661517797179</v>
      </c>
      <c r="F5" s="8">
        <f t="shared" si="2"/>
        <v>0.46284403669724772</v>
      </c>
      <c r="G5" t="str">
        <f t="shared" si="3"/>
        <v>较快</v>
      </c>
      <c r="H5" s="3"/>
      <c r="I5" s="3"/>
      <c r="J5" s="3"/>
      <c r="K5" s="3"/>
      <c r="L5" s="3"/>
      <c r="M5" s="2"/>
    </row>
    <row r="6" spans="1:13" ht="15.75" x14ac:dyDescent="0.25">
      <c r="A6" s="1" t="s">
        <v>3</v>
      </c>
      <c r="B6" s="4">
        <v>1421</v>
      </c>
      <c r="C6" s="8">
        <f t="shared" si="0"/>
        <v>6.5369399208758852E-2</v>
      </c>
      <c r="D6" s="4">
        <v>2192</v>
      </c>
      <c r="E6" s="8">
        <f t="shared" si="1"/>
        <v>9.2008059100067166E-2</v>
      </c>
      <c r="F6" s="8">
        <f t="shared" si="2"/>
        <v>0.54257565095003524</v>
      </c>
      <c r="G6" t="str">
        <f t="shared" si="3"/>
        <v>较快</v>
      </c>
    </row>
    <row r="7" spans="1:13" ht="15.75" x14ac:dyDescent="0.25">
      <c r="A7" s="1" t="s">
        <v>4</v>
      </c>
      <c r="B7" s="4">
        <v>2679</v>
      </c>
      <c r="C7" s="8">
        <f t="shared" si="0"/>
        <v>0.12324040850124207</v>
      </c>
      <c r="D7" s="4">
        <v>2451</v>
      </c>
      <c r="E7" s="8">
        <f t="shared" si="1"/>
        <v>0.10287944929482874</v>
      </c>
      <c r="F7" s="8">
        <f t="shared" si="2"/>
        <v>-8.5106382978723402E-2</v>
      </c>
      <c r="G7" t="str">
        <f t="shared" si="3"/>
        <v>一般</v>
      </c>
    </row>
    <row r="8" spans="1:13" ht="15.75" x14ac:dyDescent="0.25">
      <c r="A8" s="1" t="s">
        <v>5</v>
      </c>
      <c r="B8" s="4">
        <v>1934</v>
      </c>
      <c r="C8" s="8">
        <f t="shared" si="0"/>
        <v>8.8968626368571169E-2</v>
      </c>
      <c r="D8" s="4">
        <v>1892</v>
      </c>
      <c r="E8" s="8">
        <f t="shared" si="1"/>
        <v>7.9415715245130955E-2</v>
      </c>
      <c r="F8" s="8">
        <f t="shared" si="2"/>
        <v>-2.1716649431230611E-2</v>
      </c>
      <c r="G8" t="str">
        <f t="shared" si="3"/>
        <v>一般</v>
      </c>
    </row>
    <row r="9" spans="1:13" ht="15.75" x14ac:dyDescent="0.25">
      <c r="A9" s="1" t="s">
        <v>6</v>
      </c>
      <c r="B9" s="4">
        <v>1631</v>
      </c>
      <c r="C9" s="8">
        <f t="shared" si="0"/>
        <v>7.502990155488086E-2</v>
      </c>
      <c r="D9" s="4">
        <v>1789</v>
      </c>
      <c r="E9" s="8">
        <f t="shared" si="1"/>
        <v>7.5092343854936197E-2</v>
      </c>
      <c r="F9" s="8">
        <f t="shared" si="2"/>
        <v>9.6873083997547516E-2</v>
      </c>
      <c r="G9" t="str">
        <f t="shared" si="3"/>
        <v>一般</v>
      </c>
    </row>
    <row r="10" spans="1:13" ht="15.75" x14ac:dyDescent="0.25">
      <c r="A10" s="1" t="s">
        <v>7</v>
      </c>
      <c r="B10" s="4">
        <v>1388</v>
      </c>
      <c r="C10" s="8">
        <f t="shared" si="0"/>
        <v>6.3851320268653963E-2</v>
      </c>
      <c r="D10" s="4">
        <v>1658</v>
      </c>
      <c r="E10" s="8">
        <f t="shared" si="1"/>
        <v>6.9593687038280727E-2</v>
      </c>
      <c r="F10" s="8">
        <f t="shared" si="2"/>
        <v>0.19452449567723343</v>
      </c>
      <c r="G10" t="str">
        <f t="shared" si="3"/>
        <v>一般</v>
      </c>
    </row>
    <row r="11" spans="1:13" ht="15.75" x14ac:dyDescent="0.25">
      <c r="A11" s="1" t="s">
        <v>8</v>
      </c>
      <c r="B11" s="4">
        <v>1464</v>
      </c>
      <c r="C11" s="8">
        <f t="shared" si="0"/>
        <v>6.7347502070107645E-2</v>
      </c>
      <c r="D11" s="4">
        <v>1789</v>
      </c>
      <c r="E11" s="8">
        <f t="shared" si="1"/>
        <v>7.5092343854936197E-2</v>
      </c>
      <c r="F11" s="8">
        <f t="shared" si="2"/>
        <v>0.22199453551912568</v>
      </c>
      <c r="G11" t="str">
        <f t="shared" si="3"/>
        <v>较快</v>
      </c>
    </row>
    <row r="12" spans="1:13" ht="15.75" x14ac:dyDescent="0.25">
      <c r="A12" s="1" t="s">
        <v>9</v>
      </c>
      <c r="B12" s="4">
        <v>2290</v>
      </c>
      <c r="C12" s="8">
        <f t="shared" si="0"/>
        <v>0.10534547796485418</v>
      </c>
      <c r="D12" s="4">
        <v>2199</v>
      </c>
      <c r="E12" s="8">
        <f t="shared" si="1"/>
        <v>9.2301880456682334E-2</v>
      </c>
      <c r="F12" s="8">
        <f t="shared" si="2"/>
        <v>-3.9737991266375547E-2</v>
      </c>
      <c r="G12" t="str">
        <f t="shared" si="3"/>
        <v>一般</v>
      </c>
    </row>
    <row r="13" spans="1:13" ht="15.75" x14ac:dyDescent="0.25">
      <c r="A13" s="1" t="s">
        <v>10</v>
      </c>
      <c r="B13" s="4">
        <v>2288</v>
      </c>
      <c r="C13" s="8">
        <f t="shared" si="0"/>
        <v>0.10525347318060539</v>
      </c>
      <c r="D13" s="4">
        <v>1989</v>
      </c>
      <c r="E13" s="8">
        <f t="shared" si="1"/>
        <v>8.3487239758227E-2</v>
      </c>
      <c r="F13" s="8">
        <f t="shared" si="2"/>
        <v>-0.13068181818181818</v>
      </c>
      <c r="G13" t="str">
        <f t="shared" si="3"/>
        <v>一般</v>
      </c>
    </row>
    <row r="14" spans="1:13" ht="15.75" x14ac:dyDescent="0.25">
      <c r="A14" s="1" t="s">
        <v>11</v>
      </c>
      <c r="B14" s="4">
        <v>1975</v>
      </c>
      <c r="C14" s="8">
        <f t="shared" si="0"/>
        <v>9.0854724445671178E-2</v>
      </c>
      <c r="D14" s="4">
        <v>2019</v>
      </c>
      <c r="E14" s="8">
        <f t="shared" si="1"/>
        <v>8.4746474143720621E-2</v>
      </c>
      <c r="F14" s="8">
        <f t="shared" si="2"/>
        <v>2.2278481012658228E-2</v>
      </c>
      <c r="G14" t="str">
        <f t="shared" si="3"/>
        <v>一般</v>
      </c>
    </row>
    <row r="15" spans="1:13" x14ac:dyDescent="0.15">
      <c r="A15" t="s">
        <v>14</v>
      </c>
      <c r="B15" s="4">
        <f>SUM(B3:B14)</f>
        <v>21738</v>
      </c>
      <c r="D15" s="4">
        <f>SUM(D3:D14)</f>
        <v>23824</v>
      </c>
    </row>
  </sheetData>
  <mergeCells count="1">
    <mergeCell ref="A1:G1"/>
  </mergeCells>
  <phoneticPr fontId="1" type="noConversion"/>
  <conditionalFormatting sqref="B10:B14 B3:F3 H3:L5 B4:B8 D4:D8 D10:D14 C4:C14 E4:F14">
    <cfRule type="cellIs" dxfId="0" priority="2" stopIfTrue="1" operator="greaterThanOrEqual">
      <formula>130</formula>
    </cfRule>
  </conditionalFormatting>
  <conditionalFormatting sqref="F3:F1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{693C84A2-B939-4243-97A7-C04AD8D2E120}</x14:id>
        </ext>
      </extLst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3C84A2-B939-4243-97A7-C04AD8D2E1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49"/>
  <sheetViews>
    <sheetView tabSelected="1" workbookViewId="0">
      <selection activeCell="B1" sqref="B1"/>
    </sheetView>
  </sheetViews>
  <sheetFormatPr defaultRowHeight="14.25" x14ac:dyDescent="0.15"/>
  <cols>
    <col min="1" max="5" width="9" style="7"/>
    <col min="6" max="6" width="16.125" style="7" bestFit="1" customWidth="1"/>
    <col min="7" max="7" width="11.625" style="7" bestFit="1" customWidth="1"/>
    <col min="8" max="16384" width="9" style="7"/>
  </cols>
  <sheetData>
    <row r="1" spans="1:7" x14ac:dyDescent="0.15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</row>
    <row r="2" spans="1:7" hidden="1" x14ac:dyDescent="0.15">
      <c r="A2" s="7">
        <v>1</v>
      </c>
      <c r="B2" s="7" t="s">
        <v>27</v>
      </c>
      <c r="C2" s="7" t="s">
        <v>28</v>
      </c>
      <c r="D2" s="7" t="s">
        <v>29</v>
      </c>
      <c r="E2" s="7">
        <v>21</v>
      </c>
      <c r="F2" s="7">
        <v>9.3699999999999992</v>
      </c>
      <c r="G2" s="7">
        <v>30</v>
      </c>
    </row>
    <row r="3" spans="1:7" hidden="1" x14ac:dyDescent="0.15">
      <c r="A3" s="7">
        <v>1</v>
      </c>
      <c r="B3" s="7" t="s">
        <v>30</v>
      </c>
      <c r="C3" s="7" t="s">
        <v>31</v>
      </c>
      <c r="D3" s="7" t="s">
        <v>32</v>
      </c>
      <c r="E3" s="7">
        <v>24</v>
      </c>
      <c r="F3" s="7">
        <v>8.5</v>
      </c>
      <c r="G3" s="7">
        <v>32</v>
      </c>
    </row>
    <row r="4" spans="1:7" hidden="1" x14ac:dyDescent="0.15">
      <c r="A4" s="7">
        <v>2</v>
      </c>
      <c r="B4" s="7" t="s">
        <v>33</v>
      </c>
      <c r="C4" s="7" t="s">
        <v>28</v>
      </c>
      <c r="D4" s="7" t="s">
        <v>29</v>
      </c>
      <c r="E4" s="7">
        <v>27</v>
      </c>
      <c r="F4" s="7">
        <v>7.43</v>
      </c>
      <c r="G4" s="7">
        <v>34</v>
      </c>
    </row>
    <row r="5" spans="1:7" hidden="1" x14ac:dyDescent="0.15">
      <c r="A5" s="7">
        <v>2</v>
      </c>
      <c r="B5" s="7" t="s">
        <v>34</v>
      </c>
      <c r="C5" s="7" t="s">
        <v>31</v>
      </c>
      <c r="D5" s="7" t="s">
        <v>32</v>
      </c>
      <c r="E5" s="7">
        <v>37</v>
      </c>
      <c r="F5" s="7">
        <v>5.1100000000000003</v>
      </c>
      <c r="G5" s="7">
        <v>37</v>
      </c>
    </row>
    <row r="6" spans="1:7" hidden="1" x14ac:dyDescent="0.15">
      <c r="A6" s="7">
        <v>3</v>
      </c>
      <c r="B6" s="7" t="s">
        <v>35</v>
      </c>
      <c r="C6" s="7" t="s">
        <v>36</v>
      </c>
      <c r="D6" s="7" t="s">
        <v>37</v>
      </c>
      <c r="E6" s="7">
        <v>39</v>
      </c>
      <c r="F6" s="7">
        <v>9.1300000000000008</v>
      </c>
      <c r="G6" s="7">
        <v>31</v>
      </c>
    </row>
    <row r="7" spans="1:7" x14ac:dyDescent="0.15">
      <c r="A7" s="7">
        <v>2</v>
      </c>
      <c r="B7" s="7" t="s">
        <v>27</v>
      </c>
      <c r="C7" s="7" t="s">
        <v>28</v>
      </c>
      <c r="D7" s="7" t="s">
        <v>29</v>
      </c>
      <c r="E7" s="7">
        <v>42</v>
      </c>
      <c r="F7" s="7">
        <v>18.73</v>
      </c>
      <c r="G7" s="7">
        <v>13</v>
      </c>
    </row>
    <row r="8" spans="1:7" hidden="1" x14ac:dyDescent="0.15">
      <c r="A8" s="7">
        <v>1</v>
      </c>
      <c r="B8" s="7" t="s">
        <v>38</v>
      </c>
      <c r="C8" s="7" t="s">
        <v>36</v>
      </c>
      <c r="D8" s="7" t="s">
        <v>37</v>
      </c>
      <c r="E8" s="7">
        <v>43</v>
      </c>
      <c r="F8" s="7">
        <v>13.8</v>
      </c>
      <c r="G8" s="7">
        <v>25</v>
      </c>
    </row>
    <row r="9" spans="1:7" x14ac:dyDescent="0.15">
      <c r="A9" s="7">
        <v>3</v>
      </c>
      <c r="B9" s="7" t="s">
        <v>30</v>
      </c>
      <c r="C9" s="7" t="s">
        <v>31</v>
      </c>
      <c r="D9" s="7" t="s">
        <v>32</v>
      </c>
      <c r="E9" s="7">
        <v>45</v>
      </c>
      <c r="F9" s="7">
        <v>15.93</v>
      </c>
      <c r="G9" s="7">
        <v>21</v>
      </c>
    </row>
    <row r="10" spans="1:7" hidden="1" x14ac:dyDescent="0.15">
      <c r="A10" s="7">
        <v>2</v>
      </c>
      <c r="B10" s="7" t="s">
        <v>39</v>
      </c>
      <c r="C10" s="7" t="s">
        <v>36</v>
      </c>
      <c r="D10" s="7" t="s">
        <v>37</v>
      </c>
      <c r="E10" s="7">
        <v>45</v>
      </c>
      <c r="F10" s="7">
        <v>10.53</v>
      </c>
      <c r="G10" s="7">
        <v>29</v>
      </c>
    </row>
    <row r="11" spans="1:7" hidden="1" x14ac:dyDescent="0.15">
      <c r="A11" s="7">
        <v>3</v>
      </c>
      <c r="B11" s="7" t="s">
        <v>33</v>
      </c>
      <c r="C11" s="7" t="s">
        <v>28</v>
      </c>
      <c r="D11" s="7" t="s">
        <v>29</v>
      </c>
      <c r="E11" s="7">
        <v>46</v>
      </c>
      <c r="F11" s="7">
        <v>12.65</v>
      </c>
      <c r="G11" s="7">
        <v>26</v>
      </c>
    </row>
    <row r="12" spans="1:7" hidden="1" x14ac:dyDescent="0.15">
      <c r="A12" s="7">
        <v>2</v>
      </c>
      <c r="B12" s="7" t="s">
        <v>38</v>
      </c>
      <c r="C12" s="7" t="s">
        <v>36</v>
      </c>
      <c r="D12" s="7" t="s">
        <v>37</v>
      </c>
      <c r="E12" s="7">
        <v>48</v>
      </c>
      <c r="F12" s="7">
        <v>15.41</v>
      </c>
      <c r="G12" s="7">
        <v>22</v>
      </c>
    </row>
    <row r="13" spans="1:7" hidden="1" x14ac:dyDescent="0.15">
      <c r="A13" s="7">
        <v>3</v>
      </c>
      <c r="B13" s="7" t="s">
        <v>34</v>
      </c>
      <c r="C13" s="7" t="s">
        <v>31</v>
      </c>
      <c r="D13" s="7" t="s">
        <v>32</v>
      </c>
      <c r="E13" s="7">
        <v>53</v>
      </c>
      <c r="F13" s="7">
        <v>7.31</v>
      </c>
      <c r="G13" s="7">
        <v>35</v>
      </c>
    </row>
    <row r="14" spans="1:7" hidden="1" x14ac:dyDescent="0.15">
      <c r="A14" s="7">
        <v>3</v>
      </c>
      <c r="B14" s="7" t="s">
        <v>38</v>
      </c>
      <c r="C14" s="7" t="s">
        <v>36</v>
      </c>
      <c r="D14" s="7" t="s">
        <v>37</v>
      </c>
      <c r="E14" s="7">
        <v>54</v>
      </c>
      <c r="F14" s="7">
        <v>17.329999999999998</v>
      </c>
      <c r="G14" s="7">
        <v>20</v>
      </c>
    </row>
    <row r="15" spans="1:7" hidden="1" x14ac:dyDescent="0.15">
      <c r="A15" s="7">
        <v>1</v>
      </c>
      <c r="B15" s="7" t="s">
        <v>40</v>
      </c>
      <c r="C15" s="7" t="s">
        <v>31</v>
      </c>
      <c r="D15" s="7" t="s">
        <v>32</v>
      </c>
      <c r="E15" s="7">
        <v>54</v>
      </c>
      <c r="F15" s="7">
        <v>19.12</v>
      </c>
      <c r="G15" s="7">
        <v>12</v>
      </c>
    </row>
    <row r="16" spans="1:7" x14ac:dyDescent="0.15">
      <c r="A16" s="7">
        <v>2</v>
      </c>
      <c r="B16" s="7" t="s">
        <v>41</v>
      </c>
      <c r="C16" s="7" t="s">
        <v>28</v>
      </c>
      <c r="D16" s="7" t="s">
        <v>29</v>
      </c>
      <c r="E16" s="7">
        <v>56</v>
      </c>
      <c r="F16" s="7">
        <v>15.4</v>
      </c>
      <c r="G16" s="7">
        <v>23</v>
      </c>
    </row>
    <row r="17" spans="1:7" hidden="1" x14ac:dyDescent="0.15">
      <c r="A17" s="7">
        <v>2</v>
      </c>
      <c r="B17" s="7" t="s">
        <v>42</v>
      </c>
      <c r="C17" s="7" t="s">
        <v>31</v>
      </c>
      <c r="D17" s="7" t="s">
        <v>32</v>
      </c>
      <c r="E17" s="7">
        <v>56</v>
      </c>
      <c r="F17" s="7">
        <v>7.73</v>
      </c>
      <c r="G17" s="7">
        <v>33</v>
      </c>
    </row>
    <row r="18" spans="1:7" x14ac:dyDescent="0.15">
      <c r="A18" s="7">
        <v>3</v>
      </c>
      <c r="B18" s="7" t="s">
        <v>43</v>
      </c>
      <c r="C18" s="7" t="s">
        <v>36</v>
      </c>
      <c r="D18" s="7" t="s">
        <v>37</v>
      </c>
      <c r="E18" s="7">
        <v>57</v>
      </c>
      <c r="F18" s="7">
        <v>18.3</v>
      </c>
      <c r="G18" s="7">
        <v>16</v>
      </c>
    </row>
    <row r="19" spans="1:7" x14ac:dyDescent="0.15">
      <c r="A19" s="7">
        <v>1</v>
      </c>
      <c r="B19" s="7" t="s">
        <v>43</v>
      </c>
      <c r="C19" s="7" t="s">
        <v>36</v>
      </c>
      <c r="D19" s="7" t="s">
        <v>37</v>
      </c>
      <c r="E19" s="7">
        <v>58</v>
      </c>
      <c r="F19" s="7">
        <v>18.62</v>
      </c>
      <c r="G19" s="7">
        <v>14</v>
      </c>
    </row>
    <row r="20" spans="1:7" hidden="1" x14ac:dyDescent="0.15">
      <c r="A20" s="7">
        <v>2</v>
      </c>
      <c r="B20" s="7" t="s">
        <v>40</v>
      </c>
      <c r="C20" s="7" t="s">
        <v>31</v>
      </c>
      <c r="D20" s="7" t="s">
        <v>32</v>
      </c>
      <c r="E20" s="7">
        <v>63</v>
      </c>
      <c r="F20" s="7">
        <v>22.3</v>
      </c>
      <c r="G20" s="7">
        <v>8</v>
      </c>
    </row>
    <row r="21" spans="1:7" hidden="1" x14ac:dyDescent="0.15">
      <c r="A21" s="7">
        <v>3</v>
      </c>
      <c r="B21" s="7" t="s">
        <v>44</v>
      </c>
      <c r="C21" s="7" t="s">
        <v>28</v>
      </c>
      <c r="D21" s="7" t="s">
        <v>29</v>
      </c>
      <c r="E21" s="7">
        <v>64</v>
      </c>
      <c r="F21" s="7">
        <v>28.54</v>
      </c>
      <c r="G21" s="7">
        <v>5</v>
      </c>
    </row>
    <row r="22" spans="1:7" x14ac:dyDescent="0.15">
      <c r="A22" s="7">
        <v>2</v>
      </c>
      <c r="B22" s="7" t="s">
        <v>35</v>
      </c>
      <c r="C22" s="7" t="s">
        <v>36</v>
      </c>
      <c r="D22" s="7" t="s">
        <v>37</v>
      </c>
      <c r="E22" s="7">
        <v>65</v>
      </c>
      <c r="F22" s="7">
        <v>15.21</v>
      </c>
      <c r="G22" s="7">
        <v>24</v>
      </c>
    </row>
    <row r="23" spans="1:7" x14ac:dyDescent="0.15">
      <c r="A23" s="7">
        <v>3</v>
      </c>
      <c r="B23" s="7" t="s">
        <v>41</v>
      </c>
      <c r="C23" s="7" t="s">
        <v>28</v>
      </c>
      <c r="D23" s="7" t="s">
        <v>29</v>
      </c>
      <c r="E23" s="7">
        <v>66</v>
      </c>
      <c r="F23" s="7">
        <v>18.149999999999999</v>
      </c>
      <c r="G23" s="7">
        <v>17</v>
      </c>
    </row>
    <row r="24" spans="1:7" x14ac:dyDescent="0.15">
      <c r="A24" s="7">
        <v>1</v>
      </c>
      <c r="B24" s="7" t="s">
        <v>41</v>
      </c>
      <c r="C24" s="7" t="s">
        <v>28</v>
      </c>
      <c r="D24" s="7" t="s">
        <v>29</v>
      </c>
      <c r="E24" s="7">
        <v>67</v>
      </c>
      <c r="F24" s="7">
        <v>18.43</v>
      </c>
      <c r="G24" s="7">
        <v>15</v>
      </c>
    </row>
    <row r="25" spans="1:7" x14ac:dyDescent="0.15">
      <c r="A25" s="7">
        <v>2</v>
      </c>
      <c r="B25" s="7" t="s">
        <v>43</v>
      </c>
      <c r="C25" s="7" t="s">
        <v>36</v>
      </c>
      <c r="D25" s="7" t="s">
        <v>37</v>
      </c>
      <c r="E25" s="7">
        <v>69</v>
      </c>
      <c r="F25" s="7">
        <v>22.15</v>
      </c>
      <c r="G25" s="7">
        <v>9</v>
      </c>
    </row>
    <row r="26" spans="1:7" hidden="1" x14ac:dyDescent="0.15">
      <c r="A26" s="7">
        <v>2</v>
      </c>
      <c r="B26" s="7" t="s">
        <v>44</v>
      </c>
      <c r="C26" s="7" t="s">
        <v>28</v>
      </c>
      <c r="D26" s="7" t="s">
        <v>29</v>
      </c>
      <c r="E26" s="7">
        <v>73</v>
      </c>
      <c r="F26" s="7">
        <v>32.56</v>
      </c>
      <c r="G26" s="7">
        <v>3</v>
      </c>
    </row>
    <row r="27" spans="1:7" hidden="1" x14ac:dyDescent="0.15">
      <c r="A27" s="7">
        <v>3</v>
      </c>
      <c r="B27" s="7" t="s">
        <v>39</v>
      </c>
      <c r="C27" s="7" t="s">
        <v>36</v>
      </c>
      <c r="D27" s="7" t="s">
        <v>37</v>
      </c>
      <c r="E27" s="7">
        <v>75</v>
      </c>
      <c r="F27" s="7">
        <v>17.55</v>
      </c>
      <c r="G27" s="7">
        <v>19</v>
      </c>
    </row>
    <row r="28" spans="1:7" x14ac:dyDescent="0.15">
      <c r="A28" s="7">
        <v>3</v>
      </c>
      <c r="B28" s="7" t="s">
        <v>27</v>
      </c>
      <c r="C28" s="7" t="s">
        <v>28</v>
      </c>
      <c r="D28" s="7" t="s">
        <v>29</v>
      </c>
      <c r="E28" s="7">
        <v>78</v>
      </c>
      <c r="F28" s="7">
        <v>34.79</v>
      </c>
      <c r="G28" s="7">
        <v>2</v>
      </c>
    </row>
    <row r="29" spans="1:7" hidden="1" x14ac:dyDescent="0.15">
      <c r="A29" s="7">
        <v>3</v>
      </c>
      <c r="B29" s="7" t="s">
        <v>45</v>
      </c>
      <c r="C29" s="7" t="s">
        <v>46</v>
      </c>
      <c r="D29" s="7" t="s">
        <v>47</v>
      </c>
      <c r="E29" s="7">
        <v>78</v>
      </c>
      <c r="F29" s="7">
        <v>2.34</v>
      </c>
      <c r="G29" s="7">
        <v>48</v>
      </c>
    </row>
    <row r="30" spans="1:7" x14ac:dyDescent="0.15">
      <c r="A30" s="7">
        <v>2</v>
      </c>
      <c r="B30" s="7" t="s">
        <v>30</v>
      </c>
      <c r="C30" s="7" t="s">
        <v>31</v>
      </c>
      <c r="D30" s="7" t="s">
        <v>32</v>
      </c>
      <c r="E30" s="7">
        <v>79</v>
      </c>
      <c r="F30" s="7">
        <v>27.97</v>
      </c>
      <c r="G30" s="7">
        <v>6</v>
      </c>
    </row>
    <row r="31" spans="1:7" hidden="1" x14ac:dyDescent="0.15">
      <c r="A31" s="7">
        <v>3</v>
      </c>
      <c r="B31" s="7" t="s">
        <v>42</v>
      </c>
      <c r="C31" s="7" t="s">
        <v>31</v>
      </c>
      <c r="D31" s="7" t="s">
        <v>32</v>
      </c>
      <c r="E31" s="7">
        <v>84</v>
      </c>
      <c r="F31" s="7">
        <v>11.59</v>
      </c>
      <c r="G31" s="7">
        <v>28</v>
      </c>
    </row>
    <row r="32" spans="1:7" hidden="1" x14ac:dyDescent="0.15">
      <c r="A32" s="7">
        <v>1</v>
      </c>
      <c r="B32" s="7" t="s">
        <v>44</v>
      </c>
      <c r="C32" s="7" t="s">
        <v>28</v>
      </c>
      <c r="D32" s="7" t="s">
        <v>29</v>
      </c>
      <c r="E32" s="7">
        <v>86</v>
      </c>
      <c r="F32" s="7">
        <v>38.36</v>
      </c>
      <c r="G32" s="7">
        <v>1</v>
      </c>
    </row>
    <row r="33" spans="1:7" x14ac:dyDescent="0.15">
      <c r="A33" s="7">
        <v>1</v>
      </c>
      <c r="B33" s="7" t="s">
        <v>35</v>
      </c>
      <c r="C33" s="7" t="s">
        <v>36</v>
      </c>
      <c r="D33" s="7" t="s">
        <v>37</v>
      </c>
      <c r="E33" s="7">
        <v>86</v>
      </c>
      <c r="F33" s="7">
        <v>20.12</v>
      </c>
      <c r="G33" s="7">
        <v>11</v>
      </c>
    </row>
    <row r="34" spans="1:7" hidden="1" x14ac:dyDescent="0.15">
      <c r="A34" s="7">
        <v>3</v>
      </c>
      <c r="B34" s="7" t="s">
        <v>40</v>
      </c>
      <c r="C34" s="7" t="s">
        <v>31</v>
      </c>
      <c r="D34" s="7" t="s">
        <v>32</v>
      </c>
      <c r="E34" s="7">
        <v>86</v>
      </c>
      <c r="F34" s="7">
        <v>30.44</v>
      </c>
      <c r="G34" s="7">
        <v>4</v>
      </c>
    </row>
    <row r="35" spans="1:7" hidden="1" x14ac:dyDescent="0.15">
      <c r="A35" s="7">
        <v>3</v>
      </c>
      <c r="B35" s="7" t="s">
        <v>48</v>
      </c>
      <c r="C35" s="7" t="s">
        <v>46</v>
      </c>
      <c r="D35" s="7" t="s">
        <v>47</v>
      </c>
      <c r="E35" s="7">
        <v>88</v>
      </c>
      <c r="F35" s="7">
        <v>2.64</v>
      </c>
      <c r="G35" s="7">
        <v>47</v>
      </c>
    </row>
    <row r="36" spans="1:7" hidden="1" x14ac:dyDescent="0.15">
      <c r="A36" s="7">
        <v>2</v>
      </c>
      <c r="B36" s="7" t="s">
        <v>49</v>
      </c>
      <c r="C36" s="7" t="s">
        <v>46</v>
      </c>
      <c r="D36" s="7" t="s">
        <v>47</v>
      </c>
      <c r="E36" s="7">
        <v>89</v>
      </c>
      <c r="F36" s="7">
        <v>2.67</v>
      </c>
      <c r="G36" s="7">
        <v>45</v>
      </c>
    </row>
    <row r="37" spans="1:7" hidden="1" x14ac:dyDescent="0.15">
      <c r="A37" s="7">
        <v>1</v>
      </c>
      <c r="B37" s="7" t="s">
        <v>48</v>
      </c>
      <c r="C37" s="7" t="s">
        <v>46</v>
      </c>
      <c r="D37" s="7" t="s">
        <v>47</v>
      </c>
      <c r="E37" s="7">
        <v>89</v>
      </c>
      <c r="F37" s="7">
        <v>2.67</v>
      </c>
      <c r="G37" s="7">
        <v>45</v>
      </c>
    </row>
    <row r="38" spans="1:7" hidden="1" x14ac:dyDescent="0.15">
      <c r="A38" s="7">
        <v>1</v>
      </c>
      <c r="B38" s="7" t="s">
        <v>39</v>
      </c>
      <c r="C38" s="7" t="s">
        <v>36</v>
      </c>
      <c r="D38" s="7" t="s">
        <v>37</v>
      </c>
      <c r="E38" s="7">
        <v>89</v>
      </c>
      <c r="F38" s="7">
        <v>20.83</v>
      </c>
      <c r="G38" s="7">
        <v>10</v>
      </c>
    </row>
    <row r="39" spans="1:7" hidden="1" x14ac:dyDescent="0.15">
      <c r="A39" s="7">
        <v>1</v>
      </c>
      <c r="B39" s="7" t="s">
        <v>42</v>
      </c>
      <c r="C39" s="7" t="s">
        <v>31</v>
      </c>
      <c r="D39" s="7" t="s">
        <v>32</v>
      </c>
      <c r="E39" s="7">
        <v>89</v>
      </c>
      <c r="F39" s="7">
        <v>12.28</v>
      </c>
      <c r="G39" s="7">
        <v>27</v>
      </c>
    </row>
    <row r="40" spans="1:7" hidden="1" x14ac:dyDescent="0.15">
      <c r="A40" s="7">
        <v>2</v>
      </c>
      <c r="B40" s="7" t="s">
        <v>50</v>
      </c>
      <c r="C40" s="7" t="s">
        <v>46</v>
      </c>
      <c r="D40" s="7" t="s">
        <v>47</v>
      </c>
      <c r="E40" s="7">
        <v>97</v>
      </c>
      <c r="F40" s="7">
        <v>2.91</v>
      </c>
      <c r="G40" s="7">
        <v>44</v>
      </c>
    </row>
    <row r="41" spans="1:7" hidden="1" x14ac:dyDescent="0.15">
      <c r="A41" s="7">
        <v>1</v>
      </c>
      <c r="B41" s="7" t="s">
        <v>49</v>
      </c>
      <c r="C41" s="7" t="s">
        <v>46</v>
      </c>
      <c r="D41" s="7" t="s">
        <v>47</v>
      </c>
      <c r="E41" s="7">
        <v>112</v>
      </c>
      <c r="F41" s="7">
        <v>3.36</v>
      </c>
      <c r="G41" s="7">
        <v>42</v>
      </c>
    </row>
    <row r="42" spans="1:7" hidden="1" x14ac:dyDescent="0.15">
      <c r="A42" s="7">
        <v>3</v>
      </c>
      <c r="B42" s="7" t="s">
        <v>49</v>
      </c>
      <c r="C42" s="7" t="s">
        <v>46</v>
      </c>
      <c r="D42" s="7" t="s">
        <v>47</v>
      </c>
      <c r="E42" s="7">
        <v>112</v>
      </c>
      <c r="F42" s="7">
        <v>3.36</v>
      </c>
      <c r="G42" s="7">
        <v>42</v>
      </c>
    </row>
    <row r="43" spans="1:7" hidden="1" x14ac:dyDescent="0.15">
      <c r="A43" s="7">
        <v>2</v>
      </c>
      <c r="B43" s="7" t="s">
        <v>45</v>
      </c>
      <c r="C43" s="7" t="s">
        <v>46</v>
      </c>
      <c r="D43" s="7" t="s">
        <v>47</v>
      </c>
      <c r="E43" s="7">
        <v>131</v>
      </c>
      <c r="F43" s="7">
        <v>3.93</v>
      </c>
      <c r="G43" s="7">
        <v>41</v>
      </c>
    </row>
    <row r="44" spans="1:7" hidden="1" x14ac:dyDescent="0.15">
      <c r="A44" s="7">
        <v>1</v>
      </c>
      <c r="B44" s="7" t="s">
        <v>50</v>
      </c>
      <c r="C44" s="7" t="s">
        <v>46</v>
      </c>
      <c r="D44" s="7" t="s">
        <v>47</v>
      </c>
      <c r="E44" s="7">
        <v>132</v>
      </c>
      <c r="F44" s="7">
        <v>3.96</v>
      </c>
      <c r="G44" s="7">
        <v>40</v>
      </c>
    </row>
    <row r="45" spans="1:7" hidden="1" x14ac:dyDescent="0.15">
      <c r="A45" s="7">
        <v>1</v>
      </c>
      <c r="B45" s="7" t="s">
        <v>34</v>
      </c>
      <c r="C45" s="7" t="s">
        <v>31</v>
      </c>
      <c r="D45" s="7" t="s">
        <v>32</v>
      </c>
      <c r="E45" s="7">
        <v>156</v>
      </c>
      <c r="F45" s="7">
        <v>25.28</v>
      </c>
      <c r="G45" s="7">
        <v>7</v>
      </c>
    </row>
    <row r="46" spans="1:7" hidden="1" x14ac:dyDescent="0.15">
      <c r="A46" s="7">
        <v>1</v>
      </c>
      <c r="B46" s="7" t="s">
        <v>33</v>
      </c>
      <c r="C46" s="7" t="s">
        <v>28</v>
      </c>
      <c r="D46" s="7" t="s">
        <v>29</v>
      </c>
      <c r="E46" s="7">
        <v>164</v>
      </c>
      <c r="F46" s="7">
        <v>17.600000000000001</v>
      </c>
      <c r="G46" s="7">
        <v>18</v>
      </c>
    </row>
    <row r="47" spans="1:7" hidden="1" x14ac:dyDescent="0.15">
      <c r="A47" s="7">
        <v>1</v>
      </c>
      <c r="B47" s="7" t="s">
        <v>45</v>
      </c>
      <c r="C47" s="7" t="s">
        <v>46</v>
      </c>
      <c r="D47" s="7" t="s">
        <v>47</v>
      </c>
      <c r="E47" s="7">
        <v>165</v>
      </c>
      <c r="F47" s="7">
        <v>4.95</v>
      </c>
      <c r="G47" s="7">
        <v>39</v>
      </c>
    </row>
    <row r="48" spans="1:7" hidden="1" x14ac:dyDescent="0.15">
      <c r="A48" s="7">
        <v>3</v>
      </c>
      <c r="B48" s="7" t="s">
        <v>50</v>
      </c>
      <c r="C48" s="7" t="s">
        <v>46</v>
      </c>
      <c r="D48" s="7" t="s">
        <v>47</v>
      </c>
      <c r="E48" s="7">
        <v>167</v>
      </c>
      <c r="F48" s="7">
        <v>5.01</v>
      </c>
      <c r="G48" s="7">
        <v>38</v>
      </c>
    </row>
    <row r="49" spans="1:7" hidden="1" x14ac:dyDescent="0.15">
      <c r="A49" s="7">
        <v>2</v>
      </c>
      <c r="B49" s="7" t="s">
        <v>35</v>
      </c>
      <c r="C49" s="7" t="s">
        <v>46</v>
      </c>
      <c r="D49" s="7" t="s">
        <v>47</v>
      </c>
      <c r="E49" s="7">
        <v>176</v>
      </c>
      <c r="F49" s="7">
        <v>5.28</v>
      </c>
      <c r="G49" s="7">
        <v>36</v>
      </c>
    </row>
  </sheetData>
  <autoFilter ref="A1:G49">
    <filterColumn colId="1">
      <customFilters>
        <customFilter val="东*"/>
        <customFilter val="西*"/>
      </customFilters>
    </filterColumn>
    <filterColumn colId="5">
      <dynamicFilter type="aboveAverage" val="14.325624999999997"/>
    </filterColumn>
  </autoFilter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产品销售统计表</vt:lpstr>
      <vt:lpstr>产品销售情况表</vt:lpstr>
      <vt:lpstr>Sheet3</vt:lpstr>
    </vt:vector>
  </TitlesOfParts>
  <Company>ysy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Microsoft</cp:lastModifiedBy>
  <dcterms:created xsi:type="dcterms:W3CDTF">2005-08-24T03:08:06Z</dcterms:created>
  <dcterms:modified xsi:type="dcterms:W3CDTF">2021-04-17T06:00:38Z</dcterms:modified>
</cp:coreProperties>
</file>