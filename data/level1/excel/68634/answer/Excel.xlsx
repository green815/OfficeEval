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高校题库制作系统-副本\EndFile\ExtractFile\"/>
    </mc:Choice>
  </mc:AlternateContent>
  <bookViews>
    <workbookView xWindow="0" yWindow="0" windowWidth="17610" windowHeight="8430"/>
  </bookViews>
  <sheets>
    <sheet name="某单位人员工资统计表" sheetId="1" r:id="rId1"/>
    <sheet name="产品销售情况表" sheetId="2" r:id="rId2"/>
    <sheet name="Sheet3" sheetId="3" r:id="rId3"/>
  </sheets>
  <calcPr calcId="162913"/>
  <pivotCaches>
    <pivotCache cacheId="0" r:id="rId4"/>
  </pivotCaches>
</workbook>
</file>

<file path=xl/calcChain.xml><?xml version="1.0" encoding="utf-8"?>
<calcChain xmlns="http://schemas.openxmlformats.org/spreadsheetml/2006/main">
  <c r="L4" i="1" l="1"/>
  <c r="L5" i="1"/>
  <c r="L6" i="1"/>
  <c r="L7" i="1"/>
  <c r="L8" i="1"/>
  <c r="L3" i="1"/>
  <c r="H6" i="1"/>
  <c r="H7" i="1"/>
  <c r="H5" i="1"/>
  <c r="G6" i="1"/>
  <c r="G7" i="1"/>
  <c r="G5" i="1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</calcChain>
</file>

<file path=xl/sharedStrings.xml><?xml version="1.0" encoding="utf-8"?>
<sst xmlns="http://schemas.openxmlformats.org/spreadsheetml/2006/main" count="246" uniqueCount="68">
  <si>
    <t>某单位人员工资情况表</t>
  </si>
  <si>
    <t>职工号</t>
  </si>
  <si>
    <t xml:space="preserve">性别 </t>
  </si>
  <si>
    <t>职称</t>
  </si>
  <si>
    <t>基本工资（元）</t>
  </si>
  <si>
    <t>性别</t>
  </si>
  <si>
    <t>基本工资平均值（元）</t>
  </si>
  <si>
    <t>HR001</t>
  </si>
  <si>
    <t>女</t>
  </si>
  <si>
    <t>高工</t>
  </si>
  <si>
    <t>HR002</t>
  </si>
  <si>
    <t>男</t>
  </si>
  <si>
    <t>人数</t>
  </si>
  <si>
    <t>工程师</t>
  </si>
  <si>
    <t>HR003</t>
  </si>
  <si>
    <t>助工</t>
  </si>
  <si>
    <t>HR004</t>
  </si>
  <si>
    <t>HR005</t>
  </si>
  <si>
    <t>HR006</t>
  </si>
  <si>
    <t>HR007</t>
  </si>
  <si>
    <t>HR008</t>
  </si>
  <si>
    <t>HR009</t>
  </si>
  <si>
    <t>HR010</t>
  </si>
  <si>
    <t>HR011</t>
  </si>
  <si>
    <t>HR012</t>
  </si>
  <si>
    <t>HR013</t>
  </si>
  <si>
    <t>HR014</t>
  </si>
  <si>
    <t>HR015</t>
  </si>
  <si>
    <t>HR016</t>
  </si>
  <si>
    <t>HR017</t>
  </si>
  <si>
    <t>HR018</t>
  </si>
  <si>
    <t>HR019</t>
  </si>
  <si>
    <t>HR020</t>
  </si>
  <si>
    <t>季度</t>
  </si>
  <si>
    <t>分公司</t>
  </si>
  <si>
    <t>产品类别</t>
  </si>
  <si>
    <t>产品名称</t>
  </si>
  <si>
    <t>销售数量</t>
  </si>
  <si>
    <t>销售额（万元）</t>
  </si>
  <si>
    <t>销售额排名</t>
  </si>
  <si>
    <t>西部1</t>
  </si>
  <si>
    <t>D-1</t>
  </si>
  <si>
    <t>电视</t>
  </si>
  <si>
    <t>东部2</t>
  </si>
  <si>
    <t>K-1</t>
  </si>
  <si>
    <t>空调</t>
  </si>
  <si>
    <t>南部1</t>
  </si>
  <si>
    <t>北部2</t>
  </si>
  <si>
    <t>东部3</t>
  </si>
  <si>
    <t>D-2</t>
  </si>
  <si>
    <t>电冰箱</t>
  </si>
  <si>
    <t>北部3</t>
  </si>
  <si>
    <t>南部3</t>
  </si>
  <si>
    <t>南部2</t>
  </si>
  <si>
    <t>东部1</t>
  </si>
  <si>
    <t>西部2</t>
  </si>
  <si>
    <t>西部3</t>
  </si>
  <si>
    <t>北部1</t>
  </si>
  <si>
    <t>西部4</t>
  </si>
  <si>
    <t>S-1</t>
  </si>
  <si>
    <t>手机</t>
  </si>
  <si>
    <t>东部4</t>
  </si>
  <si>
    <t>北部4</t>
  </si>
  <si>
    <t>南部4</t>
  </si>
  <si>
    <t>行标签</t>
  </si>
  <si>
    <t>总计</t>
  </si>
  <si>
    <t>列标签</t>
  </si>
  <si>
    <t>求和项:销售额（万元）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</si>
</sst>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0_ "/>
    <numFmt numFmtId="177" formatCode="0_ "/>
  </numFmts>
  <fonts count="2" x14ac:knownFonts="1">
    <font>
      <sz val="12"/>
      <name val="宋体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Fill="1" applyAlignment="1">
      <alignment vertical="center"/>
    </xf>
    <xf numFmtId="176" fontId="0" fillId="0" borderId="0" xfId="0" applyNumberFormat="1" applyFill="1" applyAlignment="1">
      <alignment vertical="center"/>
    </xf>
    <xf numFmtId="0" fontId="0" fillId="0" borderId="0" xfId="0" applyAlignment="1"/>
    <xf numFmtId="0" fontId="0" fillId="0" borderId="1" xfId="0" applyBorder="1"/>
    <xf numFmtId="0" fontId="0" fillId="0" borderId="0" xfId="0" applyAlignment="1">
      <alignment horizontal="righ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177" fontId="0" fillId="0" borderId="1" xfId="0" applyNumberFormat="1" applyBorder="1"/>
    <xf numFmtId="177" fontId="0" fillId="0" borderId="4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0" i="0" u="none" strike="noStrike" baseline="0" smtClean="0"/>
              <a:t>人员工资统计图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某单位人员工资统计表!$H$4</c:f>
              <c:strCache>
                <c:ptCount val="1"/>
                <c:pt idx="0">
                  <c:v>基本工资平均值（元）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某单位人员工资统计表!$F$5:$F$7</c:f>
              <c:strCache>
                <c:ptCount val="3"/>
                <c:pt idx="0">
                  <c:v>高工</c:v>
                </c:pt>
                <c:pt idx="1">
                  <c:v>工程师</c:v>
                </c:pt>
                <c:pt idx="2">
                  <c:v>助工</c:v>
                </c:pt>
              </c:strCache>
            </c:strRef>
          </c:cat>
          <c:val>
            <c:numRef>
              <c:f>某单位人员工资统计表!$H$5:$H$7</c:f>
              <c:numCache>
                <c:formatCode>0_ </c:formatCode>
                <c:ptCount val="3"/>
                <c:pt idx="0">
                  <c:v>8337.5</c:v>
                </c:pt>
                <c:pt idx="1">
                  <c:v>6722.2222222222226</c:v>
                </c:pt>
                <c:pt idx="2">
                  <c:v>5100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E0-4D84-A0B4-199F74E140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40406104"/>
        <c:axId val="440404464"/>
      </c:barChart>
      <c:lineChart>
        <c:grouping val="standard"/>
        <c:varyColors val="0"/>
        <c:ser>
          <c:idx val="0"/>
          <c:order val="0"/>
          <c:tx>
            <c:strRef>
              <c:f>某单位人员工资统计表!$G$4</c:f>
              <c:strCache>
                <c:ptCount val="1"/>
                <c:pt idx="0">
                  <c:v>人数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某单位人员工资统计表!$F$5:$F$7</c:f>
              <c:strCache>
                <c:ptCount val="3"/>
                <c:pt idx="0">
                  <c:v>高工</c:v>
                </c:pt>
                <c:pt idx="1">
                  <c:v>工程师</c:v>
                </c:pt>
                <c:pt idx="2">
                  <c:v>助工</c:v>
                </c:pt>
              </c:strCache>
            </c:strRef>
          </c:cat>
          <c:val>
            <c:numRef>
              <c:f>某单位人员工资统计表!$G$5:$G$7</c:f>
              <c:numCache>
                <c:formatCode>General</c:formatCode>
                <c:ptCount val="3"/>
                <c:pt idx="0">
                  <c:v>8</c:v>
                </c:pt>
                <c:pt idx="1">
                  <c:v>9</c:v>
                </c:pt>
                <c:pt idx="2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E0-4D84-A0B4-199F74E140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0668696"/>
        <c:axId val="440668368"/>
      </c:lineChart>
      <c:catAx>
        <c:axId val="440406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40404464"/>
        <c:crosses val="autoZero"/>
        <c:auto val="1"/>
        <c:lblAlgn val="ctr"/>
        <c:lblOffset val="100"/>
        <c:noMultiLvlLbl val="0"/>
      </c:catAx>
      <c:valAx>
        <c:axId val="440404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40406104"/>
        <c:crosses val="autoZero"/>
        <c:crossBetween val="between"/>
      </c:valAx>
      <c:valAx>
        <c:axId val="44066836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40668696"/>
        <c:crosses val="max"/>
        <c:crossBetween val="between"/>
      </c:valAx>
      <c:catAx>
        <c:axId val="4406686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40668368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</c:dTable>
      <c:spPr>
        <a:pattFill prst="dotGrid">
          <a:fgClr>
            <a:schemeClr val="tx1">
              <a:lumMod val="65000"/>
              <a:lumOff val="35000"/>
            </a:schemeClr>
          </a:fgClr>
          <a:bgClr>
            <a:schemeClr val="bg1"/>
          </a:bgClr>
        </a:patt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8</xdr:row>
      <xdr:rowOff>14287</xdr:rowOff>
    </xdr:from>
    <xdr:to>
      <xdr:col>11</xdr:col>
      <xdr:colOff>0</xdr:colOff>
      <xdr:row>23</xdr:row>
      <xdr:rowOff>171450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icrosoft" refreshedDate="44302.620318055553" createdVersion="6" refreshedVersion="6" minRefreshableVersion="3" recordCount="48">
  <cacheSource type="worksheet">
    <worksheetSource ref="A1:G49" sheet="产品销售情况表"/>
  </cacheSource>
  <cacheFields count="7">
    <cacheField name="季度" numFmtId="0">
      <sharedItems containsSemiMixedTypes="0" containsString="0" containsNumber="1" containsInteger="1" minValue="1" maxValue="3" count="3">
        <n v="1"/>
        <n v="2"/>
        <n v="3"/>
      </sharedItems>
    </cacheField>
    <cacheField name="分公司" numFmtId="0">
      <sharedItems count="16">
        <s v="西部1"/>
        <s v="东部2"/>
        <s v="南部1"/>
        <s v="北部2"/>
        <s v="东部3"/>
        <s v="北部3"/>
        <s v="南部3"/>
        <s v="南部2"/>
        <s v="东部1"/>
        <s v="西部2"/>
        <s v="西部3"/>
        <s v="北部1"/>
        <s v="西部4"/>
        <s v="东部4"/>
        <s v="北部4"/>
        <s v="南部4"/>
      </sharedItems>
    </cacheField>
    <cacheField name="产品类别" numFmtId="0">
      <sharedItems count="4">
        <s v="D-1"/>
        <s v="K-1"/>
        <s v="D-2"/>
        <s v="S-1"/>
      </sharedItems>
    </cacheField>
    <cacheField name="产品名称" numFmtId="0">
      <sharedItems/>
    </cacheField>
    <cacheField name="销售数量" numFmtId="0">
      <sharedItems containsSemiMixedTypes="0" containsString="0" containsNumber="1" containsInteger="1" minValue="21" maxValue="176"/>
    </cacheField>
    <cacheField name="销售额（万元）" numFmtId="176">
      <sharedItems containsSemiMixedTypes="0" containsString="0" containsNumber="1" minValue="2.34" maxValue="38.356000000000002"/>
    </cacheField>
    <cacheField name="销售额排名" numFmtId="0">
      <sharedItems containsSemiMixedTypes="0" containsString="0" containsNumber="1" containsInteger="1" minValue="1" maxValue="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8">
  <r>
    <x v="0"/>
    <x v="0"/>
    <x v="0"/>
    <s v="电视"/>
    <n v="21"/>
    <n v="9.3659999999999997"/>
    <n v="30"/>
  </r>
  <r>
    <x v="0"/>
    <x v="1"/>
    <x v="1"/>
    <s v="空调"/>
    <n v="24"/>
    <n v="8.4960000000000004"/>
    <n v="32"/>
  </r>
  <r>
    <x v="1"/>
    <x v="2"/>
    <x v="0"/>
    <s v="电视"/>
    <n v="27"/>
    <n v="7.4249999999999998"/>
    <n v="34"/>
  </r>
  <r>
    <x v="1"/>
    <x v="3"/>
    <x v="1"/>
    <s v="空调"/>
    <n v="37"/>
    <n v="5.1059999999999999"/>
    <n v="37"/>
  </r>
  <r>
    <x v="2"/>
    <x v="4"/>
    <x v="2"/>
    <s v="电冰箱"/>
    <n v="39"/>
    <n v="9.1259999999999994"/>
    <n v="31"/>
  </r>
  <r>
    <x v="1"/>
    <x v="0"/>
    <x v="0"/>
    <s v="电视"/>
    <n v="42"/>
    <n v="18.731999999999999"/>
    <n v="13"/>
  </r>
  <r>
    <x v="0"/>
    <x v="5"/>
    <x v="2"/>
    <s v="电冰箱"/>
    <n v="43"/>
    <n v="13.803000000000001"/>
    <n v="25"/>
  </r>
  <r>
    <x v="2"/>
    <x v="1"/>
    <x v="1"/>
    <s v="空调"/>
    <n v="45"/>
    <n v="15.93"/>
    <n v="21"/>
  </r>
  <r>
    <x v="1"/>
    <x v="6"/>
    <x v="2"/>
    <s v="电冰箱"/>
    <n v="45"/>
    <n v="10.53"/>
    <n v="29"/>
  </r>
  <r>
    <x v="2"/>
    <x v="2"/>
    <x v="0"/>
    <s v="电视"/>
    <n v="46"/>
    <n v="12.65"/>
    <n v="26"/>
  </r>
  <r>
    <x v="1"/>
    <x v="5"/>
    <x v="2"/>
    <s v="电冰箱"/>
    <n v="48"/>
    <n v="15.407999999999999"/>
    <n v="22"/>
  </r>
  <r>
    <x v="2"/>
    <x v="3"/>
    <x v="1"/>
    <s v="空调"/>
    <n v="53"/>
    <n v="7.3140000000000001"/>
    <n v="35"/>
  </r>
  <r>
    <x v="2"/>
    <x v="5"/>
    <x v="2"/>
    <s v="电冰箱"/>
    <n v="54"/>
    <n v="17.334"/>
    <n v="20"/>
  </r>
  <r>
    <x v="0"/>
    <x v="7"/>
    <x v="1"/>
    <s v="空调"/>
    <n v="54"/>
    <n v="19.116"/>
    <n v="12"/>
  </r>
  <r>
    <x v="1"/>
    <x v="8"/>
    <x v="0"/>
    <s v="电视"/>
    <n v="56"/>
    <n v="15.4"/>
    <n v="23"/>
  </r>
  <r>
    <x v="1"/>
    <x v="9"/>
    <x v="1"/>
    <s v="空调"/>
    <n v="56"/>
    <n v="7.7279999999999998"/>
    <n v="33"/>
  </r>
  <r>
    <x v="2"/>
    <x v="10"/>
    <x v="2"/>
    <s v="电冰箱"/>
    <n v="57"/>
    <n v="18.297000000000001"/>
    <n v="16"/>
  </r>
  <r>
    <x v="0"/>
    <x v="10"/>
    <x v="2"/>
    <s v="电冰箱"/>
    <n v="58"/>
    <n v="18.617999999999999"/>
    <n v="14"/>
  </r>
  <r>
    <x v="1"/>
    <x v="7"/>
    <x v="1"/>
    <s v="空调"/>
    <n v="63"/>
    <n v="22.302"/>
    <n v="8"/>
  </r>
  <r>
    <x v="2"/>
    <x v="11"/>
    <x v="0"/>
    <s v="电视"/>
    <n v="64"/>
    <n v="28.544"/>
    <n v="5"/>
  </r>
  <r>
    <x v="1"/>
    <x v="4"/>
    <x v="2"/>
    <s v="电冰箱"/>
    <n v="65"/>
    <n v="15.21"/>
    <n v="24"/>
  </r>
  <r>
    <x v="2"/>
    <x v="8"/>
    <x v="0"/>
    <s v="电视"/>
    <n v="66"/>
    <n v="18.149999999999999"/>
    <n v="17"/>
  </r>
  <r>
    <x v="0"/>
    <x v="8"/>
    <x v="0"/>
    <s v="电视"/>
    <n v="67"/>
    <n v="18.425000000000001"/>
    <n v="15"/>
  </r>
  <r>
    <x v="1"/>
    <x v="10"/>
    <x v="2"/>
    <s v="电冰箱"/>
    <n v="69"/>
    <n v="22.149000000000001"/>
    <n v="9"/>
  </r>
  <r>
    <x v="1"/>
    <x v="11"/>
    <x v="0"/>
    <s v="电视"/>
    <n v="73"/>
    <n v="32.558"/>
    <n v="3"/>
  </r>
  <r>
    <x v="2"/>
    <x v="6"/>
    <x v="2"/>
    <s v="电冰箱"/>
    <n v="75"/>
    <n v="17.55"/>
    <n v="19"/>
  </r>
  <r>
    <x v="2"/>
    <x v="0"/>
    <x v="0"/>
    <s v="电视"/>
    <n v="78"/>
    <n v="34.787999999999997"/>
    <n v="2"/>
  </r>
  <r>
    <x v="2"/>
    <x v="12"/>
    <x v="3"/>
    <s v="手机"/>
    <n v="78"/>
    <n v="2.34"/>
    <n v="48"/>
  </r>
  <r>
    <x v="1"/>
    <x v="1"/>
    <x v="1"/>
    <s v="空调"/>
    <n v="79"/>
    <n v="27.966000000000001"/>
    <n v="6"/>
  </r>
  <r>
    <x v="2"/>
    <x v="9"/>
    <x v="1"/>
    <s v="空调"/>
    <n v="84"/>
    <n v="11.592000000000001"/>
    <n v="28"/>
  </r>
  <r>
    <x v="0"/>
    <x v="11"/>
    <x v="0"/>
    <s v="电视"/>
    <n v="86"/>
    <n v="38.356000000000002"/>
    <n v="1"/>
  </r>
  <r>
    <x v="0"/>
    <x v="4"/>
    <x v="2"/>
    <s v="电冰箱"/>
    <n v="86"/>
    <n v="20.123999999999999"/>
    <n v="11"/>
  </r>
  <r>
    <x v="2"/>
    <x v="7"/>
    <x v="1"/>
    <s v="空调"/>
    <n v="86"/>
    <n v="30.443999999999999"/>
    <n v="4"/>
  </r>
  <r>
    <x v="2"/>
    <x v="13"/>
    <x v="3"/>
    <s v="手机"/>
    <n v="88"/>
    <n v="2.64"/>
    <n v="47"/>
  </r>
  <r>
    <x v="1"/>
    <x v="14"/>
    <x v="3"/>
    <s v="手机"/>
    <n v="89"/>
    <n v="2.67"/>
    <n v="45"/>
  </r>
  <r>
    <x v="0"/>
    <x v="13"/>
    <x v="3"/>
    <s v="手机"/>
    <n v="89"/>
    <n v="2.67"/>
    <n v="45"/>
  </r>
  <r>
    <x v="0"/>
    <x v="6"/>
    <x v="2"/>
    <s v="电冰箱"/>
    <n v="89"/>
    <n v="20.826000000000001"/>
    <n v="10"/>
  </r>
  <r>
    <x v="0"/>
    <x v="9"/>
    <x v="1"/>
    <s v="空调"/>
    <n v="89"/>
    <n v="12.282"/>
    <n v="27"/>
  </r>
  <r>
    <x v="1"/>
    <x v="15"/>
    <x v="3"/>
    <s v="手机"/>
    <n v="97"/>
    <n v="2.91"/>
    <n v="44"/>
  </r>
  <r>
    <x v="0"/>
    <x v="14"/>
    <x v="3"/>
    <s v="手机"/>
    <n v="112"/>
    <n v="3.36"/>
    <n v="42"/>
  </r>
  <r>
    <x v="2"/>
    <x v="14"/>
    <x v="3"/>
    <s v="手机"/>
    <n v="112"/>
    <n v="3.36"/>
    <n v="42"/>
  </r>
  <r>
    <x v="1"/>
    <x v="12"/>
    <x v="3"/>
    <s v="手机"/>
    <n v="131"/>
    <n v="3.93"/>
    <n v="41"/>
  </r>
  <r>
    <x v="0"/>
    <x v="15"/>
    <x v="3"/>
    <s v="手机"/>
    <n v="132"/>
    <n v="3.96"/>
    <n v="40"/>
  </r>
  <r>
    <x v="0"/>
    <x v="3"/>
    <x v="1"/>
    <s v="空调"/>
    <n v="156"/>
    <n v="25.282"/>
    <n v="7"/>
  </r>
  <r>
    <x v="0"/>
    <x v="2"/>
    <x v="0"/>
    <s v="电视"/>
    <n v="164"/>
    <n v="17.600000000000001"/>
    <n v="18"/>
  </r>
  <r>
    <x v="0"/>
    <x v="12"/>
    <x v="3"/>
    <s v="手机"/>
    <n v="165"/>
    <n v="4.95"/>
    <n v="39"/>
  </r>
  <r>
    <x v="2"/>
    <x v="15"/>
    <x v="3"/>
    <s v="手机"/>
    <n v="167"/>
    <n v="5.01"/>
    <n v="38"/>
  </r>
  <r>
    <x v="1"/>
    <x v="4"/>
    <x v="3"/>
    <s v="手机"/>
    <n v="176"/>
    <n v="5.28"/>
    <n v="3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7" cacheId="0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>
  <location ref="I10:N15" firstHeaderRow="1" firstDataRow="2" firstDataCol="1"/>
  <pivotFields count="7">
    <pivotField axis="axisRow" showAll="0">
      <items count="4">
        <item x="0"/>
        <item x="1"/>
        <item x="2"/>
        <item t="default"/>
      </items>
    </pivotField>
    <pivotField showAll="0">
      <items count="17">
        <item x="11"/>
        <item x="3"/>
        <item x="5"/>
        <item x="14"/>
        <item x="8"/>
        <item x="1"/>
        <item x="4"/>
        <item x="13"/>
        <item x="2"/>
        <item x="7"/>
        <item x="6"/>
        <item x="15"/>
        <item x="0"/>
        <item x="9"/>
        <item x="10"/>
        <item x="12"/>
        <item t="default"/>
      </items>
    </pivotField>
    <pivotField axis="axisCol" showAll="0">
      <items count="5">
        <item x="0"/>
        <item x="2"/>
        <item x="1"/>
        <item x="3"/>
        <item t="default"/>
      </items>
    </pivotField>
    <pivotField showAll="0"/>
    <pivotField showAll="0"/>
    <pivotField dataField="1" numFmtId="176"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求和项:销售额（万元）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"/>
  <sheetViews>
    <sheetView tabSelected="1" topLeftCell="F7" workbookViewId="0">
      <selection activeCell="L21" sqref="L21"/>
    </sheetView>
  </sheetViews>
  <sheetFormatPr defaultColWidth="9" defaultRowHeight="14.25" x14ac:dyDescent="0.15"/>
  <cols>
    <col min="1" max="1" width="9.5" customWidth="1"/>
    <col min="2" max="2" width="5.375" customWidth="1"/>
    <col min="3" max="3" width="7.125" customWidth="1"/>
    <col min="4" max="4" width="8.75" customWidth="1"/>
    <col min="5" max="5" width="10.5" customWidth="1"/>
    <col min="8" max="8" width="20.375" customWidth="1"/>
    <col min="12" max="12" width="22.625" customWidth="1"/>
  </cols>
  <sheetData>
    <row r="1" spans="1:12" x14ac:dyDescent="0.15">
      <c r="A1" s="16" t="s">
        <v>0</v>
      </c>
      <c r="B1" s="16"/>
      <c r="C1" s="16"/>
      <c r="D1" s="16"/>
    </row>
    <row r="2" spans="1:12" x14ac:dyDescent="0.15">
      <c r="A2" s="3" t="s">
        <v>1</v>
      </c>
      <c r="B2" s="3" t="s">
        <v>2</v>
      </c>
      <c r="C2" s="3" t="s">
        <v>3</v>
      </c>
      <c r="D2" s="3" t="s">
        <v>4</v>
      </c>
      <c r="J2" s="6" t="s">
        <v>5</v>
      </c>
      <c r="K2" s="7" t="s">
        <v>3</v>
      </c>
      <c r="L2" s="7" t="s">
        <v>6</v>
      </c>
    </row>
    <row r="3" spans="1:12" x14ac:dyDescent="0.15">
      <c r="A3" s="3" t="s">
        <v>7</v>
      </c>
      <c r="B3" s="3" t="s">
        <v>8</v>
      </c>
      <c r="C3" s="3" t="s">
        <v>9</v>
      </c>
      <c r="D3">
        <v>8700</v>
      </c>
      <c r="J3" s="8" t="s">
        <v>8</v>
      </c>
      <c r="K3" s="9" t="s">
        <v>9</v>
      </c>
      <c r="L3" s="11">
        <f>AVERAGEIFS($D$3:$D$22,$C$3:$C$22,K3,$B$3:$B$22,J3)</f>
        <v>8333.3333333333339</v>
      </c>
    </row>
    <row r="4" spans="1:12" x14ac:dyDescent="0.15">
      <c r="A4" s="3" t="s">
        <v>10</v>
      </c>
      <c r="B4" s="3" t="s">
        <v>11</v>
      </c>
      <c r="C4" s="3" t="s">
        <v>9</v>
      </c>
      <c r="D4">
        <v>8200</v>
      </c>
      <c r="F4" s="4" t="s">
        <v>3</v>
      </c>
      <c r="G4" s="4" t="s">
        <v>12</v>
      </c>
      <c r="H4" s="4" t="s">
        <v>6</v>
      </c>
      <c r="J4" s="8" t="s">
        <v>8</v>
      </c>
      <c r="K4" s="9" t="s">
        <v>13</v>
      </c>
      <c r="L4" s="11">
        <f t="shared" ref="L4:L8" si="0">AVERAGEIFS($D$3:$D$22,$C$3:$C$22,K4,$B$3:$B$22,J4)</f>
        <v>6675</v>
      </c>
    </row>
    <row r="5" spans="1:12" x14ac:dyDescent="0.15">
      <c r="A5" s="3" t="s">
        <v>14</v>
      </c>
      <c r="B5" s="3" t="s">
        <v>11</v>
      </c>
      <c r="C5" s="3" t="s">
        <v>13</v>
      </c>
      <c r="D5">
        <v>7100</v>
      </c>
      <c r="F5" s="4" t="s">
        <v>9</v>
      </c>
      <c r="G5" s="4">
        <f>COUNTIF($C$3:$C$22,F5)</f>
        <v>8</v>
      </c>
      <c r="H5" s="10">
        <f>AVERAGEIF($C$3:$C$22,F5,$D$3:$D$22)</f>
        <v>8337.5</v>
      </c>
      <c r="J5" s="8" t="s">
        <v>8</v>
      </c>
      <c r="K5" s="9" t="s">
        <v>15</v>
      </c>
      <c r="L5" s="11">
        <f t="shared" si="0"/>
        <v>5100</v>
      </c>
    </row>
    <row r="6" spans="1:12" x14ac:dyDescent="0.15">
      <c r="A6" s="3" t="s">
        <v>16</v>
      </c>
      <c r="B6" s="3" t="s">
        <v>11</v>
      </c>
      <c r="C6" s="3" t="s">
        <v>9</v>
      </c>
      <c r="D6">
        <v>8500</v>
      </c>
      <c r="F6" s="4" t="s">
        <v>13</v>
      </c>
      <c r="G6" s="6">
        <f t="shared" ref="G6:G7" si="1">COUNTIF($C$3:$C$22,F6)</f>
        <v>9</v>
      </c>
      <c r="H6" s="10">
        <f t="shared" ref="H6:H7" si="2">AVERAGEIF($C$3:$C$22,F6,$D$3:$D$22)</f>
        <v>6722.2222222222226</v>
      </c>
      <c r="J6" s="8" t="s">
        <v>11</v>
      </c>
      <c r="K6" s="9" t="s">
        <v>9</v>
      </c>
      <c r="L6" s="11">
        <f t="shared" si="0"/>
        <v>8340</v>
      </c>
    </row>
    <row r="7" spans="1:12" x14ac:dyDescent="0.15">
      <c r="A7" s="3" t="s">
        <v>17</v>
      </c>
      <c r="B7" s="3" t="s">
        <v>11</v>
      </c>
      <c r="C7" s="3" t="s">
        <v>13</v>
      </c>
      <c r="D7">
        <v>6500</v>
      </c>
      <c r="F7" s="4" t="s">
        <v>15</v>
      </c>
      <c r="G7" s="6">
        <f t="shared" si="1"/>
        <v>3</v>
      </c>
      <c r="H7" s="10">
        <f t="shared" si="2"/>
        <v>5100</v>
      </c>
      <c r="J7" s="8" t="s">
        <v>11</v>
      </c>
      <c r="K7" s="9" t="s">
        <v>13</v>
      </c>
      <c r="L7" s="11">
        <f t="shared" si="0"/>
        <v>6760</v>
      </c>
    </row>
    <row r="8" spans="1:12" x14ac:dyDescent="0.15">
      <c r="A8" s="3" t="s">
        <v>18</v>
      </c>
      <c r="B8" s="3" t="s">
        <v>8</v>
      </c>
      <c r="C8" s="3" t="s">
        <v>15</v>
      </c>
      <c r="D8">
        <v>5600</v>
      </c>
      <c r="J8" s="8" t="s">
        <v>11</v>
      </c>
      <c r="K8" s="9" t="s">
        <v>15</v>
      </c>
      <c r="L8" s="11">
        <f t="shared" si="0"/>
        <v>5100</v>
      </c>
    </row>
    <row r="9" spans="1:12" x14ac:dyDescent="0.15">
      <c r="A9" s="3" t="s">
        <v>19</v>
      </c>
      <c r="B9" s="3" t="s">
        <v>11</v>
      </c>
      <c r="C9" s="3" t="s">
        <v>13</v>
      </c>
      <c r="D9">
        <v>6700</v>
      </c>
    </row>
    <row r="10" spans="1:12" x14ac:dyDescent="0.15">
      <c r="A10" s="3" t="s">
        <v>20</v>
      </c>
      <c r="B10" s="3" t="s">
        <v>8</v>
      </c>
      <c r="C10" s="3" t="s">
        <v>9</v>
      </c>
      <c r="D10">
        <v>8100</v>
      </c>
    </row>
    <row r="11" spans="1:12" x14ac:dyDescent="0.15">
      <c r="A11" s="3" t="s">
        <v>21</v>
      </c>
      <c r="B11" s="3" t="s">
        <v>8</v>
      </c>
      <c r="C11" s="3" t="s">
        <v>15</v>
      </c>
      <c r="D11">
        <v>4600</v>
      </c>
    </row>
    <row r="12" spans="1:12" x14ac:dyDescent="0.15">
      <c r="A12" s="3" t="s">
        <v>22</v>
      </c>
      <c r="B12" s="3" t="s">
        <v>11</v>
      </c>
      <c r="C12" s="3" t="s">
        <v>9</v>
      </c>
      <c r="D12">
        <v>7800</v>
      </c>
    </row>
    <row r="13" spans="1:12" x14ac:dyDescent="0.15">
      <c r="A13" s="3" t="s">
        <v>23</v>
      </c>
      <c r="B13" s="3" t="s">
        <v>8</v>
      </c>
      <c r="C13" s="3" t="s">
        <v>13</v>
      </c>
      <c r="D13">
        <v>6500</v>
      </c>
    </row>
    <row r="14" spans="1:12" x14ac:dyDescent="0.15">
      <c r="A14" s="3" t="s">
        <v>24</v>
      </c>
      <c r="B14" s="3" t="s">
        <v>11</v>
      </c>
      <c r="C14" s="3" t="s">
        <v>9</v>
      </c>
      <c r="D14">
        <v>8700</v>
      </c>
    </row>
    <row r="15" spans="1:12" x14ac:dyDescent="0.15">
      <c r="A15" s="3" t="s">
        <v>25</v>
      </c>
      <c r="B15" s="3" t="s">
        <v>11</v>
      </c>
      <c r="C15" s="3" t="s">
        <v>13</v>
      </c>
      <c r="D15">
        <v>6300</v>
      </c>
    </row>
    <row r="16" spans="1:12" x14ac:dyDescent="0.15">
      <c r="A16" s="3" t="s">
        <v>26</v>
      </c>
      <c r="B16" s="3" t="s">
        <v>8</v>
      </c>
      <c r="C16" s="3" t="s">
        <v>13</v>
      </c>
      <c r="D16">
        <v>6100</v>
      </c>
    </row>
    <row r="17" spans="1:4" x14ac:dyDescent="0.15">
      <c r="A17" s="3" t="s">
        <v>27</v>
      </c>
      <c r="B17" s="3" t="s">
        <v>8</v>
      </c>
      <c r="C17" s="3" t="s">
        <v>9</v>
      </c>
      <c r="D17">
        <v>8200</v>
      </c>
    </row>
    <row r="18" spans="1:4" x14ac:dyDescent="0.15">
      <c r="A18" s="3" t="s">
        <v>28</v>
      </c>
      <c r="B18" s="3" t="s">
        <v>11</v>
      </c>
      <c r="C18" s="3" t="s">
        <v>9</v>
      </c>
      <c r="D18">
        <v>8500</v>
      </c>
    </row>
    <row r="19" spans="1:4" x14ac:dyDescent="0.15">
      <c r="A19" s="3" t="s">
        <v>29</v>
      </c>
      <c r="B19" s="3" t="s">
        <v>8</v>
      </c>
      <c r="C19" s="3" t="s">
        <v>13</v>
      </c>
      <c r="D19">
        <v>6900</v>
      </c>
    </row>
    <row r="20" spans="1:4" x14ac:dyDescent="0.15">
      <c r="A20" s="3" t="s">
        <v>30</v>
      </c>
      <c r="B20" s="3" t="s">
        <v>11</v>
      </c>
      <c r="C20" s="3" t="s">
        <v>13</v>
      </c>
      <c r="D20">
        <v>7200</v>
      </c>
    </row>
    <row r="21" spans="1:4" x14ac:dyDescent="0.15">
      <c r="A21" s="3" t="s">
        <v>31</v>
      </c>
      <c r="B21" s="3" t="s">
        <v>11</v>
      </c>
      <c r="C21" s="3" t="s">
        <v>15</v>
      </c>
      <c r="D21">
        <v>5100</v>
      </c>
    </row>
    <row r="22" spans="1:4" x14ac:dyDescent="0.15">
      <c r="A22" s="3" t="s">
        <v>32</v>
      </c>
      <c r="B22" s="3" t="s">
        <v>8</v>
      </c>
      <c r="C22" s="3" t="s">
        <v>13</v>
      </c>
      <c r="D22">
        <v>7200</v>
      </c>
    </row>
    <row r="23" spans="1:4" x14ac:dyDescent="0.15">
      <c r="A23" s="15"/>
      <c r="B23" s="15"/>
      <c r="C23" s="15"/>
      <c r="D23" s="5"/>
    </row>
  </sheetData>
  <mergeCells count="2">
    <mergeCell ref="A23:C23"/>
    <mergeCell ref="A1:D1"/>
  </mergeCells>
  <phoneticPr fontId="1" type="noConversion"/>
  <conditionalFormatting sqref="F4:H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pageSetup paperSize="9" orientation="portrait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9"/>
  <sheetViews>
    <sheetView topLeftCell="B1" workbookViewId="0">
      <selection activeCell="H19" sqref="H19"/>
    </sheetView>
  </sheetViews>
  <sheetFormatPr defaultColWidth="9" defaultRowHeight="14.25" x14ac:dyDescent="0.15"/>
  <cols>
    <col min="1" max="1" width="5.25" style="1" customWidth="1"/>
    <col min="2" max="2" width="10.375" style="1" customWidth="1"/>
    <col min="3" max="4" width="9" style="1"/>
    <col min="5" max="5" width="8.875" style="1" customWidth="1"/>
    <col min="6" max="6" width="14.875" style="1" customWidth="1"/>
    <col min="7" max="7" width="11.5" style="1" customWidth="1"/>
    <col min="8" max="8" width="9" style="1"/>
    <col min="9" max="9" width="25.625" style="1" customWidth="1"/>
    <col min="10" max="10" width="10.125" style="1" customWidth="1"/>
    <col min="11" max="12" width="9.625" style="1" customWidth="1"/>
    <col min="13" max="13" width="7.375" style="1" customWidth="1"/>
    <col min="14" max="14" width="9.625" style="1" customWidth="1"/>
    <col min="15" max="15" width="8.5" style="1" customWidth="1"/>
    <col min="16" max="16" width="7.5" style="1" customWidth="1"/>
    <col min="17" max="17" width="7.125" style="1" customWidth="1"/>
    <col min="18" max="20" width="8.5" style="1" customWidth="1"/>
    <col min="21" max="21" width="7.375" style="1" customWidth="1"/>
    <col min="22" max="24" width="8.5" style="1" customWidth="1"/>
    <col min="25" max="25" width="7.375" style="1" customWidth="1"/>
    <col min="26" max="26" width="9.625" style="1" customWidth="1"/>
    <col min="27" max="16384" width="9" style="1"/>
  </cols>
  <sheetData>
    <row r="1" spans="1:26" x14ac:dyDescent="0.15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</row>
    <row r="2" spans="1:26" x14ac:dyDescent="0.15">
      <c r="A2" s="1">
        <v>1</v>
      </c>
      <c r="B2" s="1" t="s">
        <v>40</v>
      </c>
      <c r="C2" s="1" t="s">
        <v>41</v>
      </c>
      <c r="D2" s="1" t="s">
        <v>42</v>
      </c>
      <c r="E2" s="1">
        <v>21</v>
      </c>
      <c r="F2" s="2">
        <v>9.3659999999999997</v>
      </c>
      <c r="G2" s="1">
        <f t="shared" ref="G2:G49" si="0">RANK(F2,$F$2:$F$49)</f>
        <v>30</v>
      </c>
    </row>
    <row r="3" spans="1:26" x14ac:dyDescent="0.15">
      <c r="A3" s="1">
        <v>1</v>
      </c>
      <c r="B3" s="1" t="s">
        <v>43</v>
      </c>
      <c r="C3" s="1" t="s">
        <v>44</v>
      </c>
      <c r="D3" s="1" t="s">
        <v>45</v>
      </c>
      <c r="E3" s="1">
        <v>24</v>
      </c>
      <c r="F3" s="2">
        <v>8.4960000000000004</v>
      </c>
      <c r="G3" s="1">
        <f t="shared" si="0"/>
        <v>32</v>
      </c>
    </row>
    <row r="4" spans="1:26" x14ac:dyDescent="0.15">
      <c r="A4" s="1">
        <v>2</v>
      </c>
      <c r="B4" s="1" t="s">
        <v>46</v>
      </c>
      <c r="C4" s="1" t="s">
        <v>41</v>
      </c>
      <c r="D4" s="1" t="s">
        <v>42</v>
      </c>
      <c r="E4" s="1">
        <v>27</v>
      </c>
      <c r="F4" s="2">
        <v>7.4249999999999998</v>
      </c>
      <c r="G4" s="1">
        <f t="shared" si="0"/>
        <v>34</v>
      </c>
    </row>
    <row r="5" spans="1:26" x14ac:dyDescent="0.15">
      <c r="A5" s="1">
        <v>2</v>
      </c>
      <c r="B5" s="1" t="s">
        <v>47</v>
      </c>
      <c r="C5" s="1" t="s">
        <v>44</v>
      </c>
      <c r="D5" s="1" t="s">
        <v>45</v>
      </c>
      <c r="E5" s="1">
        <v>37</v>
      </c>
      <c r="F5" s="2">
        <v>5.1059999999999999</v>
      </c>
      <c r="G5" s="1">
        <f t="shared" si="0"/>
        <v>37</v>
      </c>
    </row>
    <row r="6" spans="1:26" x14ac:dyDescent="0.15">
      <c r="A6" s="1">
        <v>3</v>
      </c>
      <c r="B6" s="1" t="s">
        <v>48</v>
      </c>
      <c r="C6" s="1" t="s">
        <v>49</v>
      </c>
      <c r="D6" s="1" t="s">
        <v>50</v>
      </c>
      <c r="E6" s="1">
        <v>39</v>
      </c>
      <c r="F6" s="2">
        <v>9.1259999999999994</v>
      </c>
      <c r="G6" s="1">
        <f t="shared" si="0"/>
        <v>31</v>
      </c>
    </row>
    <row r="7" spans="1:26" x14ac:dyDescent="0.15">
      <c r="A7" s="1">
        <v>2</v>
      </c>
      <c r="B7" s="1" t="s">
        <v>40</v>
      </c>
      <c r="C7" s="1" t="s">
        <v>41</v>
      </c>
      <c r="D7" s="1" t="s">
        <v>42</v>
      </c>
      <c r="E7" s="1">
        <v>42</v>
      </c>
      <c r="F7" s="2">
        <v>18.731999999999999</v>
      </c>
      <c r="G7" s="1">
        <f t="shared" si="0"/>
        <v>13</v>
      </c>
    </row>
    <row r="8" spans="1:26" x14ac:dyDescent="0.15">
      <c r="A8" s="1">
        <v>1</v>
      </c>
      <c r="B8" s="1" t="s">
        <v>51</v>
      </c>
      <c r="C8" s="1" t="s">
        <v>49</v>
      </c>
      <c r="D8" s="1" t="s">
        <v>50</v>
      </c>
      <c r="E8" s="1">
        <v>43</v>
      </c>
      <c r="F8" s="2">
        <v>13.803000000000001</v>
      </c>
      <c r="G8" s="1">
        <f t="shared" si="0"/>
        <v>25</v>
      </c>
    </row>
    <row r="9" spans="1:26" x14ac:dyDescent="0.15">
      <c r="A9" s="1">
        <v>3</v>
      </c>
      <c r="B9" s="1" t="s">
        <v>43</v>
      </c>
      <c r="C9" s="1" t="s">
        <v>44</v>
      </c>
      <c r="D9" s="1" t="s">
        <v>45</v>
      </c>
      <c r="E9" s="1">
        <v>45</v>
      </c>
      <c r="F9" s="2">
        <v>15.93</v>
      </c>
      <c r="G9" s="1">
        <f t="shared" si="0"/>
        <v>21</v>
      </c>
    </row>
    <row r="10" spans="1:26" x14ac:dyDescent="0.15">
      <c r="A10" s="1">
        <v>2</v>
      </c>
      <c r="B10" s="1" t="s">
        <v>52</v>
      </c>
      <c r="C10" s="1" t="s">
        <v>49</v>
      </c>
      <c r="D10" s="1" t="s">
        <v>50</v>
      </c>
      <c r="E10" s="1">
        <v>45</v>
      </c>
      <c r="F10" s="2">
        <v>10.53</v>
      </c>
      <c r="G10" s="1">
        <f t="shared" si="0"/>
        <v>29</v>
      </c>
      <c r="I10" s="12" t="s">
        <v>67</v>
      </c>
      <c r="J10" s="12" t="s">
        <v>66</v>
      </c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</row>
    <row r="11" spans="1:26" x14ac:dyDescent="0.15">
      <c r="A11" s="1">
        <v>3</v>
      </c>
      <c r="B11" s="1" t="s">
        <v>46</v>
      </c>
      <c r="C11" s="1" t="s">
        <v>41</v>
      </c>
      <c r="D11" s="1" t="s">
        <v>42</v>
      </c>
      <c r="E11" s="1">
        <v>46</v>
      </c>
      <c r="F11" s="2">
        <v>12.65</v>
      </c>
      <c r="G11" s="1">
        <f t="shared" si="0"/>
        <v>26</v>
      </c>
      <c r="I11" s="12" t="s">
        <v>64</v>
      </c>
      <c r="J11" t="s">
        <v>41</v>
      </c>
      <c r="K11" t="s">
        <v>49</v>
      </c>
      <c r="L11" t="s">
        <v>44</v>
      </c>
      <c r="M11" t="s">
        <v>59</v>
      </c>
      <c r="N11" t="s">
        <v>65</v>
      </c>
      <c r="O11"/>
      <c r="P11"/>
      <c r="Q11"/>
      <c r="R11"/>
      <c r="S11"/>
      <c r="T11"/>
      <c r="U11"/>
      <c r="V11"/>
      <c r="W11"/>
      <c r="X11"/>
      <c r="Y11"/>
      <c r="Z11"/>
    </row>
    <row r="12" spans="1:26" x14ac:dyDescent="0.15">
      <c r="A12" s="1">
        <v>2</v>
      </c>
      <c r="B12" s="1" t="s">
        <v>51</v>
      </c>
      <c r="C12" s="1" t="s">
        <v>49</v>
      </c>
      <c r="D12" s="1" t="s">
        <v>50</v>
      </c>
      <c r="E12" s="1">
        <v>48</v>
      </c>
      <c r="F12" s="2">
        <v>15.407999999999999</v>
      </c>
      <c r="G12" s="1">
        <f t="shared" si="0"/>
        <v>22</v>
      </c>
      <c r="I12" s="13">
        <v>1</v>
      </c>
      <c r="J12" s="14">
        <v>83.747000000000014</v>
      </c>
      <c r="K12" s="14">
        <v>73.371000000000009</v>
      </c>
      <c r="L12" s="14">
        <v>65.176000000000002</v>
      </c>
      <c r="M12" s="14">
        <v>14.939999999999998</v>
      </c>
      <c r="N12" s="14">
        <v>237.23400000000004</v>
      </c>
      <c r="O12"/>
      <c r="P12"/>
      <c r="Q12"/>
      <c r="R12"/>
      <c r="S12"/>
      <c r="T12"/>
      <c r="U12"/>
      <c r="V12"/>
      <c r="W12"/>
      <c r="X12"/>
      <c r="Y12"/>
      <c r="Z12"/>
    </row>
    <row r="13" spans="1:26" x14ac:dyDescent="0.15">
      <c r="A13" s="1">
        <v>3</v>
      </c>
      <c r="B13" s="1" t="s">
        <v>47</v>
      </c>
      <c r="C13" s="1" t="s">
        <v>44</v>
      </c>
      <c r="D13" s="1" t="s">
        <v>45</v>
      </c>
      <c r="E13" s="1">
        <v>53</v>
      </c>
      <c r="F13" s="2">
        <v>7.3140000000000001</v>
      </c>
      <c r="G13" s="1">
        <f t="shared" si="0"/>
        <v>35</v>
      </c>
      <c r="I13" s="13">
        <v>2</v>
      </c>
      <c r="J13" s="14">
        <v>74.115000000000009</v>
      </c>
      <c r="K13" s="14">
        <v>63.296999999999997</v>
      </c>
      <c r="L13" s="14">
        <v>63.101999999999997</v>
      </c>
      <c r="M13" s="14">
        <v>14.79</v>
      </c>
      <c r="N13" s="14">
        <v>215.304</v>
      </c>
      <c r="O13"/>
      <c r="P13"/>
      <c r="Q13"/>
      <c r="R13"/>
      <c r="S13"/>
      <c r="T13"/>
      <c r="U13"/>
      <c r="V13"/>
      <c r="W13"/>
      <c r="X13"/>
      <c r="Y13"/>
      <c r="Z13"/>
    </row>
    <row r="14" spans="1:26" x14ac:dyDescent="0.15">
      <c r="A14" s="1">
        <v>3</v>
      </c>
      <c r="B14" s="1" t="s">
        <v>51</v>
      </c>
      <c r="C14" s="1" t="s">
        <v>49</v>
      </c>
      <c r="D14" s="1" t="s">
        <v>50</v>
      </c>
      <c r="E14" s="1">
        <v>54</v>
      </c>
      <c r="F14" s="2">
        <v>17.334</v>
      </c>
      <c r="G14" s="1">
        <f t="shared" si="0"/>
        <v>20</v>
      </c>
      <c r="I14" s="13">
        <v>3</v>
      </c>
      <c r="J14" s="14">
        <v>94.132000000000005</v>
      </c>
      <c r="K14" s="14">
        <v>62.307000000000002</v>
      </c>
      <c r="L14" s="14">
        <v>65.28</v>
      </c>
      <c r="M14" s="14">
        <v>13.35</v>
      </c>
      <c r="N14" s="14">
        <v>235.06900000000002</v>
      </c>
      <c r="O14"/>
      <c r="P14"/>
      <c r="Q14"/>
      <c r="R14"/>
      <c r="S14"/>
      <c r="T14"/>
      <c r="U14"/>
      <c r="V14"/>
      <c r="W14"/>
      <c r="X14"/>
      <c r="Y14"/>
      <c r="Z14"/>
    </row>
    <row r="15" spans="1:26" x14ac:dyDescent="0.15">
      <c r="A15" s="1">
        <v>1</v>
      </c>
      <c r="B15" s="1" t="s">
        <v>53</v>
      </c>
      <c r="C15" s="1" t="s">
        <v>44</v>
      </c>
      <c r="D15" s="1" t="s">
        <v>45</v>
      </c>
      <c r="E15" s="1">
        <v>54</v>
      </c>
      <c r="F15" s="2">
        <v>19.116</v>
      </c>
      <c r="G15" s="1">
        <f t="shared" si="0"/>
        <v>12</v>
      </c>
      <c r="I15" s="13" t="s">
        <v>65</v>
      </c>
      <c r="J15" s="14">
        <v>251.99400000000003</v>
      </c>
      <c r="K15" s="14">
        <v>198.97500000000002</v>
      </c>
      <c r="L15" s="14">
        <v>193.55799999999999</v>
      </c>
      <c r="M15" s="14">
        <v>43.08</v>
      </c>
      <c r="N15" s="14">
        <v>687.60699999999997</v>
      </c>
      <c r="O15"/>
      <c r="P15"/>
      <c r="Q15"/>
      <c r="R15"/>
      <c r="S15"/>
      <c r="T15"/>
      <c r="U15"/>
      <c r="V15"/>
      <c r="W15"/>
      <c r="X15"/>
      <c r="Y15"/>
      <c r="Z15"/>
    </row>
    <row r="16" spans="1:26" x14ac:dyDescent="0.15">
      <c r="A16" s="1">
        <v>2</v>
      </c>
      <c r="B16" s="1" t="s">
        <v>54</v>
      </c>
      <c r="C16" s="1" t="s">
        <v>41</v>
      </c>
      <c r="D16" s="1" t="s">
        <v>42</v>
      </c>
      <c r="E16" s="1">
        <v>56</v>
      </c>
      <c r="F16" s="2">
        <v>15.4</v>
      </c>
      <c r="G16" s="1">
        <f t="shared" si="0"/>
        <v>23</v>
      </c>
      <c r="I16"/>
      <c r="J16"/>
      <c r="K16"/>
    </row>
    <row r="17" spans="1:11" x14ac:dyDescent="0.15">
      <c r="A17" s="1">
        <v>2</v>
      </c>
      <c r="B17" s="1" t="s">
        <v>55</v>
      </c>
      <c r="C17" s="1" t="s">
        <v>44</v>
      </c>
      <c r="D17" s="1" t="s">
        <v>45</v>
      </c>
      <c r="E17" s="1">
        <v>56</v>
      </c>
      <c r="F17" s="2">
        <v>7.7279999999999998</v>
      </c>
      <c r="G17" s="1">
        <f t="shared" si="0"/>
        <v>33</v>
      </c>
      <c r="I17"/>
      <c r="J17"/>
      <c r="K17"/>
    </row>
    <row r="18" spans="1:11" x14ac:dyDescent="0.15">
      <c r="A18" s="1">
        <v>3</v>
      </c>
      <c r="B18" s="1" t="s">
        <v>56</v>
      </c>
      <c r="C18" s="1" t="s">
        <v>49</v>
      </c>
      <c r="D18" s="1" t="s">
        <v>50</v>
      </c>
      <c r="E18" s="1">
        <v>57</v>
      </c>
      <c r="F18" s="2">
        <v>18.297000000000001</v>
      </c>
      <c r="G18" s="1">
        <f t="shared" si="0"/>
        <v>16</v>
      </c>
      <c r="I18"/>
      <c r="J18"/>
      <c r="K18"/>
    </row>
    <row r="19" spans="1:11" x14ac:dyDescent="0.15">
      <c r="A19" s="1">
        <v>1</v>
      </c>
      <c r="B19" s="1" t="s">
        <v>56</v>
      </c>
      <c r="C19" s="1" t="s">
        <v>49</v>
      </c>
      <c r="D19" s="1" t="s">
        <v>50</v>
      </c>
      <c r="E19" s="1">
        <v>58</v>
      </c>
      <c r="F19" s="2">
        <v>18.617999999999999</v>
      </c>
      <c r="G19" s="1">
        <f t="shared" si="0"/>
        <v>14</v>
      </c>
      <c r="I19"/>
      <c r="J19"/>
      <c r="K19"/>
    </row>
    <row r="20" spans="1:11" x14ac:dyDescent="0.15">
      <c r="A20" s="1">
        <v>2</v>
      </c>
      <c r="B20" s="1" t="s">
        <v>53</v>
      </c>
      <c r="C20" s="1" t="s">
        <v>44</v>
      </c>
      <c r="D20" s="1" t="s">
        <v>45</v>
      </c>
      <c r="E20" s="1">
        <v>63</v>
      </c>
      <c r="F20" s="2">
        <v>22.302</v>
      </c>
      <c r="G20" s="1">
        <f t="shared" si="0"/>
        <v>8</v>
      </c>
      <c r="I20"/>
      <c r="J20"/>
      <c r="K20"/>
    </row>
    <row r="21" spans="1:11" x14ac:dyDescent="0.15">
      <c r="A21" s="1">
        <v>3</v>
      </c>
      <c r="B21" s="1" t="s">
        <v>57</v>
      </c>
      <c r="C21" s="1" t="s">
        <v>41</v>
      </c>
      <c r="D21" s="1" t="s">
        <v>42</v>
      </c>
      <c r="E21" s="1">
        <v>64</v>
      </c>
      <c r="F21" s="2">
        <v>28.544</v>
      </c>
      <c r="G21" s="1">
        <f t="shared" si="0"/>
        <v>5</v>
      </c>
      <c r="I21"/>
      <c r="J21"/>
      <c r="K21"/>
    </row>
    <row r="22" spans="1:11" x14ac:dyDescent="0.15">
      <c r="A22" s="1">
        <v>2</v>
      </c>
      <c r="B22" s="1" t="s">
        <v>48</v>
      </c>
      <c r="C22" s="1" t="s">
        <v>49</v>
      </c>
      <c r="D22" s="1" t="s">
        <v>50</v>
      </c>
      <c r="E22" s="1">
        <v>65</v>
      </c>
      <c r="F22" s="2">
        <v>15.21</v>
      </c>
      <c r="G22" s="1">
        <f t="shared" si="0"/>
        <v>24</v>
      </c>
      <c r="I22"/>
      <c r="J22"/>
      <c r="K22"/>
    </row>
    <row r="23" spans="1:11" x14ac:dyDescent="0.15">
      <c r="A23" s="1">
        <v>3</v>
      </c>
      <c r="B23" s="1" t="s">
        <v>54</v>
      </c>
      <c r="C23" s="1" t="s">
        <v>41</v>
      </c>
      <c r="D23" s="1" t="s">
        <v>42</v>
      </c>
      <c r="E23" s="1">
        <v>66</v>
      </c>
      <c r="F23" s="2">
        <v>18.149999999999999</v>
      </c>
      <c r="G23" s="1">
        <f t="shared" si="0"/>
        <v>17</v>
      </c>
      <c r="I23"/>
      <c r="J23"/>
      <c r="K23"/>
    </row>
    <row r="24" spans="1:11" x14ac:dyDescent="0.15">
      <c r="A24" s="1">
        <v>1</v>
      </c>
      <c r="B24" s="1" t="s">
        <v>54</v>
      </c>
      <c r="C24" s="1" t="s">
        <v>41</v>
      </c>
      <c r="D24" s="1" t="s">
        <v>42</v>
      </c>
      <c r="E24" s="1">
        <v>67</v>
      </c>
      <c r="F24" s="2">
        <v>18.425000000000001</v>
      </c>
      <c r="G24" s="1">
        <f t="shared" si="0"/>
        <v>15</v>
      </c>
      <c r="I24"/>
      <c r="J24"/>
      <c r="K24"/>
    </row>
    <row r="25" spans="1:11" x14ac:dyDescent="0.15">
      <c r="A25" s="1">
        <v>2</v>
      </c>
      <c r="B25" s="1" t="s">
        <v>56</v>
      </c>
      <c r="C25" s="1" t="s">
        <v>49</v>
      </c>
      <c r="D25" s="1" t="s">
        <v>50</v>
      </c>
      <c r="E25" s="1">
        <v>69</v>
      </c>
      <c r="F25" s="2">
        <v>22.149000000000001</v>
      </c>
      <c r="G25" s="1">
        <f t="shared" si="0"/>
        <v>9</v>
      </c>
      <c r="I25"/>
      <c r="J25"/>
      <c r="K25"/>
    </row>
    <row r="26" spans="1:11" x14ac:dyDescent="0.15">
      <c r="A26" s="1">
        <v>2</v>
      </c>
      <c r="B26" s="1" t="s">
        <v>57</v>
      </c>
      <c r="C26" s="1" t="s">
        <v>41</v>
      </c>
      <c r="D26" s="1" t="s">
        <v>42</v>
      </c>
      <c r="E26" s="1">
        <v>73</v>
      </c>
      <c r="F26" s="2">
        <v>32.558</v>
      </c>
      <c r="G26" s="1">
        <f t="shared" si="0"/>
        <v>3</v>
      </c>
      <c r="I26"/>
      <c r="J26"/>
      <c r="K26"/>
    </row>
    <row r="27" spans="1:11" x14ac:dyDescent="0.15">
      <c r="A27" s="1">
        <v>3</v>
      </c>
      <c r="B27" s="1" t="s">
        <v>52</v>
      </c>
      <c r="C27" s="1" t="s">
        <v>49</v>
      </c>
      <c r="D27" s="1" t="s">
        <v>50</v>
      </c>
      <c r="E27" s="1">
        <v>75</v>
      </c>
      <c r="F27" s="2">
        <v>17.55</v>
      </c>
      <c r="G27" s="1">
        <f t="shared" si="0"/>
        <v>19</v>
      </c>
      <c r="I27"/>
      <c r="J27"/>
      <c r="K27"/>
    </row>
    <row r="28" spans="1:11" x14ac:dyDescent="0.15">
      <c r="A28" s="1">
        <v>3</v>
      </c>
      <c r="B28" s="1" t="s">
        <v>40</v>
      </c>
      <c r="C28" s="1" t="s">
        <v>41</v>
      </c>
      <c r="D28" s="1" t="s">
        <v>42</v>
      </c>
      <c r="E28" s="1">
        <v>78</v>
      </c>
      <c r="F28" s="2">
        <v>34.787999999999997</v>
      </c>
      <c r="G28" s="1">
        <f t="shared" si="0"/>
        <v>2</v>
      </c>
    </row>
    <row r="29" spans="1:11" x14ac:dyDescent="0.15">
      <c r="A29" s="1">
        <v>3</v>
      </c>
      <c r="B29" s="1" t="s">
        <v>58</v>
      </c>
      <c r="C29" s="1" t="s">
        <v>59</v>
      </c>
      <c r="D29" s="1" t="s">
        <v>60</v>
      </c>
      <c r="E29" s="1">
        <v>78</v>
      </c>
      <c r="F29" s="2">
        <v>2.34</v>
      </c>
      <c r="G29" s="1">
        <f t="shared" si="0"/>
        <v>48</v>
      </c>
    </row>
    <row r="30" spans="1:11" x14ac:dyDescent="0.15">
      <c r="A30" s="1">
        <v>2</v>
      </c>
      <c r="B30" s="1" t="s">
        <v>43</v>
      </c>
      <c r="C30" s="1" t="s">
        <v>44</v>
      </c>
      <c r="D30" s="1" t="s">
        <v>45</v>
      </c>
      <c r="E30" s="1">
        <v>79</v>
      </c>
      <c r="F30" s="2">
        <v>27.966000000000001</v>
      </c>
      <c r="G30" s="1">
        <f t="shared" si="0"/>
        <v>6</v>
      </c>
    </row>
    <row r="31" spans="1:11" x14ac:dyDescent="0.15">
      <c r="A31" s="1">
        <v>3</v>
      </c>
      <c r="B31" s="1" t="s">
        <v>55</v>
      </c>
      <c r="C31" s="1" t="s">
        <v>44</v>
      </c>
      <c r="D31" s="1" t="s">
        <v>45</v>
      </c>
      <c r="E31" s="1">
        <v>84</v>
      </c>
      <c r="F31" s="2">
        <v>11.592000000000001</v>
      </c>
      <c r="G31" s="1">
        <f t="shared" si="0"/>
        <v>28</v>
      </c>
    </row>
    <row r="32" spans="1:11" x14ac:dyDescent="0.15">
      <c r="A32" s="1">
        <v>1</v>
      </c>
      <c r="B32" s="1" t="s">
        <v>57</v>
      </c>
      <c r="C32" s="1" t="s">
        <v>41</v>
      </c>
      <c r="D32" s="1" t="s">
        <v>42</v>
      </c>
      <c r="E32" s="1">
        <v>86</v>
      </c>
      <c r="F32" s="2">
        <v>38.356000000000002</v>
      </c>
      <c r="G32" s="1">
        <f t="shared" si="0"/>
        <v>1</v>
      </c>
    </row>
    <row r="33" spans="1:7" x14ac:dyDescent="0.15">
      <c r="A33" s="1">
        <v>1</v>
      </c>
      <c r="B33" s="1" t="s">
        <v>48</v>
      </c>
      <c r="C33" s="1" t="s">
        <v>49</v>
      </c>
      <c r="D33" s="1" t="s">
        <v>50</v>
      </c>
      <c r="E33" s="1">
        <v>86</v>
      </c>
      <c r="F33" s="2">
        <v>20.123999999999999</v>
      </c>
      <c r="G33" s="1">
        <f t="shared" si="0"/>
        <v>11</v>
      </c>
    </row>
    <row r="34" spans="1:7" x14ac:dyDescent="0.15">
      <c r="A34" s="1">
        <v>3</v>
      </c>
      <c r="B34" s="1" t="s">
        <v>53</v>
      </c>
      <c r="C34" s="1" t="s">
        <v>44</v>
      </c>
      <c r="D34" s="1" t="s">
        <v>45</v>
      </c>
      <c r="E34" s="1">
        <v>86</v>
      </c>
      <c r="F34" s="2">
        <v>30.443999999999999</v>
      </c>
      <c r="G34" s="1">
        <f t="shared" si="0"/>
        <v>4</v>
      </c>
    </row>
    <row r="35" spans="1:7" x14ac:dyDescent="0.15">
      <c r="A35" s="1">
        <v>3</v>
      </c>
      <c r="B35" s="1" t="s">
        <v>61</v>
      </c>
      <c r="C35" s="1" t="s">
        <v>59</v>
      </c>
      <c r="D35" s="1" t="s">
        <v>60</v>
      </c>
      <c r="E35" s="1">
        <v>88</v>
      </c>
      <c r="F35" s="2">
        <v>2.64</v>
      </c>
      <c r="G35" s="1">
        <f t="shared" si="0"/>
        <v>47</v>
      </c>
    </row>
    <row r="36" spans="1:7" x14ac:dyDescent="0.15">
      <c r="A36" s="1">
        <v>2</v>
      </c>
      <c r="B36" s="1" t="s">
        <v>62</v>
      </c>
      <c r="C36" s="1" t="s">
        <v>59</v>
      </c>
      <c r="D36" s="1" t="s">
        <v>60</v>
      </c>
      <c r="E36" s="1">
        <v>89</v>
      </c>
      <c r="F36" s="2">
        <v>2.67</v>
      </c>
      <c r="G36" s="1">
        <f t="shared" si="0"/>
        <v>45</v>
      </c>
    </row>
    <row r="37" spans="1:7" x14ac:dyDescent="0.15">
      <c r="A37" s="1">
        <v>1</v>
      </c>
      <c r="B37" s="1" t="s">
        <v>61</v>
      </c>
      <c r="C37" s="1" t="s">
        <v>59</v>
      </c>
      <c r="D37" s="1" t="s">
        <v>60</v>
      </c>
      <c r="E37" s="1">
        <v>89</v>
      </c>
      <c r="F37" s="2">
        <v>2.67</v>
      </c>
      <c r="G37" s="1">
        <f t="shared" si="0"/>
        <v>45</v>
      </c>
    </row>
    <row r="38" spans="1:7" x14ac:dyDescent="0.15">
      <c r="A38" s="1">
        <v>1</v>
      </c>
      <c r="B38" s="1" t="s">
        <v>52</v>
      </c>
      <c r="C38" s="1" t="s">
        <v>49</v>
      </c>
      <c r="D38" s="1" t="s">
        <v>50</v>
      </c>
      <c r="E38" s="1">
        <v>89</v>
      </c>
      <c r="F38" s="2">
        <v>20.826000000000001</v>
      </c>
      <c r="G38" s="1">
        <f t="shared" si="0"/>
        <v>10</v>
      </c>
    </row>
    <row r="39" spans="1:7" x14ac:dyDescent="0.15">
      <c r="A39" s="1">
        <v>1</v>
      </c>
      <c r="B39" s="1" t="s">
        <v>55</v>
      </c>
      <c r="C39" s="1" t="s">
        <v>44</v>
      </c>
      <c r="D39" s="1" t="s">
        <v>45</v>
      </c>
      <c r="E39" s="1">
        <v>89</v>
      </c>
      <c r="F39" s="2">
        <v>12.282</v>
      </c>
      <c r="G39" s="1">
        <f t="shared" si="0"/>
        <v>27</v>
      </c>
    </row>
    <row r="40" spans="1:7" x14ac:dyDescent="0.15">
      <c r="A40" s="1">
        <v>2</v>
      </c>
      <c r="B40" s="1" t="s">
        <v>63</v>
      </c>
      <c r="C40" s="1" t="s">
        <v>59</v>
      </c>
      <c r="D40" s="1" t="s">
        <v>60</v>
      </c>
      <c r="E40" s="1">
        <v>97</v>
      </c>
      <c r="F40" s="2">
        <v>2.91</v>
      </c>
      <c r="G40" s="1">
        <f t="shared" si="0"/>
        <v>44</v>
      </c>
    </row>
    <row r="41" spans="1:7" x14ac:dyDescent="0.15">
      <c r="A41" s="1">
        <v>1</v>
      </c>
      <c r="B41" s="1" t="s">
        <v>62</v>
      </c>
      <c r="C41" s="1" t="s">
        <v>59</v>
      </c>
      <c r="D41" s="1" t="s">
        <v>60</v>
      </c>
      <c r="E41" s="1">
        <v>112</v>
      </c>
      <c r="F41" s="2">
        <v>3.36</v>
      </c>
      <c r="G41" s="1">
        <f t="shared" si="0"/>
        <v>42</v>
      </c>
    </row>
    <row r="42" spans="1:7" x14ac:dyDescent="0.15">
      <c r="A42" s="1">
        <v>3</v>
      </c>
      <c r="B42" s="1" t="s">
        <v>62</v>
      </c>
      <c r="C42" s="1" t="s">
        <v>59</v>
      </c>
      <c r="D42" s="1" t="s">
        <v>60</v>
      </c>
      <c r="E42" s="1">
        <v>112</v>
      </c>
      <c r="F42" s="2">
        <v>3.36</v>
      </c>
      <c r="G42" s="1">
        <f t="shared" si="0"/>
        <v>42</v>
      </c>
    </row>
    <row r="43" spans="1:7" x14ac:dyDescent="0.15">
      <c r="A43" s="1">
        <v>2</v>
      </c>
      <c r="B43" s="1" t="s">
        <v>58</v>
      </c>
      <c r="C43" s="1" t="s">
        <v>59</v>
      </c>
      <c r="D43" s="1" t="s">
        <v>60</v>
      </c>
      <c r="E43" s="1">
        <v>131</v>
      </c>
      <c r="F43" s="2">
        <v>3.93</v>
      </c>
      <c r="G43" s="1">
        <f t="shared" si="0"/>
        <v>41</v>
      </c>
    </row>
    <row r="44" spans="1:7" x14ac:dyDescent="0.15">
      <c r="A44" s="1">
        <v>1</v>
      </c>
      <c r="B44" s="1" t="s">
        <v>63</v>
      </c>
      <c r="C44" s="1" t="s">
        <v>59</v>
      </c>
      <c r="D44" s="1" t="s">
        <v>60</v>
      </c>
      <c r="E44" s="1">
        <v>132</v>
      </c>
      <c r="F44" s="2">
        <v>3.96</v>
      </c>
      <c r="G44" s="1">
        <f t="shared" si="0"/>
        <v>40</v>
      </c>
    </row>
    <row r="45" spans="1:7" x14ac:dyDescent="0.15">
      <c r="A45" s="1">
        <v>1</v>
      </c>
      <c r="B45" s="1" t="s">
        <v>47</v>
      </c>
      <c r="C45" s="1" t="s">
        <v>44</v>
      </c>
      <c r="D45" s="1" t="s">
        <v>45</v>
      </c>
      <c r="E45" s="1">
        <v>156</v>
      </c>
      <c r="F45" s="2">
        <v>25.282</v>
      </c>
      <c r="G45" s="1">
        <f t="shared" si="0"/>
        <v>7</v>
      </c>
    </row>
    <row r="46" spans="1:7" x14ac:dyDescent="0.15">
      <c r="A46" s="1">
        <v>1</v>
      </c>
      <c r="B46" s="1" t="s">
        <v>46</v>
      </c>
      <c r="C46" s="1" t="s">
        <v>41</v>
      </c>
      <c r="D46" s="1" t="s">
        <v>42</v>
      </c>
      <c r="E46" s="1">
        <v>164</v>
      </c>
      <c r="F46" s="2">
        <v>17.600000000000001</v>
      </c>
      <c r="G46" s="1">
        <f t="shared" si="0"/>
        <v>18</v>
      </c>
    </row>
    <row r="47" spans="1:7" x14ac:dyDescent="0.15">
      <c r="A47" s="1">
        <v>1</v>
      </c>
      <c r="B47" s="1" t="s">
        <v>58</v>
      </c>
      <c r="C47" s="1" t="s">
        <v>59</v>
      </c>
      <c r="D47" s="1" t="s">
        <v>60</v>
      </c>
      <c r="E47" s="1">
        <v>165</v>
      </c>
      <c r="F47" s="2">
        <v>4.95</v>
      </c>
      <c r="G47" s="1">
        <f t="shared" si="0"/>
        <v>39</v>
      </c>
    </row>
    <row r="48" spans="1:7" x14ac:dyDescent="0.15">
      <c r="A48" s="1">
        <v>3</v>
      </c>
      <c r="B48" s="1" t="s">
        <v>63</v>
      </c>
      <c r="C48" s="1" t="s">
        <v>59</v>
      </c>
      <c r="D48" s="1" t="s">
        <v>60</v>
      </c>
      <c r="E48" s="1">
        <v>167</v>
      </c>
      <c r="F48" s="2">
        <v>5.01</v>
      </c>
      <c r="G48" s="1">
        <f t="shared" si="0"/>
        <v>38</v>
      </c>
    </row>
    <row r="49" spans="1:7" x14ac:dyDescent="0.15">
      <c r="A49" s="1">
        <v>2</v>
      </c>
      <c r="B49" s="1" t="s">
        <v>48</v>
      </c>
      <c r="C49" s="1" t="s">
        <v>59</v>
      </c>
      <c r="D49" s="1" t="s">
        <v>60</v>
      </c>
      <c r="E49" s="1">
        <v>176</v>
      </c>
      <c r="F49" s="2">
        <v>5.28</v>
      </c>
      <c r="G49" s="1">
        <f t="shared" si="0"/>
        <v>36</v>
      </c>
    </row>
  </sheetData>
  <phoneticPr fontId="1" type="noConversion"/>
  <pageMargins left="0.75" right="0.75" top="1" bottom="1" header="0.5" footer="0.5"/>
  <pageSetup paperSize="9" orientation="portrait" r:id="rId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4.25" x14ac:dyDescent="0.1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某单位人员工资统计表</vt:lpstr>
      <vt:lpstr>产品销售情况表</vt:lpstr>
      <vt:lpstr>Sheet3</vt:lpstr>
    </vt:vector>
  </TitlesOfParts>
  <Company>Legend (Beijing)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User</dc:creator>
  <cp:lastModifiedBy>Microsoft</cp:lastModifiedBy>
  <dcterms:created xsi:type="dcterms:W3CDTF">2006-09-04T06:23:00Z</dcterms:created>
  <dcterms:modified xsi:type="dcterms:W3CDTF">2021-04-17T11:20:02Z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2052-11.1.0.9999</vt:lpwstr>
  </property>
</Properties>
</file>