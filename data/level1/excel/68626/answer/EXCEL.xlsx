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165" yWindow="105" windowWidth="24930" windowHeight="12120" activeTab="1"/>
  </bookViews>
  <sheets>
    <sheet name="会员信息表" sheetId="1" r:id="rId1"/>
    <sheet name="销售清单" sheetId="4" r:id="rId2"/>
    <sheet name="按月统计" sheetId="2" r:id="rId3"/>
  </sheets>
  <definedNames>
    <definedName name="_xlnm._FilterDatabase" localSheetId="0" hidden="1">会员信息表!$A$1:$P$108</definedName>
    <definedName name="_xlnm._FilterDatabase" localSheetId="1" hidden="1">销售清单!$A$1:$J$58</definedName>
  </definedNames>
  <calcPr calcId="162913"/>
</workbook>
</file>

<file path=xl/calcChain.xml><?xml version="1.0" encoding="utf-8"?>
<calcChain xmlns="http://schemas.openxmlformats.org/spreadsheetml/2006/main">
  <c r="Q3" i="1" l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2" i="1"/>
  <c r="R2" i="1" s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D67" i="1"/>
  <c r="E67" i="1"/>
  <c r="F67" i="1"/>
  <c r="D68" i="1"/>
  <c r="E68" i="1"/>
  <c r="F68" i="1"/>
  <c r="D69" i="1"/>
  <c r="E69" i="1"/>
  <c r="F69" i="1"/>
  <c r="D70" i="1"/>
  <c r="E70" i="1"/>
  <c r="F70" i="1"/>
  <c r="D71" i="1"/>
  <c r="E71" i="1"/>
  <c r="F71" i="1"/>
  <c r="D72" i="1"/>
  <c r="E72" i="1"/>
  <c r="F72" i="1"/>
  <c r="D73" i="1"/>
  <c r="E73" i="1"/>
  <c r="F73" i="1"/>
  <c r="D74" i="1"/>
  <c r="E74" i="1"/>
  <c r="F74" i="1"/>
  <c r="D75" i="1"/>
  <c r="E75" i="1"/>
  <c r="F75" i="1"/>
  <c r="D76" i="1"/>
  <c r="E76" i="1"/>
  <c r="F76" i="1"/>
  <c r="D77" i="1"/>
  <c r="E77" i="1"/>
  <c r="F77" i="1"/>
  <c r="D78" i="1"/>
  <c r="E78" i="1"/>
  <c r="F78" i="1"/>
  <c r="D79" i="1"/>
  <c r="E79" i="1"/>
  <c r="F79" i="1"/>
  <c r="D80" i="1"/>
  <c r="E80" i="1"/>
  <c r="F80" i="1"/>
  <c r="D81" i="1"/>
  <c r="E81" i="1"/>
  <c r="F81" i="1"/>
  <c r="D82" i="1"/>
  <c r="E82" i="1"/>
  <c r="F82" i="1"/>
  <c r="D83" i="1"/>
  <c r="E83" i="1"/>
  <c r="F83" i="1"/>
  <c r="D84" i="1"/>
  <c r="E84" i="1"/>
  <c r="F84" i="1"/>
  <c r="D85" i="1"/>
  <c r="E85" i="1"/>
  <c r="F85" i="1"/>
  <c r="D86" i="1"/>
  <c r="E86" i="1"/>
  <c r="F86" i="1"/>
  <c r="D87" i="1"/>
  <c r="E87" i="1"/>
  <c r="F87" i="1"/>
  <c r="D88" i="1"/>
  <c r="E88" i="1"/>
  <c r="F88" i="1"/>
  <c r="D89" i="1"/>
  <c r="E89" i="1"/>
  <c r="F89" i="1"/>
  <c r="D90" i="1"/>
  <c r="E90" i="1"/>
  <c r="F90" i="1"/>
  <c r="D91" i="1"/>
  <c r="E91" i="1"/>
  <c r="F91" i="1"/>
  <c r="D92" i="1"/>
  <c r="E92" i="1"/>
  <c r="F92" i="1"/>
  <c r="D93" i="1"/>
  <c r="E93" i="1"/>
  <c r="F93" i="1"/>
  <c r="D94" i="1"/>
  <c r="E94" i="1"/>
  <c r="F94" i="1"/>
  <c r="D95" i="1"/>
  <c r="E95" i="1"/>
  <c r="F95" i="1"/>
  <c r="D96" i="1"/>
  <c r="E96" i="1"/>
  <c r="F96" i="1"/>
  <c r="D97" i="1"/>
  <c r="E97" i="1"/>
  <c r="F97" i="1"/>
  <c r="D98" i="1"/>
  <c r="E98" i="1"/>
  <c r="F98" i="1"/>
  <c r="D99" i="1"/>
  <c r="E99" i="1"/>
  <c r="F99" i="1"/>
  <c r="D100" i="1"/>
  <c r="E100" i="1"/>
  <c r="F100" i="1"/>
  <c r="D101" i="1"/>
  <c r="E101" i="1"/>
  <c r="F101" i="1"/>
  <c r="D102" i="1"/>
  <c r="E102" i="1"/>
  <c r="F102" i="1"/>
  <c r="D103" i="1"/>
  <c r="E103" i="1"/>
  <c r="F103" i="1"/>
  <c r="D104" i="1"/>
  <c r="E104" i="1"/>
  <c r="F104" i="1"/>
  <c r="D105" i="1"/>
  <c r="E105" i="1"/>
  <c r="F105" i="1"/>
  <c r="F2" i="1"/>
  <c r="E2" i="1"/>
  <c r="D2" i="1"/>
  <c r="I12" i="4" l="1"/>
  <c r="G12" i="4"/>
  <c r="I9" i="4"/>
  <c r="G9" i="4"/>
  <c r="I14" i="4"/>
  <c r="G14" i="4"/>
  <c r="I18" i="4"/>
  <c r="G18" i="4"/>
  <c r="I21" i="4"/>
  <c r="G21" i="4"/>
  <c r="I8" i="4"/>
  <c r="G8" i="4"/>
  <c r="I4" i="4"/>
  <c r="G4" i="4"/>
  <c r="I7" i="4"/>
  <c r="G7" i="4"/>
  <c r="I17" i="4"/>
  <c r="G17" i="4"/>
  <c r="I20" i="4"/>
  <c r="G20" i="4"/>
  <c r="I22" i="4"/>
  <c r="G22" i="4"/>
  <c r="I13" i="4"/>
  <c r="G13" i="4"/>
  <c r="I3" i="4"/>
  <c r="G3" i="4"/>
  <c r="I6" i="4"/>
  <c r="G6" i="4"/>
  <c r="I2" i="4"/>
  <c r="G2" i="4"/>
  <c r="I11" i="4"/>
  <c r="G11" i="4"/>
  <c r="I16" i="4"/>
  <c r="G16" i="4"/>
  <c r="I19" i="4"/>
  <c r="G19" i="4"/>
  <c r="I32" i="4"/>
  <c r="G32" i="4"/>
  <c r="I5" i="4"/>
  <c r="G5" i="4"/>
  <c r="I34" i="4"/>
  <c r="G34" i="4"/>
  <c r="I36" i="4"/>
  <c r="G36" i="4"/>
  <c r="I40" i="4"/>
  <c r="G40" i="4"/>
  <c r="I44" i="4"/>
  <c r="G44" i="4"/>
  <c r="I42" i="4"/>
  <c r="G42" i="4"/>
  <c r="I41" i="4"/>
  <c r="G41" i="4"/>
  <c r="I28" i="4"/>
  <c r="G28" i="4"/>
  <c r="I25" i="4"/>
  <c r="G25" i="4"/>
  <c r="I23" i="4"/>
  <c r="G23" i="4"/>
  <c r="I24" i="4"/>
  <c r="G24" i="4"/>
  <c r="I30" i="4"/>
  <c r="G30" i="4"/>
  <c r="I35" i="4"/>
  <c r="G35" i="4"/>
  <c r="I53" i="4"/>
  <c r="G53" i="4"/>
  <c r="I27" i="4"/>
  <c r="G27" i="4"/>
  <c r="I26" i="4"/>
  <c r="G26" i="4"/>
  <c r="I29" i="4"/>
  <c r="G29" i="4"/>
  <c r="I33" i="4"/>
  <c r="G33" i="4"/>
  <c r="I39" i="4"/>
  <c r="G39" i="4"/>
  <c r="I38" i="4"/>
  <c r="G38" i="4"/>
  <c r="I10" i="4"/>
  <c r="G10" i="4"/>
  <c r="I37" i="4"/>
  <c r="G37" i="4"/>
  <c r="I31" i="4"/>
  <c r="G31" i="4"/>
  <c r="I47" i="4"/>
  <c r="G47" i="4"/>
  <c r="I45" i="4"/>
  <c r="G45" i="4"/>
  <c r="I46" i="4"/>
  <c r="G46" i="4"/>
  <c r="I49" i="4"/>
  <c r="G49" i="4"/>
  <c r="I57" i="4"/>
  <c r="G57" i="4"/>
  <c r="I55" i="4"/>
  <c r="G55" i="4"/>
  <c r="I48" i="4"/>
  <c r="G48" i="4"/>
  <c r="I51" i="4"/>
  <c r="G51" i="4"/>
  <c r="I50" i="4"/>
  <c r="G50" i="4"/>
  <c r="I54" i="4"/>
  <c r="G54" i="4"/>
  <c r="I56" i="4"/>
  <c r="G56" i="4"/>
  <c r="I58" i="4"/>
  <c r="G58" i="4"/>
  <c r="I15" i="4"/>
  <c r="G15" i="4"/>
  <c r="I43" i="4"/>
  <c r="G43" i="4"/>
  <c r="I52" i="4"/>
  <c r="G52" i="4"/>
</calcChain>
</file>

<file path=xl/sharedStrings.xml><?xml version="1.0" encoding="utf-8"?>
<sst xmlns="http://schemas.openxmlformats.org/spreadsheetml/2006/main" count="885" uniqueCount="230">
  <si>
    <t>会员编号</t>
    <phoneticPr fontId="4" type="noConversion"/>
  </si>
  <si>
    <t>性别</t>
    <phoneticPr fontId="4" type="noConversion"/>
  </si>
  <si>
    <t>生日</t>
    <phoneticPr fontId="4" type="noConversion"/>
  </si>
  <si>
    <t>婚姻状态</t>
    <phoneticPr fontId="4" type="noConversion"/>
  </si>
  <si>
    <t>职业</t>
    <phoneticPr fontId="4" type="noConversion"/>
  </si>
  <si>
    <t>省份</t>
    <phoneticPr fontId="3" type="noConversion"/>
  </si>
  <si>
    <t>城市</t>
    <phoneticPr fontId="3" type="noConversion"/>
  </si>
  <si>
    <t>入会管道</t>
    <phoneticPr fontId="4" type="noConversion"/>
  </si>
  <si>
    <t>会员入会日</t>
    <phoneticPr fontId="4" type="noConversion"/>
  </si>
  <si>
    <t>VIP建立日</t>
    <phoneticPr fontId="4" type="noConversion"/>
  </si>
  <si>
    <t>购买总金额</t>
    <phoneticPr fontId="4" type="noConversion"/>
  </si>
  <si>
    <t>购买总次数</t>
    <phoneticPr fontId="4" type="noConversion"/>
  </si>
  <si>
    <t>DM081036</t>
    <phoneticPr fontId="4" type="noConversion"/>
  </si>
  <si>
    <t>F</t>
  </si>
  <si>
    <t>技术性人员</t>
    <phoneticPr fontId="4" type="noConversion"/>
  </si>
  <si>
    <t>河北省</t>
  </si>
  <si>
    <t>石家庄</t>
  </si>
  <si>
    <t>信用卡</t>
  </si>
  <si>
    <t>DM081037</t>
  </si>
  <si>
    <t>M</t>
  </si>
  <si>
    <t>服务工作人员</t>
    <phoneticPr fontId="4" type="noConversion"/>
  </si>
  <si>
    <t>河南省</t>
  </si>
  <si>
    <t>郑州</t>
  </si>
  <si>
    <t>自愿</t>
  </si>
  <si>
    <t>DM081038</t>
  </si>
  <si>
    <t>监督及佐理人员</t>
    <phoneticPr fontId="4" type="noConversion"/>
  </si>
  <si>
    <t>广东省</t>
  </si>
  <si>
    <t>汕头</t>
  </si>
  <si>
    <t>广告</t>
  </si>
  <si>
    <t>DM081039</t>
  </si>
  <si>
    <t>行政及主管人员</t>
    <phoneticPr fontId="4" type="noConversion"/>
  </si>
  <si>
    <t>内蒙古</t>
  </si>
  <si>
    <t>呼和浩特</t>
  </si>
  <si>
    <t>DM</t>
  </si>
  <si>
    <t>DM081040</t>
  </si>
  <si>
    <t>服务工作人员</t>
    <phoneticPr fontId="4" type="noConversion"/>
  </si>
  <si>
    <t>DM081041</t>
  </si>
  <si>
    <t>辽宁省</t>
  </si>
  <si>
    <t>沈阳</t>
  </si>
  <si>
    <t>DM</t>
    <phoneticPr fontId="4" type="noConversion"/>
  </si>
  <si>
    <t>DM081042</t>
  </si>
  <si>
    <t>行政及主管人员</t>
    <phoneticPr fontId="4" type="noConversion"/>
  </si>
  <si>
    <t>吉林省</t>
  </si>
  <si>
    <t>长春</t>
  </si>
  <si>
    <t>DM081043</t>
  </si>
  <si>
    <t>家政管理</t>
  </si>
  <si>
    <t>湖北省</t>
  </si>
  <si>
    <t>武汉</t>
  </si>
  <si>
    <t>DM081044</t>
  </si>
  <si>
    <t>其他</t>
  </si>
  <si>
    <t>DM081045</t>
  </si>
  <si>
    <t>服务工作人员</t>
    <phoneticPr fontId="4" type="noConversion"/>
  </si>
  <si>
    <t>广西省</t>
  </si>
  <si>
    <t>南宁</t>
  </si>
  <si>
    <t>DM081046</t>
  </si>
  <si>
    <t>行政及主管人员</t>
    <phoneticPr fontId="4" type="noConversion"/>
  </si>
  <si>
    <t>北京市</t>
  </si>
  <si>
    <t xml:space="preserve">北京 </t>
  </si>
  <si>
    <t>DM081047</t>
  </si>
  <si>
    <t>技术性人员</t>
    <phoneticPr fontId="4" type="noConversion"/>
  </si>
  <si>
    <t>甘肃省</t>
  </si>
  <si>
    <t>兰州</t>
  </si>
  <si>
    <t>DM081048</t>
  </si>
  <si>
    <t>DM081049</t>
  </si>
  <si>
    <t>DM081050</t>
  </si>
  <si>
    <t>DM081051</t>
  </si>
  <si>
    <t>DM081052</t>
  </si>
  <si>
    <t>四川省</t>
  </si>
  <si>
    <t>成都</t>
  </si>
  <si>
    <t>DM081053</t>
  </si>
  <si>
    <t>DM081054</t>
  </si>
  <si>
    <t>海南省</t>
  </si>
  <si>
    <t>海口</t>
  </si>
  <si>
    <t>DM081055</t>
  </si>
  <si>
    <t>福建省</t>
  </si>
  <si>
    <t>福州</t>
  </si>
  <si>
    <t>DM081056</t>
  </si>
  <si>
    <t>天津市</t>
  </si>
  <si>
    <t xml:space="preserve">天津 </t>
  </si>
  <si>
    <t>DM081057</t>
  </si>
  <si>
    <t>运输设备操作工</t>
    <phoneticPr fontId="4" type="noConversion"/>
  </si>
  <si>
    <t>新疆</t>
  </si>
  <si>
    <t>乌鲁木齐</t>
  </si>
  <si>
    <t>DM081058</t>
  </si>
  <si>
    <t>监督及佐理人员</t>
    <phoneticPr fontId="4" type="noConversion"/>
  </si>
  <si>
    <t>DM081059</t>
  </si>
  <si>
    <t>DM081060</t>
  </si>
  <si>
    <t>DM081061</t>
  </si>
  <si>
    <t>DM081062</t>
  </si>
  <si>
    <t>DM081063</t>
  </si>
  <si>
    <t>山西省</t>
  </si>
  <si>
    <t>太原</t>
  </si>
  <si>
    <t>DM081064</t>
  </si>
  <si>
    <t>DM081065</t>
  </si>
  <si>
    <t>DM081066</t>
  </si>
  <si>
    <t>DM081067</t>
  </si>
  <si>
    <t>DM081068</t>
  </si>
  <si>
    <t>DM081069</t>
  </si>
  <si>
    <t>DM081070</t>
  </si>
  <si>
    <t>上海市</t>
  </si>
  <si>
    <t>上海</t>
  </si>
  <si>
    <t>DM081071</t>
  </si>
  <si>
    <t>浙江省</t>
  </si>
  <si>
    <t>杭州</t>
  </si>
  <si>
    <t>DM081072</t>
  </si>
  <si>
    <t>安徽省</t>
  </si>
  <si>
    <t>合肥</t>
  </si>
  <si>
    <t>DM081073</t>
  </si>
  <si>
    <t>江西省</t>
  </si>
  <si>
    <t>南昌</t>
  </si>
  <si>
    <t>DM081074</t>
  </si>
  <si>
    <t>DM081075</t>
  </si>
  <si>
    <t>DM081076</t>
  </si>
  <si>
    <t>DM081077</t>
  </si>
  <si>
    <t>DM081078</t>
  </si>
  <si>
    <t>DM081079</t>
  </si>
  <si>
    <t>DM081080</t>
  </si>
  <si>
    <t>DM081081</t>
  </si>
  <si>
    <t>DM081082</t>
  </si>
  <si>
    <t>DM081083</t>
  </si>
  <si>
    <t>生产及有关工人</t>
    <phoneticPr fontId="4" type="noConversion"/>
  </si>
  <si>
    <t>DM081084</t>
  </si>
  <si>
    <t>DM081085</t>
  </si>
  <si>
    <t>DM081086</t>
  </si>
  <si>
    <t>陕西省</t>
  </si>
  <si>
    <t>西安</t>
  </si>
  <si>
    <t>DM081087</t>
  </si>
  <si>
    <t>DM081088</t>
  </si>
  <si>
    <t>DM081089</t>
  </si>
  <si>
    <t>DM081090</t>
  </si>
  <si>
    <t>DM081091</t>
  </si>
  <si>
    <t>DM081092</t>
  </si>
  <si>
    <t>DM081093</t>
  </si>
  <si>
    <t>DM081094</t>
  </si>
  <si>
    <t>DM081095</t>
  </si>
  <si>
    <t>DM081096</t>
  </si>
  <si>
    <t>DM081097</t>
  </si>
  <si>
    <t>农林渔牧工作人员</t>
    <phoneticPr fontId="4" type="noConversion"/>
  </si>
  <si>
    <t>黑龙江</t>
  </si>
  <si>
    <t>哈尔滨</t>
  </si>
  <si>
    <t>DM081098</t>
  </si>
  <si>
    <t>DM081099</t>
  </si>
  <si>
    <t>DM081100</t>
  </si>
  <si>
    <t>DM081101</t>
  </si>
  <si>
    <t>DM081102</t>
  </si>
  <si>
    <t>DM081103</t>
  </si>
  <si>
    <t>DM081104</t>
  </si>
  <si>
    <t>DM081105</t>
  </si>
  <si>
    <t>DM081106</t>
  </si>
  <si>
    <t>DM081107</t>
  </si>
  <si>
    <t>DM081108</t>
  </si>
  <si>
    <t>DM081109</t>
  </si>
  <si>
    <t>湖南省</t>
  </si>
  <si>
    <t>长沙</t>
  </si>
  <si>
    <t>DM081110</t>
  </si>
  <si>
    <t>DM081111</t>
  </si>
  <si>
    <t>DM081112</t>
  </si>
  <si>
    <t>DM081113</t>
  </si>
  <si>
    <t>DM081114</t>
  </si>
  <si>
    <t>DM081115</t>
  </si>
  <si>
    <t>DM081116</t>
  </si>
  <si>
    <t>DM081117</t>
  </si>
  <si>
    <t>DM081118</t>
  </si>
  <si>
    <t>DM081119</t>
  </si>
  <si>
    <t>DM081120</t>
  </si>
  <si>
    <t>DM081121</t>
  </si>
  <si>
    <t>西藏</t>
  </si>
  <si>
    <t>拉萨</t>
  </si>
  <si>
    <t>DM081122</t>
  </si>
  <si>
    <t>DM081123</t>
  </si>
  <si>
    <t>DM081124</t>
  </si>
  <si>
    <t>DM081125</t>
  </si>
  <si>
    <t>DM081126</t>
  </si>
  <si>
    <t>DM081127</t>
  </si>
  <si>
    <t>DM081128</t>
  </si>
  <si>
    <t>DM081129</t>
  </si>
  <si>
    <t>DM081130</t>
  </si>
  <si>
    <t>DM081131</t>
  </si>
  <si>
    <t>DM081132</t>
  </si>
  <si>
    <t>DM081133</t>
  </si>
  <si>
    <t>DM081134</t>
  </si>
  <si>
    <t>DM081135</t>
  </si>
  <si>
    <t>DM081136</t>
  </si>
  <si>
    <t>DM081137</t>
  </si>
  <si>
    <t>DM081138</t>
  </si>
  <si>
    <t>宁夏</t>
  </si>
  <si>
    <t>银川</t>
  </si>
  <si>
    <t>DM081139</t>
  </si>
  <si>
    <t>年龄</t>
  </si>
  <si>
    <t>日期</t>
    <phoneticPr fontId="7" type="noConversion"/>
  </si>
  <si>
    <t>类别</t>
    <phoneticPr fontId="7" type="noConversion"/>
  </si>
  <si>
    <t>商品型号</t>
    <phoneticPr fontId="7" type="noConversion"/>
  </si>
  <si>
    <t>市场定价</t>
    <phoneticPr fontId="7" type="noConversion"/>
  </si>
  <si>
    <t>促销方式</t>
    <phoneticPr fontId="7" type="noConversion"/>
  </si>
  <si>
    <t>成交单价</t>
    <phoneticPr fontId="7" type="noConversion"/>
  </si>
  <si>
    <t>降价幅度</t>
    <phoneticPr fontId="7" type="noConversion"/>
  </si>
  <si>
    <t>数量</t>
    <phoneticPr fontId="7" type="noConversion"/>
  </si>
  <si>
    <t>销售额</t>
    <phoneticPr fontId="7" type="noConversion"/>
  </si>
  <si>
    <t>销售员</t>
    <phoneticPr fontId="7" type="noConversion"/>
  </si>
  <si>
    <t>冰箱</t>
    <phoneticPr fontId="7" type="noConversion"/>
  </si>
  <si>
    <t>海尔T1017</t>
    <phoneticPr fontId="7" type="noConversion"/>
  </si>
  <si>
    <t>降价</t>
    <phoneticPr fontId="7" type="noConversion"/>
  </si>
  <si>
    <t>A1</t>
  </si>
  <si>
    <t>彩电</t>
    <phoneticPr fontId="7" type="noConversion"/>
  </si>
  <si>
    <t>三星液晶169</t>
    <phoneticPr fontId="7" type="noConversion"/>
  </si>
  <si>
    <t>空调</t>
    <phoneticPr fontId="7" type="noConversion"/>
  </si>
  <si>
    <t>美的3110</t>
    <phoneticPr fontId="7" type="noConversion"/>
  </si>
  <si>
    <t>西门子610</t>
    <phoneticPr fontId="7" type="noConversion"/>
  </si>
  <si>
    <t>A2</t>
  </si>
  <si>
    <t>三星A108</t>
    <phoneticPr fontId="7" type="noConversion"/>
  </si>
  <si>
    <t>A3</t>
  </si>
  <si>
    <t>格力7650</t>
    <phoneticPr fontId="7" type="noConversion"/>
  </si>
  <si>
    <t>送大礼包</t>
    <phoneticPr fontId="7" type="noConversion"/>
  </si>
  <si>
    <t>长虹GDP60</t>
    <phoneticPr fontId="7" type="noConversion"/>
  </si>
  <si>
    <t>A4</t>
  </si>
  <si>
    <t>A5</t>
  </si>
  <si>
    <t>A6</t>
  </si>
  <si>
    <t>海尔KTP20P</t>
    <phoneticPr fontId="7" type="noConversion"/>
  </si>
  <si>
    <t>A7</t>
  </si>
  <si>
    <t>A8</t>
  </si>
  <si>
    <t>平均购买金额</t>
  </si>
  <si>
    <t>月份</t>
    <phoneticPr fontId="3" type="noConversion"/>
  </si>
  <si>
    <t>A级人数</t>
    <phoneticPr fontId="3" type="noConversion"/>
  </si>
  <si>
    <t>B级人数</t>
    <phoneticPr fontId="3" type="noConversion"/>
  </si>
  <si>
    <t>C级人数</t>
    <phoneticPr fontId="3" type="noConversion"/>
  </si>
  <si>
    <t>D级人数</t>
    <phoneticPr fontId="3" type="noConversion"/>
  </si>
  <si>
    <t>出生年</t>
    <phoneticPr fontId="3" type="noConversion"/>
  </si>
  <si>
    <t>出生月</t>
    <phoneticPr fontId="3" type="noConversion"/>
  </si>
  <si>
    <t>出生日</t>
    <phoneticPr fontId="3" type="noConversion"/>
  </si>
  <si>
    <t>客户等级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</si>
</sst>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¥&quot;#,##0.00;&quot;¥&quot;\-#,##0.00"/>
    <numFmt numFmtId="176" formatCode="yyyy/m/d;@"/>
    <numFmt numFmtId="177" formatCode="0_);[Red]\(0\)"/>
  </numFmts>
  <fonts count="1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2"/>
      <charset val="136"/>
      <scheme val="minor"/>
    </font>
    <font>
      <sz val="9"/>
      <name val="宋体"/>
      <family val="2"/>
      <charset val="134"/>
      <scheme val="minor"/>
    </font>
    <font>
      <sz val="9"/>
      <name val="宋体"/>
      <family val="2"/>
      <charset val="136"/>
      <scheme val="minor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6" fillId="0" borderId="0"/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1">
      <alignment vertical="center"/>
    </xf>
    <xf numFmtId="176" fontId="2" fillId="0" borderId="0" xfId="1" applyNumberFormat="1" applyAlignment="1">
      <alignment horizontal="left" vertical="center"/>
    </xf>
    <xf numFmtId="176" fontId="2" fillId="0" borderId="0" xfId="1" applyNumberFormat="1">
      <alignment vertical="center"/>
    </xf>
    <xf numFmtId="0" fontId="2" fillId="0" borderId="0" xfId="1" quotePrefix="1" applyNumberFormat="1" applyFill="1" applyAlignment="1">
      <alignment horizontal="center"/>
    </xf>
    <xf numFmtId="0" fontId="2" fillId="0" borderId="0" xfId="1" quotePrefix="1" applyNumberFormat="1" applyFill="1" applyAlignment="1">
      <alignment horizontal="center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7" fontId="10" fillId="2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7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77" fontId="2" fillId="0" borderId="0" xfId="1" applyNumberFormat="1" applyAlignment="1">
      <alignment horizontal="left" vertical="center"/>
    </xf>
    <xf numFmtId="0" fontId="2" fillId="0" borderId="1" xfId="1" applyBorder="1" applyAlignment="1">
      <alignment horizontal="center" vertical="center"/>
    </xf>
    <xf numFmtId="176" fontId="2" fillId="0" borderId="1" xfId="1" applyNumberFormat="1" applyBorder="1" applyAlignment="1">
      <alignment horizontal="center" vertical="center"/>
    </xf>
    <xf numFmtId="177" fontId="2" fillId="0" borderId="1" xfId="1" applyNumberForma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/>
    </xf>
    <xf numFmtId="0" fontId="2" fillId="0" borderId="1" xfId="1" applyNumberFormat="1" applyBorder="1" applyAlignment="1">
      <alignment horizontal="center" vertical="center"/>
    </xf>
    <xf numFmtId="0" fontId="2" fillId="0" borderId="1" xfId="1" quotePrefix="1" applyNumberFormat="1" applyFill="1" applyBorder="1" applyAlignment="1">
      <alignment horizontal="center"/>
    </xf>
    <xf numFmtId="7" fontId="2" fillId="0" borderId="1" xfId="1" applyNumberFormat="1" applyBorder="1" applyAlignment="1">
      <alignment horizontal="center" vertical="center"/>
    </xf>
    <xf numFmtId="0" fontId="2" fillId="0" borderId="1" xfId="1" quotePrefix="1" applyNumberFormat="1" applyFill="1" applyBorder="1" applyAlignment="1">
      <alignment horizontal="center" vertical="center"/>
    </xf>
  </cellXfs>
  <cellStyles count="5">
    <cellStyle name="?鹎%U龡&amp;H?_x0008__x001c__x001c_?_x0007__x0001__x0001_" xfId="2"/>
    <cellStyle name="常规" xfId="0" builtinId="0"/>
    <cellStyle name="常规 2" xfId="1"/>
    <cellStyle name="常规 2 2" xfId="3"/>
    <cellStyle name="常规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 i="0" u="none" strike="noStrike" baseline="0" smtClean="0"/>
              <a:t>人数统计图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按月统计!$E$2</c:f>
              <c:strCache>
                <c:ptCount val="1"/>
                <c:pt idx="0">
                  <c:v>B级人数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按月统计!$E$3:$E$14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E-4228-8570-B87767DD1CDB}"/>
            </c:ext>
          </c:extLst>
        </c:ser>
        <c:ser>
          <c:idx val="1"/>
          <c:order val="1"/>
          <c:tx>
            <c:strRef>
              <c:f>按月统计!$F$2</c:f>
              <c:strCache>
                <c:ptCount val="1"/>
                <c:pt idx="0">
                  <c:v>C级人数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按月统计!$F$3:$F$14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5E-4228-8570-B87767DD1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39456"/>
        <c:axId val="488339784"/>
      </c:lineChart>
      <c:catAx>
        <c:axId val="488339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8339784"/>
        <c:crosses val="autoZero"/>
        <c:auto val="1"/>
        <c:lblAlgn val="ctr"/>
        <c:lblOffset val="100"/>
        <c:noMultiLvlLbl val="0"/>
      </c:catAx>
      <c:valAx>
        <c:axId val="488339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人数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8339456"/>
        <c:crosses val="autoZero"/>
        <c:crossBetween val="between"/>
      </c:valAx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681037</xdr:colOff>
      <xdr:row>1</xdr:row>
      <xdr:rowOff>14287</xdr:rowOff>
    </xdr:from>
    <xdr:to>
      <xdr:col>18</xdr:col>
      <xdr:colOff>676275</xdr:colOff>
      <xdr:row>16</xdr:row>
      <xdr:rowOff>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85"/>
  <sheetViews>
    <sheetView workbookViewId="0">
      <selection activeCell="H10" sqref="H10"/>
    </sheetView>
  </sheetViews>
  <sheetFormatPr defaultColWidth="12.625" defaultRowHeight="14.25" x14ac:dyDescent="0.15"/>
  <cols>
    <col min="1" max="2" width="12.625" style="1"/>
    <col min="3" max="3" width="12.625" style="2"/>
    <col min="4" max="6" width="12.625" style="15"/>
    <col min="7" max="7" width="12.625" style="2"/>
    <col min="8" max="8" width="12.625" style="1"/>
    <col min="9" max="9" width="18.625" style="1" customWidth="1"/>
    <col min="10" max="12" width="12.625" style="1"/>
    <col min="13" max="14" width="12.625" style="3"/>
    <col min="15" max="16384" width="12.625" style="1"/>
  </cols>
  <sheetData>
    <row r="1" spans="1:18" x14ac:dyDescent="0.15">
      <c r="A1" s="16" t="s">
        <v>0</v>
      </c>
      <c r="B1" s="16" t="s">
        <v>1</v>
      </c>
      <c r="C1" s="17" t="s">
        <v>2</v>
      </c>
      <c r="D1" s="18" t="s">
        <v>226</v>
      </c>
      <c r="E1" s="18" t="s">
        <v>227</v>
      </c>
      <c r="F1" s="18" t="s">
        <v>228</v>
      </c>
      <c r="G1" s="17" t="s">
        <v>188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7" t="s">
        <v>8</v>
      </c>
      <c r="N1" s="17" t="s">
        <v>9</v>
      </c>
      <c r="O1" s="16" t="s">
        <v>10</v>
      </c>
      <c r="P1" s="16" t="s">
        <v>11</v>
      </c>
      <c r="Q1" s="16" t="s">
        <v>220</v>
      </c>
      <c r="R1" s="16" t="s">
        <v>229</v>
      </c>
    </row>
    <row r="2" spans="1:18" x14ac:dyDescent="0.15">
      <c r="A2" s="16" t="s">
        <v>12</v>
      </c>
      <c r="B2" s="16" t="s">
        <v>13</v>
      </c>
      <c r="C2" s="19">
        <v>20566</v>
      </c>
      <c r="D2" s="18">
        <f>YEAR(C2)</f>
        <v>1956</v>
      </c>
      <c r="E2" s="18">
        <f>MONTH(C2)</f>
        <v>4</v>
      </c>
      <c r="F2" s="18">
        <f>DAY(C2)</f>
        <v>21</v>
      </c>
      <c r="G2" s="20">
        <v>63</v>
      </c>
      <c r="H2" s="16">
        <v>2</v>
      </c>
      <c r="I2" s="16" t="s">
        <v>14</v>
      </c>
      <c r="J2" s="16" t="s">
        <v>15</v>
      </c>
      <c r="K2" s="16" t="s">
        <v>16</v>
      </c>
      <c r="L2" s="20" t="s">
        <v>17</v>
      </c>
      <c r="M2" s="19">
        <v>42041</v>
      </c>
      <c r="N2" s="19">
        <v>42391</v>
      </c>
      <c r="O2" s="16">
        <v>1761.4</v>
      </c>
      <c r="P2" s="21">
        <v>24</v>
      </c>
      <c r="Q2" s="22">
        <f>O2/P2</f>
        <v>73.391666666666666</v>
      </c>
      <c r="R2" s="16" t="str">
        <f>IF(Q2&gt;1500,"A",IF(Q2&gt;800,"B",IF(Q2&gt;300,"C","D")))</f>
        <v>D</v>
      </c>
    </row>
    <row r="3" spans="1:18" x14ac:dyDescent="0.15">
      <c r="A3" s="16" t="s">
        <v>18</v>
      </c>
      <c r="B3" s="16" t="s">
        <v>19</v>
      </c>
      <c r="C3" s="19">
        <v>34828</v>
      </c>
      <c r="D3" s="18">
        <f>YEAR(C3)</f>
        <v>1995</v>
      </c>
      <c r="E3" s="18">
        <f>MONTH(C3)</f>
        <v>5</v>
      </c>
      <c r="F3" s="18">
        <f>DAY(C3)</f>
        <v>9</v>
      </c>
      <c r="G3" s="20">
        <v>24</v>
      </c>
      <c r="H3" s="16">
        <v>2</v>
      </c>
      <c r="I3" s="16" t="s">
        <v>20</v>
      </c>
      <c r="J3" s="16" t="s">
        <v>21</v>
      </c>
      <c r="K3" s="16" t="s">
        <v>22</v>
      </c>
      <c r="L3" s="20" t="s">
        <v>23</v>
      </c>
      <c r="M3" s="19">
        <v>41912</v>
      </c>
      <c r="N3" s="19">
        <v>42505</v>
      </c>
      <c r="O3" s="16">
        <v>11160.2335</v>
      </c>
      <c r="P3" s="21">
        <v>23</v>
      </c>
      <c r="Q3" s="22">
        <f>O3/P3</f>
        <v>485.22754347826088</v>
      </c>
      <c r="R3" s="16" t="str">
        <f>IF(Q3&gt;1500,"A",IF(Q3&gt;800,"B",IF(Q3&gt;300,"C","D")))</f>
        <v>C</v>
      </c>
    </row>
    <row r="4" spans="1:18" x14ac:dyDescent="0.15">
      <c r="A4" s="16" t="s">
        <v>24</v>
      </c>
      <c r="B4" s="16" t="s">
        <v>13</v>
      </c>
      <c r="C4" s="19">
        <v>18018</v>
      </c>
      <c r="D4" s="18">
        <f>YEAR(C4)</f>
        <v>1949</v>
      </c>
      <c r="E4" s="18">
        <f>MONTH(C4)</f>
        <v>4</v>
      </c>
      <c r="F4" s="18">
        <f>DAY(C4)</f>
        <v>30</v>
      </c>
      <c r="G4" s="20">
        <v>70</v>
      </c>
      <c r="H4" s="16">
        <v>2</v>
      </c>
      <c r="I4" s="16" t="s">
        <v>25</v>
      </c>
      <c r="J4" s="16" t="s">
        <v>26</v>
      </c>
      <c r="K4" s="16" t="s">
        <v>27</v>
      </c>
      <c r="L4" s="20" t="s">
        <v>28</v>
      </c>
      <c r="M4" s="19">
        <v>42163</v>
      </c>
      <c r="N4" s="19">
        <v>42390</v>
      </c>
      <c r="O4" s="16">
        <v>21140.560000000001</v>
      </c>
      <c r="P4" s="21">
        <v>45</v>
      </c>
      <c r="Q4" s="22">
        <f>O4/P4</f>
        <v>469.79022222222227</v>
      </c>
      <c r="R4" s="16" t="str">
        <f>IF(Q4&gt;1500,"A",IF(Q4&gt;800,"B",IF(Q4&gt;300,"C","D")))</f>
        <v>C</v>
      </c>
    </row>
    <row r="5" spans="1:18" x14ac:dyDescent="0.15">
      <c r="A5" s="16" t="s">
        <v>29</v>
      </c>
      <c r="B5" s="16" t="s">
        <v>13</v>
      </c>
      <c r="C5" s="19">
        <v>23294</v>
      </c>
      <c r="D5" s="18">
        <f>YEAR(C5)</f>
        <v>1963</v>
      </c>
      <c r="E5" s="18">
        <f>MONTH(C5)</f>
        <v>10</v>
      </c>
      <c r="F5" s="18">
        <f>DAY(C5)</f>
        <v>10</v>
      </c>
      <c r="G5" s="20">
        <v>56</v>
      </c>
      <c r="H5" s="16">
        <v>2</v>
      </c>
      <c r="I5" s="16" t="s">
        <v>30</v>
      </c>
      <c r="J5" s="16" t="s">
        <v>31</v>
      </c>
      <c r="K5" s="16" t="s">
        <v>32</v>
      </c>
      <c r="L5" s="16" t="s">
        <v>33</v>
      </c>
      <c r="M5" s="19">
        <v>42005</v>
      </c>
      <c r="N5" s="19">
        <v>42232</v>
      </c>
      <c r="O5" s="16">
        <v>288.56</v>
      </c>
      <c r="P5" s="21">
        <v>30</v>
      </c>
      <c r="Q5" s="22">
        <f>O5/P5</f>
        <v>9.618666666666666</v>
      </c>
      <c r="R5" s="16" t="str">
        <f>IF(Q5&gt;1500,"A",IF(Q5&gt;800,"B",IF(Q5&gt;300,"C","D")))</f>
        <v>D</v>
      </c>
    </row>
    <row r="6" spans="1:18" x14ac:dyDescent="0.15">
      <c r="A6" s="16" t="s">
        <v>34</v>
      </c>
      <c r="B6" s="16" t="s">
        <v>19</v>
      </c>
      <c r="C6" s="19">
        <v>33731</v>
      </c>
      <c r="D6" s="18">
        <f>YEAR(C6)</f>
        <v>1992</v>
      </c>
      <c r="E6" s="18">
        <f>MONTH(C6)</f>
        <v>5</v>
      </c>
      <c r="F6" s="18">
        <f>DAY(C6)</f>
        <v>7</v>
      </c>
      <c r="G6" s="20">
        <v>27</v>
      </c>
      <c r="H6" s="16">
        <v>2</v>
      </c>
      <c r="I6" s="16" t="s">
        <v>35</v>
      </c>
      <c r="J6" s="16" t="s">
        <v>31</v>
      </c>
      <c r="K6" s="16" t="s">
        <v>32</v>
      </c>
      <c r="L6" s="20" t="s">
        <v>28</v>
      </c>
      <c r="M6" s="19">
        <v>42061</v>
      </c>
      <c r="N6" s="19">
        <v>42288</v>
      </c>
      <c r="O6" s="16">
        <v>1892.848</v>
      </c>
      <c r="P6" s="21">
        <v>14</v>
      </c>
      <c r="Q6" s="22">
        <f>O6/P6</f>
        <v>135.20342857142856</v>
      </c>
      <c r="R6" s="16" t="str">
        <f>IF(Q6&gt;1500,"A",IF(Q6&gt;800,"B",IF(Q6&gt;300,"C","D")))</f>
        <v>D</v>
      </c>
    </row>
    <row r="7" spans="1:18" x14ac:dyDescent="0.15">
      <c r="A7" s="16" t="s">
        <v>36</v>
      </c>
      <c r="B7" s="16" t="s">
        <v>13</v>
      </c>
      <c r="C7" s="19">
        <v>23584</v>
      </c>
      <c r="D7" s="18">
        <f>YEAR(C7)</f>
        <v>1964</v>
      </c>
      <c r="E7" s="18">
        <f>MONTH(C7)</f>
        <v>7</v>
      </c>
      <c r="F7" s="18">
        <f>DAY(C7)</f>
        <v>26</v>
      </c>
      <c r="G7" s="20">
        <v>55</v>
      </c>
      <c r="H7" s="16">
        <v>2</v>
      </c>
      <c r="I7" s="16" t="s">
        <v>35</v>
      </c>
      <c r="J7" s="16" t="s">
        <v>37</v>
      </c>
      <c r="K7" s="16" t="s">
        <v>38</v>
      </c>
      <c r="L7" s="16" t="s">
        <v>39</v>
      </c>
      <c r="M7" s="19">
        <v>42212</v>
      </c>
      <c r="N7" s="19">
        <v>42319</v>
      </c>
      <c r="O7" s="16">
        <v>2484.7455</v>
      </c>
      <c r="P7" s="21">
        <v>46</v>
      </c>
      <c r="Q7" s="22">
        <f>O7/P7</f>
        <v>54.016206521739129</v>
      </c>
      <c r="R7" s="16" t="str">
        <f>IF(Q7&gt;1500,"A",IF(Q7&gt;800,"B",IF(Q7&gt;300,"C","D")))</f>
        <v>D</v>
      </c>
    </row>
    <row r="8" spans="1:18" x14ac:dyDescent="0.15">
      <c r="A8" s="16" t="s">
        <v>40</v>
      </c>
      <c r="B8" s="16" t="s">
        <v>13</v>
      </c>
      <c r="C8" s="19">
        <v>29126</v>
      </c>
      <c r="D8" s="18">
        <f>YEAR(C8)</f>
        <v>1979</v>
      </c>
      <c r="E8" s="18">
        <f>MONTH(C8)</f>
        <v>9</v>
      </c>
      <c r="F8" s="18">
        <f>DAY(C8)</f>
        <v>28</v>
      </c>
      <c r="G8" s="20">
        <v>40</v>
      </c>
      <c r="H8" s="16">
        <v>2</v>
      </c>
      <c r="I8" s="16" t="s">
        <v>41</v>
      </c>
      <c r="J8" s="16" t="s">
        <v>42</v>
      </c>
      <c r="K8" s="16" t="s">
        <v>43</v>
      </c>
      <c r="L8" s="20" t="s">
        <v>28</v>
      </c>
      <c r="M8" s="19">
        <v>41713</v>
      </c>
      <c r="N8" s="19">
        <v>42437</v>
      </c>
      <c r="O8" s="16">
        <v>3812.73</v>
      </c>
      <c r="P8" s="21">
        <v>32</v>
      </c>
      <c r="Q8" s="22">
        <f>O8/P8</f>
        <v>119.1478125</v>
      </c>
      <c r="R8" s="16" t="str">
        <f>IF(Q8&gt;1500,"A",IF(Q8&gt;800,"B",IF(Q8&gt;300,"C","D")))</f>
        <v>D</v>
      </c>
    </row>
    <row r="9" spans="1:18" x14ac:dyDescent="0.15">
      <c r="A9" s="16" t="s">
        <v>44</v>
      </c>
      <c r="B9" s="16" t="s">
        <v>19</v>
      </c>
      <c r="C9" s="19">
        <v>20187</v>
      </c>
      <c r="D9" s="18">
        <f>YEAR(C9)</f>
        <v>1955</v>
      </c>
      <c r="E9" s="18">
        <f>MONTH(C9)</f>
        <v>4</v>
      </c>
      <c r="F9" s="18">
        <f>DAY(C9)</f>
        <v>8</v>
      </c>
      <c r="G9" s="20">
        <v>64</v>
      </c>
      <c r="H9" s="16">
        <v>2</v>
      </c>
      <c r="I9" s="16" t="s">
        <v>45</v>
      </c>
      <c r="J9" s="16" t="s">
        <v>46</v>
      </c>
      <c r="K9" s="16" t="s">
        <v>47</v>
      </c>
      <c r="L9" s="20" t="s">
        <v>23</v>
      </c>
      <c r="M9" s="19">
        <v>41603</v>
      </c>
      <c r="N9" s="19">
        <v>41946</v>
      </c>
      <c r="O9" s="16">
        <v>984108.15</v>
      </c>
      <c r="P9" s="21">
        <v>141</v>
      </c>
      <c r="Q9" s="22">
        <f>O9/P9</f>
        <v>6979.4904255319152</v>
      </c>
      <c r="R9" s="16" t="str">
        <f>IF(Q9&gt;1500,"A",IF(Q9&gt;800,"B",IF(Q9&gt;300,"C","D")))</f>
        <v>A</v>
      </c>
    </row>
    <row r="10" spans="1:18" x14ac:dyDescent="0.15">
      <c r="A10" s="16" t="s">
        <v>48</v>
      </c>
      <c r="B10" s="16" t="s">
        <v>13</v>
      </c>
      <c r="C10" s="19">
        <v>35116</v>
      </c>
      <c r="D10" s="18">
        <f>YEAR(C10)</f>
        <v>1996</v>
      </c>
      <c r="E10" s="18">
        <f>MONTH(C10)</f>
        <v>2</v>
      </c>
      <c r="F10" s="18">
        <f>DAY(C10)</f>
        <v>21</v>
      </c>
      <c r="G10" s="20">
        <v>23</v>
      </c>
      <c r="H10" s="16">
        <v>2</v>
      </c>
      <c r="I10" s="16" t="s">
        <v>49</v>
      </c>
      <c r="J10" s="16" t="s">
        <v>21</v>
      </c>
      <c r="K10" s="16" t="s">
        <v>22</v>
      </c>
      <c r="L10" s="16" t="s">
        <v>33</v>
      </c>
      <c r="M10" s="19">
        <v>42106</v>
      </c>
      <c r="N10" s="19">
        <v>42457</v>
      </c>
      <c r="O10" s="16">
        <v>1186.06</v>
      </c>
      <c r="P10" s="21">
        <v>42</v>
      </c>
      <c r="Q10" s="22">
        <f>O10/P10</f>
        <v>28.23952380952381</v>
      </c>
      <c r="R10" s="16" t="str">
        <f>IF(Q10&gt;1500,"A",IF(Q10&gt;800,"B",IF(Q10&gt;300,"C","D")))</f>
        <v>D</v>
      </c>
    </row>
    <row r="11" spans="1:18" x14ac:dyDescent="0.15">
      <c r="A11" s="16" t="s">
        <v>50</v>
      </c>
      <c r="B11" s="16" t="s">
        <v>19</v>
      </c>
      <c r="C11" s="19">
        <v>22717</v>
      </c>
      <c r="D11" s="18">
        <f>YEAR(C11)</f>
        <v>1962</v>
      </c>
      <c r="E11" s="18">
        <f>MONTH(C11)</f>
        <v>3</v>
      </c>
      <c r="F11" s="18">
        <f>DAY(C11)</f>
        <v>12</v>
      </c>
      <c r="G11" s="20">
        <v>57</v>
      </c>
      <c r="H11" s="16">
        <v>2</v>
      </c>
      <c r="I11" s="16" t="s">
        <v>51</v>
      </c>
      <c r="J11" s="16" t="s">
        <v>52</v>
      </c>
      <c r="K11" s="16" t="s">
        <v>53</v>
      </c>
      <c r="L11" s="20" t="s">
        <v>23</v>
      </c>
      <c r="M11" s="19">
        <v>41548</v>
      </c>
      <c r="N11" s="19">
        <v>41890</v>
      </c>
      <c r="O11" s="16">
        <v>4651.53</v>
      </c>
      <c r="P11" s="21">
        <v>28</v>
      </c>
      <c r="Q11" s="22">
        <f>O11/P11</f>
        <v>166.12607142857141</v>
      </c>
      <c r="R11" s="16" t="str">
        <f>IF(Q11&gt;1500,"A",IF(Q11&gt;800,"B",IF(Q11&gt;300,"C","D")))</f>
        <v>D</v>
      </c>
    </row>
    <row r="12" spans="1:18" x14ac:dyDescent="0.15">
      <c r="A12" s="16" t="s">
        <v>54</v>
      </c>
      <c r="B12" s="16" t="s">
        <v>13</v>
      </c>
      <c r="C12" s="19">
        <v>27768</v>
      </c>
      <c r="D12" s="18">
        <f>YEAR(C12)</f>
        <v>1976</v>
      </c>
      <c r="E12" s="18">
        <f>MONTH(C12)</f>
        <v>1</v>
      </c>
      <c r="F12" s="18">
        <f>DAY(C12)</f>
        <v>9</v>
      </c>
      <c r="G12" s="20">
        <v>43</v>
      </c>
      <c r="H12" s="16">
        <v>2</v>
      </c>
      <c r="I12" s="16" t="s">
        <v>55</v>
      </c>
      <c r="J12" s="16" t="s">
        <v>56</v>
      </c>
      <c r="K12" s="16" t="s">
        <v>57</v>
      </c>
      <c r="L12" s="16" t="s">
        <v>33</v>
      </c>
      <c r="M12" s="19">
        <v>42108</v>
      </c>
      <c r="N12" s="19">
        <v>42335</v>
      </c>
      <c r="O12" s="16">
        <v>4590.05</v>
      </c>
      <c r="P12" s="21">
        <v>48</v>
      </c>
      <c r="Q12" s="22">
        <f>O12/P12</f>
        <v>95.626041666666666</v>
      </c>
      <c r="R12" s="16" t="str">
        <f>IF(Q12&gt;1500,"A",IF(Q12&gt;800,"B",IF(Q12&gt;300,"C","D")))</f>
        <v>D</v>
      </c>
    </row>
    <row r="13" spans="1:18" x14ac:dyDescent="0.15">
      <c r="A13" s="16" t="s">
        <v>58</v>
      </c>
      <c r="B13" s="16" t="s">
        <v>13</v>
      </c>
      <c r="C13" s="19">
        <v>15355</v>
      </c>
      <c r="D13" s="18">
        <f>YEAR(C13)</f>
        <v>1942</v>
      </c>
      <c r="E13" s="18">
        <f>MONTH(C13)</f>
        <v>1</v>
      </c>
      <c r="F13" s="18">
        <f>DAY(C13)</f>
        <v>14</v>
      </c>
      <c r="G13" s="20">
        <v>77</v>
      </c>
      <c r="H13" s="16">
        <v>2</v>
      </c>
      <c r="I13" s="16" t="s">
        <v>59</v>
      </c>
      <c r="J13" s="16" t="s">
        <v>60</v>
      </c>
      <c r="K13" s="16" t="s">
        <v>61</v>
      </c>
      <c r="L13" s="20" t="s">
        <v>23</v>
      </c>
      <c r="M13" s="19">
        <v>42046</v>
      </c>
      <c r="N13" s="19">
        <v>42334</v>
      </c>
      <c r="O13" s="16">
        <v>804.53</v>
      </c>
      <c r="P13" s="21">
        <v>26</v>
      </c>
      <c r="Q13" s="22">
        <f>O13/P13</f>
        <v>30.943461538461538</v>
      </c>
      <c r="R13" s="16" t="str">
        <f>IF(Q13&gt;1500,"A",IF(Q13&gt;800,"B",IF(Q13&gt;300,"C","D")))</f>
        <v>D</v>
      </c>
    </row>
    <row r="14" spans="1:18" x14ac:dyDescent="0.15">
      <c r="A14" s="16" t="s">
        <v>62</v>
      </c>
      <c r="B14" s="16" t="s">
        <v>13</v>
      </c>
      <c r="C14" s="19">
        <v>30103</v>
      </c>
      <c r="D14" s="18">
        <f>YEAR(C14)</f>
        <v>1982</v>
      </c>
      <c r="E14" s="18">
        <f>MONTH(C14)</f>
        <v>6</v>
      </c>
      <c r="F14" s="18">
        <f>DAY(C14)</f>
        <v>1</v>
      </c>
      <c r="G14" s="20">
        <v>37</v>
      </c>
      <c r="H14" s="16">
        <v>2</v>
      </c>
      <c r="I14" s="16" t="s">
        <v>51</v>
      </c>
      <c r="J14" s="16" t="s">
        <v>26</v>
      </c>
      <c r="K14" s="16" t="s">
        <v>27</v>
      </c>
      <c r="L14" s="16" t="s">
        <v>33</v>
      </c>
      <c r="M14" s="19">
        <v>41583</v>
      </c>
      <c r="N14" s="19">
        <v>42281</v>
      </c>
      <c r="O14" s="16">
        <v>34158.35</v>
      </c>
      <c r="P14" s="21">
        <v>35</v>
      </c>
      <c r="Q14" s="22">
        <f>O14/P14</f>
        <v>975.95285714285706</v>
      </c>
      <c r="R14" s="16" t="str">
        <f>IF(Q14&gt;1500,"A",IF(Q14&gt;800,"B",IF(Q14&gt;300,"C","D")))</f>
        <v>B</v>
      </c>
    </row>
    <row r="15" spans="1:18" x14ac:dyDescent="0.15">
      <c r="A15" s="16" t="s">
        <v>63</v>
      </c>
      <c r="B15" s="16" t="s">
        <v>13</v>
      </c>
      <c r="C15" s="19">
        <v>34131</v>
      </c>
      <c r="D15" s="18">
        <f>YEAR(C15)</f>
        <v>1993</v>
      </c>
      <c r="E15" s="18">
        <f>MONTH(C15)</f>
        <v>6</v>
      </c>
      <c r="F15" s="18">
        <f>DAY(C15)</f>
        <v>11</v>
      </c>
      <c r="G15" s="20">
        <v>26</v>
      </c>
      <c r="H15" s="16">
        <v>2</v>
      </c>
      <c r="I15" s="16" t="s">
        <v>51</v>
      </c>
      <c r="J15" s="16" t="s">
        <v>26</v>
      </c>
      <c r="K15" s="16" t="s">
        <v>27</v>
      </c>
      <c r="L15" s="20" t="s">
        <v>23</v>
      </c>
      <c r="M15" s="19">
        <v>41494</v>
      </c>
      <c r="N15" s="19">
        <v>41950</v>
      </c>
      <c r="O15" s="16">
        <v>3475.57</v>
      </c>
      <c r="P15" s="21">
        <v>26</v>
      </c>
      <c r="Q15" s="22">
        <f>O15/P15</f>
        <v>133.67576923076925</v>
      </c>
      <c r="R15" s="16" t="str">
        <f>IF(Q15&gt;1500,"A",IF(Q15&gt;800,"B",IF(Q15&gt;300,"C","D")))</f>
        <v>D</v>
      </c>
    </row>
    <row r="16" spans="1:18" x14ac:dyDescent="0.15">
      <c r="A16" s="16" t="s">
        <v>64</v>
      </c>
      <c r="B16" s="16" t="s">
        <v>13</v>
      </c>
      <c r="C16" s="19">
        <v>29153</v>
      </c>
      <c r="D16" s="18">
        <f>YEAR(C16)</f>
        <v>1979</v>
      </c>
      <c r="E16" s="18">
        <f>MONTH(C16)</f>
        <v>10</v>
      </c>
      <c r="F16" s="18">
        <f>DAY(C16)</f>
        <v>25</v>
      </c>
      <c r="G16" s="20">
        <v>39</v>
      </c>
      <c r="H16" s="16">
        <v>2</v>
      </c>
      <c r="I16" s="16" t="s">
        <v>55</v>
      </c>
      <c r="J16" s="16" t="s">
        <v>56</v>
      </c>
      <c r="K16" s="16" t="s">
        <v>57</v>
      </c>
      <c r="L16" s="20" t="s">
        <v>23</v>
      </c>
      <c r="M16" s="19">
        <v>41443</v>
      </c>
      <c r="N16" s="19">
        <v>42204</v>
      </c>
      <c r="O16" s="16">
        <v>3432.72</v>
      </c>
      <c r="P16" s="21">
        <v>45</v>
      </c>
      <c r="Q16" s="22">
        <f>O16/P16</f>
        <v>76.282666666666657</v>
      </c>
      <c r="R16" s="16" t="str">
        <f>IF(Q16&gt;1500,"A",IF(Q16&gt;800,"B",IF(Q16&gt;300,"C","D")))</f>
        <v>D</v>
      </c>
    </row>
    <row r="17" spans="1:18" x14ac:dyDescent="0.15">
      <c r="A17" s="16" t="s">
        <v>65</v>
      </c>
      <c r="B17" s="16" t="s">
        <v>19</v>
      </c>
      <c r="C17" s="19">
        <v>34794</v>
      </c>
      <c r="D17" s="18">
        <f>YEAR(C17)</f>
        <v>1995</v>
      </c>
      <c r="E17" s="18">
        <f>MONTH(C17)</f>
        <v>4</v>
      </c>
      <c r="F17" s="18">
        <f>DAY(C17)</f>
        <v>5</v>
      </c>
      <c r="G17" s="20">
        <v>24</v>
      </c>
      <c r="H17" s="16">
        <v>2</v>
      </c>
      <c r="I17" s="16" t="s">
        <v>51</v>
      </c>
      <c r="J17" s="16" t="s">
        <v>56</v>
      </c>
      <c r="K17" s="16" t="s">
        <v>57</v>
      </c>
      <c r="L17" s="16" t="s">
        <v>33</v>
      </c>
      <c r="M17" s="19">
        <v>41370</v>
      </c>
      <c r="N17" s="19">
        <v>41826</v>
      </c>
      <c r="O17" s="16">
        <v>461.89</v>
      </c>
      <c r="P17" s="21">
        <v>33</v>
      </c>
      <c r="Q17" s="22">
        <f>O17/P17</f>
        <v>13.996666666666666</v>
      </c>
      <c r="R17" s="16" t="str">
        <f>IF(Q17&gt;1500,"A",IF(Q17&gt;800,"B",IF(Q17&gt;300,"C","D")))</f>
        <v>D</v>
      </c>
    </row>
    <row r="18" spans="1:18" x14ac:dyDescent="0.15">
      <c r="A18" s="16" t="s">
        <v>66</v>
      </c>
      <c r="B18" s="16" t="s">
        <v>13</v>
      </c>
      <c r="C18" s="19">
        <v>29352</v>
      </c>
      <c r="D18" s="18">
        <f>YEAR(C18)</f>
        <v>1980</v>
      </c>
      <c r="E18" s="18">
        <f>MONTH(C18)</f>
        <v>5</v>
      </c>
      <c r="F18" s="18">
        <f>DAY(C18)</f>
        <v>11</v>
      </c>
      <c r="G18" s="20">
        <v>39</v>
      </c>
      <c r="H18" s="16">
        <v>1</v>
      </c>
      <c r="I18" s="16" t="s">
        <v>55</v>
      </c>
      <c r="J18" s="16" t="s">
        <v>67</v>
      </c>
      <c r="K18" s="16" t="s">
        <v>68</v>
      </c>
      <c r="L18" s="20" t="s">
        <v>23</v>
      </c>
      <c r="M18" s="19">
        <v>41405</v>
      </c>
      <c r="N18" s="19">
        <v>41862</v>
      </c>
      <c r="O18" s="16">
        <v>575.11</v>
      </c>
      <c r="P18" s="21">
        <v>29</v>
      </c>
      <c r="Q18" s="22">
        <f>O18/P18</f>
        <v>19.831379310344829</v>
      </c>
      <c r="R18" s="16" t="str">
        <f>IF(Q18&gt;1500,"A",IF(Q18&gt;800,"B",IF(Q18&gt;300,"C","D")))</f>
        <v>D</v>
      </c>
    </row>
    <row r="19" spans="1:18" x14ac:dyDescent="0.15">
      <c r="A19" s="16" t="s">
        <v>69</v>
      </c>
      <c r="B19" s="16" t="s">
        <v>13</v>
      </c>
      <c r="C19" s="19">
        <v>16192</v>
      </c>
      <c r="D19" s="18">
        <f>YEAR(C19)</f>
        <v>1944</v>
      </c>
      <c r="E19" s="18">
        <f>MONTH(C19)</f>
        <v>4</v>
      </c>
      <c r="F19" s="18">
        <f>DAY(C19)</f>
        <v>30</v>
      </c>
      <c r="G19" s="20">
        <v>75</v>
      </c>
      <c r="H19" s="16">
        <v>1</v>
      </c>
      <c r="I19" s="16" t="s">
        <v>55</v>
      </c>
      <c r="J19" s="16" t="s">
        <v>52</v>
      </c>
      <c r="K19" s="16" t="s">
        <v>53</v>
      </c>
      <c r="L19" s="16" t="s">
        <v>33</v>
      </c>
      <c r="M19" s="19">
        <v>41440</v>
      </c>
      <c r="N19" s="19">
        <v>41898</v>
      </c>
      <c r="O19" s="16">
        <v>236.46</v>
      </c>
      <c r="P19" s="21">
        <v>23</v>
      </c>
      <c r="Q19" s="22">
        <f>O19/P19</f>
        <v>10.280869565217392</v>
      </c>
      <c r="R19" s="16" t="str">
        <f>IF(Q19&gt;1500,"A",IF(Q19&gt;800,"B",IF(Q19&gt;300,"C","D")))</f>
        <v>D</v>
      </c>
    </row>
    <row r="20" spans="1:18" x14ac:dyDescent="0.15">
      <c r="A20" s="16" t="s">
        <v>70</v>
      </c>
      <c r="B20" s="16" t="s">
        <v>13</v>
      </c>
      <c r="C20" s="19">
        <v>29746</v>
      </c>
      <c r="D20" s="18">
        <f>YEAR(C20)</f>
        <v>1981</v>
      </c>
      <c r="E20" s="18">
        <f>MONTH(C20)</f>
        <v>6</v>
      </c>
      <c r="F20" s="18">
        <f>DAY(C20)</f>
        <v>9</v>
      </c>
      <c r="G20" s="20">
        <v>38</v>
      </c>
      <c r="H20" s="16">
        <v>2</v>
      </c>
      <c r="I20" s="16" t="s">
        <v>51</v>
      </c>
      <c r="J20" s="16" t="s">
        <v>71</v>
      </c>
      <c r="K20" s="16" t="s">
        <v>72</v>
      </c>
      <c r="L20" s="20" t="s">
        <v>23</v>
      </c>
      <c r="M20" s="19">
        <v>41520</v>
      </c>
      <c r="N20" s="19">
        <v>42646</v>
      </c>
      <c r="O20" s="16">
        <v>34192.839999999997</v>
      </c>
      <c r="P20" s="21">
        <v>27</v>
      </c>
      <c r="Q20" s="22">
        <f>O20/P20</f>
        <v>1266.4014814814814</v>
      </c>
      <c r="R20" s="16" t="str">
        <f>IF(Q20&gt;1500,"A",IF(Q20&gt;800,"B",IF(Q20&gt;300,"C","D")))</f>
        <v>B</v>
      </c>
    </row>
    <row r="21" spans="1:18" x14ac:dyDescent="0.15">
      <c r="A21" s="16" t="s">
        <v>73</v>
      </c>
      <c r="B21" s="16" t="s">
        <v>19</v>
      </c>
      <c r="C21" s="19">
        <v>32551</v>
      </c>
      <c r="D21" s="18">
        <f>YEAR(C21)</f>
        <v>1989</v>
      </c>
      <c r="E21" s="18">
        <f>MONTH(C21)</f>
        <v>2</v>
      </c>
      <c r="F21" s="18">
        <f>DAY(C21)</f>
        <v>12</v>
      </c>
      <c r="G21" s="20">
        <v>30</v>
      </c>
      <c r="H21" s="16">
        <v>3</v>
      </c>
      <c r="I21" s="16" t="s">
        <v>51</v>
      </c>
      <c r="J21" s="16" t="s">
        <v>74</v>
      </c>
      <c r="K21" s="16" t="s">
        <v>75</v>
      </c>
      <c r="L21" s="20" t="s">
        <v>23</v>
      </c>
      <c r="M21" s="19">
        <v>41597</v>
      </c>
      <c r="N21" s="19">
        <v>42052</v>
      </c>
      <c r="O21" s="16">
        <v>43411.65</v>
      </c>
      <c r="P21" s="21">
        <v>81</v>
      </c>
      <c r="Q21" s="22">
        <f>O21/P21</f>
        <v>535.94629629629628</v>
      </c>
      <c r="R21" s="16" t="str">
        <f>IF(Q21&gt;1500,"A",IF(Q21&gt;800,"B",IF(Q21&gt;300,"C","D")))</f>
        <v>C</v>
      </c>
    </row>
    <row r="22" spans="1:18" x14ac:dyDescent="0.15">
      <c r="A22" s="16" t="s">
        <v>76</v>
      </c>
      <c r="B22" s="16" t="s">
        <v>19</v>
      </c>
      <c r="C22" s="19">
        <v>32413</v>
      </c>
      <c r="D22" s="18">
        <f>YEAR(C22)</f>
        <v>1988</v>
      </c>
      <c r="E22" s="18">
        <f>MONTH(C22)</f>
        <v>9</v>
      </c>
      <c r="F22" s="18">
        <f>DAY(C22)</f>
        <v>27</v>
      </c>
      <c r="G22" s="20">
        <v>31</v>
      </c>
      <c r="H22" s="16">
        <v>2</v>
      </c>
      <c r="I22" s="16" t="s">
        <v>51</v>
      </c>
      <c r="J22" s="16" t="s">
        <v>77</v>
      </c>
      <c r="K22" s="16" t="s">
        <v>78</v>
      </c>
      <c r="L22" s="16" t="s">
        <v>33</v>
      </c>
      <c r="M22" s="19">
        <v>41550</v>
      </c>
      <c r="N22" s="19">
        <v>42006</v>
      </c>
      <c r="O22" s="16">
        <v>1132.5999999999999</v>
      </c>
      <c r="P22" s="21">
        <v>11</v>
      </c>
      <c r="Q22" s="22">
        <f>O22/P22</f>
        <v>102.96363636363635</v>
      </c>
      <c r="R22" s="16" t="str">
        <f>IF(Q22&gt;1500,"A",IF(Q22&gt;800,"B",IF(Q22&gt;300,"C","D")))</f>
        <v>D</v>
      </c>
    </row>
    <row r="23" spans="1:18" x14ac:dyDescent="0.15">
      <c r="A23" s="16" t="s">
        <v>79</v>
      </c>
      <c r="B23" s="16" t="s">
        <v>19</v>
      </c>
      <c r="C23" s="19">
        <v>16391</v>
      </c>
      <c r="D23" s="18">
        <f>YEAR(C23)</f>
        <v>1944</v>
      </c>
      <c r="E23" s="18">
        <f>MONTH(C23)</f>
        <v>11</v>
      </c>
      <c r="F23" s="18">
        <f>DAY(C23)</f>
        <v>15</v>
      </c>
      <c r="G23" s="20">
        <v>74</v>
      </c>
      <c r="H23" s="16">
        <v>2</v>
      </c>
      <c r="I23" s="16" t="s">
        <v>80</v>
      </c>
      <c r="J23" s="16" t="s">
        <v>81</v>
      </c>
      <c r="K23" s="16" t="s">
        <v>82</v>
      </c>
      <c r="L23" s="20" t="s">
        <v>28</v>
      </c>
      <c r="M23" s="19">
        <v>41697</v>
      </c>
      <c r="N23" s="19">
        <v>42153</v>
      </c>
      <c r="O23" s="16">
        <v>11125.85</v>
      </c>
      <c r="P23" s="21">
        <v>25</v>
      </c>
      <c r="Q23" s="22">
        <f>O23/P23</f>
        <v>445.03399999999999</v>
      </c>
      <c r="R23" s="16" t="str">
        <f>IF(Q23&gt;1500,"A",IF(Q23&gt;800,"B",IF(Q23&gt;300,"C","D")))</f>
        <v>C</v>
      </c>
    </row>
    <row r="24" spans="1:18" x14ac:dyDescent="0.15">
      <c r="A24" s="16" t="s">
        <v>83</v>
      </c>
      <c r="B24" s="16" t="s">
        <v>19</v>
      </c>
      <c r="C24" s="19">
        <v>33904</v>
      </c>
      <c r="D24" s="18">
        <f>YEAR(C24)</f>
        <v>1992</v>
      </c>
      <c r="E24" s="18">
        <f>MONTH(C24)</f>
        <v>10</v>
      </c>
      <c r="F24" s="18">
        <f>DAY(C24)</f>
        <v>27</v>
      </c>
      <c r="G24" s="20">
        <v>26</v>
      </c>
      <c r="H24" s="16">
        <v>3</v>
      </c>
      <c r="I24" s="16" t="s">
        <v>84</v>
      </c>
      <c r="J24" s="16" t="s">
        <v>81</v>
      </c>
      <c r="K24" s="16" t="s">
        <v>82</v>
      </c>
      <c r="L24" s="16" t="s">
        <v>33</v>
      </c>
      <c r="M24" s="19">
        <v>41667</v>
      </c>
      <c r="N24" s="19">
        <v>42122</v>
      </c>
      <c r="O24" s="16">
        <v>567.93599999999992</v>
      </c>
      <c r="P24" s="21">
        <v>10</v>
      </c>
      <c r="Q24" s="22">
        <f>O24/P24</f>
        <v>56.793599999999991</v>
      </c>
      <c r="R24" s="16" t="str">
        <f>IF(Q24&gt;1500,"A",IF(Q24&gt;800,"B",IF(Q24&gt;300,"C","D")))</f>
        <v>D</v>
      </c>
    </row>
    <row r="25" spans="1:18" x14ac:dyDescent="0.15">
      <c r="A25" s="16" t="s">
        <v>85</v>
      </c>
      <c r="B25" s="16" t="s">
        <v>19</v>
      </c>
      <c r="C25" s="19">
        <v>25760</v>
      </c>
      <c r="D25" s="18">
        <f>YEAR(C25)</f>
        <v>1970</v>
      </c>
      <c r="E25" s="18">
        <f>MONTH(C25)</f>
        <v>7</v>
      </c>
      <c r="F25" s="18">
        <f>DAY(C25)</f>
        <v>11</v>
      </c>
      <c r="G25" s="20">
        <v>49</v>
      </c>
      <c r="H25" s="16">
        <v>3</v>
      </c>
      <c r="I25" s="16" t="s">
        <v>84</v>
      </c>
      <c r="J25" s="16" t="s">
        <v>21</v>
      </c>
      <c r="K25" s="16" t="s">
        <v>22</v>
      </c>
      <c r="L25" s="16" t="s">
        <v>33</v>
      </c>
      <c r="M25" s="19">
        <v>41574</v>
      </c>
      <c r="N25" s="19">
        <v>42029</v>
      </c>
      <c r="O25" s="16">
        <v>54174.89</v>
      </c>
      <c r="P25" s="21">
        <v>74</v>
      </c>
      <c r="Q25" s="22">
        <f>O25/P25</f>
        <v>732.09310810810814</v>
      </c>
      <c r="R25" s="16" t="str">
        <f>IF(Q25&gt;1500,"A",IF(Q25&gt;800,"B",IF(Q25&gt;300,"C","D")))</f>
        <v>C</v>
      </c>
    </row>
    <row r="26" spans="1:18" x14ac:dyDescent="0.15">
      <c r="A26" s="16" t="s">
        <v>86</v>
      </c>
      <c r="B26" s="16" t="s">
        <v>19</v>
      </c>
      <c r="C26" s="19">
        <v>26369</v>
      </c>
      <c r="D26" s="18">
        <f>YEAR(C26)</f>
        <v>1972</v>
      </c>
      <c r="E26" s="18">
        <f>MONTH(C26)</f>
        <v>3</v>
      </c>
      <c r="F26" s="18">
        <f>DAY(C26)</f>
        <v>11</v>
      </c>
      <c r="G26" s="20">
        <v>47</v>
      </c>
      <c r="H26" s="16">
        <v>2</v>
      </c>
      <c r="I26" s="16" t="s">
        <v>51</v>
      </c>
      <c r="J26" s="16" t="s">
        <v>26</v>
      </c>
      <c r="K26" s="16" t="s">
        <v>27</v>
      </c>
      <c r="L26" s="16" t="s">
        <v>33</v>
      </c>
      <c r="M26" s="19">
        <v>41464</v>
      </c>
      <c r="N26" s="19">
        <v>41921</v>
      </c>
      <c r="O26" s="16">
        <v>329.03</v>
      </c>
      <c r="P26" s="21">
        <v>49</v>
      </c>
      <c r="Q26" s="22">
        <f>O26/P26</f>
        <v>6.7148979591836726</v>
      </c>
      <c r="R26" s="16" t="str">
        <f>IF(Q26&gt;1500,"A",IF(Q26&gt;800,"B",IF(Q26&gt;300,"C","D")))</f>
        <v>D</v>
      </c>
    </row>
    <row r="27" spans="1:18" x14ac:dyDescent="0.15">
      <c r="A27" s="16" t="s">
        <v>87</v>
      </c>
      <c r="B27" s="16" t="s">
        <v>13</v>
      </c>
      <c r="C27" s="19">
        <v>34173</v>
      </c>
      <c r="D27" s="18">
        <f>YEAR(C27)</f>
        <v>1993</v>
      </c>
      <c r="E27" s="18">
        <f>MONTH(C27)</f>
        <v>7</v>
      </c>
      <c r="F27" s="18">
        <f>DAY(C27)</f>
        <v>23</v>
      </c>
      <c r="G27" s="20">
        <v>26</v>
      </c>
      <c r="H27" s="16">
        <v>1</v>
      </c>
      <c r="I27" s="16" t="s">
        <v>55</v>
      </c>
      <c r="J27" s="16" t="s">
        <v>26</v>
      </c>
      <c r="K27" s="16" t="s">
        <v>27</v>
      </c>
      <c r="L27" s="16" t="s">
        <v>33</v>
      </c>
      <c r="M27" s="19">
        <v>41464</v>
      </c>
      <c r="N27" s="19">
        <v>41921</v>
      </c>
      <c r="O27" s="16">
        <v>34620.19</v>
      </c>
      <c r="P27" s="21">
        <v>86</v>
      </c>
      <c r="Q27" s="22">
        <f>O27/P27</f>
        <v>402.56034883720935</v>
      </c>
      <c r="R27" s="16" t="str">
        <f>IF(Q27&gt;1500,"A",IF(Q27&gt;800,"B",IF(Q27&gt;300,"C","D")))</f>
        <v>C</v>
      </c>
    </row>
    <row r="28" spans="1:18" x14ac:dyDescent="0.15">
      <c r="A28" s="16" t="s">
        <v>88</v>
      </c>
      <c r="B28" s="16" t="s">
        <v>13</v>
      </c>
      <c r="C28" s="19">
        <v>27013</v>
      </c>
      <c r="D28" s="18">
        <f>YEAR(C28)</f>
        <v>1973</v>
      </c>
      <c r="E28" s="18">
        <f>MONTH(C28)</f>
        <v>12</v>
      </c>
      <c r="F28" s="18">
        <f>DAY(C28)</f>
        <v>15</v>
      </c>
      <c r="G28" s="20">
        <v>45</v>
      </c>
      <c r="H28" s="16">
        <v>2</v>
      </c>
      <c r="I28" s="16" t="s">
        <v>49</v>
      </c>
      <c r="J28" s="16" t="s">
        <v>26</v>
      </c>
      <c r="K28" s="16" t="s">
        <v>27</v>
      </c>
      <c r="L28" s="16" t="s">
        <v>33</v>
      </c>
      <c r="M28" s="19">
        <v>41718</v>
      </c>
      <c r="N28" s="19">
        <v>42479</v>
      </c>
      <c r="O28" s="16">
        <v>1315.74</v>
      </c>
      <c r="P28" s="21">
        <v>34</v>
      </c>
      <c r="Q28" s="22">
        <f>O28/P28</f>
        <v>38.698235294117644</v>
      </c>
      <c r="R28" s="16" t="str">
        <f>IF(Q28&gt;1500,"A",IF(Q28&gt;800,"B",IF(Q28&gt;300,"C","D")))</f>
        <v>D</v>
      </c>
    </row>
    <row r="29" spans="1:18" x14ac:dyDescent="0.15">
      <c r="A29" s="16" t="s">
        <v>89</v>
      </c>
      <c r="B29" s="16" t="s">
        <v>13</v>
      </c>
      <c r="C29" s="19">
        <v>21619</v>
      </c>
      <c r="D29" s="18">
        <f>YEAR(C29)</f>
        <v>1959</v>
      </c>
      <c r="E29" s="18">
        <f>MONTH(C29)</f>
        <v>3</v>
      </c>
      <c r="F29" s="18">
        <f>DAY(C29)</f>
        <v>10</v>
      </c>
      <c r="G29" s="20">
        <v>60</v>
      </c>
      <c r="H29" s="16">
        <v>2</v>
      </c>
      <c r="I29" s="16" t="s">
        <v>59</v>
      </c>
      <c r="J29" s="16" t="s">
        <v>90</v>
      </c>
      <c r="K29" s="16" t="s">
        <v>91</v>
      </c>
      <c r="L29" s="20" t="s">
        <v>28</v>
      </c>
      <c r="M29" s="19">
        <v>41538</v>
      </c>
      <c r="N29" s="19">
        <v>41996</v>
      </c>
      <c r="O29" s="16">
        <v>310.52</v>
      </c>
      <c r="P29" s="21">
        <v>23</v>
      </c>
      <c r="Q29" s="22">
        <f>O29/P29</f>
        <v>13.500869565217391</v>
      </c>
      <c r="R29" s="16" t="str">
        <f>IF(Q29&gt;1500,"A",IF(Q29&gt;800,"B",IF(Q29&gt;300,"C","D")))</f>
        <v>D</v>
      </c>
    </row>
    <row r="30" spans="1:18" x14ac:dyDescent="0.15">
      <c r="A30" s="16" t="s">
        <v>92</v>
      </c>
      <c r="B30" s="16" t="s">
        <v>13</v>
      </c>
      <c r="C30" s="19">
        <v>35066</v>
      </c>
      <c r="D30" s="18">
        <f>YEAR(C30)</f>
        <v>1996</v>
      </c>
      <c r="E30" s="18">
        <f>MONTH(C30)</f>
        <v>1</v>
      </c>
      <c r="F30" s="18">
        <f>DAY(C30)</f>
        <v>2</v>
      </c>
      <c r="G30" s="20">
        <v>23</v>
      </c>
      <c r="H30" s="16">
        <v>2</v>
      </c>
      <c r="I30" s="16" t="s">
        <v>55</v>
      </c>
      <c r="J30" s="16" t="s">
        <v>37</v>
      </c>
      <c r="K30" s="16" t="s">
        <v>38</v>
      </c>
      <c r="L30" s="20" t="s">
        <v>28</v>
      </c>
      <c r="M30" s="19">
        <v>41711</v>
      </c>
      <c r="N30" s="19">
        <v>42167</v>
      </c>
      <c r="O30" s="16">
        <v>34184.86</v>
      </c>
      <c r="P30" s="21">
        <v>25</v>
      </c>
      <c r="Q30" s="22">
        <f>O30/P30</f>
        <v>1367.3944000000001</v>
      </c>
      <c r="R30" s="16" t="str">
        <f>IF(Q30&gt;1500,"A",IF(Q30&gt;800,"B",IF(Q30&gt;300,"C","D")))</f>
        <v>B</v>
      </c>
    </row>
    <row r="31" spans="1:18" x14ac:dyDescent="0.15">
      <c r="A31" s="16" t="s">
        <v>93</v>
      </c>
      <c r="B31" s="16" t="s">
        <v>13</v>
      </c>
      <c r="C31" s="19">
        <v>30140</v>
      </c>
      <c r="D31" s="18">
        <f>YEAR(C31)</f>
        <v>1982</v>
      </c>
      <c r="E31" s="18">
        <f>MONTH(C31)</f>
        <v>7</v>
      </c>
      <c r="F31" s="18">
        <f>DAY(C31)</f>
        <v>8</v>
      </c>
      <c r="G31" s="20">
        <v>37</v>
      </c>
      <c r="H31" s="16">
        <v>2</v>
      </c>
      <c r="I31" s="16" t="s">
        <v>51</v>
      </c>
      <c r="J31" s="16" t="s">
        <v>52</v>
      </c>
      <c r="K31" s="16" t="s">
        <v>53</v>
      </c>
      <c r="L31" s="20" t="s">
        <v>17</v>
      </c>
      <c r="M31" s="19">
        <v>41671</v>
      </c>
      <c r="N31" s="19">
        <v>42129</v>
      </c>
      <c r="O31" s="16">
        <v>267.85000000000002</v>
      </c>
      <c r="P31" s="21">
        <v>44</v>
      </c>
      <c r="Q31" s="22">
        <f>O31/P31</f>
        <v>6.0875000000000004</v>
      </c>
      <c r="R31" s="16" t="str">
        <f>IF(Q31&gt;1500,"A",IF(Q31&gt;800,"B",IF(Q31&gt;300,"C","D")))</f>
        <v>D</v>
      </c>
    </row>
    <row r="32" spans="1:18" x14ac:dyDescent="0.15">
      <c r="A32" s="16" t="s">
        <v>94</v>
      </c>
      <c r="B32" s="16" t="s">
        <v>13</v>
      </c>
      <c r="C32" s="19">
        <v>19900</v>
      </c>
      <c r="D32" s="18">
        <f>YEAR(C32)</f>
        <v>1954</v>
      </c>
      <c r="E32" s="18">
        <f>MONTH(C32)</f>
        <v>6</v>
      </c>
      <c r="F32" s="18">
        <f>DAY(C32)</f>
        <v>25</v>
      </c>
      <c r="G32" s="20">
        <v>65</v>
      </c>
      <c r="H32" s="16">
        <v>2</v>
      </c>
      <c r="I32" s="16" t="s">
        <v>51</v>
      </c>
      <c r="J32" s="16" t="s">
        <v>71</v>
      </c>
      <c r="K32" s="16" t="s">
        <v>72</v>
      </c>
      <c r="L32" s="20" t="s">
        <v>28</v>
      </c>
      <c r="M32" s="19">
        <v>41506</v>
      </c>
      <c r="N32" s="19">
        <v>41964</v>
      </c>
      <c r="O32" s="16">
        <v>528.5</v>
      </c>
      <c r="P32" s="21">
        <v>33</v>
      </c>
      <c r="Q32" s="22">
        <f>O32/P32</f>
        <v>16.015151515151516</v>
      </c>
      <c r="R32" s="16" t="str">
        <f>IF(Q32&gt;1500,"A",IF(Q32&gt;800,"B",IF(Q32&gt;300,"C","D")))</f>
        <v>D</v>
      </c>
    </row>
    <row r="33" spans="1:18" x14ac:dyDescent="0.15">
      <c r="A33" s="16" t="s">
        <v>95</v>
      </c>
      <c r="B33" s="16" t="s">
        <v>13</v>
      </c>
      <c r="C33" s="19">
        <v>32977</v>
      </c>
      <c r="D33" s="18">
        <f>YEAR(C33)</f>
        <v>1990</v>
      </c>
      <c r="E33" s="18">
        <f>MONTH(C33)</f>
        <v>4</v>
      </c>
      <c r="F33" s="18">
        <f>DAY(C33)</f>
        <v>14</v>
      </c>
      <c r="G33" s="20">
        <v>29</v>
      </c>
      <c r="H33" s="16">
        <v>2</v>
      </c>
      <c r="I33" s="16" t="s">
        <v>45</v>
      </c>
      <c r="J33" s="16" t="s">
        <v>71</v>
      </c>
      <c r="K33" s="16" t="s">
        <v>72</v>
      </c>
      <c r="L33" s="16" t="s">
        <v>33</v>
      </c>
      <c r="M33" s="19">
        <v>41683</v>
      </c>
      <c r="N33" s="19">
        <v>42139</v>
      </c>
      <c r="O33" s="16">
        <v>56126.58</v>
      </c>
      <c r="P33" s="21">
        <v>104</v>
      </c>
      <c r="Q33" s="22">
        <f>O33/P33</f>
        <v>539.67865384615391</v>
      </c>
      <c r="R33" s="16" t="str">
        <f>IF(Q33&gt;1500,"A",IF(Q33&gt;800,"B",IF(Q33&gt;300,"C","D")))</f>
        <v>C</v>
      </c>
    </row>
    <row r="34" spans="1:18" x14ac:dyDescent="0.15">
      <c r="A34" s="16" t="s">
        <v>96</v>
      </c>
      <c r="B34" s="16" t="s">
        <v>19</v>
      </c>
      <c r="C34" s="19">
        <v>21753</v>
      </c>
      <c r="D34" s="18">
        <f>YEAR(C34)</f>
        <v>1959</v>
      </c>
      <c r="E34" s="18">
        <f>MONTH(C34)</f>
        <v>7</v>
      </c>
      <c r="F34" s="18">
        <f>DAY(C34)</f>
        <v>22</v>
      </c>
      <c r="G34" s="20">
        <v>60</v>
      </c>
      <c r="H34" s="16">
        <v>2</v>
      </c>
      <c r="I34" s="16" t="s">
        <v>55</v>
      </c>
      <c r="J34" s="16" t="s">
        <v>56</v>
      </c>
      <c r="K34" s="16" t="s">
        <v>57</v>
      </c>
      <c r="L34" s="16" t="s">
        <v>33</v>
      </c>
      <c r="M34" s="19">
        <v>41692</v>
      </c>
      <c r="N34" s="19">
        <v>42147</v>
      </c>
      <c r="O34" s="16">
        <v>45523.7</v>
      </c>
      <c r="P34" s="21">
        <v>101</v>
      </c>
      <c r="Q34" s="22">
        <f>O34/P34</f>
        <v>450.72970297029701</v>
      </c>
      <c r="R34" s="16" t="str">
        <f>IF(Q34&gt;1500,"A",IF(Q34&gt;800,"B",IF(Q34&gt;300,"C","D")))</f>
        <v>C</v>
      </c>
    </row>
    <row r="35" spans="1:18" x14ac:dyDescent="0.15">
      <c r="A35" s="16" t="s">
        <v>97</v>
      </c>
      <c r="B35" s="16" t="s">
        <v>19</v>
      </c>
      <c r="C35" s="19">
        <v>24787</v>
      </c>
      <c r="D35" s="18">
        <f>YEAR(C35)</f>
        <v>1967</v>
      </c>
      <c r="E35" s="18">
        <f>MONTH(C35)</f>
        <v>11</v>
      </c>
      <c r="F35" s="18">
        <f>DAY(C35)</f>
        <v>11</v>
      </c>
      <c r="G35" s="20">
        <v>51</v>
      </c>
      <c r="H35" s="16">
        <v>3</v>
      </c>
      <c r="I35" s="16" t="s">
        <v>51</v>
      </c>
      <c r="J35" s="16" t="s">
        <v>56</v>
      </c>
      <c r="K35" s="16" t="s">
        <v>57</v>
      </c>
      <c r="L35" s="16" t="s">
        <v>33</v>
      </c>
      <c r="M35" s="19">
        <v>41503</v>
      </c>
      <c r="N35" s="19">
        <v>42222</v>
      </c>
      <c r="O35" s="16">
        <v>586.11</v>
      </c>
      <c r="P35" s="21">
        <v>43</v>
      </c>
      <c r="Q35" s="22">
        <f>O35/P35</f>
        <v>13.630465116279071</v>
      </c>
      <c r="R35" s="16" t="str">
        <f>IF(Q35&gt;1500,"A",IF(Q35&gt;800,"B",IF(Q35&gt;300,"C","D")))</f>
        <v>D</v>
      </c>
    </row>
    <row r="36" spans="1:18" x14ac:dyDescent="0.15">
      <c r="A36" s="16" t="s">
        <v>98</v>
      </c>
      <c r="B36" s="16" t="s">
        <v>13</v>
      </c>
      <c r="C36" s="19">
        <v>19685</v>
      </c>
      <c r="D36" s="18">
        <f>YEAR(C36)</f>
        <v>1953</v>
      </c>
      <c r="E36" s="18">
        <f>MONTH(C36)</f>
        <v>11</v>
      </c>
      <c r="F36" s="18">
        <f>DAY(C36)</f>
        <v>22</v>
      </c>
      <c r="G36" s="20">
        <v>65</v>
      </c>
      <c r="H36" s="16">
        <v>3</v>
      </c>
      <c r="I36" s="16" t="s">
        <v>55</v>
      </c>
      <c r="J36" s="16" t="s">
        <v>99</v>
      </c>
      <c r="K36" s="16" t="s">
        <v>100</v>
      </c>
      <c r="L36" s="16" t="s">
        <v>33</v>
      </c>
      <c r="M36" s="19">
        <v>41600</v>
      </c>
      <c r="N36" s="19">
        <v>42486</v>
      </c>
      <c r="O36" s="16">
        <v>599.1</v>
      </c>
      <c r="P36" s="21">
        <v>24</v>
      </c>
      <c r="Q36" s="22">
        <f>O36/P36</f>
        <v>24.962500000000002</v>
      </c>
      <c r="R36" s="16" t="str">
        <f>IF(Q36&gt;1500,"A",IF(Q36&gt;800,"B",IF(Q36&gt;300,"C","D")))</f>
        <v>D</v>
      </c>
    </row>
    <row r="37" spans="1:18" x14ac:dyDescent="0.15">
      <c r="A37" s="16" t="s">
        <v>101</v>
      </c>
      <c r="B37" s="16" t="s">
        <v>13</v>
      </c>
      <c r="C37" s="19">
        <v>18577</v>
      </c>
      <c r="D37" s="18">
        <f>YEAR(C37)</f>
        <v>1950</v>
      </c>
      <c r="E37" s="18">
        <f>MONTH(C37)</f>
        <v>11</v>
      </c>
      <c r="F37" s="18">
        <f>DAY(C37)</f>
        <v>10</v>
      </c>
      <c r="G37" s="20">
        <v>68</v>
      </c>
      <c r="H37" s="16">
        <v>2</v>
      </c>
      <c r="I37" s="16" t="s">
        <v>59</v>
      </c>
      <c r="J37" s="16" t="s">
        <v>102</v>
      </c>
      <c r="K37" s="16" t="s">
        <v>103</v>
      </c>
      <c r="L37" s="16" t="s">
        <v>33</v>
      </c>
      <c r="M37" s="19">
        <v>41610</v>
      </c>
      <c r="N37" s="19">
        <v>42067</v>
      </c>
      <c r="O37" s="16">
        <v>2029.75</v>
      </c>
      <c r="P37" s="21">
        <v>47</v>
      </c>
      <c r="Q37" s="22">
        <f>O37/P37</f>
        <v>43.186170212765958</v>
      </c>
      <c r="R37" s="16" t="str">
        <f>IF(Q37&gt;1500,"A",IF(Q37&gt;800,"B",IF(Q37&gt;300,"C","D")))</f>
        <v>D</v>
      </c>
    </row>
    <row r="38" spans="1:18" x14ac:dyDescent="0.15">
      <c r="A38" s="16" t="s">
        <v>104</v>
      </c>
      <c r="B38" s="16" t="s">
        <v>13</v>
      </c>
      <c r="C38" s="19">
        <v>35158</v>
      </c>
      <c r="D38" s="18">
        <f>YEAR(C38)</f>
        <v>1996</v>
      </c>
      <c r="E38" s="18">
        <f>MONTH(C38)</f>
        <v>4</v>
      </c>
      <c r="F38" s="18">
        <f>DAY(C38)</f>
        <v>3</v>
      </c>
      <c r="G38" s="20">
        <v>23</v>
      </c>
      <c r="H38" s="16">
        <v>2</v>
      </c>
      <c r="I38" s="16" t="s">
        <v>59</v>
      </c>
      <c r="J38" s="16" t="s">
        <v>105</v>
      </c>
      <c r="K38" s="16" t="s">
        <v>106</v>
      </c>
      <c r="L38" s="20" t="s">
        <v>23</v>
      </c>
      <c r="M38" s="19">
        <v>41724</v>
      </c>
      <c r="N38" s="19">
        <v>42183</v>
      </c>
      <c r="O38" s="16">
        <v>1118.396</v>
      </c>
      <c r="P38" s="21">
        <v>11</v>
      </c>
      <c r="Q38" s="22">
        <f>O38/P38</f>
        <v>101.67236363636363</v>
      </c>
      <c r="R38" s="16" t="str">
        <f>IF(Q38&gt;1500,"A",IF(Q38&gt;800,"B",IF(Q38&gt;300,"C","D")))</f>
        <v>D</v>
      </c>
    </row>
    <row r="39" spans="1:18" x14ac:dyDescent="0.15">
      <c r="A39" s="16" t="s">
        <v>107</v>
      </c>
      <c r="B39" s="16" t="s">
        <v>13</v>
      </c>
      <c r="C39" s="19">
        <v>24511</v>
      </c>
      <c r="D39" s="18">
        <f>YEAR(C39)</f>
        <v>1967</v>
      </c>
      <c r="E39" s="18">
        <f>MONTH(C39)</f>
        <v>2</v>
      </c>
      <c r="F39" s="18">
        <f>DAY(C39)</f>
        <v>8</v>
      </c>
      <c r="G39" s="20">
        <v>52</v>
      </c>
      <c r="H39" s="16">
        <v>2</v>
      </c>
      <c r="I39" s="16" t="s">
        <v>55</v>
      </c>
      <c r="J39" s="16" t="s">
        <v>108</v>
      </c>
      <c r="K39" s="16" t="s">
        <v>109</v>
      </c>
      <c r="L39" s="16" t="s">
        <v>33</v>
      </c>
      <c r="M39" s="19">
        <v>41657</v>
      </c>
      <c r="N39" s="19">
        <v>42782</v>
      </c>
      <c r="O39" s="16">
        <v>689.74</v>
      </c>
      <c r="P39" s="21">
        <v>2</v>
      </c>
      <c r="Q39" s="22">
        <f>O39/P39</f>
        <v>344.87</v>
      </c>
      <c r="R39" s="16" t="str">
        <f>IF(Q39&gt;1500,"A",IF(Q39&gt;800,"B",IF(Q39&gt;300,"C","D")))</f>
        <v>C</v>
      </c>
    </row>
    <row r="40" spans="1:18" x14ac:dyDescent="0.15">
      <c r="A40" s="16" t="s">
        <v>110</v>
      </c>
      <c r="B40" s="16" t="s">
        <v>13</v>
      </c>
      <c r="C40" s="19">
        <v>22818</v>
      </c>
      <c r="D40" s="18">
        <f>YEAR(C40)</f>
        <v>1962</v>
      </c>
      <c r="E40" s="18">
        <f>MONTH(C40)</f>
        <v>6</v>
      </c>
      <c r="F40" s="18">
        <f>DAY(C40)</f>
        <v>21</v>
      </c>
      <c r="G40" s="20">
        <v>57</v>
      </c>
      <c r="H40" s="16">
        <v>2</v>
      </c>
      <c r="I40" s="16" t="s">
        <v>49</v>
      </c>
      <c r="J40" s="16" t="s">
        <v>105</v>
      </c>
      <c r="K40" s="16" t="s">
        <v>106</v>
      </c>
      <c r="L40" s="20" t="s">
        <v>28</v>
      </c>
      <c r="M40" s="19">
        <v>41582</v>
      </c>
      <c r="N40" s="19">
        <v>42556</v>
      </c>
      <c r="O40" s="16">
        <v>67154.350000000006</v>
      </c>
      <c r="P40" s="21">
        <v>90</v>
      </c>
      <c r="Q40" s="22">
        <f>O40/P40</f>
        <v>746.15944444444449</v>
      </c>
      <c r="R40" s="16" t="str">
        <f>IF(Q40&gt;1500,"A",IF(Q40&gt;800,"B",IF(Q40&gt;300,"C","D")))</f>
        <v>C</v>
      </c>
    </row>
    <row r="41" spans="1:18" x14ac:dyDescent="0.15">
      <c r="A41" s="16" t="s">
        <v>111</v>
      </c>
      <c r="B41" s="16" t="s">
        <v>13</v>
      </c>
      <c r="C41" s="19">
        <v>20362</v>
      </c>
      <c r="D41" s="18">
        <f>YEAR(C41)</f>
        <v>1955</v>
      </c>
      <c r="E41" s="18">
        <f>MONTH(C41)</f>
        <v>9</v>
      </c>
      <c r="F41" s="18">
        <f>DAY(C41)</f>
        <v>30</v>
      </c>
      <c r="G41" s="20">
        <v>64</v>
      </c>
      <c r="H41" s="16">
        <v>2</v>
      </c>
      <c r="I41" s="16" t="s">
        <v>45</v>
      </c>
      <c r="J41" s="16" t="s">
        <v>26</v>
      </c>
      <c r="K41" s="16" t="s">
        <v>27</v>
      </c>
      <c r="L41" s="20" t="s">
        <v>23</v>
      </c>
      <c r="M41" s="19">
        <v>41523</v>
      </c>
      <c r="N41" s="19">
        <v>41979</v>
      </c>
      <c r="O41" s="16">
        <v>201.36</v>
      </c>
      <c r="P41" s="21">
        <v>7</v>
      </c>
      <c r="Q41" s="22">
        <f>O41/P41</f>
        <v>28.765714285714289</v>
      </c>
      <c r="R41" s="16" t="str">
        <f>IF(Q41&gt;1500,"A",IF(Q41&gt;800,"B",IF(Q41&gt;300,"C","D")))</f>
        <v>D</v>
      </c>
    </row>
    <row r="42" spans="1:18" x14ac:dyDescent="0.15">
      <c r="A42" s="16" t="s">
        <v>112</v>
      </c>
      <c r="B42" s="16" t="s">
        <v>13</v>
      </c>
      <c r="C42" s="19">
        <v>24303</v>
      </c>
      <c r="D42" s="18">
        <f>YEAR(C42)</f>
        <v>1966</v>
      </c>
      <c r="E42" s="18">
        <f>MONTH(C42)</f>
        <v>7</v>
      </c>
      <c r="F42" s="18">
        <f>DAY(C42)</f>
        <v>15</v>
      </c>
      <c r="G42" s="20">
        <v>53</v>
      </c>
      <c r="H42" s="16">
        <v>2</v>
      </c>
      <c r="I42" s="16" t="s">
        <v>55</v>
      </c>
      <c r="J42" s="16" t="s">
        <v>26</v>
      </c>
      <c r="K42" s="16" t="s">
        <v>27</v>
      </c>
      <c r="L42" s="20" t="s">
        <v>28</v>
      </c>
      <c r="M42" s="19">
        <v>41392</v>
      </c>
      <c r="N42" s="19">
        <v>41849</v>
      </c>
      <c r="O42" s="16">
        <v>216.77</v>
      </c>
      <c r="P42" s="21">
        <v>33</v>
      </c>
      <c r="Q42" s="22">
        <f>O42/P42</f>
        <v>6.5687878787878793</v>
      </c>
      <c r="R42" s="16" t="str">
        <f>IF(Q42&gt;1500,"A",IF(Q42&gt;800,"B",IF(Q42&gt;300,"C","D")))</f>
        <v>D</v>
      </c>
    </row>
    <row r="43" spans="1:18" x14ac:dyDescent="0.15">
      <c r="A43" s="16" t="s">
        <v>113</v>
      </c>
      <c r="B43" s="16" t="s">
        <v>13</v>
      </c>
      <c r="C43" s="19">
        <v>24233</v>
      </c>
      <c r="D43" s="18">
        <f>YEAR(C43)</f>
        <v>1966</v>
      </c>
      <c r="E43" s="18">
        <f>MONTH(C43)</f>
        <v>5</v>
      </c>
      <c r="F43" s="18">
        <f>DAY(C43)</f>
        <v>6</v>
      </c>
      <c r="G43" s="20">
        <v>53</v>
      </c>
      <c r="H43" s="16">
        <v>2</v>
      </c>
      <c r="I43" s="16" t="s">
        <v>59</v>
      </c>
      <c r="J43" s="16" t="s">
        <v>26</v>
      </c>
      <c r="K43" s="16" t="s">
        <v>27</v>
      </c>
      <c r="L43" s="16" t="s">
        <v>33</v>
      </c>
      <c r="M43" s="19">
        <v>41475</v>
      </c>
      <c r="N43" s="19">
        <v>41932</v>
      </c>
      <c r="O43" s="16">
        <v>677.60900000000004</v>
      </c>
      <c r="P43" s="21">
        <v>84</v>
      </c>
      <c r="Q43" s="22">
        <f>O43/P43</f>
        <v>8.0667738095238093</v>
      </c>
      <c r="R43" s="16" t="str">
        <f>IF(Q43&gt;1500,"A",IF(Q43&gt;800,"B",IF(Q43&gt;300,"C","D")))</f>
        <v>D</v>
      </c>
    </row>
    <row r="44" spans="1:18" x14ac:dyDescent="0.15">
      <c r="A44" s="16" t="s">
        <v>114</v>
      </c>
      <c r="B44" s="16" t="s">
        <v>13</v>
      </c>
      <c r="C44" s="19">
        <v>25567</v>
      </c>
      <c r="D44" s="18">
        <f>YEAR(C44)</f>
        <v>1969</v>
      </c>
      <c r="E44" s="18">
        <f>MONTH(C44)</f>
        <v>12</v>
      </c>
      <c r="F44" s="18">
        <f>DAY(C44)</f>
        <v>30</v>
      </c>
      <c r="G44" s="20">
        <v>49</v>
      </c>
      <c r="H44" s="16">
        <v>2</v>
      </c>
      <c r="I44" s="16" t="s">
        <v>59</v>
      </c>
      <c r="J44" s="16" t="s">
        <v>56</v>
      </c>
      <c r="K44" s="16" t="s">
        <v>57</v>
      </c>
      <c r="L44" s="20" t="s">
        <v>23</v>
      </c>
      <c r="M44" s="19">
        <v>41627</v>
      </c>
      <c r="N44" s="19">
        <v>42082</v>
      </c>
      <c r="O44" s="16">
        <v>136.77000000000001</v>
      </c>
      <c r="P44" s="21">
        <v>25</v>
      </c>
      <c r="Q44" s="22">
        <f>O44/P44</f>
        <v>5.4708000000000006</v>
      </c>
      <c r="R44" s="16" t="str">
        <f>IF(Q44&gt;1500,"A",IF(Q44&gt;800,"B",IF(Q44&gt;300,"C","D")))</f>
        <v>D</v>
      </c>
    </row>
    <row r="45" spans="1:18" x14ac:dyDescent="0.15">
      <c r="A45" s="16" t="s">
        <v>115</v>
      </c>
      <c r="B45" s="16" t="s">
        <v>19</v>
      </c>
      <c r="C45" s="19">
        <v>29527</v>
      </c>
      <c r="D45" s="18">
        <f>YEAR(C45)</f>
        <v>1980</v>
      </c>
      <c r="E45" s="18">
        <f>MONTH(C45)</f>
        <v>11</v>
      </c>
      <c r="F45" s="18">
        <f>DAY(C45)</f>
        <v>2</v>
      </c>
      <c r="G45" s="20">
        <v>38</v>
      </c>
      <c r="H45" s="16">
        <v>2</v>
      </c>
      <c r="I45" s="16" t="s">
        <v>55</v>
      </c>
      <c r="J45" s="16" t="s">
        <v>37</v>
      </c>
      <c r="K45" s="16" t="s">
        <v>38</v>
      </c>
      <c r="L45" s="20" t="s">
        <v>28</v>
      </c>
      <c r="M45" s="19">
        <v>41602</v>
      </c>
      <c r="N45" s="19">
        <v>42488</v>
      </c>
      <c r="O45" s="16">
        <v>188.73</v>
      </c>
      <c r="P45" s="21">
        <v>24</v>
      </c>
      <c r="Q45" s="22">
        <f>O45/P45</f>
        <v>7.8637499999999996</v>
      </c>
      <c r="R45" s="16" t="str">
        <f>IF(Q45&gt;1500,"A",IF(Q45&gt;800,"B",IF(Q45&gt;300,"C","D")))</f>
        <v>D</v>
      </c>
    </row>
    <row r="46" spans="1:18" x14ac:dyDescent="0.15">
      <c r="A46" s="16" t="s">
        <v>116</v>
      </c>
      <c r="B46" s="16" t="s">
        <v>13</v>
      </c>
      <c r="C46" s="19">
        <v>16107</v>
      </c>
      <c r="D46" s="18">
        <f>YEAR(C46)</f>
        <v>1944</v>
      </c>
      <c r="E46" s="18">
        <f>MONTH(C46)</f>
        <v>2</v>
      </c>
      <c r="F46" s="18">
        <f>DAY(C46)</f>
        <v>5</v>
      </c>
      <c r="G46" s="20">
        <v>75</v>
      </c>
      <c r="H46" s="16">
        <v>2</v>
      </c>
      <c r="I46" s="16" t="s">
        <v>55</v>
      </c>
      <c r="J46" s="16" t="s">
        <v>37</v>
      </c>
      <c r="K46" s="16" t="s">
        <v>38</v>
      </c>
      <c r="L46" s="20" t="s">
        <v>17</v>
      </c>
      <c r="M46" s="19">
        <v>41515</v>
      </c>
      <c r="N46" s="19">
        <v>41973</v>
      </c>
      <c r="O46" s="16">
        <v>412.62</v>
      </c>
      <c r="P46" s="21">
        <v>43</v>
      </c>
      <c r="Q46" s="22">
        <f>O46/P46</f>
        <v>9.5958139534883724</v>
      </c>
      <c r="R46" s="16" t="str">
        <f>IF(Q46&gt;1500,"A",IF(Q46&gt;800,"B",IF(Q46&gt;300,"C","D")))</f>
        <v>D</v>
      </c>
    </row>
    <row r="47" spans="1:18" x14ac:dyDescent="0.15">
      <c r="A47" s="16" t="s">
        <v>117</v>
      </c>
      <c r="B47" s="16" t="s">
        <v>19</v>
      </c>
      <c r="C47" s="19">
        <v>26144</v>
      </c>
      <c r="D47" s="18">
        <f>YEAR(C47)</f>
        <v>1971</v>
      </c>
      <c r="E47" s="18">
        <f>MONTH(C47)</f>
        <v>7</v>
      </c>
      <c r="F47" s="18">
        <f>DAY(C47)</f>
        <v>30</v>
      </c>
      <c r="G47" s="20">
        <v>48</v>
      </c>
      <c r="H47" s="16">
        <v>2</v>
      </c>
      <c r="I47" s="16" t="s">
        <v>55</v>
      </c>
      <c r="J47" s="16" t="s">
        <v>37</v>
      </c>
      <c r="K47" s="16" t="s">
        <v>38</v>
      </c>
      <c r="L47" s="16" t="s">
        <v>33</v>
      </c>
      <c r="M47" s="19">
        <v>41604</v>
      </c>
      <c r="N47" s="19">
        <v>42059</v>
      </c>
      <c r="O47" s="16">
        <v>123.02</v>
      </c>
      <c r="P47" s="21">
        <v>2</v>
      </c>
      <c r="Q47" s="22">
        <f>O47/P47</f>
        <v>61.51</v>
      </c>
      <c r="R47" s="16" t="str">
        <f>IF(Q47&gt;1500,"A",IF(Q47&gt;800,"B",IF(Q47&gt;300,"C","D")))</f>
        <v>D</v>
      </c>
    </row>
    <row r="48" spans="1:18" x14ac:dyDescent="0.15">
      <c r="A48" s="16" t="s">
        <v>118</v>
      </c>
      <c r="B48" s="16" t="s">
        <v>19</v>
      </c>
      <c r="C48" s="19">
        <v>15317</v>
      </c>
      <c r="D48" s="18">
        <f>YEAR(C48)</f>
        <v>1941</v>
      </c>
      <c r="E48" s="18">
        <f>MONTH(C48)</f>
        <v>12</v>
      </c>
      <c r="F48" s="18">
        <f>DAY(C48)</f>
        <v>7</v>
      </c>
      <c r="G48" s="20">
        <v>77</v>
      </c>
      <c r="H48" s="16">
        <v>2</v>
      </c>
      <c r="I48" s="16" t="s">
        <v>55</v>
      </c>
      <c r="J48" s="16" t="s">
        <v>37</v>
      </c>
      <c r="K48" s="16" t="s">
        <v>38</v>
      </c>
      <c r="L48" s="16" t="s">
        <v>33</v>
      </c>
      <c r="M48" s="19">
        <v>41473</v>
      </c>
      <c r="N48" s="19">
        <v>41931</v>
      </c>
      <c r="O48" s="16">
        <v>244.57</v>
      </c>
      <c r="P48" s="21">
        <v>27</v>
      </c>
      <c r="Q48" s="22">
        <f>O48/P48</f>
        <v>9.0581481481481472</v>
      </c>
      <c r="R48" s="16" t="str">
        <f>IF(Q48&gt;1500,"A",IF(Q48&gt;800,"B",IF(Q48&gt;300,"C","D")))</f>
        <v>D</v>
      </c>
    </row>
    <row r="49" spans="1:18" x14ac:dyDescent="0.15">
      <c r="A49" s="16" t="s">
        <v>119</v>
      </c>
      <c r="B49" s="16" t="s">
        <v>13</v>
      </c>
      <c r="C49" s="19">
        <v>16845</v>
      </c>
      <c r="D49" s="18">
        <f>YEAR(C49)</f>
        <v>1946</v>
      </c>
      <c r="E49" s="18">
        <f>MONTH(C49)</f>
        <v>2</v>
      </c>
      <c r="F49" s="18">
        <f>DAY(C49)</f>
        <v>12</v>
      </c>
      <c r="G49" s="20">
        <v>73</v>
      </c>
      <c r="H49" s="16">
        <v>2</v>
      </c>
      <c r="I49" s="16" t="s">
        <v>120</v>
      </c>
      <c r="J49" s="16" t="s">
        <v>37</v>
      </c>
      <c r="K49" s="16" t="s">
        <v>38</v>
      </c>
      <c r="L49" s="20" t="s">
        <v>23</v>
      </c>
      <c r="M49" s="19">
        <v>41487</v>
      </c>
      <c r="N49" s="19">
        <v>42369</v>
      </c>
      <c r="O49" s="16">
        <v>375.28</v>
      </c>
      <c r="P49" s="21">
        <v>5</v>
      </c>
      <c r="Q49" s="22">
        <f>O49/P49</f>
        <v>75.055999999999997</v>
      </c>
      <c r="R49" s="16" t="str">
        <f>IF(Q49&gt;1500,"A",IF(Q49&gt;800,"B",IF(Q49&gt;300,"C","D")))</f>
        <v>D</v>
      </c>
    </row>
    <row r="50" spans="1:18" x14ac:dyDescent="0.15">
      <c r="A50" s="16" t="s">
        <v>121</v>
      </c>
      <c r="B50" s="16" t="s">
        <v>13</v>
      </c>
      <c r="C50" s="19">
        <v>26240</v>
      </c>
      <c r="D50" s="18">
        <f>YEAR(C50)</f>
        <v>1971</v>
      </c>
      <c r="E50" s="18">
        <f>MONTH(C50)</f>
        <v>11</v>
      </c>
      <c r="F50" s="18">
        <f>DAY(C50)</f>
        <v>3</v>
      </c>
      <c r="G50" s="20">
        <v>47</v>
      </c>
      <c r="H50" s="16">
        <v>2</v>
      </c>
      <c r="I50" s="16" t="s">
        <v>51</v>
      </c>
      <c r="J50" s="16" t="s">
        <v>52</v>
      </c>
      <c r="K50" s="16" t="s">
        <v>53</v>
      </c>
      <c r="L50" s="20" t="s">
        <v>17</v>
      </c>
      <c r="M50" s="19">
        <v>41707</v>
      </c>
      <c r="N50" s="19">
        <v>42381</v>
      </c>
      <c r="O50" s="16">
        <v>2634.8554999999997</v>
      </c>
      <c r="P50" s="21">
        <v>20</v>
      </c>
      <c r="Q50" s="22">
        <f>O50/P50</f>
        <v>131.74277499999999</v>
      </c>
      <c r="R50" s="16" t="str">
        <f>IF(Q50&gt;1500,"A",IF(Q50&gt;800,"B",IF(Q50&gt;300,"C","D")))</f>
        <v>D</v>
      </c>
    </row>
    <row r="51" spans="1:18" x14ac:dyDescent="0.15">
      <c r="A51" s="16" t="s">
        <v>122</v>
      </c>
      <c r="B51" s="16" t="s">
        <v>13</v>
      </c>
      <c r="C51" s="19">
        <v>27716</v>
      </c>
      <c r="D51" s="18">
        <f>YEAR(C51)</f>
        <v>1975</v>
      </c>
      <c r="E51" s="18">
        <f>MONTH(C51)</f>
        <v>11</v>
      </c>
      <c r="F51" s="18">
        <f>DAY(C51)</f>
        <v>18</v>
      </c>
      <c r="G51" s="20">
        <v>43</v>
      </c>
      <c r="H51" s="16">
        <v>2</v>
      </c>
      <c r="I51" s="16" t="s">
        <v>51</v>
      </c>
      <c r="J51" s="16" t="s">
        <v>21</v>
      </c>
      <c r="K51" s="16" t="s">
        <v>22</v>
      </c>
      <c r="L51" s="16" t="s">
        <v>33</v>
      </c>
      <c r="M51" s="19">
        <v>41489</v>
      </c>
      <c r="N51" s="19">
        <v>42435</v>
      </c>
      <c r="O51" s="16">
        <v>281</v>
      </c>
      <c r="P51" s="21">
        <v>46</v>
      </c>
      <c r="Q51" s="22">
        <f>O51/P51</f>
        <v>6.1086956521739131</v>
      </c>
      <c r="R51" s="16" t="str">
        <f>IF(Q51&gt;1500,"A",IF(Q51&gt;800,"B",IF(Q51&gt;300,"C","D")))</f>
        <v>D</v>
      </c>
    </row>
    <row r="52" spans="1:18" x14ac:dyDescent="0.15">
      <c r="A52" s="16" t="s">
        <v>123</v>
      </c>
      <c r="B52" s="16" t="s">
        <v>13</v>
      </c>
      <c r="C52" s="19">
        <v>32409</v>
      </c>
      <c r="D52" s="18">
        <f>YEAR(C52)</f>
        <v>1988</v>
      </c>
      <c r="E52" s="18">
        <f>MONTH(C52)</f>
        <v>9</v>
      </c>
      <c r="F52" s="18">
        <f>DAY(C52)</f>
        <v>23</v>
      </c>
      <c r="G52" s="20">
        <v>31</v>
      </c>
      <c r="H52" s="16">
        <v>2</v>
      </c>
      <c r="I52" s="16" t="s">
        <v>59</v>
      </c>
      <c r="J52" s="16" t="s">
        <v>124</v>
      </c>
      <c r="K52" s="16" t="s">
        <v>125</v>
      </c>
      <c r="L52" s="16" t="s">
        <v>33</v>
      </c>
      <c r="M52" s="19">
        <v>41717</v>
      </c>
      <c r="N52" s="19">
        <v>42176</v>
      </c>
      <c r="O52" s="16">
        <v>108.09</v>
      </c>
      <c r="P52" s="21">
        <v>20</v>
      </c>
      <c r="Q52" s="22">
        <f>O52/P52</f>
        <v>5.4045000000000005</v>
      </c>
      <c r="R52" s="16" t="str">
        <f>IF(Q52&gt;1500,"A",IF(Q52&gt;800,"B",IF(Q52&gt;300,"C","D")))</f>
        <v>D</v>
      </c>
    </row>
    <row r="53" spans="1:18" x14ac:dyDescent="0.15">
      <c r="A53" s="16" t="s">
        <v>126</v>
      </c>
      <c r="B53" s="16" t="s">
        <v>13</v>
      </c>
      <c r="C53" s="19">
        <v>22928</v>
      </c>
      <c r="D53" s="18">
        <f>YEAR(C53)</f>
        <v>1962</v>
      </c>
      <c r="E53" s="18">
        <f>MONTH(C53)</f>
        <v>10</v>
      </c>
      <c r="F53" s="18">
        <f>DAY(C53)</f>
        <v>9</v>
      </c>
      <c r="G53" s="20">
        <v>57</v>
      </c>
      <c r="H53" s="16">
        <v>2</v>
      </c>
      <c r="I53" s="16" t="s">
        <v>84</v>
      </c>
      <c r="J53" s="16" t="s">
        <v>46</v>
      </c>
      <c r="K53" s="16" t="s">
        <v>47</v>
      </c>
      <c r="L53" s="16" t="s">
        <v>33</v>
      </c>
      <c r="M53" s="19">
        <v>41604</v>
      </c>
      <c r="N53" s="19">
        <v>42061</v>
      </c>
      <c r="O53" s="16">
        <v>55.34</v>
      </c>
      <c r="P53" s="21">
        <v>2</v>
      </c>
      <c r="Q53" s="22">
        <f>O53/P53</f>
        <v>27.67</v>
      </c>
      <c r="R53" s="16" t="str">
        <f>IF(Q53&gt;1500,"A",IF(Q53&gt;800,"B",IF(Q53&gt;300,"C","D")))</f>
        <v>D</v>
      </c>
    </row>
    <row r="54" spans="1:18" x14ac:dyDescent="0.15">
      <c r="A54" s="16" t="s">
        <v>127</v>
      </c>
      <c r="B54" s="16" t="s">
        <v>13</v>
      </c>
      <c r="C54" s="19">
        <v>34426</v>
      </c>
      <c r="D54" s="18">
        <f>YEAR(C54)</f>
        <v>1994</v>
      </c>
      <c r="E54" s="18">
        <f>MONTH(C54)</f>
        <v>4</v>
      </c>
      <c r="F54" s="18">
        <f>DAY(C54)</f>
        <v>2</v>
      </c>
      <c r="G54" s="20">
        <v>25</v>
      </c>
      <c r="H54" s="16">
        <v>1</v>
      </c>
      <c r="I54" s="16" t="s">
        <v>55</v>
      </c>
      <c r="J54" s="16" t="s">
        <v>26</v>
      </c>
      <c r="K54" s="16" t="s">
        <v>27</v>
      </c>
      <c r="L54" s="20" t="s">
        <v>23</v>
      </c>
      <c r="M54" s="19">
        <v>41517</v>
      </c>
      <c r="N54" s="19">
        <v>42003</v>
      </c>
      <c r="O54" s="16">
        <v>3872.634</v>
      </c>
      <c r="P54" s="21">
        <v>25</v>
      </c>
      <c r="Q54" s="22">
        <f>O54/P54</f>
        <v>154.90536</v>
      </c>
      <c r="R54" s="16" t="str">
        <f>IF(Q54&gt;1500,"A",IF(Q54&gt;800,"B",IF(Q54&gt;300,"C","D")))</f>
        <v>D</v>
      </c>
    </row>
    <row r="55" spans="1:18" x14ac:dyDescent="0.15">
      <c r="A55" s="16" t="s">
        <v>128</v>
      </c>
      <c r="B55" s="16" t="s">
        <v>13</v>
      </c>
      <c r="C55" s="19">
        <v>31153</v>
      </c>
      <c r="D55" s="18">
        <f>YEAR(C55)</f>
        <v>1985</v>
      </c>
      <c r="E55" s="18">
        <f>MONTH(C55)</f>
        <v>4</v>
      </c>
      <c r="F55" s="18">
        <f>DAY(C55)</f>
        <v>16</v>
      </c>
      <c r="G55" s="20">
        <v>34</v>
      </c>
      <c r="H55" s="16">
        <v>1</v>
      </c>
      <c r="I55" s="16" t="s">
        <v>120</v>
      </c>
      <c r="J55" s="16" t="s">
        <v>26</v>
      </c>
      <c r="K55" s="16" t="s">
        <v>27</v>
      </c>
      <c r="L55" s="16" t="s">
        <v>33</v>
      </c>
      <c r="M55" s="19">
        <v>41390</v>
      </c>
      <c r="N55" s="19">
        <v>41848</v>
      </c>
      <c r="O55" s="16">
        <v>884.12750000000005</v>
      </c>
      <c r="P55" s="21">
        <v>79</v>
      </c>
      <c r="Q55" s="22">
        <f>O55/P55</f>
        <v>11.191487341772152</v>
      </c>
      <c r="R55" s="16" t="str">
        <f>IF(Q55&gt;1500,"A",IF(Q55&gt;800,"B",IF(Q55&gt;300,"C","D")))</f>
        <v>D</v>
      </c>
    </row>
    <row r="56" spans="1:18" x14ac:dyDescent="0.15">
      <c r="A56" s="16" t="s">
        <v>129</v>
      </c>
      <c r="B56" s="16" t="s">
        <v>19</v>
      </c>
      <c r="C56" s="19">
        <v>20164</v>
      </c>
      <c r="D56" s="18">
        <f>YEAR(C56)</f>
        <v>1955</v>
      </c>
      <c r="E56" s="18">
        <f>MONTH(C56)</f>
        <v>3</v>
      </c>
      <c r="F56" s="18">
        <f>DAY(C56)</f>
        <v>16</v>
      </c>
      <c r="G56" s="20">
        <v>64</v>
      </c>
      <c r="H56" s="16">
        <v>2</v>
      </c>
      <c r="I56" s="16" t="s">
        <v>51</v>
      </c>
      <c r="J56" s="16" t="s">
        <v>31</v>
      </c>
      <c r="K56" s="16" t="s">
        <v>32</v>
      </c>
      <c r="L56" s="16" t="s">
        <v>33</v>
      </c>
      <c r="M56" s="19">
        <v>41366</v>
      </c>
      <c r="N56" s="19">
        <v>41821</v>
      </c>
      <c r="O56" s="16">
        <v>218.27</v>
      </c>
      <c r="P56" s="21">
        <v>34</v>
      </c>
      <c r="Q56" s="22">
        <f>O56/P56</f>
        <v>6.4197058823529414</v>
      </c>
      <c r="R56" s="16" t="str">
        <f>IF(Q56&gt;1500,"A",IF(Q56&gt;800,"B",IF(Q56&gt;300,"C","D")))</f>
        <v>D</v>
      </c>
    </row>
    <row r="57" spans="1:18" x14ac:dyDescent="0.15">
      <c r="A57" s="16" t="s">
        <v>130</v>
      </c>
      <c r="B57" s="16" t="s">
        <v>19</v>
      </c>
      <c r="C57" s="19">
        <v>23801</v>
      </c>
      <c r="D57" s="18">
        <f>YEAR(C57)</f>
        <v>1965</v>
      </c>
      <c r="E57" s="18">
        <f>MONTH(C57)</f>
        <v>2</v>
      </c>
      <c r="F57" s="18">
        <f>DAY(C57)</f>
        <v>28</v>
      </c>
      <c r="G57" s="20">
        <v>54</v>
      </c>
      <c r="H57" s="16">
        <v>2</v>
      </c>
      <c r="I57" s="16" t="s">
        <v>49</v>
      </c>
      <c r="J57" s="16" t="s">
        <v>105</v>
      </c>
      <c r="K57" s="16" t="s">
        <v>106</v>
      </c>
      <c r="L57" s="16" t="s">
        <v>33</v>
      </c>
      <c r="M57" s="19">
        <v>41523</v>
      </c>
      <c r="N57" s="19">
        <v>42070</v>
      </c>
      <c r="O57" s="16">
        <v>100.95</v>
      </c>
      <c r="P57" s="21">
        <v>17</v>
      </c>
      <c r="Q57" s="22">
        <f>O57/P57</f>
        <v>5.9382352941176473</v>
      </c>
      <c r="R57" s="16" t="str">
        <f>IF(Q57&gt;1500,"A",IF(Q57&gt;800,"B",IF(Q57&gt;300,"C","D")))</f>
        <v>D</v>
      </c>
    </row>
    <row r="58" spans="1:18" x14ac:dyDescent="0.15">
      <c r="A58" s="16" t="s">
        <v>131</v>
      </c>
      <c r="B58" s="16" t="s">
        <v>19</v>
      </c>
      <c r="C58" s="19">
        <v>17492</v>
      </c>
      <c r="D58" s="18">
        <f>YEAR(C58)</f>
        <v>1947</v>
      </c>
      <c r="E58" s="18">
        <f>MONTH(C58)</f>
        <v>11</v>
      </c>
      <c r="F58" s="18">
        <f>DAY(C58)</f>
        <v>21</v>
      </c>
      <c r="G58" s="20">
        <v>71</v>
      </c>
      <c r="H58" s="16">
        <v>3</v>
      </c>
      <c r="I58" s="16" t="s">
        <v>59</v>
      </c>
      <c r="J58" s="16" t="s">
        <v>60</v>
      </c>
      <c r="K58" s="16" t="s">
        <v>61</v>
      </c>
      <c r="L58" s="20" t="s">
        <v>23</v>
      </c>
      <c r="M58" s="19">
        <v>41515</v>
      </c>
      <c r="N58" s="19">
        <v>42613</v>
      </c>
      <c r="O58" s="16">
        <v>46.94</v>
      </c>
      <c r="P58" s="21">
        <v>21</v>
      </c>
      <c r="Q58" s="22">
        <f>O58/P58</f>
        <v>2.235238095238095</v>
      </c>
      <c r="R58" s="16" t="str">
        <f>IF(Q58&gt;1500,"A",IF(Q58&gt;800,"B",IF(Q58&gt;300,"C","D")))</f>
        <v>D</v>
      </c>
    </row>
    <row r="59" spans="1:18" x14ac:dyDescent="0.15">
      <c r="A59" s="16" t="s">
        <v>132</v>
      </c>
      <c r="B59" s="16" t="s">
        <v>19</v>
      </c>
      <c r="C59" s="19">
        <v>19051</v>
      </c>
      <c r="D59" s="18">
        <f>YEAR(C59)</f>
        <v>1952</v>
      </c>
      <c r="E59" s="18">
        <f>MONTH(C59)</f>
        <v>2</v>
      </c>
      <c r="F59" s="18">
        <f>DAY(C59)</f>
        <v>27</v>
      </c>
      <c r="G59" s="20">
        <v>67</v>
      </c>
      <c r="H59" s="16">
        <v>2</v>
      </c>
      <c r="I59" s="16" t="s">
        <v>51</v>
      </c>
      <c r="J59" s="16" t="s">
        <v>31</v>
      </c>
      <c r="K59" s="16" t="s">
        <v>32</v>
      </c>
      <c r="L59" s="16" t="s">
        <v>33</v>
      </c>
      <c r="M59" s="19">
        <v>41490</v>
      </c>
      <c r="N59" s="19">
        <v>41945</v>
      </c>
      <c r="O59" s="16">
        <v>1239.6315</v>
      </c>
      <c r="P59" s="21">
        <v>16</v>
      </c>
      <c r="Q59" s="22">
        <f>O59/P59</f>
        <v>77.476968749999997</v>
      </c>
      <c r="R59" s="16" t="str">
        <f>IF(Q59&gt;1500,"A",IF(Q59&gt;800,"B",IF(Q59&gt;300,"C","D")))</f>
        <v>D</v>
      </c>
    </row>
    <row r="60" spans="1:18" x14ac:dyDescent="0.15">
      <c r="A60" s="16" t="s">
        <v>133</v>
      </c>
      <c r="B60" s="16" t="s">
        <v>19</v>
      </c>
      <c r="C60" s="19">
        <v>14348</v>
      </c>
      <c r="D60" s="18">
        <f>YEAR(C60)</f>
        <v>1939</v>
      </c>
      <c r="E60" s="18">
        <f>MONTH(C60)</f>
        <v>4</v>
      </c>
      <c r="F60" s="18">
        <f>DAY(C60)</f>
        <v>13</v>
      </c>
      <c r="G60" s="20">
        <v>80</v>
      </c>
      <c r="H60" s="16">
        <v>2</v>
      </c>
      <c r="I60" s="16" t="s">
        <v>59</v>
      </c>
      <c r="J60" s="16" t="s">
        <v>31</v>
      </c>
      <c r="K60" s="16" t="s">
        <v>32</v>
      </c>
      <c r="L60" s="20" t="s">
        <v>23</v>
      </c>
      <c r="M60" s="19">
        <v>41480</v>
      </c>
      <c r="N60" s="19">
        <v>41938</v>
      </c>
      <c r="O60" s="16">
        <v>1640.9</v>
      </c>
      <c r="P60" s="21">
        <v>33</v>
      </c>
      <c r="Q60" s="22">
        <f>O60/P60</f>
        <v>49.724242424242426</v>
      </c>
      <c r="R60" s="16" t="str">
        <f>IF(Q60&gt;1500,"A",IF(Q60&gt;800,"B",IF(Q60&gt;300,"C","D")))</f>
        <v>D</v>
      </c>
    </row>
    <row r="61" spans="1:18" x14ac:dyDescent="0.15">
      <c r="A61" s="16" t="s">
        <v>134</v>
      </c>
      <c r="B61" s="16" t="s">
        <v>13</v>
      </c>
      <c r="C61" s="19">
        <v>29546</v>
      </c>
      <c r="D61" s="18">
        <f>YEAR(C61)</f>
        <v>1980</v>
      </c>
      <c r="E61" s="18">
        <f>MONTH(C61)</f>
        <v>11</v>
      </c>
      <c r="F61" s="18">
        <f>DAY(C61)</f>
        <v>21</v>
      </c>
      <c r="G61" s="20">
        <v>38</v>
      </c>
      <c r="H61" s="16">
        <v>2</v>
      </c>
      <c r="I61" s="16" t="s">
        <v>51</v>
      </c>
      <c r="J61" s="16" t="s">
        <v>90</v>
      </c>
      <c r="K61" s="16" t="s">
        <v>91</v>
      </c>
      <c r="L61" s="20" t="s">
        <v>17</v>
      </c>
      <c r="M61" s="19">
        <v>41727</v>
      </c>
      <c r="N61" s="19">
        <v>42643</v>
      </c>
      <c r="O61" s="16">
        <v>1235.8699999999999</v>
      </c>
      <c r="P61" s="21">
        <v>33</v>
      </c>
      <c r="Q61" s="22">
        <f>O61/P61</f>
        <v>37.450606060606056</v>
      </c>
      <c r="R61" s="16" t="str">
        <f>IF(Q61&gt;1500,"A",IF(Q61&gt;800,"B",IF(Q61&gt;300,"C","D")))</f>
        <v>D</v>
      </c>
    </row>
    <row r="62" spans="1:18" x14ac:dyDescent="0.15">
      <c r="A62" s="16" t="s">
        <v>135</v>
      </c>
      <c r="B62" s="16" t="s">
        <v>13</v>
      </c>
      <c r="C62" s="19">
        <v>28449</v>
      </c>
      <c r="D62" s="18">
        <f>YEAR(C62)</f>
        <v>1977</v>
      </c>
      <c r="E62" s="18">
        <f>MONTH(C62)</f>
        <v>11</v>
      </c>
      <c r="F62" s="18">
        <f>DAY(C62)</f>
        <v>20</v>
      </c>
      <c r="G62" s="20">
        <v>41</v>
      </c>
      <c r="H62" s="16">
        <v>3</v>
      </c>
      <c r="I62" s="16" t="s">
        <v>59</v>
      </c>
      <c r="J62" s="16" t="s">
        <v>42</v>
      </c>
      <c r="K62" s="16" t="s">
        <v>43</v>
      </c>
      <c r="L62" s="20" t="s">
        <v>23</v>
      </c>
      <c r="M62" s="19">
        <v>41585</v>
      </c>
      <c r="N62" s="19">
        <v>42042</v>
      </c>
      <c r="O62" s="16">
        <v>3659.66</v>
      </c>
      <c r="P62" s="21">
        <v>30</v>
      </c>
      <c r="Q62" s="22">
        <f>O62/P62</f>
        <v>121.98866666666666</v>
      </c>
      <c r="R62" s="16" t="str">
        <f>IF(Q62&gt;1500,"A",IF(Q62&gt;800,"B",IF(Q62&gt;300,"C","D")))</f>
        <v>D</v>
      </c>
    </row>
    <row r="63" spans="1:18" x14ac:dyDescent="0.15">
      <c r="A63" s="16" t="s">
        <v>136</v>
      </c>
      <c r="B63" s="16" t="s">
        <v>13</v>
      </c>
      <c r="C63" s="19">
        <v>28034</v>
      </c>
      <c r="D63" s="18">
        <f>YEAR(C63)</f>
        <v>1976</v>
      </c>
      <c r="E63" s="18">
        <f>MONTH(C63)</f>
        <v>10</v>
      </c>
      <c r="F63" s="18">
        <f>DAY(C63)</f>
        <v>1</v>
      </c>
      <c r="G63" s="20">
        <v>43</v>
      </c>
      <c r="H63" s="16">
        <v>2</v>
      </c>
      <c r="I63" s="16" t="s">
        <v>137</v>
      </c>
      <c r="J63" s="16" t="s">
        <v>138</v>
      </c>
      <c r="K63" s="16" t="s">
        <v>139</v>
      </c>
      <c r="L63" s="16" t="s">
        <v>33</v>
      </c>
      <c r="M63" s="19">
        <v>41585</v>
      </c>
      <c r="N63" s="19">
        <v>42041</v>
      </c>
      <c r="O63" s="16">
        <v>7666.04</v>
      </c>
      <c r="P63" s="21">
        <v>50</v>
      </c>
      <c r="Q63" s="22">
        <f>O63/P63</f>
        <v>153.32079999999999</v>
      </c>
      <c r="R63" s="16" t="str">
        <f>IF(Q63&gt;1500,"A",IF(Q63&gt;800,"B",IF(Q63&gt;300,"C","D")))</f>
        <v>D</v>
      </c>
    </row>
    <row r="64" spans="1:18" x14ac:dyDescent="0.15">
      <c r="A64" s="16" t="s">
        <v>140</v>
      </c>
      <c r="B64" s="16" t="s">
        <v>13</v>
      </c>
      <c r="C64" s="19">
        <v>23950</v>
      </c>
      <c r="D64" s="18">
        <f>YEAR(C64)</f>
        <v>1965</v>
      </c>
      <c r="E64" s="18">
        <f>MONTH(C64)</f>
        <v>7</v>
      </c>
      <c r="F64" s="18">
        <f>DAY(C64)</f>
        <v>27</v>
      </c>
      <c r="G64" s="20">
        <v>54</v>
      </c>
      <c r="H64" s="16">
        <v>2</v>
      </c>
      <c r="I64" s="16" t="s">
        <v>55</v>
      </c>
      <c r="J64" s="16" t="s">
        <v>21</v>
      </c>
      <c r="K64" s="16" t="s">
        <v>22</v>
      </c>
      <c r="L64" s="16" t="s">
        <v>33</v>
      </c>
      <c r="M64" s="19">
        <v>41576</v>
      </c>
      <c r="N64" s="19">
        <v>42033</v>
      </c>
      <c r="O64" s="16">
        <v>34214.959999999999</v>
      </c>
      <c r="P64" s="23">
        <v>64</v>
      </c>
      <c r="Q64" s="22">
        <f>O64/P64</f>
        <v>534.60874999999999</v>
      </c>
      <c r="R64" s="16" t="str">
        <f>IF(Q64&gt;1500,"A",IF(Q64&gt;800,"B",IF(Q64&gt;300,"C","D")))</f>
        <v>C</v>
      </c>
    </row>
    <row r="65" spans="1:18" x14ac:dyDescent="0.15">
      <c r="A65" s="16" t="s">
        <v>141</v>
      </c>
      <c r="B65" s="16" t="s">
        <v>13</v>
      </c>
      <c r="C65" s="19">
        <v>19715</v>
      </c>
      <c r="D65" s="18">
        <f>YEAR(C65)</f>
        <v>1953</v>
      </c>
      <c r="E65" s="18">
        <f>MONTH(C65)</f>
        <v>12</v>
      </c>
      <c r="F65" s="18">
        <f>DAY(C65)</f>
        <v>22</v>
      </c>
      <c r="G65" s="20">
        <v>65</v>
      </c>
      <c r="H65" s="16">
        <v>2</v>
      </c>
      <c r="I65" s="16" t="s">
        <v>51</v>
      </c>
      <c r="J65" s="16" t="s">
        <v>52</v>
      </c>
      <c r="K65" s="16" t="s">
        <v>53</v>
      </c>
      <c r="L65" s="20" t="s">
        <v>17</v>
      </c>
      <c r="M65" s="19">
        <v>41446</v>
      </c>
      <c r="N65" s="19">
        <v>41903</v>
      </c>
      <c r="O65" s="16">
        <v>15.69</v>
      </c>
      <c r="P65" s="23">
        <v>4</v>
      </c>
      <c r="Q65" s="22">
        <f>O65/P65</f>
        <v>3.9224999999999999</v>
      </c>
      <c r="R65" s="16" t="str">
        <f>IF(Q65&gt;1500,"A",IF(Q65&gt;800,"B",IF(Q65&gt;300,"C","D")))</f>
        <v>D</v>
      </c>
    </row>
    <row r="66" spans="1:18" x14ac:dyDescent="0.15">
      <c r="A66" s="16" t="s">
        <v>142</v>
      </c>
      <c r="B66" s="16" t="s">
        <v>13</v>
      </c>
      <c r="C66" s="19">
        <v>26482</v>
      </c>
      <c r="D66" s="18">
        <f>YEAR(C66)</f>
        <v>1972</v>
      </c>
      <c r="E66" s="18">
        <f>MONTH(C66)</f>
        <v>7</v>
      </c>
      <c r="F66" s="18">
        <f>DAY(C66)</f>
        <v>2</v>
      </c>
      <c r="G66" s="20">
        <v>47</v>
      </c>
      <c r="H66" s="16">
        <v>2</v>
      </c>
      <c r="I66" s="16" t="s">
        <v>84</v>
      </c>
      <c r="J66" s="16" t="s">
        <v>21</v>
      </c>
      <c r="K66" s="16" t="s">
        <v>22</v>
      </c>
      <c r="L66" s="16" t="s">
        <v>33</v>
      </c>
      <c r="M66" s="19">
        <v>41408</v>
      </c>
      <c r="N66" s="19">
        <v>41866</v>
      </c>
      <c r="O66" s="16">
        <v>517.92999999999995</v>
      </c>
      <c r="P66" s="21">
        <v>46</v>
      </c>
      <c r="Q66" s="22">
        <f>O66/P66</f>
        <v>11.259347826086955</v>
      </c>
      <c r="R66" s="16" t="str">
        <f>IF(Q66&gt;1500,"A",IF(Q66&gt;800,"B",IF(Q66&gt;300,"C","D")))</f>
        <v>D</v>
      </c>
    </row>
    <row r="67" spans="1:18" x14ac:dyDescent="0.15">
      <c r="A67" s="16" t="s">
        <v>143</v>
      </c>
      <c r="B67" s="16" t="s">
        <v>13</v>
      </c>
      <c r="C67" s="19">
        <v>32488</v>
      </c>
      <c r="D67" s="18">
        <f>YEAR(C67)</f>
        <v>1988</v>
      </c>
      <c r="E67" s="18">
        <f>MONTH(C67)</f>
        <v>12</v>
      </c>
      <c r="F67" s="18">
        <f>DAY(C67)</f>
        <v>11</v>
      </c>
      <c r="G67" s="20">
        <v>30</v>
      </c>
      <c r="H67" s="16">
        <v>3</v>
      </c>
      <c r="I67" s="16" t="s">
        <v>120</v>
      </c>
      <c r="J67" s="16" t="s">
        <v>52</v>
      </c>
      <c r="K67" s="16" t="s">
        <v>53</v>
      </c>
      <c r="L67" s="20" t="s">
        <v>28</v>
      </c>
      <c r="M67" s="19">
        <v>41493</v>
      </c>
      <c r="N67" s="19">
        <v>41948</v>
      </c>
      <c r="O67" s="16">
        <v>1156.6714999999999</v>
      </c>
      <c r="P67" s="21">
        <v>20</v>
      </c>
      <c r="Q67" s="22">
        <f>O67/P67</f>
        <v>57.833574999999996</v>
      </c>
      <c r="R67" s="16" t="str">
        <f>IF(Q67&gt;1500,"A",IF(Q67&gt;800,"B",IF(Q67&gt;300,"C","D")))</f>
        <v>D</v>
      </c>
    </row>
    <row r="68" spans="1:18" x14ac:dyDescent="0.15">
      <c r="A68" s="16" t="s">
        <v>144</v>
      </c>
      <c r="B68" s="16" t="s">
        <v>13</v>
      </c>
      <c r="C68" s="19">
        <v>29171</v>
      </c>
      <c r="D68" s="18">
        <f>YEAR(C68)</f>
        <v>1979</v>
      </c>
      <c r="E68" s="18">
        <f>MONTH(C68)</f>
        <v>11</v>
      </c>
      <c r="F68" s="18">
        <f>DAY(C68)</f>
        <v>12</v>
      </c>
      <c r="G68" s="20">
        <v>39</v>
      </c>
      <c r="H68" s="16">
        <v>2</v>
      </c>
      <c r="I68" s="16" t="s">
        <v>51</v>
      </c>
      <c r="J68" s="16" t="s">
        <v>52</v>
      </c>
      <c r="K68" s="16" t="s">
        <v>53</v>
      </c>
      <c r="L68" s="20" t="s">
        <v>17</v>
      </c>
      <c r="M68" s="19">
        <v>41455</v>
      </c>
      <c r="N68" s="19">
        <v>41911</v>
      </c>
      <c r="O68" s="16">
        <v>15260.78</v>
      </c>
      <c r="P68" s="21">
        <v>39</v>
      </c>
      <c r="Q68" s="22">
        <f>O68/P68</f>
        <v>391.30205128205131</v>
      </c>
      <c r="R68" s="16" t="str">
        <f>IF(Q68&gt;1500,"A",IF(Q68&gt;800,"B",IF(Q68&gt;300,"C","D")))</f>
        <v>C</v>
      </c>
    </row>
    <row r="69" spans="1:18" x14ac:dyDescent="0.15">
      <c r="A69" s="16" t="s">
        <v>145</v>
      </c>
      <c r="B69" s="16" t="s">
        <v>13</v>
      </c>
      <c r="C69" s="19">
        <v>17779</v>
      </c>
      <c r="D69" s="18">
        <f>YEAR(C69)</f>
        <v>1948</v>
      </c>
      <c r="E69" s="18">
        <f>MONTH(C69)</f>
        <v>9</v>
      </c>
      <c r="F69" s="18">
        <f>DAY(C69)</f>
        <v>3</v>
      </c>
      <c r="G69" s="20">
        <v>71</v>
      </c>
      <c r="H69" s="16">
        <v>3</v>
      </c>
      <c r="I69" s="16" t="s">
        <v>51</v>
      </c>
      <c r="J69" s="16" t="s">
        <v>60</v>
      </c>
      <c r="K69" s="16" t="s">
        <v>61</v>
      </c>
      <c r="L69" s="20" t="s">
        <v>28</v>
      </c>
      <c r="M69" s="19">
        <v>41363</v>
      </c>
      <c r="N69" s="19">
        <v>42309</v>
      </c>
      <c r="O69" s="16">
        <v>540.41</v>
      </c>
      <c r="P69" s="21">
        <v>3</v>
      </c>
      <c r="Q69" s="22">
        <f>O69/P69</f>
        <v>180.13666666666666</v>
      </c>
      <c r="R69" s="16" t="str">
        <f>IF(Q69&gt;1500,"A",IF(Q69&gt;800,"B",IF(Q69&gt;300,"C","D")))</f>
        <v>D</v>
      </c>
    </row>
    <row r="70" spans="1:18" x14ac:dyDescent="0.15">
      <c r="A70" s="16" t="s">
        <v>146</v>
      </c>
      <c r="B70" s="16" t="s">
        <v>13</v>
      </c>
      <c r="C70" s="19">
        <v>31768</v>
      </c>
      <c r="D70" s="18">
        <f>YEAR(C70)</f>
        <v>1986</v>
      </c>
      <c r="E70" s="18">
        <f>MONTH(C70)</f>
        <v>12</v>
      </c>
      <c r="F70" s="18">
        <f>DAY(C70)</f>
        <v>22</v>
      </c>
      <c r="G70" s="20">
        <v>32</v>
      </c>
      <c r="H70" s="16">
        <v>2</v>
      </c>
      <c r="I70" s="16" t="s">
        <v>84</v>
      </c>
      <c r="J70" s="16" t="s">
        <v>124</v>
      </c>
      <c r="K70" s="16" t="s">
        <v>125</v>
      </c>
      <c r="L70" s="16" t="s">
        <v>33</v>
      </c>
      <c r="M70" s="19">
        <v>41690</v>
      </c>
      <c r="N70" s="19">
        <v>42635</v>
      </c>
      <c r="O70" s="16">
        <v>64343.29</v>
      </c>
      <c r="P70" s="21">
        <v>86</v>
      </c>
      <c r="Q70" s="22">
        <f>O70/P70</f>
        <v>748.17779069767448</v>
      </c>
      <c r="R70" s="16" t="str">
        <f>IF(Q70&gt;1500,"A",IF(Q70&gt;800,"B",IF(Q70&gt;300,"C","D")))</f>
        <v>C</v>
      </c>
    </row>
    <row r="71" spans="1:18" x14ac:dyDescent="0.15">
      <c r="A71" s="16" t="s">
        <v>147</v>
      </c>
      <c r="B71" s="16" t="s">
        <v>13</v>
      </c>
      <c r="C71" s="19">
        <v>16577</v>
      </c>
      <c r="D71" s="18">
        <f>YEAR(C71)</f>
        <v>1945</v>
      </c>
      <c r="E71" s="18">
        <f>MONTH(C71)</f>
        <v>5</v>
      </c>
      <c r="F71" s="18">
        <f>DAY(C71)</f>
        <v>20</v>
      </c>
      <c r="G71" s="20">
        <v>74</v>
      </c>
      <c r="H71" s="16">
        <v>2</v>
      </c>
      <c r="I71" s="16" t="s">
        <v>59</v>
      </c>
      <c r="J71" s="16" t="s">
        <v>102</v>
      </c>
      <c r="K71" s="16" t="s">
        <v>103</v>
      </c>
      <c r="L71" s="20" t="s">
        <v>28</v>
      </c>
      <c r="M71" s="19">
        <v>41676</v>
      </c>
      <c r="N71" s="19">
        <v>42134</v>
      </c>
      <c r="O71" s="16">
        <v>45441.7</v>
      </c>
      <c r="P71" s="21">
        <v>67</v>
      </c>
      <c r="Q71" s="22">
        <f>O71/P71</f>
        <v>678.23432835820893</v>
      </c>
      <c r="R71" s="16" t="str">
        <f>IF(Q71&gt;1500,"A",IF(Q71&gt;800,"B",IF(Q71&gt;300,"C","D")))</f>
        <v>C</v>
      </c>
    </row>
    <row r="72" spans="1:18" x14ac:dyDescent="0.15">
      <c r="A72" s="16" t="s">
        <v>148</v>
      </c>
      <c r="B72" s="16" t="s">
        <v>13</v>
      </c>
      <c r="C72" s="19">
        <v>17852</v>
      </c>
      <c r="D72" s="18">
        <f>YEAR(C72)</f>
        <v>1948</v>
      </c>
      <c r="E72" s="18">
        <f>MONTH(C72)</f>
        <v>11</v>
      </c>
      <c r="F72" s="18">
        <f>DAY(C72)</f>
        <v>15</v>
      </c>
      <c r="G72" s="20">
        <v>70</v>
      </c>
      <c r="H72" s="16">
        <v>1</v>
      </c>
      <c r="I72" s="16" t="s">
        <v>51</v>
      </c>
      <c r="J72" s="16" t="s">
        <v>102</v>
      </c>
      <c r="K72" s="16" t="s">
        <v>103</v>
      </c>
      <c r="L72" s="20" t="s">
        <v>28</v>
      </c>
      <c r="M72" s="19">
        <v>41590</v>
      </c>
      <c r="N72" s="19">
        <v>42047</v>
      </c>
      <c r="O72" s="16">
        <v>1162.4005</v>
      </c>
      <c r="P72" s="21">
        <v>22</v>
      </c>
      <c r="Q72" s="22">
        <f>O72/P72</f>
        <v>52.836386363636365</v>
      </c>
      <c r="R72" s="16" t="str">
        <f>IF(Q72&gt;1500,"A",IF(Q72&gt;800,"B",IF(Q72&gt;300,"C","D")))</f>
        <v>D</v>
      </c>
    </row>
    <row r="73" spans="1:18" x14ac:dyDescent="0.15">
      <c r="A73" s="16" t="s">
        <v>149</v>
      </c>
      <c r="B73" s="16" t="s">
        <v>13</v>
      </c>
      <c r="C73" s="19">
        <v>14507</v>
      </c>
      <c r="D73" s="18">
        <f>YEAR(C73)</f>
        <v>1939</v>
      </c>
      <c r="E73" s="18">
        <f>MONTH(C73)</f>
        <v>9</v>
      </c>
      <c r="F73" s="18">
        <f>DAY(C73)</f>
        <v>19</v>
      </c>
      <c r="G73" s="20">
        <v>80</v>
      </c>
      <c r="H73" s="16">
        <v>2</v>
      </c>
      <c r="I73" s="16" t="s">
        <v>84</v>
      </c>
      <c r="J73" s="16" t="s">
        <v>99</v>
      </c>
      <c r="K73" s="16" t="s">
        <v>100</v>
      </c>
      <c r="L73" s="16" t="s">
        <v>33</v>
      </c>
      <c r="M73" s="19">
        <v>41691</v>
      </c>
      <c r="N73" s="19">
        <v>42146</v>
      </c>
      <c r="O73" s="16">
        <v>356.7</v>
      </c>
      <c r="P73" s="21">
        <v>45</v>
      </c>
      <c r="Q73" s="22">
        <f>O73/P73</f>
        <v>7.9266666666666667</v>
      </c>
      <c r="R73" s="16" t="str">
        <f>IF(Q73&gt;1500,"A",IF(Q73&gt;800,"B",IF(Q73&gt;300,"C","D")))</f>
        <v>D</v>
      </c>
    </row>
    <row r="74" spans="1:18" x14ac:dyDescent="0.15">
      <c r="A74" s="16" t="s">
        <v>150</v>
      </c>
      <c r="B74" s="16" t="s">
        <v>19</v>
      </c>
      <c r="C74" s="19">
        <v>16037</v>
      </c>
      <c r="D74" s="18">
        <f>YEAR(C74)</f>
        <v>1943</v>
      </c>
      <c r="E74" s="18">
        <f>MONTH(C74)</f>
        <v>11</v>
      </c>
      <c r="F74" s="18">
        <f>DAY(C74)</f>
        <v>27</v>
      </c>
      <c r="G74" s="20">
        <v>75</v>
      </c>
      <c r="H74" s="16">
        <v>2</v>
      </c>
      <c r="I74" s="16" t="s">
        <v>51</v>
      </c>
      <c r="J74" s="16" t="s">
        <v>105</v>
      </c>
      <c r="K74" s="16" t="s">
        <v>106</v>
      </c>
      <c r="L74" s="16" t="s">
        <v>33</v>
      </c>
      <c r="M74" s="19">
        <v>41470</v>
      </c>
      <c r="N74" s="19">
        <v>41928</v>
      </c>
      <c r="O74" s="16">
        <v>1000.78</v>
      </c>
      <c r="P74" s="21">
        <v>29</v>
      </c>
      <c r="Q74" s="22">
        <f>O74/P74</f>
        <v>34.509655172413794</v>
      </c>
      <c r="R74" s="16" t="str">
        <f>IF(Q74&gt;1500,"A",IF(Q74&gt;800,"B",IF(Q74&gt;300,"C","D")))</f>
        <v>D</v>
      </c>
    </row>
    <row r="75" spans="1:18" x14ac:dyDescent="0.15">
      <c r="A75" s="16" t="s">
        <v>151</v>
      </c>
      <c r="B75" s="16" t="s">
        <v>13</v>
      </c>
      <c r="C75" s="19">
        <v>15650</v>
      </c>
      <c r="D75" s="18">
        <f>YEAR(C75)</f>
        <v>1942</v>
      </c>
      <c r="E75" s="18">
        <f>MONTH(C75)</f>
        <v>11</v>
      </c>
      <c r="F75" s="18">
        <f>DAY(C75)</f>
        <v>5</v>
      </c>
      <c r="G75" s="20">
        <v>76</v>
      </c>
      <c r="H75" s="16">
        <v>2</v>
      </c>
      <c r="I75" s="16" t="s">
        <v>59</v>
      </c>
      <c r="J75" s="16" t="s">
        <v>152</v>
      </c>
      <c r="K75" s="16" t="s">
        <v>153</v>
      </c>
      <c r="L75" s="20" t="s">
        <v>17</v>
      </c>
      <c r="M75" s="19">
        <v>41671</v>
      </c>
      <c r="N75" s="19">
        <v>42128</v>
      </c>
      <c r="O75" s="16">
        <v>543.72</v>
      </c>
      <c r="P75" s="21">
        <v>35</v>
      </c>
      <c r="Q75" s="22">
        <f>O75/P75</f>
        <v>15.534857142857144</v>
      </c>
      <c r="R75" s="16" t="str">
        <f>IF(Q75&gt;1500,"A",IF(Q75&gt;800,"B",IF(Q75&gt;300,"C","D")))</f>
        <v>D</v>
      </c>
    </row>
    <row r="76" spans="1:18" x14ac:dyDescent="0.15">
      <c r="A76" s="16" t="s">
        <v>154</v>
      </c>
      <c r="B76" s="16" t="s">
        <v>19</v>
      </c>
      <c r="C76" s="19">
        <v>30154</v>
      </c>
      <c r="D76" s="18">
        <f>YEAR(C76)</f>
        <v>1982</v>
      </c>
      <c r="E76" s="18">
        <f>MONTH(C76)</f>
        <v>7</v>
      </c>
      <c r="F76" s="18">
        <f>DAY(C76)</f>
        <v>22</v>
      </c>
      <c r="G76" s="20">
        <v>37</v>
      </c>
      <c r="H76" s="16">
        <v>2</v>
      </c>
      <c r="I76" s="16" t="s">
        <v>51</v>
      </c>
      <c r="J76" s="16" t="s">
        <v>26</v>
      </c>
      <c r="K76" s="16" t="s">
        <v>27</v>
      </c>
      <c r="L76" s="20" t="s">
        <v>23</v>
      </c>
      <c r="M76" s="19">
        <v>41646</v>
      </c>
      <c r="N76" s="19">
        <v>42344</v>
      </c>
      <c r="O76" s="16">
        <v>234.2</v>
      </c>
      <c r="P76" s="23">
        <v>42</v>
      </c>
      <c r="Q76" s="22">
        <f>O76/P76</f>
        <v>5.5761904761904759</v>
      </c>
      <c r="R76" s="16" t="str">
        <f>IF(Q76&gt;1500,"A",IF(Q76&gt;800,"B",IF(Q76&gt;300,"C","D")))</f>
        <v>D</v>
      </c>
    </row>
    <row r="77" spans="1:18" x14ac:dyDescent="0.15">
      <c r="A77" s="16" t="s">
        <v>155</v>
      </c>
      <c r="B77" s="16" t="s">
        <v>13</v>
      </c>
      <c r="C77" s="19">
        <v>19917</v>
      </c>
      <c r="D77" s="18">
        <f>YEAR(C77)</f>
        <v>1954</v>
      </c>
      <c r="E77" s="18">
        <f>MONTH(C77)</f>
        <v>7</v>
      </c>
      <c r="F77" s="18">
        <f>DAY(C77)</f>
        <v>12</v>
      </c>
      <c r="G77" s="20">
        <v>65</v>
      </c>
      <c r="H77" s="16">
        <v>2</v>
      </c>
      <c r="I77" s="16" t="s">
        <v>45</v>
      </c>
      <c r="J77" s="16" t="s">
        <v>46</v>
      </c>
      <c r="K77" s="16" t="s">
        <v>47</v>
      </c>
      <c r="L77" s="20" t="s">
        <v>28</v>
      </c>
      <c r="M77" s="19">
        <v>41492</v>
      </c>
      <c r="N77" s="19">
        <v>41949</v>
      </c>
      <c r="O77" s="16">
        <v>4509.3774999999996</v>
      </c>
      <c r="P77" s="21">
        <v>44</v>
      </c>
      <c r="Q77" s="22">
        <f>O77/P77</f>
        <v>102.48585227272726</v>
      </c>
      <c r="R77" s="16" t="str">
        <f>IF(Q77&gt;1500,"A",IF(Q77&gt;800,"B",IF(Q77&gt;300,"C","D")))</f>
        <v>D</v>
      </c>
    </row>
    <row r="78" spans="1:18" x14ac:dyDescent="0.15">
      <c r="A78" s="16" t="s">
        <v>156</v>
      </c>
      <c r="B78" s="16" t="s">
        <v>13</v>
      </c>
      <c r="C78" s="19">
        <v>19780</v>
      </c>
      <c r="D78" s="18">
        <f>YEAR(C78)</f>
        <v>1954</v>
      </c>
      <c r="E78" s="18">
        <f>MONTH(C78)</f>
        <v>2</v>
      </c>
      <c r="F78" s="18">
        <f>DAY(C78)</f>
        <v>25</v>
      </c>
      <c r="G78" s="20">
        <v>65</v>
      </c>
      <c r="H78" s="16">
        <v>3</v>
      </c>
      <c r="I78" s="16" t="s">
        <v>84</v>
      </c>
      <c r="J78" s="16" t="s">
        <v>52</v>
      </c>
      <c r="K78" s="16" t="s">
        <v>53</v>
      </c>
      <c r="L78" s="16" t="s">
        <v>33</v>
      </c>
      <c r="M78" s="19">
        <v>41627</v>
      </c>
      <c r="N78" s="19">
        <v>42082</v>
      </c>
      <c r="O78" s="16">
        <v>4965.7594999999992</v>
      </c>
      <c r="P78" s="21">
        <v>30</v>
      </c>
      <c r="Q78" s="22">
        <f>O78/P78</f>
        <v>165.52531666666664</v>
      </c>
      <c r="R78" s="16" t="str">
        <f>IF(Q78&gt;1500,"A",IF(Q78&gt;800,"B",IF(Q78&gt;300,"C","D")))</f>
        <v>D</v>
      </c>
    </row>
    <row r="79" spans="1:18" x14ac:dyDescent="0.15">
      <c r="A79" s="16" t="s">
        <v>157</v>
      </c>
      <c r="B79" s="16" t="s">
        <v>19</v>
      </c>
      <c r="C79" s="19">
        <v>32500</v>
      </c>
      <c r="D79" s="18">
        <f>YEAR(C79)</f>
        <v>1988</v>
      </c>
      <c r="E79" s="18">
        <f>MONTH(C79)</f>
        <v>12</v>
      </c>
      <c r="F79" s="18">
        <f>DAY(C79)</f>
        <v>23</v>
      </c>
      <c r="G79" s="20">
        <v>30</v>
      </c>
      <c r="H79" s="16">
        <v>2</v>
      </c>
      <c r="I79" s="16" t="s">
        <v>51</v>
      </c>
      <c r="J79" s="16" t="s">
        <v>52</v>
      </c>
      <c r="K79" s="16" t="s">
        <v>53</v>
      </c>
      <c r="L79" s="20" t="s">
        <v>17</v>
      </c>
      <c r="M79" s="19">
        <v>41707</v>
      </c>
      <c r="N79" s="19">
        <v>42165</v>
      </c>
      <c r="O79" s="16">
        <v>210.4</v>
      </c>
      <c r="P79" s="21">
        <v>19</v>
      </c>
      <c r="Q79" s="22">
        <f>O79/P79</f>
        <v>11.073684210526316</v>
      </c>
      <c r="R79" s="16" t="str">
        <f>IF(Q79&gt;1500,"A",IF(Q79&gt;800,"B",IF(Q79&gt;300,"C","D")))</f>
        <v>D</v>
      </c>
    </row>
    <row r="80" spans="1:18" x14ac:dyDescent="0.15">
      <c r="A80" s="16" t="s">
        <v>158</v>
      </c>
      <c r="B80" s="16" t="s">
        <v>13</v>
      </c>
      <c r="C80" s="19">
        <v>14951</v>
      </c>
      <c r="D80" s="18">
        <f>YEAR(C80)</f>
        <v>1940</v>
      </c>
      <c r="E80" s="18">
        <f>MONTH(C80)</f>
        <v>12</v>
      </c>
      <c r="F80" s="18">
        <f>DAY(C80)</f>
        <v>6</v>
      </c>
      <c r="G80" s="20">
        <v>78</v>
      </c>
      <c r="H80" s="16">
        <v>2</v>
      </c>
      <c r="I80" s="16" t="s">
        <v>51</v>
      </c>
      <c r="J80" s="16" t="s">
        <v>71</v>
      </c>
      <c r="K80" s="16" t="s">
        <v>72</v>
      </c>
      <c r="L80" s="20" t="s">
        <v>23</v>
      </c>
      <c r="M80" s="19">
        <v>41705</v>
      </c>
      <c r="N80" s="19">
        <v>42161</v>
      </c>
      <c r="O80" s="16">
        <v>1309.53</v>
      </c>
      <c r="P80" s="21">
        <v>6</v>
      </c>
      <c r="Q80" s="22">
        <f>O80/P80</f>
        <v>218.255</v>
      </c>
      <c r="R80" s="16" t="str">
        <f>IF(Q80&gt;1500,"A",IF(Q80&gt;800,"B",IF(Q80&gt;300,"C","D")))</f>
        <v>D</v>
      </c>
    </row>
    <row r="81" spans="1:18" x14ac:dyDescent="0.15">
      <c r="A81" s="16" t="s">
        <v>159</v>
      </c>
      <c r="B81" s="16" t="s">
        <v>19</v>
      </c>
      <c r="C81" s="19">
        <v>27803</v>
      </c>
      <c r="D81" s="18">
        <f>YEAR(C81)</f>
        <v>1976</v>
      </c>
      <c r="E81" s="18">
        <f>MONTH(C81)</f>
        <v>2</v>
      </c>
      <c r="F81" s="18">
        <f>DAY(C81)</f>
        <v>13</v>
      </c>
      <c r="G81" s="20">
        <v>43</v>
      </c>
      <c r="H81" s="16">
        <v>3</v>
      </c>
      <c r="I81" s="16" t="s">
        <v>59</v>
      </c>
      <c r="J81" s="16" t="s">
        <v>31</v>
      </c>
      <c r="K81" s="16" t="s">
        <v>32</v>
      </c>
      <c r="L81" s="16" t="s">
        <v>33</v>
      </c>
      <c r="M81" s="19">
        <v>41709</v>
      </c>
      <c r="N81" s="19">
        <v>42165</v>
      </c>
      <c r="O81" s="16">
        <v>806.37</v>
      </c>
      <c r="P81" s="21">
        <v>48</v>
      </c>
      <c r="Q81" s="22">
        <f>O81/P81</f>
        <v>16.799375000000001</v>
      </c>
      <c r="R81" s="16" t="str">
        <f>IF(Q81&gt;1500,"A",IF(Q81&gt;800,"B",IF(Q81&gt;300,"C","D")))</f>
        <v>D</v>
      </c>
    </row>
    <row r="82" spans="1:18" x14ac:dyDescent="0.15">
      <c r="A82" s="16" t="s">
        <v>160</v>
      </c>
      <c r="B82" s="16" t="s">
        <v>13</v>
      </c>
      <c r="C82" s="19">
        <v>23182</v>
      </c>
      <c r="D82" s="18">
        <f>YEAR(C82)</f>
        <v>1963</v>
      </c>
      <c r="E82" s="18">
        <f>MONTH(C82)</f>
        <v>6</v>
      </c>
      <c r="F82" s="18">
        <f>DAY(C82)</f>
        <v>20</v>
      </c>
      <c r="G82" s="20">
        <v>56</v>
      </c>
      <c r="H82" s="16">
        <v>2</v>
      </c>
      <c r="I82" s="16" t="s">
        <v>59</v>
      </c>
      <c r="J82" s="16" t="s">
        <v>102</v>
      </c>
      <c r="K82" s="16" t="s">
        <v>103</v>
      </c>
      <c r="L82" s="20" t="s">
        <v>28</v>
      </c>
      <c r="M82" s="19">
        <v>41398</v>
      </c>
      <c r="N82" s="19">
        <v>41856</v>
      </c>
      <c r="O82" s="16">
        <v>5437.92</v>
      </c>
      <c r="P82" s="21">
        <v>33</v>
      </c>
      <c r="Q82" s="22">
        <f>O82/P82</f>
        <v>164.78545454545454</v>
      </c>
      <c r="R82" s="16" t="str">
        <f>IF(Q82&gt;1500,"A",IF(Q82&gt;800,"B",IF(Q82&gt;300,"C","D")))</f>
        <v>D</v>
      </c>
    </row>
    <row r="83" spans="1:18" x14ac:dyDescent="0.15">
      <c r="A83" s="16" t="s">
        <v>161</v>
      </c>
      <c r="B83" s="16" t="s">
        <v>13</v>
      </c>
      <c r="C83" s="19">
        <v>18882</v>
      </c>
      <c r="D83" s="18">
        <f>YEAR(C83)</f>
        <v>1951</v>
      </c>
      <c r="E83" s="18">
        <f>MONTH(C83)</f>
        <v>9</v>
      </c>
      <c r="F83" s="18">
        <f>DAY(C83)</f>
        <v>11</v>
      </c>
      <c r="G83" s="20">
        <v>68</v>
      </c>
      <c r="H83" s="16">
        <v>2</v>
      </c>
      <c r="I83" s="16" t="s">
        <v>120</v>
      </c>
      <c r="J83" s="16" t="s">
        <v>90</v>
      </c>
      <c r="K83" s="16" t="s">
        <v>91</v>
      </c>
      <c r="L83" s="16" t="s">
        <v>33</v>
      </c>
      <c r="M83" s="19">
        <v>41494</v>
      </c>
      <c r="N83" s="19">
        <v>42406</v>
      </c>
      <c r="O83" s="16">
        <v>394.27</v>
      </c>
      <c r="P83" s="21">
        <v>19</v>
      </c>
      <c r="Q83" s="22">
        <f>O83/P83</f>
        <v>20.751052631578947</v>
      </c>
      <c r="R83" s="16" t="str">
        <f>IF(Q83&gt;1500,"A",IF(Q83&gt;800,"B",IF(Q83&gt;300,"C","D")))</f>
        <v>D</v>
      </c>
    </row>
    <row r="84" spans="1:18" x14ac:dyDescent="0.15">
      <c r="A84" s="16" t="s">
        <v>162</v>
      </c>
      <c r="B84" s="16" t="s">
        <v>13</v>
      </c>
      <c r="C84" s="19">
        <v>15063</v>
      </c>
      <c r="D84" s="18">
        <f>YEAR(C84)</f>
        <v>1941</v>
      </c>
      <c r="E84" s="18">
        <f>MONTH(C84)</f>
        <v>3</v>
      </c>
      <c r="F84" s="18">
        <f>DAY(C84)</f>
        <v>28</v>
      </c>
      <c r="G84" s="20">
        <v>78</v>
      </c>
      <c r="H84" s="16">
        <v>2</v>
      </c>
      <c r="I84" s="16" t="s">
        <v>55</v>
      </c>
      <c r="J84" s="16" t="s">
        <v>90</v>
      </c>
      <c r="K84" s="16" t="s">
        <v>91</v>
      </c>
      <c r="L84" s="16" t="s">
        <v>33</v>
      </c>
      <c r="M84" s="19">
        <v>41434</v>
      </c>
      <c r="N84" s="19">
        <v>42226</v>
      </c>
      <c r="O84" s="16">
        <v>65146.69</v>
      </c>
      <c r="P84" s="21">
        <v>21</v>
      </c>
      <c r="Q84" s="22">
        <f>O84/P84</f>
        <v>3102.2233333333334</v>
      </c>
      <c r="R84" s="16" t="str">
        <f>IF(Q84&gt;1500,"A",IF(Q84&gt;800,"B",IF(Q84&gt;300,"C","D")))</f>
        <v>A</v>
      </c>
    </row>
    <row r="85" spans="1:18" x14ac:dyDescent="0.15">
      <c r="A85" s="16" t="s">
        <v>163</v>
      </c>
      <c r="B85" s="16" t="s">
        <v>13</v>
      </c>
      <c r="C85" s="19">
        <v>20947</v>
      </c>
      <c r="D85" s="18">
        <f>YEAR(C85)</f>
        <v>1957</v>
      </c>
      <c r="E85" s="18">
        <f>MONTH(C85)</f>
        <v>5</v>
      </c>
      <c r="F85" s="18">
        <f>DAY(C85)</f>
        <v>7</v>
      </c>
      <c r="G85" s="20">
        <v>62</v>
      </c>
      <c r="H85" s="16">
        <v>2</v>
      </c>
      <c r="I85" s="16" t="s">
        <v>51</v>
      </c>
      <c r="J85" s="16" t="s">
        <v>31</v>
      </c>
      <c r="K85" s="16" t="s">
        <v>32</v>
      </c>
      <c r="L85" s="16" t="s">
        <v>33</v>
      </c>
      <c r="M85" s="19">
        <v>41656</v>
      </c>
      <c r="N85" s="19">
        <v>42753</v>
      </c>
      <c r="O85" s="16">
        <v>54129.49</v>
      </c>
      <c r="P85" s="21">
        <v>41</v>
      </c>
      <c r="Q85" s="22">
        <f>O85/P85</f>
        <v>1320.2314634146342</v>
      </c>
      <c r="R85" s="16" t="str">
        <f>IF(Q85&gt;1500,"A",IF(Q85&gt;800,"B",IF(Q85&gt;300,"C","D")))</f>
        <v>B</v>
      </c>
    </row>
    <row r="86" spans="1:18" x14ac:dyDescent="0.15">
      <c r="A86" s="16" t="s">
        <v>164</v>
      </c>
      <c r="B86" s="16" t="s">
        <v>13</v>
      </c>
      <c r="C86" s="19">
        <v>31205</v>
      </c>
      <c r="D86" s="18">
        <f>YEAR(C86)</f>
        <v>1985</v>
      </c>
      <c r="E86" s="18">
        <f>MONTH(C86)</f>
        <v>6</v>
      </c>
      <c r="F86" s="18">
        <f>DAY(C86)</f>
        <v>7</v>
      </c>
      <c r="G86" s="20">
        <v>34</v>
      </c>
      <c r="H86" s="16">
        <v>3</v>
      </c>
      <c r="I86" s="16" t="s">
        <v>49</v>
      </c>
      <c r="J86" s="16" t="s">
        <v>90</v>
      </c>
      <c r="K86" s="16" t="s">
        <v>91</v>
      </c>
      <c r="L86" s="16" t="s">
        <v>33</v>
      </c>
      <c r="M86" s="19">
        <v>41586</v>
      </c>
      <c r="N86" s="19">
        <v>42472</v>
      </c>
      <c r="O86" s="16">
        <v>202.95</v>
      </c>
      <c r="P86" s="21">
        <v>29</v>
      </c>
      <c r="Q86" s="22">
        <f>O86/P86</f>
        <v>6.9982758620689651</v>
      </c>
      <c r="R86" s="16" t="str">
        <f>IF(Q86&gt;1500,"A",IF(Q86&gt;800,"B",IF(Q86&gt;300,"C","D")))</f>
        <v>D</v>
      </c>
    </row>
    <row r="87" spans="1:18" x14ac:dyDescent="0.15">
      <c r="A87" s="16" t="s">
        <v>165</v>
      </c>
      <c r="B87" s="16" t="s">
        <v>13</v>
      </c>
      <c r="C87" s="19">
        <v>24387</v>
      </c>
      <c r="D87" s="18">
        <f>YEAR(C87)</f>
        <v>1966</v>
      </c>
      <c r="E87" s="18">
        <f>MONTH(C87)</f>
        <v>10</v>
      </c>
      <c r="F87" s="18">
        <f>DAY(C87)</f>
        <v>7</v>
      </c>
      <c r="G87" s="20">
        <v>53</v>
      </c>
      <c r="H87" s="16">
        <v>2</v>
      </c>
      <c r="I87" s="16" t="s">
        <v>59</v>
      </c>
      <c r="J87" s="16" t="s">
        <v>166</v>
      </c>
      <c r="K87" s="16" t="s">
        <v>167</v>
      </c>
      <c r="L87" s="20" t="s">
        <v>28</v>
      </c>
      <c r="M87" s="19">
        <v>41677</v>
      </c>
      <c r="N87" s="19">
        <v>42194</v>
      </c>
      <c r="O87" s="16">
        <v>2753.1925000000001</v>
      </c>
      <c r="P87" s="21">
        <v>26</v>
      </c>
      <c r="Q87" s="22">
        <f>O87/P87</f>
        <v>105.89201923076924</v>
      </c>
      <c r="R87" s="16" t="str">
        <f>IF(Q87&gt;1500,"A",IF(Q87&gt;800,"B",IF(Q87&gt;300,"C","D")))</f>
        <v>D</v>
      </c>
    </row>
    <row r="88" spans="1:18" x14ac:dyDescent="0.15">
      <c r="A88" s="16" t="s">
        <v>168</v>
      </c>
      <c r="B88" s="16" t="s">
        <v>13</v>
      </c>
      <c r="C88" s="19">
        <v>27362</v>
      </c>
      <c r="D88" s="18">
        <f>YEAR(C88)</f>
        <v>1974</v>
      </c>
      <c r="E88" s="18">
        <f>MONTH(C88)</f>
        <v>11</v>
      </c>
      <c r="F88" s="18">
        <f>DAY(C88)</f>
        <v>29</v>
      </c>
      <c r="G88" s="20">
        <v>44</v>
      </c>
      <c r="H88" s="16">
        <v>2</v>
      </c>
      <c r="I88" s="16" t="s">
        <v>59</v>
      </c>
      <c r="J88" s="16" t="s">
        <v>52</v>
      </c>
      <c r="K88" s="16" t="s">
        <v>53</v>
      </c>
      <c r="L88" s="16" t="s">
        <v>33</v>
      </c>
      <c r="M88" s="19">
        <v>41552</v>
      </c>
      <c r="N88" s="19">
        <v>42008</v>
      </c>
      <c r="O88" s="16">
        <v>70.239999999999995</v>
      </c>
      <c r="P88" s="23">
        <v>13</v>
      </c>
      <c r="Q88" s="22">
        <f>O88/P88</f>
        <v>5.4030769230769229</v>
      </c>
      <c r="R88" s="16" t="str">
        <f>IF(Q88&gt;1500,"A",IF(Q88&gt;800,"B",IF(Q88&gt;300,"C","D")))</f>
        <v>D</v>
      </c>
    </row>
    <row r="89" spans="1:18" x14ac:dyDescent="0.15">
      <c r="A89" s="16" t="s">
        <v>169</v>
      </c>
      <c r="B89" s="16" t="s">
        <v>13</v>
      </c>
      <c r="C89" s="19">
        <v>15936</v>
      </c>
      <c r="D89" s="18">
        <f>YEAR(C89)</f>
        <v>1943</v>
      </c>
      <c r="E89" s="18">
        <f>MONTH(C89)</f>
        <v>8</v>
      </c>
      <c r="F89" s="18">
        <f>DAY(C89)</f>
        <v>18</v>
      </c>
      <c r="G89" s="20">
        <v>76</v>
      </c>
      <c r="H89" s="16">
        <v>2</v>
      </c>
      <c r="I89" s="16" t="s">
        <v>55</v>
      </c>
      <c r="J89" s="16" t="s">
        <v>56</v>
      </c>
      <c r="K89" s="16" t="s">
        <v>57</v>
      </c>
      <c r="L89" s="20" t="s">
        <v>28</v>
      </c>
      <c r="M89" s="19">
        <v>41464</v>
      </c>
      <c r="N89" s="19">
        <v>41922</v>
      </c>
      <c r="O89" s="16">
        <v>40.75</v>
      </c>
      <c r="P89" s="23">
        <v>5</v>
      </c>
      <c r="Q89" s="22">
        <f>O89/P89</f>
        <v>8.15</v>
      </c>
      <c r="R89" s="16" t="str">
        <f>IF(Q89&gt;1500,"A",IF(Q89&gt;800,"B",IF(Q89&gt;300,"C","D")))</f>
        <v>D</v>
      </c>
    </row>
    <row r="90" spans="1:18" x14ac:dyDescent="0.15">
      <c r="A90" s="16" t="s">
        <v>170</v>
      </c>
      <c r="B90" s="16" t="s">
        <v>13</v>
      </c>
      <c r="C90" s="19">
        <v>17811</v>
      </c>
      <c r="D90" s="18">
        <f>YEAR(C90)</f>
        <v>1948</v>
      </c>
      <c r="E90" s="18">
        <f>MONTH(C90)</f>
        <v>10</v>
      </c>
      <c r="F90" s="18">
        <f>DAY(C90)</f>
        <v>5</v>
      </c>
      <c r="G90" s="20">
        <v>71</v>
      </c>
      <c r="H90" s="16">
        <v>2</v>
      </c>
      <c r="I90" s="16" t="s">
        <v>55</v>
      </c>
      <c r="J90" s="16" t="s">
        <v>99</v>
      </c>
      <c r="K90" s="16" t="s">
        <v>100</v>
      </c>
      <c r="L90" s="20" t="s">
        <v>23</v>
      </c>
      <c r="M90" s="19">
        <v>41413</v>
      </c>
      <c r="N90" s="19">
        <v>42510</v>
      </c>
      <c r="O90" s="16">
        <v>1150.8800000000001</v>
      </c>
      <c r="P90" s="23">
        <v>30</v>
      </c>
      <c r="Q90" s="22">
        <f>O90/P90</f>
        <v>38.362666666666669</v>
      </c>
      <c r="R90" s="16" t="str">
        <f>IF(Q90&gt;1500,"A",IF(Q90&gt;800,"B",IF(Q90&gt;300,"C","D")))</f>
        <v>D</v>
      </c>
    </row>
    <row r="91" spans="1:18" x14ac:dyDescent="0.15">
      <c r="A91" s="16" t="s">
        <v>171</v>
      </c>
      <c r="B91" s="16" t="s">
        <v>13</v>
      </c>
      <c r="C91" s="19">
        <v>34321</v>
      </c>
      <c r="D91" s="18">
        <f>YEAR(C91)</f>
        <v>1993</v>
      </c>
      <c r="E91" s="18">
        <f>MONTH(C91)</f>
        <v>12</v>
      </c>
      <c r="F91" s="18">
        <f>DAY(C91)</f>
        <v>18</v>
      </c>
      <c r="G91" s="20">
        <v>25</v>
      </c>
      <c r="H91" s="16">
        <v>2</v>
      </c>
      <c r="I91" s="16" t="s">
        <v>59</v>
      </c>
      <c r="J91" s="16" t="s">
        <v>21</v>
      </c>
      <c r="K91" s="16" t="s">
        <v>22</v>
      </c>
      <c r="L91" s="20" t="s">
        <v>23</v>
      </c>
      <c r="M91" s="19">
        <v>41623</v>
      </c>
      <c r="N91" s="19">
        <v>42141</v>
      </c>
      <c r="O91" s="16">
        <v>283.64999999999998</v>
      </c>
      <c r="P91" s="21">
        <v>38</v>
      </c>
      <c r="Q91" s="22">
        <f>O91/P91</f>
        <v>7.4644736842105255</v>
      </c>
      <c r="R91" s="16" t="str">
        <f>IF(Q91&gt;1500,"A",IF(Q91&gt;800,"B",IF(Q91&gt;300,"C","D")))</f>
        <v>D</v>
      </c>
    </row>
    <row r="92" spans="1:18" x14ac:dyDescent="0.15">
      <c r="A92" s="16" t="s">
        <v>172</v>
      </c>
      <c r="B92" s="16" t="s">
        <v>13</v>
      </c>
      <c r="C92" s="19">
        <v>28821</v>
      </c>
      <c r="D92" s="18">
        <f>YEAR(C92)</f>
        <v>1978</v>
      </c>
      <c r="E92" s="18">
        <f>MONTH(C92)</f>
        <v>11</v>
      </c>
      <c r="F92" s="18">
        <f>DAY(C92)</f>
        <v>27</v>
      </c>
      <c r="G92" s="20">
        <v>40</v>
      </c>
      <c r="H92" s="16">
        <v>1</v>
      </c>
      <c r="I92" s="16" t="s">
        <v>51</v>
      </c>
      <c r="J92" s="16" t="s">
        <v>77</v>
      </c>
      <c r="K92" s="16" t="s">
        <v>78</v>
      </c>
      <c r="L92" s="16" t="s">
        <v>33</v>
      </c>
      <c r="M92" s="19">
        <v>41708</v>
      </c>
      <c r="N92" s="19">
        <v>42472</v>
      </c>
      <c r="O92" s="16">
        <v>840.04</v>
      </c>
      <c r="P92" s="23">
        <v>47</v>
      </c>
      <c r="Q92" s="22">
        <f>O92/P92</f>
        <v>17.873191489361702</v>
      </c>
      <c r="R92" s="16" t="str">
        <f>IF(Q92&gt;1500,"A",IF(Q92&gt;800,"B",IF(Q92&gt;300,"C","D")))</f>
        <v>D</v>
      </c>
    </row>
    <row r="93" spans="1:18" x14ac:dyDescent="0.15">
      <c r="A93" s="16" t="s">
        <v>173</v>
      </c>
      <c r="B93" s="16" t="s">
        <v>13</v>
      </c>
      <c r="C93" s="19">
        <v>28623</v>
      </c>
      <c r="D93" s="18">
        <f>YEAR(C93)</f>
        <v>1978</v>
      </c>
      <c r="E93" s="18">
        <f>MONTH(C93)</f>
        <v>5</v>
      </c>
      <c r="F93" s="18">
        <f>DAY(C93)</f>
        <v>13</v>
      </c>
      <c r="G93" s="20">
        <v>41</v>
      </c>
      <c r="H93" s="16">
        <v>2</v>
      </c>
      <c r="I93" s="16" t="s">
        <v>84</v>
      </c>
      <c r="J93" s="16" t="s">
        <v>90</v>
      </c>
      <c r="K93" s="16" t="s">
        <v>91</v>
      </c>
      <c r="L93" s="16" t="s">
        <v>33</v>
      </c>
      <c r="M93" s="19">
        <v>41623</v>
      </c>
      <c r="N93" s="19">
        <v>42079</v>
      </c>
      <c r="O93" s="16">
        <v>262.87</v>
      </c>
      <c r="P93" s="21">
        <v>50</v>
      </c>
      <c r="Q93" s="22">
        <f>O93/P93</f>
        <v>5.2574000000000005</v>
      </c>
      <c r="R93" s="16" t="str">
        <f>IF(Q93&gt;1500,"A",IF(Q93&gt;800,"B",IF(Q93&gt;300,"C","D")))</f>
        <v>D</v>
      </c>
    </row>
    <row r="94" spans="1:18" x14ac:dyDescent="0.15">
      <c r="A94" s="16" t="s">
        <v>174</v>
      </c>
      <c r="B94" s="16" t="s">
        <v>19</v>
      </c>
      <c r="C94" s="19">
        <v>27903</v>
      </c>
      <c r="D94" s="18">
        <f>YEAR(C94)</f>
        <v>1976</v>
      </c>
      <c r="E94" s="18">
        <f>MONTH(C94)</f>
        <v>5</v>
      </c>
      <c r="F94" s="18">
        <f>DAY(C94)</f>
        <v>23</v>
      </c>
      <c r="G94" s="20">
        <v>43</v>
      </c>
      <c r="H94" s="16">
        <v>2</v>
      </c>
      <c r="I94" s="16" t="s">
        <v>84</v>
      </c>
      <c r="J94" s="16" t="s">
        <v>26</v>
      </c>
      <c r="K94" s="16" t="s">
        <v>27</v>
      </c>
      <c r="L94" s="20" t="s">
        <v>28</v>
      </c>
      <c r="M94" s="19">
        <v>41657</v>
      </c>
      <c r="N94" s="19">
        <v>42112</v>
      </c>
      <c r="O94" s="16">
        <v>2531.0875000000001</v>
      </c>
      <c r="P94" s="21">
        <v>43</v>
      </c>
      <c r="Q94" s="22">
        <f>O94/P94</f>
        <v>58.862500000000004</v>
      </c>
      <c r="R94" s="16" t="str">
        <f>IF(Q94&gt;1500,"A",IF(Q94&gt;800,"B",IF(Q94&gt;300,"C","D")))</f>
        <v>D</v>
      </c>
    </row>
    <row r="95" spans="1:18" x14ac:dyDescent="0.15">
      <c r="A95" s="16" t="s">
        <v>175</v>
      </c>
      <c r="B95" s="16" t="s">
        <v>19</v>
      </c>
      <c r="C95" s="19">
        <v>22585</v>
      </c>
      <c r="D95" s="18">
        <f>YEAR(C95)</f>
        <v>1961</v>
      </c>
      <c r="E95" s="18">
        <f>MONTH(C95)</f>
        <v>10</v>
      </c>
      <c r="F95" s="18">
        <f>DAY(C95)</f>
        <v>31</v>
      </c>
      <c r="G95" s="20">
        <v>57</v>
      </c>
      <c r="H95" s="16">
        <v>2</v>
      </c>
      <c r="I95" s="16" t="s">
        <v>55</v>
      </c>
      <c r="J95" s="16" t="s">
        <v>90</v>
      </c>
      <c r="K95" s="16" t="s">
        <v>91</v>
      </c>
      <c r="L95" s="20" t="s">
        <v>28</v>
      </c>
      <c r="M95" s="19">
        <v>41411</v>
      </c>
      <c r="N95" s="19">
        <v>41866</v>
      </c>
      <c r="O95" s="16">
        <v>93.54</v>
      </c>
      <c r="P95" s="21">
        <v>12</v>
      </c>
      <c r="Q95" s="22">
        <f>O95/P95</f>
        <v>7.7950000000000008</v>
      </c>
      <c r="R95" s="16" t="str">
        <f>IF(Q95&gt;1500,"A",IF(Q95&gt;800,"B",IF(Q95&gt;300,"C","D")))</f>
        <v>D</v>
      </c>
    </row>
    <row r="96" spans="1:18" x14ac:dyDescent="0.15">
      <c r="A96" s="16" t="s">
        <v>176</v>
      </c>
      <c r="B96" s="16" t="s">
        <v>13</v>
      </c>
      <c r="C96" s="19">
        <v>34566</v>
      </c>
      <c r="D96" s="18">
        <f>YEAR(C96)</f>
        <v>1994</v>
      </c>
      <c r="E96" s="18">
        <f>MONTH(C96)</f>
        <v>8</v>
      </c>
      <c r="F96" s="18">
        <f>DAY(C96)</f>
        <v>20</v>
      </c>
      <c r="G96" s="20">
        <v>25</v>
      </c>
      <c r="H96" s="16">
        <v>2</v>
      </c>
      <c r="I96" s="16" t="s">
        <v>45</v>
      </c>
      <c r="J96" s="16" t="s">
        <v>42</v>
      </c>
      <c r="K96" s="16" t="s">
        <v>43</v>
      </c>
      <c r="L96" s="20" t="s">
        <v>23</v>
      </c>
      <c r="M96" s="19">
        <v>41435</v>
      </c>
      <c r="N96" s="19">
        <v>42154</v>
      </c>
      <c r="O96" s="16">
        <v>905.08</v>
      </c>
      <c r="P96" s="21">
        <v>22</v>
      </c>
      <c r="Q96" s="22">
        <f>O96/P96</f>
        <v>41.14</v>
      </c>
      <c r="R96" s="16" t="str">
        <f>IF(Q96&gt;1500,"A",IF(Q96&gt;800,"B",IF(Q96&gt;300,"C","D")))</f>
        <v>D</v>
      </c>
    </row>
    <row r="97" spans="1:18" x14ac:dyDescent="0.15">
      <c r="A97" s="16" t="s">
        <v>177</v>
      </c>
      <c r="B97" s="16" t="s">
        <v>13</v>
      </c>
      <c r="C97" s="19">
        <v>30402</v>
      </c>
      <c r="D97" s="18">
        <f>YEAR(C97)</f>
        <v>1983</v>
      </c>
      <c r="E97" s="18">
        <f>MONTH(C97)</f>
        <v>3</v>
      </c>
      <c r="F97" s="18">
        <f>DAY(C97)</f>
        <v>27</v>
      </c>
      <c r="G97" s="20">
        <v>36</v>
      </c>
      <c r="H97" s="16">
        <v>2</v>
      </c>
      <c r="I97" s="16" t="s">
        <v>45</v>
      </c>
      <c r="J97" s="16" t="s">
        <v>15</v>
      </c>
      <c r="K97" s="16" t="s">
        <v>16</v>
      </c>
      <c r="L97" s="20" t="s">
        <v>23</v>
      </c>
      <c r="M97" s="19">
        <v>41507</v>
      </c>
      <c r="N97" s="19">
        <v>41963</v>
      </c>
      <c r="O97" s="16">
        <v>628.22</v>
      </c>
      <c r="P97" s="21">
        <v>41</v>
      </c>
      <c r="Q97" s="22">
        <f>O97/P97</f>
        <v>15.322439024390244</v>
      </c>
      <c r="R97" s="16" t="str">
        <f>IF(Q97&gt;1500,"A",IF(Q97&gt;800,"B",IF(Q97&gt;300,"C","D")))</f>
        <v>D</v>
      </c>
    </row>
    <row r="98" spans="1:18" x14ac:dyDescent="0.15">
      <c r="A98" s="16" t="s">
        <v>178</v>
      </c>
      <c r="B98" s="16" t="s">
        <v>13</v>
      </c>
      <c r="C98" s="19">
        <v>19425</v>
      </c>
      <c r="D98" s="18">
        <f>YEAR(C98)</f>
        <v>1953</v>
      </c>
      <c r="E98" s="18">
        <f>MONTH(C98)</f>
        <v>3</v>
      </c>
      <c r="F98" s="18">
        <f>DAY(C98)</f>
        <v>7</v>
      </c>
      <c r="G98" s="20">
        <v>66</v>
      </c>
      <c r="H98" s="16">
        <v>3</v>
      </c>
      <c r="I98" s="16" t="s">
        <v>84</v>
      </c>
      <c r="J98" s="16" t="s">
        <v>138</v>
      </c>
      <c r="K98" s="16" t="s">
        <v>139</v>
      </c>
      <c r="L98" s="20" t="s">
        <v>23</v>
      </c>
      <c r="M98" s="19">
        <v>41620</v>
      </c>
      <c r="N98" s="19">
        <v>42411</v>
      </c>
      <c r="O98" s="16">
        <v>3366.1</v>
      </c>
      <c r="P98" s="21">
        <v>24</v>
      </c>
      <c r="Q98" s="22">
        <f>O98/P98</f>
        <v>140.25416666666666</v>
      </c>
      <c r="R98" s="16" t="str">
        <f>IF(Q98&gt;1500,"A",IF(Q98&gt;800,"B",IF(Q98&gt;300,"C","D")))</f>
        <v>D</v>
      </c>
    </row>
    <row r="99" spans="1:18" x14ac:dyDescent="0.15">
      <c r="A99" s="16" t="s">
        <v>179</v>
      </c>
      <c r="B99" s="16" t="s">
        <v>13</v>
      </c>
      <c r="C99" s="19">
        <v>32369</v>
      </c>
      <c r="D99" s="18">
        <f>YEAR(C99)</f>
        <v>1988</v>
      </c>
      <c r="E99" s="18">
        <f>MONTH(C99)</f>
        <v>8</v>
      </c>
      <c r="F99" s="18">
        <f>DAY(C99)</f>
        <v>14</v>
      </c>
      <c r="G99" s="20">
        <v>31</v>
      </c>
      <c r="H99" s="16">
        <v>2</v>
      </c>
      <c r="I99" s="16" t="s">
        <v>120</v>
      </c>
      <c r="J99" s="16" t="s">
        <v>138</v>
      </c>
      <c r="K99" s="16" t="s">
        <v>139</v>
      </c>
      <c r="L99" s="20" t="s">
        <v>28</v>
      </c>
      <c r="M99" s="19">
        <v>41571</v>
      </c>
      <c r="N99" s="19">
        <v>42026</v>
      </c>
      <c r="O99" s="16">
        <v>4913.6899999999996</v>
      </c>
      <c r="P99" s="21">
        <v>39</v>
      </c>
      <c r="Q99" s="22">
        <f>O99/P99</f>
        <v>125.99205128205128</v>
      </c>
      <c r="R99" s="16" t="str">
        <f>IF(Q99&gt;1500,"A",IF(Q99&gt;800,"B",IF(Q99&gt;300,"C","D")))</f>
        <v>D</v>
      </c>
    </row>
    <row r="100" spans="1:18" x14ac:dyDescent="0.15">
      <c r="A100" s="16" t="s">
        <v>180</v>
      </c>
      <c r="B100" s="16" t="s">
        <v>19</v>
      </c>
      <c r="C100" s="19">
        <v>26775</v>
      </c>
      <c r="D100" s="18">
        <f>YEAR(C100)</f>
        <v>1973</v>
      </c>
      <c r="E100" s="18">
        <f>MONTH(C100)</f>
        <v>4</v>
      </c>
      <c r="F100" s="18">
        <f>DAY(C100)</f>
        <v>21</v>
      </c>
      <c r="G100" s="20">
        <v>46</v>
      </c>
      <c r="H100" s="16">
        <v>2</v>
      </c>
      <c r="I100" s="16" t="s">
        <v>49</v>
      </c>
      <c r="J100" s="16" t="s">
        <v>42</v>
      </c>
      <c r="K100" s="16" t="s">
        <v>43</v>
      </c>
      <c r="L100" s="16" t="s">
        <v>33</v>
      </c>
      <c r="M100" s="19">
        <v>41651</v>
      </c>
      <c r="N100" s="19">
        <v>42106</v>
      </c>
      <c r="O100" s="16">
        <v>464.77</v>
      </c>
      <c r="P100" s="21">
        <v>24</v>
      </c>
      <c r="Q100" s="22">
        <f>O100/P100</f>
        <v>19.365416666666665</v>
      </c>
      <c r="R100" s="16" t="str">
        <f>IF(Q100&gt;1500,"A",IF(Q100&gt;800,"B",IF(Q100&gt;300,"C","D")))</f>
        <v>D</v>
      </c>
    </row>
    <row r="101" spans="1:18" x14ac:dyDescent="0.15">
      <c r="A101" s="16" t="s">
        <v>181</v>
      </c>
      <c r="B101" s="16" t="s">
        <v>13</v>
      </c>
      <c r="C101" s="19">
        <v>26427</v>
      </c>
      <c r="D101" s="18">
        <f>YEAR(C101)</f>
        <v>1972</v>
      </c>
      <c r="E101" s="18">
        <f>MONTH(C101)</f>
        <v>5</v>
      </c>
      <c r="F101" s="18">
        <f>DAY(C101)</f>
        <v>8</v>
      </c>
      <c r="G101" s="20">
        <v>47</v>
      </c>
      <c r="H101" s="16">
        <v>2</v>
      </c>
      <c r="I101" s="16" t="s">
        <v>120</v>
      </c>
      <c r="J101" s="16" t="s">
        <v>138</v>
      </c>
      <c r="K101" s="16" t="s">
        <v>139</v>
      </c>
      <c r="L101" s="20" t="s">
        <v>28</v>
      </c>
      <c r="M101" s="19">
        <v>41552</v>
      </c>
      <c r="N101" s="19">
        <v>42007</v>
      </c>
      <c r="O101" s="16">
        <v>2781.82</v>
      </c>
      <c r="P101" s="21">
        <v>21</v>
      </c>
      <c r="Q101" s="22">
        <f>O101/P101</f>
        <v>132.46761904761905</v>
      </c>
      <c r="R101" s="16" t="str">
        <f>IF(Q101&gt;1500,"A",IF(Q101&gt;800,"B",IF(Q101&gt;300,"C","D")))</f>
        <v>D</v>
      </c>
    </row>
    <row r="102" spans="1:18" x14ac:dyDescent="0.15">
      <c r="A102" s="16" t="s">
        <v>182</v>
      </c>
      <c r="B102" s="16" t="s">
        <v>13</v>
      </c>
      <c r="C102" s="19">
        <v>34278</v>
      </c>
      <c r="D102" s="18">
        <f>YEAR(C102)</f>
        <v>1993</v>
      </c>
      <c r="E102" s="18">
        <f>MONTH(C102)</f>
        <v>11</v>
      </c>
      <c r="F102" s="18">
        <f>DAY(C102)</f>
        <v>5</v>
      </c>
      <c r="G102" s="20">
        <v>25</v>
      </c>
      <c r="H102" s="16">
        <v>3</v>
      </c>
      <c r="I102" s="16" t="s">
        <v>120</v>
      </c>
      <c r="J102" s="16" t="s">
        <v>77</v>
      </c>
      <c r="K102" s="16" t="s">
        <v>78</v>
      </c>
      <c r="L102" s="20" t="s">
        <v>23</v>
      </c>
      <c r="M102" s="19">
        <v>41633</v>
      </c>
      <c r="N102" s="19">
        <v>42090</v>
      </c>
      <c r="O102" s="16">
        <v>1679.58</v>
      </c>
      <c r="P102" s="21">
        <v>15</v>
      </c>
      <c r="Q102" s="22">
        <f>O102/P102</f>
        <v>111.97199999999999</v>
      </c>
      <c r="R102" s="16" t="str">
        <f>IF(Q102&gt;1500,"A",IF(Q102&gt;800,"B",IF(Q102&gt;300,"C","D")))</f>
        <v>D</v>
      </c>
    </row>
    <row r="103" spans="1:18" x14ac:dyDescent="0.15">
      <c r="A103" s="16" t="s">
        <v>183</v>
      </c>
      <c r="B103" s="16" t="s">
        <v>13</v>
      </c>
      <c r="C103" s="19">
        <v>33875</v>
      </c>
      <c r="D103" s="18">
        <f>YEAR(C103)</f>
        <v>1992</v>
      </c>
      <c r="E103" s="18">
        <f>MONTH(C103)</f>
        <v>9</v>
      </c>
      <c r="F103" s="18">
        <f>DAY(C103)</f>
        <v>28</v>
      </c>
      <c r="G103" s="20">
        <v>27</v>
      </c>
      <c r="H103" s="16">
        <v>2</v>
      </c>
      <c r="I103" s="16" t="s">
        <v>55</v>
      </c>
      <c r="J103" s="16" t="s">
        <v>77</v>
      </c>
      <c r="K103" s="16" t="s">
        <v>78</v>
      </c>
      <c r="L103" s="16" t="s">
        <v>33</v>
      </c>
      <c r="M103" s="19">
        <v>41381</v>
      </c>
      <c r="N103" s="19">
        <v>41838</v>
      </c>
      <c r="O103" s="16">
        <v>557.85</v>
      </c>
      <c r="P103" s="23">
        <v>42</v>
      </c>
      <c r="Q103" s="22">
        <f>O103/P103</f>
        <v>13.282142857142858</v>
      </c>
      <c r="R103" s="16" t="str">
        <f>IF(Q103&gt;1500,"A",IF(Q103&gt;800,"B",IF(Q103&gt;300,"C","D")))</f>
        <v>D</v>
      </c>
    </row>
    <row r="104" spans="1:18" x14ac:dyDescent="0.15">
      <c r="A104" s="16" t="s">
        <v>184</v>
      </c>
      <c r="B104" s="16" t="s">
        <v>19</v>
      </c>
      <c r="C104" s="19">
        <v>17016</v>
      </c>
      <c r="D104" s="18">
        <f>YEAR(C104)</f>
        <v>1946</v>
      </c>
      <c r="E104" s="18">
        <f>MONTH(C104)</f>
        <v>8</v>
      </c>
      <c r="F104" s="18">
        <f>DAY(C104)</f>
        <v>2</v>
      </c>
      <c r="G104" s="20">
        <v>73</v>
      </c>
      <c r="H104" s="16">
        <v>2</v>
      </c>
      <c r="I104" s="16" t="s">
        <v>55</v>
      </c>
      <c r="J104" s="16" t="s">
        <v>185</v>
      </c>
      <c r="K104" s="16" t="s">
        <v>186</v>
      </c>
      <c r="L104" s="16" t="s">
        <v>33</v>
      </c>
      <c r="M104" s="19">
        <v>41497</v>
      </c>
      <c r="N104" s="19">
        <v>41955</v>
      </c>
      <c r="O104" s="16">
        <v>161.77000000000001</v>
      </c>
      <c r="P104" s="21">
        <v>42</v>
      </c>
      <c r="Q104" s="22">
        <f>O104/P104</f>
        <v>3.851666666666667</v>
      </c>
      <c r="R104" s="16" t="str">
        <f>IF(Q104&gt;1500,"A",IF(Q104&gt;800,"B",IF(Q104&gt;300,"C","D")))</f>
        <v>D</v>
      </c>
    </row>
    <row r="105" spans="1:18" x14ac:dyDescent="0.15">
      <c r="A105" s="16" t="s">
        <v>187</v>
      </c>
      <c r="B105" s="16" t="s">
        <v>13</v>
      </c>
      <c r="C105" s="19">
        <v>20892</v>
      </c>
      <c r="D105" s="18">
        <f>YEAR(C105)</f>
        <v>1957</v>
      </c>
      <c r="E105" s="18">
        <f>MONTH(C105)</f>
        <v>3</v>
      </c>
      <c r="F105" s="18">
        <f>DAY(C105)</f>
        <v>13</v>
      </c>
      <c r="G105" s="20">
        <v>62</v>
      </c>
      <c r="H105" s="16">
        <v>2</v>
      </c>
      <c r="I105" s="16" t="s">
        <v>84</v>
      </c>
      <c r="J105" s="16" t="s">
        <v>60</v>
      </c>
      <c r="K105" s="16" t="s">
        <v>61</v>
      </c>
      <c r="L105" s="20" t="s">
        <v>23</v>
      </c>
      <c r="M105" s="19">
        <v>41648</v>
      </c>
      <c r="N105" s="19">
        <v>42370</v>
      </c>
      <c r="O105" s="16">
        <v>447.09</v>
      </c>
      <c r="P105" s="21">
        <v>11</v>
      </c>
      <c r="Q105" s="22">
        <f>O105/P105</f>
        <v>40.644545454545451</v>
      </c>
      <c r="R105" s="16" t="str">
        <f>IF(Q105&gt;1500,"A",IF(Q105&gt;800,"B",IF(Q105&gt;300,"C","D")))</f>
        <v>D</v>
      </c>
    </row>
    <row r="106" spans="1:18" x14ac:dyDescent="0.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15">
      <c r="P109" s="4"/>
    </row>
    <row r="110" spans="1:18" x14ac:dyDescent="0.15">
      <c r="P110" s="4"/>
    </row>
    <row r="111" spans="1:18" x14ac:dyDescent="0.15">
      <c r="P111" s="4"/>
    </row>
    <row r="112" spans="1:18" x14ac:dyDescent="0.15">
      <c r="P112" s="4"/>
    </row>
    <row r="113" spans="16:16" x14ac:dyDescent="0.15">
      <c r="P113" s="4"/>
    </row>
    <row r="114" spans="16:16" x14ac:dyDescent="0.15">
      <c r="P114" s="4"/>
    </row>
    <row r="115" spans="16:16" x14ac:dyDescent="0.15">
      <c r="P115" s="4"/>
    </row>
    <row r="116" spans="16:16" x14ac:dyDescent="0.15">
      <c r="P116" s="4"/>
    </row>
    <row r="117" spans="16:16" x14ac:dyDescent="0.15">
      <c r="P117" s="4"/>
    </row>
    <row r="118" spans="16:16" x14ac:dyDescent="0.15">
      <c r="P118" s="4"/>
    </row>
    <row r="119" spans="16:16" x14ac:dyDescent="0.15">
      <c r="P119" s="4"/>
    </row>
    <row r="120" spans="16:16" x14ac:dyDescent="0.15">
      <c r="P120" s="4"/>
    </row>
    <row r="121" spans="16:16" x14ac:dyDescent="0.15">
      <c r="P121" s="4"/>
    </row>
    <row r="122" spans="16:16" x14ac:dyDescent="0.15">
      <c r="P122" s="5"/>
    </row>
    <row r="123" spans="16:16" x14ac:dyDescent="0.15">
      <c r="P123" s="4"/>
    </row>
    <row r="124" spans="16:16" x14ac:dyDescent="0.15">
      <c r="P124" s="4"/>
    </row>
    <row r="125" spans="16:16" x14ac:dyDescent="0.15">
      <c r="P125" s="4"/>
    </row>
    <row r="126" spans="16:16" x14ac:dyDescent="0.15">
      <c r="P126" s="4"/>
    </row>
    <row r="127" spans="16:16" x14ac:dyDescent="0.15">
      <c r="P127" s="4"/>
    </row>
    <row r="128" spans="16:16" x14ac:dyDescent="0.15">
      <c r="P128" s="4"/>
    </row>
    <row r="129" spans="16:16" x14ac:dyDescent="0.15">
      <c r="P129" s="4"/>
    </row>
    <row r="130" spans="16:16" x14ac:dyDescent="0.15">
      <c r="P130" s="5"/>
    </row>
    <row r="131" spans="16:16" x14ac:dyDescent="0.15">
      <c r="P131" s="5"/>
    </row>
    <row r="132" spans="16:16" x14ac:dyDescent="0.15">
      <c r="P132" s="4"/>
    </row>
    <row r="133" spans="16:16" x14ac:dyDescent="0.15">
      <c r="P133" s="4"/>
    </row>
    <row r="134" spans="16:16" x14ac:dyDescent="0.15">
      <c r="P134" s="4"/>
    </row>
    <row r="135" spans="16:16" x14ac:dyDescent="0.15">
      <c r="P135" s="4"/>
    </row>
    <row r="136" spans="16:16" x14ac:dyDescent="0.15">
      <c r="P136" s="4"/>
    </row>
    <row r="137" spans="16:16" x14ac:dyDescent="0.15">
      <c r="P137" s="4"/>
    </row>
    <row r="138" spans="16:16" x14ac:dyDescent="0.15">
      <c r="P138" s="4"/>
    </row>
    <row r="139" spans="16:16" x14ac:dyDescent="0.15">
      <c r="P139" s="4"/>
    </row>
    <row r="140" spans="16:16" x14ac:dyDescent="0.15">
      <c r="P140" s="4"/>
    </row>
    <row r="141" spans="16:16" x14ac:dyDescent="0.15">
      <c r="P141" s="5"/>
    </row>
    <row r="142" spans="16:16" x14ac:dyDescent="0.15">
      <c r="P142" s="4"/>
    </row>
    <row r="143" spans="16:16" x14ac:dyDescent="0.15">
      <c r="P143" s="4"/>
    </row>
    <row r="144" spans="16:16" x14ac:dyDescent="0.15">
      <c r="P144" s="4"/>
    </row>
    <row r="145" spans="16:16" x14ac:dyDescent="0.15">
      <c r="P145" s="4"/>
    </row>
    <row r="146" spans="16:16" x14ac:dyDescent="0.15">
      <c r="P146" s="4"/>
    </row>
    <row r="147" spans="16:16" x14ac:dyDescent="0.15">
      <c r="P147" s="4"/>
    </row>
    <row r="148" spans="16:16" x14ac:dyDescent="0.15">
      <c r="P148" s="4"/>
    </row>
    <row r="149" spans="16:16" x14ac:dyDescent="0.15">
      <c r="P149" s="4"/>
    </row>
    <row r="150" spans="16:16" x14ac:dyDescent="0.15">
      <c r="P150" s="4"/>
    </row>
    <row r="151" spans="16:16" x14ac:dyDescent="0.15">
      <c r="P151" s="4"/>
    </row>
    <row r="152" spans="16:16" x14ac:dyDescent="0.15">
      <c r="P152" s="4"/>
    </row>
    <row r="153" spans="16:16" x14ac:dyDescent="0.15">
      <c r="P153" s="4"/>
    </row>
    <row r="154" spans="16:16" x14ac:dyDescent="0.15">
      <c r="P154" s="4"/>
    </row>
    <row r="155" spans="16:16" x14ac:dyDescent="0.15">
      <c r="P155" s="4"/>
    </row>
    <row r="156" spans="16:16" x14ac:dyDescent="0.15">
      <c r="P156" s="4"/>
    </row>
    <row r="157" spans="16:16" x14ac:dyDescent="0.15">
      <c r="P157" s="4"/>
    </row>
    <row r="158" spans="16:16" x14ac:dyDescent="0.15">
      <c r="P158" s="4"/>
    </row>
    <row r="159" spans="16:16" x14ac:dyDescent="0.15">
      <c r="P159" s="4"/>
    </row>
    <row r="160" spans="16:16" x14ac:dyDescent="0.15">
      <c r="P160" s="4"/>
    </row>
    <row r="161" spans="16:16" x14ac:dyDescent="0.15">
      <c r="P161" s="4"/>
    </row>
    <row r="162" spans="16:16" x14ac:dyDescent="0.15">
      <c r="P162" s="4"/>
    </row>
    <row r="163" spans="16:16" x14ac:dyDescent="0.15">
      <c r="P163" s="4"/>
    </row>
    <row r="164" spans="16:16" x14ac:dyDescent="0.15">
      <c r="P164" s="4"/>
    </row>
    <row r="165" spans="16:16" x14ac:dyDescent="0.15">
      <c r="P165" s="4"/>
    </row>
    <row r="166" spans="16:16" x14ac:dyDescent="0.15">
      <c r="P166" s="4"/>
    </row>
    <row r="167" spans="16:16" x14ac:dyDescent="0.15">
      <c r="P167" s="4"/>
    </row>
    <row r="168" spans="16:16" x14ac:dyDescent="0.15">
      <c r="P168" s="4"/>
    </row>
    <row r="169" spans="16:16" x14ac:dyDescent="0.15">
      <c r="P169" s="4"/>
    </row>
    <row r="170" spans="16:16" x14ac:dyDescent="0.15">
      <c r="P170" s="4"/>
    </row>
    <row r="171" spans="16:16" x14ac:dyDescent="0.15">
      <c r="P171" s="4"/>
    </row>
    <row r="172" spans="16:16" x14ac:dyDescent="0.15">
      <c r="P172" s="4"/>
    </row>
    <row r="173" spans="16:16" x14ac:dyDescent="0.15">
      <c r="P173" s="4"/>
    </row>
    <row r="174" spans="16:16" x14ac:dyDescent="0.15">
      <c r="P174" s="4"/>
    </row>
    <row r="175" spans="16:16" x14ac:dyDescent="0.15">
      <c r="P175" s="5"/>
    </row>
    <row r="176" spans="16:16" x14ac:dyDescent="0.15">
      <c r="P176" s="4"/>
    </row>
    <row r="177" spans="16:16" x14ac:dyDescent="0.15">
      <c r="P177" s="4"/>
    </row>
    <row r="178" spans="16:16" x14ac:dyDescent="0.15">
      <c r="P178" s="4"/>
    </row>
    <row r="179" spans="16:16" x14ac:dyDescent="0.15">
      <c r="P179" s="5"/>
    </row>
    <row r="180" spans="16:16" x14ac:dyDescent="0.15">
      <c r="P180" s="4"/>
    </row>
    <row r="181" spans="16:16" x14ac:dyDescent="0.15">
      <c r="P181" s="4"/>
    </row>
    <row r="182" spans="16:16" x14ac:dyDescent="0.15">
      <c r="P182" s="4"/>
    </row>
    <row r="183" spans="16:16" x14ac:dyDescent="0.15">
      <c r="P183" s="4"/>
    </row>
    <row r="184" spans="16:16" x14ac:dyDescent="0.15">
      <c r="P184" s="4"/>
    </row>
    <row r="185" spans="16:16" x14ac:dyDescent="0.15">
      <c r="P185" s="4"/>
    </row>
    <row r="186" spans="16:16" x14ac:dyDescent="0.15">
      <c r="P186" s="4"/>
    </row>
    <row r="187" spans="16:16" x14ac:dyDescent="0.15">
      <c r="P187" s="4"/>
    </row>
    <row r="188" spans="16:16" x14ac:dyDescent="0.15">
      <c r="P188" s="4"/>
    </row>
    <row r="189" spans="16:16" x14ac:dyDescent="0.15">
      <c r="P189" s="4"/>
    </row>
    <row r="190" spans="16:16" x14ac:dyDescent="0.15">
      <c r="P190" s="4"/>
    </row>
    <row r="191" spans="16:16" x14ac:dyDescent="0.15">
      <c r="P191" s="4"/>
    </row>
    <row r="192" spans="16:16" x14ac:dyDescent="0.15">
      <c r="P192" s="4"/>
    </row>
    <row r="193" spans="16:16" x14ac:dyDescent="0.15">
      <c r="P193" s="4"/>
    </row>
    <row r="194" spans="16:16" x14ac:dyDescent="0.15">
      <c r="P194" s="4"/>
    </row>
    <row r="195" spans="16:16" x14ac:dyDescent="0.15">
      <c r="P195" s="4"/>
    </row>
    <row r="196" spans="16:16" x14ac:dyDescent="0.15">
      <c r="P196" s="4"/>
    </row>
    <row r="197" spans="16:16" x14ac:dyDescent="0.15">
      <c r="P197" s="4"/>
    </row>
    <row r="198" spans="16:16" x14ac:dyDescent="0.15">
      <c r="P198" s="4"/>
    </row>
    <row r="199" spans="16:16" x14ac:dyDescent="0.15">
      <c r="P199" s="5"/>
    </row>
    <row r="200" spans="16:16" x14ac:dyDescent="0.15">
      <c r="P200" s="4"/>
    </row>
    <row r="201" spans="16:16" x14ac:dyDescent="0.15">
      <c r="P201" s="4"/>
    </row>
    <row r="202" spans="16:16" x14ac:dyDescent="0.15">
      <c r="P202" s="4"/>
    </row>
    <row r="203" spans="16:16" x14ac:dyDescent="0.15">
      <c r="P203" s="4"/>
    </row>
    <row r="204" spans="16:16" x14ac:dyDescent="0.15">
      <c r="P204" s="4"/>
    </row>
    <row r="205" spans="16:16" x14ac:dyDescent="0.15">
      <c r="P205" s="4"/>
    </row>
    <row r="206" spans="16:16" x14ac:dyDescent="0.15">
      <c r="P206" s="4"/>
    </row>
    <row r="207" spans="16:16" x14ac:dyDescent="0.15">
      <c r="P207" s="4"/>
    </row>
    <row r="208" spans="16:16" x14ac:dyDescent="0.15">
      <c r="P208" s="4"/>
    </row>
    <row r="209" spans="16:16" x14ac:dyDescent="0.15">
      <c r="P209" s="4"/>
    </row>
    <row r="210" spans="16:16" x14ac:dyDescent="0.15">
      <c r="P210" s="4"/>
    </row>
    <row r="211" spans="16:16" x14ac:dyDescent="0.15">
      <c r="P211" s="5"/>
    </row>
    <row r="212" spans="16:16" x14ac:dyDescent="0.15">
      <c r="P212" s="4"/>
    </row>
    <row r="213" spans="16:16" x14ac:dyDescent="0.15">
      <c r="P213" s="5"/>
    </row>
    <row r="214" spans="16:16" x14ac:dyDescent="0.15">
      <c r="P214" s="4"/>
    </row>
    <row r="215" spans="16:16" x14ac:dyDescent="0.15">
      <c r="P215" s="4"/>
    </row>
    <row r="216" spans="16:16" x14ac:dyDescent="0.15">
      <c r="P216" s="4"/>
    </row>
    <row r="217" spans="16:16" x14ac:dyDescent="0.15">
      <c r="P217" s="4"/>
    </row>
    <row r="218" spans="16:16" x14ac:dyDescent="0.15">
      <c r="P218" s="4"/>
    </row>
    <row r="219" spans="16:16" x14ac:dyDescent="0.15">
      <c r="P219" s="5"/>
    </row>
    <row r="220" spans="16:16" x14ac:dyDescent="0.15">
      <c r="P220" s="5"/>
    </row>
    <row r="221" spans="16:16" x14ac:dyDescent="0.15">
      <c r="P221" s="5"/>
    </row>
    <row r="222" spans="16:16" x14ac:dyDescent="0.15">
      <c r="P222" s="4"/>
    </row>
    <row r="223" spans="16:16" x14ac:dyDescent="0.15">
      <c r="P223" s="4"/>
    </row>
    <row r="224" spans="16:16" x14ac:dyDescent="0.15">
      <c r="P224" s="4"/>
    </row>
    <row r="225" spans="16:16" x14ac:dyDescent="0.15">
      <c r="P225" s="4"/>
    </row>
    <row r="226" spans="16:16" x14ac:dyDescent="0.15">
      <c r="P226" s="4"/>
    </row>
    <row r="227" spans="16:16" x14ac:dyDescent="0.15">
      <c r="P227" s="4"/>
    </row>
    <row r="228" spans="16:16" x14ac:dyDescent="0.15">
      <c r="P228" s="4"/>
    </row>
    <row r="229" spans="16:16" x14ac:dyDescent="0.15">
      <c r="P229" s="4"/>
    </row>
    <row r="230" spans="16:16" x14ac:dyDescent="0.15">
      <c r="P230" s="4"/>
    </row>
    <row r="231" spans="16:16" x14ac:dyDescent="0.15">
      <c r="P231" s="4"/>
    </row>
    <row r="232" spans="16:16" x14ac:dyDescent="0.15">
      <c r="P232" s="4"/>
    </row>
    <row r="233" spans="16:16" x14ac:dyDescent="0.15">
      <c r="P233" s="4"/>
    </row>
    <row r="234" spans="16:16" x14ac:dyDescent="0.15">
      <c r="P234" s="4"/>
    </row>
    <row r="235" spans="16:16" x14ac:dyDescent="0.15">
      <c r="P235" s="4"/>
    </row>
    <row r="236" spans="16:16" x14ac:dyDescent="0.15">
      <c r="P236" s="4"/>
    </row>
    <row r="237" spans="16:16" x14ac:dyDescent="0.15">
      <c r="P237" s="4"/>
    </row>
    <row r="238" spans="16:16" x14ac:dyDescent="0.15">
      <c r="P238" s="4"/>
    </row>
    <row r="239" spans="16:16" x14ac:dyDescent="0.15">
      <c r="P239" s="4"/>
    </row>
    <row r="240" spans="16:16" x14ac:dyDescent="0.15">
      <c r="P240" s="4"/>
    </row>
    <row r="241" spans="16:16" x14ac:dyDescent="0.15">
      <c r="P241" s="4"/>
    </row>
    <row r="242" spans="16:16" x14ac:dyDescent="0.15">
      <c r="P242" s="4"/>
    </row>
    <row r="243" spans="16:16" x14ac:dyDescent="0.15">
      <c r="P243" s="4"/>
    </row>
    <row r="244" spans="16:16" x14ac:dyDescent="0.15">
      <c r="P244" s="4"/>
    </row>
    <row r="245" spans="16:16" x14ac:dyDescent="0.15">
      <c r="P245" s="4"/>
    </row>
    <row r="246" spans="16:16" x14ac:dyDescent="0.15">
      <c r="P246" s="4"/>
    </row>
    <row r="247" spans="16:16" x14ac:dyDescent="0.15">
      <c r="P247" s="4"/>
    </row>
    <row r="248" spans="16:16" x14ac:dyDescent="0.15">
      <c r="P248" s="4"/>
    </row>
    <row r="249" spans="16:16" x14ac:dyDescent="0.15">
      <c r="P249" s="4"/>
    </row>
    <row r="250" spans="16:16" x14ac:dyDescent="0.15">
      <c r="P250" s="4"/>
    </row>
    <row r="251" spans="16:16" x14ac:dyDescent="0.15">
      <c r="P251" s="4"/>
    </row>
    <row r="252" spans="16:16" x14ac:dyDescent="0.15">
      <c r="P252" s="4"/>
    </row>
    <row r="253" spans="16:16" x14ac:dyDescent="0.15">
      <c r="P253" s="4"/>
    </row>
    <row r="254" spans="16:16" x14ac:dyDescent="0.15">
      <c r="P254" s="4"/>
    </row>
    <row r="255" spans="16:16" x14ac:dyDescent="0.15">
      <c r="P255" s="4"/>
    </row>
    <row r="256" spans="16:16" x14ac:dyDescent="0.15">
      <c r="P256" s="4"/>
    </row>
    <row r="257" spans="16:16" x14ac:dyDescent="0.15">
      <c r="P257" s="4"/>
    </row>
    <row r="258" spans="16:16" x14ac:dyDescent="0.15">
      <c r="P258" s="4"/>
    </row>
    <row r="259" spans="16:16" x14ac:dyDescent="0.15">
      <c r="P259" s="4"/>
    </row>
    <row r="260" spans="16:16" x14ac:dyDescent="0.15">
      <c r="P260" s="5"/>
    </row>
    <row r="261" spans="16:16" x14ac:dyDescent="0.15">
      <c r="P261" s="4"/>
    </row>
    <row r="262" spans="16:16" x14ac:dyDescent="0.15">
      <c r="P262" s="4"/>
    </row>
    <row r="263" spans="16:16" x14ac:dyDescent="0.15">
      <c r="P263" s="4"/>
    </row>
    <row r="264" spans="16:16" x14ac:dyDescent="0.15">
      <c r="P264" s="5"/>
    </row>
    <row r="265" spans="16:16" x14ac:dyDescent="0.15">
      <c r="P265" s="4"/>
    </row>
    <row r="266" spans="16:16" x14ac:dyDescent="0.15">
      <c r="P266" s="4"/>
    </row>
    <row r="267" spans="16:16" x14ac:dyDescent="0.15">
      <c r="P267" s="4"/>
    </row>
    <row r="268" spans="16:16" x14ac:dyDescent="0.15">
      <c r="P268" s="4"/>
    </row>
    <row r="269" spans="16:16" x14ac:dyDescent="0.15">
      <c r="P269" s="4"/>
    </row>
    <row r="270" spans="16:16" x14ac:dyDescent="0.15">
      <c r="P270" s="4"/>
    </row>
    <row r="271" spans="16:16" x14ac:dyDescent="0.15">
      <c r="P271" s="5"/>
    </row>
    <row r="272" spans="16:16" x14ac:dyDescent="0.15">
      <c r="P272" s="4"/>
    </row>
    <row r="273" spans="16:16" x14ac:dyDescent="0.15">
      <c r="P273" s="4"/>
    </row>
    <row r="274" spans="16:16" x14ac:dyDescent="0.15">
      <c r="P274" s="5"/>
    </row>
    <row r="275" spans="16:16" x14ac:dyDescent="0.15">
      <c r="P275" s="4"/>
    </row>
    <row r="276" spans="16:16" x14ac:dyDescent="0.15">
      <c r="P276" s="4"/>
    </row>
    <row r="277" spans="16:16" x14ac:dyDescent="0.15">
      <c r="P277" s="4"/>
    </row>
    <row r="278" spans="16:16" x14ac:dyDescent="0.15">
      <c r="P278" s="4"/>
    </row>
    <row r="279" spans="16:16" x14ac:dyDescent="0.15">
      <c r="P279" s="4"/>
    </row>
    <row r="280" spans="16:16" x14ac:dyDescent="0.15">
      <c r="P280" s="4"/>
    </row>
    <row r="281" spans="16:16" x14ac:dyDescent="0.15">
      <c r="P281" s="4"/>
    </row>
    <row r="282" spans="16:16" x14ac:dyDescent="0.15">
      <c r="P282" s="4"/>
    </row>
    <row r="283" spans="16:16" x14ac:dyDescent="0.15">
      <c r="P283" s="4"/>
    </row>
    <row r="284" spans="16:16" x14ac:dyDescent="0.15">
      <c r="P284" s="4"/>
    </row>
    <row r="285" spans="16:16" x14ac:dyDescent="0.15">
      <c r="P285" s="4"/>
    </row>
    <row r="286" spans="16:16" x14ac:dyDescent="0.15">
      <c r="P286" s="4"/>
    </row>
    <row r="287" spans="16:16" x14ac:dyDescent="0.15">
      <c r="P287" s="4"/>
    </row>
    <row r="288" spans="16:16" x14ac:dyDescent="0.15">
      <c r="P288" s="4"/>
    </row>
    <row r="289" spans="16:16" x14ac:dyDescent="0.15">
      <c r="P289" s="4"/>
    </row>
    <row r="290" spans="16:16" x14ac:dyDescent="0.15">
      <c r="P290" s="4"/>
    </row>
    <row r="291" spans="16:16" x14ac:dyDescent="0.15">
      <c r="P291" s="4"/>
    </row>
    <row r="292" spans="16:16" x14ac:dyDescent="0.15">
      <c r="P292" s="4"/>
    </row>
    <row r="293" spans="16:16" x14ac:dyDescent="0.15">
      <c r="P293" s="4"/>
    </row>
    <row r="294" spans="16:16" x14ac:dyDescent="0.15">
      <c r="P294" s="4"/>
    </row>
    <row r="295" spans="16:16" x14ac:dyDescent="0.15">
      <c r="P295" s="4"/>
    </row>
    <row r="296" spans="16:16" x14ac:dyDescent="0.15">
      <c r="P296" s="4"/>
    </row>
    <row r="297" spans="16:16" x14ac:dyDescent="0.15">
      <c r="P297" s="4"/>
    </row>
    <row r="298" spans="16:16" x14ac:dyDescent="0.15">
      <c r="P298" s="4"/>
    </row>
    <row r="299" spans="16:16" x14ac:dyDescent="0.15">
      <c r="P299" s="4"/>
    </row>
    <row r="300" spans="16:16" x14ac:dyDescent="0.15">
      <c r="P300" s="4"/>
    </row>
    <row r="301" spans="16:16" x14ac:dyDescent="0.15">
      <c r="P301" s="4"/>
    </row>
    <row r="302" spans="16:16" x14ac:dyDescent="0.15">
      <c r="P302" s="4"/>
    </row>
    <row r="303" spans="16:16" x14ac:dyDescent="0.15">
      <c r="P303" s="4"/>
    </row>
    <row r="304" spans="16:16" x14ac:dyDescent="0.15">
      <c r="P304" s="4"/>
    </row>
    <row r="305" spans="16:16" x14ac:dyDescent="0.15">
      <c r="P305" s="5"/>
    </row>
    <row r="306" spans="16:16" x14ac:dyDescent="0.15">
      <c r="P306" s="4"/>
    </row>
    <row r="307" spans="16:16" x14ac:dyDescent="0.15">
      <c r="P307" s="4"/>
    </row>
    <row r="308" spans="16:16" x14ac:dyDescent="0.15">
      <c r="P308" s="4"/>
    </row>
    <row r="309" spans="16:16" x14ac:dyDescent="0.15">
      <c r="P309" s="4"/>
    </row>
    <row r="310" spans="16:16" x14ac:dyDescent="0.15">
      <c r="P310" s="4"/>
    </row>
    <row r="311" spans="16:16" x14ac:dyDescent="0.15">
      <c r="P311" s="4"/>
    </row>
    <row r="312" spans="16:16" x14ac:dyDescent="0.15">
      <c r="P312" s="4"/>
    </row>
    <row r="313" spans="16:16" x14ac:dyDescent="0.15">
      <c r="P313" s="4"/>
    </row>
    <row r="314" spans="16:16" x14ac:dyDescent="0.15">
      <c r="P314" s="4"/>
    </row>
    <row r="315" spans="16:16" x14ac:dyDescent="0.15">
      <c r="P315" s="4"/>
    </row>
    <row r="316" spans="16:16" x14ac:dyDescent="0.15">
      <c r="P316" s="4"/>
    </row>
    <row r="317" spans="16:16" x14ac:dyDescent="0.15">
      <c r="P317" s="4"/>
    </row>
    <row r="318" spans="16:16" x14ac:dyDescent="0.15">
      <c r="P318" s="4"/>
    </row>
    <row r="319" spans="16:16" x14ac:dyDescent="0.15">
      <c r="P319" s="4"/>
    </row>
    <row r="320" spans="16:16" x14ac:dyDescent="0.15">
      <c r="P320" s="4"/>
    </row>
    <row r="321" spans="16:16" x14ac:dyDescent="0.15">
      <c r="P321" s="4"/>
    </row>
    <row r="322" spans="16:16" x14ac:dyDescent="0.15">
      <c r="P322" s="4"/>
    </row>
    <row r="323" spans="16:16" x14ac:dyDescent="0.15">
      <c r="P323" s="4"/>
    </row>
    <row r="324" spans="16:16" x14ac:dyDescent="0.15">
      <c r="P324" s="4"/>
    </row>
    <row r="325" spans="16:16" x14ac:dyDescent="0.15">
      <c r="P325" s="4"/>
    </row>
    <row r="326" spans="16:16" x14ac:dyDescent="0.15">
      <c r="P326" s="4"/>
    </row>
    <row r="327" spans="16:16" x14ac:dyDescent="0.15">
      <c r="P327" s="4"/>
    </row>
    <row r="328" spans="16:16" x14ac:dyDescent="0.15">
      <c r="P328" s="4"/>
    </row>
    <row r="329" spans="16:16" x14ac:dyDescent="0.15">
      <c r="P329" s="4"/>
    </row>
    <row r="330" spans="16:16" x14ac:dyDescent="0.15">
      <c r="P330" s="4"/>
    </row>
    <row r="331" spans="16:16" x14ac:dyDescent="0.15">
      <c r="P331" s="4"/>
    </row>
    <row r="332" spans="16:16" x14ac:dyDescent="0.15">
      <c r="P332" s="4"/>
    </row>
    <row r="333" spans="16:16" x14ac:dyDescent="0.15">
      <c r="P333" s="4"/>
    </row>
    <row r="334" spans="16:16" x14ac:dyDescent="0.15">
      <c r="P334" s="4"/>
    </row>
    <row r="335" spans="16:16" x14ac:dyDescent="0.15">
      <c r="P335" s="4"/>
    </row>
    <row r="336" spans="16:16" x14ac:dyDescent="0.15">
      <c r="P336" s="4"/>
    </row>
    <row r="337" spans="16:16" x14ac:dyDescent="0.15">
      <c r="P337" s="4"/>
    </row>
    <row r="338" spans="16:16" x14ac:dyDescent="0.15">
      <c r="P338" s="4"/>
    </row>
    <row r="339" spans="16:16" x14ac:dyDescent="0.15">
      <c r="P339" s="4"/>
    </row>
    <row r="340" spans="16:16" x14ac:dyDescent="0.15">
      <c r="P340" s="4"/>
    </row>
    <row r="341" spans="16:16" x14ac:dyDescent="0.15">
      <c r="P341" s="4"/>
    </row>
    <row r="342" spans="16:16" x14ac:dyDescent="0.15">
      <c r="P342" s="4"/>
    </row>
    <row r="343" spans="16:16" x14ac:dyDescent="0.15">
      <c r="P343" s="4"/>
    </row>
    <row r="344" spans="16:16" x14ac:dyDescent="0.15">
      <c r="P344" s="4"/>
    </row>
    <row r="345" spans="16:16" x14ac:dyDescent="0.15">
      <c r="P345" s="4"/>
    </row>
    <row r="346" spans="16:16" x14ac:dyDescent="0.15">
      <c r="P346" s="5"/>
    </row>
    <row r="347" spans="16:16" x14ac:dyDescent="0.15">
      <c r="P347" s="4"/>
    </row>
    <row r="348" spans="16:16" x14ac:dyDescent="0.15">
      <c r="P348" s="4"/>
    </row>
    <row r="349" spans="16:16" x14ac:dyDescent="0.15">
      <c r="P349" s="4"/>
    </row>
    <row r="350" spans="16:16" x14ac:dyDescent="0.15">
      <c r="P350" s="4"/>
    </row>
    <row r="351" spans="16:16" x14ac:dyDescent="0.15">
      <c r="P351" s="4"/>
    </row>
    <row r="352" spans="16:16" x14ac:dyDescent="0.15">
      <c r="P352" s="5"/>
    </row>
    <row r="353" spans="16:16" x14ac:dyDescent="0.15">
      <c r="P353" s="4"/>
    </row>
    <row r="354" spans="16:16" x14ac:dyDescent="0.15">
      <c r="P354" s="4"/>
    </row>
    <row r="355" spans="16:16" x14ac:dyDescent="0.15">
      <c r="P355" s="4"/>
    </row>
    <row r="356" spans="16:16" x14ac:dyDescent="0.15">
      <c r="P356" s="4"/>
    </row>
    <row r="357" spans="16:16" x14ac:dyDescent="0.15">
      <c r="P357" s="4"/>
    </row>
    <row r="358" spans="16:16" x14ac:dyDescent="0.15">
      <c r="P358" s="4"/>
    </row>
    <row r="359" spans="16:16" x14ac:dyDescent="0.15">
      <c r="P359" s="5"/>
    </row>
    <row r="360" spans="16:16" x14ac:dyDescent="0.15">
      <c r="P360" s="4"/>
    </row>
    <row r="361" spans="16:16" x14ac:dyDescent="0.15">
      <c r="P361" s="5"/>
    </row>
    <row r="362" spans="16:16" x14ac:dyDescent="0.15">
      <c r="P362" s="4"/>
    </row>
    <row r="363" spans="16:16" x14ac:dyDescent="0.15">
      <c r="P363" s="4"/>
    </row>
    <row r="364" spans="16:16" x14ac:dyDescent="0.15">
      <c r="P364" s="4"/>
    </row>
    <row r="365" spans="16:16" x14ac:dyDescent="0.15">
      <c r="P365" s="5"/>
    </row>
    <row r="366" spans="16:16" x14ac:dyDescent="0.15">
      <c r="P366" s="4"/>
    </row>
    <row r="367" spans="16:16" x14ac:dyDescent="0.15">
      <c r="P367" s="4"/>
    </row>
    <row r="368" spans="16:16" x14ac:dyDescent="0.15">
      <c r="P368" s="4"/>
    </row>
    <row r="369" spans="16:16" x14ac:dyDescent="0.15">
      <c r="P369" s="4"/>
    </row>
    <row r="370" spans="16:16" x14ac:dyDescent="0.15">
      <c r="P370" s="4"/>
    </row>
    <row r="371" spans="16:16" x14ac:dyDescent="0.15">
      <c r="P371" s="4"/>
    </row>
    <row r="372" spans="16:16" x14ac:dyDescent="0.15">
      <c r="P372" s="4"/>
    </row>
    <row r="373" spans="16:16" x14ac:dyDescent="0.15">
      <c r="P373" s="4"/>
    </row>
    <row r="374" spans="16:16" x14ac:dyDescent="0.15">
      <c r="P374" s="4"/>
    </row>
    <row r="375" spans="16:16" x14ac:dyDescent="0.15">
      <c r="P375" s="5"/>
    </row>
    <row r="376" spans="16:16" x14ac:dyDescent="0.15">
      <c r="P376" s="4"/>
    </row>
    <row r="377" spans="16:16" x14ac:dyDescent="0.15">
      <c r="P377" s="4"/>
    </row>
    <row r="378" spans="16:16" x14ac:dyDescent="0.15">
      <c r="P378" s="4"/>
    </row>
    <row r="379" spans="16:16" x14ac:dyDescent="0.15">
      <c r="P379" s="4"/>
    </row>
    <row r="380" spans="16:16" x14ac:dyDescent="0.15">
      <c r="P380" s="5"/>
    </row>
    <row r="381" spans="16:16" x14ac:dyDescent="0.15">
      <c r="P381" s="5"/>
    </row>
    <row r="382" spans="16:16" x14ac:dyDescent="0.15">
      <c r="P382" s="4"/>
    </row>
    <row r="383" spans="16:16" x14ac:dyDescent="0.15">
      <c r="P383" s="4"/>
    </row>
    <row r="384" spans="16:16" x14ac:dyDescent="0.15">
      <c r="P384" s="4"/>
    </row>
    <row r="385" spans="16:16" x14ac:dyDescent="0.15">
      <c r="P385" s="4"/>
    </row>
    <row r="386" spans="16:16" x14ac:dyDescent="0.15">
      <c r="P386" s="4"/>
    </row>
    <row r="387" spans="16:16" x14ac:dyDescent="0.15">
      <c r="P387" s="4"/>
    </row>
    <row r="388" spans="16:16" x14ac:dyDescent="0.15">
      <c r="P388" s="4"/>
    </row>
    <row r="389" spans="16:16" x14ac:dyDescent="0.15">
      <c r="P389" s="4"/>
    </row>
    <row r="390" spans="16:16" x14ac:dyDescent="0.15">
      <c r="P390" s="4"/>
    </row>
    <row r="391" spans="16:16" x14ac:dyDescent="0.15">
      <c r="P391" s="4"/>
    </row>
    <row r="392" spans="16:16" x14ac:dyDescent="0.15">
      <c r="P392" s="4"/>
    </row>
    <row r="393" spans="16:16" x14ac:dyDescent="0.15">
      <c r="P393" s="4"/>
    </row>
    <row r="394" spans="16:16" x14ac:dyDescent="0.15">
      <c r="P394" s="4"/>
    </row>
    <row r="395" spans="16:16" x14ac:dyDescent="0.15">
      <c r="P395" s="4"/>
    </row>
    <row r="396" spans="16:16" x14ac:dyDescent="0.15">
      <c r="P396" s="5"/>
    </row>
    <row r="397" spans="16:16" x14ac:dyDescent="0.15">
      <c r="P397" s="4"/>
    </row>
    <row r="398" spans="16:16" x14ac:dyDescent="0.15">
      <c r="P398" s="4"/>
    </row>
    <row r="399" spans="16:16" x14ac:dyDescent="0.15">
      <c r="P399" s="4"/>
    </row>
    <row r="400" spans="16:16" x14ac:dyDescent="0.15">
      <c r="P400" s="4"/>
    </row>
    <row r="401" spans="16:16" x14ac:dyDescent="0.15">
      <c r="P401" s="4"/>
    </row>
    <row r="402" spans="16:16" x14ac:dyDescent="0.15">
      <c r="P402" s="4"/>
    </row>
    <row r="403" spans="16:16" x14ac:dyDescent="0.15">
      <c r="P403" s="4"/>
    </row>
    <row r="404" spans="16:16" x14ac:dyDescent="0.15">
      <c r="P404" s="4"/>
    </row>
    <row r="405" spans="16:16" x14ac:dyDescent="0.15">
      <c r="P405" s="4"/>
    </row>
    <row r="406" spans="16:16" x14ac:dyDescent="0.15">
      <c r="P406" s="4"/>
    </row>
    <row r="407" spans="16:16" x14ac:dyDescent="0.15">
      <c r="P407" s="4"/>
    </row>
    <row r="408" spans="16:16" x14ac:dyDescent="0.15">
      <c r="P408" s="4"/>
    </row>
    <row r="409" spans="16:16" x14ac:dyDescent="0.15">
      <c r="P409" s="4"/>
    </row>
    <row r="410" spans="16:16" x14ac:dyDescent="0.15">
      <c r="P410" s="4"/>
    </row>
    <row r="411" spans="16:16" x14ac:dyDescent="0.15">
      <c r="P411" s="4"/>
    </row>
    <row r="412" spans="16:16" x14ac:dyDescent="0.15">
      <c r="P412" s="4"/>
    </row>
    <row r="413" spans="16:16" x14ac:dyDescent="0.15">
      <c r="P413" s="4"/>
    </row>
    <row r="414" spans="16:16" x14ac:dyDescent="0.15">
      <c r="P414" s="5"/>
    </row>
    <row r="415" spans="16:16" x14ac:dyDescent="0.15">
      <c r="P415" s="4"/>
    </row>
    <row r="416" spans="16:16" x14ac:dyDescent="0.15">
      <c r="P416" s="4"/>
    </row>
    <row r="417" spans="16:16" x14ac:dyDescent="0.15">
      <c r="P417" s="4"/>
    </row>
    <row r="418" spans="16:16" x14ac:dyDescent="0.15">
      <c r="P418" s="4"/>
    </row>
    <row r="419" spans="16:16" x14ac:dyDescent="0.15">
      <c r="P419" s="5"/>
    </row>
    <row r="420" spans="16:16" x14ac:dyDescent="0.15">
      <c r="P420" s="4"/>
    </row>
    <row r="421" spans="16:16" x14ac:dyDescent="0.15">
      <c r="P421" s="4"/>
    </row>
    <row r="422" spans="16:16" x14ac:dyDescent="0.15">
      <c r="P422" s="4"/>
    </row>
    <row r="423" spans="16:16" x14ac:dyDescent="0.15">
      <c r="P423" s="4"/>
    </row>
    <row r="424" spans="16:16" x14ac:dyDescent="0.15">
      <c r="P424" s="4"/>
    </row>
    <row r="425" spans="16:16" x14ac:dyDescent="0.15">
      <c r="P425" s="5"/>
    </row>
    <row r="426" spans="16:16" x14ac:dyDescent="0.15">
      <c r="P426" s="4"/>
    </row>
    <row r="427" spans="16:16" x14ac:dyDescent="0.15">
      <c r="P427" s="4"/>
    </row>
    <row r="428" spans="16:16" x14ac:dyDescent="0.15">
      <c r="P428" s="5"/>
    </row>
    <row r="429" spans="16:16" x14ac:dyDescent="0.15">
      <c r="P429" s="4"/>
    </row>
    <row r="430" spans="16:16" x14ac:dyDescent="0.15">
      <c r="P430" s="4"/>
    </row>
    <row r="431" spans="16:16" x14ac:dyDescent="0.15">
      <c r="P431" s="5"/>
    </row>
    <row r="432" spans="16:16" x14ac:dyDescent="0.15">
      <c r="P432" s="4"/>
    </row>
    <row r="433" spans="16:16" x14ac:dyDescent="0.15">
      <c r="P433" s="4"/>
    </row>
    <row r="434" spans="16:16" x14ac:dyDescent="0.15">
      <c r="P434" s="4"/>
    </row>
    <row r="435" spans="16:16" x14ac:dyDescent="0.15">
      <c r="P435" s="4"/>
    </row>
    <row r="436" spans="16:16" x14ac:dyDescent="0.15">
      <c r="P436" s="4"/>
    </row>
    <row r="437" spans="16:16" x14ac:dyDescent="0.15">
      <c r="P437" s="4"/>
    </row>
    <row r="438" spans="16:16" x14ac:dyDescent="0.15">
      <c r="P438" s="4"/>
    </row>
    <row r="439" spans="16:16" x14ac:dyDescent="0.15">
      <c r="P439" s="4"/>
    </row>
    <row r="440" spans="16:16" x14ac:dyDescent="0.15">
      <c r="P440" s="4"/>
    </row>
    <row r="441" spans="16:16" x14ac:dyDescent="0.15">
      <c r="P441" s="4"/>
    </row>
    <row r="442" spans="16:16" x14ac:dyDescent="0.15">
      <c r="P442" s="4"/>
    </row>
    <row r="443" spans="16:16" x14ac:dyDescent="0.15">
      <c r="P443" s="4"/>
    </row>
    <row r="444" spans="16:16" x14ac:dyDescent="0.15">
      <c r="P444" s="4"/>
    </row>
    <row r="445" spans="16:16" x14ac:dyDescent="0.15">
      <c r="P445" s="4"/>
    </row>
    <row r="446" spans="16:16" x14ac:dyDescent="0.15">
      <c r="P446" s="4"/>
    </row>
    <row r="447" spans="16:16" x14ac:dyDescent="0.15">
      <c r="P447" s="4"/>
    </row>
    <row r="448" spans="16:16" x14ac:dyDescent="0.15">
      <c r="P448" s="4"/>
    </row>
    <row r="449" spans="16:16" x14ac:dyDescent="0.15">
      <c r="P449" s="4"/>
    </row>
    <row r="450" spans="16:16" x14ac:dyDescent="0.15">
      <c r="P450" s="4"/>
    </row>
    <row r="451" spans="16:16" x14ac:dyDescent="0.15">
      <c r="P451" s="4"/>
    </row>
    <row r="452" spans="16:16" x14ac:dyDescent="0.15">
      <c r="P452" s="4"/>
    </row>
    <row r="453" spans="16:16" x14ac:dyDescent="0.15">
      <c r="P453" s="4"/>
    </row>
    <row r="454" spans="16:16" x14ac:dyDescent="0.15">
      <c r="P454" s="4"/>
    </row>
    <row r="455" spans="16:16" x14ac:dyDescent="0.15">
      <c r="P455" s="4"/>
    </row>
    <row r="456" spans="16:16" x14ac:dyDescent="0.15">
      <c r="P456" s="4"/>
    </row>
    <row r="457" spans="16:16" x14ac:dyDescent="0.15">
      <c r="P457" s="4"/>
    </row>
    <row r="458" spans="16:16" x14ac:dyDescent="0.15">
      <c r="P458" s="4"/>
    </row>
    <row r="459" spans="16:16" x14ac:dyDescent="0.15">
      <c r="P459" s="4"/>
    </row>
    <row r="460" spans="16:16" x14ac:dyDescent="0.15">
      <c r="P460" s="4"/>
    </row>
    <row r="461" spans="16:16" x14ac:dyDescent="0.15">
      <c r="P461" s="4"/>
    </row>
    <row r="462" spans="16:16" x14ac:dyDescent="0.15">
      <c r="P462" s="4"/>
    </row>
    <row r="463" spans="16:16" x14ac:dyDescent="0.15">
      <c r="P463" s="4"/>
    </row>
    <row r="464" spans="16:16" x14ac:dyDescent="0.15">
      <c r="P464" s="4"/>
    </row>
    <row r="465" spans="16:16" x14ac:dyDescent="0.15">
      <c r="P465" s="4"/>
    </row>
    <row r="466" spans="16:16" x14ac:dyDescent="0.15">
      <c r="P466" s="4"/>
    </row>
    <row r="467" spans="16:16" x14ac:dyDescent="0.15">
      <c r="P467" s="4"/>
    </row>
    <row r="468" spans="16:16" x14ac:dyDescent="0.15">
      <c r="P468" s="4"/>
    </row>
    <row r="469" spans="16:16" x14ac:dyDescent="0.15">
      <c r="P469" s="4"/>
    </row>
    <row r="470" spans="16:16" x14ac:dyDescent="0.15">
      <c r="P470" s="4"/>
    </row>
    <row r="471" spans="16:16" x14ac:dyDescent="0.15">
      <c r="P471" s="4"/>
    </row>
    <row r="472" spans="16:16" x14ac:dyDescent="0.15">
      <c r="P472" s="4"/>
    </row>
    <row r="473" spans="16:16" x14ac:dyDescent="0.15">
      <c r="P473" s="4"/>
    </row>
    <row r="474" spans="16:16" x14ac:dyDescent="0.15">
      <c r="P474" s="4"/>
    </row>
    <row r="475" spans="16:16" x14ac:dyDescent="0.15">
      <c r="P475" s="4"/>
    </row>
    <row r="476" spans="16:16" x14ac:dyDescent="0.15">
      <c r="P476" s="4"/>
    </row>
    <row r="477" spans="16:16" x14ac:dyDescent="0.15">
      <c r="P477" s="4"/>
    </row>
    <row r="478" spans="16:16" x14ac:dyDescent="0.15">
      <c r="P478" s="5"/>
    </row>
    <row r="479" spans="16:16" x14ac:dyDescent="0.15">
      <c r="P479" s="4"/>
    </row>
    <row r="480" spans="16:16" x14ac:dyDescent="0.15">
      <c r="P480" s="4"/>
    </row>
    <row r="481" spans="16:16" x14ac:dyDescent="0.15">
      <c r="P481" s="4"/>
    </row>
    <row r="482" spans="16:16" x14ac:dyDescent="0.15">
      <c r="P482" s="4"/>
    </row>
    <row r="483" spans="16:16" x14ac:dyDescent="0.15">
      <c r="P483" s="4"/>
    </row>
    <row r="484" spans="16:16" x14ac:dyDescent="0.15">
      <c r="P484" s="4"/>
    </row>
    <row r="485" spans="16:16" x14ac:dyDescent="0.15">
      <c r="P485" s="4"/>
    </row>
    <row r="486" spans="16:16" x14ac:dyDescent="0.15">
      <c r="P486" s="4"/>
    </row>
    <row r="487" spans="16:16" x14ac:dyDescent="0.15">
      <c r="P487" s="4"/>
    </row>
    <row r="488" spans="16:16" x14ac:dyDescent="0.15">
      <c r="P488" s="4"/>
    </row>
    <row r="489" spans="16:16" x14ac:dyDescent="0.15">
      <c r="P489" s="4"/>
    </row>
    <row r="490" spans="16:16" x14ac:dyDescent="0.15">
      <c r="P490" s="4"/>
    </row>
    <row r="491" spans="16:16" x14ac:dyDescent="0.15">
      <c r="P491" s="5"/>
    </row>
    <row r="492" spans="16:16" x14ac:dyDescent="0.15">
      <c r="P492" s="4"/>
    </row>
    <row r="493" spans="16:16" x14ac:dyDescent="0.15">
      <c r="P493" s="4"/>
    </row>
    <row r="494" spans="16:16" x14ac:dyDescent="0.15">
      <c r="P494" s="4"/>
    </row>
    <row r="495" spans="16:16" x14ac:dyDescent="0.15">
      <c r="P495" s="4"/>
    </row>
    <row r="496" spans="16:16" x14ac:dyDescent="0.15">
      <c r="P496" s="4"/>
    </row>
    <row r="497" spans="16:16" x14ac:dyDescent="0.15">
      <c r="P497" s="4"/>
    </row>
    <row r="498" spans="16:16" x14ac:dyDescent="0.15">
      <c r="P498" s="4"/>
    </row>
    <row r="499" spans="16:16" x14ac:dyDescent="0.15">
      <c r="P499" s="4"/>
    </row>
    <row r="500" spans="16:16" x14ac:dyDescent="0.15">
      <c r="P500" s="4"/>
    </row>
    <row r="501" spans="16:16" x14ac:dyDescent="0.15">
      <c r="P501" s="4"/>
    </row>
    <row r="502" spans="16:16" x14ac:dyDescent="0.15">
      <c r="P502" s="4"/>
    </row>
    <row r="503" spans="16:16" x14ac:dyDescent="0.15">
      <c r="P503" s="4"/>
    </row>
    <row r="504" spans="16:16" x14ac:dyDescent="0.15">
      <c r="P504" s="4"/>
    </row>
    <row r="505" spans="16:16" x14ac:dyDescent="0.15">
      <c r="P505" s="5"/>
    </row>
    <row r="506" spans="16:16" x14ac:dyDescent="0.15">
      <c r="P506" s="4"/>
    </row>
    <row r="507" spans="16:16" x14ac:dyDescent="0.15">
      <c r="P507" s="5"/>
    </row>
    <row r="508" spans="16:16" x14ac:dyDescent="0.15">
      <c r="P508" s="4"/>
    </row>
    <row r="509" spans="16:16" x14ac:dyDescent="0.15">
      <c r="P509" s="4"/>
    </row>
    <row r="510" spans="16:16" x14ac:dyDescent="0.15">
      <c r="P510" s="4"/>
    </row>
    <row r="511" spans="16:16" x14ac:dyDescent="0.15">
      <c r="P511" s="4"/>
    </row>
    <row r="512" spans="16:16" x14ac:dyDescent="0.15">
      <c r="P512" s="4"/>
    </row>
    <row r="513" spans="16:16" x14ac:dyDescent="0.15">
      <c r="P513" s="4"/>
    </row>
    <row r="514" spans="16:16" x14ac:dyDescent="0.15">
      <c r="P514" s="4"/>
    </row>
    <row r="515" spans="16:16" x14ac:dyDescent="0.15">
      <c r="P515" s="4"/>
    </row>
    <row r="516" spans="16:16" x14ac:dyDescent="0.15">
      <c r="P516" s="4"/>
    </row>
    <row r="517" spans="16:16" x14ac:dyDescent="0.15">
      <c r="P517" s="4"/>
    </row>
    <row r="518" spans="16:16" x14ac:dyDescent="0.15">
      <c r="P518" s="4"/>
    </row>
    <row r="519" spans="16:16" x14ac:dyDescent="0.15">
      <c r="P519" s="4"/>
    </row>
    <row r="520" spans="16:16" x14ac:dyDescent="0.15">
      <c r="P520" s="4"/>
    </row>
    <row r="521" spans="16:16" x14ac:dyDescent="0.15">
      <c r="P521" s="4"/>
    </row>
    <row r="522" spans="16:16" x14ac:dyDescent="0.15">
      <c r="P522" s="4"/>
    </row>
    <row r="523" spans="16:16" x14ac:dyDescent="0.15">
      <c r="P523" s="4"/>
    </row>
    <row r="524" spans="16:16" x14ac:dyDescent="0.15">
      <c r="P524" s="4"/>
    </row>
    <row r="525" spans="16:16" x14ac:dyDescent="0.15">
      <c r="P525" s="4"/>
    </row>
    <row r="526" spans="16:16" x14ac:dyDescent="0.15">
      <c r="P526" s="4"/>
    </row>
    <row r="527" spans="16:16" x14ac:dyDescent="0.15">
      <c r="P527" s="4"/>
    </row>
    <row r="528" spans="16:16" x14ac:dyDescent="0.15">
      <c r="P528" s="4"/>
    </row>
    <row r="529" spans="16:16" x14ac:dyDescent="0.15">
      <c r="P529" s="5"/>
    </row>
    <row r="530" spans="16:16" x14ac:dyDescent="0.15">
      <c r="P530" s="4"/>
    </row>
    <row r="531" spans="16:16" x14ac:dyDescent="0.15">
      <c r="P531" s="4"/>
    </row>
    <row r="532" spans="16:16" x14ac:dyDescent="0.15">
      <c r="P532" s="4"/>
    </row>
    <row r="533" spans="16:16" x14ac:dyDescent="0.15">
      <c r="P533" s="4"/>
    </row>
    <row r="534" spans="16:16" x14ac:dyDescent="0.15">
      <c r="P534" s="4"/>
    </row>
    <row r="535" spans="16:16" x14ac:dyDescent="0.15">
      <c r="P535" s="4"/>
    </row>
    <row r="536" spans="16:16" x14ac:dyDescent="0.15">
      <c r="P536" s="4"/>
    </row>
    <row r="537" spans="16:16" x14ac:dyDescent="0.15">
      <c r="P537" s="4"/>
    </row>
    <row r="538" spans="16:16" x14ac:dyDescent="0.15">
      <c r="P538" s="4"/>
    </row>
    <row r="539" spans="16:16" x14ac:dyDescent="0.15">
      <c r="P539" s="4"/>
    </row>
    <row r="540" spans="16:16" x14ac:dyDescent="0.15">
      <c r="P540" s="5"/>
    </row>
    <row r="541" spans="16:16" x14ac:dyDescent="0.15">
      <c r="P541" s="4"/>
    </row>
    <row r="542" spans="16:16" x14ac:dyDescent="0.15">
      <c r="P542" s="4"/>
    </row>
    <row r="543" spans="16:16" x14ac:dyDescent="0.15">
      <c r="P543" s="4"/>
    </row>
    <row r="544" spans="16:16" x14ac:dyDescent="0.15">
      <c r="P544" s="4"/>
    </row>
    <row r="545" spans="16:16" x14ac:dyDescent="0.15">
      <c r="P545" s="4"/>
    </row>
    <row r="546" spans="16:16" x14ac:dyDescent="0.15">
      <c r="P546" s="4"/>
    </row>
    <row r="547" spans="16:16" x14ac:dyDescent="0.15">
      <c r="P547" s="4"/>
    </row>
    <row r="548" spans="16:16" x14ac:dyDescent="0.15">
      <c r="P548" s="4"/>
    </row>
    <row r="549" spans="16:16" x14ac:dyDescent="0.15">
      <c r="P549" s="4"/>
    </row>
    <row r="550" spans="16:16" x14ac:dyDescent="0.15">
      <c r="P550" s="4"/>
    </row>
    <row r="551" spans="16:16" x14ac:dyDescent="0.15">
      <c r="P551" s="4"/>
    </row>
    <row r="552" spans="16:16" x14ac:dyDescent="0.15">
      <c r="P552" s="4"/>
    </row>
    <row r="553" spans="16:16" x14ac:dyDescent="0.15">
      <c r="P553" s="4"/>
    </row>
    <row r="554" spans="16:16" x14ac:dyDescent="0.15">
      <c r="P554" s="4"/>
    </row>
    <row r="555" spans="16:16" x14ac:dyDescent="0.15">
      <c r="P555" s="4"/>
    </row>
    <row r="556" spans="16:16" x14ac:dyDescent="0.15">
      <c r="P556" s="4"/>
    </row>
    <row r="557" spans="16:16" x14ac:dyDescent="0.15">
      <c r="P557" s="5"/>
    </row>
    <row r="558" spans="16:16" x14ac:dyDescent="0.15">
      <c r="P558" s="4"/>
    </row>
    <row r="559" spans="16:16" x14ac:dyDescent="0.15">
      <c r="P559" s="4"/>
    </row>
    <row r="560" spans="16:16" x14ac:dyDescent="0.15">
      <c r="P560" s="5"/>
    </row>
    <row r="561" spans="16:16" x14ac:dyDescent="0.15">
      <c r="P561" s="5"/>
    </row>
    <row r="562" spans="16:16" x14ac:dyDescent="0.15">
      <c r="P562" s="4"/>
    </row>
    <row r="563" spans="16:16" x14ac:dyDescent="0.15">
      <c r="P563" s="4"/>
    </row>
    <row r="564" spans="16:16" x14ac:dyDescent="0.15">
      <c r="P564" s="4"/>
    </row>
    <row r="565" spans="16:16" x14ac:dyDescent="0.15">
      <c r="P565" s="4"/>
    </row>
    <row r="566" spans="16:16" x14ac:dyDescent="0.15">
      <c r="P566" s="4"/>
    </row>
    <row r="567" spans="16:16" x14ac:dyDescent="0.15">
      <c r="P567" s="4"/>
    </row>
    <row r="568" spans="16:16" x14ac:dyDescent="0.15">
      <c r="P568" s="4"/>
    </row>
    <row r="569" spans="16:16" x14ac:dyDescent="0.15">
      <c r="P569" s="4"/>
    </row>
    <row r="570" spans="16:16" x14ac:dyDescent="0.15">
      <c r="P570" s="4"/>
    </row>
    <row r="571" spans="16:16" x14ac:dyDescent="0.15">
      <c r="P571" s="4"/>
    </row>
    <row r="572" spans="16:16" x14ac:dyDescent="0.15">
      <c r="P572" s="4"/>
    </row>
    <row r="573" spans="16:16" x14ac:dyDescent="0.15">
      <c r="P573" s="4"/>
    </row>
    <row r="574" spans="16:16" x14ac:dyDescent="0.15">
      <c r="P574" s="4"/>
    </row>
    <row r="575" spans="16:16" x14ac:dyDescent="0.15">
      <c r="P575" s="4"/>
    </row>
    <row r="576" spans="16:16" x14ac:dyDescent="0.15">
      <c r="P576" s="4"/>
    </row>
    <row r="577" spans="16:16" x14ac:dyDescent="0.15">
      <c r="P577" s="4"/>
    </row>
    <row r="578" spans="16:16" x14ac:dyDescent="0.15">
      <c r="P578" s="4"/>
    </row>
    <row r="579" spans="16:16" x14ac:dyDescent="0.15">
      <c r="P579" s="4"/>
    </row>
    <row r="580" spans="16:16" x14ac:dyDescent="0.15">
      <c r="P580" s="4"/>
    </row>
    <row r="581" spans="16:16" x14ac:dyDescent="0.15">
      <c r="P581" s="4"/>
    </row>
    <row r="582" spans="16:16" x14ac:dyDescent="0.15">
      <c r="P582" s="4"/>
    </row>
    <row r="583" spans="16:16" x14ac:dyDescent="0.15">
      <c r="P583" s="4"/>
    </row>
    <row r="584" spans="16:16" x14ac:dyDescent="0.15">
      <c r="P584" s="4"/>
    </row>
    <row r="585" spans="16:16" x14ac:dyDescent="0.15">
      <c r="P585" s="4"/>
    </row>
    <row r="586" spans="16:16" x14ac:dyDescent="0.15">
      <c r="P586" s="4"/>
    </row>
    <row r="587" spans="16:16" x14ac:dyDescent="0.15">
      <c r="P587" s="4"/>
    </row>
    <row r="588" spans="16:16" x14ac:dyDescent="0.15">
      <c r="P588" s="4"/>
    </row>
    <row r="589" spans="16:16" x14ac:dyDescent="0.15">
      <c r="P589" s="4"/>
    </row>
    <row r="590" spans="16:16" x14ac:dyDescent="0.15">
      <c r="P590" s="4"/>
    </row>
    <row r="591" spans="16:16" x14ac:dyDescent="0.15">
      <c r="P591" s="4"/>
    </row>
    <row r="592" spans="16:16" x14ac:dyDescent="0.15">
      <c r="P592" s="4"/>
    </row>
    <row r="593" spans="16:16" x14ac:dyDescent="0.15">
      <c r="P593" s="4"/>
    </row>
    <row r="594" spans="16:16" x14ac:dyDescent="0.15">
      <c r="P594" s="4"/>
    </row>
    <row r="595" spans="16:16" x14ac:dyDescent="0.15">
      <c r="P595" s="4"/>
    </row>
    <row r="596" spans="16:16" x14ac:dyDescent="0.15">
      <c r="P596" s="4"/>
    </row>
    <row r="597" spans="16:16" x14ac:dyDescent="0.15">
      <c r="P597" s="4"/>
    </row>
    <row r="598" spans="16:16" x14ac:dyDescent="0.15">
      <c r="P598" s="4"/>
    </row>
    <row r="599" spans="16:16" x14ac:dyDescent="0.15">
      <c r="P599" s="4"/>
    </row>
    <row r="600" spans="16:16" x14ac:dyDescent="0.15">
      <c r="P600" s="4"/>
    </row>
    <row r="601" spans="16:16" x14ac:dyDescent="0.15">
      <c r="P601" s="4"/>
    </row>
    <row r="602" spans="16:16" x14ac:dyDescent="0.15">
      <c r="P602" s="4"/>
    </row>
    <row r="603" spans="16:16" x14ac:dyDescent="0.15">
      <c r="P603" s="4"/>
    </row>
    <row r="604" spans="16:16" x14ac:dyDescent="0.15">
      <c r="P604" s="4"/>
    </row>
    <row r="605" spans="16:16" x14ac:dyDescent="0.15">
      <c r="P605" s="4"/>
    </row>
    <row r="606" spans="16:16" x14ac:dyDescent="0.15">
      <c r="P606" s="4"/>
    </row>
    <row r="607" spans="16:16" x14ac:dyDescent="0.15">
      <c r="P607" s="4"/>
    </row>
    <row r="608" spans="16:16" x14ac:dyDescent="0.15">
      <c r="P608" s="4"/>
    </row>
    <row r="609" spans="16:16" x14ac:dyDescent="0.15">
      <c r="P609" s="4"/>
    </row>
    <row r="610" spans="16:16" x14ac:dyDescent="0.15">
      <c r="P610" s="4"/>
    </row>
    <row r="611" spans="16:16" x14ac:dyDescent="0.15">
      <c r="P611" s="4"/>
    </row>
    <row r="612" spans="16:16" x14ac:dyDescent="0.15">
      <c r="P612" s="4"/>
    </row>
    <row r="613" spans="16:16" x14ac:dyDescent="0.15">
      <c r="P613" s="4"/>
    </row>
    <row r="614" spans="16:16" x14ac:dyDescent="0.15">
      <c r="P614" s="4"/>
    </row>
    <row r="615" spans="16:16" x14ac:dyDescent="0.15">
      <c r="P615" s="4"/>
    </row>
    <row r="616" spans="16:16" x14ac:dyDescent="0.15">
      <c r="P616" s="4"/>
    </row>
    <row r="617" spans="16:16" x14ac:dyDescent="0.15">
      <c r="P617" s="4"/>
    </row>
    <row r="618" spans="16:16" x14ac:dyDescent="0.15">
      <c r="P618" s="5"/>
    </row>
    <row r="619" spans="16:16" x14ac:dyDescent="0.15">
      <c r="P619" s="4"/>
    </row>
    <row r="620" spans="16:16" x14ac:dyDescent="0.15">
      <c r="P620" s="4"/>
    </row>
    <row r="621" spans="16:16" x14ac:dyDescent="0.15">
      <c r="P621" s="4"/>
    </row>
    <row r="622" spans="16:16" x14ac:dyDescent="0.15">
      <c r="P622" s="4"/>
    </row>
    <row r="623" spans="16:16" x14ac:dyDescent="0.15">
      <c r="P623" s="4"/>
    </row>
    <row r="624" spans="16:16" x14ac:dyDescent="0.15">
      <c r="P624" s="4"/>
    </row>
    <row r="625" spans="16:16" x14ac:dyDescent="0.15">
      <c r="P625" s="4"/>
    </row>
    <row r="626" spans="16:16" x14ac:dyDescent="0.15">
      <c r="P626" s="4"/>
    </row>
    <row r="627" spans="16:16" x14ac:dyDescent="0.15">
      <c r="P627" s="5"/>
    </row>
    <row r="628" spans="16:16" x14ac:dyDescent="0.15">
      <c r="P628" s="4"/>
    </row>
    <row r="629" spans="16:16" x14ac:dyDescent="0.15">
      <c r="P629" s="4"/>
    </row>
    <row r="630" spans="16:16" x14ac:dyDescent="0.15">
      <c r="P630" s="4"/>
    </row>
    <row r="631" spans="16:16" x14ac:dyDescent="0.15">
      <c r="P631" s="4"/>
    </row>
    <row r="632" spans="16:16" x14ac:dyDescent="0.15">
      <c r="P632" s="4"/>
    </row>
    <row r="633" spans="16:16" x14ac:dyDescent="0.15">
      <c r="P633" s="4"/>
    </row>
    <row r="634" spans="16:16" x14ac:dyDescent="0.15">
      <c r="P634" s="4"/>
    </row>
    <row r="635" spans="16:16" x14ac:dyDescent="0.15">
      <c r="P635" s="5"/>
    </row>
    <row r="636" spans="16:16" x14ac:dyDescent="0.15">
      <c r="P636" s="5"/>
    </row>
    <row r="637" spans="16:16" x14ac:dyDescent="0.15">
      <c r="P637" s="4"/>
    </row>
    <row r="638" spans="16:16" x14ac:dyDescent="0.15">
      <c r="P638" s="4"/>
    </row>
    <row r="639" spans="16:16" x14ac:dyDescent="0.15">
      <c r="P639" s="4"/>
    </row>
    <row r="640" spans="16:16" x14ac:dyDescent="0.15">
      <c r="P640" s="4"/>
    </row>
    <row r="641" spans="16:16" x14ac:dyDescent="0.15">
      <c r="P641" s="4"/>
    </row>
    <row r="642" spans="16:16" x14ac:dyDescent="0.15">
      <c r="P642" s="4"/>
    </row>
    <row r="643" spans="16:16" x14ac:dyDescent="0.15">
      <c r="P643" s="4"/>
    </row>
    <row r="644" spans="16:16" x14ac:dyDescent="0.15">
      <c r="P644" s="4"/>
    </row>
    <row r="645" spans="16:16" x14ac:dyDescent="0.15">
      <c r="P645" s="4"/>
    </row>
    <row r="646" spans="16:16" x14ac:dyDescent="0.15">
      <c r="P646" s="4"/>
    </row>
    <row r="647" spans="16:16" x14ac:dyDescent="0.15">
      <c r="P647" s="4"/>
    </row>
    <row r="648" spans="16:16" x14ac:dyDescent="0.15">
      <c r="P648" s="4"/>
    </row>
    <row r="649" spans="16:16" x14ac:dyDescent="0.15">
      <c r="P649" s="4"/>
    </row>
    <row r="650" spans="16:16" x14ac:dyDescent="0.15">
      <c r="P650" s="4"/>
    </row>
    <row r="651" spans="16:16" x14ac:dyDescent="0.15">
      <c r="P651" s="4"/>
    </row>
    <row r="652" spans="16:16" x14ac:dyDescent="0.15">
      <c r="P652" s="4"/>
    </row>
    <row r="653" spans="16:16" x14ac:dyDescent="0.15">
      <c r="P653" s="4"/>
    </row>
    <row r="654" spans="16:16" x14ac:dyDescent="0.15">
      <c r="P654" s="4"/>
    </row>
    <row r="655" spans="16:16" x14ac:dyDescent="0.15">
      <c r="P655" s="5"/>
    </row>
    <row r="656" spans="16:16" x14ac:dyDescent="0.15">
      <c r="P656" s="4"/>
    </row>
    <row r="657" spans="16:16" x14ac:dyDescent="0.15">
      <c r="P657" s="4"/>
    </row>
    <row r="658" spans="16:16" x14ac:dyDescent="0.15">
      <c r="P658" s="4"/>
    </row>
    <row r="659" spans="16:16" x14ac:dyDescent="0.15">
      <c r="P659" s="4"/>
    </row>
    <row r="660" spans="16:16" x14ac:dyDescent="0.15">
      <c r="P660" s="4"/>
    </row>
    <row r="661" spans="16:16" x14ac:dyDescent="0.15">
      <c r="P661" s="4"/>
    </row>
    <row r="662" spans="16:16" x14ac:dyDescent="0.15">
      <c r="P662" s="4"/>
    </row>
    <row r="663" spans="16:16" x14ac:dyDescent="0.15">
      <c r="P663" s="4"/>
    </row>
    <row r="664" spans="16:16" x14ac:dyDescent="0.15">
      <c r="P664" s="4"/>
    </row>
    <row r="665" spans="16:16" x14ac:dyDescent="0.15">
      <c r="P665" s="5"/>
    </row>
    <row r="666" spans="16:16" x14ac:dyDescent="0.15">
      <c r="P666" s="4"/>
    </row>
    <row r="667" spans="16:16" x14ac:dyDescent="0.15">
      <c r="P667" s="4"/>
    </row>
    <row r="668" spans="16:16" x14ac:dyDescent="0.15">
      <c r="P668" s="4"/>
    </row>
    <row r="669" spans="16:16" x14ac:dyDescent="0.15">
      <c r="P669" s="4"/>
    </row>
    <row r="670" spans="16:16" x14ac:dyDescent="0.15">
      <c r="P670" s="4"/>
    </row>
    <row r="671" spans="16:16" x14ac:dyDescent="0.15">
      <c r="P671" s="4"/>
    </row>
    <row r="672" spans="16:16" x14ac:dyDescent="0.15">
      <c r="P672" s="4"/>
    </row>
    <row r="673" spans="16:16" x14ac:dyDescent="0.15">
      <c r="P673" s="4"/>
    </row>
    <row r="674" spans="16:16" x14ac:dyDescent="0.15">
      <c r="P674" s="4"/>
    </row>
    <row r="675" spans="16:16" x14ac:dyDescent="0.15">
      <c r="P675" s="4"/>
    </row>
    <row r="676" spans="16:16" x14ac:dyDescent="0.15">
      <c r="P676" s="4"/>
    </row>
    <row r="677" spans="16:16" x14ac:dyDescent="0.15">
      <c r="P677" s="4"/>
    </row>
    <row r="678" spans="16:16" x14ac:dyDescent="0.15">
      <c r="P678" s="4"/>
    </row>
    <row r="679" spans="16:16" x14ac:dyDescent="0.15">
      <c r="P679" s="4"/>
    </row>
    <row r="680" spans="16:16" x14ac:dyDescent="0.15">
      <c r="P680" s="4"/>
    </row>
    <row r="681" spans="16:16" x14ac:dyDescent="0.15">
      <c r="P681" s="4"/>
    </row>
    <row r="682" spans="16:16" x14ac:dyDescent="0.15">
      <c r="P682" s="5"/>
    </row>
    <row r="683" spans="16:16" x14ac:dyDescent="0.15">
      <c r="P683" s="4"/>
    </row>
    <row r="684" spans="16:16" x14ac:dyDescent="0.15">
      <c r="P684" s="5"/>
    </row>
    <row r="685" spans="16:16" x14ac:dyDescent="0.15">
      <c r="P685" s="4"/>
    </row>
    <row r="686" spans="16:16" x14ac:dyDescent="0.15">
      <c r="P686" s="4"/>
    </row>
    <row r="687" spans="16:16" x14ac:dyDescent="0.15">
      <c r="P687" s="4"/>
    </row>
    <row r="688" spans="16:16" x14ac:dyDescent="0.15">
      <c r="P688" s="4"/>
    </row>
    <row r="689" spans="16:16" x14ac:dyDescent="0.15">
      <c r="P689" s="4"/>
    </row>
    <row r="690" spans="16:16" x14ac:dyDescent="0.15">
      <c r="P690" s="4"/>
    </row>
    <row r="691" spans="16:16" x14ac:dyDescent="0.15">
      <c r="P691" s="4"/>
    </row>
    <row r="692" spans="16:16" x14ac:dyDescent="0.15">
      <c r="P692" s="4"/>
    </row>
    <row r="693" spans="16:16" x14ac:dyDescent="0.15">
      <c r="P693" s="5"/>
    </row>
    <row r="694" spans="16:16" x14ac:dyDescent="0.15">
      <c r="P694" s="4"/>
    </row>
    <row r="695" spans="16:16" x14ac:dyDescent="0.15">
      <c r="P695" s="4"/>
    </row>
    <row r="696" spans="16:16" x14ac:dyDescent="0.15">
      <c r="P696" s="4"/>
    </row>
    <row r="697" spans="16:16" x14ac:dyDescent="0.15">
      <c r="P697" s="4"/>
    </row>
    <row r="698" spans="16:16" x14ac:dyDescent="0.15">
      <c r="P698" s="4"/>
    </row>
    <row r="699" spans="16:16" x14ac:dyDescent="0.15">
      <c r="P699" s="4"/>
    </row>
    <row r="700" spans="16:16" x14ac:dyDescent="0.15">
      <c r="P700" s="4"/>
    </row>
    <row r="701" spans="16:16" x14ac:dyDescent="0.15">
      <c r="P701" s="4"/>
    </row>
    <row r="702" spans="16:16" x14ac:dyDescent="0.15">
      <c r="P702" s="4"/>
    </row>
    <row r="703" spans="16:16" x14ac:dyDescent="0.15">
      <c r="P703" s="4"/>
    </row>
    <row r="704" spans="16:16" x14ac:dyDescent="0.15">
      <c r="P704" s="4"/>
    </row>
    <row r="705" spans="16:16" x14ac:dyDescent="0.15">
      <c r="P705" s="4"/>
    </row>
    <row r="706" spans="16:16" x14ac:dyDescent="0.15">
      <c r="P706" s="4"/>
    </row>
    <row r="707" spans="16:16" x14ac:dyDescent="0.15">
      <c r="P707" s="4"/>
    </row>
    <row r="708" spans="16:16" x14ac:dyDescent="0.15">
      <c r="P708" s="4"/>
    </row>
    <row r="709" spans="16:16" x14ac:dyDescent="0.15">
      <c r="P709" s="4"/>
    </row>
    <row r="710" spans="16:16" x14ac:dyDescent="0.15">
      <c r="P710" s="4"/>
    </row>
    <row r="711" spans="16:16" x14ac:dyDescent="0.15">
      <c r="P711" s="4"/>
    </row>
    <row r="712" spans="16:16" x14ac:dyDescent="0.15">
      <c r="P712" s="4"/>
    </row>
    <row r="713" spans="16:16" x14ac:dyDescent="0.15">
      <c r="P713" s="4"/>
    </row>
    <row r="714" spans="16:16" x14ac:dyDescent="0.15">
      <c r="P714" s="5"/>
    </row>
    <row r="715" spans="16:16" x14ac:dyDescent="0.15">
      <c r="P715" s="5"/>
    </row>
    <row r="716" spans="16:16" x14ac:dyDescent="0.15">
      <c r="P716" s="4"/>
    </row>
    <row r="717" spans="16:16" x14ac:dyDescent="0.15">
      <c r="P717" s="4"/>
    </row>
    <row r="718" spans="16:16" x14ac:dyDescent="0.15">
      <c r="P718" s="5"/>
    </row>
    <row r="719" spans="16:16" x14ac:dyDescent="0.15">
      <c r="P719" s="4"/>
    </row>
    <row r="720" spans="16:16" x14ac:dyDescent="0.15">
      <c r="P720" s="4"/>
    </row>
    <row r="721" spans="16:16" x14ac:dyDescent="0.15">
      <c r="P721" s="4"/>
    </row>
    <row r="722" spans="16:16" x14ac:dyDescent="0.15">
      <c r="P722" s="4"/>
    </row>
    <row r="723" spans="16:16" x14ac:dyDescent="0.15">
      <c r="P723" s="4"/>
    </row>
    <row r="724" spans="16:16" x14ac:dyDescent="0.15">
      <c r="P724" s="5"/>
    </row>
    <row r="725" spans="16:16" x14ac:dyDescent="0.15">
      <c r="P725" s="4"/>
    </row>
    <row r="726" spans="16:16" x14ac:dyDescent="0.15">
      <c r="P726" s="4"/>
    </row>
    <row r="727" spans="16:16" x14ac:dyDescent="0.15">
      <c r="P727" s="4"/>
    </row>
    <row r="728" spans="16:16" x14ac:dyDescent="0.15">
      <c r="P728" s="4"/>
    </row>
    <row r="729" spans="16:16" x14ac:dyDescent="0.15">
      <c r="P729" s="4"/>
    </row>
    <row r="730" spans="16:16" x14ac:dyDescent="0.15">
      <c r="P730" s="4"/>
    </row>
    <row r="731" spans="16:16" x14ac:dyDescent="0.15">
      <c r="P731" s="5"/>
    </row>
    <row r="732" spans="16:16" x14ac:dyDescent="0.15">
      <c r="P732" s="4"/>
    </row>
    <row r="733" spans="16:16" x14ac:dyDescent="0.15">
      <c r="P733" s="4"/>
    </row>
    <row r="734" spans="16:16" x14ac:dyDescent="0.15">
      <c r="P734" s="4"/>
    </row>
    <row r="735" spans="16:16" x14ac:dyDescent="0.15">
      <c r="P735" s="5"/>
    </row>
    <row r="736" spans="16:16" x14ac:dyDescent="0.15">
      <c r="P736" s="4"/>
    </row>
    <row r="737" spans="16:16" x14ac:dyDescent="0.15">
      <c r="P737" s="4"/>
    </row>
    <row r="738" spans="16:16" x14ac:dyDescent="0.15">
      <c r="P738" s="4"/>
    </row>
    <row r="739" spans="16:16" x14ac:dyDescent="0.15">
      <c r="P739" s="4"/>
    </row>
    <row r="740" spans="16:16" x14ac:dyDescent="0.15">
      <c r="P740" s="4"/>
    </row>
    <row r="741" spans="16:16" x14ac:dyDescent="0.15">
      <c r="P741" s="4"/>
    </row>
    <row r="742" spans="16:16" x14ac:dyDescent="0.15">
      <c r="P742" s="4"/>
    </row>
    <row r="743" spans="16:16" x14ac:dyDescent="0.15">
      <c r="P743" s="5"/>
    </row>
    <row r="744" spans="16:16" x14ac:dyDescent="0.15">
      <c r="P744" s="4"/>
    </row>
    <row r="745" spans="16:16" x14ac:dyDescent="0.15">
      <c r="P745" s="4"/>
    </row>
    <row r="746" spans="16:16" x14ac:dyDescent="0.15">
      <c r="P746" s="4"/>
    </row>
    <row r="747" spans="16:16" x14ac:dyDescent="0.15">
      <c r="P747" s="4"/>
    </row>
    <row r="748" spans="16:16" x14ac:dyDescent="0.15">
      <c r="P748" s="4"/>
    </row>
    <row r="749" spans="16:16" x14ac:dyDescent="0.15">
      <c r="P749" s="4"/>
    </row>
    <row r="750" spans="16:16" x14ac:dyDescent="0.15">
      <c r="P750" s="4"/>
    </row>
    <row r="751" spans="16:16" x14ac:dyDescent="0.15">
      <c r="P751" s="5"/>
    </row>
    <row r="752" spans="16:16" x14ac:dyDescent="0.15">
      <c r="P752" s="4"/>
    </row>
    <row r="753" spans="16:16" x14ac:dyDescent="0.15">
      <c r="P753" s="4"/>
    </row>
    <row r="754" spans="16:16" x14ac:dyDescent="0.15">
      <c r="P754" s="4"/>
    </row>
    <row r="755" spans="16:16" x14ac:dyDescent="0.15">
      <c r="P755" s="4"/>
    </row>
    <row r="756" spans="16:16" x14ac:dyDescent="0.15">
      <c r="P756" s="4"/>
    </row>
    <row r="757" spans="16:16" x14ac:dyDescent="0.15">
      <c r="P757" s="4"/>
    </row>
    <row r="758" spans="16:16" x14ac:dyDescent="0.15">
      <c r="P758" s="4"/>
    </row>
    <row r="759" spans="16:16" x14ac:dyDescent="0.15">
      <c r="P759" s="4"/>
    </row>
    <row r="760" spans="16:16" x14ac:dyDescent="0.15">
      <c r="P760" s="4"/>
    </row>
    <row r="761" spans="16:16" x14ac:dyDescent="0.15">
      <c r="P761" s="4"/>
    </row>
    <row r="762" spans="16:16" x14ac:dyDescent="0.15">
      <c r="P762" s="4"/>
    </row>
    <row r="763" spans="16:16" x14ac:dyDescent="0.15">
      <c r="P763" s="4"/>
    </row>
    <row r="764" spans="16:16" x14ac:dyDescent="0.15">
      <c r="P764" s="4"/>
    </row>
    <row r="765" spans="16:16" x14ac:dyDescent="0.15">
      <c r="P765" s="4"/>
    </row>
    <row r="766" spans="16:16" x14ac:dyDescent="0.15">
      <c r="P766" s="4"/>
    </row>
    <row r="767" spans="16:16" x14ac:dyDescent="0.15">
      <c r="P767" s="4"/>
    </row>
    <row r="768" spans="16:16" x14ac:dyDescent="0.15">
      <c r="P768" s="4"/>
    </row>
    <row r="769" spans="16:16" x14ac:dyDescent="0.15">
      <c r="P769" s="4"/>
    </row>
    <row r="770" spans="16:16" x14ac:dyDescent="0.15">
      <c r="P770" s="4"/>
    </row>
    <row r="771" spans="16:16" x14ac:dyDescent="0.15">
      <c r="P771" s="4"/>
    </row>
    <row r="772" spans="16:16" x14ac:dyDescent="0.15">
      <c r="P772" s="4"/>
    </row>
    <row r="773" spans="16:16" x14ac:dyDescent="0.15">
      <c r="P773" s="4"/>
    </row>
    <row r="774" spans="16:16" x14ac:dyDescent="0.15">
      <c r="P774" s="4"/>
    </row>
    <row r="775" spans="16:16" x14ac:dyDescent="0.15">
      <c r="P775" s="4"/>
    </row>
    <row r="776" spans="16:16" x14ac:dyDescent="0.15">
      <c r="P776" s="5"/>
    </row>
    <row r="777" spans="16:16" x14ac:dyDescent="0.15">
      <c r="P777" s="4"/>
    </row>
    <row r="778" spans="16:16" x14ac:dyDescent="0.15">
      <c r="P778" s="4"/>
    </row>
    <row r="779" spans="16:16" x14ac:dyDescent="0.15">
      <c r="P779" s="4"/>
    </row>
    <row r="780" spans="16:16" x14ac:dyDescent="0.15">
      <c r="P780" s="4"/>
    </row>
    <row r="781" spans="16:16" x14ac:dyDescent="0.15">
      <c r="P781" s="4"/>
    </row>
    <row r="782" spans="16:16" x14ac:dyDescent="0.15">
      <c r="P782" s="4"/>
    </row>
    <row r="783" spans="16:16" x14ac:dyDescent="0.15">
      <c r="P783" s="4"/>
    </row>
    <row r="784" spans="16:16" x14ac:dyDescent="0.15">
      <c r="P784" s="4"/>
    </row>
    <row r="785" spans="16:16" x14ac:dyDescent="0.15">
      <c r="P785" s="4"/>
    </row>
    <row r="786" spans="16:16" x14ac:dyDescent="0.15">
      <c r="P786" s="5"/>
    </row>
    <row r="787" spans="16:16" x14ac:dyDescent="0.15">
      <c r="P787" s="4"/>
    </row>
    <row r="788" spans="16:16" x14ac:dyDescent="0.15">
      <c r="P788" s="4"/>
    </row>
    <row r="789" spans="16:16" x14ac:dyDescent="0.15">
      <c r="P789" s="4"/>
    </row>
    <row r="790" spans="16:16" x14ac:dyDescent="0.15">
      <c r="P790" s="4"/>
    </row>
    <row r="791" spans="16:16" x14ac:dyDescent="0.15">
      <c r="P791" s="4"/>
    </row>
    <row r="792" spans="16:16" x14ac:dyDescent="0.15">
      <c r="P792" s="4"/>
    </row>
    <row r="793" spans="16:16" x14ac:dyDescent="0.15">
      <c r="P793" s="4"/>
    </row>
    <row r="794" spans="16:16" x14ac:dyDescent="0.15">
      <c r="P794" s="4"/>
    </row>
    <row r="795" spans="16:16" x14ac:dyDescent="0.15">
      <c r="P795" s="4"/>
    </row>
    <row r="796" spans="16:16" x14ac:dyDescent="0.15">
      <c r="P796" s="4"/>
    </row>
    <row r="797" spans="16:16" x14ac:dyDescent="0.15">
      <c r="P797" s="4"/>
    </row>
    <row r="798" spans="16:16" x14ac:dyDescent="0.15">
      <c r="P798" s="4"/>
    </row>
    <row r="799" spans="16:16" x14ac:dyDescent="0.15">
      <c r="P799" s="4"/>
    </row>
    <row r="800" spans="16:16" x14ac:dyDescent="0.15">
      <c r="P800" s="4"/>
    </row>
    <row r="801" spans="16:16" x14ac:dyDescent="0.15">
      <c r="P801" s="4"/>
    </row>
    <row r="802" spans="16:16" x14ac:dyDescent="0.15">
      <c r="P802" s="4"/>
    </row>
    <row r="803" spans="16:16" x14ac:dyDescent="0.15">
      <c r="P803" s="5"/>
    </row>
    <row r="804" spans="16:16" x14ac:dyDescent="0.15">
      <c r="P804" s="5"/>
    </row>
    <row r="805" spans="16:16" x14ac:dyDescent="0.15">
      <c r="P805" s="4"/>
    </row>
    <row r="806" spans="16:16" x14ac:dyDescent="0.15">
      <c r="P806" s="4"/>
    </row>
    <row r="807" spans="16:16" x14ac:dyDescent="0.15">
      <c r="P807" s="4"/>
    </row>
    <row r="808" spans="16:16" x14ac:dyDescent="0.15">
      <c r="P808" s="4"/>
    </row>
    <row r="809" spans="16:16" x14ac:dyDescent="0.15">
      <c r="P809" s="4"/>
    </row>
    <row r="810" spans="16:16" x14ac:dyDescent="0.15">
      <c r="P810" s="4"/>
    </row>
    <row r="811" spans="16:16" x14ac:dyDescent="0.15">
      <c r="P811" s="4"/>
    </row>
    <row r="812" spans="16:16" x14ac:dyDescent="0.15">
      <c r="P812" s="4"/>
    </row>
    <row r="813" spans="16:16" x14ac:dyDescent="0.15">
      <c r="P813" s="5"/>
    </row>
    <row r="814" spans="16:16" x14ac:dyDescent="0.15">
      <c r="P814" s="4"/>
    </row>
    <row r="815" spans="16:16" x14ac:dyDescent="0.15">
      <c r="P815" s="4"/>
    </row>
    <row r="816" spans="16:16" x14ac:dyDescent="0.15">
      <c r="P816" s="4"/>
    </row>
    <row r="817" spans="16:16" x14ac:dyDescent="0.15">
      <c r="P817" s="5"/>
    </row>
    <row r="818" spans="16:16" x14ac:dyDescent="0.15">
      <c r="P818" s="5"/>
    </row>
    <row r="819" spans="16:16" x14ac:dyDescent="0.15">
      <c r="P819" s="4"/>
    </row>
    <row r="820" spans="16:16" x14ac:dyDescent="0.15">
      <c r="P820" s="4"/>
    </row>
    <row r="821" spans="16:16" x14ac:dyDescent="0.15">
      <c r="P821" s="4"/>
    </row>
    <row r="822" spans="16:16" x14ac:dyDescent="0.15">
      <c r="P822" s="4"/>
    </row>
    <row r="823" spans="16:16" x14ac:dyDescent="0.15">
      <c r="P823" s="4"/>
    </row>
    <row r="824" spans="16:16" x14ac:dyDescent="0.15">
      <c r="P824" s="4"/>
    </row>
    <row r="825" spans="16:16" x14ac:dyDescent="0.15">
      <c r="P825" s="4"/>
    </row>
    <row r="826" spans="16:16" x14ac:dyDescent="0.15">
      <c r="P826" s="4"/>
    </row>
    <row r="827" spans="16:16" x14ac:dyDescent="0.15">
      <c r="P827" s="4"/>
    </row>
    <row r="828" spans="16:16" x14ac:dyDescent="0.15">
      <c r="P828" s="4"/>
    </row>
    <row r="829" spans="16:16" x14ac:dyDescent="0.15">
      <c r="P829" s="4"/>
    </row>
    <row r="830" spans="16:16" x14ac:dyDescent="0.15">
      <c r="P830" s="4"/>
    </row>
    <row r="831" spans="16:16" x14ac:dyDescent="0.15">
      <c r="P831" s="4"/>
    </row>
    <row r="832" spans="16:16" x14ac:dyDescent="0.15">
      <c r="P832" s="4"/>
    </row>
    <row r="833" spans="16:16" x14ac:dyDescent="0.15">
      <c r="P833" s="4"/>
    </row>
    <row r="834" spans="16:16" x14ac:dyDescent="0.15">
      <c r="P834" s="4"/>
    </row>
    <row r="835" spans="16:16" x14ac:dyDescent="0.15">
      <c r="P835" s="4"/>
    </row>
    <row r="836" spans="16:16" x14ac:dyDescent="0.15">
      <c r="P836" s="4"/>
    </row>
    <row r="837" spans="16:16" x14ac:dyDescent="0.15">
      <c r="P837" s="4"/>
    </row>
    <row r="838" spans="16:16" x14ac:dyDescent="0.15">
      <c r="P838" s="4"/>
    </row>
    <row r="839" spans="16:16" x14ac:dyDescent="0.15">
      <c r="P839" s="4"/>
    </row>
    <row r="840" spans="16:16" x14ac:dyDescent="0.15">
      <c r="P840" s="4"/>
    </row>
    <row r="841" spans="16:16" x14ac:dyDescent="0.15">
      <c r="P841" s="4"/>
    </row>
    <row r="842" spans="16:16" x14ac:dyDescent="0.15">
      <c r="P842" s="4"/>
    </row>
    <row r="843" spans="16:16" x14ac:dyDescent="0.15">
      <c r="P843" s="4"/>
    </row>
    <row r="844" spans="16:16" x14ac:dyDescent="0.15">
      <c r="P844" s="5"/>
    </row>
    <row r="845" spans="16:16" x14ac:dyDescent="0.15">
      <c r="P845" s="4"/>
    </row>
    <row r="846" spans="16:16" x14ac:dyDescent="0.15">
      <c r="P846" s="4"/>
    </row>
    <row r="847" spans="16:16" x14ac:dyDescent="0.15">
      <c r="P847" s="4"/>
    </row>
    <row r="848" spans="16:16" x14ac:dyDescent="0.15">
      <c r="P848" s="4"/>
    </row>
    <row r="849" spans="16:16" x14ac:dyDescent="0.15">
      <c r="P849" s="4"/>
    </row>
    <row r="850" spans="16:16" x14ac:dyDescent="0.15">
      <c r="P850" s="4"/>
    </row>
    <row r="851" spans="16:16" x14ac:dyDescent="0.15">
      <c r="P851" s="5"/>
    </row>
    <row r="852" spans="16:16" x14ac:dyDescent="0.15">
      <c r="P852" s="4"/>
    </row>
    <row r="853" spans="16:16" x14ac:dyDescent="0.15">
      <c r="P853" s="5"/>
    </row>
    <row r="854" spans="16:16" x14ac:dyDescent="0.15">
      <c r="P854" s="5"/>
    </row>
    <row r="855" spans="16:16" x14ac:dyDescent="0.15">
      <c r="P855" s="5"/>
    </row>
    <row r="856" spans="16:16" x14ac:dyDescent="0.15">
      <c r="P856" s="4"/>
    </row>
    <row r="857" spans="16:16" x14ac:dyDescent="0.15">
      <c r="P857" s="4"/>
    </row>
    <row r="858" spans="16:16" x14ac:dyDescent="0.15">
      <c r="P858" s="4"/>
    </row>
    <row r="859" spans="16:16" x14ac:dyDescent="0.15">
      <c r="P859" s="4"/>
    </row>
    <row r="860" spans="16:16" x14ac:dyDescent="0.15">
      <c r="P860" s="4"/>
    </row>
    <row r="861" spans="16:16" x14ac:dyDescent="0.15">
      <c r="P861" s="4"/>
    </row>
    <row r="862" spans="16:16" x14ac:dyDescent="0.15">
      <c r="P862" s="4"/>
    </row>
    <row r="863" spans="16:16" x14ac:dyDescent="0.15">
      <c r="P863" s="4"/>
    </row>
    <row r="864" spans="16:16" x14ac:dyDescent="0.15">
      <c r="P864" s="4"/>
    </row>
    <row r="865" spans="16:16" x14ac:dyDescent="0.15">
      <c r="P865" s="4"/>
    </row>
    <row r="866" spans="16:16" x14ac:dyDescent="0.15">
      <c r="P866" s="4"/>
    </row>
    <row r="867" spans="16:16" x14ac:dyDescent="0.15">
      <c r="P867" s="4"/>
    </row>
    <row r="868" spans="16:16" x14ac:dyDescent="0.15">
      <c r="P868" s="4"/>
    </row>
    <row r="869" spans="16:16" x14ac:dyDescent="0.15">
      <c r="P869" s="4"/>
    </row>
    <row r="870" spans="16:16" x14ac:dyDescent="0.15">
      <c r="P870" s="4"/>
    </row>
    <row r="871" spans="16:16" x14ac:dyDescent="0.15">
      <c r="P871" s="4"/>
    </row>
    <row r="872" spans="16:16" x14ac:dyDescent="0.15">
      <c r="P872" s="4"/>
    </row>
    <row r="873" spans="16:16" x14ac:dyDescent="0.15">
      <c r="P873" s="4"/>
    </row>
    <row r="874" spans="16:16" x14ac:dyDescent="0.15">
      <c r="P874" s="4"/>
    </row>
    <row r="875" spans="16:16" x14ac:dyDescent="0.15">
      <c r="P875" s="4"/>
    </row>
    <row r="876" spans="16:16" x14ac:dyDescent="0.15">
      <c r="P876" s="4"/>
    </row>
    <row r="877" spans="16:16" x14ac:dyDescent="0.15">
      <c r="P877" s="4"/>
    </row>
    <row r="878" spans="16:16" x14ac:dyDescent="0.15">
      <c r="P878" s="4"/>
    </row>
    <row r="879" spans="16:16" x14ac:dyDescent="0.15">
      <c r="P879" s="4"/>
    </row>
    <row r="880" spans="16:16" x14ac:dyDescent="0.15">
      <c r="P880" s="4"/>
    </row>
    <row r="881" spans="16:16" x14ac:dyDescent="0.15">
      <c r="P881" s="4"/>
    </row>
    <row r="882" spans="16:16" x14ac:dyDescent="0.15">
      <c r="P882" s="4"/>
    </row>
    <row r="883" spans="16:16" x14ac:dyDescent="0.15">
      <c r="P883" s="4"/>
    </row>
    <row r="884" spans="16:16" x14ac:dyDescent="0.15">
      <c r="P884" s="4"/>
    </row>
    <row r="885" spans="16:16" x14ac:dyDescent="0.15">
      <c r="P885" s="4"/>
    </row>
    <row r="886" spans="16:16" x14ac:dyDescent="0.15">
      <c r="P886" s="4"/>
    </row>
    <row r="887" spans="16:16" x14ac:dyDescent="0.15">
      <c r="P887" s="4"/>
    </row>
    <row r="888" spans="16:16" x14ac:dyDescent="0.15">
      <c r="P888" s="4"/>
    </row>
    <row r="889" spans="16:16" x14ac:dyDescent="0.15">
      <c r="P889" s="4"/>
    </row>
    <row r="890" spans="16:16" x14ac:dyDescent="0.15">
      <c r="P890" s="4"/>
    </row>
    <row r="891" spans="16:16" x14ac:dyDescent="0.15">
      <c r="P891" s="4"/>
    </row>
    <row r="892" spans="16:16" x14ac:dyDescent="0.15">
      <c r="P892" s="4"/>
    </row>
    <row r="893" spans="16:16" x14ac:dyDescent="0.15">
      <c r="P893" s="4"/>
    </row>
    <row r="894" spans="16:16" x14ac:dyDescent="0.15">
      <c r="P894" s="4"/>
    </row>
    <row r="895" spans="16:16" x14ac:dyDescent="0.15">
      <c r="P895" s="4"/>
    </row>
    <row r="896" spans="16:16" x14ac:dyDescent="0.15">
      <c r="P896" s="4"/>
    </row>
    <row r="897" spans="16:16" x14ac:dyDescent="0.15">
      <c r="P897" s="5"/>
    </row>
    <row r="898" spans="16:16" x14ac:dyDescent="0.15">
      <c r="P898" s="4"/>
    </row>
    <row r="899" spans="16:16" x14ac:dyDescent="0.15">
      <c r="P899" s="5"/>
    </row>
    <row r="900" spans="16:16" x14ac:dyDescent="0.15">
      <c r="P900" s="4"/>
    </row>
    <row r="901" spans="16:16" x14ac:dyDescent="0.15">
      <c r="P901" s="4"/>
    </row>
    <row r="902" spans="16:16" x14ac:dyDescent="0.15">
      <c r="P902" s="4"/>
    </row>
    <row r="903" spans="16:16" x14ac:dyDescent="0.15">
      <c r="P903" s="4"/>
    </row>
    <row r="904" spans="16:16" x14ac:dyDescent="0.15">
      <c r="P904" s="4"/>
    </row>
    <row r="905" spans="16:16" x14ac:dyDescent="0.15">
      <c r="P905" s="5"/>
    </row>
    <row r="906" spans="16:16" x14ac:dyDescent="0.15">
      <c r="P906" s="4"/>
    </row>
    <row r="907" spans="16:16" x14ac:dyDescent="0.15">
      <c r="P907" s="4"/>
    </row>
    <row r="908" spans="16:16" x14ac:dyDescent="0.15">
      <c r="P908" s="4"/>
    </row>
    <row r="909" spans="16:16" x14ac:dyDescent="0.15">
      <c r="P909" s="4"/>
    </row>
    <row r="910" spans="16:16" x14ac:dyDescent="0.15">
      <c r="P910" s="4"/>
    </row>
    <row r="911" spans="16:16" x14ac:dyDescent="0.15">
      <c r="P911" s="4"/>
    </row>
    <row r="912" spans="16:16" x14ac:dyDescent="0.15">
      <c r="P912" s="5"/>
    </row>
    <row r="913" spans="16:16" x14ac:dyDescent="0.15">
      <c r="P913" s="4"/>
    </row>
    <row r="914" spans="16:16" x14ac:dyDescent="0.15">
      <c r="P914" s="5"/>
    </row>
    <row r="915" spans="16:16" x14ac:dyDescent="0.15">
      <c r="P915" s="4"/>
    </row>
    <row r="916" spans="16:16" x14ac:dyDescent="0.15">
      <c r="P916" s="4"/>
    </row>
    <row r="917" spans="16:16" x14ac:dyDescent="0.15">
      <c r="P917" s="4"/>
    </row>
    <row r="918" spans="16:16" x14ac:dyDescent="0.15">
      <c r="P918" s="4"/>
    </row>
    <row r="919" spans="16:16" x14ac:dyDescent="0.15">
      <c r="P919" s="5"/>
    </row>
    <row r="920" spans="16:16" x14ac:dyDescent="0.15">
      <c r="P920" s="5"/>
    </row>
    <row r="921" spans="16:16" x14ac:dyDescent="0.15">
      <c r="P921" s="4"/>
    </row>
    <row r="922" spans="16:16" x14ac:dyDescent="0.15">
      <c r="P922" s="4"/>
    </row>
    <row r="923" spans="16:16" x14ac:dyDescent="0.15">
      <c r="P923" s="4"/>
    </row>
    <row r="924" spans="16:16" x14ac:dyDescent="0.15">
      <c r="P924" s="5"/>
    </row>
    <row r="925" spans="16:16" x14ac:dyDescent="0.15">
      <c r="P925" s="4"/>
    </row>
    <row r="926" spans="16:16" x14ac:dyDescent="0.15">
      <c r="P926" s="4"/>
    </row>
    <row r="927" spans="16:16" x14ac:dyDescent="0.15">
      <c r="P927" s="4"/>
    </row>
    <row r="928" spans="16:16" x14ac:dyDescent="0.15">
      <c r="P928" s="4"/>
    </row>
    <row r="929" spans="16:16" x14ac:dyDescent="0.15">
      <c r="P929" s="5"/>
    </row>
    <row r="930" spans="16:16" x14ac:dyDescent="0.15">
      <c r="P930" s="4"/>
    </row>
    <row r="931" spans="16:16" x14ac:dyDescent="0.15">
      <c r="P931" s="5"/>
    </row>
    <row r="932" spans="16:16" x14ac:dyDescent="0.15">
      <c r="P932" s="4"/>
    </row>
    <row r="933" spans="16:16" x14ac:dyDescent="0.15">
      <c r="P933" s="4"/>
    </row>
    <row r="934" spans="16:16" x14ac:dyDescent="0.15">
      <c r="P934" s="4"/>
    </row>
    <row r="935" spans="16:16" x14ac:dyDescent="0.15">
      <c r="P935" s="4"/>
    </row>
    <row r="936" spans="16:16" x14ac:dyDescent="0.15">
      <c r="P936" s="4"/>
    </row>
    <row r="937" spans="16:16" x14ac:dyDescent="0.15">
      <c r="P937" s="4"/>
    </row>
    <row r="938" spans="16:16" x14ac:dyDescent="0.15">
      <c r="P938" s="4"/>
    </row>
    <row r="939" spans="16:16" x14ac:dyDescent="0.15">
      <c r="P939" s="4"/>
    </row>
    <row r="940" spans="16:16" x14ac:dyDescent="0.15">
      <c r="P940" s="5"/>
    </row>
    <row r="941" spans="16:16" x14ac:dyDescent="0.15">
      <c r="P941" s="4"/>
    </row>
    <row r="942" spans="16:16" x14ac:dyDescent="0.15">
      <c r="P942" s="4"/>
    </row>
    <row r="943" spans="16:16" x14ac:dyDescent="0.15">
      <c r="P943" s="4"/>
    </row>
    <row r="944" spans="16:16" x14ac:dyDescent="0.15">
      <c r="P944" s="4"/>
    </row>
    <row r="945" spans="16:16" x14ac:dyDescent="0.15">
      <c r="P945" s="4"/>
    </row>
    <row r="946" spans="16:16" x14ac:dyDescent="0.15">
      <c r="P946" s="4"/>
    </row>
    <row r="947" spans="16:16" x14ac:dyDescent="0.15">
      <c r="P947" s="4"/>
    </row>
    <row r="948" spans="16:16" x14ac:dyDescent="0.15">
      <c r="P948" s="4"/>
    </row>
    <row r="949" spans="16:16" x14ac:dyDescent="0.15">
      <c r="P949" s="4"/>
    </row>
    <row r="950" spans="16:16" x14ac:dyDescent="0.15">
      <c r="P950" s="4"/>
    </row>
    <row r="951" spans="16:16" x14ac:dyDescent="0.15">
      <c r="P951" s="4"/>
    </row>
    <row r="952" spans="16:16" x14ac:dyDescent="0.15">
      <c r="P952" s="4"/>
    </row>
    <row r="953" spans="16:16" x14ac:dyDescent="0.15">
      <c r="P953" s="4"/>
    </row>
    <row r="954" spans="16:16" x14ac:dyDescent="0.15">
      <c r="P954" s="4"/>
    </row>
    <row r="955" spans="16:16" x14ac:dyDescent="0.15">
      <c r="P955" s="4"/>
    </row>
    <row r="956" spans="16:16" x14ac:dyDescent="0.15">
      <c r="P956" s="4"/>
    </row>
    <row r="957" spans="16:16" x14ac:dyDescent="0.15">
      <c r="P957" s="4"/>
    </row>
    <row r="958" spans="16:16" x14ac:dyDescent="0.15">
      <c r="P958" s="4"/>
    </row>
    <row r="959" spans="16:16" x14ac:dyDescent="0.15">
      <c r="P959" s="4"/>
    </row>
    <row r="960" spans="16:16" x14ac:dyDescent="0.15">
      <c r="P960" s="4"/>
    </row>
    <row r="961" spans="16:16" x14ac:dyDescent="0.15">
      <c r="P961" s="4"/>
    </row>
    <row r="962" spans="16:16" x14ac:dyDescent="0.15">
      <c r="P962" s="4"/>
    </row>
    <row r="963" spans="16:16" x14ac:dyDescent="0.15">
      <c r="P963" s="4"/>
    </row>
    <row r="964" spans="16:16" x14ac:dyDescent="0.15">
      <c r="P964" s="4"/>
    </row>
    <row r="965" spans="16:16" x14ac:dyDescent="0.15">
      <c r="P965" s="4"/>
    </row>
    <row r="966" spans="16:16" x14ac:dyDescent="0.15">
      <c r="P966" s="4"/>
    </row>
    <row r="967" spans="16:16" x14ac:dyDescent="0.15">
      <c r="P967" s="4"/>
    </row>
    <row r="968" spans="16:16" x14ac:dyDescent="0.15">
      <c r="P968" s="4"/>
    </row>
    <row r="969" spans="16:16" x14ac:dyDescent="0.15">
      <c r="P969" s="4"/>
    </row>
    <row r="970" spans="16:16" x14ac:dyDescent="0.15">
      <c r="P970" s="4"/>
    </row>
    <row r="971" spans="16:16" x14ac:dyDescent="0.15">
      <c r="P971" s="4"/>
    </row>
    <row r="972" spans="16:16" x14ac:dyDescent="0.15">
      <c r="P972" s="4"/>
    </row>
    <row r="973" spans="16:16" x14ac:dyDescent="0.15">
      <c r="P973" s="4"/>
    </row>
    <row r="974" spans="16:16" x14ac:dyDescent="0.15">
      <c r="P974" s="4"/>
    </row>
    <row r="975" spans="16:16" x14ac:dyDescent="0.15">
      <c r="P975" s="4"/>
    </row>
    <row r="976" spans="16:16" x14ac:dyDescent="0.15">
      <c r="P976" s="4"/>
    </row>
    <row r="977" spans="16:16" x14ac:dyDescent="0.15">
      <c r="P977" s="4"/>
    </row>
    <row r="978" spans="16:16" x14ac:dyDescent="0.15">
      <c r="P978" s="4"/>
    </row>
    <row r="979" spans="16:16" x14ac:dyDescent="0.15">
      <c r="P979" s="5"/>
    </row>
    <row r="980" spans="16:16" x14ac:dyDescent="0.15">
      <c r="P980" s="4"/>
    </row>
    <row r="981" spans="16:16" x14ac:dyDescent="0.15">
      <c r="P981" s="4"/>
    </row>
    <row r="982" spans="16:16" x14ac:dyDescent="0.15">
      <c r="P982" s="4"/>
    </row>
    <row r="983" spans="16:16" x14ac:dyDescent="0.15">
      <c r="P983" s="4"/>
    </row>
    <row r="984" spans="16:16" x14ac:dyDescent="0.15">
      <c r="P984" s="4"/>
    </row>
    <row r="985" spans="16:16" x14ac:dyDescent="0.15">
      <c r="P985" s="4"/>
    </row>
    <row r="986" spans="16:16" x14ac:dyDescent="0.15">
      <c r="P986" s="4"/>
    </row>
    <row r="987" spans="16:16" x14ac:dyDescent="0.15">
      <c r="P987" s="4"/>
    </row>
    <row r="988" spans="16:16" x14ac:dyDescent="0.15">
      <c r="P988" s="4"/>
    </row>
    <row r="989" spans="16:16" x14ac:dyDescent="0.15">
      <c r="P989" s="4"/>
    </row>
    <row r="990" spans="16:16" x14ac:dyDescent="0.15">
      <c r="P990" s="4"/>
    </row>
    <row r="991" spans="16:16" x14ac:dyDescent="0.15">
      <c r="P991" s="4"/>
    </row>
    <row r="992" spans="16:16" x14ac:dyDescent="0.15">
      <c r="P992" s="4"/>
    </row>
    <row r="993" spans="16:16" x14ac:dyDescent="0.15">
      <c r="P993" s="4"/>
    </row>
    <row r="994" spans="16:16" x14ac:dyDescent="0.15">
      <c r="P994" s="4"/>
    </row>
    <row r="995" spans="16:16" x14ac:dyDescent="0.15">
      <c r="P995" s="4"/>
    </row>
    <row r="996" spans="16:16" x14ac:dyDescent="0.15">
      <c r="P996" s="4"/>
    </row>
    <row r="997" spans="16:16" x14ac:dyDescent="0.15">
      <c r="P997" s="4"/>
    </row>
    <row r="998" spans="16:16" x14ac:dyDescent="0.15">
      <c r="P998" s="4"/>
    </row>
    <row r="999" spans="16:16" x14ac:dyDescent="0.15">
      <c r="P999" s="4"/>
    </row>
    <row r="1000" spans="16:16" x14ac:dyDescent="0.15">
      <c r="P1000" s="4"/>
    </row>
    <row r="1001" spans="16:16" x14ac:dyDescent="0.15">
      <c r="P1001" s="4"/>
    </row>
    <row r="1002" spans="16:16" x14ac:dyDescent="0.15">
      <c r="P1002" s="4"/>
    </row>
    <row r="1003" spans="16:16" x14ac:dyDescent="0.15">
      <c r="P1003" s="4"/>
    </row>
    <row r="1004" spans="16:16" x14ac:dyDescent="0.15">
      <c r="P1004" s="4"/>
    </row>
    <row r="1005" spans="16:16" x14ac:dyDescent="0.15">
      <c r="P1005" s="4"/>
    </row>
    <row r="1006" spans="16:16" x14ac:dyDescent="0.15">
      <c r="P1006" s="4"/>
    </row>
    <row r="1007" spans="16:16" x14ac:dyDescent="0.15">
      <c r="P1007" s="4"/>
    </row>
    <row r="1008" spans="16:16" x14ac:dyDescent="0.15">
      <c r="P1008" s="4"/>
    </row>
    <row r="1009" spans="16:16" x14ac:dyDescent="0.15">
      <c r="P1009" s="4"/>
    </row>
    <row r="1010" spans="16:16" x14ac:dyDescent="0.15">
      <c r="P1010" s="4"/>
    </row>
    <row r="1011" spans="16:16" x14ac:dyDescent="0.15">
      <c r="P1011" s="4"/>
    </row>
    <row r="1012" spans="16:16" x14ac:dyDescent="0.15">
      <c r="P1012" s="4"/>
    </row>
    <row r="1013" spans="16:16" x14ac:dyDescent="0.15">
      <c r="P1013" s="4"/>
    </row>
    <row r="1014" spans="16:16" x14ac:dyDescent="0.15">
      <c r="P1014" s="4"/>
    </row>
    <row r="1015" spans="16:16" x14ac:dyDescent="0.15">
      <c r="P1015" s="4"/>
    </row>
    <row r="1016" spans="16:16" x14ac:dyDescent="0.15">
      <c r="P1016" s="4"/>
    </row>
    <row r="1017" spans="16:16" x14ac:dyDescent="0.15">
      <c r="P1017" s="4"/>
    </row>
    <row r="1018" spans="16:16" x14ac:dyDescent="0.15">
      <c r="P1018" s="4"/>
    </row>
    <row r="1019" spans="16:16" x14ac:dyDescent="0.15">
      <c r="P1019" s="4"/>
    </row>
    <row r="1020" spans="16:16" x14ac:dyDescent="0.15">
      <c r="P1020" s="4"/>
    </row>
    <row r="1021" spans="16:16" x14ac:dyDescent="0.15">
      <c r="P1021" s="4"/>
    </row>
    <row r="1022" spans="16:16" x14ac:dyDescent="0.15">
      <c r="P1022" s="4"/>
    </row>
    <row r="1023" spans="16:16" x14ac:dyDescent="0.15">
      <c r="P1023" s="4"/>
    </row>
    <row r="1024" spans="16:16" x14ac:dyDescent="0.15">
      <c r="P1024" s="5"/>
    </row>
    <row r="1025" spans="16:16" x14ac:dyDescent="0.15">
      <c r="P1025" s="4"/>
    </row>
    <row r="1026" spans="16:16" x14ac:dyDescent="0.15">
      <c r="P1026" s="4"/>
    </row>
    <row r="1027" spans="16:16" x14ac:dyDescent="0.15">
      <c r="P1027" s="4"/>
    </row>
    <row r="1028" spans="16:16" x14ac:dyDescent="0.15">
      <c r="P1028" s="4"/>
    </row>
    <row r="1029" spans="16:16" x14ac:dyDescent="0.15">
      <c r="P1029" s="4"/>
    </row>
    <row r="1030" spans="16:16" x14ac:dyDescent="0.15">
      <c r="P1030" s="4"/>
    </row>
    <row r="1031" spans="16:16" x14ac:dyDescent="0.15">
      <c r="P1031" s="4"/>
    </row>
    <row r="1032" spans="16:16" x14ac:dyDescent="0.15">
      <c r="P1032" s="4"/>
    </row>
    <row r="1033" spans="16:16" x14ac:dyDescent="0.15">
      <c r="P1033" s="4"/>
    </row>
    <row r="1034" spans="16:16" x14ac:dyDescent="0.15">
      <c r="P1034" s="5"/>
    </row>
    <row r="1035" spans="16:16" x14ac:dyDescent="0.15">
      <c r="P1035" s="4"/>
    </row>
    <row r="1036" spans="16:16" x14ac:dyDescent="0.15">
      <c r="P1036" s="5"/>
    </row>
    <row r="1037" spans="16:16" x14ac:dyDescent="0.15">
      <c r="P1037" s="4"/>
    </row>
    <row r="1038" spans="16:16" x14ac:dyDescent="0.15">
      <c r="P1038" s="4"/>
    </row>
    <row r="1039" spans="16:16" x14ac:dyDescent="0.15">
      <c r="P1039" s="4"/>
    </row>
    <row r="1040" spans="16:16" x14ac:dyDescent="0.15">
      <c r="P1040" s="5"/>
    </row>
    <row r="1041" spans="16:16" x14ac:dyDescent="0.15">
      <c r="P1041" s="4"/>
    </row>
    <row r="1042" spans="16:16" x14ac:dyDescent="0.15">
      <c r="P1042" s="4"/>
    </row>
    <row r="1043" spans="16:16" x14ac:dyDescent="0.15">
      <c r="P1043" s="4"/>
    </row>
    <row r="1044" spans="16:16" x14ac:dyDescent="0.15">
      <c r="P1044" s="4"/>
    </row>
    <row r="1045" spans="16:16" x14ac:dyDescent="0.15">
      <c r="P1045" s="4"/>
    </row>
    <row r="1046" spans="16:16" x14ac:dyDescent="0.15">
      <c r="P1046" s="4"/>
    </row>
    <row r="1047" spans="16:16" x14ac:dyDescent="0.15">
      <c r="P1047" s="4"/>
    </row>
    <row r="1048" spans="16:16" x14ac:dyDescent="0.15">
      <c r="P1048" s="4"/>
    </row>
    <row r="1049" spans="16:16" x14ac:dyDescent="0.15">
      <c r="P1049" s="4"/>
    </row>
    <row r="1050" spans="16:16" x14ac:dyDescent="0.15">
      <c r="P1050" s="4"/>
    </row>
    <row r="1051" spans="16:16" x14ac:dyDescent="0.15">
      <c r="P1051" s="4"/>
    </row>
    <row r="1052" spans="16:16" x14ac:dyDescent="0.15">
      <c r="P1052" s="4"/>
    </row>
    <row r="1053" spans="16:16" x14ac:dyDescent="0.15">
      <c r="P1053" s="4"/>
    </row>
    <row r="1054" spans="16:16" x14ac:dyDescent="0.15">
      <c r="P1054" s="4"/>
    </row>
    <row r="1055" spans="16:16" x14ac:dyDescent="0.15">
      <c r="P1055" s="4"/>
    </row>
    <row r="1056" spans="16:16" x14ac:dyDescent="0.15">
      <c r="P1056" s="4"/>
    </row>
    <row r="1057" spans="16:16" x14ac:dyDescent="0.15">
      <c r="P1057" s="4"/>
    </row>
    <row r="1058" spans="16:16" x14ac:dyDescent="0.15">
      <c r="P1058" s="4"/>
    </row>
    <row r="1059" spans="16:16" x14ac:dyDescent="0.15">
      <c r="P1059" s="4"/>
    </row>
    <row r="1060" spans="16:16" x14ac:dyDescent="0.15">
      <c r="P1060" s="4"/>
    </row>
    <row r="1061" spans="16:16" x14ac:dyDescent="0.15">
      <c r="P1061" s="4"/>
    </row>
    <row r="1062" spans="16:16" x14ac:dyDescent="0.15">
      <c r="P1062" s="5"/>
    </row>
    <row r="1063" spans="16:16" x14ac:dyDescent="0.15">
      <c r="P1063" s="4"/>
    </row>
    <row r="1064" spans="16:16" x14ac:dyDescent="0.15">
      <c r="P1064" s="4"/>
    </row>
    <row r="1065" spans="16:16" x14ac:dyDescent="0.15">
      <c r="P1065" s="5"/>
    </row>
    <row r="1066" spans="16:16" x14ac:dyDescent="0.15">
      <c r="P1066" s="4"/>
    </row>
    <row r="1067" spans="16:16" x14ac:dyDescent="0.15">
      <c r="P1067" s="4"/>
    </row>
    <row r="1068" spans="16:16" x14ac:dyDescent="0.15">
      <c r="P1068" s="4"/>
    </row>
    <row r="1069" spans="16:16" x14ac:dyDescent="0.15">
      <c r="P1069" s="4"/>
    </row>
    <row r="1070" spans="16:16" x14ac:dyDescent="0.15">
      <c r="P1070" s="4"/>
    </row>
    <row r="1071" spans="16:16" x14ac:dyDescent="0.15">
      <c r="P1071" s="4"/>
    </row>
    <row r="1072" spans="16:16" x14ac:dyDescent="0.15">
      <c r="P1072" s="5"/>
    </row>
    <row r="1073" spans="16:16" x14ac:dyDescent="0.15">
      <c r="P1073" s="5"/>
    </row>
    <row r="1074" spans="16:16" x14ac:dyDescent="0.15">
      <c r="P1074" s="4"/>
    </row>
    <row r="1075" spans="16:16" x14ac:dyDescent="0.15">
      <c r="P1075" s="4"/>
    </row>
    <row r="1076" spans="16:16" x14ac:dyDescent="0.15">
      <c r="P1076" s="5"/>
    </row>
    <row r="1077" spans="16:16" x14ac:dyDescent="0.15">
      <c r="P1077" s="4"/>
    </row>
    <row r="1078" spans="16:16" x14ac:dyDescent="0.15">
      <c r="P1078" s="4"/>
    </row>
    <row r="1079" spans="16:16" x14ac:dyDescent="0.15">
      <c r="P1079" s="4"/>
    </row>
    <row r="1080" spans="16:16" x14ac:dyDescent="0.15">
      <c r="P1080" s="5"/>
    </row>
    <row r="1081" spans="16:16" x14ac:dyDescent="0.15">
      <c r="P1081" s="4"/>
    </row>
    <row r="1082" spans="16:16" x14ac:dyDescent="0.15">
      <c r="P1082" s="4"/>
    </row>
    <row r="1083" spans="16:16" x14ac:dyDescent="0.15">
      <c r="P1083" s="4"/>
    </row>
    <row r="1084" spans="16:16" x14ac:dyDescent="0.15">
      <c r="P1084" s="4"/>
    </row>
    <row r="1085" spans="16:16" x14ac:dyDescent="0.15">
      <c r="P1085" s="4"/>
    </row>
    <row r="1086" spans="16:16" x14ac:dyDescent="0.15">
      <c r="P1086" s="4"/>
    </row>
    <row r="1087" spans="16:16" x14ac:dyDescent="0.15">
      <c r="P1087" s="4"/>
    </row>
    <row r="1088" spans="16:16" x14ac:dyDescent="0.15">
      <c r="P1088" s="4"/>
    </row>
    <row r="1089" spans="16:16" x14ac:dyDescent="0.15">
      <c r="P1089" s="4"/>
    </row>
    <row r="1090" spans="16:16" x14ac:dyDescent="0.15">
      <c r="P1090" s="4"/>
    </row>
    <row r="1091" spans="16:16" x14ac:dyDescent="0.15">
      <c r="P1091" s="4"/>
    </row>
    <row r="1092" spans="16:16" x14ac:dyDescent="0.15">
      <c r="P1092" s="4"/>
    </row>
    <row r="1093" spans="16:16" x14ac:dyDescent="0.15">
      <c r="P1093" s="4"/>
    </row>
    <row r="1094" spans="16:16" x14ac:dyDescent="0.15">
      <c r="P1094" s="4"/>
    </row>
    <row r="1095" spans="16:16" x14ac:dyDescent="0.15">
      <c r="P1095" s="4"/>
    </row>
    <row r="1096" spans="16:16" x14ac:dyDescent="0.15">
      <c r="P1096" s="4"/>
    </row>
    <row r="1097" spans="16:16" x14ac:dyDescent="0.15">
      <c r="P1097" s="4"/>
    </row>
    <row r="1098" spans="16:16" x14ac:dyDescent="0.15">
      <c r="P1098" s="4"/>
    </row>
    <row r="1099" spans="16:16" x14ac:dyDescent="0.15">
      <c r="P1099" s="5"/>
    </row>
    <row r="1100" spans="16:16" x14ac:dyDescent="0.15">
      <c r="P1100" s="5"/>
    </row>
    <row r="1101" spans="16:16" x14ac:dyDescent="0.15">
      <c r="P1101" s="4"/>
    </row>
    <row r="1102" spans="16:16" x14ac:dyDescent="0.15">
      <c r="P1102" s="4"/>
    </row>
    <row r="1103" spans="16:16" x14ac:dyDescent="0.15">
      <c r="P1103" s="5"/>
    </row>
    <row r="1104" spans="16:16" x14ac:dyDescent="0.15">
      <c r="P1104" s="5"/>
    </row>
    <row r="1105" spans="16:16" x14ac:dyDescent="0.15">
      <c r="P1105" s="4"/>
    </row>
    <row r="1106" spans="16:16" x14ac:dyDescent="0.15">
      <c r="P1106" s="5"/>
    </row>
    <row r="1107" spans="16:16" x14ac:dyDescent="0.15">
      <c r="P1107" s="4"/>
    </row>
    <row r="1108" spans="16:16" x14ac:dyDescent="0.15">
      <c r="P1108" s="4"/>
    </row>
    <row r="1109" spans="16:16" x14ac:dyDescent="0.15">
      <c r="P1109" s="4"/>
    </row>
    <row r="1110" spans="16:16" x14ac:dyDescent="0.15">
      <c r="P1110" s="4"/>
    </row>
    <row r="1111" spans="16:16" x14ac:dyDescent="0.15">
      <c r="P1111" s="4"/>
    </row>
    <row r="1112" spans="16:16" x14ac:dyDescent="0.15">
      <c r="P1112" s="4"/>
    </row>
    <row r="1113" spans="16:16" x14ac:dyDescent="0.15">
      <c r="P1113" s="4"/>
    </row>
    <row r="1114" spans="16:16" x14ac:dyDescent="0.15">
      <c r="P1114" s="4"/>
    </row>
    <row r="1115" spans="16:16" x14ac:dyDescent="0.15">
      <c r="P1115" s="4"/>
    </row>
    <row r="1116" spans="16:16" x14ac:dyDescent="0.15">
      <c r="P1116" s="4"/>
    </row>
    <row r="1117" spans="16:16" x14ac:dyDescent="0.15">
      <c r="P1117" s="4"/>
    </row>
    <row r="1118" spans="16:16" x14ac:dyDescent="0.15">
      <c r="P1118" s="5"/>
    </row>
    <row r="1119" spans="16:16" x14ac:dyDescent="0.15">
      <c r="P1119" s="4"/>
    </row>
    <row r="1120" spans="16:16" x14ac:dyDescent="0.15">
      <c r="P1120" s="5"/>
    </row>
    <row r="1121" spans="16:16" x14ac:dyDescent="0.15">
      <c r="P1121" s="4"/>
    </row>
    <row r="1122" spans="16:16" x14ac:dyDescent="0.15">
      <c r="P1122" s="4"/>
    </row>
    <row r="1123" spans="16:16" x14ac:dyDescent="0.15">
      <c r="P1123" s="4"/>
    </row>
    <row r="1124" spans="16:16" x14ac:dyDescent="0.15">
      <c r="P1124" s="4"/>
    </row>
    <row r="1125" spans="16:16" x14ac:dyDescent="0.15">
      <c r="P1125" s="4"/>
    </row>
    <row r="1126" spans="16:16" x14ac:dyDescent="0.15">
      <c r="P1126" s="5"/>
    </row>
    <row r="1127" spans="16:16" x14ac:dyDescent="0.15">
      <c r="P1127" s="4"/>
    </row>
    <row r="1128" spans="16:16" x14ac:dyDescent="0.15">
      <c r="P1128" s="4"/>
    </row>
    <row r="1129" spans="16:16" x14ac:dyDescent="0.15">
      <c r="P1129" s="4"/>
    </row>
    <row r="1130" spans="16:16" x14ac:dyDescent="0.15">
      <c r="P1130" s="4"/>
    </row>
    <row r="1131" spans="16:16" x14ac:dyDescent="0.15">
      <c r="P1131" s="4"/>
    </row>
    <row r="1132" spans="16:16" x14ac:dyDescent="0.15">
      <c r="P1132" s="4"/>
    </row>
    <row r="1133" spans="16:16" x14ac:dyDescent="0.15">
      <c r="P1133" s="5"/>
    </row>
    <row r="1134" spans="16:16" x14ac:dyDescent="0.15">
      <c r="P1134" s="4"/>
    </row>
    <row r="1135" spans="16:16" x14ac:dyDescent="0.15">
      <c r="P1135" s="4"/>
    </row>
    <row r="1136" spans="16:16" x14ac:dyDescent="0.15">
      <c r="P1136" s="4"/>
    </row>
    <row r="1137" spans="16:16" x14ac:dyDescent="0.15">
      <c r="P1137" s="4"/>
    </row>
    <row r="1138" spans="16:16" x14ac:dyDescent="0.15">
      <c r="P1138" s="5"/>
    </row>
    <row r="1139" spans="16:16" x14ac:dyDescent="0.15">
      <c r="P1139" s="4"/>
    </row>
    <row r="1140" spans="16:16" x14ac:dyDescent="0.15">
      <c r="P1140" s="4"/>
    </row>
    <row r="1141" spans="16:16" x14ac:dyDescent="0.15">
      <c r="P1141" s="4"/>
    </row>
    <row r="1142" spans="16:16" x14ac:dyDescent="0.15">
      <c r="P1142" s="5"/>
    </row>
    <row r="1143" spans="16:16" x14ac:dyDescent="0.15">
      <c r="P1143" s="4"/>
    </row>
    <row r="1144" spans="16:16" x14ac:dyDescent="0.15">
      <c r="P1144" s="4"/>
    </row>
    <row r="1145" spans="16:16" x14ac:dyDescent="0.15">
      <c r="P1145" s="4"/>
    </row>
    <row r="1146" spans="16:16" x14ac:dyDescent="0.15">
      <c r="P1146" s="4"/>
    </row>
    <row r="1147" spans="16:16" x14ac:dyDescent="0.15">
      <c r="P1147" s="4"/>
    </row>
    <row r="1148" spans="16:16" x14ac:dyDescent="0.15">
      <c r="P1148" s="4"/>
    </row>
    <row r="1149" spans="16:16" x14ac:dyDescent="0.15">
      <c r="P1149" s="4"/>
    </row>
    <row r="1150" spans="16:16" x14ac:dyDescent="0.15">
      <c r="P1150" s="4"/>
    </row>
    <row r="1151" spans="16:16" x14ac:dyDescent="0.15">
      <c r="P1151" s="4"/>
    </row>
    <row r="1152" spans="16:16" x14ac:dyDescent="0.15">
      <c r="P1152" s="4"/>
    </row>
    <row r="1153" spans="16:16" x14ac:dyDescent="0.15">
      <c r="P1153" s="4"/>
    </row>
    <row r="1154" spans="16:16" x14ac:dyDescent="0.15">
      <c r="P1154" s="4"/>
    </row>
    <row r="1155" spans="16:16" x14ac:dyDescent="0.15">
      <c r="P1155" s="4"/>
    </row>
    <row r="1156" spans="16:16" x14ac:dyDescent="0.15">
      <c r="P1156" s="4"/>
    </row>
    <row r="1157" spans="16:16" x14ac:dyDescent="0.15">
      <c r="P1157" s="4"/>
    </row>
    <row r="1158" spans="16:16" x14ac:dyDescent="0.15">
      <c r="P1158" s="4"/>
    </row>
    <row r="1159" spans="16:16" x14ac:dyDescent="0.15">
      <c r="P1159" s="4"/>
    </row>
    <row r="1160" spans="16:16" x14ac:dyDescent="0.15">
      <c r="P1160" s="4"/>
    </row>
    <row r="1161" spans="16:16" x14ac:dyDescent="0.15">
      <c r="P1161" s="4"/>
    </row>
    <row r="1162" spans="16:16" x14ac:dyDescent="0.15">
      <c r="P1162" s="4"/>
    </row>
    <row r="1163" spans="16:16" x14ac:dyDescent="0.15">
      <c r="P1163" s="4"/>
    </row>
    <row r="1164" spans="16:16" x14ac:dyDescent="0.15">
      <c r="P1164" s="4"/>
    </row>
    <row r="1165" spans="16:16" x14ac:dyDescent="0.15">
      <c r="P1165" s="5"/>
    </row>
    <row r="1166" spans="16:16" x14ac:dyDescent="0.15">
      <c r="P1166" s="4"/>
    </row>
    <row r="1167" spans="16:16" x14ac:dyDescent="0.15">
      <c r="P1167" s="5"/>
    </row>
    <row r="1168" spans="16:16" x14ac:dyDescent="0.15">
      <c r="P1168" s="4"/>
    </row>
    <row r="1169" spans="16:16" x14ac:dyDescent="0.15">
      <c r="P1169" s="4"/>
    </row>
    <row r="1170" spans="16:16" x14ac:dyDescent="0.15">
      <c r="P1170" s="5"/>
    </row>
    <row r="1171" spans="16:16" x14ac:dyDescent="0.15">
      <c r="P1171" s="4"/>
    </row>
    <row r="1172" spans="16:16" x14ac:dyDescent="0.15">
      <c r="P1172" s="4"/>
    </row>
    <row r="1173" spans="16:16" x14ac:dyDescent="0.15">
      <c r="P1173" s="4"/>
    </row>
    <row r="1174" spans="16:16" x14ac:dyDescent="0.15">
      <c r="P1174" s="4"/>
    </row>
    <row r="1175" spans="16:16" x14ac:dyDescent="0.15">
      <c r="P1175" s="4"/>
    </row>
    <row r="1176" spans="16:16" x14ac:dyDescent="0.15">
      <c r="P1176" s="4"/>
    </row>
    <row r="1177" spans="16:16" x14ac:dyDescent="0.15">
      <c r="P1177" s="4"/>
    </row>
    <row r="1178" spans="16:16" x14ac:dyDescent="0.15">
      <c r="P1178" s="4"/>
    </row>
    <row r="1179" spans="16:16" x14ac:dyDescent="0.15">
      <c r="P1179" s="4"/>
    </row>
    <row r="1180" spans="16:16" x14ac:dyDescent="0.15">
      <c r="P1180" s="4"/>
    </row>
    <row r="1181" spans="16:16" x14ac:dyDescent="0.15">
      <c r="P1181" s="4"/>
    </row>
    <row r="1182" spans="16:16" x14ac:dyDescent="0.15">
      <c r="P1182" s="4"/>
    </row>
    <row r="1183" spans="16:16" x14ac:dyDescent="0.15">
      <c r="P1183" s="4"/>
    </row>
    <row r="1184" spans="16:16" x14ac:dyDescent="0.15">
      <c r="P1184" s="4"/>
    </row>
    <row r="1185" spans="16:16" x14ac:dyDescent="0.15">
      <c r="P1185" s="4"/>
    </row>
    <row r="1186" spans="16:16" x14ac:dyDescent="0.15">
      <c r="P1186" s="4"/>
    </row>
    <row r="1187" spans="16:16" x14ac:dyDescent="0.15">
      <c r="P1187" s="4"/>
    </row>
    <row r="1188" spans="16:16" x14ac:dyDescent="0.15">
      <c r="P1188" s="4"/>
    </row>
    <row r="1189" spans="16:16" x14ac:dyDescent="0.15">
      <c r="P1189" s="4"/>
    </row>
    <row r="1190" spans="16:16" x14ac:dyDescent="0.15">
      <c r="P1190" s="4"/>
    </row>
    <row r="1191" spans="16:16" x14ac:dyDescent="0.15">
      <c r="P1191" s="4"/>
    </row>
    <row r="1192" spans="16:16" x14ac:dyDescent="0.15">
      <c r="P1192" s="4"/>
    </row>
    <row r="1193" spans="16:16" x14ac:dyDescent="0.15">
      <c r="P1193" s="4"/>
    </row>
    <row r="1194" spans="16:16" x14ac:dyDescent="0.15">
      <c r="P1194" s="4"/>
    </row>
    <row r="1195" spans="16:16" x14ac:dyDescent="0.15">
      <c r="P1195" s="4"/>
    </row>
    <row r="1196" spans="16:16" x14ac:dyDescent="0.15">
      <c r="P1196" s="4"/>
    </row>
    <row r="1197" spans="16:16" x14ac:dyDescent="0.15">
      <c r="P1197" s="4"/>
    </row>
    <row r="1198" spans="16:16" x14ac:dyDescent="0.15">
      <c r="P1198" s="5"/>
    </row>
    <row r="1199" spans="16:16" x14ac:dyDescent="0.15">
      <c r="P1199" s="5"/>
    </row>
    <row r="1200" spans="16:16" x14ac:dyDescent="0.15">
      <c r="P1200" s="4"/>
    </row>
    <row r="1201" spans="16:16" x14ac:dyDescent="0.15">
      <c r="P1201" s="4"/>
    </row>
    <row r="1202" spans="16:16" x14ac:dyDescent="0.15">
      <c r="P1202" s="4"/>
    </row>
    <row r="1203" spans="16:16" x14ac:dyDescent="0.15">
      <c r="P1203" s="4"/>
    </row>
    <row r="1204" spans="16:16" x14ac:dyDescent="0.15">
      <c r="P1204" s="4"/>
    </row>
    <row r="1205" spans="16:16" x14ac:dyDescent="0.15">
      <c r="P1205" s="4"/>
    </row>
    <row r="1206" spans="16:16" x14ac:dyDescent="0.15">
      <c r="P1206" s="4"/>
    </row>
    <row r="1207" spans="16:16" x14ac:dyDescent="0.15">
      <c r="P1207" s="4"/>
    </row>
    <row r="1208" spans="16:16" x14ac:dyDescent="0.15">
      <c r="P1208" s="4"/>
    </row>
    <row r="1209" spans="16:16" x14ac:dyDescent="0.15">
      <c r="P1209" s="4"/>
    </row>
    <row r="1210" spans="16:16" x14ac:dyDescent="0.15">
      <c r="P1210" s="5"/>
    </row>
    <row r="1211" spans="16:16" x14ac:dyDescent="0.15">
      <c r="P1211" s="4"/>
    </row>
    <row r="1212" spans="16:16" x14ac:dyDescent="0.15">
      <c r="P1212" s="4"/>
    </row>
    <row r="1213" spans="16:16" x14ac:dyDescent="0.15">
      <c r="P1213" s="4"/>
    </row>
    <row r="1214" spans="16:16" x14ac:dyDescent="0.15">
      <c r="P1214" s="4"/>
    </row>
    <row r="1215" spans="16:16" x14ac:dyDescent="0.15">
      <c r="P1215" s="4"/>
    </row>
    <row r="1216" spans="16:16" x14ac:dyDescent="0.15">
      <c r="P1216" s="4"/>
    </row>
    <row r="1217" spans="16:16" x14ac:dyDescent="0.15">
      <c r="P1217" s="4"/>
    </row>
    <row r="1218" spans="16:16" x14ac:dyDescent="0.15">
      <c r="P1218" s="4"/>
    </row>
    <row r="1219" spans="16:16" x14ac:dyDescent="0.15">
      <c r="P1219" s="4"/>
    </row>
    <row r="1220" spans="16:16" x14ac:dyDescent="0.15">
      <c r="P1220" s="4"/>
    </row>
    <row r="1221" spans="16:16" x14ac:dyDescent="0.15">
      <c r="P1221" s="5"/>
    </row>
    <row r="1222" spans="16:16" x14ac:dyDescent="0.15">
      <c r="P1222" s="4"/>
    </row>
    <row r="1223" spans="16:16" x14ac:dyDescent="0.15">
      <c r="P1223" s="4"/>
    </row>
    <row r="1224" spans="16:16" x14ac:dyDescent="0.15">
      <c r="P1224" s="5"/>
    </row>
    <row r="1225" spans="16:16" x14ac:dyDescent="0.15">
      <c r="P1225" s="5"/>
    </row>
    <row r="1226" spans="16:16" x14ac:dyDescent="0.15">
      <c r="P1226" s="4"/>
    </row>
    <row r="1227" spans="16:16" x14ac:dyDescent="0.15">
      <c r="P1227" s="4"/>
    </row>
    <row r="1228" spans="16:16" x14ac:dyDescent="0.15">
      <c r="P1228" s="4"/>
    </row>
    <row r="1229" spans="16:16" x14ac:dyDescent="0.15">
      <c r="P1229" s="4"/>
    </row>
    <row r="1230" spans="16:16" x14ac:dyDescent="0.15">
      <c r="P1230" s="4"/>
    </row>
    <row r="1231" spans="16:16" x14ac:dyDescent="0.15">
      <c r="P1231" s="4"/>
    </row>
    <row r="1232" spans="16:16" x14ac:dyDescent="0.15">
      <c r="P1232" s="4"/>
    </row>
    <row r="1233" spans="16:16" x14ac:dyDescent="0.15">
      <c r="P1233" s="4"/>
    </row>
    <row r="1234" spans="16:16" x14ac:dyDescent="0.15">
      <c r="P1234" s="4"/>
    </row>
    <row r="1235" spans="16:16" x14ac:dyDescent="0.15">
      <c r="P1235" s="4"/>
    </row>
    <row r="1236" spans="16:16" x14ac:dyDescent="0.15">
      <c r="P1236" s="4"/>
    </row>
    <row r="1237" spans="16:16" x14ac:dyDescent="0.15">
      <c r="P1237" s="4"/>
    </row>
    <row r="1238" spans="16:16" x14ac:dyDescent="0.15">
      <c r="P1238" s="5"/>
    </row>
    <row r="1239" spans="16:16" x14ac:dyDescent="0.15">
      <c r="P1239" s="5"/>
    </row>
    <row r="1240" spans="16:16" x14ac:dyDescent="0.15">
      <c r="P1240" s="4"/>
    </row>
    <row r="1241" spans="16:16" x14ac:dyDescent="0.15">
      <c r="P1241" s="4"/>
    </row>
    <row r="1242" spans="16:16" x14ac:dyDescent="0.15">
      <c r="P1242" s="4"/>
    </row>
    <row r="1243" spans="16:16" x14ac:dyDescent="0.15">
      <c r="P1243" s="4"/>
    </row>
    <row r="1244" spans="16:16" x14ac:dyDescent="0.15">
      <c r="P1244" s="4"/>
    </row>
    <row r="1245" spans="16:16" x14ac:dyDescent="0.15">
      <c r="P1245" s="4"/>
    </row>
    <row r="1246" spans="16:16" x14ac:dyDescent="0.15">
      <c r="P1246" s="4"/>
    </row>
    <row r="1247" spans="16:16" x14ac:dyDescent="0.15">
      <c r="P1247" s="4"/>
    </row>
    <row r="1248" spans="16:16" x14ac:dyDescent="0.15">
      <c r="P1248" s="4"/>
    </row>
    <row r="1249" spans="16:16" x14ac:dyDescent="0.15">
      <c r="P1249" s="4"/>
    </row>
    <row r="1250" spans="16:16" x14ac:dyDescent="0.15">
      <c r="P1250" s="4"/>
    </row>
    <row r="1251" spans="16:16" x14ac:dyDescent="0.15">
      <c r="P1251" s="4"/>
    </row>
    <row r="1252" spans="16:16" x14ac:dyDescent="0.15">
      <c r="P1252" s="4"/>
    </row>
    <row r="1253" spans="16:16" x14ac:dyDescent="0.15">
      <c r="P1253" s="4"/>
    </row>
    <row r="1254" spans="16:16" x14ac:dyDescent="0.15">
      <c r="P1254" s="4"/>
    </row>
    <row r="1255" spans="16:16" x14ac:dyDescent="0.15">
      <c r="P1255" s="5"/>
    </row>
    <row r="1256" spans="16:16" x14ac:dyDescent="0.15">
      <c r="P1256" s="4"/>
    </row>
    <row r="1257" spans="16:16" x14ac:dyDescent="0.15">
      <c r="P1257" s="5"/>
    </row>
    <row r="1258" spans="16:16" x14ac:dyDescent="0.15">
      <c r="P1258" s="4"/>
    </row>
    <row r="1259" spans="16:16" x14ac:dyDescent="0.15">
      <c r="P1259" s="4"/>
    </row>
    <row r="1260" spans="16:16" x14ac:dyDescent="0.15">
      <c r="P1260" s="4"/>
    </row>
    <row r="1261" spans="16:16" x14ac:dyDescent="0.15">
      <c r="P1261" s="4"/>
    </row>
    <row r="1262" spans="16:16" x14ac:dyDescent="0.15">
      <c r="P1262" s="4"/>
    </row>
    <row r="1263" spans="16:16" x14ac:dyDescent="0.15">
      <c r="P1263" s="4"/>
    </row>
    <row r="1264" spans="16:16" x14ac:dyDescent="0.15">
      <c r="P1264" s="4"/>
    </row>
    <row r="1265" spans="16:16" x14ac:dyDescent="0.15">
      <c r="P1265" s="5"/>
    </row>
    <row r="1266" spans="16:16" x14ac:dyDescent="0.15">
      <c r="P1266" s="4"/>
    </row>
    <row r="1267" spans="16:16" x14ac:dyDescent="0.15">
      <c r="P1267" s="4"/>
    </row>
    <row r="1268" spans="16:16" x14ac:dyDescent="0.15">
      <c r="P1268" s="4"/>
    </row>
    <row r="1269" spans="16:16" x14ac:dyDescent="0.15">
      <c r="P1269" s="4"/>
    </row>
    <row r="1270" spans="16:16" x14ac:dyDescent="0.15">
      <c r="P1270" s="4"/>
    </row>
    <row r="1271" spans="16:16" x14ac:dyDescent="0.15">
      <c r="P1271" s="4"/>
    </row>
    <row r="1272" spans="16:16" x14ac:dyDescent="0.15">
      <c r="P1272" s="5"/>
    </row>
    <row r="1273" spans="16:16" x14ac:dyDescent="0.15">
      <c r="P1273" s="4"/>
    </row>
    <row r="1274" spans="16:16" x14ac:dyDescent="0.15">
      <c r="P1274" s="4"/>
    </row>
    <row r="1275" spans="16:16" x14ac:dyDescent="0.15">
      <c r="P1275" s="4"/>
    </row>
    <row r="1276" spans="16:16" x14ac:dyDescent="0.15">
      <c r="P1276" s="4"/>
    </row>
    <row r="1277" spans="16:16" x14ac:dyDescent="0.15">
      <c r="P1277" s="4"/>
    </row>
    <row r="1278" spans="16:16" x14ac:dyDescent="0.15">
      <c r="P1278" s="4"/>
    </row>
    <row r="1279" spans="16:16" x14ac:dyDescent="0.15">
      <c r="P1279" s="4"/>
    </row>
    <row r="1280" spans="16:16" x14ac:dyDescent="0.15">
      <c r="P1280" s="4"/>
    </row>
    <row r="1281" spans="16:16" x14ac:dyDescent="0.15">
      <c r="P1281" s="4"/>
    </row>
    <row r="1282" spans="16:16" x14ac:dyDescent="0.15">
      <c r="P1282" s="4"/>
    </row>
    <row r="1283" spans="16:16" x14ac:dyDescent="0.15">
      <c r="P1283" s="5"/>
    </row>
    <row r="1284" spans="16:16" x14ac:dyDescent="0.15">
      <c r="P1284" s="4"/>
    </row>
    <row r="1285" spans="16:16" x14ac:dyDescent="0.15">
      <c r="P1285" s="4"/>
    </row>
    <row r="1286" spans="16:16" x14ac:dyDescent="0.15">
      <c r="P1286" s="4"/>
    </row>
    <row r="1287" spans="16:16" x14ac:dyDescent="0.15">
      <c r="P1287" s="4"/>
    </row>
    <row r="1288" spans="16:16" x14ac:dyDescent="0.15">
      <c r="P1288" s="5"/>
    </row>
    <row r="1289" spans="16:16" x14ac:dyDescent="0.15">
      <c r="P1289" s="4"/>
    </row>
    <row r="1290" spans="16:16" x14ac:dyDescent="0.15">
      <c r="P1290" s="5"/>
    </row>
    <row r="1291" spans="16:16" x14ac:dyDescent="0.15">
      <c r="P1291" s="5"/>
    </row>
    <row r="1292" spans="16:16" x14ac:dyDescent="0.15">
      <c r="P1292" s="4"/>
    </row>
    <row r="1293" spans="16:16" x14ac:dyDescent="0.15">
      <c r="P1293" s="4"/>
    </row>
    <row r="1294" spans="16:16" x14ac:dyDescent="0.15">
      <c r="P1294" s="4"/>
    </row>
    <row r="1295" spans="16:16" x14ac:dyDescent="0.15">
      <c r="P1295" s="4"/>
    </row>
    <row r="1296" spans="16:16" x14ac:dyDescent="0.15">
      <c r="P1296" s="4"/>
    </row>
    <row r="1297" spans="16:16" x14ac:dyDescent="0.15">
      <c r="P1297" s="4"/>
    </row>
    <row r="1298" spans="16:16" x14ac:dyDescent="0.15">
      <c r="P1298" s="4"/>
    </row>
    <row r="1299" spans="16:16" x14ac:dyDescent="0.15">
      <c r="P1299" s="4"/>
    </row>
    <row r="1300" spans="16:16" x14ac:dyDescent="0.15">
      <c r="P1300" s="4"/>
    </row>
    <row r="1301" spans="16:16" x14ac:dyDescent="0.15">
      <c r="P1301" s="4"/>
    </row>
    <row r="1302" spans="16:16" x14ac:dyDescent="0.15">
      <c r="P1302" s="4"/>
    </row>
    <row r="1303" spans="16:16" x14ac:dyDescent="0.15">
      <c r="P1303" s="4"/>
    </row>
    <row r="1304" spans="16:16" x14ac:dyDescent="0.15">
      <c r="P1304" s="4"/>
    </row>
    <row r="1305" spans="16:16" x14ac:dyDescent="0.15">
      <c r="P1305" s="4"/>
    </row>
    <row r="1306" spans="16:16" x14ac:dyDescent="0.15">
      <c r="P1306" s="4"/>
    </row>
    <row r="1307" spans="16:16" x14ac:dyDescent="0.15">
      <c r="P1307" s="4"/>
    </row>
    <row r="1308" spans="16:16" x14ac:dyDescent="0.15">
      <c r="P1308" s="4"/>
    </row>
    <row r="1309" spans="16:16" x14ac:dyDescent="0.15">
      <c r="P1309" s="4"/>
    </row>
    <row r="1310" spans="16:16" x14ac:dyDescent="0.15">
      <c r="P1310" s="4"/>
    </row>
    <row r="1311" spans="16:16" x14ac:dyDescent="0.15">
      <c r="P1311" s="4"/>
    </row>
    <row r="1312" spans="16:16" x14ac:dyDescent="0.15">
      <c r="P1312" s="4"/>
    </row>
    <row r="1313" spans="16:16" x14ac:dyDescent="0.15">
      <c r="P1313" s="4"/>
    </row>
    <row r="1314" spans="16:16" x14ac:dyDescent="0.15">
      <c r="P1314" s="4"/>
    </row>
    <row r="1315" spans="16:16" x14ac:dyDescent="0.15">
      <c r="P1315" s="4"/>
    </row>
    <row r="1316" spans="16:16" x14ac:dyDescent="0.15">
      <c r="P1316" s="4"/>
    </row>
    <row r="1317" spans="16:16" x14ac:dyDescent="0.15">
      <c r="P1317" s="4"/>
    </row>
    <row r="1318" spans="16:16" x14ac:dyDescent="0.15">
      <c r="P1318" s="5"/>
    </row>
    <row r="1319" spans="16:16" x14ac:dyDescent="0.15">
      <c r="P1319" s="4"/>
    </row>
    <row r="1320" spans="16:16" x14ac:dyDescent="0.15">
      <c r="P1320" s="4"/>
    </row>
    <row r="1321" spans="16:16" x14ac:dyDescent="0.15">
      <c r="P1321" s="4"/>
    </row>
    <row r="1322" spans="16:16" x14ac:dyDescent="0.15">
      <c r="P1322" s="4"/>
    </row>
    <row r="1323" spans="16:16" x14ac:dyDescent="0.15">
      <c r="P1323" s="4"/>
    </row>
    <row r="1324" spans="16:16" x14ac:dyDescent="0.15">
      <c r="P1324" s="4"/>
    </row>
    <row r="1325" spans="16:16" x14ac:dyDescent="0.15">
      <c r="P1325" s="4"/>
    </row>
    <row r="1326" spans="16:16" x14ac:dyDescent="0.15">
      <c r="P1326" s="4"/>
    </row>
    <row r="1327" spans="16:16" x14ac:dyDescent="0.15">
      <c r="P1327" s="4"/>
    </row>
    <row r="1328" spans="16:16" x14ac:dyDescent="0.15">
      <c r="P1328" s="4"/>
    </row>
    <row r="1329" spans="16:16" x14ac:dyDescent="0.15">
      <c r="P1329" s="4"/>
    </row>
    <row r="1330" spans="16:16" x14ac:dyDescent="0.15">
      <c r="P1330" s="4"/>
    </row>
    <row r="1331" spans="16:16" x14ac:dyDescent="0.15">
      <c r="P1331" s="4"/>
    </row>
    <row r="1332" spans="16:16" x14ac:dyDescent="0.15">
      <c r="P1332" s="4"/>
    </row>
    <row r="1333" spans="16:16" x14ac:dyDescent="0.15">
      <c r="P1333" s="4"/>
    </row>
    <row r="1334" spans="16:16" x14ac:dyDescent="0.15">
      <c r="P1334" s="5"/>
    </row>
    <row r="1335" spans="16:16" x14ac:dyDescent="0.15">
      <c r="P1335" s="4"/>
    </row>
    <row r="1336" spans="16:16" x14ac:dyDescent="0.15">
      <c r="P1336" s="4"/>
    </row>
    <row r="1337" spans="16:16" x14ac:dyDescent="0.15">
      <c r="P1337" s="4"/>
    </row>
    <row r="1338" spans="16:16" x14ac:dyDescent="0.15">
      <c r="P1338" s="4"/>
    </row>
    <row r="1339" spans="16:16" x14ac:dyDescent="0.15">
      <c r="P1339" s="4"/>
    </row>
    <row r="1340" spans="16:16" x14ac:dyDescent="0.15">
      <c r="P1340" s="4"/>
    </row>
    <row r="1341" spans="16:16" x14ac:dyDescent="0.15">
      <c r="P1341" s="4"/>
    </row>
    <row r="1342" spans="16:16" x14ac:dyDescent="0.15">
      <c r="P1342" s="4"/>
    </row>
    <row r="1343" spans="16:16" x14ac:dyDescent="0.15">
      <c r="P1343" s="4"/>
    </row>
    <row r="1344" spans="16:16" x14ac:dyDescent="0.15">
      <c r="P1344" s="4"/>
    </row>
    <row r="1345" spans="16:16" x14ac:dyDescent="0.15">
      <c r="P1345" s="4"/>
    </row>
    <row r="1346" spans="16:16" x14ac:dyDescent="0.15">
      <c r="P1346" s="5"/>
    </row>
    <row r="1347" spans="16:16" x14ac:dyDescent="0.15">
      <c r="P1347" s="4"/>
    </row>
    <row r="1348" spans="16:16" x14ac:dyDescent="0.15">
      <c r="P1348" s="4"/>
    </row>
    <row r="1349" spans="16:16" x14ac:dyDescent="0.15">
      <c r="P1349" s="4"/>
    </row>
    <row r="1350" spans="16:16" x14ac:dyDescent="0.15">
      <c r="P1350" s="5"/>
    </row>
    <row r="1351" spans="16:16" x14ac:dyDescent="0.15">
      <c r="P1351" s="4"/>
    </row>
    <row r="1352" spans="16:16" x14ac:dyDescent="0.15">
      <c r="P1352" s="4"/>
    </row>
    <row r="1353" spans="16:16" x14ac:dyDescent="0.15">
      <c r="P1353" s="5"/>
    </row>
    <row r="1354" spans="16:16" x14ac:dyDescent="0.15">
      <c r="P1354" s="4"/>
    </row>
    <row r="1355" spans="16:16" x14ac:dyDescent="0.15">
      <c r="P1355" s="4"/>
    </row>
    <row r="1356" spans="16:16" x14ac:dyDescent="0.15">
      <c r="P1356" s="4"/>
    </row>
    <row r="1357" spans="16:16" x14ac:dyDescent="0.15">
      <c r="P1357" s="4"/>
    </row>
    <row r="1358" spans="16:16" x14ac:dyDescent="0.15">
      <c r="P1358" s="4"/>
    </row>
    <row r="1359" spans="16:16" x14ac:dyDescent="0.15">
      <c r="P1359" s="4"/>
    </row>
    <row r="1360" spans="16:16" x14ac:dyDescent="0.15">
      <c r="P1360" s="4"/>
    </row>
    <row r="1361" spans="16:16" x14ac:dyDescent="0.15">
      <c r="P1361" s="4"/>
    </row>
    <row r="1362" spans="16:16" x14ac:dyDescent="0.15">
      <c r="P1362" s="4"/>
    </row>
    <row r="1363" spans="16:16" x14ac:dyDescent="0.15">
      <c r="P1363" s="5"/>
    </row>
    <row r="1364" spans="16:16" x14ac:dyDescent="0.15">
      <c r="P1364" s="4"/>
    </row>
    <row r="1365" spans="16:16" x14ac:dyDescent="0.15">
      <c r="P1365" s="4"/>
    </row>
    <row r="1366" spans="16:16" x14ac:dyDescent="0.15">
      <c r="P1366" s="5"/>
    </row>
    <row r="1367" spans="16:16" x14ac:dyDescent="0.15">
      <c r="P1367" s="4"/>
    </row>
    <row r="1368" spans="16:16" x14ac:dyDescent="0.15">
      <c r="P1368" s="4"/>
    </row>
    <row r="1369" spans="16:16" x14ac:dyDescent="0.15">
      <c r="P1369" s="4"/>
    </row>
    <row r="1370" spans="16:16" x14ac:dyDescent="0.15">
      <c r="P1370" s="4"/>
    </row>
    <row r="1371" spans="16:16" x14ac:dyDescent="0.15">
      <c r="P1371" s="4"/>
    </row>
    <row r="1372" spans="16:16" x14ac:dyDescent="0.15">
      <c r="P1372" s="4"/>
    </row>
    <row r="1373" spans="16:16" x14ac:dyDescent="0.15">
      <c r="P1373" s="4"/>
    </row>
    <row r="1374" spans="16:16" x14ac:dyDescent="0.15">
      <c r="P1374" s="4"/>
    </row>
    <row r="1375" spans="16:16" x14ac:dyDescent="0.15">
      <c r="P1375" s="4"/>
    </row>
    <row r="1376" spans="16:16" x14ac:dyDescent="0.15">
      <c r="P1376" s="4"/>
    </row>
    <row r="1377" spans="16:16" x14ac:dyDescent="0.15">
      <c r="P1377" s="4"/>
    </row>
    <row r="1378" spans="16:16" x14ac:dyDescent="0.15">
      <c r="P1378" s="4"/>
    </row>
    <row r="1379" spans="16:16" x14ac:dyDescent="0.15">
      <c r="P1379" s="4"/>
    </row>
    <row r="1380" spans="16:16" x14ac:dyDescent="0.15">
      <c r="P1380" s="4"/>
    </row>
    <row r="1381" spans="16:16" x14ac:dyDescent="0.15">
      <c r="P1381" s="4"/>
    </row>
    <row r="1382" spans="16:16" x14ac:dyDescent="0.15">
      <c r="P1382" s="4"/>
    </row>
    <row r="1383" spans="16:16" x14ac:dyDescent="0.15">
      <c r="P1383" s="4"/>
    </row>
    <row r="1384" spans="16:16" x14ac:dyDescent="0.15">
      <c r="P1384" s="4"/>
    </row>
    <row r="1385" spans="16:16" x14ac:dyDescent="0.15">
      <c r="P1385" s="4"/>
    </row>
    <row r="1386" spans="16:16" x14ac:dyDescent="0.15">
      <c r="P1386" s="4"/>
    </row>
    <row r="1387" spans="16:16" x14ac:dyDescent="0.15">
      <c r="P1387" s="4"/>
    </row>
    <row r="1388" spans="16:16" x14ac:dyDescent="0.15">
      <c r="P1388" s="4"/>
    </row>
    <row r="1389" spans="16:16" x14ac:dyDescent="0.15">
      <c r="P1389" s="4"/>
    </row>
    <row r="1390" spans="16:16" x14ac:dyDescent="0.15">
      <c r="P1390" s="4"/>
    </row>
    <row r="1391" spans="16:16" x14ac:dyDescent="0.15">
      <c r="P1391" s="4"/>
    </row>
    <row r="1392" spans="16:16" x14ac:dyDescent="0.15">
      <c r="P1392" s="4"/>
    </row>
    <row r="1393" spans="16:16" x14ac:dyDescent="0.15">
      <c r="P1393" s="4"/>
    </row>
    <row r="1394" spans="16:16" x14ac:dyDescent="0.15">
      <c r="P1394" s="4"/>
    </row>
    <row r="1395" spans="16:16" x14ac:dyDescent="0.15">
      <c r="P1395" s="4"/>
    </row>
    <row r="1396" spans="16:16" x14ac:dyDescent="0.15">
      <c r="P1396" s="4"/>
    </row>
    <row r="1397" spans="16:16" x14ac:dyDescent="0.15">
      <c r="P1397" s="4"/>
    </row>
    <row r="1398" spans="16:16" x14ac:dyDescent="0.15">
      <c r="P1398" s="5"/>
    </row>
    <row r="1399" spans="16:16" x14ac:dyDescent="0.15">
      <c r="P1399" s="4"/>
    </row>
    <row r="1400" spans="16:16" x14ac:dyDescent="0.15">
      <c r="P1400" s="4"/>
    </row>
    <row r="1401" spans="16:16" x14ac:dyDescent="0.15">
      <c r="P1401" s="4"/>
    </row>
    <row r="1402" spans="16:16" x14ac:dyDescent="0.15">
      <c r="P1402" s="4"/>
    </row>
    <row r="1403" spans="16:16" x14ac:dyDescent="0.15">
      <c r="P1403" s="4"/>
    </row>
    <row r="1404" spans="16:16" x14ac:dyDescent="0.15">
      <c r="P1404" s="4"/>
    </row>
    <row r="1405" spans="16:16" x14ac:dyDescent="0.15">
      <c r="P1405" s="4"/>
    </row>
    <row r="1406" spans="16:16" x14ac:dyDescent="0.15">
      <c r="P1406" s="4"/>
    </row>
    <row r="1407" spans="16:16" x14ac:dyDescent="0.15">
      <c r="P1407" s="4"/>
    </row>
    <row r="1408" spans="16:16" x14ac:dyDescent="0.15">
      <c r="P1408" s="4"/>
    </row>
    <row r="1409" spans="16:16" x14ac:dyDescent="0.15">
      <c r="P1409" s="4"/>
    </row>
    <row r="1410" spans="16:16" x14ac:dyDescent="0.15">
      <c r="P1410" s="4"/>
    </row>
    <row r="1411" spans="16:16" x14ac:dyDescent="0.15">
      <c r="P1411" s="4"/>
    </row>
    <row r="1412" spans="16:16" x14ac:dyDescent="0.15">
      <c r="P1412" s="4"/>
    </row>
    <row r="1413" spans="16:16" x14ac:dyDescent="0.15">
      <c r="P1413" s="4"/>
    </row>
    <row r="1414" spans="16:16" x14ac:dyDescent="0.15">
      <c r="P1414" s="4"/>
    </row>
    <row r="1415" spans="16:16" x14ac:dyDescent="0.15">
      <c r="P1415" s="4"/>
    </row>
    <row r="1416" spans="16:16" x14ac:dyDescent="0.15">
      <c r="P1416" s="4"/>
    </row>
    <row r="1417" spans="16:16" x14ac:dyDescent="0.15">
      <c r="P1417" s="4"/>
    </row>
    <row r="1418" spans="16:16" x14ac:dyDescent="0.15">
      <c r="P1418" s="4"/>
    </row>
    <row r="1419" spans="16:16" x14ac:dyDescent="0.15">
      <c r="P1419" s="4"/>
    </row>
    <row r="1420" spans="16:16" x14ac:dyDescent="0.15">
      <c r="P1420" s="4"/>
    </row>
    <row r="1421" spans="16:16" x14ac:dyDescent="0.15">
      <c r="P1421" s="4"/>
    </row>
    <row r="1422" spans="16:16" x14ac:dyDescent="0.15">
      <c r="P1422" s="5"/>
    </row>
    <row r="1423" spans="16:16" x14ac:dyDescent="0.15">
      <c r="P1423" s="4"/>
    </row>
    <row r="1424" spans="16:16" x14ac:dyDescent="0.15">
      <c r="P1424" s="4"/>
    </row>
    <row r="1425" spans="16:16" x14ac:dyDescent="0.15">
      <c r="P1425" s="5"/>
    </row>
    <row r="1426" spans="16:16" x14ac:dyDescent="0.15">
      <c r="P1426" s="5"/>
    </row>
    <row r="1427" spans="16:16" x14ac:dyDescent="0.15">
      <c r="P1427" s="4"/>
    </row>
    <row r="1428" spans="16:16" x14ac:dyDescent="0.15">
      <c r="P1428" s="5"/>
    </row>
    <row r="1429" spans="16:16" x14ac:dyDescent="0.15">
      <c r="P1429" s="4"/>
    </row>
    <row r="1430" spans="16:16" x14ac:dyDescent="0.15">
      <c r="P1430" s="4"/>
    </row>
    <row r="1431" spans="16:16" x14ac:dyDescent="0.15">
      <c r="P1431" s="4"/>
    </row>
    <row r="1432" spans="16:16" x14ac:dyDescent="0.15">
      <c r="P1432" s="4"/>
    </row>
    <row r="1433" spans="16:16" x14ac:dyDescent="0.15">
      <c r="P1433" s="4"/>
    </row>
    <row r="1434" spans="16:16" x14ac:dyDescent="0.15">
      <c r="P1434" s="4"/>
    </row>
    <row r="1435" spans="16:16" x14ac:dyDescent="0.15">
      <c r="P1435" s="4"/>
    </row>
    <row r="1436" spans="16:16" x14ac:dyDescent="0.15">
      <c r="P1436" s="4"/>
    </row>
    <row r="1437" spans="16:16" x14ac:dyDescent="0.15">
      <c r="P1437" s="4"/>
    </row>
    <row r="1438" spans="16:16" x14ac:dyDescent="0.15">
      <c r="P1438" s="4"/>
    </row>
    <row r="1439" spans="16:16" x14ac:dyDescent="0.15">
      <c r="P1439" s="5"/>
    </row>
    <row r="1440" spans="16:16" x14ac:dyDescent="0.15">
      <c r="P1440" s="4"/>
    </row>
    <row r="1441" spans="16:16" x14ac:dyDescent="0.15">
      <c r="P1441" s="5"/>
    </row>
    <row r="1442" spans="16:16" x14ac:dyDescent="0.15">
      <c r="P1442" s="4"/>
    </row>
    <row r="1443" spans="16:16" x14ac:dyDescent="0.15">
      <c r="P1443" s="4"/>
    </row>
    <row r="1444" spans="16:16" x14ac:dyDescent="0.15">
      <c r="P1444" s="5"/>
    </row>
    <row r="1445" spans="16:16" x14ac:dyDescent="0.15">
      <c r="P1445" s="5"/>
    </row>
    <row r="1446" spans="16:16" x14ac:dyDescent="0.15">
      <c r="P1446" s="5"/>
    </row>
    <row r="1447" spans="16:16" x14ac:dyDescent="0.15">
      <c r="P1447" s="4"/>
    </row>
    <row r="1448" spans="16:16" x14ac:dyDescent="0.15">
      <c r="P1448" s="4"/>
    </row>
    <row r="1449" spans="16:16" x14ac:dyDescent="0.15">
      <c r="P1449" s="4"/>
    </row>
    <row r="1450" spans="16:16" x14ac:dyDescent="0.15">
      <c r="P1450" s="5"/>
    </row>
    <row r="1451" spans="16:16" x14ac:dyDescent="0.15">
      <c r="P1451" s="4"/>
    </row>
    <row r="1452" spans="16:16" x14ac:dyDescent="0.15">
      <c r="P1452" s="4"/>
    </row>
    <row r="1453" spans="16:16" x14ac:dyDescent="0.15">
      <c r="P1453" s="4"/>
    </row>
    <row r="1454" spans="16:16" x14ac:dyDescent="0.15">
      <c r="P1454" s="4"/>
    </row>
    <row r="1455" spans="16:16" x14ac:dyDescent="0.15">
      <c r="P1455" s="4"/>
    </row>
    <row r="1456" spans="16:16" x14ac:dyDescent="0.15">
      <c r="P1456" s="4"/>
    </row>
    <row r="1457" spans="16:16" x14ac:dyDescent="0.15">
      <c r="P1457" s="4"/>
    </row>
    <row r="1458" spans="16:16" x14ac:dyDescent="0.15">
      <c r="P1458" s="4"/>
    </row>
    <row r="1459" spans="16:16" x14ac:dyDescent="0.15">
      <c r="P1459" s="4"/>
    </row>
    <row r="1460" spans="16:16" x14ac:dyDescent="0.15">
      <c r="P1460" s="4"/>
    </row>
    <row r="1461" spans="16:16" x14ac:dyDescent="0.15">
      <c r="P1461" s="4"/>
    </row>
    <row r="1462" spans="16:16" x14ac:dyDescent="0.15">
      <c r="P1462" s="4"/>
    </row>
    <row r="1463" spans="16:16" x14ac:dyDescent="0.15">
      <c r="P1463" s="4"/>
    </row>
    <row r="1464" spans="16:16" x14ac:dyDescent="0.15">
      <c r="P1464" s="4"/>
    </row>
    <row r="1465" spans="16:16" x14ac:dyDescent="0.15">
      <c r="P1465" s="4"/>
    </row>
    <row r="1466" spans="16:16" x14ac:dyDescent="0.15">
      <c r="P1466" s="4"/>
    </row>
    <row r="1467" spans="16:16" x14ac:dyDescent="0.15">
      <c r="P1467" s="4"/>
    </row>
    <row r="1468" spans="16:16" x14ac:dyDescent="0.15">
      <c r="P1468" s="4"/>
    </row>
    <row r="1469" spans="16:16" x14ac:dyDescent="0.15">
      <c r="P1469" s="4"/>
    </row>
    <row r="1470" spans="16:16" x14ac:dyDescent="0.15">
      <c r="P1470" s="4"/>
    </row>
    <row r="1471" spans="16:16" x14ac:dyDescent="0.15">
      <c r="P1471" s="4"/>
    </row>
    <row r="1472" spans="16:16" x14ac:dyDescent="0.15">
      <c r="P1472" s="4"/>
    </row>
    <row r="1473" spans="16:16" x14ac:dyDescent="0.15">
      <c r="P1473" s="4"/>
    </row>
    <row r="1474" spans="16:16" x14ac:dyDescent="0.15">
      <c r="P1474" s="4"/>
    </row>
    <row r="1475" spans="16:16" x14ac:dyDescent="0.15">
      <c r="P1475" s="4"/>
    </row>
    <row r="1476" spans="16:16" x14ac:dyDescent="0.15">
      <c r="P1476" s="4"/>
    </row>
    <row r="1477" spans="16:16" x14ac:dyDescent="0.15">
      <c r="P1477" s="4"/>
    </row>
    <row r="1478" spans="16:16" x14ac:dyDescent="0.15">
      <c r="P1478" s="4"/>
    </row>
    <row r="1479" spans="16:16" x14ac:dyDescent="0.15">
      <c r="P1479" s="4"/>
    </row>
    <row r="1480" spans="16:16" x14ac:dyDescent="0.15">
      <c r="P1480" s="4"/>
    </row>
    <row r="1481" spans="16:16" x14ac:dyDescent="0.15">
      <c r="P1481" s="4"/>
    </row>
    <row r="1482" spans="16:16" x14ac:dyDescent="0.15">
      <c r="P1482" s="4"/>
    </row>
    <row r="1483" spans="16:16" x14ac:dyDescent="0.15">
      <c r="P1483" s="4"/>
    </row>
    <row r="1484" spans="16:16" x14ac:dyDescent="0.15">
      <c r="P1484" s="4"/>
    </row>
    <row r="1485" spans="16:16" x14ac:dyDescent="0.15">
      <c r="P1485" s="4"/>
    </row>
    <row r="1486" spans="16:16" x14ac:dyDescent="0.15">
      <c r="P1486" s="4"/>
    </row>
    <row r="1487" spans="16:16" x14ac:dyDescent="0.15">
      <c r="P1487" s="4"/>
    </row>
    <row r="1488" spans="16:16" x14ac:dyDescent="0.15">
      <c r="P1488" s="4"/>
    </row>
    <row r="1489" spans="16:16" x14ac:dyDescent="0.15">
      <c r="P1489" s="4"/>
    </row>
    <row r="1490" spans="16:16" x14ac:dyDescent="0.15">
      <c r="P1490" s="4"/>
    </row>
    <row r="1491" spans="16:16" x14ac:dyDescent="0.15">
      <c r="P1491" s="4"/>
    </row>
    <row r="1492" spans="16:16" x14ac:dyDescent="0.15">
      <c r="P1492" s="4"/>
    </row>
    <row r="1493" spans="16:16" x14ac:dyDescent="0.15">
      <c r="P1493" s="4"/>
    </row>
    <row r="1494" spans="16:16" x14ac:dyDescent="0.15">
      <c r="P1494" s="4"/>
    </row>
    <row r="1495" spans="16:16" x14ac:dyDescent="0.15">
      <c r="P1495" s="4"/>
    </row>
    <row r="1496" spans="16:16" x14ac:dyDescent="0.15">
      <c r="P1496" s="4"/>
    </row>
    <row r="1497" spans="16:16" x14ac:dyDescent="0.15">
      <c r="P1497" s="4"/>
    </row>
    <row r="1498" spans="16:16" x14ac:dyDescent="0.15">
      <c r="P1498" s="4"/>
    </row>
    <row r="1499" spans="16:16" x14ac:dyDescent="0.15">
      <c r="P1499" s="4"/>
    </row>
    <row r="1500" spans="16:16" x14ac:dyDescent="0.15">
      <c r="P1500" s="4"/>
    </row>
    <row r="1501" spans="16:16" x14ac:dyDescent="0.15">
      <c r="P1501" s="4"/>
    </row>
    <row r="1502" spans="16:16" x14ac:dyDescent="0.15">
      <c r="P1502" s="4"/>
    </row>
    <row r="1503" spans="16:16" x14ac:dyDescent="0.15">
      <c r="P1503" s="4"/>
    </row>
    <row r="1504" spans="16:16" x14ac:dyDescent="0.15">
      <c r="P1504" s="4"/>
    </row>
    <row r="1505" spans="16:16" x14ac:dyDescent="0.15">
      <c r="P1505" s="4"/>
    </row>
    <row r="1506" spans="16:16" x14ac:dyDescent="0.15">
      <c r="P1506" s="5"/>
    </row>
    <row r="1507" spans="16:16" x14ac:dyDescent="0.15">
      <c r="P1507" s="4"/>
    </row>
    <row r="1508" spans="16:16" x14ac:dyDescent="0.15">
      <c r="P1508" s="4"/>
    </row>
    <row r="1509" spans="16:16" x14ac:dyDescent="0.15">
      <c r="P1509" s="4"/>
    </row>
    <row r="1510" spans="16:16" x14ac:dyDescent="0.15">
      <c r="P1510" s="4"/>
    </row>
    <row r="1511" spans="16:16" x14ac:dyDescent="0.15">
      <c r="P1511" s="4"/>
    </row>
    <row r="1512" spans="16:16" x14ac:dyDescent="0.15">
      <c r="P1512" s="4"/>
    </row>
    <row r="1513" spans="16:16" x14ac:dyDescent="0.15">
      <c r="P1513" s="4"/>
    </row>
    <row r="1514" spans="16:16" x14ac:dyDescent="0.15">
      <c r="P1514" s="4"/>
    </row>
    <row r="1515" spans="16:16" x14ac:dyDescent="0.15">
      <c r="P1515" s="4"/>
    </row>
    <row r="1516" spans="16:16" x14ac:dyDescent="0.15">
      <c r="P1516" s="4"/>
    </row>
    <row r="1517" spans="16:16" x14ac:dyDescent="0.15">
      <c r="P1517" s="4"/>
    </row>
    <row r="1518" spans="16:16" x14ac:dyDescent="0.15">
      <c r="P1518" s="4"/>
    </row>
    <row r="1519" spans="16:16" x14ac:dyDescent="0.15">
      <c r="P1519" s="4"/>
    </row>
    <row r="1520" spans="16:16" x14ac:dyDescent="0.15">
      <c r="P1520" s="4"/>
    </row>
    <row r="1521" spans="16:16" x14ac:dyDescent="0.15">
      <c r="P1521" s="4"/>
    </row>
    <row r="1522" spans="16:16" x14ac:dyDescent="0.15">
      <c r="P1522" s="4"/>
    </row>
    <row r="1523" spans="16:16" x14ac:dyDescent="0.15">
      <c r="P1523" s="4"/>
    </row>
    <row r="1524" spans="16:16" x14ac:dyDescent="0.15">
      <c r="P1524" s="4"/>
    </row>
    <row r="1525" spans="16:16" x14ac:dyDescent="0.15">
      <c r="P1525" s="4"/>
    </row>
    <row r="1526" spans="16:16" x14ac:dyDescent="0.15">
      <c r="P1526" s="4"/>
    </row>
    <row r="1527" spans="16:16" x14ac:dyDescent="0.15">
      <c r="P1527" s="4"/>
    </row>
    <row r="1528" spans="16:16" x14ac:dyDescent="0.15">
      <c r="P1528" s="4"/>
    </row>
    <row r="1529" spans="16:16" x14ac:dyDescent="0.15">
      <c r="P1529" s="4"/>
    </row>
    <row r="1530" spans="16:16" x14ac:dyDescent="0.15">
      <c r="P1530" s="4"/>
    </row>
    <row r="1531" spans="16:16" x14ac:dyDescent="0.15">
      <c r="P1531" s="4"/>
    </row>
    <row r="1532" spans="16:16" x14ac:dyDescent="0.15">
      <c r="P1532" s="4"/>
    </row>
    <row r="1533" spans="16:16" x14ac:dyDescent="0.15">
      <c r="P1533" s="4"/>
    </row>
    <row r="1534" spans="16:16" x14ac:dyDescent="0.15">
      <c r="P1534" s="4"/>
    </row>
    <row r="1535" spans="16:16" x14ac:dyDescent="0.15">
      <c r="P1535" s="5"/>
    </row>
    <row r="1536" spans="16:16" x14ac:dyDescent="0.15">
      <c r="P1536" s="4"/>
    </row>
    <row r="1537" spans="16:16" x14ac:dyDescent="0.15">
      <c r="P1537" s="4"/>
    </row>
    <row r="1538" spans="16:16" x14ac:dyDescent="0.15">
      <c r="P1538" s="4"/>
    </row>
    <row r="1539" spans="16:16" x14ac:dyDescent="0.15">
      <c r="P1539" s="4"/>
    </row>
    <row r="1540" spans="16:16" x14ac:dyDescent="0.15">
      <c r="P1540" s="4"/>
    </row>
    <row r="1541" spans="16:16" x14ac:dyDescent="0.15">
      <c r="P1541" s="4"/>
    </row>
    <row r="1542" spans="16:16" x14ac:dyDescent="0.15">
      <c r="P1542" s="5"/>
    </row>
    <row r="1543" spans="16:16" x14ac:dyDescent="0.15">
      <c r="P1543" s="4"/>
    </row>
    <row r="1544" spans="16:16" x14ac:dyDescent="0.15">
      <c r="P1544" s="4"/>
    </row>
    <row r="1545" spans="16:16" x14ac:dyDescent="0.15">
      <c r="P1545" s="4"/>
    </row>
    <row r="1546" spans="16:16" x14ac:dyDescent="0.15">
      <c r="P1546" s="5"/>
    </row>
    <row r="1547" spans="16:16" x14ac:dyDescent="0.15">
      <c r="P1547" s="4"/>
    </row>
    <row r="1548" spans="16:16" x14ac:dyDescent="0.15">
      <c r="P1548" s="4"/>
    </row>
    <row r="1549" spans="16:16" x14ac:dyDescent="0.15">
      <c r="P1549" s="4"/>
    </row>
    <row r="1550" spans="16:16" x14ac:dyDescent="0.15">
      <c r="P1550" s="4"/>
    </row>
    <row r="1551" spans="16:16" x14ac:dyDescent="0.15">
      <c r="P1551" s="4"/>
    </row>
    <row r="1552" spans="16:16" x14ac:dyDescent="0.15">
      <c r="P1552" s="4"/>
    </row>
    <row r="1553" spans="16:16" x14ac:dyDescent="0.15">
      <c r="P1553" s="4"/>
    </row>
    <row r="1554" spans="16:16" x14ac:dyDescent="0.15">
      <c r="P1554" s="4"/>
    </row>
    <row r="1555" spans="16:16" x14ac:dyDescent="0.15">
      <c r="P1555" s="4"/>
    </row>
    <row r="1556" spans="16:16" x14ac:dyDescent="0.15">
      <c r="P1556" s="5"/>
    </row>
    <row r="1557" spans="16:16" x14ac:dyDescent="0.15">
      <c r="P1557" s="4"/>
    </row>
    <row r="1558" spans="16:16" x14ac:dyDescent="0.15">
      <c r="P1558" s="4"/>
    </row>
    <row r="1559" spans="16:16" x14ac:dyDescent="0.15">
      <c r="P1559" s="4"/>
    </row>
    <row r="1560" spans="16:16" x14ac:dyDescent="0.15">
      <c r="P1560" s="4"/>
    </row>
    <row r="1561" spans="16:16" x14ac:dyDescent="0.15">
      <c r="P1561" s="4"/>
    </row>
    <row r="1562" spans="16:16" x14ac:dyDescent="0.15">
      <c r="P1562" s="4"/>
    </row>
    <row r="1563" spans="16:16" x14ac:dyDescent="0.15">
      <c r="P1563" s="4"/>
    </row>
    <row r="1564" spans="16:16" x14ac:dyDescent="0.15">
      <c r="P1564" s="4"/>
    </row>
    <row r="1565" spans="16:16" x14ac:dyDescent="0.15">
      <c r="P1565" s="4"/>
    </row>
    <row r="1566" spans="16:16" x14ac:dyDescent="0.15">
      <c r="P1566" s="4"/>
    </row>
    <row r="1567" spans="16:16" x14ac:dyDescent="0.15">
      <c r="P1567" s="4"/>
    </row>
    <row r="1568" spans="16:16" x14ac:dyDescent="0.15">
      <c r="P1568" s="5"/>
    </row>
    <row r="1569" spans="16:16" x14ac:dyDescent="0.15">
      <c r="P1569" s="4"/>
    </row>
    <row r="1570" spans="16:16" x14ac:dyDescent="0.15">
      <c r="P1570" s="4"/>
    </row>
    <row r="1571" spans="16:16" x14ac:dyDescent="0.15">
      <c r="P1571" s="4"/>
    </row>
    <row r="1572" spans="16:16" x14ac:dyDescent="0.15">
      <c r="P1572" s="4"/>
    </row>
    <row r="1573" spans="16:16" x14ac:dyDescent="0.15">
      <c r="P1573" s="4"/>
    </row>
    <row r="1574" spans="16:16" x14ac:dyDescent="0.15">
      <c r="P1574" s="4"/>
    </row>
    <row r="1575" spans="16:16" x14ac:dyDescent="0.15">
      <c r="P1575" s="4"/>
    </row>
    <row r="1576" spans="16:16" x14ac:dyDescent="0.15">
      <c r="P1576" s="4"/>
    </row>
    <row r="1577" spans="16:16" x14ac:dyDescent="0.15">
      <c r="P1577" s="4"/>
    </row>
    <row r="1578" spans="16:16" x14ac:dyDescent="0.15">
      <c r="P1578" s="4"/>
    </row>
    <row r="1579" spans="16:16" x14ac:dyDescent="0.15">
      <c r="P1579" s="4"/>
    </row>
    <row r="1580" spans="16:16" x14ac:dyDescent="0.15">
      <c r="P1580" s="4"/>
    </row>
    <row r="1581" spans="16:16" x14ac:dyDescent="0.15">
      <c r="P1581" s="4"/>
    </row>
    <row r="1582" spans="16:16" x14ac:dyDescent="0.15">
      <c r="P1582" s="4"/>
    </row>
    <row r="1583" spans="16:16" x14ac:dyDescent="0.15">
      <c r="P1583" s="4"/>
    </row>
    <row r="1584" spans="16:16" x14ac:dyDescent="0.15">
      <c r="P1584" s="4"/>
    </row>
    <row r="1585" spans="16:16" x14ac:dyDescent="0.15">
      <c r="P1585" s="4"/>
    </row>
    <row r="1586" spans="16:16" x14ac:dyDescent="0.15">
      <c r="P1586" s="4"/>
    </row>
    <row r="1587" spans="16:16" x14ac:dyDescent="0.15">
      <c r="P1587" s="5"/>
    </row>
    <row r="1588" spans="16:16" x14ac:dyDescent="0.15">
      <c r="P1588" s="4"/>
    </row>
    <row r="1589" spans="16:16" x14ac:dyDescent="0.15">
      <c r="P1589" s="4"/>
    </row>
    <row r="1590" spans="16:16" x14ac:dyDescent="0.15">
      <c r="P1590" s="4"/>
    </row>
    <row r="1591" spans="16:16" x14ac:dyDescent="0.15">
      <c r="P1591" s="4"/>
    </row>
    <row r="1592" spans="16:16" x14ac:dyDescent="0.15">
      <c r="P1592" s="5"/>
    </row>
    <row r="1593" spans="16:16" x14ac:dyDescent="0.15">
      <c r="P1593" s="4"/>
    </row>
    <row r="1594" spans="16:16" x14ac:dyDescent="0.15">
      <c r="P1594" s="5"/>
    </row>
    <row r="1595" spans="16:16" x14ac:dyDescent="0.15">
      <c r="P1595" s="4"/>
    </row>
    <row r="1596" spans="16:16" x14ac:dyDescent="0.15">
      <c r="P1596" s="4"/>
    </row>
    <row r="1597" spans="16:16" x14ac:dyDescent="0.15">
      <c r="P1597" s="4"/>
    </row>
    <row r="1598" spans="16:16" x14ac:dyDescent="0.15">
      <c r="P1598" s="4"/>
    </row>
    <row r="1599" spans="16:16" x14ac:dyDescent="0.15">
      <c r="P1599" s="4"/>
    </row>
    <row r="1600" spans="16:16" x14ac:dyDescent="0.15">
      <c r="P1600" s="4"/>
    </row>
    <row r="1601" spans="16:16" x14ac:dyDescent="0.15">
      <c r="P1601" s="4"/>
    </row>
    <row r="1602" spans="16:16" x14ac:dyDescent="0.15">
      <c r="P1602" s="4"/>
    </row>
    <row r="1603" spans="16:16" x14ac:dyDescent="0.15">
      <c r="P1603" s="5"/>
    </row>
    <row r="1604" spans="16:16" x14ac:dyDescent="0.15">
      <c r="P1604" s="4"/>
    </row>
    <row r="1605" spans="16:16" x14ac:dyDescent="0.15">
      <c r="P1605" s="5"/>
    </row>
    <row r="1606" spans="16:16" x14ac:dyDescent="0.15">
      <c r="P1606" s="4"/>
    </row>
    <row r="1607" spans="16:16" x14ac:dyDescent="0.15">
      <c r="P1607" s="4"/>
    </row>
    <row r="1608" spans="16:16" x14ac:dyDescent="0.15">
      <c r="P1608" s="4"/>
    </row>
    <row r="1609" spans="16:16" x14ac:dyDescent="0.15">
      <c r="P1609" s="4"/>
    </row>
    <row r="1610" spans="16:16" x14ac:dyDescent="0.15">
      <c r="P1610" s="4"/>
    </row>
    <row r="1611" spans="16:16" x14ac:dyDescent="0.15">
      <c r="P1611" s="4"/>
    </row>
    <row r="1612" spans="16:16" x14ac:dyDescent="0.15">
      <c r="P1612" s="5"/>
    </row>
    <row r="1613" spans="16:16" x14ac:dyDescent="0.15">
      <c r="P1613" s="4"/>
    </row>
    <row r="1614" spans="16:16" x14ac:dyDescent="0.15">
      <c r="P1614" s="4"/>
    </row>
    <row r="1615" spans="16:16" x14ac:dyDescent="0.15">
      <c r="P1615" s="5"/>
    </row>
    <row r="1616" spans="16:16" x14ac:dyDescent="0.15">
      <c r="P1616" s="4"/>
    </row>
    <row r="1617" spans="16:16" x14ac:dyDescent="0.15">
      <c r="P1617" s="4"/>
    </row>
    <row r="1618" spans="16:16" x14ac:dyDescent="0.15">
      <c r="P1618" s="4"/>
    </row>
    <row r="1619" spans="16:16" x14ac:dyDescent="0.15">
      <c r="P1619" s="4"/>
    </row>
    <row r="1620" spans="16:16" x14ac:dyDescent="0.15">
      <c r="P1620" s="4"/>
    </row>
    <row r="1621" spans="16:16" x14ac:dyDescent="0.15">
      <c r="P1621" s="4"/>
    </row>
    <row r="1622" spans="16:16" x14ac:dyDescent="0.15">
      <c r="P1622" s="4"/>
    </row>
    <row r="1623" spans="16:16" x14ac:dyDescent="0.15">
      <c r="P1623" s="4"/>
    </row>
    <row r="1624" spans="16:16" x14ac:dyDescent="0.15">
      <c r="P1624" s="4"/>
    </row>
    <row r="1625" spans="16:16" x14ac:dyDescent="0.15">
      <c r="P1625" s="4"/>
    </row>
    <row r="1626" spans="16:16" x14ac:dyDescent="0.15">
      <c r="P1626" s="4"/>
    </row>
    <row r="1627" spans="16:16" x14ac:dyDescent="0.15">
      <c r="P1627" s="4"/>
    </row>
    <row r="1628" spans="16:16" x14ac:dyDescent="0.15">
      <c r="P1628" s="4"/>
    </row>
    <row r="1629" spans="16:16" x14ac:dyDescent="0.15">
      <c r="P1629" s="4"/>
    </row>
    <row r="1630" spans="16:16" x14ac:dyDescent="0.15">
      <c r="P1630" s="4"/>
    </row>
    <row r="1631" spans="16:16" x14ac:dyDescent="0.15">
      <c r="P1631" s="4"/>
    </row>
    <row r="1632" spans="16:16" x14ac:dyDescent="0.15">
      <c r="P1632" s="4"/>
    </row>
    <row r="1633" spans="16:16" x14ac:dyDescent="0.15">
      <c r="P1633" s="4"/>
    </row>
    <row r="1634" spans="16:16" x14ac:dyDescent="0.15">
      <c r="P1634" s="4"/>
    </row>
    <row r="1635" spans="16:16" x14ac:dyDescent="0.15">
      <c r="P1635" s="4"/>
    </row>
    <row r="1636" spans="16:16" x14ac:dyDescent="0.15">
      <c r="P1636" s="4"/>
    </row>
    <row r="1637" spans="16:16" x14ac:dyDescent="0.15">
      <c r="P1637" s="4"/>
    </row>
    <row r="1638" spans="16:16" x14ac:dyDescent="0.15">
      <c r="P1638" s="4"/>
    </row>
    <row r="1639" spans="16:16" x14ac:dyDescent="0.15">
      <c r="P1639" s="4"/>
    </row>
    <row r="1640" spans="16:16" x14ac:dyDescent="0.15">
      <c r="P1640" s="4"/>
    </row>
    <row r="1641" spans="16:16" x14ac:dyDescent="0.15">
      <c r="P1641" s="4"/>
    </row>
    <row r="1642" spans="16:16" x14ac:dyDescent="0.15">
      <c r="P1642" s="4"/>
    </row>
    <row r="1643" spans="16:16" x14ac:dyDescent="0.15">
      <c r="P1643" s="4"/>
    </row>
    <row r="1644" spans="16:16" x14ac:dyDescent="0.15">
      <c r="P1644" s="4"/>
    </row>
    <row r="1645" spans="16:16" x14ac:dyDescent="0.15">
      <c r="P1645" s="4"/>
    </row>
    <row r="1646" spans="16:16" x14ac:dyDescent="0.15">
      <c r="P1646" s="4"/>
    </row>
    <row r="1647" spans="16:16" x14ac:dyDescent="0.15">
      <c r="P1647" s="4"/>
    </row>
    <row r="1648" spans="16:16" x14ac:dyDescent="0.15">
      <c r="P1648" s="4"/>
    </row>
    <row r="1649" spans="16:16" x14ac:dyDescent="0.15">
      <c r="P1649" s="5"/>
    </row>
    <row r="1650" spans="16:16" x14ac:dyDescent="0.15">
      <c r="P1650" s="4"/>
    </row>
    <row r="1651" spans="16:16" x14ac:dyDescent="0.15">
      <c r="P1651" s="4"/>
    </row>
    <row r="1652" spans="16:16" x14ac:dyDescent="0.15">
      <c r="P1652" s="4"/>
    </row>
    <row r="1653" spans="16:16" x14ac:dyDescent="0.15">
      <c r="P1653" s="4"/>
    </row>
    <row r="1654" spans="16:16" x14ac:dyDescent="0.15">
      <c r="P1654" s="4"/>
    </row>
    <row r="1655" spans="16:16" x14ac:dyDescent="0.15">
      <c r="P1655" s="4"/>
    </row>
    <row r="1656" spans="16:16" x14ac:dyDescent="0.15">
      <c r="P1656" s="4"/>
    </row>
    <row r="1657" spans="16:16" x14ac:dyDescent="0.15">
      <c r="P1657" s="4"/>
    </row>
    <row r="1658" spans="16:16" x14ac:dyDescent="0.15">
      <c r="P1658" s="4"/>
    </row>
    <row r="1659" spans="16:16" x14ac:dyDescent="0.15">
      <c r="P1659" s="5"/>
    </row>
    <row r="1660" spans="16:16" x14ac:dyDescent="0.15">
      <c r="P1660" s="4"/>
    </row>
    <row r="1661" spans="16:16" x14ac:dyDescent="0.15">
      <c r="P1661" s="5"/>
    </row>
    <row r="1662" spans="16:16" x14ac:dyDescent="0.15">
      <c r="P1662" s="4"/>
    </row>
    <row r="1663" spans="16:16" x14ac:dyDescent="0.15">
      <c r="P1663" s="4"/>
    </row>
    <row r="1664" spans="16:16" x14ac:dyDescent="0.15">
      <c r="P1664" s="4"/>
    </row>
    <row r="1665" spans="16:16" x14ac:dyDescent="0.15">
      <c r="P1665" s="4"/>
    </row>
    <row r="1666" spans="16:16" x14ac:dyDescent="0.15">
      <c r="P1666" s="4"/>
    </row>
    <row r="1667" spans="16:16" x14ac:dyDescent="0.15">
      <c r="P1667" s="4"/>
    </row>
    <row r="1668" spans="16:16" x14ac:dyDescent="0.15">
      <c r="P1668" s="4"/>
    </row>
    <row r="1669" spans="16:16" x14ac:dyDescent="0.15">
      <c r="P1669" s="4"/>
    </row>
    <row r="1670" spans="16:16" x14ac:dyDescent="0.15">
      <c r="P1670" s="4"/>
    </row>
    <row r="1671" spans="16:16" x14ac:dyDescent="0.15">
      <c r="P1671" s="4"/>
    </row>
    <row r="1672" spans="16:16" x14ac:dyDescent="0.15">
      <c r="P1672" s="5"/>
    </row>
    <row r="1673" spans="16:16" x14ac:dyDescent="0.15">
      <c r="P1673" s="4"/>
    </row>
    <row r="1674" spans="16:16" x14ac:dyDescent="0.15">
      <c r="P1674" s="4"/>
    </row>
    <row r="1675" spans="16:16" x14ac:dyDescent="0.15">
      <c r="P1675" s="4"/>
    </row>
    <row r="1676" spans="16:16" x14ac:dyDescent="0.15">
      <c r="P1676" s="5"/>
    </row>
    <row r="1677" spans="16:16" x14ac:dyDescent="0.15">
      <c r="P1677" s="5"/>
    </row>
    <row r="1678" spans="16:16" x14ac:dyDescent="0.15">
      <c r="P1678" s="5"/>
    </row>
    <row r="1679" spans="16:16" x14ac:dyDescent="0.15">
      <c r="P1679" s="5"/>
    </row>
    <row r="1680" spans="16:16" x14ac:dyDescent="0.15">
      <c r="P1680" s="5"/>
    </row>
    <row r="1681" spans="16:16" x14ac:dyDescent="0.15">
      <c r="P1681" s="4"/>
    </row>
    <row r="1682" spans="16:16" x14ac:dyDescent="0.15">
      <c r="P1682" s="4"/>
    </row>
    <row r="1683" spans="16:16" x14ac:dyDescent="0.15">
      <c r="P1683" s="5"/>
    </row>
    <row r="1684" spans="16:16" x14ac:dyDescent="0.15">
      <c r="P1684" s="5"/>
    </row>
    <row r="1685" spans="16:16" x14ac:dyDescent="0.15">
      <c r="P1685" s="4"/>
    </row>
    <row r="1686" spans="16:16" x14ac:dyDescent="0.15">
      <c r="P1686" s="4"/>
    </row>
    <row r="1687" spans="16:16" x14ac:dyDescent="0.15">
      <c r="P1687" s="5"/>
    </row>
    <row r="1688" spans="16:16" x14ac:dyDescent="0.15">
      <c r="P1688" s="5"/>
    </row>
    <row r="1689" spans="16:16" x14ac:dyDescent="0.15">
      <c r="P1689" s="4"/>
    </row>
    <row r="1690" spans="16:16" x14ac:dyDescent="0.15">
      <c r="P1690" s="4"/>
    </row>
    <row r="1691" spans="16:16" x14ac:dyDescent="0.15">
      <c r="P1691" s="4"/>
    </row>
    <row r="1692" spans="16:16" x14ac:dyDescent="0.15">
      <c r="P1692" s="4"/>
    </row>
    <row r="1693" spans="16:16" x14ac:dyDescent="0.15">
      <c r="P1693" s="4"/>
    </row>
    <row r="1694" spans="16:16" x14ac:dyDescent="0.15">
      <c r="P1694" s="4"/>
    </row>
    <row r="1695" spans="16:16" x14ac:dyDescent="0.15">
      <c r="P1695" s="4"/>
    </row>
    <row r="1696" spans="16:16" x14ac:dyDescent="0.15">
      <c r="P1696" s="4"/>
    </row>
    <row r="1697" spans="16:16" x14ac:dyDescent="0.15">
      <c r="P1697" s="4"/>
    </row>
    <row r="1698" spans="16:16" x14ac:dyDescent="0.15">
      <c r="P1698" s="4"/>
    </row>
    <row r="1699" spans="16:16" x14ac:dyDescent="0.15">
      <c r="P1699" s="4"/>
    </row>
    <row r="1700" spans="16:16" x14ac:dyDescent="0.15">
      <c r="P1700" s="4"/>
    </row>
    <row r="1701" spans="16:16" x14ac:dyDescent="0.15">
      <c r="P1701" s="5"/>
    </row>
    <row r="1702" spans="16:16" x14ac:dyDescent="0.15">
      <c r="P1702" s="4"/>
    </row>
    <row r="1703" spans="16:16" x14ac:dyDescent="0.15">
      <c r="P1703" s="4"/>
    </row>
    <row r="1704" spans="16:16" x14ac:dyDescent="0.15">
      <c r="P1704" s="4"/>
    </row>
    <row r="1705" spans="16:16" x14ac:dyDescent="0.15">
      <c r="P1705" s="4"/>
    </row>
    <row r="1706" spans="16:16" x14ac:dyDescent="0.15">
      <c r="P1706" s="4"/>
    </row>
    <row r="1707" spans="16:16" x14ac:dyDescent="0.15">
      <c r="P1707" s="5"/>
    </row>
    <row r="1708" spans="16:16" x14ac:dyDescent="0.15">
      <c r="P1708" s="5"/>
    </row>
    <row r="1709" spans="16:16" x14ac:dyDescent="0.15">
      <c r="P1709" s="5"/>
    </row>
    <row r="1710" spans="16:16" x14ac:dyDescent="0.15">
      <c r="P1710" s="4"/>
    </row>
    <row r="1711" spans="16:16" x14ac:dyDescent="0.15">
      <c r="P1711" s="5"/>
    </row>
    <row r="1712" spans="16:16" x14ac:dyDescent="0.15">
      <c r="P1712" s="4"/>
    </row>
    <row r="1713" spans="16:16" x14ac:dyDescent="0.15">
      <c r="P1713" s="4"/>
    </row>
    <row r="1714" spans="16:16" x14ac:dyDescent="0.15">
      <c r="P1714" s="4"/>
    </row>
    <row r="1715" spans="16:16" x14ac:dyDescent="0.15">
      <c r="P1715" s="5"/>
    </row>
    <row r="1716" spans="16:16" x14ac:dyDescent="0.15">
      <c r="P1716" s="4"/>
    </row>
    <row r="1717" spans="16:16" x14ac:dyDescent="0.15">
      <c r="P1717" s="4"/>
    </row>
    <row r="1718" spans="16:16" x14ac:dyDescent="0.15">
      <c r="P1718" s="4"/>
    </row>
    <row r="1719" spans="16:16" x14ac:dyDescent="0.15">
      <c r="P1719" s="4"/>
    </row>
    <row r="1720" spans="16:16" x14ac:dyDescent="0.15">
      <c r="P1720" s="4"/>
    </row>
    <row r="1721" spans="16:16" x14ac:dyDescent="0.15">
      <c r="P1721" s="4"/>
    </row>
    <row r="1722" spans="16:16" x14ac:dyDescent="0.15">
      <c r="P1722" s="4"/>
    </row>
    <row r="1723" spans="16:16" x14ac:dyDescent="0.15">
      <c r="P1723" s="4"/>
    </row>
    <row r="1724" spans="16:16" x14ac:dyDescent="0.15">
      <c r="P1724" s="4"/>
    </row>
    <row r="1725" spans="16:16" x14ac:dyDescent="0.15">
      <c r="P1725" s="4"/>
    </row>
    <row r="1726" spans="16:16" x14ac:dyDescent="0.15">
      <c r="P1726" s="4"/>
    </row>
    <row r="1727" spans="16:16" x14ac:dyDescent="0.15">
      <c r="P1727" s="4"/>
    </row>
    <row r="1728" spans="16:16" x14ac:dyDescent="0.15">
      <c r="P1728" s="4"/>
    </row>
    <row r="1729" spans="16:16" x14ac:dyDescent="0.15">
      <c r="P1729" s="4"/>
    </row>
    <row r="1730" spans="16:16" x14ac:dyDescent="0.15">
      <c r="P1730" s="4"/>
    </row>
    <row r="1731" spans="16:16" x14ac:dyDescent="0.15">
      <c r="P1731" s="4"/>
    </row>
    <row r="1732" spans="16:16" x14ac:dyDescent="0.15">
      <c r="P1732" s="4"/>
    </row>
    <row r="1733" spans="16:16" x14ac:dyDescent="0.15">
      <c r="P1733" s="4"/>
    </row>
    <row r="1734" spans="16:16" x14ac:dyDescent="0.15">
      <c r="P1734" s="4"/>
    </row>
    <row r="1735" spans="16:16" x14ac:dyDescent="0.15">
      <c r="P1735" s="4"/>
    </row>
    <row r="1736" spans="16:16" x14ac:dyDescent="0.15">
      <c r="P1736" s="4"/>
    </row>
    <row r="1737" spans="16:16" x14ac:dyDescent="0.15">
      <c r="P1737" s="4"/>
    </row>
    <row r="1738" spans="16:16" x14ac:dyDescent="0.15">
      <c r="P1738" s="4"/>
    </row>
    <row r="1739" spans="16:16" x14ac:dyDescent="0.15">
      <c r="P1739" s="4"/>
    </row>
    <row r="1740" spans="16:16" x14ac:dyDescent="0.15">
      <c r="P1740" s="4"/>
    </row>
    <row r="1741" spans="16:16" x14ac:dyDescent="0.15">
      <c r="P1741" s="4"/>
    </row>
    <row r="1742" spans="16:16" x14ac:dyDescent="0.15">
      <c r="P1742" s="4"/>
    </row>
    <row r="1743" spans="16:16" x14ac:dyDescent="0.15">
      <c r="P1743" s="4"/>
    </row>
    <row r="1744" spans="16:16" x14ac:dyDescent="0.15">
      <c r="P1744" s="4"/>
    </row>
    <row r="1745" spans="16:16" x14ac:dyDescent="0.15">
      <c r="P1745" s="4"/>
    </row>
    <row r="1746" spans="16:16" x14ac:dyDescent="0.15">
      <c r="P1746" s="4"/>
    </row>
    <row r="1747" spans="16:16" x14ac:dyDescent="0.15">
      <c r="P1747" s="4"/>
    </row>
    <row r="1748" spans="16:16" x14ac:dyDescent="0.15">
      <c r="P1748" s="4"/>
    </row>
    <row r="1749" spans="16:16" x14ac:dyDescent="0.15">
      <c r="P1749" s="4"/>
    </row>
    <row r="1750" spans="16:16" x14ac:dyDescent="0.15">
      <c r="P1750" s="4"/>
    </row>
    <row r="1751" spans="16:16" x14ac:dyDescent="0.15">
      <c r="P1751" s="5"/>
    </row>
    <row r="1752" spans="16:16" x14ac:dyDescent="0.15">
      <c r="P1752" s="4"/>
    </row>
    <row r="1753" spans="16:16" x14ac:dyDescent="0.15">
      <c r="P1753" s="4"/>
    </row>
    <row r="1754" spans="16:16" x14ac:dyDescent="0.15">
      <c r="P1754" s="4"/>
    </row>
    <row r="1755" spans="16:16" x14ac:dyDescent="0.15">
      <c r="P1755" s="4"/>
    </row>
    <row r="1756" spans="16:16" x14ac:dyDescent="0.15">
      <c r="P1756" s="4"/>
    </row>
    <row r="1757" spans="16:16" x14ac:dyDescent="0.15">
      <c r="P1757" s="4"/>
    </row>
    <row r="1758" spans="16:16" x14ac:dyDescent="0.15">
      <c r="P1758" s="4"/>
    </row>
    <row r="1759" spans="16:16" x14ac:dyDescent="0.15">
      <c r="P1759" s="5"/>
    </row>
    <row r="1760" spans="16:16" x14ac:dyDescent="0.15">
      <c r="P1760" s="4"/>
    </row>
    <row r="1761" spans="16:16" x14ac:dyDescent="0.15">
      <c r="P1761" s="4"/>
    </row>
    <row r="1762" spans="16:16" x14ac:dyDescent="0.15">
      <c r="P1762" s="4"/>
    </row>
    <row r="1763" spans="16:16" x14ac:dyDescent="0.15">
      <c r="P1763" s="4"/>
    </row>
    <row r="1764" spans="16:16" x14ac:dyDescent="0.15">
      <c r="P1764" s="4"/>
    </row>
    <row r="1765" spans="16:16" x14ac:dyDescent="0.15">
      <c r="P1765" s="4"/>
    </row>
    <row r="1766" spans="16:16" x14ac:dyDescent="0.15">
      <c r="P1766" s="4"/>
    </row>
    <row r="1767" spans="16:16" x14ac:dyDescent="0.15">
      <c r="P1767" s="4"/>
    </row>
    <row r="1768" spans="16:16" x14ac:dyDescent="0.15">
      <c r="P1768" s="4"/>
    </row>
    <row r="1769" spans="16:16" x14ac:dyDescent="0.15">
      <c r="P1769" s="4"/>
    </row>
    <row r="1770" spans="16:16" x14ac:dyDescent="0.15">
      <c r="P1770" s="4"/>
    </row>
    <row r="1771" spans="16:16" x14ac:dyDescent="0.15">
      <c r="P1771" s="4"/>
    </row>
    <row r="1772" spans="16:16" x14ac:dyDescent="0.15">
      <c r="P1772" s="4"/>
    </row>
    <row r="1773" spans="16:16" x14ac:dyDescent="0.15">
      <c r="P1773" s="4"/>
    </row>
    <row r="1774" spans="16:16" x14ac:dyDescent="0.15">
      <c r="P1774" s="4"/>
    </row>
    <row r="1775" spans="16:16" x14ac:dyDescent="0.15">
      <c r="P1775" s="4"/>
    </row>
    <row r="1776" spans="16:16" x14ac:dyDescent="0.15">
      <c r="P1776" s="4"/>
    </row>
    <row r="1777" spans="16:16" x14ac:dyDescent="0.15">
      <c r="P1777" s="4"/>
    </row>
    <row r="1778" spans="16:16" x14ac:dyDescent="0.15">
      <c r="P1778" s="4"/>
    </row>
    <row r="1779" spans="16:16" x14ac:dyDescent="0.15">
      <c r="P1779" s="4"/>
    </row>
    <row r="1780" spans="16:16" x14ac:dyDescent="0.15">
      <c r="P1780" s="4"/>
    </row>
    <row r="1781" spans="16:16" x14ac:dyDescent="0.15">
      <c r="P1781" s="4"/>
    </row>
    <row r="1782" spans="16:16" x14ac:dyDescent="0.15">
      <c r="P1782" s="4"/>
    </row>
    <row r="1783" spans="16:16" x14ac:dyDescent="0.15">
      <c r="P1783" s="4"/>
    </row>
    <row r="1784" spans="16:16" x14ac:dyDescent="0.15">
      <c r="P1784" s="4"/>
    </row>
    <row r="1785" spans="16:16" x14ac:dyDescent="0.15">
      <c r="P1785" s="4"/>
    </row>
    <row r="1786" spans="16:16" x14ac:dyDescent="0.15">
      <c r="P1786" s="4"/>
    </row>
    <row r="1787" spans="16:16" x14ac:dyDescent="0.15">
      <c r="P1787" s="4"/>
    </row>
    <row r="1788" spans="16:16" x14ac:dyDescent="0.15">
      <c r="P1788" s="4"/>
    </row>
    <row r="1789" spans="16:16" x14ac:dyDescent="0.15">
      <c r="P1789" s="4"/>
    </row>
    <row r="1790" spans="16:16" x14ac:dyDescent="0.15">
      <c r="P1790" s="4"/>
    </row>
    <row r="1791" spans="16:16" x14ac:dyDescent="0.15">
      <c r="P1791" s="4"/>
    </row>
    <row r="1792" spans="16:16" x14ac:dyDescent="0.15">
      <c r="P1792" s="4"/>
    </row>
    <row r="1793" spans="16:16" x14ac:dyDescent="0.15">
      <c r="P1793" s="4"/>
    </row>
    <row r="1794" spans="16:16" x14ac:dyDescent="0.15">
      <c r="P1794" s="4"/>
    </row>
    <row r="1795" spans="16:16" x14ac:dyDescent="0.15">
      <c r="P1795" s="4"/>
    </row>
    <row r="1796" spans="16:16" x14ac:dyDescent="0.15">
      <c r="P1796" s="4"/>
    </row>
    <row r="1797" spans="16:16" x14ac:dyDescent="0.15">
      <c r="P1797" s="4"/>
    </row>
    <row r="1798" spans="16:16" x14ac:dyDescent="0.15">
      <c r="P1798" s="4"/>
    </row>
    <row r="1799" spans="16:16" x14ac:dyDescent="0.15">
      <c r="P1799" s="4"/>
    </row>
    <row r="1800" spans="16:16" x14ac:dyDescent="0.15">
      <c r="P1800" s="4"/>
    </row>
    <row r="1801" spans="16:16" x14ac:dyDescent="0.15">
      <c r="P1801" s="4"/>
    </row>
    <row r="1802" spans="16:16" x14ac:dyDescent="0.15">
      <c r="P1802" s="4"/>
    </row>
    <row r="1803" spans="16:16" x14ac:dyDescent="0.15">
      <c r="P1803" s="4"/>
    </row>
    <row r="1804" spans="16:16" x14ac:dyDescent="0.15">
      <c r="P1804" s="4"/>
    </row>
    <row r="1805" spans="16:16" x14ac:dyDescent="0.15">
      <c r="P1805" s="4"/>
    </row>
    <row r="1806" spans="16:16" x14ac:dyDescent="0.15">
      <c r="P1806" s="5"/>
    </row>
    <row r="1807" spans="16:16" x14ac:dyDescent="0.15">
      <c r="P1807" s="5"/>
    </row>
    <row r="1808" spans="16:16" x14ac:dyDescent="0.15">
      <c r="P1808" s="4"/>
    </row>
    <row r="1809" spans="16:16" x14ac:dyDescent="0.15">
      <c r="P1809" s="4"/>
    </row>
    <row r="1810" spans="16:16" x14ac:dyDescent="0.15">
      <c r="P1810" s="4"/>
    </row>
    <row r="1811" spans="16:16" x14ac:dyDescent="0.15">
      <c r="P1811" s="4"/>
    </row>
    <row r="1812" spans="16:16" x14ac:dyDescent="0.15">
      <c r="P1812" s="4"/>
    </row>
    <row r="1813" spans="16:16" x14ac:dyDescent="0.15">
      <c r="P1813" s="4"/>
    </row>
    <row r="1814" spans="16:16" x14ac:dyDescent="0.15">
      <c r="P1814" s="4"/>
    </row>
    <row r="1815" spans="16:16" x14ac:dyDescent="0.15">
      <c r="P1815" s="4"/>
    </row>
    <row r="1816" spans="16:16" x14ac:dyDescent="0.15">
      <c r="P1816" s="4"/>
    </row>
    <row r="1817" spans="16:16" x14ac:dyDescent="0.15">
      <c r="P1817" s="4"/>
    </row>
    <row r="1818" spans="16:16" x14ac:dyDescent="0.15">
      <c r="P1818" s="4"/>
    </row>
    <row r="1819" spans="16:16" x14ac:dyDescent="0.15">
      <c r="P1819" s="5"/>
    </row>
    <row r="1820" spans="16:16" x14ac:dyDescent="0.15">
      <c r="P1820" s="4"/>
    </row>
    <row r="1821" spans="16:16" x14ac:dyDescent="0.15">
      <c r="P1821" s="4"/>
    </row>
    <row r="1822" spans="16:16" x14ac:dyDescent="0.15">
      <c r="P1822" s="4"/>
    </row>
    <row r="1823" spans="16:16" x14ac:dyDescent="0.15">
      <c r="P1823" s="4"/>
    </row>
    <row r="1824" spans="16:16" x14ac:dyDescent="0.15">
      <c r="P1824" s="4"/>
    </row>
    <row r="1825" spans="16:16" x14ac:dyDescent="0.15">
      <c r="P1825" s="4"/>
    </row>
    <row r="1826" spans="16:16" x14ac:dyDescent="0.15">
      <c r="P1826" s="4"/>
    </row>
    <row r="1827" spans="16:16" x14ac:dyDescent="0.15">
      <c r="P1827" s="4"/>
    </row>
    <row r="1828" spans="16:16" x14ac:dyDescent="0.15">
      <c r="P1828" s="4"/>
    </row>
    <row r="1829" spans="16:16" x14ac:dyDescent="0.15">
      <c r="P1829" s="4"/>
    </row>
    <row r="1830" spans="16:16" x14ac:dyDescent="0.15">
      <c r="P1830" s="4"/>
    </row>
    <row r="1831" spans="16:16" x14ac:dyDescent="0.15">
      <c r="P1831" s="4"/>
    </row>
    <row r="1832" spans="16:16" x14ac:dyDescent="0.15">
      <c r="P1832" s="4"/>
    </row>
    <row r="1833" spans="16:16" x14ac:dyDescent="0.15">
      <c r="P1833" s="4"/>
    </row>
    <row r="1834" spans="16:16" x14ac:dyDescent="0.15">
      <c r="P1834" s="4"/>
    </row>
    <row r="1835" spans="16:16" x14ac:dyDescent="0.15">
      <c r="P1835" s="5"/>
    </row>
    <row r="1836" spans="16:16" x14ac:dyDescent="0.15">
      <c r="P1836" s="4"/>
    </row>
    <row r="1837" spans="16:16" x14ac:dyDescent="0.15">
      <c r="P1837" s="4"/>
    </row>
    <row r="1838" spans="16:16" x14ac:dyDescent="0.15">
      <c r="P1838" s="4"/>
    </row>
    <row r="1839" spans="16:16" x14ac:dyDescent="0.15">
      <c r="P1839" s="4"/>
    </row>
    <row r="1840" spans="16:16" x14ac:dyDescent="0.15">
      <c r="P1840" s="4"/>
    </row>
    <row r="1841" spans="16:16" x14ac:dyDescent="0.15">
      <c r="P1841" s="4"/>
    </row>
    <row r="1842" spans="16:16" x14ac:dyDescent="0.15">
      <c r="P1842" s="5"/>
    </row>
    <row r="1843" spans="16:16" x14ac:dyDescent="0.15">
      <c r="P1843" s="4"/>
    </row>
    <row r="1844" spans="16:16" x14ac:dyDescent="0.15">
      <c r="P1844" s="4"/>
    </row>
    <row r="1845" spans="16:16" x14ac:dyDescent="0.15">
      <c r="P1845" s="4"/>
    </row>
    <row r="1846" spans="16:16" x14ac:dyDescent="0.15">
      <c r="P1846" s="5"/>
    </row>
    <row r="1847" spans="16:16" x14ac:dyDescent="0.15">
      <c r="P1847" s="4"/>
    </row>
    <row r="1848" spans="16:16" x14ac:dyDescent="0.15">
      <c r="P1848" s="4"/>
    </row>
    <row r="1849" spans="16:16" x14ac:dyDescent="0.15">
      <c r="P1849" s="4"/>
    </row>
    <row r="1850" spans="16:16" x14ac:dyDescent="0.15">
      <c r="P1850" s="4"/>
    </row>
    <row r="1851" spans="16:16" x14ac:dyDescent="0.15">
      <c r="P1851" s="4"/>
    </row>
    <row r="1852" spans="16:16" x14ac:dyDescent="0.15">
      <c r="P1852" s="4"/>
    </row>
    <row r="1853" spans="16:16" x14ac:dyDescent="0.15">
      <c r="P1853" s="4"/>
    </row>
    <row r="1854" spans="16:16" x14ac:dyDescent="0.15">
      <c r="P1854" s="4"/>
    </row>
    <row r="1855" spans="16:16" x14ac:dyDescent="0.15">
      <c r="P1855" s="4"/>
    </row>
    <row r="1856" spans="16:16" x14ac:dyDescent="0.15">
      <c r="P1856" s="5"/>
    </row>
    <row r="1857" spans="16:16" x14ac:dyDescent="0.15">
      <c r="P1857" s="4"/>
    </row>
    <row r="1858" spans="16:16" x14ac:dyDescent="0.15">
      <c r="P1858" s="4"/>
    </row>
    <row r="1859" spans="16:16" x14ac:dyDescent="0.15">
      <c r="P1859" s="4"/>
    </row>
    <row r="1860" spans="16:16" x14ac:dyDescent="0.15">
      <c r="P1860" s="4"/>
    </row>
    <row r="1861" spans="16:16" x14ac:dyDescent="0.15">
      <c r="P1861" s="4"/>
    </row>
    <row r="1862" spans="16:16" x14ac:dyDescent="0.15">
      <c r="P1862" s="4"/>
    </row>
    <row r="1863" spans="16:16" x14ac:dyDescent="0.15">
      <c r="P1863" s="4"/>
    </row>
    <row r="1864" spans="16:16" x14ac:dyDescent="0.15">
      <c r="P1864" s="4"/>
    </row>
    <row r="1865" spans="16:16" x14ac:dyDescent="0.15">
      <c r="P1865" s="4"/>
    </row>
    <row r="1866" spans="16:16" x14ac:dyDescent="0.15">
      <c r="P1866" s="4"/>
    </row>
    <row r="1867" spans="16:16" x14ac:dyDescent="0.15">
      <c r="P1867" s="4"/>
    </row>
    <row r="1868" spans="16:16" x14ac:dyDescent="0.15">
      <c r="P1868" s="4"/>
    </row>
    <row r="1869" spans="16:16" x14ac:dyDescent="0.15">
      <c r="P1869" s="4"/>
    </row>
    <row r="1870" spans="16:16" x14ac:dyDescent="0.15">
      <c r="P1870" s="4"/>
    </row>
    <row r="1871" spans="16:16" x14ac:dyDescent="0.15">
      <c r="P1871" s="4"/>
    </row>
    <row r="1872" spans="16:16" x14ac:dyDescent="0.15">
      <c r="P1872" s="4"/>
    </row>
    <row r="1873" spans="16:16" x14ac:dyDescent="0.15">
      <c r="P1873" s="4"/>
    </row>
    <row r="1874" spans="16:16" x14ac:dyDescent="0.15">
      <c r="P1874" s="4"/>
    </row>
    <row r="1875" spans="16:16" x14ac:dyDescent="0.15">
      <c r="P1875" s="4"/>
    </row>
    <row r="1876" spans="16:16" x14ac:dyDescent="0.15">
      <c r="P1876" s="4"/>
    </row>
    <row r="1877" spans="16:16" x14ac:dyDescent="0.15">
      <c r="P1877" s="4"/>
    </row>
    <row r="1878" spans="16:16" x14ac:dyDescent="0.15">
      <c r="P1878" s="4"/>
    </row>
    <row r="1879" spans="16:16" x14ac:dyDescent="0.15">
      <c r="P1879" s="5"/>
    </row>
    <row r="1880" spans="16:16" x14ac:dyDescent="0.15">
      <c r="P1880" s="4"/>
    </row>
    <row r="1881" spans="16:16" x14ac:dyDescent="0.15">
      <c r="P1881" s="4"/>
    </row>
    <row r="1882" spans="16:16" x14ac:dyDescent="0.15">
      <c r="P1882" s="5"/>
    </row>
    <row r="1883" spans="16:16" x14ac:dyDescent="0.15">
      <c r="P1883" s="4"/>
    </row>
    <row r="1884" spans="16:16" x14ac:dyDescent="0.15">
      <c r="P1884" s="4"/>
    </row>
    <row r="1885" spans="16:16" x14ac:dyDescent="0.15">
      <c r="P1885" s="4"/>
    </row>
    <row r="1886" spans="16:16" x14ac:dyDescent="0.15">
      <c r="P1886" s="5"/>
    </row>
    <row r="1887" spans="16:16" x14ac:dyDescent="0.15">
      <c r="P1887" s="4"/>
    </row>
    <row r="1888" spans="16:16" x14ac:dyDescent="0.15">
      <c r="P1888" s="4"/>
    </row>
    <row r="1889" spans="16:16" x14ac:dyDescent="0.15">
      <c r="P1889" s="4"/>
    </row>
    <row r="1890" spans="16:16" x14ac:dyDescent="0.15">
      <c r="P1890" s="4"/>
    </row>
    <row r="1891" spans="16:16" x14ac:dyDescent="0.15">
      <c r="P1891" s="4"/>
    </row>
    <row r="1892" spans="16:16" x14ac:dyDescent="0.15">
      <c r="P1892" s="4"/>
    </row>
    <row r="1893" spans="16:16" x14ac:dyDescent="0.15">
      <c r="P1893" s="4"/>
    </row>
    <row r="1894" spans="16:16" x14ac:dyDescent="0.15">
      <c r="P1894" s="4"/>
    </row>
    <row r="1895" spans="16:16" x14ac:dyDescent="0.15">
      <c r="P1895" s="4"/>
    </row>
    <row r="1896" spans="16:16" x14ac:dyDescent="0.15">
      <c r="P1896" s="4"/>
    </row>
    <row r="1897" spans="16:16" x14ac:dyDescent="0.15">
      <c r="P1897" s="4"/>
    </row>
    <row r="1898" spans="16:16" x14ac:dyDescent="0.15">
      <c r="P1898" s="4"/>
    </row>
    <row r="1899" spans="16:16" x14ac:dyDescent="0.15">
      <c r="P1899" s="4"/>
    </row>
    <row r="1900" spans="16:16" x14ac:dyDescent="0.15">
      <c r="P1900" s="5"/>
    </row>
    <row r="1901" spans="16:16" x14ac:dyDescent="0.15">
      <c r="P1901" s="4"/>
    </row>
    <row r="1902" spans="16:16" x14ac:dyDescent="0.15">
      <c r="P1902" s="5"/>
    </row>
    <row r="1903" spans="16:16" x14ac:dyDescent="0.15">
      <c r="P1903" s="4"/>
    </row>
    <row r="1904" spans="16:16" x14ac:dyDescent="0.15">
      <c r="P1904" s="4"/>
    </row>
    <row r="1905" spans="16:16" x14ac:dyDescent="0.15">
      <c r="P1905" s="4"/>
    </row>
    <row r="1906" spans="16:16" x14ac:dyDescent="0.15">
      <c r="P1906" s="4"/>
    </row>
    <row r="1907" spans="16:16" x14ac:dyDescent="0.15">
      <c r="P1907" s="5"/>
    </row>
    <row r="1908" spans="16:16" x14ac:dyDescent="0.15">
      <c r="P1908" s="4"/>
    </row>
    <row r="1909" spans="16:16" x14ac:dyDescent="0.15">
      <c r="P1909" s="4"/>
    </row>
    <row r="1910" spans="16:16" x14ac:dyDescent="0.15">
      <c r="P1910" s="4"/>
    </row>
    <row r="1911" spans="16:16" x14ac:dyDescent="0.15">
      <c r="P1911" s="4"/>
    </row>
    <row r="1912" spans="16:16" x14ac:dyDescent="0.15">
      <c r="P1912" s="5"/>
    </row>
    <row r="1913" spans="16:16" x14ac:dyDescent="0.15">
      <c r="P1913" s="4"/>
    </row>
    <row r="1914" spans="16:16" x14ac:dyDescent="0.15">
      <c r="P1914" s="4"/>
    </row>
    <row r="1915" spans="16:16" x14ac:dyDescent="0.15">
      <c r="P1915" s="4"/>
    </row>
    <row r="1916" spans="16:16" x14ac:dyDescent="0.15">
      <c r="P1916" s="4"/>
    </row>
    <row r="1917" spans="16:16" x14ac:dyDescent="0.15">
      <c r="P1917" s="4"/>
    </row>
    <row r="1918" spans="16:16" x14ac:dyDescent="0.15">
      <c r="P1918" s="4"/>
    </row>
    <row r="1919" spans="16:16" x14ac:dyDescent="0.15">
      <c r="P1919" s="4"/>
    </row>
    <row r="1920" spans="16:16" x14ac:dyDescent="0.15">
      <c r="P1920" s="4"/>
    </row>
    <row r="1921" spans="16:16" x14ac:dyDescent="0.15">
      <c r="P1921" s="4"/>
    </row>
    <row r="1922" spans="16:16" x14ac:dyDescent="0.15">
      <c r="P1922" s="4"/>
    </row>
    <row r="1923" spans="16:16" x14ac:dyDescent="0.15">
      <c r="P1923" s="4"/>
    </row>
    <row r="1924" spans="16:16" x14ac:dyDescent="0.15">
      <c r="P1924" s="5"/>
    </row>
    <row r="1925" spans="16:16" x14ac:dyDescent="0.15">
      <c r="P1925" s="5"/>
    </row>
    <row r="1926" spans="16:16" x14ac:dyDescent="0.15">
      <c r="P1926" s="4"/>
    </row>
    <row r="1927" spans="16:16" x14ac:dyDescent="0.15">
      <c r="P1927" s="4"/>
    </row>
    <row r="1928" spans="16:16" x14ac:dyDescent="0.15">
      <c r="P1928" s="4"/>
    </row>
    <row r="1929" spans="16:16" x14ac:dyDescent="0.15">
      <c r="P1929" s="4"/>
    </row>
    <row r="1930" spans="16:16" x14ac:dyDescent="0.15">
      <c r="P1930" s="5"/>
    </row>
    <row r="1931" spans="16:16" x14ac:dyDescent="0.15">
      <c r="P1931" s="4"/>
    </row>
    <row r="1932" spans="16:16" x14ac:dyDescent="0.15">
      <c r="P1932" s="4"/>
    </row>
    <row r="1933" spans="16:16" x14ac:dyDescent="0.15">
      <c r="P1933" s="4"/>
    </row>
    <row r="1934" spans="16:16" x14ac:dyDescent="0.15">
      <c r="P1934" s="4"/>
    </row>
    <row r="1935" spans="16:16" x14ac:dyDescent="0.15">
      <c r="P1935" s="4"/>
    </row>
    <row r="1936" spans="16:16" x14ac:dyDescent="0.15">
      <c r="P1936" s="4"/>
    </row>
    <row r="1937" spans="16:16" x14ac:dyDescent="0.15">
      <c r="P1937" s="5"/>
    </row>
    <row r="1938" spans="16:16" x14ac:dyDescent="0.15">
      <c r="P1938" s="4"/>
    </row>
    <row r="1939" spans="16:16" x14ac:dyDescent="0.15">
      <c r="P1939" s="4"/>
    </row>
    <row r="1940" spans="16:16" x14ac:dyDescent="0.15">
      <c r="P1940" s="4"/>
    </row>
    <row r="1941" spans="16:16" x14ac:dyDescent="0.15">
      <c r="P1941" s="4"/>
    </row>
    <row r="1942" spans="16:16" x14ac:dyDescent="0.15">
      <c r="P1942" s="4"/>
    </row>
    <row r="1943" spans="16:16" x14ac:dyDescent="0.15">
      <c r="P1943" s="4"/>
    </row>
    <row r="1944" spans="16:16" x14ac:dyDescent="0.15">
      <c r="P1944" s="4"/>
    </row>
    <row r="1945" spans="16:16" x14ac:dyDescent="0.15">
      <c r="P1945" s="4"/>
    </row>
    <row r="1946" spans="16:16" x14ac:dyDescent="0.15">
      <c r="P1946" s="4"/>
    </row>
    <row r="1947" spans="16:16" x14ac:dyDescent="0.15">
      <c r="P1947" s="4"/>
    </row>
    <row r="1948" spans="16:16" x14ac:dyDescent="0.15">
      <c r="P1948" s="5"/>
    </row>
    <row r="1949" spans="16:16" x14ac:dyDescent="0.15">
      <c r="P1949" s="4"/>
    </row>
    <row r="1950" spans="16:16" x14ac:dyDescent="0.15">
      <c r="P1950" s="5"/>
    </row>
    <row r="1951" spans="16:16" x14ac:dyDescent="0.15">
      <c r="P1951" s="4"/>
    </row>
    <row r="1952" spans="16:16" x14ac:dyDescent="0.15">
      <c r="P1952" s="4"/>
    </row>
    <row r="1953" spans="16:16" x14ac:dyDescent="0.15">
      <c r="P1953" s="4"/>
    </row>
    <row r="1954" spans="16:16" x14ac:dyDescent="0.15">
      <c r="P1954" s="4"/>
    </row>
    <row r="1955" spans="16:16" x14ac:dyDescent="0.15">
      <c r="P1955" s="4"/>
    </row>
    <row r="1956" spans="16:16" x14ac:dyDescent="0.15">
      <c r="P1956" s="4"/>
    </row>
    <row r="1957" spans="16:16" x14ac:dyDescent="0.15">
      <c r="P1957" s="4"/>
    </row>
    <row r="1958" spans="16:16" x14ac:dyDescent="0.15">
      <c r="P1958" s="4"/>
    </row>
    <row r="1959" spans="16:16" x14ac:dyDescent="0.15">
      <c r="P1959" s="4"/>
    </row>
    <row r="1960" spans="16:16" x14ac:dyDescent="0.15">
      <c r="P1960" s="4"/>
    </row>
    <row r="1961" spans="16:16" x14ac:dyDescent="0.15">
      <c r="P1961" s="4"/>
    </row>
    <row r="1962" spans="16:16" x14ac:dyDescent="0.15">
      <c r="P1962" s="4"/>
    </row>
    <row r="1963" spans="16:16" x14ac:dyDescent="0.15">
      <c r="P1963" s="4"/>
    </row>
    <row r="1964" spans="16:16" x14ac:dyDescent="0.15">
      <c r="P1964" s="4"/>
    </row>
    <row r="1965" spans="16:16" x14ac:dyDescent="0.15">
      <c r="P1965" s="4"/>
    </row>
    <row r="1966" spans="16:16" x14ac:dyDescent="0.15">
      <c r="P1966" s="4"/>
    </row>
    <row r="1967" spans="16:16" x14ac:dyDescent="0.15">
      <c r="P1967" s="4"/>
    </row>
    <row r="1968" spans="16:16" x14ac:dyDescent="0.15">
      <c r="P1968" s="4"/>
    </row>
    <row r="1969" spans="16:16" x14ac:dyDescent="0.15">
      <c r="P1969" s="4"/>
    </row>
    <row r="1970" spans="16:16" x14ac:dyDescent="0.15">
      <c r="P1970" s="4"/>
    </row>
    <row r="1971" spans="16:16" x14ac:dyDescent="0.15">
      <c r="P1971" s="4"/>
    </row>
    <row r="1972" spans="16:16" x14ac:dyDescent="0.15">
      <c r="P1972" s="5"/>
    </row>
    <row r="1973" spans="16:16" x14ac:dyDescent="0.15">
      <c r="P1973" s="5"/>
    </row>
    <row r="1974" spans="16:16" x14ac:dyDescent="0.15">
      <c r="P1974" s="4"/>
    </row>
    <row r="1975" spans="16:16" x14ac:dyDescent="0.15">
      <c r="P1975" s="4"/>
    </row>
    <row r="1976" spans="16:16" x14ac:dyDescent="0.15">
      <c r="P1976" s="4"/>
    </row>
    <row r="1977" spans="16:16" x14ac:dyDescent="0.15">
      <c r="P1977" s="4"/>
    </row>
    <row r="1978" spans="16:16" x14ac:dyDescent="0.15">
      <c r="P1978" s="4"/>
    </row>
    <row r="1979" spans="16:16" x14ac:dyDescent="0.15">
      <c r="P1979" s="4"/>
    </row>
    <row r="1980" spans="16:16" x14ac:dyDescent="0.15">
      <c r="P1980" s="4"/>
    </row>
    <row r="1981" spans="16:16" x14ac:dyDescent="0.15">
      <c r="P1981" s="5"/>
    </row>
    <row r="1982" spans="16:16" x14ac:dyDescent="0.15">
      <c r="P1982" s="4"/>
    </row>
    <row r="1983" spans="16:16" x14ac:dyDescent="0.15">
      <c r="P1983" s="4"/>
    </row>
    <row r="1984" spans="16:16" x14ac:dyDescent="0.15">
      <c r="P1984" s="4"/>
    </row>
    <row r="1985" spans="16:16" x14ac:dyDescent="0.15">
      <c r="P1985" s="4"/>
    </row>
    <row r="1986" spans="16:16" x14ac:dyDescent="0.15">
      <c r="P1986" s="4"/>
    </row>
    <row r="1987" spans="16:16" x14ac:dyDescent="0.15">
      <c r="P1987" s="4"/>
    </row>
    <row r="1988" spans="16:16" x14ac:dyDescent="0.15">
      <c r="P1988" s="4"/>
    </row>
    <row r="1989" spans="16:16" x14ac:dyDescent="0.15">
      <c r="P1989" s="4"/>
    </row>
    <row r="1990" spans="16:16" x14ac:dyDescent="0.15">
      <c r="P1990" s="4"/>
    </row>
    <row r="1991" spans="16:16" x14ac:dyDescent="0.15">
      <c r="P1991" s="4"/>
    </row>
    <row r="1992" spans="16:16" x14ac:dyDescent="0.15">
      <c r="P1992" s="5"/>
    </row>
    <row r="1993" spans="16:16" x14ac:dyDescent="0.15">
      <c r="P1993" s="4"/>
    </row>
    <row r="1994" spans="16:16" x14ac:dyDescent="0.15">
      <c r="P1994" s="4"/>
    </row>
    <row r="1995" spans="16:16" x14ac:dyDescent="0.15">
      <c r="P1995" s="4"/>
    </row>
    <row r="1996" spans="16:16" x14ac:dyDescent="0.15">
      <c r="P1996" s="5"/>
    </row>
    <row r="1997" spans="16:16" x14ac:dyDescent="0.15">
      <c r="P1997" s="4"/>
    </row>
    <row r="1998" spans="16:16" x14ac:dyDescent="0.15">
      <c r="P1998" s="4"/>
    </row>
    <row r="1999" spans="16:16" x14ac:dyDescent="0.15">
      <c r="P1999" s="4"/>
    </row>
    <row r="2000" spans="16:16" x14ac:dyDescent="0.15">
      <c r="P2000" s="4"/>
    </row>
    <row r="2001" spans="16:16" x14ac:dyDescent="0.15">
      <c r="P2001" s="4"/>
    </row>
    <row r="2002" spans="16:16" x14ac:dyDescent="0.15">
      <c r="P2002" s="4"/>
    </row>
    <row r="2003" spans="16:16" x14ac:dyDescent="0.15">
      <c r="P2003" s="4"/>
    </row>
    <row r="2004" spans="16:16" x14ac:dyDescent="0.15">
      <c r="P2004" s="5"/>
    </row>
    <row r="2005" spans="16:16" x14ac:dyDescent="0.15">
      <c r="P2005" s="5"/>
    </row>
    <row r="2006" spans="16:16" x14ac:dyDescent="0.15">
      <c r="P2006" s="4"/>
    </row>
    <row r="2007" spans="16:16" x14ac:dyDescent="0.15">
      <c r="P2007" s="4"/>
    </row>
    <row r="2008" spans="16:16" x14ac:dyDescent="0.15">
      <c r="P2008" s="4"/>
    </row>
    <row r="2009" spans="16:16" x14ac:dyDescent="0.15">
      <c r="P2009" s="4"/>
    </row>
    <row r="2010" spans="16:16" x14ac:dyDescent="0.15">
      <c r="P2010" s="5"/>
    </row>
    <row r="2011" spans="16:16" x14ac:dyDescent="0.15">
      <c r="P2011" s="4"/>
    </row>
    <row r="2012" spans="16:16" x14ac:dyDescent="0.15">
      <c r="P2012" s="4"/>
    </row>
    <row r="2013" spans="16:16" x14ac:dyDescent="0.15">
      <c r="P2013" s="4"/>
    </row>
    <row r="2014" spans="16:16" x14ac:dyDescent="0.15">
      <c r="P2014" s="5"/>
    </row>
    <row r="2015" spans="16:16" x14ac:dyDescent="0.15">
      <c r="P2015" s="4"/>
    </row>
    <row r="2016" spans="16:16" x14ac:dyDescent="0.15">
      <c r="P2016" s="5"/>
    </row>
    <row r="2017" spans="16:16" x14ac:dyDescent="0.15">
      <c r="P2017" s="4"/>
    </row>
    <row r="2018" spans="16:16" x14ac:dyDescent="0.15">
      <c r="P2018" s="4"/>
    </row>
    <row r="2019" spans="16:16" x14ac:dyDescent="0.15">
      <c r="P2019" s="4"/>
    </row>
    <row r="2020" spans="16:16" x14ac:dyDescent="0.15">
      <c r="P2020" s="4"/>
    </row>
    <row r="2021" spans="16:16" x14ac:dyDescent="0.15">
      <c r="P2021" s="4"/>
    </row>
    <row r="2022" spans="16:16" x14ac:dyDescent="0.15">
      <c r="P2022" s="4"/>
    </row>
    <row r="2023" spans="16:16" x14ac:dyDescent="0.15">
      <c r="P2023" s="4"/>
    </row>
    <row r="2024" spans="16:16" x14ac:dyDescent="0.15">
      <c r="P2024" s="5"/>
    </row>
    <row r="2025" spans="16:16" x14ac:dyDescent="0.15">
      <c r="P2025" s="4"/>
    </row>
    <row r="2026" spans="16:16" x14ac:dyDescent="0.15">
      <c r="P2026" s="4"/>
    </row>
    <row r="2027" spans="16:16" x14ac:dyDescent="0.15">
      <c r="P2027" s="4"/>
    </row>
    <row r="2028" spans="16:16" x14ac:dyDescent="0.15">
      <c r="P2028" s="4"/>
    </row>
    <row r="2029" spans="16:16" x14ac:dyDescent="0.15">
      <c r="P2029" s="4"/>
    </row>
    <row r="2030" spans="16:16" x14ac:dyDescent="0.15">
      <c r="P2030" s="4"/>
    </row>
    <row r="2031" spans="16:16" x14ac:dyDescent="0.15">
      <c r="P2031" s="4"/>
    </row>
    <row r="2032" spans="16:16" x14ac:dyDescent="0.15">
      <c r="P2032" s="5"/>
    </row>
    <row r="2033" spans="16:16" x14ac:dyDescent="0.15">
      <c r="P2033" s="4"/>
    </row>
    <row r="2034" spans="16:16" x14ac:dyDescent="0.15">
      <c r="P2034" s="5"/>
    </row>
    <row r="2035" spans="16:16" x14ac:dyDescent="0.15">
      <c r="P2035" s="4"/>
    </row>
    <row r="2036" spans="16:16" x14ac:dyDescent="0.15">
      <c r="P2036" s="4"/>
    </row>
    <row r="2037" spans="16:16" x14ac:dyDescent="0.15">
      <c r="P2037" s="4"/>
    </row>
    <row r="2038" spans="16:16" x14ac:dyDescent="0.15">
      <c r="P2038" s="4"/>
    </row>
    <row r="2039" spans="16:16" x14ac:dyDescent="0.15">
      <c r="P2039" s="4"/>
    </row>
    <row r="2040" spans="16:16" x14ac:dyDescent="0.15">
      <c r="P2040" s="4"/>
    </row>
    <row r="2041" spans="16:16" x14ac:dyDescent="0.15">
      <c r="P2041" s="4"/>
    </row>
    <row r="2042" spans="16:16" x14ac:dyDescent="0.15">
      <c r="P2042" s="4"/>
    </row>
    <row r="2043" spans="16:16" x14ac:dyDescent="0.15">
      <c r="P2043" s="4"/>
    </row>
    <row r="2044" spans="16:16" x14ac:dyDescent="0.15">
      <c r="P2044" s="4"/>
    </row>
    <row r="2045" spans="16:16" x14ac:dyDescent="0.15">
      <c r="P2045" s="4"/>
    </row>
    <row r="2046" spans="16:16" x14ac:dyDescent="0.15">
      <c r="P2046" s="4"/>
    </row>
    <row r="2047" spans="16:16" x14ac:dyDescent="0.15">
      <c r="P2047" s="4"/>
    </row>
    <row r="2048" spans="16:16" x14ac:dyDescent="0.15">
      <c r="P2048" s="4"/>
    </row>
    <row r="2049" spans="16:16" x14ac:dyDescent="0.15">
      <c r="P2049" s="5"/>
    </row>
    <row r="2050" spans="16:16" x14ac:dyDescent="0.15">
      <c r="P2050" s="4"/>
    </row>
    <row r="2051" spans="16:16" x14ac:dyDescent="0.15">
      <c r="P2051" s="4"/>
    </row>
    <row r="2052" spans="16:16" x14ac:dyDescent="0.15">
      <c r="P2052" s="4"/>
    </row>
    <row r="2053" spans="16:16" x14ac:dyDescent="0.15">
      <c r="P2053" s="4"/>
    </row>
    <row r="2054" spans="16:16" x14ac:dyDescent="0.15">
      <c r="P2054" s="4"/>
    </row>
    <row r="2055" spans="16:16" x14ac:dyDescent="0.15">
      <c r="P2055" s="4"/>
    </row>
    <row r="2056" spans="16:16" x14ac:dyDescent="0.15">
      <c r="P2056" s="4"/>
    </row>
    <row r="2057" spans="16:16" x14ac:dyDescent="0.15">
      <c r="P2057" s="4"/>
    </row>
    <row r="2058" spans="16:16" x14ac:dyDescent="0.15">
      <c r="P2058" s="4"/>
    </row>
    <row r="2059" spans="16:16" x14ac:dyDescent="0.15">
      <c r="P2059" s="4"/>
    </row>
    <row r="2060" spans="16:16" x14ac:dyDescent="0.15">
      <c r="P2060" s="4"/>
    </row>
    <row r="2061" spans="16:16" x14ac:dyDescent="0.15">
      <c r="P2061" s="4"/>
    </row>
    <row r="2062" spans="16:16" x14ac:dyDescent="0.15">
      <c r="P2062" s="4"/>
    </row>
    <row r="2063" spans="16:16" x14ac:dyDescent="0.15">
      <c r="P2063" s="4"/>
    </row>
    <row r="2064" spans="16:16" x14ac:dyDescent="0.15">
      <c r="P2064" s="4"/>
    </row>
    <row r="2065" spans="16:16" x14ac:dyDescent="0.15">
      <c r="P2065" s="4"/>
    </row>
    <row r="2066" spans="16:16" x14ac:dyDescent="0.15">
      <c r="P2066" s="4"/>
    </row>
    <row r="2067" spans="16:16" x14ac:dyDescent="0.15">
      <c r="P2067" s="4"/>
    </row>
    <row r="2068" spans="16:16" x14ac:dyDescent="0.15">
      <c r="P2068" s="4"/>
    </row>
    <row r="2069" spans="16:16" x14ac:dyDescent="0.15">
      <c r="P2069" s="4"/>
    </row>
    <row r="2070" spans="16:16" x14ac:dyDescent="0.15">
      <c r="P2070" s="4"/>
    </row>
    <row r="2071" spans="16:16" x14ac:dyDescent="0.15">
      <c r="P2071" s="4"/>
    </row>
    <row r="2072" spans="16:16" x14ac:dyDescent="0.15">
      <c r="P2072" s="5"/>
    </row>
    <row r="2073" spans="16:16" x14ac:dyDescent="0.15">
      <c r="P2073" s="4"/>
    </row>
    <row r="2074" spans="16:16" x14ac:dyDescent="0.15">
      <c r="P2074" s="4"/>
    </row>
    <row r="2075" spans="16:16" x14ac:dyDescent="0.15">
      <c r="P2075" s="5"/>
    </row>
    <row r="2076" spans="16:16" x14ac:dyDescent="0.15">
      <c r="P2076" s="4"/>
    </row>
    <row r="2077" spans="16:16" x14ac:dyDescent="0.15">
      <c r="P2077" s="4"/>
    </row>
    <row r="2078" spans="16:16" x14ac:dyDescent="0.15">
      <c r="P2078" s="4"/>
    </row>
    <row r="2079" spans="16:16" x14ac:dyDescent="0.15">
      <c r="P2079" s="4"/>
    </row>
    <row r="2080" spans="16:16" x14ac:dyDescent="0.15">
      <c r="P2080" s="4"/>
    </row>
    <row r="2081" spans="16:16" x14ac:dyDescent="0.15">
      <c r="P2081" s="4"/>
    </row>
    <row r="2082" spans="16:16" x14ac:dyDescent="0.15">
      <c r="P2082" s="4"/>
    </row>
    <row r="2083" spans="16:16" x14ac:dyDescent="0.15">
      <c r="P2083" s="4"/>
    </row>
    <row r="2084" spans="16:16" x14ac:dyDescent="0.15">
      <c r="P2084" s="4"/>
    </row>
    <row r="2085" spans="16:16" x14ac:dyDescent="0.15">
      <c r="P2085" s="4"/>
    </row>
    <row r="2086" spans="16:16" x14ac:dyDescent="0.15">
      <c r="P2086" s="4"/>
    </row>
    <row r="2087" spans="16:16" x14ac:dyDescent="0.15">
      <c r="P2087" s="4"/>
    </row>
    <row r="2088" spans="16:16" x14ac:dyDescent="0.15">
      <c r="P2088" s="4"/>
    </row>
    <row r="2089" spans="16:16" x14ac:dyDescent="0.15">
      <c r="P2089" s="4"/>
    </row>
    <row r="2090" spans="16:16" x14ac:dyDescent="0.15">
      <c r="P2090" s="4"/>
    </row>
    <row r="2091" spans="16:16" x14ac:dyDescent="0.15">
      <c r="P2091" s="4"/>
    </row>
    <row r="2092" spans="16:16" x14ac:dyDescent="0.15">
      <c r="P2092" s="4"/>
    </row>
    <row r="2093" spans="16:16" x14ac:dyDescent="0.15">
      <c r="P2093" s="4"/>
    </row>
    <row r="2094" spans="16:16" x14ac:dyDescent="0.15">
      <c r="P2094" s="4"/>
    </row>
    <row r="2095" spans="16:16" x14ac:dyDescent="0.15">
      <c r="P2095" s="4"/>
    </row>
    <row r="2096" spans="16:16" x14ac:dyDescent="0.15">
      <c r="P2096" s="4"/>
    </row>
    <row r="2097" spans="16:16" x14ac:dyDescent="0.15">
      <c r="P2097" s="4"/>
    </row>
    <row r="2098" spans="16:16" x14ac:dyDescent="0.15">
      <c r="P2098" s="4"/>
    </row>
    <row r="2099" spans="16:16" x14ac:dyDescent="0.15">
      <c r="P2099" s="4"/>
    </row>
    <row r="2100" spans="16:16" x14ac:dyDescent="0.15">
      <c r="P2100" s="5"/>
    </row>
    <row r="2101" spans="16:16" x14ac:dyDescent="0.15">
      <c r="P2101" s="4"/>
    </row>
    <row r="2102" spans="16:16" x14ac:dyDescent="0.15">
      <c r="P2102" s="4"/>
    </row>
    <row r="2103" spans="16:16" x14ac:dyDescent="0.15">
      <c r="P2103" s="4"/>
    </row>
    <row r="2104" spans="16:16" x14ac:dyDescent="0.15">
      <c r="P2104" s="4"/>
    </row>
    <row r="2105" spans="16:16" x14ac:dyDescent="0.15">
      <c r="P2105" s="4"/>
    </row>
    <row r="2106" spans="16:16" x14ac:dyDescent="0.15">
      <c r="P2106" s="5"/>
    </row>
    <row r="2107" spans="16:16" x14ac:dyDescent="0.15">
      <c r="P2107" s="4"/>
    </row>
    <row r="2108" spans="16:16" x14ac:dyDescent="0.15">
      <c r="P2108" s="4"/>
    </row>
    <row r="2109" spans="16:16" x14ac:dyDescent="0.15">
      <c r="P2109" s="4"/>
    </row>
    <row r="2110" spans="16:16" x14ac:dyDescent="0.15">
      <c r="P2110" s="4"/>
    </row>
    <row r="2111" spans="16:16" x14ac:dyDescent="0.15">
      <c r="P2111" s="4"/>
    </row>
    <row r="2112" spans="16:16" x14ac:dyDescent="0.15">
      <c r="P2112" s="4"/>
    </row>
    <row r="2113" spans="16:16" x14ac:dyDescent="0.15">
      <c r="P2113" s="4"/>
    </row>
    <row r="2114" spans="16:16" x14ac:dyDescent="0.15">
      <c r="P2114" s="4"/>
    </row>
    <row r="2115" spans="16:16" x14ac:dyDescent="0.15">
      <c r="P2115" s="4"/>
    </row>
    <row r="2116" spans="16:16" x14ac:dyDescent="0.15">
      <c r="P2116" s="5"/>
    </row>
    <row r="2117" spans="16:16" x14ac:dyDescent="0.15">
      <c r="P2117" s="4"/>
    </row>
    <row r="2118" spans="16:16" x14ac:dyDescent="0.15">
      <c r="P2118" s="4"/>
    </row>
    <row r="2119" spans="16:16" x14ac:dyDescent="0.15">
      <c r="P2119" s="4"/>
    </row>
    <row r="2120" spans="16:16" x14ac:dyDescent="0.15">
      <c r="P2120" s="4"/>
    </row>
    <row r="2121" spans="16:16" x14ac:dyDescent="0.15">
      <c r="P2121" s="4"/>
    </row>
    <row r="2122" spans="16:16" x14ac:dyDescent="0.15">
      <c r="P2122" s="4"/>
    </row>
    <row r="2123" spans="16:16" x14ac:dyDescent="0.15">
      <c r="P2123" s="4"/>
    </row>
    <row r="2124" spans="16:16" x14ac:dyDescent="0.15">
      <c r="P2124" s="4"/>
    </row>
    <row r="2125" spans="16:16" x14ac:dyDescent="0.15">
      <c r="P2125" s="4"/>
    </row>
    <row r="2126" spans="16:16" x14ac:dyDescent="0.15">
      <c r="P2126" s="4"/>
    </row>
    <row r="2127" spans="16:16" x14ac:dyDescent="0.15">
      <c r="P2127" s="4"/>
    </row>
    <row r="2128" spans="16:16" x14ac:dyDescent="0.15">
      <c r="P2128" s="4"/>
    </row>
    <row r="2129" spans="16:16" x14ac:dyDescent="0.15">
      <c r="P2129" s="4"/>
    </row>
    <row r="2130" spans="16:16" x14ac:dyDescent="0.15">
      <c r="P2130" s="4"/>
    </row>
    <row r="2131" spans="16:16" x14ac:dyDescent="0.15">
      <c r="P2131" s="4"/>
    </row>
    <row r="2132" spans="16:16" x14ac:dyDescent="0.15">
      <c r="P2132" s="4"/>
    </row>
    <row r="2133" spans="16:16" x14ac:dyDescent="0.15">
      <c r="P2133" s="4"/>
    </row>
    <row r="2134" spans="16:16" x14ac:dyDescent="0.15">
      <c r="P2134" s="4"/>
    </row>
    <row r="2135" spans="16:16" x14ac:dyDescent="0.15">
      <c r="P2135" s="4"/>
    </row>
    <row r="2136" spans="16:16" x14ac:dyDescent="0.15">
      <c r="P2136" s="4"/>
    </row>
    <row r="2137" spans="16:16" x14ac:dyDescent="0.15">
      <c r="P2137" s="4"/>
    </row>
    <row r="2138" spans="16:16" x14ac:dyDescent="0.15">
      <c r="P2138" s="5"/>
    </row>
    <row r="2139" spans="16:16" x14ac:dyDescent="0.15">
      <c r="P2139" s="4"/>
    </row>
    <row r="2140" spans="16:16" x14ac:dyDescent="0.15">
      <c r="P2140" s="4"/>
    </row>
    <row r="2141" spans="16:16" x14ac:dyDescent="0.15">
      <c r="P2141" s="4"/>
    </row>
    <row r="2142" spans="16:16" x14ac:dyDescent="0.15">
      <c r="P2142" s="4"/>
    </row>
    <row r="2143" spans="16:16" x14ac:dyDescent="0.15">
      <c r="P2143" s="4"/>
    </row>
    <row r="2144" spans="16:16" x14ac:dyDescent="0.15">
      <c r="P2144" s="4"/>
    </row>
    <row r="2145" spans="16:16" x14ac:dyDescent="0.15">
      <c r="P2145" s="4"/>
    </row>
    <row r="2146" spans="16:16" x14ac:dyDescent="0.15">
      <c r="P2146" s="4"/>
    </row>
    <row r="2147" spans="16:16" x14ac:dyDescent="0.15">
      <c r="P2147" s="4"/>
    </row>
    <row r="2148" spans="16:16" x14ac:dyDescent="0.15">
      <c r="P2148" s="4"/>
    </row>
    <row r="2149" spans="16:16" x14ac:dyDescent="0.15">
      <c r="P2149" s="4"/>
    </row>
    <row r="2150" spans="16:16" x14ac:dyDescent="0.15">
      <c r="P2150" s="4"/>
    </row>
    <row r="2151" spans="16:16" x14ac:dyDescent="0.15">
      <c r="P2151" s="4"/>
    </row>
    <row r="2152" spans="16:16" x14ac:dyDescent="0.15">
      <c r="P2152" s="4"/>
    </row>
    <row r="2153" spans="16:16" x14ac:dyDescent="0.15">
      <c r="P2153" s="4"/>
    </row>
    <row r="2154" spans="16:16" x14ac:dyDescent="0.15">
      <c r="P2154" s="4"/>
    </row>
    <row r="2155" spans="16:16" x14ac:dyDescent="0.15">
      <c r="P2155" s="4"/>
    </row>
    <row r="2156" spans="16:16" x14ac:dyDescent="0.15">
      <c r="P2156" s="4"/>
    </row>
    <row r="2157" spans="16:16" x14ac:dyDescent="0.15">
      <c r="P2157" s="5"/>
    </row>
    <row r="2158" spans="16:16" x14ac:dyDescent="0.15">
      <c r="P2158" s="4"/>
    </row>
    <row r="2159" spans="16:16" x14ac:dyDescent="0.15">
      <c r="P2159" s="5"/>
    </row>
    <row r="2160" spans="16:16" x14ac:dyDescent="0.15">
      <c r="P2160" s="4"/>
    </row>
    <row r="2161" spans="16:16" x14ac:dyDescent="0.15">
      <c r="P2161" s="4"/>
    </row>
    <row r="2162" spans="16:16" x14ac:dyDescent="0.15">
      <c r="P2162" s="4"/>
    </row>
    <row r="2163" spans="16:16" x14ac:dyDescent="0.15">
      <c r="P2163" s="4"/>
    </row>
    <row r="2164" spans="16:16" x14ac:dyDescent="0.15">
      <c r="P2164" s="4"/>
    </row>
    <row r="2165" spans="16:16" x14ac:dyDescent="0.15">
      <c r="P2165" s="4"/>
    </row>
    <row r="2166" spans="16:16" x14ac:dyDescent="0.15">
      <c r="P2166" s="5"/>
    </row>
    <row r="2167" spans="16:16" x14ac:dyDescent="0.15">
      <c r="P2167" s="5"/>
    </row>
    <row r="2168" spans="16:16" x14ac:dyDescent="0.15">
      <c r="P2168" s="4"/>
    </row>
    <row r="2169" spans="16:16" x14ac:dyDescent="0.15">
      <c r="P2169" s="4"/>
    </row>
    <row r="2170" spans="16:16" x14ac:dyDescent="0.15">
      <c r="P2170" s="4"/>
    </row>
    <row r="2171" spans="16:16" x14ac:dyDescent="0.15">
      <c r="P2171" s="4"/>
    </row>
    <row r="2172" spans="16:16" x14ac:dyDescent="0.15">
      <c r="P2172" s="4"/>
    </row>
    <row r="2173" spans="16:16" x14ac:dyDescent="0.15">
      <c r="P2173" s="4"/>
    </row>
    <row r="2174" spans="16:16" x14ac:dyDescent="0.15">
      <c r="P2174" s="4"/>
    </row>
    <row r="2175" spans="16:16" x14ac:dyDescent="0.15">
      <c r="P2175" s="4"/>
    </row>
    <row r="2176" spans="16:16" x14ac:dyDescent="0.15">
      <c r="P2176" s="4"/>
    </row>
    <row r="2177" spans="16:16" x14ac:dyDescent="0.15">
      <c r="P2177" s="4"/>
    </row>
    <row r="2178" spans="16:16" x14ac:dyDescent="0.15">
      <c r="P2178" s="4"/>
    </row>
    <row r="2179" spans="16:16" x14ac:dyDescent="0.15">
      <c r="P2179" s="4"/>
    </row>
    <row r="2180" spans="16:16" x14ac:dyDescent="0.15">
      <c r="P2180" s="4"/>
    </row>
    <row r="2181" spans="16:16" x14ac:dyDescent="0.15">
      <c r="P2181" s="4"/>
    </row>
    <row r="2182" spans="16:16" x14ac:dyDescent="0.15">
      <c r="P2182" s="4"/>
    </row>
    <row r="2183" spans="16:16" x14ac:dyDescent="0.15">
      <c r="P2183" s="4"/>
    </row>
    <row r="2184" spans="16:16" x14ac:dyDescent="0.15">
      <c r="P2184" s="4"/>
    </row>
    <row r="2185" spans="16:16" x14ac:dyDescent="0.15">
      <c r="P2185" s="4"/>
    </row>
    <row r="2186" spans="16:16" x14ac:dyDescent="0.15">
      <c r="P2186" s="4"/>
    </row>
    <row r="2187" spans="16:16" x14ac:dyDescent="0.15">
      <c r="P2187" s="5"/>
    </row>
    <row r="2188" spans="16:16" x14ac:dyDescent="0.15">
      <c r="P2188" s="5"/>
    </row>
    <row r="2189" spans="16:16" x14ac:dyDescent="0.15">
      <c r="P2189" s="4"/>
    </row>
    <row r="2190" spans="16:16" x14ac:dyDescent="0.15">
      <c r="P2190" s="5"/>
    </row>
    <row r="2191" spans="16:16" x14ac:dyDescent="0.15">
      <c r="P2191" s="4"/>
    </row>
    <row r="2192" spans="16:16" x14ac:dyDescent="0.15">
      <c r="P2192" s="4"/>
    </row>
    <row r="2193" spans="16:16" x14ac:dyDescent="0.15">
      <c r="P2193" s="4"/>
    </row>
    <row r="2194" spans="16:16" x14ac:dyDescent="0.15">
      <c r="P2194" s="4"/>
    </row>
    <row r="2195" spans="16:16" x14ac:dyDescent="0.15">
      <c r="P2195" s="4"/>
    </row>
    <row r="2196" spans="16:16" x14ac:dyDescent="0.15">
      <c r="P2196" s="4"/>
    </row>
    <row r="2197" spans="16:16" x14ac:dyDescent="0.15">
      <c r="P2197" s="4"/>
    </row>
    <row r="2198" spans="16:16" x14ac:dyDescent="0.15">
      <c r="P2198" s="4"/>
    </row>
    <row r="2199" spans="16:16" x14ac:dyDescent="0.15">
      <c r="P2199" s="4"/>
    </row>
    <row r="2200" spans="16:16" x14ac:dyDescent="0.15">
      <c r="P2200" s="4"/>
    </row>
    <row r="2201" spans="16:16" x14ac:dyDescent="0.15">
      <c r="P2201" s="4"/>
    </row>
    <row r="2202" spans="16:16" x14ac:dyDescent="0.15">
      <c r="P2202" s="4"/>
    </row>
    <row r="2203" spans="16:16" x14ac:dyDescent="0.15">
      <c r="P2203" s="4"/>
    </row>
    <row r="2204" spans="16:16" x14ac:dyDescent="0.15">
      <c r="P2204" s="4"/>
    </row>
    <row r="2205" spans="16:16" x14ac:dyDescent="0.15">
      <c r="P2205" s="4"/>
    </row>
    <row r="2206" spans="16:16" x14ac:dyDescent="0.15">
      <c r="P2206" s="4"/>
    </row>
    <row r="2207" spans="16:16" x14ac:dyDescent="0.15">
      <c r="P2207" s="4"/>
    </row>
    <row r="2208" spans="16:16" x14ac:dyDescent="0.15">
      <c r="P2208" s="4"/>
    </row>
    <row r="2209" spans="16:16" x14ac:dyDescent="0.15">
      <c r="P2209" s="4"/>
    </row>
    <row r="2210" spans="16:16" x14ac:dyDescent="0.15">
      <c r="P2210" s="4"/>
    </row>
    <row r="2211" spans="16:16" x14ac:dyDescent="0.15">
      <c r="P2211" s="4"/>
    </row>
    <row r="2212" spans="16:16" x14ac:dyDescent="0.15">
      <c r="P2212" s="4"/>
    </row>
    <row r="2213" spans="16:16" x14ac:dyDescent="0.15">
      <c r="P2213" s="4"/>
    </row>
    <row r="2214" spans="16:16" x14ac:dyDescent="0.15">
      <c r="P2214" s="4"/>
    </row>
    <row r="2215" spans="16:16" x14ac:dyDescent="0.15">
      <c r="P2215" s="4"/>
    </row>
    <row r="2216" spans="16:16" x14ac:dyDescent="0.15">
      <c r="P2216" s="4"/>
    </row>
    <row r="2217" spans="16:16" x14ac:dyDescent="0.15">
      <c r="P2217" s="4"/>
    </row>
    <row r="2218" spans="16:16" x14ac:dyDescent="0.15">
      <c r="P2218" s="4"/>
    </row>
    <row r="2219" spans="16:16" x14ac:dyDescent="0.15">
      <c r="P2219" s="4"/>
    </row>
    <row r="2220" spans="16:16" x14ac:dyDescent="0.15">
      <c r="P2220" s="4"/>
    </row>
    <row r="2221" spans="16:16" x14ac:dyDescent="0.15">
      <c r="P2221" s="4"/>
    </row>
    <row r="2222" spans="16:16" x14ac:dyDescent="0.15">
      <c r="P2222" s="4"/>
    </row>
    <row r="2223" spans="16:16" x14ac:dyDescent="0.15">
      <c r="P2223" s="4"/>
    </row>
    <row r="2224" spans="16:16" x14ac:dyDescent="0.15">
      <c r="P2224" s="4"/>
    </row>
    <row r="2225" spans="16:16" x14ac:dyDescent="0.15">
      <c r="P2225" s="4"/>
    </row>
    <row r="2226" spans="16:16" x14ac:dyDescent="0.15">
      <c r="P2226" s="4"/>
    </row>
    <row r="2227" spans="16:16" x14ac:dyDescent="0.15">
      <c r="P2227" s="4"/>
    </row>
    <row r="2228" spans="16:16" x14ac:dyDescent="0.15">
      <c r="P2228" s="4"/>
    </row>
    <row r="2229" spans="16:16" x14ac:dyDescent="0.15">
      <c r="P2229" s="4"/>
    </row>
    <row r="2230" spans="16:16" x14ac:dyDescent="0.15">
      <c r="P2230" s="4"/>
    </row>
    <row r="2231" spans="16:16" x14ac:dyDescent="0.15">
      <c r="P2231" s="4"/>
    </row>
    <row r="2232" spans="16:16" x14ac:dyDescent="0.15">
      <c r="P2232" s="5"/>
    </row>
    <row r="2233" spans="16:16" x14ac:dyDescent="0.15">
      <c r="P2233" s="5"/>
    </row>
    <row r="2234" spans="16:16" x14ac:dyDescent="0.15">
      <c r="P2234" s="5"/>
    </row>
    <row r="2235" spans="16:16" x14ac:dyDescent="0.15">
      <c r="P2235" s="5"/>
    </row>
    <row r="2236" spans="16:16" x14ac:dyDescent="0.15">
      <c r="P2236" s="5"/>
    </row>
    <row r="2237" spans="16:16" x14ac:dyDescent="0.15">
      <c r="P2237" s="4"/>
    </row>
    <row r="2238" spans="16:16" x14ac:dyDescent="0.15">
      <c r="P2238" s="4"/>
    </row>
    <row r="2239" spans="16:16" x14ac:dyDescent="0.15">
      <c r="P2239" s="4"/>
    </row>
    <row r="2240" spans="16:16" x14ac:dyDescent="0.15">
      <c r="P2240" s="4"/>
    </row>
    <row r="2241" spans="16:16" x14ac:dyDescent="0.15">
      <c r="P2241" s="4"/>
    </row>
    <row r="2242" spans="16:16" x14ac:dyDescent="0.15">
      <c r="P2242" s="5"/>
    </row>
    <row r="2243" spans="16:16" x14ac:dyDescent="0.15">
      <c r="P2243" s="4"/>
    </row>
    <row r="2244" spans="16:16" x14ac:dyDescent="0.15">
      <c r="P2244" s="4"/>
    </row>
    <row r="2245" spans="16:16" x14ac:dyDescent="0.15">
      <c r="P2245" s="5"/>
    </row>
    <row r="2246" spans="16:16" x14ac:dyDescent="0.15">
      <c r="P2246" s="4"/>
    </row>
    <row r="2247" spans="16:16" x14ac:dyDescent="0.15">
      <c r="P2247" s="4"/>
    </row>
    <row r="2248" spans="16:16" x14ac:dyDescent="0.15">
      <c r="P2248" s="4"/>
    </row>
    <row r="2249" spans="16:16" x14ac:dyDescent="0.15">
      <c r="P2249" s="4"/>
    </row>
    <row r="2250" spans="16:16" x14ac:dyDescent="0.15">
      <c r="P2250" s="4"/>
    </row>
    <row r="2251" spans="16:16" x14ac:dyDescent="0.15">
      <c r="P2251" s="4"/>
    </row>
    <row r="2252" spans="16:16" x14ac:dyDescent="0.15">
      <c r="P2252" s="5"/>
    </row>
    <row r="2253" spans="16:16" x14ac:dyDescent="0.15">
      <c r="P2253" s="4"/>
    </row>
    <row r="2254" spans="16:16" x14ac:dyDescent="0.15">
      <c r="P2254" s="4"/>
    </row>
    <row r="2255" spans="16:16" x14ac:dyDescent="0.15">
      <c r="P2255" s="5"/>
    </row>
    <row r="2256" spans="16:16" x14ac:dyDescent="0.15">
      <c r="P2256" s="4"/>
    </row>
    <row r="2257" spans="16:16" x14ac:dyDescent="0.15">
      <c r="P2257" s="4"/>
    </row>
    <row r="2258" spans="16:16" x14ac:dyDescent="0.15">
      <c r="P2258" s="4"/>
    </row>
    <row r="2259" spans="16:16" x14ac:dyDescent="0.15">
      <c r="P2259" s="4"/>
    </row>
    <row r="2260" spans="16:16" x14ac:dyDescent="0.15">
      <c r="P2260" s="4"/>
    </row>
    <row r="2261" spans="16:16" x14ac:dyDescent="0.15">
      <c r="P2261" s="4"/>
    </row>
    <row r="2262" spans="16:16" x14ac:dyDescent="0.15">
      <c r="P2262" s="4"/>
    </row>
    <row r="2263" spans="16:16" x14ac:dyDescent="0.15">
      <c r="P2263" s="4"/>
    </row>
    <row r="2264" spans="16:16" x14ac:dyDescent="0.15">
      <c r="P2264" s="4"/>
    </row>
    <row r="2265" spans="16:16" x14ac:dyDescent="0.15">
      <c r="P2265" s="4"/>
    </row>
    <row r="2266" spans="16:16" x14ac:dyDescent="0.15">
      <c r="P2266" s="4"/>
    </row>
    <row r="2267" spans="16:16" x14ac:dyDescent="0.15">
      <c r="P2267" s="4"/>
    </row>
    <row r="2268" spans="16:16" x14ac:dyDescent="0.15">
      <c r="P2268" s="4"/>
    </row>
    <row r="2269" spans="16:16" x14ac:dyDescent="0.15">
      <c r="P2269" s="5"/>
    </row>
    <row r="2270" spans="16:16" x14ac:dyDescent="0.15">
      <c r="P2270" s="4"/>
    </row>
    <row r="2271" spans="16:16" x14ac:dyDescent="0.15">
      <c r="P2271" s="5"/>
    </row>
    <row r="2272" spans="16:16" x14ac:dyDescent="0.15">
      <c r="P2272" s="4"/>
    </row>
    <row r="2273" spans="16:16" x14ac:dyDescent="0.15">
      <c r="P2273" s="4"/>
    </row>
    <row r="2274" spans="16:16" x14ac:dyDescent="0.15">
      <c r="P2274" s="4"/>
    </row>
    <row r="2275" spans="16:16" x14ac:dyDescent="0.15">
      <c r="P2275" s="4"/>
    </row>
    <row r="2276" spans="16:16" x14ac:dyDescent="0.15">
      <c r="P2276" s="5"/>
    </row>
    <row r="2277" spans="16:16" x14ac:dyDescent="0.15">
      <c r="P2277" s="4"/>
    </row>
    <row r="2278" spans="16:16" x14ac:dyDescent="0.15">
      <c r="P2278" s="5"/>
    </row>
    <row r="2279" spans="16:16" x14ac:dyDescent="0.15">
      <c r="P2279" s="4"/>
    </row>
    <row r="2280" spans="16:16" x14ac:dyDescent="0.15">
      <c r="P2280" s="4"/>
    </row>
    <row r="2281" spans="16:16" x14ac:dyDescent="0.15">
      <c r="P2281" s="4"/>
    </row>
    <row r="2282" spans="16:16" x14ac:dyDescent="0.15">
      <c r="P2282" s="4"/>
    </row>
    <row r="2283" spans="16:16" x14ac:dyDescent="0.15">
      <c r="P2283" s="4"/>
    </row>
    <row r="2284" spans="16:16" x14ac:dyDescent="0.15">
      <c r="P2284" s="4"/>
    </row>
    <row r="2285" spans="16:16" x14ac:dyDescent="0.15">
      <c r="P2285" s="4"/>
    </row>
    <row r="2286" spans="16:16" x14ac:dyDescent="0.15">
      <c r="P2286" s="4"/>
    </row>
    <row r="2287" spans="16:16" x14ac:dyDescent="0.15">
      <c r="P2287" s="4"/>
    </row>
    <row r="2288" spans="16:16" x14ac:dyDescent="0.15">
      <c r="P2288" s="4"/>
    </row>
    <row r="2289" spans="16:16" x14ac:dyDescent="0.15">
      <c r="P2289" s="4"/>
    </row>
    <row r="2290" spans="16:16" x14ac:dyDescent="0.15">
      <c r="P2290" s="4"/>
    </row>
    <row r="2291" spans="16:16" x14ac:dyDescent="0.15">
      <c r="P2291" s="4"/>
    </row>
    <row r="2292" spans="16:16" x14ac:dyDescent="0.15">
      <c r="P2292" s="4"/>
    </row>
    <row r="2293" spans="16:16" x14ac:dyDescent="0.15">
      <c r="P2293" s="5"/>
    </row>
    <row r="2294" spans="16:16" x14ac:dyDescent="0.15">
      <c r="P2294" s="4"/>
    </row>
    <row r="2295" spans="16:16" x14ac:dyDescent="0.15">
      <c r="P2295" s="4"/>
    </row>
    <row r="2296" spans="16:16" x14ac:dyDescent="0.15">
      <c r="P2296" s="4"/>
    </row>
    <row r="2297" spans="16:16" x14ac:dyDescent="0.15">
      <c r="P2297" s="4"/>
    </row>
    <row r="2298" spans="16:16" x14ac:dyDescent="0.15">
      <c r="P2298" s="4"/>
    </row>
    <row r="2299" spans="16:16" x14ac:dyDescent="0.15">
      <c r="P2299" s="4"/>
    </row>
    <row r="2300" spans="16:16" x14ac:dyDescent="0.15">
      <c r="P2300" s="4"/>
    </row>
    <row r="2301" spans="16:16" x14ac:dyDescent="0.15">
      <c r="P2301" s="4"/>
    </row>
    <row r="2302" spans="16:16" x14ac:dyDescent="0.15">
      <c r="P2302" s="4"/>
    </row>
    <row r="2303" spans="16:16" x14ac:dyDescent="0.15">
      <c r="P2303" s="5"/>
    </row>
    <row r="2304" spans="16:16" x14ac:dyDescent="0.15">
      <c r="P2304" s="4"/>
    </row>
    <row r="2305" spans="16:16" x14ac:dyDescent="0.15">
      <c r="P2305" s="4"/>
    </row>
    <row r="2306" spans="16:16" x14ac:dyDescent="0.15">
      <c r="P2306" s="4"/>
    </row>
    <row r="2307" spans="16:16" x14ac:dyDescent="0.15">
      <c r="P2307" s="4"/>
    </row>
    <row r="2308" spans="16:16" x14ac:dyDescent="0.15">
      <c r="P2308" s="4"/>
    </row>
    <row r="2309" spans="16:16" x14ac:dyDescent="0.15">
      <c r="P2309" s="4"/>
    </row>
    <row r="2310" spans="16:16" x14ac:dyDescent="0.15">
      <c r="P2310" s="4"/>
    </row>
    <row r="2311" spans="16:16" x14ac:dyDescent="0.15">
      <c r="P2311" s="4"/>
    </row>
    <row r="2312" spans="16:16" x14ac:dyDescent="0.15">
      <c r="P2312" s="4"/>
    </row>
    <row r="2313" spans="16:16" x14ac:dyDescent="0.15">
      <c r="P2313" s="4"/>
    </row>
    <row r="2314" spans="16:16" x14ac:dyDescent="0.15">
      <c r="P2314" s="4"/>
    </row>
    <row r="2315" spans="16:16" x14ac:dyDescent="0.15">
      <c r="P2315" s="4"/>
    </row>
    <row r="2316" spans="16:16" x14ac:dyDescent="0.15">
      <c r="P2316" s="4"/>
    </row>
    <row r="2317" spans="16:16" x14ac:dyDescent="0.15">
      <c r="P2317" s="4"/>
    </row>
    <row r="2318" spans="16:16" x14ac:dyDescent="0.15">
      <c r="P2318" s="4"/>
    </row>
    <row r="2319" spans="16:16" x14ac:dyDescent="0.15">
      <c r="P2319" s="4"/>
    </row>
    <row r="2320" spans="16:16" x14ac:dyDescent="0.15">
      <c r="P2320" s="4"/>
    </row>
    <row r="2321" spans="16:16" x14ac:dyDescent="0.15">
      <c r="P2321" s="5"/>
    </row>
    <row r="2322" spans="16:16" x14ac:dyDescent="0.15">
      <c r="P2322" s="4"/>
    </row>
    <row r="2323" spans="16:16" x14ac:dyDescent="0.15">
      <c r="P2323" s="4"/>
    </row>
    <row r="2324" spans="16:16" x14ac:dyDescent="0.15">
      <c r="P2324" s="4"/>
    </row>
    <row r="2325" spans="16:16" x14ac:dyDescent="0.15">
      <c r="P2325" s="4"/>
    </row>
    <row r="2326" spans="16:16" x14ac:dyDescent="0.15">
      <c r="P2326" s="4"/>
    </row>
    <row r="2327" spans="16:16" x14ac:dyDescent="0.15">
      <c r="P2327" s="4"/>
    </row>
    <row r="2328" spans="16:16" x14ac:dyDescent="0.15">
      <c r="P2328" s="4"/>
    </row>
    <row r="2329" spans="16:16" x14ac:dyDescent="0.15">
      <c r="P2329" s="4"/>
    </row>
    <row r="2330" spans="16:16" x14ac:dyDescent="0.15">
      <c r="P2330" s="4"/>
    </row>
    <row r="2331" spans="16:16" x14ac:dyDescent="0.15">
      <c r="P2331" s="4"/>
    </row>
    <row r="2332" spans="16:16" x14ac:dyDescent="0.15">
      <c r="P2332" s="5"/>
    </row>
    <row r="2333" spans="16:16" x14ac:dyDescent="0.15">
      <c r="P2333" s="5"/>
    </row>
    <row r="2334" spans="16:16" x14ac:dyDescent="0.15">
      <c r="P2334" s="4"/>
    </row>
    <row r="2335" spans="16:16" x14ac:dyDescent="0.15">
      <c r="P2335" s="4"/>
    </row>
    <row r="2336" spans="16:16" x14ac:dyDescent="0.15">
      <c r="P2336" s="5"/>
    </row>
    <row r="2337" spans="16:16" x14ac:dyDescent="0.15">
      <c r="P2337" s="4"/>
    </row>
    <row r="2338" spans="16:16" x14ac:dyDescent="0.15">
      <c r="P2338" s="4"/>
    </row>
    <row r="2339" spans="16:16" x14ac:dyDescent="0.15">
      <c r="P2339" s="5"/>
    </row>
    <row r="2340" spans="16:16" x14ac:dyDescent="0.15">
      <c r="P2340" s="4"/>
    </row>
    <row r="2341" spans="16:16" x14ac:dyDescent="0.15">
      <c r="P2341" s="4"/>
    </row>
    <row r="2342" spans="16:16" x14ac:dyDescent="0.15">
      <c r="P2342" s="4"/>
    </row>
    <row r="2343" spans="16:16" x14ac:dyDescent="0.15">
      <c r="P2343" s="4"/>
    </row>
    <row r="2344" spans="16:16" x14ac:dyDescent="0.15">
      <c r="P2344" s="4"/>
    </row>
    <row r="2345" spans="16:16" x14ac:dyDescent="0.15">
      <c r="P2345" s="5"/>
    </row>
    <row r="2346" spans="16:16" x14ac:dyDescent="0.15">
      <c r="P2346" s="4"/>
    </row>
    <row r="2347" spans="16:16" x14ac:dyDescent="0.15">
      <c r="P2347" s="4"/>
    </row>
    <row r="2348" spans="16:16" x14ac:dyDescent="0.15">
      <c r="P2348" s="4"/>
    </row>
    <row r="2349" spans="16:16" x14ac:dyDescent="0.15">
      <c r="P2349" s="4"/>
    </row>
    <row r="2350" spans="16:16" x14ac:dyDescent="0.15">
      <c r="P2350" s="4"/>
    </row>
    <row r="2351" spans="16:16" x14ac:dyDescent="0.15">
      <c r="P2351" s="4"/>
    </row>
    <row r="2352" spans="16:16" x14ac:dyDescent="0.15">
      <c r="P2352" s="4"/>
    </row>
    <row r="2353" spans="16:16" x14ac:dyDescent="0.15">
      <c r="P2353" s="4"/>
    </row>
    <row r="2354" spans="16:16" x14ac:dyDescent="0.15">
      <c r="P2354" s="4"/>
    </row>
    <row r="2355" spans="16:16" x14ac:dyDescent="0.15">
      <c r="P2355" s="4"/>
    </row>
    <row r="2356" spans="16:16" x14ac:dyDescent="0.15">
      <c r="P2356" s="4"/>
    </row>
    <row r="2357" spans="16:16" x14ac:dyDescent="0.15">
      <c r="P2357" s="4"/>
    </row>
    <row r="2358" spans="16:16" x14ac:dyDescent="0.15">
      <c r="P2358" s="4"/>
    </row>
    <row r="2359" spans="16:16" x14ac:dyDescent="0.15">
      <c r="P2359" s="4"/>
    </row>
    <row r="2360" spans="16:16" x14ac:dyDescent="0.15">
      <c r="P2360" s="4"/>
    </row>
    <row r="2361" spans="16:16" x14ac:dyDescent="0.15">
      <c r="P2361" s="4"/>
    </row>
    <row r="2362" spans="16:16" x14ac:dyDescent="0.15">
      <c r="P2362" s="4"/>
    </row>
    <row r="2363" spans="16:16" x14ac:dyDescent="0.15">
      <c r="P2363" s="4"/>
    </row>
    <row r="2364" spans="16:16" x14ac:dyDescent="0.15">
      <c r="P2364" s="4"/>
    </row>
    <row r="2365" spans="16:16" x14ac:dyDescent="0.15">
      <c r="P2365" s="4"/>
    </row>
    <row r="2366" spans="16:16" x14ac:dyDescent="0.15">
      <c r="P2366" s="5"/>
    </row>
    <row r="2367" spans="16:16" x14ac:dyDescent="0.15">
      <c r="P2367" s="4"/>
    </row>
    <row r="2368" spans="16:16" x14ac:dyDescent="0.15">
      <c r="P2368" s="4"/>
    </row>
    <row r="2369" spans="16:16" x14ac:dyDescent="0.15">
      <c r="P2369" s="4"/>
    </row>
    <row r="2370" spans="16:16" x14ac:dyDescent="0.15">
      <c r="P2370" s="4"/>
    </row>
    <row r="2371" spans="16:16" x14ac:dyDescent="0.15">
      <c r="P2371" s="4"/>
    </row>
    <row r="2372" spans="16:16" x14ac:dyDescent="0.15">
      <c r="P2372" s="4"/>
    </row>
    <row r="2373" spans="16:16" x14ac:dyDescent="0.15">
      <c r="P2373" s="4"/>
    </row>
    <row r="2374" spans="16:16" x14ac:dyDescent="0.15">
      <c r="P2374" s="5"/>
    </row>
    <row r="2375" spans="16:16" x14ac:dyDescent="0.15">
      <c r="P2375" s="4"/>
    </row>
    <row r="2376" spans="16:16" x14ac:dyDescent="0.15">
      <c r="P2376" s="4"/>
    </row>
    <row r="2377" spans="16:16" x14ac:dyDescent="0.15">
      <c r="P2377" s="4"/>
    </row>
    <row r="2378" spans="16:16" x14ac:dyDescent="0.15">
      <c r="P2378" s="4"/>
    </row>
    <row r="2379" spans="16:16" x14ac:dyDescent="0.15">
      <c r="P2379" s="4"/>
    </row>
    <row r="2380" spans="16:16" x14ac:dyDescent="0.15">
      <c r="P2380" s="4"/>
    </row>
    <row r="2381" spans="16:16" x14ac:dyDescent="0.15">
      <c r="P2381" s="4"/>
    </row>
    <row r="2382" spans="16:16" x14ac:dyDescent="0.15">
      <c r="P2382" s="4"/>
    </row>
    <row r="2383" spans="16:16" x14ac:dyDescent="0.15">
      <c r="P2383" s="4"/>
    </row>
    <row r="2384" spans="16:16" x14ac:dyDescent="0.15">
      <c r="P2384" s="4"/>
    </row>
    <row r="2385" spans="16:16" x14ac:dyDescent="0.15">
      <c r="P2385" s="4"/>
    </row>
    <row r="2386" spans="16:16" x14ac:dyDescent="0.15">
      <c r="P2386" s="4"/>
    </row>
    <row r="2387" spans="16:16" x14ac:dyDescent="0.15">
      <c r="P2387" s="4"/>
    </row>
    <row r="2388" spans="16:16" x14ac:dyDescent="0.15">
      <c r="P2388" s="4"/>
    </row>
    <row r="2389" spans="16:16" x14ac:dyDescent="0.15">
      <c r="P2389" s="4"/>
    </row>
    <row r="2390" spans="16:16" x14ac:dyDescent="0.15">
      <c r="P2390" s="4"/>
    </row>
    <row r="2391" spans="16:16" x14ac:dyDescent="0.15">
      <c r="P2391" s="4"/>
    </row>
    <row r="2392" spans="16:16" x14ac:dyDescent="0.15">
      <c r="P2392" s="4"/>
    </row>
    <row r="2393" spans="16:16" x14ac:dyDescent="0.15">
      <c r="P2393" s="4"/>
    </row>
    <row r="2394" spans="16:16" x14ac:dyDescent="0.15">
      <c r="P2394" s="4"/>
    </row>
    <row r="2395" spans="16:16" x14ac:dyDescent="0.15">
      <c r="P2395" s="4"/>
    </row>
    <row r="2396" spans="16:16" x14ac:dyDescent="0.15">
      <c r="P2396" s="4"/>
    </row>
    <row r="2397" spans="16:16" x14ac:dyDescent="0.15">
      <c r="P2397" s="4"/>
    </row>
    <row r="2398" spans="16:16" x14ac:dyDescent="0.15">
      <c r="P2398" s="5"/>
    </row>
    <row r="2399" spans="16:16" x14ac:dyDescent="0.15">
      <c r="P2399" s="5"/>
    </row>
    <row r="2400" spans="16:16" x14ac:dyDescent="0.15">
      <c r="P2400" s="4"/>
    </row>
    <row r="2401" spans="16:16" x14ac:dyDescent="0.15">
      <c r="P2401" s="4"/>
    </row>
    <row r="2402" spans="16:16" x14ac:dyDescent="0.15">
      <c r="P2402" s="4"/>
    </row>
    <row r="2403" spans="16:16" x14ac:dyDescent="0.15">
      <c r="P2403" s="5"/>
    </row>
    <row r="2404" spans="16:16" x14ac:dyDescent="0.15">
      <c r="P2404" s="4"/>
    </row>
    <row r="2405" spans="16:16" x14ac:dyDescent="0.15">
      <c r="P2405" s="4"/>
    </row>
    <row r="2406" spans="16:16" x14ac:dyDescent="0.15">
      <c r="P2406" s="4"/>
    </row>
    <row r="2407" spans="16:16" x14ac:dyDescent="0.15">
      <c r="P2407" s="4"/>
    </row>
    <row r="2408" spans="16:16" x14ac:dyDescent="0.15">
      <c r="P2408" s="4"/>
    </row>
    <row r="2409" spans="16:16" x14ac:dyDescent="0.15">
      <c r="P2409" s="4"/>
    </row>
    <row r="2410" spans="16:16" x14ac:dyDescent="0.15">
      <c r="P2410" s="4"/>
    </row>
    <row r="2411" spans="16:16" x14ac:dyDescent="0.15">
      <c r="P2411" s="4"/>
    </row>
    <row r="2412" spans="16:16" x14ac:dyDescent="0.15">
      <c r="P2412" s="4"/>
    </row>
    <row r="2413" spans="16:16" x14ac:dyDescent="0.15">
      <c r="P2413" s="4"/>
    </row>
    <row r="2414" spans="16:16" x14ac:dyDescent="0.15">
      <c r="P2414" s="5"/>
    </row>
    <row r="2415" spans="16:16" x14ac:dyDescent="0.15">
      <c r="P2415" s="4"/>
    </row>
    <row r="2416" spans="16:16" x14ac:dyDescent="0.15">
      <c r="P2416" s="4"/>
    </row>
    <row r="2417" spans="16:16" x14ac:dyDescent="0.15">
      <c r="P2417" s="4"/>
    </row>
    <row r="2418" spans="16:16" x14ac:dyDescent="0.15">
      <c r="P2418" s="4"/>
    </row>
    <row r="2419" spans="16:16" x14ac:dyDescent="0.15">
      <c r="P2419" s="4"/>
    </row>
    <row r="2420" spans="16:16" x14ac:dyDescent="0.15">
      <c r="P2420" s="4"/>
    </row>
    <row r="2421" spans="16:16" x14ac:dyDescent="0.15">
      <c r="P2421" s="4"/>
    </row>
    <row r="2422" spans="16:16" x14ac:dyDescent="0.15">
      <c r="P2422" s="4"/>
    </row>
    <row r="2423" spans="16:16" x14ac:dyDescent="0.15">
      <c r="P2423" s="4"/>
    </row>
    <row r="2424" spans="16:16" x14ac:dyDescent="0.15">
      <c r="P2424" s="4"/>
    </row>
    <row r="2425" spans="16:16" x14ac:dyDescent="0.15">
      <c r="P2425" s="4"/>
    </row>
    <row r="2426" spans="16:16" x14ac:dyDescent="0.15">
      <c r="P2426" s="4"/>
    </row>
    <row r="2427" spans="16:16" x14ac:dyDescent="0.15">
      <c r="P2427" s="4"/>
    </row>
    <row r="2428" spans="16:16" x14ac:dyDescent="0.15">
      <c r="P2428" s="4"/>
    </row>
    <row r="2429" spans="16:16" x14ac:dyDescent="0.15">
      <c r="P2429" s="4"/>
    </row>
    <row r="2430" spans="16:16" x14ac:dyDescent="0.15">
      <c r="P2430" s="4"/>
    </row>
    <row r="2431" spans="16:16" x14ac:dyDescent="0.15">
      <c r="P2431" s="4"/>
    </row>
    <row r="2432" spans="16:16" x14ac:dyDescent="0.15">
      <c r="P2432" s="4"/>
    </row>
    <row r="2433" spans="16:16" x14ac:dyDescent="0.15">
      <c r="P2433" s="4"/>
    </row>
    <row r="2434" spans="16:16" x14ac:dyDescent="0.15">
      <c r="P2434" s="5"/>
    </row>
    <row r="2435" spans="16:16" x14ac:dyDescent="0.15">
      <c r="P2435" s="4"/>
    </row>
    <row r="2436" spans="16:16" x14ac:dyDescent="0.15">
      <c r="P2436" s="4"/>
    </row>
    <row r="2437" spans="16:16" x14ac:dyDescent="0.15">
      <c r="P2437" s="4"/>
    </row>
    <row r="2438" spans="16:16" x14ac:dyDescent="0.15">
      <c r="P2438" s="4"/>
    </row>
    <row r="2439" spans="16:16" x14ac:dyDescent="0.15">
      <c r="P2439" s="4"/>
    </row>
    <row r="2440" spans="16:16" x14ac:dyDescent="0.15">
      <c r="P2440" s="4"/>
    </row>
    <row r="2441" spans="16:16" x14ac:dyDescent="0.15">
      <c r="P2441" s="4"/>
    </row>
    <row r="2442" spans="16:16" x14ac:dyDescent="0.15">
      <c r="P2442" s="4"/>
    </row>
    <row r="2443" spans="16:16" x14ac:dyDescent="0.15">
      <c r="P2443" s="4"/>
    </row>
    <row r="2444" spans="16:16" x14ac:dyDescent="0.15">
      <c r="P2444" s="4"/>
    </row>
    <row r="2445" spans="16:16" x14ac:dyDescent="0.15">
      <c r="P2445" s="4"/>
    </row>
    <row r="2446" spans="16:16" x14ac:dyDescent="0.15">
      <c r="P2446" s="4"/>
    </row>
    <row r="2447" spans="16:16" x14ac:dyDescent="0.15">
      <c r="P2447" s="4"/>
    </row>
    <row r="2448" spans="16:16" x14ac:dyDescent="0.15">
      <c r="P2448" s="4"/>
    </row>
    <row r="2449" spans="16:16" x14ac:dyDescent="0.15">
      <c r="P2449" s="4"/>
    </row>
    <row r="2450" spans="16:16" x14ac:dyDescent="0.15">
      <c r="P2450" s="4"/>
    </row>
    <row r="2451" spans="16:16" x14ac:dyDescent="0.15">
      <c r="P2451" s="4"/>
    </row>
    <row r="2452" spans="16:16" x14ac:dyDescent="0.15">
      <c r="P2452" s="5"/>
    </row>
    <row r="2453" spans="16:16" x14ac:dyDescent="0.15">
      <c r="P2453" s="4"/>
    </row>
    <row r="2454" spans="16:16" x14ac:dyDescent="0.15">
      <c r="P2454" s="4"/>
    </row>
    <row r="2455" spans="16:16" x14ac:dyDescent="0.15">
      <c r="P2455" s="4"/>
    </row>
    <row r="2456" spans="16:16" x14ac:dyDescent="0.15">
      <c r="P2456" s="4"/>
    </row>
    <row r="2457" spans="16:16" x14ac:dyDescent="0.15">
      <c r="P2457" s="4"/>
    </row>
    <row r="2458" spans="16:16" x14ac:dyDescent="0.15">
      <c r="P2458" s="4"/>
    </row>
    <row r="2459" spans="16:16" x14ac:dyDescent="0.15">
      <c r="P2459" s="4"/>
    </row>
    <row r="2460" spans="16:16" x14ac:dyDescent="0.15">
      <c r="P2460" s="4"/>
    </row>
    <row r="2461" spans="16:16" x14ac:dyDescent="0.15">
      <c r="P2461" s="4"/>
    </row>
    <row r="2462" spans="16:16" x14ac:dyDescent="0.15">
      <c r="P2462" s="4"/>
    </row>
    <row r="2463" spans="16:16" x14ac:dyDescent="0.15">
      <c r="P2463" s="4"/>
    </row>
    <row r="2464" spans="16:16" x14ac:dyDescent="0.15">
      <c r="P2464" s="4"/>
    </row>
    <row r="2465" spans="16:16" x14ac:dyDescent="0.15">
      <c r="P2465" s="4"/>
    </row>
    <row r="2466" spans="16:16" x14ac:dyDescent="0.15">
      <c r="P2466" s="4"/>
    </row>
    <row r="2467" spans="16:16" x14ac:dyDescent="0.15">
      <c r="P2467" s="4"/>
    </row>
    <row r="2468" spans="16:16" x14ac:dyDescent="0.15">
      <c r="P2468" s="4"/>
    </row>
    <row r="2469" spans="16:16" x14ac:dyDescent="0.15">
      <c r="P2469" s="4"/>
    </row>
    <row r="2470" spans="16:16" x14ac:dyDescent="0.15">
      <c r="P2470" s="4"/>
    </row>
    <row r="2471" spans="16:16" x14ac:dyDescent="0.15">
      <c r="P2471" s="4"/>
    </row>
    <row r="2472" spans="16:16" x14ac:dyDescent="0.15">
      <c r="P2472" s="4"/>
    </row>
    <row r="2473" spans="16:16" x14ac:dyDescent="0.15">
      <c r="P2473" s="4"/>
    </row>
    <row r="2474" spans="16:16" x14ac:dyDescent="0.15">
      <c r="P2474" s="4"/>
    </row>
    <row r="2475" spans="16:16" x14ac:dyDescent="0.15">
      <c r="P2475" s="4"/>
    </row>
    <row r="2476" spans="16:16" x14ac:dyDescent="0.15">
      <c r="P2476" s="4"/>
    </row>
    <row r="2477" spans="16:16" x14ac:dyDescent="0.15">
      <c r="P2477" s="4"/>
    </row>
    <row r="2478" spans="16:16" x14ac:dyDescent="0.15">
      <c r="P2478" s="4"/>
    </row>
    <row r="2479" spans="16:16" x14ac:dyDescent="0.15">
      <c r="P2479" s="4"/>
    </row>
    <row r="2480" spans="16:16" x14ac:dyDescent="0.15">
      <c r="P2480" s="4"/>
    </row>
    <row r="2481" spans="16:16" x14ac:dyDescent="0.15">
      <c r="P2481" s="4"/>
    </row>
    <row r="2482" spans="16:16" x14ac:dyDescent="0.15">
      <c r="P2482" s="5"/>
    </row>
    <row r="2483" spans="16:16" x14ac:dyDescent="0.15">
      <c r="P2483" s="4"/>
    </row>
    <row r="2484" spans="16:16" x14ac:dyDescent="0.15">
      <c r="P2484" s="4"/>
    </row>
    <row r="2485" spans="16:16" x14ac:dyDescent="0.15">
      <c r="P2485" s="4"/>
    </row>
    <row r="2486" spans="16:16" x14ac:dyDescent="0.15">
      <c r="P2486" s="4"/>
    </row>
    <row r="2487" spans="16:16" x14ac:dyDescent="0.15">
      <c r="P2487" s="4"/>
    </row>
    <row r="2488" spans="16:16" x14ac:dyDescent="0.15">
      <c r="P2488" s="4"/>
    </row>
    <row r="2489" spans="16:16" x14ac:dyDescent="0.15">
      <c r="P2489" s="4"/>
    </row>
    <row r="2490" spans="16:16" x14ac:dyDescent="0.15">
      <c r="P2490" s="5"/>
    </row>
    <row r="2491" spans="16:16" x14ac:dyDescent="0.15">
      <c r="P2491" s="4"/>
    </row>
    <row r="2492" spans="16:16" x14ac:dyDescent="0.15">
      <c r="P2492" s="4"/>
    </row>
    <row r="2493" spans="16:16" x14ac:dyDescent="0.15">
      <c r="P2493" s="4"/>
    </row>
    <row r="2494" spans="16:16" x14ac:dyDescent="0.15">
      <c r="P2494" s="4"/>
    </row>
    <row r="2495" spans="16:16" x14ac:dyDescent="0.15">
      <c r="P2495" s="4"/>
    </row>
    <row r="2496" spans="16:16" x14ac:dyDescent="0.15">
      <c r="P2496" s="4"/>
    </row>
    <row r="2497" spans="16:16" x14ac:dyDescent="0.15">
      <c r="P2497" s="4"/>
    </row>
    <row r="2498" spans="16:16" x14ac:dyDescent="0.15">
      <c r="P2498" s="4"/>
    </row>
    <row r="2499" spans="16:16" x14ac:dyDescent="0.15">
      <c r="P2499" s="4"/>
    </row>
    <row r="2500" spans="16:16" x14ac:dyDescent="0.15">
      <c r="P2500" s="4"/>
    </row>
    <row r="2501" spans="16:16" x14ac:dyDescent="0.15">
      <c r="P2501" s="4"/>
    </row>
    <row r="2502" spans="16:16" x14ac:dyDescent="0.15">
      <c r="P2502" s="4"/>
    </row>
    <row r="2503" spans="16:16" x14ac:dyDescent="0.15">
      <c r="P2503" s="4"/>
    </row>
    <row r="2504" spans="16:16" x14ac:dyDescent="0.15">
      <c r="P2504" s="4"/>
    </row>
    <row r="2505" spans="16:16" x14ac:dyDescent="0.15">
      <c r="P2505" s="5"/>
    </row>
    <row r="2506" spans="16:16" x14ac:dyDescent="0.15">
      <c r="P2506" s="4"/>
    </row>
    <row r="2507" spans="16:16" x14ac:dyDescent="0.15">
      <c r="P2507" s="4"/>
    </row>
    <row r="2508" spans="16:16" x14ac:dyDescent="0.15">
      <c r="P2508" s="5"/>
    </row>
    <row r="2509" spans="16:16" x14ac:dyDescent="0.15">
      <c r="P2509" s="4"/>
    </row>
    <row r="2510" spans="16:16" x14ac:dyDescent="0.15">
      <c r="P2510" s="4"/>
    </row>
    <row r="2511" spans="16:16" x14ac:dyDescent="0.15">
      <c r="P2511" s="4"/>
    </row>
    <row r="2512" spans="16:16" x14ac:dyDescent="0.15">
      <c r="P2512" s="4"/>
    </row>
    <row r="2513" spans="16:16" x14ac:dyDescent="0.15">
      <c r="P2513" s="4"/>
    </row>
    <row r="2514" spans="16:16" x14ac:dyDescent="0.15">
      <c r="P2514" s="5"/>
    </row>
    <row r="2515" spans="16:16" x14ac:dyDescent="0.15">
      <c r="P2515" s="4"/>
    </row>
    <row r="2516" spans="16:16" x14ac:dyDescent="0.15">
      <c r="P2516" s="4"/>
    </row>
    <row r="2517" spans="16:16" x14ac:dyDescent="0.15">
      <c r="P2517" s="4"/>
    </row>
    <row r="2518" spans="16:16" x14ac:dyDescent="0.15">
      <c r="P2518" s="5"/>
    </row>
    <row r="2519" spans="16:16" x14ac:dyDescent="0.15">
      <c r="P2519" s="4"/>
    </row>
    <row r="2520" spans="16:16" x14ac:dyDescent="0.15">
      <c r="P2520" s="4"/>
    </row>
    <row r="2521" spans="16:16" x14ac:dyDescent="0.15">
      <c r="P2521" s="4"/>
    </row>
    <row r="2522" spans="16:16" x14ac:dyDescent="0.15">
      <c r="P2522" s="4"/>
    </row>
    <row r="2523" spans="16:16" x14ac:dyDescent="0.15">
      <c r="P2523" s="4"/>
    </row>
    <row r="2524" spans="16:16" x14ac:dyDescent="0.15">
      <c r="P2524" s="4"/>
    </row>
    <row r="2525" spans="16:16" x14ac:dyDescent="0.15">
      <c r="P2525" s="4"/>
    </row>
    <row r="2526" spans="16:16" x14ac:dyDescent="0.15">
      <c r="P2526" s="4"/>
    </row>
    <row r="2527" spans="16:16" x14ac:dyDescent="0.15">
      <c r="P2527" s="4"/>
    </row>
    <row r="2528" spans="16:16" x14ac:dyDescent="0.15">
      <c r="P2528" s="4"/>
    </row>
    <row r="2529" spans="16:16" x14ac:dyDescent="0.15">
      <c r="P2529" s="4"/>
    </row>
    <row r="2530" spans="16:16" x14ac:dyDescent="0.15">
      <c r="P2530" s="5"/>
    </row>
    <row r="2531" spans="16:16" x14ac:dyDescent="0.15">
      <c r="P2531" s="4"/>
    </row>
    <row r="2532" spans="16:16" x14ac:dyDescent="0.15">
      <c r="P2532" s="4"/>
    </row>
    <row r="2533" spans="16:16" x14ac:dyDescent="0.15">
      <c r="P2533" s="4"/>
    </row>
    <row r="2534" spans="16:16" x14ac:dyDescent="0.15">
      <c r="P2534" s="4"/>
    </row>
    <row r="2535" spans="16:16" x14ac:dyDescent="0.15">
      <c r="P2535" s="5"/>
    </row>
    <row r="2536" spans="16:16" x14ac:dyDescent="0.15">
      <c r="P2536" s="4"/>
    </row>
    <row r="2537" spans="16:16" x14ac:dyDescent="0.15">
      <c r="P2537" s="5"/>
    </row>
    <row r="2538" spans="16:16" x14ac:dyDescent="0.15">
      <c r="P2538" s="4"/>
    </row>
    <row r="2539" spans="16:16" x14ac:dyDescent="0.15">
      <c r="P2539" s="4"/>
    </row>
    <row r="2540" spans="16:16" x14ac:dyDescent="0.15">
      <c r="P2540" s="4"/>
    </row>
    <row r="2541" spans="16:16" x14ac:dyDescent="0.15">
      <c r="P2541" s="4"/>
    </row>
    <row r="2542" spans="16:16" x14ac:dyDescent="0.15">
      <c r="P2542" s="4"/>
    </row>
    <row r="2543" spans="16:16" x14ac:dyDescent="0.15">
      <c r="P2543" s="4"/>
    </row>
    <row r="2544" spans="16:16" x14ac:dyDescent="0.15">
      <c r="P2544" s="4"/>
    </row>
    <row r="2545" spans="16:16" x14ac:dyDescent="0.15">
      <c r="P2545" s="4"/>
    </row>
    <row r="2546" spans="16:16" x14ac:dyDescent="0.15">
      <c r="P2546" s="5"/>
    </row>
    <row r="2547" spans="16:16" x14ac:dyDescent="0.15">
      <c r="P2547" s="5"/>
    </row>
    <row r="2548" spans="16:16" x14ac:dyDescent="0.15">
      <c r="P2548" s="5"/>
    </row>
    <row r="2549" spans="16:16" x14ac:dyDescent="0.15">
      <c r="P2549" s="4"/>
    </row>
    <row r="2550" spans="16:16" x14ac:dyDescent="0.15">
      <c r="P2550" s="4"/>
    </row>
    <row r="2551" spans="16:16" x14ac:dyDescent="0.15">
      <c r="P2551" s="4"/>
    </row>
    <row r="2552" spans="16:16" x14ac:dyDescent="0.15">
      <c r="P2552" s="4"/>
    </row>
    <row r="2553" spans="16:16" x14ac:dyDescent="0.15">
      <c r="P2553" s="4"/>
    </row>
    <row r="2554" spans="16:16" x14ac:dyDescent="0.15">
      <c r="P2554" s="4"/>
    </row>
    <row r="2555" spans="16:16" x14ac:dyDescent="0.15">
      <c r="P2555" s="4"/>
    </row>
    <row r="2556" spans="16:16" x14ac:dyDescent="0.15">
      <c r="P2556" s="5"/>
    </row>
    <row r="2557" spans="16:16" x14ac:dyDescent="0.15">
      <c r="P2557" s="4"/>
    </row>
    <row r="2558" spans="16:16" x14ac:dyDescent="0.15">
      <c r="P2558" s="4"/>
    </row>
    <row r="2559" spans="16:16" x14ac:dyDescent="0.15">
      <c r="P2559" s="4"/>
    </row>
    <row r="2560" spans="16:16" x14ac:dyDescent="0.15">
      <c r="P2560" s="4"/>
    </row>
    <row r="2561" spans="16:16" x14ac:dyDescent="0.15">
      <c r="P2561" s="4"/>
    </row>
    <row r="2562" spans="16:16" x14ac:dyDescent="0.15">
      <c r="P2562" s="4"/>
    </row>
    <row r="2563" spans="16:16" x14ac:dyDescent="0.15">
      <c r="P2563" s="4"/>
    </row>
    <row r="2564" spans="16:16" x14ac:dyDescent="0.15">
      <c r="P2564" s="4"/>
    </row>
    <row r="2565" spans="16:16" x14ac:dyDescent="0.15">
      <c r="P2565" s="4"/>
    </row>
    <row r="2566" spans="16:16" x14ac:dyDescent="0.15">
      <c r="P2566" s="4"/>
    </row>
    <row r="2567" spans="16:16" x14ac:dyDescent="0.15">
      <c r="P2567" s="4"/>
    </row>
    <row r="2568" spans="16:16" x14ac:dyDescent="0.15">
      <c r="P2568" s="4"/>
    </row>
    <row r="2569" spans="16:16" x14ac:dyDescent="0.15">
      <c r="P2569" s="4"/>
    </row>
    <row r="2570" spans="16:16" x14ac:dyDescent="0.15">
      <c r="P2570" s="4"/>
    </row>
    <row r="2571" spans="16:16" x14ac:dyDescent="0.15">
      <c r="P2571" s="4"/>
    </row>
    <row r="2572" spans="16:16" x14ac:dyDescent="0.15">
      <c r="P2572" s="4"/>
    </row>
    <row r="2573" spans="16:16" x14ac:dyDescent="0.15">
      <c r="P2573" s="4"/>
    </row>
    <row r="2574" spans="16:16" x14ac:dyDescent="0.15">
      <c r="P2574" s="4"/>
    </row>
    <row r="2575" spans="16:16" x14ac:dyDescent="0.15">
      <c r="P2575" s="4"/>
    </row>
    <row r="2576" spans="16:16" x14ac:dyDescent="0.15">
      <c r="P2576" s="4"/>
    </row>
    <row r="2577" spans="16:16" x14ac:dyDescent="0.15">
      <c r="P2577" s="4"/>
    </row>
    <row r="2578" spans="16:16" x14ac:dyDescent="0.15">
      <c r="P2578" s="4"/>
    </row>
    <row r="2579" spans="16:16" x14ac:dyDescent="0.15">
      <c r="P2579" s="4"/>
    </row>
    <row r="2580" spans="16:16" x14ac:dyDescent="0.15">
      <c r="P2580" s="4"/>
    </row>
    <row r="2581" spans="16:16" x14ac:dyDescent="0.15">
      <c r="P2581" s="4"/>
    </row>
    <row r="2582" spans="16:16" x14ac:dyDescent="0.15">
      <c r="P2582" s="4"/>
    </row>
    <row r="2583" spans="16:16" x14ac:dyDescent="0.15">
      <c r="P2583" s="4"/>
    </row>
    <row r="2584" spans="16:16" x14ac:dyDescent="0.15">
      <c r="P2584" s="4"/>
    </row>
    <row r="2585" spans="16:16" x14ac:dyDescent="0.15">
      <c r="P2585" s="4"/>
    </row>
    <row r="2586" spans="16:16" x14ac:dyDescent="0.15">
      <c r="P2586" s="4"/>
    </row>
    <row r="2587" spans="16:16" x14ac:dyDescent="0.15">
      <c r="P2587" s="4"/>
    </row>
    <row r="2588" spans="16:16" x14ac:dyDescent="0.15">
      <c r="P2588" s="4"/>
    </row>
    <row r="2589" spans="16:16" x14ac:dyDescent="0.15">
      <c r="P2589" s="4"/>
    </row>
    <row r="2590" spans="16:16" x14ac:dyDescent="0.15">
      <c r="P2590" s="4"/>
    </row>
    <row r="2591" spans="16:16" x14ac:dyDescent="0.15">
      <c r="P2591" s="4"/>
    </row>
    <row r="2592" spans="16:16" x14ac:dyDescent="0.15">
      <c r="P2592" s="4"/>
    </row>
    <row r="2593" spans="16:16" x14ac:dyDescent="0.15">
      <c r="P2593" s="4"/>
    </row>
    <row r="2594" spans="16:16" x14ac:dyDescent="0.15">
      <c r="P2594" s="4"/>
    </row>
    <row r="2595" spans="16:16" x14ac:dyDescent="0.15">
      <c r="P2595" s="4"/>
    </row>
    <row r="2596" spans="16:16" x14ac:dyDescent="0.15">
      <c r="P2596" s="4"/>
    </row>
    <row r="2597" spans="16:16" x14ac:dyDescent="0.15">
      <c r="P2597" s="4"/>
    </row>
    <row r="2598" spans="16:16" x14ac:dyDescent="0.15">
      <c r="P2598" s="4"/>
    </row>
    <row r="2599" spans="16:16" x14ac:dyDescent="0.15">
      <c r="P2599" s="4"/>
    </row>
    <row r="2600" spans="16:16" x14ac:dyDescent="0.15">
      <c r="P2600" s="4"/>
    </row>
    <row r="2601" spans="16:16" x14ac:dyDescent="0.15">
      <c r="P2601" s="4"/>
    </row>
    <row r="2602" spans="16:16" x14ac:dyDescent="0.15">
      <c r="P2602" s="4"/>
    </row>
    <row r="2603" spans="16:16" x14ac:dyDescent="0.15">
      <c r="P2603" s="4"/>
    </row>
    <row r="2604" spans="16:16" x14ac:dyDescent="0.15">
      <c r="P2604" s="4"/>
    </row>
    <row r="2605" spans="16:16" x14ac:dyDescent="0.15">
      <c r="P2605" s="4"/>
    </row>
    <row r="2606" spans="16:16" x14ac:dyDescent="0.15">
      <c r="P2606" s="4"/>
    </row>
    <row r="2607" spans="16:16" x14ac:dyDescent="0.15">
      <c r="P2607" s="4"/>
    </row>
    <row r="2608" spans="16:16" x14ac:dyDescent="0.15">
      <c r="P2608" s="4"/>
    </row>
    <row r="2609" spans="16:16" x14ac:dyDescent="0.15">
      <c r="P2609" s="4"/>
    </row>
    <row r="2610" spans="16:16" x14ac:dyDescent="0.15">
      <c r="P2610" s="4"/>
    </row>
    <row r="2611" spans="16:16" x14ac:dyDescent="0.15">
      <c r="P2611" s="4"/>
    </row>
    <row r="2612" spans="16:16" x14ac:dyDescent="0.15">
      <c r="P2612" s="4"/>
    </row>
    <row r="2613" spans="16:16" x14ac:dyDescent="0.15">
      <c r="P2613" s="4"/>
    </row>
    <row r="2614" spans="16:16" x14ac:dyDescent="0.15">
      <c r="P2614" s="4"/>
    </row>
    <row r="2615" spans="16:16" x14ac:dyDescent="0.15">
      <c r="P2615" s="4"/>
    </row>
    <row r="2616" spans="16:16" x14ac:dyDescent="0.15">
      <c r="P2616" s="4"/>
    </row>
    <row r="2617" spans="16:16" x14ac:dyDescent="0.15">
      <c r="P2617" s="4"/>
    </row>
    <row r="2618" spans="16:16" x14ac:dyDescent="0.15">
      <c r="P2618" s="4"/>
    </row>
    <row r="2619" spans="16:16" x14ac:dyDescent="0.15">
      <c r="P2619" s="4"/>
    </row>
    <row r="2620" spans="16:16" x14ac:dyDescent="0.15">
      <c r="P2620" s="4"/>
    </row>
    <row r="2621" spans="16:16" x14ac:dyDescent="0.15">
      <c r="P2621" s="4"/>
    </row>
    <row r="2622" spans="16:16" x14ac:dyDescent="0.15">
      <c r="P2622" s="4"/>
    </row>
    <row r="2623" spans="16:16" x14ac:dyDescent="0.15">
      <c r="P2623" s="4"/>
    </row>
    <row r="2624" spans="16:16" x14ac:dyDescent="0.15">
      <c r="P2624" s="4"/>
    </row>
    <row r="2625" spans="16:16" x14ac:dyDescent="0.15">
      <c r="P2625" s="4"/>
    </row>
    <row r="2626" spans="16:16" x14ac:dyDescent="0.15">
      <c r="P2626" s="4"/>
    </row>
    <row r="2627" spans="16:16" x14ac:dyDescent="0.15">
      <c r="P2627" s="4"/>
    </row>
    <row r="2628" spans="16:16" x14ac:dyDescent="0.15">
      <c r="P2628" s="4"/>
    </row>
    <row r="2629" spans="16:16" x14ac:dyDescent="0.15">
      <c r="P2629" s="4"/>
    </row>
    <row r="2630" spans="16:16" x14ac:dyDescent="0.15">
      <c r="P2630" s="4"/>
    </row>
    <row r="2631" spans="16:16" x14ac:dyDescent="0.15">
      <c r="P2631" s="4"/>
    </row>
    <row r="2632" spans="16:16" x14ac:dyDescent="0.15">
      <c r="P2632" s="4"/>
    </row>
    <row r="2633" spans="16:16" x14ac:dyDescent="0.15">
      <c r="P2633" s="4"/>
    </row>
    <row r="2634" spans="16:16" x14ac:dyDescent="0.15">
      <c r="P2634" s="4"/>
    </row>
    <row r="2635" spans="16:16" x14ac:dyDescent="0.15">
      <c r="P2635" s="4"/>
    </row>
    <row r="2636" spans="16:16" x14ac:dyDescent="0.15">
      <c r="P2636" s="4"/>
    </row>
    <row r="2637" spans="16:16" x14ac:dyDescent="0.15">
      <c r="P2637" s="4"/>
    </row>
    <row r="2638" spans="16:16" x14ac:dyDescent="0.15">
      <c r="P2638" s="4"/>
    </row>
    <row r="2639" spans="16:16" x14ac:dyDescent="0.15">
      <c r="P2639" s="4"/>
    </row>
    <row r="2640" spans="16:16" x14ac:dyDescent="0.15">
      <c r="P2640" s="4"/>
    </row>
    <row r="2641" spans="16:16" x14ac:dyDescent="0.15">
      <c r="P2641" s="4"/>
    </row>
    <row r="2642" spans="16:16" x14ac:dyDescent="0.15">
      <c r="P2642" s="4"/>
    </row>
    <row r="2643" spans="16:16" x14ac:dyDescent="0.15">
      <c r="P2643" s="4"/>
    </row>
    <row r="2644" spans="16:16" x14ac:dyDescent="0.15">
      <c r="P2644" s="4"/>
    </row>
    <row r="2645" spans="16:16" x14ac:dyDescent="0.15">
      <c r="P2645" s="4"/>
    </row>
    <row r="2646" spans="16:16" x14ac:dyDescent="0.15">
      <c r="P2646" s="4"/>
    </row>
    <row r="2647" spans="16:16" x14ac:dyDescent="0.15">
      <c r="P2647" s="4"/>
    </row>
    <row r="2648" spans="16:16" x14ac:dyDescent="0.15">
      <c r="P2648" s="4"/>
    </row>
    <row r="2649" spans="16:16" x14ac:dyDescent="0.15">
      <c r="P2649" s="4"/>
    </row>
    <row r="2650" spans="16:16" x14ac:dyDescent="0.15">
      <c r="P2650" s="4"/>
    </row>
    <row r="2651" spans="16:16" x14ac:dyDescent="0.15">
      <c r="P2651" s="4"/>
    </row>
    <row r="2652" spans="16:16" x14ac:dyDescent="0.15">
      <c r="P2652" s="4"/>
    </row>
    <row r="2653" spans="16:16" x14ac:dyDescent="0.15">
      <c r="P2653" s="4"/>
    </row>
    <row r="2654" spans="16:16" x14ac:dyDescent="0.15">
      <c r="P2654" s="4"/>
    </row>
    <row r="2655" spans="16:16" x14ac:dyDescent="0.15">
      <c r="P2655" s="4"/>
    </row>
    <row r="2656" spans="16:16" x14ac:dyDescent="0.15">
      <c r="P2656" s="4"/>
    </row>
    <row r="2657" spans="16:16" x14ac:dyDescent="0.15">
      <c r="P2657" s="4"/>
    </row>
    <row r="2658" spans="16:16" x14ac:dyDescent="0.15">
      <c r="P2658" s="4"/>
    </row>
    <row r="2659" spans="16:16" x14ac:dyDescent="0.15">
      <c r="P2659" s="4"/>
    </row>
    <row r="2660" spans="16:16" x14ac:dyDescent="0.15">
      <c r="P2660" s="4"/>
    </row>
    <row r="2661" spans="16:16" x14ac:dyDescent="0.15">
      <c r="P2661" s="4"/>
    </row>
    <row r="2662" spans="16:16" x14ac:dyDescent="0.15">
      <c r="P2662" s="4"/>
    </row>
    <row r="2663" spans="16:16" x14ac:dyDescent="0.15">
      <c r="P2663" s="4"/>
    </row>
    <row r="2664" spans="16:16" x14ac:dyDescent="0.15">
      <c r="P2664" s="4"/>
    </row>
    <row r="2665" spans="16:16" x14ac:dyDescent="0.15">
      <c r="P2665" s="4"/>
    </row>
    <row r="2666" spans="16:16" x14ac:dyDescent="0.15">
      <c r="P2666" s="4"/>
    </row>
    <row r="2667" spans="16:16" x14ac:dyDescent="0.15">
      <c r="P2667" s="4"/>
    </row>
    <row r="2668" spans="16:16" x14ac:dyDescent="0.15">
      <c r="P2668" s="4"/>
    </row>
    <row r="2669" spans="16:16" x14ac:dyDescent="0.15">
      <c r="P2669" s="4"/>
    </row>
    <row r="2670" spans="16:16" x14ac:dyDescent="0.15">
      <c r="P2670" s="4"/>
    </row>
    <row r="2671" spans="16:16" x14ac:dyDescent="0.15">
      <c r="P2671" s="4"/>
    </row>
    <row r="2672" spans="16:16" x14ac:dyDescent="0.15">
      <c r="P2672" s="4"/>
    </row>
    <row r="2673" spans="16:16" x14ac:dyDescent="0.15">
      <c r="P2673" s="4"/>
    </row>
    <row r="2674" spans="16:16" x14ac:dyDescent="0.15">
      <c r="P2674" s="4"/>
    </row>
    <row r="2675" spans="16:16" x14ac:dyDescent="0.15">
      <c r="P2675" s="4"/>
    </row>
    <row r="2676" spans="16:16" x14ac:dyDescent="0.15">
      <c r="P2676" s="4"/>
    </row>
    <row r="2677" spans="16:16" x14ac:dyDescent="0.15">
      <c r="P2677" s="4"/>
    </row>
    <row r="2678" spans="16:16" x14ac:dyDescent="0.15">
      <c r="P2678" s="4"/>
    </row>
    <row r="2679" spans="16:16" x14ac:dyDescent="0.15">
      <c r="P2679" s="4"/>
    </row>
    <row r="2680" spans="16:16" x14ac:dyDescent="0.15">
      <c r="P2680" s="4"/>
    </row>
    <row r="2681" spans="16:16" x14ac:dyDescent="0.15">
      <c r="P2681" s="4"/>
    </row>
    <row r="2682" spans="16:16" x14ac:dyDescent="0.15">
      <c r="P2682" s="4"/>
    </row>
    <row r="2683" spans="16:16" x14ac:dyDescent="0.15">
      <c r="P2683" s="4"/>
    </row>
    <row r="2684" spans="16:16" x14ac:dyDescent="0.15">
      <c r="P2684" s="4"/>
    </row>
    <row r="2685" spans="16:16" x14ac:dyDescent="0.15">
      <c r="P2685" s="4"/>
    </row>
    <row r="2686" spans="16:16" x14ac:dyDescent="0.15">
      <c r="P2686" s="4"/>
    </row>
    <row r="2687" spans="16:16" x14ac:dyDescent="0.15">
      <c r="P2687" s="4"/>
    </row>
    <row r="2688" spans="16:16" x14ac:dyDescent="0.15">
      <c r="P2688" s="4"/>
    </row>
    <row r="2689" spans="16:16" x14ac:dyDescent="0.15">
      <c r="P2689" s="4"/>
    </row>
    <row r="2690" spans="16:16" x14ac:dyDescent="0.15">
      <c r="P2690" s="4"/>
    </row>
    <row r="2691" spans="16:16" x14ac:dyDescent="0.15">
      <c r="P2691" s="4"/>
    </row>
    <row r="2692" spans="16:16" x14ac:dyDescent="0.15">
      <c r="P2692" s="4"/>
    </row>
    <row r="2693" spans="16:16" x14ac:dyDescent="0.15">
      <c r="P2693" s="4"/>
    </row>
    <row r="2694" spans="16:16" x14ac:dyDescent="0.15">
      <c r="P2694" s="4"/>
    </row>
    <row r="2695" spans="16:16" x14ac:dyDescent="0.15">
      <c r="P2695" s="4"/>
    </row>
    <row r="2696" spans="16:16" x14ac:dyDescent="0.15">
      <c r="P2696" s="4"/>
    </row>
    <row r="2697" spans="16:16" x14ac:dyDescent="0.15">
      <c r="P2697" s="4"/>
    </row>
    <row r="2698" spans="16:16" x14ac:dyDescent="0.15">
      <c r="P2698" s="4"/>
    </row>
    <row r="2699" spans="16:16" x14ac:dyDescent="0.15">
      <c r="P2699" s="4"/>
    </row>
    <row r="2700" spans="16:16" x14ac:dyDescent="0.15">
      <c r="P2700" s="4"/>
    </row>
    <row r="2701" spans="16:16" x14ac:dyDescent="0.15">
      <c r="P2701" s="4"/>
    </row>
    <row r="2702" spans="16:16" x14ac:dyDescent="0.15">
      <c r="P2702" s="4"/>
    </row>
    <row r="2703" spans="16:16" x14ac:dyDescent="0.15">
      <c r="P2703" s="4"/>
    </row>
    <row r="2704" spans="16:16" x14ac:dyDescent="0.15">
      <c r="P2704" s="4"/>
    </row>
    <row r="2705" spans="16:16" x14ac:dyDescent="0.15">
      <c r="P2705" s="4"/>
    </row>
    <row r="2706" spans="16:16" x14ac:dyDescent="0.15">
      <c r="P2706" s="4"/>
    </row>
    <row r="2707" spans="16:16" x14ac:dyDescent="0.15">
      <c r="P2707" s="4"/>
    </row>
    <row r="2708" spans="16:16" x14ac:dyDescent="0.15">
      <c r="P2708" s="4"/>
    </row>
    <row r="2709" spans="16:16" x14ac:dyDescent="0.15">
      <c r="P2709" s="4"/>
    </row>
    <row r="2710" spans="16:16" x14ac:dyDescent="0.15">
      <c r="P2710" s="4"/>
    </row>
    <row r="2711" spans="16:16" x14ac:dyDescent="0.15">
      <c r="P2711" s="4"/>
    </row>
    <row r="2712" spans="16:16" x14ac:dyDescent="0.15">
      <c r="P2712" s="4"/>
    </row>
    <row r="2713" spans="16:16" x14ac:dyDescent="0.15">
      <c r="P2713" s="4"/>
    </row>
    <row r="2714" spans="16:16" x14ac:dyDescent="0.15">
      <c r="P2714" s="4"/>
    </row>
    <row r="2715" spans="16:16" x14ac:dyDescent="0.15">
      <c r="P2715" s="4"/>
    </row>
    <row r="2716" spans="16:16" x14ac:dyDescent="0.15">
      <c r="P2716" s="4"/>
    </row>
    <row r="2717" spans="16:16" x14ac:dyDescent="0.15">
      <c r="P2717" s="4"/>
    </row>
    <row r="2718" spans="16:16" x14ac:dyDescent="0.15">
      <c r="P2718" s="4"/>
    </row>
    <row r="2719" spans="16:16" x14ac:dyDescent="0.15">
      <c r="P2719" s="4"/>
    </row>
    <row r="2720" spans="16:16" x14ac:dyDescent="0.15">
      <c r="P2720" s="4"/>
    </row>
    <row r="2721" spans="16:16" x14ac:dyDescent="0.15">
      <c r="P2721" s="4"/>
    </row>
    <row r="2722" spans="16:16" x14ac:dyDescent="0.15">
      <c r="P2722" s="4"/>
    </row>
    <row r="2723" spans="16:16" x14ac:dyDescent="0.15">
      <c r="P2723" s="4"/>
    </row>
    <row r="2724" spans="16:16" x14ac:dyDescent="0.15">
      <c r="P2724" s="4"/>
    </row>
    <row r="2725" spans="16:16" x14ac:dyDescent="0.15">
      <c r="P2725" s="4"/>
    </row>
    <row r="2726" spans="16:16" x14ac:dyDescent="0.15">
      <c r="P2726" s="4"/>
    </row>
    <row r="2727" spans="16:16" x14ac:dyDescent="0.15">
      <c r="P2727" s="4"/>
    </row>
    <row r="2728" spans="16:16" x14ac:dyDescent="0.15">
      <c r="P2728" s="4"/>
    </row>
    <row r="2729" spans="16:16" x14ac:dyDescent="0.15">
      <c r="P2729" s="4"/>
    </row>
    <row r="2730" spans="16:16" x14ac:dyDescent="0.15">
      <c r="P2730" s="4"/>
    </row>
    <row r="2731" spans="16:16" x14ac:dyDescent="0.15">
      <c r="P2731" s="4"/>
    </row>
    <row r="2732" spans="16:16" x14ac:dyDescent="0.15">
      <c r="P2732" s="4"/>
    </row>
    <row r="2733" spans="16:16" x14ac:dyDescent="0.15">
      <c r="P2733" s="4"/>
    </row>
    <row r="2734" spans="16:16" x14ac:dyDescent="0.15">
      <c r="P2734" s="4"/>
    </row>
    <row r="2735" spans="16:16" x14ac:dyDescent="0.15">
      <c r="P2735" s="4"/>
    </row>
    <row r="2736" spans="16:16" x14ac:dyDescent="0.15">
      <c r="P2736" s="4"/>
    </row>
    <row r="2737" spans="16:16" x14ac:dyDescent="0.15">
      <c r="P2737" s="4"/>
    </row>
    <row r="2738" spans="16:16" x14ac:dyDescent="0.15">
      <c r="P2738" s="4"/>
    </row>
    <row r="2739" spans="16:16" x14ac:dyDescent="0.15">
      <c r="P2739" s="4"/>
    </row>
    <row r="2740" spans="16:16" x14ac:dyDescent="0.15">
      <c r="P2740" s="4"/>
    </row>
    <row r="2741" spans="16:16" x14ac:dyDescent="0.15">
      <c r="P2741" s="4"/>
    </row>
    <row r="2742" spans="16:16" x14ac:dyDescent="0.15">
      <c r="P2742" s="4"/>
    </row>
    <row r="2743" spans="16:16" x14ac:dyDescent="0.15">
      <c r="P2743" s="4"/>
    </row>
    <row r="2744" spans="16:16" x14ac:dyDescent="0.15">
      <c r="P2744" s="4"/>
    </row>
    <row r="2745" spans="16:16" x14ac:dyDescent="0.15">
      <c r="P2745" s="4"/>
    </row>
    <row r="2746" spans="16:16" x14ac:dyDescent="0.15">
      <c r="P2746" s="4"/>
    </row>
    <row r="2747" spans="16:16" x14ac:dyDescent="0.15">
      <c r="P2747" s="4"/>
    </row>
    <row r="2748" spans="16:16" x14ac:dyDescent="0.15">
      <c r="P2748" s="4"/>
    </row>
    <row r="2749" spans="16:16" x14ac:dyDescent="0.15">
      <c r="P2749" s="4"/>
    </row>
    <row r="2750" spans="16:16" x14ac:dyDescent="0.15">
      <c r="P2750" s="4"/>
    </row>
    <row r="2751" spans="16:16" x14ac:dyDescent="0.15">
      <c r="P2751" s="4"/>
    </row>
    <row r="2752" spans="16:16" x14ac:dyDescent="0.15">
      <c r="P2752" s="4"/>
    </row>
    <row r="2753" spans="16:16" x14ac:dyDescent="0.15">
      <c r="P2753" s="4"/>
    </row>
    <row r="2754" spans="16:16" x14ac:dyDescent="0.15">
      <c r="P2754" s="4"/>
    </row>
    <row r="2755" spans="16:16" x14ac:dyDescent="0.15">
      <c r="P2755" s="4"/>
    </row>
    <row r="2756" spans="16:16" x14ac:dyDescent="0.15">
      <c r="P2756" s="4"/>
    </row>
    <row r="2757" spans="16:16" x14ac:dyDescent="0.15">
      <c r="P2757" s="4"/>
    </row>
    <row r="2758" spans="16:16" x14ac:dyDescent="0.15">
      <c r="P2758" s="4"/>
    </row>
    <row r="2759" spans="16:16" x14ac:dyDescent="0.15">
      <c r="P2759" s="4"/>
    </row>
    <row r="2760" spans="16:16" x14ac:dyDescent="0.15">
      <c r="P2760" s="4"/>
    </row>
    <row r="2761" spans="16:16" x14ac:dyDescent="0.15">
      <c r="P2761" s="4"/>
    </row>
    <row r="2762" spans="16:16" x14ac:dyDescent="0.15">
      <c r="P2762" s="4"/>
    </row>
    <row r="2763" spans="16:16" x14ac:dyDescent="0.15">
      <c r="P2763" s="4"/>
    </row>
    <row r="2764" spans="16:16" x14ac:dyDescent="0.15">
      <c r="P2764" s="4"/>
    </row>
    <row r="2765" spans="16:16" x14ac:dyDescent="0.15">
      <c r="P2765" s="4"/>
    </row>
    <row r="2766" spans="16:16" x14ac:dyDescent="0.15">
      <c r="P2766" s="4"/>
    </row>
    <row r="2767" spans="16:16" x14ac:dyDescent="0.15">
      <c r="P2767" s="4"/>
    </row>
    <row r="2768" spans="16:16" x14ac:dyDescent="0.15">
      <c r="P2768" s="4"/>
    </row>
    <row r="2769" spans="16:16" x14ac:dyDescent="0.15">
      <c r="P2769" s="4"/>
    </row>
    <row r="2770" spans="16:16" x14ac:dyDescent="0.15">
      <c r="P2770" s="4"/>
    </row>
    <row r="2771" spans="16:16" x14ac:dyDescent="0.15">
      <c r="P2771" s="4"/>
    </row>
    <row r="2772" spans="16:16" x14ac:dyDescent="0.15">
      <c r="P2772" s="4"/>
    </row>
    <row r="2773" spans="16:16" x14ac:dyDescent="0.15">
      <c r="P2773" s="4"/>
    </row>
    <row r="2774" spans="16:16" x14ac:dyDescent="0.15">
      <c r="P2774" s="4"/>
    </row>
    <row r="2775" spans="16:16" x14ac:dyDescent="0.15">
      <c r="P2775" s="4"/>
    </row>
    <row r="2776" spans="16:16" x14ac:dyDescent="0.15">
      <c r="P2776" s="4"/>
    </row>
    <row r="2777" spans="16:16" x14ac:dyDescent="0.15">
      <c r="P2777" s="4"/>
    </row>
    <row r="2778" spans="16:16" x14ac:dyDescent="0.15">
      <c r="P2778" s="4"/>
    </row>
    <row r="2779" spans="16:16" x14ac:dyDescent="0.15">
      <c r="P2779" s="4"/>
    </row>
    <row r="2780" spans="16:16" x14ac:dyDescent="0.15">
      <c r="P2780" s="4"/>
    </row>
    <row r="2781" spans="16:16" x14ac:dyDescent="0.15">
      <c r="P2781" s="4"/>
    </row>
    <row r="2782" spans="16:16" x14ac:dyDescent="0.15">
      <c r="P2782" s="4"/>
    </row>
    <row r="2783" spans="16:16" x14ac:dyDescent="0.15">
      <c r="P2783" s="4"/>
    </row>
    <row r="2784" spans="16:16" x14ac:dyDescent="0.15">
      <c r="P2784" s="4"/>
    </row>
    <row r="2785" spans="16:16" x14ac:dyDescent="0.15">
      <c r="P2785" s="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58"/>
  <sheetViews>
    <sheetView tabSelected="1" topLeftCell="B1" workbookViewId="0">
      <selection activeCell="D4" sqref="D4"/>
    </sheetView>
  </sheetViews>
  <sheetFormatPr defaultColWidth="8.75" defaultRowHeight="14.25" x14ac:dyDescent="0.15"/>
  <cols>
    <col min="1" max="1" width="10" style="6" bestFit="1" customWidth="1"/>
    <col min="2" max="2" width="6" style="6" bestFit="1" customWidth="1"/>
    <col min="3" max="3" width="13.5" style="6" bestFit="1" customWidth="1"/>
    <col min="4" max="4" width="11.125" style="6" bestFit="1" customWidth="1"/>
    <col min="5" max="5" width="10.5" style="6" bestFit="1" customWidth="1"/>
    <col min="6" max="6" width="11.125" style="6" bestFit="1" customWidth="1"/>
    <col min="7" max="7" width="10.5" style="6" bestFit="1" customWidth="1"/>
    <col min="8" max="8" width="6" style="6" bestFit="1" customWidth="1"/>
    <col min="9" max="9" width="12.375" style="6" bestFit="1" customWidth="1"/>
    <col min="10" max="10" width="8.25" style="6" bestFit="1" customWidth="1"/>
    <col min="11" max="16384" width="8.75" style="6"/>
  </cols>
  <sheetData>
    <row r="1" spans="1:10" x14ac:dyDescent="0.15">
      <c r="A1" s="9" t="s">
        <v>189</v>
      </c>
      <c r="B1" s="9" t="s">
        <v>190</v>
      </c>
      <c r="C1" s="9" t="s">
        <v>191</v>
      </c>
      <c r="D1" s="10" t="s">
        <v>192</v>
      </c>
      <c r="E1" s="9" t="s">
        <v>193</v>
      </c>
      <c r="F1" s="10" t="s">
        <v>194</v>
      </c>
      <c r="G1" s="10" t="s">
        <v>195</v>
      </c>
      <c r="H1" s="9" t="s">
        <v>196</v>
      </c>
      <c r="I1" s="10" t="s">
        <v>197</v>
      </c>
      <c r="J1" s="9" t="s">
        <v>198</v>
      </c>
    </row>
    <row r="2" spans="1:10" x14ac:dyDescent="0.15">
      <c r="A2" s="11">
        <v>38842</v>
      </c>
      <c r="B2" s="12" t="s">
        <v>205</v>
      </c>
      <c r="C2" s="12" t="s">
        <v>211</v>
      </c>
      <c r="D2" s="13">
        <v>2988</v>
      </c>
      <c r="E2" s="12" t="s">
        <v>212</v>
      </c>
      <c r="F2" s="13">
        <v>2988</v>
      </c>
      <c r="G2" s="14">
        <f>(D2-F2)/D2</f>
        <v>0</v>
      </c>
      <c r="H2" s="12">
        <v>0</v>
      </c>
      <c r="I2" s="13">
        <f>F2*H2</f>
        <v>0</v>
      </c>
      <c r="J2" s="12" t="s">
        <v>216</v>
      </c>
    </row>
    <row r="3" spans="1:10" x14ac:dyDescent="0.15">
      <c r="A3" s="11">
        <v>38844</v>
      </c>
      <c r="B3" s="12" t="s">
        <v>205</v>
      </c>
      <c r="C3" s="12" t="s">
        <v>211</v>
      </c>
      <c r="D3" s="13">
        <v>2988</v>
      </c>
      <c r="E3" s="12" t="s">
        <v>212</v>
      </c>
      <c r="F3" s="13">
        <v>2988</v>
      </c>
      <c r="G3" s="14">
        <f>(D3-F3)/D3</f>
        <v>0</v>
      </c>
      <c r="H3" s="12">
        <v>0</v>
      </c>
      <c r="I3" s="13">
        <f>F3*H3</f>
        <v>0</v>
      </c>
      <c r="J3" s="12" t="s">
        <v>216</v>
      </c>
    </row>
    <row r="4" spans="1:10" hidden="1" x14ac:dyDescent="0.15">
      <c r="A4" s="11">
        <v>38844</v>
      </c>
      <c r="B4" s="12" t="s">
        <v>205</v>
      </c>
      <c r="C4" s="12" t="s">
        <v>217</v>
      </c>
      <c r="D4" s="13">
        <v>3688</v>
      </c>
      <c r="E4" s="12" t="s">
        <v>201</v>
      </c>
      <c r="F4" s="13">
        <v>2988</v>
      </c>
      <c r="G4" s="14">
        <f>(D4-F4)/D4</f>
        <v>0.18980477223427331</v>
      </c>
      <c r="H4" s="12">
        <v>0</v>
      </c>
      <c r="I4" s="13">
        <f>F4*H4</f>
        <v>0</v>
      </c>
      <c r="J4" s="12" t="s">
        <v>218</v>
      </c>
    </row>
    <row r="5" spans="1:10" x14ac:dyDescent="0.15">
      <c r="A5" s="11">
        <v>38838</v>
      </c>
      <c r="B5" s="12" t="s">
        <v>205</v>
      </c>
      <c r="C5" s="12" t="s">
        <v>211</v>
      </c>
      <c r="D5" s="13">
        <v>2988</v>
      </c>
      <c r="E5" s="12" t="s">
        <v>212</v>
      </c>
      <c r="F5" s="13">
        <v>2988</v>
      </c>
      <c r="G5" s="14">
        <f>(D5-F5)/D5</f>
        <v>0</v>
      </c>
      <c r="H5" s="12">
        <v>2</v>
      </c>
      <c r="I5" s="13">
        <f>F5*H5</f>
        <v>5976</v>
      </c>
      <c r="J5" s="12" t="s">
        <v>216</v>
      </c>
    </row>
    <row r="6" spans="1:10" x14ac:dyDescent="0.15">
      <c r="A6" s="11">
        <v>38843</v>
      </c>
      <c r="B6" s="12" t="s">
        <v>205</v>
      </c>
      <c r="C6" s="12" t="s">
        <v>211</v>
      </c>
      <c r="D6" s="13">
        <v>2988</v>
      </c>
      <c r="E6" s="12" t="s">
        <v>212</v>
      </c>
      <c r="F6" s="13">
        <v>2988</v>
      </c>
      <c r="G6" s="14">
        <f>(D6-F6)/D6</f>
        <v>0</v>
      </c>
      <c r="H6" s="12">
        <v>2</v>
      </c>
      <c r="I6" s="13">
        <f>F6*H6</f>
        <v>5976</v>
      </c>
      <c r="J6" s="12" t="s">
        <v>216</v>
      </c>
    </row>
    <row r="7" spans="1:10" hidden="1" x14ac:dyDescent="0.15">
      <c r="A7" s="11">
        <v>38843</v>
      </c>
      <c r="B7" s="12" t="s">
        <v>205</v>
      </c>
      <c r="C7" s="12" t="s">
        <v>217</v>
      </c>
      <c r="D7" s="13">
        <v>3688</v>
      </c>
      <c r="E7" s="12" t="s">
        <v>201</v>
      </c>
      <c r="F7" s="13">
        <v>2988</v>
      </c>
      <c r="G7" s="14">
        <f>(D7-F7)/D7</f>
        <v>0.18980477223427331</v>
      </c>
      <c r="H7" s="12">
        <v>2</v>
      </c>
      <c r="I7" s="13">
        <f>F7*H7</f>
        <v>5976</v>
      </c>
      <c r="J7" s="12" t="s">
        <v>218</v>
      </c>
    </row>
    <row r="8" spans="1:10" hidden="1" x14ac:dyDescent="0.15">
      <c r="A8" s="11">
        <v>38838</v>
      </c>
      <c r="B8" s="12" t="s">
        <v>205</v>
      </c>
      <c r="C8" s="12" t="s">
        <v>206</v>
      </c>
      <c r="D8" s="13">
        <v>3188</v>
      </c>
      <c r="E8" s="12" t="s">
        <v>201</v>
      </c>
      <c r="F8" s="13">
        <v>2888</v>
      </c>
      <c r="G8" s="14">
        <f>(D8-F8)/D8</f>
        <v>9.4102885821831864E-2</v>
      </c>
      <c r="H8" s="12">
        <v>3</v>
      </c>
      <c r="I8" s="13">
        <f>F8*H8</f>
        <v>8664</v>
      </c>
      <c r="J8" s="12" t="s">
        <v>219</v>
      </c>
    </row>
    <row r="9" spans="1:10" hidden="1" x14ac:dyDescent="0.15">
      <c r="A9" s="11">
        <v>38843</v>
      </c>
      <c r="B9" s="12" t="s">
        <v>205</v>
      </c>
      <c r="C9" s="12" t="s">
        <v>206</v>
      </c>
      <c r="D9" s="13">
        <v>3188</v>
      </c>
      <c r="E9" s="12" t="s">
        <v>201</v>
      </c>
      <c r="F9" s="13">
        <v>2888</v>
      </c>
      <c r="G9" s="14">
        <f>(D9-F9)/D9</f>
        <v>9.4102885821831864E-2</v>
      </c>
      <c r="H9" s="12">
        <v>3</v>
      </c>
      <c r="I9" s="13">
        <f>F9*H9</f>
        <v>8664</v>
      </c>
      <c r="J9" s="12" t="s">
        <v>219</v>
      </c>
    </row>
    <row r="10" spans="1:10" hidden="1" x14ac:dyDescent="0.15">
      <c r="A10" s="11">
        <v>38839</v>
      </c>
      <c r="B10" s="12" t="s">
        <v>205</v>
      </c>
      <c r="C10" s="12" t="s">
        <v>211</v>
      </c>
      <c r="D10" s="13">
        <v>2988</v>
      </c>
      <c r="E10" s="12" t="s">
        <v>212</v>
      </c>
      <c r="F10" s="13">
        <v>2988</v>
      </c>
      <c r="G10" s="14">
        <f>(D10-F10)/D10</f>
        <v>0</v>
      </c>
      <c r="H10" s="12">
        <v>3</v>
      </c>
      <c r="I10" s="13">
        <f>F10*H10</f>
        <v>8964</v>
      </c>
      <c r="J10" s="12" t="s">
        <v>210</v>
      </c>
    </row>
    <row r="11" spans="1:10" x14ac:dyDescent="0.15">
      <c r="A11" s="11">
        <v>38841</v>
      </c>
      <c r="B11" s="12" t="s">
        <v>205</v>
      </c>
      <c r="C11" s="12" t="s">
        <v>211</v>
      </c>
      <c r="D11" s="13">
        <v>2988</v>
      </c>
      <c r="E11" s="12" t="s">
        <v>212</v>
      </c>
      <c r="F11" s="13">
        <v>2988</v>
      </c>
      <c r="G11" s="14">
        <f>(D11-F11)/D11</f>
        <v>0</v>
      </c>
      <c r="H11" s="12">
        <v>3</v>
      </c>
      <c r="I11" s="13">
        <f>F11*H11</f>
        <v>8964</v>
      </c>
      <c r="J11" s="12" t="s">
        <v>216</v>
      </c>
    </row>
    <row r="12" spans="1:10" hidden="1" x14ac:dyDescent="0.15">
      <c r="A12" s="11">
        <v>38844</v>
      </c>
      <c r="B12" s="12" t="s">
        <v>205</v>
      </c>
      <c r="C12" s="12" t="s">
        <v>206</v>
      </c>
      <c r="D12" s="13">
        <v>3188</v>
      </c>
      <c r="E12" s="12" t="s">
        <v>201</v>
      </c>
      <c r="F12" s="13">
        <v>2888</v>
      </c>
      <c r="G12" s="14">
        <f>(D12-F12)/D12</f>
        <v>9.4102885821831864E-2</v>
      </c>
      <c r="H12" s="12">
        <v>4</v>
      </c>
      <c r="I12" s="13">
        <f>F12*H12</f>
        <v>11552</v>
      </c>
      <c r="J12" s="12" t="s">
        <v>219</v>
      </c>
    </row>
    <row r="13" spans="1:10" hidden="1" x14ac:dyDescent="0.15">
      <c r="A13" s="11">
        <v>38838</v>
      </c>
      <c r="B13" s="12" t="s">
        <v>205</v>
      </c>
      <c r="C13" s="12" t="s">
        <v>217</v>
      </c>
      <c r="D13" s="13">
        <v>3688</v>
      </c>
      <c r="E13" s="12" t="s">
        <v>201</v>
      </c>
      <c r="F13" s="13">
        <v>2988</v>
      </c>
      <c r="G13" s="14">
        <f>(D13-F13)/D13</f>
        <v>0.18980477223427331</v>
      </c>
      <c r="H13" s="12">
        <v>4</v>
      </c>
      <c r="I13" s="13">
        <f>F13*H13</f>
        <v>11952</v>
      </c>
      <c r="J13" s="12" t="s">
        <v>218</v>
      </c>
    </row>
    <row r="14" spans="1:10" hidden="1" x14ac:dyDescent="0.15">
      <c r="A14" s="11">
        <v>38842</v>
      </c>
      <c r="B14" s="12" t="s">
        <v>205</v>
      </c>
      <c r="C14" s="12" t="s">
        <v>206</v>
      </c>
      <c r="D14" s="13">
        <v>3188</v>
      </c>
      <c r="E14" s="12" t="s">
        <v>201</v>
      </c>
      <c r="F14" s="13">
        <v>2888</v>
      </c>
      <c r="G14" s="14">
        <f>(D14-F14)/D14</f>
        <v>9.4102885821831864E-2</v>
      </c>
      <c r="H14" s="12">
        <v>5</v>
      </c>
      <c r="I14" s="13">
        <f>F14*H14</f>
        <v>14440</v>
      </c>
      <c r="J14" s="12" t="s">
        <v>219</v>
      </c>
    </row>
    <row r="15" spans="1:10" hidden="1" x14ac:dyDescent="0.15">
      <c r="A15" s="11">
        <v>38839</v>
      </c>
      <c r="B15" s="12" t="s">
        <v>205</v>
      </c>
      <c r="C15" s="12" t="s">
        <v>206</v>
      </c>
      <c r="D15" s="13">
        <v>3188</v>
      </c>
      <c r="E15" s="12" t="s">
        <v>201</v>
      </c>
      <c r="F15" s="13">
        <v>2888</v>
      </c>
      <c r="G15" s="14">
        <f>(D15-F15)/D15</f>
        <v>9.4102885821831864E-2</v>
      </c>
      <c r="H15" s="12">
        <v>6</v>
      </c>
      <c r="I15" s="13">
        <f>F15*H15</f>
        <v>17328</v>
      </c>
      <c r="J15" s="12" t="s">
        <v>202</v>
      </c>
    </row>
    <row r="16" spans="1:10" x14ac:dyDescent="0.15">
      <c r="A16" s="11">
        <v>38840</v>
      </c>
      <c r="B16" s="12" t="s">
        <v>205</v>
      </c>
      <c r="C16" s="12" t="s">
        <v>211</v>
      </c>
      <c r="D16" s="13">
        <v>2988</v>
      </c>
      <c r="E16" s="12" t="s">
        <v>212</v>
      </c>
      <c r="F16" s="13">
        <v>2988</v>
      </c>
      <c r="G16" s="14">
        <f>(D16-F16)/D16</f>
        <v>0</v>
      </c>
      <c r="H16" s="12">
        <v>6</v>
      </c>
      <c r="I16" s="13">
        <f>F16*H16</f>
        <v>17928</v>
      </c>
      <c r="J16" s="12" t="s">
        <v>216</v>
      </c>
    </row>
    <row r="17" spans="1:10" hidden="1" x14ac:dyDescent="0.15">
      <c r="A17" s="11">
        <v>38842</v>
      </c>
      <c r="B17" s="12" t="s">
        <v>205</v>
      </c>
      <c r="C17" s="12" t="s">
        <v>217</v>
      </c>
      <c r="D17" s="13">
        <v>3688</v>
      </c>
      <c r="E17" s="12" t="s">
        <v>201</v>
      </c>
      <c r="F17" s="13">
        <v>2988</v>
      </c>
      <c r="G17" s="14">
        <f>(D17-F17)/D17</f>
        <v>0.18980477223427331</v>
      </c>
      <c r="H17" s="12">
        <v>6</v>
      </c>
      <c r="I17" s="13">
        <f>F17*H17</f>
        <v>17928</v>
      </c>
      <c r="J17" s="12" t="s">
        <v>218</v>
      </c>
    </row>
    <row r="18" spans="1:10" hidden="1" x14ac:dyDescent="0.15">
      <c r="A18" s="11">
        <v>38841</v>
      </c>
      <c r="B18" s="12" t="s">
        <v>205</v>
      </c>
      <c r="C18" s="12" t="s">
        <v>206</v>
      </c>
      <c r="D18" s="13">
        <v>3188</v>
      </c>
      <c r="E18" s="12" t="s">
        <v>201</v>
      </c>
      <c r="F18" s="13">
        <v>2888</v>
      </c>
      <c r="G18" s="14">
        <f>(D18-F18)/D18</f>
        <v>9.4102885821831864E-2</v>
      </c>
      <c r="H18" s="12">
        <v>8</v>
      </c>
      <c r="I18" s="13">
        <f>F18*H18</f>
        <v>23104</v>
      </c>
      <c r="J18" s="12" t="s">
        <v>219</v>
      </c>
    </row>
    <row r="19" spans="1:10" x14ac:dyDescent="0.15">
      <c r="A19" s="11">
        <v>38839</v>
      </c>
      <c r="B19" s="12" t="s">
        <v>205</v>
      </c>
      <c r="C19" s="12" t="s">
        <v>217</v>
      </c>
      <c r="D19" s="13">
        <v>3688</v>
      </c>
      <c r="E19" s="12" t="s">
        <v>201</v>
      </c>
      <c r="F19" s="13">
        <v>2988</v>
      </c>
      <c r="G19" s="14">
        <f>(D19-F19)/D19</f>
        <v>0.18980477223427331</v>
      </c>
      <c r="H19" s="12">
        <v>10</v>
      </c>
      <c r="I19" s="13">
        <f>F19*H19</f>
        <v>29880</v>
      </c>
      <c r="J19" s="12" t="s">
        <v>216</v>
      </c>
    </row>
    <row r="20" spans="1:10" hidden="1" x14ac:dyDescent="0.15">
      <c r="A20" s="11">
        <v>38841</v>
      </c>
      <c r="B20" s="12" t="s">
        <v>205</v>
      </c>
      <c r="C20" s="12" t="s">
        <v>217</v>
      </c>
      <c r="D20" s="13">
        <v>3688</v>
      </c>
      <c r="E20" s="12" t="s">
        <v>201</v>
      </c>
      <c r="F20" s="13">
        <v>2988</v>
      </c>
      <c r="G20" s="14">
        <f>(D20-F20)/D20</f>
        <v>0.18980477223427331</v>
      </c>
      <c r="H20" s="12">
        <v>10</v>
      </c>
      <c r="I20" s="13">
        <f>F20*H20</f>
        <v>29880</v>
      </c>
      <c r="J20" s="12" t="s">
        <v>218</v>
      </c>
    </row>
    <row r="21" spans="1:10" hidden="1" x14ac:dyDescent="0.15">
      <c r="A21" s="11">
        <v>38840</v>
      </c>
      <c r="B21" s="12" t="s">
        <v>205</v>
      </c>
      <c r="C21" s="12" t="s">
        <v>206</v>
      </c>
      <c r="D21" s="13">
        <v>3188</v>
      </c>
      <c r="E21" s="12" t="s">
        <v>201</v>
      </c>
      <c r="F21" s="13">
        <v>2888</v>
      </c>
      <c r="G21" s="14">
        <f>(D21-F21)/D21</f>
        <v>9.4102885821831864E-2</v>
      </c>
      <c r="H21" s="12">
        <v>12</v>
      </c>
      <c r="I21" s="13">
        <f>F21*H21</f>
        <v>34656</v>
      </c>
      <c r="J21" s="12" t="s">
        <v>219</v>
      </c>
    </row>
    <row r="22" spans="1:10" hidden="1" x14ac:dyDescent="0.15">
      <c r="A22" s="11">
        <v>38840</v>
      </c>
      <c r="B22" s="12" t="s">
        <v>205</v>
      </c>
      <c r="C22" s="12" t="s">
        <v>217</v>
      </c>
      <c r="D22" s="13">
        <v>3688</v>
      </c>
      <c r="E22" s="12" t="s">
        <v>201</v>
      </c>
      <c r="F22" s="13">
        <v>2988</v>
      </c>
      <c r="G22" s="14">
        <f>(D22-F22)/D22</f>
        <v>0.18980477223427331</v>
      </c>
      <c r="H22" s="12">
        <v>15</v>
      </c>
      <c r="I22" s="13">
        <f>F22*H22</f>
        <v>44820</v>
      </c>
      <c r="J22" s="12" t="s">
        <v>218</v>
      </c>
    </row>
    <row r="23" spans="1:10" x14ac:dyDescent="0.15">
      <c r="A23" s="11">
        <v>38843</v>
      </c>
      <c r="B23" s="12" t="s">
        <v>203</v>
      </c>
      <c r="C23" s="12" t="s">
        <v>213</v>
      </c>
      <c r="D23" s="13">
        <v>1988</v>
      </c>
      <c r="E23" s="12" t="s">
        <v>212</v>
      </c>
      <c r="F23" s="13">
        <v>1988</v>
      </c>
      <c r="G23" s="14">
        <f>(D23-F23)/D23</f>
        <v>0</v>
      </c>
      <c r="H23" s="12">
        <v>0</v>
      </c>
      <c r="I23" s="13">
        <f>F23*H23</f>
        <v>0</v>
      </c>
      <c r="J23" s="12" t="s">
        <v>214</v>
      </c>
    </row>
    <row r="24" spans="1:10" x14ac:dyDescent="0.15">
      <c r="A24" s="11">
        <v>38842</v>
      </c>
      <c r="B24" s="12" t="s">
        <v>203</v>
      </c>
      <c r="C24" s="12" t="s">
        <v>213</v>
      </c>
      <c r="D24" s="13">
        <v>1988</v>
      </c>
      <c r="E24" s="12" t="s">
        <v>212</v>
      </c>
      <c r="F24" s="13">
        <v>1988</v>
      </c>
      <c r="G24" s="14">
        <f>(D24-F24)/D24</f>
        <v>0</v>
      </c>
      <c r="H24" s="12">
        <v>1</v>
      </c>
      <c r="I24" s="13">
        <f>F24*H24</f>
        <v>1988</v>
      </c>
      <c r="J24" s="12" t="s">
        <v>214</v>
      </c>
    </row>
    <row r="25" spans="1:10" x14ac:dyDescent="0.15">
      <c r="A25" s="11">
        <v>38844</v>
      </c>
      <c r="B25" s="12" t="s">
        <v>203</v>
      </c>
      <c r="C25" s="12" t="s">
        <v>213</v>
      </c>
      <c r="D25" s="13">
        <v>1988</v>
      </c>
      <c r="E25" s="12" t="s">
        <v>212</v>
      </c>
      <c r="F25" s="13">
        <v>1988</v>
      </c>
      <c r="G25" s="14">
        <f>(D25-F25)/D25</f>
        <v>0</v>
      </c>
      <c r="H25" s="12">
        <v>1</v>
      </c>
      <c r="I25" s="13">
        <f>F25*H25</f>
        <v>1988</v>
      </c>
      <c r="J25" s="12" t="s">
        <v>214</v>
      </c>
    </row>
    <row r="26" spans="1:10" hidden="1" x14ac:dyDescent="0.15">
      <c r="A26" s="11">
        <v>38844</v>
      </c>
      <c r="B26" s="12" t="s">
        <v>203</v>
      </c>
      <c r="C26" s="12" t="s">
        <v>209</v>
      </c>
      <c r="D26" s="13">
        <v>2688</v>
      </c>
      <c r="E26" s="12" t="s">
        <v>201</v>
      </c>
      <c r="F26" s="13">
        <v>2388</v>
      </c>
      <c r="G26" s="14">
        <f>(D26-F26)/D26</f>
        <v>0.11160714285714286</v>
      </c>
      <c r="H26" s="12">
        <v>1</v>
      </c>
      <c r="I26" s="13">
        <f>F26*H26</f>
        <v>2388</v>
      </c>
      <c r="J26" s="12" t="s">
        <v>210</v>
      </c>
    </row>
    <row r="27" spans="1:10" x14ac:dyDescent="0.15">
      <c r="A27" s="11">
        <v>38838</v>
      </c>
      <c r="B27" s="12" t="s">
        <v>203</v>
      </c>
      <c r="C27" s="12" t="s">
        <v>213</v>
      </c>
      <c r="D27" s="13">
        <v>1988</v>
      </c>
      <c r="E27" s="12" t="s">
        <v>212</v>
      </c>
      <c r="F27" s="13">
        <v>1988</v>
      </c>
      <c r="G27" s="14">
        <f>(D27-F27)/D27</f>
        <v>0</v>
      </c>
      <c r="H27" s="12">
        <v>2</v>
      </c>
      <c r="I27" s="13">
        <f>F27*H27</f>
        <v>3976</v>
      </c>
      <c r="J27" s="12" t="s">
        <v>214</v>
      </c>
    </row>
    <row r="28" spans="1:10" hidden="1" x14ac:dyDescent="0.15">
      <c r="A28" s="11">
        <v>38838</v>
      </c>
      <c r="B28" s="12" t="s">
        <v>203</v>
      </c>
      <c r="C28" s="12" t="s">
        <v>204</v>
      </c>
      <c r="D28" s="13">
        <v>4688</v>
      </c>
      <c r="E28" s="12" t="s">
        <v>201</v>
      </c>
      <c r="F28" s="13">
        <v>4088</v>
      </c>
      <c r="G28" s="14">
        <f>(D28-F28)/D28</f>
        <v>0.12798634812286688</v>
      </c>
      <c r="H28" s="12">
        <v>1</v>
      </c>
      <c r="I28" s="13">
        <f>F28*H28</f>
        <v>4088</v>
      </c>
      <c r="J28" s="12" t="s">
        <v>215</v>
      </c>
    </row>
    <row r="29" spans="1:10" hidden="1" x14ac:dyDescent="0.15">
      <c r="A29" s="11">
        <v>38843</v>
      </c>
      <c r="B29" s="12" t="s">
        <v>203</v>
      </c>
      <c r="C29" s="12" t="s">
        <v>209</v>
      </c>
      <c r="D29" s="13">
        <v>2688</v>
      </c>
      <c r="E29" s="12" t="s">
        <v>201</v>
      </c>
      <c r="F29" s="13">
        <v>2388</v>
      </c>
      <c r="G29" s="14">
        <f>(D29-F29)/D29</f>
        <v>0.11160714285714286</v>
      </c>
      <c r="H29" s="12">
        <v>2</v>
      </c>
      <c r="I29" s="13">
        <f>F29*H29</f>
        <v>4776</v>
      </c>
      <c r="J29" s="12" t="s">
        <v>210</v>
      </c>
    </row>
    <row r="30" spans="1:10" x14ac:dyDescent="0.15">
      <c r="A30" s="11">
        <v>38841</v>
      </c>
      <c r="B30" s="12" t="s">
        <v>203</v>
      </c>
      <c r="C30" s="12" t="s">
        <v>213</v>
      </c>
      <c r="D30" s="13">
        <v>1988</v>
      </c>
      <c r="E30" s="12" t="s">
        <v>212</v>
      </c>
      <c r="F30" s="13">
        <v>1988</v>
      </c>
      <c r="G30" s="14">
        <f>(D30-F30)/D30</f>
        <v>0</v>
      </c>
      <c r="H30" s="12">
        <v>3</v>
      </c>
      <c r="I30" s="13">
        <f>F30*H30</f>
        <v>5964</v>
      </c>
      <c r="J30" s="12" t="s">
        <v>214</v>
      </c>
    </row>
    <row r="31" spans="1:10" hidden="1" x14ac:dyDescent="0.15">
      <c r="A31" s="11">
        <v>38838</v>
      </c>
      <c r="B31" s="12" t="s">
        <v>203</v>
      </c>
      <c r="C31" s="12" t="s">
        <v>209</v>
      </c>
      <c r="D31" s="13">
        <v>2688</v>
      </c>
      <c r="E31" s="12" t="s">
        <v>201</v>
      </c>
      <c r="F31" s="13">
        <v>2388</v>
      </c>
      <c r="G31" s="14">
        <f>(D31-F31)/D31</f>
        <v>0.11160714285714286</v>
      </c>
      <c r="H31" s="12">
        <v>3</v>
      </c>
      <c r="I31" s="13">
        <f>F31*H31</f>
        <v>7164</v>
      </c>
      <c r="J31" s="12" t="s">
        <v>210</v>
      </c>
    </row>
    <row r="32" spans="1:10" x14ac:dyDescent="0.15">
      <c r="A32" s="11">
        <v>38839</v>
      </c>
      <c r="B32" s="12" t="s">
        <v>203</v>
      </c>
      <c r="C32" s="12" t="s">
        <v>213</v>
      </c>
      <c r="D32" s="13">
        <v>1988</v>
      </c>
      <c r="E32" s="12" t="s">
        <v>212</v>
      </c>
      <c r="F32" s="13">
        <v>1988</v>
      </c>
      <c r="G32" s="14">
        <f>(D32-F32)/D32</f>
        <v>0</v>
      </c>
      <c r="H32" s="12">
        <v>6</v>
      </c>
      <c r="I32" s="13">
        <f>F32*H32</f>
        <v>11928</v>
      </c>
      <c r="J32" s="12" t="s">
        <v>216</v>
      </c>
    </row>
    <row r="33" spans="1:10" hidden="1" x14ac:dyDescent="0.15">
      <c r="A33" s="11">
        <v>38842</v>
      </c>
      <c r="B33" s="12" t="s">
        <v>203</v>
      </c>
      <c r="C33" s="12" t="s">
        <v>209</v>
      </c>
      <c r="D33" s="13">
        <v>2688</v>
      </c>
      <c r="E33" s="12" t="s">
        <v>201</v>
      </c>
      <c r="F33" s="13">
        <v>2388</v>
      </c>
      <c r="G33" s="14">
        <f>(D33-F33)/D33</f>
        <v>0.11160714285714286</v>
      </c>
      <c r="H33" s="12">
        <v>5</v>
      </c>
      <c r="I33" s="13">
        <f>F33*H33</f>
        <v>11940</v>
      </c>
      <c r="J33" s="12" t="s">
        <v>210</v>
      </c>
    </row>
    <row r="34" spans="1:10" hidden="1" x14ac:dyDescent="0.15">
      <c r="A34" s="11">
        <v>38844</v>
      </c>
      <c r="B34" s="12" t="s">
        <v>203</v>
      </c>
      <c r="C34" s="12" t="s">
        <v>204</v>
      </c>
      <c r="D34" s="13">
        <v>4688</v>
      </c>
      <c r="E34" s="12" t="s">
        <v>201</v>
      </c>
      <c r="F34" s="13">
        <v>4088</v>
      </c>
      <c r="G34" s="14">
        <f>(D34-F34)/D34</f>
        <v>0.12798634812286688</v>
      </c>
      <c r="H34" s="12">
        <v>3</v>
      </c>
      <c r="I34" s="13">
        <f>F34*H34</f>
        <v>12264</v>
      </c>
      <c r="J34" s="12" t="s">
        <v>215</v>
      </c>
    </row>
    <row r="35" spans="1:10" x14ac:dyDescent="0.15">
      <c r="A35" s="11">
        <v>38840</v>
      </c>
      <c r="B35" s="12" t="s">
        <v>203</v>
      </c>
      <c r="C35" s="12" t="s">
        <v>213</v>
      </c>
      <c r="D35" s="13">
        <v>1988</v>
      </c>
      <c r="E35" s="12" t="s">
        <v>212</v>
      </c>
      <c r="F35" s="13">
        <v>1988</v>
      </c>
      <c r="G35" s="14">
        <f>(D35-F35)/D35</f>
        <v>0</v>
      </c>
      <c r="H35" s="12">
        <v>7</v>
      </c>
      <c r="I35" s="13">
        <f>F35*H35</f>
        <v>13916</v>
      </c>
      <c r="J35" s="12" t="s">
        <v>214</v>
      </c>
    </row>
    <row r="36" spans="1:10" hidden="1" x14ac:dyDescent="0.15">
      <c r="A36" s="11">
        <v>38843</v>
      </c>
      <c r="B36" s="12" t="s">
        <v>203</v>
      </c>
      <c r="C36" s="12" t="s">
        <v>204</v>
      </c>
      <c r="D36" s="13">
        <v>4688</v>
      </c>
      <c r="E36" s="12" t="s">
        <v>201</v>
      </c>
      <c r="F36" s="13">
        <v>4088</v>
      </c>
      <c r="G36" s="14">
        <f>(D36-F36)/D36</f>
        <v>0.12798634812286688</v>
      </c>
      <c r="H36" s="12">
        <v>4</v>
      </c>
      <c r="I36" s="13">
        <f>F36*H36</f>
        <v>16352</v>
      </c>
      <c r="J36" s="12" t="s">
        <v>215</v>
      </c>
    </row>
    <row r="37" spans="1:10" hidden="1" x14ac:dyDescent="0.15">
      <c r="A37" s="11">
        <v>38839</v>
      </c>
      <c r="B37" s="12" t="s">
        <v>203</v>
      </c>
      <c r="C37" s="12" t="s">
        <v>209</v>
      </c>
      <c r="D37" s="13">
        <v>2688</v>
      </c>
      <c r="E37" s="12" t="s">
        <v>201</v>
      </c>
      <c r="F37" s="13">
        <v>2388</v>
      </c>
      <c r="G37" s="14">
        <f>(D37-F37)/D37</f>
        <v>0.11160714285714286</v>
      </c>
      <c r="H37" s="12">
        <v>8</v>
      </c>
      <c r="I37" s="13">
        <f>F37*H37</f>
        <v>19104</v>
      </c>
      <c r="J37" s="12" t="s">
        <v>210</v>
      </c>
    </row>
    <row r="38" spans="1:10" hidden="1" x14ac:dyDescent="0.15">
      <c r="A38" s="11">
        <v>38840</v>
      </c>
      <c r="B38" s="12" t="s">
        <v>203</v>
      </c>
      <c r="C38" s="12" t="s">
        <v>209</v>
      </c>
      <c r="D38" s="13">
        <v>2688</v>
      </c>
      <c r="E38" s="12" t="s">
        <v>201</v>
      </c>
      <c r="F38" s="13">
        <v>2388</v>
      </c>
      <c r="G38" s="14">
        <f>(D38-F38)/D38</f>
        <v>0.11160714285714286</v>
      </c>
      <c r="H38" s="12">
        <v>8</v>
      </c>
      <c r="I38" s="13">
        <f>F38*H38</f>
        <v>19104</v>
      </c>
      <c r="J38" s="12" t="s">
        <v>210</v>
      </c>
    </row>
    <row r="39" spans="1:10" hidden="1" x14ac:dyDescent="0.15">
      <c r="A39" s="11">
        <v>38841</v>
      </c>
      <c r="B39" s="12" t="s">
        <v>203</v>
      </c>
      <c r="C39" s="12" t="s">
        <v>209</v>
      </c>
      <c r="D39" s="13">
        <v>2688</v>
      </c>
      <c r="E39" s="12" t="s">
        <v>201</v>
      </c>
      <c r="F39" s="13">
        <v>2388</v>
      </c>
      <c r="G39" s="14">
        <f>(D39-F39)/D39</f>
        <v>0.11160714285714286</v>
      </c>
      <c r="H39" s="12">
        <v>9</v>
      </c>
      <c r="I39" s="13">
        <f>F39*H39</f>
        <v>21492</v>
      </c>
      <c r="J39" s="12" t="s">
        <v>210</v>
      </c>
    </row>
    <row r="40" spans="1:10" hidden="1" x14ac:dyDescent="0.15">
      <c r="A40" s="11">
        <v>38842</v>
      </c>
      <c r="B40" s="12" t="s">
        <v>203</v>
      </c>
      <c r="C40" s="12" t="s">
        <v>204</v>
      </c>
      <c r="D40" s="13">
        <v>4688</v>
      </c>
      <c r="E40" s="12" t="s">
        <v>201</v>
      </c>
      <c r="F40" s="13">
        <v>4088</v>
      </c>
      <c r="G40" s="14">
        <f>(D40-F40)/D40</f>
        <v>0.12798634812286688</v>
      </c>
      <c r="H40" s="12">
        <v>6</v>
      </c>
      <c r="I40" s="13">
        <f>F40*H40</f>
        <v>24528</v>
      </c>
      <c r="J40" s="12" t="s">
        <v>215</v>
      </c>
    </row>
    <row r="41" spans="1:10" hidden="1" x14ac:dyDescent="0.15">
      <c r="A41" s="11">
        <v>38839</v>
      </c>
      <c r="B41" s="12" t="s">
        <v>203</v>
      </c>
      <c r="C41" s="12" t="s">
        <v>204</v>
      </c>
      <c r="D41" s="13">
        <v>4688</v>
      </c>
      <c r="E41" s="12" t="s">
        <v>201</v>
      </c>
      <c r="F41" s="13">
        <v>4088</v>
      </c>
      <c r="G41" s="14">
        <f>(D41-F41)/D41</f>
        <v>0.12798634812286688</v>
      </c>
      <c r="H41" s="12">
        <v>8</v>
      </c>
      <c r="I41" s="13">
        <f>F41*H41</f>
        <v>32704</v>
      </c>
      <c r="J41" s="12" t="s">
        <v>215</v>
      </c>
    </row>
    <row r="42" spans="1:10" hidden="1" x14ac:dyDescent="0.15">
      <c r="A42" s="11">
        <v>38840</v>
      </c>
      <c r="B42" s="12" t="s">
        <v>203</v>
      </c>
      <c r="C42" s="12" t="s">
        <v>204</v>
      </c>
      <c r="D42" s="13">
        <v>4688</v>
      </c>
      <c r="E42" s="12" t="s">
        <v>201</v>
      </c>
      <c r="F42" s="13">
        <v>4088</v>
      </c>
      <c r="G42" s="14">
        <f>(D42-F42)/D42</f>
        <v>0.12798634812286688</v>
      </c>
      <c r="H42" s="12">
        <v>10</v>
      </c>
      <c r="I42" s="13">
        <f>F42*H42</f>
        <v>40880</v>
      </c>
      <c r="J42" s="12" t="s">
        <v>215</v>
      </c>
    </row>
    <row r="43" spans="1:10" hidden="1" x14ac:dyDescent="0.15">
      <c r="A43" s="11">
        <v>38839</v>
      </c>
      <c r="B43" s="12" t="s">
        <v>203</v>
      </c>
      <c r="C43" s="12" t="s">
        <v>204</v>
      </c>
      <c r="D43" s="13">
        <v>4688</v>
      </c>
      <c r="E43" s="12" t="s">
        <v>201</v>
      </c>
      <c r="F43" s="13">
        <v>4088</v>
      </c>
      <c r="G43" s="14">
        <f>(D43-F43)/D43</f>
        <v>0.12798634812286688</v>
      </c>
      <c r="H43" s="12">
        <v>12</v>
      </c>
      <c r="I43" s="13">
        <f>F43*H43</f>
        <v>49056</v>
      </c>
      <c r="J43" s="12" t="s">
        <v>202</v>
      </c>
    </row>
    <row r="44" spans="1:10" hidden="1" x14ac:dyDescent="0.15">
      <c r="A44" s="11">
        <v>38841</v>
      </c>
      <c r="B44" s="12" t="s">
        <v>203</v>
      </c>
      <c r="C44" s="12" t="s">
        <v>204</v>
      </c>
      <c r="D44" s="13">
        <v>4688</v>
      </c>
      <c r="E44" s="12" t="s">
        <v>201</v>
      </c>
      <c r="F44" s="13">
        <v>4088</v>
      </c>
      <c r="G44" s="14">
        <f>(D44-F44)/D44</f>
        <v>0.12798634812286688</v>
      </c>
      <c r="H44" s="12">
        <v>12</v>
      </c>
      <c r="I44" s="13">
        <f>F44*H44</f>
        <v>49056</v>
      </c>
      <c r="J44" s="12" t="s">
        <v>215</v>
      </c>
    </row>
    <row r="45" spans="1:10" hidden="1" x14ac:dyDescent="0.15">
      <c r="A45" s="11">
        <v>38843</v>
      </c>
      <c r="B45" s="12" t="s">
        <v>199</v>
      </c>
      <c r="C45" s="12" t="s">
        <v>207</v>
      </c>
      <c r="D45" s="13">
        <v>1988</v>
      </c>
      <c r="E45" s="12" t="s">
        <v>201</v>
      </c>
      <c r="F45" s="13">
        <v>1788</v>
      </c>
      <c r="G45" s="14">
        <f>(D45-F45)/D45</f>
        <v>0.1006036217303823</v>
      </c>
      <c r="H45" s="12">
        <v>0</v>
      </c>
      <c r="I45" s="13">
        <f>F45*H45</f>
        <v>0</v>
      </c>
      <c r="J45" s="12" t="s">
        <v>208</v>
      </c>
    </row>
    <row r="46" spans="1:10" hidden="1" x14ac:dyDescent="0.15">
      <c r="A46" s="11">
        <v>38842</v>
      </c>
      <c r="B46" s="12" t="s">
        <v>199</v>
      </c>
      <c r="C46" s="12" t="s">
        <v>207</v>
      </c>
      <c r="D46" s="13">
        <v>1988</v>
      </c>
      <c r="E46" s="12" t="s">
        <v>201</v>
      </c>
      <c r="F46" s="13">
        <v>1788</v>
      </c>
      <c r="G46" s="14">
        <f>(D46-F46)/D46</f>
        <v>0.1006036217303823</v>
      </c>
      <c r="H46" s="12">
        <v>1</v>
      </c>
      <c r="I46" s="13">
        <f>F46*H46</f>
        <v>1788</v>
      </c>
      <c r="J46" s="12" t="s">
        <v>208</v>
      </c>
    </row>
    <row r="47" spans="1:10" hidden="1" x14ac:dyDescent="0.15">
      <c r="A47" s="11">
        <v>38844</v>
      </c>
      <c r="B47" s="12" t="s">
        <v>199</v>
      </c>
      <c r="C47" s="12" t="s">
        <v>207</v>
      </c>
      <c r="D47" s="13">
        <v>1988</v>
      </c>
      <c r="E47" s="12" t="s">
        <v>201</v>
      </c>
      <c r="F47" s="13">
        <v>1788</v>
      </c>
      <c r="G47" s="14">
        <f>(D47-F47)/D47</f>
        <v>0.1006036217303823</v>
      </c>
      <c r="H47" s="12">
        <v>1</v>
      </c>
      <c r="I47" s="13">
        <f>F47*H47</f>
        <v>1788</v>
      </c>
      <c r="J47" s="12" t="s">
        <v>208</v>
      </c>
    </row>
    <row r="48" spans="1:10" hidden="1" x14ac:dyDescent="0.15">
      <c r="A48" s="11">
        <v>38838</v>
      </c>
      <c r="B48" s="12" t="s">
        <v>199</v>
      </c>
      <c r="C48" s="12" t="s">
        <v>207</v>
      </c>
      <c r="D48" s="13">
        <v>1988</v>
      </c>
      <c r="E48" s="12" t="s">
        <v>201</v>
      </c>
      <c r="F48" s="13">
        <v>1788</v>
      </c>
      <c r="G48" s="14">
        <f>(D48-F48)/D48</f>
        <v>0.1006036217303823</v>
      </c>
      <c r="H48" s="12">
        <v>2</v>
      </c>
      <c r="I48" s="13">
        <f>F48*H48</f>
        <v>3576</v>
      </c>
      <c r="J48" s="12" t="s">
        <v>208</v>
      </c>
    </row>
    <row r="49" spans="1:10" hidden="1" x14ac:dyDescent="0.15">
      <c r="A49" s="11">
        <v>38841</v>
      </c>
      <c r="B49" s="12" t="s">
        <v>199</v>
      </c>
      <c r="C49" s="12" t="s">
        <v>207</v>
      </c>
      <c r="D49" s="13">
        <v>1988</v>
      </c>
      <c r="E49" s="12" t="s">
        <v>201</v>
      </c>
      <c r="F49" s="13">
        <v>1788</v>
      </c>
      <c r="G49" s="14">
        <f>(D49-F49)/D49</f>
        <v>0.1006036217303823</v>
      </c>
      <c r="H49" s="12">
        <v>2</v>
      </c>
      <c r="I49" s="13">
        <f>F49*H49</f>
        <v>3576</v>
      </c>
      <c r="J49" s="12" t="s">
        <v>208</v>
      </c>
    </row>
    <row r="50" spans="1:10" hidden="1" x14ac:dyDescent="0.15">
      <c r="A50" s="11">
        <v>38843</v>
      </c>
      <c r="B50" s="12" t="s">
        <v>199</v>
      </c>
      <c r="C50" s="12" t="s">
        <v>200</v>
      </c>
      <c r="D50" s="13">
        <v>2088</v>
      </c>
      <c r="E50" s="12" t="s">
        <v>201</v>
      </c>
      <c r="F50" s="13">
        <v>1888</v>
      </c>
      <c r="G50" s="14">
        <f>(D50-F50)/D50</f>
        <v>9.5785440613026823E-2</v>
      </c>
      <c r="H50" s="12">
        <v>2</v>
      </c>
      <c r="I50" s="13">
        <f>F50*H50</f>
        <v>3776</v>
      </c>
      <c r="J50" s="12" t="s">
        <v>202</v>
      </c>
    </row>
    <row r="51" spans="1:10" hidden="1" x14ac:dyDescent="0.15">
      <c r="A51" s="11">
        <v>38844</v>
      </c>
      <c r="B51" s="12" t="s">
        <v>199</v>
      </c>
      <c r="C51" s="12" t="s">
        <v>200</v>
      </c>
      <c r="D51" s="13">
        <v>2088</v>
      </c>
      <c r="E51" s="12" t="s">
        <v>201</v>
      </c>
      <c r="F51" s="13">
        <v>1888</v>
      </c>
      <c r="G51" s="14">
        <f>(D51-F51)/D51</f>
        <v>9.5785440613026823E-2</v>
      </c>
      <c r="H51" s="12">
        <v>2</v>
      </c>
      <c r="I51" s="13">
        <f>F51*H51</f>
        <v>3776</v>
      </c>
      <c r="J51" s="12" t="s">
        <v>202</v>
      </c>
    </row>
    <row r="52" spans="1:10" hidden="1" x14ac:dyDescent="0.15">
      <c r="A52" s="11">
        <v>38838</v>
      </c>
      <c r="B52" s="12" t="s">
        <v>199</v>
      </c>
      <c r="C52" s="12" t="s">
        <v>200</v>
      </c>
      <c r="D52" s="13">
        <v>2088</v>
      </c>
      <c r="E52" s="12" t="s">
        <v>201</v>
      </c>
      <c r="F52" s="13">
        <v>1888</v>
      </c>
      <c r="G52" s="14">
        <f>(D52-F52)/D52</f>
        <v>9.5785440613026823E-2</v>
      </c>
      <c r="H52" s="12">
        <v>3</v>
      </c>
      <c r="I52" s="13">
        <f>F52*H52</f>
        <v>5664</v>
      </c>
      <c r="J52" s="12" t="s">
        <v>202</v>
      </c>
    </row>
    <row r="53" spans="1:10" hidden="1" x14ac:dyDescent="0.15">
      <c r="A53" s="11">
        <v>38839</v>
      </c>
      <c r="B53" s="12" t="s">
        <v>199</v>
      </c>
      <c r="C53" s="12" t="s">
        <v>200</v>
      </c>
      <c r="D53" s="13">
        <v>2088</v>
      </c>
      <c r="E53" s="12" t="s">
        <v>201</v>
      </c>
      <c r="F53" s="13">
        <v>1888</v>
      </c>
      <c r="G53" s="14">
        <f>(D53-F53)/D53</f>
        <v>9.5785440613026823E-2</v>
      </c>
      <c r="H53" s="12">
        <v>3</v>
      </c>
      <c r="I53" s="13">
        <f>F53*H53</f>
        <v>5664</v>
      </c>
      <c r="J53" s="12" t="s">
        <v>214</v>
      </c>
    </row>
    <row r="54" spans="1:10" hidden="1" x14ac:dyDescent="0.15">
      <c r="A54" s="11">
        <v>38842</v>
      </c>
      <c r="B54" s="12" t="s">
        <v>199</v>
      </c>
      <c r="C54" s="12" t="s">
        <v>200</v>
      </c>
      <c r="D54" s="13">
        <v>2088</v>
      </c>
      <c r="E54" s="12" t="s">
        <v>201</v>
      </c>
      <c r="F54" s="13">
        <v>1888</v>
      </c>
      <c r="G54" s="14">
        <f>(D54-F54)/D54</f>
        <v>9.5785440613026823E-2</v>
      </c>
      <c r="H54" s="12">
        <v>4</v>
      </c>
      <c r="I54" s="13">
        <f>F54*H54</f>
        <v>7552</v>
      </c>
      <c r="J54" s="12" t="s">
        <v>202</v>
      </c>
    </row>
    <row r="55" spans="1:10" hidden="1" x14ac:dyDescent="0.15">
      <c r="A55" s="11">
        <v>38839</v>
      </c>
      <c r="B55" s="12" t="s">
        <v>199</v>
      </c>
      <c r="C55" s="12" t="s">
        <v>207</v>
      </c>
      <c r="D55" s="13">
        <v>1988</v>
      </c>
      <c r="E55" s="12" t="s">
        <v>201</v>
      </c>
      <c r="F55" s="13">
        <v>1788</v>
      </c>
      <c r="G55" s="14">
        <f>(D55-F55)/D55</f>
        <v>0.1006036217303823</v>
      </c>
      <c r="H55" s="12">
        <v>5</v>
      </c>
      <c r="I55" s="13">
        <f>F55*H55</f>
        <v>8940</v>
      </c>
      <c r="J55" s="12" t="s">
        <v>208</v>
      </c>
    </row>
    <row r="56" spans="1:10" hidden="1" x14ac:dyDescent="0.15">
      <c r="A56" s="11">
        <v>38841</v>
      </c>
      <c r="B56" s="12" t="s">
        <v>199</v>
      </c>
      <c r="C56" s="12" t="s">
        <v>200</v>
      </c>
      <c r="D56" s="13">
        <v>2088</v>
      </c>
      <c r="E56" s="12" t="s">
        <v>201</v>
      </c>
      <c r="F56" s="13">
        <v>1888</v>
      </c>
      <c r="G56" s="14">
        <f>(D56-F56)/D56</f>
        <v>9.5785440613026823E-2</v>
      </c>
      <c r="H56" s="12">
        <v>6</v>
      </c>
      <c r="I56" s="13">
        <f>F56*H56</f>
        <v>11328</v>
      </c>
      <c r="J56" s="12" t="s">
        <v>202</v>
      </c>
    </row>
    <row r="57" spans="1:10" hidden="1" x14ac:dyDescent="0.15">
      <c r="A57" s="11">
        <v>38840</v>
      </c>
      <c r="B57" s="12" t="s">
        <v>199</v>
      </c>
      <c r="C57" s="12" t="s">
        <v>207</v>
      </c>
      <c r="D57" s="13">
        <v>1988</v>
      </c>
      <c r="E57" s="12" t="s">
        <v>201</v>
      </c>
      <c r="F57" s="13">
        <v>1788</v>
      </c>
      <c r="G57" s="14">
        <f>(D57-F57)/D57</f>
        <v>0.1006036217303823</v>
      </c>
      <c r="H57" s="12">
        <v>9</v>
      </c>
      <c r="I57" s="13">
        <f>F57*H57</f>
        <v>16092</v>
      </c>
      <c r="J57" s="12" t="s">
        <v>208</v>
      </c>
    </row>
    <row r="58" spans="1:10" hidden="1" x14ac:dyDescent="0.15">
      <c r="A58" s="11">
        <v>38840</v>
      </c>
      <c r="B58" s="12" t="s">
        <v>199</v>
      </c>
      <c r="C58" s="12" t="s">
        <v>200</v>
      </c>
      <c r="D58" s="13">
        <v>2088</v>
      </c>
      <c r="E58" s="12" t="s">
        <v>201</v>
      </c>
      <c r="F58" s="13">
        <v>1888</v>
      </c>
      <c r="G58" s="14">
        <f>(D58-F58)/D58</f>
        <v>9.5785440613026823E-2</v>
      </c>
      <c r="H58" s="12">
        <v>10</v>
      </c>
      <c r="I58" s="13">
        <f>F58*H58</f>
        <v>18880</v>
      </c>
      <c r="J58" s="12" t="s">
        <v>202</v>
      </c>
    </row>
  </sheetData>
  <autoFilter ref="A1:J58">
    <filterColumn colId="1">
      <filters>
        <filter val="彩电"/>
        <filter val="空调"/>
      </filters>
    </filterColumn>
    <filterColumn colId="9">
      <filters>
        <filter val="A4"/>
        <filter val="A6"/>
      </filters>
    </filterColumn>
  </autoFilter>
  <sortState ref="A2:J58">
    <sortCondition descending="1" ref="B2:B58"/>
    <sortCondition ref="I2:I58"/>
  </sortState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4"/>
  <sheetViews>
    <sheetView topLeftCell="H1" workbookViewId="0">
      <selection activeCell="V17" sqref="V17"/>
    </sheetView>
  </sheetViews>
  <sheetFormatPr defaultRowHeight="14.25" x14ac:dyDescent="0.15"/>
  <cols>
    <col min="3" max="3" width="8.5" style="6" customWidth="1"/>
    <col min="4" max="7" width="10.375" bestFit="1" customWidth="1"/>
  </cols>
  <sheetData>
    <row r="2" spans="3:7" x14ac:dyDescent="0.15">
      <c r="C2" s="7" t="s">
        <v>221</v>
      </c>
      <c r="D2" s="8" t="s">
        <v>222</v>
      </c>
      <c r="E2" s="8" t="s">
        <v>223</v>
      </c>
      <c r="F2" s="8" t="s">
        <v>224</v>
      </c>
      <c r="G2" s="8" t="s">
        <v>225</v>
      </c>
    </row>
    <row r="3" spans="3:7" x14ac:dyDescent="0.15">
      <c r="C3" s="8">
        <v>1</v>
      </c>
      <c r="D3" s="8">
        <v>3</v>
      </c>
      <c r="E3" s="8">
        <v>2</v>
      </c>
      <c r="F3" s="8">
        <v>2</v>
      </c>
      <c r="G3" s="8">
        <v>32</v>
      </c>
    </row>
    <row r="4" spans="3:7" x14ac:dyDescent="0.15">
      <c r="C4" s="8">
        <v>2</v>
      </c>
      <c r="D4" s="8">
        <v>1</v>
      </c>
      <c r="E4" s="8">
        <v>1</v>
      </c>
      <c r="F4" s="8">
        <v>5</v>
      </c>
      <c r="G4" s="8">
        <v>40</v>
      </c>
    </row>
    <row r="5" spans="3:7" x14ac:dyDescent="0.15">
      <c r="C5" s="8">
        <v>3</v>
      </c>
      <c r="D5" s="8">
        <v>1</v>
      </c>
      <c r="E5" s="8">
        <v>0</v>
      </c>
      <c r="F5" s="8">
        <v>5</v>
      </c>
      <c r="G5" s="8">
        <v>48</v>
      </c>
    </row>
    <row r="6" spans="3:7" x14ac:dyDescent="0.15">
      <c r="C6" s="8">
        <v>4</v>
      </c>
      <c r="D6" s="8">
        <v>1</v>
      </c>
      <c r="E6" s="8">
        <v>0</v>
      </c>
      <c r="F6" s="8">
        <v>5</v>
      </c>
      <c r="G6" s="8">
        <v>36</v>
      </c>
    </row>
    <row r="7" spans="3:7" x14ac:dyDescent="0.15">
      <c r="C7" s="8">
        <v>5</v>
      </c>
      <c r="D7" s="8">
        <v>0</v>
      </c>
      <c r="E7" s="8">
        <v>2</v>
      </c>
      <c r="F7" s="8">
        <v>7</v>
      </c>
      <c r="G7" s="8">
        <v>45</v>
      </c>
    </row>
    <row r="8" spans="3:7" x14ac:dyDescent="0.15">
      <c r="C8" s="8">
        <v>6</v>
      </c>
      <c r="D8" s="8">
        <v>1</v>
      </c>
      <c r="E8" s="8">
        <v>4</v>
      </c>
      <c r="F8" s="8">
        <v>5</v>
      </c>
      <c r="G8" s="8">
        <v>43</v>
      </c>
    </row>
    <row r="9" spans="3:7" x14ac:dyDescent="0.15">
      <c r="C9" s="8">
        <v>7</v>
      </c>
      <c r="D9" s="8">
        <v>1</v>
      </c>
      <c r="E9" s="8">
        <v>2</v>
      </c>
      <c r="F9" s="8">
        <v>6</v>
      </c>
      <c r="G9" s="8">
        <v>48</v>
      </c>
    </row>
    <row r="10" spans="3:7" x14ac:dyDescent="0.15">
      <c r="C10" s="8">
        <v>8</v>
      </c>
      <c r="D10" s="8">
        <v>1</v>
      </c>
      <c r="E10" s="8">
        <v>2</v>
      </c>
      <c r="F10" s="8">
        <v>1</v>
      </c>
      <c r="G10" s="8">
        <v>41</v>
      </c>
    </row>
    <row r="11" spans="3:7" x14ac:dyDescent="0.15">
      <c r="C11" s="8">
        <v>9</v>
      </c>
      <c r="D11" s="8">
        <v>0</v>
      </c>
      <c r="E11" s="8">
        <v>3</v>
      </c>
      <c r="F11" s="8">
        <v>3</v>
      </c>
      <c r="G11" s="8">
        <v>37</v>
      </c>
    </row>
    <row r="12" spans="3:7" x14ac:dyDescent="0.15">
      <c r="C12" s="8">
        <v>10</v>
      </c>
      <c r="D12" s="8">
        <v>0</v>
      </c>
      <c r="E12" s="8">
        <v>0</v>
      </c>
      <c r="F12" s="8">
        <v>1</v>
      </c>
      <c r="G12" s="8">
        <v>49</v>
      </c>
    </row>
    <row r="13" spans="3:7" x14ac:dyDescent="0.15">
      <c r="C13" s="8">
        <v>11</v>
      </c>
      <c r="D13" s="8">
        <v>0</v>
      </c>
      <c r="E13" s="8">
        <v>0</v>
      </c>
      <c r="F13" s="8">
        <v>5</v>
      </c>
      <c r="G13" s="8">
        <v>52</v>
      </c>
    </row>
    <row r="14" spans="3:7" x14ac:dyDescent="0.15">
      <c r="C14" s="8">
        <v>12</v>
      </c>
      <c r="D14" s="8">
        <v>1</v>
      </c>
      <c r="E14" s="8">
        <v>0</v>
      </c>
      <c r="F14" s="8">
        <v>4</v>
      </c>
      <c r="G14" s="8">
        <v>41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会员信息表</vt:lpstr>
      <vt:lpstr>销售清单</vt:lpstr>
      <vt:lpstr>按月统计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Microsoft</cp:lastModifiedBy>
  <dcterms:created xsi:type="dcterms:W3CDTF">2019-10-24T12:47:24Z</dcterms:created>
  <dcterms:modified xsi:type="dcterms:W3CDTF">2021-04-17T03:42:59Z</dcterms:modified>
</cp:coreProperties>
</file>