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bookViews>
    <workbookView xWindow="165" yWindow="105" windowWidth="24930" windowHeight="12120"/>
  </bookViews>
  <sheets>
    <sheet name="员工信息表" sheetId="1" r:id="rId1"/>
    <sheet name="学历与基础薪酬对照表" sheetId="2" r:id="rId2"/>
    <sheet name="图书销售情况表" sheetId="3" r:id="rId3"/>
  </sheets>
  <calcPr calcId="162913"/>
  <pivotCaches>
    <pivotCache cacheId="0" r:id="rId4"/>
  </pivotCaches>
</workbook>
</file>

<file path=xl/calcChain.xml><?xml version="1.0" encoding="utf-8"?>
<calcChain xmlns="http://schemas.openxmlformats.org/spreadsheetml/2006/main">
  <c r="K7" i="1" l="1"/>
  <c r="K8" i="1"/>
  <c r="K9" i="1"/>
  <c r="K10" i="1"/>
  <c r="K11" i="1"/>
  <c r="K12" i="1"/>
  <c r="K6" i="1"/>
  <c r="I7" i="1"/>
  <c r="I8" i="1"/>
  <c r="I9" i="1"/>
  <c r="I10" i="1"/>
  <c r="I11" i="1"/>
  <c r="I12" i="1"/>
  <c r="I6" i="1"/>
  <c r="J7" i="1"/>
  <c r="J8" i="1"/>
  <c r="J9" i="1"/>
  <c r="J10" i="1"/>
  <c r="J11" i="1"/>
  <c r="J12" i="1"/>
  <c r="J6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3" i="1"/>
</calcChain>
</file>

<file path=xl/sharedStrings.xml><?xml version="1.0" encoding="utf-8"?>
<sst xmlns="http://schemas.openxmlformats.org/spreadsheetml/2006/main" count="497" uniqueCount="135">
  <si>
    <t>工号</t>
  </si>
  <si>
    <t>性别</t>
  </si>
  <si>
    <t>部门</t>
  </si>
  <si>
    <t>学历</t>
  </si>
  <si>
    <t>0001</t>
  </si>
  <si>
    <t>男</t>
  </si>
  <si>
    <t>管理层</t>
  </si>
  <si>
    <t>博士</t>
  </si>
  <si>
    <t>0002</t>
  </si>
  <si>
    <t>硕士</t>
  </si>
  <si>
    <t>0003</t>
  </si>
  <si>
    <t>女</t>
  </si>
  <si>
    <t>本科</t>
  </si>
  <si>
    <t>0004</t>
  </si>
  <si>
    <t>0005</t>
  </si>
  <si>
    <t>0006</t>
  </si>
  <si>
    <t>人事部</t>
  </si>
  <si>
    <t>0007</t>
  </si>
  <si>
    <t>0008</t>
  </si>
  <si>
    <t>0009</t>
  </si>
  <si>
    <t>0010</t>
  </si>
  <si>
    <t>大专</t>
  </si>
  <si>
    <t>0011</t>
  </si>
  <si>
    <t>0012</t>
  </si>
  <si>
    <t>0013</t>
  </si>
  <si>
    <t>财务部</t>
  </si>
  <si>
    <t>0014</t>
  </si>
  <si>
    <t>0015</t>
  </si>
  <si>
    <t>0016</t>
  </si>
  <si>
    <t>0017</t>
  </si>
  <si>
    <t>0018</t>
  </si>
  <si>
    <t>0019</t>
  </si>
  <si>
    <t>信息部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</si>
  <si>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</si>
  <si>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</si>
  <si>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</si>
  <si>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</si>
  <si>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</si>
  <si>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</si>
  <si>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</si>
  <si>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</si>
  <si>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</si>
  <si>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采购部</t>
  </si>
  <si>
    <t>0029</t>
  </si>
  <si>
    <t>0030</t>
  </si>
  <si>
    <t>0031</t>
  </si>
  <si>
    <t>0032</t>
  </si>
  <si>
    <t>0033</t>
  </si>
  <si>
    <t>0034</t>
  </si>
  <si>
    <t>0035</t>
  </si>
  <si>
    <t>企划部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</si>
  <si>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</si>
  <si>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</si>
  <si>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</si>
  <si>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</si>
  <si>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</si>
  <si>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</si>
  <si>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</si>
  <si>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</si>
  <si>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</si>
  <si>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</si>
  <si>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</si>
  <si>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</si>
  <si>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</si>
  <si>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</si>
  <si>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</si>
  <si>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</si>
  <si>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</si>
  <si>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</si>
  <si>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</si>
  <si>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</si>
  <si>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</si>
  <si>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</si>
  <si>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</si>
  <si>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招商部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</si>
  <si>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</si>
  <si>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</si>
  <si>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</si>
  <si>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</si>
  <si>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</si>
  <si>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</si>
  <si>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</si>
  <si>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</si>
  <si>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</si>
  <si>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</si>
  <si>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</si>
  <si>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</si>
  <si>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</si>
  <si>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</si>
  <si>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</si>
  <si>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</si>
  <si>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</si>
  <si>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</si>
  <si>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</si>
  <si>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</si>
  <si>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</si>
  <si>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</si>
  <si>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</si>
  <si>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男</t>
    <phoneticPr fontId="3" type="noConversion"/>
  </si>
  <si>
    <t>女</t>
    <phoneticPr fontId="3" type="noConversion"/>
  </si>
  <si>
    <t>基础薪酬</t>
    <phoneticPr fontId="3" type="noConversion"/>
  </si>
  <si>
    <t>学历</t>
    <phoneticPr fontId="6" type="noConversion"/>
  </si>
  <si>
    <t>博士</t>
    <phoneticPr fontId="6" type="noConversion"/>
  </si>
  <si>
    <t>硕士</t>
    <phoneticPr fontId="6" type="noConversion"/>
  </si>
  <si>
    <t>本科</t>
    <phoneticPr fontId="6" type="noConversion"/>
  </si>
  <si>
    <t>大专</t>
    <phoneticPr fontId="6" type="noConversion"/>
  </si>
  <si>
    <t>基础薪酬（元）</t>
    <phoneticPr fontId="6" type="noConversion"/>
  </si>
  <si>
    <t>经销部门</t>
  </si>
  <si>
    <t>图书类别</t>
  </si>
  <si>
    <t>季度</t>
  </si>
  <si>
    <t>销售数量(册)</t>
  </si>
  <si>
    <t>销售额(元)</t>
  </si>
  <si>
    <t>销售数量排名</t>
  </si>
  <si>
    <t>销售额排名</t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</si>
  <si>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</si>
  <si>
    <t>生物科学</t>
  </si>
  <si>
    <t>工业技术</t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</si>
  <si>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</si>
  <si>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</si>
  <si>
    <t>农业科学</t>
  </si>
  <si>
    <r>
      <t>第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分部</t>
    </r>
  </si>
  <si>
    <t>第1分部</t>
  </si>
  <si>
    <t>交通科学</t>
  </si>
  <si>
    <t>第4分部</t>
  </si>
  <si>
    <t>第2分部</t>
  </si>
  <si>
    <t>第3分部</t>
  </si>
  <si>
    <t>年龄</t>
    <phoneticPr fontId="3" type="noConversion"/>
  </si>
  <si>
    <t>部门</t>
    <phoneticPr fontId="3" type="noConversion"/>
  </si>
  <si>
    <t>年龄平均值</t>
    <phoneticPr fontId="3" type="noConversion"/>
  </si>
  <si>
    <t>各部门的信息统计</t>
    <phoneticPr fontId="3" type="noConversion"/>
  </si>
  <si>
    <t>员工信息表</t>
    <phoneticPr fontId="3" type="noConversion"/>
  </si>
  <si>
    <t>行标签</t>
  </si>
  <si>
    <t>总计</t>
  </si>
  <si>
    <t>列标签</t>
  </si>
  <si>
    <t>求和项:销售数量(册)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</si>
</sst>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1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color theme="1"/>
      <name val="宋体"/>
      <family val="2"/>
      <charset val="136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>
      <alignment vertical="center"/>
    </xf>
    <xf numFmtId="0" fontId="4" fillId="0" borderId="0"/>
    <xf numFmtId="0" fontId="1" fillId="0" borderId="0">
      <alignment vertical="center"/>
    </xf>
  </cellStyleXfs>
  <cellXfs count="25">
    <xf numFmtId="0" fontId="0" fillId="0" borderId="0" xfId="0"/>
    <xf numFmtId="49" fontId="7" fillId="2" borderId="1" xfId="1" applyNumberFormat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0" borderId="0" xfId="0" applyFont="1"/>
    <xf numFmtId="49" fontId="8" fillId="0" borderId="1" xfId="1" quotePrefix="1" applyNumberFormat="1" applyFont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1" applyFont="1" applyBorder="1" applyAlignment="1">
      <alignment horizontal="center" vertical="center"/>
    </xf>
    <xf numFmtId="0" fontId="7" fillId="0" borderId="0" xfId="0" applyNumberFormat="1" applyFont="1"/>
    <xf numFmtId="0" fontId="9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Font="1" applyFill="1" applyBorder="1"/>
    <xf numFmtId="0" fontId="2" fillId="0" borderId="1" xfId="0" applyFont="1" applyFill="1" applyBorder="1"/>
    <xf numFmtId="0" fontId="0" fillId="0" borderId="1" xfId="0" applyFill="1" applyBorder="1"/>
    <xf numFmtId="0" fontId="8" fillId="0" borderId="1" xfId="1" applyNumberFormat="1" applyFont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vertical="center" wrapText="1"/>
    </xf>
    <xf numFmtId="0" fontId="7" fillId="0" borderId="2" xfId="0" applyFont="1" applyBorder="1" applyAlignment="1"/>
    <xf numFmtId="0" fontId="0" fillId="0" borderId="0" xfId="0" applyAlignment="1">
      <alignment horizontal="center" vertical="center"/>
    </xf>
    <xf numFmtId="176" fontId="7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7" fillId="0" borderId="3" xfId="0" applyFont="1" applyBorder="1" applyAlignment="1">
      <alignment horizontal="center"/>
    </xf>
  </cellXfs>
  <cellStyles count="5">
    <cellStyle name="?鹎%U龡&amp;H?_x0008__x001c__x001c_?_x0007__x0001__x0001_" xfId="1"/>
    <cellStyle name="常规" xfId="0" builtinId="0"/>
    <cellStyle name="常规 2" xfId="2"/>
    <cellStyle name="常规 2 2" xfId="3"/>
    <cellStyle name="常规 3" xfId="4"/>
  </cellStyles>
  <dxfs count="1">
    <dxf>
      <fill>
        <patternFill patternType="lightHorizontal">
          <fgColor theme="8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各部门员工性别统计图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员工信息表!$I$5</c:f>
              <c:strCache>
                <c:ptCount val="1"/>
                <c:pt idx="0">
                  <c:v>男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员工信息表!$H$6:$H$12</c:f>
              <c:strCache>
                <c:ptCount val="7"/>
                <c:pt idx="0">
                  <c:v>招商部</c:v>
                </c:pt>
                <c:pt idx="1">
                  <c:v>企划部</c:v>
                </c:pt>
                <c:pt idx="2">
                  <c:v>管理层</c:v>
                </c:pt>
                <c:pt idx="3">
                  <c:v>采购部</c:v>
                </c:pt>
                <c:pt idx="4">
                  <c:v>财务部</c:v>
                </c:pt>
                <c:pt idx="5">
                  <c:v>信息部</c:v>
                </c:pt>
                <c:pt idx="6">
                  <c:v>人事部</c:v>
                </c:pt>
              </c:strCache>
            </c:strRef>
          </c:cat>
          <c:val>
            <c:numRef>
              <c:f>员工信息表!$I$6:$I$12</c:f>
              <c:numCache>
                <c:formatCode>General</c:formatCode>
                <c:ptCount val="7"/>
                <c:pt idx="0">
                  <c:v>6</c:v>
                </c:pt>
                <c:pt idx="1">
                  <c:v>16</c:v>
                </c:pt>
                <c:pt idx="2">
                  <c:v>3</c:v>
                </c:pt>
                <c:pt idx="3">
                  <c:v>5</c:v>
                </c:pt>
                <c:pt idx="4">
                  <c:v>2</c:v>
                </c:pt>
                <c:pt idx="5">
                  <c:v>5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F4-4B15-8FBD-C34467632F49}"/>
            </c:ext>
          </c:extLst>
        </c:ser>
        <c:ser>
          <c:idx val="1"/>
          <c:order val="1"/>
          <c:tx>
            <c:strRef>
              <c:f>员工信息表!$J$5</c:f>
              <c:strCache>
                <c:ptCount val="1"/>
                <c:pt idx="0">
                  <c:v>女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员工信息表!$H$6:$H$12</c:f>
              <c:strCache>
                <c:ptCount val="7"/>
                <c:pt idx="0">
                  <c:v>招商部</c:v>
                </c:pt>
                <c:pt idx="1">
                  <c:v>企划部</c:v>
                </c:pt>
                <c:pt idx="2">
                  <c:v>管理层</c:v>
                </c:pt>
                <c:pt idx="3">
                  <c:v>采购部</c:v>
                </c:pt>
                <c:pt idx="4">
                  <c:v>财务部</c:v>
                </c:pt>
                <c:pt idx="5">
                  <c:v>信息部</c:v>
                </c:pt>
                <c:pt idx="6">
                  <c:v>人事部</c:v>
                </c:pt>
              </c:strCache>
            </c:strRef>
          </c:cat>
          <c:val>
            <c:numRef>
              <c:f>员工信息表!$J$6:$J$12</c:f>
              <c:numCache>
                <c:formatCode>General</c:formatCode>
                <c:ptCount val="7"/>
                <c:pt idx="0">
                  <c:v>9</c:v>
                </c:pt>
                <c:pt idx="1">
                  <c:v>5</c:v>
                </c:pt>
                <c:pt idx="2">
                  <c:v>2</c:v>
                </c:pt>
                <c:pt idx="3">
                  <c:v>8</c:v>
                </c:pt>
                <c:pt idx="4">
                  <c:v>4</c:v>
                </c:pt>
                <c:pt idx="5">
                  <c:v>9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F4-4B15-8FBD-C34467632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7905184"/>
        <c:axId val="1857906432"/>
      </c:barChart>
      <c:catAx>
        <c:axId val="185790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57906432"/>
        <c:crosses val="autoZero"/>
        <c:auto val="1"/>
        <c:lblAlgn val="ctr"/>
        <c:lblOffset val="100"/>
        <c:noMultiLvlLbl val="0"/>
      </c:catAx>
      <c:valAx>
        <c:axId val="185790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57905184"/>
        <c:crosses val="autoZero"/>
        <c:crossBetween val="between"/>
      </c:valAx>
      <c:spPr>
        <a:gradFill flip="none" rotWithShape="1">
          <a:gsLst>
            <a:gs pos="0">
              <a:schemeClr val="accent5">
                <a:lumMod val="5000"/>
                <a:lumOff val="95000"/>
              </a:schemeClr>
            </a:gs>
            <a:gs pos="74000">
              <a:schemeClr val="accent5">
                <a:lumMod val="45000"/>
                <a:lumOff val="55000"/>
              </a:schemeClr>
            </a:gs>
            <a:gs pos="83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16200000" scaled="1"/>
          <a:tileRect/>
        </a:gradFill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71436</xdr:colOff>
      <xdr:row>13</xdr:row>
      <xdr:rowOff>61913</xdr:rowOff>
    </xdr:from>
    <xdr:to>
      <xdr:col>12</xdr:col>
      <xdr:colOff>619124</xdr:colOff>
      <xdr:row>27</xdr:row>
      <xdr:rowOff>123825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5210.621035300923" createdVersion="6" refreshedVersion="6" minRefreshableVersion="3" recordCount="64">
  <cacheSource type="worksheet">
    <worksheetSource ref="A1:G65" sheet="图书销售情况表"/>
  </cacheSource>
  <cacheFields count="7">
    <cacheField name="经销部门" numFmtId="0">
      <sharedItems count="4">
        <s v="第3分部"/>
        <s v="第1分部"/>
        <s v="第2分部"/>
        <s v="第4分部"/>
      </sharedItems>
    </cacheField>
    <cacheField name="图书类别" numFmtId="0">
      <sharedItems count="4">
        <s v="生物科学"/>
        <s v="工业技术"/>
        <s v="农业科学"/>
        <s v="交通科学"/>
      </sharedItems>
    </cacheField>
    <cacheField name="季度" numFmtId="0">
      <sharedItems containsSemiMixedTypes="0" containsString="0" containsNumber="1" containsInteger="1" minValue="1" maxValue="4"/>
    </cacheField>
    <cacheField name="销售数量(册)" numFmtId="0">
      <sharedItems containsSemiMixedTypes="0" containsString="0" containsNumber="1" containsInteger="1" minValue="112" maxValue="765"/>
    </cacheField>
    <cacheField name="销售额(元)" numFmtId="0">
      <sharedItems containsSemiMixedTypes="0" containsString="0" containsNumber="1" containsInteger="1" minValue="6630" maxValue="45321"/>
    </cacheField>
    <cacheField name="销售数量排名" numFmtId="0">
      <sharedItems containsSemiMixedTypes="0" containsString="0" containsNumber="1" containsInteger="1" minValue="1" maxValue="63"/>
    </cacheField>
    <cacheField name="销售额排名" numFmtId="0">
      <sharedItems containsSemiMixedTypes="0" containsString="0" containsNumber="1" containsInteger="1" minValue="1" maxValue="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n v="3"/>
    <n v="124"/>
    <n v="8680"/>
    <n v="61"/>
    <n v="60"/>
  </r>
  <r>
    <x v="0"/>
    <x v="1"/>
    <n v="2"/>
    <n v="321"/>
    <n v="9630"/>
    <n v="29"/>
    <n v="54"/>
  </r>
  <r>
    <x v="1"/>
    <x v="1"/>
    <n v="2"/>
    <n v="435"/>
    <n v="21750"/>
    <n v="8"/>
    <n v="23"/>
  </r>
  <r>
    <x v="2"/>
    <x v="0"/>
    <n v="2"/>
    <n v="256"/>
    <n v="17920"/>
    <n v="36"/>
    <n v="28"/>
  </r>
  <r>
    <x v="2"/>
    <x v="1"/>
    <n v="1"/>
    <n v="167"/>
    <n v="8350"/>
    <n v="55"/>
    <n v="61"/>
  </r>
  <r>
    <x v="0"/>
    <x v="0"/>
    <n v="4"/>
    <n v="157"/>
    <n v="10990"/>
    <n v="57"/>
    <n v="43"/>
  </r>
  <r>
    <x v="1"/>
    <x v="0"/>
    <n v="4"/>
    <n v="187"/>
    <n v="13090"/>
    <n v="54"/>
    <n v="38"/>
  </r>
  <r>
    <x v="0"/>
    <x v="1"/>
    <n v="4"/>
    <n v="213"/>
    <n v="10650"/>
    <n v="47"/>
    <n v="48"/>
  </r>
  <r>
    <x v="2"/>
    <x v="0"/>
    <n v="4"/>
    <n v="196"/>
    <n v="13720"/>
    <n v="52"/>
    <n v="37"/>
  </r>
  <r>
    <x v="2"/>
    <x v="1"/>
    <n v="4"/>
    <n v="219"/>
    <n v="10950"/>
    <n v="42"/>
    <n v="44"/>
  </r>
  <r>
    <x v="2"/>
    <x v="0"/>
    <n v="3"/>
    <n v="234"/>
    <n v="16380"/>
    <n v="37"/>
    <n v="29"/>
  </r>
  <r>
    <x v="2"/>
    <x v="0"/>
    <n v="1"/>
    <n v="206"/>
    <n v="14420"/>
    <n v="50"/>
    <n v="34"/>
  </r>
  <r>
    <x v="2"/>
    <x v="1"/>
    <n v="2"/>
    <n v="211"/>
    <n v="10550"/>
    <n v="49"/>
    <n v="49"/>
  </r>
  <r>
    <x v="0"/>
    <x v="1"/>
    <n v="3"/>
    <n v="189"/>
    <n v="9450"/>
    <n v="53"/>
    <n v="55"/>
  </r>
  <r>
    <x v="2"/>
    <x v="2"/>
    <n v="1"/>
    <n v="221"/>
    <n v="6630"/>
    <n v="41"/>
    <n v="64"/>
  </r>
  <r>
    <x v="0"/>
    <x v="2"/>
    <n v="4"/>
    <n v="432"/>
    <n v="32960"/>
    <n v="9"/>
    <n v="4"/>
  </r>
  <r>
    <x v="1"/>
    <x v="0"/>
    <n v="3"/>
    <n v="323"/>
    <n v="22610"/>
    <n v="28"/>
    <n v="22"/>
  </r>
  <r>
    <x v="1"/>
    <x v="1"/>
    <n v="3"/>
    <n v="324"/>
    <n v="16200"/>
    <n v="26"/>
    <n v="31"/>
  </r>
  <r>
    <x v="1"/>
    <x v="2"/>
    <n v="4"/>
    <n v="342"/>
    <n v="10260"/>
    <n v="22"/>
    <n v="50"/>
  </r>
  <r>
    <x v="1"/>
    <x v="1"/>
    <n v="4"/>
    <n v="287"/>
    <n v="14350"/>
    <n v="34"/>
    <n v="35"/>
  </r>
  <r>
    <x v="2"/>
    <x v="1"/>
    <n v="3"/>
    <n v="218"/>
    <n v="10900"/>
    <n v="44"/>
    <n v="46"/>
  </r>
  <r>
    <x v="0"/>
    <x v="1"/>
    <n v="1"/>
    <n v="301"/>
    <n v="15050"/>
    <n v="33"/>
    <n v="32"/>
  </r>
  <r>
    <x v="0"/>
    <x v="2"/>
    <n v="1"/>
    <n v="306"/>
    <n v="29180"/>
    <n v="32"/>
    <n v="9"/>
  </r>
  <r>
    <x v="0"/>
    <x v="0"/>
    <n v="2"/>
    <n v="345"/>
    <n v="24150"/>
    <n v="20"/>
    <n v="15"/>
  </r>
  <r>
    <x v="2"/>
    <x v="2"/>
    <n v="2"/>
    <n v="312"/>
    <n v="9360"/>
    <n v="31"/>
    <n v="56"/>
  </r>
  <r>
    <x v="0"/>
    <x v="0"/>
    <n v="1"/>
    <n v="212"/>
    <n v="14840"/>
    <n v="48"/>
    <n v="33"/>
  </r>
  <r>
    <x v="1"/>
    <x v="0"/>
    <n v="1"/>
    <n v="345"/>
    <n v="24150"/>
    <n v="20"/>
    <n v="15"/>
  </r>
  <r>
    <x v="1"/>
    <x v="2"/>
    <n v="3"/>
    <n v="365"/>
    <n v="10950"/>
    <n v="17"/>
    <n v="44"/>
  </r>
  <r>
    <x v="1"/>
    <x v="0"/>
    <n v="2"/>
    <n v="412"/>
    <n v="28840"/>
    <n v="14"/>
    <n v="10"/>
  </r>
  <r>
    <x v="2"/>
    <x v="2"/>
    <n v="4"/>
    <n v="421"/>
    <n v="12630"/>
    <n v="12"/>
    <n v="40"/>
  </r>
  <r>
    <x v="1"/>
    <x v="1"/>
    <n v="1"/>
    <n v="569"/>
    <n v="28450"/>
    <n v="4"/>
    <n v="11"/>
  </r>
  <r>
    <x v="1"/>
    <x v="2"/>
    <n v="2"/>
    <n v="654"/>
    <n v="19620"/>
    <n v="2"/>
    <n v="26"/>
  </r>
  <r>
    <x v="1"/>
    <x v="2"/>
    <n v="1"/>
    <n v="765"/>
    <n v="22950"/>
    <n v="1"/>
    <n v="20"/>
  </r>
  <r>
    <x v="3"/>
    <x v="0"/>
    <n v="3"/>
    <n v="378"/>
    <n v="26460"/>
    <n v="16"/>
    <n v="14"/>
  </r>
  <r>
    <x v="0"/>
    <x v="2"/>
    <n v="3"/>
    <n v="219"/>
    <n v="12990"/>
    <n v="42"/>
    <n v="39"/>
  </r>
  <r>
    <x v="3"/>
    <x v="0"/>
    <n v="1"/>
    <n v="324"/>
    <n v="22680"/>
    <n v="26"/>
    <n v="21"/>
  </r>
  <r>
    <x v="3"/>
    <x v="0"/>
    <n v="2"/>
    <n v="329"/>
    <n v="23030"/>
    <n v="25"/>
    <n v="19"/>
  </r>
  <r>
    <x v="3"/>
    <x v="0"/>
    <n v="4"/>
    <n v="398"/>
    <n v="27860"/>
    <n v="15"/>
    <n v="12"/>
  </r>
  <r>
    <x v="1"/>
    <x v="3"/>
    <n v="1"/>
    <n v="436"/>
    <n v="35648"/>
    <n v="7"/>
    <n v="3"/>
  </r>
  <r>
    <x v="3"/>
    <x v="3"/>
    <n v="3"/>
    <n v="232"/>
    <n v="11298"/>
    <n v="39"/>
    <n v="42"/>
  </r>
  <r>
    <x v="1"/>
    <x v="3"/>
    <n v="3"/>
    <n v="231"/>
    <n v="23217"/>
    <n v="40"/>
    <n v="18"/>
  </r>
  <r>
    <x v="3"/>
    <x v="3"/>
    <n v="1"/>
    <n v="321"/>
    <n v="18976"/>
    <n v="29"/>
    <n v="27"/>
  </r>
  <r>
    <x v="2"/>
    <x v="3"/>
    <n v="1"/>
    <n v="123"/>
    <n v="7685"/>
    <n v="62"/>
    <n v="63"/>
  </r>
  <r>
    <x v="2"/>
    <x v="3"/>
    <n v="2"/>
    <n v="342"/>
    <n v="23718"/>
    <n v="22"/>
    <n v="17"/>
  </r>
  <r>
    <x v="3"/>
    <x v="1"/>
    <n v="1"/>
    <n v="234"/>
    <n v="14321"/>
    <n v="37"/>
    <n v="36"/>
  </r>
  <r>
    <x v="2"/>
    <x v="3"/>
    <n v="4"/>
    <n v="341"/>
    <n v="26785"/>
    <n v="24"/>
    <n v="13"/>
  </r>
  <r>
    <x v="3"/>
    <x v="2"/>
    <n v="4"/>
    <n v="421"/>
    <n v="32534"/>
    <n v="12"/>
    <n v="5"/>
  </r>
  <r>
    <x v="0"/>
    <x v="3"/>
    <n v="1"/>
    <n v="166"/>
    <n v="8765"/>
    <n v="56"/>
    <n v="59"/>
  </r>
  <r>
    <x v="3"/>
    <x v="1"/>
    <n v="3"/>
    <n v="129"/>
    <n v="9637"/>
    <n v="60"/>
    <n v="53"/>
  </r>
  <r>
    <x v="0"/>
    <x v="3"/>
    <n v="3"/>
    <n v="216"/>
    <n v="10238"/>
    <n v="46"/>
    <n v="51"/>
  </r>
  <r>
    <x v="3"/>
    <x v="2"/>
    <n v="2"/>
    <n v="217"/>
    <n v="20453"/>
    <n v="45"/>
    <n v="25"/>
  </r>
  <r>
    <x v="0"/>
    <x v="3"/>
    <n v="4"/>
    <n v="432"/>
    <n v="20563"/>
    <n v="9"/>
    <n v="24"/>
  </r>
  <r>
    <x v="1"/>
    <x v="3"/>
    <n v="4"/>
    <n v="365"/>
    <n v="29879"/>
    <n v="17"/>
    <n v="7"/>
  </r>
  <r>
    <x v="3"/>
    <x v="3"/>
    <n v="2"/>
    <n v="112"/>
    <n v="8798"/>
    <n v="63"/>
    <n v="58"/>
  </r>
  <r>
    <x v="3"/>
    <x v="3"/>
    <n v="4"/>
    <n v="261"/>
    <n v="11675"/>
    <n v="35"/>
    <n v="41"/>
  </r>
  <r>
    <x v="1"/>
    <x v="3"/>
    <n v="2"/>
    <n v="654"/>
    <n v="45321"/>
    <n v="2"/>
    <n v="1"/>
  </r>
  <r>
    <x v="3"/>
    <x v="1"/>
    <n v="2"/>
    <n v="432"/>
    <n v="31256"/>
    <n v="9"/>
    <n v="6"/>
  </r>
  <r>
    <x v="2"/>
    <x v="2"/>
    <n v="3"/>
    <n v="543"/>
    <n v="16290"/>
    <n v="5"/>
    <n v="30"/>
  </r>
  <r>
    <x v="3"/>
    <x v="1"/>
    <n v="4"/>
    <n v="112"/>
    <n v="8178"/>
    <n v="63"/>
    <n v="62"/>
  </r>
  <r>
    <x v="3"/>
    <x v="2"/>
    <n v="1"/>
    <n v="156"/>
    <n v="10786"/>
    <n v="58"/>
    <n v="47"/>
  </r>
  <r>
    <x v="0"/>
    <x v="3"/>
    <n v="2"/>
    <n v="199"/>
    <n v="9675"/>
    <n v="51"/>
    <n v="52"/>
  </r>
  <r>
    <x v="3"/>
    <x v="2"/>
    <n v="3"/>
    <n v="356"/>
    <n v="29342"/>
    <n v="19"/>
    <n v="8"/>
  </r>
  <r>
    <x v="2"/>
    <x v="3"/>
    <n v="3"/>
    <n v="542"/>
    <n v="41234"/>
    <n v="6"/>
    <n v="2"/>
  </r>
  <r>
    <x v="0"/>
    <x v="2"/>
    <n v="2"/>
    <n v="148"/>
    <n v="9078"/>
    <n v="59"/>
    <n v="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I6:N12" firstHeaderRow="1" firstDataRow="2" firstDataCol="1"/>
  <pivotFields count="7">
    <pivotField axis="axisRow" showAll="0">
      <items count="5">
        <item x="1"/>
        <item x="2"/>
        <item x="0"/>
        <item x="3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求和项:销售数量(册)" fld="3" baseField="0" baseItem="0"/>
  </dataFields>
  <pivotTableStyleInfo name="PivotStyleLight2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Views>
    <sheetView tabSelected="1" topLeftCell="B10" workbookViewId="0">
      <selection activeCell="G19" sqref="G19"/>
    </sheetView>
  </sheetViews>
  <sheetFormatPr defaultColWidth="8.75" defaultRowHeight="14.25" x14ac:dyDescent="0.15"/>
  <cols>
    <col min="1" max="2" width="8.75" style="3"/>
    <col min="3" max="3" width="6.5" style="3" customWidth="1"/>
    <col min="4" max="4" width="8.75" style="3"/>
    <col min="5" max="5" width="8.875" style="3" bestFit="1" customWidth="1"/>
    <col min="6" max="6" width="10.25" style="3" customWidth="1"/>
    <col min="7" max="8" width="8.75" style="3"/>
    <col min="9" max="9" width="9.25" style="3" bestFit="1" customWidth="1"/>
    <col min="10" max="10" width="8.75" style="3"/>
    <col min="11" max="11" width="14.125" style="3" customWidth="1"/>
    <col min="12" max="16384" width="8.75" style="3"/>
  </cols>
  <sheetData>
    <row r="1" spans="1:11" x14ac:dyDescent="0.15">
      <c r="A1" s="24" t="s">
        <v>130</v>
      </c>
      <c r="B1" s="24"/>
      <c r="C1" s="24"/>
      <c r="D1" s="24"/>
      <c r="E1" s="24"/>
      <c r="F1" s="24"/>
    </row>
    <row r="2" spans="1:11" x14ac:dyDescent="0.15">
      <c r="A2" s="1" t="s">
        <v>0</v>
      </c>
      <c r="B2" s="17" t="s">
        <v>1</v>
      </c>
      <c r="C2" s="17" t="s">
        <v>126</v>
      </c>
      <c r="D2" s="17" t="s">
        <v>127</v>
      </c>
      <c r="E2" s="17" t="s">
        <v>3</v>
      </c>
      <c r="F2" s="18" t="s">
        <v>100</v>
      </c>
    </row>
    <row r="3" spans="1:11" x14ac:dyDescent="0.15">
      <c r="A3" s="4" t="s">
        <v>4</v>
      </c>
      <c r="B3" s="7" t="s">
        <v>5</v>
      </c>
      <c r="C3" s="7">
        <v>59</v>
      </c>
      <c r="D3" s="15" t="s">
        <v>6</v>
      </c>
      <c r="E3" s="15" t="s">
        <v>7</v>
      </c>
      <c r="F3" s="7">
        <f>VLOOKUP(E3,学历与基础薪酬对照表!$A$1:$B$5,2,0)</f>
        <v>15000</v>
      </c>
    </row>
    <row r="4" spans="1:11" x14ac:dyDescent="0.15">
      <c r="A4" s="4" t="s">
        <v>8</v>
      </c>
      <c r="B4" s="7" t="s">
        <v>98</v>
      </c>
      <c r="C4" s="7">
        <v>58</v>
      </c>
      <c r="D4" s="15" t="s">
        <v>6</v>
      </c>
      <c r="E4" s="15" t="s">
        <v>9</v>
      </c>
      <c r="F4" s="7">
        <f>VLOOKUP(E4,学历与基础薪酬对照表!$A$1:$B$5,2,0)</f>
        <v>12000</v>
      </c>
      <c r="H4" s="24" t="s">
        <v>129</v>
      </c>
      <c r="I4" s="24"/>
      <c r="J4" s="24"/>
      <c r="K4" s="24"/>
    </row>
    <row r="5" spans="1:11" x14ac:dyDescent="0.15">
      <c r="A5" s="4" t="s">
        <v>10</v>
      </c>
      <c r="B5" s="7" t="s">
        <v>11</v>
      </c>
      <c r="C5" s="7">
        <v>43</v>
      </c>
      <c r="D5" s="15" t="s">
        <v>6</v>
      </c>
      <c r="E5" s="15" t="s">
        <v>12</v>
      </c>
      <c r="F5" s="7">
        <f>VLOOKUP(E5,学历与基础薪酬对照表!$A$1:$B$5,2,0)</f>
        <v>9000</v>
      </c>
      <c r="H5" s="2" t="s">
        <v>2</v>
      </c>
      <c r="I5" s="6" t="s">
        <v>98</v>
      </c>
      <c r="J5" s="6" t="s">
        <v>99</v>
      </c>
      <c r="K5" s="5" t="s">
        <v>128</v>
      </c>
    </row>
    <row r="6" spans="1:11" x14ac:dyDescent="0.15">
      <c r="A6" s="4" t="s">
        <v>13</v>
      </c>
      <c r="B6" s="7" t="s">
        <v>5</v>
      </c>
      <c r="C6" s="7">
        <v>36</v>
      </c>
      <c r="D6" s="15" t="s">
        <v>6</v>
      </c>
      <c r="E6" s="15" t="s">
        <v>12</v>
      </c>
      <c r="F6" s="7">
        <f>VLOOKUP(E6,学历与基础薪酬对照表!$A$1:$B$5,2,0)</f>
        <v>9000</v>
      </c>
      <c r="H6" s="7" t="s">
        <v>74</v>
      </c>
      <c r="I6" s="6">
        <f>COUNTIFS($D$3:$D$83,H6,$B$3:$B$83,I$5)</f>
        <v>6</v>
      </c>
      <c r="J6" s="6">
        <f>COUNTIFS($D$3:$D$83,H6,$B$3:$B$83,J$5)</f>
        <v>9</v>
      </c>
      <c r="K6" s="20">
        <f ca="1">AVERAGEIF($D$3:$D$83,H6,$C$3:$C$4)</f>
        <v>44.8</v>
      </c>
    </row>
    <row r="7" spans="1:11" x14ac:dyDescent="0.15">
      <c r="A7" s="4" t="s">
        <v>14</v>
      </c>
      <c r="B7" s="7" t="s">
        <v>11</v>
      </c>
      <c r="C7" s="7">
        <v>40</v>
      </c>
      <c r="D7" s="15" t="s">
        <v>6</v>
      </c>
      <c r="E7" s="15" t="s">
        <v>9</v>
      </c>
      <c r="F7" s="7">
        <f>VLOOKUP(E7,学历与基础薪酬对照表!$A$1:$B$5,2,0)</f>
        <v>12000</v>
      </c>
      <c r="H7" s="7" t="s">
        <v>50</v>
      </c>
      <c r="I7" s="6">
        <f t="shared" ref="I7:I12" si="0">COUNTIFS($D$3:$D$83,H7,$B$3:$B$83,I$5)</f>
        <v>16</v>
      </c>
      <c r="J7" s="6">
        <f t="shared" ref="J7:J12" si="1">COUNTIFS($D$3:$D$83,H7,$B$3:$B$83,J$5)</f>
        <v>5</v>
      </c>
      <c r="K7" s="20">
        <f t="shared" ref="K7:K12" ca="1" si="2">AVERAGEIF($D$3:$D$83,H7,$C$3:$C$4)</f>
        <v>48.666666666666664</v>
      </c>
    </row>
    <row r="8" spans="1:11" x14ac:dyDescent="0.15">
      <c r="A8" s="4" t="s">
        <v>15</v>
      </c>
      <c r="B8" s="7" t="s">
        <v>11</v>
      </c>
      <c r="C8" s="7">
        <v>40</v>
      </c>
      <c r="D8" s="15" t="s">
        <v>16</v>
      </c>
      <c r="E8" s="15" t="s">
        <v>12</v>
      </c>
      <c r="F8" s="7">
        <f>VLOOKUP(E8,学历与基础薪酬对照表!$A$1:$B$5,2,0)</f>
        <v>9000</v>
      </c>
      <c r="H8" s="7" t="s">
        <v>6</v>
      </c>
      <c r="I8" s="6">
        <f t="shared" si="0"/>
        <v>3</v>
      </c>
      <c r="J8" s="6">
        <f t="shared" si="1"/>
        <v>2</v>
      </c>
      <c r="K8" s="20">
        <f t="shared" ca="1" si="2"/>
        <v>47.2</v>
      </c>
    </row>
    <row r="9" spans="1:11" x14ac:dyDescent="0.15">
      <c r="A9" s="4" t="s">
        <v>17</v>
      </c>
      <c r="B9" s="7" t="s">
        <v>5</v>
      </c>
      <c r="C9" s="7">
        <v>40</v>
      </c>
      <c r="D9" s="15" t="s">
        <v>16</v>
      </c>
      <c r="E9" s="15" t="s">
        <v>9</v>
      </c>
      <c r="F9" s="7">
        <f>VLOOKUP(E9,学历与基础薪酬对照表!$A$1:$B$5,2,0)</f>
        <v>12000</v>
      </c>
      <c r="H9" s="7" t="s">
        <v>42</v>
      </c>
      <c r="I9" s="6">
        <f t="shared" si="0"/>
        <v>5</v>
      </c>
      <c r="J9" s="6">
        <f t="shared" si="1"/>
        <v>8</v>
      </c>
      <c r="K9" s="20">
        <f t="shared" ca="1" si="2"/>
        <v>44.92307692307692</v>
      </c>
    </row>
    <row r="10" spans="1:11" x14ac:dyDescent="0.15">
      <c r="A10" s="4" t="s">
        <v>18</v>
      </c>
      <c r="B10" s="7" t="s">
        <v>5</v>
      </c>
      <c r="C10" s="7">
        <v>51</v>
      </c>
      <c r="D10" s="15" t="s">
        <v>16</v>
      </c>
      <c r="E10" s="15" t="s">
        <v>12</v>
      </c>
      <c r="F10" s="7">
        <f>VLOOKUP(E10,学历与基础薪酬对照表!$A$1:$B$5,2,0)</f>
        <v>9000</v>
      </c>
      <c r="H10" s="7" t="s">
        <v>25</v>
      </c>
      <c r="I10" s="6">
        <f t="shared" si="0"/>
        <v>2</v>
      </c>
      <c r="J10" s="6">
        <f t="shared" si="1"/>
        <v>4</v>
      </c>
      <c r="K10" s="20">
        <f t="shared" ca="1" si="2"/>
        <v>47.833333333333336</v>
      </c>
    </row>
    <row r="11" spans="1:11" x14ac:dyDescent="0.15">
      <c r="A11" s="4" t="s">
        <v>19</v>
      </c>
      <c r="B11" s="7" t="s">
        <v>5</v>
      </c>
      <c r="C11" s="7">
        <v>45</v>
      </c>
      <c r="D11" s="15" t="s">
        <v>16</v>
      </c>
      <c r="E11" s="15" t="s">
        <v>12</v>
      </c>
      <c r="F11" s="7">
        <f>VLOOKUP(E11,学历与基础薪酬对照表!$A$1:$B$5,2,0)</f>
        <v>9000</v>
      </c>
      <c r="H11" s="7" t="s">
        <v>32</v>
      </c>
      <c r="I11" s="6">
        <f t="shared" si="0"/>
        <v>5</v>
      </c>
      <c r="J11" s="6">
        <f t="shared" si="1"/>
        <v>9</v>
      </c>
      <c r="K11" s="20">
        <f t="shared" ca="1" si="2"/>
        <v>43.714285714285715</v>
      </c>
    </row>
    <row r="12" spans="1:11" x14ac:dyDescent="0.15">
      <c r="A12" s="4" t="s">
        <v>20</v>
      </c>
      <c r="B12" s="7" t="s">
        <v>5</v>
      </c>
      <c r="C12" s="7">
        <v>42</v>
      </c>
      <c r="D12" s="15" t="s">
        <v>16</v>
      </c>
      <c r="E12" s="15" t="s">
        <v>9</v>
      </c>
      <c r="F12" s="7">
        <f>VLOOKUP(E12,学历与基础薪酬对照表!$A$1:$B$5,2,0)</f>
        <v>12000</v>
      </c>
      <c r="H12" s="7" t="s">
        <v>16</v>
      </c>
      <c r="I12" s="6">
        <f t="shared" si="0"/>
        <v>4</v>
      </c>
      <c r="J12" s="6">
        <f t="shared" si="1"/>
        <v>3</v>
      </c>
      <c r="K12" s="20">
        <f t="shared" ca="1" si="2"/>
        <v>45.571428571428569</v>
      </c>
    </row>
    <row r="13" spans="1:11" x14ac:dyDescent="0.15">
      <c r="A13" s="4" t="s">
        <v>22</v>
      </c>
      <c r="B13" s="7" t="s">
        <v>11</v>
      </c>
      <c r="C13" s="7">
        <v>50</v>
      </c>
      <c r="D13" s="15" t="s">
        <v>16</v>
      </c>
      <c r="E13" s="15" t="s">
        <v>12</v>
      </c>
      <c r="F13" s="7">
        <f>VLOOKUP(E13,学历与基础薪酬对照表!$A$1:$B$5,2,0)</f>
        <v>9000</v>
      </c>
    </row>
    <row r="14" spans="1:11" x14ac:dyDescent="0.15">
      <c r="A14" s="4" t="s">
        <v>23</v>
      </c>
      <c r="B14" s="7" t="s">
        <v>11</v>
      </c>
      <c r="C14" s="7">
        <v>51</v>
      </c>
      <c r="D14" s="15" t="s">
        <v>16</v>
      </c>
      <c r="E14" s="15" t="s">
        <v>12</v>
      </c>
      <c r="F14" s="7">
        <f>VLOOKUP(E14,学历与基础薪酬对照表!$A$1:$B$5,2,0)</f>
        <v>9000</v>
      </c>
    </row>
    <row r="15" spans="1:11" x14ac:dyDescent="0.15">
      <c r="A15" s="4" t="s">
        <v>24</v>
      </c>
      <c r="B15" s="7" t="s">
        <v>5</v>
      </c>
      <c r="C15" s="7">
        <v>44</v>
      </c>
      <c r="D15" s="15" t="s">
        <v>25</v>
      </c>
      <c r="E15" s="15" t="s">
        <v>9</v>
      </c>
      <c r="F15" s="7">
        <f>VLOOKUP(E15,学历与基础薪酬对照表!$A$1:$B$5,2,0)</f>
        <v>12000</v>
      </c>
    </row>
    <row r="16" spans="1:11" x14ac:dyDescent="0.15">
      <c r="A16" s="4" t="s">
        <v>26</v>
      </c>
      <c r="B16" s="7" t="s">
        <v>11</v>
      </c>
      <c r="C16" s="7">
        <v>53</v>
      </c>
      <c r="D16" s="15" t="s">
        <v>25</v>
      </c>
      <c r="E16" s="15" t="s">
        <v>12</v>
      </c>
      <c r="F16" s="7">
        <f>VLOOKUP(E16,学历与基础薪酬对照表!$A$1:$B$5,2,0)</f>
        <v>9000</v>
      </c>
    </row>
    <row r="17" spans="1:8" x14ac:dyDescent="0.15">
      <c r="A17" s="4" t="s">
        <v>27</v>
      </c>
      <c r="B17" s="7" t="s">
        <v>5</v>
      </c>
      <c r="C17" s="7">
        <v>55</v>
      </c>
      <c r="D17" s="15" t="s">
        <v>25</v>
      </c>
      <c r="E17" s="15" t="s">
        <v>12</v>
      </c>
      <c r="F17" s="7">
        <f>VLOOKUP(E17,学历与基础薪酬对照表!$A$1:$B$5,2,0)</f>
        <v>9000</v>
      </c>
    </row>
    <row r="18" spans="1:8" x14ac:dyDescent="0.15">
      <c r="A18" s="4" t="s">
        <v>28</v>
      </c>
      <c r="B18" s="7" t="s">
        <v>11</v>
      </c>
      <c r="C18" s="7">
        <v>55</v>
      </c>
      <c r="D18" s="15" t="s">
        <v>25</v>
      </c>
      <c r="E18" s="15" t="s">
        <v>9</v>
      </c>
      <c r="F18" s="7">
        <f>VLOOKUP(E18,学历与基础薪酬对照表!$A$1:$B$5,2,0)</f>
        <v>12000</v>
      </c>
    </row>
    <row r="19" spans="1:8" x14ac:dyDescent="0.15">
      <c r="A19" s="4" t="s">
        <v>29</v>
      </c>
      <c r="B19" s="7" t="s">
        <v>11</v>
      </c>
      <c r="C19" s="7">
        <v>28</v>
      </c>
      <c r="D19" s="15" t="s">
        <v>25</v>
      </c>
      <c r="E19" s="15" t="s">
        <v>12</v>
      </c>
      <c r="F19" s="7">
        <f>VLOOKUP(E19,学历与基础薪酬对照表!$A$1:$B$5,2,0)</f>
        <v>9000</v>
      </c>
    </row>
    <row r="20" spans="1:8" x14ac:dyDescent="0.15">
      <c r="A20" s="4" t="s">
        <v>30</v>
      </c>
      <c r="B20" s="7" t="s">
        <v>11</v>
      </c>
      <c r="C20" s="7">
        <v>52</v>
      </c>
      <c r="D20" s="15" t="s">
        <v>25</v>
      </c>
      <c r="E20" s="15" t="s">
        <v>12</v>
      </c>
      <c r="F20" s="7">
        <f>VLOOKUP(E20,学历与基础薪酬对照表!$A$1:$B$5,2,0)</f>
        <v>9000</v>
      </c>
    </row>
    <row r="21" spans="1:8" x14ac:dyDescent="0.15">
      <c r="A21" s="4" t="s">
        <v>31</v>
      </c>
      <c r="B21" s="7" t="s">
        <v>11</v>
      </c>
      <c r="C21" s="7">
        <v>42</v>
      </c>
      <c r="D21" s="15" t="s">
        <v>32</v>
      </c>
      <c r="E21" s="15" t="s">
        <v>12</v>
      </c>
      <c r="F21" s="7">
        <f>VLOOKUP(E21,学历与基础薪酬对照表!$A$1:$B$5,2,0)</f>
        <v>9000</v>
      </c>
    </row>
    <row r="22" spans="1:8" x14ac:dyDescent="0.15">
      <c r="A22" s="4" t="s">
        <v>33</v>
      </c>
      <c r="B22" s="7" t="s">
        <v>5</v>
      </c>
      <c r="C22" s="7">
        <v>37</v>
      </c>
      <c r="D22" s="15" t="s">
        <v>32</v>
      </c>
      <c r="E22" s="15" t="s">
        <v>7</v>
      </c>
      <c r="F22" s="7">
        <f>VLOOKUP(E22,学历与基础薪酬对照表!$A$1:$B$5,2,0)</f>
        <v>15000</v>
      </c>
    </row>
    <row r="23" spans="1:8" x14ac:dyDescent="0.15">
      <c r="A23" s="4" t="s">
        <v>34</v>
      </c>
      <c r="B23" s="7" t="s">
        <v>5</v>
      </c>
      <c r="C23" s="7">
        <v>54</v>
      </c>
      <c r="D23" s="15" t="s">
        <v>32</v>
      </c>
      <c r="E23" s="15" t="s">
        <v>12</v>
      </c>
      <c r="F23" s="7">
        <f>VLOOKUP(E23,学历与基础薪酬对照表!$A$1:$B$5,2,0)</f>
        <v>9000</v>
      </c>
    </row>
    <row r="24" spans="1:8" x14ac:dyDescent="0.15">
      <c r="A24" s="4" t="s">
        <v>35</v>
      </c>
      <c r="B24" s="7" t="s">
        <v>11</v>
      </c>
      <c r="C24" s="7">
        <v>54</v>
      </c>
      <c r="D24" s="15" t="s">
        <v>32</v>
      </c>
      <c r="E24" s="15" t="s">
        <v>9</v>
      </c>
      <c r="F24" s="7">
        <f>VLOOKUP(E24,学历与基础薪酬对照表!$A$1:$B$5,2,0)</f>
        <v>12000</v>
      </c>
    </row>
    <row r="25" spans="1:8" x14ac:dyDescent="0.15">
      <c r="A25" s="4" t="s">
        <v>36</v>
      </c>
      <c r="B25" s="7" t="s">
        <v>11</v>
      </c>
      <c r="C25" s="7">
        <v>40</v>
      </c>
      <c r="D25" s="15" t="s">
        <v>32</v>
      </c>
      <c r="E25" s="15" t="s">
        <v>12</v>
      </c>
      <c r="F25" s="7">
        <f>VLOOKUP(E25,学历与基础薪酬对照表!$A$1:$B$5,2,0)</f>
        <v>9000</v>
      </c>
    </row>
    <row r="26" spans="1:8" x14ac:dyDescent="0.15">
      <c r="A26" s="4" t="s">
        <v>37</v>
      </c>
      <c r="B26" s="7" t="s">
        <v>11</v>
      </c>
      <c r="C26" s="7">
        <v>37</v>
      </c>
      <c r="D26" s="15" t="s">
        <v>32</v>
      </c>
      <c r="E26" s="15" t="s">
        <v>7</v>
      </c>
      <c r="F26" s="7">
        <f>VLOOKUP(E26,学历与基础薪酬对照表!$A$1:$B$5,2,0)</f>
        <v>15000</v>
      </c>
    </row>
    <row r="27" spans="1:8" x14ac:dyDescent="0.15">
      <c r="A27" s="4" t="s">
        <v>38</v>
      </c>
      <c r="B27" s="7" t="s">
        <v>11</v>
      </c>
      <c r="C27" s="7">
        <v>44</v>
      </c>
      <c r="D27" s="15" t="s">
        <v>32</v>
      </c>
      <c r="E27" s="15" t="s">
        <v>12</v>
      </c>
      <c r="F27" s="7">
        <f>VLOOKUP(E27,学历与基础薪酬对照表!$A$1:$B$5,2,0)</f>
        <v>9000</v>
      </c>
    </row>
    <row r="28" spans="1:8" x14ac:dyDescent="0.15">
      <c r="A28" s="4" t="s">
        <v>39</v>
      </c>
      <c r="B28" s="7" t="s">
        <v>5</v>
      </c>
      <c r="C28" s="7">
        <v>42</v>
      </c>
      <c r="D28" s="15" t="s">
        <v>32</v>
      </c>
      <c r="E28" s="15" t="s">
        <v>9</v>
      </c>
      <c r="F28" s="7">
        <f>VLOOKUP(E28,学历与基础薪酬对照表!$A$1:$B$5,2,0)</f>
        <v>12000</v>
      </c>
      <c r="H28" s="8"/>
    </row>
    <row r="29" spans="1:8" x14ac:dyDescent="0.15">
      <c r="A29" s="4" t="s">
        <v>40</v>
      </c>
      <c r="B29" s="7" t="s">
        <v>5</v>
      </c>
      <c r="C29" s="7">
        <v>41</v>
      </c>
      <c r="D29" s="15" t="s">
        <v>32</v>
      </c>
      <c r="E29" s="15" t="s">
        <v>12</v>
      </c>
      <c r="F29" s="7">
        <f>VLOOKUP(E29,学历与基础薪酬对照表!$A$1:$B$5,2,0)</f>
        <v>9000</v>
      </c>
      <c r="H29" s="8"/>
    </row>
    <row r="30" spans="1:8" x14ac:dyDescent="0.15">
      <c r="A30" s="4" t="s">
        <v>41</v>
      </c>
      <c r="B30" s="7" t="s">
        <v>11</v>
      </c>
      <c r="C30" s="7">
        <v>61</v>
      </c>
      <c r="D30" s="15" t="s">
        <v>42</v>
      </c>
      <c r="E30" s="15" t="s">
        <v>9</v>
      </c>
      <c r="F30" s="7">
        <f>VLOOKUP(E30,学历与基础薪酬对照表!$A$1:$B$5,2,0)</f>
        <v>12000</v>
      </c>
      <c r="H30" s="8"/>
    </row>
    <row r="31" spans="1:8" x14ac:dyDescent="0.15">
      <c r="A31" s="4" t="s">
        <v>43</v>
      </c>
      <c r="B31" s="7" t="s">
        <v>5</v>
      </c>
      <c r="C31" s="7">
        <v>37</v>
      </c>
      <c r="D31" s="15" t="s">
        <v>42</v>
      </c>
      <c r="E31" s="15" t="s">
        <v>12</v>
      </c>
      <c r="F31" s="7">
        <f>VLOOKUP(E31,学历与基础薪酬对照表!$A$1:$B$5,2,0)</f>
        <v>9000</v>
      </c>
      <c r="H31" s="8"/>
    </row>
    <row r="32" spans="1:8" x14ac:dyDescent="0.15">
      <c r="A32" s="4" t="s">
        <v>44</v>
      </c>
      <c r="B32" s="7" t="s">
        <v>5</v>
      </c>
      <c r="C32" s="7">
        <v>44</v>
      </c>
      <c r="D32" s="15" t="s">
        <v>42</v>
      </c>
      <c r="E32" s="15" t="s">
        <v>12</v>
      </c>
      <c r="F32" s="7">
        <f>VLOOKUP(E32,学历与基础薪酬对照表!$A$1:$B$5,2,0)</f>
        <v>9000</v>
      </c>
      <c r="H32" s="8"/>
    </row>
    <row r="33" spans="1:8" x14ac:dyDescent="0.15">
      <c r="A33" s="4" t="s">
        <v>45</v>
      </c>
      <c r="B33" s="7" t="s">
        <v>11</v>
      </c>
      <c r="C33" s="7">
        <v>40</v>
      </c>
      <c r="D33" s="15" t="s">
        <v>42</v>
      </c>
      <c r="E33" s="15" t="s">
        <v>9</v>
      </c>
      <c r="F33" s="7">
        <f>VLOOKUP(E33,学历与基础薪酬对照表!$A$1:$B$5,2,0)</f>
        <v>12000</v>
      </c>
      <c r="H33" s="8"/>
    </row>
    <row r="34" spans="1:8" x14ac:dyDescent="0.15">
      <c r="A34" s="4" t="s">
        <v>46</v>
      </c>
      <c r="B34" s="7" t="s">
        <v>11</v>
      </c>
      <c r="C34" s="7">
        <v>42</v>
      </c>
      <c r="D34" s="15" t="s">
        <v>42</v>
      </c>
      <c r="E34" s="15" t="s">
        <v>12</v>
      </c>
      <c r="F34" s="7">
        <f>VLOOKUP(E34,学历与基础薪酬对照表!$A$1:$B$5,2,0)</f>
        <v>9000</v>
      </c>
      <c r="H34" s="8"/>
    </row>
    <row r="35" spans="1:8" x14ac:dyDescent="0.15">
      <c r="A35" s="4" t="s">
        <v>47</v>
      </c>
      <c r="B35" s="7" t="s">
        <v>5</v>
      </c>
      <c r="C35" s="7">
        <v>44</v>
      </c>
      <c r="D35" s="15" t="s">
        <v>42</v>
      </c>
      <c r="E35" s="15" t="s">
        <v>12</v>
      </c>
      <c r="F35" s="7">
        <f>VLOOKUP(E35,学历与基础薪酬对照表!$A$1:$B$5,2,0)</f>
        <v>9000</v>
      </c>
      <c r="H35" s="8"/>
    </row>
    <row r="36" spans="1:8" x14ac:dyDescent="0.15">
      <c r="A36" s="4" t="s">
        <v>48</v>
      </c>
      <c r="B36" s="16" t="s">
        <v>11</v>
      </c>
      <c r="C36" s="7">
        <v>44</v>
      </c>
      <c r="D36" s="15" t="s">
        <v>42</v>
      </c>
      <c r="E36" s="15" t="s">
        <v>12</v>
      </c>
      <c r="F36" s="7">
        <f>VLOOKUP(E36,学历与基础薪酬对照表!$A$1:$B$5,2,0)</f>
        <v>9000</v>
      </c>
      <c r="H36" s="8"/>
    </row>
    <row r="37" spans="1:8" x14ac:dyDescent="0.15">
      <c r="A37" s="4" t="s">
        <v>49</v>
      </c>
      <c r="B37" s="7" t="s">
        <v>5</v>
      </c>
      <c r="C37" s="7">
        <v>55</v>
      </c>
      <c r="D37" s="15" t="s">
        <v>50</v>
      </c>
      <c r="E37" s="15" t="s">
        <v>12</v>
      </c>
      <c r="F37" s="7">
        <f>VLOOKUP(E37,学历与基础薪酬对照表!$A$1:$B$5,2,0)</f>
        <v>9000</v>
      </c>
      <c r="H37" s="8"/>
    </row>
    <row r="38" spans="1:8" x14ac:dyDescent="0.15">
      <c r="A38" s="4" t="s">
        <v>51</v>
      </c>
      <c r="B38" s="7" t="s">
        <v>5</v>
      </c>
      <c r="C38" s="7">
        <v>53</v>
      </c>
      <c r="D38" s="15" t="s">
        <v>50</v>
      </c>
      <c r="E38" s="15" t="s">
        <v>12</v>
      </c>
      <c r="F38" s="7">
        <f>VLOOKUP(E38,学历与基础薪酬对照表!$A$1:$B$5,2,0)</f>
        <v>9000</v>
      </c>
      <c r="H38" s="8"/>
    </row>
    <row r="39" spans="1:8" x14ac:dyDescent="0.15">
      <c r="A39" s="4" t="s">
        <v>52</v>
      </c>
      <c r="B39" s="7" t="s">
        <v>5</v>
      </c>
      <c r="C39" s="7">
        <v>51</v>
      </c>
      <c r="D39" s="15" t="s">
        <v>50</v>
      </c>
      <c r="E39" s="15" t="s">
        <v>12</v>
      </c>
      <c r="F39" s="7">
        <f>VLOOKUP(E39,学历与基础薪酬对照表!$A$1:$B$5,2,0)</f>
        <v>9000</v>
      </c>
      <c r="H39" s="8"/>
    </row>
    <row r="40" spans="1:8" x14ac:dyDescent="0.15">
      <c r="A40" s="4" t="s">
        <v>53</v>
      </c>
      <c r="B40" s="7" t="s">
        <v>5</v>
      </c>
      <c r="C40" s="7">
        <v>50</v>
      </c>
      <c r="D40" s="15" t="s">
        <v>50</v>
      </c>
      <c r="E40" s="15" t="s">
        <v>9</v>
      </c>
      <c r="F40" s="7">
        <f>VLOOKUP(E40,学历与基础薪酬对照表!$A$1:$B$5,2,0)</f>
        <v>12000</v>
      </c>
      <c r="H40" s="8"/>
    </row>
    <row r="41" spans="1:8" x14ac:dyDescent="0.15">
      <c r="A41" s="4" t="s">
        <v>54</v>
      </c>
      <c r="B41" s="7" t="s">
        <v>5</v>
      </c>
      <c r="C41" s="7">
        <v>45</v>
      </c>
      <c r="D41" s="15" t="s">
        <v>50</v>
      </c>
      <c r="E41" s="15" t="s">
        <v>12</v>
      </c>
      <c r="F41" s="7">
        <f>VLOOKUP(E41,学历与基础薪酬对照表!$A$1:$B$5,2,0)</f>
        <v>9000</v>
      </c>
    </row>
    <row r="42" spans="1:8" x14ac:dyDescent="0.15">
      <c r="A42" s="4" t="s">
        <v>55</v>
      </c>
      <c r="B42" s="7" t="s">
        <v>11</v>
      </c>
      <c r="C42" s="7">
        <v>49</v>
      </c>
      <c r="D42" s="15" t="s">
        <v>50</v>
      </c>
      <c r="E42" s="15" t="s">
        <v>12</v>
      </c>
      <c r="F42" s="7">
        <f>VLOOKUP(E42,学历与基础薪酬对照表!$A$1:$B$5,2,0)</f>
        <v>9000</v>
      </c>
    </row>
    <row r="43" spans="1:8" x14ac:dyDescent="0.15">
      <c r="A43" s="4" t="s">
        <v>56</v>
      </c>
      <c r="B43" s="7" t="s">
        <v>11</v>
      </c>
      <c r="C43" s="7">
        <v>48</v>
      </c>
      <c r="D43" s="15" t="s">
        <v>50</v>
      </c>
      <c r="E43" s="15" t="s">
        <v>12</v>
      </c>
      <c r="F43" s="7">
        <f>VLOOKUP(E43,学历与基础薪酬对照表!$A$1:$B$5,2,0)</f>
        <v>9000</v>
      </c>
    </row>
    <row r="44" spans="1:8" x14ac:dyDescent="0.15">
      <c r="A44" s="4" t="s">
        <v>57</v>
      </c>
      <c r="B44" s="7" t="s">
        <v>5</v>
      </c>
      <c r="C44" s="7">
        <v>41</v>
      </c>
      <c r="D44" s="15" t="s">
        <v>50</v>
      </c>
      <c r="E44" s="15" t="s">
        <v>9</v>
      </c>
      <c r="F44" s="7">
        <f>VLOOKUP(E44,学历与基础薪酬对照表!$A$1:$B$5,2,0)</f>
        <v>12000</v>
      </c>
    </row>
    <row r="45" spans="1:8" x14ac:dyDescent="0.15">
      <c r="A45" s="4" t="s">
        <v>58</v>
      </c>
      <c r="B45" s="7" t="s">
        <v>5</v>
      </c>
      <c r="C45" s="7">
        <v>44</v>
      </c>
      <c r="D45" s="15" t="s">
        <v>50</v>
      </c>
      <c r="E45" s="15" t="s">
        <v>12</v>
      </c>
      <c r="F45" s="7">
        <f>VLOOKUP(E45,学历与基础薪酬对照表!$A$1:$B$5,2,0)</f>
        <v>9000</v>
      </c>
    </row>
    <row r="46" spans="1:8" x14ac:dyDescent="0.15">
      <c r="A46" s="4" t="s">
        <v>59</v>
      </c>
      <c r="B46" s="7" t="s">
        <v>5</v>
      </c>
      <c r="C46" s="7">
        <v>45</v>
      </c>
      <c r="D46" s="15" t="s">
        <v>50</v>
      </c>
      <c r="E46" s="15" t="s">
        <v>12</v>
      </c>
      <c r="F46" s="7">
        <f>VLOOKUP(E46,学历与基础薪酬对照表!$A$1:$B$5,2,0)</f>
        <v>9000</v>
      </c>
    </row>
    <row r="47" spans="1:8" x14ac:dyDescent="0.15">
      <c r="A47" s="4" t="s">
        <v>60</v>
      </c>
      <c r="B47" s="7" t="s">
        <v>5</v>
      </c>
      <c r="C47" s="7">
        <v>49</v>
      </c>
      <c r="D47" s="15" t="s">
        <v>50</v>
      </c>
      <c r="E47" s="15" t="s">
        <v>7</v>
      </c>
      <c r="F47" s="7">
        <f>VLOOKUP(E47,学历与基础薪酬对照表!$A$1:$B$5,2,0)</f>
        <v>15000</v>
      </c>
    </row>
    <row r="48" spans="1:8" x14ac:dyDescent="0.15">
      <c r="A48" s="4" t="s">
        <v>61</v>
      </c>
      <c r="B48" s="7" t="s">
        <v>11</v>
      </c>
      <c r="C48" s="7">
        <v>41</v>
      </c>
      <c r="D48" s="15" t="s">
        <v>50</v>
      </c>
      <c r="E48" s="15" t="s">
        <v>12</v>
      </c>
      <c r="F48" s="7">
        <f>VLOOKUP(E48,学历与基础薪酬对照表!$A$1:$B$5,2,0)</f>
        <v>9000</v>
      </c>
    </row>
    <row r="49" spans="1:6" x14ac:dyDescent="0.15">
      <c r="A49" s="4" t="s">
        <v>62</v>
      </c>
      <c r="B49" s="7" t="s">
        <v>11</v>
      </c>
      <c r="C49" s="7">
        <v>44</v>
      </c>
      <c r="D49" s="15" t="s">
        <v>50</v>
      </c>
      <c r="E49" s="15" t="s">
        <v>12</v>
      </c>
      <c r="F49" s="7">
        <f>VLOOKUP(E49,学历与基础薪酬对照表!$A$1:$B$5,2,0)</f>
        <v>9000</v>
      </c>
    </row>
    <row r="50" spans="1:6" x14ac:dyDescent="0.15">
      <c r="A50" s="4" t="s">
        <v>63</v>
      </c>
      <c r="B50" s="7" t="s">
        <v>5</v>
      </c>
      <c r="C50" s="7">
        <v>45</v>
      </c>
      <c r="D50" s="15" t="s">
        <v>50</v>
      </c>
      <c r="E50" s="15" t="s">
        <v>12</v>
      </c>
      <c r="F50" s="7">
        <f>VLOOKUP(E50,学历与基础薪酬对照表!$A$1:$B$5,2,0)</f>
        <v>9000</v>
      </c>
    </row>
    <row r="51" spans="1:6" x14ac:dyDescent="0.15">
      <c r="A51" s="4" t="s">
        <v>64</v>
      </c>
      <c r="B51" s="7" t="s">
        <v>5</v>
      </c>
      <c r="C51" s="7">
        <v>42</v>
      </c>
      <c r="D51" s="15" t="s">
        <v>50</v>
      </c>
      <c r="E51" s="15" t="s">
        <v>12</v>
      </c>
      <c r="F51" s="7">
        <f>VLOOKUP(E51,学历与基础薪酬对照表!$A$1:$B$5,2,0)</f>
        <v>9000</v>
      </c>
    </row>
    <row r="52" spans="1:6" x14ac:dyDescent="0.15">
      <c r="A52" s="4" t="s">
        <v>65</v>
      </c>
      <c r="B52" s="7" t="s">
        <v>5</v>
      </c>
      <c r="C52" s="7">
        <v>42</v>
      </c>
      <c r="D52" s="15" t="s">
        <v>50</v>
      </c>
      <c r="E52" s="15" t="s">
        <v>7</v>
      </c>
      <c r="F52" s="7">
        <f>VLOOKUP(E52,学历与基础薪酬对照表!$A$1:$B$5,2,0)</f>
        <v>15000</v>
      </c>
    </row>
    <row r="53" spans="1:6" x14ac:dyDescent="0.15">
      <c r="A53" s="4" t="s">
        <v>66</v>
      </c>
      <c r="B53" s="7" t="s">
        <v>5</v>
      </c>
      <c r="C53" s="7">
        <v>43</v>
      </c>
      <c r="D53" s="15" t="s">
        <v>50</v>
      </c>
      <c r="E53" s="15" t="s">
        <v>12</v>
      </c>
      <c r="F53" s="7">
        <f>VLOOKUP(E53,学历与基础薪酬对照表!$A$1:$B$5,2,0)</f>
        <v>9000</v>
      </c>
    </row>
    <row r="54" spans="1:6" x14ac:dyDescent="0.15">
      <c r="A54" s="4" t="s">
        <v>67</v>
      </c>
      <c r="B54" s="7" t="s">
        <v>5</v>
      </c>
      <c r="C54" s="7">
        <v>63</v>
      </c>
      <c r="D54" s="15" t="s">
        <v>50</v>
      </c>
      <c r="E54" s="15" t="s">
        <v>12</v>
      </c>
      <c r="F54" s="7">
        <f>VLOOKUP(E54,学历与基础薪酬对照表!$A$1:$B$5,2,0)</f>
        <v>9000</v>
      </c>
    </row>
    <row r="55" spans="1:6" x14ac:dyDescent="0.15">
      <c r="A55" s="4" t="s">
        <v>68</v>
      </c>
      <c r="B55" s="7" t="s">
        <v>11</v>
      </c>
      <c r="C55" s="7">
        <v>46</v>
      </c>
      <c r="D55" s="15" t="s">
        <v>32</v>
      </c>
      <c r="E55" s="15" t="s">
        <v>12</v>
      </c>
      <c r="F55" s="7">
        <f>VLOOKUP(E55,学历与基础薪酬对照表!$A$1:$B$5,2,0)</f>
        <v>9000</v>
      </c>
    </row>
    <row r="56" spans="1:6" x14ac:dyDescent="0.15">
      <c r="A56" s="4" t="s">
        <v>69</v>
      </c>
      <c r="B56" s="7" t="s">
        <v>11</v>
      </c>
      <c r="C56" s="7">
        <v>44</v>
      </c>
      <c r="D56" s="15" t="s">
        <v>32</v>
      </c>
      <c r="E56" s="15" t="s">
        <v>9</v>
      </c>
      <c r="F56" s="7">
        <f>VLOOKUP(E56,学历与基础薪酬对照表!$A$1:$B$5,2,0)</f>
        <v>12000</v>
      </c>
    </row>
    <row r="57" spans="1:6" x14ac:dyDescent="0.15">
      <c r="A57" s="4" t="s">
        <v>70</v>
      </c>
      <c r="B57" s="7" t="s">
        <v>11</v>
      </c>
      <c r="C57" s="7">
        <v>43</v>
      </c>
      <c r="D57" s="15" t="s">
        <v>32</v>
      </c>
      <c r="E57" s="15" t="s">
        <v>12</v>
      </c>
      <c r="F57" s="7">
        <f>VLOOKUP(E57,学历与基础薪酬对照表!$A$1:$B$5,2,0)</f>
        <v>9000</v>
      </c>
    </row>
    <row r="58" spans="1:6" x14ac:dyDescent="0.15">
      <c r="A58" s="4" t="s">
        <v>71</v>
      </c>
      <c r="B58" s="7" t="s">
        <v>5</v>
      </c>
      <c r="C58" s="7">
        <v>43</v>
      </c>
      <c r="D58" s="15" t="s">
        <v>32</v>
      </c>
      <c r="E58" s="15" t="s">
        <v>12</v>
      </c>
      <c r="F58" s="7">
        <f>VLOOKUP(E58,学历与基础薪酬对照表!$A$1:$B$5,2,0)</f>
        <v>9000</v>
      </c>
    </row>
    <row r="59" spans="1:6" x14ac:dyDescent="0.15">
      <c r="A59" s="4" t="s">
        <v>72</v>
      </c>
      <c r="B59" s="7" t="s">
        <v>11</v>
      </c>
      <c r="C59" s="7">
        <v>45</v>
      </c>
      <c r="D59" s="15" t="s">
        <v>32</v>
      </c>
      <c r="E59" s="15" t="s">
        <v>12</v>
      </c>
      <c r="F59" s="7">
        <f>VLOOKUP(E59,学历与基础薪酬对照表!$A$1:$B$5,2,0)</f>
        <v>9000</v>
      </c>
    </row>
    <row r="60" spans="1:6" x14ac:dyDescent="0.15">
      <c r="A60" s="4" t="s">
        <v>73</v>
      </c>
      <c r="B60" s="7" t="s">
        <v>11</v>
      </c>
      <c r="C60" s="7">
        <v>44</v>
      </c>
      <c r="D60" s="15" t="s">
        <v>74</v>
      </c>
      <c r="E60" s="15" t="s">
        <v>9</v>
      </c>
      <c r="F60" s="7">
        <f>VLOOKUP(E60,学历与基础薪酬对照表!$A$1:$B$5,2,0)</f>
        <v>12000</v>
      </c>
    </row>
    <row r="61" spans="1:6" x14ac:dyDescent="0.15">
      <c r="A61" s="4" t="s">
        <v>75</v>
      </c>
      <c r="B61" s="7" t="s">
        <v>11</v>
      </c>
      <c r="C61" s="7">
        <v>50</v>
      </c>
      <c r="D61" s="15" t="s">
        <v>74</v>
      </c>
      <c r="E61" s="15" t="s">
        <v>12</v>
      </c>
      <c r="F61" s="7">
        <f>VLOOKUP(E61,学历与基础薪酬对照表!$A$1:$B$5,2,0)</f>
        <v>9000</v>
      </c>
    </row>
    <row r="62" spans="1:6" x14ac:dyDescent="0.15">
      <c r="A62" s="4" t="s">
        <v>76</v>
      </c>
      <c r="B62" s="7" t="s">
        <v>5</v>
      </c>
      <c r="C62" s="7">
        <v>43</v>
      </c>
      <c r="D62" s="15" t="s">
        <v>74</v>
      </c>
      <c r="E62" s="15" t="s">
        <v>21</v>
      </c>
      <c r="F62" s="7">
        <f>VLOOKUP(E62,学历与基础薪酬对照表!$A$1:$B$5,2,0)</f>
        <v>7000</v>
      </c>
    </row>
    <row r="63" spans="1:6" x14ac:dyDescent="0.15">
      <c r="A63" s="4" t="s">
        <v>77</v>
      </c>
      <c r="B63" s="7" t="s">
        <v>11</v>
      </c>
      <c r="C63" s="7">
        <v>46</v>
      </c>
      <c r="D63" s="15" t="s">
        <v>74</v>
      </c>
      <c r="E63" s="15" t="s">
        <v>7</v>
      </c>
      <c r="F63" s="7">
        <f>VLOOKUP(E63,学历与基础薪酬对照表!$A$1:$B$5,2,0)</f>
        <v>15000</v>
      </c>
    </row>
    <row r="64" spans="1:6" x14ac:dyDescent="0.15">
      <c r="A64" s="4" t="s">
        <v>78</v>
      </c>
      <c r="B64" s="7" t="s">
        <v>5</v>
      </c>
      <c r="C64" s="7">
        <v>57</v>
      </c>
      <c r="D64" s="15" t="s">
        <v>74</v>
      </c>
      <c r="E64" s="15" t="s">
        <v>12</v>
      </c>
      <c r="F64" s="7">
        <f>VLOOKUP(E64,学历与基础薪酬对照表!$A$1:$B$5,2,0)</f>
        <v>9000</v>
      </c>
    </row>
    <row r="65" spans="1:6" x14ac:dyDescent="0.15">
      <c r="A65" s="4" t="s">
        <v>79</v>
      </c>
      <c r="B65" s="7" t="s">
        <v>5</v>
      </c>
      <c r="C65" s="7">
        <v>56</v>
      </c>
      <c r="D65" s="15" t="s">
        <v>50</v>
      </c>
      <c r="E65" s="15" t="s">
        <v>12</v>
      </c>
      <c r="F65" s="7">
        <f>VLOOKUP(E65,学历与基础薪酬对照表!$A$1:$B$5,2,0)</f>
        <v>9000</v>
      </c>
    </row>
    <row r="66" spans="1:6" x14ac:dyDescent="0.15">
      <c r="A66" s="4" t="s">
        <v>80</v>
      </c>
      <c r="B66" s="7" t="s">
        <v>11</v>
      </c>
      <c r="C66" s="7">
        <v>56</v>
      </c>
      <c r="D66" s="15" t="s">
        <v>50</v>
      </c>
      <c r="E66" s="15" t="s">
        <v>21</v>
      </c>
      <c r="F66" s="7">
        <f>VLOOKUP(E66,学历与基础薪酬对照表!$A$1:$B$5,2,0)</f>
        <v>7000</v>
      </c>
    </row>
    <row r="67" spans="1:6" x14ac:dyDescent="0.15">
      <c r="A67" s="4" t="s">
        <v>81</v>
      </c>
      <c r="B67" s="7" t="s">
        <v>5</v>
      </c>
      <c r="C67" s="7">
        <v>60</v>
      </c>
      <c r="D67" s="15" t="s">
        <v>50</v>
      </c>
      <c r="E67" s="15" t="s">
        <v>12</v>
      </c>
      <c r="F67" s="7">
        <f>VLOOKUP(E67,学历与基础薪酬对照表!$A$1:$B$5,2,0)</f>
        <v>9000</v>
      </c>
    </row>
    <row r="68" spans="1:6" x14ac:dyDescent="0.15">
      <c r="A68" s="4" t="s">
        <v>82</v>
      </c>
      <c r="B68" s="7" t="s">
        <v>5</v>
      </c>
      <c r="C68" s="7">
        <v>54</v>
      </c>
      <c r="D68" s="15" t="s">
        <v>74</v>
      </c>
      <c r="E68" s="15" t="s">
        <v>9</v>
      </c>
      <c r="F68" s="7">
        <f>VLOOKUP(E68,学历与基础薪酬对照表!$A$1:$B$5,2,0)</f>
        <v>12000</v>
      </c>
    </row>
    <row r="69" spans="1:6" x14ac:dyDescent="0.15">
      <c r="A69" s="4" t="s">
        <v>83</v>
      </c>
      <c r="B69" s="7" t="s">
        <v>5</v>
      </c>
      <c r="C69" s="7">
        <v>51</v>
      </c>
      <c r="D69" s="15" t="s">
        <v>74</v>
      </c>
      <c r="E69" s="15" t="s">
        <v>12</v>
      </c>
      <c r="F69" s="7">
        <f>VLOOKUP(E69,学历与基础薪酬对照表!$A$1:$B$5,2,0)</f>
        <v>9000</v>
      </c>
    </row>
    <row r="70" spans="1:6" x14ac:dyDescent="0.15">
      <c r="A70" s="4" t="s">
        <v>84</v>
      </c>
      <c r="B70" s="7" t="s">
        <v>5</v>
      </c>
      <c r="C70" s="7">
        <v>47</v>
      </c>
      <c r="D70" s="15" t="s">
        <v>74</v>
      </c>
      <c r="E70" s="15" t="s">
        <v>12</v>
      </c>
      <c r="F70" s="7">
        <f>VLOOKUP(E70,学历与基础薪酬对照表!$A$1:$B$5,2,0)</f>
        <v>9000</v>
      </c>
    </row>
    <row r="71" spans="1:6" x14ac:dyDescent="0.15">
      <c r="A71" s="4" t="s">
        <v>85</v>
      </c>
      <c r="B71" s="7" t="s">
        <v>5</v>
      </c>
      <c r="C71" s="7">
        <v>45</v>
      </c>
      <c r="D71" s="15" t="s">
        <v>74</v>
      </c>
      <c r="E71" s="15" t="s">
        <v>21</v>
      </c>
      <c r="F71" s="7">
        <f>VLOOKUP(E71,学历与基础薪酬对照表!$A$1:$B$5,2,0)</f>
        <v>7000</v>
      </c>
    </row>
    <row r="72" spans="1:6" x14ac:dyDescent="0.15">
      <c r="A72" s="4" t="s">
        <v>86</v>
      </c>
      <c r="B72" s="7" t="s">
        <v>11</v>
      </c>
      <c r="C72" s="7">
        <v>40</v>
      </c>
      <c r="D72" s="15" t="s">
        <v>74</v>
      </c>
      <c r="E72" s="15" t="s">
        <v>12</v>
      </c>
      <c r="F72" s="7">
        <f>VLOOKUP(E72,学历与基础薪酬对照表!$A$1:$B$5,2,0)</f>
        <v>9000</v>
      </c>
    </row>
    <row r="73" spans="1:6" x14ac:dyDescent="0.15">
      <c r="A73" s="4" t="s">
        <v>87</v>
      </c>
      <c r="B73" s="7" t="s">
        <v>11</v>
      </c>
      <c r="C73" s="7">
        <v>39</v>
      </c>
      <c r="D73" s="15" t="s">
        <v>74</v>
      </c>
      <c r="E73" s="15" t="s">
        <v>7</v>
      </c>
      <c r="F73" s="7">
        <f>VLOOKUP(E73,学历与基础薪酬对照表!$A$1:$B$5,2,0)</f>
        <v>15000</v>
      </c>
    </row>
    <row r="74" spans="1:6" x14ac:dyDescent="0.15">
      <c r="A74" s="4" t="s">
        <v>88</v>
      </c>
      <c r="B74" s="7" t="s">
        <v>11</v>
      </c>
      <c r="C74" s="7">
        <v>50</v>
      </c>
      <c r="D74" s="15" t="s">
        <v>74</v>
      </c>
      <c r="E74" s="15" t="s">
        <v>12</v>
      </c>
      <c r="F74" s="7">
        <f>VLOOKUP(E74,学历与基础薪酬对照表!$A$1:$B$5,2,0)</f>
        <v>9000</v>
      </c>
    </row>
    <row r="75" spans="1:6" x14ac:dyDescent="0.15">
      <c r="A75" s="4" t="s">
        <v>89</v>
      </c>
      <c r="B75" s="7" t="s">
        <v>11</v>
      </c>
      <c r="C75" s="7">
        <v>33</v>
      </c>
      <c r="D75" s="15" t="s">
        <v>74</v>
      </c>
      <c r="E75" s="15" t="s">
        <v>9</v>
      </c>
      <c r="F75" s="7">
        <f>VLOOKUP(E75,学历与基础薪酬对照表!$A$1:$B$5,2,0)</f>
        <v>12000</v>
      </c>
    </row>
    <row r="76" spans="1:6" x14ac:dyDescent="0.15">
      <c r="A76" s="4" t="s">
        <v>90</v>
      </c>
      <c r="B76" s="7" t="s">
        <v>11</v>
      </c>
      <c r="C76" s="7">
        <v>59</v>
      </c>
      <c r="D76" s="15" t="s">
        <v>42</v>
      </c>
      <c r="E76" s="15" t="s">
        <v>12</v>
      </c>
      <c r="F76" s="7">
        <f>VLOOKUP(E76,学历与基础薪酬对照表!$A$1:$B$5,2,0)</f>
        <v>9000</v>
      </c>
    </row>
    <row r="77" spans="1:6" x14ac:dyDescent="0.15">
      <c r="A77" s="4" t="s">
        <v>91</v>
      </c>
      <c r="B77" s="7" t="s">
        <v>11</v>
      </c>
      <c r="C77" s="7">
        <v>40</v>
      </c>
      <c r="D77" s="15" t="s">
        <v>42</v>
      </c>
      <c r="E77" s="15" t="s">
        <v>12</v>
      </c>
      <c r="F77" s="7">
        <f>VLOOKUP(E77,学历与基础薪酬对照表!$A$1:$B$5,2,0)</f>
        <v>9000</v>
      </c>
    </row>
    <row r="78" spans="1:6" x14ac:dyDescent="0.15">
      <c r="A78" s="4" t="s">
        <v>92</v>
      </c>
      <c r="B78" s="7" t="s">
        <v>5</v>
      </c>
      <c r="C78" s="7">
        <v>31</v>
      </c>
      <c r="D78" s="15" t="s">
        <v>42</v>
      </c>
      <c r="E78" s="15" t="s">
        <v>21</v>
      </c>
      <c r="F78" s="7">
        <f>VLOOKUP(E78,学历与基础薪酬对照表!$A$1:$B$5,2,0)</f>
        <v>7000</v>
      </c>
    </row>
    <row r="79" spans="1:6" x14ac:dyDescent="0.15">
      <c r="A79" s="4" t="s">
        <v>93</v>
      </c>
      <c r="B79" s="7" t="s">
        <v>11</v>
      </c>
      <c r="C79" s="7">
        <v>60</v>
      </c>
      <c r="D79" s="15" t="s">
        <v>42</v>
      </c>
      <c r="E79" s="15" t="s">
        <v>12</v>
      </c>
      <c r="F79" s="7">
        <f>VLOOKUP(E79,学历与基础薪酬对照表!$A$1:$B$5,2,0)</f>
        <v>9000</v>
      </c>
    </row>
    <row r="80" spans="1:6" x14ac:dyDescent="0.15">
      <c r="A80" s="4" t="s">
        <v>94</v>
      </c>
      <c r="B80" s="7" t="s">
        <v>11</v>
      </c>
      <c r="C80" s="7">
        <v>41</v>
      </c>
      <c r="D80" s="15" t="s">
        <v>42</v>
      </c>
      <c r="E80" s="15" t="s">
        <v>12</v>
      </c>
      <c r="F80" s="7">
        <f>VLOOKUP(E80,学历与基础薪酬对照表!$A$1:$B$5,2,0)</f>
        <v>9000</v>
      </c>
    </row>
    <row r="81" spans="1:6" x14ac:dyDescent="0.15">
      <c r="A81" s="4" t="s">
        <v>95</v>
      </c>
      <c r="B81" s="7" t="s">
        <v>5</v>
      </c>
      <c r="C81" s="7">
        <v>41</v>
      </c>
      <c r="D81" s="15" t="s">
        <v>42</v>
      </c>
      <c r="E81" s="15" t="s">
        <v>21</v>
      </c>
      <c r="F81" s="7">
        <f>VLOOKUP(E81,学历与基础薪酬对照表!$A$1:$B$5,2,0)</f>
        <v>7000</v>
      </c>
    </row>
    <row r="82" spans="1:6" x14ac:dyDescent="0.15">
      <c r="A82" s="4" t="s">
        <v>96</v>
      </c>
      <c r="B82" s="7" t="s">
        <v>11</v>
      </c>
      <c r="C82" s="7">
        <v>29</v>
      </c>
      <c r="D82" s="15" t="s">
        <v>74</v>
      </c>
      <c r="E82" s="15" t="s">
        <v>12</v>
      </c>
      <c r="F82" s="7">
        <f>VLOOKUP(E82,学历与基础薪酬对照表!$A$1:$B$5,2,0)</f>
        <v>9000</v>
      </c>
    </row>
    <row r="83" spans="1:6" x14ac:dyDescent="0.15">
      <c r="A83" s="4" t="s">
        <v>97</v>
      </c>
      <c r="B83" s="7" t="s">
        <v>11</v>
      </c>
      <c r="C83" s="7">
        <v>44</v>
      </c>
      <c r="D83" s="15" t="s">
        <v>74</v>
      </c>
      <c r="E83" s="15" t="s">
        <v>12</v>
      </c>
      <c r="F83" s="7">
        <f>VLOOKUP(E83,学历与基础薪酬对照表!$A$1:$B$5,2,0)</f>
        <v>9000</v>
      </c>
    </row>
  </sheetData>
  <mergeCells count="2">
    <mergeCell ref="H4:K4"/>
    <mergeCell ref="A1:F1"/>
  </mergeCells>
  <phoneticPr fontId="3" type="noConversion"/>
  <conditionalFormatting sqref="C3:C83">
    <cfRule type="cellIs" dxfId="0" priority="1" operator="between">
      <formula>30</formula>
      <formula>45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E5" sqref="E5"/>
    </sheetView>
  </sheetViews>
  <sheetFormatPr defaultRowHeight="13.5" x14ac:dyDescent="0.15"/>
  <cols>
    <col min="2" max="2" width="15.125" customWidth="1"/>
  </cols>
  <sheetData>
    <row r="1" spans="1:2" x14ac:dyDescent="0.15">
      <c r="A1" s="19" t="s">
        <v>101</v>
      </c>
      <c r="B1" s="19" t="s">
        <v>106</v>
      </c>
    </row>
    <row r="2" spans="1:2" x14ac:dyDescent="0.15">
      <c r="A2" s="19" t="s">
        <v>102</v>
      </c>
      <c r="B2" s="19">
        <v>15000</v>
      </c>
    </row>
    <row r="3" spans="1:2" x14ac:dyDescent="0.15">
      <c r="A3" s="19" t="s">
        <v>103</v>
      </c>
      <c r="B3" s="19">
        <v>12000</v>
      </c>
    </row>
    <row r="4" spans="1:2" x14ac:dyDescent="0.15">
      <c r="A4" s="19" t="s">
        <v>104</v>
      </c>
      <c r="B4" s="19">
        <v>9000</v>
      </c>
    </row>
    <row r="5" spans="1:2" x14ac:dyDescent="0.15">
      <c r="A5" s="19" t="s">
        <v>105</v>
      </c>
      <c r="B5" s="19">
        <v>7000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topLeftCell="B1" workbookViewId="0">
      <selection activeCell="K14" sqref="K14"/>
    </sheetView>
  </sheetViews>
  <sheetFormatPr defaultRowHeight="13.5" x14ac:dyDescent="0.15"/>
  <cols>
    <col min="1" max="1" width="12.125" customWidth="1"/>
    <col min="2" max="2" width="11.125" customWidth="1"/>
    <col min="3" max="3" width="5.375" customWidth="1"/>
    <col min="4" max="4" width="14.5" customWidth="1"/>
    <col min="5" max="5" width="11.875" customWidth="1"/>
    <col min="6" max="6" width="14.625" customWidth="1"/>
    <col min="7" max="7" width="12.75" customWidth="1"/>
    <col min="9" max="9" width="22.25" bestFit="1" customWidth="1"/>
    <col min="10" max="13" width="9.75" bestFit="1" customWidth="1"/>
    <col min="14" max="14" width="7.375" customWidth="1"/>
  </cols>
  <sheetData>
    <row r="1" spans="1:14" ht="14.25" x14ac:dyDescent="0.15">
      <c r="A1" s="9" t="s">
        <v>107</v>
      </c>
      <c r="B1" s="9" t="s">
        <v>108</v>
      </c>
      <c r="C1" s="9" t="s">
        <v>109</v>
      </c>
      <c r="D1" s="9" t="s">
        <v>110</v>
      </c>
      <c r="E1" s="9" t="s">
        <v>111</v>
      </c>
      <c r="F1" s="9" t="s">
        <v>112</v>
      </c>
      <c r="G1" s="9" t="s">
        <v>113</v>
      </c>
    </row>
    <row r="2" spans="1:14" ht="15.75" x14ac:dyDescent="0.25">
      <c r="A2" s="10" t="s">
        <v>114</v>
      </c>
      <c r="B2" s="11" t="s">
        <v>115</v>
      </c>
      <c r="C2" s="10">
        <v>3</v>
      </c>
      <c r="D2" s="10">
        <v>124</v>
      </c>
      <c r="E2" s="10">
        <v>8680</v>
      </c>
      <c r="F2" s="10">
        <v>61</v>
      </c>
      <c r="G2" s="10">
        <v>60</v>
      </c>
    </row>
    <row r="3" spans="1:14" ht="15.75" x14ac:dyDescent="0.25">
      <c r="A3" s="10" t="s">
        <v>114</v>
      </c>
      <c r="B3" s="11" t="s">
        <v>116</v>
      </c>
      <c r="C3" s="10">
        <v>2</v>
      </c>
      <c r="D3" s="10">
        <v>321</v>
      </c>
      <c r="E3" s="10">
        <v>9630</v>
      </c>
      <c r="F3" s="10">
        <v>29</v>
      </c>
      <c r="G3" s="10">
        <v>54</v>
      </c>
    </row>
    <row r="4" spans="1:14" ht="15.75" x14ac:dyDescent="0.25">
      <c r="A4" s="10" t="s">
        <v>117</v>
      </c>
      <c r="B4" s="11" t="s">
        <v>116</v>
      </c>
      <c r="C4" s="10">
        <v>2</v>
      </c>
      <c r="D4" s="10">
        <v>435</v>
      </c>
      <c r="E4" s="10">
        <v>21750</v>
      </c>
      <c r="F4" s="10">
        <v>8</v>
      </c>
      <c r="G4" s="10">
        <v>23</v>
      </c>
    </row>
    <row r="5" spans="1:14" ht="15.75" x14ac:dyDescent="0.25">
      <c r="A5" s="10" t="s">
        <v>118</v>
      </c>
      <c r="B5" s="11" t="s">
        <v>115</v>
      </c>
      <c r="C5" s="10">
        <v>2</v>
      </c>
      <c r="D5" s="10">
        <v>256</v>
      </c>
      <c r="E5" s="10">
        <v>17920</v>
      </c>
      <c r="F5" s="10">
        <v>36</v>
      </c>
      <c r="G5" s="10">
        <v>28</v>
      </c>
    </row>
    <row r="6" spans="1:14" ht="15.75" x14ac:dyDescent="0.25">
      <c r="A6" s="10" t="s">
        <v>118</v>
      </c>
      <c r="B6" s="11" t="s">
        <v>116</v>
      </c>
      <c r="C6" s="10">
        <v>1</v>
      </c>
      <c r="D6" s="10">
        <v>167</v>
      </c>
      <c r="E6" s="10">
        <v>8350</v>
      </c>
      <c r="F6" s="10">
        <v>55</v>
      </c>
      <c r="G6" s="10">
        <v>61</v>
      </c>
      <c r="I6" s="21" t="s">
        <v>134</v>
      </c>
      <c r="J6" s="21" t="s">
        <v>133</v>
      </c>
    </row>
    <row r="7" spans="1:14" ht="15.75" x14ac:dyDescent="0.25">
      <c r="A7" s="10" t="s">
        <v>114</v>
      </c>
      <c r="B7" s="11" t="s">
        <v>115</v>
      </c>
      <c r="C7" s="10">
        <v>4</v>
      </c>
      <c r="D7" s="10">
        <v>157</v>
      </c>
      <c r="E7" s="10">
        <v>10990</v>
      </c>
      <c r="F7" s="10">
        <v>57</v>
      </c>
      <c r="G7" s="10">
        <v>43</v>
      </c>
      <c r="I7" s="21" t="s">
        <v>131</v>
      </c>
      <c r="J7" t="s">
        <v>116</v>
      </c>
      <c r="K7" t="s">
        <v>122</v>
      </c>
      <c r="L7" t="s">
        <v>119</v>
      </c>
      <c r="M7" t="s">
        <v>115</v>
      </c>
      <c r="N7" t="s">
        <v>132</v>
      </c>
    </row>
    <row r="8" spans="1:14" ht="15.75" x14ac:dyDescent="0.25">
      <c r="A8" s="10" t="s">
        <v>117</v>
      </c>
      <c r="B8" s="11" t="s">
        <v>115</v>
      </c>
      <c r="C8" s="10">
        <v>4</v>
      </c>
      <c r="D8" s="10">
        <v>187</v>
      </c>
      <c r="E8" s="10">
        <v>13090</v>
      </c>
      <c r="F8" s="10">
        <v>54</v>
      </c>
      <c r="G8" s="10">
        <v>38</v>
      </c>
      <c r="I8" s="22" t="s">
        <v>121</v>
      </c>
      <c r="J8" s="23">
        <v>1615</v>
      </c>
      <c r="K8" s="23">
        <v>1686</v>
      </c>
      <c r="L8" s="23">
        <v>2126</v>
      </c>
      <c r="M8" s="23">
        <v>1267</v>
      </c>
      <c r="N8" s="23">
        <v>6694</v>
      </c>
    </row>
    <row r="9" spans="1:14" ht="15.75" x14ac:dyDescent="0.25">
      <c r="A9" s="10" t="s">
        <v>114</v>
      </c>
      <c r="B9" s="11" t="s">
        <v>116</v>
      </c>
      <c r="C9" s="10">
        <v>4</v>
      </c>
      <c r="D9" s="10">
        <v>213</v>
      </c>
      <c r="E9" s="10">
        <v>10650</v>
      </c>
      <c r="F9" s="10">
        <v>47</v>
      </c>
      <c r="G9" s="10">
        <v>48</v>
      </c>
      <c r="I9" s="22" t="s">
        <v>124</v>
      </c>
      <c r="J9" s="23">
        <v>815</v>
      </c>
      <c r="K9" s="23">
        <v>1348</v>
      </c>
      <c r="L9" s="23">
        <v>1497</v>
      </c>
      <c r="M9" s="23">
        <v>892</v>
      </c>
      <c r="N9" s="23">
        <v>4552</v>
      </c>
    </row>
    <row r="10" spans="1:14" ht="15.75" x14ac:dyDescent="0.25">
      <c r="A10" s="10" t="s">
        <v>118</v>
      </c>
      <c r="B10" s="11" t="s">
        <v>115</v>
      </c>
      <c r="C10" s="10">
        <v>4</v>
      </c>
      <c r="D10" s="10">
        <v>196</v>
      </c>
      <c r="E10" s="10">
        <v>13720</v>
      </c>
      <c r="F10" s="10">
        <v>52</v>
      </c>
      <c r="G10" s="10">
        <v>37</v>
      </c>
      <c r="I10" s="22" t="s">
        <v>125</v>
      </c>
      <c r="J10" s="23">
        <v>1024</v>
      </c>
      <c r="K10" s="23">
        <v>1013</v>
      </c>
      <c r="L10" s="23">
        <v>1105</v>
      </c>
      <c r="M10" s="23">
        <v>838</v>
      </c>
      <c r="N10" s="23">
        <v>3980</v>
      </c>
    </row>
    <row r="11" spans="1:14" ht="15.75" x14ac:dyDescent="0.25">
      <c r="A11" s="10" t="s">
        <v>118</v>
      </c>
      <c r="B11" s="11" t="s">
        <v>116</v>
      </c>
      <c r="C11" s="10">
        <v>4</v>
      </c>
      <c r="D11" s="10">
        <v>219</v>
      </c>
      <c r="E11" s="10">
        <v>10950</v>
      </c>
      <c r="F11" s="10">
        <v>42</v>
      </c>
      <c r="G11" s="10">
        <v>44</v>
      </c>
      <c r="I11" s="22" t="s">
        <v>123</v>
      </c>
      <c r="J11" s="23">
        <v>907</v>
      </c>
      <c r="K11" s="23">
        <v>926</v>
      </c>
      <c r="L11" s="23">
        <v>1150</v>
      </c>
      <c r="M11" s="23">
        <v>1429</v>
      </c>
      <c r="N11" s="23">
        <v>4412</v>
      </c>
    </row>
    <row r="12" spans="1:14" ht="15.75" x14ac:dyDescent="0.25">
      <c r="A12" s="10" t="s">
        <v>118</v>
      </c>
      <c r="B12" s="11" t="s">
        <v>115</v>
      </c>
      <c r="C12" s="10">
        <v>3</v>
      </c>
      <c r="D12" s="10">
        <v>234</v>
      </c>
      <c r="E12" s="10">
        <v>16380</v>
      </c>
      <c r="F12" s="10">
        <v>37</v>
      </c>
      <c r="G12" s="10">
        <v>29</v>
      </c>
      <c r="I12" s="22" t="s">
        <v>132</v>
      </c>
      <c r="J12" s="23">
        <v>4361</v>
      </c>
      <c r="K12" s="23">
        <v>4973</v>
      </c>
      <c r="L12" s="23">
        <v>5878</v>
      </c>
      <c r="M12" s="23">
        <v>4426</v>
      </c>
      <c r="N12" s="23">
        <v>19638</v>
      </c>
    </row>
    <row r="13" spans="1:14" ht="15.75" x14ac:dyDescent="0.25">
      <c r="A13" s="10" t="s">
        <v>118</v>
      </c>
      <c r="B13" s="11" t="s">
        <v>115</v>
      </c>
      <c r="C13" s="10">
        <v>1</v>
      </c>
      <c r="D13" s="10">
        <v>206</v>
      </c>
      <c r="E13" s="10">
        <v>14420</v>
      </c>
      <c r="F13" s="10">
        <v>50</v>
      </c>
      <c r="G13" s="10">
        <v>34</v>
      </c>
    </row>
    <row r="14" spans="1:14" ht="15.75" x14ac:dyDescent="0.25">
      <c r="A14" s="10" t="s">
        <v>118</v>
      </c>
      <c r="B14" s="11" t="s">
        <v>116</v>
      </c>
      <c r="C14" s="10">
        <v>2</v>
      </c>
      <c r="D14" s="10">
        <v>211</v>
      </c>
      <c r="E14" s="10">
        <v>10550</v>
      </c>
      <c r="F14" s="10">
        <v>49</v>
      </c>
      <c r="G14" s="10">
        <v>49</v>
      </c>
    </row>
    <row r="15" spans="1:14" ht="15.75" x14ac:dyDescent="0.25">
      <c r="A15" s="10" t="s">
        <v>114</v>
      </c>
      <c r="B15" s="11" t="s">
        <v>116</v>
      </c>
      <c r="C15" s="10">
        <v>3</v>
      </c>
      <c r="D15" s="10">
        <v>189</v>
      </c>
      <c r="E15" s="10">
        <v>9450</v>
      </c>
      <c r="F15" s="10">
        <v>53</v>
      </c>
      <c r="G15" s="10">
        <v>55</v>
      </c>
    </row>
    <row r="16" spans="1:14" ht="15.75" x14ac:dyDescent="0.25">
      <c r="A16" s="10" t="s">
        <v>118</v>
      </c>
      <c r="B16" s="11" t="s">
        <v>119</v>
      </c>
      <c r="C16" s="10">
        <v>1</v>
      </c>
      <c r="D16" s="10">
        <v>221</v>
      </c>
      <c r="E16" s="10">
        <v>6630</v>
      </c>
      <c r="F16" s="10">
        <v>41</v>
      </c>
      <c r="G16" s="10">
        <v>64</v>
      </c>
    </row>
    <row r="17" spans="1:7" ht="15.75" x14ac:dyDescent="0.25">
      <c r="A17" s="10" t="s">
        <v>114</v>
      </c>
      <c r="B17" s="11" t="s">
        <v>119</v>
      </c>
      <c r="C17" s="10">
        <v>4</v>
      </c>
      <c r="D17" s="10">
        <v>432</v>
      </c>
      <c r="E17" s="10">
        <v>32960</v>
      </c>
      <c r="F17" s="10">
        <v>9</v>
      </c>
      <c r="G17" s="10">
        <v>4</v>
      </c>
    </row>
    <row r="18" spans="1:7" ht="15.75" x14ac:dyDescent="0.25">
      <c r="A18" s="10" t="s">
        <v>117</v>
      </c>
      <c r="B18" s="11" t="s">
        <v>115</v>
      </c>
      <c r="C18" s="10">
        <v>3</v>
      </c>
      <c r="D18" s="10">
        <v>323</v>
      </c>
      <c r="E18" s="10">
        <v>22610</v>
      </c>
      <c r="F18" s="10">
        <v>28</v>
      </c>
      <c r="G18" s="10">
        <v>22</v>
      </c>
    </row>
    <row r="19" spans="1:7" ht="15.75" x14ac:dyDescent="0.25">
      <c r="A19" s="10" t="s">
        <v>117</v>
      </c>
      <c r="B19" s="11" t="s">
        <v>116</v>
      </c>
      <c r="C19" s="10">
        <v>3</v>
      </c>
      <c r="D19" s="10">
        <v>324</v>
      </c>
      <c r="E19" s="10">
        <v>16200</v>
      </c>
      <c r="F19" s="10">
        <v>26</v>
      </c>
      <c r="G19" s="10">
        <v>31</v>
      </c>
    </row>
    <row r="20" spans="1:7" ht="15.75" x14ac:dyDescent="0.25">
      <c r="A20" s="10" t="s">
        <v>117</v>
      </c>
      <c r="B20" s="11" t="s">
        <v>119</v>
      </c>
      <c r="C20" s="10">
        <v>4</v>
      </c>
      <c r="D20" s="10">
        <v>342</v>
      </c>
      <c r="E20" s="10">
        <v>10260</v>
      </c>
      <c r="F20" s="10">
        <v>22</v>
      </c>
      <c r="G20" s="10">
        <v>50</v>
      </c>
    </row>
    <row r="21" spans="1:7" ht="15.75" x14ac:dyDescent="0.25">
      <c r="A21" s="10" t="s">
        <v>117</v>
      </c>
      <c r="B21" s="11" t="s">
        <v>116</v>
      </c>
      <c r="C21" s="10">
        <v>4</v>
      </c>
      <c r="D21" s="10">
        <v>287</v>
      </c>
      <c r="E21" s="10">
        <v>14350</v>
      </c>
      <c r="F21" s="10">
        <v>34</v>
      </c>
      <c r="G21" s="10">
        <v>35</v>
      </c>
    </row>
    <row r="22" spans="1:7" ht="15.75" x14ac:dyDescent="0.25">
      <c r="A22" s="10" t="s">
        <v>118</v>
      </c>
      <c r="B22" s="11" t="s">
        <v>116</v>
      </c>
      <c r="C22" s="10">
        <v>3</v>
      </c>
      <c r="D22" s="10">
        <v>218</v>
      </c>
      <c r="E22" s="10">
        <v>10900</v>
      </c>
      <c r="F22" s="10">
        <v>44</v>
      </c>
      <c r="G22" s="10">
        <v>46</v>
      </c>
    </row>
    <row r="23" spans="1:7" ht="15.75" x14ac:dyDescent="0.25">
      <c r="A23" s="10" t="s">
        <v>114</v>
      </c>
      <c r="B23" s="11" t="s">
        <v>116</v>
      </c>
      <c r="C23" s="10">
        <v>1</v>
      </c>
      <c r="D23" s="10">
        <v>301</v>
      </c>
      <c r="E23" s="10">
        <v>15050</v>
      </c>
      <c r="F23" s="10">
        <v>33</v>
      </c>
      <c r="G23" s="10">
        <v>32</v>
      </c>
    </row>
    <row r="24" spans="1:7" ht="15.75" x14ac:dyDescent="0.25">
      <c r="A24" s="10" t="s">
        <v>114</v>
      </c>
      <c r="B24" s="11" t="s">
        <v>119</v>
      </c>
      <c r="C24" s="10">
        <v>1</v>
      </c>
      <c r="D24" s="10">
        <v>306</v>
      </c>
      <c r="E24" s="10">
        <v>29180</v>
      </c>
      <c r="F24" s="10">
        <v>32</v>
      </c>
      <c r="G24" s="10">
        <v>9</v>
      </c>
    </row>
    <row r="25" spans="1:7" ht="15.75" x14ac:dyDescent="0.25">
      <c r="A25" s="10" t="s">
        <v>114</v>
      </c>
      <c r="B25" s="11" t="s">
        <v>115</v>
      </c>
      <c r="C25" s="10">
        <v>2</v>
      </c>
      <c r="D25" s="10">
        <v>345</v>
      </c>
      <c r="E25" s="10">
        <v>24150</v>
      </c>
      <c r="F25" s="10">
        <v>20</v>
      </c>
      <c r="G25" s="10">
        <v>15</v>
      </c>
    </row>
    <row r="26" spans="1:7" ht="15.75" x14ac:dyDescent="0.25">
      <c r="A26" s="10" t="s">
        <v>118</v>
      </c>
      <c r="B26" s="11" t="s">
        <v>119</v>
      </c>
      <c r="C26" s="10">
        <v>2</v>
      </c>
      <c r="D26" s="10">
        <v>312</v>
      </c>
      <c r="E26" s="10">
        <v>9360</v>
      </c>
      <c r="F26" s="10">
        <v>31</v>
      </c>
      <c r="G26" s="10">
        <v>56</v>
      </c>
    </row>
    <row r="27" spans="1:7" ht="15.75" x14ac:dyDescent="0.25">
      <c r="A27" s="10" t="s">
        <v>114</v>
      </c>
      <c r="B27" s="11" t="s">
        <v>115</v>
      </c>
      <c r="C27" s="10">
        <v>1</v>
      </c>
      <c r="D27" s="10">
        <v>212</v>
      </c>
      <c r="E27" s="10">
        <v>14840</v>
      </c>
      <c r="F27" s="10">
        <v>48</v>
      </c>
      <c r="G27" s="10">
        <v>33</v>
      </c>
    </row>
    <row r="28" spans="1:7" ht="15.75" x14ac:dyDescent="0.25">
      <c r="A28" s="10" t="s">
        <v>117</v>
      </c>
      <c r="B28" s="11" t="s">
        <v>115</v>
      </c>
      <c r="C28" s="10">
        <v>1</v>
      </c>
      <c r="D28" s="10">
        <v>345</v>
      </c>
      <c r="E28" s="10">
        <v>24150</v>
      </c>
      <c r="F28" s="10">
        <v>20</v>
      </c>
      <c r="G28" s="10">
        <v>15</v>
      </c>
    </row>
    <row r="29" spans="1:7" ht="15.75" x14ac:dyDescent="0.25">
      <c r="A29" s="10" t="s">
        <v>117</v>
      </c>
      <c r="B29" s="11" t="s">
        <v>119</v>
      </c>
      <c r="C29" s="10">
        <v>3</v>
      </c>
      <c r="D29" s="10">
        <v>365</v>
      </c>
      <c r="E29" s="10">
        <v>10950</v>
      </c>
      <c r="F29" s="10">
        <v>17</v>
      </c>
      <c r="G29" s="10">
        <v>44</v>
      </c>
    </row>
    <row r="30" spans="1:7" ht="15.75" x14ac:dyDescent="0.25">
      <c r="A30" s="10" t="s">
        <v>117</v>
      </c>
      <c r="B30" s="11" t="s">
        <v>115</v>
      </c>
      <c r="C30" s="10">
        <v>2</v>
      </c>
      <c r="D30" s="10">
        <v>412</v>
      </c>
      <c r="E30" s="10">
        <v>28840</v>
      </c>
      <c r="F30" s="10">
        <v>14</v>
      </c>
      <c r="G30" s="10">
        <v>10</v>
      </c>
    </row>
    <row r="31" spans="1:7" ht="15.75" x14ac:dyDescent="0.25">
      <c r="A31" s="10" t="s">
        <v>118</v>
      </c>
      <c r="B31" s="11" t="s">
        <v>119</v>
      </c>
      <c r="C31" s="10">
        <v>4</v>
      </c>
      <c r="D31" s="10">
        <v>421</v>
      </c>
      <c r="E31" s="10">
        <v>12630</v>
      </c>
      <c r="F31" s="10">
        <v>12</v>
      </c>
      <c r="G31" s="10">
        <v>40</v>
      </c>
    </row>
    <row r="32" spans="1:7" ht="15.75" x14ac:dyDescent="0.25">
      <c r="A32" s="10" t="s">
        <v>117</v>
      </c>
      <c r="B32" s="11" t="s">
        <v>116</v>
      </c>
      <c r="C32" s="10">
        <v>1</v>
      </c>
      <c r="D32" s="10">
        <v>569</v>
      </c>
      <c r="E32" s="10">
        <v>28450</v>
      </c>
      <c r="F32" s="10">
        <v>4</v>
      </c>
      <c r="G32" s="10">
        <v>11</v>
      </c>
    </row>
    <row r="33" spans="1:7" ht="15.75" x14ac:dyDescent="0.25">
      <c r="A33" s="10" t="s">
        <v>117</v>
      </c>
      <c r="B33" s="11" t="s">
        <v>119</v>
      </c>
      <c r="C33" s="10">
        <v>2</v>
      </c>
      <c r="D33" s="10">
        <v>654</v>
      </c>
      <c r="E33" s="10">
        <v>19620</v>
      </c>
      <c r="F33" s="10">
        <v>2</v>
      </c>
      <c r="G33" s="10">
        <v>26</v>
      </c>
    </row>
    <row r="34" spans="1:7" ht="15.75" x14ac:dyDescent="0.25">
      <c r="A34" s="10" t="s">
        <v>117</v>
      </c>
      <c r="B34" s="11" t="s">
        <v>119</v>
      </c>
      <c r="C34" s="10">
        <v>1</v>
      </c>
      <c r="D34" s="10">
        <v>765</v>
      </c>
      <c r="E34" s="10">
        <v>22950</v>
      </c>
      <c r="F34" s="10">
        <v>1</v>
      </c>
      <c r="G34" s="10">
        <v>20</v>
      </c>
    </row>
    <row r="35" spans="1:7" ht="14.25" x14ac:dyDescent="0.15">
      <c r="A35" s="11" t="s">
        <v>120</v>
      </c>
      <c r="B35" s="11" t="s">
        <v>115</v>
      </c>
      <c r="C35" s="10">
        <v>3</v>
      </c>
      <c r="D35" s="10">
        <v>378</v>
      </c>
      <c r="E35" s="10">
        <v>26460</v>
      </c>
      <c r="F35" s="10">
        <v>16</v>
      </c>
      <c r="G35" s="10">
        <v>14</v>
      </c>
    </row>
    <row r="36" spans="1:7" ht="15.75" x14ac:dyDescent="0.25">
      <c r="A36" s="10" t="s">
        <v>114</v>
      </c>
      <c r="B36" s="11" t="s">
        <v>119</v>
      </c>
      <c r="C36" s="10">
        <v>3</v>
      </c>
      <c r="D36" s="10">
        <v>219</v>
      </c>
      <c r="E36" s="10">
        <v>12990</v>
      </c>
      <c r="F36" s="10">
        <v>42</v>
      </c>
      <c r="G36" s="10">
        <v>39</v>
      </c>
    </row>
    <row r="37" spans="1:7" ht="14.25" x14ac:dyDescent="0.15">
      <c r="A37" s="11" t="s">
        <v>120</v>
      </c>
      <c r="B37" s="11" t="s">
        <v>115</v>
      </c>
      <c r="C37" s="10">
        <v>1</v>
      </c>
      <c r="D37" s="10">
        <v>324</v>
      </c>
      <c r="E37" s="10">
        <v>22680</v>
      </c>
      <c r="F37" s="10">
        <v>26</v>
      </c>
      <c r="G37" s="10">
        <v>21</v>
      </c>
    </row>
    <row r="38" spans="1:7" ht="14.25" x14ac:dyDescent="0.15">
      <c r="A38" s="11" t="s">
        <v>120</v>
      </c>
      <c r="B38" s="11" t="s">
        <v>115</v>
      </c>
      <c r="C38" s="10">
        <v>2</v>
      </c>
      <c r="D38" s="10">
        <v>329</v>
      </c>
      <c r="E38" s="10">
        <v>23030</v>
      </c>
      <c r="F38" s="10">
        <v>25</v>
      </c>
      <c r="G38" s="10">
        <v>19</v>
      </c>
    </row>
    <row r="39" spans="1:7" ht="14.25" x14ac:dyDescent="0.15">
      <c r="A39" s="11" t="s">
        <v>120</v>
      </c>
      <c r="B39" s="11" t="s">
        <v>115</v>
      </c>
      <c r="C39" s="10">
        <v>4</v>
      </c>
      <c r="D39" s="10">
        <v>398</v>
      </c>
      <c r="E39" s="10">
        <v>27860</v>
      </c>
      <c r="F39" s="10">
        <v>15</v>
      </c>
      <c r="G39" s="10">
        <v>12</v>
      </c>
    </row>
    <row r="40" spans="1:7" ht="14.25" x14ac:dyDescent="0.15">
      <c r="A40" s="11" t="s">
        <v>121</v>
      </c>
      <c r="B40" s="11" t="s">
        <v>122</v>
      </c>
      <c r="C40" s="10">
        <v>1</v>
      </c>
      <c r="D40" s="10">
        <v>436</v>
      </c>
      <c r="E40" s="10">
        <v>35648</v>
      </c>
      <c r="F40" s="10">
        <v>7</v>
      </c>
      <c r="G40" s="10">
        <v>3</v>
      </c>
    </row>
    <row r="41" spans="1:7" ht="14.25" x14ac:dyDescent="0.15">
      <c r="A41" s="11" t="s">
        <v>123</v>
      </c>
      <c r="B41" s="10" t="s">
        <v>122</v>
      </c>
      <c r="C41" s="10">
        <v>3</v>
      </c>
      <c r="D41" s="10">
        <v>232</v>
      </c>
      <c r="E41" s="10">
        <v>11298</v>
      </c>
      <c r="F41" s="10">
        <v>39</v>
      </c>
      <c r="G41" s="10">
        <v>42</v>
      </c>
    </row>
    <row r="42" spans="1:7" ht="14.25" x14ac:dyDescent="0.15">
      <c r="A42" s="11" t="s">
        <v>121</v>
      </c>
      <c r="B42" s="11" t="s">
        <v>122</v>
      </c>
      <c r="C42" s="10">
        <v>3</v>
      </c>
      <c r="D42" s="10">
        <v>231</v>
      </c>
      <c r="E42" s="10">
        <v>23217</v>
      </c>
      <c r="F42" s="10">
        <v>40</v>
      </c>
      <c r="G42" s="10">
        <v>18</v>
      </c>
    </row>
    <row r="43" spans="1:7" ht="14.25" x14ac:dyDescent="0.15">
      <c r="A43" s="11" t="s">
        <v>123</v>
      </c>
      <c r="B43" s="10" t="s">
        <v>122</v>
      </c>
      <c r="C43" s="10">
        <v>1</v>
      </c>
      <c r="D43" s="10">
        <v>321</v>
      </c>
      <c r="E43" s="10">
        <v>18976</v>
      </c>
      <c r="F43" s="10">
        <v>29</v>
      </c>
      <c r="G43" s="10">
        <v>27</v>
      </c>
    </row>
    <row r="44" spans="1:7" ht="14.25" x14ac:dyDescent="0.15">
      <c r="A44" s="11" t="s">
        <v>124</v>
      </c>
      <c r="B44" s="10" t="s">
        <v>122</v>
      </c>
      <c r="C44" s="10">
        <v>1</v>
      </c>
      <c r="D44" s="10">
        <v>123</v>
      </c>
      <c r="E44" s="10">
        <v>7685</v>
      </c>
      <c r="F44" s="10">
        <v>62</v>
      </c>
      <c r="G44" s="10">
        <v>63</v>
      </c>
    </row>
    <row r="45" spans="1:7" ht="14.25" x14ac:dyDescent="0.15">
      <c r="A45" s="11" t="s">
        <v>124</v>
      </c>
      <c r="B45" s="10" t="s">
        <v>122</v>
      </c>
      <c r="C45" s="10">
        <v>2</v>
      </c>
      <c r="D45" s="10">
        <v>342</v>
      </c>
      <c r="E45" s="10">
        <v>23718</v>
      </c>
      <c r="F45" s="10">
        <v>22</v>
      </c>
      <c r="G45" s="10">
        <v>17</v>
      </c>
    </row>
    <row r="46" spans="1:7" ht="14.25" x14ac:dyDescent="0.15">
      <c r="A46" s="12" t="s">
        <v>123</v>
      </c>
      <c r="B46" s="13" t="s">
        <v>116</v>
      </c>
      <c r="C46" s="14">
        <v>1</v>
      </c>
      <c r="D46" s="14">
        <v>234</v>
      </c>
      <c r="E46" s="14">
        <v>14321</v>
      </c>
      <c r="F46" s="10">
        <v>37</v>
      </c>
      <c r="G46" s="10">
        <v>36</v>
      </c>
    </row>
    <row r="47" spans="1:7" ht="14.25" x14ac:dyDescent="0.15">
      <c r="A47" s="11" t="s">
        <v>124</v>
      </c>
      <c r="B47" s="10" t="s">
        <v>122</v>
      </c>
      <c r="C47" s="10">
        <v>4</v>
      </c>
      <c r="D47" s="10">
        <v>341</v>
      </c>
      <c r="E47" s="10">
        <v>26785</v>
      </c>
      <c r="F47" s="10">
        <v>24</v>
      </c>
      <c r="G47" s="10">
        <v>13</v>
      </c>
    </row>
    <row r="48" spans="1:7" ht="14.25" x14ac:dyDescent="0.15">
      <c r="A48" s="12" t="s">
        <v>123</v>
      </c>
      <c r="B48" s="13" t="s">
        <v>119</v>
      </c>
      <c r="C48" s="14">
        <v>4</v>
      </c>
      <c r="D48" s="14">
        <v>421</v>
      </c>
      <c r="E48" s="14">
        <v>32534</v>
      </c>
      <c r="F48" s="10">
        <v>12</v>
      </c>
      <c r="G48" s="10">
        <v>5</v>
      </c>
    </row>
    <row r="49" spans="1:7" ht="14.25" x14ac:dyDescent="0.15">
      <c r="A49" s="11" t="s">
        <v>125</v>
      </c>
      <c r="B49" s="10" t="s">
        <v>122</v>
      </c>
      <c r="C49" s="10">
        <v>1</v>
      </c>
      <c r="D49" s="10">
        <v>166</v>
      </c>
      <c r="E49" s="10">
        <v>8765</v>
      </c>
      <c r="F49" s="10">
        <v>56</v>
      </c>
      <c r="G49" s="10">
        <v>59</v>
      </c>
    </row>
    <row r="50" spans="1:7" ht="14.25" x14ac:dyDescent="0.15">
      <c r="A50" s="12" t="s">
        <v>123</v>
      </c>
      <c r="B50" s="13" t="s">
        <v>116</v>
      </c>
      <c r="C50" s="14">
        <v>3</v>
      </c>
      <c r="D50" s="14">
        <v>129</v>
      </c>
      <c r="E50" s="14">
        <v>9637</v>
      </c>
      <c r="F50" s="10">
        <v>60</v>
      </c>
      <c r="G50" s="10">
        <v>53</v>
      </c>
    </row>
    <row r="51" spans="1:7" ht="14.25" x14ac:dyDescent="0.15">
      <c r="A51" s="11" t="s">
        <v>125</v>
      </c>
      <c r="B51" s="10" t="s">
        <v>122</v>
      </c>
      <c r="C51" s="10">
        <v>3</v>
      </c>
      <c r="D51" s="10">
        <v>216</v>
      </c>
      <c r="E51" s="10">
        <v>10238</v>
      </c>
      <c r="F51" s="10">
        <v>46</v>
      </c>
      <c r="G51" s="10">
        <v>51</v>
      </c>
    </row>
    <row r="52" spans="1:7" ht="14.25" x14ac:dyDescent="0.15">
      <c r="A52" s="12" t="s">
        <v>123</v>
      </c>
      <c r="B52" s="13" t="s">
        <v>119</v>
      </c>
      <c r="C52" s="14">
        <v>2</v>
      </c>
      <c r="D52" s="14">
        <v>217</v>
      </c>
      <c r="E52" s="14">
        <v>20453</v>
      </c>
      <c r="F52" s="10">
        <v>45</v>
      </c>
      <c r="G52" s="10">
        <v>25</v>
      </c>
    </row>
    <row r="53" spans="1:7" ht="14.25" x14ac:dyDescent="0.15">
      <c r="A53" s="11" t="s">
        <v>125</v>
      </c>
      <c r="B53" s="10" t="s">
        <v>122</v>
      </c>
      <c r="C53" s="10">
        <v>4</v>
      </c>
      <c r="D53" s="10">
        <v>432</v>
      </c>
      <c r="E53" s="10">
        <v>20563</v>
      </c>
      <c r="F53" s="10">
        <v>9</v>
      </c>
      <c r="G53" s="10">
        <v>24</v>
      </c>
    </row>
    <row r="54" spans="1:7" ht="14.25" x14ac:dyDescent="0.15">
      <c r="A54" s="11" t="s">
        <v>121</v>
      </c>
      <c r="B54" s="11" t="s">
        <v>122</v>
      </c>
      <c r="C54" s="10">
        <v>4</v>
      </c>
      <c r="D54" s="10">
        <v>365</v>
      </c>
      <c r="E54" s="10">
        <v>29879</v>
      </c>
      <c r="F54" s="10">
        <v>17</v>
      </c>
      <c r="G54" s="10">
        <v>7</v>
      </c>
    </row>
    <row r="55" spans="1:7" ht="14.25" x14ac:dyDescent="0.15">
      <c r="A55" s="11" t="s">
        <v>123</v>
      </c>
      <c r="B55" s="10" t="s">
        <v>122</v>
      </c>
      <c r="C55" s="10">
        <v>2</v>
      </c>
      <c r="D55" s="10">
        <v>112</v>
      </c>
      <c r="E55" s="10">
        <v>8798</v>
      </c>
      <c r="F55" s="10">
        <v>63</v>
      </c>
      <c r="G55" s="10">
        <v>58</v>
      </c>
    </row>
    <row r="56" spans="1:7" ht="14.25" x14ac:dyDescent="0.15">
      <c r="A56" s="11" t="s">
        <v>123</v>
      </c>
      <c r="B56" s="10" t="s">
        <v>122</v>
      </c>
      <c r="C56" s="10">
        <v>4</v>
      </c>
      <c r="D56" s="10">
        <v>261</v>
      </c>
      <c r="E56" s="10">
        <v>11675</v>
      </c>
      <c r="F56" s="10">
        <v>35</v>
      </c>
      <c r="G56" s="10">
        <v>41</v>
      </c>
    </row>
    <row r="57" spans="1:7" ht="14.25" x14ac:dyDescent="0.15">
      <c r="A57" s="11" t="s">
        <v>121</v>
      </c>
      <c r="B57" s="11" t="s">
        <v>122</v>
      </c>
      <c r="C57" s="10">
        <v>2</v>
      </c>
      <c r="D57" s="10">
        <v>654</v>
      </c>
      <c r="E57" s="10">
        <v>45321</v>
      </c>
      <c r="F57" s="10">
        <v>2</v>
      </c>
      <c r="G57" s="10">
        <v>1</v>
      </c>
    </row>
    <row r="58" spans="1:7" ht="14.25" x14ac:dyDescent="0.15">
      <c r="A58" s="12" t="s">
        <v>123</v>
      </c>
      <c r="B58" s="13" t="s">
        <v>116</v>
      </c>
      <c r="C58" s="14">
        <v>2</v>
      </c>
      <c r="D58" s="14">
        <v>432</v>
      </c>
      <c r="E58" s="14">
        <v>31256</v>
      </c>
      <c r="F58" s="10">
        <v>9</v>
      </c>
      <c r="G58" s="10">
        <v>6</v>
      </c>
    </row>
    <row r="59" spans="1:7" ht="15.75" x14ac:dyDescent="0.25">
      <c r="A59" s="10" t="s">
        <v>118</v>
      </c>
      <c r="B59" s="11" t="s">
        <v>119</v>
      </c>
      <c r="C59" s="10">
        <v>3</v>
      </c>
      <c r="D59" s="10">
        <v>543</v>
      </c>
      <c r="E59" s="10">
        <v>16290</v>
      </c>
      <c r="F59" s="10">
        <v>5</v>
      </c>
      <c r="G59" s="10">
        <v>30</v>
      </c>
    </row>
    <row r="60" spans="1:7" ht="14.25" x14ac:dyDescent="0.15">
      <c r="A60" s="12" t="s">
        <v>123</v>
      </c>
      <c r="B60" s="13" t="s">
        <v>116</v>
      </c>
      <c r="C60" s="14">
        <v>4</v>
      </c>
      <c r="D60" s="14">
        <v>112</v>
      </c>
      <c r="E60" s="14">
        <v>8178</v>
      </c>
      <c r="F60" s="10">
        <v>63</v>
      </c>
      <c r="G60" s="10">
        <v>62</v>
      </c>
    </row>
    <row r="61" spans="1:7" ht="14.25" x14ac:dyDescent="0.15">
      <c r="A61" s="12" t="s">
        <v>123</v>
      </c>
      <c r="B61" s="13" t="s">
        <v>119</v>
      </c>
      <c r="C61" s="14">
        <v>1</v>
      </c>
      <c r="D61" s="14">
        <v>156</v>
      </c>
      <c r="E61" s="14">
        <v>10786</v>
      </c>
      <c r="F61" s="10">
        <v>58</v>
      </c>
      <c r="G61" s="10">
        <v>47</v>
      </c>
    </row>
    <row r="62" spans="1:7" ht="14.25" x14ac:dyDescent="0.15">
      <c r="A62" s="11" t="s">
        <v>125</v>
      </c>
      <c r="B62" s="10" t="s">
        <v>122</v>
      </c>
      <c r="C62" s="10">
        <v>2</v>
      </c>
      <c r="D62" s="10">
        <v>199</v>
      </c>
      <c r="E62" s="10">
        <v>9675</v>
      </c>
      <c r="F62" s="10">
        <v>51</v>
      </c>
      <c r="G62" s="10">
        <v>52</v>
      </c>
    </row>
    <row r="63" spans="1:7" ht="14.25" x14ac:dyDescent="0.15">
      <c r="A63" s="12" t="s">
        <v>123</v>
      </c>
      <c r="B63" s="13" t="s">
        <v>119</v>
      </c>
      <c r="C63" s="14">
        <v>3</v>
      </c>
      <c r="D63" s="14">
        <v>356</v>
      </c>
      <c r="E63" s="14">
        <v>29342</v>
      </c>
      <c r="F63" s="10">
        <v>19</v>
      </c>
      <c r="G63" s="10">
        <v>8</v>
      </c>
    </row>
    <row r="64" spans="1:7" ht="14.25" x14ac:dyDescent="0.15">
      <c r="A64" s="11" t="s">
        <v>124</v>
      </c>
      <c r="B64" s="10" t="s">
        <v>122</v>
      </c>
      <c r="C64" s="10">
        <v>3</v>
      </c>
      <c r="D64" s="10">
        <v>542</v>
      </c>
      <c r="E64" s="10">
        <v>41234</v>
      </c>
      <c r="F64" s="10">
        <v>6</v>
      </c>
      <c r="G64" s="10">
        <v>2</v>
      </c>
    </row>
    <row r="65" spans="1:7" ht="14.25" x14ac:dyDescent="0.15">
      <c r="A65" s="12" t="s">
        <v>125</v>
      </c>
      <c r="B65" s="13" t="s">
        <v>119</v>
      </c>
      <c r="C65" s="14">
        <v>2</v>
      </c>
      <c r="D65" s="14">
        <v>148</v>
      </c>
      <c r="E65" s="14">
        <v>9078</v>
      </c>
      <c r="F65" s="10">
        <v>59</v>
      </c>
      <c r="G65" s="10">
        <v>57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员工信息表</vt:lpstr>
      <vt:lpstr>学历与基础薪酬对照表</vt:lpstr>
      <vt:lpstr>图书销售情况表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</dc:creator>
  <cp:lastModifiedBy>PC</cp:lastModifiedBy>
  <dcterms:created xsi:type="dcterms:W3CDTF">2019-10-24T05:51:28Z</dcterms:created>
  <dcterms:modified xsi:type="dcterms:W3CDTF">2023-10-11T06:56:59Z</dcterms:modified>
</cp:coreProperties>
</file>