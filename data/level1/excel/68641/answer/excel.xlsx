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19200" windowHeight="7005"/>
  </bookViews>
  <sheets>
    <sheet name="产品销售统计表" sheetId="1" r:id="rId1"/>
    <sheet name="产品单价表" sheetId="4" r:id="rId2"/>
    <sheet name="图书销售统计表" sheetId="2" r:id="rId3"/>
  </sheets>
  <definedNames>
    <definedName name="_xlnm._FilterDatabase" localSheetId="0" hidden="1">产品销售统计表!$A$2:$S$26</definedName>
  </definedNames>
  <calcPr calcId="162913"/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5" i="1"/>
  <c r="D70" i="2" l="1"/>
  <c r="D69" i="2"/>
  <c r="D52" i="2"/>
  <c r="D35" i="2"/>
  <c r="D18" i="2"/>
  <c r="H11" i="1"/>
  <c r="H6" i="1"/>
  <c r="H7" i="1"/>
  <c r="H8" i="1"/>
  <c r="H9" i="1"/>
  <c r="H10" i="1"/>
  <c r="H5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3" i="1"/>
  <c r="G26" i="2" l="1"/>
  <c r="F26" i="2"/>
  <c r="G47" i="2"/>
  <c r="F47" i="2"/>
  <c r="G30" i="2"/>
  <c r="F30" i="2"/>
  <c r="G43" i="2"/>
  <c r="F43" i="2"/>
  <c r="G22" i="2"/>
  <c r="F22" i="2"/>
  <c r="G68" i="2"/>
  <c r="F68" i="2"/>
  <c r="G29" i="2"/>
  <c r="F29" i="2"/>
  <c r="G60" i="2"/>
  <c r="F60" i="2"/>
  <c r="G42" i="2"/>
  <c r="F42" i="2"/>
  <c r="G51" i="2"/>
  <c r="F51" i="2"/>
  <c r="G41" i="2"/>
  <c r="F41" i="2"/>
  <c r="G50" i="2"/>
  <c r="F50" i="2"/>
  <c r="G49" i="2"/>
  <c r="F49" i="2"/>
  <c r="G25" i="2"/>
  <c r="F25" i="2"/>
  <c r="G46" i="2"/>
  <c r="F46" i="2"/>
  <c r="G64" i="2"/>
  <c r="F64" i="2"/>
  <c r="G39" i="2"/>
  <c r="F39" i="2"/>
  <c r="G34" i="2"/>
  <c r="F34" i="2"/>
  <c r="G48" i="2"/>
  <c r="F48" i="2"/>
  <c r="G56" i="2"/>
  <c r="F56" i="2"/>
  <c r="G40" i="2"/>
  <c r="F40" i="2"/>
  <c r="G38" i="2"/>
  <c r="F38" i="2"/>
  <c r="G37" i="2"/>
  <c r="F37" i="2"/>
  <c r="G45" i="2"/>
  <c r="F45" i="2"/>
  <c r="G44" i="2"/>
  <c r="F44" i="2"/>
  <c r="G36" i="2"/>
  <c r="F36" i="2"/>
  <c r="G17" i="2"/>
  <c r="F17" i="2"/>
  <c r="G9" i="2"/>
  <c r="F9" i="2"/>
  <c r="G5" i="2"/>
  <c r="F5" i="2"/>
  <c r="G28" i="2"/>
  <c r="F28" i="2"/>
  <c r="G13" i="2"/>
  <c r="F13" i="2"/>
  <c r="G21" i="2"/>
  <c r="F21" i="2"/>
  <c r="G24" i="2"/>
  <c r="F24" i="2"/>
  <c r="G55" i="2"/>
  <c r="F55" i="2"/>
  <c r="G33" i="2"/>
  <c r="F33" i="2"/>
  <c r="G8" i="2"/>
  <c r="F8" i="2"/>
  <c r="G27" i="2"/>
  <c r="F27" i="2"/>
  <c r="G4" i="2"/>
  <c r="F4" i="2"/>
  <c r="G3" i="2"/>
  <c r="F3" i="2"/>
  <c r="G23" i="2"/>
  <c r="F23" i="2"/>
  <c r="G7" i="2"/>
  <c r="F7" i="2"/>
  <c r="G20" i="2"/>
  <c r="F20" i="2"/>
  <c r="G54" i="2"/>
  <c r="F54" i="2"/>
  <c r="G63" i="2"/>
  <c r="F63" i="2"/>
  <c r="G67" i="2"/>
  <c r="F67" i="2"/>
  <c r="G32" i="2"/>
  <c r="F32" i="2"/>
  <c r="G62" i="2"/>
  <c r="F62" i="2"/>
  <c r="G12" i="2"/>
  <c r="F12" i="2"/>
  <c r="G31" i="2"/>
  <c r="F31" i="2"/>
  <c r="G19" i="2"/>
  <c r="F19" i="2"/>
  <c r="G61" i="2"/>
  <c r="F61" i="2"/>
  <c r="G59" i="2"/>
  <c r="F59" i="2"/>
  <c r="G2" i="2"/>
  <c r="F2" i="2"/>
  <c r="G11" i="2"/>
  <c r="F11" i="2"/>
  <c r="G66" i="2"/>
  <c r="F66" i="2"/>
  <c r="G16" i="2"/>
  <c r="F16" i="2"/>
  <c r="G65" i="2"/>
  <c r="F65" i="2"/>
  <c r="G15" i="2"/>
  <c r="F15" i="2"/>
  <c r="G14" i="2"/>
  <c r="F14" i="2"/>
  <c r="G53" i="2"/>
  <c r="F53" i="2"/>
  <c r="G6" i="2"/>
  <c r="F6" i="2"/>
  <c r="G58" i="2"/>
  <c r="F58" i="2"/>
  <c r="G57" i="2"/>
  <c r="F57" i="2"/>
  <c r="G10" i="2"/>
  <c r="F10" i="2"/>
</calcChain>
</file>

<file path=xl/sharedStrings.xml><?xml version="1.0" encoding="utf-8"?>
<sst xmlns="http://schemas.openxmlformats.org/spreadsheetml/2006/main" count="211" uniqueCount="85">
  <si>
    <t>经销部门</t>
    <phoneticPr fontId="5" type="noConversion"/>
  </si>
  <si>
    <t>图书类别</t>
    <phoneticPr fontId="5" type="noConversion"/>
  </si>
  <si>
    <t>季度</t>
    <phoneticPr fontId="5" type="noConversion"/>
  </si>
  <si>
    <t>销售额(元)</t>
    <phoneticPr fontId="5" type="noConversion"/>
  </si>
  <si>
    <t>销售数量排名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</si>
  <si>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</si>
  <si>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</si>
  <si>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</si>
  <si>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</si>
  <si>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</si>
  <si>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</si>
  <si>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</si>
  <si>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</si>
  <si>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</si>
  <si>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</si>
  <si>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</si>
  <si>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交通科学</t>
  </si>
  <si>
    <t>第1分部</t>
  </si>
  <si>
    <t>第2分部</t>
    <phoneticPr fontId="5" type="noConversion"/>
  </si>
  <si>
    <t>第3分部</t>
    <phoneticPr fontId="5" type="noConversion"/>
  </si>
  <si>
    <t>销售数量(册)</t>
    <phoneticPr fontId="5" type="noConversion"/>
  </si>
  <si>
    <t>产品类别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</si>
  <si>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</si>
  <si>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</si>
  <si>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</si>
  <si>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产品类别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</si>
  <si>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</si>
  <si>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</si>
  <si>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</si>
  <si>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</si>
  <si>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</si>
  <si>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</si>
  <si>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</si>
  <si>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A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</si>
  <si>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</si>
  <si>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</si>
  <si>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</si>
  <si>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B</t>
    <phoneticPr fontId="1" type="noConversion"/>
  </si>
  <si>
    <t>销售员</t>
    <phoneticPr fontId="1" type="noConversion"/>
  </si>
  <si>
    <t>产品单价（元）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</si>
  <si>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</si>
  <si>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</si>
  <si>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</si>
  <si>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</si>
  <si>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</si>
  <si>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</si>
  <si>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S2</t>
    <phoneticPr fontId="1" type="noConversion"/>
  </si>
  <si>
    <t>S3</t>
  </si>
  <si>
    <t>S3</t>
    <phoneticPr fontId="1" type="noConversion"/>
  </si>
  <si>
    <t>S4</t>
  </si>
  <si>
    <t>S4</t>
    <phoneticPr fontId="1" type="noConversion"/>
  </si>
  <si>
    <t>S5</t>
  </si>
  <si>
    <t>S5</t>
    <phoneticPr fontId="1" type="noConversion"/>
  </si>
  <si>
    <t>S6</t>
  </si>
  <si>
    <t>S6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</si>
  <si>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</si>
  <si>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</si>
  <si>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</si>
  <si>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</si>
  <si>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</si>
  <si>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S6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</si>
  <si>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</si>
  <si>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</si>
  <si>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</si>
  <si>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</si>
  <si>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S6</t>
    <phoneticPr fontId="1" type="noConversion"/>
  </si>
  <si>
    <t>S2</t>
    <phoneticPr fontId="1" type="noConversion"/>
  </si>
  <si>
    <t>S5</t>
    <phoneticPr fontId="1" type="noConversion"/>
  </si>
  <si>
    <t>S6</t>
    <phoneticPr fontId="1" type="noConversion"/>
  </si>
  <si>
    <t>S1</t>
    <phoneticPr fontId="1" type="noConversion"/>
  </si>
  <si>
    <t>单价（元）</t>
    <phoneticPr fontId="1" type="noConversion"/>
  </si>
  <si>
    <t>总销售额（万元）</t>
    <phoneticPr fontId="1" type="noConversion"/>
  </si>
  <si>
    <t xml:space="preserve">销售数量（个） </t>
    <phoneticPr fontId="1" type="noConversion"/>
  </si>
  <si>
    <r>
      <t>某</t>
    </r>
    <r>
      <rPr>
        <sz val="12"/>
        <rFont val="宋体"/>
        <family val="3"/>
        <charset val="134"/>
      </rPr>
      <t>公司产品销售情况表</t>
    </r>
    <r>
      <rPr>
        <sz val="12"/>
        <rFont val="Times New Roman"/>
        <family val="1"/>
      </rPr>
      <t xml:space="preserve"> </t>
    </r>
    <phoneticPr fontId="1" type="noConversion"/>
  </si>
  <si>
    <t>统计表1</t>
    <phoneticPr fontId="1" type="noConversion"/>
  </si>
  <si>
    <t>销售额（万元）</t>
    <phoneticPr fontId="1" type="noConversion"/>
  </si>
  <si>
    <t>S1</t>
    <phoneticPr fontId="1" type="noConversion"/>
  </si>
  <si>
    <t>S1</t>
    <phoneticPr fontId="1" type="noConversion"/>
  </si>
  <si>
    <t>销售表现</t>
    <phoneticPr fontId="1" type="noConversion"/>
  </si>
  <si>
    <t>平均值</t>
    <phoneticPr fontId="1" type="noConversion"/>
  </si>
  <si>
    <t>生物科学 汇总</t>
  </si>
  <si>
    <t>农业科学 汇总</t>
  </si>
  <si>
    <t>交通科学 汇总</t>
  </si>
  <si>
    <t>工业技术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</si>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</sst>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¥&quot;#,##0.00;&quot;¥&quot;\-#,##0.00"/>
    <numFmt numFmtId="176" formatCode="0.00_);[Red]\(0.00\)"/>
    <numFmt numFmtId="177" formatCode="0.00_ "/>
    <numFmt numFmtId="178" formatCode="0_);[Red]\(0\)"/>
  </numFmts>
  <fonts count="11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Font="1" applyFill="1" applyBorder="1"/>
    <xf numFmtId="0" fontId="6" fillId="0" borderId="1" xfId="0" applyFont="1" applyFill="1" applyBorder="1"/>
    <xf numFmtId="0" fontId="0" fillId="0" borderId="1" xfId="0" applyFill="1" applyBorder="1"/>
    <xf numFmtId="0" fontId="8" fillId="0" borderId="0" xfId="0" applyFont="1"/>
    <xf numFmtId="0" fontId="9" fillId="0" borderId="0" xfId="0" applyFont="1"/>
    <xf numFmtId="177" fontId="8" fillId="0" borderId="0" xfId="0" applyNumberFormat="1" applyFont="1"/>
    <xf numFmtId="0" fontId="3" fillId="0" borderId="1" xfId="0" applyFont="1" applyBorder="1"/>
    <xf numFmtId="0" fontId="3" fillId="0" borderId="0" xfId="0" applyFont="1" applyBorder="1"/>
    <xf numFmtId="0" fontId="8" fillId="0" borderId="0" xfId="0" applyFont="1" applyBorder="1"/>
    <xf numFmtId="0" fontId="3" fillId="0" borderId="0" xfId="0" applyFont="1"/>
    <xf numFmtId="0" fontId="3" fillId="0" borderId="0" xfId="0" applyFont="1" applyFill="1" applyBorder="1"/>
    <xf numFmtId="0" fontId="8" fillId="0" borderId="0" xfId="0" applyNumberFormat="1" applyFont="1" applyBorder="1"/>
    <xf numFmtId="177" fontId="8" fillId="0" borderId="0" xfId="0" applyNumberFormat="1" applyFont="1" applyBorder="1"/>
    <xf numFmtId="176" fontId="8" fillId="0" borderId="0" xfId="0" applyNumberFormat="1" applyFont="1" applyBorder="1"/>
    <xf numFmtId="0" fontId="7" fillId="0" borderId="0" xfId="0" applyFont="1" applyBorder="1"/>
    <xf numFmtId="0" fontId="10" fillId="0" borderId="0" xfId="0" applyFont="1" applyBorder="1"/>
    <xf numFmtId="178" fontId="8" fillId="0" borderId="0" xfId="0" applyNumberFormat="1" applyFont="1" applyBorder="1"/>
    <xf numFmtId="0" fontId="3" fillId="0" borderId="0" xfId="0" applyFont="1" applyFill="1" applyBorder="1" applyAlignment="1">
      <alignment horizontal="center" vertical="center"/>
    </xf>
    <xf numFmtId="0" fontId="8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7" fontId="8" fillId="0" borderId="0" xfId="0" applyNumberFormat="1" applyFont="1" applyBorder="1"/>
    <xf numFmtId="0" fontId="9" fillId="0" borderId="0" xfId="0" applyFont="1" applyBorder="1"/>
    <xf numFmtId="0" fontId="3" fillId="0" borderId="0" xfId="0" applyFont="1" applyFill="1" applyBorder="1" applyAlignment="1"/>
    <xf numFmtId="0" fontId="8" fillId="0" borderId="1" xfId="0" applyNumberFormat="1" applyFont="1" applyBorder="1"/>
    <xf numFmtId="0" fontId="8" fillId="0" borderId="0" xfId="0" applyNumberFormat="1" applyFont="1"/>
    <xf numFmtId="7" fontId="8" fillId="0" borderId="1" xfId="0" applyNumberFormat="1" applyFont="1" applyBorder="1"/>
    <xf numFmtId="7" fontId="3" fillId="0" borderId="1" xfId="0" applyNumberFormat="1" applyFont="1" applyFill="1" applyBorder="1"/>
    <xf numFmtId="0" fontId="4" fillId="0" borderId="1" xfId="0" applyFont="1" applyFill="1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applyBorder="1"/>
    <xf numFmtId="0" fontId="4" fillId="0" borderId="0" xfId="0" applyFont="1" applyFill="1" applyBorder="1"/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 smtClean="0"/>
              <a:t>产品销售统计图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产品销售统计表!$H$4</c:f>
              <c:strCache>
                <c:ptCount val="1"/>
                <c:pt idx="0">
                  <c:v>总销售额（万元）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产品销售统计表!$G$5:$G$10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产品销售统计表!$H$5:$H$10</c:f>
              <c:numCache>
                <c:formatCode>"¥"#,##0.00_);\("¥"#,##0.00\)</c:formatCode>
                <c:ptCount val="6"/>
                <c:pt idx="0">
                  <c:v>263.73239999999998</c:v>
                </c:pt>
                <c:pt idx="1">
                  <c:v>196.97480000000002</c:v>
                </c:pt>
                <c:pt idx="2">
                  <c:v>400.94189999999998</c:v>
                </c:pt>
                <c:pt idx="3">
                  <c:v>445.51739999999995</c:v>
                </c:pt>
                <c:pt idx="4">
                  <c:v>307.66359999999997</c:v>
                </c:pt>
                <c:pt idx="5">
                  <c:v>314.4273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2-4F0B-AAB1-D2136D90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976600"/>
        <c:axId val="417975944"/>
      </c:barChart>
      <c:catAx>
        <c:axId val="41797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7975944"/>
        <c:crosses val="autoZero"/>
        <c:auto val="1"/>
        <c:lblAlgn val="ctr"/>
        <c:lblOffset val="100"/>
        <c:noMultiLvlLbl val="0"/>
      </c:catAx>
      <c:valAx>
        <c:axId val="41797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.00_);\(&quot;¥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797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12</xdr:row>
      <xdr:rowOff>76200</xdr:rowOff>
    </xdr:from>
    <xdr:to>
      <xdr:col>10</xdr:col>
      <xdr:colOff>571500</xdr:colOff>
      <xdr:row>25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workbookViewId="0">
      <selection activeCell="C15" sqref="C15"/>
    </sheetView>
  </sheetViews>
  <sheetFormatPr defaultColWidth="8.625" defaultRowHeight="14.25" x14ac:dyDescent="0.15"/>
  <cols>
    <col min="1" max="1" width="9.25" style="7" customWidth="1"/>
    <col min="2" max="2" width="12.625" style="7" customWidth="1"/>
    <col min="3" max="3" width="14.5" style="7" customWidth="1"/>
    <col min="4" max="4" width="14.625" style="7" customWidth="1"/>
    <col min="5" max="6" width="8.625" style="7" customWidth="1"/>
    <col min="7" max="7" width="9.875" style="7" customWidth="1"/>
    <col min="8" max="8" width="16.625" style="7" customWidth="1"/>
    <col min="9" max="13" width="8.625" style="7" customWidth="1"/>
    <col min="14" max="14" width="8.75" style="7" customWidth="1"/>
    <col min="15" max="16384" width="8.625" style="7"/>
  </cols>
  <sheetData>
    <row r="1" spans="1:19" ht="15.75" x14ac:dyDescent="0.25">
      <c r="A1" s="42" t="s">
        <v>73</v>
      </c>
      <c r="B1" s="42"/>
      <c r="C1" s="42"/>
      <c r="D1" s="42"/>
      <c r="E1" s="4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15">
      <c r="A2" s="25" t="s">
        <v>25</v>
      </c>
      <c r="B2" s="11" t="s">
        <v>39</v>
      </c>
      <c r="C2" s="11" t="s">
        <v>72</v>
      </c>
      <c r="D2" s="14" t="s">
        <v>75</v>
      </c>
      <c r="E2" s="21" t="s">
        <v>38</v>
      </c>
      <c r="K2" s="12"/>
      <c r="L2" s="12"/>
      <c r="M2" s="12"/>
      <c r="N2" s="11"/>
      <c r="O2" s="12"/>
      <c r="P2" s="12"/>
      <c r="Q2" s="12"/>
      <c r="R2" s="12"/>
      <c r="S2" s="12"/>
    </row>
    <row r="3" spans="1:19" x14ac:dyDescent="0.15">
      <c r="A3" s="26" t="s">
        <v>26</v>
      </c>
      <c r="B3" s="19">
        <f>VLOOKUP(A3,产品单价表!$A$1:$B$5,2,0)</f>
        <v>673</v>
      </c>
      <c r="C3" s="20">
        <v>1332</v>
      </c>
      <c r="D3" s="29">
        <f>B3*C3/10000</f>
        <v>89.643600000000006</v>
      </c>
      <c r="E3" s="25" t="s">
        <v>76</v>
      </c>
      <c r="G3" s="41" t="s">
        <v>74</v>
      </c>
      <c r="H3" s="41"/>
      <c r="I3" s="41"/>
      <c r="K3" s="12"/>
      <c r="L3" s="12"/>
      <c r="M3" s="12"/>
      <c r="N3" s="15"/>
      <c r="O3" s="12"/>
      <c r="P3" s="12"/>
      <c r="Q3" s="12"/>
      <c r="R3" s="12"/>
      <c r="S3" s="12"/>
    </row>
    <row r="4" spans="1:19" x14ac:dyDescent="0.15">
      <c r="A4" s="26" t="s">
        <v>27</v>
      </c>
      <c r="B4" s="19">
        <f>VLOOKUP(A4,产品单价表!$A$1:$B$5,2,0)</f>
        <v>261</v>
      </c>
      <c r="C4" s="20">
        <v>1156</v>
      </c>
      <c r="D4" s="29">
        <f t="shared" ref="D4:D26" si="0">B4*C4/10000</f>
        <v>30.171600000000002</v>
      </c>
      <c r="E4" s="25" t="s">
        <v>55</v>
      </c>
      <c r="F4" s="22"/>
      <c r="G4" s="24" t="s">
        <v>38</v>
      </c>
      <c r="H4" s="10" t="s">
        <v>71</v>
      </c>
      <c r="I4" s="10" t="s">
        <v>78</v>
      </c>
      <c r="K4" s="12"/>
      <c r="L4" s="12"/>
      <c r="M4" s="12"/>
      <c r="N4" s="15"/>
      <c r="O4" s="12"/>
      <c r="P4" s="12"/>
      <c r="Q4" s="12"/>
      <c r="R4" s="12"/>
      <c r="S4" s="12"/>
    </row>
    <row r="5" spans="1:19" x14ac:dyDescent="0.15">
      <c r="A5" s="27" t="s">
        <v>29</v>
      </c>
      <c r="B5" s="19">
        <f>VLOOKUP(A5,产品单价表!$A$1:$B$5,2,0)</f>
        <v>673</v>
      </c>
      <c r="C5" s="20">
        <v>1388</v>
      </c>
      <c r="D5" s="29">
        <f t="shared" si="0"/>
        <v>93.412400000000005</v>
      </c>
      <c r="E5" s="25" t="s">
        <v>46</v>
      </c>
      <c r="G5" s="23" t="s">
        <v>69</v>
      </c>
      <c r="H5" s="34">
        <f>SUMIF($E$3:$E$26,G5,$D$3:$D$26)</f>
        <v>263.73239999999998</v>
      </c>
      <c r="I5" s="32" t="str">
        <f>IF(H5&gt;$H$11,"良好",IF(H5&gt;200,"合格","不合格"))</f>
        <v>合格</v>
      </c>
      <c r="K5" s="12"/>
      <c r="L5" s="12"/>
      <c r="M5" s="12"/>
      <c r="N5" s="12"/>
      <c r="O5" s="12"/>
      <c r="P5" s="12"/>
      <c r="Q5" s="12"/>
      <c r="R5" s="12"/>
      <c r="S5" s="12"/>
    </row>
    <row r="6" spans="1:19" x14ac:dyDescent="0.15">
      <c r="A6" s="27" t="s">
        <v>28</v>
      </c>
      <c r="B6" s="19">
        <f>VLOOKUP(A6,产品单价表!$A$1:$B$5,2,0)</f>
        <v>322</v>
      </c>
      <c r="C6" s="20">
        <v>2180</v>
      </c>
      <c r="D6" s="29">
        <f t="shared" si="0"/>
        <v>70.195999999999998</v>
      </c>
      <c r="E6" s="21" t="s">
        <v>55</v>
      </c>
      <c r="G6" s="23" t="s">
        <v>56</v>
      </c>
      <c r="H6" s="34">
        <f t="shared" ref="H6:H10" si="1">SUMIF($E$3:$E$26,G6,$D$3:$D$26)</f>
        <v>196.97480000000002</v>
      </c>
      <c r="I6" s="32" t="str">
        <f t="shared" ref="I6:I10" si="2">IF(H6&gt;$H$11,"良好",IF(H6&gt;200,"合格","不合格"))</f>
        <v>不合格</v>
      </c>
      <c r="J6" s="9"/>
      <c r="K6" s="16"/>
      <c r="L6" s="16"/>
      <c r="M6" s="17"/>
      <c r="N6" s="12"/>
      <c r="O6" s="12"/>
      <c r="P6" s="12"/>
      <c r="Q6" s="12"/>
      <c r="R6" s="12"/>
      <c r="S6" s="12"/>
    </row>
    <row r="7" spans="1:19" x14ac:dyDescent="0.15">
      <c r="A7" s="27" t="s">
        <v>40</v>
      </c>
      <c r="B7" s="19">
        <f>VLOOKUP(A7,产品单价表!$A$1:$B$5,2,0)</f>
        <v>452</v>
      </c>
      <c r="C7" s="20">
        <v>1631</v>
      </c>
      <c r="D7" s="29">
        <f t="shared" si="0"/>
        <v>73.721199999999996</v>
      </c>
      <c r="E7" s="21" t="s">
        <v>77</v>
      </c>
      <c r="G7" s="23" t="s">
        <v>47</v>
      </c>
      <c r="H7" s="34">
        <f t="shared" si="1"/>
        <v>400.94189999999998</v>
      </c>
      <c r="I7" s="32" t="str">
        <f t="shared" si="2"/>
        <v>良好</v>
      </c>
      <c r="K7" s="12"/>
      <c r="L7" s="12"/>
      <c r="M7" s="12"/>
      <c r="N7" s="12"/>
      <c r="O7" s="12"/>
      <c r="P7" s="12"/>
      <c r="Q7" s="12"/>
      <c r="R7" s="12"/>
      <c r="S7" s="12"/>
    </row>
    <row r="8" spans="1:19" x14ac:dyDescent="0.15">
      <c r="A8" s="27" t="s">
        <v>31</v>
      </c>
      <c r="B8" s="19">
        <f>VLOOKUP(A8,产品单价表!$A$1:$B$5,2,0)</f>
        <v>322</v>
      </c>
      <c r="C8" s="20">
        <v>890</v>
      </c>
      <c r="D8" s="29">
        <f t="shared" si="0"/>
        <v>28.658000000000001</v>
      </c>
      <c r="E8" s="21" t="s">
        <v>61</v>
      </c>
      <c r="G8" s="23" t="s">
        <v>49</v>
      </c>
      <c r="H8" s="34">
        <f t="shared" si="1"/>
        <v>445.51739999999995</v>
      </c>
      <c r="I8" s="32" t="str">
        <f t="shared" si="2"/>
        <v>良好</v>
      </c>
      <c r="K8" s="12"/>
      <c r="L8" s="12"/>
      <c r="M8" s="18"/>
      <c r="N8" s="18"/>
      <c r="O8" s="18"/>
      <c r="P8" s="18"/>
      <c r="Q8" s="18"/>
      <c r="R8" s="18"/>
      <c r="S8" s="12"/>
    </row>
    <row r="9" spans="1:19" x14ac:dyDescent="0.15">
      <c r="A9" s="27" t="s">
        <v>32</v>
      </c>
      <c r="B9" s="19">
        <f>VLOOKUP(A9,产品单价表!$A$1:$B$5,2,0)</f>
        <v>673</v>
      </c>
      <c r="C9" s="20">
        <v>2432</v>
      </c>
      <c r="D9" s="29">
        <f t="shared" si="0"/>
        <v>163.67359999999999</v>
      </c>
      <c r="E9" s="21" t="s">
        <v>48</v>
      </c>
      <c r="G9" s="23" t="s">
        <v>51</v>
      </c>
      <c r="H9" s="34">
        <f t="shared" si="1"/>
        <v>307.66359999999997</v>
      </c>
      <c r="I9" s="32" t="str">
        <f t="shared" si="2"/>
        <v>合格</v>
      </c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15">
      <c r="A10" s="27" t="s">
        <v>33</v>
      </c>
      <c r="B10" s="19">
        <f>VLOOKUP(A10,产品单价表!$A$1:$B$5,2,0)</f>
        <v>673</v>
      </c>
      <c r="C10" s="20">
        <v>2679</v>
      </c>
      <c r="D10" s="29">
        <f t="shared" si="0"/>
        <v>180.29669999999999</v>
      </c>
      <c r="E10" s="21" t="s">
        <v>50</v>
      </c>
      <c r="G10" s="23" t="s">
        <v>53</v>
      </c>
      <c r="H10" s="34">
        <f t="shared" si="1"/>
        <v>314.4273</v>
      </c>
      <c r="I10" s="32" t="str">
        <f t="shared" si="2"/>
        <v>合格</v>
      </c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15">
      <c r="A11" s="27" t="s">
        <v>34</v>
      </c>
      <c r="B11" s="19">
        <f>VLOOKUP(A11,产品单价表!$A$1:$B$5,2,0)</f>
        <v>261</v>
      </c>
      <c r="C11" s="20">
        <v>1100</v>
      </c>
      <c r="D11" s="29">
        <f t="shared" si="0"/>
        <v>28.71</v>
      </c>
      <c r="E11" s="25" t="s">
        <v>56</v>
      </c>
      <c r="G11" s="28" t="s">
        <v>79</v>
      </c>
      <c r="H11" s="35">
        <f>AVERAGE(H5:H10)</f>
        <v>321.54289999999997</v>
      </c>
      <c r="I11" s="33"/>
    </row>
    <row r="12" spans="1:19" x14ac:dyDescent="0.15">
      <c r="A12" s="27" t="s">
        <v>35</v>
      </c>
      <c r="B12" s="19">
        <f>VLOOKUP(A12,产品单价表!$A$1:$B$5,2,0)</f>
        <v>261</v>
      </c>
      <c r="C12" s="20">
        <v>1975</v>
      </c>
      <c r="D12" s="29">
        <f t="shared" si="0"/>
        <v>51.547499999999999</v>
      </c>
      <c r="E12" s="25" t="s">
        <v>57</v>
      </c>
    </row>
    <row r="13" spans="1:19" ht="15.95" customHeight="1" x14ac:dyDescent="0.15">
      <c r="A13" s="27" t="s">
        <v>42</v>
      </c>
      <c r="B13" s="19">
        <f>VLOOKUP(A13,产品单价表!$A$1:$B$5,2,0)</f>
        <v>452</v>
      </c>
      <c r="C13" s="20">
        <v>1022</v>
      </c>
      <c r="D13" s="29">
        <f t="shared" si="0"/>
        <v>46.194400000000002</v>
      </c>
      <c r="E13" s="21" t="s">
        <v>66</v>
      </c>
      <c r="G13" s="31"/>
      <c r="H13" s="31"/>
      <c r="I13" s="31"/>
    </row>
    <row r="14" spans="1:19" x14ac:dyDescent="0.15">
      <c r="A14" s="27" t="s">
        <v>36</v>
      </c>
      <c r="B14" s="19">
        <f>VLOOKUP(A14,产品单价表!$A$1:$B$5,2,0)</f>
        <v>322</v>
      </c>
      <c r="C14" s="20">
        <v>2556</v>
      </c>
      <c r="D14" s="29">
        <f t="shared" si="0"/>
        <v>82.303200000000004</v>
      </c>
      <c r="E14" s="21" t="s">
        <v>62</v>
      </c>
      <c r="F14" s="12"/>
      <c r="G14" s="25"/>
      <c r="H14" s="11"/>
      <c r="I14" s="11"/>
    </row>
    <row r="15" spans="1:19" ht="15.75" x14ac:dyDescent="0.25">
      <c r="A15" s="27" t="s">
        <v>32</v>
      </c>
      <c r="B15" s="19">
        <f>VLOOKUP(A15,产品单价表!$A$1:$B$5,2,0)</f>
        <v>673</v>
      </c>
      <c r="C15" s="20">
        <v>1089</v>
      </c>
      <c r="D15" s="29">
        <f t="shared" si="0"/>
        <v>73.289699999999996</v>
      </c>
      <c r="E15" s="21" t="s">
        <v>52</v>
      </c>
      <c r="G15" s="25"/>
      <c r="H15" s="29"/>
      <c r="I15" s="30"/>
    </row>
    <row r="16" spans="1:19" ht="15.75" x14ac:dyDescent="0.25">
      <c r="A16" s="27" t="s">
        <v>42</v>
      </c>
      <c r="B16" s="19">
        <f>VLOOKUP(A16,产品单价表!$A$1:$B$5,2,0)</f>
        <v>452</v>
      </c>
      <c r="C16" s="20">
        <v>2288</v>
      </c>
      <c r="D16" s="29">
        <f t="shared" si="0"/>
        <v>103.41759999999999</v>
      </c>
      <c r="E16" s="21" t="s">
        <v>62</v>
      </c>
      <c r="G16" s="25"/>
      <c r="H16" s="29"/>
      <c r="I16" s="30"/>
    </row>
    <row r="17" spans="1:9" ht="15.75" x14ac:dyDescent="0.25">
      <c r="A17" s="27" t="s">
        <v>30</v>
      </c>
      <c r="B17" s="19">
        <f>VLOOKUP(A17,产品单价表!$A$1:$B$5,2,0)</f>
        <v>261</v>
      </c>
      <c r="C17" s="20">
        <v>3189</v>
      </c>
      <c r="D17" s="29">
        <f t="shared" si="0"/>
        <v>83.232900000000001</v>
      </c>
      <c r="E17" s="25" t="s">
        <v>58</v>
      </c>
      <c r="G17" s="25"/>
      <c r="H17" s="29"/>
      <c r="I17" s="30"/>
    </row>
    <row r="18" spans="1:9" ht="15.75" x14ac:dyDescent="0.25">
      <c r="A18" s="27" t="s">
        <v>31</v>
      </c>
      <c r="B18" s="19">
        <f>VLOOKUP(A18,产品单价表!$A$1:$B$5,2,0)</f>
        <v>322</v>
      </c>
      <c r="C18" s="20">
        <v>2565</v>
      </c>
      <c r="D18" s="29">
        <f t="shared" si="0"/>
        <v>82.593000000000004</v>
      </c>
      <c r="E18" s="21" t="s">
        <v>63</v>
      </c>
      <c r="G18" s="25"/>
      <c r="H18" s="29"/>
      <c r="I18" s="30"/>
    </row>
    <row r="19" spans="1:9" ht="15.75" x14ac:dyDescent="0.25">
      <c r="A19" s="27" t="s">
        <v>37</v>
      </c>
      <c r="B19" s="19">
        <f>VLOOKUP(A19,产品单价表!$A$1:$B$5,2,0)</f>
        <v>261</v>
      </c>
      <c r="C19" s="20">
        <v>2451</v>
      </c>
      <c r="D19" s="29">
        <f t="shared" si="0"/>
        <v>63.9711</v>
      </c>
      <c r="E19" s="25" t="s">
        <v>59</v>
      </c>
      <c r="I19" s="8"/>
    </row>
    <row r="20" spans="1:9" ht="15.75" x14ac:dyDescent="0.25">
      <c r="A20" s="27" t="s">
        <v>28</v>
      </c>
      <c r="B20" s="19">
        <f>VLOOKUP(A20,产品单价表!$A$1:$B$5,2,0)</f>
        <v>322</v>
      </c>
      <c r="C20" s="20">
        <v>2500</v>
      </c>
      <c r="D20" s="29">
        <f t="shared" si="0"/>
        <v>80.5</v>
      </c>
      <c r="E20" s="21" t="s">
        <v>64</v>
      </c>
      <c r="I20" s="8"/>
    </row>
    <row r="21" spans="1:9" ht="15.75" x14ac:dyDescent="0.25">
      <c r="A21" s="27" t="s">
        <v>44</v>
      </c>
      <c r="B21" s="19">
        <f>VLOOKUP(A21,产品单价表!$A$1:$B$5,2,0)</f>
        <v>261</v>
      </c>
      <c r="C21" s="20">
        <v>1892</v>
      </c>
      <c r="D21" s="29">
        <f t="shared" si="0"/>
        <v>49.3812</v>
      </c>
      <c r="E21" s="25" t="s">
        <v>60</v>
      </c>
      <c r="I21" s="8"/>
    </row>
    <row r="22" spans="1:9" ht="15.75" x14ac:dyDescent="0.25">
      <c r="A22" s="27" t="s">
        <v>41</v>
      </c>
      <c r="B22" s="19">
        <f>VLOOKUP(A22,产品单价表!$A$1:$B$5,2,0)</f>
        <v>452</v>
      </c>
      <c r="C22" s="20">
        <v>2199</v>
      </c>
      <c r="D22" s="29">
        <f t="shared" si="0"/>
        <v>99.394800000000004</v>
      </c>
      <c r="E22" s="21" t="s">
        <v>63</v>
      </c>
      <c r="I22" s="8"/>
    </row>
    <row r="23" spans="1:9" ht="15.75" x14ac:dyDescent="0.25">
      <c r="A23" s="27" t="s">
        <v>45</v>
      </c>
      <c r="B23" s="19">
        <f>VLOOKUP(A23,产品单价表!$A$1:$B$5,2,0)</f>
        <v>673</v>
      </c>
      <c r="C23" s="20">
        <v>1789</v>
      </c>
      <c r="D23" s="29">
        <f t="shared" si="0"/>
        <v>120.3997</v>
      </c>
      <c r="E23" s="21" t="s">
        <v>54</v>
      </c>
      <c r="I23" s="8"/>
    </row>
    <row r="24" spans="1:9" ht="15.75" x14ac:dyDescent="0.25">
      <c r="A24" s="27" t="s">
        <v>41</v>
      </c>
      <c r="B24" s="19">
        <f>VLOOKUP(A24,产品单价表!$A$1:$B$5,2,0)</f>
        <v>452</v>
      </c>
      <c r="C24" s="20">
        <v>1989</v>
      </c>
      <c r="D24" s="29">
        <f t="shared" si="0"/>
        <v>89.902799999999999</v>
      </c>
      <c r="E24" s="21" t="s">
        <v>67</v>
      </c>
      <c r="I24" s="8"/>
    </row>
    <row r="25" spans="1:9" x14ac:dyDescent="0.15">
      <c r="A25" s="27" t="s">
        <v>28</v>
      </c>
      <c r="B25" s="19">
        <f>VLOOKUP(A25,产品单价表!$A$1:$B$5,2,0)</f>
        <v>322</v>
      </c>
      <c r="C25" s="20">
        <v>1658</v>
      </c>
      <c r="D25" s="29">
        <f t="shared" si="0"/>
        <v>53.387599999999999</v>
      </c>
      <c r="E25" s="21" t="s">
        <v>65</v>
      </c>
    </row>
    <row r="26" spans="1:9" x14ac:dyDescent="0.15">
      <c r="A26" s="27" t="s">
        <v>43</v>
      </c>
      <c r="B26" s="19">
        <f>VLOOKUP(A26,产品单价表!$A$1:$B$5,2,0)</f>
        <v>452</v>
      </c>
      <c r="C26" s="20">
        <v>2019</v>
      </c>
      <c r="D26" s="29">
        <f t="shared" si="0"/>
        <v>91.258799999999994</v>
      </c>
      <c r="E26" s="21" t="s">
        <v>68</v>
      </c>
    </row>
  </sheetData>
  <mergeCells count="2">
    <mergeCell ref="G3:I3"/>
    <mergeCell ref="A1:E1"/>
  </mergeCells>
  <phoneticPr fontId="1" type="noConversion"/>
  <conditionalFormatting sqref="C3:C6 C8:C26 H5:I5 J6:L6 H6:H11 I6:I10">
    <cfRule type="cellIs" dxfId="0" priority="2" stopIfTrue="1" operator="greaterThanOrEqual">
      <formula>130</formula>
    </cfRule>
  </conditionalFormatting>
  <conditionalFormatting sqref="D3:D26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6" sqref="D6"/>
    </sheetView>
  </sheetViews>
  <sheetFormatPr defaultRowHeight="14.25" x14ac:dyDescent="0.15"/>
  <cols>
    <col min="2" max="2" width="10.125" customWidth="1"/>
  </cols>
  <sheetData>
    <row r="1" spans="1:2" x14ac:dyDescent="0.15">
      <c r="A1" t="s">
        <v>21</v>
      </c>
      <c r="B1" s="13" t="s">
        <v>70</v>
      </c>
    </row>
    <row r="2" spans="1:2" x14ac:dyDescent="0.15">
      <c r="A2" t="s">
        <v>22</v>
      </c>
      <c r="B2">
        <v>673</v>
      </c>
    </row>
    <row r="3" spans="1:2" x14ac:dyDescent="0.15">
      <c r="A3" t="s">
        <v>23</v>
      </c>
      <c r="B3">
        <v>261</v>
      </c>
    </row>
    <row r="4" spans="1:2" x14ac:dyDescent="0.15">
      <c r="A4" t="s">
        <v>24</v>
      </c>
      <c r="B4">
        <v>322</v>
      </c>
    </row>
    <row r="5" spans="1:2" x14ac:dyDescent="0.15">
      <c r="A5" s="13" t="s">
        <v>42</v>
      </c>
      <c r="B5">
        <v>452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opLeftCell="A73" workbookViewId="0">
      <selection activeCell="C7" sqref="C7"/>
    </sheetView>
  </sheetViews>
  <sheetFormatPr defaultRowHeight="14.25" outlineLevelRow="2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4</v>
      </c>
      <c r="G1" s="2" t="s">
        <v>5</v>
      </c>
    </row>
    <row r="2" spans="1:7" ht="15.75" outlineLevel="2" x14ac:dyDescent="0.25">
      <c r="A2" s="1" t="s">
        <v>10</v>
      </c>
      <c r="B2" s="3" t="s">
        <v>7</v>
      </c>
      <c r="C2" s="1">
        <v>1</v>
      </c>
      <c r="D2" s="1">
        <v>206</v>
      </c>
      <c r="E2" s="1">
        <v>14420</v>
      </c>
      <c r="F2" s="1">
        <f t="shared" ref="F2:F17" si="0">_xlfn.RANK.EQ(D2,$D$2:$D$68)</f>
        <v>53</v>
      </c>
      <c r="G2" s="1">
        <f t="shared" ref="G2:G17" si="1">_xlfn.RANK.EQ(E2,$E$2:$E$68)</f>
        <v>34</v>
      </c>
    </row>
    <row r="3" spans="1:7" ht="15.75" outlineLevel="2" x14ac:dyDescent="0.25">
      <c r="A3" s="1" t="s">
        <v>6</v>
      </c>
      <c r="B3" s="3" t="s">
        <v>7</v>
      </c>
      <c r="C3" s="1">
        <v>1</v>
      </c>
      <c r="D3" s="1">
        <v>212</v>
      </c>
      <c r="E3" s="1">
        <v>14840</v>
      </c>
      <c r="F3" s="1">
        <f t="shared" si="0"/>
        <v>51</v>
      </c>
      <c r="G3" s="1">
        <f t="shared" si="1"/>
        <v>33</v>
      </c>
    </row>
    <row r="4" spans="1:7" ht="15.75" outlineLevel="2" x14ac:dyDescent="0.25">
      <c r="A4" s="1" t="s">
        <v>9</v>
      </c>
      <c r="B4" s="3" t="s">
        <v>7</v>
      </c>
      <c r="C4" s="1">
        <v>1</v>
      </c>
      <c r="D4" s="1">
        <v>345</v>
      </c>
      <c r="E4" s="1">
        <v>24150</v>
      </c>
      <c r="F4" s="1">
        <f t="shared" si="0"/>
        <v>23</v>
      </c>
      <c r="G4" s="1">
        <f t="shared" si="1"/>
        <v>15</v>
      </c>
    </row>
    <row r="5" spans="1:7" outlineLevel="2" x14ac:dyDescent="0.15">
      <c r="A5" s="3" t="s">
        <v>12</v>
      </c>
      <c r="B5" s="3" t="s">
        <v>7</v>
      </c>
      <c r="C5" s="1">
        <v>1</v>
      </c>
      <c r="D5" s="1">
        <v>324</v>
      </c>
      <c r="E5" s="1">
        <v>22680</v>
      </c>
      <c r="F5" s="1">
        <f t="shared" si="0"/>
        <v>29</v>
      </c>
      <c r="G5" s="1">
        <f t="shared" si="1"/>
        <v>21</v>
      </c>
    </row>
    <row r="6" spans="1:7" ht="15.75" outlineLevel="2" x14ac:dyDescent="0.25">
      <c r="A6" s="1" t="s">
        <v>10</v>
      </c>
      <c r="B6" s="3" t="s">
        <v>7</v>
      </c>
      <c r="C6" s="1">
        <v>2</v>
      </c>
      <c r="D6" s="1">
        <v>256</v>
      </c>
      <c r="E6" s="1">
        <v>17920</v>
      </c>
      <c r="F6" s="1">
        <f t="shared" si="0"/>
        <v>39</v>
      </c>
      <c r="G6" s="1">
        <f t="shared" si="1"/>
        <v>28</v>
      </c>
    </row>
    <row r="7" spans="1:7" ht="15.75" outlineLevel="2" x14ac:dyDescent="0.25">
      <c r="A7" s="1" t="s">
        <v>6</v>
      </c>
      <c r="B7" s="3" t="s">
        <v>7</v>
      </c>
      <c r="C7" s="1">
        <v>2</v>
      </c>
      <c r="D7" s="1">
        <v>345</v>
      </c>
      <c r="E7" s="1">
        <v>24150</v>
      </c>
      <c r="F7" s="1">
        <f t="shared" si="0"/>
        <v>23</v>
      </c>
      <c r="G7" s="1">
        <f t="shared" si="1"/>
        <v>15</v>
      </c>
    </row>
    <row r="8" spans="1:7" ht="15.75" outlineLevel="2" x14ac:dyDescent="0.25">
      <c r="A8" s="1" t="s">
        <v>9</v>
      </c>
      <c r="B8" s="3" t="s">
        <v>7</v>
      </c>
      <c r="C8" s="1">
        <v>2</v>
      </c>
      <c r="D8" s="1">
        <v>412</v>
      </c>
      <c r="E8" s="1">
        <v>28840</v>
      </c>
      <c r="F8" s="1">
        <f t="shared" si="0"/>
        <v>17</v>
      </c>
      <c r="G8" s="1">
        <f t="shared" si="1"/>
        <v>10</v>
      </c>
    </row>
    <row r="9" spans="1:7" outlineLevel="2" x14ac:dyDescent="0.15">
      <c r="A9" s="3" t="s">
        <v>12</v>
      </c>
      <c r="B9" s="3" t="s">
        <v>7</v>
      </c>
      <c r="C9" s="1">
        <v>2</v>
      </c>
      <c r="D9" s="1">
        <v>329</v>
      </c>
      <c r="E9" s="1">
        <v>23030</v>
      </c>
      <c r="F9" s="1">
        <f t="shared" si="0"/>
        <v>28</v>
      </c>
      <c r="G9" s="1">
        <f t="shared" si="1"/>
        <v>19</v>
      </c>
    </row>
    <row r="10" spans="1:7" ht="15.75" outlineLevel="2" x14ac:dyDescent="0.25">
      <c r="A10" s="1" t="s">
        <v>6</v>
      </c>
      <c r="B10" s="3" t="s">
        <v>7</v>
      </c>
      <c r="C10" s="1">
        <v>3</v>
      </c>
      <c r="D10" s="1">
        <v>124</v>
      </c>
      <c r="E10" s="1">
        <v>8680</v>
      </c>
      <c r="F10" s="1">
        <f t="shared" si="0"/>
        <v>64</v>
      </c>
      <c r="G10" s="1">
        <f t="shared" si="1"/>
        <v>60</v>
      </c>
    </row>
    <row r="11" spans="1:7" ht="15.75" outlineLevel="2" x14ac:dyDescent="0.25">
      <c r="A11" s="1" t="s">
        <v>10</v>
      </c>
      <c r="B11" s="3" t="s">
        <v>7</v>
      </c>
      <c r="C11" s="1">
        <v>3</v>
      </c>
      <c r="D11" s="1">
        <v>234</v>
      </c>
      <c r="E11" s="1">
        <v>16380</v>
      </c>
      <c r="F11" s="1">
        <f t="shared" si="0"/>
        <v>40</v>
      </c>
      <c r="G11" s="1">
        <f t="shared" si="1"/>
        <v>29</v>
      </c>
    </row>
    <row r="12" spans="1:7" ht="15.75" outlineLevel="2" x14ac:dyDescent="0.25">
      <c r="A12" s="1" t="s">
        <v>9</v>
      </c>
      <c r="B12" s="3" t="s">
        <v>7</v>
      </c>
      <c r="C12" s="1">
        <v>3</v>
      </c>
      <c r="D12" s="1">
        <v>323</v>
      </c>
      <c r="E12" s="1">
        <v>22610</v>
      </c>
      <c r="F12" s="1">
        <f t="shared" si="0"/>
        <v>31</v>
      </c>
      <c r="G12" s="1">
        <f t="shared" si="1"/>
        <v>22</v>
      </c>
    </row>
    <row r="13" spans="1:7" outlineLevel="2" x14ac:dyDescent="0.15">
      <c r="A13" s="3" t="s">
        <v>12</v>
      </c>
      <c r="B13" s="3" t="s">
        <v>7</v>
      </c>
      <c r="C13" s="1">
        <v>3</v>
      </c>
      <c r="D13" s="1">
        <v>378</v>
      </c>
      <c r="E13" s="1">
        <v>26460</v>
      </c>
      <c r="F13" s="1">
        <f t="shared" si="0"/>
        <v>19</v>
      </c>
      <c r="G13" s="1">
        <f t="shared" si="1"/>
        <v>14</v>
      </c>
    </row>
    <row r="14" spans="1:7" ht="15.75" outlineLevel="2" x14ac:dyDescent="0.25">
      <c r="A14" s="1" t="s">
        <v>6</v>
      </c>
      <c r="B14" s="3" t="s">
        <v>7</v>
      </c>
      <c r="C14" s="1">
        <v>4</v>
      </c>
      <c r="D14" s="1">
        <v>157</v>
      </c>
      <c r="E14" s="1">
        <v>10990</v>
      </c>
      <c r="F14" s="1">
        <f t="shared" si="0"/>
        <v>60</v>
      </c>
      <c r="G14" s="1">
        <f t="shared" si="1"/>
        <v>43</v>
      </c>
    </row>
    <row r="15" spans="1:7" ht="15.75" outlineLevel="2" x14ac:dyDescent="0.25">
      <c r="A15" s="1" t="s">
        <v>9</v>
      </c>
      <c r="B15" s="3" t="s">
        <v>7</v>
      </c>
      <c r="C15" s="1">
        <v>4</v>
      </c>
      <c r="D15" s="1">
        <v>187</v>
      </c>
      <c r="E15" s="1">
        <v>13090</v>
      </c>
      <c r="F15" s="1">
        <f t="shared" si="0"/>
        <v>57</v>
      </c>
      <c r="G15" s="1">
        <f t="shared" si="1"/>
        <v>38</v>
      </c>
    </row>
    <row r="16" spans="1:7" ht="15.75" outlineLevel="2" x14ac:dyDescent="0.25">
      <c r="A16" s="1" t="s">
        <v>10</v>
      </c>
      <c r="B16" s="3" t="s">
        <v>7</v>
      </c>
      <c r="C16" s="1">
        <v>4</v>
      </c>
      <c r="D16" s="1">
        <v>196</v>
      </c>
      <c r="E16" s="1">
        <v>13720</v>
      </c>
      <c r="F16" s="1">
        <f t="shared" si="0"/>
        <v>55</v>
      </c>
      <c r="G16" s="1">
        <f t="shared" si="1"/>
        <v>37</v>
      </c>
    </row>
    <row r="17" spans="1:7" outlineLevel="2" x14ac:dyDescent="0.15">
      <c r="A17" s="3" t="s">
        <v>12</v>
      </c>
      <c r="B17" s="3" t="s">
        <v>7</v>
      </c>
      <c r="C17" s="1">
        <v>4</v>
      </c>
      <c r="D17" s="1">
        <v>398</v>
      </c>
      <c r="E17" s="1">
        <v>27860</v>
      </c>
      <c r="F17" s="1">
        <f t="shared" si="0"/>
        <v>18</v>
      </c>
      <c r="G17" s="1">
        <f t="shared" si="1"/>
        <v>12</v>
      </c>
    </row>
    <row r="18" spans="1:7" outlineLevel="1" x14ac:dyDescent="0.15">
      <c r="A18" s="3"/>
      <c r="B18" s="2" t="s">
        <v>80</v>
      </c>
      <c r="C18" s="1"/>
      <c r="D18" s="1">
        <f>SUBTOTAL(9,D2:D17)</f>
        <v>4426</v>
      </c>
      <c r="E18" s="1"/>
      <c r="F18" s="1"/>
      <c r="G18" s="1"/>
    </row>
    <row r="19" spans="1:7" ht="15.75" outlineLevel="2" x14ac:dyDescent="0.25">
      <c r="A19" s="1" t="s">
        <v>10</v>
      </c>
      <c r="B19" s="3" t="s">
        <v>11</v>
      </c>
      <c r="C19" s="1">
        <v>1</v>
      </c>
      <c r="D19" s="1">
        <v>221</v>
      </c>
      <c r="E19" s="1">
        <v>6630</v>
      </c>
      <c r="F19" s="1">
        <f t="shared" ref="F19:F34" si="2">_xlfn.RANK.EQ(D19,$D$2:$D$68)</f>
        <v>44</v>
      </c>
      <c r="G19" s="1">
        <f t="shared" ref="G19:G34" si="3">_xlfn.RANK.EQ(E19,$E$2:$E$68)</f>
        <v>64</v>
      </c>
    </row>
    <row r="20" spans="1:7" ht="15.75" outlineLevel="2" x14ac:dyDescent="0.25">
      <c r="A20" s="1" t="s">
        <v>6</v>
      </c>
      <c r="B20" s="3" t="s">
        <v>11</v>
      </c>
      <c r="C20" s="1">
        <v>1</v>
      </c>
      <c r="D20" s="1">
        <v>306</v>
      </c>
      <c r="E20" s="1">
        <v>29180</v>
      </c>
      <c r="F20" s="1">
        <f t="shared" si="2"/>
        <v>35</v>
      </c>
      <c r="G20" s="1">
        <f t="shared" si="3"/>
        <v>9</v>
      </c>
    </row>
    <row r="21" spans="1:7" ht="15.75" outlineLevel="2" x14ac:dyDescent="0.25">
      <c r="A21" s="1" t="s">
        <v>9</v>
      </c>
      <c r="B21" s="3" t="s">
        <v>11</v>
      </c>
      <c r="C21" s="1">
        <v>1</v>
      </c>
      <c r="D21" s="1">
        <v>765</v>
      </c>
      <c r="E21" s="1">
        <v>22950</v>
      </c>
      <c r="F21" s="1">
        <f t="shared" si="2"/>
        <v>4</v>
      </c>
      <c r="G21" s="1">
        <f t="shared" si="3"/>
        <v>20</v>
      </c>
    </row>
    <row r="22" spans="1:7" outlineLevel="2" x14ac:dyDescent="0.15">
      <c r="A22" s="4" t="s">
        <v>15</v>
      </c>
      <c r="B22" s="5" t="s">
        <v>11</v>
      </c>
      <c r="C22" s="6">
        <v>1</v>
      </c>
      <c r="D22" s="6">
        <v>156</v>
      </c>
      <c r="E22" s="6">
        <v>10786</v>
      </c>
      <c r="F22" s="1">
        <f t="shared" si="2"/>
        <v>61</v>
      </c>
      <c r="G22" s="1">
        <f t="shared" si="3"/>
        <v>47</v>
      </c>
    </row>
    <row r="23" spans="1:7" ht="15.75" outlineLevel="2" x14ac:dyDescent="0.25">
      <c r="A23" s="1" t="s">
        <v>10</v>
      </c>
      <c r="B23" s="3" t="s">
        <v>11</v>
      </c>
      <c r="C23" s="1">
        <v>2</v>
      </c>
      <c r="D23" s="1">
        <v>312</v>
      </c>
      <c r="E23" s="1">
        <v>9360</v>
      </c>
      <c r="F23" s="1">
        <f t="shared" si="2"/>
        <v>34</v>
      </c>
      <c r="G23" s="1">
        <f t="shared" si="3"/>
        <v>56</v>
      </c>
    </row>
    <row r="24" spans="1:7" ht="15.75" outlineLevel="2" x14ac:dyDescent="0.25">
      <c r="A24" s="1" t="s">
        <v>9</v>
      </c>
      <c r="B24" s="3" t="s">
        <v>11</v>
      </c>
      <c r="C24" s="1">
        <v>2</v>
      </c>
      <c r="D24" s="1">
        <v>654</v>
      </c>
      <c r="E24" s="1">
        <v>19620</v>
      </c>
      <c r="F24" s="1">
        <f t="shared" si="2"/>
        <v>5</v>
      </c>
      <c r="G24" s="1">
        <f t="shared" si="3"/>
        <v>26</v>
      </c>
    </row>
    <row r="25" spans="1:7" outlineLevel="2" x14ac:dyDescent="0.15">
      <c r="A25" s="4" t="s">
        <v>15</v>
      </c>
      <c r="B25" s="5" t="s">
        <v>11</v>
      </c>
      <c r="C25" s="6">
        <v>2</v>
      </c>
      <c r="D25" s="6">
        <v>217</v>
      </c>
      <c r="E25" s="6">
        <v>20453</v>
      </c>
      <c r="F25" s="1">
        <f t="shared" si="2"/>
        <v>48</v>
      </c>
      <c r="G25" s="1">
        <f t="shared" si="3"/>
        <v>25</v>
      </c>
    </row>
    <row r="26" spans="1:7" outlineLevel="2" x14ac:dyDescent="0.15">
      <c r="A26" s="4" t="s">
        <v>19</v>
      </c>
      <c r="B26" s="5" t="s">
        <v>11</v>
      </c>
      <c r="C26" s="6">
        <v>2</v>
      </c>
      <c r="D26" s="6">
        <v>148</v>
      </c>
      <c r="E26" s="6">
        <v>9078</v>
      </c>
      <c r="F26" s="1">
        <f t="shared" si="2"/>
        <v>62</v>
      </c>
      <c r="G26" s="1">
        <f t="shared" si="3"/>
        <v>57</v>
      </c>
    </row>
    <row r="27" spans="1:7" ht="15.75" outlineLevel="2" x14ac:dyDescent="0.25">
      <c r="A27" s="1" t="s">
        <v>9</v>
      </c>
      <c r="B27" s="3" t="s">
        <v>11</v>
      </c>
      <c r="C27" s="1">
        <v>3</v>
      </c>
      <c r="D27" s="1">
        <v>365</v>
      </c>
      <c r="E27" s="1">
        <v>10950</v>
      </c>
      <c r="F27" s="1">
        <f t="shared" si="2"/>
        <v>20</v>
      </c>
      <c r="G27" s="1">
        <f t="shared" si="3"/>
        <v>44</v>
      </c>
    </row>
    <row r="28" spans="1:7" ht="15.75" outlineLevel="2" x14ac:dyDescent="0.25">
      <c r="A28" s="1" t="s">
        <v>6</v>
      </c>
      <c r="B28" s="3" t="s">
        <v>11</v>
      </c>
      <c r="C28" s="1">
        <v>3</v>
      </c>
      <c r="D28" s="1">
        <v>219</v>
      </c>
      <c r="E28" s="1">
        <v>12990</v>
      </c>
      <c r="F28" s="1">
        <f t="shared" si="2"/>
        <v>45</v>
      </c>
      <c r="G28" s="1">
        <f t="shared" si="3"/>
        <v>39</v>
      </c>
    </row>
    <row r="29" spans="1:7" ht="15.75" outlineLevel="2" x14ac:dyDescent="0.25">
      <c r="A29" s="1" t="s">
        <v>10</v>
      </c>
      <c r="B29" s="3" t="s">
        <v>11</v>
      </c>
      <c r="C29" s="1">
        <v>3</v>
      </c>
      <c r="D29" s="1">
        <v>543</v>
      </c>
      <c r="E29" s="1">
        <v>16290</v>
      </c>
      <c r="F29" s="1">
        <f t="shared" si="2"/>
        <v>8</v>
      </c>
      <c r="G29" s="1">
        <f t="shared" si="3"/>
        <v>30</v>
      </c>
    </row>
    <row r="30" spans="1:7" outlineLevel="2" x14ac:dyDescent="0.15">
      <c r="A30" s="4" t="s">
        <v>15</v>
      </c>
      <c r="B30" s="5" t="s">
        <v>11</v>
      </c>
      <c r="C30" s="6">
        <v>3</v>
      </c>
      <c r="D30" s="6">
        <v>356</v>
      </c>
      <c r="E30" s="6">
        <v>29342</v>
      </c>
      <c r="F30" s="1">
        <f t="shared" si="2"/>
        <v>22</v>
      </c>
      <c r="G30" s="1">
        <f t="shared" si="3"/>
        <v>8</v>
      </c>
    </row>
    <row r="31" spans="1:7" ht="15.75" outlineLevel="2" x14ac:dyDescent="0.25">
      <c r="A31" s="1" t="s">
        <v>6</v>
      </c>
      <c r="B31" s="3" t="s">
        <v>11</v>
      </c>
      <c r="C31" s="1">
        <v>4</v>
      </c>
      <c r="D31" s="1">
        <v>432</v>
      </c>
      <c r="E31" s="1">
        <v>32960</v>
      </c>
      <c r="F31" s="1">
        <f t="shared" si="2"/>
        <v>12</v>
      </c>
      <c r="G31" s="1">
        <f t="shared" si="3"/>
        <v>4</v>
      </c>
    </row>
    <row r="32" spans="1:7" ht="15.75" outlineLevel="2" x14ac:dyDescent="0.25">
      <c r="A32" s="1" t="s">
        <v>9</v>
      </c>
      <c r="B32" s="3" t="s">
        <v>11</v>
      </c>
      <c r="C32" s="1">
        <v>4</v>
      </c>
      <c r="D32" s="1">
        <v>342</v>
      </c>
      <c r="E32" s="1">
        <v>10260</v>
      </c>
      <c r="F32" s="1">
        <f t="shared" si="2"/>
        <v>25</v>
      </c>
      <c r="G32" s="1">
        <f t="shared" si="3"/>
        <v>50</v>
      </c>
    </row>
    <row r="33" spans="1:7" ht="15.75" outlineLevel="2" x14ac:dyDescent="0.25">
      <c r="A33" s="1" t="s">
        <v>10</v>
      </c>
      <c r="B33" s="3" t="s">
        <v>11</v>
      </c>
      <c r="C33" s="1">
        <v>4</v>
      </c>
      <c r="D33" s="1">
        <v>421</v>
      </c>
      <c r="E33" s="1">
        <v>12630</v>
      </c>
      <c r="F33" s="1">
        <f t="shared" si="2"/>
        <v>15</v>
      </c>
      <c r="G33" s="1">
        <f t="shared" si="3"/>
        <v>40</v>
      </c>
    </row>
    <row r="34" spans="1:7" outlineLevel="2" x14ac:dyDescent="0.15">
      <c r="A34" s="4" t="s">
        <v>15</v>
      </c>
      <c r="B34" s="5" t="s">
        <v>11</v>
      </c>
      <c r="C34" s="6">
        <v>4</v>
      </c>
      <c r="D34" s="6">
        <v>421</v>
      </c>
      <c r="E34" s="6">
        <v>32534</v>
      </c>
      <c r="F34" s="1">
        <f t="shared" si="2"/>
        <v>15</v>
      </c>
      <c r="G34" s="1">
        <f t="shared" si="3"/>
        <v>5</v>
      </c>
    </row>
    <row r="35" spans="1:7" outlineLevel="1" x14ac:dyDescent="0.15">
      <c r="A35" s="4"/>
      <c r="B35" s="36" t="s">
        <v>81</v>
      </c>
      <c r="C35" s="6"/>
      <c r="D35" s="6">
        <f>SUBTOTAL(9,D19:D34)</f>
        <v>5878</v>
      </c>
      <c r="E35" s="6"/>
      <c r="F35" s="1"/>
      <c r="G35" s="1"/>
    </row>
    <row r="36" spans="1:7" outlineLevel="2" x14ac:dyDescent="0.15">
      <c r="A36" s="3" t="s">
        <v>13</v>
      </c>
      <c r="B36" s="3" t="s">
        <v>14</v>
      </c>
      <c r="C36" s="1">
        <v>1</v>
      </c>
      <c r="D36" s="1">
        <v>436</v>
      </c>
      <c r="E36" s="1">
        <v>35648</v>
      </c>
      <c r="F36" s="1">
        <f t="shared" ref="F36:F51" si="4">_xlfn.RANK.EQ(D36,$D$2:$D$68)</f>
        <v>10</v>
      </c>
      <c r="G36" s="1">
        <f t="shared" ref="G36:G51" si="5">_xlfn.RANK.EQ(E36,$E$2:$E$68)</f>
        <v>3</v>
      </c>
    </row>
    <row r="37" spans="1:7" outlineLevel="2" x14ac:dyDescent="0.15">
      <c r="A37" s="3" t="s">
        <v>15</v>
      </c>
      <c r="B37" s="1" t="s">
        <v>16</v>
      </c>
      <c r="C37" s="1">
        <v>1</v>
      </c>
      <c r="D37" s="1">
        <v>321</v>
      </c>
      <c r="E37" s="1">
        <v>18976</v>
      </c>
      <c r="F37" s="1">
        <f t="shared" si="4"/>
        <v>32</v>
      </c>
      <c r="G37" s="1">
        <f t="shared" si="5"/>
        <v>27</v>
      </c>
    </row>
    <row r="38" spans="1:7" outlineLevel="2" x14ac:dyDescent="0.15">
      <c r="A38" s="3" t="s">
        <v>18</v>
      </c>
      <c r="B38" s="1" t="s">
        <v>16</v>
      </c>
      <c r="C38" s="1">
        <v>1</v>
      </c>
      <c r="D38" s="1">
        <v>123</v>
      </c>
      <c r="E38" s="1">
        <v>7685</v>
      </c>
      <c r="F38" s="1">
        <f t="shared" si="4"/>
        <v>65</v>
      </c>
      <c r="G38" s="1">
        <f t="shared" si="5"/>
        <v>63</v>
      </c>
    </row>
    <row r="39" spans="1:7" outlineLevel="2" x14ac:dyDescent="0.15">
      <c r="A39" s="3" t="s">
        <v>19</v>
      </c>
      <c r="B39" s="1" t="s">
        <v>16</v>
      </c>
      <c r="C39" s="1">
        <v>1</v>
      </c>
      <c r="D39" s="1">
        <v>166</v>
      </c>
      <c r="E39" s="1">
        <v>8765</v>
      </c>
      <c r="F39" s="1">
        <f t="shared" si="4"/>
        <v>59</v>
      </c>
      <c r="G39" s="1">
        <f t="shared" si="5"/>
        <v>59</v>
      </c>
    </row>
    <row r="40" spans="1:7" outlineLevel="2" x14ac:dyDescent="0.15">
      <c r="A40" s="3" t="s">
        <v>18</v>
      </c>
      <c r="B40" s="1" t="s">
        <v>16</v>
      </c>
      <c r="C40" s="1">
        <v>2</v>
      </c>
      <c r="D40" s="1">
        <v>342</v>
      </c>
      <c r="E40" s="1">
        <v>23718</v>
      </c>
      <c r="F40" s="1">
        <f t="shared" si="4"/>
        <v>25</v>
      </c>
      <c r="G40" s="1">
        <f t="shared" si="5"/>
        <v>17</v>
      </c>
    </row>
    <row r="41" spans="1:7" outlineLevel="2" x14ac:dyDescent="0.15">
      <c r="A41" s="3" t="s">
        <v>15</v>
      </c>
      <c r="B41" s="1" t="s">
        <v>16</v>
      </c>
      <c r="C41" s="1">
        <v>2</v>
      </c>
      <c r="D41" s="1">
        <v>112</v>
      </c>
      <c r="E41" s="1">
        <v>8798</v>
      </c>
      <c r="F41" s="1">
        <f t="shared" si="4"/>
        <v>66</v>
      </c>
      <c r="G41" s="1">
        <f t="shared" si="5"/>
        <v>58</v>
      </c>
    </row>
    <row r="42" spans="1:7" outlineLevel="2" x14ac:dyDescent="0.15">
      <c r="A42" s="3" t="s">
        <v>13</v>
      </c>
      <c r="B42" s="3" t="s">
        <v>14</v>
      </c>
      <c r="C42" s="1">
        <v>2</v>
      </c>
      <c r="D42" s="1">
        <v>654</v>
      </c>
      <c r="E42" s="1">
        <v>45321</v>
      </c>
      <c r="F42" s="1">
        <f t="shared" si="4"/>
        <v>5</v>
      </c>
      <c r="G42" s="1">
        <f t="shared" si="5"/>
        <v>1</v>
      </c>
    </row>
    <row r="43" spans="1:7" outlineLevel="2" x14ac:dyDescent="0.15">
      <c r="A43" s="3" t="s">
        <v>19</v>
      </c>
      <c r="B43" s="1" t="s">
        <v>16</v>
      </c>
      <c r="C43" s="1">
        <v>2</v>
      </c>
      <c r="D43" s="1">
        <v>199</v>
      </c>
      <c r="E43" s="1">
        <v>9675</v>
      </c>
      <c r="F43" s="1">
        <f t="shared" si="4"/>
        <v>54</v>
      </c>
      <c r="G43" s="1">
        <f t="shared" si="5"/>
        <v>52</v>
      </c>
    </row>
    <row r="44" spans="1:7" outlineLevel="2" x14ac:dyDescent="0.15">
      <c r="A44" s="3" t="s">
        <v>15</v>
      </c>
      <c r="B44" s="1" t="s">
        <v>16</v>
      </c>
      <c r="C44" s="1">
        <v>3</v>
      </c>
      <c r="D44" s="1">
        <v>232</v>
      </c>
      <c r="E44" s="1">
        <v>11298</v>
      </c>
      <c r="F44" s="1">
        <f t="shared" si="4"/>
        <v>42</v>
      </c>
      <c r="G44" s="1">
        <f t="shared" si="5"/>
        <v>42</v>
      </c>
    </row>
    <row r="45" spans="1:7" outlineLevel="2" x14ac:dyDescent="0.15">
      <c r="A45" s="3" t="s">
        <v>17</v>
      </c>
      <c r="B45" s="3" t="s">
        <v>14</v>
      </c>
      <c r="C45" s="1">
        <v>3</v>
      </c>
      <c r="D45" s="1">
        <v>231</v>
      </c>
      <c r="E45" s="1">
        <v>23217</v>
      </c>
      <c r="F45" s="1">
        <f t="shared" si="4"/>
        <v>43</v>
      </c>
      <c r="G45" s="1">
        <f t="shared" si="5"/>
        <v>18</v>
      </c>
    </row>
    <row r="46" spans="1:7" outlineLevel="2" x14ac:dyDescent="0.15">
      <c r="A46" s="3" t="s">
        <v>19</v>
      </c>
      <c r="B46" s="1" t="s">
        <v>16</v>
      </c>
      <c r="C46" s="1">
        <v>3</v>
      </c>
      <c r="D46" s="1">
        <v>216</v>
      </c>
      <c r="E46" s="1">
        <v>10238</v>
      </c>
      <c r="F46" s="1">
        <f t="shared" si="4"/>
        <v>49</v>
      </c>
      <c r="G46" s="1">
        <f t="shared" si="5"/>
        <v>51</v>
      </c>
    </row>
    <row r="47" spans="1:7" outlineLevel="2" x14ac:dyDescent="0.15">
      <c r="A47" s="3" t="s">
        <v>18</v>
      </c>
      <c r="B47" s="1" t="s">
        <v>16</v>
      </c>
      <c r="C47" s="1">
        <v>3</v>
      </c>
      <c r="D47" s="1">
        <v>542</v>
      </c>
      <c r="E47" s="1">
        <v>41234</v>
      </c>
      <c r="F47" s="1">
        <f t="shared" si="4"/>
        <v>9</v>
      </c>
      <c r="G47" s="1">
        <f t="shared" si="5"/>
        <v>2</v>
      </c>
    </row>
    <row r="48" spans="1:7" outlineLevel="2" x14ac:dyDescent="0.15">
      <c r="A48" s="3" t="s">
        <v>18</v>
      </c>
      <c r="B48" s="1" t="s">
        <v>16</v>
      </c>
      <c r="C48" s="1">
        <v>4</v>
      </c>
      <c r="D48" s="1">
        <v>341</v>
      </c>
      <c r="E48" s="1">
        <v>26785</v>
      </c>
      <c r="F48" s="1">
        <f t="shared" si="4"/>
        <v>27</v>
      </c>
      <c r="G48" s="1">
        <f t="shared" si="5"/>
        <v>13</v>
      </c>
    </row>
    <row r="49" spans="1:7" outlineLevel="2" x14ac:dyDescent="0.15">
      <c r="A49" s="3" t="s">
        <v>19</v>
      </c>
      <c r="B49" s="1" t="s">
        <v>16</v>
      </c>
      <c r="C49" s="1">
        <v>4</v>
      </c>
      <c r="D49" s="1">
        <v>432</v>
      </c>
      <c r="E49" s="1">
        <v>20563</v>
      </c>
      <c r="F49" s="1">
        <f t="shared" si="4"/>
        <v>12</v>
      </c>
      <c r="G49" s="1">
        <f t="shared" si="5"/>
        <v>24</v>
      </c>
    </row>
    <row r="50" spans="1:7" outlineLevel="2" x14ac:dyDescent="0.15">
      <c r="A50" s="3" t="s">
        <v>17</v>
      </c>
      <c r="B50" s="3" t="s">
        <v>14</v>
      </c>
      <c r="C50" s="1">
        <v>4</v>
      </c>
      <c r="D50" s="1">
        <v>365</v>
      </c>
      <c r="E50" s="1">
        <v>29879</v>
      </c>
      <c r="F50" s="1">
        <f t="shared" si="4"/>
        <v>20</v>
      </c>
      <c r="G50" s="1">
        <f t="shared" si="5"/>
        <v>7</v>
      </c>
    </row>
    <row r="51" spans="1:7" outlineLevel="2" x14ac:dyDescent="0.15">
      <c r="A51" s="3" t="s">
        <v>15</v>
      </c>
      <c r="B51" s="1" t="s">
        <v>16</v>
      </c>
      <c r="C51" s="1">
        <v>4</v>
      </c>
      <c r="D51" s="1">
        <v>261</v>
      </c>
      <c r="E51" s="1">
        <v>11675</v>
      </c>
      <c r="F51" s="1">
        <f t="shared" si="4"/>
        <v>38</v>
      </c>
      <c r="G51" s="1">
        <f t="shared" si="5"/>
        <v>41</v>
      </c>
    </row>
    <row r="52" spans="1:7" outlineLevel="1" x14ac:dyDescent="0.15">
      <c r="A52" s="3"/>
      <c r="B52" s="2" t="s">
        <v>82</v>
      </c>
      <c r="C52" s="1"/>
      <c r="D52" s="1">
        <f>SUBTOTAL(9,D36:D51)</f>
        <v>4973</v>
      </c>
      <c r="E52" s="1"/>
      <c r="F52" s="1"/>
      <c r="G52" s="1"/>
    </row>
    <row r="53" spans="1:7" ht="15.75" outlineLevel="2" x14ac:dyDescent="0.25">
      <c r="A53" s="1" t="s">
        <v>10</v>
      </c>
      <c r="B53" s="3" t="s">
        <v>8</v>
      </c>
      <c r="C53" s="1">
        <v>1</v>
      </c>
      <c r="D53" s="1">
        <v>167</v>
      </c>
      <c r="E53" s="1">
        <v>8350</v>
      </c>
      <c r="F53" s="1">
        <f t="shared" ref="F53:F68" si="6">_xlfn.RANK.EQ(D53,$D$2:$D$68)</f>
        <v>58</v>
      </c>
      <c r="G53" s="1">
        <f t="shared" ref="G53:G68" si="7">_xlfn.RANK.EQ(E53,$E$2:$E$68)</f>
        <v>61</v>
      </c>
    </row>
    <row r="54" spans="1:7" ht="15.75" outlineLevel="2" x14ac:dyDescent="0.25">
      <c r="A54" s="1" t="s">
        <v>6</v>
      </c>
      <c r="B54" s="3" t="s">
        <v>8</v>
      </c>
      <c r="C54" s="1">
        <v>1</v>
      </c>
      <c r="D54" s="1">
        <v>301</v>
      </c>
      <c r="E54" s="1">
        <v>15050</v>
      </c>
      <c r="F54" s="1">
        <f t="shared" si="6"/>
        <v>36</v>
      </c>
      <c r="G54" s="1">
        <f t="shared" si="7"/>
        <v>32</v>
      </c>
    </row>
    <row r="55" spans="1:7" ht="15.75" outlineLevel="2" x14ac:dyDescent="0.25">
      <c r="A55" s="1" t="s">
        <v>9</v>
      </c>
      <c r="B55" s="3" t="s">
        <v>8</v>
      </c>
      <c r="C55" s="1">
        <v>1</v>
      </c>
      <c r="D55" s="1">
        <v>569</v>
      </c>
      <c r="E55" s="1">
        <v>28450</v>
      </c>
      <c r="F55" s="1">
        <f t="shared" si="6"/>
        <v>7</v>
      </c>
      <c r="G55" s="1">
        <f t="shared" si="7"/>
        <v>11</v>
      </c>
    </row>
    <row r="56" spans="1:7" outlineLevel="2" x14ac:dyDescent="0.15">
      <c r="A56" s="4" t="s">
        <v>15</v>
      </c>
      <c r="B56" s="5" t="s">
        <v>8</v>
      </c>
      <c r="C56" s="6">
        <v>1</v>
      </c>
      <c r="D56" s="6">
        <v>234</v>
      </c>
      <c r="E56" s="6">
        <v>14321</v>
      </c>
      <c r="F56" s="1">
        <f t="shared" si="6"/>
        <v>40</v>
      </c>
      <c r="G56" s="1">
        <f t="shared" si="7"/>
        <v>36</v>
      </c>
    </row>
    <row r="57" spans="1:7" ht="15.75" outlineLevel="2" x14ac:dyDescent="0.25">
      <c r="A57" s="1" t="s">
        <v>6</v>
      </c>
      <c r="B57" s="3" t="s">
        <v>8</v>
      </c>
      <c r="C57" s="1">
        <v>2</v>
      </c>
      <c r="D57" s="1">
        <v>321</v>
      </c>
      <c r="E57" s="1">
        <v>9630</v>
      </c>
      <c r="F57" s="1">
        <f t="shared" si="6"/>
        <v>32</v>
      </c>
      <c r="G57" s="1">
        <f t="shared" si="7"/>
        <v>54</v>
      </c>
    </row>
    <row r="58" spans="1:7" ht="15.75" outlineLevel="2" x14ac:dyDescent="0.25">
      <c r="A58" s="1" t="s">
        <v>9</v>
      </c>
      <c r="B58" s="3" t="s">
        <v>8</v>
      </c>
      <c r="C58" s="1">
        <v>2</v>
      </c>
      <c r="D58" s="1">
        <v>435</v>
      </c>
      <c r="E58" s="1">
        <v>21750</v>
      </c>
      <c r="F58" s="1">
        <f t="shared" si="6"/>
        <v>11</v>
      </c>
      <c r="G58" s="1">
        <f t="shared" si="7"/>
        <v>23</v>
      </c>
    </row>
    <row r="59" spans="1:7" ht="15.75" outlineLevel="2" x14ac:dyDescent="0.25">
      <c r="A59" s="1" t="s">
        <v>10</v>
      </c>
      <c r="B59" s="3" t="s">
        <v>8</v>
      </c>
      <c r="C59" s="1">
        <v>2</v>
      </c>
      <c r="D59" s="1">
        <v>211</v>
      </c>
      <c r="E59" s="1">
        <v>10550</v>
      </c>
      <c r="F59" s="1">
        <f t="shared" si="6"/>
        <v>52</v>
      </c>
      <c r="G59" s="1">
        <f t="shared" si="7"/>
        <v>49</v>
      </c>
    </row>
    <row r="60" spans="1:7" outlineLevel="2" x14ac:dyDescent="0.15">
      <c r="A60" s="4" t="s">
        <v>15</v>
      </c>
      <c r="B60" s="5" t="s">
        <v>8</v>
      </c>
      <c r="C60" s="6">
        <v>2</v>
      </c>
      <c r="D60" s="6">
        <v>432</v>
      </c>
      <c r="E60" s="6">
        <v>31256</v>
      </c>
      <c r="F60" s="1">
        <f t="shared" si="6"/>
        <v>12</v>
      </c>
      <c r="G60" s="1">
        <f t="shared" si="7"/>
        <v>6</v>
      </c>
    </row>
    <row r="61" spans="1:7" ht="15.75" outlineLevel="2" x14ac:dyDescent="0.25">
      <c r="A61" s="1" t="s">
        <v>6</v>
      </c>
      <c r="B61" s="3" t="s">
        <v>8</v>
      </c>
      <c r="C61" s="1">
        <v>3</v>
      </c>
      <c r="D61" s="1">
        <v>189</v>
      </c>
      <c r="E61" s="1">
        <v>9450</v>
      </c>
      <c r="F61" s="1">
        <f t="shared" si="6"/>
        <v>56</v>
      </c>
      <c r="G61" s="1">
        <f t="shared" si="7"/>
        <v>55</v>
      </c>
    </row>
    <row r="62" spans="1:7" ht="15.75" outlineLevel="2" x14ac:dyDescent="0.25">
      <c r="A62" s="1" t="s">
        <v>9</v>
      </c>
      <c r="B62" s="3" t="s">
        <v>8</v>
      </c>
      <c r="C62" s="1">
        <v>3</v>
      </c>
      <c r="D62" s="1">
        <v>324</v>
      </c>
      <c r="E62" s="1">
        <v>16200</v>
      </c>
      <c r="F62" s="1">
        <f t="shared" si="6"/>
        <v>29</v>
      </c>
      <c r="G62" s="1">
        <f t="shared" si="7"/>
        <v>31</v>
      </c>
    </row>
    <row r="63" spans="1:7" ht="15.75" outlineLevel="2" x14ac:dyDescent="0.25">
      <c r="A63" s="1" t="s">
        <v>10</v>
      </c>
      <c r="B63" s="3" t="s">
        <v>8</v>
      </c>
      <c r="C63" s="1">
        <v>3</v>
      </c>
      <c r="D63" s="1">
        <v>218</v>
      </c>
      <c r="E63" s="1">
        <v>10900</v>
      </c>
      <c r="F63" s="1">
        <f t="shared" si="6"/>
        <v>47</v>
      </c>
      <c r="G63" s="1">
        <f t="shared" si="7"/>
        <v>46</v>
      </c>
    </row>
    <row r="64" spans="1:7" outlineLevel="2" x14ac:dyDescent="0.15">
      <c r="A64" s="4" t="s">
        <v>15</v>
      </c>
      <c r="B64" s="5" t="s">
        <v>8</v>
      </c>
      <c r="C64" s="6">
        <v>3</v>
      </c>
      <c r="D64" s="6">
        <v>129</v>
      </c>
      <c r="E64" s="6">
        <v>9637</v>
      </c>
      <c r="F64" s="1">
        <f t="shared" si="6"/>
        <v>63</v>
      </c>
      <c r="G64" s="1">
        <f t="shared" si="7"/>
        <v>53</v>
      </c>
    </row>
    <row r="65" spans="1:7" ht="15.75" outlineLevel="2" x14ac:dyDescent="0.25">
      <c r="A65" s="1" t="s">
        <v>6</v>
      </c>
      <c r="B65" s="3" t="s">
        <v>8</v>
      </c>
      <c r="C65" s="1">
        <v>4</v>
      </c>
      <c r="D65" s="1">
        <v>213</v>
      </c>
      <c r="E65" s="1">
        <v>10650</v>
      </c>
      <c r="F65" s="1">
        <f t="shared" si="6"/>
        <v>50</v>
      </c>
      <c r="G65" s="1">
        <f t="shared" si="7"/>
        <v>48</v>
      </c>
    </row>
    <row r="66" spans="1:7" ht="15.75" outlineLevel="2" x14ac:dyDescent="0.25">
      <c r="A66" s="1" t="s">
        <v>10</v>
      </c>
      <c r="B66" s="3" t="s">
        <v>8</v>
      </c>
      <c r="C66" s="1">
        <v>4</v>
      </c>
      <c r="D66" s="1">
        <v>219</v>
      </c>
      <c r="E66" s="1">
        <v>10950</v>
      </c>
      <c r="F66" s="1">
        <f t="shared" si="6"/>
        <v>45</v>
      </c>
      <c r="G66" s="1">
        <f t="shared" si="7"/>
        <v>44</v>
      </c>
    </row>
    <row r="67" spans="1:7" ht="15.75" outlineLevel="2" x14ac:dyDescent="0.25">
      <c r="A67" s="1" t="s">
        <v>9</v>
      </c>
      <c r="B67" s="3" t="s">
        <v>8</v>
      </c>
      <c r="C67" s="1">
        <v>4</v>
      </c>
      <c r="D67" s="1">
        <v>287</v>
      </c>
      <c r="E67" s="1">
        <v>14350</v>
      </c>
      <c r="F67" s="1">
        <f t="shared" si="6"/>
        <v>37</v>
      </c>
      <c r="G67" s="1">
        <f t="shared" si="7"/>
        <v>35</v>
      </c>
    </row>
    <row r="68" spans="1:7" outlineLevel="2" x14ac:dyDescent="0.15">
      <c r="A68" s="4" t="s">
        <v>15</v>
      </c>
      <c r="B68" s="5" t="s">
        <v>8</v>
      </c>
      <c r="C68" s="6">
        <v>4</v>
      </c>
      <c r="D68" s="6">
        <v>112</v>
      </c>
      <c r="E68" s="6">
        <v>8178</v>
      </c>
      <c r="F68" s="1">
        <f t="shared" si="6"/>
        <v>66</v>
      </c>
      <c r="G68" s="1">
        <f t="shared" si="7"/>
        <v>62</v>
      </c>
    </row>
    <row r="69" spans="1:7" outlineLevel="1" x14ac:dyDescent="0.15">
      <c r="A69" s="37"/>
      <c r="B69" s="40" t="s">
        <v>83</v>
      </c>
      <c r="C69" s="38"/>
      <c r="D69" s="38">
        <f>SUBTOTAL(9,D53:D68)</f>
        <v>4361</v>
      </c>
      <c r="E69" s="38"/>
      <c r="F69" s="39"/>
      <c r="G69" s="39"/>
    </row>
    <row r="70" spans="1:7" x14ac:dyDescent="0.15">
      <c r="A70" s="37"/>
      <c r="B70" s="40" t="s">
        <v>84</v>
      </c>
      <c r="C70" s="38"/>
      <c r="D70" s="38">
        <f>SUBTOTAL(9,D2:D68)</f>
        <v>19638</v>
      </c>
      <c r="E70" s="38"/>
      <c r="F70" s="39"/>
      <c r="G70" s="39"/>
    </row>
  </sheetData>
  <sortState ref="A2:G65">
    <sortCondition descending="1" ref="B2:B65"/>
    <sortCondition ref="C2:C65"/>
  </sortState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产品销售统计表</vt:lpstr>
      <vt:lpstr>产品单价表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2005-08-24T03:08:06Z</dcterms:created>
  <dcterms:modified xsi:type="dcterms:W3CDTF">2023-03-31T06:12:55Z</dcterms:modified>
</cp:coreProperties>
</file>