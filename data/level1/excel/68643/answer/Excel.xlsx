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120" yWindow="15" windowWidth="7065" windowHeight="4485"/>
  </bookViews>
  <sheets>
    <sheet name="产品销售统计表" sheetId="1" r:id="rId1"/>
    <sheet name="产品单价对照表" sheetId="2" r:id="rId2"/>
    <sheet name="产品销售情况表" sheetId="3" r:id="rId3"/>
  </sheets>
  <definedNames>
    <definedName name="_xlnm._FilterDatabase" localSheetId="1" hidden="1">产品单价对照表!$A$1:$C$21</definedName>
  </definedNames>
  <calcPr calcId="162913"/>
</workbook>
</file>

<file path=xl/calcChain.xml><?xml version="1.0" encoding="utf-8"?>
<calcChain xmlns="http://schemas.openxmlformats.org/spreadsheetml/2006/main">
  <c r="F121" i="3" l="1"/>
  <c r="F116" i="3"/>
  <c r="F111" i="3"/>
  <c r="F106" i="3"/>
  <c r="F101" i="3"/>
  <c r="F96" i="3"/>
  <c r="F91" i="3"/>
  <c r="F86" i="3"/>
  <c r="F81" i="3"/>
  <c r="F76" i="3"/>
  <c r="F71" i="3"/>
  <c r="F66" i="3"/>
  <c r="F61" i="3"/>
  <c r="F56" i="3"/>
  <c r="F51" i="3"/>
  <c r="F46" i="3"/>
  <c r="F41" i="3"/>
  <c r="F36" i="3"/>
  <c r="F31" i="3"/>
  <c r="F26" i="3"/>
  <c r="F21" i="3"/>
  <c r="F16" i="3"/>
  <c r="F11" i="3"/>
  <c r="F6" i="3"/>
  <c r="F122" i="3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7" i="1"/>
  <c r="J2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</calcChain>
</file>

<file path=xl/sharedStrings.xml><?xml version="1.0" encoding="utf-8"?>
<sst xmlns="http://schemas.openxmlformats.org/spreadsheetml/2006/main" count="596" uniqueCount="120">
  <si>
    <t>产品型号</t>
    <phoneticPr fontId="2" type="noConversion"/>
  </si>
  <si>
    <r>
      <t>P</t>
    </r>
    <r>
      <rPr>
        <sz val="12"/>
        <rFont val="宋体"/>
        <family val="3"/>
        <charset val="134"/>
      </rPr>
      <t>-1</t>
    </r>
    <phoneticPr fontId="2" type="noConversion"/>
  </si>
  <si>
    <r>
      <t>P</t>
    </r>
    <r>
      <rPr>
        <sz val="12"/>
        <rFont val="宋体"/>
        <family val="3"/>
        <charset val="134"/>
      </rPr>
      <t>-2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</si>
  <si>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-3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</si>
  <si>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-4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</si>
  <si>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-5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</si>
  <si>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-6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</si>
  <si>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-7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</si>
  <si>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-8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</si>
  <si>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-9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</si>
  <si>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-10</t>
    </r>
    <r>
      <rPr>
        <sz val="12"/>
        <rFont val="宋体"/>
        <family val="3"/>
        <charset val="134"/>
      </rPr>
      <t/>
    </r>
  </si>
  <si>
    <t>单价（元）</t>
    <phoneticPr fontId="2" type="noConversion"/>
  </si>
  <si>
    <r>
      <t>P</t>
    </r>
    <r>
      <rPr>
        <sz val="12"/>
        <rFont val="宋体"/>
        <family val="3"/>
        <charset val="134"/>
      </rPr>
      <t>-11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</si>
  <si>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-12</t>
    </r>
    <r>
      <rPr>
        <sz val="12"/>
        <rFont val="宋体"/>
        <family val="3"/>
        <charset val="134"/>
      </rPr>
      <t/>
    </r>
  </si>
  <si>
    <t>类别</t>
    <phoneticPr fontId="2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</si>
  <si>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</si>
  <si>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</si>
  <si>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</si>
  <si>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</si>
  <si>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</si>
  <si>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</si>
  <si>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</si>
  <si>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</si>
  <si>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</si>
  <si>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</si>
  <si>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</si>
  <si>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</si>
  <si>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</si>
  <si>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</si>
  <si>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</si>
  <si>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</si>
  <si>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</si>
  <si>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</si>
  <si>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</si>
  <si>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</si>
  <si>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</si>
  <si>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</si>
  <si>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</si>
  <si>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</si>
  <si>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</si>
  <si>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</si>
  <si>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</si>
  <si>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</si>
  <si>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</si>
  <si>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</si>
  <si>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</si>
  <si>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</si>
  <si>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</si>
  <si>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</si>
  <si>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</si>
  <si>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</si>
  <si>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</si>
  <si>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</si>
  <si>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</si>
  <si>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产品型号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</si>
  <si>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</si>
  <si>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</si>
  <si>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</si>
  <si>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</si>
  <si>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</si>
  <si>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</si>
  <si>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</si>
  <si>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</si>
  <si>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</si>
  <si>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</si>
  <si>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</si>
  <si>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单价（元）</t>
  </si>
  <si>
    <t>类别</t>
  </si>
  <si>
    <t>C</t>
  </si>
  <si>
    <t>B</t>
  </si>
  <si>
    <t>A</t>
  </si>
  <si>
    <t>部门</t>
    <phoneticPr fontId="2" type="noConversion"/>
  </si>
  <si>
    <t>经销一部</t>
    <phoneticPr fontId="2" type="noConversion"/>
  </si>
  <si>
    <t>经销二部</t>
    <phoneticPr fontId="2" type="noConversion"/>
  </si>
  <si>
    <t>经销三部</t>
    <phoneticPr fontId="2" type="noConversion"/>
  </si>
  <si>
    <t>P-13</t>
  </si>
  <si>
    <t>P-14</t>
  </si>
  <si>
    <t>P-15</t>
  </si>
  <si>
    <t>P-16</t>
  </si>
  <si>
    <t>P-17</t>
  </si>
  <si>
    <t>P-18</t>
  </si>
  <si>
    <t>P-19</t>
  </si>
  <si>
    <t>P-20</t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</si>
  <si>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</si>
  <si>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</si>
  <si>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</si>
  <si>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</si>
  <si>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C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</si>
  <si>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</si>
  <si>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</si>
  <si>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</si>
  <si>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C</t>
    <phoneticPr fontId="2" type="noConversion"/>
  </si>
  <si>
    <r>
      <t>P</t>
    </r>
    <r>
      <rPr>
        <sz val="12"/>
        <rFont val="宋体"/>
        <family val="3"/>
        <charset val="134"/>
      </rPr>
      <t>-13</t>
    </r>
  </si>
  <si>
    <r>
      <t>P</t>
    </r>
    <r>
      <rPr>
        <sz val="12"/>
        <rFont val="宋体"/>
        <family val="3"/>
        <charset val="134"/>
      </rPr>
      <t>-14</t>
    </r>
  </si>
  <si>
    <r>
      <t>P</t>
    </r>
    <r>
      <rPr>
        <sz val="12"/>
        <rFont val="宋体"/>
        <family val="3"/>
        <charset val="134"/>
      </rPr>
      <t>-15</t>
    </r>
  </si>
  <si>
    <r>
      <t>P</t>
    </r>
    <r>
      <rPr>
        <sz val="12"/>
        <rFont val="宋体"/>
        <family val="3"/>
        <charset val="134"/>
      </rPr>
      <t>-16</t>
    </r>
  </si>
  <si>
    <r>
      <t>P</t>
    </r>
    <r>
      <rPr>
        <sz val="12"/>
        <rFont val="宋体"/>
        <family val="3"/>
        <charset val="134"/>
      </rPr>
      <t>-17</t>
    </r>
  </si>
  <si>
    <r>
      <t>P</t>
    </r>
    <r>
      <rPr>
        <sz val="12"/>
        <rFont val="宋体"/>
        <family val="3"/>
        <charset val="134"/>
      </rPr>
      <t>-18</t>
    </r>
  </si>
  <si>
    <r>
      <t>P</t>
    </r>
    <r>
      <rPr>
        <sz val="12"/>
        <rFont val="宋体"/>
        <family val="3"/>
        <charset val="134"/>
      </rPr>
      <t>-19</t>
    </r>
  </si>
  <si>
    <r>
      <t>P</t>
    </r>
    <r>
      <rPr>
        <sz val="12"/>
        <rFont val="宋体"/>
        <family val="3"/>
        <charset val="134"/>
      </rPr>
      <t>-20</t>
    </r>
  </si>
  <si>
    <t>经销四部</t>
    <phoneticPr fontId="2" type="noConversion"/>
  </si>
  <si>
    <t>经销五部</t>
    <phoneticPr fontId="2" type="noConversion"/>
  </si>
  <si>
    <t>销售量（台）</t>
    <phoneticPr fontId="2" type="noConversion"/>
  </si>
  <si>
    <t>所占比例</t>
  </si>
  <si>
    <t>销售额排名</t>
    <phoneticPr fontId="2" type="noConversion"/>
  </si>
  <si>
    <t>产品销售情况表</t>
    <phoneticPr fontId="2" type="noConversion"/>
  </si>
  <si>
    <t>销售额（万元）</t>
    <phoneticPr fontId="2" type="noConversion"/>
  </si>
  <si>
    <t>销售额（万元）</t>
    <phoneticPr fontId="2" type="noConversion"/>
  </si>
  <si>
    <t>产品型号</t>
    <phoneticPr fontId="2" type="noConversion"/>
  </si>
  <si>
    <t>合计</t>
    <phoneticPr fontId="2" type="noConversion"/>
  </si>
  <si>
    <t>统计表</t>
    <phoneticPr fontId="2" type="noConversion"/>
  </si>
  <si>
    <t>微波炉 汇总</t>
  </si>
  <si>
    <t>数码相机 汇总</t>
  </si>
  <si>
    <t>手机 汇总</t>
  </si>
  <si>
    <t>空调 汇总</t>
  </si>
  <si>
    <t>加湿器 汇总</t>
  </si>
  <si>
    <t>电视机 汇总</t>
  </si>
  <si>
    <t>电冰箱 汇总</t>
  </si>
  <si>
    <t>笔记本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</si>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</sst>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1" xfId="0" applyBorder="1"/>
    <xf numFmtId="176" fontId="0" fillId="0" borderId="1" xfId="0" applyNumberFormat="1" applyBorder="1"/>
    <xf numFmtId="0" fontId="1" fillId="0" borderId="1" xfId="0" applyFont="1" applyBorder="1"/>
    <xf numFmtId="176" fontId="1" fillId="0" borderId="1" xfId="0" applyNumberFormat="1" applyFont="1" applyBorder="1"/>
    <xf numFmtId="10" fontId="0" fillId="0" borderId="1" xfId="0" applyNumberFormat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产品销售统计图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9232893853384608E-2"/>
          <c:y val="0.12273089264626566"/>
          <c:w val="0.83533266190563393"/>
          <c:h val="0.46578845377391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产品销售统计表!$J$6</c:f>
              <c:strCache>
                <c:ptCount val="1"/>
                <c:pt idx="0">
                  <c:v>销售额（万元）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产品销售统计表!$I$7:$I$26</c:f>
              <c:strCache>
                <c:ptCount val="20"/>
                <c:pt idx="0">
                  <c:v>P-1</c:v>
                </c:pt>
                <c:pt idx="1">
                  <c:v>P-2</c:v>
                </c:pt>
                <c:pt idx="2">
                  <c:v>P-3</c:v>
                </c:pt>
                <c:pt idx="3">
                  <c:v>P-4</c:v>
                </c:pt>
                <c:pt idx="4">
                  <c:v>P-5</c:v>
                </c:pt>
                <c:pt idx="5">
                  <c:v>P-6</c:v>
                </c:pt>
                <c:pt idx="6">
                  <c:v>P-7</c:v>
                </c:pt>
                <c:pt idx="7">
                  <c:v>P-8</c:v>
                </c:pt>
                <c:pt idx="8">
                  <c:v>P-9</c:v>
                </c:pt>
                <c:pt idx="9">
                  <c:v>P-10</c:v>
                </c:pt>
                <c:pt idx="10">
                  <c:v>P-11</c:v>
                </c:pt>
                <c:pt idx="11">
                  <c:v>P-12</c:v>
                </c:pt>
                <c:pt idx="12">
                  <c:v>P-13</c:v>
                </c:pt>
                <c:pt idx="13">
                  <c:v>P-14</c:v>
                </c:pt>
                <c:pt idx="14">
                  <c:v>P-15</c:v>
                </c:pt>
                <c:pt idx="15">
                  <c:v>P-16</c:v>
                </c:pt>
                <c:pt idx="16">
                  <c:v>P-17</c:v>
                </c:pt>
                <c:pt idx="17">
                  <c:v>P-18</c:v>
                </c:pt>
                <c:pt idx="18">
                  <c:v>P-19</c:v>
                </c:pt>
                <c:pt idx="19">
                  <c:v>P-20</c:v>
                </c:pt>
              </c:strCache>
            </c:strRef>
          </c:cat>
          <c:val>
            <c:numRef>
              <c:f>产品销售统计表!$J$7:$J$26</c:f>
              <c:numCache>
                <c:formatCode>0.00_ </c:formatCode>
                <c:ptCount val="20"/>
                <c:pt idx="0">
                  <c:v>79.0946</c:v>
                </c:pt>
                <c:pt idx="1">
                  <c:v>205.34360000000001</c:v>
                </c:pt>
                <c:pt idx="2">
                  <c:v>216.09399999999999</c:v>
                </c:pt>
                <c:pt idx="3">
                  <c:v>248.84830000000002</c:v>
                </c:pt>
                <c:pt idx="4">
                  <c:v>88.435200000000009</c:v>
                </c:pt>
                <c:pt idx="5">
                  <c:v>154.923</c:v>
                </c:pt>
                <c:pt idx="6">
                  <c:v>403.30840000000001</c:v>
                </c:pt>
                <c:pt idx="7">
                  <c:v>337.7473</c:v>
                </c:pt>
                <c:pt idx="8">
                  <c:v>214.05020000000002</c:v>
                </c:pt>
                <c:pt idx="9">
                  <c:v>204.3349</c:v>
                </c:pt>
                <c:pt idx="10">
                  <c:v>208.36360000000002</c:v>
                </c:pt>
                <c:pt idx="11">
                  <c:v>197.2278</c:v>
                </c:pt>
                <c:pt idx="12">
                  <c:v>106.20999999999998</c:v>
                </c:pt>
                <c:pt idx="13">
                  <c:v>57.490199999999994</c:v>
                </c:pt>
                <c:pt idx="14">
                  <c:v>171.60140000000001</c:v>
                </c:pt>
                <c:pt idx="15">
                  <c:v>220.49279999999999</c:v>
                </c:pt>
                <c:pt idx="16">
                  <c:v>190.58579999999998</c:v>
                </c:pt>
                <c:pt idx="17">
                  <c:v>224.50299999999999</c:v>
                </c:pt>
                <c:pt idx="18">
                  <c:v>125.97</c:v>
                </c:pt>
                <c:pt idx="19">
                  <c:v>70.4512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B-4F75-9DE7-A1F758077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017352"/>
        <c:axId val="439152400"/>
      </c:barChart>
      <c:lineChart>
        <c:grouping val="standard"/>
        <c:varyColors val="0"/>
        <c:ser>
          <c:idx val="1"/>
          <c:order val="1"/>
          <c:tx>
            <c:strRef>
              <c:f>产品销售统计表!$K$6</c:f>
              <c:strCache>
                <c:ptCount val="1"/>
                <c:pt idx="0">
                  <c:v>所占比例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产品销售统计表!$I$7:$I$26</c:f>
              <c:strCache>
                <c:ptCount val="20"/>
                <c:pt idx="0">
                  <c:v>P-1</c:v>
                </c:pt>
                <c:pt idx="1">
                  <c:v>P-2</c:v>
                </c:pt>
                <c:pt idx="2">
                  <c:v>P-3</c:v>
                </c:pt>
                <c:pt idx="3">
                  <c:v>P-4</c:v>
                </c:pt>
                <c:pt idx="4">
                  <c:v>P-5</c:v>
                </c:pt>
                <c:pt idx="5">
                  <c:v>P-6</c:v>
                </c:pt>
                <c:pt idx="6">
                  <c:v>P-7</c:v>
                </c:pt>
                <c:pt idx="7">
                  <c:v>P-8</c:v>
                </c:pt>
                <c:pt idx="8">
                  <c:v>P-9</c:v>
                </c:pt>
                <c:pt idx="9">
                  <c:v>P-10</c:v>
                </c:pt>
                <c:pt idx="10">
                  <c:v>P-11</c:v>
                </c:pt>
                <c:pt idx="11">
                  <c:v>P-12</c:v>
                </c:pt>
                <c:pt idx="12">
                  <c:v>P-13</c:v>
                </c:pt>
                <c:pt idx="13">
                  <c:v>P-14</c:v>
                </c:pt>
                <c:pt idx="14">
                  <c:v>P-15</c:v>
                </c:pt>
                <c:pt idx="15">
                  <c:v>P-16</c:v>
                </c:pt>
                <c:pt idx="16">
                  <c:v>P-17</c:v>
                </c:pt>
                <c:pt idx="17">
                  <c:v>P-18</c:v>
                </c:pt>
                <c:pt idx="18">
                  <c:v>P-19</c:v>
                </c:pt>
                <c:pt idx="19">
                  <c:v>P-20</c:v>
                </c:pt>
              </c:strCache>
            </c:strRef>
          </c:cat>
          <c:val>
            <c:numRef>
              <c:f>产品销售统计表!$K$7:$K$26</c:f>
              <c:numCache>
                <c:formatCode>0.00%</c:formatCode>
                <c:ptCount val="20"/>
                <c:pt idx="0">
                  <c:v>2.123302044390888E-2</c:v>
                </c:pt>
                <c:pt idx="1">
                  <c:v>5.5124684325173243E-2</c:v>
                </c:pt>
                <c:pt idx="2">
                  <c:v>5.8010639409087919E-2</c:v>
                </c:pt>
                <c:pt idx="3">
                  <c:v>6.6803562333357408E-2</c:v>
                </c:pt>
                <c:pt idx="4">
                  <c:v>2.3740513379689267E-2</c:v>
                </c:pt>
                <c:pt idx="5">
                  <c:v>4.1589226397651613E-2</c:v>
                </c:pt>
                <c:pt idx="6">
                  <c:v>0.10826852278664005</c:v>
                </c:pt>
                <c:pt idx="7">
                  <c:v>9.0668583263269875E-2</c:v>
                </c:pt>
                <c:pt idx="8">
                  <c:v>5.7461979359182354E-2</c:v>
                </c:pt>
                <c:pt idx="9">
                  <c:v>5.4853897852749446E-2</c:v>
                </c:pt>
                <c:pt idx="10">
                  <c:v>5.5935406191654706E-2</c:v>
                </c:pt>
                <c:pt idx="11">
                  <c:v>5.2945990111931428E-2</c:v>
                </c:pt>
                <c:pt idx="12">
                  <c:v>2.8512175310925925E-2</c:v>
                </c:pt>
                <c:pt idx="13">
                  <c:v>1.5433298757745916E-2</c:v>
                </c:pt>
                <c:pt idx="14">
                  <c:v>4.6066558708222627E-2</c:v>
                </c:pt>
                <c:pt idx="15">
                  <c:v>5.9191501444279523E-2</c:v>
                </c:pt>
                <c:pt idx="16">
                  <c:v>5.1162938907570531E-2</c:v>
                </c:pt>
                <c:pt idx="17">
                  <c:v>6.026804344062521E-2</c:v>
                </c:pt>
                <c:pt idx="18">
                  <c:v>3.3816766066447033E-2</c:v>
                </c:pt>
                <c:pt idx="19">
                  <c:v>1.8912691509887062E-2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B-4F75-9DE7-A1F758077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612736"/>
        <c:axId val="510612408"/>
      </c:lineChart>
      <c:catAx>
        <c:axId val="21401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9152400"/>
        <c:crosses val="autoZero"/>
        <c:auto val="1"/>
        <c:lblAlgn val="ctr"/>
        <c:lblOffset val="100"/>
        <c:noMultiLvlLbl val="0"/>
      </c:catAx>
      <c:valAx>
        <c:axId val="4391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017352"/>
        <c:crosses val="autoZero"/>
        <c:crossBetween val="between"/>
      </c:valAx>
      <c:valAx>
        <c:axId val="5106124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612736"/>
        <c:crosses val="max"/>
        <c:crossBetween val="between"/>
      </c:valAx>
      <c:catAx>
        <c:axId val="510612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0612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15</xdr:col>
      <xdr:colOff>666750</xdr:colOff>
      <xdr:row>45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E27" workbookViewId="0">
      <selection activeCell="H43" sqref="H43"/>
    </sheetView>
  </sheetViews>
  <sheetFormatPr defaultRowHeight="14.25" x14ac:dyDescent="0.15"/>
  <cols>
    <col min="1" max="1" width="9.375" customWidth="1"/>
    <col min="2" max="2" width="9.125" customWidth="1"/>
    <col min="3" max="3" width="6.125" customWidth="1"/>
    <col min="4" max="4" width="13.125" customWidth="1"/>
    <col min="5" max="5" width="10" customWidth="1"/>
    <col min="6" max="6" width="14.875" customWidth="1"/>
    <col min="7" max="7" width="11.375" customWidth="1"/>
    <col min="9" max="9" width="9.875" customWidth="1"/>
    <col min="10" max="10" width="13.625" customWidth="1"/>
  </cols>
  <sheetData>
    <row r="1" spans="1:11" x14ac:dyDescent="0.15">
      <c r="A1" s="12" t="s">
        <v>105</v>
      </c>
      <c r="B1" s="12"/>
      <c r="C1" s="12"/>
      <c r="D1" s="12"/>
      <c r="E1" s="12"/>
      <c r="F1" s="12"/>
      <c r="G1" s="12"/>
    </row>
    <row r="2" spans="1:11" x14ac:dyDescent="0.15">
      <c r="A2" t="s">
        <v>71</v>
      </c>
      <c r="B2" t="s">
        <v>0</v>
      </c>
      <c r="C2" t="s">
        <v>14</v>
      </c>
      <c r="D2" s="3" t="s">
        <v>102</v>
      </c>
      <c r="E2" t="s">
        <v>11</v>
      </c>
      <c r="F2" s="2" t="s">
        <v>106</v>
      </c>
      <c r="G2" s="3" t="s">
        <v>104</v>
      </c>
      <c r="H2" s="3"/>
    </row>
    <row r="3" spans="1:11" x14ac:dyDescent="0.15">
      <c r="A3" s="3" t="s">
        <v>100</v>
      </c>
      <c r="B3" t="s">
        <v>77</v>
      </c>
      <c r="C3" t="str">
        <f>VLOOKUP(B3,产品单价对照表!$A$1:$C$21,3,FALSE)</f>
        <v>C</v>
      </c>
      <c r="D3">
        <v>532</v>
      </c>
      <c r="E3">
        <f>VLOOKUP(B3,产品单价对照表!$A$1:$B$21,2,FALSE)</f>
        <v>1231</v>
      </c>
      <c r="F3" s="1">
        <f>D3*E3/10000</f>
        <v>65.489199999999997</v>
      </c>
      <c r="G3">
        <f>_xlfn.RANK.EQ(F3,$F$3:$F$102,0)</f>
        <v>14</v>
      </c>
    </row>
    <row r="4" spans="1:11" x14ac:dyDescent="0.15">
      <c r="A4" s="3" t="s">
        <v>73</v>
      </c>
      <c r="B4" t="s">
        <v>78</v>
      </c>
      <c r="C4" t="str">
        <f>VLOOKUP(B4,产品单价对照表!$A$1:$C$21,3,FALSE)</f>
        <v>B</v>
      </c>
      <c r="D4">
        <v>521</v>
      </c>
      <c r="E4">
        <f>VLOOKUP(B4,产品单价对照表!$A$1:$B$21,2,FALSE)</f>
        <v>1566</v>
      </c>
      <c r="F4" s="1">
        <f t="shared" ref="F4:F67" si="0">D4*E4/10000</f>
        <v>81.5886</v>
      </c>
      <c r="G4">
        <f t="shared" ref="G4:G67" si="1">_xlfn.RANK.EQ(F4,$F$3:$F$102,0)</f>
        <v>5</v>
      </c>
    </row>
    <row r="5" spans="1:11" x14ac:dyDescent="0.15">
      <c r="A5" s="3" t="s">
        <v>72</v>
      </c>
      <c r="B5" s="2" t="s">
        <v>2</v>
      </c>
      <c r="C5" t="str">
        <f>VLOOKUP(B5,产品单价对照表!$A$1:$C$21,3,FALSE)</f>
        <v>B</v>
      </c>
      <c r="D5">
        <v>453</v>
      </c>
      <c r="E5">
        <f>VLOOKUP(B5,产品单价对照表!$A$1:$B$21,2,FALSE)</f>
        <v>1652</v>
      </c>
      <c r="F5" s="1">
        <f t="shared" si="0"/>
        <v>74.835599999999999</v>
      </c>
      <c r="G5">
        <f t="shared" si="1"/>
        <v>8</v>
      </c>
      <c r="I5" s="11" t="s">
        <v>110</v>
      </c>
      <c r="J5" s="11"/>
      <c r="K5" s="11"/>
    </row>
    <row r="6" spans="1:11" x14ac:dyDescent="0.15">
      <c r="A6" s="3" t="s">
        <v>100</v>
      </c>
      <c r="B6" t="s">
        <v>63</v>
      </c>
      <c r="C6" t="str">
        <f>VLOOKUP(B6,产品单价对照表!$A$1:$C$21,3,FALSE)</f>
        <v>B</v>
      </c>
      <c r="D6">
        <v>422</v>
      </c>
      <c r="E6">
        <f>VLOOKUP(B6,产品单价对照表!$A$1:$B$21,2,FALSE)</f>
        <v>1561</v>
      </c>
      <c r="F6" s="1">
        <f t="shared" si="0"/>
        <v>65.874200000000002</v>
      </c>
      <c r="G6">
        <f t="shared" si="1"/>
        <v>13</v>
      </c>
      <c r="I6" s="6" t="s">
        <v>108</v>
      </c>
      <c r="J6" s="7" t="s">
        <v>107</v>
      </c>
      <c r="K6" s="4" t="s">
        <v>103</v>
      </c>
    </row>
    <row r="7" spans="1:11" x14ac:dyDescent="0.15">
      <c r="A7" s="3" t="s">
        <v>74</v>
      </c>
      <c r="B7" t="s">
        <v>76</v>
      </c>
      <c r="C7" t="str">
        <f>VLOOKUP(B7,产品单价对照表!$A$1:$C$21,3,FALSE)</f>
        <v>D</v>
      </c>
      <c r="D7">
        <v>421</v>
      </c>
      <c r="E7">
        <f>VLOOKUP(B7,产品单价对照表!$A$1:$B$21,2,FALSE)</f>
        <v>369</v>
      </c>
      <c r="F7" s="1">
        <f t="shared" si="0"/>
        <v>15.5349</v>
      </c>
      <c r="G7">
        <f t="shared" si="1"/>
        <v>85</v>
      </c>
      <c r="I7" s="4" t="s">
        <v>48</v>
      </c>
      <c r="J7" s="5">
        <f>SUMIF($B$3:$B$102,I7,$F$3:$F$102)</f>
        <v>79.0946</v>
      </c>
      <c r="K7" s="8">
        <f>J7/$J$27</f>
        <v>2.123302044390888E-2</v>
      </c>
    </row>
    <row r="8" spans="1:11" x14ac:dyDescent="0.15">
      <c r="A8" s="3" t="s">
        <v>73</v>
      </c>
      <c r="B8" t="s">
        <v>64</v>
      </c>
      <c r="C8" t="str">
        <f>VLOOKUP(B8,产品单价对照表!$A$1:$C$21,3,FALSE)</f>
        <v>C</v>
      </c>
      <c r="D8">
        <v>411</v>
      </c>
      <c r="E8">
        <f>VLOOKUP(B8,产品单价对照表!$A$1:$B$21,2,FALSE)</f>
        <v>1451</v>
      </c>
      <c r="F8" s="1">
        <f t="shared" si="0"/>
        <v>59.636099999999999</v>
      </c>
      <c r="G8">
        <f t="shared" si="1"/>
        <v>18</v>
      </c>
      <c r="I8" s="4" t="s">
        <v>55</v>
      </c>
      <c r="J8" s="5">
        <f t="shared" ref="J8:J26" si="2">SUMIF($B$3:$B$102,I8,$F$3:$F$102)</f>
        <v>205.34360000000001</v>
      </c>
      <c r="K8" s="8">
        <f t="shared" ref="K8:K26" si="3">J8/$J$27</f>
        <v>5.5124684325173243E-2</v>
      </c>
    </row>
    <row r="9" spans="1:11" x14ac:dyDescent="0.15">
      <c r="A9" s="3" t="s">
        <v>100</v>
      </c>
      <c r="B9" t="s">
        <v>76</v>
      </c>
      <c r="C9" t="str">
        <f>VLOOKUP(B9,产品单价对照表!$A$1:$C$21,3,FALSE)</f>
        <v>D</v>
      </c>
      <c r="D9">
        <v>386</v>
      </c>
      <c r="E9">
        <f>VLOOKUP(B9,产品单价对照表!$A$1:$B$21,2,FALSE)</f>
        <v>369</v>
      </c>
      <c r="F9" s="1">
        <f t="shared" si="0"/>
        <v>14.243399999999999</v>
      </c>
      <c r="G9">
        <f t="shared" si="1"/>
        <v>89</v>
      </c>
      <c r="I9" s="4" t="s">
        <v>56</v>
      </c>
      <c r="J9" s="5">
        <f t="shared" si="2"/>
        <v>216.09399999999999</v>
      </c>
      <c r="K9" s="8">
        <f t="shared" si="3"/>
        <v>5.8010639409087919E-2</v>
      </c>
    </row>
    <row r="10" spans="1:11" x14ac:dyDescent="0.15">
      <c r="A10" s="3" t="s">
        <v>73</v>
      </c>
      <c r="B10" t="s">
        <v>77</v>
      </c>
      <c r="C10" t="str">
        <f>VLOOKUP(B10,产品单价对照表!$A$1:$C$21,3,FALSE)</f>
        <v>C</v>
      </c>
      <c r="D10">
        <v>375</v>
      </c>
      <c r="E10">
        <f>VLOOKUP(B10,产品单价对照表!$A$1:$B$21,2,FALSE)</f>
        <v>1231</v>
      </c>
      <c r="F10" s="1">
        <f t="shared" si="0"/>
        <v>46.162500000000001</v>
      </c>
      <c r="G10">
        <f t="shared" si="1"/>
        <v>29</v>
      </c>
      <c r="I10" s="4" t="s">
        <v>57</v>
      </c>
      <c r="J10" s="5">
        <f t="shared" si="2"/>
        <v>248.84830000000002</v>
      </c>
      <c r="K10" s="8">
        <f t="shared" si="3"/>
        <v>6.6803562333357408E-2</v>
      </c>
    </row>
    <row r="11" spans="1:11" x14ac:dyDescent="0.15">
      <c r="A11" s="3" t="s">
        <v>73</v>
      </c>
      <c r="B11" t="s">
        <v>62</v>
      </c>
      <c r="C11" t="str">
        <f>VLOOKUP(B11,产品单价对照表!$A$1:$C$21,3,FALSE)</f>
        <v>B</v>
      </c>
      <c r="D11">
        <v>367</v>
      </c>
      <c r="E11">
        <f>VLOOKUP(B11,产品单价对照表!$A$1:$B$21,2,FALSE)</f>
        <v>1729</v>
      </c>
      <c r="F11" s="1">
        <f t="shared" si="0"/>
        <v>63.454300000000003</v>
      </c>
      <c r="G11">
        <f t="shared" si="1"/>
        <v>15</v>
      </c>
      <c r="I11" s="4" t="s">
        <v>58</v>
      </c>
      <c r="J11" s="5">
        <f t="shared" si="2"/>
        <v>88.435200000000009</v>
      </c>
      <c r="K11" s="8">
        <f t="shared" si="3"/>
        <v>2.3740513379689267E-2</v>
      </c>
    </row>
    <row r="12" spans="1:11" x14ac:dyDescent="0.15">
      <c r="A12" s="3" t="s">
        <v>101</v>
      </c>
      <c r="B12" t="s">
        <v>82</v>
      </c>
      <c r="C12" t="str">
        <f>VLOOKUP(B12,产品单价对照表!$A$1:$C$21,3,FALSE)</f>
        <v>D</v>
      </c>
      <c r="D12">
        <v>363</v>
      </c>
      <c r="E12">
        <f>VLOOKUP(B12,产品单价对照表!$A$1:$B$21,2,FALSE)</f>
        <v>688</v>
      </c>
      <c r="F12" s="1">
        <f t="shared" si="0"/>
        <v>24.974399999999999</v>
      </c>
      <c r="G12">
        <f t="shared" si="1"/>
        <v>68</v>
      </c>
      <c r="I12" s="4" t="s">
        <v>59</v>
      </c>
      <c r="J12" s="5">
        <f t="shared" si="2"/>
        <v>154.923</v>
      </c>
      <c r="K12" s="8">
        <f t="shared" si="3"/>
        <v>4.1589226397651613E-2</v>
      </c>
    </row>
    <row r="13" spans="1:11" x14ac:dyDescent="0.15">
      <c r="A13" s="3" t="s">
        <v>72</v>
      </c>
      <c r="B13" s="2" t="s">
        <v>7</v>
      </c>
      <c r="C13" t="str">
        <f>VLOOKUP(B13,产品单价对照表!$A$1:$C$21,3,FALSE)</f>
        <v>A</v>
      </c>
      <c r="D13">
        <v>362</v>
      </c>
      <c r="E13">
        <f>VLOOKUP(B13,产品单价对照表!$A$1:$B$21,2,FALSE)</f>
        <v>3124</v>
      </c>
      <c r="F13" s="1">
        <f t="shared" si="0"/>
        <v>113.08880000000001</v>
      </c>
      <c r="G13">
        <f t="shared" si="1"/>
        <v>1</v>
      </c>
      <c r="I13" s="4" t="s">
        <v>60</v>
      </c>
      <c r="J13" s="5">
        <f t="shared" si="2"/>
        <v>403.30840000000001</v>
      </c>
      <c r="K13" s="8">
        <f t="shared" si="3"/>
        <v>0.10826852278664005</v>
      </c>
    </row>
    <row r="14" spans="1:11" x14ac:dyDescent="0.15">
      <c r="A14" s="3" t="s">
        <v>100</v>
      </c>
      <c r="B14" t="s">
        <v>59</v>
      </c>
      <c r="C14" t="str">
        <f>VLOOKUP(B14,产品单价对照表!$A$1:$C$21,3,FALSE)</f>
        <v>C</v>
      </c>
      <c r="D14">
        <v>359</v>
      </c>
      <c r="E14">
        <f>VLOOKUP(B14,产品单价对照表!$A$1:$B$21,2,FALSE)</f>
        <v>1371</v>
      </c>
      <c r="F14" s="1">
        <f t="shared" si="0"/>
        <v>49.218899999999998</v>
      </c>
      <c r="G14">
        <f t="shared" si="1"/>
        <v>26</v>
      </c>
      <c r="I14" s="4" t="s">
        <v>61</v>
      </c>
      <c r="J14" s="5">
        <f t="shared" si="2"/>
        <v>337.7473</v>
      </c>
      <c r="K14" s="8">
        <f t="shared" si="3"/>
        <v>9.0668583263269875E-2</v>
      </c>
    </row>
    <row r="15" spans="1:11" x14ac:dyDescent="0.15">
      <c r="A15" s="3" t="s">
        <v>100</v>
      </c>
      <c r="B15" t="s">
        <v>75</v>
      </c>
      <c r="C15" t="str">
        <f>VLOOKUP(B15,产品单价对照表!$A$1:$C$21,3,FALSE)</f>
        <v>D</v>
      </c>
      <c r="D15">
        <v>356</v>
      </c>
      <c r="E15">
        <f>VLOOKUP(B15,产品单价对照表!$A$1:$B$21,2,FALSE)</f>
        <v>860</v>
      </c>
      <c r="F15" s="1">
        <f t="shared" si="0"/>
        <v>30.616</v>
      </c>
      <c r="G15">
        <f t="shared" si="1"/>
        <v>57</v>
      </c>
      <c r="I15" s="4" t="s">
        <v>62</v>
      </c>
      <c r="J15" s="5">
        <f t="shared" si="2"/>
        <v>214.05020000000002</v>
      </c>
      <c r="K15" s="8">
        <f t="shared" si="3"/>
        <v>5.7461979359182354E-2</v>
      </c>
    </row>
    <row r="16" spans="1:11" x14ac:dyDescent="0.15">
      <c r="A16" s="3" t="s">
        <v>74</v>
      </c>
      <c r="B16" t="s">
        <v>64</v>
      </c>
      <c r="C16" t="str">
        <f>VLOOKUP(B16,产品单价对照表!$A$1:$C$21,3,FALSE)</f>
        <v>C</v>
      </c>
      <c r="D16">
        <v>348</v>
      </c>
      <c r="E16">
        <f>VLOOKUP(B16,产品单价对照表!$A$1:$B$21,2,FALSE)</f>
        <v>1451</v>
      </c>
      <c r="F16" s="1">
        <f t="shared" si="0"/>
        <v>50.494799999999998</v>
      </c>
      <c r="G16">
        <f t="shared" si="1"/>
        <v>23</v>
      </c>
      <c r="I16" s="4" t="s">
        <v>63</v>
      </c>
      <c r="J16" s="5">
        <f t="shared" si="2"/>
        <v>204.3349</v>
      </c>
      <c r="K16" s="8">
        <f t="shared" si="3"/>
        <v>5.4853897852749446E-2</v>
      </c>
    </row>
    <row r="17" spans="1:11" x14ac:dyDescent="0.15">
      <c r="A17" s="3" t="s">
        <v>72</v>
      </c>
      <c r="B17" s="2" t="s">
        <v>13</v>
      </c>
      <c r="C17" t="str">
        <f>VLOOKUP(B17,产品单价对照表!$A$1:$C$21,3,FALSE)</f>
        <v>C</v>
      </c>
      <c r="D17">
        <v>345</v>
      </c>
      <c r="E17">
        <f>VLOOKUP(B17,产品单价对照表!$A$1:$B$21,2,FALSE)</f>
        <v>1423</v>
      </c>
      <c r="F17" s="1">
        <f t="shared" si="0"/>
        <v>49.093499999999999</v>
      </c>
      <c r="G17">
        <f t="shared" si="1"/>
        <v>27</v>
      </c>
      <c r="I17" s="4" t="s">
        <v>64</v>
      </c>
      <c r="J17" s="5">
        <f t="shared" si="2"/>
        <v>208.36360000000002</v>
      </c>
      <c r="K17" s="8">
        <f t="shared" si="3"/>
        <v>5.5935406191654706E-2</v>
      </c>
    </row>
    <row r="18" spans="1:11" x14ac:dyDescent="0.15">
      <c r="A18" s="3" t="s">
        <v>74</v>
      </c>
      <c r="B18" t="s">
        <v>58</v>
      </c>
      <c r="C18" t="str">
        <f>VLOOKUP(B18,产品单价对照表!$A$1:$C$21,3,FALSE)</f>
        <v>D</v>
      </c>
      <c r="D18">
        <v>345</v>
      </c>
      <c r="E18">
        <f>VLOOKUP(B18,产品单价对照表!$A$1:$B$21,2,FALSE)</f>
        <v>896</v>
      </c>
      <c r="F18" s="1">
        <f t="shared" si="0"/>
        <v>30.911999999999999</v>
      </c>
      <c r="G18">
        <f t="shared" si="1"/>
        <v>56</v>
      </c>
      <c r="I18" s="4" t="s">
        <v>65</v>
      </c>
      <c r="J18" s="5">
        <f t="shared" si="2"/>
        <v>197.2278</v>
      </c>
      <c r="K18" s="8">
        <f t="shared" si="3"/>
        <v>5.2945990111931428E-2</v>
      </c>
    </row>
    <row r="19" spans="1:11" x14ac:dyDescent="0.15">
      <c r="A19" s="3" t="s">
        <v>73</v>
      </c>
      <c r="B19" t="s">
        <v>76</v>
      </c>
      <c r="C19" t="str">
        <f>VLOOKUP(B19,产品单价对照表!$A$1:$C$21,3,FALSE)</f>
        <v>D</v>
      </c>
      <c r="D19">
        <v>345</v>
      </c>
      <c r="E19">
        <f>VLOOKUP(B19,产品单价对照表!$A$1:$B$21,2,FALSE)</f>
        <v>369</v>
      </c>
      <c r="F19" s="1">
        <f t="shared" si="0"/>
        <v>12.730499999999999</v>
      </c>
      <c r="G19">
        <f t="shared" si="1"/>
        <v>92</v>
      </c>
      <c r="I19" s="4" t="s">
        <v>75</v>
      </c>
      <c r="J19" s="5">
        <f t="shared" si="2"/>
        <v>106.20999999999998</v>
      </c>
      <c r="K19" s="8">
        <f t="shared" si="3"/>
        <v>2.8512175310925925E-2</v>
      </c>
    </row>
    <row r="20" spans="1:11" x14ac:dyDescent="0.15">
      <c r="A20" s="3" t="s">
        <v>101</v>
      </c>
      <c r="B20" t="s">
        <v>78</v>
      </c>
      <c r="C20" t="str">
        <f>VLOOKUP(B20,产品单价对照表!$A$1:$C$21,3,FALSE)</f>
        <v>B</v>
      </c>
      <c r="D20">
        <v>344</v>
      </c>
      <c r="E20">
        <f>VLOOKUP(B20,产品单价对照表!$A$1:$B$21,2,FALSE)</f>
        <v>1566</v>
      </c>
      <c r="F20" s="1">
        <f t="shared" si="0"/>
        <v>53.870399999999997</v>
      </c>
      <c r="G20">
        <f t="shared" si="1"/>
        <v>19</v>
      </c>
      <c r="I20" s="4" t="s">
        <v>76</v>
      </c>
      <c r="J20" s="5">
        <f t="shared" si="2"/>
        <v>57.490199999999994</v>
      </c>
      <c r="K20" s="8">
        <f t="shared" si="3"/>
        <v>1.5433298757745916E-2</v>
      </c>
    </row>
    <row r="21" spans="1:11" x14ac:dyDescent="0.15">
      <c r="A21" s="3" t="s">
        <v>73</v>
      </c>
      <c r="B21" t="s">
        <v>80</v>
      </c>
      <c r="C21" t="str">
        <f>VLOOKUP(B21,产品单价对照表!$A$1:$C$21,3,FALSE)</f>
        <v>B</v>
      </c>
      <c r="D21">
        <v>342</v>
      </c>
      <c r="E21">
        <f>VLOOKUP(B21,产品单价对照表!$A$1:$B$21,2,FALSE)</f>
        <v>1978</v>
      </c>
      <c r="F21" s="1">
        <f t="shared" si="0"/>
        <v>67.647599999999997</v>
      </c>
      <c r="G21">
        <f t="shared" si="1"/>
        <v>11</v>
      </c>
      <c r="I21" s="4" t="s">
        <v>77</v>
      </c>
      <c r="J21" s="5">
        <f t="shared" si="2"/>
        <v>171.60140000000001</v>
      </c>
      <c r="K21" s="8">
        <f t="shared" si="3"/>
        <v>4.6066558708222627E-2</v>
      </c>
    </row>
    <row r="22" spans="1:11" x14ac:dyDescent="0.15">
      <c r="A22" s="3" t="s">
        <v>101</v>
      </c>
      <c r="B22" t="s">
        <v>81</v>
      </c>
      <c r="C22" t="str">
        <f>VLOOKUP(B22,产品单价对照表!$A$1:$C$21,3,FALSE)</f>
        <v>D</v>
      </c>
      <c r="D22">
        <v>333</v>
      </c>
      <c r="E22">
        <f>VLOOKUP(B22,产品单价对照表!$A$1:$B$21,2,FALSE)</f>
        <v>988</v>
      </c>
      <c r="F22" s="1">
        <f t="shared" si="0"/>
        <v>32.900399999999998</v>
      </c>
      <c r="G22">
        <f t="shared" si="1"/>
        <v>53</v>
      </c>
      <c r="I22" s="4" t="s">
        <v>78</v>
      </c>
      <c r="J22" s="5">
        <f t="shared" si="2"/>
        <v>220.49279999999999</v>
      </c>
      <c r="K22" s="8">
        <f t="shared" si="3"/>
        <v>5.9191501444279523E-2</v>
      </c>
    </row>
    <row r="23" spans="1:11" x14ac:dyDescent="0.15">
      <c r="A23" s="3" t="s">
        <v>100</v>
      </c>
      <c r="B23" t="s">
        <v>79</v>
      </c>
      <c r="C23" t="str">
        <f>VLOOKUP(B23,产品单价对照表!$A$1:$C$21,3,FALSE)</f>
        <v>A</v>
      </c>
      <c r="D23">
        <v>331</v>
      </c>
      <c r="E23">
        <f>VLOOKUP(B23,产品单价对照表!$A$1:$B$21,2,FALSE)</f>
        <v>2034</v>
      </c>
      <c r="F23" s="1">
        <f t="shared" si="0"/>
        <v>67.325400000000002</v>
      </c>
      <c r="G23">
        <f t="shared" si="1"/>
        <v>12</v>
      </c>
      <c r="I23" s="4" t="s">
        <v>79</v>
      </c>
      <c r="J23" s="5">
        <f t="shared" si="2"/>
        <v>190.58579999999998</v>
      </c>
      <c r="K23" s="8">
        <f t="shared" si="3"/>
        <v>5.1162938907570531E-2</v>
      </c>
    </row>
    <row r="24" spans="1:11" x14ac:dyDescent="0.15">
      <c r="A24" s="3" t="s">
        <v>101</v>
      </c>
      <c r="B24" t="s">
        <v>48</v>
      </c>
      <c r="C24" t="str">
        <f>VLOOKUP(B24,产品单价对照表!$A$1:$C$21,3,FALSE)</f>
        <v>D</v>
      </c>
      <c r="D24">
        <v>331</v>
      </c>
      <c r="E24">
        <f>VLOOKUP(B24,产品单价对照表!$A$1:$B$21,2,FALSE)</f>
        <v>754</v>
      </c>
      <c r="F24" s="1">
        <f t="shared" si="0"/>
        <v>24.9574</v>
      </c>
      <c r="G24">
        <f t="shared" si="1"/>
        <v>69</v>
      </c>
      <c r="I24" s="4" t="s">
        <v>80</v>
      </c>
      <c r="J24" s="5">
        <f t="shared" si="2"/>
        <v>224.50299999999999</v>
      </c>
      <c r="K24" s="8">
        <f t="shared" si="3"/>
        <v>6.026804344062521E-2</v>
      </c>
    </row>
    <row r="25" spans="1:11" x14ac:dyDescent="0.15">
      <c r="A25" s="3" t="s">
        <v>100</v>
      </c>
      <c r="B25" t="s">
        <v>57</v>
      </c>
      <c r="C25" t="str">
        <f>VLOOKUP(B25,产品单价对照表!$A$1:$C$21,3,FALSE)</f>
        <v>A</v>
      </c>
      <c r="D25">
        <v>322</v>
      </c>
      <c r="E25">
        <f>VLOOKUP(B25,产品单价对照表!$A$1:$B$21,2,FALSE)</f>
        <v>2341</v>
      </c>
      <c r="F25" s="1">
        <f t="shared" si="0"/>
        <v>75.380200000000002</v>
      </c>
      <c r="G25">
        <f t="shared" si="1"/>
        <v>7</v>
      </c>
      <c r="I25" s="4" t="s">
        <v>81</v>
      </c>
      <c r="J25" s="5">
        <f t="shared" si="2"/>
        <v>125.97</v>
      </c>
      <c r="K25" s="8">
        <f t="shared" si="3"/>
        <v>3.3816766066447033E-2</v>
      </c>
    </row>
    <row r="26" spans="1:11" x14ac:dyDescent="0.15">
      <c r="A26" s="3" t="s">
        <v>74</v>
      </c>
      <c r="B26" t="s">
        <v>62</v>
      </c>
      <c r="C26" t="str">
        <f>VLOOKUP(B26,产品单价对照表!$A$1:$C$21,3,FALSE)</f>
        <v>B</v>
      </c>
      <c r="D26">
        <v>311</v>
      </c>
      <c r="E26">
        <f>VLOOKUP(B26,产品单价对照表!$A$1:$B$21,2,FALSE)</f>
        <v>1729</v>
      </c>
      <c r="F26" s="1">
        <f t="shared" si="0"/>
        <v>53.771900000000002</v>
      </c>
      <c r="G26">
        <f t="shared" si="1"/>
        <v>20</v>
      </c>
      <c r="I26" s="4" t="s">
        <v>82</v>
      </c>
      <c r="J26" s="5">
        <f t="shared" si="2"/>
        <v>70.4512</v>
      </c>
      <c r="K26" s="8">
        <f t="shared" si="3"/>
        <v>1.8912691509887062E-2</v>
      </c>
    </row>
    <row r="27" spans="1:11" x14ac:dyDescent="0.15">
      <c r="A27" s="3" t="s">
        <v>73</v>
      </c>
      <c r="B27" t="s">
        <v>60</v>
      </c>
      <c r="C27" t="str">
        <f>VLOOKUP(B27,产品单价对照表!$A$1:$C$21,3,FALSE)</f>
        <v>A</v>
      </c>
      <c r="D27">
        <v>298</v>
      </c>
      <c r="E27">
        <f>VLOOKUP(B27,产品单价对照表!$A$1:$B$21,2,FALSE)</f>
        <v>3124</v>
      </c>
      <c r="F27" s="1">
        <f t="shared" si="0"/>
        <v>93.095200000000006</v>
      </c>
      <c r="G27">
        <f t="shared" si="1"/>
        <v>2</v>
      </c>
      <c r="I27" s="6" t="s">
        <v>109</v>
      </c>
      <c r="J27" s="5">
        <f>SUM(J7:J26)</f>
        <v>3725.0753</v>
      </c>
      <c r="K27" s="4"/>
    </row>
    <row r="28" spans="1:11" x14ac:dyDescent="0.15">
      <c r="A28" s="3" t="s">
        <v>100</v>
      </c>
      <c r="B28" t="s">
        <v>61</v>
      </c>
      <c r="C28" t="str">
        <f>VLOOKUP(B28,产品单价对照表!$A$1:$C$21,3,FALSE)</f>
        <v>A</v>
      </c>
      <c r="D28">
        <v>286</v>
      </c>
      <c r="E28">
        <f>VLOOKUP(B28,产品单价对照表!$A$1:$B$21,2,FALSE)</f>
        <v>2981</v>
      </c>
      <c r="F28" s="1">
        <f t="shared" si="0"/>
        <v>85.256600000000006</v>
      </c>
      <c r="G28">
        <f t="shared" si="1"/>
        <v>3</v>
      </c>
      <c r="J28" s="1"/>
    </row>
    <row r="29" spans="1:11" x14ac:dyDescent="0.15">
      <c r="A29" s="3" t="s">
        <v>101</v>
      </c>
      <c r="B29" t="s">
        <v>65</v>
      </c>
      <c r="C29" t="str">
        <f>VLOOKUP(B29,产品单价对照表!$A$1:$C$21,3,FALSE)</f>
        <v>C</v>
      </c>
      <c r="D29">
        <v>281</v>
      </c>
      <c r="E29">
        <f>VLOOKUP(B29,产品单价对照表!$A$1:$B$21,2,FALSE)</f>
        <v>1423</v>
      </c>
      <c r="F29" s="1">
        <f t="shared" si="0"/>
        <v>39.9863</v>
      </c>
      <c r="G29">
        <f t="shared" si="1"/>
        <v>33</v>
      </c>
    </row>
    <row r="30" spans="1:11" x14ac:dyDescent="0.15">
      <c r="A30" s="3" t="s">
        <v>100</v>
      </c>
      <c r="B30" t="s">
        <v>55</v>
      </c>
      <c r="C30" t="str">
        <f>VLOOKUP(B30,产品单价对照表!$A$1:$C$21,3,FALSE)</f>
        <v>B</v>
      </c>
      <c r="D30">
        <v>278</v>
      </c>
      <c r="E30">
        <f>VLOOKUP(B30,产品单价对照表!$A$1:$B$21,2,FALSE)</f>
        <v>1652</v>
      </c>
      <c r="F30" s="1">
        <f t="shared" si="0"/>
        <v>45.925600000000003</v>
      </c>
      <c r="G30">
        <f t="shared" si="1"/>
        <v>30</v>
      </c>
    </row>
    <row r="31" spans="1:11" x14ac:dyDescent="0.15">
      <c r="A31" s="3" t="s">
        <v>74</v>
      </c>
      <c r="B31" t="s">
        <v>75</v>
      </c>
      <c r="C31" t="str">
        <f>VLOOKUP(B31,产品单价对照表!$A$1:$C$21,3,FALSE)</f>
        <v>D</v>
      </c>
      <c r="D31">
        <v>275</v>
      </c>
      <c r="E31">
        <f>VLOOKUP(B31,产品单价对照表!$A$1:$B$21,2,FALSE)</f>
        <v>860</v>
      </c>
      <c r="F31" s="1">
        <f t="shared" si="0"/>
        <v>23.65</v>
      </c>
      <c r="G31">
        <f t="shared" si="1"/>
        <v>72</v>
      </c>
    </row>
    <row r="32" spans="1:11" x14ac:dyDescent="0.15">
      <c r="A32" s="3" t="s">
        <v>74</v>
      </c>
      <c r="B32" t="s">
        <v>60</v>
      </c>
      <c r="C32" t="str">
        <f>VLOOKUP(B32,产品单价对照表!$A$1:$C$21,3,FALSE)</f>
        <v>A</v>
      </c>
      <c r="D32">
        <v>267</v>
      </c>
      <c r="E32">
        <f>VLOOKUP(B32,产品单价对照表!$A$1:$B$21,2,FALSE)</f>
        <v>3124</v>
      </c>
      <c r="F32" s="1">
        <f t="shared" si="0"/>
        <v>83.410799999999995</v>
      </c>
      <c r="G32">
        <f t="shared" si="1"/>
        <v>4</v>
      </c>
    </row>
    <row r="33" spans="1:7" x14ac:dyDescent="0.15">
      <c r="A33" s="3" t="s">
        <v>100</v>
      </c>
      <c r="B33" t="s">
        <v>64</v>
      </c>
      <c r="C33" t="str">
        <f>VLOOKUP(B33,产品单价对照表!$A$1:$C$21,3,FALSE)</f>
        <v>C</v>
      </c>
      <c r="D33">
        <v>267</v>
      </c>
      <c r="E33">
        <f>VLOOKUP(B33,产品单价对照表!$A$1:$B$21,2,FALSE)</f>
        <v>1451</v>
      </c>
      <c r="F33" s="1">
        <f t="shared" si="0"/>
        <v>38.741700000000002</v>
      </c>
      <c r="G33">
        <f t="shared" si="1"/>
        <v>36</v>
      </c>
    </row>
    <row r="34" spans="1:7" x14ac:dyDescent="0.15">
      <c r="A34" s="3" t="s">
        <v>72</v>
      </c>
      <c r="B34" s="2" t="s">
        <v>4</v>
      </c>
      <c r="C34" t="str">
        <f>VLOOKUP(B34,产品单价对照表!$A$1:$C$21,3,FALSE)</f>
        <v>A</v>
      </c>
      <c r="D34">
        <v>266</v>
      </c>
      <c r="E34">
        <f>VLOOKUP(B34,产品单价对照表!$A$1:$B$21,2,FALSE)</f>
        <v>2341</v>
      </c>
      <c r="F34" s="1">
        <f t="shared" si="0"/>
        <v>62.270600000000002</v>
      </c>
      <c r="G34">
        <f t="shared" si="1"/>
        <v>16</v>
      </c>
    </row>
    <row r="35" spans="1:7" x14ac:dyDescent="0.15">
      <c r="A35" s="3" t="s">
        <v>72</v>
      </c>
      <c r="B35" s="2" t="s">
        <v>12</v>
      </c>
      <c r="C35" t="str">
        <f>VLOOKUP(B35,产品单价对照表!$A$1:$C$21,3,FALSE)</f>
        <v>C</v>
      </c>
      <c r="D35">
        <v>265</v>
      </c>
      <c r="E35">
        <f>VLOOKUP(B35,产品单价对照表!$A$1:$B$21,2,FALSE)</f>
        <v>1451</v>
      </c>
      <c r="F35" s="1">
        <f t="shared" si="0"/>
        <v>38.451500000000003</v>
      </c>
      <c r="G35">
        <f t="shared" si="1"/>
        <v>38</v>
      </c>
    </row>
    <row r="36" spans="1:7" x14ac:dyDescent="0.15">
      <c r="A36" s="3" t="s">
        <v>100</v>
      </c>
      <c r="B36" t="s">
        <v>65</v>
      </c>
      <c r="C36" t="str">
        <f>VLOOKUP(B36,产品单价对照表!$A$1:$C$21,3,FALSE)</f>
        <v>C</v>
      </c>
      <c r="D36">
        <v>259</v>
      </c>
      <c r="E36">
        <f>VLOOKUP(B36,产品单价对照表!$A$1:$B$21,2,FALSE)</f>
        <v>1423</v>
      </c>
      <c r="F36" s="1">
        <f t="shared" si="0"/>
        <v>36.855699999999999</v>
      </c>
      <c r="G36">
        <f t="shared" si="1"/>
        <v>43</v>
      </c>
    </row>
    <row r="37" spans="1:7" x14ac:dyDescent="0.15">
      <c r="A37" s="3" t="s">
        <v>73</v>
      </c>
      <c r="B37" t="s">
        <v>65</v>
      </c>
      <c r="C37" t="str">
        <f>VLOOKUP(B37,产品单价对照表!$A$1:$C$21,3,FALSE)</f>
        <v>C</v>
      </c>
      <c r="D37">
        <v>256</v>
      </c>
      <c r="E37">
        <f>VLOOKUP(B37,产品单价对照表!$A$1:$B$21,2,FALSE)</f>
        <v>1423</v>
      </c>
      <c r="F37" s="1">
        <f t="shared" si="0"/>
        <v>36.428800000000003</v>
      </c>
      <c r="G37">
        <f t="shared" si="1"/>
        <v>44</v>
      </c>
    </row>
    <row r="38" spans="1:7" x14ac:dyDescent="0.15">
      <c r="A38" s="3" t="s">
        <v>74</v>
      </c>
      <c r="B38" t="s">
        <v>81</v>
      </c>
      <c r="C38" t="str">
        <f>VLOOKUP(B38,产品单价对照表!$A$1:$C$21,3,FALSE)</f>
        <v>D</v>
      </c>
      <c r="D38">
        <v>256</v>
      </c>
      <c r="E38">
        <f>VLOOKUP(B38,产品单价对照表!$A$1:$B$21,2,FALSE)</f>
        <v>988</v>
      </c>
      <c r="F38" s="1">
        <f t="shared" si="0"/>
        <v>25.2928</v>
      </c>
      <c r="G38">
        <f t="shared" si="1"/>
        <v>65</v>
      </c>
    </row>
    <row r="39" spans="1:7" x14ac:dyDescent="0.15">
      <c r="A39" s="3" t="s">
        <v>100</v>
      </c>
      <c r="B39" t="s">
        <v>60</v>
      </c>
      <c r="C39" t="str">
        <f>VLOOKUP(B39,产品单价对照表!$A$1:$C$21,3,FALSE)</f>
        <v>A</v>
      </c>
      <c r="D39">
        <v>256</v>
      </c>
      <c r="E39">
        <f>VLOOKUP(B39,产品单价对照表!$A$1:$B$21,2,FALSE)</f>
        <v>3124</v>
      </c>
      <c r="F39" s="1">
        <f t="shared" si="0"/>
        <v>79.974400000000003</v>
      </c>
      <c r="G39">
        <f t="shared" si="1"/>
        <v>6</v>
      </c>
    </row>
    <row r="40" spans="1:7" x14ac:dyDescent="0.15">
      <c r="A40" s="3" t="s">
        <v>101</v>
      </c>
      <c r="B40" t="s">
        <v>63</v>
      </c>
      <c r="C40" t="str">
        <f>VLOOKUP(B40,产品单价对照表!$A$1:$C$21,3,FALSE)</f>
        <v>B</v>
      </c>
      <c r="D40">
        <v>256</v>
      </c>
      <c r="E40">
        <f>VLOOKUP(B40,产品单价对照表!$A$1:$B$21,2,FALSE)</f>
        <v>1561</v>
      </c>
      <c r="F40" s="1">
        <f t="shared" si="0"/>
        <v>39.961599999999997</v>
      </c>
      <c r="G40">
        <f t="shared" si="1"/>
        <v>34</v>
      </c>
    </row>
    <row r="41" spans="1:7" x14ac:dyDescent="0.15">
      <c r="A41" s="3" t="s">
        <v>72</v>
      </c>
      <c r="B41" s="2" t="s">
        <v>98</v>
      </c>
      <c r="C41" t="str">
        <f>VLOOKUP(B41,产品单价对照表!$A$1:$C$21,3,FALSE)</f>
        <v>D</v>
      </c>
      <c r="D41">
        <v>254</v>
      </c>
      <c r="E41">
        <f>VLOOKUP(B41,产品单价对照表!$A$1:$B$21,2,FALSE)</f>
        <v>988</v>
      </c>
      <c r="F41" s="1">
        <f t="shared" si="0"/>
        <v>25.095199999999998</v>
      </c>
      <c r="G41">
        <f t="shared" si="1"/>
        <v>66</v>
      </c>
    </row>
    <row r="42" spans="1:7" x14ac:dyDescent="0.15">
      <c r="A42" s="3" t="s">
        <v>73</v>
      </c>
      <c r="B42" t="s">
        <v>75</v>
      </c>
      <c r="C42" t="str">
        <f>VLOOKUP(B42,产品单价对照表!$A$1:$C$21,3,FALSE)</f>
        <v>D</v>
      </c>
      <c r="D42">
        <v>248</v>
      </c>
      <c r="E42">
        <f>VLOOKUP(B42,产品单价对照表!$A$1:$B$21,2,FALSE)</f>
        <v>860</v>
      </c>
      <c r="F42" s="1">
        <f t="shared" si="0"/>
        <v>21.327999999999999</v>
      </c>
      <c r="G42">
        <f t="shared" si="1"/>
        <v>74</v>
      </c>
    </row>
    <row r="43" spans="1:7" x14ac:dyDescent="0.15">
      <c r="A43" s="3" t="s">
        <v>73</v>
      </c>
      <c r="B43" t="s">
        <v>81</v>
      </c>
      <c r="C43" t="str">
        <f>VLOOKUP(B43,产品单价对照表!$A$1:$C$21,3,FALSE)</f>
        <v>D</v>
      </c>
      <c r="D43">
        <v>245</v>
      </c>
      <c r="E43">
        <f>VLOOKUP(B43,产品单价对照表!$A$1:$B$21,2,FALSE)</f>
        <v>988</v>
      </c>
      <c r="F43" s="1">
        <f t="shared" si="0"/>
        <v>24.206</v>
      </c>
      <c r="G43">
        <f t="shared" si="1"/>
        <v>71</v>
      </c>
    </row>
    <row r="44" spans="1:7" x14ac:dyDescent="0.15">
      <c r="A44" s="3" t="s">
        <v>74</v>
      </c>
      <c r="B44" t="s">
        <v>56</v>
      </c>
      <c r="C44" t="str">
        <f>VLOOKUP(B44,产品单价对照表!$A$1:$C$21,3,FALSE)</f>
        <v>A</v>
      </c>
      <c r="D44">
        <v>245</v>
      </c>
      <c r="E44">
        <f>VLOOKUP(B44,产品单价对照表!$A$1:$B$21,2,FALSE)</f>
        <v>2098</v>
      </c>
      <c r="F44" s="1">
        <f t="shared" si="0"/>
        <v>51.401000000000003</v>
      </c>
      <c r="G44">
        <f t="shared" si="1"/>
        <v>21</v>
      </c>
    </row>
    <row r="45" spans="1:7" x14ac:dyDescent="0.15">
      <c r="A45" s="3" t="s">
        <v>74</v>
      </c>
      <c r="B45" t="s">
        <v>65</v>
      </c>
      <c r="C45" t="str">
        <f>VLOOKUP(B45,产品单价对照表!$A$1:$C$21,3,FALSE)</f>
        <v>C</v>
      </c>
      <c r="D45">
        <v>245</v>
      </c>
      <c r="E45">
        <f>VLOOKUP(B45,产品单价对照表!$A$1:$B$21,2,FALSE)</f>
        <v>1423</v>
      </c>
      <c r="F45" s="1">
        <f t="shared" si="0"/>
        <v>34.863500000000002</v>
      </c>
      <c r="G45">
        <f t="shared" si="1"/>
        <v>47</v>
      </c>
    </row>
    <row r="46" spans="1:7" x14ac:dyDescent="0.15">
      <c r="A46" s="3" t="s">
        <v>100</v>
      </c>
      <c r="B46" t="s">
        <v>56</v>
      </c>
      <c r="C46" t="str">
        <f>VLOOKUP(B46,产品单价对照表!$A$1:$C$21,3,FALSE)</f>
        <v>A</v>
      </c>
      <c r="D46">
        <v>244</v>
      </c>
      <c r="E46">
        <f>VLOOKUP(B46,产品单价对照表!$A$1:$B$21,2,FALSE)</f>
        <v>2098</v>
      </c>
      <c r="F46" s="1">
        <f t="shared" si="0"/>
        <v>51.191200000000002</v>
      </c>
      <c r="G46">
        <f t="shared" si="1"/>
        <v>22</v>
      </c>
    </row>
    <row r="47" spans="1:7" x14ac:dyDescent="0.15">
      <c r="A47" s="3" t="s">
        <v>74</v>
      </c>
      <c r="B47" t="s">
        <v>78</v>
      </c>
      <c r="C47" t="str">
        <f>VLOOKUP(B47,产品单价对照表!$A$1:$C$21,3,FALSE)</f>
        <v>B</v>
      </c>
      <c r="D47">
        <v>242</v>
      </c>
      <c r="E47">
        <f>VLOOKUP(B47,产品单价对照表!$A$1:$B$21,2,FALSE)</f>
        <v>1566</v>
      </c>
      <c r="F47" s="1">
        <f t="shared" si="0"/>
        <v>37.897199999999998</v>
      </c>
      <c r="G47">
        <f t="shared" si="1"/>
        <v>40</v>
      </c>
    </row>
    <row r="48" spans="1:7" x14ac:dyDescent="0.15">
      <c r="A48" s="3" t="s">
        <v>100</v>
      </c>
      <c r="B48" t="s">
        <v>62</v>
      </c>
      <c r="C48" t="str">
        <f>VLOOKUP(B48,产品单价对照表!$A$1:$C$21,3,FALSE)</f>
        <v>B</v>
      </c>
      <c r="D48">
        <v>241</v>
      </c>
      <c r="E48">
        <f>VLOOKUP(B48,产品单价对照表!$A$1:$B$21,2,FALSE)</f>
        <v>1729</v>
      </c>
      <c r="F48" s="1">
        <f t="shared" si="0"/>
        <v>41.668900000000001</v>
      </c>
      <c r="G48">
        <f t="shared" si="1"/>
        <v>31</v>
      </c>
    </row>
    <row r="49" spans="1:7" x14ac:dyDescent="0.15">
      <c r="A49" s="3" t="s">
        <v>73</v>
      </c>
      <c r="B49" t="s">
        <v>61</v>
      </c>
      <c r="C49" t="str">
        <f>VLOOKUP(B49,产品单价对照表!$A$1:$C$21,3,FALSE)</f>
        <v>A</v>
      </c>
      <c r="D49">
        <v>239</v>
      </c>
      <c r="E49">
        <f>VLOOKUP(B49,产品单价对照表!$A$1:$B$21,2,FALSE)</f>
        <v>2981</v>
      </c>
      <c r="F49" s="1">
        <f t="shared" si="0"/>
        <v>71.245900000000006</v>
      </c>
      <c r="G49">
        <f t="shared" si="1"/>
        <v>9</v>
      </c>
    </row>
    <row r="50" spans="1:7" x14ac:dyDescent="0.15">
      <c r="A50" s="3" t="s">
        <v>100</v>
      </c>
      <c r="B50" t="s">
        <v>80</v>
      </c>
      <c r="C50" t="str">
        <f>VLOOKUP(B50,产品单价对照表!$A$1:$C$21,3,FALSE)</f>
        <v>B</v>
      </c>
      <c r="D50">
        <v>234</v>
      </c>
      <c r="E50">
        <f>VLOOKUP(B50,产品单价对照表!$A$1:$B$21,2,FALSE)</f>
        <v>1978</v>
      </c>
      <c r="F50" s="1">
        <f t="shared" si="0"/>
        <v>46.285200000000003</v>
      </c>
      <c r="G50">
        <f t="shared" si="1"/>
        <v>28</v>
      </c>
    </row>
    <row r="51" spans="1:7" x14ac:dyDescent="0.15">
      <c r="A51" s="3" t="s">
        <v>101</v>
      </c>
      <c r="B51" t="s">
        <v>55</v>
      </c>
      <c r="C51" t="str">
        <f>VLOOKUP(B51,产品单价对照表!$A$1:$C$21,3,FALSE)</f>
        <v>B</v>
      </c>
      <c r="D51">
        <v>234</v>
      </c>
      <c r="E51">
        <f>VLOOKUP(B51,产品单价对照表!$A$1:$B$21,2,FALSE)</f>
        <v>1652</v>
      </c>
      <c r="F51" s="1">
        <f t="shared" si="0"/>
        <v>38.656799999999997</v>
      </c>
      <c r="G51">
        <f t="shared" si="1"/>
        <v>37</v>
      </c>
    </row>
    <row r="52" spans="1:7" x14ac:dyDescent="0.15">
      <c r="A52" s="3" t="s">
        <v>101</v>
      </c>
      <c r="B52" t="s">
        <v>59</v>
      </c>
      <c r="C52" t="str">
        <f>VLOOKUP(B52,产品单价对照表!$A$1:$C$21,3,FALSE)</f>
        <v>C</v>
      </c>
      <c r="D52">
        <v>234</v>
      </c>
      <c r="E52">
        <f>VLOOKUP(B52,产品单价对照表!$A$1:$B$21,2,FALSE)</f>
        <v>1371</v>
      </c>
      <c r="F52" s="1">
        <f t="shared" si="0"/>
        <v>32.081400000000002</v>
      </c>
      <c r="G52">
        <f t="shared" si="1"/>
        <v>55</v>
      </c>
    </row>
    <row r="53" spans="1:7" x14ac:dyDescent="0.15">
      <c r="A53" s="3" t="s">
        <v>74</v>
      </c>
      <c r="B53" t="s">
        <v>61</v>
      </c>
      <c r="C53" t="str">
        <f>VLOOKUP(B53,产品单价对照表!$A$1:$C$21,3,FALSE)</f>
        <v>A</v>
      </c>
      <c r="D53">
        <v>233</v>
      </c>
      <c r="E53">
        <f>VLOOKUP(B53,产品单价对照表!$A$1:$B$21,2,FALSE)</f>
        <v>2981</v>
      </c>
      <c r="F53" s="1">
        <f t="shared" si="0"/>
        <v>69.457300000000004</v>
      </c>
      <c r="G53">
        <f t="shared" si="1"/>
        <v>10</v>
      </c>
    </row>
    <row r="54" spans="1:7" x14ac:dyDescent="0.15">
      <c r="A54" s="3" t="s">
        <v>73</v>
      </c>
      <c r="B54" t="s">
        <v>63</v>
      </c>
      <c r="C54" t="str">
        <f>VLOOKUP(B54,产品单价对照表!$A$1:$C$21,3,FALSE)</f>
        <v>B</v>
      </c>
      <c r="D54">
        <v>230</v>
      </c>
      <c r="E54">
        <f>VLOOKUP(B54,产品单价对照表!$A$1:$B$21,2,FALSE)</f>
        <v>1561</v>
      </c>
      <c r="F54" s="1">
        <f t="shared" si="0"/>
        <v>35.902999999999999</v>
      </c>
      <c r="G54">
        <f t="shared" si="1"/>
        <v>45</v>
      </c>
    </row>
    <row r="55" spans="1:7" x14ac:dyDescent="0.15">
      <c r="A55" s="3" t="s">
        <v>74</v>
      </c>
      <c r="B55" t="s">
        <v>82</v>
      </c>
      <c r="C55" t="str">
        <f>VLOOKUP(B55,产品单价对照表!$A$1:$C$21,3,FALSE)</f>
        <v>D</v>
      </c>
      <c r="D55">
        <v>229</v>
      </c>
      <c r="E55">
        <f>VLOOKUP(B55,产品单价对照表!$A$1:$B$21,2,FALSE)</f>
        <v>688</v>
      </c>
      <c r="F55" s="1">
        <f t="shared" si="0"/>
        <v>15.7552</v>
      </c>
      <c r="G55">
        <f t="shared" si="1"/>
        <v>84</v>
      </c>
    </row>
    <row r="56" spans="1:7" x14ac:dyDescent="0.15">
      <c r="A56" s="3" t="s">
        <v>72</v>
      </c>
      <c r="B56" s="2" t="s">
        <v>1</v>
      </c>
      <c r="C56" t="str">
        <f>VLOOKUP(B56,产品单价对照表!$A$1:$C$21,3,FALSE)</f>
        <v>D</v>
      </c>
      <c r="D56">
        <v>223</v>
      </c>
      <c r="E56">
        <f>VLOOKUP(B56,产品单价对照表!$A$1:$B$21,2,FALSE)</f>
        <v>754</v>
      </c>
      <c r="F56" s="1">
        <f t="shared" si="0"/>
        <v>16.8142</v>
      </c>
      <c r="G56">
        <f t="shared" si="1"/>
        <v>83</v>
      </c>
    </row>
    <row r="57" spans="1:7" x14ac:dyDescent="0.15">
      <c r="A57" s="3" t="s">
        <v>100</v>
      </c>
      <c r="B57" t="s">
        <v>58</v>
      </c>
      <c r="C57" t="str">
        <f>VLOOKUP(B57,产品单价对照表!$A$1:$C$21,3,FALSE)</f>
        <v>D</v>
      </c>
      <c r="D57">
        <v>223</v>
      </c>
      <c r="E57">
        <f>VLOOKUP(B57,产品单价对照表!$A$1:$B$21,2,FALSE)</f>
        <v>896</v>
      </c>
      <c r="F57" s="1">
        <f t="shared" si="0"/>
        <v>19.980799999999999</v>
      </c>
      <c r="G57">
        <f t="shared" si="1"/>
        <v>77</v>
      </c>
    </row>
    <row r="58" spans="1:7" x14ac:dyDescent="0.15">
      <c r="A58" s="3" t="s">
        <v>73</v>
      </c>
      <c r="B58" t="s">
        <v>59</v>
      </c>
      <c r="C58" t="str">
        <f>VLOOKUP(B58,产品单价对照表!$A$1:$C$21,3,FALSE)</f>
        <v>C</v>
      </c>
      <c r="D58">
        <v>219</v>
      </c>
      <c r="E58">
        <f>VLOOKUP(B58,产品单价对照表!$A$1:$B$21,2,FALSE)</f>
        <v>1371</v>
      </c>
      <c r="F58" s="1">
        <f t="shared" si="0"/>
        <v>30.024899999999999</v>
      </c>
      <c r="G58">
        <f t="shared" si="1"/>
        <v>58</v>
      </c>
    </row>
    <row r="59" spans="1:7" x14ac:dyDescent="0.15">
      <c r="A59" s="3" t="s">
        <v>74</v>
      </c>
      <c r="B59" t="s">
        <v>58</v>
      </c>
      <c r="C59" t="str">
        <f>VLOOKUP(B59,产品单价对照表!$A$1:$C$21,3,FALSE)</f>
        <v>D</v>
      </c>
      <c r="D59">
        <v>218</v>
      </c>
      <c r="E59">
        <f>VLOOKUP(B59,产品单价对照表!$A$1:$B$21,2,FALSE)</f>
        <v>896</v>
      </c>
      <c r="F59" s="1">
        <f t="shared" si="0"/>
        <v>19.532800000000002</v>
      </c>
      <c r="G59">
        <f t="shared" si="1"/>
        <v>78</v>
      </c>
    </row>
    <row r="60" spans="1:7" x14ac:dyDescent="0.15">
      <c r="A60" s="3" t="s">
        <v>74</v>
      </c>
      <c r="B60" t="s">
        <v>77</v>
      </c>
      <c r="C60" t="str">
        <f>VLOOKUP(B60,产品单价对照表!$A$1:$C$21,3,FALSE)</f>
        <v>C</v>
      </c>
      <c r="D60">
        <v>213</v>
      </c>
      <c r="E60">
        <f>VLOOKUP(B60,产品单价对照表!$A$1:$B$21,2,FALSE)</f>
        <v>1231</v>
      </c>
      <c r="F60" s="1">
        <f t="shared" si="0"/>
        <v>26.220300000000002</v>
      </c>
      <c r="G60">
        <f t="shared" si="1"/>
        <v>63</v>
      </c>
    </row>
    <row r="61" spans="1:7" x14ac:dyDescent="0.15">
      <c r="A61" s="3" t="s">
        <v>74</v>
      </c>
      <c r="B61" t="s">
        <v>63</v>
      </c>
      <c r="C61" t="str">
        <f>VLOOKUP(B61,产品单价对照表!$A$1:$C$21,3,FALSE)</f>
        <v>B</v>
      </c>
      <c r="D61">
        <v>212</v>
      </c>
      <c r="E61">
        <f>VLOOKUP(B61,产品单价对照表!$A$1:$B$21,2,FALSE)</f>
        <v>1561</v>
      </c>
      <c r="F61" s="1">
        <f t="shared" si="0"/>
        <v>33.093200000000003</v>
      </c>
      <c r="G61">
        <f t="shared" si="1"/>
        <v>51</v>
      </c>
    </row>
    <row r="62" spans="1:7" x14ac:dyDescent="0.15">
      <c r="A62" s="3" t="s">
        <v>73</v>
      </c>
      <c r="B62" t="s">
        <v>57</v>
      </c>
      <c r="C62" t="str">
        <f>VLOOKUP(B62,产品单价对照表!$A$1:$C$21,3,FALSE)</f>
        <v>A</v>
      </c>
      <c r="D62">
        <v>211</v>
      </c>
      <c r="E62">
        <f>VLOOKUP(B62,产品单价对照表!$A$1:$B$21,2,FALSE)</f>
        <v>2341</v>
      </c>
      <c r="F62" s="1">
        <f t="shared" si="0"/>
        <v>49.395099999999999</v>
      </c>
      <c r="G62">
        <f t="shared" si="1"/>
        <v>25</v>
      </c>
    </row>
    <row r="63" spans="1:7" x14ac:dyDescent="0.15">
      <c r="A63" s="3" t="s">
        <v>101</v>
      </c>
      <c r="B63" t="s">
        <v>76</v>
      </c>
      <c r="C63" t="str">
        <f>VLOOKUP(B63,产品单价对照表!$A$1:$C$21,3,FALSE)</f>
        <v>D</v>
      </c>
      <c r="D63">
        <v>208</v>
      </c>
      <c r="E63">
        <f>VLOOKUP(B63,产品单价对照表!$A$1:$B$21,2,FALSE)</f>
        <v>369</v>
      </c>
      <c r="F63" s="1">
        <f t="shared" si="0"/>
        <v>7.6752000000000002</v>
      </c>
      <c r="G63">
        <f t="shared" si="1"/>
        <v>99</v>
      </c>
    </row>
    <row r="64" spans="1:7" x14ac:dyDescent="0.15">
      <c r="A64" s="3" t="s">
        <v>101</v>
      </c>
      <c r="B64" t="s">
        <v>61</v>
      </c>
      <c r="C64" t="str">
        <f>VLOOKUP(B64,产品单价对照表!$A$1:$C$21,3,FALSE)</f>
        <v>A</v>
      </c>
      <c r="D64">
        <v>207</v>
      </c>
      <c r="E64">
        <f>VLOOKUP(B64,产品单价对照表!$A$1:$B$21,2,FALSE)</f>
        <v>2981</v>
      </c>
      <c r="F64" s="1">
        <f t="shared" si="0"/>
        <v>61.706699999999998</v>
      </c>
      <c r="G64">
        <f t="shared" si="1"/>
        <v>17</v>
      </c>
    </row>
    <row r="65" spans="1:7" x14ac:dyDescent="0.15">
      <c r="A65" s="3" t="s">
        <v>72</v>
      </c>
      <c r="B65" s="2" t="s">
        <v>93</v>
      </c>
      <c r="C65" t="str">
        <f>VLOOKUP(B65,产品单价对照表!$A$1:$C$21,3,FALSE)</f>
        <v>D</v>
      </c>
      <c r="D65">
        <v>198</v>
      </c>
      <c r="E65">
        <f>VLOOKUP(B65,产品单价对照表!$A$1:$B$21,2,FALSE)</f>
        <v>369</v>
      </c>
      <c r="F65" s="1">
        <f t="shared" si="0"/>
        <v>7.3061999999999996</v>
      </c>
      <c r="G65">
        <f t="shared" si="1"/>
        <v>100</v>
      </c>
    </row>
    <row r="66" spans="1:7" x14ac:dyDescent="0.15">
      <c r="A66" s="3" t="s">
        <v>73</v>
      </c>
      <c r="B66" t="s">
        <v>56</v>
      </c>
      <c r="C66" t="str">
        <f>VLOOKUP(B66,产品单价对照表!$A$1:$C$21,3,FALSE)</f>
        <v>A</v>
      </c>
      <c r="D66">
        <v>198</v>
      </c>
      <c r="E66">
        <f>VLOOKUP(B66,产品单价对照表!$A$1:$B$21,2,FALSE)</f>
        <v>2098</v>
      </c>
      <c r="F66" s="1">
        <f t="shared" si="0"/>
        <v>41.540399999999998</v>
      </c>
      <c r="G66">
        <f t="shared" si="1"/>
        <v>32</v>
      </c>
    </row>
    <row r="67" spans="1:7" x14ac:dyDescent="0.15">
      <c r="A67" s="3" t="s">
        <v>73</v>
      </c>
      <c r="B67" t="s">
        <v>82</v>
      </c>
      <c r="C67" t="str">
        <f>VLOOKUP(B67,产品单价对照表!$A$1:$C$21,3,FALSE)</f>
        <v>D</v>
      </c>
      <c r="D67">
        <v>198</v>
      </c>
      <c r="E67">
        <f>VLOOKUP(B67,产品单价对照表!$A$1:$B$21,2,FALSE)</f>
        <v>688</v>
      </c>
      <c r="F67" s="1">
        <f t="shared" si="0"/>
        <v>13.622400000000001</v>
      </c>
      <c r="G67">
        <f t="shared" si="1"/>
        <v>91</v>
      </c>
    </row>
    <row r="68" spans="1:7" x14ac:dyDescent="0.15">
      <c r="A68" s="3" t="s">
        <v>72</v>
      </c>
      <c r="B68" s="2" t="s">
        <v>9</v>
      </c>
      <c r="C68" t="str">
        <f>VLOOKUP(B68,产品单价对照表!$A$1:$C$21,3,FALSE)</f>
        <v>B</v>
      </c>
      <c r="D68">
        <v>191</v>
      </c>
      <c r="E68">
        <f>VLOOKUP(B68,产品单价对照表!$A$1:$B$21,2,FALSE)</f>
        <v>1729</v>
      </c>
      <c r="F68" s="1">
        <f t="shared" ref="F68:F102" si="4">D68*E68/10000</f>
        <v>33.023899999999998</v>
      </c>
      <c r="G68">
        <f t="shared" ref="G68:G102" si="5">_xlfn.RANK.EQ(F68,$F$3:$F$102,0)</f>
        <v>52</v>
      </c>
    </row>
    <row r="69" spans="1:7" x14ac:dyDescent="0.15">
      <c r="A69" s="3" t="s">
        <v>72</v>
      </c>
      <c r="B69" s="2" t="s">
        <v>10</v>
      </c>
      <c r="C69" t="str">
        <f>VLOOKUP(B69,产品单价对照表!$A$1:$C$21,3,FALSE)</f>
        <v>B</v>
      </c>
      <c r="D69">
        <v>189</v>
      </c>
      <c r="E69">
        <f>VLOOKUP(B69,产品单价对照表!$A$1:$B$21,2,FALSE)</f>
        <v>1561</v>
      </c>
      <c r="F69" s="1">
        <f t="shared" si="4"/>
        <v>29.5029</v>
      </c>
      <c r="G69">
        <f t="shared" si="5"/>
        <v>60</v>
      </c>
    </row>
    <row r="70" spans="1:7" x14ac:dyDescent="0.15">
      <c r="A70" s="3" t="s">
        <v>72</v>
      </c>
      <c r="B70" s="2" t="s">
        <v>95</v>
      </c>
      <c r="C70" t="str">
        <f>VLOOKUP(B70,产品单价对照表!$A$1:$C$21,3,FALSE)</f>
        <v>B</v>
      </c>
      <c r="D70">
        <v>189</v>
      </c>
      <c r="E70">
        <f>VLOOKUP(B70,产品单价对照表!$A$1:$B$21,2,FALSE)</f>
        <v>1566</v>
      </c>
      <c r="F70" s="1">
        <f t="shared" si="4"/>
        <v>29.5974</v>
      </c>
      <c r="G70">
        <f t="shared" si="5"/>
        <v>59</v>
      </c>
    </row>
    <row r="71" spans="1:7" x14ac:dyDescent="0.15">
      <c r="A71" s="3" t="s">
        <v>72</v>
      </c>
      <c r="B71" s="2" t="s">
        <v>97</v>
      </c>
      <c r="C71" t="str">
        <f>VLOOKUP(B71,产品单价对照表!$A$1:$C$21,3,FALSE)</f>
        <v>B</v>
      </c>
      <c r="D71">
        <v>189</v>
      </c>
      <c r="E71">
        <f>VLOOKUP(B71,产品单价对照表!$A$1:$B$21,2,FALSE)</f>
        <v>1978</v>
      </c>
      <c r="F71" s="1">
        <f t="shared" si="4"/>
        <v>37.3842</v>
      </c>
      <c r="G71">
        <f t="shared" si="5"/>
        <v>41</v>
      </c>
    </row>
    <row r="72" spans="1:7" x14ac:dyDescent="0.15">
      <c r="A72" s="3" t="s">
        <v>73</v>
      </c>
      <c r="B72" t="s">
        <v>48</v>
      </c>
      <c r="C72" t="str">
        <f>VLOOKUP(B72,产品单价对照表!$A$1:$C$21,3,FALSE)</f>
        <v>D</v>
      </c>
      <c r="D72">
        <v>189</v>
      </c>
      <c r="E72">
        <f>VLOOKUP(B72,产品单价对照表!$A$1:$B$21,2,FALSE)</f>
        <v>754</v>
      </c>
      <c r="F72" s="1">
        <f t="shared" si="4"/>
        <v>14.2506</v>
      </c>
      <c r="G72">
        <f t="shared" si="5"/>
        <v>88</v>
      </c>
    </row>
    <row r="73" spans="1:7" x14ac:dyDescent="0.15">
      <c r="A73" s="3" t="s">
        <v>74</v>
      </c>
      <c r="B73" t="s">
        <v>80</v>
      </c>
      <c r="C73" t="str">
        <f>VLOOKUP(B73,产品单价对照表!$A$1:$C$21,3,FALSE)</f>
        <v>B</v>
      </c>
      <c r="D73">
        <v>189</v>
      </c>
      <c r="E73">
        <f>VLOOKUP(B73,产品单价对照表!$A$1:$B$21,2,FALSE)</f>
        <v>1978</v>
      </c>
      <c r="F73" s="1">
        <f t="shared" si="4"/>
        <v>37.3842</v>
      </c>
      <c r="G73">
        <f t="shared" si="5"/>
        <v>41</v>
      </c>
    </row>
    <row r="74" spans="1:7" x14ac:dyDescent="0.15">
      <c r="A74" s="3" t="s">
        <v>101</v>
      </c>
      <c r="B74" t="s">
        <v>79</v>
      </c>
      <c r="C74" t="str">
        <f>VLOOKUP(B74,产品单价对照表!$A$1:$C$21,3,FALSE)</f>
        <v>A</v>
      </c>
      <c r="D74">
        <v>189</v>
      </c>
      <c r="E74">
        <f>VLOOKUP(B74,产品单价对照表!$A$1:$B$21,2,FALSE)</f>
        <v>2034</v>
      </c>
      <c r="F74" s="1">
        <f t="shared" si="4"/>
        <v>38.442599999999999</v>
      </c>
      <c r="G74">
        <f t="shared" si="5"/>
        <v>39</v>
      </c>
    </row>
    <row r="75" spans="1:7" x14ac:dyDescent="0.15">
      <c r="A75" s="3" t="s">
        <v>100</v>
      </c>
      <c r="B75" t="s">
        <v>81</v>
      </c>
      <c r="C75" t="str">
        <f>VLOOKUP(B75,产品单价对照表!$A$1:$C$21,3,FALSE)</f>
        <v>D</v>
      </c>
      <c r="D75">
        <v>187</v>
      </c>
      <c r="E75">
        <f>VLOOKUP(B75,产品单价对照表!$A$1:$B$21,2,FALSE)</f>
        <v>988</v>
      </c>
      <c r="F75" s="1">
        <f t="shared" si="4"/>
        <v>18.4756</v>
      </c>
      <c r="G75">
        <f t="shared" si="5"/>
        <v>80</v>
      </c>
    </row>
    <row r="76" spans="1:7" x14ac:dyDescent="0.15">
      <c r="A76" s="3" t="s">
        <v>101</v>
      </c>
      <c r="B76" t="s">
        <v>56</v>
      </c>
      <c r="C76" t="str">
        <f>VLOOKUP(B76,产品单价对照表!$A$1:$C$21,3,FALSE)</f>
        <v>A</v>
      </c>
      <c r="D76">
        <v>187</v>
      </c>
      <c r="E76">
        <f>VLOOKUP(B76,产品单价对照表!$A$1:$B$21,2,FALSE)</f>
        <v>2098</v>
      </c>
      <c r="F76" s="1">
        <f t="shared" si="4"/>
        <v>39.232599999999998</v>
      </c>
      <c r="G76">
        <f t="shared" si="5"/>
        <v>35</v>
      </c>
    </row>
    <row r="77" spans="1:7" x14ac:dyDescent="0.15">
      <c r="A77" s="3" t="s">
        <v>101</v>
      </c>
      <c r="B77" t="s">
        <v>80</v>
      </c>
      <c r="C77" t="str">
        <f>VLOOKUP(B77,产品单价对照表!$A$1:$C$21,3,FALSE)</f>
        <v>B</v>
      </c>
      <c r="D77">
        <v>181</v>
      </c>
      <c r="E77">
        <f>VLOOKUP(B77,产品单价对照表!$A$1:$B$21,2,FALSE)</f>
        <v>1978</v>
      </c>
      <c r="F77" s="1">
        <f t="shared" si="4"/>
        <v>35.8018</v>
      </c>
      <c r="G77">
        <f t="shared" si="5"/>
        <v>46</v>
      </c>
    </row>
    <row r="78" spans="1:7" x14ac:dyDescent="0.15">
      <c r="A78" s="3" t="s">
        <v>72</v>
      </c>
      <c r="B78" s="2" t="s">
        <v>6</v>
      </c>
      <c r="C78" t="str">
        <f>VLOOKUP(B78,产品单价对照表!$A$1:$C$21,3,FALSE)</f>
        <v>C</v>
      </c>
      <c r="D78">
        <v>179</v>
      </c>
      <c r="E78">
        <f>VLOOKUP(B78,产品单价对照表!$A$1:$B$21,2,FALSE)</f>
        <v>1371</v>
      </c>
      <c r="F78" s="1">
        <f t="shared" si="4"/>
        <v>24.540900000000001</v>
      </c>
      <c r="G78">
        <f t="shared" si="5"/>
        <v>70</v>
      </c>
    </row>
    <row r="79" spans="1:7" x14ac:dyDescent="0.15">
      <c r="A79" s="3" t="s">
        <v>72</v>
      </c>
      <c r="B79" s="2" t="s">
        <v>92</v>
      </c>
      <c r="C79" t="str">
        <f>VLOOKUP(B79,产品单价对照表!$A$1:$C$21,3,FALSE)</f>
        <v>D</v>
      </c>
      <c r="D79">
        <v>178</v>
      </c>
      <c r="E79">
        <f>VLOOKUP(B79,产品单价对照表!$A$1:$B$21,2,FALSE)</f>
        <v>860</v>
      </c>
      <c r="F79" s="1">
        <f t="shared" si="4"/>
        <v>15.308</v>
      </c>
      <c r="G79">
        <f t="shared" si="5"/>
        <v>86</v>
      </c>
    </row>
    <row r="80" spans="1:7" x14ac:dyDescent="0.15">
      <c r="A80" s="3" t="s">
        <v>101</v>
      </c>
      <c r="B80" t="s">
        <v>75</v>
      </c>
      <c r="C80" t="str">
        <f>VLOOKUP(B80,产品单价对照表!$A$1:$C$21,3,FALSE)</f>
        <v>D</v>
      </c>
      <c r="D80">
        <v>178</v>
      </c>
      <c r="E80">
        <f>VLOOKUP(B80,产品单价对照表!$A$1:$B$21,2,FALSE)</f>
        <v>860</v>
      </c>
      <c r="F80" s="1">
        <f t="shared" si="4"/>
        <v>15.308</v>
      </c>
      <c r="G80">
        <f t="shared" si="5"/>
        <v>86</v>
      </c>
    </row>
    <row r="81" spans="1:7" x14ac:dyDescent="0.15">
      <c r="A81" s="3" t="s">
        <v>72</v>
      </c>
      <c r="B81" s="2" t="s">
        <v>8</v>
      </c>
      <c r="C81" t="str">
        <f>VLOOKUP(B81,产品单价对照表!$A$1:$C$21,3,FALSE)</f>
        <v>A</v>
      </c>
      <c r="D81">
        <v>168</v>
      </c>
      <c r="E81">
        <f>VLOOKUP(B81,产品单价对照表!$A$1:$B$21,2,FALSE)</f>
        <v>2981</v>
      </c>
      <c r="F81" s="1">
        <f t="shared" si="4"/>
        <v>50.080800000000004</v>
      </c>
      <c r="G81">
        <f t="shared" si="5"/>
        <v>24</v>
      </c>
    </row>
    <row r="82" spans="1:7" x14ac:dyDescent="0.15">
      <c r="A82" s="3" t="s">
        <v>72</v>
      </c>
      <c r="B82" s="2" t="s">
        <v>96</v>
      </c>
      <c r="C82" t="str">
        <f>VLOOKUP(B82,产品单价对照表!$A$1:$C$21,3,FALSE)</f>
        <v>A</v>
      </c>
      <c r="D82">
        <v>167</v>
      </c>
      <c r="E82">
        <f>VLOOKUP(B82,产品单价对照表!$A$1:$B$21,2,FALSE)</f>
        <v>2034</v>
      </c>
      <c r="F82" s="1">
        <f t="shared" si="4"/>
        <v>33.967799999999997</v>
      </c>
      <c r="G82">
        <f t="shared" si="5"/>
        <v>48</v>
      </c>
    </row>
    <row r="83" spans="1:7" x14ac:dyDescent="0.15">
      <c r="A83" s="3" t="s">
        <v>73</v>
      </c>
      <c r="B83" t="s">
        <v>55</v>
      </c>
      <c r="C83" t="str">
        <f>VLOOKUP(B83,产品单价对照表!$A$1:$C$21,3,FALSE)</f>
        <v>B</v>
      </c>
      <c r="D83">
        <v>167</v>
      </c>
      <c r="E83">
        <f>VLOOKUP(B83,产品单价对照表!$A$1:$B$21,2,FALSE)</f>
        <v>1652</v>
      </c>
      <c r="F83" s="1">
        <f t="shared" si="4"/>
        <v>27.5884</v>
      </c>
      <c r="G83">
        <f t="shared" si="5"/>
        <v>62</v>
      </c>
    </row>
    <row r="84" spans="1:7" x14ac:dyDescent="0.15">
      <c r="A84" s="3" t="s">
        <v>101</v>
      </c>
      <c r="B84" t="s">
        <v>77</v>
      </c>
      <c r="C84" t="str">
        <f>VLOOKUP(B84,产品单价对照表!$A$1:$C$21,3,FALSE)</f>
        <v>C</v>
      </c>
      <c r="D84">
        <v>163</v>
      </c>
      <c r="E84">
        <f>VLOOKUP(B84,产品单价对照表!$A$1:$B$21,2,FALSE)</f>
        <v>1231</v>
      </c>
      <c r="F84" s="1">
        <f t="shared" si="4"/>
        <v>20.065300000000001</v>
      </c>
      <c r="G84">
        <f t="shared" si="5"/>
        <v>76</v>
      </c>
    </row>
    <row r="85" spans="1:7" x14ac:dyDescent="0.15">
      <c r="A85" s="3" t="s">
        <v>72</v>
      </c>
      <c r="B85" s="2" t="s">
        <v>3</v>
      </c>
      <c r="C85" t="str">
        <f>VLOOKUP(B85,产品单价对照表!$A$1:$C$21,3,FALSE)</f>
        <v>A</v>
      </c>
      <c r="D85">
        <v>156</v>
      </c>
      <c r="E85">
        <f>VLOOKUP(B85,产品单价对照表!$A$1:$B$21,2,FALSE)</f>
        <v>2098</v>
      </c>
      <c r="F85" s="1">
        <f t="shared" si="4"/>
        <v>32.7288</v>
      </c>
      <c r="G85">
        <f t="shared" si="5"/>
        <v>54</v>
      </c>
    </row>
    <row r="86" spans="1:7" x14ac:dyDescent="0.15">
      <c r="A86" s="3" t="s">
        <v>74</v>
      </c>
      <c r="B86" t="s">
        <v>48</v>
      </c>
      <c r="C86" t="str">
        <f>VLOOKUP(B86,产品单价对照表!$A$1:$C$21,3,FALSE)</f>
        <v>D</v>
      </c>
      <c r="D86">
        <v>156</v>
      </c>
      <c r="E86">
        <f>VLOOKUP(B86,产品单价对照表!$A$1:$B$21,2,FALSE)</f>
        <v>754</v>
      </c>
      <c r="F86" s="1">
        <f t="shared" si="4"/>
        <v>11.7624</v>
      </c>
      <c r="G86">
        <f t="shared" si="5"/>
        <v>93</v>
      </c>
    </row>
    <row r="87" spans="1:7" x14ac:dyDescent="0.15">
      <c r="A87" s="3" t="s">
        <v>100</v>
      </c>
      <c r="B87" t="s">
        <v>48</v>
      </c>
      <c r="C87" t="str">
        <f>VLOOKUP(B87,产品单价对照表!$A$1:$C$21,3,FALSE)</f>
        <v>D</v>
      </c>
      <c r="D87">
        <v>150</v>
      </c>
      <c r="E87">
        <f>VLOOKUP(B87,产品单价对照表!$A$1:$B$21,2,FALSE)</f>
        <v>754</v>
      </c>
      <c r="F87" s="1">
        <f t="shared" si="4"/>
        <v>11.31</v>
      </c>
      <c r="G87">
        <f t="shared" si="5"/>
        <v>94</v>
      </c>
    </row>
    <row r="88" spans="1:7" x14ac:dyDescent="0.15">
      <c r="A88" s="3" t="s">
        <v>101</v>
      </c>
      <c r="B88" t="s">
        <v>57</v>
      </c>
      <c r="C88" t="str">
        <f>VLOOKUP(B88,产品单价对照表!$A$1:$C$21,3,FALSE)</f>
        <v>A</v>
      </c>
      <c r="D88">
        <v>145</v>
      </c>
      <c r="E88">
        <f>VLOOKUP(B88,产品单价对照表!$A$1:$B$21,2,FALSE)</f>
        <v>2341</v>
      </c>
      <c r="F88" s="1">
        <f t="shared" si="4"/>
        <v>33.944499999999998</v>
      </c>
      <c r="G88">
        <f t="shared" si="5"/>
        <v>49</v>
      </c>
    </row>
    <row r="89" spans="1:7" x14ac:dyDescent="0.15">
      <c r="A89" s="3" t="s">
        <v>101</v>
      </c>
      <c r="B89" t="s">
        <v>64</v>
      </c>
      <c r="C89" t="str">
        <f>VLOOKUP(B89,产品单价对照表!$A$1:$C$21,3,FALSE)</f>
        <v>C</v>
      </c>
      <c r="D89">
        <v>145</v>
      </c>
      <c r="E89">
        <f>VLOOKUP(B89,产品单价对照表!$A$1:$B$21,2,FALSE)</f>
        <v>1451</v>
      </c>
      <c r="F89" s="1">
        <f t="shared" si="4"/>
        <v>21.0395</v>
      </c>
      <c r="G89">
        <f t="shared" si="5"/>
        <v>75</v>
      </c>
    </row>
    <row r="90" spans="1:7" x14ac:dyDescent="0.15">
      <c r="A90" s="3" t="s">
        <v>74</v>
      </c>
      <c r="B90" t="s">
        <v>59</v>
      </c>
      <c r="C90" t="str">
        <f>VLOOKUP(B90,产品单价对照表!$A$1:$C$21,3,FALSE)</f>
        <v>C</v>
      </c>
      <c r="D90">
        <v>139</v>
      </c>
      <c r="E90">
        <f>VLOOKUP(B90,产品单价对照表!$A$1:$B$21,2,FALSE)</f>
        <v>1371</v>
      </c>
      <c r="F90" s="1">
        <f t="shared" si="4"/>
        <v>19.056899999999999</v>
      </c>
      <c r="G90">
        <f t="shared" si="5"/>
        <v>79</v>
      </c>
    </row>
    <row r="91" spans="1:7" x14ac:dyDescent="0.15">
      <c r="A91" s="3" t="s">
        <v>101</v>
      </c>
      <c r="B91" t="s">
        <v>62</v>
      </c>
      <c r="C91" t="str">
        <f>VLOOKUP(B91,产品单价对照表!$A$1:$C$21,3,FALSE)</f>
        <v>B</v>
      </c>
      <c r="D91">
        <v>128</v>
      </c>
      <c r="E91">
        <f>VLOOKUP(B91,产品单价对照表!$A$1:$B$21,2,FALSE)</f>
        <v>1729</v>
      </c>
      <c r="F91" s="1">
        <f t="shared" si="4"/>
        <v>22.1312</v>
      </c>
      <c r="G91">
        <f t="shared" si="5"/>
        <v>73</v>
      </c>
    </row>
    <row r="92" spans="1:7" x14ac:dyDescent="0.15">
      <c r="A92" s="3" t="s">
        <v>74</v>
      </c>
      <c r="B92" t="s">
        <v>79</v>
      </c>
      <c r="C92" t="str">
        <f>VLOOKUP(B92,产品单价对照表!$A$1:$C$21,3,FALSE)</f>
        <v>A</v>
      </c>
      <c r="D92">
        <v>127</v>
      </c>
      <c r="E92">
        <f>VLOOKUP(B92,产品单价对照表!$A$1:$B$21,2,FALSE)</f>
        <v>2034</v>
      </c>
      <c r="F92" s="1">
        <f t="shared" si="4"/>
        <v>25.831800000000001</v>
      </c>
      <c r="G92">
        <f t="shared" si="5"/>
        <v>64</v>
      </c>
    </row>
    <row r="93" spans="1:7" x14ac:dyDescent="0.15">
      <c r="A93" s="3" t="s">
        <v>73</v>
      </c>
      <c r="B93" t="s">
        <v>79</v>
      </c>
      <c r="C93" t="str">
        <f>VLOOKUP(B93,产品单价对照表!$A$1:$C$21,3,FALSE)</f>
        <v>A</v>
      </c>
      <c r="D93">
        <v>123</v>
      </c>
      <c r="E93">
        <f>VLOOKUP(B93,产品单价对照表!$A$1:$B$21,2,FALSE)</f>
        <v>2034</v>
      </c>
      <c r="F93" s="1">
        <f t="shared" si="4"/>
        <v>25.0182</v>
      </c>
      <c r="G93">
        <f t="shared" si="5"/>
        <v>67</v>
      </c>
    </row>
    <row r="94" spans="1:7" x14ac:dyDescent="0.15">
      <c r="A94" s="3" t="s">
        <v>72</v>
      </c>
      <c r="B94" s="2" t="s">
        <v>99</v>
      </c>
      <c r="C94" t="str">
        <f>VLOOKUP(B94,产品单价对照表!$A$1:$C$21,3,FALSE)</f>
        <v>D</v>
      </c>
      <c r="D94">
        <v>122</v>
      </c>
      <c r="E94">
        <f>VLOOKUP(B94,产品单价对照表!$A$1:$B$21,2,FALSE)</f>
        <v>688</v>
      </c>
      <c r="F94" s="1">
        <f t="shared" si="4"/>
        <v>8.3935999999999993</v>
      </c>
      <c r="G94">
        <f t="shared" si="5"/>
        <v>97</v>
      </c>
    </row>
    <row r="95" spans="1:7" x14ac:dyDescent="0.15">
      <c r="A95" s="3" t="s">
        <v>74</v>
      </c>
      <c r="B95" t="s">
        <v>57</v>
      </c>
      <c r="C95" t="str">
        <f>VLOOKUP(B95,产品单价对照表!$A$1:$C$21,3,FALSE)</f>
        <v>A</v>
      </c>
      <c r="D95">
        <v>119</v>
      </c>
      <c r="E95">
        <f>VLOOKUP(B95,产品单价对照表!$A$1:$B$21,2,FALSE)</f>
        <v>2341</v>
      </c>
      <c r="F95" s="1">
        <f t="shared" si="4"/>
        <v>27.857900000000001</v>
      </c>
      <c r="G95">
        <f t="shared" si="5"/>
        <v>61</v>
      </c>
    </row>
    <row r="96" spans="1:7" x14ac:dyDescent="0.15">
      <c r="A96" s="3" t="s">
        <v>100</v>
      </c>
      <c r="B96" t="s">
        <v>78</v>
      </c>
      <c r="C96" t="str">
        <f>VLOOKUP(B96,产品单价对照表!$A$1:$C$21,3,FALSE)</f>
        <v>B</v>
      </c>
      <c r="D96">
        <v>112</v>
      </c>
      <c r="E96">
        <f>VLOOKUP(B96,产品单价对照表!$A$1:$B$21,2,FALSE)</f>
        <v>1566</v>
      </c>
      <c r="F96" s="1">
        <f t="shared" si="4"/>
        <v>17.539200000000001</v>
      </c>
      <c r="G96">
        <f t="shared" si="5"/>
        <v>82</v>
      </c>
    </row>
    <row r="97" spans="1:7" x14ac:dyDescent="0.15">
      <c r="A97" s="3" t="s">
        <v>100</v>
      </c>
      <c r="B97" t="s">
        <v>82</v>
      </c>
      <c r="C97" t="str">
        <f>VLOOKUP(B97,产品单价对照表!$A$1:$C$21,3,FALSE)</f>
        <v>D</v>
      </c>
      <c r="D97">
        <v>112</v>
      </c>
      <c r="E97">
        <f>VLOOKUP(B97,产品单价对照表!$A$1:$B$21,2,FALSE)</f>
        <v>688</v>
      </c>
      <c r="F97" s="1">
        <f t="shared" si="4"/>
        <v>7.7055999999999996</v>
      </c>
      <c r="G97">
        <f t="shared" si="5"/>
        <v>98</v>
      </c>
    </row>
    <row r="98" spans="1:7" x14ac:dyDescent="0.15">
      <c r="A98" s="3" t="s">
        <v>72</v>
      </c>
      <c r="B98" s="2" t="s">
        <v>94</v>
      </c>
      <c r="C98" t="str">
        <f>VLOOKUP(B98,产品单价对照表!$A$1:$C$21,3,FALSE)</f>
        <v>C</v>
      </c>
      <c r="D98">
        <v>111</v>
      </c>
      <c r="E98">
        <f>VLOOKUP(B98,产品单价对照表!$A$1:$B$21,2,FALSE)</f>
        <v>1231</v>
      </c>
      <c r="F98" s="1">
        <f t="shared" si="4"/>
        <v>13.664099999999999</v>
      </c>
      <c r="G98">
        <f t="shared" si="5"/>
        <v>90</v>
      </c>
    </row>
    <row r="99" spans="1:7" x14ac:dyDescent="0.15">
      <c r="A99" s="3" t="s">
        <v>74</v>
      </c>
      <c r="B99" t="s">
        <v>55</v>
      </c>
      <c r="C99" t="str">
        <f>VLOOKUP(B99,产品单价对照表!$A$1:$C$21,3,FALSE)</f>
        <v>B</v>
      </c>
      <c r="D99">
        <v>111</v>
      </c>
      <c r="E99">
        <f>VLOOKUP(B99,产品单价对照表!$A$1:$B$21,2,FALSE)</f>
        <v>1652</v>
      </c>
      <c r="F99" s="1">
        <f t="shared" si="4"/>
        <v>18.337199999999999</v>
      </c>
      <c r="G99">
        <f t="shared" si="5"/>
        <v>81</v>
      </c>
    </row>
    <row r="100" spans="1:7" x14ac:dyDescent="0.15">
      <c r="A100" s="3" t="s">
        <v>101</v>
      </c>
      <c r="B100" t="s">
        <v>60</v>
      </c>
      <c r="C100" t="str">
        <f>VLOOKUP(B100,产品单价对照表!$A$1:$C$21,3,FALSE)</f>
        <v>A</v>
      </c>
      <c r="D100">
        <v>108</v>
      </c>
      <c r="E100">
        <f>VLOOKUP(B100,产品单价对照表!$A$1:$B$21,2,FALSE)</f>
        <v>3124</v>
      </c>
      <c r="F100" s="1">
        <f t="shared" si="4"/>
        <v>33.739199999999997</v>
      </c>
      <c r="G100">
        <f t="shared" si="5"/>
        <v>50</v>
      </c>
    </row>
    <row r="101" spans="1:7" x14ac:dyDescent="0.15">
      <c r="A101" s="3" t="s">
        <v>72</v>
      </c>
      <c r="B101" s="2" t="s">
        <v>5</v>
      </c>
      <c r="C101" t="str">
        <f>VLOOKUP(B101,产品单价对照表!$A$1:$C$21,3,FALSE)</f>
        <v>D</v>
      </c>
      <c r="D101">
        <v>101</v>
      </c>
      <c r="E101">
        <f>VLOOKUP(B101,产品单价对照表!$A$1:$B$21,2,FALSE)</f>
        <v>896</v>
      </c>
      <c r="F101" s="1">
        <f t="shared" si="4"/>
        <v>9.0495999999999999</v>
      </c>
      <c r="G101">
        <f t="shared" si="5"/>
        <v>95</v>
      </c>
    </row>
    <row r="102" spans="1:7" x14ac:dyDescent="0.15">
      <c r="A102" s="3" t="s">
        <v>101</v>
      </c>
      <c r="B102" t="s">
        <v>58</v>
      </c>
      <c r="C102" t="str">
        <f>VLOOKUP(B102,产品单价对照表!$A$1:$C$21,3,FALSE)</f>
        <v>D</v>
      </c>
      <c r="D102">
        <v>100</v>
      </c>
      <c r="E102">
        <f>VLOOKUP(B102,产品单价对照表!$A$1:$B$21,2,FALSE)</f>
        <v>896</v>
      </c>
      <c r="F102" s="1">
        <f t="shared" si="4"/>
        <v>8.9600000000000009</v>
      </c>
      <c r="G102">
        <f t="shared" si="5"/>
        <v>96</v>
      </c>
    </row>
  </sheetData>
  <sortState ref="A3:H102">
    <sortCondition descending="1" ref="D3:D102"/>
  </sortState>
  <mergeCells count="2">
    <mergeCell ref="I5:K5"/>
    <mergeCell ref="A1:G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C67509-8C0A-4D81-A630-1408EC641470}">
            <x14:iconSet custom="1">
              <x14:cfvo type="percent">
                <xm:f>0</xm:f>
              </x14:cfvo>
              <x14:cfvo type="num">
                <xm:f>30</xm:f>
              </x14:cfvo>
              <x14:cfvo type="num">
                <xm:f>70</xm:f>
              </x14:cfvo>
              <x14:cfIcon iconSet="3Arrows" iconId="2"/>
              <x14:cfIcon iconSet="3ArrowsGray" iconId="1"/>
              <x14:cfIcon iconSet="3TrafficLights1" iconId="0"/>
            </x14:iconSet>
          </x14:cfRule>
          <xm:sqref>G3:G102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J17" sqref="J17"/>
    </sheetView>
  </sheetViews>
  <sheetFormatPr defaultRowHeight="14.25" x14ac:dyDescent="0.15"/>
  <cols>
    <col min="1" max="1" width="9.875" customWidth="1"/>
    <col min="2" max="2" width="11.125" customWidth="1"/>
  </cols>
  <sheetData>
    <row r="1" spans="1:3" x14ac:dyDescent="0.15">
      <c r="A1" t="s">
        <v>54</v>
      </c>
      <c r="B1" t="s">
        <v>66</v>
      </c>
      <c r="C1" t="s">
        <v>67</v>
      </c>
    </row>
    <row r="2" spans="1:3" x14ac:dyDescent="0.15">
      <c r="A2" t="s">
        <v>48</v>
      </c>
      <c r="B2">
        <v>754</v>
      </c>
      <c r="C2" s="3" t="s">
        <v>83</v>
      </c>
    </row>
    <row r="3" spans="1:3" x14ac:dyDescent="0.15">
      <c r="A3" t="s">
        <v>55</v>
      </c>
      <c r="B3">
        <v>1652</v>
      </c>
      <c r="C3" t="s">
        <v>69</v>
      </c>
    </row>
    <row r="4" spans="1:3" x14ac:dyDescent="0.15">
      <c r="A4" t="s">
        <v>56</v>
      </c>
      <c r="B4">
        <v>2098</v>
      </c>
      <c r="C4" t="s">
        <v>70</v>
      </c>
    </row>
    <row r="5" spans="1:3" x14ac:dyDescent="0.15">
      <c r="A5" t="s">
        <v>57</v>
      </c>
      <c r="B5">
        <v>2341</v>
      </c>
      <c r="C5" t="s">
        <v>70</v>
      </c>
    </row>
    <row r="6" spans="1:3" x14ac:dyDescent="0.15">
      <c r="A6" t="s">
        <v>58</v>
      </c>
      <c r="B6">
        <v>896</v>
      </c>
      <c r="C6" s="3" t="s">
        <v>86</v>
      </c>
    </row>
    <row r="7" spans="1:3" x14ac:dyDescent="0.15">
      <c r="A7" t="s">
        <v>59</v>
      </c>
      <c r="B7">
        <v>1371</v>
      </c>
      <c r="C7" s="3" t="s">
        <v>87</v>
      </c>
    </row>
    <row r="8" spans="1:3" x14ac:dyDescent="0.15">
      <c r="A8" t="s">
        <v>60</v>
      </c>
      <c r="B8">
        <v>3124</v>
      </c>
      <c r="C8" t="s">
        <v>70</v>
      </c>
    </row>
    <row r="9" spans="1:3" x14ac:dyDescent="0.15">
      <c r="A9" t="s">
        <v>61</v>
      </c>
      <c r="B9">
        <v>2981</v>
      </c>
      <c r="C9" t="s">
        <v>70</v>
      </c>
    </row>
    <row r="10" spans="1:3" x14ac:dyDescent="0.15">
      <c r="A10" t="s">
        <v>62</v>
      </c>
      <c r="B10">
        <v>1729</v>
      </c>
      <c r="C10" t="s">
        <v>69</v>
      </c>
    </row>
    <row r="11" spans="1:3" x14ac:dyDescent="0.15">
      <c r="A11" t="s">
        <v>63</v>
      </c>
      <c r="B11">
        <v>1561</v>
      </c>
      <c r="C11" t="s">
        <v>69</v>
      </c>
    </row>
    <row r="12" spans="1:3" x14ac:dyDescent="0.15">
      <c r="A12" t="s">
        <v>64</v>
      </c>
      <c r="B12">
        <v>1451</v>
      </c>
      <c r="C12" s="3" t="s">
        <v>91</v>
      </c>
    </row>
    <row r="13" spans="1:3" x14ac:dyDescent="0.15">
      <c r="A13" t="s">
        <v>65</v>
      </c>
      <c r="B13">
        <v>1423</v>
      </c>
      <c r="C13" t="s">
        <v>68</v>
      </c>
    </row>
    <row r="14" spans="1:3" x14ac:dyDescent="0.15">
      <c r="A14" t="s">
        <v>75</v>
      </c>
      <c r="B14">
        <v>860</v>
      </c>
      <c r="C14" s="3" t="s">
        <v>86</v>
      </c>
    </row>
    <row r="15" spans="1:3" x14ac:dyDescent="0.15">
      <c r="A15" t="s">
        <v>76</v>
      </c>
      <c r="B15">
        <v>369</v>
      </c>
      <c r="C15" s="3" t="s">
        <v>86</v>
      </c>
    </row>
    <row r="16" spans="1:3" x14ac:dyDescent="0.15">
      <c r="A16" t="s">
        <v>77</v>
      </c>
      <c r="B16">
        <v>1231</v>
      </c>
      <c r="C16" s="3" t="s">
        <v>88</v>
      </c>
    </row>
    <row r="17" spans="1:3" x14ac:dyDescent="0.15">
      <c r="A17" t="s">
        <v>78</v>
      </c>
      <c r="B17">
        <v>1566</v>
      </c>
      <c r="C17" s="3" t="s">
        <v>89</v>
      </c>
    </row>
    <row r="18" spans="1:3" x14ac:dyDescent="0.15">
      <c r="A18" t="s">
        <v>79</v>
      </c>
      <c r="B18">
        <v>2034</v>
      </c>
      <c r="C18" s="3" t="s">
        <v>90</v>
      </c>
    </row>
    <row r="19" spans="1:3" x14ac:dyDescent="0.15">
      <c r="A19" t="s">
        <v>80</v>
      </c>
      <c r="B19">
        <v>1978</v>
      </c>
      <c r="C19" s="3" t="s">
        <v>89</v>
      </c>
    </row>
    <row r="20" spans="1:3" x14ac:dyDescent="0.15">
      <c r="A20" t="s">
        <v>81</v>
      </c>
      <c r="B20">
        <v>988</v>
      </c>
      <c r="C20" s="3" t="s">
        <v>84</v>
      </c>
    </row>
    <row r="21" spans="1:3" x14ac:dyDescent="0.15">
      <c r="A21" t="s">
        <v>82</v>
      </c>
      <c r="B21">
        <v>688</v>
      </c>
      <c r="C21" s="3" t="s">
        <v>85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selection activeCell="C10" sqref="C10"/>
    </sheetView>
  </sheetViews>
  <sheetFormatPr defaultRowHeight="14.25" outlineLevelRow="2" x14ac:dyDescent="0.15"/>
  <cols>
    <col min="1" max="1" width="6" customWidth="1"/>
    <col min="4" max="4" width="10.125" customWidth="1"/>
    <col min="6" max="6" width="14.5" customWidth="1"/>
    <col min="7" max="7" width="10.875" customWidth="1"/>
  </cols>
  <sheetData>
    <row r="1" spans="1:7" x14ac:dyDescent="0.1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outlineLevel="2" x14ac:dyDescent="0.15">
      <c r="A2">
        <v>1</v>
      </c>
      <c r="B2" t="s">
        <v>34</v>
      </c>
      <c r="C2" t="s">
        <v>52</v>
      </c>
      <c r="D2" t="s">
        <v>53</v>
      </c>
      <c r="E2">
        <v>72</v>
      </c>
      <c r="F2">
        <v>18</v>
      </c>
      <c r="G2">
        <v>71</v>
      </c>
    </row>
    <row r="3" spans="1:7" outlineLevel="2" x14ac:dyDescent="0.15">
      <c r="A3">
        <v>1</v>
      </c>
      <c r="B3" t="s">
        <v>35</v>
      </c>
      <c r="C3" t="s">
        <v>52</v>
      </c>
      <c r="D3" t="s">
        <v>53</v>
      </c>
      <c r="E3">
        <v>63</v>
      </c>
      <c r="F3">
        <v>15.75</v>
      </c>
      <c r="G3">
        <v>74</v>
      </c>
    </row>
    <row r="4" spans="1:7" outlineLevel="2" x14ac:dyDescent="0.15">
      <c r="A4">
        <v>1</v>
      </c>
      <c r="B4" t="s">
        <v>30</v>
      </c>
      <c r="C4" t="s">
        <v>52</v>
      </c>
      <c r="D4" t="s">
        <v>53</v>
      </c>
      <c r="E4">
        <v>62</v>
      </c>
      <c r="F4">
        <v>15.5</v>
      </c>
      <c r="G4">
        <v>75</v>
      </c>
    </row>
    <row r="5" spans="1:7" outlineLevel="2" x14ac:dyDescent="0.15">
      <c r="A5">
        <v>1</v>
      </c>
      <c r="B5" t="s">
        <v>33</v>
      </c>
      <c r="C5" t="s">
        <v>52</v>
      </c>
      <c r="D5" t="s">
        <v>53</v>
      </c>
      <c r="E5">
        <v>86</v>
      </c>
      <c r="F5">
        <v>21.5</v>
      </c>
      <c r="G5">
        <v>65</v>
      </c>
    </row>
    <row r="6" spans="1:7" outlineLevel="1" x14ac:dyDescent="0.15">
      <c r="D6" s="9" t="s">
        <v>111</v>
      </c>
      <c r="F6">
        <f>SUBTOTAL(9,F2:F5)</f>
        <v>70.75</v>
      </c>
    </row>
    <row r="7" spans="1:7" outlineLevel="2" x14ac:dyDescent="0.15">
      <c r="A7">
        <v>1</v>
      </c>
      <c r="B7" t="s">
        <v>46</v>
      </c>
      <c r="C7" t="s">
        <v>48</v>
      </c>
      <c r="D7" t="s">
        <v>49</v>
      </c>
      <c r="E7">
        <v>79</v>
      </c>
      <c r="F7">
        <v>47.4</v>
      </c>
      <c r="G7">
        <v>32</v>
      </c>
    </row>
    <row r="8" spans="1:7" outlineLevel="2" x14ac:dyDescent="0.15">
      <c r="A8">
        <v>1</v>
      </c>
      <c r="B8" t="s">
        <v>42</v>
      </c>
      <c r="C8" t="s">
        <v>48</v>
      </c>
      <c r="D8" t="s">
        <v>49</v>
      </c>
      <c r="E8">
        <v>76</v>
      </c>
      <c r="F8">
        <v>45.6</v>
      </c>
      <c r="G8">
        <v>35</v>
      </c>
    </row>
    <row r="9" spans="1:7" outlineLevel="2" x14ac:dyDescent="0.15">
      <c r="A9">
        <v>1</v>
      </c>
      <c r="B9" t="s">
        <v>47</v>
      </c>
      <c r="C9" t="s">
        <v>48</v>
      </c>
      <c r="D9" t="s">
        <v>49</v>
      </c>
      <c r="E9">
        <v>73</v>
      </c>
      <c r="F9">
        <v>43.8</v>
      </c>
      <c r="G9">
        <v>38</v>
      </c>
    </row>
    <row r="10" spans="1:7" outlineLevel="2" x14ac:dyDescent="0.15">
      <c r="A10">
        <v>1</v>
      </c>
      <c r="B10" t="s">
        <v>45</v>
      </c>
      <c r="C10" t="s">
        <v>48</v>
      </c>
      <c r="D10" t="s">
        <v>49</v>
      </c>
      <c r="E10">
        <v>48</v>
      </c>
      <c r="F10">
        <v>28.799999999999997</v>
      </c>
      <c r="G10">
        <v>52</v>
      </c>
    </row>
    <row r="11" spans="1:7" outlineLevel="1" x14ac:dyDescent="0.15">
      <c r="D11" s="10" t="s">
        <v>112</v>
      </c>
      <c r="F11">
        <f>SUBTOTAL(9,F7:F10)</f>
        <v>165.60000000000002</v>
      </c>
    </row>
    <row r="12" spans="1:7" outlineLevel="2" x14ac:dyDescent="0.15">
      <c r="A12">
        <v>1</v>
      </c>
      <c r="B12" t="s">
        <v>40</v>
      </c>
      <c r="C12" t="s">
        <v>50</v>
      </c>
      <c r="D12" t="s">
        <v>51</v>
      </c>
      <c r="E12">
        <v>112</v>
      </c>
      <c r="F12">
        <v>64.73599999999999</v>
      </c>
      <c r="G12">
        <v>16</v>
      </c>
    </row>
    <row r="13" spans="1:7" outlineLevel="2" x14ac:dyDescent="0.15">
      <c r="A13">
        <v>1</v>
      </c>
      <c r="B13" t="s">
        <v>41</v>
      </c>
      <c r="C13" t="s">
        <v>50</v>
      </c>
      <c r="D13" t="s">
        <v>51</v>
      </c>
      <c r="E13">
        <v>111</v>
      </c>
      <c r="F13">
        <v>64.158000000000001</v>
      </c>
      <c r="G13">
        <v>17</v>
      </c>
    </row>
    <row r="14" spans="1:7" outlineLevel="2" x14ac:dyDescent="0.15">
      <c r="A14">
        <v>1</v>
      </c>
      <c r="B14" t="s">
        <v>36</v>
      </c>
      <c r="C14" t="s">
        <v>50</v>
      </c>
      <c r="D14" t="s">
        <v>51</v>
      </c>
      <c r="E14">
        <v>132</v>
      </c>
      <c r="F14">
        <v>76.295999999999992</v>
      </c>
      <c r="G14">
        <v>9</v>
      </c>
    </row>
    <row r="15" spans="1:7" outlineLevel="2" x14ac:dyDescent="0.15">
      <c r="A15">
        <v>1</v>
      </c>
      <c r="B15" t="s">
        <v>39</v>
      </c>
      <c r="C15" t="s">
        <v>50</v>
      </c>
      <c r="D15" t="s">
        <v>51</v>
      </c>
      <c r="E15">
        <v>89</v>
      </c>
      <c r="F15">
        <v>51.441999999999993</v>
      </c>
      <c r="G15">
        <v>27</v>
      </c>
    </row>
    <row r="16" spans="1:7" outlineLevel="1" x14ac:dyDescent="0.15">
      <c r="D16" s="10" t="s">
        <v>113</v>
      </c>
      <c r="F16">
        <f>SUBTOTAL(9,F12:F15)</f>
        <v>256.63200000000001</v>
      </c>
    </row>
    <row r="17" spans="1:7" outlineLevel="2" x14ac:dyDescent="0.15">
      <c r="A17">
        <v>1</v>
      </c>
      <c r="B17" t="s">
        <v>45</v>
      </c>
      <c r="C17" t="s">
        <v>43</v>
      </c>
      <c r="D17" t="s">
        <v>44</v>
      </c>
      <c r="E17">
        <v>78</v>
      </c>
      <c r="F17">
        <v>25.740000000000002</v>
      </c>
      <c r="G17">
        <v>59</v>
      </c>
    </row>
    <row r="18" spans="1:7" outlineLevel="2" x14ac:dyDescent="0.15">
      <c r="A18">
        <v>1</v>
      </c>
      <c r="B18" t="s">
        <v>47</v>
      </c>
      <c r="C18" t="s">
        <v>43</v>
      </c>
      <c r="D18" t="s">
        <v>44</v>
      </c>
      <c r="E18">
        <v>46</v>
      </c>
      <c r="F18">
        <v>15.180000000000001</v>
      </c>
      <c r="G18">
        <v>77</v>
      </c>
    </row>
    <row r="19" spans="1:7" outlineLevel="2" x14ac:dyDescent="0.15">
      <c r="A19">
        <v>1</v>
      </c>
      <c r="B19" t="s">
        <v>46</v>
      </c>
      <c r="C19" t="s">
        <v>43</v>
      </c>
      <c r="D19" t="s">
        <v>44</v>
      </c>
      <c r="E19">
        <v>45</v>
      </c>
      <c r="F19">
        <v>14.850000000000001</v>
      </c>
      <c r="G19">
        <v>79</v>
      </c>
    </row>
    <row r="20" spans="1:7" outlineLevel="2" x14ac:dyDescent="0.15">
      <c r="A20">
        <v>1</v>
      </c>
      <c r="B20" t="s">
        <v>42</v>
      </c>
      <c r="C20" t="s">
        <v>43</v>
      </c>
      <c r="D20" t="s">
        <v>44</v>
      </c>
      <c r="E20">
        <v>67</v>
      </c>
      <c r="F20">
        <v>22.11</v>
      </c>
      <c r="G20">
        <v>63</v>
      </c>
    </row>
    <row r="21" spans="1:7" outlineLevel="1" x14ac:dyDescent="0.15">
      <c r="D21" s="10" t="s">
        <v>114</v>
      </c>
      <c r="F21">
        <f>SUBTOTAL(9,F17:F20)</f>
        <v>77.88</v>
      </c>
    </row>
    <row r="22" spans="1:7" outlineLevel="2" x14ac:dyDescent="0.15">
      <c r="A22">
        <v>1</v>
      </c>
      <c r="B22" t="s">
        <v>40</v>
      </c>
      <c r="C22" t="s">
        <v>37</v>
      </c>
      <c r="D22" t="s">
        <v>38</v>
      </c>
      <c r="E22">
        <v>91</v>
      </c>
      <c r="F22">
        <v>8.1808999999999994</v>
      </c>
      <c r="G22">
        <v>90</v>
      </c>
    </row>
    <row r="23" spans="1:7" outlineLevel="2" x14ac:dyDescent="0.15">
      <c r="A23">
        <v>1</v>
      </c>
      <c r="B23" t="s">
        <v>41</v>
      </c>
      <c r="C23" t="s">
        <v>37</v>
      </c>
      <c r="D23" t="s">
        <v>38</v>
      </c>
      <c r="E23">
        <v>89</v>
      </c>
      <c r="F23">
        <v>8.0010999999999992</v>
      </c>
      <c r="G23">
        <v>91</v>
      </c>
    </row>
    <row r="24" spans="1:7" outlineLevel="2" x14ac:dyDescent="0.15">
      <c r="A24">
        <v>1</v>
      </c>
      <c r="B24" t="s">
        <v>39</v>
      </c>
      <c r="C24" t="s">
        <v>37</v>
      </c>
      <c r="D24" t="s">
        <v>38</v>
      </c>
      <c r="E24">
        <v>56</v>
      </c>
      <c r="F24">
        <v>5.0343999999999998</v>
      </c>
      <c r="G24">
        <v>95</v>
      </c>
    </row>
    <row r="25" spans="1:7" outlineLevel="2" x14ac:dyDescent="0.15">
      <c r="A25">
        <v>1</v>
      </c>
      <c r="B25" t="s">
        <v>36</v>
      </c>
      <c r="C25" t="s">
        <v>37</v>
      </c>
      <c r="D25" t="s">
        <v>38</v>
      </c>
      <c r="E25">
        <v>41</v>
      </c>
      <c r="F25">
        <v>3.6858999999999997</v>
      </c>
      <c r="G25">
        <v>96</v>
      </c>
    </row>
    <row r="26" spans="1:7" outlineLevel="1" x14ac:dyDescent="0.15">
      <c r="D26" s="10" t="s">
        <v>115</v>
      </c>
      <c r="F26">
        <f>SUBTOTAL(9,F22:F25)</f>
        <v>24.9023</v>
      </c>
    </row>
    <row r="27" spans="1:7" outlineLevel="2" x14ac:dyDescent="0.15">
      <c r="A27">
        <v>1</v>
      </c>
      <c r="B27" t="s">
        <v>25</v>
      </c>
      <c r="C27" t="s">
        <v>28</v>
      </c>
      <c r="D27" t="s">
        <v>29</v>
      </c>
      <c r="E27">
        <v>124</v>
      </c>
      <c r="F27">
        <v>62</v>
      </c>
      <c r="G27">
        <v>18</v>
      </c>
    </row>
    <row r="28" spans="1:7" outlineLevel="2" x14ac:dyDescent="0.15">
      <c r="A28">
        <v>1</v>
      </c>
      <c r="B28" t="s">
        <v>26</v>
      </c>
      <c r="C28" t="s">
        <v>28</v>
      </c>
      <c r="D28" t="s">
        <v>29</v>
      </c>
      <c r="E28">
        <v>96</v>
      </c>
      <c r="F28">
        <v>48</v>
      </c>
      <c r="G28">
        <v>31</v>
      </c>
    </row>
    <row r="29" spans="1:7" outlineLevel="2" x14ac:dyDescent="0.15">
      <c r="A29">
        <v>1</v>
      </c>
      <c r="B29" t="s">
        <v>22</v>
      </c>
      <c r="C29" t="s">
        <v>28</v>
      </c>
      <c r="D29" t="s">
        <v>29</v>
      </c>
      <c r="E29">
        <v>56</v>
      </c>
      <c r="F29">
        <v>28</v>
      </c>
      <c r="G29">
        <v>54</v>
      </c>
    </row>
    <row r="30" spans="1:7" outlineLevel="2" x14ac:dyDescent="0.15">
      <c r="A30">
        <v>1</v>
      </c>
      <c r="B30" t="s">
        <v>27</v>
      </c>
      <c r="C30" t="s">
        <v>28</v>
      </c>
      <c r="D30" t="s">
        <v>29</v>
      </c>
      <c r="E30">
        <v>42</v>
      </c>
      <c r="F30">
        <v>21</v>
      </c>
      <c r="G30">
        <v>67</v>
      </c>
    </row>
    <row r="31" spans="1:7" outlineLevel="1" x14ac:dyDescent="0.15">
      <c r="D31" s="10" t="s">
        <v>116</v>
      </c>
      <c r="F31">
        <f>SUBTOTAL(9,F27:F30)</f>
        <v>159</v>
      </c>
    </row>
    <row r="32" spans="1:7" outlineLevel="2" x14ac:dyDescent="0.15">
      <c r="A32">
        <v>1</v>
      </c>
      <c r="B32" t="s">
        <v>34</v>
      </c>
      <c r="C32" t="s">
        <v>31</v>
      </c>
      <c r="D32" t="s">
        <v>32</v>
      </c>
      <c r="E32">
        <v>88</v>
      </c>
      <c r="F32">
        <v>29.040000000000003</v>
      </c>
      <c r="G32">
        <v>51</v>
      </c>
    </row>
    <row r="33" spans="1:7" outlineLevel="2" x14ac:dyDescent="0.15">
      <c r="A33">
        <v>1</v>
      </c>
      <c r="B33" t="s">
        <v>33</v>
      </c>
      <c r="C33" t="s">
        <v>31</v>
      </c>
      <c r="D33" t="s">
        <v>32</v>
      </c>
      <c r="E33">
        <v>61</v>
      </c>
      <c r="F33">
        <v>20.130000000000003</v>
      </c>
      <c r="G33">
        <v>68</v>
      </c>
    </row>
    <row r="34" spans="1:7" outlineLevel="2" x14ac:dyDescent="0.15">
      <c r="A34">
        <v>1</v>
      </c>
      <c r="B34" t="s">
        <v>35</v>
      </c>
      <c r="C34" t="s">
        <v>31</v>
      </c>
      <c r="D34" t="s">
        <v>32</v>
      </c>
      <c r="E34">
        <v>56</v>
      </c>
      <c r="F34">
        <v>18.48</v>
      </c>
      <c r="G34">
        <v>70</v>
      </c>
    </row>
    <row r="35" spans="1:7" outlineLevel="2" x14ac:dyDescent="0.15">
      <c r="A35">
        <v>1</v>
      </c>
      <c r="B35" t="s">
        <v>30</v>
      </c>
      <c r="C35" t="s">
        <v>31</v>
      </c>
      <c r="D35" t="s">
        <v>32</v>
      </c>
      <c r="E35">
        <v>34</v>
      </c>
      <c r="F35">
        <v>11.22</v>
      </c>
      <c r="G35">
        <v>85</v>
      </c>
    </row>
    <row r="36" spans="1:7" outlineLevel="1" x14ac:dyDescent="0.15">
      <c r="D36" s="10" t="s">
        <v>117</v>
      </c>
      <c r="F36">
        <f>SUBTOTAL(9,F32:F35)</f>
        <v>78.87</v>
      </c>
    </row>
    <row r="37" spans="1:7" outlineLevel="2" x14ac:dyDescent="0.15">
      <c r="A37">
        <v>1</v>
      </c>
      <c r="B37" t="s">
        <v>25</v>
      </c>
      <c r="C37" t="s">
        <v>23</v>
      </c>
      <c r="D37" t="s">
        <v>24</v>
      </c>
      <c r="E37">
        <v>236</v>
      </c>
      <c r="F37">
        <v>141.6</v>
      </c>
      <c r="G37">
        <v>1</v>
      </c>
    </row>
    <row r="38" spans="1:7" outlineLevel="2" x14ac:dyDescent="0.15">
      <c r="A38">
        <v>1</v>
      </c>
      <c r="B38" t="s">
        <v>26</v>
      </c>
      <c r="C38" t="s">
        <v>23</v>
      </c>
      <c r="D38" t="s">
        <v>24</v>
      </c>
      <c r="E38">
        <v>172</v>
      </c>
      <c r="F38">
        <v>103.2</v>
      </c>
      <c r="G38">
        <v>2</v>
      </c>
    </row>
    <row r="39" spans="1:7" outlineLevel="2" x14ac:dyDescent="0.15">
      <c r="A39">
        <v>1</v>
      </c>
      <c r="B39" t="s">
        <v>22</v>
      </c>
      <c r="C39" t="s">
        <v>23</v>
      </c>
      <c r="D39" t="s">
        <v>24</v>
      </c>
      <c r="E39">
        <v>134</v>
      </c>
      <c r="F39">
        <v>80.399999999999991</v>
      </c>
      <c r="G39">
        <v>6</v>
      </c>
    </row>
    <row r="40" spans="1:7" outlineLevel="2" x14ac:dyDescent="0.15">
      <c r="A40">
        <v>1</v>
      </c>
      <c r="B40" t="s">
        <v>27</v>
      </c>
      <c r="C40" t="s">
        <v>23</v>
      </c>
      <c r="D40" t="s">
        <v>24</v>
      </c>
      <c r="E40">
        <v>42</v>
      </c>
      <c r="F40">
        <v>25.2</v>
      </c>
      <c r="G40">
        <v>60</v>
      </c>
    </row>
    <row r="41" spans="1:7" outlineLevel="1" x14ac:dyDescent="0.15">
      <c r="D41" s="10" t="s">
        <v>118</v>
      </c>
      <c r="F41">
        <f>SUBTOTAL(9,F37:F40)</f>
        <v>350.4</v>
      </c>
    </row>
    <row r="42" spans="1:7" outlineLevel="2" x14ac:dyDescent="0.15">
      <c r="A42">
        <v>2</v>
      </c>
      <c r="B42" t="s">
        <v>34</v>
      </c>
      <c r="C42" t="s">
        <v>52</v>
      </c>
      <c r="D42" t="s">
        <v>53</v>
      </c>
      <c r="E42">
        <v>65</v>
      </c>
      <c r="F42">
        <v>16.25</v>
      </c>
      <c r="G42">
        <v>73</v>
      </c>
    </row>
    <row r="43" spans="1:7" outlineLevel="2" x14ac:dyDescent="0.15">
      <c r="A43">
        <v>2</v>
      </c>
      <c r="B43" t="s">
        <v>30</v>
      </c>
      <c r="C43" t="s">
        <v>52</v>
      </c>
      <c r="D43" t="s">
        <v>53</v>
      </c>
      <c r="E43">
        <v>61</v>
      </c>
      <c r="F43">
        <v>15.25</v>
      </c>
      <c r="G43">
        <v>76</v>
      </c>
    </row>
    <row r="44" spans="1:7" outlineLevel="2" x14ac:dyDescent="0.15">
      <c r="A44">
        <v>2</v>
      </c>
      <c r="B44" t="s">
        <v>35</v>
      </c>
      <c r="C44" t="s">
        <v>52</v>
      </c>
      <c r="D44" t="s">
        <v>53</v>
      </c>
      <c r="E44">
        <v>88</v>
      </c>
      <c r="F44">
        <v>22</v>
      </c>
      <c r="G44">
        <v>64</v>
      </c>
    </row>
    <row r="45" spans="1:7" outlineLevel="2" x14ac:dyDescent="0.15">
      <c r="A45">
        <v>2</v>
      </c>
      <c r="B45" t="s">
        <v>33</v>
      </c>
      <c r="C45" t="s">
        <v>52</v>
      </c>
      <c r="D45" t="s">
        <v>53</v>
      </c>
      <c r="E45">
        <v>56</v>
      </c>
      <c r="F45">
        <v>14</v>
      </c>
      <c r="G45">
        <v>82</v>
      </c>
    </row>
    <row r="46" spans="1:7" outlineLevel="1" x14ac:dyDescent="0.15">
      <c r="D46" s="10" t="s">
        <v>111</v>
      </c>
      <c r="F46">
        <f>SUBTOTAL(9,F42:F45)</f>
        <v>67.5</v>
      </c>
    </row>
    <row r="47" spans="1:7" outlineLevel="2" x14ac:dyDescent="0.15">
      <c r="A47">
        <v>2</v>
      </c>
      <c r="B47" t="s">
        <v>46</v>
      </c>
      <c r="C47" t="s">
        <v>48</v>
      </c>
      <c r="D47" t="s">
        <v>49</v>
      </c>
      <c r="E47">
        <v>124</v>
      </c>
      <c r="F47">
        <v>74.399999999999991</v>
      </c>
      <c r="G47">
        <v>11</v>
      </c>
    </row>
    <row r="48" spans="1:7" outlineLevel="2" x14ac:dyDescent="0.15">
      <c r="A48">
        <v>2</v>
      </c>
      <c r="B48" t="s">
        <v>42</v>
      </c>
      <c r="C48" t="s">
        <v>48</v>
      </c>
      <c r="D48" t="s">
        <v>49</v>
      </c>
      <c r="E48">
        <v>123</v>
      </c>
      <c r="F48">
        <v>73.8</v>
      </c>
      <c r="G48">
        <v>12</v>
      </c>
    </row>
    <row r="49" spans="1:7" outlineLevel="2" x14ac:dyDescent="0.15">
      <c r="A49">
        <v>2</v>
      </c>
      <c r="B49" t="s">
        <v>45</v>
      </c>
      <c r="C49" t="s">
        <v>48</v>
      </c>
      <c r="D49" t="s">
        <v>49</v>
      </c>
      <c r="E49">
        <v>89</v>
      </c>
      <c r="F49">
        <v>53.4</v>
      </c>
      <c r="G49">
        <v>24</v>
      </c>
    </row>
    <row r="50" spans="1:7" outlineLevel="2" x14ac:dyDescent="0.15">
      <c r="A50">
        <v>2</v>
      </c>
      <c r="B50" t="s">
        <v>47</v>
      </c>
      <c r="C50" t="s">
        <v>48</v>
      </c>
      <c r="D50" t="s">
        <v>49</v>
      </c>
      <c r="E50">
        <v>86</v>
      </c>
      <c r="F50">
        <v>51.6</v>
      </c>
      <c r="G50">
        <v>25</v>
      </c>
    </row>
    <row r="51" spans="1:7" outlineLevel="1" x14ac:dyDescent="0.15">
      <c r="D51" s="10" t="s">
        <v>112</v>
      </c>
      <c r="F51">
        <f>SUBTOTAL(9,F47:F50)</f>
        <v>253.2</v>
      </c>
    </row>
    <row r="52" spans="1:7" outlineLevel="2" x14ac:dyDescent="0.15">
      <c r="A52">
        <v>2</v>
      </c>
      <c r="B52" t="s">
        <v>33</v>
      </c>
      <c r="C52" t="s">
        <v>50</v>
      </c>
      <c r="D52" t="s">
        <v>51</v>
      </c>
      <c r="E52">
        <v>121</v>
      </c>
      <c r="F52">
        <v>69.937999999999988</v>
      </c>
      <c r="G52">
        <v>13</v>
      </c>
    </row>
    <row r="53" spans="1:7" outlineLevel="2" x14ac:dyDescent="0.15">
      <c r="A53">
        <v>2</v>
      </c>
      <c r="B53" t="s">
        <v>36</v>
      </c>
      <c r="C53" t="s">
        <v>50</v>
      </c>
      <c r="D53" t="s">
        <v>51</v>
      </c>
      <c r="E53">
        <v>97</v>
      </c>
      <c r="F53">
        <v>56.065999999999995</v>
      </c>
      <c r="G53">
        <v>20</v>
      </c>
    </row>
    <row r="54" spans="1:7" outlineLevel="2" x14ac:dyDescent="0.15">
      <c r="A54">
        <v>2</v>
      </c>
      <c r="B54" t="s">
        <v>41</v>
      </c>
      <c r="C54" t="s">
        <v>50</v>
      </c>
      <c r="D54" t="s">
        <v>51</v>
      </c>
      <c r="E54">
        <v>131</v>
      </c>
      <c r="F54">
        <v>75.717999999999989</v>
      </c>
      <c r="G54">
        <v>10</v>
      </c>
    </row>
    <row r="55" spans="1:7" outlineLevel="2" x14ac:dyDescent="0.15">
      <c r="A55">
        <v>2</v>
      </c>
      <c r="B55" t="s">
        <v>40</v>
      </c>
      <c r="C55" t="s">
        <v>50</v>
      </c>
      <c r="D55" t="s">
        <v>51</v>
      </c>
      <c r="E55">
        <v>45</v>
      </c>
      <c r="F55">
        <v>26.009999999999998</v>
      </c>
      <c r="G55">
        <v>58</v>
      </c>
    </row>
    <row r="56" spans="1:7" outlineLevel="1" x14ac:dyDescent="0.15">
      <c r="D56" s="10" t="s">
        <v>113</v>
      </c>
      <c r="F56">
        <f>SUBTOTAL(9,F52:F55)</f>
        <v>227.73199999999997</v>
      </c>
    </row>
    <row r="57" spans="1:7" outlineLevel="2" x14ac:dyDescent="0.15">
      <c r="A57">
        <v>2</v>
      </c>
      <c r="B57" t="s">
        <v>45</v>
      </c>
      <c r="C57" t="s">
        <v>43</v>
      </c>
      <c r="D57" t="s">
        <v>44</v>
      </c>
      <c r="E57">
        <v>156</v>
      </c>
      <c r="F57">
        <v>51.480000000000004</v>
      </c>
      <c r="G57">
        <v>26</v>
      </c>
    </row>
    <row r="58" spans="1:7" outlineLevel="2" x14ac:dyDescent="0.15">
      <c r="A58">
        <v>2</v>
      </c>
      <c r="B58" t="s">
        <v>46</v>
      </c>
      <c r="C58" t="s">
        <v>43</v>
      </c>
      <c r="D58" t="s">
        <v>44</v>
      </c>
      <c r="E58">
        <v>123</v>
      </c>
      <c r="F58">
        <v>40.590000000000003</v>
      </c>
      <c r="G58">
        <v>40</v>
      </c>
    </row>
    <row r="59" spans="1:7" outlineLevel="2" x14ac:dyDescent="0.15">
      <c r="A59">
        <v>2</v>
      </c>
      <c r="B59" t="s">
        <v>42</v>
      </c>
      <c r="C59" t="s">
        <v>43</v>
      </c>
      <c r="D59" t="s">
        <v>44</v>
      </c>
      <c r="E59">
        <v>112</v>
      </c>
      <c r="F59">
        <v>36.96</v>
      </c>
      <c r="G59">
        <v>42</v>
      </c>
    </row>
    <row r="60" spans="1:7" outlineLevel="2" x14ac:dyDescent="0.15">
      <c r="A60">
        <v>2</v>
      </c>
      <c r="B60" t="s">
        <v>47</v>
      </c>
      <c r="C60" t="s">
        <v>43</v>
      </c>
      <c r="D60" t="s">
        <v>44</v>
      </c>
      <c r="E60">
        <v>81</v>
      </c>
      <c r="F60">
        <v>26.73</v>
      </c>
      <c r="G60">
        <v>57</v>
      </c>
    </row>
    <row r="61" spans="1:7" outlineLevel="1" x14ac:dyDescent="0.15">
      <c r="D61" s="10" t="s">
        <v>114</v>
      </c>
      <c r="F61">
        <f>SUBTOTAL(9,F57:F60)</f>
        <v>155.76</v>
      </c>
    </row>
    <row r="62" spans="1:7" outlineLevel="2" x14ac:dyDescent="0.15">
      <c r="A62">
        <v>2</v>
      </c>
      <c r="B62" t="s">
        <v>33</v>
      </c>
      <c r="C62" t="s">
        <v>37</v>
      </c>
      <c r="D62" t="s">
        <v>38</v>
      </c>
      <c r="E62">
        <v>123</v>
      </c>
      <c r="F62">
        <v>11.057699999999999</v>
      </c>
      <c r="G62">
        <v>86</v>
      </c>
    </row>
    <row r="63" spans="1:7" outlineLevel="2" x14ac:dyDescent="0.15">
      <c r="A63">
        <v>2</v>
      </c>
      <c r="B63" t="s">
        <v>36</v>
      </c>
      <c r="C63" t="s">
        <v>37</v>
      </c>
      <c r="D63" t="s">
        <v>38</v>
      </c>
      <c r="E63">
        <v>97</v>
      </c>
      <c r="F63">
        <v>8.7202999999999999</v>
      </c>
      <c r="G63">
        <v>89</v>
      </c>
    </row>
    <row r="64" spans="1:7" outlineLevel="2" x14ac:dyDescent="0.15">
      <c r="A64">
        <v>2</v>
      </c>
      <c r="B64" t="s">
        <v>40</v>
      </c>
      <c r="C64" t="s">
        <v>37</v>
      </c>
      <c r="D64" t="s">
        <v>38</v>
      </c>
      <c r="E64">
        <v>67</v>
      </c>
      <c r="F64">
        <v>6.0232999999999999</v>
      </c>
      <c r="G64">
        <v>94</v>
      </c>
    </row>
    <row r="65" spans="1:7" outlineLevel="2" x14ac:dyDescent="0.15">
      <c r="A65">
        <v>2</v>
      </c>
      <c r="B65" t="s">
        <v>41</v>
      </c>
      <c r="C65" t="s">
        <v>37</v>
      </c>
      <c r="D65" t="s">
        <v>38</v>
      </c>
      <c r="E65">
        <v>131</v>
      </c>
      <c r="F65">
        <v>11.776899999999999</v>
      </c>
      <c r="G65">
        <v>84</v>
      </c>
    </row>
    <row r="66" spans="1:7" outlineLevel="1" x14ac:dyDescent="0.15">
      <c r="D66" s="10" t="s">
        <v>115</v>
      </c>
      <c r="F66">
        <f>SUBTOTAL(9,F62:F65)</f>
        <v>37.578199999999995</v>
      </c>
    </row>
    <row r="67" spans="1:7" outlineLevel="2" x14ac:dyDescent="0.15">
      <c r="A67">
        <v>2</v>
      </c>
      <c r="B67" t="s">
        <v>22</v>
      </c>
      <c r="C67" t="s">
        <v>28</v>
      </c>
      <c r="D67" t="s">
        <v>29</v>
      </c>
      <c r="E67">
        <v>112</v>
      </c>
      <c r="F67">
        <v>56</v>
      </c>
      <c r="G67">
        <v>21</v>
      </c>
    </row>
    <row r="68" spans="1:7" outlineLevel="2" x14ac:dyDescent="0.15">
      <c r="A68">
        <v>2</v>
      </c>
      <c r="B68" t="s">
        <v>27</v>
      </c>
      <c r="C68" t="s">
        <v>28</v>
      </c>
      <c r="D68" t="s">
        <v>29</v>
      </c>
      <c r="E68">
        <v>84</v>
      </c>
      <c r="F68">
        <v>42</v>
      </c>
      <c r="G68">
        <v>39</v>
      </c>
    </row>
    <row r="69" spans="1:7" outlineLevel="2" x14ac:dyDescent="0.15">
      <c r="A69">
        <v>2</v>
      </c>
      <c r="B69" t="s">
        <v>26</v>
      </c>
      <c r="C69" t="s">
        <v>28</v>
      </c>
      <c r="D69" t="s">
        <v>29</v>
      </c>
      <c r="E69">
        <v>73</v>
      </c>
      <c r="F69">
        <v>36.5</v>
      </c>
      <c r="G69">
        <v>43</v>
      </c>
    </row>
    <row r="70" spans="1:7" outlineLevel="2" x14ac:dyDescent="0.15">
      <c r="A70">
        <v>2</v>
      </c>
      <c r="B70" t="s">
        <v>25</v>
      </c>
      <c r="C70" t="s">
        <v>28</v>
      </c>
      <c r="D70" t="s">
        <v>29</v>
      </c>
      <c r="E70">
        <v>54</v>
      </c>
      <c r="F70">
        <v>27</v>
      </c>
      <c r="G70">
        <v>56</v>
      </c>
    </row>
    <row r="71" spans="1:7" outlineLevel="1" x14ac:dyDescent="0.15">
      <c r="D71" s="10" t="s">
        <v>116</v>
      </c>
      <c r="F71">
        <f>SUBTOTAL(9,F67:F70)</f>
        <v>161.5</v>
      </c>
    </row>
    <row r="72" spans="1:7" outlineLevel="2" x14ac:dyDescent="0.15">
      <c r="A72">
        <v>2</v>
      </c>
      <c r="B72" t="s">
        <v>30</v>
      </c>
      <c r="C72" t="s">
        <v>31</v>
      </c>
      <c r="D72" t="s">
        <v>32</v>
      </c>
      <c r="E72">
        <v>96</v>
      </c>
      <c r="F72">
        <v>31.68</v>
      </c>
      <c r="G72">
        <v>48</v>
      </c>
    </row>
    <row r="73" spans="1:7" outlineLevel="2" x14ac:dyDescent="0.15">
      <c r="A73">
        <v>2</v>
      </c>
      <c r="B73" t="s">
        <v>35</v>
      </c>
      <c r="C73" t="s">
        <v>31</v>
      </c>
      <c r="D73" t="s">
        <v>32</v>
      </c>
      <c r="E73">
        <v>84</v>
      </c>
      <c r="F73">
        <v>27.720000000000002</v>
      </c>
      <c r="G73">
        <v>55</v>
      </c>
    </row>
    <row r="74" spans="1:7" outlineLevel="2" x14ac:dyDescent="0.15">
      <c r="A74">
        <v>2</v>
      </c>
      <c r="B74" t="s">
        <v>33</v>
      </c>
      <c r="C74" t="s">
        <v>31</v>
      </c>
      <c r="D74" t="s">
        <v>32</v>
      </c>
      <c r="E74">
        <v>65</v>
      </c>
      <c r="F74">
        <v>21.45</v>
      </c>
      <c r="G74">
        <v>66</v>
      </c>
    </row>
    <row r="75" spans="1:7" outlineLevel="2" x14ac:dyDescent="0.15">
      <c r="A75">
        <v>2</v>
      </c>
      <c r="B75" t="s">
        <v>34</v>
      </c>
      <c r="C75" t="s">
        <v>31</v>
      </c>
      <c r="D75" t="s">
        <v>32</v>
      </c>
      <c r="E75">
        <v>53</v>
      </c>
      <c r="F75">
        <v>17.490000000000002</v>
      </c>
      <c r="G75">
        <v>72</v>
      </c>
    </row>
    <row r="76" spans="1:7" outlineLevel="1" x14ac:dyDescent="0.15">
      <c r="D76" s="10" t="s">
        <v>117</v>
      </c>
      <c r="F76">
        <f>SUBTOTAL(9,F72:F75)</f>
        <v>98.34</v>
      </c>
    </row>
    <row r="77" spans="1:7" outlineLevel="2" x14ac:dyDescent="0.15">
      <c r="A77">
        <v>2</v>
      </c>
      <c r="B77" t="s">
        <v>22</v>
      </c>
      <c r="C77" t="s">
        <v>23</v>
      </c>
      <c r="D77" t="s">
        <v>24</v>
      </c>
      <c r="E77">
        <v>112</v>
      </c>
      <c r="F77">
        <v>67.2</v>
      </c>
      <c r="G77">
        <v>14</v>
      </c>
    </row>
    <row r="78" spans="1:7" outlineLevel="2" x14ac:dyDescent="0.15">
      <c r="A78">
        <v>2</v>
      </c>
      <c r="B78" t="s">
        <v>26</v>
      </c>
      <c r="C78" t="s">
        <v>23</v>
      </c>
      <c r="D78" t="s">
        <v>24</v>
      </c>
      <c r="E78">
        <v>146</v>
      </c>
      <c r="F78">
        <v>87.6</v>
      </c>
      <c r="G78">
        <v>4</v>
      </c>
    </row>
    <row r="79" spans="1:7" outlineLevel="2" x14ac:dyDescent="0.15">
      <c r="A79">
        <v>2</v>
      </c>
      <c r="B79" t="s">
        <v>27</v>
      </c>
      <c r="C79" t="s">
        <v>23</v>
      </c>
      <c r="D79" t="s">
        <v>24</v>
      </c>
      <c r="E79">
        <v>84</v>
      </c>
      <c r="F79">
        <v>50.4</v>
      </c>
      <c r="G79">
        <v>28</v>
      </c>
    </row>
    <row r="80" spans="1:7" outlineLevel="2" x14ac:dyDescent="0.15">
      <c r="A80">
        <v>2</v>
      </c>
      <c r="B80" t="s">
        <v>25</v>
      </c>
      <c r="C80" t="s">
        <v>23</v>
      </c>
      <c r="D80" t="s">
        <v>24</v>
      </c>
      <c r="E80">
        <v>58</v>
      </c>
      <c r="F80">
        <v>34.799999999999997</v>
      </c>
      <c r="G80">
        <v>45</v>
      </c>
    </row>
    <row r="81" spans="1:7" outlineLevel="1" x14ac:dyDescent="0.15">
      <c r="D81" s="10" t="s">
        <v>118</v>
      </c>
      <c r="F81">
        <f>SUBTOTAL(9,F77:F80)</f>
        <v>240</v>
      </c>
    </row>
    <row r="82" spans="1:7" outlineLevel="2" x14ac:dyDescent="0.15">
      <c r="A82">
        <v>3</v>
      </c>
      <c r="B82" t="s">
        <v>35</v>
      </c>
      <c r="C82" t="s">
        <v>52</v>
      </c>
      <c r="D82" t="s">
        <v>53</v>
      </c>
      <c r="E82">
        <v>94</v>
      </c>
      <c r="F82">
        <v>23.5</v>
      </c>
      <c r="G82">
        <v>62</v>
      </c>
    </row>
    <row r="83" spans="1:7" outlineLevel="2" x14ac:dyDescent="0.15">
      <c r="A83">
        <v>3</v>
      </c>
      <c r="B83" t="s">
        <v>34</v>
      </c>
      <c r="C83" t="s">
        <v>52</v>
      </c>
      <c r="D83" t="s">
        <v>53</v>
      </c>
      <c r="E83">
        <v>77</v>
      </c>
      <c r="F83">
        <v>19.25</v>
      </c>
      <c r="G83">
        <v>69</v>
      </c>
    </row>
    <row r="84" spans="1:7" outlineLevel="2" x14ac:dyDescent="0.15">
      <c r="A84">
        <v>3</v>
      </c>
      <c r="B84" t="s">
        <v>30</v>
      </c>
      <c r="C84" t="s">
        <v>52</v>
      </c>
      <c r="D84" t="s">
        <v>53</v>
      </c>
      <c r="E84">
        <v>57</v>
      </c>
      <c r="F84">
        <v>14.25</v>
      </c>
      <c r="G84">
        <v>81</v>
      </c>
    </row>
    <row r="85" spans="1:7" outlineLevel="2" x14ac:dyDescent="0.15">
      <c r="A85">
        <v>3</v>
      </c>
      <c r="B85" t="s">
        <v>33</v>
      </c>
      <c r="C85" t="s">
        <v>52</v>
      </c>
      <c r="D85" t="s">
        <v>53</v>
      </c>
      <c r="E85">
        <v>49</v>
      </c>
      <c r="F85">
        <v>12.25</v>
      </c>
      <c r="G85">
        <v>83</v>
      </c>
    </row>
    <row r="86" spans="1:7" outlineLevel="1" x14ac:dyDescent="0.15">
      <c r="D86" s="10" t="s">
        <v>111</v>
      </c>
      <c r="F86">
        <f>SUBTOTAL(9,F82:F85)</f>
        <v>69.25</v>
      </c>
    </row>
    <row r="87" spans="1:7" outlineLevel="2" x14ac:dyDescent="0.15">
      <c r="A87">
        <v>3</v>
      </c>
      <c r="B87" t="s">
        <v>45</v>
      </c>
      <c r="C87" t="s">
        <v>48</v>
      </c>
      <c r="D87" t="s">
        <v>49</v>
      </c>
      <c r="E87">
        <v>90</v>
      </c>
      <c r="F87">
        <v>54</v>
      </c>
      <c r="G87">
        <v>23</v>
      </c>
    </row>
    <row r="88" spans="1:7" outlineLevel="2" x14ac:dyDescent="0.15">
      <c r="A88">
        <v>3</v>
      </c>
      <c r="B88" t="s">
        <v>46</v>
      </c>
      <c r="C88" t="s">
        <v>48</v>
      </c>
      <c r="D88" t="s">
        <v>49</v>
      </c>
      <c r="E88">
        <v>82</v>
      </c>
      <c r="F88">
        <v>49.199999999999996</v>
      </c>
      <c r="G88">
        <v>30</v>
      </c>
    </row>
    <row r="89" spans="1:7" outlineLevel="2" x14ac:dyDescent="0.15">
      <c r="A89">
        <v>3</v>
      </c>
      <c r="B89" t="s">
        <v>42</v>
      </c>
      <c r="C89" t="s">
        <v>48</v>
      </c>
      <c r="D89" t="s">
        <v>49</v>
      </c>
      <c r="E89">
        <v>78</v>
      </c>
      <c r="F89">
        <v>46.8</v>
      </c>
      <c r="G89">
        <v>33</v>
      </c>
    </row>
    <row r="90" spans="1:7" outlineLevel="2" x14ac:dyDescent="0.15">
      <c r="A90">
        <v>3</v>
      </c>
      <c r="B90" t="s">
        <v>47</v>
      </c>
      <c r="C90" t="s">
        <v>48</v>
      </c>
      <c r="D90" t="s">
        <v>49</v>
      </c>
      <c r="E90">
        <v>56</v>
      </c>
      <c r="F90">
        <v>33.6</v>
      </c>
      <c r="G90">
        <v>46</v>
      </c>
    </row>
    <row r="91" spans="1:7" outlineLevel="1" x14ac:dyDescent="0.15">
      <c r="D91" s="10" t="s">
        <v>112</v>
      </c>
      <c r="F91">
        <f>SUBTOTAL(9,F87:F90)</f>
        <v>183.6</v>
      </c>
    </row>
    <row r="92" spans="1:7" outlineLevel="2" x14ac:dyDescent="0.15">
      <c r="A92">
        <v>3</v>
      </c>
      <c r="B92" t="s">
        <v>36</v>
      </c>
      <c r="C92" t="s">
        <v>50</v>
      </c>
      <c r="D92" t="s">
        <v>51</v>
      </c>
      <c r="E92">
        <v>56</v>
      </c>
      <c r="F92">
        <v>32.367999999999995</v>
      </c>
      <c r="G92">
        <v>47</v>
      </c>
    </row>
    <row r="93" spans="1:7" outlineLevel="2" x14ac:dyDescent="0.15">
      <c r="A93">
        <v>3</v>
      </c>
      <c r="B93" t="s">
        <v>39</v>
      </c>
      <c r="C93" t="s">
        <v>50</v>
      </c>
      <c r="D93" t="s">
        <v>51</v>
      </c>
      <c r="E93">
        <v>66</v>
      </c>
      <c r="F93">
        <v>38.147999999999996</v>
      </c>
      <c r="G93">
        <v>41</v>
      </c>
    </row>
    <row r="94" spans="1:7" outlineLevel="2" x14ac:dyDescent="0.15">
      <c r="A94">
        <v>3</v>
      </c>
      <c r="B94" t="s">
        <v>40</v>
      </c>
      <c r="C94" t="s">
        <v>50</v>
      </c>
      <c r="D94" t="s">
        <v>51</v>
      </c>
      <c r="E94">
        <v>87</v>
      </c>
      <c r="F94">
        <v>50.285999999999994</v>
      </c>
      <c r="G94">
        <v>29</v>
      </c>
    </row>
    <row r="95" spans="1:7" outlineLevel="2" x14ac:dyDescent="0.15">
      <c r="A95">
        <v>3</v>
      </c>
      <c r="B95" t="s">
        <v>41</v>
      </c>
      <c r="C95" t="s">
        <v>50</v>
      </c>
      <c r="D95" t="s">
        <v>51</v>
      </c>
      <c r="E95">
        <v>78</v>
      </c>
      <c r="F95">
        <v>45.083999999999996</v>
      </c>
      <c r="G95">
        <v>36</v>
      </c>
    </row>
    <row r="96" spans="1:7" outlineLevel="1" x14ac:dyDescent="0.15">
      <c r="D96" s="10" t="s">
        <v>113</v>
      </c>
      <c r="F96">
        <f>SUBTOTAL(9,F92:F95)</f>
        <v>165.886</v>
      </c>
    </row>
    <row r="97" spans="1:7" outlineLevel="2" x14ac:dyDescent="0.15">
      <c r="A97">
        <v>3</v>
      </c>
      <c r="B97" t="s">
        <v>42</v>
      </c>
      <c r="C97" t="s">
        <v>43</v>
      </c>
      <c r="D97" t="s">
        <v>44</v>
      </c>
      <c r="E97">
        <v>176</v>
      </c>
      <c r="F97">
        <v>58.080000000000005</v>
      </c>
      <c r="G97">
        <v>19</v>
      </c>
    </row>
    <row r="98" spans="1:7" outlineLevel="2" x14ac:dyDescent="0.15">
      <c r="A98">
        <v>3</v>
      </c>
      <c r="B98" t="s">
        <v>47</v>
      </c>
      <c r="C98" t="s">
        <v>43</v>
      </c>
      <c r="D98" t="s">
        <v>44</v>
      </c>
      <c r="E98">
        <v>106</v>
      </c>
      <c r="F98">
        <v>34.980000000000004</v>
      </c>
      <c r="G98">
        <v>44</v>
      </c>
    </row>
    <row r="99" spans="1:7" outlineLevel="2" x14ac:dyDescent="0.15">
      <c r="A99">
        <v>3</v>
      </c>
      <c r="B99" t="s">
        <v>45</v>
      </c>
      <c r="C99" t="s">
        <v>43</v>
      </c>
      <c r="D99" t="s">
        <v>44</v>
      </c>
      <c r="E99">
        <v>90</v>
      </c>
      <c r="F99">
        <v>29.700000000000003</v>
      </c>
      <c r="G99">
        <v>49</v>
      </c>
    </row>
    <row r="100" spans="1:7" outlineLevel="2" x14ac:dyDescent="0.15">
      <c r="A100">
        <v>3</v>
      </c>
      <c r="B100" t="s">
        <v>46</v>
      </c>
      <c r="C100" t="s">
        <v>43</v>
      </c>
      <c r="D100" t="s">
        <v>44</v>
      </c>
      <c r="E100">
        <v>86</v>
      </c>
      <c r="F100">
        <v>28.380000000000003</v>
      </c>
      <c r="G100">
        <v>53</v>
      </c>
    </row>
    <row r="101" spans="1:7" outlineLevel="1" x14ac:dyDescent="0.15">
      <c r="D101" s="10" t="s">
        <v>114</v>
      </c>
      <c r="F101">
        <f>SUBTOTAL(9,F97:F100)</f>
        <v>151.14000000000001</v>
      </c>
    </row>
    <row r="102" spans="1:7" outlineLevel="2" x14ac:dyDescent="0.15">
      <c r="A102">
        <v>3</v>
      </c>
      <c r="B102" t="s">
        <v>36</v>
      </c>
      <c r="C102" t="s">
        <v>37</v>
      </c>
      <c r="D102" t="s">
        <v>38</v>
      </c>
      <c r="E102">
        <v>167</v>
      </c>
      <c r="F102">
        <v>15.013299999999999</v>
      </c>
      <c r="G102">
        <v>78</v>
      </c>
    </row>
    <row r="103" spans="1:7" outlineLevel="2" x14ac:dyDescent="0.15">
      <c r="A103">
        <v>3</v>
      </c>
      <c r="B103" t="s">
        <v>39</v>
      </c>
      <c r="C103" t="s">
        <v>37</v>
      </c>
      <c r="D103" t="s">
        <v>38</v>
      </c>
      <c r="E103">
        <v>121</v>
      </c>
      <c r="F103">
        <v>10.877899999999999</v>
      </c>
      <c r="G103">
        <v>87</v>
      </c>
    </row>
    <row r="104" spans="1:7" outlineLevel="2" x14ac:dyDescent="0.15">
      <c r="A104">
        <v>3</v>
      </c>
      <c r="B104" t="s">
        <v>41</v>
      </c>
      <c r="C104" t="s">
        <v>37</v>
      </c>
      <c r="D104" t="s">
        <v>38</v>
      </c>
      <c r="E104">
        <v>78</v>
      </c>
      <c r="F104">
        <v>7.0121999999999991</v>
      </c>
      <c r="G104">
        <v>92</v>
      </c>
    </row>
    <row r="105" spans="1:7" outlineLevel="2" x14ac:dyDescent="0.15">
      <c r="A105">
        <v>3</v>
      </c>
      <c r="B105" t="s">
        <v>40</v>
      </c>
      <c r="C105" t="s">
        <v>37</v>
      </c>
      <c r="D105" t="s">
        <v>38</v>
      </c>
      <c r="E105">
        <v>69</v>
      </c>
      <c r="F105">
        <v>6.2030999999999992</v>
      </c>
      <c r="G105">
        <v>93</v>
      </c>
    </row>
    <row r="106" spans="1:7" outlineLevel="1" x14ac:dyDescent="0.15">
      <c r="D106" s="10" t="s">
        <v>115</v>
      </c>
      <c r="F106">
        <f>SUBTOTAL(9,F102:F105)</f>
        <v>39.106499999999997</v>
      </c>
    </row>
    <row r="107" spans="1:7" outlineLevel="2" x14ac:dyDescent="0.15">
      <c r="A107">
        <v>3</v>
      </c>
      <c r="B107" t="s">
        <v>26</v>
      </c>
      <c r="C107" t="s">
        <v>28</v>
      </c>
      <c r="D107" t="s">
        <v>29</v>
      </c>
      <c r="E107">
        <v>134</v>
      </c>
      <c r="F107">
        <v>67</v>
      </c>
      <c r="G107">
        <v>15</v>
      </c>
    </row>
    <row r="108" spans="1:7" outlineLevel="2" x14ac:dyDescent="0.15">
      <c r="A108">
        <v>3</v>
      </c>
      <c r="B108" t="s">
        <v>22</v>
      </c>
      <c r="C108" t="s">
        <v>28</v>
      </c>
      <c r="D108" t="s">
        <v>29</v>
      </c>
      <c r="E108">
        <v>167</v>
      </c>
      <c r="F108">
        <v>83.5</v>
      </c>
      <c r="G108">
        <v>5</v>
      </c>
    </row>
    <row r="109" spans="1:7" outlineLevel="2" x14ac:dyDescent="0.15">
      <c r="A109">
        <v>3</v>
      </c>
      <c r="B109" t="s">
        <v>25</v>
      </c>
      <c r="C109" t="s">
        <v>28</v>
      </c>
      <c r="D109" t="s">
        <v>29</v>
      </c>
      <c r="E109">
        <v>92</v>
      </c>
      <c r="F109">
        <v>46</v>
      </c>
      <c r="G109">
        <v>34</v>
      </c>
    </row>
    <row r="110" spans="1:7" outlineLevel="2" x14ac:dyDescent="0.15">
      <c r="A110">
        <v>3</v>
      </c>
      <c r="B110" t="s">
        <v>27</v>
      </c>
      <c r="C110" t="s">
        <v>28</v>
      </c>
      <c r="D110" t="s">
        <v>29</v>
      </c>
      <c r="E110">
        <v>89</v>
      </c>
      <c r="F110">
        <v>44.5</v>
      </c>
      <c r="G110">
        <v>37</v>
      </c>
    </row>
    <row r="111" spans="1:7" outlineLevel="1" x14ac:dyDescent="0.15">
      <c r="D111" s="10" t="s">
        <v>116</v>
      </c>
      <c r="F111">
        <f>SUBTOTAL(9,F107:F110)</f>
        <v>241</v>
      </c>
    </row>
    <row r="112" spans="1:7" outlineLevel="2" x14ac:dyDescent="0.15">
      <c r="A112">
        <v>3</v>
      </c>
      <c r="B112" t="s">
        <v>33</v>
      </c>
      <c r="C112" t="s">
        <v>31</v>
      </c>
      <c r="D112" t="s">
        <v>32</v>
      </c>
      <c r="E112">
        <v>89</v>
      </c>
      <c r="F112">
        <v>29.37</v>
      </c>
      <c r="G112">
        <v>50</v>
      </c>
    </row>
    <row r="113" spans="1:7" outlineLevel="2" x14ac:dyDescent="0.15">
      <c r="A113">
        <v>3</v>
      </c>
      <c r="B113" t="s">
        <v>30</v>
      </c>
      <c r="C113" t="s">
        <v>31</v>
      </c>
      <c r="D113" t="s">
        <v>32</v>
      </c>
      <c r="E113">
        <v>75</v>
      </c>
      <c r="F113">
        <v>24.75</v>
      </c>
      <c r="G113">
        <v>61</v>
      </c>
    </row>
    <row r="114" spans="1:7" outlineLevel="2" x14ac:dyDescent="0.15">
      <c r="A114">
        <v>3</v>
      </c>
      <c r="B114" t="s">
        <v>34</v>
      </c>
      <c r="C114" t="s">
        <v>31</v>
      </c>
      <c r="D114" t="s">
        <v>32</v>
      </c>
      <c r="E114">
        <v>45</v>
      </c>
      <c r="F114">
        <v>14.850000000000001</v>
      </c>
      <c r="G114">
        <v>79</v>
      </c>
    </row>
    <row r="115" spans="1:7" outlineLevel="2" x14ac:dyDescent="0.15">
      <c r="A115">
        <v>3</v>
      </c>
      <c r="B115" t="s">
        <v>35</v>
      </c>
      <c r="C115" t="s">
        <v>31</v>
      </c>
      <c r="D115" t="s">
        <v>32</v>
      </c>
      <c r="E115">
        <v>32</v>
      </c>
      <c r="F115">
        <v>10.56</v>
      </c>
      <c r="G115">
        <v>88</v>
      </c>
    </row>
    <row r="116" spans="1:7" outlineLevel="1" x14ac:dyDescent="0.15">
      <c r="D116" s="10" t="s">
        <v>117</v>
      </c>
      <c r="F116">
        <f>SUBTOTAL(9,F112:F115)</f>
        <v>79.53</v>
      </c>
    </row>
    <row r="117" spans="1:7" outlineLevel="2" x14ac:dyDescent="0.15">
      <c r="A117">
        <v>3</v>
      </c>
      <c r="B117" t="s">
        <v>27</v>
      </c>
      <c r="C117" t="s">
        <v>23</v>
      </c>
      <c r="D117" t="s">
        <v>24</v>
      </c>
      <c r="E117">
        <v>156</v>
      </c>
      <c r="F117">
        <v>93.6</v>
      </c>
      <c r="G117">
        <v>3</v>
      </c>
    </row>
    <row r="118" spans="1:7" outlineLevel="2" x14ac:dyDescent="0.15">
      <c r="A118">
        <v>3</v>
      </c>
      <c r="B118" t="s">
        <v>22</v>
      </c>
      <c r="C118" t="s">
        <v>23</v>
      </c>
      <c r="D118" t="s">
        <v>24</v>
      </c>
      <c r="E118">
        <v>132</v>
      </c>
      <c r="F118">
        <v>79.2</v>
      </c>
      <c r="G118">
        <v>7</v>
      </c>
    </row>
    <row r="119" spans="1:7" outlineLevel="2" x14ac:dyDescent="0.15">
      <c r="A119">
        <v>3</v>
      </c>
      <c r="B119" t="s">
        <v>26</v>
      </c>
      <c r="C119" t="s">
        <v>23</v>
      </c>
      <c r="D119" t="s">
        <v>24</v>
      </c>
      <c r="E119">
        <v>128</v>
      </c>
      <c r="F119">
        <v>76.8</v>
      </c>
      <c r="G119">
        <v>8</v>
      </c>
    </row>
    <row r="120" spans="1:7" outlineLevel="2" x14ac:dyDescent="0.15">
      <c r="A120">
        <v>3</v>
      </c>
      <c r="B120" t="s">
        <v>25</v>
      </c>
      <c r="C120" t="s">
        <v>23</v>
      </c>
      <c r="D120" t="s">
        <v>24</v>
      </c>
      <c r="E120">
        <v>92</v>
      </c>
      <c r="F120">
        <v>55.199999999999996</v>
      </c>
      <c r="G120">
        <v>22</v>
      </c>
    </row>
    <row r="121" spans="1:7" outlineLevel="1" x14ac:dyDescent="0.15">
      <c r="D121" s="10" t="s">
        <v>118</v>
      </c>
      <c r="F121">
        <f>SUBTOTAL(9,F117:F120)</f>
        <v>304.8</v>
      </c>
    </row>
    <row r="122" spans="1:7" x14ac:dyDescent="0.15">
      <c r="D122" s="10" t="s">
        <v>119</v>
      </c>
      <c r="F122">
        <f>SUBTOTAL(9,F2:F120)</f>
        <v>3659.956999999999</v>
      </c>
    </row>
  </sheetData>
  <sortState ref="A2:G97">
    <sortCondition ref="A2:A97"/>
    <sortCondition descending="1" ref="D2:D97"/>
  </sortState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产品销售统计表</vt:lpstr>
      <vt:lpstr>产品单价对照表</vt:lpstr>
      <vt:lpstr>产品销售情况表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Microsoft</cp:lastModifiedBy>
  <dcterms:created xsi:type="dcterms:W3CDTF">2006-09-05T00:03:58Z</dcterms:created>
  <dcterms:modified xsi:type="dcterms:W3CDTF">2021-04-16T05:44:00Z</dcterms:modified>
</cp:coreProperties>
</file>