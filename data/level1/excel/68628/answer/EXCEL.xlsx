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0" yWindow="0" windowWidth="19815" windowHeight="8010" firstSheet="1" activeTab="3"/>
  </bookViews>
  <sheets>
    <sheet name="Sheet1" sheetId="2" r:id="rId1"/>
    <sheet name="Sheet2" sheetId="5" r:id="rId2"/>
    <sheet name="课程对应学分" sheetId="4" r:id="rId3"/>
    <sheet name="销售清单" sheetId="6" r:id="rId4"/>
  </sheets>
  <calcPr calcId="162913"/>
  <pivotCaches>
    <pivotCache cacheId="7" r:id="rId5"/>
  </pivotCaches>
</workbook>
</file>

<file path=xl/calcChain.xml><?xml version="1.0" encoding="utf-8"?>
<calcChain xmlns="http://schemas.openxmlformats.org/spreadsheetml/2006/main">
  <c r="K5" i="5" l="1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" i="5"/>
  <c r="E15" i="5"/>
  <c r="F15" i="5"/>
  <c r="G15" i="5"/>
  <c r="H15" i="5"/>
  <c r="I15" i="5"/>
  <c r="E16" i="5"/>
  <c r="F16" i="5"/>
  <c r="G16" i="5"/>
  <c r="H16" i="5"/>
  <c r="I16" i="5"/>
  <c r="E17" i="5"/>
  <c r="F17" i="5"/>
  <c r="G17" i="5"/>
  <c r="H17" i="5"/>
  <c r="I17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H31" i="5"/>
  <c r="I31" i="5"/>
  <c r="E32" i="5"/>
  <c r="F32" i="5"/>
  <c r="G32" i="5"/>
  <c r="H32" i="5"/>
  <c r="I32" i="5"/>
  <c r="E33" i="5"/>
  <c r="F33" i="5"/>
  <c r="G33" i="5"/>
  <c r="H33" i="5"/>
  <c r="I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D5" i="5"/>
  <c r="E5" i="5"/>
  <c r="F5" i="5"/>
  <c r="G5" i="5"/>
  <c r="H5" i="5"/>
  <c r="I5" i="5"/>
  <c r="D6" i="5"/>
  <c r="E6" i="5"/>
  <c r="F6" i="5"/>
  <c r="G6" i="5"/>
  <c r="H6" i="5"/>
  <c r="I6" i="5"/>
  <c r="D7" i="5"/>
  <c r="E7" i="5"/>
  <c r="F7" i="5"/>
  <c r="G7" i="5"/>
  <c r="H7" i="5"/>
  <c r="I7" i="5"/>
  <c r="D8" i="5"/>
  <c r="E8" i="5"/>
  <c r="F8" i="5"/>
  <c r="G8" i="5"/>
  <c r="H8" i="5"/>
  <c r="I8" i="5"/>
  <c r="D9" i="5"/>
  <c r="E9" i="5"/>
  <c r="F9" i="5"/>
  <c r="G9" i="5"/>
  <c r="H9" i="5"/>
  <c r="I9" i="5"/>
  <c r="D10" i="5"/>
  <c r="E10" i="5"/>
  <c r="F10" i="5"/>
  <c r="G10" i="5"/>
  <c r="H10" i="5"/>
  <c r="I10" i="5"/>
  <c r="D11" i="5"/>
  <c r="E11" i="5"/>
  <c r="F11" i="5"/>
  <c r="G11" i="5"/>
  <c r="H11" i="5"/>
  <c r="I11" i="5"/>
  <c r="D12" i="5"/>
  <c r="E12" i="5"/>
  <c r="F12" i="5"/>
  <c r="G12" i="5"/>
  <c r="H12" i="5"/>
  <c r="I12" i="5"/>
  <c r="D13" i="5"/>
  <c r="E13" i="5"/>
  <c r="F13" i="5"/>
  <c r="G13" i="5"/>
  <c r="H13" i="5"/>
  <c r="I13" i="5"/>
  <c r="D14" i="5"/>
  <c r="E14" i="5"/>
  <c r="F14" i="5"/>
  <c r="G14" i="5"/>
  <c r="H14" i="5"/>
  <c r="I14" i="5"/>
  <c r="I4" i="5"/>
  <c r="H4" i="5"/>
  <c r="F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" i="5"/>
  <c r="E4" i="5"/>
  <c r="G4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5" i="5"/>
  <c r="C6" i="5"/>
  <c r="C7" i="5"/>
  <c r="C8" i="5"/>
  <c r="C9" i="5"/>
  <c r="C10" i="5"/>
  <c r="C11" i="5"/>
  <c r="C4" i="5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3" i="2"/>
  <c r="I58" i="6"/>
  <c r="G58" i="6"/>
  <c r="I57" i="6"/>
  <c r="G57" i="6"/>
  <c r="I56" i="6"/>
  <c r="G56" i="6"/>
  <c r="I55" i="6"/>
  <c r="G55" i="6"/>
  <c r="I54" i="6"/>
  <c r="G54" i="6"/>
  <c r="I53" i="6"/>
  <c r="G53" i="6"/>
  <c r="I52" i="6"/>
  <c r="G52" i="6"/>
  <c r="I51" i="6"/>
  <c r="G51" i="6"/>
  <c r="I50" i="6"/>
  <c r="G50" i="6"/>
  <c r="I49" i="6"/>
  <c r="G49" i="6"/>
  <c r="I48" i="6"/>
  <c r="G48" i="6"/>
  <c r="I47" i="6"/>
  <c r="G47" i="6"/>
  <c r="I46" i="6"/>
  <c r="G46" i="6"/>
  <c r="I45" i="6"/>
  <c r="G45" i="6"/>
  <c r="I44" i="6"/>
  <c r="G44" i="6"/>
  <c r="I43" i="6"/>
  <c r="G43" i="6"/>
  <c r="I42" i="6"/>
  <c r="G42" i="6"/>
  <c r="I41" i="6"/>
  <c r="G41" i="6"/>
  <c r="I40" i="6"/>
  <c r="G40" i="6"/>
  <c r="I39" i="6"/>
  <c r="G39" i="6"/>
  <c r="I38" i="6"/>
  <c r="G38" i="6"/>
  <c r="I37" i="6"/>
  <c r="G37" i="6"/>
  <c r="I36" i="6"/>
  <c r="G36" i="6"/>
  <c r="I35" i="6"/>
  <c r="G35" i="6"/>
  <c r="I34" i="6"/>
  <c r="G34" i="6"/>
  <c r="I33" i="6"/>
  <c r="G33" i="6"/>
  <c r="I32" i="6"/>
  <c r="G32" i="6"/>
  <c r="I31" i="6"/>
  <c r="G31" i="6"/>
  <c r="I30" i="6"/>
  <c r="G30" i="6"/>
  <c r="I29" i="6"/>
  <c r="G29" i="6"/>
  <c r="I28" i="6"/>
  <c r="G28" i="6"/>
  <c r="I27" i="6"/>
  <c r="G27" i="6"/>
  <c r="I26" i="6"/>
  <c r="G26" i="6"/>
  <c r="I25" i="6"/>
  <c r="G25" i="6"/>
  <c r="I24" i="6"/>
  <c r="G24" i="6"/>
  <c r="I23" i="6"/>
  <c r="G23" i="6"/>
  <c r="I22" i="6"/>
  <c r="G22" i="6"/>
  <c r="I21" i="6"/>
  <c r="G21" i="6"/>
  <c r="I20" i="6"/>
  <c r="G20" i="6"/>
  <c r="I19" i="6"/>
  <c r="G19" i="6"/>
  <c r="I18" i="6"/>
  <c r="G18" i="6"/>
  <c r="I17" i="6"/>
  <c r="G17" i="6"/>
  <c r="I16" i="6"/>
  <c r="G16" i="6"/>
  <c r="I15" i="6"/>
  <c r="G15" i="6"/>
  <c r="I14" i="6"/>
  <c r="G14" i="6"/>
  <c r="I13" i="6"/>
  <c r="G13" i="6"/>
  <c r="I12" i="6"/>
  <c r="G12" i="6"/>
  <c r="I11" i="6"/>
  <c r="G11" i="6"/>
  <c r="I10" i="6"/>
  <c r="G10" i="6"/>
  <c r="I9" i="6"/>
  <c r="G9" i="6"/>
  <c r="I8" i="6"/>
  <c r="G8" i="6"/>
  <c r="I7" i="6"/>
  <c r="G7" i="6"/>
  <c r="I6" i="6"/>
  <c r="G6" i="6"/>
  <c r="I5" i="6"/>
  <c r="G5" i="6"/>
  <c r="I4" i="6"/>
  <c r="G4" i="6"/>
  <c r="I3" i="6"/>
  <c r="G3" i="6"/>
  <c r="I2" i="6"/>
  <c r="G2" i="6"/>
</calcChain>
</file>

<file path=xl/sharedStrings.xml><?xml version="1.0" encoding="utf-8"?>
<sst xmlns="http://schemas.openxmlformats.org/spreadsheetml/2006/main" count="376" uniqueCount="92">
  <si>
    <t>班级课程成绩表</t>
  </si>
  <si>
    <t>序号</t>
  </si>
  <si>
    <t>学号</t>
  </si>
  <si>
    <t>Oracle数据库应用开发</t>
  </si>
  <si>
    <t>中国特色社会主义体系概论</t>
  </si>
  <si>
    <t>前端设计与开发</t>
  </si>
  <si>
    <t>软件测试技术</t>
  </si>
  <si>
    <t>移动应用开发</t>
  </si>
  <si>
    <t>职业生涯规划</t>
  </si>
  <si>
    <t>分布式数据库</t>
  </si>
  <si>
    <t>平均成绩</t>
  </si>
  <si>
    <t>名次</t>
  </si>
  <si>
    <t>X1601</t>
  </si>
  <si>
    <t>X1602</t>
  </si>
  <si>
    <t>总学分</t>
  </si>
  <si>
    <t>学期评价</t>
  </si>
  <si>
    <t>学分</t>
  </si>
  <si>
    <t>课程名称</t>
  </si>
  <si>
    <t>对应学分</t>
  </si>
  <si>
    <t>日期</t>
  </si>
  <si>
    <t>类别</t>
  </si>
  <si>
    <t>商品型号</t>
  </si>
  <si>
    <t>市场定价</t>
  </si>
  <si>
    <t>促销方式</t>
  </si>
  <si>
    <t>成交单价</t>
  </si>
  <si>
    <t>降价幅度</t>
  </si>
  <si>
    <t>数量</t>
  </si>
  <si>
    <t>销售额</t>
  </si>
  <si>
    <t>销售员</t>
  </si>
  <si>
    <t>冰箱</t>
  </si>
  <si>
    <t>海尔T1017</t>
  </si>
  <si>
    <t>降价</t>
  </si>
  <si>
    <t>A1</t>
  </si>
  <si>
    <t>彩电</t>
  </si>
  <si>
    <t>三星液晶169</t>
  </si>
  <si>
    <t>空调</t>
  </si>
  <si>
    <t>美的3110</t>
  </si>
  <si>
    <t>西门子610</t>
  </si>
  <si>
    <t>A2</t>
  </si>
  <si>
    <t>三星A108</t>
  </si>
  <si>
    <t>A3</t>
  </si>
  <si>
    <t>格力7650</t>
  </si>
  <si>
    <t>送大礼包</t>
  </si>
  <si>
    <t>长虹GDP60</t>
  </si>
  <si>
    <t>A4</t>
  </si>
  <si>
    <t>A5</t>
  </si>
  <si>
    <t>A6</t>
  </si>
  <si>
    <t>海尔KTP20P</t>
  </si>
  <si>
    <t>A7</t>
  </si>
  <si>
    <t>A8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</si>
  <si>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</si>
  <si>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</si>
  <si>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</si>
  <si>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</si>
  <si>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</si>
  <si>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</si>
  <si>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</si>
  <si>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</si>
  <si>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</si>
  <si>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</si>
  <si>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</si>
  <si>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</si>
  <si>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</si>
  <si>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</si>
  <si>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</si>
  <si>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</si>
  <si>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</si>
  <si>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</si>
  <si>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</si>
  <si>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</si>
  <si>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</si>
  <si>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</si>
  <si>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</si>
  <si>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</si>
  <si>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</si>
  <si>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</si>
  <si>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</si>
  <si>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</si>
  <si>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</si>
  <si>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</si>
  <si>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</si>
  <si>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</si>
  <si>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</si>
  <si>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</si>
  <si>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</si>
  <si>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</si>
  <si>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</si>
  <si>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</si>
  <si>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</si>
  <si>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</si>
  <si>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总计</t>
  </si>
  <si>
    <t>销售额求和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</si>
</sst>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¥&quot;#,##0;[Red]&quot;¥&quot;\-#,##0"/>
    <numFmt numFmtId="178" formatCode="\¥#,##0.00;\¥\-#,##0.00"/>
    <numFmt numFmtId="179" formatCode="0.00_ "/>
    <numFmt numFmtId="180" formatCode="0_ "/>
  </numFmts>
  <fonts count="6" x14ac:knownFonts="1">
    <font>
      <sz val="11"/>
      <color theme="1"/>
      <name val="等线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8" fontId="2" fillId="0" borderId="0" xfId="0" applyNumberFormat="1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right" vertical="center"/>
    </xf>
    <xf numFmtId="0" fontId="5" fillId="0" borderId="0" xfId="0" applyFont="1" applyAlignment="1">
      <alignment horizontal="right" vertical="center"/>
    </xf>
    <xf numFmtId="180" fontId="0" fillId="0" borderId="1" xfId="0" applyNumberFormat="1" applyBorder="1" applyAlignment="1">
      <alignment horizontal="center" vertical="center"/>
    </xf>
    <xf numFmtId="0" fontId="0" fillId="0" borderId="0" xfId="0" pivotButton="1">
      <alignment vertical="center"/>
    </xf>
    <xf numFmtId="6" fontId="0" fillId="0" borderId="0" xfId="0" applyNumberFormat="1">
      <alignment vertical="center"/>
    </xf>
  </cellXfs>
  <cellStyles count="1">
    <cellStyle name="常规" xfId="0" builtinId="0"/>
  </cellStyles>
  <dxfs count="17">
    <dxf>
      <numFmt numFmtId="10" formatCode="&quot;¥&quot;#,##0;[Red]&quot;¥&quot;\-#,##0"/>
    </dxf>
    <dxf>
      <numFmt numFmtId="10" formatCode="&quot;¥&quot;#,##0;[Red]&quot;¥&quot;\-#,##0"/>
    </dxf>
    <dxf>
      <numFmt numFmtId="10" formatCode="&quot;¥&quot;#,##0;[Red]&quot;¥&quot;\-#,##0"/>
    </dxf>
    <dxf>
      <numFmt numFmtId="10" formatCode="&quot;¥&quot;#,##0;[Red]&quot;¥&quot;\-#,##0"/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scheme val="minor"/>
      </font>
      <alignment horizontal="right" vertical="center" textRotation="0" wrapText="0" indent="0" justifyLastLine="0" shrinkToFit="0" readingOrder="0"/>
    </dxf>
    <dxf>
      <numFmt numFmtId="179" formatCode="0.00_ 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numFmt numFmtId="30" formatCode="@"/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Sheet1!$J$2</c:f>
              <c:strCache>
                <c:ptCount val="1"/>
                <c:pt idx="0">
                  <c:v>平均成绩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  <c:cat>
            <c:strRef>
              <c:f>Sheet1!$B$3:$B$44</c:f>
              <c:strCache>
                <c:ptCount val="42"/>
                <c:pt idx="0">
                  <c:v>X1601</c:v>
                </c:pt>
                <c:pt idx="1">
                  <c:v>X1602</c:v>
                </c:pt>
                <c:pt idx="2">
                  <c:v>X1603</c:v>
                </c:pt>
                <c:pt idx="3">
                  <c:v>X1604</c:v>
                </c:pt>
                <c:pt idx="4">
                  <c:v>X1605</c:v>
                </c:pt>
                <c:pt idx="5">
                  <c:v>X1606</c:v>
                </c:pt>
                <c:pt idx="6">
                  <c:v>X1607</c:v>
                </c:pt>
                <c:pt idx="7">
                  <c:v>X1608</c:v>
                </c:pt>
                <c:pt idx="8">
                  <c:v>X1609</c:v>
                </c:pt>
                <c:pt idx="9">
                  <c:v>X1610</c:v>
                </c:pt>
                <c:pt idx="10">
                  <c:v>X1611</c:v>
                </c:pt>
                <c:pt idx="11">
                  <c:v>X1612</c:v>
                </c:pt>
                <c:pt idx="12">
                  <c:v>X1613</c:v>
                </c:pt>
                <c:pt idx="13">
                  <c:v>X1614</c:v>
                </c:pt>
                <c:pt idx="14">
                  <c:v>X1615</c:v>
                </c:pt>
                <c:pt idx="15">
                  <c:v>X1616</c:v>
                </c:pt>
                <c:pt idx="16">
                  <c:v>X1617</c:v>
                </c:pt>
                <c:pt idx="17">
                  <c:v>X1618</c:v>
                </c:pt>
                <c:pt idx="18">
                  <c:v>X1619</c:v>
                </c:pt>
                <c:pt idx="19">
                  <c:v>X1620</c:v>
                </c:pt>
                <c:pt idx="20">
                  <c:v>X1621</c:v>
                </c:pt>
                <c:pt idx="21">
                  <c:v>X1622</c:v>
                </c:pt>
                <c:pt idx="22">
                  <c:v>X1623</c:v>
                </c:pt>
                <c:pt idx="23">
                  <c:v>X1624</c:v>
                </c:pt>
                <c:pt idx="24">
                  <c:v>X1625</c:v>
                </c:pt>
                <c:pt idx="25">
                  <c:v>X1626</c:v>
                </c:pt>
                <c:pt idx="26">
                  <c:v>X1627</c:v>
                </c:pt>
                <c:pt idx="27">
                  <c:v>X1628</c:v>
                </c:pt>
                <c:pt idx="28">
                  <c:v>X1629</c:v>
                </c:pt>
                <c:pt idx="29">
                  <c:v>X1630</c:v>
                </c:pt>
                <c:pt idx="30">
                  <c:v>X1631</c:v>
                </c:pt>
                <c:pt idx="31">
                  <c:v>X1632</c:v>
                </c:pt>
                <c:pt idx="32">
                  <c:v>X1633</c:v>
                </c:pt>
                <c:pt idx="33">
                  <c:v>X1634</c:v>
                </c:pt>
                <c:pt idx="34">
                  <c:v>X1635</c:v>
                </c:pt>
                <c:pt idx="35">
                  <c:v>X1636</c:v>
                </c:pt>
                <c:pt idx="36">
                  <c:v>X1637</c:v>
                </c:pt>
                <c:pt idx="37">
                  <c:v>X1638</c:v>
                </c:pt>
                <c:pt idx="38">
                  <c:v>X1639</c:v>
                </c:pt>
                <c:pt idx="39">
                  <c:v>X1640</c:v>
                </c:pt>
                <c:pt idx="40">
                  <c:v>X1641</c:v>
                </c:pt>
                <c:pt idx="41">
                  <c:v>X1642</c:v>
                </c:pt>
              </c:strCache>
            </c:strRef>
          </c:cat>
          <c:val>
            <c:numRef>
              <c:f>Sheet1!$J$3:$J$44</c:f>
              <c:numCache>
                <c:formatCode>0.00_ </c:formatCode>
                <c:ptCount val="42"/>
                <c:pt idx="0">
                  <c:v>56.857142857142854</c:v>
                </c:pt>
                <c:pt idx="1">
                  <c:v>89.428571428571431</c:v>
                </c:pt>
                <c:pt idx="2">
                  <c:v>66.714285714285708</c:v>
                </c:pt>
                <c:pt idx="3">
                  <c:v>50.571428571428569</c:v>
                </c:pt>
                <c:pt idx="4">
                  <c:v>67.428571428571431</c:v>
                </c:pt>
                <c:pt idx="5">
                  <c:v>68.285714285714292</c:v>
                </c:pt>
                <c:pt idx="6">
                  <c:v>73.285714285714292</c:v>
                </c:pt>
                <c:pt idx="7">
                  <c:v>43.285714285714285</c:v>
                </c:pt>
                <c:pt idx="8">
                  <c:v>75.571428571428569</c:v>
                </c:pt>
                <c:pt idx="9">
                  <c:v>75.142857142857139</c:v>
                </c:pt>
                <c:pt idx="10">
                  <c:v>84.714285714285708</c:v>
                </c:pt>
                <c:pt idx="11">
                  <c:v>70.142857142857139</c:v>
                </c:pt>
                <c:pt idx="12">
                  <c:v>73.571428571428569</c:v>
                </c:pt>
                <c:pt idx="13">
                  <c:v>71.714285714285708</c:v>
                </c:pt>
                <c:pt idx="14">
                  <c:v>82.571428571428569</c:v>
                </c:pt>
                <c:pt idx="15">
                  <c:v>76.857142857142861</c:v>
                </c:pt>
                <c:pt idx="16">
                  <c:v>46.428571428571431</c:v>
                </c:pt>
                <c:pt idx="17">
                  <c:v>49.857142857142854</c:v>
                </c:pt>
                <c:pt idx="18">
                  <c:v>84.142857142857139</c:v>
                </c:pt>
                <c:pt idx="19">
                  <c:v>57.285714285714285</c:v>
                </c:pt>
                <c:pt idx="20">
                  <c:v>74</c:v>
                </c:pt>
                <c:pt idx="21">
                  <c:v>76.714285714285708</c:v>
                </c:pt>
                <c:pt idx="22">
                  <c:v>66.714285714285708</c:v>
                </c:pt>
                <c:pt idx="23">
                  <c:v>79</c:v>
                </c:pt>
                <c:pt idx="24">
                  <c:v>75.285714285714292</c:v>
                </c:pt>
                <c:pt idx="25">
                  <c:v>68.428571428571431</c:v>
                </c:pt>
                <c:pt idx="26">
                  <c:v>64.285714285714292</c:v>
                </c:pt>
                <c:pt idx="27">
                  <c:v>58.142857142857146</c:v>
                </c:pt>
                <c:pt idx="28">
                  <c:v>67.142857142857139</c:v>
                </c:pt>
                <c:pt idx="29">
                  <c:v>77.857142857142861</c:v>
                </c:pt>
                <c:pt idx="30">
                  <c:v>85.857142857142861</c:v>
                </c:pt>
                <c:pt idx="31">
                  <c:v>60.428571428571431</c:v>
                </c:pt>
                <c:pt idx="32">
                  <c:v>55.428571428571431</c:v>
                </c:pt>
                <c:pt idx="33">
                  <c:v>47.142857142857146</c:v>
                </c:pt>
                <c:pt idx="34">
                  <c:v>48.571428571428569</c:v>
                </c:pt>
                <c:pt idx="35">
                  <c:v>61.857142857142854</c:v>
                </c:pt>
                <c:pt idx="36">
                  <c:v>88.285714285714292</c:v>
                </c:pt>
                <c:pt idx="37">
                  <c:v>67.142857142857139</c:v>
                </c:pt>
                <c:pt idx="38">
                  <c:v>53.142857142857146</c:v>
                </c:pt>
                <c:pt idx="39">
                  <c:v>63.571428571428569</c:v>
                </c:pt>
                <c:pt idx="40">
                  <c:v>51.571428571428569</c:v>
                </c:pt>
                <c:pt idx="41">
                  <c:v>55.428571428571431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0A-49A9-84D3-25D57ED4F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211312"/>
        <c:axId val="578198832"/>
      </c:areaChart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软件测试技术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Sheet1!$B$3:$B$44</c:f>
              <c:strCache>
                <c:ptCount val="42"/>
                <c:pt idx="0">
                  <c:v>X1601</c:v>
                </c:pt>
                <c:pt idx="1">
                  <c:v>X1602</c:v>
                </c:pt>
                <c:pt idx="2">
                  <c:v>X1603</c:v>
                </c:pt>
                <c:pt idx="3">
                  <c:v>X1604</c:v>
                </c:pt>
                <c:pt idx="4">
                  <c:v>X1605</c:v>
                </c:pt>
                <c:pt idx="5">
                  <c:v>X1606</c:v>
                </c:pt>
                <c:pt idx="6">
                  <c:v>X1607</c:v>
                </c:pt>
                <c:pt idx="7">
                  <c:v>X1608</c:v>
                </c:pt>
                <c:pt idx="8">
                  <c:v>X1609</c:v>
                </c:pt>
                <c:pt idx="9">
                  <c:v>X1610</c:v>
                </c:pt>
                <c:pt idx="10">
                  <c:v>X1611</c:v>
                </c:pt>
                <c:pt idx="11">
                  <c:v>X1612</c:v>
                </c:pt>
                <c:pt idx="12">
                  <c:v>X1613</c:v>
                </c:pt>
                <c:pt idx="13">
                  <c:v>X1614</c:v>
                </c:pt>
                <c:pt idx="14">
                  <c:v>X1615</c:v>
                </c:pt>
                <c:pt idx="15">
                  <c:v>X1616</c:v>
                </c:pt>
                <c:pt idx="16">
                  <c:v>X1617</c:v>
                </c:pt>
                <c:pt idx="17">
                  <c:v>X1618</c:v>
                </c:pt>
                <c:pt idx="18">
                  <c:v>X1619</c:v>
                </c:pt>
                <c:pt idx="19">
                  <c:v>X1620</c:v>
                </c:pt>
                <c:pt idx="20">
                  <c:v>X1621</c:v>
                </c:pt>
                <c:pt idx="21">
                  <c:v>X1622</c:v>
                </c:pt>
                <c:pt idx="22">
                  <c:v>X1623</c:v>
                </c:pt>
                <c:pt idx="23">
                  <c:v>X1624</c:v>
                </c:pt>
                <c:pt idx="24">
                  <c:v>X1625</c:v>
                </c:pt>
                <c:pt idx="25">
                  <c:v>X1626</c:v>
                </c:pt>
                <c:pt idx="26">
                  <c:v>X1627</c:v>
                </c:pt>
                <c:pt idx="27">
                  <c:v>X1628</c:v>
                </c:pt>
                <c:pt idx="28">
                  <c:v>X1629</c:v>
                </c:pt>
                <c:pt idx="29">
                  <c:v>X1630</c:v>
                </c:pt>
                <c:pt idx="30">
                  <c:v>X1631</c:v>
                </c:pt>
                <c:pt idx="31">
                  <c:v>X1632</c:v>
                </c:pt>
                <c:pt idx="32">
                  <c:v>X1633</c:v>
                </c:pt>
                <c:pt idx="33">
                  <c:v>X1634</c:v>
                </c:pt>
                <c:pt idx="34">
                  <c:v>X1635</c:v>
                </c:pt>
                <c:pt idx="35">
                  <c:v>X1636</c:v>
                </c:pt>
                <c:pt idx="36">
                  <c:v>X1637</c:v>
                </c:pt>
                <c:pt idx="37">
                  <c:v>X1638</c:v>
                </c:pt>
                <c:pt idx="38">
                  <c:v>X1639</c:v>
                </c:pt>
                <c:pt idx="39">
                  <c:v>X1640</c:v>
                </c:pt>
                <c:pt idx="40">
                  <c:v>X1641</c:v>
                </c:pt>
                <c:pt idx="41">
                  <c:v>X1642</c:v>
                </c:pt>
              </c:strCache>
            </c:strRef>
          </c:cat>
          <c:val>
            <c:numRef>
              <c:f>Sheet1!$F$3:$F$44</c:f>
              <c:numCache>
                <c:formatCode>General</c:formatCode>
                <c:ptCount val="42"/>
                <c:pt idx="0">
                  <c:v>60</c:v>
                </c:pt>
                <c:pt idx="1">
                  <c:v>92</c:v>
                </c:pt>
                <c:pt idx="2">
                  <c:v>63</c:v>
                </c:pt>
                <c:pt idx="3">
                  <c:v>60</c:v>
                </c:pt>
                <c:pt idx="4">
                  <c:v>62</c:v>
                </c:pt>
                <c:pt idx="5">
                  <c:v>75</c:v>
                </c:pt>
                <c:pt idx="6">
                  <c:v>63</c:v>
                </c:pt>
                <c:pt idx="7">
                  <c:v>60</c:v>
                </c:pt>
                <c:pt idx="8">
                  <c:v>68</c:v>
                </c:pt>
                <c:pt idx="9">
                  <c:v>53</c:v>
                </c:pt>
                <c:pt idx="10">
                  <c:v>76</c:v>
                </c:pt>
                <c:pt idx="11">
                  <c:v>61</c:v>
                </c:pt>
                <c:pt idx="12">
                  <c:v>67</c:v>
                </c:pt>
                <c:pt idx="13">
                  <c:v>71</c:v>
                </c:pt>
                <c:pt idx="14">
                  <c:v>71</c:v>
                </c:pt>
                <c:pt idx="15">
                  <c:v>61</c:v>
                </c:pt>
                <c:pt idx="16">
                  <c:v>53</c:v>
                </c:pt>
                <c:pt idx="17">
                  <c:v>60</c:v>
                </c:pt>
                <c:pt idx="18">
                  <c:v>76</c:v>
                </c:pt>
                <c:pt idx="19">
                  <c:v>63</c:v>
                </c:pt>
                <c:pt idx="20">
                  <c:v>51</c:v>
                </c:pt>
                <c:pt idx="21">
                  <c:v>60</c:v>
                </c:pt>
                <c:pt idx="22">
                  <c:v>66</c:v>
                </c:pt>
                <c:pt idx="23">
                  <c:v>75</c:v>
                </c:pt>
                <c:pt idx="24">
                  <c:v>71</c:v>
                </c:pt>
                <c:pt idx="25">
                  <c:v>50</c:v>
                </c:pt>
                <c:pt idx="26">
                  <c:v>62</c:v>
                </c:pt>
                <c:pt idx="27">
                  <c:v>50</c:v>
                </c:pt>
                <c:pt idx="28">
                  <c:v>49</c:v>
                </c:pt>
                <c:pt idx="29">
                  <c:v>61</c:v>
                </c:pt>
                <c:pt idx="30">
                  <c:v>76</c:v>
                </c:pt>
                <c:pt idx="31">
                  <c:v>60</c:v>
                </c:pt>
                <c:pt idx="32">
                  <c:v>60</c:v>
                </c:pt>
                <c:pt idx="33">
                  <c:v>48</c:v>
                </c:pt>
                <c:pt idx="34">
                  <c:v>47</c:v>
                </c:pt>
                <c:pt idx="35">
                  <c:v>60</c:v>
                </c:pt>
                <c:pt idx="36">
                  <c:v>92</c:v>
                </c:pt>
                <c:pt idx="37">
                  <c:v>48</c:v>
                </c:pt>
                <c:pt idx="38">
                  <c:v>60</c:v>
                </c:pt>
                <c:pt idx="39">
                  <c:v>50</c:v>
                </c:pt>
                <c:pt idx="40">
                  <c:v>51</c:v>
                </c:pt>
                <c:pt idx="41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A-49A9-84D3-25D57ED4F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8211312"/>
        <c:axId val="578198832"/>
      </c:lineChart>
      <c:catAx>
        <c:axId val="57821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198832"/>
        <c:crosses val="autoZero"/>
        <c:auto val="1"/>
        <c:lblAlgn val="ctr"/>
        <c:lblOffset val="100"/>
        <c:noMultiLvlLbl val="0"/>
      </c:catAx>
      <c:valAx>
        <c:axId val="5781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7821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34018</xdr:colOff>
      <xdr:row>45</xdr:row>
      <xdr:rowOff>48985</xdr:rowOff>
    </xdr:from>
    <xdr:to>
      <xdr:col>10</xdr:col>
      <xdr:colOff>495300</xdr:colOff>
      <xdr:row>61</xdr:row>
      <xdr:rowOff>104775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210.442072569444" createdVersion="6" refreshedVersion="6" minRefreshableVersion="3" recordCount="57">
  <cacheSource type="worksheet">
    <worksheetSource ref="A1:J58" sheet="销售清单"/>
  </cacheSource>
  <cacheFields count="10">
    <cacheField name="日期" numFmtId="14">
      <sharedItems containsSemiMixedTypes="0" containsNonDate="0" containsDate="1" containsString="0" minDate="2006-05-01T00:00:00" maxDate="2006-05-08T00:00:00"/>
    </cacheField>
    <cacheField name="类别" numFmtId="0">
      <sharedItems count="3">
        <s v="冰箱"/>
        <s v="彩电"/>
        <s v="空调"/>
      </sharedItems>
    </cacheField>
    <cacheField name="商品型号" numFmtId="0">
      <sharedItems/>
    </cacheField>
    <cacheField name="市场定价" numFmtId="178">
      <sharedItems containsSemiMixedTypes="0" containsString="0" containsNumber="1" containsInteger="1" minValue="1988" maxValue="4688"/>
    </cacheField>
    <cacheField name="促销方式" numFmtId="0">
      <sharedItems/>
    </cacheField>
    <cacheField name="成交单价" numFmtId="178">
      <sharedItems containsSemiMixedTypes="0" containsString="0" containsNumber="1" containsInteger="1" minValue="1788" maxValue="4088"/>
    </cacheField>
    <cacheField name="降价幅度" numFmtId="10">
      <sharedItems containsSemiMixedTypes="0" containsString="0" containsNumber="1" minValue="0" maxValue="0.18980477223427331"/>
    </cacheField>
    <cacheField name="数量" numFmtId="0">
      <sharedItems containsSemiMixedTypes="0" containsString="0" containsNumber="1" containsInteger="1" minValue="0" maxValue="15"/>
    </cacheField>
    <cacheField name="销售额" numFmtId="178">
      <sharedItems containsSemiMixedTypes="0" containsString="0" containsNumber="1" containsInteger="1" minValue="0" maxValue="49056"/>
    </cacheField>
    <cacheField name="销售员" numFmtId="0">
      <sharedItems count="8">
        <s v="A1"/>
        <s v="A2"/>
        <s v="A3"/>
        <s v="A4"/>
        <s v="A5"/>
        <s v="A6"/>
        <s v="A7"/>
        <s v="A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7">
  <r>
    <d v="2006-05-01T00:00:00"/>
    <x v="0"/>
    <s v="海尔T1017"/>
    <n v="2088"/>
    <s v="降价"/>
    <n v="1888"/>
    <n v="9.5785440613026823E-2"/>
    <n v="3"/>
    <n v="5664"/>
    <x v="0"/>
  </r>
  <r>
    <d v="2006-05-02T00:00:00"/>
    <x v="1"/>
    <s v="三星液晶169"/>
    <n v="4688"/>
    <s v="降价"/>
    <n v="4088"/>
    <n v="0.12798634812286688"/>
    <n v="12"/>
    <n v="49056"/>
    <x v="0"/>
  </r>
  <r>
    <d v="2006-05-02T00:00:00"/>
    <x v="2"/>
    <s v="美的3110"/>
    <n v="3188"/>
    <s v="降价"/>
    <n v="2888"/>
    <n v="9.4102885821831864E-2"/>
    <n v="6"/>
    <n v="17328"/>
    <x v="0"/>
  </r>
  <r>
    <d v="2006-05-03T00:00:00"/>
    <x v="0"/>
    <s v="海尔T1017"/>
    <n v="2088"/>
    <s v="降价"/>
    <n v="1888"/>
    <n v="9.5785440613026823E-2"/>
    <n v="10"/>
    <n v="18880"/>
    <x v="0"/>
  </r>
  <r>
    <d v="2006-05-04T00:00:00"/>
    <x v="0"/>
    <s v="海尔T1017"/>
    <n v="2088"/>
    <s v="降价"/>
    <n v="1888"/>
    <n v="9.5785440613026823E-2"/>
    <n v="6"/>
    <n v="11328"/>
    <x v="0"/>
  </r>
  <r>
    <d v="2006-05-05T00:00:00"/>
    <x v="0"/>
    <s v="海尔T1017"/>
    <n v="2088"/>
    <s v="降价"/>
    <n v="1888"/>
    <n v="9.5785440613026823E-2"/>
    <n v="4"/>
    <n v="7552"/>
    <x v="0"/>
  </r>
  <r>
    <d v="2006-05-06T00:00:00"/>
    <x v="0"/>
    <s v="海尔T1017"/>
    <n v="2088"/>
    <s v="降价"/>
    <n v="1888"/>
    <n v="9.5785440613026823E-2"/>
    <n v="2"/>
    <n v="3776"/>
    <x v="0"/>
  </r>
  <r>
    <d v="2006-05-07T00:00:00"/>
    <x v="0"/>
    <s v="海尔T1017"/>
    <n v="2088"/>
    <s v="降价"/>
    <n v="1888"/>
    <n v="9.5785440613026823E-2"/>
    <n v="2"/>
    <n v="3776"/>
    <x v="0"/>
  </r>
  <r>
    <d v="2006-05-01T00:00:00"/>
    <x v="0"/>
    <s v="西门子610"/>
    <n v="1988"/>
    <s v="降价"/>
    <n v="1788"/>
    <n v="0.1006036217303823"/>
    <n v="2"/>
    <n v="3576"/>
    <x v="1"/>
  </r>
  <r>
    <d v="2006-05-02T00:00:00"/>
    <x v="0"/>
    <s v="西门子610"/>
    <n v="1988"/>
    <s v="降价"/>
    <n v="1788"/>
    <n v="0.1006036217303823"/>
    <n v="5"/>
    <n v="8940"/>
    <x v="1"/>
  </r>
  <r>
    <d v="2006-05-03T00:00:00"/>
    <x v="0"/>
    <s v="西门子610"/>
    <n v="1988"/>
    <s v="降价"/>
    <n v="1788"/>
    <n v="0.1006036217303823"/>
    <n v="9"/>
    <n v="16092"/>
    <x v="1"/>
  </r>
  <r>
    <d v="2006-05-04T00:00:00"/>
    <x v="0"/>
    <s v="西门子610"/>
    <n v="1988"/>
    <s v="降价"/>
    <n v="1788"/>
    <n v="0.1006036217303823"/>
    <n v="2"/>
    <n v="3576"/>
    <x v="1"/>
  </r>
  <r>
    <d v="2006-05-05T00:00:00"/>
    <x v="0"/>
    <s v="西门子610"/>
    <n v="1988"/>
    <s v="降价"/>
    <n v="1788"/>
    <n v="0.1006036217303823"/>
    <n v="1"/>
    <n v="1788"/>
    <x v="1"/>
  </r>
  <r>
    <d v="2006-05-06T00:00:00"/>
    <x v="0"/>
    <s v="西门子610"/>
    <n v="1988"/>
    <s v="降价"/>
    <n v="1788"/>
    <n v="0.1006036217303823"/>
    <n v="0"/>
    <n v="0"/>
    <x v="1"/>
  </r>
  <r>
    <d v="2006-05-07T00:00:00"/>
    <x v="0"/>
    <s v="西门子610"/>
    <n v="1988"/>
    <s v="降价"/>
    <n v="1788"/>
    <n v="0.1006036217303823"/>
    <n v="1"/>
    <n v="1788"/>
    <x v="1"/>
  </r>
  <r>
    <d v="2006-05-01T00:00:00"/>
    <x v="1"/>
    <s v="三星A108"/>
    <n v="2688"/>
    <s v="降价"/>
    <n v="2388"/>
    <n v="0.11160714285714286"/>
    <n v="3"/>
    <n v="7164"/>
    <x v="2"/>
  </r>
  <r>
    <d v="2006-05-02T00:00:00"/>
    <x v="1"/>
    <s v="三星A108"/>
    <n v="2688"/>
    <s v="降价"/>
    <n v="2388"/>
    <n v="0.11160714285714286"/>
    <n v="8"/>
    <n v="19104"/>
    <x v="2"/>
  </r>
  <r>
    <d v="2006-05-02T00:00:00"/>
    <x v="2"/>
    <s v="格力7650"/>
    <n v="2988"/>
    <s v="送大礼包"/>
    <n v="2988"/>
    <n v="0"/>
    <n v="3"/>
    <n v="8964"/>
    <x v="2"/>
  </r>
  <r>
    <d v="2006-05-03T00:00:00"/>
    <x v="1"/>
    <s v="三星A108"/>
    <n v="2688"/>
    <s v="降价"/>
    <n v="2388"/>
    <n v="0.11160714285714286"/>
    <n v="8"/>
    <n v="19104"/>
    <x v="2"/>
  </r>
  <r>
    <d v="2006-05-04T00:00:00"/>
    <x v="1"/>
    <s v="三星A108"/>
    <n v="2688"/>
    <s v="降价"/>
    <n v="2388"/>
    <n v="0.11160714285714286"/>
    <n v="9"/>
    <n v="21492"/>
    <x v="2"/>
  </r>
  <r>
    <d v="2006-05-05T00:00:00"/>
    <x v="1"/>
    <s v="三星A108"/>
    <n v="2688"/>
    <s v="降价"/>
    <n v="2388"/>
    <n v="0.11160714285714286"/>
    <n v="5"/>
    <n v="11940"/>
    <x v="2"/>
  </r>
  <r>
    <d v="2006-05-06T00:00:00"/>
    <x v="1"/>
    <s v="三星A108"/>
    <n v="2688"/>
    <s v="降价"/>
    <n v="2388"/>
    <n v="0.11160714285714286"/>
    <n v="2"/>
    <n v="4776"/>
    <x v="2"/>
  </r>
  <r>
    <d v="2006-05-07T00:00:00"/>
    <x v="1"/>
    <s v="三星A108"/>
    <n v="2688"/>
    <s v="降价"/>
    <n v="2388"/>
    <n v="0.11160714285714286"/>
    <n v="1"/>
    <n v="2388"/>
    <x v="2"/>
  </r>
  <r>
    <d v="2006-05-01T00:00:00"/>
    <x v="1"/>
    <s v="长虹GDP60"/>
    <n v="1988"/>
    <s v="送大礼包"/>
    <n v="1988"/>
    <n v="0"/>
    <n v="2"/>
    <n v="3976"/>
    <x v="3"/>
  </r>
  <r>
    <d v="2006-05-02T00:00:00"/>
    <x v="0"/>
    <s v="海尔T1017"/>
    <n v="2088"/>
    <s v="降价"/>
    <n v="1888"/>
    <n v="9.5785440613026823E-2"/>
    <n v="3"/>
    <n v="5664"/>
    <x v="3"/>
  </r>
  <r>
    <d v="2006-05-03T00:00:00"/>
    <x v="1"/>
    <s v="长虹GDP60"/>
    <n v="1988"/>
    <s v="送大礼包"/>
    <n v="1988"/>
    <n v="0"/>
    <n v="7"/>
    <n v="13916"/>
    <x v="3"/>
  </r>
  <r>
    <d v="2006-05-04T00:00:00"/>
    <x v="1"/>
    <s v="长虹GDP60"/>
    <n v="1988"/>
    <s v="送大礼包"/>
    <n v="1988"/>
    <n v="0"/>
    <n v="3"/>
    <n v="5964"/>
    <x v="3"/>
  </r>
  <r>
    <d v="2006-05-05T00:00:00"/>
    <x v="1"/>
    <s v="长虹GDP60"/>
    <n v="1988"/>
    <s v="送大礼包"/>
    <n v="1988"/>
    <n v="0"/>
    <n v="1"/>
    <n v="1988"/>
    <x v="3"/>
  </r>
  <r>
    <d v="2006-05-06T00:00:00"/>
    <x v="1"/>
    <s v="长虹GDP60"/>
    <n v="1988"/>
    <s v="送大礼包"/>
    <n v="1988"/>
    <n v="0"/>
    <n v="0"/>
    <n v="0"/>
    <x v="3"/>
  </r>
  <r>
    <d v="2006-05-07T00:00:00"/>
    <x v="1"/>
    <s v="长虹GDP60"/>
    <n v="1988"/>
    <s v="送大礼包"/>
    <n v="1988"/>
    <n v="0"/>
    <n v="1"/>
    <n v="1988"/>
    <x v="3"/>
  </r>
  <r>
    <d v="2006-05-01T00:00:00"/>
    <x v="1"/>
    <s v="三星液晶169"/>
    <n v="4688"/>
    <s v="降价"/>
    <n v="4088"/>
    <n v="0.12798634812286688"/>
    <n v="1"/>
    <n v="4088"/>
    <x v="4"/>
  </r>
  <r>
    <d v="2006-05-02T00:00:00"/>
    <x v="1"/>
    <s v="三星液晶169"/>
    <n v="4688"/>
    <s v="降价"/>
    <n v="4088"/>
    <n v="0.12798634812286688"/>
    <n v="8"/>
    <n v="32704"/>
    <x v="4"/>
  </r>
  <r>
    <d v="2006-05-03T00:00:00"/>
    <x v="1"/>
    <s v="三星液晶169"/>
    <n v="4688"/>
    <s v="降价"/>
    <n v="4088"/>
    <n v="0.12798634812286688"/>
    <n v="10"/>
    <n v="40880"/>
    <x v="4"/>
  </r>
  <r>
    <d v="2006-05-04T00:00:00"/>
    <x v="1"/>
    <s v="三星液晶169"/>
    <n v="4688"/>
    <s v="降价"/>
    <n v="4088"/>
    <n v="0.12798634812286688"/>
    <n v="12"/>
    <n v="49056"/>
    <x v="4"/>
  </r>
  <r>
    <d v="2006-05-05T00:00:00"/>
    <x v="1"/>
    <s v="三星液晶169"/>
    <n v="4688"/>
    <s v="降价"/>
    <n v="4088"/>
    <n v="0.12798634812286688"/>
    <n v="6"/>
    <n v="24528"/>
    <x v="4"/>
  </r>
  <r>
    <d v="2006-05-06T00:00:00"/>
    <x v="1"/>
    <s v="三星液晶169"/>
    <n v="4688"/>
    <s v="降价"/>
    <n v="4088"/>
    <n v="0.12798634812286688"/>
    <n v="4"/>
    <n v="16352"/>
    <x v="4"/>
  </r>
  <r>
    <d v="2006-05-07T00:00:00"/>
    <x v="1"/>
    <s v="三星液晶169"/>
    <n v="4688"/>
    <s v="降价"/>
    <n v="4088"/>
    <n v="0.12798634812286688"/>
    <n v="3"/>
    <n v="12264"/>
    <x v="4"/>
  </r>
  <r>
    <d v="2006-05-01T00:00:00"/>
    <x v="2"/>
    <s v="格力7650"/>
    <n v="2988"/>
    <s v="送大礼包"/>
    <n v="2988"/>
    <n v="0"/>
    <n v="2"/>
    <n v="5976"/>
    <x v="5"/>
  </r>
  <r>
    <d v="2006-05-02T00:00:00"/>
    <x v="1"/>
    <s v="长虹GDP60"/>
    <n v="1988"/>
    <s v="送大礼包"/>
    <n v="1988"/>
    <n v="0"/>
    <n v="6"/>
    <n v="11928"/>
    <x v="5"/>
  </r>
  <r>
    <d v="2006-05-02T00:00:00"/>
    <x v="2"/>
    <s v="海尔KTP20P"/>
    <n v="3688"/>
    <s v="降价"/>
    <n v="2988"/>
    <n v="0.18980477223427331"/>
    <n v="10"/>
    <n v="29880"/>
    <x v="5"/>
  </r>
  <r>
    <d v="2006-05-03T00:00:00"/>
    <x v="2"/>
    <s v="格力7650"/>
    <n v="2988"/>
    <s v="送大礼包"/>
    <n v="2988"/>
    <n v="0"/>
    <n v="6"/>
    <n v="17928"/>
    <x v="5"/>
  </r>
  <r>
    <d v="2006-05-04T00:00:00"/>
    <x v="2"/>
    <s v="格力7650"/>
    <n v="2988"/>
    <s v="送大礼包"/>
    <n v="2988"/>
    <n v="0"/>
    <n v="3"/>
    <n v="8964"/>
    <x v="5"/>
  </r>
  <r>
    <d v="2006-05-05T00:00:00"/>
    <x v="2"/>
    <s v="格力7650"/>
    <n v="2988"/>
    <s v="送大礼包"/>
    <n v="2988"/>
    <n v="0"/>
    <n v="0"/>
    <n v="0"/>
    <x v="5"/>
  </r>
  <r>
    <d v="2006-05-06T00:00:00"/>
    <x v="2"/>
    <s v="格力7650"/>
    <n v="2988"/>
    <s v="送大礼包"/>
    <n v="2988"/>
    <n v="0"/>
    <n v="2"/>
    <n v="5976"/>
    <x v="5"/>
  </r>
  <r>
    <d v="2006-05-07T00:00:00"/>
    <x v="2"/>
    <s v="格力7650"/>
    <n v="2988"/>
    <s v="送大礼包"/>
    <n v="2988"/>
    <n v="0"/>
    <n v="0"/>
    <n v="0"/>
    <x v="5"/>
  </r>
  <r>
    <d v="2006-05-01T00:00:00"/>
    <x v="2"/>
    <s v="海尔KTP20P"/>
    <n v="3688"/>
    <s v="降价"/>
    <n v="2988"/>
    <n v="0.18980477223427331"/>
    <n v="4"/>
    <n v="11952"/>
    <x v="6"/>
  </r>
  <r>
    <d v="2006-05-03T00:00:00"/>
    <x v="2"/>
    <s v="海尔KTP20P"/>
    <n v="3688"/>
    <s v="降价"/>
    <n v="2988"/>
    <n v="0.18980477223427331"/>
    <n v="15"/>
    <n v="44820"/>
    <x v="6"/>
  </r>
  <r>
    <d v="2006-05-04T00:00:00"/>
    <x v="2"/>
    <s v="海尔KTP20P"/>
    <n v="3688"/>
    <s v="降价"/>
    <n v="2988"/>
    <n v="0.18980477223427331"/>
    <n v="10"/>
    <n v="29880"/>
    <x v="6"/>
  </r>
  <r>
    <d v="2006-05-05T00:00:00"/>
    <x v="2"/>
    <s v="海尔KTP20P"/>
    <n v="3688"/>
    <s v="降价"/>
    <n v="2988"/>
    <n v="0.18980477223427331"/>
    <n v="6"/>
    <n v="17928"/>
    <x v="6"/>
  </r>
  <r>
    <d v="2006-05-06T00:00:00"/>
    <x v="2"/>
    <s v="海尔KTP20P"/>
    <n v="3688"/>
    <s v="降价"/>
    <n v="2988"/>
    <n v="0.18980477223427331"/>
    <n v="2"/>
    <n v="5976"/>
    <x v="6"/>
  </r>
  <r>
    <d v="2006-05-07T00:00:00"/>
    <x v="2"/>
    <s v="海尔KTP20P"/>
    <n v="3688"/>
    <s v="降价"/>
    <n v="2988"/>
    <n v="0.18980477223427331"/>
    <n v="0"/>
    <n v="0"/>
    <x v="6"/>
  </r>
  <r>
    <d v="2006-05-01T00:00:00"/>
    <x v="2"/>
    <s v="美的3110"/>
    <n v="3188"/>
    <s v="降价"/>
    <n v="2888"/>
    <n v="9.4102885821831864E-2"/>
    <n v="3"/>
    <n v="8664"/>
    <x v="7"/>
  </r>
  <r>
    <d v="2006-05-03T00:00:00"/>
    <x v="2"/>
    <s v="美的3110"/>
    <n v="3188"/>
    <s v="降价"/>
    <n v="2888"/>
    <n v="9.4102885821831864E-2"/>
    <n v="12"/>
    <n v="34656"/>
    <x v="7"/>
  </r>
  <r>
    <d v="2006-05-04T00:00:00"/>
    <x v="2"/>
    <s v="美的3110"/>
    <n v="3188"/>
    <s v="降价"/>
    <n v="2888"/>
    <n v="9.4102885821831864E-2"/>
    <n v="8"/>
    <n v="23104"/>
    <x v="7"/>
  </r>
  <r>
    <d v="2006-05-05T00:00:00"/>
    <x v="2"/>
    <s v="美的3110"/>
    <n v="3188"/>
    <s v="降价"/>
    <n v="2888"/>
    <n v="9.4102885821831864E-2"/>
    <n v="5"/>
    <n v="14440"/>
    <x v="7"/>
  </r>
  <r>
    <d v="2006-05-06T00:00:00"/>
    <x v="2"/>
    <s v="美的3110"/>
    <n v="3188"/>
    <s v="降价"/>
    <n v="2888"/>
    <n v="9.4102885821831864E-2"/>
    <n v="3"/>
    <n v="8664"/>
    <x v="7"/>
  </r>
  <r>
    <d v="2006-05-07T00:00:00"/>
    <x v="2"/>
    <s v="美的3110"/>
    <n v="3188"/>
    <s v="降价"/>
    <n v="2888"/>
    <n v="9.4102885821831864E-2"/>
    <n v="4"/>
    <n v="11552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7" applyNumberFormats="0" applyBorderFormats="0" applyFontFormats="0" applyPatternFormats="0" applyAlignmentFormats="0" applyWidthHeightFormats="1" dataCaption="值" updatedVersion="6" minRefreshableVersion="3" useAutoFormatting="1" rowGrandTotals="0" itemPrintTitles="1" createdVersion="6" indent="0" outline="1" outlineData="1" multipleFieldFilters="0" rowHeaderCaption="销售员" colHeaderCaption="类别">
  <location ref="L2:P11" firstHeaderRow="1" firstDataRow="2" firstDataCol="1"/>
  <pivotFields count="10">
    <pivotField numFmtId="14" showAll="0"/>
    <pivotField axis="axisCol" showAll="0">
      <items count="4">
        <item x="0"/>
        <item x="1"/>
        <item x="2"/>
        <item t="default"/>
      </items>
    </pivotField>
    <pivotField showAll="0"/>
    <pivotField numFmtId="178" showAll="0"/>
    <pivotField showAll="0"/>
    <pivotField numFmtId="178" showAll="0"/>
    <pivotField numFmtId="10" showAll="0"/>
    <pivotField showAll="0"/>
    <pivotField dataField="1" numFmtId="178"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销售额求和" fld="8" baseField="0" baseItem="0" numFmtId="6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K44" totalsRowShown="0" headerRowDxfId="4" dataDxfId="5">
  <autoFilter ref="A2:K44"/>
  <tableColumns count="11">
    <tableColumn id="1" name="序号" dataDxfId="16"/>
    <tableColumn id="2" name="学号" dataDxfId="15"/>
    <tableColumn id="3" name="Oracle数据库应用开发" dataDxfId="14"/>
    <tableColumn id="4" name="中国特色社会主义体系概论" dataDxfId="13"/>
    <tableColumn id="5" name="前端设计与开发" dataDxfId="12"/>
    <tableColumn id="6" name="软件测试技术" dataDxfId="11"/>
    <tableColumn id="7" name="移动应用开发" dataDxfId="10"/>
    <tableColumn id="8" name="职业生涯规划" dataDxfId="9"/>
    <tableColumn id="9" name="分布式数据库" dataDxfId="8"/>
    <tableColumn id="10" name="平均成绩" dataDxfId="7">
      <calculatedColumnFormula>AVERAGE(C3:I3)</calculatedColumnFormula>
    </tableColumn>
    <tableColumn id="11" name="名次" dataDxfId="6">
      <calculatedColumnFormula>RANK(J3,$J$3:$J$44,0)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"/>
  <sheetViews>
    <sheetView zoomScaleNormal="100" workbookViewId="0">
      <selection activeCell="J67" sqref="J67"/>
    </sheetView>
  </sheetViews>
  <sheetFormatPr defaultColWidth="9" defaultRowHeight="14.25" x14ac:dyDescent="0.2"/>
  <cols>
    <col min="1" max="2" width="7.625" style="7" customWidth="1"/>
    <col min="3" max="3" width="21.125" style="7" customWidth="1"/>
    <col min="4" max="4" width="25.5" style="7" customWidth="1"/>
    <col min="5" max="5" width="15.875" style="7" customWidth="1"/>
    <col min="6" max="9" width="14" style="7" customWidth="1"/>
    <col min="10" max="10" width="10.25" style="7" customWidth="1"/>
    <col min="11" max="11" width="7.625" style="7" customWidth="1"/>
    <col min="12" max="16384" width="9" style="7"/>
  </cols>
  <sheetData>
    <row r="1" spans="1:1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8" customFormat="1" ht="34.5" customHeight="1" x14ac:dyDescent="0.2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</row>
    <row r="3" spans="1:11" x14ac:dyDescent="0.2">
      <c r="A3" s="14">
        <v>1</v>
      </c>
      <c r="B3" s="15" t="s">
        <v>12</v>
      </c>
      <c r="C3" s="14">
        <v>53</v>
      </c>
      <c r="D3" s="14">
        <v>74</v>
      </c>
      <c r="E3" s="14">
        <v>45</v>
      </c>
      <c r="F3" s="14">
        <v>60</v>
      </c>
      <c r="G3" s="14">
        <v>60</v>
      </c>
      <c r="H3" s="14">
        <v>77</v>
      </c>
      <c r="I3" s="14">
        <v>29</v>
      </c>
      <c r="J3" s="18">
        <f>AVERAGE(C3:I3)</f>
        <v>56.857142857142854</v>
      </c>
      <c r="K3" s="19">
        <f>RANK(J3,$J$3:$J$44,0)</f>
        <v>32</v>
      </c>
    </row>
    <row r="4" spans="1:11" x14ac:dyDescent="0.2">
      <c r="A4" s="14">
        <v>2</v>
      </c>
      <c r="B4" s="15" t="s">
        <v>13</v>
      </c>
      <c r="C4" s="14">
        <v>90</v>
      </c>
      <c r="D4" s="14">
        <v>87</v>
      </c>
      <c r="E4" s="14">
        <v>91</v>
      </c>
      <c r="F4" s="14">
        <v>92</v>
      </c>
      <c r="G4" s="14">
        <v>90</v>
      </c>
      <c r="H4" s="14">
        <v>90</v>
      </c>
      <c r="I4" s="14">
        <v>86</v>
      </c>
      <c r="J4" s="18">
        <f t="shared" ref="J4:J44" si="0">AVERAGE(C4:I4)</f>
        <v>89.428571428571431</v>
      </c>
      <c r="K4" s="19">
        <f t="shared" ref="K4:K44" si="1">RANK(J4,$J$3:$J$44,0)</f>
        <v>1</v>
      </c>
    </row>
    <row r="5" spans="1:11" x14ac:dyDescent="0.2">
      <c r="A5" s="14">
        <v>3</v>
      </c>
      <c r="B5" s="15" t="s">
        <v>50</v>
      </c>
      <c r="C5" s="14">
        <v>63</v>
      </c>
      <c r="D5" s="14">
        <v>76</v>
      </c>
      <c r="E5" s="14">
        <v>65</v>
      </c>
      <c r="F5" s="14">
        <v>63</v>
      </c>
      <c r="G5" s="14">
        <v>60</v>
      </c>
      <c r="H5" s="14">
        <v>76</v>
      </c>
      <c r="I5" s="14">
        <v>64</v>
      </c>
      <c r="J5" s="18">
        <f t="shared" si="0"/>
        <v>66.714285714285708</v>
      </c>
      <c r="K5" s="19">
        <f t="shared" si="1"/>
        <v>24</v>
      </c>
    </row>
    <row r="6" spans="1:11" x14ac:dyDescent="0.2">
      <c r="A6" s="14">
        <v>4</v>
      </c>
      <c r="B6" s="15" t="s">
        <v>51</v>
      </c>
      <c r="C6" s="14">
        <v>60</v>
      </c>
      <c r="D6" s="14">
        <v>47</v>
      </c>
      <c r="E6" s="14">
        <v>28</v>
      </c>
      <c r="F6" s="14">
        <v>60</v>
      </c>
      <c r="G6" s="14">
        <v>60</v>
      </c>
      <c r="H6" s="14">
        <v>75</v>
      </c>
      <c r="I6" s="14">
        <v>24</v>
      </c>
      <c r="J6" s="18">
        <f t="shared" si="0"/>
        <v>50.571428571428569</v>
      </c>
      <c r="K6" s="19">
        <f t="shared" si="1"/>
        <v>37</v>
      </c>
    </row>
    <row r="7" spans="1:11" x14ac:dyDescent="0.2">
      <c r="A7" s="14">
        <v>5</v>
      </c>
      <c r="B7" s="15" t="s">
        <v>52</v>
      </c>
      <c r="C7" s="14">
        <v>70</v>
      </c>
      <c r="D7" s="14">
        <v>71</v>
      </c>
      <c r="E7" s="14">
        <v>70</v>
      </c>
      <c r="F7" s="14">
        <v>62</v>
      </c>
      <c r="G7" s="14">
        <v>60</v>
      </c>
      <c r="H7" s="14">
        <v>76</v>
      </c>
      <c r="I7" s="14">
        <v>63</v>
      </c>
      <c r="J7" s="18">
        <f t="shared" si="0"/>
        <v>67.428571428571431</v>
      </c>
      <c r="K7" s="19">
        <f t="shared" si="1"/>
        <v>21</v>
      </c>
    </row>
    <row r="8" spans="1:11" x14ac:dyDescent="0.2">
      <c r="A8" s="14">
        <v>6</v>
      </c>
      <c r="B8" s="15" t="s">
        <v>53</v>
      </c>
      <c r="C8" s="14">
        <v>60</v>
      </c>
      <c r="D8" s="14">
        <v>80</v>
      </c>
      <c r="E8" s="14">
        <v>76</v>
      </c>
      <c r="F8" s="14">
        <v>75</v>
      </c>
      <c r="G8" s="14">
        <v>60</v>
      </c>
      <c r="H8" s="14">
        <v>67</v>
      </c>
      <c r="I8" s="14">
        <v>60</v>
      </c>
      <c r="J8" s="18">
        <f t="shared" si="0"/>
        <v>68.285714285714292</v>
      </c>
      <c r="K8" s="19">
        <f t="shared" si="1"/>
        <v>20</v>
      </c>
    </row>
    <row r="9" spans="1:11" x14ac:dyDescent="0.2">
      <c r="A9" s="14">
        <v>7</v>
      </c>
      <c r="B9" s="15" t="s">
        <v>54</v>
      </c>
      <c r="C9" s="14">
        <v>65</v>
      </c>
      <c r="D9" s="14">
        <v>87</v>
      </c>
      <c r="E9" s="14">
        <v>77</v>
      </c>
      <c r="F9" s="14">
        <v>63</v>
      </c>
      <c r="G9" s="14">
        <v>70</v>
      </c>
      <c r="H9" s="14">
        <v>81</v>
      </c>
      <c r="I9" s="14">
        <v>70</v>
      </c>
      <c r="J9" s="18">
        <f t="shared" si="0"/>
        <v>73.285714285714292</v>
      </c>
      <c r="K9" s="19">
        <f t="shared" si="1"/>
        <v>16</v>
      </c>
    </row>
    <row r="10" spans="1:11" x14ac:dyDescent="0.2">
      <c r="A10" s="14">
        <v>8</v>
      </c>
      <c r="B10" s="15" t="s">
        <v>55</v>
      </c>
      <c r="C10" s="14">
        <v>42</v>
      </c>
      <c r="D10" s="14">
        <v>41</v>
      </c>
      <c r="E10" s="14">
        <v>38</v>
      </c>
      <c r="F10" s="14">
        <v>60</v>
      </c>
      <c r="G10" s="14">
        <v>60</v>
      </c>
      <c r="H10" s="14">
        <v>60</v>
      </c>
      <c r="I10" s="14">
        <v>2</v>
      </c>
      <c r="J10" s="18">
        <f t="shared" si="0"/>
        <v>43.285714285714285</v>
      </c>
      <c r="K10" s="19">
        <f t="shared" si="1"/>
        <v>42</v>
      </c>
    </row>
    <row r="11" spans="1:11" x14ac:dyDescent="0.2">
      <c r="A11" s="14">
        <v>9</v>
      </c>
      <c r="B11" s="15" t="s">
        <v>56</v>
      </c>
      <c r="C11" s="14">
        <v>75</v>
      </c>
      <c r="D11" s="14">
        <v>74</v>
      </c>
      <c r="E11" s="14">
        <v>74</v>
      </c>
      <c r="F11" s="14">
        <v>68</v>
      </c>
      <c r="G11" s="14">
        <v>70</v>
      </c>
      <c r="H11" s="14">
        <v>79</v>
      </c>
      <c r="I11" s="14">
        <v>89</v>
      </c>
      <c r="J11" s="18">
        <f t="shared" si="0"/>
        <v>75.571428571428569</v>
      </c>
      <c r="K11" s="19">
        <f t="shared" si="1"/>
        <v>11</v>
      </c>
    </row>
    <row r="12" spans="1:11" x14ac:dyDescent="0.2">
      <c r="A12" s="14">
        <v>10</v>
      </c>
      <c r="B12" s="15" t="s">
        <v>57</v>
      </c>
      <c r="C12" s="14">
        <v>90</v>
      </c>
      <c r="D12" s="14">
        <v>69</v>
      </c>
      <c r="E12" s="14">
        <v>94</v>
      </c>
      <c r="F12" s="14">
        <v>53</v>
      </c>
      <c r="G12" s="14">
        <v>80</v>
      </c>
      <c r="H12" s="14">
        <v>77</v>
      </c>
      <c r="I12" s="14">
        <v>63</v>
      </c>
      <c r="J12" s="18">
        <f t="shared" si="0"/>
        <v>75.142857142857139</v>
      </c>
      <c r="K12" s="19">
        <f t="shared" si="1"/>
        <v>13</v>
      </c>
    </row>
    <row r="13" spans="1:11" x14ac:dyDescent="0.2">
      <c r="A13" s="14">
        <v>11</v>
      </c>
      <c r="B13" s="15" t="s">
        <v>58</v>
      </c>
      <c r="C13" s="14">
        <v>85</v>
      </c>
      <c r="D13" s="14">
        <v>88</v>
      </c>
      <c r="E13" s="14">
        <v>84</v>
      </c>
      <c r="F13" s="14">
        <v>76</v>
      </c>
      <c r="G13" s="14">
        <v>85</v>
      </c>
      <c r="H13" s="14">
        <v>80</v>
      </c>
      <c r="I13" s="14">
        <v>95</v>
      </c>
      <c r="J13" s="18">
        <f t="shared" si="0"/>
        <v>84.714285714285708</v>
      </c>
      <c r="K13" s="19">
        <f t="shared" si="1"/>
        <v>4</v>
      </c>
    </row>
    <row r="14" spans="1:11" x14ac:dyDescent="0.2">
      <c r="A14" s="14">
        <v>12</v>
      </c>
      <c r="B14" s="15" t="s">
        <v>59</v>
      </c>
      <c r="C14" s="14">
        <v>69</v>
      </c>
      <c r="D14" s="14">
        <v>75</v>
      </c>
      <c r="E14" s="14">
        <v>69</v>
      </c>
      <c r="F14" s="14">
        <v>61</v>
      </c>
      <c r="G14" s="14">
        <v>60</v>
      </c>
      <c r="H14" s="14">
        <v>78</v>
      </c>
      <c r="I14" s="14">
        <v>79</v>
      </c>
      <c r="J14" s="18">
        <f t="shared" si="0"/>
        <v>70.142857142857139</v>
      </c>
      <c r="K14" s="19">
        <f t="shared" si="1"/>
        <v>18</v>
      </c>
    </row>
    <row r="15" spans="1:11" x14ac:dyDescent="0.2">
      <c r="A15" s="14">
        <v>13</v>
      </c>
      <c r="B15" s="15" t="s">
        <v>60</v>
      </c>
      <c r="C15" s="14">
        <v>72</v>
      </c>
      <c r="D15" s="14">
        <v>78</v>
      </c>
      <c r="E15" s="14">
        <v>72</v>
      </c>
      <c r="F15" s="14">
        <v>67</v>
      </c>
      <c r="G15" s="14">
        <v>60</v>
      </c>
      <c r="H15" s="14">
        <v>77</v>
      </c>
      <c r="I15" s="14">
        <v>89</v>
      </c>
      <c r="J15" s="18">
        <f t="shared" si="0"/>
        <v>73.571428571428569</v>
      </c>
      <c r="K15" s="19">
        <f t="shared" si="1"/>
        <v>15</v>
      </c>
    </row>
    <row r="16" spans="1:11" x14ac:dyDescent="0.2">
      <c r="A16" s="14">
        <v>14</v>
      </c>
      <c r="B16" s="15" t="s">
        <v>61</v>
      </c>
      <c r="C16" s="14">
        <v>84</v>
      </c>
      <c r="D16" s="14">
        <v>80</v>
      </c>
      <c r="E16" s="14">
        <v>62</v>
      </c>
      <c r="F16" s="14">
        <v>71</v>
      </c>
      <c r="G16" s="14">
        <v>60</v>
      </c>
      <c r="H16" s="14">
        <v>84</v>
      </c>
      <c r="I16" s="14">
        <v>61</v>
      </c>
      <c r="J16" s="18">
        <f t="shared" si="0"/>
        <v>71.714285714285708</v>
      </c>
      <c r="K16" s="19">
        <f t="shared" si="1"/>
        <v>17</v>
      </c>
    </row>
    <row r="17" spans="1:11" x14ac:dyDescent="0.2">
      <c r="A17" s="14">
        <v>15</v>
      </c>
      <c r="B17" s="15" t="s">
        <v>62</v>
      </c>
      <c r="C17" s="14">
        <v>89</v>
      </c>
      <c r="D17" s="14">
        <v>78</v>
      </c>
      <c r="E17" s="14">
        <v>80</v>
      </c>
      <c r="F17" s="14">
        <v>71</v>
      </c>
      <c r="G17" s="14">
        <v>85</v>
      </c>
      <c r="H17" s="14">
        <v>81</v>
      </c>
      <c r="I17" s="14">
        <v>94</v>
      </c>
      <c r="J17" s="18">
        <f t="shared" si="0"/>
        <v>82.571428571428569</v>
      </c>
      <c r="K17" s="19">
        <f t="shared" si="1"/>
        <v>6</v>
      </c>
    </row>
    <row r="18" spans="1:11" x14ac:dyDescent="0.2">
      <c r="A18" s="14">
        <v>16</v>
      </c>
      <c r="B18" s="15" t="s">
        <v>63</v>
      </c>
      <c r="C18" s="14">
        <v>71</v>
      </c>
      <c r="D18" s="14">
        <v>73</v>
      </c>
      <c r="E18" s="14">
        <v>81</v>
      </c>
      <c r="F18" s="14">
        <v>61</v>
      </c>
      <c r="G18" s="14">
        <v>85</v>
      </c>
      <c r="H18" s="14">
        <v>82</v>
      </c>
      <c r="I18" s="14">
        <v>85</v>
      </c>
      <c r="J18" s="18">
        <f t="shared" si="0"/>
        <v>76.857142857142861</v>
      </c>
      <c r="K18" s="19">
        <f t="shared" si="1"/>
        <v>9</v>
      </c>
    </row>
    <row r="19" spans="1:11" x14ac:dyDescent="0.2">
      <c r="A19" s="14">
        <v>17</v>
      </c>
      <c r="B19" s="15" t="s">
        <v>64</v>
      </c>
      <c r="C19" s="14">
        <v>44</v>
      </c>
      <c r="D19" s="14">
        <v>67</v>
      </c>
      <c r="E19" s="14">
        <v>15</v>
      </c>
      <c r="F19" s="14">
        <v>53</v>
      </c>
      <c r="G19" s="14">
        <v>30</v>
      </c>
      <c r="H19" s="14">
        <v>83</v>
      </c>
      <c r="I19" s="14">
        <v>33</v>
      </c>
      <c r="J19" s="18">
        <f t="shared" si="0"/>
        <v>46.428571428571431</v>
      </c>
      <c r="K19" s="19">
        <f t="shared" si="1"/>
        <v>41</v>
      </c>
    </row>
    <row r="20" spans="1:11" x14ac:dyDescent="0.2">
      <c r="A20" s="14">
        <v>18</v>
      </c>
      <c r="B20" s="15" t="s">
        <v>65</v>
      </c>
      <c r="C20" s="14">
        <v>35</v>
      </c>
      <c r="D20" s="14">
        <v>64</v>
      </c>
      <c r="E20" s="14">
        <v>10</v>
      </c>
      <c r="F20" s="14">
        <v>60</v>
      </c>
      <c r="G20" s="14">
        <v>30</v>
      </c>
      <c r="H20" s="14">
        <v>82</v>
      </c>
      <c r="I20" s="14">
        <v>68</v>
      </c>
      <c r="J20" s="18">
        <f t="shared" si="0"/>
        <v>49.857142857142854</v>
      </c>
      <c r="K20" s="19">
        <f t="shared" si="1"/>
        <v>38</v>
      </c>
    </row>
    <row r="21" spans="1:11" x14ac:dyDescent="0.2">
      <c r="A21" s="14">
        <v>19</v>
      </c>
      <c r="B21" s="15" t="s">
        <v>66</v>
      </c>
      <c r="C21" s="14">
        <v>93</v>
      </c>
      <c r="D21" s="14">
        <v>86</v>
      </c>
      <c r="E21" s="14">
        <v>82</v>
      </c>
      <c r="F21" s="14">
        <v>76</v>
      </c>
      <c r="G21" s="14">
        <v>85</v>
      </c>
      <c r="H21" s="14">
        <v>83</v>
      </c>
      <c r="I21" s="14">
        <v>84</v>
      </c>
      <c r="J21" s="18">
        <f t="shared" si="0"/>
        <v>84.142857142857139</v>
      </c>
      <c r="K21" s="19">
        <f t="shared" si="1"/>
        <v>5</v>
      </c>
    </row>
    <row r="22" spans="1:11" x14ac:dyDescent="0.2">
      <c r="A22" s="14">
        <v>20</v>
      </c>
      <c r="B22" s="15" t="s">
        <v>67</v>
      </c>
      <c r="C22" s="14">
        <v>67</v>
      </c>
      <c r="D22" s="14">
        <v>78</v>
      </c>
      <c r="E22" s="14">
        <v>39</v>
      </c>
      <c r="F22" s="14">
        <v>63</v>
      </c>
      <c r="G22" s="14">
        <v>60</v>
      </c>
      <c r="H22" s="14">
        <v>65</v>
      </c>
      <c r="I22" s="14">
        <v>29</v>
      </c>
      <c r="J22" s="18">
        <f t="shared" si="0"/>
        <v>57.285714285714285</v>
      </c>
      <c r="K22" s="19">
        <f t="shared" si="1"/>
        <v>31</v>
      </c>
    </row>
    <row r="23" spans="1:11" x14ac:dyDescent="0.2">
      <c r="A23" s="14">
        <v>21</v>
      </c>
      <c r="B23" s="15" t="s">
        <v>68</v>
      </c>
      <c r="C23" s="14">
        <v>77</v>
      </c>
      <c r="D23" s="14">
        <v>81</v>
      </c>
      <c r="E23" s="14">
        <v>82</v>
      </c>
      <c r="F23" s="14">
        <v>51</v>
      </c>
      <c r="G23" s="14">
        <v>60</v>
      </c>
      <c r="H23" s="14">
        <v>80</v>
      </c>
      <c r="I23" s="14">
        <v>87</v>
      </c>
      <c r="J23" s="18">
        <f t="shared" si="0"/>
        <v>74</v>
      </c>
      <c r="K23" s="19">
        <f t="shared" si="1"/>
        <v>14</v>
      </c>
    </row>
    <row r="24" spans="1:11" x14ac:dyDescent="0.2">
      <c r="A24" s="14">
        <v>22</v>
      </c>
      <c r="B24" s="15" t="s">
        <v>69</v>
      </c>
      <c r="C24" s="14">
        <v>85</v>
      </c>
      <c r="D24" s="14">
        <v>77</v>
      </c>
      <c r="E24" s="14">
        <v>81</v>
      </c>
      <c r="F24" s="14">
        <v>60</v>
      </c>
      <c r="G24" s="14">
        <v>60</v>
      </c>
      <c r="H24" s="14">
        <v>81</v>
      </c>
      <c r="I24" s="14">
        <v>93</v>
      </c>
      <c r="J24" s="18">
        <f t="shared" si="0"/>
        <v>76.714285714285708</v>
      </c>
      <c r="K24" s="19">
        <f t="shared" si="1"/>
        <v>10</v>
      </c>
    </row>
    <row r="25" spans="1:11" x14ac:dyDescent="0.2">
      <c r="A25" s="14">
        <v>23</v>
      </c>
      <c r="B25" s="15" t="s">
        <v>70</v>
      </c>
      <c r="C25" s="14">
        <v>73</v>
      </c>
      <c r="D25" s="14">
        <v>70</v>
      </c>
      <c r="E25" s="14">
        <v>60</v>
      </c>
      <c r="F25" s="14">
        <v>66</v>
      </c>
      <c r="G25" s="14">
        <v>60</v>
      </c>
      <c r="H25" s="14">
        <v>77</v>
      </c>
      <c r="I25" s="14">
        <v>61</v>
      </c>
      <c r="J25" s="18">
        <f t="shared" si="0"/>
        <v>66.714285714285708</v>
      </c>
      <c r="K25" s="19">
        <f t="shared" si="1"/>
        <v>24</v>
      </c>
    </row>
    <row r="26" spans="1:11" x14ac:dyDescent="0.2">
      <c r="A26" s="14">
        <v>24</v>
      </c>
      <c r="B26" s="15" t="s">
        <v>71</v>
      </c>
      <c r="C26" s="14">
        <v>86</v>
      </c>
      <c r="D26" s="14">
        <v>81</v>
      </c>
      <c r="E26" s="14">
        <v>83</v>
      </c>
      <c r="F26" s="14">
        <v>75</v>
      </c>
      <c r="G26" s="14">
        <v>60</v>
      </c>
      <c r="H26" s="14">
        <v>82</v>
      </c>
      <c r="I26" s="14">
        <v>86</v>
      </c>
      <c r="J26" s="18">
        <f t="shared" si="0"/>
        <v>79</v>
      </c>
      <c r="K26" s="19">
        <f t="shared" si="1"/>
        <v>7</v>
      </c>
    </row>
    <row r="27" spans="1:11" x14ac:dyDescent="0.2">
      <c r="A27" s="14">
        <v>25</v>
      </c>
      <c r="B27" s="15" t="s">
        <v>72</v>
      </c>
      <c r="C27" s="14">
        <v>87</v>
      </c>
      <c r="D27" s="14">
        <v>73</v>
      </c>
      <c r="E27" s="14">
        <v>88</v>
      </c>
      <c r="F27" s="14">
        <v>71</v>
      </c>
      <c r="G27" s="14">
        <v>60</v>
      </c>
      <c r="H27" s="14">
        <v>82</v>
      </c>
      <c r="I27" s="14">
        <v>66</v>
      </c>
      <c r="J27" s="18">
        <f t="shared" si="0"/>
        <v>75.285714285714292</v>
      </c>
      <c r="K27" s="19">
        <f t="shared" si="1"/>
        <v>12</v>
      </c>
    </row>
    <row r="28" spans="1:11" x14ac:dyDescent="0.2">
      <c r="A28" s="14">
        <v>26</v>
      </c>
      <c r="B28" s="15" t="s">
        <v>73</v>
      </c>
      <c r="C28" s="14">
        <v>78</v>
      </c>
      <c r="D28" s="14">
        <v>83</v>
      </c>
      <c r="E28" s="14">
        <v>62</v>
      </c>
      <c r="F28" s="14">
        <v>50</v>
      </c>
      <c r="G28" s="14">
        <v>60</v>
      </c>
      <c r="H28" s="14">
        <v>80</v>
      </c>
      <c r="I28" s="14">
        <v>66</v>
      </c>
      <c r="J28" s="18">
        <f t="shared" si="0"/>
        <v>68.428571428571431</v>
      </c>
      <c r="K28" s="19">
        <f t="shared" si="1"/>
        <v>19</v>
      </c>
    </row>
    <row r="29" spans="1:11" x14ac:dyDescent="0.2">
      <c r="A29" s="14">
        <v>27</v>
      </c>
      <c r="B29" s="15" t="s">
        <v>74</v>
      </c>
      <c r="C29" s="14">
        <v>69</v>
      </c>
      <c r="D29" s="14">
        <v>78</v>
      </c>
      <c r="E29" s="14">
        <v>73</v>
      </c>
      <c r="F29" s="14">
        <v>62</v>
      </c>
      <c r="G29" s="14">
        <v>60</v>
      </c>
      <c r="H29" s="14">
        <v>85</v>
      </c>
      <c r="I29" s="14">
        <v>23</v>
      </c>
      <c r="J29" s="18">
        <f t="shared" si="0"/>
        <v>64.285714285714292</v>
      </c>
      <c r="K29" s="19">
        <f t="shared" si="1"/>
        <v>26</v>
      </c>
    </row>
    <row r="30" spans="1:11" x14ac:dyDescent="0.2">
      <c r="A30" s="14">
        <v>28</v>
      </c>
      <c r="B30" s="15" t="s">
        <v>75</v>
      </c>
      <c r="C30" s="14">
        <v>61</v>
      </c>
      <c r="D30" s="14">
        <v>75</v>
      </c>
      <c r="E30" s="14">
        <v>62</v>
      </c>
      <c r="F30" s="14">
        <v>50</v>
      </c>
      <c r="G30" s="14">
        <v>60</v>
      </c>
      <c r="H30" s="14">
        <v>81</v>
      </c>
      <c r="I30" s="14">
        <v>18</v>
      </c>
      <c r="J30" s="18">
        <f t="shared" si="0"/>
        <v>58.142857142857146</v>
      </c>
      <c r="K30" s="19">
        <f t="shared" si="1"/>
        <v>30</v>
      </c>
    </row>
    <row r="31" spans="1:11" x14ac:dyDescent="0.2">
      <c r="A31" s="14">
        <v>29</v>
      </c>
      <c r="B31" s="15" t="s">
        <v>76</v>
      </c>
      <c r="C31" s="14">
        <v>79</v>
      </c>
      <c r="D31" s="14">
        <v>72</v>
      </c>
      <c r="E31" s="14">
        <v>60</v>
      </c>
      <c r="F31" s="14">
        <v>49</v>
      </c>
      <c r="G31" s="14">
        <v>60</v>
      </c>
      <c r="H31" s="14">
        <v>78</v>
      </c>
      <c r="I31" s="14">
        <v>72</v>
      </c>
      <c r="J31" s="18">
        <f t="shared" si="0"/>
        <v>67.142857142857139</v>
      </c>
      <c r="K31" s="19">
        <f t="shared" si="1"/>
        <v>22</v>
      </c>
    </row>
    <row r="32" spans="1:11" x14ac:dyDescent="0.2">
      <c r="A32" s="14">
        <v>30</v>
      </c>
      <c r="B32" s="15" t="s">
        <v>77</v>
      </c>
      <c r="C32" s="14">
        <v>88</v>
      </c>
      <c r="D32" s="14">
        <v>86</v>
      </c>
      <c r="E32" s="14">
        <v>88</v>
      </c>
      <c r="F32" s="14">
        <v>61</v>
      </c>
      <c r="G32" s="14">
        <v>65</v>
      </c>
      <c r="H32" s="14">
        <v>79</v>
      </c>
      <c r="I32" s="14">
        <v>78</v>
      </c>
      <c r="J32" s="18">
        <f t="shared" si="0"/>
        <v>77.857142857142861</v>
      </c>
      <c r="K32" s="19">
        <f t="shared" si="1"/>
        <v>8</v>
      </c>
    </row>
    <row r="33" spans="1:11" x14ac:dyDescent="0.2">
      <c r="A33" s="14">
        <v>31</v>
      </c>
      <c r="B33" s="15" t="s">
        <v>78</v>
      </c>
      <c r="C33" s="14">
        <v>97</v>
      </c>
      <c r="D33" s="14">
        <v>77</v>
      </c>
      <c r="E33" s="14">
        <v>85</v>
      </c>
      <c r="F33" s="14">
        <v>76</v>
      </c>
      <c r="G33" s="14">
        <v>90</v>
      </c>
      <c r="H33" s="14">
        <v>90</v>
      </c>
      <c r="I33" s="14">
        <v>86</v>
      </c>
      <c r="J33" s="18">
        <f t="shared" si="0"/>
        <v>85.857142857142861</v>
      </c>
      <c r="K33" s="19">
        <f t="shared" si="1"/>
        <v>3</v>
      </c>
    </row>
    <row r="34" spans="1:11" x14ac:dyDescent="0.2">
      <c r="A34" s="14">
        <v>32</v>
      </c>
      <c r="B34" s="15" t="s">
        <v>79</v>
      </c>
      <c r="C34" s="14">
        <v>75</v>
      </c>
      <c r="D34" s="14">
        <v>71</v>
      </c>
      <c r="E34" s="14">
        <v>30</v>
      </c>
      <c r="F34" s="14">
        <v>60</v>
      </c>
      <c r="G34" s="14">
        <v>60</v>
      </c>
      <c r="H34" s="14">
        <v>65</v>
      </c>
      <c r="I34" s="14">
        <v>62</v>
      </c>
      <c r="J34" s="18">
        <f t="shared" si="0"/>
        <v>60.428571428571431</v>
      </c>
      <c r="K34" s="19">
        <f t="shared" si="1"/>
        <v>29</v>
      </c>
    </row>
    <row r="35" spans="1:11" x14ac:dyDescent="0.2">
      <c r="A35" s="14">
        <v>33</v>
      </c>
      <c r="B35" s="15" t="s">
        <v>80</v>
      </c>
      <c r="C35" s="14">
        <v>55</v>
      </c>
      <c r="D35" s="14">
        <v>68</v>
      </c>
      <c r="E35" s="14">
        <v>45</v>
      </c>
      <c r="F35" s="14">
        <v>60</v>
      </c>
      <c r="G35" s="14">
        <v>60</v>
      </c>
      <c r="H35" s="14">
        <v>66</v>
      </c>
      <c r="I35" s="14">
        <v>34</v>
      </c>
      <c r="J35" s="18">
        <f t="shared" si="0"/>
        <v>55.428571428571431</v>
      </c>
      <c r="K35" s="19">
        <f t="shared" si="1"/>
        <v>33</v>
      </c>
    </row>
    <row r="36" spans="1:11" x14ac:dyDescent="0.2">
      <c r="A36" s="14">
        <v>34</v>
      </c>
      <c r="B36" s="15" t="s">
        <v>81</v>
      </c>
      <c r="C36" s="14">
        <v>47</v>
      </c>
      <c r="D36" s="14">
        <v>63</v>
      </c>
      <c r="E36" s="14">
        <v>40</v>
      </c>
      <c r="F36" s="14">
        <v>48</v>
      </c>
      <c r="G36" s="14">
        <v>60</v>
      </c>
      <c r="H36" s="14">
        <v>65</v>
      </c>
      <c r="I36" s="14">
        <v>7</v>
      </c>
      <c r="J36" s="18">
        <f t="shared" si="0"/>
        <v>47.142857142857146</v>
      </c>
      <c r="K36" s="19">
        <f t="shared" si="1"/>
        <v>40</v>
      </c>
    </row>
    <row r="37" spans="1:11" x14ac:dyDescent="0.2">
      <c r="A37" s="14">
        <v>35</v>
      </c>
      <c r="B37" s="15" t="s">
        <v>82</v>
      </c>
      <c r="C37" s="14">
        <v>38</v>
      </c>
      <c r="D37" s="14">
        <v>70</v>
      </c>
      <c r="E37" s="14">
        <v>28</v>
      </c>
      <c r="F37" s="14">
        <v>47</v>
      </c>
      <c r="G37" s="14">
        <v>60</v>
      </c>
      <c r="H37" s="14">
        <v>75</v>
      </c>
      <c r="I37" s="14">
        <v>22</v>
      </c>
      <c r="J37" s="18">
        <f t="shared" si="0"/>
        <v>48.571428571428569</v>
      </c>
      <c r="K37" s="19">
        <f t="shared" si="1"/>
        <v>39</v>
      </c>
    </row>
    <row r="38" spans="1:11" x14ac:dyDescent="0.2">
      <c r="A38" s="14">
        <v>36</v>
      </c>
      <c r="B38" s="15" t="s">
        <v>83</v>
      </c>
      <c r="C38" s="14">
        <v>78</v>
      </c>
      <c r="D38" s="14">
        <v>61</v>
      </c>
      <c r="E38" s="14">
        <v>47</v>
      </c>
      <c r="F38" s="14">
        <v>60</v>
      </c>
      <c r="G38" s="14">
        <v>60</v>
      </c>
      <c r="H38" s="14">
        <v>65</v>
      </c>
      <c r="I38" s="14">
        <v>62</v>
      </c>
      <c r="J38" s="18">
        <f t="shared" si="0"/>
        <v>61.857142857142854</v>
      </c>
      <c r="K38" s="19">
        <f t="shared" si="1"/>
        <v>28</v>
      </c>
    </row>
    <row r="39" spans="1:11" x14ac:dyDescent="0.2">
      <c r="A39" s="14">
        <v>37</v>
      </c>
      <c r="B39" s="15" t="s">
        <v>84</v>
      </c>
      <c r="C39" s="14">
        <v>91</v>
      </c>
      <c r="D39" s="14">
        <v>87</v>
      </c>
      <c r="E39" s="14">
        <v>86</v>
      </c>
      <c r="F39" s="14">
        <v>92</v>
      </c>
      <c r="G39" s="14">
        <v>85</v>
      </c>
      <c r="H39" s="14">
        <v>89</v>
      </c>
      <c r="I39" s="14">
        <v>88</v>
      </c>
      <c r="J39" s="18">
        <f t="shared" si="0"/>
        <v>88.285714285714292</v>
      </c>
      <c r="K39" s="19">
        <f t="shared" si="1"/>
        <v>2</v>
      </c>
    </row>
    <row r="40" spans="1:11" x14ac:dyDescent="0.2">
      <c r="A40" s="14">
        <v>38</v>
      </c>
      <c r="B40" s="15" t="s">
        <v>85</v>
      </c>
      <c r="C40" s="14">
        <v>82</v>
      </c>
      <c r="D40" s="14">
        <v>63</v>
      </c>
      <c r="E40" s="14">
        <v>69</v>
      </c>
      <c r="F40" s="14">
        <v>48</v>
      </c>
      <c r="G40" s="14">
        <v>60</v>
      </c>
      <c r="H40" s="14">
        <v>82</v>
      </c>
      <c r="I40" s="14">
        <v>66</v>
      </c>
      <c r="J40" s="18">
        <f t="shared" si="0"/>
        <v>67.142857142857139</v>
      </c>
      <c r="K40" s="19">
        <f t="shared" si="1"/>
        <v>22</v>
      </c>
    </row>
    <row r="41" spans="1:11" x14ac:dyDescent="0.2">
      <c r="A41" s="14">
        <v>39</v>
      </c>
      <c r="B41" s="15" t="s">
        <v>86</v>
      </c>
      <c r="C41" s="14">
        <v>0</v>
      </c>
      <c r="D41" s="14">
        <v>55</v>
      </c>
      <c r="E41" s="14">
        <v>55</v>
      </c>
      <c r="F41" s="14">
        <v>60</v>
      </c>
      <c r="G41" s="14">
        <v>60</v>
      </c>
      <c r="H41" s="14">
        <v>82</v>
      </c>
      <c r="I41" s="14">
        <v>60</v>
      </c>
      <c r="J41" s="18">
        <f t="shared" si="0"/>
        <v>53.142857142857146</v>
      </c>
      <c r="K41" s="19">
        <f t="shared" si="1"/>
        <v>35</v>
      </c>
    </row>
    <row r="42" spans="1:11" x14ac:dyDescent="0.2">
      <c r="A42" s="14">
        <v>40</v>
      </c>
      <c r="B42" s="15" t="s">
        <v>87</v>
      </c>
      <c r="C42" s="14">
        <v>69</v>
      </c>
      <c r="D42" s="14">
        <v>62</v>
      </c>
      <c r="E42" s="14">
        <v>61</v>
      </c>
      <c r="F42" s="14">
        <v>50</v>
      </c>
      <c r="G42" s="14">
        <v>60</v>
      </c>
      <c r="H42" s="14">
        <v>83</v>
      </c>
      <c r="I42" s="14">
        <v>60</v>
      </c>
      <c r="J42" s="18">
        <f t="shared" si="0"/>
        <v>63.571428571428569</v>
      </c>
      <c r="K42" s="19">
        <f t="shared" si="1"/>
        <v>27</v>
      </c>
    </row>
    <row r="43" spans="1:11" x14ac:dyDescent="0.2">
      <c r="A43" s="14">
        <v>41</v>
      </c>
      <c r="B43" s="15" t="s">
        <v>88</v>
      </c>
      <c r="C43" s="14">
        <v>0</v>
      </c>
      <c r="D43" s="14">
        <v>75</v>
      </c>
      <c r="E43" s="14">
        <v>54</v>
      </c>
      <c r="F43" s="14">
        <v>51</v>
      </c>
      <c r="G43" s="14">
        <v>60</v>
      </c>
      <c r="H43" s="14">
        <v>60</v>
      </c>
      <c r="I43" s="14">
        <v>61</v>
      </c>
      <c r="J43" s="18">
        <f t="shared" si="0"/>
        <v>51.571428571428569</v>
      </c>
      <c r="K43" s="19">
        <f t="shared" si="1"/>
        <v>36</v>
      </c>
    </row>
    <row r="44" spans="1:11" x14ac:dyDescent="0.2">
      <c r="A44" s="14">
        <v>42</v>
      </c>
      <c r="B44" s="15" t="s">
        <v>89</v>
      </c>
      <c r="C44" s="14">
        <v>82</v>
      </c>
      <c r="D44" s="14">
        <v>0</v>
      </c>
      <c r="E44" s="14">
        <v>77</v>
      </c>
      <c r="F44" s="14">
        <v>80</v>
      </c>
      <c r="G44" s="14">
        <v>65</v>
      </c>
      <c r="H44" s="14">
        <v>0</v>
      </c>
      <c r="I44" s="14">
        <v>84</v>
      </c>
      <c r="J44" s="18">
        <f t="shared" si="0"/>
        <v>55.428571428571431</v>
      </c>
      <c r="K44" s="19">
        <f t="shared" si="1"/>
        <v>33</v>
      </c>
    </row>
  </sheetData>
  <mergeCells count="1">
    <mergeCell ref="A1:K1"/>
  </mergeCells>
  <phoneticPr fontId="4" type="noConversion"/>
  <pageMargins left="0.7" right="0.7" top="0.75" bottom="0.75" header="0.3" footer="0.3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5"/>
  <sheetViews>
    <sheetView topLeftCell="C1" workbookViewId="0">
      <selection activeCell="K4" sqref="K4:K45"/>
    </sheetView>
  </sheetViews>
  <sheetFormatPr defaultColWidth="9" defaultRowHeight="14.25" x14ac:dyDescent="0.2"/>
  <cols>
    <col min="1" max="2" width="7.625" style="7" customWidth="1"/>
    <col min="3" max="3" width="11" style="7" customWidth="1"/>
    <col min="4" max="4" width="7.5" style="7" customWidth="1"/>
    <col min="5" max="5" width="9" style="7" customWidth="1"/>
    <col min="6" max="8" width="7.125" style="7" customWidth="1"/>
    <col min="9" max="9" width="13" style="7" customWidth="1"/>
    <col min="10" max="10" width="7.625" style="7" customWidth="1"/>
    <col min="11" max="16384" width="9" style="7"/>
  </cols>
  <sheetData>
    <row r="2" spans="1:11" s="8" customFormat="1" ht="34.5" customHeight="1" x14ac:dyDescent="0.2">
      <c r="A2" s="9"/>
      <c r="B2" s="9"/>
      <c r="C2" s="10" t="s">
        <v>3</v>
      </c>
      <c r="D2" s="11" t="s">
        <v>9</v>
      </c>
      <c r="E2" s="11" t="s">
        <v>5</v>
      </c>
      <c r="F2" s="11" t="s">
        <v>8</v>
      </c>
      <c r="G2" s="11" t="s">
        <v>7</v>
      </c>
      <c r="H2" s="11" t="s">
        <v>6</v>
      </c>
      <c r="I2" s="11" t="s">
        <v>4</v>
      </c>
      <c r="J2" s="16" t="s">
        <v>14</v>
      </c>
      <c r="K2" s="16" t="s">
        <v>15</v>
      </c>
    </row>
    <row r="3" spans="1:11" x14ac:dyDescent="0.2">
      <c r="A3" s="12" t="s">
        <v>1</v>
      </c>
      <c r="B3" s="12" t="s">
        <v>2</v>
      </c>
      <c r="C3" s="12" t="s">
        <v>16</v>
      </c>
      <c r="D3" s="12" t="s">
        <v>16</v>
      </c>
      <c r="E3" s="9" t="s">
        <v>16</v>
      </c>
      <c r="F3" s="9" t="s">
        <v>16</v>
      </c>
      <c r="G3" s="9" t="s">
        <v>16</v>
      </c>
      <c r="H3" s="9" t="s">
        <v>16</v>
      </c>
      <c r="I3" s="9" t="s">
        <v>16</v>
      </c>
      <c r="J3" s="16"/>
      <c r="K3" s="16"/>
    </row>
    <row r="4" spans="1:11" x14ac:dyDescent="0.2">
      <c r="A4" s="12">
        <v>1</v>
      </c>
      <c r="B4" s="12" t="s">
        <v>12</v>
      </c>
      <c r="C4" s="12">
        <f>IF(Sheet1!C3&gt;=60,VLOOKUP(C$2,课程对应学分!$A$1:$B$8,2,0),0)</f>
        <v>0</v>
      </c>
      <c r="D4" s="12">
        <f>IF(Sheet1!I3&gt;=60,VLOOKUP(D$2,课程对应学分!$A$1:$B$8,2,0),0)</f>
        <v>0</v>
      </c>
      <c r="E4" s="12">
        <f>IF(Sheet1!E3&gt;=60,VLOOKUP(E$2,课程对应学分!$A$1:$B$8,2,0),0)</f>
        <v>0</v>
      </c>
      <c r="F4" s="12">
        <f>IF(Sheet1!H3&gt;=60,VLOOKUP(F$2,课程对应学分!$A$1:$B$8,2,0),0)</f>
        <v>2</v>
      </c>
      <c r="G4" s="12">
        <f>IF(Sheet1!G3&gt;=60,VLOOKUP(G$2,课程对应学分!$A$1:$B$8,2,0),0)</f>
        <v>4</v>
      </c>
      <c r="H4" s="12">
        <f>IF(Sheet1!F3&gt;=60,VLOOKUP(H$2,课程对应学分!$A$1:$B$8,2,0),0)</f>
        <v>4</v>
      </c>
      <c r="I4" s="12">
        <f>IF(Sheet1!D3&gt;=60,VLOOKUP(I$2,课程对应学分!$A$1:$B$8,2,0),0)</f>
        <v>2</v>
      </c>
      <c r="J4" s="20">
        <f>SUM(C4:I4)</f>
        <v>12</v>
      </c>
      <c r="K4" s="12" t="str">
        <f>IF(J4&gt;=14,"合格","不合格")</f>
        <v>不合格</v>
      </c>
    </row>
    <row r="5" spans="1:11" x14ac:dyDescent="0.2">
      <c r="A5" s="12">
        <v>2</v>
      </c>
      <c r="B5" s="12" t="s">
        <v>13</v>
      </c>
      <c r="C5" s="12">
        <f>IF(Sheet1!C4&gt;=60,VLOOKUP(C$2,课程对应学分!$A$1:$B$8,2,0),0)</f>
        <v>4</v>
      </c>
      <c r="D5" s="12">
        <f>IF(Sheet1!I4&gt;=60,VLOOKUP(D$2,课程对应学分!$A$1:$B$8,2,0),0)</f>
        <v>2</v>
      </c>
      <c r="E5" s="12">
        <f>IF(Sheet1!E4&gt;=60,VLOOKUP(E$2,课程对应学分!$A$1:$B$8,2,0),0)</f>
        <v>4</v>
      </c>
      <c r="F5" s="12">
        <f>IF(Sheet1!H4&gt;=60,VLOOKUP(F$2,课程对应学分!$A$1:$B$8,2,0),0)</f>
        <v>2</v>
      </c>
      <c r="G5" s="12">
        <f>IF(Sheet1!G4&gt;=60,VLOOKUP(G$2,课程对应学分!$A$1:$B$8,2,0),0)</f>
        <v>4</v>
      </c>
      <c r="H5" s="12">
        <f>IF(Sheet1!F4&gt;=60,VLOOKUP(H$2,课程对应学分!$A$1:$B$8,2,0),0)</f>
        <v>4</v>
      </c>
      <c r="I5" s="12">
        <f>IF(Sheet1!D4&gt;=60,VLOOKUP(I$2,课程对应学分!$A$1:$B$8,2,0),0)</f>
        <v>2</v>
      </c>
      <c r="J5" s="20">
        <f t="shared" ref="J5:J45" si="0">SUM(C5:I5)</f>
        <v>22</v>
      </c>
      <c r="K5" s="12" t="str">
        <f t="shared" ref="K5:K45" si="1">IF(J5&gt;=14,"合格","不合格")</f>
        <v>合格</v>
      </c>
    </row>
    <row r="6" spans="1:11" x14ac:dyDescent="0.2">
      <c r="A6" s="12">
        <v>3</v>
      </c>
      <c r="B6" s="12" t="s">
        <v>50</v>
      </c>
      <c r="C6" s="12">
        <f>IF(Sheet1!C5&gt;=60,VLOOKUP(C$2,课程对应学分!$A$1:$B$8,2,0),0)</f>
        <v>4</v>
      </c>
      <c r="D6" s="12">
        <f>IF(Sheet1!I5&gt;=60,VLOOKUP(D$2,课程对应学分!$A$1:$B$8,2,0),0)</f>
        <v>2</v>
      </c>
      <c r="E6" s="12">
        <f>IF(Sheet1!E5&gt;=60,VLOOKUP(E$2,课程对应学分!$A$1:$B$8,2,0),0)</f>
        <v>4</v>
      </c>
      <c r="F6" s="12">
        <f>IF(Sheet1!H5&gt;=60,VLOOKUP(F$2,课程对应学分!$A$1:$B$8,2,0),0)</f>
        <v>2</v>
      </c>
      <c r="G6" s="12">
        <f>IF(Sheet1!G5&gt;=60,VLOOKUP(G$2,课程对应学分!$A$1:$B$8,2,0),0)</f>
        <v>4</v>
      </c>
      <c r="H6" s="12">
        <f>IF(Sheet1!F5&gt;=60,VLOOKUP(H$2,课程对应学分!$A$1:$B$8,2,0),0)</f>
        <v>4</v>
      </c>
      <c r="I6" s="12">
        <f>IF(Sheet1!D5&gt;=60,VLOOKUP(I$2,课程对应学分!$A$1:$B$8,2,0),0)</f>
        <v>2</v>
      </c>
      <c r="J6" s="20">
        <f t="shared" si="0"/>
        <v>22</v>
      </c>
      <c r="K6" s="12" t="str">
        <f t="shared" si="1"/>
        <v>合格</v>
      </c>
    </row>
    <row r="7" spans="1:11" x14ac:dyDescent="0.2">
      <c r="A7" s="12">
        <v>4</v>
      </c>
      <c r="B7" s="12" t="s">
        <v>51</v>
      </c>
      <c r="C7" s="12">
        <f>IF(Sheet1!C6&gt;=60,VLOOKUP(C$2,课程对应学分!$A$1:$B$8,2,0),0)</f>
        <v>4</v>
      </c>
      <c r="D7" s="12">
        <f>IF(Sheet1!I6&gt;=60,VLOOKUP(D$2,课程对应学分!$A$1:$B$8,2,0),0)</f>
        <v>0</v>
      </c>
      <c r="E7" s="12">
        <f>IF(Sheet1!E6&gt;=60,VLOOKUP(E$2,课程对应学分!$A$1:$B$8,2,0),0)</f>
        <v>0</v>
      </c>
      <c r="F7" s="12">
        <f>IF(Sheet1!H6&gt;=60,VLOOKUP(F$2,课程对应学分!$A$1:$B$8,2,0),0)</f>
        <v>2</v>
      </c>
      <c r="G7" s="12">
        <f>IF(Sheet1!G6&gt;=60,VLOOKUP(G$2,课程对应学分!$A$1:$B$8,2,0),0)</f>
        <v>4</v>
      </c>
      <c r="H7" s="12">
        <f>IF(Sheet1!F6&gt;=60,VLOOKUP(H$2,课程对应学分!$A$1:$B$8,2,0),0)</f>
        <v>4</v>
      </c>
      <c r="I7" s="12">
        <f>IF(Sheet1!D6&gt;=60,VLOOKUP(I$2,课程对应学分!$A$1:$B$8,2,0),0)</f>
        <v>0</v>
      </c>
      <c r="J7" s="20">
        <f t="shared" si="0"/>
        <v>14</v>
      </c>
      <c r="K7" s="12" t="str">
        <f t="shared" si="1"/>
        <v>合格</v>
      </c>
    </row>
    <row r="8" spans="1:11" x14ac:dyDescent="0.2">
      <c r="A8" s="12">
        <v>5</v>
      </c>
      <c r="B8" s="12" t="s">
        <v>52</v>
      </c>
      <c r="C8" s="12">
        <f>IF(Sheet1!C7&gt;=60,VLOOKUP(C$2,课程对应学分!$A$1:$B$8,2,0),0)</f>
        <v>4</v>
      </c>
      <c r="D8" s="12">
        <f>IF(Sheet1!I7&gt;=60,VLOOKUP(D$2,课程对应学分!$A$1:$B$8,2,0),0)</f>
        <v>2</v>
      </c>
      <c r="E8" s="12">
        <f>IF(Sheet1!E7&gt;=60,VLOOKUP(E$2,课程对应学分!$A$1:$B$8,2,0),0)</f>
        <v>4</v>
      </c>
      <c r="F8" s="12">
        <f>IF(Sheet1!H7&gt;=60,VLOOKUP(F$2,课程对应学分!$A$1:$B$8,2,0),0)</f>
        <v>2</v>
      </c>
      <c r="G8" s="12">
        <f>IF(Sheet1!G7&gt;=60,VLOOKUP(G$2,课程对应学分!$A$1:$B$8,2,0),0)</f>
        <v>4</v>
      </c>
      <c r="H8" s="12">
        <f>IF(Sheet1!F7&gt;=60,VLOOKUP(H$2,课程对应学分!$A$1:$B$8,2,0),0)</f>
        <v>4</v>
      </c>
      <c r="I8" s="12">
        <f>IF(Sheet1!D7&gt;=60,VLOOKUP(I$2,课程对应学分!$A$1:$B$8,2,0),0)</f>
        <v>2</v>
      </c>
      <c r="J8" s="20">
        <f t="shared" si="0"/>
        <v>22</v>
      </c>
      <c r="K8" s="12" t="str">
        <f t="shared" si="1"/>
        <v>合格</v>
      </c>
    </row>
    <row r="9" spans="1:11" x14ac:dyDescent="0.2">
      <c r="A9" s="12">
        <v>6</v>
      </c>
      <c r="B9" s="12" t="s">
        <v>53</v>
      </c>
      <c r="C9" s="12">
        <f>IF(Sheet1!C8&gt;=60,VLOOKUP(C$2,课程对应学分!$A$1:$B$8,2,0),0)</f>
        <v>4</v>
      </c>
      <c r="D9" s="12">
        <f>IF(Sheet1!I8&gt;=60,VLOOKUP(D$2,课程对应学分!$A$1:$B$8,2,0),0)</f>
        <v>2</v>
      </c>
      <c r="E9" s="12">
        <f>IF(Sheet1!E8&gt;=60,VLOOKUP(E$2,课程对应学分!$A$1:$B$8,2,0),0)</f>
        <v>4</v>
      </c>
      <c r="F9" s="12">
        <f>IF(Sheet1!H8&gt;=60,VLOOKUP(F$2,课程对应学分!$A$1:$B$8,2,0),0)</f>
        <v>2</v>
      </c>
      <c r="G9" s="12">
        <f>IF(Sheet1!G8&gt;=60,VLOOKUP(G$2,课程对应学分!$A$1:$B$8,2,0),0)</f>
        <v>4</v>
      </c>
      <c r="H9" s="12">
        <f>IF(Sheet1!F8&gt;=60,VLOOKUP(H$2,课程对应学分!$A$1:$B$8,2,0),0)</f>
        <v>4</v>
      </c>
      <c r="I9" s="12">
        <f>IF(Sheet1!D8&gt;=60,VLOOKUP(I$2,课程对应学分!$A$1:$B$8,2,0),0)</f>
        <v>2</v>
      </c>
      <c r="J9" s="20">
        <f t="shared" si="0"/>
        <v>22</v>
      </c>
      <c r="K9" s="12" t="str">
        <f t="shared" si="1"/>
        <v>合格</v>
      </c>
    </row>
    <row r="10" spans="1:11" x14ac:dyDescent="0.2">
      <c r="A10" s="12">
        <v>7</v>
      </c>
      <c r="B10" s="12" t="s">
        <v>54</v>
      </c>
      <c r="C10" s="12">
        <f>IF(Sheet1!C9&gt;=60,VLOOKUP(C$2,课程对应学分!$A$1:$B$8,2,0),0)</f>
        <v>4</v>
      </c>
      <c r="D10" s="12">
        <f>IF(Sheet1!I9&gt;=60,VLOOKUP(D$2,课程对应学分!$A$1:$B$8,2,0),0)</f>
        <v>2</v>
      </c>
      <c r="E10" s="12">
        <f>IF(Sheet1!E9&gt;=60,VLOOKUP(E$2,课程对应学分!$A$1:$B$8,2,0),0)</f>
        <v>4</v>
      </c>
      <c r="F10" s="12">
        <f>IF(Sheet1!H9&gt;=60,VLOOKUP(F$2,课程对应学分!$A$1:$B$8,2,0),0)</f>
        <v>2</v>
      </c>
      <c r="G10" s="12">
        <f>IF(Sheet1!G9&gt;=60,VLOOKUP(G$2,课程对应学分!$A$1:$B$8,2,0),0)</f>
        <v>4</v>
      </c>
      <c r="H10" s="12">
        <f>IF(Sheet1!F9&gt;=60,VLOOKUP(H$2,课程对应学分!$A$1:$B$8,2,0),0)</f>
        <v>4</v>
      </c>
      <c r="I10" s="12">
        <f>IF(Sheet1!D9&gt;=60,VLOOKUP(I$2,课程对应学分!$A$1:$B$8,2,0),0)</f>
        <v>2</v>
      </c>
      <c r="J10" s="20">
        <f t="shared" si="0"/>
        <v>22</v>
      </c>
      <c r="K10" s="12" t="str">
        <f t="shared" si="1"/>
        <v>合格</v>
      </c>
    </row>
    <row r="11" spans="1:11" x14ac:dyDescent="0.2">
      <c r="A11" s="12">
        <v>8</v>
      </c>
      <c r="B11" s="12" t="s">
        <v>55</v>
      </c>
      <c r="C11" s="12">
        <f>IF(Sheet1!C10&gt;=60,VLOOKUP(C$2,课程对应学分!$A$1:$B$8,2,0),0)</f>
        <v>0</v>
      </c>
      <c r="D11" s="12">
        <f>IF(Sheet1!I10&gt;=60,VLOOKUP(D$2,课程对应学分!$A$1:$B$8,2,0),0)</f>
        <v>0</v>
      </c>
      <c r="E11" s="12">
        <f>IF(Sheet1!E10&gt;=60,VLOOKUP(E$2,课程对应学分!$A$1:$B$8,2,0),0)</f>
        <v>0</v>
      </c>
      <c r="F11" s="12">
        <f>IF(Sheet1!H10&gt;=60,VLOOKUP(F$2,课程对应学分!$A$1:$B$8,2,0),0)</f>
        <v>2</v>
      </c>
      <c r="G11" s="12">
        <f>IF(Sheet1!G10&gt;=60,VLOOKUP(G$2,课程对应学分!$A$1:$B$8,2,0),0)</f>
        <v>4</v>
      </c>
      <c r="H11" s="12">
        <f>IF(Sheet1!F10&gt;=60,VLOOKUP(H$2,课程对应学分!$A$1:$B$8,2,0),0)</f>
        <v>4</v>
      </c>
      <c r="I11" s="12">
        <f>IF(Sheet1!D10&gt;=60,VLOOKUP(I$2,课程对应学分!$A$1:$B$8,2,0),0)</f>
        <v>0</v>
      </c>
      <c r="J11" s="20">
        <f t="shared" si="0"/>
        <v>10</v>
      </c>
      <c r="K11" s="12" t="str">
        <f t="shared" si="1"/>
        <v>不合格</v>
      </c>
    </row>
    <row r="12" spans="1:11" x14ac:dyDescent="0.2">
      <c r="A12" s="12">
        <v>9</v>
      </c>
      <c r="B12" s="12" t="s">
        <v>56</v>
      </c>
      <c r="C12" s="12">
        <f>IF(Sheet1!C11&gt;=60,VLOOKUP(C$2,课程对应学分!$A$1:$B$8,2,0),0)</f>
        <v>4</v>
      </c>
      <c r="D12" s="12">
        <f>IF(Sheet1!I11&gt;=60,VLOOKUP(D$2,课程对应学分!$A$1:$B$8,2,0),0)</f>
        <v>2</v>
      </c>
      <c r="E12" s="12">
        <f>IF(Sheet1!E11&gt;=60,VLOOKUP(E$2,课程对应学分!$A$1:$B$8,2,0),0)</f>
        <v>4</v>
      </c>
      <c r="F12" s="12">
        <f>IF(Sheet1!H11&gt;=60,VLOOKUP(F$2,课程对应学分!$A$1:$B$8,2,0),0)</f>
        <v>2</v>
      </c>
      <c r="G12" s="12">
        <f>IF(Sheet1!G11&gt;=60,VLOOKUP(G$2,课程对应学分!$A$1:$B$8,2,0),0)</f>
        <v>4</v>
      </c>
      <c r="H12" s="12">
        <f>IF(Sheet1!F11&gt;=60,VLOOKUP(H$2,课程对应学分!$A$1:$B$8,2,0),0)</f>
        <v>4</v>
      </c>
      <c r="I12" s="12">
        <f>IF(Sheet1!D11&gt;=60,VLOOKUP(I$2,课程对应学分!$A$1:$B$8,2,0),0)</f>
        <v>2</v>
      </c>
      <c r="J12" s="20">
        <f t="shared" si="0"/>
        <v>22</v>
      </c>
      <c r="K12" s="12" t="str">
        <f t="shared" si="1"/>
        <v>合格</v>
      </c>
    </row>
    <row r="13" spans="1:11" x14ac:dyDescent="0.2">
      <c r="A13" s="12">
        <v>10</v>
      </c>
      <c r="B13" s="12" t="s">
        <v>57</v>
      </c>
      <c r="C13" s="12">
        <f>IF(Sheet1!C12&gt;=60,VLOOKUP(C$2,课程对应学分!$A$1:$B$8,2,0),0)</f>
        <v>4</v>
      </c>
      <c r="D13" s="12">
        <f>IF(Sheet1!I12&gt;=60,VLOOKUP(D$2,课程对应学分!$A$1:$B$8,2,0),0)</f>
        <v>2</v>
      </c>
      <c r="E13" s="12">
        <f>IF(Sheet1!E12&gt;=60,VLOOKUP(E$2,课程对应学分!$A$1:$B$8,2,0),0)</f>
        <v>4</v>
      </c>
      <c r="F13" s="12">
        <f>IF(Sheet1!H12&gt;=60,VLOOKUP(F$2,课程对应学分!$A$1:$B$8,2,0),0)</f>
        <v>2</v>
      </c>
      <c r="G13" s="12">
        <f>IF(Sheet1!G12&gt;=60,VLOOKUP(G$2,课程对应学分!$A$1:$B$8,2,0),0)</f>
        <v>4</v>
      </c>
      <c r="H13" s="12">
        <f>IF(Sheet1!F12&gt;=60,VLOOKUP(H$2,课程对应学分!$A$1:$B$8,2,0),0)</f>
        <v>0</v>
      </c>
      <c r="I13" s="12">
        <f>IF(Sheet1!D12&gt;=60,VLOOKUP(I$2,课程对应学分!$A$1:$B$8,2,0),0)</f>
        <v>2</v>
      </c>
      <c r="J13" s="20">
        <f t="shared" si="0"/>
        <v>18</v>
      </c>
      <c r="K13" s="12" t="str">
        <f t="shared" si="1"/>
        <v>合格</v>
      </c>
    </row>
    <row r="14" spans="1:11" x14ac:dyDescent="0.2">
      <c r="A14" s="12">
        <v>11</v>
      </c>
      <c r="B14" s="12" t="s">
        <v>58</v>
      </c>
      <c r="C14" s="12">
        <f>IF(Sheet1!C13&gt;=60,VLOOKUP(C$2,课程对应学分!$A$1:$B$8,2,0),0)</f>
        <v>4</v>
      </c>
      <c r="D14" s="12">
        <f>IF(Sheet1!I13&gt;=60,VLOOKUP(D$2,课程对应学分!$A$1:$B$8,2,0),0)</f>
        <v>2</v>
      </c>
      <c r="E14" s="12">
        <f>IF(Sheet1!E13&gt;=60,VLOOKUP(E$2,课程对应学分!$A$1:$B$8,2,0),0)</f>
        <v>4</v>
      </c>
      <c r="F14" s="12">
        <f>IF(Sheet1!H13&gt;=60,VLOOKUP(F$2,课程对应学分!$A$1:$B$8,2,0),0)</f>
        <v>2</v>
      </c>
      <c r="G14" s="12">
        <f>IF(Sheet1!G13&gt;=60,VLOOKUP(G$2,课程对应学分!$A$1:$B$8,2,0),0)</f>
        <v>4</v>
      </c>
      <c r="H14" s="12">
        <f>IF(Sheet1!F13&gt;=60,VLOOKUP(H$2,课程对应学分!$A$1:$B$8,2,0),0)</f>
        <v>4</v>
      </c>
      <c r="I14" s="12">
        <f>IF(Sheet1!D13&gt;=60,VLOOKUP(I$2,课程对应学分!$A$1:$B$8,2,0),0)</f>
        <v>2</v>
      </c>
      <c r="J14" s="20">
        <f t="shared" si="0"/>
        <v>22</v>
      </c>
      <c r="K14" s="12" t="str">
        <f t="shared" si="1"/>
        <v>合格</v>
      </c>
    </row>
    <row r="15" spans="1:11" x14ac:dyDescent="0.2">
      <c r="A15" s="12">
        <v>12</v>
      </c>
      <c r="B15" s="12" t="s">
        <v>59</v>
      </c>
      <c r="C15" s="12">
        <f>IF(Sheet1!C14&gt;=60,VLOOKUP(C$2,课程对应学分!$A$1:$B$8,2,0),0)</f>
        <v>4</v>
      </c>
      <c r="D15" s="12">
        <f>IF(Sheet1!I14&gt;=60,VLOOKUP(D$2,课程对应学分!$A$1:$B$8,2,0),0)</f>
        <v>2</v>
      </c>
      <c r="E15" s="12">
        <f>IF(Sheet1!E14&gt;=60,VLOOKUP(E$2,课程对应学分!$A$1:$B$8,2,0),0)</f>
        <v>4</v>
      </c>
      <c r="F15" s="12">
        <f>IF(Sheet1!H14&gt;=60,VLOOKUP(F$2,课程对应学分!$A$1:$B$8,2,0),0)</f>
        <v>2</v>
      </c>
      <c r="G15" s="12">
        <f>IF(Sheet1!G14&gt;=60,VLOOKUP(G$2,课程对应学分!$A$1:$B$8,2,0),0)</f>
        <v>4</v>
      </c>
      <c r="H15" s="12">
        <f>IF(Sheet1!F14&gt;=60,VLOOKUP(H$2,课程对应学分!$A$1:$B$8,2,0),0)</f>
        <v>4</v>
      </c>
      <c r="I15" s="12">
        <f>IF(Sheet1!D14&gt;=60,VLOOKUP(I$2,课程对应学分!$A$1:$B$8,2,0),0)</f>
        <v>2</v>
      </c>
      <c r="J15" s="20">
        <f t="shared" si="0"/>
        <v>22</v>
      </c>
      <c r="K15" s="12" t="str">
        <f t="shared" si="1"/>
        <v>合格</v>
      </c>
    </row>
    <row r="16" spans="1:11" x14ac:dyDescent="0.2">
      <c r="A16" s="12">
        <v>13</v>
      </c>
      <c r="B16" s="12" t="s">
        <v>60</v>
      </c>
      <c r="C16" s="12">
        <f>IF(Sheet1!C15&gt;=60,VLOOKUP(C$2,课程对应学分!$A$1:$B$8,2,0),0)</f>
        <v>4</v>
      </c>
      <c r="D16" s="12">
        <f>IF(Sheet1!I15&gt;=60,VLOOKUP(D$2,课程对应学分!$A$1:$B$8,2,0),0)</f>
        <v>2</v>
      </c>
      <c r="E16" s="12">
        <f>IF(Sheet1!E15&gt;=60,VLOOKUP(E$2,课程对应学分!$A$1:$B$8,2,0),0)</f>
        <v>4</v>
      </c>
      <c r="F16" s="12">
        <f>IF(Sheet1!H15&gt;=60,VLOOKUP(F$2,课程对应学分!$A$1:$B$8,2,0),0)</f>
        <v>2</v>
      </c>
      <c r="G16" s="12">
        <f>IF(Sheet1!G15&gt;=60,VLOOKUP(G$2,课程对应学分!$A$1:$B$8,2,0),0)</f>
        <v>4</v>
      </c>
      <c r="H16" s="12">
        <f>IF(Sheet1!F15&gt;=60,VLOOKUP(H$2,课程对应学分!$A$1:$B$8,2,0),0)</f>
        <v>4</v>
      </c>
      <c r="I16" s="12">
        <f>IF(Sheet1!D15&gt;=60,VLOOKUP(I$2,课程对应学分!$A$1:$B$8,2,0),0)</f>
        <v>2</v>
      </c>
      <c r="J16" s="20">
        <f t="shared" si="0"/>
        <v>22</v>
      </c>
      <c r="K16" s="12" t="str">
        <f t="shared" si="1"/>
        <v>合格</v>
      </c>
    </row>
    <row r="17" spans="1:11" x14ac:dyDescent="0.2">
      <c r="A17" s="12">
        <v>14</v>
      </c>
      <c r="B17" s="12" t="s">
        <v>61</v>
      </c>
      <c r="C17" s="12">
        <f>IF(Sheet1!C16&gt;=60,VLOOKUP(C$2,课程对应学分!$A$1:$B$8,2,0),0)</f>
        <v>4</v>
      </c>
      <c r="D17" s="12">
        <f>IF(Sheet1!I16&gt;=60,VLOOKUP(D$2,课程对应学分!$A$1:$B$8,2,0),0)</f>
        <v>2</v>
      </c>
      <c r="E17" s="12">
        <f>IF(Sheet1!E16&gt;=60,VLOOKUP(E$2,课程对应学分!$A$1:$B$8,2,0),0)</f>
        <v>4</v>
      </c>
      <c r="F17" s="12">
        <f>IF(Sheet1!H16&gt;=60,VLOOKUP(F$2,课程对应学分!$A$1:$B$8,2,0),0)</f>
        <v>2</v>
      </c>
      <c r="G17" s="12">
        <f>IF(Sheet1!G16&gt;=60,VLOOKUP(G$2,课程对应学分!$A$1:$B$8,2,0),0)</f>
        <v>4</v>
      </c>
      <c r="H17" s="12">
        <f>IF(Sheet1!F16&gt;=60,VLOOKUP(H$2,课程对应学分!$A$1:$B$8,2,0),0)</f>
        <v>4</v>
      </c>
      <c r="I17" s="12">
        <f>IF(Sheet1!D16&gt;=60,VLOOKUP(I$2,课程对应学分!$A$1:$B$8,2,0),0)</f>
        <v>2</v>
      </c>
      <c r="J17" s="20">
        <f t="shared" si="0"/>
        <v>22</v>
      </c>
      <c r="K17" s="12" t="str">
        <f t="shared" si="1"/>
        <v>合格</v>
      </c>
    </row>
    <row r="18" spans="1:11" x14ac:dyDescent="0.2">
      <c r="A18" s="12">
        <v>15</v>
      </c>
      <c r="B18" s="12" t="s">
        <v>62</v>
      </c>
      <c r="C18" s="12">
        <f>IF(Sheet1!C17&gt;=60,VLOOKUP(C$2,课程对应学分!$A$1:$B$8,2,0),0)</f>
        <v>4</v>
      </c>
      <c r="D18" s="12">
        <f>IF(Sheet1!I17&gt;=60,VLOOKUP(D$2,课程对应学分!$A$1:$B$8,2,0),0)</f>
        <v>2</v>
      </c>
      <c r="E18" s="12">
        <f>IF(Sheet1!E17&gt;=60,VLOOKUP(E$2,课程对应学分!$A$1:$B$8,2,0),0)</f>
        <v>4</v>
      </c>
      <c r="F18" s="12">
        <f>IF(Sheet1!H17&gt;=60,VLOOKUP(F$2,课程对应学分!$A$1:$B$8,2,0),0)</f>
        <v>2</v>
      </c>
      <c r="G18" s="12">
        <f>IF(Sheet1!G17&gt;=60,VLOOKUP(G$2,课程对应学分!$A$1:$B$8,2,0),0)</f>
        <v>4</v>
      </c>
      <c r="H18" s="12">
        <f>IF(Sheet1!F17&gt;=60,VLOOKUP(H$2,课程对应学分!$A$1:$B$8,2,0),0)</f>
        <v>4</v>
      </c>
      <c r="I18" s="12">
        <f>IF(Sheet1!D17&gt;=60,VLOOKUP(I$2,课程对应学分!$A$1:$B$8,2,0),0)</f>
        <v>2</v>
      </c>
      <c r="J18" s="20">
        <f t="shared" si="0"/>
        <v>22</v>
      </c>
      <c r="K18" s="12" t="str">
        <f t="shared" si="1"/>
        <v>合格</v>
      </c>
    </row>
    <row r="19" spans="1:11" x14ac:dyDescent="0.2">
      <c r="A19" s="12">
        <v>16</v>
      </c>
      <c r="B19" s="12" t="s">
        <v>63</v>
      </c>
      <c r="C19" s="12">
        <f>IF(Sheet1!C18&gt;=60,VLOOKUP(C$2,课程对应学分!$A$1:$B$8,2,0),0)</f>
        <v>4</v>
      </c>
      <c r="D19" s="12">
        <f>IF(Sheet1!I18&gt;=60,VLOOKUP(D$2,课程对应学分!$A$1:$B$8,2,0),0)</f>
        <v>2</v>
      </c>
      <c r="E19" s="12">
        <f>IF(Sheet1!E18&gt;=60,VLOOKUP(E$2,课程对应学分!$A$1:$B$8,2,0),0)</f>
        <v>4</v>
      </c>
      <c r="F19" s="12">
        <f>IF(Sheet1!H18&gt;=60,VLOOKUP(F$2,课程对应学分!$A$1:$B$8,2,0),0)</f>
        <v>2</v>
      </c>
      <c r="G19" s="12">
        <f>IF(Sheet1!G18&gt;=60,VLOOKUP(G$2,课程对应学分!$A$1:$B$8,2,0),0)</f>
        <v>4</v>
      </c>
      <c r="H19" s="12">
        <f>IF(Sheet1!F18&gt;=60,VLOOKUP(H$2,课程对应学分!$A$1:$B$8,2,0),0)</f>
        <v>4</v>
      </c>
      <c r="I19" s="12">
        <f>IF(Sheet1!D18&gt;=60,VLOOKUP(I$2,课程对应学分!$A$1:$B$8,2,0),0)</f>
        <v>2</v>
      </c>
      <c r="J19" s="20">
        <f t="shared" si="0"/>
        <v>22</v>
      </c>
      <c r="K19" s="12" t="str">
        <f t="shared" si="1"/>
        <v>合格</v>
      </c>
    </row>
    <row r="20" spans="1:11" x14ac:dyDescent="0.2">
      <c r="A20" s="12">
        <v>17</v>
      </c>
      <c r="B20" s="12" t="s">
        <v>64</v>
      </c>
      <c r="C20" s="12">
        <f>IF(Sheet1!C19&gt;=60,VLOOKUP(C$2,课程对应学分!$A$1:$B$8,2,0),0)</f>
        <v>0</v>
      </c>
      <c r="D20" s="12">
        <f>IF(Sheet1!I19&gt;=60,VLOOKUP(D$2,课程对应学分!$A$1:$B$8,2,0),0)</f>
        <v>0</v>
      </c>
      <c r="E20" s="12">
        <f>IF(Sheet1!E19&gt;=60,VLOOKUP(E$2,课程对应学分!$A$1:$B$8,2,0),0)</f>
        <v>0</v>
      </c>
      <c r="F20" s="12">
        <f>IF(Sheet1!H19&gt;=60,VLOOKUP(F$2,课程对应学分!$A$1:$B$8,2,0),0)</f>
        <v>2</v>
      </c>
      <c r="G20" s="12">
        <f>IF(Sheet1!G19&gt;=60,VLOOKUP(G$2,课程对应学分!$A$1:$B$8,2,0),0)</f>
        <v>0</v>
      </c>
      <c r="H20" s="12">
        <f>IF(Sheet1!F19&gt;=60,VLOOKUP(H$2,课程对应学分!$A$1:$B$8,2,0),0)</f>
        <v>0</v>
      </c>
      <c r="I20" s="12">
        <f>IF(Sheet1!D19&gt;=60,VLOOKUP(I$2,课程对应学分!$A$1:$B$8,2,0),0)</f>
        <v>2</v>
      </c>
      <c r="J20" s="20">
        <f t="shared" si="0"/>
        <v>4</v>
      </c>
      <c r="K20" s="12" t="str">
        <f t="shared" si="1"/>
        <v>不合格</v>
      </c>
    </row>
    <row r="21" spans="1:11" x14ac:dyDescent="0.2">
      <c r="A21" s="12">
        <v>18</v>
      </c>
      <c r="B21" s="12" t="s">
        <v>65</v>
      </c>
      <c r="C21" s="12">
        <f>IF(Sheet1!C20&gt;=60,VLOOKUP(C$2,课程对应学分!$A$1:$B$8,2,0),0)</f>
        <v>0</v>
      </c>
      <c r="D21" s="12">
        <f>IF(Sheet1!I20&gt;=60,VLOOKUP(D$2,课程对应学分!$A$1:$B$8,2,0),0)</f>
        <v>2</v>
      </c>
      <c r="E21" s="12">
        <f>IF(Sheet1!E20&gt;=60,VLOOKUP(E$2,课程对应学分!$A$1:$B$8,2,0),0)</f>
        <v>0</v>
      </c>
      <c r="F21" s="12">
        <f>IF(Sheet1!H20&gt;=60,VLOOKUP(F$2,课程对应学分!$A$1:$B$8,2,0),0)</f>
        <v>2</v>
      </c>
      <c r="G21" s="12">
        <f>IF(Sheet1!G20&gt;=60,VLOOKUP(G$2,课程对应学分!$A$1:$B$8,2,0),0)</f>
        <v>0</v>
      </c>
      <c r="H21" s="12">
        <f>IF(Sheet1!F20&gt;=60,VLOOKUP(H$2,课程对应学分!$A$1:$B$8,2,0),0)</f>
        <v>4</v>
      </c>
      <c r="I21" s="12">
        <f>IF(Sheet1!D20&gt;=60,VLOOKUP(I$2,课程对应学分!$A$1:$B$8,2,0),0)</f>
        <v>2</v>
      </c>
      <c r="J21" s="20">
        <f t="shared" si="0"/>
        <v>10</v>
      </c>
      <c r="K21" s="12" t="str">
        <f t="shared" si="1"/>
        <v>不合格</v>
      </c>
    </row>
    <row r="22" spans="1:11" x14ac:dyDescent="0.2">
      <c r="A22" s="12">
        <v>19</v>
      </c>
      <c r="B22" s="12" t="s">
        <v>66</v>
      </c>
      <c r="C22" s="12">
        <f>IF(Sheet1!C21&gt;=60,VLOOKUP(C$2,课程对应学分!$A$1:$B$8,2,0),0)</f>
        <v>4</v>
      </c>
      <c r="D22" s="12">
        <f>IF(Sheet1!I21&gt;=60,VLOOKUP(D$2,课程对应学分!$A$1:$B$8,2,0),0)</f>
        <v>2</v>
      </c>
      <c r="E22" s="12">
        <f>IF(Sheet1!E21&gt;=60,VLOOKUP(E$2,课程对应学分!$A$1:$B$8,2,0),0)</f>
        <v>4</v>
      </c>
      <c r="F22" s="12">
        <f>IF(Sheet1!H21&gt;=60,VLOOKUP(F$2,课程对应学分!$A$1:$B$8,2,0),0)</f>
        <v>2</v>
      </c>
      <c r="G22" s="12">
        <f>IF(Sheet1!G21&gt;=60,VLOOKUP(G$2,课程对应学分!$A$1:$B$8,2,0),0)</f>
        <v>4</v>
      </c>
      <c r="H22" s="12">
        <f>IF(Sheet1!F21&gt;=60,VLOOKUP(H$2,课程对应学分!$A$1:$B$8,2,0),0)</f>
        <v>4</v>
      </c>
      <c r="I22" s="12">
        <f>IF(Sheet1!D21&gt;=60,VLOOKUP(I$2,课程对应学分!$A$1:$B$8,2,0),0)</f>
        <v>2</v>
      </c>
      <c r="J22" s="20">
        <f t="shared" si="0"/>
        <v>22</v>
      </c>
      <c r="K22" s="12" t="str">
        <f t="shared" si="1"/>
        <v>合格</v>
      </c>
    </row>
    <row r="23" spans="1:11" x14ac:dyDescent="0.2">
      <c r="A23" s="12">
        <v>20</v>
      </c>
      <c r="B23" s="12" t="s">
        <v>67</v>
      </c>
      <c r="C23" s="12">
        <f>IF(Sheet1!C22&gt;=60,VLOOKUP(C$2,课程对应学分!$A$1:$B$8,2,0),0)</f>
        <v>4</v>
      </c>
      <c r="D23" s="12">
        <f>IF(Sheet1!I22&gt;=60,VLOOKUP(D$2,课程对应学分!$A$1:$B$8,2,0),0)</f>
        <v>0</v>
      </c>
      <c r="E23" s="12">
        <f>IF(Sheet1!E22&gt;=60,VLOOKUP(E$2,课程对应学分!$A$1:$B$8,2,0),0)</f>
        <v>0</v>
      </c>
      <c r="F23" s="12">
        <f>IF(Sheet1!H22&gt;=60,VLOOKUP(F$2,课程对应学分!$A$1:$B$8,2,0),0)</f>
        <v>2</v>
      </c>
      <c r="G23" s="12">
        <f>IF(Sheet1!G22&gt;=60,VLOOKUP(G$2,课程对应学分!$A$1:$B$8,2,0),0)</f>
        <v>4</v>
      </c>
      <c r="H23" s="12">
        <f>IF(Sheet1!F22&gt;=60,VLOOKUP(H$2,课程对应学分!$A$1:$B$8,2,0),0)</f>
        <v>4</v>
      </c>
      <c r="I23" s="12">
        <f>IF(Sheet1!D22&gt;=60,VLOOKUP(I$2,课程对应学分!$A$1:$B$8,2,0),0)</f>
        <v>2</v>
      </c>
      <c r="J23" s="20">
        <f t="shared" si="0"/>
        <v>16</v>
      </c>
      <c r="K23" s="12" t="str">
        <f t="shared" si="1"/>
        <v>合格</v>
      </c>
    </row>
    <row r="24" spans="1:11" x14ac:dyDescent="0.2">
      <c r="A24" s="12">
        <v>21</v>
      </c>
      <c r="B24" s="12" t="s">
        <v>68</v>
      </c>
      <c r="C24" s="12">
        <f>IF(Sheet1!C23&gt;=60,VLOOKUP(C$2,课程对应学分!$A$1:$B$8,2,0),0)</f>
        <v>4</v>
      </c>
      <c r="D24" s="12">
        <f>IF(Sheet1!I23&gt;=60,VLOOKUP(D$2,课程对应学分!$A$1:$B$8,2,0),0)</f>
        <v>2</v>
      </c>
      <c r="E24" s="12">
        <f>IF(Sheet1!E23&gt;=60,VLOOKUP(E$2,课程对应学分!$A$1:$B$8,2,0),0)</f>
        <v>4</v>
      </c>
      <c r="F24" s="12">
        <f>IF(Sheet1!H23&gt;=60,VLOOKUP(F$2,课程对应学分!$A$1:$B$8,2,0),0)</f>
        <v>2</v>
      </c>
      <c r="G24" s="12">
        <f>IF(Sheet1!G23&gt;=60,VLOOKUP(G$2,课程对应学分!$A$1:$B$8,2,0),0)</f>
        <v>4</v>
      </c>
      <c r="H24" s="12">
        <f>IF(Sheet1!F23&gt;=60,VLOOKUP(H$2,课程对应学分!$A$1:$B$8,2,0),0)</f>
        <v>0</v>
      </c>
      <c r="I24" s="12">
        <f>IF(Sheet1!D23&gt;=60,VLOOKUP(I$2,课程对应学分!$A$1:$B$8,2,0),0)</f>
        <v>2</v>
      </c>
      <c r="J24" s="20">
        <f t="shared" si="0"/>
        <v>18</v>
      </c>
      <c r="K24" s="12" t="str">
        <f t="shared" si="1"/>
        <v>合格</v>
      </c>
    </row>
    <row r="25" spans="1:11" x14ac:dyDescent="0.2">
      <c r="A25" s="12">
        <v>22</v>
      </c>
      <c r="B25" s="12" t="s">
        <v>69</v>
      </c>
      <c r="C25" s="12">
        <f>IF(Sheet1!C24&gt;=60,VLOOKUP(C$2,课程对应学分!$A$1:$B$8,2,0),0)</f>
        <v>4</v>
      </c>
      <c r="D25" s="12">
        <f>IF(Sheet1!I24&gt;=60,VLOOKUP(D$2,课程对应学分!$A$1:$B$8,2,0),0)</f>
        <v>2</v>
      </c>
      <c r="E25" s="12">
        <f>IF(Sheet1!E24&gt;=60,VLOOKUP(E$2,课程对应学分!$A$1:$B$8,2,0),0)</f>
        <v>4</v>
      </c>
      <c r="F25" s="12">
        <f>IF(Sheet1!H24&gt;=60,VLOOKUP(F$2,课程对应学分!$A$1:$B$8,2,0),0)</f>
        <v>2</v>
      </c>
      <c r="G25" s="12">
        <f>IF(Sheet1!G24&gt;=60,VLOOKUP(G$2,课程对应学分!$A$1:$B$8,2,0),0)</f>
        <v>4</v>
      </c>
      <c r="H25" s="12">
        <f>IF(Sheet1!F24&gt;=60,VLOOKUP(H$2,课程对应学分!$A$1:$B$8,2,0),0)</f>
        <v>4</v>
      </c>
      <c r="I25" s="12">
        <f>IF(Sheet1!D24&gt;=60,VLOOKUP(I$2,课程对应学分!$A$1:$B$8,2,0),0)</f>
        <v>2</v>
      </c>
      <c r="J25" s="20">
        <f t="shared" si="0"/>
        <v>22</v>
      </c>
      <c r="K25" s="12" t="str">
        <f t="shared" si="1"/>
        <v>合格</v>
      </c>
    </row>
    <row r="26" spans="1:11" x14ac:dyDescent="0.2">
      <c r="A26" s="12">
        <v>23</v>
      </c>
      <c r="B26" s="12" t="s">
        <v>70</v>
      </c>
      <c r="C26" s="12">
        <f>IF(Sheet1!C25&gt;=60,VLOOKUP(C$2,课程对应学分!$A$1:$B$8,2,0),0)</f>
        <v>4</v>
      </c>
      <c r="D26" s="12">
        <f>IF(Sheet1!I25&gt;=60,VLOOKUP(D$2,课程对应学分!$A$1:$B$8,2,0),0)</f>
        <v>2</v>
      </c>
      <c r="E26" s="12">
        <f>IF(Sheet1!E25&gt;=60,VLOOKUP(E$2,课程对应学分!$A$1:$B$8,2,0),0)</f>
        <v>4</v>
      </c>
      <c r="F26" s="12">
        <f>IF(Sheet1!H25&gt;=60,VLOOKUP(F$2,课程对应学分!$A$1:$B$8,2,0),0)</f>
        <v>2</v>
      </c>
      <c r="G26" s="12">
        <f>IF(Sheet1!G25&gt;=60,VLOOKUP(G$2,课程对应学分!$A$1:$B$8,2,0),0)</f>
        <v>4</v>
      </c>
      <c r="H26" s="12">
        <f>IF(Sheet1!F25&gt;=60,VLOOKUP(H$2,课程对应学分!$A$1:$B$8,2,0),0)</f>
        <v>4</v>
      </c>
      <c r="I26" s="12">
        <f>IF(Sheet1!D25&gt;=60,VLOOKUP(I$2,课程对应学分!$A$1:$B$8,2,0),0)</f>
        <v>2</v>
      </c>
      <c r="J26" s="20">
        <f t="shared" si="0"/>
        <v>22</v>
      </c>
      <c r="K26" s="12" t="str">
        <f t="shared" si="1"/>
        <v>合格</v>
      </c>
    </row>
    <row r="27" spans="1:11" x14ac:dyDescent="0.2">
      <c r="A27" s="12">
        <v>24</v>
      </c>
      <c r="B27" s="12" t="s">
        <v>71</v>
      </c>
      <c r="C27" s="12">
        <f>IF(Sheet1!C26&gt;=60,VLOOKUP(C$2,课程对应学分!$A$1:$B$8,2,0),0)</f>
        <v>4</v>
      </c>
      <c r="D27" s="12">
        <f>IF(Sheet1!I26&gt;=60,VLOOKUP(D$2,课程对应学分!$A$1:$B$8,2,0),0)</f>
        <v>2</v>
      </c>
      <c r="E27" s="12">
        <f>IF(Sheet1!E26&gt;=60,VLOOKUP(E$2,课程对应学分!$A$1:$B$8,2,0),0)</f>
        <v>4</v>
      </c>
      <c r="F27" s="12">
        <f>IF(Sheet1!H26&gt;=60,VLOOKUP(F$2,课程对应学分!$A$1:$B$8,2,0),0)</f>
        <v>2</v>
      </c>
      <c r="G27" s="12">
        <f>IF(Sheet1!G26&gt;=60,VLOOKUP(G$2,课程对应学分!$A$1:$B$8,2,0),0)</f>
        <v>4</v>
      </c>
      <c r="H27" s="12">
        <f>IF(Sheet1!F26&gt;=60,VLOOKUP(H$2,课程对应学分!$A$1:$B$8,2,0),0)</f>
        <v>4</v>
      </c>
      <c r="I27" s="12">
        <f>IF(Sheet1!D26&gt;=60,VLOOKUP(I$2,课程对应学分!$A$1:$B$8,2,0),0)</f>
        <v>2</v>
      </c>
      <c r="J27" s="20">
        <f t="shared" si="0"/>
        <v>22</v>
      </c>
      <c r="K27" s="12" t="str">
        <f t="shared" si="1"/>
        <v>合格</v>
      </c>
    </row>
    <row r="28" spans="1:11" x14ac:dyDescent="0.2">
      <c r="A28" s="12">
        <v>25</v>
      </c>
      <c r="B28" s="12" t="s">
        <v>72</v>
      </c>
      <c r="C28" s="12">
        <f>IF(Sheet1!C27&gt;=60,VLOOKUP(C$2,课程对应学分!$A$1:$B$8,2,0),0)</f>
        <v>4</v>
      </c>
      <c r="D28" s="12">
        <f>IF(Sheet1!I27&gt;=60,VLOOKUP(D$2,课程对应学分!$A$1:$B$8,2,0),0)</f>
        <v>2</v>
      </c>
      <c r="E28" s="12">
        <f>IF(Sheet1!E27&gt;=60,VLOOKUP(E$2,课程对应学分!$A$1:$B$8,2,0),0)</f>
        <v>4</v>
      </c>
      <c r="F28" s="12">
        <f>IF(Sheet1!H27&gt;=60,VLOOKUP(F$2,课程对应学分!$A$1:$B$8,2,0),0)</f>
        <v>2</v>
      </c>
      <c r="G28" s="12">
        <f>IF(Sheet1!G27&gt;=60,VLOOKUP(G$2,课程对应学分!$A$1:$B$8,2,0),0)</f>
        <v>4</v>
      </c>
      <c r="H28" s="12">
        <f>IF(Sheet1!F27&gt;=60,VLOOKUP(H$2,课程对应学分!$A$1:$B$8,2,0),0)</f>
        <v>4</v>
      </c>
      <c r="I28" s="12">
        <f>IF(Sheet1!D27&gt;=60,VLOOKUP(I$2,课程对应学分!$A$1:$B$8,2,0),0)</f>
        <v>2</v>
      </c>
      <c r="J28" s="20">
        <f t="shared" si="0"/>
        <v>22</v>
      </c>
      <c r="K28" s="12" t="str">
        <f t="shared" si="1"/>
        <v>合格</v>
      </c>
    </row>
    <row r="29" spans="1:11" x14ac:dyDescent="0.2">
      <c r="A29" s="12">
        <v>26</v>
      </c>
      <c r="B29" s="12" t="s">
        <v>73</v>
      </c>
      <c r="C29" s="12">
        <f>IF(Sheet1!C28&gt;=60,VLOOKUP(C$2,课程对应学分!$A$1:$B$8,2,0),0)</f>
        <v>4</v>
      </c>
      <c r="D29" s="12">
        <f>IF(Sheet1!I28&gt;=60,VLOOKUP(D$2,课程对应学分!$A$1:$B$8,2,0),0)</f>
        <v>2</v>
      </c>
      <c r="E29" s="12">
        <f>IF(Sheet1!E28&gt;=60,VLOOKUP(E$2,课程对应学分!$A$1:$B$8,2,0),0)</f>
        <v>4</v>
      </c>
      <c r="F29" s="12">
        <f>IF(Sheet1!H28&gt;=60,VLOOKUP(F$2,课程对应学分!$A$1:$B$8,2,0),0)</f>
        <v>2</v>
      </c>
      <c r="G29" s="12">
        <f>IF(Sheet1!G28&gt;=60,VLOOKUP(G$2,课程对应学分!$A$1:$B$8,2,0),0)</f>
        <v>4</v>
      </c>
      <c r="H29" s="12">
        <f>IF(Sheet1!F28&gt;=60,VLOOKUP(H$2,课程对应学分!$A$1:$B$8,2,0),0)</f>
        <v>0</v>
      </c>
      <c r="I29" s="12">
        <f>IF(Sheet1!D28&gt;=60,VLOOKUP(I$2,课程对应学分!$A$1:$B$8,2,0),0)</f>
        <v>2</v>
      </c>
      <c r="J29" s="20">
        <f t="shared" si="0"/>
        <v>18</v>
      </c>
      <c r="K29" s="12" t="str">
        <f t="shared" si="1"/>
        <v>合格</v>
      </c>
    </row>
    <row r="30" spans="1:11" x14ac:dyDescent="0.2">
      <c r="A30" s="12">
        <v>27</v>
      </c>
      <c r="B30" s="12" t="s">
        <v>74</v>
      </c>
      <c r="C30" s="12">
        <f>IF(Sheet1!C29&gt;=60,VLOOKUP(C$2,课程对应学分!$A$1:$B$8,2,0),0)</f>
        <v>4</v>
      </c>
      <c r="D30" s="12">
        <f>IF(Sheet1!I29&gt;=60,VLOOKUP(D$2,课程对应学分!$A$1:$B$8,2,0),0)</f>
        <v>0</v>
      </c>
      <c r="E30" s="12">
        <f>IF(Sheet1!E29&gt;=60,VLOOKUP(E$2,课程对应学分!$A$1:$B$8,2,0),0)</f>
        <v>4</v>
      </c>
      <c r="F30" s="12">
        <f>IF(Sheet1!H29&gt;=60,VLOOKUP(F$2,课程对应学分!$A$1:$B$8,2,0),0)</f>
        <v>2</v>
      </c>
      <c r="G30" s="12">
        <f>IF(Sheet1!G29&gt;=60,VLOOKUP(G$2,课程对应学分!$A$1:$B$8,2,0),0)</f>
        <v>4</v>
      </c>
      <c r="H30" s="12">
        <f>IF(Sheet1!F29&gt;=60,VLOOKUP(H$2,课程对应学分!$A$1:$B$8,2,0),0)</f>
        <v>4</v>
      </c>
      <c r="I30" s="12">
        <f>IF(Sheet1!D29&gt;=60,VLOOKUP(I$2,课程对应学分!$A$1:$B$8,2,0),0)</f>
        <v>2</v>
      </c>
      <c r="J30" s="20">
        <f t="shared" si="0"/>
        <v>20</v>
      </c>
      <c r="K30" s="12" t="str">
        <f t="shared" si="1"/>
        <v>合格</v>
      </c>
    </row>
    <row r="31" spans="1:11" x14ac:dyDescent="0.2">
      <c r="A31" s="12">
        <v>28</v>
      </c>
      <c r="B31" s="12" t="s">
        <v>75</v>
      </c>
      <c r="C31" s="12">
        <f>IF(Sheet1!C30&gt;=60,VLOOKUP(C$2,课程对应学分!$A$1:$B$8,2,0),0)</f>
        <v>4</v>
      </c>
      <c r="D31" s="12">
        <f>IF(Sheet1!I30&gt;=60,VLOOKUP(D$2,课程对应学分!$A$1:$B$8,2,0),0)</f>
        <v>0</v>
      </c>
      <c r="E31" s="12">
        <f>IF(Sheet1!E30&gt;=60,VLOOKUP(E$2,课程对应学分!$A$1:$B$8,2,0),0)</f>
        <v>4</v>
      </c>
      <c r="F31" s="12">
        <f>IF(Sheet1!H30&gt;=60,VLOOKUP(F$2,课程对应学分!$A$1:$B$8,2,0),0)</f>
        <v>2</v>
      </c>
      <c r="G31" s="12">
        <f>IF(Sheet1!G30&gt;=60,VLOOKUP(G$2,课程对应学分!$A$1:$B$8,2,0),0)</f>
        <v>4</v>
      </c>
      <c r="H31" s="12">
        <f>IF(Sheet1!F30&gt;=60,VLOOKUP(H$2,课程对应学分!$A$1:$B$8,2,0),0)</f>
        <v>0</v>
      </c>
      <c r="I31" s="12">
        <f>IF(Sheet1!D30&gt;=60,VLOOKUP(I$2,课程对应学分!$A$1:$B$8,2,0),0)</f>
        <v>2</v>
      </c>
      <c r="J31" s="20">
        <f t="shared" si="0"/>
        <v>16</v>
      </c>
      <c r="K31" s="12" t="str">
        <f t="shared" si="1"/>
        <v>合格</v>
      </c>
    </row>
    <row r="32" spans="1:11" x14ac:dyDescent="0.2">
      <c r="A32" s="12">
        <v>29</v>
      </c>
      <c r="B32" s="12" t="s">
        <v>76</v>
      </c>
      <c r="C32" s="12">
        <f>IF(Sheet1!C31&gt;=60,VLOOKUP(C$2,课程对应学分!$A$1:$B$8,2,0),0)</f>
        <v>4</v>
      </c>
      <c r="D32" s="12">
        <f>IF(Sheet1!I31&gt;=60,VLOOKUP(D$2,课程对应学分!$A$1:$B$8,2,0),0)</f>
        <v>2</v>
      </c>
      <c r="E32" s="12">
        <f>IF(Sheet1!E31&gt;=60,VLOOKUP(E$2,课程对应学分!$A$1:$B$8,2,0),0)</f>
        <v>4</v>
      </c>
      <c r="F32" s="12">
        <f>IF(Sheet1!H31&gt;=60,VLOOKUP(F$2,课程对应学分!$A$1:$B$8,2,0),0)</f>
        <v>2</v>
      </c>
      <c r="G32" s="12">
        <f>IF(Sheet1!G31&gt;=60,VLOOKUP(G$2,课程对应学分!$A$1:$B$8,2,0),0)</f>
        <v>4</v>
      </c>
      <c r="H32" s="12">
        <f>IF(Sheet1!F31&gt;=60,VLOOKUP(H$2,课程对应学分!$A$1:$B$8,2,0),0)</f>
        <v>0</v>
      </c>
      <c r="I32" s="12">
        <f>IF(Sheet1!D31&gt;=60,VLOOKUP(I$2,课程对应学分!$A$1:$B$8,2,0),0)</f>
        <v>2</v>
      </c>
      <c r="J32" s="20">
        <f t="shared" si="0"/>
        <v>18</v>
      </c>
      <c r="K32" s="12" t="str">
        <f t="shared" si="1"/>
        <v>合格</v>
      </c>
    </row>
    <row r="33" spans="1:11" x14ac:dyDescent="0.2">
      <c r="A33" s="12">
        <v>30</v>
      </c>
      <c r="B33" s="12" t="s">
        <v>77</v>
      </c>
      <c r="C33" s="12">
        <f>IF(Sheet1!C32&gt;=60,VLOOKUP(C$2,课程对应学分!$A$1:$B$8,2,0),0)</f>
        <v>4</v>
      </c>
      <c r="D33" s="12">
        <f>IF(Sheet1!I32&gt;=60,VLOOKUP(D$2,课程对应学分!$A$1:$B$8,2,0),0)</f>
        <v>2</v>
      </c>
      <c r="E33" s="12">
        <f>IF(Sheet1!E32&gt;=60,VLOOKUP(E$2,课程对应学分!$A$1:$B$8,2,0),0)</f>
        <v>4</v>
      </c>
      <c r="F33" s="12">
        <f>IF(Sheet1!H32&gt;=60,VLOOKUP(F$2,课程对应学分!$A$1:$B$8,2,0),0)</f>
        <v>2</v>
      </c>
      <c r="G33" s="12">
        <f>IF(Sheet1!G32&gt;=60,VLOOKUP(G$2,课程对应学分!$A$1:$B$8,2,0),0)</f>
        <v>4</v>
      </c>
      <c r="H33" s="12">
        <f>IF(Sheet1!F32&gt;=60,VLOOKUP(H$2,课程对应学分!$A$1:$B$8,2,0),0)</f>
        <v>4</v>
      </c>
      <c r="I33" s="12">
        <f>IF(Sheet1!D32&gt;=60,VLOOKUP(I$2,课程对应学分!$A$1:$B$8,2,0),0)</f>
        <v>2</v>
      </c>
      <c r="J33" s="20">
        <f t="shared" si="0"/>
        <v>22</v>
      </c>
      <c r="K33" s="12" t="str">
        <f t="shared" si="1"/>
        <v>合格</v>
      </c>
    </row>
    <row r="34" spans="1:11" x14ac:dyDescent="0.2">
      <c r="A34" s="12">
        <v>31</v>
      </c>
      <c r="B34" s="12" t="s">
        <v>78</v>
      </c>
      <c r="C34" s="12">
        <f>IF(Sheet1!C33&gt;=60,VLOOKUP(C$2,课程对应学分!$A$1:$B$8,2,0),0)</f>
        <v>4</v>
      </c>
      <c r="D34" s="12">
        <f>IF(Sheet1!I33&gt;=60,VLOOKUP(D$2,课程对应学分!$A$1:$B$8,2,0),0)</f>
        <v>2</v>
      </c>
      <c r="E34" s="12">
        <f>IF(Sheet1!E33&gt;=60,VLOOKUP(E$2,课程对应学分!$A$1:$B$8,2,0),0)</f>
        <v>4</v>
      </c>
      <c r="F34" s="12">
        <f>IF(Sheet1!H33&gt;=60,VLOOKUP(F$2,课程对应学分!$A$1:$B$8,2,0),0)</f>
        <v>2</v>
      </c>
      <c r="G34" s="12">
        <f>IF(Sheet1!G33&gt;=60,VLOOKUP(G$2,课程对应学分!$A$1:$B$8,2,0),0)</f>
        <v>4</v>
      </c>
      <c r="H34" s="12">
        <f>IF(Sheet1!F33&gt;=60,VLOOKUP(H$2,课程对应学分!$A$1:$B$8,2,0),0)</f>
        <v>4</v>
      </c>
      <c r="I34" s="12">
        <f>IF(Sheet1!D33&gt;=60,VLOOKUP(I$2,课程对应学分!$A$1:$B$8,2,0),0)</f>
        <v>2</v>
      </c>
      <c r="J34" s="20">
        <f t="shared" si="0"/>
        <v>22</v>
      </c>
      <c r="K34" s="12" t="str">
        <f t="shared" si="1"/>
        <v>合格</v>
      </c>
    </row>
    <row r="35" spans="1:11" x14ac:dyDescent="0.2">
      <c r="A35" s="12">
        <v>32</v>
      </c>
      <c r="B35" s="12" t="s">
        <v>79</v>
      </c>
      <c r="C35" s="12">
        <f>IF(Sheet1!C34&gt;=60,VLOOKUP(C$2,课程对应学分!$A$1:$B$8,2,0),0)</f>
        <v>4</v>
      </c>
      <c r="D35" s="12">
        <f>IF(Sheet1!I34&gt;=60,VLOOKUP(D$2,课程对应学分!$A$1:$B$8,2,0),0)</f>
        <v>2</v>
      </c>
      <c r="E35" s="12">
        <f>IF(Sheet1!E34&gt;=60,VLOOKUP(E$2,课程对应学分!$A$1:$B$8,2,0),0)</f>
        <v>0</v>
      </c>
      <c r="F35" s="12">
        <f>IF(Sheet1!H34&gt;=60,VLOOKUP(F$2,课程对应学分!$A$1:$B$8,2,0),0)</f>
        <v>2</v>
      </c>
      <c r="G35" s="12">
        <f>IF(Sheet1!G34&gt;=60,VLOOKUP(G$2,课程对应学分!$A$1:$B$8,2,0),0)</f>
        <v>4</v>
      </c>
      <c r="H35" s="12">
        <f>IF(Sheet1!F34&gt;=60,VLOOKUP(H$2,课程对应学分!$A$1:$B$8,2,0),0)</f>
        <v>4</v>
      </c>
      <c r="I35" s="12">
        <f>IF(Sheet1!D34&gt;=60,VLOOKUP(I$2,课程对应学分!$A$1:$B$8,2,0),0)</f>
        <v>2</v>
      </c>
      <c r="J35" s="20">
        <f t="shared" si="0"/>
        <v>18</v>
      </c>
      <c r="K35" s="12" t="str">
        <f t="shared" si="1"/>
        <v>合格</v>
      </c>
    </row>
    <row r="36" spans="1:11" x14ac:dyDescent="0.2">
      <c r="A36" s="12">
        <v>33</v>
      </c>
      <c r="B36" s="12" t="s">
        <v>80</v>
      </c>
      <c r="C36" s="12">
        <f>IF(Sheet1!C35&gt;=60,VLOOKUP(C$2,课程对应学分!$A$1:$B$8,2,0),0)</f>
        <v>0</v>
      </c>
      <c r="D36" s="12">
        <f>IF(Sheet1!I35&gt;=60,VLOOKUP(D$2,课程对应学分!$A$1:$B$8,2,0),0)</f>
        <v>0</v>
      </c>
      <c r="E36" s="12">
        <f>IF(Sheet1!E35&gt;=60,VLOOKUP(E$2,课程对应学分!$A$1:$B$8,2,0),0)</f>
        <v>0</v>
      </c>
      <c r="F36" s="12">
        <f>IF(Sheet1!H35&gt;=60,VLOOKUP(F$2,课程对应学分!$A$1:$B$8,2,0),0)</f>
        <v>2</v>
      </c>
      <c r="G36" s="12">
        <f>IF(Sheet1!G35&gt;=60,VLOOKUP(G$2,课程对应学分!$A$1:$B$8,2,0),0)</f>
        <v>4</v>
      </c>
      <c r="H36" s="12">
        <f>IF(Sheet1!F35&gt;=60,VLOOKUP(H$2,课程对应学分!$A$1:$B$8,2,0),0)</f>
        <v>4</v>
      </c>
      <c r="I36" s="12">
        <f>IF(Sheet1!D35&gt;=60,VLOOKUP(I$2,课程对应学分!$A$1:$B$8,2,0),0)</f>
        <v>2</v>
      </c>
      <c r="J36" s="20">
        <f t="shared" si="0"/>
        <v>12</v>
      </c>
      <c r="K36" s="12" t="str">
        <f t="shared" si="1"/>
        <v>不合格</v>
      </c>
    </row>
    <row r="37" spans="1:11" x14ac:dyDescent="0.2">
      <c r="A37" s="12">
        <v>34</v>
      </c>
      <c r="B37" s="12" t="s">
        <v>81</v>
      </c>
      <c r="C37" s="12">
        <f>IF(Sheet1!C36&gt;=60,VLOOKUP(C$2,课程对应学分!$A$1:$B$8,2,0),0)</f>
        <v>0</v>
      </c>
      <c r="D37" s="12">
        <f>IF(Sheet1!I36&gt;=60,VLOOKUP(D$2,课程对应学分!$A$1:$B$8,2,0),0)</f>
        <v>0</v>
      </c>
      <c r="E37" s="12">
        <f>IF(Sheet1!E36&gt;=60,VLOOKUP(E$2,课程对应学分!$A$1:$B$8,2,0),0)</f>
        <v>0</v>
      </c>
      <c r="F37" s="12">
        <f>IF(Sheet1!H36&gt;=60,VLOOKUP(F$2,课程对应学分!$A$1:$B$8,2,0),0)</f>
        <v>2</v>
      </c>
      <c r="G37" s="12">
        <f>IF(Sheet1!G36&gt;=60,VLOOKUP(G$2,课程对应学分!$A$1:$B$8,2,0),0)</f>
        <v>4</v>
      </c>
      <c r="H37" s="12">
        <f>IF(Sheet1!F36&gt;=60,VLOOKUP(H$2,课程对应学分!$A$1:$B$8,2,0),0)</f>
        <v>0</v>
      </c>
      <c r="I37" s="12">
        <f>IF(Sheet1!D36&gt;=60,VLOOKUP(I$2,课程对应学分!$A$1:$B$8,2,0),0)</f>
        <v>2</v>
      </c>
      <c r="J37" s="20">
        <f t="shared" si="0"/>
        <v>8</v>
      </c>
      <c r="K37" s="12" t="str">
        <f t="shared" si="1"/>
        <v>不合格</v>
      </c>
    </row>
    <row r="38" spans="1:11" x14ac:dyDescent="0.2">
      <c r="A38" s="12">
        <v>35</v>
      </c>
      <c r="B38" s="12" t="s">
        <v>82</v>
      </c>
      <c r="C38" s="12">
        <f>IF(Sheet1!C37&gt;=60,VLOOKUP(C$2,课程对应学分!$A$1:$B$8,2,0),0)</f>
        <v>0</v>
      </c>
      <c r="D38" s="12">
        <f>IF(Sheet1!I37&gt;=60,VLOOKUP(D$2,课程对应学分!$A$1:$B$8,2,0),0)</f>
        <v>0</v>
      </c>
      <c r="E38" s="12">
        <f>IF(Sheet1!E37&gt;=60,VLOOKUP(E$2,课程对应学分!$A$1:$B$8,2,0),0)</f>
        <v>0</v>
      </c>
      <c r="F38" s="12">
        <f>IF(Sheet1!H37&gt;=60,VLOOKUP(F$2,课程对应学分!$A$1:$B$8,2,0),0)</f>
        <v>2</v>
      </c>
      <c r="G38" s="12">
        <f>IF(Sheet1!G37&gt;=60,VLOOKUP(G$2,课程对应学分!$A$1:$B$8,2,0),0)</f>
        <v>4</v>
      </c>
      <c r="H38" s="12">
        <f>IF(Sheet1!F37&gt;=60,VLOOKUP(H$2,课程对应学分!$A$1:$B$8,2,0),0)</f>
        <v>0</v>
      </c>
      <c r="I38" s="12">
        <f>IF(Sheet1!D37&gt;=60,VLOOKUP(I$2,课程对应学分!$A$1:$B$8,2,0),0)</f>
        <v>2</v>
      </c>
      <c r="J38" s="20">
        <f t="shared" si="0"/>
        <v>8</v>
      </c>
      <c r="K38" s="12" t="str">
        <f t="shared" si="1"/>
        <v>不合格</v>
      </c>
    </row>
    <row r="39" spans="1:11" x14ac:dyDescent="0.2">
      <c r="A39" s="12">
        <v>36</v>
      </c>
      <c r="B39" s="12" t="s">
        <v>83</v>
      </c>
      <c r="C39" s="12">
        <f>IF(Sheet1!C38&gt;=60,VLOOKUP(C$2,课程对应学分!$A$1:$B$8,2,0),0)</f>
        <v>4</v>
      </c>
      <c r="D39" s="12">
        <f>IF(Sheet1!I38&gt;=60,VLOOKUP(D$2,课程对应学分!$A$1:$B$8,2,0),0)</f>
        <v>2</v>
      </c>
      <c r="E39" s="12">
        <f>IF(Sheet1!E38&gt;=60,VLOOKUP(E$2,课程对应学分!$A$1:$B$8,2,0),0)</f>
        <v>0</v>
      </c>
      <c r="F39" s="12">
        <f>IF(Sheet1!H38&gt;=60,VLOOKUP(F$2,课程对应学分!$A$1:$B$8,2,0),0)</f>
        <v>2</v>
      </c>
      <c r="G39" s="12">
        <f>IF(Sheet1!G38&gt;=60,VLOOKUP(G$2,课程对应学分!$A$1:$B$8,2,0),0)</f>
        <v>4</v>
      </c>
      <c r="H39" s="12">
        <f>IF(Sheet1!F38&gt;=60,VLOOKUP(H$2,课程对应学分!$A$1:$B$8,2,0),0)</f>
        <v>4</v>
      </c>
      <c r="I39" s="12">
        <f>IF(Sheet1!D38&gt;=60,VLOOKUP(I$2,课程对应学分!$A$1:$B$8,2,0),0)</f>
        <v>2</v>
      </c>
      <c r="J39" s="20">
        <f t="shared" si="0"/>
        <v>18</v>
      </c>
      <c r="K39" s="12" t="str">
        <f t="shared" si="1"/>
        <v>合格</v>
      </c>
    </row>
    <row r="40" spans="1:11" x14ac:dyDescent="0.2">
      <c r="A40" s="12">
        <v>37</v>
      </c>
      <c r="B40" s="12" t="s">
        <v>84</v>
      </c>
      <c r="C40" s="12">
        <f>IF(Sheet1!C39&gt;=60,VLOOKUP(C$2,课程对应学分!$A$1:$B$8,2,0),0)</f>
        <v>4</v>
      </c>
      <c r="D40" s="12">
        <f>IF(Sheet1!I39&gt;=60,VLOOKUP(D$2,课程对应学分!$A$1:$B$8,2,0),0)</f>
        <v>2</v>
      </c>
      <c r="E40" s="12">
        <f>IF(Sheet1!E39&gt;=60,VLOOKUP(E$2,课程对应学分!$A$1:$B$8,2,0),0)</f>
        <v>4</v>
      </c>
      <c r="F40" s="12">
        <f>IF(Sheet1!H39&gt;=60,VLOOKUP(F$2,课程对应学分!$A$1:$B$8,2,0),0)</f>
        <v>2</v>
      </c>
      <c r="G40" s="12">
        <f>IF(Sheet1!G39&gt;=60,VLOOKUP(G$2,课程对应学分!$A$1:$B$8,2,0),0)</f>
        <v>4</v>
      </c>
      <c r="H40" s="12">
        <f>IF(Sheet1!F39&gt;=60,VLOOKUP(H$2,课程对应学分!$A$1:$B$8,2,0),0)</f>
        <v>4</v>
      </c>
      <c r="I40" s="12">
        <f>IF(Sheet1!D39&gt;=60,VLOOKUP(I$2,课程对应学分!$A$1:$B$8,2,0),0)</f>
        <v>2</v>
      </c>
      <c r="J40" s="20">
        <f t="shared" si="0"/>
        <v>22</v>
      </c>
      <c r="K40" s="12" t="str">
        <f t="shared" si="1"/>
        <v>合格</v>
      </c>
    </row>
    <row r="41" spans="1:11" x14ac:dyDescent="0.2">
      <c r="A41" s="12">
        <v>38</v>
      </c>
      <c r="B41" s="12" t="s">
        <v>85</v>
      </c>
      <c r="C41" s="12">
        <f>IF(Sheet1!C40&gt;=60,VLOOKUP(C$2,课程对应学分!$A$1:$B$8,2,0),0)</f>
        <v>4</v>
      </c>
      <c r="D41" s="12">
        <f>IF(Sheet1!I40&gt;=60,VLOOKUP(D$2,课程对应学分!$A$1:$B$8,2,0),0)</f>
        <v>2</v>
      </c>
      <c r="E41" s="12">
        <f>IF(Sheet1!E40&gt;=60,VLOOKUP(E$2,课程对应学分!$A$1:$B$8,2,0),0)</f>
        <v>4</v>
      </c>
      <c r="F41" s="12">
        <f>IF(Sheet1!H40&gt;=60,VLOOKUP(F$2,课程对应学分!$A$1:$B$8,2,0),0)</f>
        <v>2</v>
      </c>
      <c r="G41" s="12">
        <f>IF(Sheet1!G40&gt;=60,VLOOKUP(G$2,课程对应学分!$A$1:$B$8,2,0),0)</f>
        <v>4</v>
      </c>
      <c r="H41" s="12">
        <f>IF(Sheet1!F40&gt;=60,VLOOKUP(H$2,课程对应学分!$A$1:$B$8,2,0),0)</f>
        <v>0</v>
      </c>
      <c r="I41" s="12">
        <f>IF(Sheet1!D40&gt;=60,VLOOKUP(I$2,课程对应学分!$A$1:$B$8,2,0),0)</f>
        <v>2</v>
      </c>
      <c r="J41" s="20">
        <f t="shared" si="0"/>
        <v>18</v>
      </c>
      <c r="K41" s="12" t="str">
        <f t="shared" si="1"/>
        <v>合格</v>
      </c>
    </row>
    <row r="42" spans="1:11" x14ac:dyDescent="0.2">
      <c r="A42" s="12">
        <v>39</v>
      </c>
      <c r="B42" s="12" t="s">
        <v>86</v>
      </c>
      <c r="C42" s="12">
        <f>IF(Sheet1!C41&gt;=60,VLOOKUP(C$2,课程对应学分!$A$1:$B$8,2,0),0)</f>
        <v>0</v>
      </c>
      <c r="D42" s="12">
        <f>IF(Sheet1!I41&gt;=60,VLOOKUP(D$2,课程对应学分!$A$1:$B$8,2,0),0)</f>
        <v>2</v>
      </c>
      <c r="E42" s="12">
        <f>IF(Sheet1!E41&gt;=60,VLOOKUP(E$2,课程对应学分!$A$1:$B$8,2,0),0)</f>
        <v>0</v>
      </c>
      <c r="F42" s="12">
        <f>IF(Sheet1!H41&gt;=60,VLOOKUP(F$2,课程对应学分!$A$1:$B$8,2,0),0)</f>
        <v>2</v>
      </c>
      <c r="G42" s="12">
        <f>IF(Sheet1!G41&gt;=60,VLOOKUP(G$2,课程对应学分!$A$1:$B$8,2,0),0)</f>
        <v>4</v>
      </c>
      <c r="H42" s="12">
        <f>IF(Sheet1!F41&gt;=60,VLOOKUP(H$2,课程对应学分!$A$1:$B$8,2,0),0)</f>
        <v>4</v>
      </c>
      <c r="I42" s="12">
        <f>IF(Sheet1!D41&gt;=60,VLOOKUP(I$2,课程对应学分!$A$1:$B$8,2,0),0)</f>
        <v>0</v>
      </c>
      <c r="J42" s="20">
        <f t="shared" si="0"/>
        <v>12</v>
      </c>
      <c r="K42" s="12" t="str">
        <f t="shared" si="1"/>
        <v>不合格</v>
      </c>
    </row>
    <row r="43" spans="1:11" x14ac:dyDescent="0.2">
      <c r="A43" s="12">
        <v>40</v>
      </c>
      <c r="B43" s="12" t="s">
        <v>87</v>
      </c>
      <c r="C43" s="12">
        <f>IF(Sheet1!C42&gt;=60,VLOOKUP(C$2,课程对应学分!$A$1:$B$8,2,0),0)</f>
        <v>4</v>
      </c>
      <c r="D43" s="12">
        <f>IF(Sheet1!I42&gt;=60,VLOOKUP(D$2,课程对应学分!$A$1:$B$8,2,0),0)</f>
        <v>2</v>
      </c>
      <c r="E43" s="12">
        <f>IF(Sheet1!E42&gt;=60,VLOOKUP(E$2,课程对应学分!$A$1:$B$8,2,0),0)</f>
        <v>4</v>
      </c>
      <c r="F43" s="12">
        <f>IF(Sheet1!H42&gt;=60,VLOOKUP(F$2,课程对应学分!$A$1:$B$8,2,0),0)</f>
        <v>2</v>
      </c>
      <c r="G43" s="12">
        <f>IF(Sheet1!G42&gt;=60,VLOOKUP(G$2,课程对应学分!$A$1:$B$8,2,0),0)</f>
        <v>4</v>
      </c>
      <c r="H43" s="12">
        <f>IF(Sheet1!F42&gt;=60,VLOOKUP(H$2,课程对应学分!$A$1:$B$8,2,0),0)</f>
        <v>0</v>
      </c>
      <c r="I43" s="12">
        <f>IF(Sheet1!D42&gt;=60,VLOOKUP(I$2,课程对应学分!$A$1:$B$8,2,0),0)</f>
        <v>2</v>
      </c>
      <c r="J43" s="20">
        <f t="shared" si="0"/>
        <v>18</v>
      </c>
      <c r="K43" s="12" t="str">
        <f t="shared" si="1"/>
        <v>合格</v>
      </c>
    </row>
    <row r="44" spans="1:11" x14ac:dyDescent="0.2">
      <c r="A44" s="12">
        <v>41</v>
      </c>
      <c r="B44" s="12" t="s">
        <v>88</v>
      </c>
      <c r="C44" s="12">
        <f>IF(Sheet1!C43&gt;=60,VLOOKUP(C$2,课程对应学分!$A$1:$B$8,2,0),0)</f>
        <v>0</v>
      </c>
      <c r="D44" s="12">
        <f>IF(Sheet1!I43&gt;=60,VLOOKUP(D$2,课程对应学分!$A$1:$B$8,2,0),0)</f>
        <v>2</v>
      </c>
      <c r="E44" s="12">
        <f>IF(Sheet1!E43&gt;=60,VLOOKUP(E$2,课程对应学分!$A$1:$B$8,2,0),0)</f>
        <v>0</v>
      </c>
      <c r="F44" s="12">
        <f>IF(Sheet1!H43&gt;=60,VLOOKUP(F$2,课程对应学分!$A$1:$B$8,2,0),0)</f>
        <v>2</v>
      </c>
      <c r="G44" s="12">
        <f>IF(Sheet1!G43&gt;=60,VLOOKUP(G$2,课程对应学分!$A$1:$B$8,2,0),0)</f>
        <v>4</v>
      </c>
      <c r="H44" s="12">
        <f>IF(Sheet1!F43&gt;=60,VLOOKUP(H$2,课程对应学分!$A$1:$B$8,2,0),0)</f>
        <v>0</v>
      </c>
      <c r="I44" s="12">
        <f>IF(Sheet1!D43&gt;=60,VLOOKUP(I$2,课程对应学分!$A$1:$B$8,2,0),0)</f>
        <v>2</v>
      </c>
      <c r="J44" s="20">
        <f t="shared" si="0"/>
        <v>10</v>
      </c>
      <c r="K44" s="12" t="str">
        <f t="shared" si="1"/>
        <v>不合格</v>
      </c>
    </row>
    <row r="45" spans="1:11" x14ac:dyDescent="0.2">
      <c r="A45" s="12">
        <v>42</v>
      </c>
      <c r="B45" s="12" t="s">
        <v>89</v>
      </c>
      <c r="C45" s="12">
        <f>IF(Sheet1!C44&gt;=60,VLOOKUP(C$2,课程对应学分!$A$1:$B$8,2,0),0)</f>
        <v>4</v>
      </c>
      <c r="D45" s="12">
        <f>IF(Sheet1!I44&gt;=60,VLOOKUP(D$2,课程对应学分!$A$1:$B$8,2,0),0)</f>
        <v>2</v>
      </c>
      <c r="E45" s="12">
        <f>IF(Sheet1!E44&gt;=60,VLOOKUP(E$2,课程对应学分!$A$1:$B$8,2,0),0)</f>
        <v>4</v>
      </c>
      <c r="F45" s="12">
        <f>IF(Sheet1!H44&gt;=60,VLOOKUP(F$2,课程对应学分!$A$1:$B$8,2,0),0)</f>
        <v>0</v>
      </c>
      <c r="G45" s="12">
        <f>IF(Sheet1!G44&gt;=60,VLOOKUP(G$2,课程对应学分!$A$1:$B$8,2,0),0)</f>
        <v>4</v>
      </c>
      <c r="H45" s="12">
        <f>IF(Sheet1!F44&gt;=60,VLOOKUP(H$2,课程对应学分!$A$1:$B$8,2,0),0)</f>
        <v>4</v>
      </c>
      <c r="I45" s="12">
        <f>IF(Sheet1!D44&gt;=60,VLOOKUP(I$2,课程对应学分!$A$1:$B$8,2,0),0)</f>
        <v>0</v>
      </c>
      <c r="J45" s="20">
        <f t="shared" si="0"/>
        <v>18</v>
      </c>
      <c r="K45" s="12" t="str">
        <f t="shared" si="1"/>
        <v>合格</v>
      </c>
    </row>
  </sheetData>
  <mergeCells count="2">
    <mergeCell ref="J2:J3"/>
    <mergeCell ref="K2:K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" sqref="B1"/>
    </sheetView>
  </sheetViews>
  <sheetFormatPr defaultColWidth="9" defaultRowHeight="14.25" x14ac:dyDescent="0.2"/>
  <cols>
    <col min="1" max="16384" width="9" style="7"/>
  </cols>
  <sheetData>
    <row r="1" spans="1:2" x14ac:dyDescent="0.2">
      <c r="A1" s="7" t="s">
        <v>17</v>
      </c>
      <c r="B1" s="7" t="s">
        <v>18</v>
      </c>
    </row>
    <row r="2" spans="1:2" ht="42.75" x14ac:dyDescent="0.2">
      <c r="A2" s="8" t="s">
        <v>3</v>
      </c>
      <c r="B2" s="7">
        <v>4</v>
      </c>
    </row>
    <row r="3" spans="1:2" ht="42.75" x14ac:dyDescent="0.2">
      <c r="A3" s="8" t="s">
        <v>4</v>
      </c>
      <c r="B3" s="7">
        <v>2</v>
      </c>
    </row>
    <row r="4" spans="1:2" ht="28.5" x14ac:dyDescent="0.2">
      <c r="A4" s="8" t="s">
        <v>5</v>
      </c>
      <c r="B4" s="7">
        <v>4</v>
      </c>
    </row>
    <row r="5" spans="1:2" ht="28.5" x14ac:dyDescent="0.2">
      <c r="A5" s="8" t="s">
        <v>6</v>
      </c>
      <c r="B5" s="7">
        <v>4</v>
      </c>
    </row>
    <row r="6" spans="1:2" ht="28.5" x14ac:dyDescent="0.2">
      <c r="A6" s="8" t="s">
        <v>7</v>
      </c>
      <c r="B6" s="7">
        <v>4</v>
      </c>
    </row>
    <row r="7" spans="1:2" ht="28.5" x14ac:dyDescent="0.2">
      <c r="A7" s="8" t="s">
        <v>8</v>
      </c>
      <c r="B7" s="7">
        <v>2</v>
      </c>
    </row>
    <row r="8" spans="1:2" ht="28.5" x14ac:dyDescent="0.2">
      <c r="A8" s="8" t="s">
        <v>9</v>
      </c>
      <c r="B8" s="7">
        <v>2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8"/>
  <sheetViews>
    <sheetView tabSelected="1" topLeftCell="C1" workbookViewId="0">
      <selection activeCell="M2" sqref="M2"/>
    </sheetView>
  </sheetViews>
  <sheetFormatPr defaultColWidth="9" defaultRowHeight="14.25" x14ac:dyDescent="0.2"/>
  <cols>
    <col min="9" max="9" width="10.25" customWidth="1"/>
    <col min="12" max="12" width="13.625" bestFit="1" customWidth="1"/>
    <col min="13" max="13" width="9.125" bestFit="1" customWidth="1"/>
    <col min="14" max="16" width="8.875" bestFit="1" customWidth="1"/>
  </cols>
  <sheetData>
    <row r="1" spans="1:16" x14ac:dyDescent="0.15">
      <c r="A1" s="1" t="s">
        <v>19</v>
      </c>
      <c r="B1" s="1" t="s">
        <v>20</v>
      </c>
      <c r="C1" s="1" t="s">
        <v>21</v>
      </c>
      <c r="D1" s="2" t="s">
        <v>22</v>
      </c>
      <c r="E1" s="1" t="s">
        <v>23</v>
      </c>
      <c r="F1" s="2" t="s">
        <v>24</v>
      </c>
      <c r="G1" s="2" t="s">
        <v>25</v>
      </c>
      <c r="H1" s="1" t="s">
        <v>26</v>
      </c>
      <c r="I1" s="2" t="s">
        <v>27</v>
      </c>
      <c r="J1" s="1" t="s">
        <v>28</v>
      </c>
    </row>
    <row r="2" spans="1:16" x14ac:dyDescent="0.15">
      <c r="A2" s="3">
        <v>38838</v>
      </c>
      <c r="B2" s="4" t="s">
        <v>29</v>
      </c>
      <c r="C2" s="4" t="s">
        <v>30</v>
      </c>
      <c r="D2" s="5">
        <v>2088</v>
      </c>
      <c r="E2" s="4" t="s">
        <v>31</v>
      </c>
      <c r="F2" s="5">
        <v>1888</v>
      </c>
      <c r="G2" s="6">
        <f t="shared" ref="G2:G58" si="0">(D2-F2)/D2</f>
        <v>9.5785440613026823E-2</v>
      </c>
      <c r="H2" s="4">
        <v>3</v>
      </c>
      <c r="I2" s="5">
        <f t="shared" ref="I2:I58" si="1">F2*H2</f>
        <v>5664</v>
      </c>
      <c r="J2" s="4" t="s">
        <v>32</v>
      </c>
      <c r="L2" s="21" t="s">
        <v>91</v>
      </c>
      <c r="M2" s="21" t="s">
        <v>20</v>
      </c>
    </row>
    <row r="3" spans="1:16" x14ac:dyDescent="0.15">
      <c r="A3" s="3">
        <v>38839</v>
      </c>
      <c r="B3" s="4" t="s">
        <v>33</v>
      </c>
      <c r="C3" s="4" t="s">
        <v>34</v>
      </c>
      <c r="D3" s="5">
        <v>4688</v>
      </c>
      <c r="E3" s="4" t="s">
        <v>31</v>
      </c>
      <c r="F3" s="5">
        <v>4088</v>
      </c>
      <c r="G3" s="6">
        <f t="shared" si="0"/>
        <v>0.12798634812286688</v>
      </c>
      <c r="H3" s="4">
        <v>12</v>
      </c>
      <c r="I3" s="5">
        <f t="shared" si="1"/>
        <v>49056</v>
      </c>
      <c r="J3" s="4" t="s">
        <v>32</v>
      </c>
      <c r="L3" s="21" t="s">
        <v>28</v>
      </c>
      <c r="M3" t="s">
        <v>29</v>
      </c>
      <c r="N3" t="s">
        <v>33</v>
      </c>
      <c r="O3" t="s">
        <v>35</v>
      </c>
      <c r="P3" t="s">
        <v>90</v>
      </c>
    </row>
    <row r="4" spans="1:16" x14ac:dyDescent="0.15">
      <c r="A4" s="3">
        <v>38839</v>
      </c>
      <c r="B4" s="4" t="s">
        <v>35</v>
      </c>
      <c r="C4" s="4" t="s">
        <v>36</v>
      </c>
      <c r="D4" s="5">
        <v>3188</v>
      </c>
      <c r="E4" s="4" t="s">
        <v>31</v>
      </c>
      <c r="F4" s="5">
        <v>2888</v>
      </c>
      <c r="G4" s="6">
        <f t="shared" si="0"/>
        <v>9.4102885821831864E-2</v>
      </c>
      <c r="H4" s="4">
        <v>6</v>
      </c>
      <c r="I4" s="5">
        <f t="shared" si="1"/>
        <v>17328</v>
      </c>
      <c r="J4" s="4" t="s">
        <v>32</v>
      </c>
      <c r="L4" s="13" t="s">
        <v>32</v>
      </c>
      <c r="M4" s="22">
        <v>50976</v>
      </c>
      <c r="N4" s="22">
        <v>49056</v>
      </c>
      <c r="O4" s="22">
        <v>17328</v>
      </c>
      <c r="P4" s="22">
        <v>117360</v>
      </c>
    </row>
    <row r="5" spans="1:16" x14ac:dyDescent="0.15">
      <c r="A5" s="3">
        <v>38840</v>
      </c>
      <c r="B5" s="4" t="s">
        <v>29</v>
      </c>
      <c r="C5" s="4" t="s">
        <v>30</v>
      </c>
      <c r="D5" s="5">
        <v>2088</v>
      </c>
      <c r="E5" s="4" t="s">
        <v>31</v>
      </c>
      <c r="F5" s="5">
        <v>1888</v>
      </c>
      <c r="G5" s="6">
        <f t="shared" si="0"/>
        <v>9.5785440613026823E-2</v>
      </c>
      <c r="H5" s="4">
        <v>10</v>
      </c>
      <c r="I5" s="5">
        <f t="shared" si="1"/>
        <v>18880</v>
      </c>
      <c r="J5" s="4" t="s">
        <v>32</v>
      </c>
      <c r="L5" s="13" t="s">
        <v>38</v>
      </c>
      <c r="M5" s="22">
        <v>35760</v>
      </c>
      <c r="N5" s="22"/>
      <c r="O5" s="22"/>
      <c r="P5" s="22">
        <v>35760</v>
      </c>
    </row>
    <row r="6" spans="1:16" x14ac:dyDescent="0.15">
      <c r="A6" s="3">
        <v>38841</v>
      </c>
      <c r="B6" s="4" t="s">
        <v>29</v>
      </c>
      <c r="C6" s="4" t="s">
        <v>30</v>
      </c>
      <c r="D6" s="5">
        <v>2088</v>
      </c>
      <c r="E6" s="4" t="s">
        <v>31</v>
      </c>
      <c r="F6" s="5">
        <v>1888</v>
      </c>
      <c r="G6" s="6">
        <f t="shared" si="0"/>
        <v>9.5785440613026823E-2</v>
      </c>
      <c r="H6" s="4">
        <v>6</v>
      </c>
      <c r="I6" s="5">
        <f t="shared" si="1"/>
        <v>11328</v>
      </c>
      <c r="J6" s="4" t="s">
        <v>32</v>
      </c>
      <c r="L6" s="13" t="s">
        <v>40</v>
      </c>
      <c r="M6" s="22"/>
      <c r="N6" s="22">
        <v>85968</v>
      </c>
      <c r="O6" s="22">
        <v>8964</v>
      </c>
      <c r="P6" s="22">
        <v>94932</v>
      </c>
    </row>
    <row r="7" spans="1:16" x14ac:dyDescent="0.15">
      <c r="A7" s="3">
        <v>38842</v>
      </c>
      <c r="B7" s="4" t="s">
        <v>29</v>
      </c>
      <c r="C7" s="4" t="s">
        <v>30</v>
      </c>
      <c r="D7" s="5">
        <v>2088</v>
      </c>
      <c r="E7" s="4" t="s">
        <v>31</v>
      </c>
      <c r="F7" s="5">
        <v>1888</v>
      </c>
      <c r="G7" s="6">
        <f t="shared" si="0"/>
        <v>9.5785440613026823E-2</v>
      </c>
      <c r="H7" s="4">
        <v>4</v>
      </c>
      <c r="I7" s="5">
        <f t="shared" si="1"/>
        <v>7552</v>
      </c>
      <c r="J7" s="4" t="s">
        <v>32</v>
      </c>
      <c r="L7" s="13" t="s">
        <v>44</v>
      </c>
      <c r="M7" s="22">
        <v>5664</v>
      </c>
      <c r="N7" s="22">
        <v>27832</v>
      </c>
      <c r="O7" s="22"/>
      <c r="P7" s="22">
        <v>33496</v>
      </c>
    </row>
    <row r="8" spans="1:16" x14ac:dyDescent="0.15">
      <c r="A8" s="3">
        <v>38843</v>
      </c>
      <c r="B8" s="4" t="s">
        <v>29</v>
      </c>
      <c r="C8" s="4" t="s">
        <v>30</v>
      </c>
      <c r="D8" s="5">
        <v>2088</v>
      </c>
      <c r="E8" s="4" t="s">
        <v>31</v>
      </c>
      <c r="F8" s="5">
        <v>1888</v>
      </c>
      <c r="G8" s="6">
        <f t="shared" si="0"/>
        <v>9.5785440613026823E-2</v>
      </c>
      <c r="H8" s="4">
        <v>2</v>
      </c>
      <c r="I8" s="5">
        <f t="shared" si="1"/>
        <v>3776</v>
      </c>
      <c r="J8" s="4" t="s">
        <v>32</v>
      </c>
      <c r="L8" s="13" t="s">
        <v>45</v>
      </c>
      <c r="M8" s="22"/>
      <c r="N8" s="22">
        <v>179872</v>
      </c>
      <c r="O8" s="22"/>
      <c r="P8" s="22">
        <v>179872</v>
      </c>
    </row>
    <row r="9" spans="1:16" x14ac:dyDescent="0.15">
      <c r="A9" s="3">
        <v>38844</v>
      </c>
      <c r="B9" s="4" t="s">
        <v>29</v>
      </c>
      <c r="C9" s="4" t="s">
        <v>30</v>
      </c>
      <c r="D9" s="5">
        <v>2088</v>
      </c>
      <c r="E9" s="4" t="s">
        <v>31</v>
      </c>
      <c r="F9" s="5">
        <v>1888</v>
      </c>
      <c r="G9" s="6">
        <f t="shared" si="0"/>
        <v>9.5785440613026823E-2</v>
      </c>
      <c r="H9" s="4">
        <v>2</v>
      </c>
      <c r="I9" s="5">
        <f t="shared" si="1"/>
        <v>3776</v>
      </c>
      <c r="J9" s="4" t="s">
        <v>32</v>
      </c>
      <c r="L9" s="13" t="s">
        <v>46</v>
      </c>
      <c r="M9" s="22"/>
      <c r="N9" s="22">
        <v>11928</v>
      </c>
      <c r="O9" s="22">
        <v>68724</v>
      </c>
      <c r="P9" s="22">
        <v>80652</v>
      </c>
    </row>
    <row r="10" spans="1:16" x14ac:dyDescent="0.15">
      <c r="A10" s="3">
        <v>38838</v>
      </c>
      <c r="B10" s="4" t="s">
        <v>29</v>
      </c>
      <c r="C10" s="4" t="s">
        <v>37</v>
      </c>
      <c r="D10" s="5">
        <v>1988</v>
      </c>
      <c r="E10" s="4" t="s">
        <v>31</v>
      </c>
      <c r="F10" s="5">
        <v>1788</v>
      </c>
      <c r="G10" s="6">
        <f t="shared" si="0"/>
        <v>0.1006036217303823</v>
      </c>
      <c r="H10" s="4">
        <v>2</v>
      </c>
      <c r="I10" s="5">
        <f t="shared" si="1"/>
        <v>3576</v>
      </c>
      <c r="J10" s="4" t="s">
        <v>38</v>
      </c>
      <c r="L10" s="13" t="s">
        <v>48</v>
      </c>
      <c r="M10" s="22"/>
      <c r="N10" s="22"/>
      <c r="O10" s="22">
        <v>110556</v>
      </c>
      <c r="P10" s="22">
        <v>110556</v>
      </c>
    </row>
    <row r="11" spans="1:16" x14ac:dyDescent="0.15">
      <c r="A11" s="3">
        <v>38839</v>
      </c>
      <c r="B11" s="4" t="s">
        <v>29</v>
      </c>
      <c r="C11" s="4" t="s">
        <v>37</v>
      </c>
      <c r="D11" s="5">
        <v>1988</v>
      </c>
      <c r="E11" s="4" t="s">
        <v>31</v>
      </c>
      <c r="F11" s="5">
        <v>1788</v>
      </c>
      <c r="G11" s="6">
        <f t="shared" si="0"/>
        <v>0.1006036217303823</v>
      </c>
      <c r="H11" s="4">
        <v>5</v>
      </c>
      <c r="I11" s="5">
        <f t="shared" si="1"/>
        <v>8940</v>
      </c>
      <c r="J11" s="4" t="s">
        <v>38</v>
      </c>
      <c r="L11" s="13" t="s">
        <v>49</v>
      </c>
      <c r="M11" s="22"/>
      <c r="N11" s="22"/>
      <c r="O11" s="22">
        <v>101080</v>
      </c>
      <c r="P11" s="22">
        <v>101080</v>
      </c>
    </row>
    <row r="12" spans="1:16" x14ac:dyDescent="0.15">
      <c r="A12" s="3">
        <v>38840</v>
      </c>
      <c r="B12" s="4" t="s">
        <v>29</v>
      </c>
      <c r="C12" s="4" t="s">
        <v>37</v>
      </c>
      <c r="D12" s="5">
        <v>1988</v>
      </c>
      <c r="E12" s="4" t="s">
        <v>31</v>
      </c>
      <c r="F12" s="5">
        <v>1788</v>
      </c>
      <c r="G12" s="6">
        <f t="shared" si="0"/>
        <v>0.1006036217303823</v>
      </c>
      <c r="H12" s="4">
        <v>9</v>
      </c>
      <c r="I12" s="5">
        <f t="shared" si="1"/>
        <v>16092</v>
      </c>
      <c r="J12" s="4" t="s">
        <v>38</v>
      </c>
    </row>
    <row r="13" spans="1:16" x14ac:dyDescent="0.15">
      <c r="A13" s="3">
        <v>38841</v>
      </c>
      <c r="B13" s="4" t="s">
        <v>29</v>
      </c>
      <c r="C13" s="4" t="s">
        <v>37</v>
      </c>
      <c r="D13" s="5">
        <v>1988</v>
      </c>
      <c r="E13" s="4" t="s">
        <v>31</v>
      </c>
      <c r="F13" s="5">
        <v>1788</v>
      </c>
      <c r="G13" s="6">
        <f t="shared" si="0"/>
        <v>0.1006036217303823</v>
      </c>
      <c r="H13" s="4">
        <v>2</v>
      </c>
      <c r="I13" s="5">
        <f t="shared" si="1"/>
        <v>3576</v>
      </c>
      <c r="J13" s="4" t="s">
        <v>38</v>
      </c>
    </row>
    <row r="14" spans="1:16" x14ac:dyDescent="0.15">
      <c r="A14" s="3">
        <v>38842</v>
      </c>
      <c r="B14" s="4" t="s">
        <v>29</v>
      </c>
      <c r="C14" s="4" t="s">
        <v>37</v>
      </c>
      <c r="D14" s="5">
        <v>1988</v>
      </c>
      <c r="E14" s="4" t="s">
        <v>31</v>
      </c>
      <c r="F14" s="5">
        <v>1788</v>
      </c>
      <c r="G14" s="6">
        <f t="shared" si="0"/>
        <v>0.1006036217303823</v>
      </c>
      <c r="H14" s="4">
        <v>1</v>
      </c>
      <c r="I14" s="5">
        <f t="shared" si="1"/>
        <v>1788</v>
      </c>
      <c r="J14" s="4" t="s">
        <v>38</v>
      </c>
    </row>
    <row r="15" spans="1:16" x14ac:dyDescent="0.15">
      <c r="A15" s="3">
        <v>38843</v>
      </c>
      <c r="B15" s="4" t="s">
        <v>29</v>
      </c>
      <c r="C15" s="4" t="s">
        <v>37</v>
      </c>
      <c r="D15" s="5">
        <v>1988</v>
      </c>
      <c r="E15" s="4" t="s">
        <v>31</v>
      </c>
      <c r="F15" s="5">
        <v>1788</v>
      </c>
      <c r="G15" s="6">
        <f t="shared" si="0"/>
        <v>0.1006036217303823</v>
      </c>
      <c r="H15" s="4">
        <v>0</v>
      </c>
      <c r="I15" s="5">
        <f t="shared" si="1"/>
        <v>0</v>
      </c>
      <c r="J15" s="4" t="s">
        <v>38</v>
      </c>
    </row>
    <row r="16" spans="1:16" x14ac:dyDescent="0.15">
      <c r="A16" s="3">
        <v>38844</v>
      </c>
      <c r="B16" s="4" t="s">
        <v>29</v>
      </c>
      <c r="C16" s="4" t="s">
        <v>37</v>
      </c>
      <c r="D16" s="5">
        <v>1988</v>
      </c>
      <c r="E16" s="4" t="s">
        <v>31</v>
      </c>
      <c r="F16" s="5">
        <v>1788</v>
      </c>
      <c r="G16" s="6">
        <f t="shared" si="0"/>
        <v>0.1006036217303823</v>
      </c>
      <c r="H16" s="4">
        <v>1</v>
      </c>
      <c r="I16" s="5">
        <f t="shared" si="1"/>
        <v>1788</v>
      </c>
      <c r="J16" s="4" t="s">
        <v>38</v>
      </c>
    </row>
    <row r="17" spans="1:10" x14ac:dyDescent="0.15">
      <c r="A17" s="3">
        <v>38838</v>
      </c>
      <c r="B17" s="4" t="s">
        <v>33</v>
      </c>
      <c r="C17" s="4" t="s">
        <v>39</v>
      </c>
      <c r="D17" s="5">
        <v>2688</v>
      </c>
      <c r="E17" s="4" t="s">
        <v>31</v>
      </c>
      <c r="F17" s="5">
        <v>2388</v>
      </c>
      <c r="G17" s="6">
        <f t="shared" si="0"/>
        <v>0.11160714285714286</v>
      </c>
      <c r="H17" s="4">
        <v>3</v>
      </c>
      <c r="I17" s="5">
        <f t="shared" si="1"/>
        <v>7164</v>
      </c>
      <c r="J17" s="4" t="s">
        <v>40</v>
      </c>
    </row>
    <row r="18" spans="1:10" x14ac:dyDescent="0.15">
      <c r="A18" s="3">
        <v>38839</v>
      </c>
      <c r="B18" s="4" t="s">
        <v>33</v>
      </c>
      <c r="C18" s="4" t="s">
        <v>39</v>
      </c>
      <c r="D18" s="5">
        <v>2688</v>
      </c>
      <c r="E18" s="4" t="s">
        <v>31</v>
      </c>
      <c r="F18" s="5">
        <v>2388</v>
      </c>
      <c r="G18" s="6">
        <f t="shared" si="0"/>
        <v>0.11160714285714286</v>
      </c>
      <c r="H18" s="4">
        <v>8</v>
      </c>
      <c r="I18" s="5">
        <f t="shared" si="1"/>
        <v>19104</v>
      </c>
      <c r="J18" s="4" t="s">
        <v>40</v>
      </c>
    </row>
    <row r="19" spans="1:10" x14ac:dyDescent="0.15">
      <c r="A19" s="3">
        <v>38839</v>
      </c>
      <c r="B19" s="4" t="s">
        <v>35</v>
      </c>
      <c r="C19" s="4" t="s">
        <v>41</v>
      </c>
      <c r="D19" s="5">
        <v>2988</v>
      </c>
      <c r="E19" s="4" t="s">
        <v>42</v>
      </c>
      <c r="F19" s="5">
        <v>2988</v>
      </c>
      <c r="G19" s="6">
        <f t="shared" si="0"/>
        <v>0</v>
      </c>
      <c r="H19" s="4">
        <v>3</v>
      </c>
      <c r="I19" s="5">
        <f t="shared" si="1"/>
        <v>8964</v>
      </c>
      <c r="J19" s="4" t="s">
        <v>40</v>
      </c>
    </row>
    <row r="20" spans="1:10" x14ac:dyDescent="0.15">
      <c r="A20" s="3">
        <v>38840</v>
      </c>
      <c r="B20" s="4" t="s">
        <v>33</v>
      </c>
      <c r="C20" s="4" t="s">
        <v>39</v>
      </c>
      <c r="D20" s="5">
        <v>2688</v>
      </c>
      <c r="E20" s="4" t="s">
        <v>31</v>
      </c>
      <c r="F20" s="5">
        <v>2388</v>
      </c>
      <c r="G20" s="6">
        <f t="shared" si="0"/>
        <v>0.11160714285714286</v>
      </c>
      <c r="H20" s="4">
        <v>8</v>
      </c>
      <c r="I20" s="5">
        <f t="shared" si="1"/>
        <v>19104</v>
      </c>
      <c r="J20" s="4" t="s">
        <v>40</v>
      </c>
    </row>
    <row r="21" spans="1:10" x14ac:dyDescent="0.15">
      <c r="A21" s="3">
        <v>38841</v>
      </c>
      <c r="B21" s="4" t="s">
        <v>33</v>
      </c>
      <c r="C21" s="4" t="s">
        <v>39</v>
      </c>
      <c r="D21" s="5">
        <v>2688</v>
      </c>
      <c r="E21" s="4" t="s">
        <v>31</v>
      </c>
      <c r="F21" s="5">
        <v>2388</v>
      </c>
      <c r="G21" s="6">
        <f t="shared" si="0"/>
        <v>0.11160714285714286</v>
      </c>
      <c r="H21" s="4">
        <v>9</v>
      </c>
      <c r="I21" s="5">
        <f t="shared" si="1"/>
        <v>21492</v>
      </c>
      <c r="J21" s="4" t="s">
        <v>40</v>
      </c>
    </row>
    <row r="22" spans="1:10" x14ac:dyDescent="0.15">
      <c r="A22" s="3">
        <v>38842</v>
      </c>
      <c r="B22" s="4" t="s">
        <v>33</v>
      </c>
      <c r="C22" s="4" t="s">
        <v>39</v>
      </c>
      <c r="D22" s="5">
        <v>2688</v>
      </c>
      <c r="E22" s="4" t="s">
        <v>31</v>
      </c>
      <c r="F22" s="5">
        <v>2388</v>
      </c>
      <c r="G22" s="6">
        <f t="shared" si="0"/>
        <v>0.11160714285714286</v>
      </c>
      <c r="H22" s="4">
        <v>5</v>
      </c>
      <c r="I22" s="5">
        <f t="shared" si="1"/>
        <v>11940</v>
      </c>
      <c r="J22" s="4" t="s">
        <v>40</v>
      </c>
    </row>
    <row r="23" spans="1:10" x14ac:dyDescent="0.15">
      <c r="A23" s="3">
        <v>38843</v>
      </c>
      <c r="B23" s="4" t="s">
        <v>33</v>
      </c>
      <c r="C23" s="4" t="s">
        <v>39</v>
      </c>
      <c r="D23" s="5">
        <v>2688</v>
      </c>
      <c r="E23" s="4" t="s">
        <v>31</v>
      </c>
      <c r="F23" s="5">
        <v>2388</v>
      </c>
      <c r="G23" s="6">
        <f t="shared" si="0"/>
        <v>0.11160714285714286</v>
      </c>
      <c r="H23" s="4">
        <v>2</v>
      </c>
      <c r="I23" s="5">
        <f t="shared" si="1"/>
        <v>4776</v>
      </c>
      <c r="J23" s="4" t="s">
        <v>40</v>
      </c>
    </row>
    <row r="24" spans="1:10" x14ac:dyDescent="0.15">
      <c r="A24" s="3">
        <v>38844</v>
      </c>
      <c r="B24" s="4" t="s">
        <v>33</v>
      </c>
      <c r="C24" s="4" t="s">
        <v>39</v>
      </c>
      <c r="D24" s="5">
        <v>2688</v>
      </c>
      <c r="E24" s="4" t="s">
        <v>31</v>
      </c>
      <c r="F24" s="5">
        <v>2388</v>
      </c>
      <c r="G24" s="6">
        <f t="shared" si="0"/>
        <v>0.11160714285714286</v>
      </c>
      <c r="H24" s="4">
        <v>1</v>
      </c>
      <c r="I24" s="5">
        <f t="shared" si="1"/>
        <v>2388</v>
      </c>
      <c r="J24" s="4" t="s">
        <v>40</v>
      </c>
    </row>
    <row r="25" spans="1:10" x14ac:dyDescent="0.15">
      <c r="A25" s="3">
        <v>38838</v>
      </c>
      <c r="B25" s="4" t="s">
        <v>33</v>
      </c>
      <c r="C25" s="4" t="s">
        <v>43</v>
      </c>
      <c r="D25" s="5">
        <v>1988</v>
      </c>
      <c r="E25" s="4" t="s">
        <v>42</v>
      </c>
      <c r="F25" s="5">
        <v>1988</v>
      </c>
      <c r="G25" s="6">
        <f t="shared" si="0"/>
        <v>0</v>
      </c>
      <c r="H25" s="4">
        <v>2</v>
      </c>
      <c r="I25" s="5">
        <f t="shared" si="1"/>
        <v>3976</v>
      </c>
      <c r="J25" s="4" t="s">
        <v>44</v>
      </c>
    </row>
    <row r="26" spans="1:10" x14ac:dyDescent="0.15">
      <c r="A26" s="3">
        <v>38839</v>
      </c>
      <c r="B26" s="4" t="s">
        <v>29</v>
      </c>
      <c r="C26" s="4" t="s">
        <v>30</v>
      </c>
      <c r="D26" s="5">
        <v>2088</v>
      </c>
      <c r="E26" s="4" t="s">
        <v>31</v>
      </c>
      <c r="F26" s="5">
        <v>1888</v>
      </c>
      <c r="G26" s="6">
        <f t="shared" si="0"/>
        <v>9.5785440613026823E-2</v>
      </c>
      <c r="H26" s="4">
        <v>3</v>
      </c>
      <c r="I26" s="5">
        <f t="shared" si="1"/>
        <v>5664</v>
      </c>
      <c r="J26" s="4" t="s">
        <v>44</v>
      </c>
    </row>
    <row r="27" spans="1:10" x14ac:dyDescent="0.15">
      <c r="A27" s="3">
        <v>38840</v>
      </c>
      <c r="B27" s="4" t="s">
        <v>33</v>
      </c>
      <c r="C27" s="4" t="s">
        <v>43</v>
      </c>
      <c r="D27" s="5">
        <v>1988</v>
      </c>
      <c r="E27" s="4" t="s">
        <v>42</v>
      </c>
      <c r="F27" s="5">
        <v>1988</v>
      </c>
      <c r="G27" s="6">
        <f t="shared" si="0"/>
        <v>0</v>
      </c>
      <c r="H27" s="4">
        <v>7</v>
      </c>
      <c r="I27" s="5">
        <f t="shared" si="1"/>
        <v>13916</v>
      </c>
      <c r="J27" s="4" t="s">
        <v>44</v>
      </c>
    </row>
    <row r="28" spans="1:10" x14ac:dyDescent="0.15">
      <c r="A28" s="3">
        <v>38841</v>
      </c>
      <c r="B28" s="4" t="s">
        <v>33</v>
      </c>
      <c r="C28" s="4" t="s">
        <v>43</v>
      </c>
      <c r="D28" s="5">
        <v>1988</v>
      </c>
      <c r="E28" s="4" t="s">
        <v>42</v>
      </c>
      <c r="F28" s="5">
        <v>1988</v>
      </c>
      <c r="G28" s="6">
        <f t="shared" si="0"/>
        <v>0</v>
      </c>
      <c r="H28" s="4">
        <v>3</v>
      </c>
      <c r="I28" s="5">
        <f t="shared" si="1"/>
        <v>5964</v>
      </c>
      <c r="J28" s="4" t="s">
        <v>44</v>
      </c>
    </row>
    <row r="29" spans="1:10" x14ac:dyDescent="0.15">
      <c r="A29" s="3">
        <v>38842</v>
      </c>
      <c r="B29" s="4" t="s">
        <v>33</v>
      </c>
      <c r="C29" s="4" t="s">
        <v>43</v>
      </c>
      <c r="D29" s="5">
        <v>1988</v>
      </c>
      <c r="E29" s="4" t="s">
        <v>42</v>
      </c>
      <c r="F29" s="5">
        <v>1988</v>
      </c>
      <c r="G29" s="6">
        <f t="shared" si="0"/>
        <v>0</v>
      </c>
      <c r="H29" s="4">
        <v>1</v>
      </c>
      <c r="I29" s="5">
        <f t="shared" si="1"/>
        <v>1988</v>
      </c>
      <c r="J29" s="4" t="s">
        <v>44</v>
      </c>
    </row>
    <row r="30" spans="1:10" x14ac:dyDescent="0.15">
      <c r="A30" s="3">
        <v>38843</v>
      </c>
      <c r="B30" s="4" t="s">
        <v>33</v>
      </c>
      <c r="C30" s="4" t="s">
        <v>43</v>
      </c>
      <c r="D30" s="5">
        <v>1988</v>
      </c>
      <c r="E30" s="4" t="s">
        <v>42</v>
      </c>
      <c r="F30" s="5">
        <v>1988</v>
      </c>
      <c r="G30" s="6">
        <f t="shared" si="0"/>
        <v>0</v>
      </c>
      <c r="H30" s="4">
        <v>0</v>
      </c>
      <c r="I30" s="5">
        <f t="shared" si="1"/>
        <v>0</v>
      </c>
      <c r="J30" s="4" t="s">
        <v>44</v>
      </c>
    </row>
    <row r="31" spans="1:10" x14ac:dyDescent="0.15">
      <c r="A31" s="3">
        <v>38844</v>
      </c>
      <c r="B31" s="4" t="s">
        <v>33</v>
      </c>
      <c r="C31" s="4" t="s">
        <v>43</v>
      </c>
      <c r="D31" s="5">
        <v>1988</v>
      </c>
      <c r="E31" s="4" t="s">
        <v>42</v>
      </c>
      <c r="F31" s="5">
        <v>1988</v>
      </c>
      <c r="G31" s="6">
        <f t="shared" si="0"/>
        <v>0</v>
      </c>
      <c r="H31" s="4">
        <v>1</v>
      </c>
      <c r="I31" s="5">
        <f t="shared" si="1"/>
        <v>1988</v>
      </c>
      <c r="J31" s="4" t="s">
        <v>44</v>
      </c>
    </row>
    <row r="32" spans="1:10" x14ac:dyDescent="0.15">
      <c r="A32" s="3">
        <v>38838</v>
      </c>
      <c r="B32" s="4" t="s">
        <v>33</v>
      </c>
      <c r="C32" s="4" t="s">
        <v>34</v>
      </c>
      <c r="D32" s="5">
        <v>4688</v>
      </c>
      <c r="E32" s="4" t="s">
        <v>31</v>
      </c>
      <c r="F32" s="5">
        <v>4088</v>
      </c>
      <c r="G32" s="6">
        <f t="shared" si="0"/>
        <v>0.12798634812286688</v>
      </c>
      <c r="H32" s="4">
        <v>1</v>
      </c>
      <c r="I32" s="5">
        <f t="shared" si="1"/>
        <v>4088</v>
      </c>
      <c r="J32" s="4" t="s">
        <v>45</v>
      </c>
    </row>
    <row r="33" spans="1:10" x14ac:dyDescent="0.15">
      <c r="A33" s="3">
        <v>38839</v>
      </c>
      <c r="B33" s="4" t="s">
        <v>33</v>
      </c>
      <c r="C33" s="4" t="s">
        <v>34</v>
      </c>
      <c r="D33" s="5">
        <v>4688</v>
      </c>
      <c r="E33" s="4" t="s">
        <v>31</v>
      </c>
      <c r="F33" s="5">
        <v>4088</v>
      </c>
      <c r="G33" s="6">
        <f t="shared" si="0"/>
        <v>0.12798634812286688</v>
      </c>
      <c r="H33" s="4">
        <v>8</v>
      </c>
      <c r="I33" s="5">
        <f t="shared" si="1"/>
        <v>32704</v>
      </c>
      <c r="J33" s="4" t="s">
        <v>45</v>
      </c>
    </row>
    <row r="34" spans="1:10" x14ac:dyDescent="0.15">
      <c r="A34" s="3">
        <v>38840</v>
      </c>
      <c r="B34" s="4" t="s">
        <v>33</v>
      </c>
      <c r="C34" s="4" t="s">
        <v>34</v>
      </c>
      <c r="D34" s="5">
        <v>4688</v>
      </c>
      <c r="E34" s="4" t="s">
        <v>31</v>
      </c>
      <c r="F34" s="5">
        <v>4088</v>
      </c>
      <c r="G34" s="6">
        <f t="shared" si="0"/>
        <v>0.12798634812286688</v>
      </c>
      <c r="H34" s="4">
        <v>10</v>
      </c>
      <c r="I34" s="5">
        <f t="shared" si="1"/>
        <v>40880</v>
      </c>
      <c r="J34" s="4" t="s">
        <v>45</v>
      </c>
    </row>
    <row r="35" spans="1:10" x14ac:dyDescent="0.15">
      <c r="A35" s="3">
        <v>38841</v>
      </c>
      <c r="B35" s="4" t="s">
        <v>33</v>
      </c>
      <c r="C35" s="4" t="s">
        <v>34</v>
      </c>
      <c r="D35" s="5">
        <v>4688</v>
      </c>
      <c r="E35" s="4" t="s">
        <v>31</v>
      </c>
      <c r="F35" s="5">
        <v>4088</v>
      </c>
      <c r="G35" s="6">
        <f t="shared" si="0"/>
        <v>0.12798634812286688</v>
      </c>
      <c r="H35" s="4">
        <v>12</v>
      </c>
      <c r="I35" s="5">
        <f t="shared" si="1"/>
        <v>49056</v>
      </c>
      <c r="J35" s="4" t="s">
        <v>45</v>
      </c>
    </row>
    <row r="36" spans="1:10" x14ac:dyDescent="0.15">
      <c r="A36" s="3">
        <v>38842</v>
      </c>
      <c r="B36" s="4" t="s">
        <v>33</v>
      </c>
      <c r="C36" s="4" t="s">
        <v>34</v>
      </c>
      <c r="D36" s="5">
        <v>4688</v>
      </c>
      <c r="E36" s="4" t="s">
        <v>31</v>
      </c>
      <c r="F36" s="5">
        <v>4088</v>
      </c>
      <c r="G36" s="6">
        <f t="shared" si="0"/>
        <v>0.12798634812286688</v>
      </c>
      <c r="H36" s="4">
        <v>6</v>
      </c>
      <c r="I36" s="5">
        <f t="shared" si="1"/>
        <v>24528</v>
      </c>
      <c r="J36" s="4" t="s">
        <v>45</v>
      </c>
    </row>
    <row r="37" spans="1:10" x14ac:dyDescent="0.15">
      <c r="A37" s="3">
        <v>38843</v>
      </c>
      <c r="B37" s="4" t="s">
        <v>33</v>
      </c>
      <c r="C37" s="4" t="s">
        <v>34</v>
      </c>
      <c r="D37" s="5">
        <v>4688</v>
      </c>
      <c r="E37" s="4" t="s">
        <v>31</v>
      </c>
      <c r="F37" s="5">
        <v>4088</v>
      </c>
      <c r="G37" s="6">
        <f t="shared" si="0"/>
        <v>0.12798634812286688</v>
      </c>
      <c r="H37" s="4">
        <v>4</v>
      </c>
      <c r="I37" s="5">
        <f t="shared" si="1"/>
        <v>16352</v>
      </c>
      <c r="J37" s="4" t="s">
        <v>45</v>
      </c>
    </row>
    <row r="38" spans="1:10" x14ac:dyDescent="0.15">
      <c r="A38" s="3">
        <v>38844</v>
      </c>
      <c r="B38" s="4" t="s">
        <v>33</v>
      </c>
      <c r="C38" s="4" t="s">
        <v>34</v>
      </c>
      <c r="D38" s="5">
        <v>4688</v>
      </c>
      <c r="E38" s="4" t="s">
        <v>31</v>
      </c>
      <c r="F38" s="5">
        <v>4088</v>
      </c>
      <c r="G38" s="6">
        <f t="shared" si="0"/>
        <v>0.12798634812286688</v>
      </c>
      <c r="H38" s="4">
        <v>3</v>
      </c>
      <c r="I38" s="5">
        <f t="shared" si="1"/>
        <v>12264</v>
      </c>
      <c r="J38" s="4" t="s">
        <v>45</v>
      </c>
    </row>
    <row r="39" spans="1:10" x14ac:dyDescent="0.15">
      <c r="A39" s="3">
        <v>38838</v>
      </c>
      <c r="B39" s="4" t="s">
        <v>35</v>
      </c>
      <c r="C39" s="4" t="s">
        <v>41</v>
      </c>
      <c r="D39" s="5">
        <v>2988</v>
      </c>
      <c r="E39" s="4" t="s">
        <v>42</v>
      </c>
      <c r="F39" s="5">
        <v>2988</v>
      </c>
      <c r="G39" s="6">
        <f t="shared" si="0"/>
        <v>0</v>
      </c>
      <c r="H39" s="4">
        <v>2</v>
      </c>
      <c r="I39" s="5">
        <f t="shared" si="1"/>
        <v>5976</v>
      </c>
      <c r="J39" s="4" t="s">
        <v>46</v>
      </c>
    </row>
    <row r="40" spans="1:10" x14ac:dyDescent="0.15">
      <c r="A40" s="3">
        <v>38839</v>
      </c>
      <c r="B40" s="4" t="s">
        <v>33</v>
      </c>
      <c r="C40" s="4" t="s">
        <v>43</v>
      </c>
      <c r="D40" s="5">
        <v>1988</v>
      </c>
      <c r="E40" s="4" t="s">
        <v>42</v>
      </c>
      <c r="F40" s="5">
        <v>1988</v>
      </c>
      <c r="G40" s="6">
        <f t="shared" si="0"/>
        <v>0</v>
      </c>
      <c r="H40" s="4">
        <v>6</v>
      </c>
      <c r="I40" s="5">
        <f t="shared" si="1"/>
        <v>11928</v>
      </c>
      <c r="J40" s="4" t="s">
        <v>46</v>
      </c>
    </row>
    <row r="41" spans="1:10" x14ac:dyDescent="0.15">
      <c r="A41" s="3">
        <v>38839</v>
      </c>
      <c r="B41" s="4" t="s">
        <v>35</v>
      </c>
      <c r="C41" s="4" t="s">
        <v>47</v>
      </c>
      <c r="D41" s="5">
        <v>3688</v>
      </c>
      <c r="E41" s="4" t="s">
        <v>31</v>
      </c>
      <c r="F41" s="5">
        <v>2988</v>
      </c>
      <c r="G41" s="6">
        <f t="shared" si="0"/>
        <v>0.18980477223427331</v>
      </c>
      <c r="H41" s="4">
        <v>10</v>
      </c>
      <c r="I41" s="5">
        <f t="shared" si="1"/>
        <v>29880</v>
      </c>
      <c r="J41" s="4" t="s">
        <v>46</v>
      </c>
    </row>
    <row r="42" spans="1:10" x14ac:dyDescent="0.15">
      <c r="A42" s="3">
        <v>38840</v>
      </c>
      <c r="B42" s="4" t="s">
        <v>35</v>
      </c>
      <c r="C42" s="4" t="s">
        <v>41</v>
      </c>
      <c r="D42" s="5">
        <v>2988</v>
      </c>
      <c r="E42" s="4" t="s">
        <v>42</v>
      </c>
      <c r="F42" s="5">
        <v>2988</v>
      </c>
      <c r="G42" s="6">
        <f t="shared" si="0"/>
        <v>0</v>
      </c>
      <c r="H42" s="4">
        <v>6</v>
      </c>
      <c r="I42" s="5">
        <f t="shared" si="1"/>
        <v>17928</v>
      </c>
      <c r="J42" s="4" t="s">
        <v>46</v>
      </c>
    </row>
    <row r="43" spans="1:10" x14ac:dyDescent="0.15">
      <c r="A43" s="3">
        <v>38841</v>
      </c>
      <c r="B43" s="4" t="s">
        <v>35</v>
      </c>
      <c r="C43" s="4" t="s">
        <v>41</v>
      </c>
      <c r="D43" s="5">
        <v>2988</v>
      </c>
      <c r="E43" s="4" t="s">
        <v>42</v>
      </c>
      <c r="F43" s="5">
        <v>2988</v>
      </c>
      <c r="G43" s="6">
        <f t="shared" si="0"/>
        <v>0</v>
      </c>
      <c r="H43" s="4">
        <v>3</v>
      </c>
      <c r="I43" s="5">
        <f t="shared" si="1"/>
        <v>8964</v>
      </c>
      <c r="J43" s="4" t="s">
        <v>46</v>
      </c>
    </row>
    <row r="44" spans="1:10" x14ac:dyDescent="0.15">
      <c r="A44" s="3">
        <v>38842</v>
      </c>
      <c r="B44" s="4" t="s">
        <v>35</v>
      </c>
      <c r="C44" s="4" t="s">
        <v>41</v>
      </c>
      <c r="D44" s="5">
        <v>2988</v>
      </c>
      <c r="E44" s="4" t="s">
        <v>42</v>
      </c>
      <c r="F44" s="5">
        <v>2988</v>
      </c>
      <c r="G44" s="6">
        <f t="shared" si="0"/>
        <v>0</v>
      </c>
      <c r="H44" s="4">
        <v>0</v>
      </c>
      <c r="I44" s="5">
        <f t="shared" si="1"/>
        <v>0</v>
      </c>
      <c r="J44" s="4" t="s">
        <v>46</v>
      </c>
    </row>
    <row r="45" spans="1:10" x14ac:dyDescent="0.15">
      <c r="A45" s="3">
        <v>38843</v>
      </c>
      <c r="B45" s="4" t="s">
        <v>35</v>
      </c>
      <c r="C45" s="4" t="s">
        <v>41</v>
      </c>
      <c r="D45" s="5">
        <v>2988</v>
      </c>
      <c r="E45" s="4" t="s">
        <v>42</v>
      </c>
      <c r="F45" s="5">
        <v>2988</v>
      </c>
      <c r="G45" s="6">
        <f t="shared" si="0"/>
        <v>0</v>
      </c>
      <c r="H45" s="4">
        <v>2</v>
      </c>
      <c r="I45" s="5">
        <f t="shared" si="1"/>
        <v>5976</v>
      </c>
      <c r="J45" s="4" t="s">
        <v>46</v>
      </c>
    </row>
    <row r="46" spans="1:10" x14ac:dyDescent="0.15">
      <c r="A46" s="3">
        <v>38844</v>
      </c>
      <c r="B46" s="4" t="s">
        <v>35</v>
      </c>
      <c r="C46" s="4" t="s">
        <v>41</v>
      </c>
      <c r="D46" s="5">
        <v>2988</v>
      </c>
      <c r="E46" s="4" t="s">
        <v>42</v>
      </c>
      <c r="F46" s="5">
        <v>2988</v>
      </c>
      <c r="G46" s="6">
        <f t="shared" si="0"/>
        <v>0</v>
      </c>
      <c r="H46" s="4">
        <v>0</v>
      </c>
      <c r="I46" s="5">
        <f t="shared" si="1"/>
        <v>0</v>
      </c>
      <c r="J46" s="4" t="s">
        <v>46</v>
      </c>
    </row>
    <row r="47" spans="1:10" x14ac:dyDescent="0.15">
      <c r="A47" s="3">
        <v>38838</v>
      </c>
      <c r="B47" s="4" t="s">
        <v>35</v>
      </c>
      <c r="C47" s="4" t="s">
        <v>47</v>
      </c>
      <c r="D47" s="5">
        <v>3688</v>
      </c>
      <c r="E47" s="4" t="s">
        <v>31</v>
      </c>
      <c r="F47" s="5">
        <v>2988</v>
      </c>
      <c r="G47" s="6">
        <f t="shared" si="0"/>
        <v>0.18980477223427331</v>
      </c>
      <c r="H47" s="4">
        <v>4</v>
      </c>
      <c r="I47" s="5">
        <f t="shared" si="1"/>
        <v>11952</v>
      </c>
      <c r="J47" s="4" t="s">
        <v>48</v>
      </c>
    </row>
    <row r="48" spans="1:10" x14ac:dyDescent="0.15">
      <c r="A48" s="3">
        <v>38840</v>
      </c>
      <c r="B48" s="4" t="s">
        <v>35</v>
      </c>
      <c r="C48" s="4" t="s">
        <v>47</v>
      </c>
      <c r="D48" s="5">
        <v>3688</v>
      </c>
      <c r="E48" s="4" t="s">
        <v>31</v>
      </c>
      <c r="F48" s="5">
        <v>2988</v>
      </c>
      <c r="G48" s="6">
        <f t="shared" si="0"/>
        <v>0.18980477223427331</v>
      </c>
      <c r="H48" s="4">
        <v>15</v>
      </c>
      <c r="I48" s="5">
        <f t="shared" si="1"/>
        <v>44820</v>
      </c>
      <c r="J48" s="4" t="s">
        <v>48</v>
      </c>
    </row>
    <row r="49" spans="1:10" x14ac:dyDescent="0.15">
      <c r="A49" s="3">
        <v>38841</v>
      </c>
      <c r="B49" s="4" t="s">
        <v>35</v>
      </c>
      <c r="C49" s="4" t="s">
        <v>47</v>
      </c>
      <c r="D49" s="5">
        <v>3688</v>
      </c>
      <c r="E49" s="4" t="s">
        <v>31</v>
      </c>
      <c r="F49" s="5">
        <v>2988</v>
      </c>
      <c r="G49" s="6">
        <f t="shared" si="0"/>
        <v>0.18980477223427331</v>
      </c>
      <c r="H49" s="4">
        <v>10</v>
      </c>
      <c r="I49" s="5">
        <f t="shared" si="1"/>
        <v>29880</v>
      </c>
      <c r="J49" s="4" t="s">
        <v>48</v>
      </c>
    </row>
    <row r="50" spans="1:10" x14ac:dyDescent="0.15">
      <c r="A50" s="3">
        <v>38842</v>
      </c>
      <c r="B50" s="4" t="s">
        <v>35</v>
      </c>
      <c r="C50" s="4" t="s">
        <v>47</v>
      </c>
      <c r="D50" s="5">
        <v>3688</v>
      </c>
      <c r="E50" s="4" t="s">
        <v>31</v>
      </c>
      <c r="F50" s="5">
        <v>2988</v>
      </c>
      <c r="G50" s="6">
        <f t="shared" si="0"/>
        <v>0.18980477223427331</v>
      </c>
      <c r="H50" s="4">
        <v>6</v>
      </c>
      <c r="I50" s="5">
        <f t="shared" si="1"/>
        <v>17928</v>
      </c>
      <c r="J50" s="4" t="s">
        <v>48</v>
      </c>
    </row>
    <row r="51" spans="1:10" x14ac:dyDescent="0.15">
      <c r="A51" s="3">
        <v>38843</v>
      </c>
      <c r="B51" s="4" t="s">
        <v>35</v>
      </c>
      <c r="C51" s="4" t="s">
        <v>47</v>
      </c>
      <c r="D51" s="5">
        <v>3688</v>
      </c>
      <c r="E51" s="4" t="s">
        <v>31</v>
      </c>
      <c r="F51" s="5">
        <v>2988</v>
      </c>
      <c r="G51" s="6">
        <f t="shared" si="0"/>
        <v>0.18980477223427331</v>
      </c>
      <c r="H51" s="4">
        <v>2</v>
      </c>
      <c r="I51" s="5">
        <f t="shared" si="1"/>
        <v>5976</v>
      </c>
      <c r="J51" s="4" t="s">
        <v>48</v>
      </c>
    </row>
    <row r="52" spans="1:10" x14ac:dyDescent="0.15">
      <c r="A52" s="3">
        <v>38844</v>
      </c>
      <c r="B52" s="4" t="s">
        <v>35</v>
      </c>
      <c r="C52" s="4" t="s">
        <v>47</v>
      </c>
      <c r="D52" s="5">
        <v>3688</v>
      </c>
      <c r="E52" s="4" t="s">
        <v>31</v>
      </c>
      <c r="F52" s="5">
        <v>2988</v>
      </c>
      <c r="G52" s="6">
        <f t="shared" si="0"/>
        <v>0.18980477223427331</v>
      </c>
      <c r="H52" s="4">
        <v>0</v>
      </c>
      <c r="I52" s="5">
        <f t="shared" si="1"/>
        <v>0</v>
      </c>
      <c r="J52" s="4" t="s">
        <v>48</v>
      </c>
    </row>
    <row r="53" spans="1:10" x14ac:dyDescent="0.15">
      <c r="A53" s="3">
        <v>38838</v>
      </c>
      <c r="B53" s="4" t="s">
        <v>35</v>
      </c>
      <c r="C53" s="4" t="s">
        <v>36</v>
      </c>
      <c r="D53" s="5">
        <v>3188</v>
      </c>
      <c r="E53" s="4" t="s">
        <v>31</v>
      </c>
      <c r="F53" s="5">
        <v>2888</v>
      </c>
      <c r="G53" s="6">
        <f t="shared" si="0"/>
        <v>9.4102885821831864E-2</v>
      </c>
      <c r="H53" s="4">
        <v>3</v>
      </c>
      <c r="I53" s="5">
        <f t="shared" si="1"/>
        <v>8664</v>
      </c>
      <c r="J53" s="4" t="s">
        <v>49</v>
      </c>
    </row>
    <row r="54" spans="1:10" x14ac:dyDescent="0.15">
      <c r="A54" s="3">
        <v>38840</v>
      </c>
      <c r="B54" s="4" t="s">
        <v>35</v>
      </c>
      <c r="C54" s="4" t="s">
        <v>36</v>
      </c>
      <c r="D54" s="5">
        <v>3188</v>
      </c>
      <c r="E54" s="4" t="s">
        <v>31</v>
      </c>
      <c r="F54" s="5">
        <v>2888</v>
      </c>
      <c r="G54" s="6">
        <f t="shared" si="0"/>
        <v>9.4102885821831864E-2</v>
      </c>
      <c r="H54" s="4">
        <v>12</v>
      </c>
      <c r="I54" s="5">
        <f t="shared" si="1"/>
        <v>34656</v>
      </c>
      <c r="J54" s="4" t="s">
        <v>49</v>
      </c>
    </row>
    <row r="55" spans="1:10" x14ac:dyDescent="0.15">
      <c r="A55" s="3">
        <v>38841</v>
      </c>
      <c r="B55" s="4" t="s">
        <v>35</v>
      </c>
      <c r="C55" s="4" t="s">
        <v>36</v>
      </c>
      <c r="D55" s="5">
        <v>3188</v>
      </c>
      <c r="E55" s="4" t="s">
        <v>31</v>
      </c>
      <c r="F55" s="5">
        <v>2888</v>
      </c>
      <c r="G55" s="6">
        <f t="shared" si="0"/>
        <v>9.4102885821831864E-2</v>
      </c>
      <c r="H55" s="4">
        <v>8</v>
      </c>
      <c r="I55" s="5">
        <f t="shared" si="1"/>
        <v>23104</v>
      </c>
      <c r="J55" s="4" t="s">
        <v>49</v>
      </c>
    </row>
    <row r="56" spans="1:10" x14ac:dyDescent="0.15">
      <c r="A56" s="3">
        <v>38842</v>
      </c>
      <c r="B56" s="4" t="s">
        <v>35</v>
      </c>
      <c r="C56" s="4" t="s">
        <v>36</v>
      </c>
      <c r="D56" s="5">
        <v>3188</v>
      </c>
      <c r="E56" s="4" t="s">
        <v>31</v>
      </c>
      <c r="F56" s="5">
        <v>2888</v>
      </c>
      <c r="G56" s="6">
        <f t="shared" si="0"/>
        <v>9.4102885821831864E-2</v>
      </c>
      <c r="H56" s="4">
        <v>5</v>
      </c>
      <c r="I56" s="5">
        <f t="shared" si="1"/>
        <v>14440</v>
      </c>
      <c r="J56" s="4" t="s">
        <v>49</v>
      </c>
    </row>
    <row r="57" spans="1:10" x14ac:dyDescent="0.15">
      <c r="A57" s="3">
        <v>38843</v>
      </c>
      <c r="B57" s="4" t="s">
        <v>35</v>
      </c>
      <c r="C57" s="4" t="s">
        <v>36</v>
      </c>
      <c r="D57" s="5">
        <v>3188</v>
      </c>
      <c r="E57" s="4" t="s">
        <v>31</v>
      </c>
      <c r="F57" s="5">
        <v>2888</v>
      </c>
      <c r="G57" s="6">
        <f t="shared" si="0"/>
        <v>9.4102885821831864E-2</v>
      </c>
      <c r="H57" s="4">
        <v>3</v>
      </c>
      <c r="I57" s="5">
        <f t="shared" si="1"/>
        <v>8664</v>
      </c>
      <c r="J57" s="4" t="s">
        <v>49</v>
      </c>
    </row>
    <row r="58" spans="1:10" x14ac:dyDescent="0.15">
      <c r="A58" s="3">
        <v>38844</v>
      </c>
      <c r="B58" s="4" t="s">
        <v>35</v>
      </c>
      <c r="C58" s="4" t="s">
        <v>36</v>
      </c>
      <c r="D58" s="5">
        <v>3188</v>
      </c>
      <c r="E58" s="4" t="s">
        <v>31</v>
      </c>
      <c r="F58" s="5">
        <v>2888</v>
      </c>
      <c r="G58" s="6">
        <f t="shared" si="0"/>
        <v>9.4102885821831864E-2</v>
      </c>
      <c r="H58" s="4">
        <v>4</v>
      </c>
      <c r="I58" s="5">
        <f t="shared" si="1"/>
        <v>11552</v>
      </c>
      <c r="J58" s="4" t="s">
        <v>49</v>
      </c>
    </row>
  </sheetData>
  <phoneticPr fontId="4" type="noConversion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课程对应学分</vt:lpstr>
      <vt:lpstr>销售清单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NTKO</dc:creator>
  <cp:lastModifiedBy>PC</cp:lastModifiedBy>
  <dcterms:created xsi:type="dcterms:W3CDTF">2017-09-18T05:57:00Z</dcterms:created>
  <dcterms:modified xsi:type="dcterms:W3CDTF">2023-10-11T02:40:36Z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