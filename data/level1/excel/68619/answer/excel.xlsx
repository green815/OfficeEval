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-105" yWindow="-105" windowWidth="19425" windowHeight="10425"/>
  </bookViews>
  <sheets>
    <sheet name="员工销售情况表" sheetId="1" r:id="rId1"/>
    <sheet name="员工销售额统计表" sheetId="4" r:id="rId2"/>
    <sheet name="图书销售统计表" sheetId="2" r:id="rId3"/>
  </sheets>
  <calcPr calcId="162913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1" i="1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3" i="1"/>
  <c r="G97" i="2" l="1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<sst xmlns="http://schemas.openxmlformats.org/spreadsheetml/2006/main" count="372" uniqueCount="119">
  <si>
    <t>交通科学</t>
  </si>
  <si>
    <t>第1分部</t>
  </si>
  <si>
    <t>员工号</t>
    <phoneticPr fontId="1" type="noConversion"/>
  </si>
  <si>
    <t>H01</t>
    <phoneticPr fontId="1" type="noConversion"/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</si>
  <si>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</si>
  <si>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</si>
  <si>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</si>
  <si>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</si>
  <si>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</si>
  <si>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</si>
  <si>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</si>
  <si>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</si>
  <si>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</si>
  <si>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产品单品价格表</t>
    <phoneticPr fontId="1" type="noConversion"/>
  </si>
  <si>
    <t>A产品</t>
    <phoneticPr fontId="1" type="noConversion"/>
  </si>
  <si>
    <t>B产品</t>
    <phoneticPr fontId="1" type="noConversion"/>
  </si>
  <si>
    <t>产品名称</t>
    <phoneticPr fontId="1" type="noConversion"/>
  </si>
  <si>
    <t>C产品</t>
    <phoneticPr fontId="1" type="noConversion"/>
  </si>
  <si>
    <t>销售额(万元）</t>
    <phoneticPr fontId="1" type="noConversion"/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</si>
  <si>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</si>
  <si>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</si>
  <si>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</si>
  <si>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</si>
  <si>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</si>
  <si>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</si>
  <si>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</si>
  <si>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</si>
  <si>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</si>
  <si>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</si>
  <si>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</si>
  <si>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</si>
  <si>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</si>
  <si>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</si>
  <si>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</si>
  <si>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A产品</t>
  </si>
  <si>
    <t>A产品</t>
    <phoneticPr fontId="1" type="noConversion"/>
  </si>
  <si>
    <t>B产品</t>
  </si>
  <si>
    <t>B产品</t>
    <phoneticPr fontId="1" type="noConversion"/>
  </si>
  <si>
    <t>C产品</t>
  </si>
  <si>
    <t>C产品</t>
    <phoneticPr fontId="1" type="noConversion"/>
  </si>
  <si>
    <t>D产品</t>
  </si>
  <si>
    <t>D产品</t>
    <phoneticPr fontId="1" type="noConversion"/>
  </si>
  <si>
    <t>H01</t>
    <phoneticPr fontId="1" type="noConversion"/>
  </si>
  <si>
    <t>H02</t>
    <phoneticPr fontId="1" type="noConversion"/>
  </si>
  <si>
    <t>H03</t>
    <phoneticPr fontId="1" type="noConversion"/>
  </si>
  <si>
    <t>H04</t>
    <phoneticPr fontId="1" type="noConversion"/>
  </si>
  <si>
    <t>H05</t>
    <phoneticPr fontId="1" type="noConversion"/>
  </si>
  <si>
    <t>H06</t>
    <phoneticPr fontId="1" type="noConversion"/>
  </si>
  <si>
    <t>H07</t>
    <phoneticPr fontId="1" type="noConversion"/>
  </si>
  <si>
    <t>H08</t>
    <phoneticPr fontId="1" type="noConversion"/>
  </si>
  <si>
    <t>H09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</si>
  <si>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</si>
  <si>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</si>
  <si>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</si>
  <si>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H13</t>
    <phoneticPr fontId="1" type="noConversion"/>
  </si>
  <si>
    <t>H14</t>
    <phoneticPr fontId="1" type="noConversion"/>
  </si>
  <si>
    <t>H15</t>
    <phoneticPr fontId="1" type="noConversion"/>
  </si>
  <si>
    <t>H16</t>
    <phoneticPr fontId="1" type="noConversion"/>
  </si>
  <si>
    <t>H17</t>
    <phoneticPr fontId="1" type="noConversion"/>
  </si>
  <si>
    <t>H18</t>
    <phoneticPr fontId="1" type="noConversion"/>
  </si>
  <si>
    <t>H19</t>
    <phoneticPr fontId="1" type="noConversion"/>
  </si>
  <si>
    <t>H20</t>
    <phoneticPr fontId="1" type="noConversion"/>
  </si>
  <si>
    <t>H21</t>
    <phoneticPr fontId="1" type="noConversion"/>
  </si>
  <si>
    <t>H22</t>
    <phoneticPr fontId="1" type="noConversion"/>
  </si>
  <si>
    <t>H23</t>
    <phoneticPr fontId="1" type="noConversion"/>
  </si>
  <si>
    <t>H24</t>
    <phoneticPr fontId="1" type="noConversion"/>
  </si>
  <si>
    <t>H25</t>
    <phoneticPr fontId="1" type="noConversion"/>
  </si>
  <si>
    <t>D产品</t>
    <phoneticPr fontId="1" type="noConversion"/>
  </si>
  <si>
    <t>员工号</t>
    <phoneticPr fontId="1" type="noConversion"/>
  </si>
  <si>
    <t>销售排名</t>
    <phoneticPr fontId="1" type="noConversion"/>
  </si>
  <si>
    <t>H01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</si>
  <si>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</si>
  <si>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</si>
  <si>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</si>
  <si>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销售数量(册)</t>
    <phoneticPr fontId="1" type="noConversion"/>
  </si>
  <si>
    <t>销售数量排名</t>
    <phoneticPr fontId="1" type="noConversion"/>
  </si>
  <si>
    <t>销售额排名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</si>
  <si>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</si>
  <si>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</si>
  <si>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</si>
  <si>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</si>
  <si>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第5分部</t>
  </si>
  <si>
    <t>第6分部</t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</si>
  <si>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</si>
  <si>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</si>
  <si>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</si>
  <si>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</si>
  <si>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</si>
  <si>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</si>
  <si>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</si>
  <si>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</si>
  <si>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交通科学</t>
    <phoneticPr fontId="1" type="noConversion"/>
  </si>
  <si>
    <t>第4分部</t>
    <phoneticPr fontId="1" type="noConversion"/>
  </si>
  <si>
    <t>第2分部</t>
    <phoneticPr fontId="1" type="noConversion"/>
  </si>
  <si>
    <t>第3分部</t>
    <phoneticPr fontId="1" type="noConversion"/>
  </si>
  <si>
    <t>第5分部</t>
    <phoneticPr fontId="1" type="noConversion"/>
  </si>
  <si>
    <t>第6分部</t>
    <phoneticPr fontId="1" type="noConversion"/>
  </si>
  <si>
    <t>产品名称</t>
    <phoneticPr fontId="1" type="noConversion"/>
  </si>
  <si>
    <t>A产品</t>
    <phoneticPr fontId="1" type="noConversion"/>
  </si>
  <si>
    <t>B产品</t>
    <phoneticPr fontId="1" type="noConversion"/>
  </si>
  <si>
    <t>C产品</t>
    <phoneticPr fontId="1" type="noConversion"/>
  </si>
  <si>
    <t>D产品</t>
    <phoneticPr fontId="1" type="noConversion"/>
  </si>
  <si>
    <t>销售数量（件）</t>
    <phoneticPr fontId="1" type="noConversion"/>
  </si>
  <si>
    <t>产品单价（万元）</t>
    <phoneticPr fontId="1" type="noConversion"/>
  </si>
  <si>
    <t>产品单价（万元）</t>
  </si>
  <si>
    <t>统计表1</t>
    <phoneticPr fontId="1" type="noConversion"/>
  </si>
  <si>
    <r>
      <t>某公司员工销售情况表</t>
    </r>
    <r>
      <rPr>
        <sz val="12"/>
        <rFont val="Times New Roman"/>
        <family val="1"/>
      </rPr>
      <t xml:space="preserve"> </t>
    </r>
    <phoneticPr fontId="1" type="noConversion"/>
  </si>
  <si>
    <t>总销售额（万元）</t>
    <phoneticPr fontId="1" type="noConversion"/>
  </si>
  <si>
    <t>销售额(万元)</t>
    <phoneticPr fontId="1" type="noConversion"/>
  </si>
  <si>
    <t>行标签</t>
  </si>
  <si>
    <t>第2分部</t>
  </si>
  <si>
    <t>第3分部</t>
  </si>
  <si>
    <t>第4分部</t>
  </si>
  <si>
    <t>总计</t>
  </si>
  <si>
    <t>列标签</t>
  </si>
  <si>
    <t>工业技术</t>
  </si>
  <si>
    <t>农业科学</t>
  </si>
  <si>
    <t>生物科学</t>
  </si>
  <si>
    <t>求和项:销售额(万元)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</si>
</sst>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.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5" fillId="0" borderId="0" xfId="0" applyFont="1"/>
    <xf numFmtId="0" fontId="3" fillId="0" borderId="1" xfId="0" applyFont="1" applyBorder="1"/>
    <xf numFmtId="176" fontId="5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Border="1"/>
    <xf numFmtId="0" fontId="3" fillId="0" borderId="0" xfId="0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58" fontId="3" fillId="0" borderId="1" xfId="0" applyNumberFormat="1" applyFont="1" applyBorder="1" applyAlignment="1">
      <alignment horizontal="center"/>
    </xf>
    <xf numFmtId="176" fontId="5" fillId="0" borderId="0" xfId="0" applyNumberFormat="1" applyFont="1"/>
    <xf numFmtId="177" fontId="5" fillId="0" borderId="0" xfId="0" applyNumberFormat="1" applyFont="1"/>
    <xf numFmtId="0" fontId="5" fillId="0" borderId="1" xfId="0" applyNumberFormat="1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0" fillId="0" borderId="1" xfId="0" applyNumberFormat="1" applyBorder="1"/>
    <xf numFmtId="179" fontId="5" fillId="0" borderId="1" xfId="0" applyNumberFormat="1" applyFont="1" applyBorder="1"/>
    <xf numFmtId="17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产品销售数量统计图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员工销售情况表!$H$10</c:f>
              <c:strCache>
                <c:ptCount val="1"/>
                <c:pt idx="0">
                  <c:v>销售数量（件）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员工销售情况表!$G$11:$G$14</c:f>
              <c:strCache>
                <c:ptCount val="4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</c:strCache>
            </c:strRef>
          </c:cat>
          <c:val>
            <c:numRef>
              <c:f>员工销售情况表!$H$11:$H$14</c:f>
              <c:numCache>
                <c:formatCode>General</c:formatCode>
                <c:ptCount val="4"/>
                <c:pt idx="0">
                  <c:v>1180</c:v>
                </c:pt>
                <c:pt idx="1">
                  <c:v>1328</c:v>
                </c:pt>
                <c:pt idx="2">
                  <c:v>1118</c:v>
                </c:pt>
                <c:pt idx="3">
                  <c:v>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C-41BE-AB81-BB58CC9A40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410558056"/>
        <c:axId val="410558384"/>
      </c:barChart>
      <c:catAx>
        <c:axId val="410558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558384"/>
        <c:crosses val="autoZero"/>
        <c:auto val="1"/>
        <c:lblAlgn val="ctr"/>
        <c:lblOffset val="100"/>
        <c:noMultiLvlLbl val="0"/>
      </c:catAx>
      <c:valAx>
        <c:axId val="410558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55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14</xdr:row>
      <xdr:rowOff>195262</xdr:rowOff>
    </xdr:from>
    <xdr:to>
      <xdr:col>9</xdr:col>
      <xdr:colOff>647700</xdr:colOff>
      <xdr:row>27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303.578724999999" createdVersion="6" refreshedVersion="6" minRefreshableVersion="3" recordCount="96">
  <cacheSource type="worksheet">
    <worksheetSource ref="A1:G97" sheet="图书销售统计表"/>
  </cacheSource>
  <cacheFields count="7">
    <cacheField name="经销部门" numFmtId="0">
      <sharedItems count="6">
        <s v="第3分部"/>
        <s v="第1分部"/>
        <s v="第2分部"/>
        <s v="第4分部"/>
        <s v="第5分部"/>
        <s v="第6分部"/>
      </sharedItems>
    </cacheField>
    <cacheField name="图书类别" numFmtId="0">
      <sharedItems count="4">
        <s v="生物科学"/>
        <s v="工业技术"/>
        <s v="农业科学"/>
        <s v="交通科学"/>
      </sharedItems>
    </cacheField>
    <cacheField name="季度" numFmtId="0">
      <sharedItems containsSemiMixedTypes="0" containsString="0" containsNumber="1" containsInteger="1" minValue="1" maxValue="4"/>
    </cacheField>
    <cacheField name="销售数量(册)" numFmtId="0">
      <sharedItems containsSemiMixedTypes="0" containsString="0" containsNumber="1" containsInteger="1" minValue="112" maxValue="873"/>
    </cacheField>
    <cacheField name="销售额(万元)" numFmtId="0">
      <sharedItems containsSemiMixedTypes="0" containsString="0" containsNumber="1" containsInteger="1" minValue="6630" maxValue="78436"/>
    </cacheField>
    <cacheField name="销售数量排名" numFmtId="0">
      <sharedItems containsSemiMixedTypes="0" containsString="0" containsNumber="1" containsInteger="1" minValue="1" maxValue="96"/>
    </cacheField>
    <cacheField name="销售额排名" numFmtId="0">
      <sharedItems containsSemiMixedTypes="0" containsString="0" containsNumber="1" containsInteger="1" minValue="1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n v="3"/>
    <n v="124"/>
    <n v="8680"/>
    <n v="91"/>
    <n v="92"/>
  </r>
  <r>
    <x v="0"/>
    <x v="1"/>
    <n v="2"/>
    <n v="321"/>
    <n v="9630"/>
    <n v="53"/>
    <n v="86"/>
  </r>
  <r>
    <x v="1"/>
    <x v="1"/>
    <n v="2"/>
    <n v="435"/>
    <n v="21750"/>
    <n v="26"/>
    <n v="47"/>
  </r>
  <r>
    <x v="2"/>
    <x v="0"/>
    <n v="2"/>
    <n v="256"/>
    <n v="17920"/>
    <n v="63"/>
    <n v="56"/>
  </r>
  <r>
    <x v="2"/>
    <x v="1"/>
    <n v="1"/>
    <n v="167"/>
    <n v="8350"/>
    <n v="85"/>
    <n v="93"/>
  </r>
  <r>
    <x v="0"/>
    <x v="0"/>
    <n v="4"/>
    <n v="157"/>
    <n v="10990"/>
    <n v="87"/>
    <n v="75"/>
  </r>
  <r>
    <x v="1"/>
    <x v="0"/>
    <n v="4"/>
    <n v="187"/>
    <n v="13090"/>
    <n v="84"/>
    <n v="69"/>
  </r>
  <r>
    <x v="0"/>
    <x v="1"/>
    <n v="4"/>
    <n v="213"/>
    <n v="10650"/>
    <n v="76"/>
    <n v="80"/>
  </r>
  <r>
    <x v="2"/>
    <x v="0"/>
    <n v="4"/>
    <n v="196"/>
    <n v="13720"/>
    <n v="81"/>
    <n v="67"/>
  </r>
  <r>
    <x v="2"/>
    <x v="1"/>
    <n v="4"/>
    <n v="219"/>
    <n v="10950"/>
    <n v="70"/>
    <n v="76"/>
  </r>
  <r>
    <x v="2"/>
    <x v="0"/>
    <n v="3"/>
    <n v="235"/>
    <n v="16380"/>
    <n v="64"/>
    <n v="58"/>
  </r>
  <r>
    <x v="2"/>
    <x v="0"/>
    <n v="1"/>
    <n v="206"/>
    <n v="14420"/>
    <n v="79"/>
    <n v="63"/>
  </r>
  <r>
    <x v="2"/>
    <x v="1"/>
    <n v="2"/>
    <n v="211"/>
    <n v="10550"/>
    <n v="78"/>
    <n v="81"/>
  </r>
  <r>
    <x v="0"/>
    <x v="1"/>
    <n v="3"/>
    <n v="189"/>
    <n v="9450"/>
    <n v="83"/>
    <n v="87"/>
  </r>
  <r>
    <x v="2"/>
    <x v="2"/>
    <n v="1"/>
    <n v="221"/>
    <n v="6630"/>
    <n v="68"/>
    <n v="96"/>
  </r>
  <r>
    <x v="0"/>
    <x v="2"/>
    <n v="4"/>
    <n v="434"/>
    <n v="32960"/>
    <n v="27"/>
    <n v="15"/>
  </r>
  <r>
    <x v="1"/>
    <x v="0"/>
    <n v="3"/>
    <n v="323"/>
    <n v="22610"/>
    <n v="51"/>
    <n v="46"/>
  </r>
  <r>
    <x v="1"/>
    <x v="1"/>
    <n v="3"/>
    <n v="324"/>
    <n v="16200"/>
    <n v="49"/>
    <n v="60"/>
  </r>
  <r>
    <x v="1"/>
    <x v="2"/>
    <n v="4"/>
    <n v="331"/>
    <n v="10260"/>
    <n v="45"/>
    <n v="82"/>
  </r>
  <r>
    <x v="1"/>
    <x v="1"/>
    <n v="4"/>
    <n v="287"/>
    <n v="14350"/>
    <n v="60"/>
    <n v="65"/>
  </r>
  <r>
    <x v="2"/>
    <x v="1"/>
    <n v="3"/>
    <n v="218"/>
    <n v="10900"/>
    <n v="71"/>
    <n v="77"/>
  </r>
  <r>
    <x v="0"/>
    <x v="1"/>
    <n v="1"/>
    <n v="301"/>
    <n v="15050"/>
    <n v="58"/>
    <n v="61"/>
  </r>
  <r>
    <x v="0"/>
    <x v="2"/>
    <n v="1"/>
    <n v="306"/>
    <n v="29180"/>
    <n v="56"/>
    <n v="25"/>
  </r>
  <r>
    <x v="0"/>
    <x v="0"/>
    <n v="2"/>
    <n v="351"/>
    <n v="26541"/>
    <n v="41"/>
    <n v="34"/>
  </r>
  <r>
    <x v="2"/>
    <x v="2"/>
    <n v="2"/>
    <n v="312"/>
    <n v="13360"/>
    <n v="54"/>
    <n v="68"/>
  </r>
  <r>
    <x v="0"/>
    <x v="0"/>
    <n v="1"/>
    <n v="212"/>
    <n v="18840"/>
    <n v="77"/>
    <n v="55"/>
  </r>
  <r>
    <x v="1"/>
    <x v="0"/>
    <n v="1"/>
    <n v="345"/>
    <n v="24150"/>
    <n v="42"/>
    <n v="38"/>
  </r>
  <r>
    <x v="1"/>
    <x v="2"/>
    <n v="3"/>
    <n v="365"/>
    <n v="30950"/>
    <n v="39"/>
    <n v="21"/>
  </r>
  <r>
    <x v="1"/>
    <x v="0"/>
    <n v="2"/>
    <n v="412"/>
    <n v="28840"/>
    <n v="33"/>
    <n v="26"/>
  </r>
  <r>
    <x v="2"/>
    <x v="2"/>
    <n v="4"/>
    <n v="421"/>
    <n v="12630"/>
    <n v="32"/>
    <n v="72"/>
  </r>
  <r>
    <x v="1"/>
    <x v="1"/>
    <n v="1"/>
    <n v="569"/>
    <n v="28450"/>
    <n v="13"/>
    <n v="29"/>
  </r>
  <r>
    <x v="1"/>
    <x v="2"/>
    <n v="2"/>
    <n v="654"/>
    <n v="19620"/>
    <n v="9"/>
    <n v="51"/>
  </r>
  <r>
    <x v="1"/>
    <x v="2"/>
    <n v="1"/>
    <n v="765"/>
    <n v="22950"/>
    <n v="4"/>
    <n v="43"/>
  </r>
  <r>
    <x v="3"/>
    <x v="0"/>
    <n v="3"/>
    <n v="378"/>
    <n v="26460"/>
    <n v="36"/>
    <n v="35"/>
  </r>
  <r>
    <x v="0"/>
    <x v="2"/>
    <n v="3"/>
    <n v="220"/>
    <n v="12990"/>
    <n v="69"/>
    <n v="70"/>
  </r>
  <r>
    <x v="3"/>
    <x v="0"/>
    <n v="1"/>
    <n v="324"/>
    <n v="22680"/>
    <n v="49"/>
    <n v="45"/>
  </r>
  <r>
    <x v="3"/>
    <x v="0"/>
    <n v="2"/>
    <n v="329"/>
    <n v="23030"/>
    <n v="47"/>
    <n v="41"/>
  </r>
  <r>
    <x v="3"/>
    <x v="0"/>
    <n v="4"/>
    <n v="398"/>
    <n v="27860"/>
    <n v="35"/>
    <n v="31"/>
  </r>
  <r>
    <x v="1"/>
    <x v="3"/>
    <n v="1"/>
    <n v="436"/>
    <n v="35648"/>
    <n v="25"/>
    <n v="14"/>
  </r>
  <r>
    <x v="3"/>
    <x v="3"/>
    <n v="3"/>
    <n v="232"/>
    <n v="11298"/>
    <n v="66"/>
    <n v="74"/>
  </r>
  <r>
    <x v="1"/>
    <x v="3"/>
    <n v="3"/>
    <n v="231"/>
    <n v="23217"/>
    <n v="67"/>
    <n v="40"/>
  </r>
  <r>
    <x v="3"/>
    <x v="3"/>
    <n v="1"/>
    <n v="322"/>
    <n v="18976"/>
    <n v="52"/>
    <n v="53"/>
  </r>
  <r>
    <x v="2"/>
    <x v="3"/>
    <n v="1"/>
    <n v="123"/>
    <n v="7685"/>
    <n v="92"/>
    <n v="95"/>
  </r>
  <r>
    <x v="2"/>
    <x v="3"/>
    <n v="2"/>
    <n v="342"/>
    <n v="23718"/>
    <n v="43"/>
    <n v="39"/>
  </r>
  <r>
    <x v="3"/>
    <x v="1"/>
    <n v="1"/>
    <n v="234"/>
    <n v="14321"/>
    <n v="65"/>
    <n v="66"/>
  </r>
  <r>
    <x v="2"/>
    <x v="3"/>
    <n v="4"/>
    <n v="341"/>
    <n v="26785"/>
    <n v="44"/>
    <n v="32"/>
  </r>
  <r>
    <x v="3"/>
    <x v="2"/>
    <n v="4"/>
    <n v="431"/>
    <n v="32534"/>
    <n v="29"/>
    <n v="16"/>
  </r>
  <r>
    <x v="0"/>
    <x v="3"/>
    <n v="1"/>
    <n v="166"/>
    <n v="8765"/>
    <n v="86"/>
    <n v="91"/>
  </r>
  <r>
    <x v="3"/>
    <x v="1"/>
    <n v="3"/>
    <n v="129"/>
    <n v="9637"/>
    <n v="90"/>
    <n v="85"/>
  </r>
  <r>
    <x v="0"/>
    <x v="3"/>
    <n v="3"/>
    <n v="216"/>
    <n v="10238"/>
    <n v="73"/>
    <n v="83"/>
  </r>
  <r>
    <x v="3"/>
    <x v="2"/>
    <n v="2"/>
    <n v="217"/>
    <n v="20453"/>
    <n v="72"/>
    <n v="50"/>
  </r>
  <r>
    <x v="0"/>
    <x v="3"/>
    <n v="4"/>
    <n v="425"/>
    <n v="20563"/>
    <n v="31"/>
    <n v="49"/>
  </r>
  <r>
    <x v="1"/>
    <x v="3"/>
    <n v="4"/>
    <n v="366"/>
    <n v="29879"/>
    <n v="38"/>
    <n v="22"/>
  </r>
  <r>
    <x v="3"/>
    <x v="3"/>
    <n v="2"/>
    <n v="112"/>
    <n v="8798"/>
    <n v="96"/>
    <n v="90"/>
  </r>
  <r>
    <x v="3"/>
    <x v="3"/>
    <n v="4"/>
    <n v="261"/>
    <n v="11675"/>
    <n v="62"/>
    <n v="73"/>
  </r>
  <r>
    <x v="1"/>
    <x v="3"/>
    <n v="2"/>
    <n v="655"/>
    <n v="45321"/>
    <n v="8"/>
    <n v="8"/>
  </r>
  <r>
    <x v="3"/>
    <x v="1"/>
    <n v="2"/>
    <n v="432"/>
    <n v="32256"/>
    <n v="28"/>
    <n v="17"/>
  </r>
  <r>
    <x v="2"/>
    <x v="2"/>
    <n v="3"/>
    <n v="543"/>
    <n v="16290"/>
    <n v="16"/>
    <n v="59"/>
  </r>
  <r>
    <x v="3"/>
    <x v="1"/>
    <n v="4"/>
    <n v="118"/>
    <n v="8178"/>
    <n v="95"/>
    <n v="94"/>
  </r>
  <r>
    <x v="3"/>
    <x v="2"/>
    <n v="1"/>
    <n v="156"/>
    <n v="10786"/>
    <n v="88"/>
    <n v="79"/>
  </r>
  <r>
    <x v="0"/>
    <x v="3"/>
    <n v="2"/>
    <n v="199"/>
    <n v="9675"/>
    <n v="80"/>
    <n v="84"/>
  </r>
  <r>
    <x v="3"/>
    <x v="2"/>
    <n v="3"/>
    <n v="356"/>
    <n v="29342"/>
    <n v="40"/>
    <n v="24"/>
  </r>
  <r>
    <x v="2"/>
    <x v="3"/>
    <n v="3"/>
    <n v="542"/>
    <n v="41234"/>
    <n v="17"/>
    <n v="11"/>
  </r>
  <r>
    <x v="0"/>
    <x v="2"/>
    <n v="2"/>
    <n v="148"/>
    <n v="9078"/>
    <n v="89"/>
    <n v="89"/>
  </r>
  <r>
    <x v="4"/>
    <x v="1"/>
    <n v="1"/>
    <n v="367"/>
    <n v="10860"/>
    <n v="37"/>
    <n v="78"/>
  </r>
  <r>
    <x v="4"/>
    <x v="0"/>
    <n v="1"/>
    <n v="289"/>
    <n v="14351"/>
    <n v="59"/>
    <n v="64"/>
  </r>
  <r>
    <x v="4"/>
    <x v="0"/>
    <n v="2"/>
    <n v="675"/>
    <n v="50900"/>
    <n v="5"/>
    <n v="4"/>
  </r>
  <r>
    <x v="4"/>
    <x v="1"/>
    <n v="2"/>
    <n v="873"/>
    <n v="17050"/>
    <n v="1"/>
    <n v="57"/>
  </r>
  <r>
    <x v="4"/>
    <x v="2"/>
    <n v="1"/>
    <n v="603"/>
    <n v="49180"/>
    <n v="12"/>
    <n v="5"/>
  </r>
  <r>
    <x v="4"/>
    <x v="1"/>
    <n v="3"/>
    <n v="534"/>
    <n v="25150"/>
    <n v="18"/>
    <n v="37"/>
  </r>
  <r>
    <x v="4"/>
    <x v="0"/>
    <n v="3"/>
    <n v="123"/>
    <n v="9360"/>
    <n v="92"/>
    <n v="88"/>
  </r>
  <r>
    <x v="4"/>
    <x v="2"/>
    <n v="2"/>
    <n v="122"/>
    <n v="14840"/>
    <n v="94"/>
    <n v="62"/>
  </r>
  <r>
    <x v="4"/>
    <x v="0"/>
    <n v="4"/>
    <n v="550"/>
    <n v="26150"/>
    <n v="15"/>
    <n v="36"/>
  </r>
  <r>
    <x v="5"/>
    <x v="1"/>
    <n v="1"/>
    <n v="653"/>
    <n v="50950"/>
    <n v="10"/>
    <n v="3"/>
  </r>
  <r>
    <x v="5"/>
    <x v="2"/>
    <n v="1"/>
    <n v="214"/>
    <n v="28760"/>
    <n v="75"/>
    <n v="27"/>
  </r>
  <r>
    <x v="5"/>
    <x v="2"/>
    <n v="2"/>
    <n v="456"/>
    <n v="12830"/>
    <n v="24"/>
    <n v="71"/>
  </r>
  <r>
    <x v="5"/>
    <x v="3"/>
    <n v="1"/>
    <n v="659"/>
    <n v="28550"/>
    <n v="6"/>
    <n v="28"/>
  </r>
  <r>
    <x v="5"/>
    <x v="3"/>
    <n v="2"/>
    <n v="565"/>
    <n v="19521"/>
    <n v="14"/>
    <n v="52"/>
  </r>
  <r>
    <x v="5"/>
    <x v="3"/>
    <n v="3"/>
    <n v="656"/>
    <n v="22850"/>
    <n v="7"/>
    <n v="44"/>
  </r>
  <r>
    <x v="5"/>
    <x v="3"/>
    <n v="4"/>
    <n v="789"/>
    <n v="26579"/>
    <n v="3"/>
    <n v="33"/>
  </r>
  <r>
    <x v="5"/>
    <x v="1"/>
    <n v="2"/>
    <n v="465"/>
    <n v="22990"/>
    <n v="23"/>
    <n v="42"/>
  </r>
  <r>
    <x v="5"/>
    <x v="0"/>
    <n v="1"/>
    <n v="325"/>
    <n v="18906"/>
    <n v="48"/>
    <n v="54"/>
  </r>
  <r>
    <x v="5"/>
    <x v="1"/>
    <n v="3"/>
    <n v="498"/>
    <n v="21346"/>
    <n v="21"/>
    <n v="48"/>
  </r>
  <r>
    <x v="5"/>
    <x v="1"/>
    <n v="4"/>
    <n v="832"/>
    <n v="45087"/>
    <n v="2"/>
    <n v="9"/>
  </r>
  <r>
    <x v="5"/>
    <x v="2"/>
    <n v="3"/>
    <n v="190"/>
    <n v="29807"/>
    <n v="82"/>
    <n v="23"/>
  </r>
  <r>
    <x v="4"/>
    <x v="3"/>
    <n v="1"/>
    <n v="512"/>
    <n v="36865"/>
    <n v="19"/>
    <n v="13"/>
  </r>
  <r>
    <x v="4"/>
    <x v="3"/>
    <n v="2"/>
    <n v="330"/>
    <n v="31256"/>
    <n v="46"/>
    <n v="19"/>
  </r>
  <r>
    <x v="4"/>
    <x v="1"/>
    <n v="4"/>
    <n v="467"/>
    <n v="64565"/>
    <n v="22"/>
    <n v="2"/>
  </r>
  <r>
    <x v="4"/>
    <x v="2"/>
    <n v="3"/>
    <n v="305"/>
    <n v="48617"/>
    <n v="57"/>
    <n v="7"/>
  </r>
  <r>
    <x v="4"/>
    <x v="3"/>
    <n v="3"/>
    <n v="650"/>
    <n v="78436"/>
    <n v="11"/>
    <n v="1"/>
  </r>
  <r>
    <x v="4"/>
    <x v="2"/>
    <n v="4"/>
    <n v="430"/>
    <n v="42167"/>
    <n v="30"/>
    <n v="10"/>
  </r>
  <r>
    <x v="4"/>
    <x v="3"/>
    <n v="4"/>
    <n v="215"/>
    <n v="30975"/>
    <n v="74"/>
    <n v="20"/>
  </r>
  <r>
    <x v="5"/>
    <x v="2"/>
    <n v="4"/>
    <n v="280"/>
    <n v="28096"/>
    <n v="61"/>
    <n v="30"/>
  </r>
  <r>
    <x v="5"/>
    <x v="0"/>
    <n v="2"/>
    <n v="308"/>
    <n v="31665"/>
    <n v="55"/>
    <n v="18"/>
  </r>
  <r>
    <x v="5"/>
    <x v="0"/>
    <n v="3"/>
    <n v="401"/>
    <n v="39566"/>
    <n v="34"/>
    <n v="12"/>
  </r>
  <r>
    <x v="5"/>
    <x v="0"/>
    <n v="4"/>
    <n v="509"/>
    <n v="48655"/>
    <n v="2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11:N19" firstHeaderRow="1" firstDataRow="2" firstDataCol="1"/>
  <pivotFields count="7">
    <pivotField axis="axisRow" showAll="0">
      <items count="7">
        <item x="1"/>
        <item x="2"/>
        <item x="0"/>
        <item x="3"/>
        <item x="4"/>
        <item x="5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额(万元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H11" sqref="H11"/>
    </sheetView>
  </sheetViews>
  <sheetFormatPr defaultColWidth="8.625" defaultRowHeight="14.25" x14ac:dyDescent="0.15"/>
  <cols>
    <col min="1" max="1" width="12.625" style="5" customWidth="1"/>
    <col min="2" max="2" width="10" style="5" customWidth="1"/>
    <col min="3" max="3" width="16.5" style="5" customWidth="1"/>
    <col min="4" max="4" width="14.5" style="5" customWidth="1"/>
    <col min="5" max="5" width="14.125" style="5" customWidth="1"/>
    <col min="6" max="6" width="8.625" style="5"/>
    <col min="7" max="7" width="12.625" style="5" customWidth="1"/>
    <col min="8" max="8" width="16.875" style="5" customWidth="1"/>
    <col min="9" max="16384" width="8.625" style="5"/>
  </cols>
  <sheetData>
    <row r="1" spans="1:8" ht="15.75" x14ac:dyDescent="0.25">
      <c r="A1" s="29" t="s">
        <v>106</v>
      </c>
      <c r="B1" s="29"/>
      <c r="C1" s="29"/>
      <c r="D1" s="29"/>
      <c r="E1" s="29"/>
    </row>
    <row r="2" spans="1:8" x14ac:dyDescent="0.15">
      <c r="A2" s="6" t="s">
        <v>2</v>
      </c>
      <c r="B2" s="6" t="s">
        <v>16</v>
      </c>
      <c r="C2" s="6" t="s">
        <v>104</v>
      </c>
      <c r="D2" s="6" t="s">
        <v>102</v>
      </c>
      <c r="E2" s="6" t="s">
        <v>18</v>
      </c>
      <c r="G2" s="29" t="s">
        <v>13</v>
      </c>
      <c r="H2" s="29"/>
    </row>
    <row r="3" spans="1:8" ht="15.75" x14ac:dyDescent="0.25">
      <c r="A3" s="8" t="s">
        <v>3</v>
      </c>
      <c r="B3" s="6" t="s">
        <v>35</v>
      </c>
      <c r="C3" s="22">
        <f>VLOOKUP(B3,$G$4:$H$7,2,0)</f>
        <v>0.16</v>
      </c>
      <c r="D3" s="7">
        <v>56</v>
      </c>
      <c r="E3" s="24">
        <f>C3*D3</f>
        <v>8.9600000000000009</v>
      </c>
      <c r="G3" s="9" t="s">
        <v>16</v>
      </c>
      <c r="H3" s="9" t="s">
        <v>103</v>
      </c>
    </row>
    <row r="4" spans="1:8" ht="15.75" x14ac:dyDescent="0.25">
      <c r="A4" s="8" t="s">
        <v>42</v>
      </c>
      <c r="B4" s="6" t="s">
        <v>37</v>
      </c>
      <c r="C4" s="22">
        <f t="shared" ref="C4:C57" si="0">VLOOKUP(B4,$G$4:$H$7,2,0)</f>
        <v>0.27</v>
      </c>
      <c r="D4" s="7">
        <v>123</v>
      </c>
      <c r="E4" s="24">
        <f t="shared" ref="E4:E57" si="1">C4*D4</f>
        <v>33.21</v>
      </c>
      <c r="G4" s="9" t="s">
        <v>14</v>
      </c>
      <c r="H4" s="19">
        <v>0.16</v>
      </c>
    </row>
    <row r="5" spans="1:8" ht="15.75" x14ac:dyDescent="0.25">
      <c r="A5" s="8" t="s">
        <v>43</v>
      </c>
      <c r="B5" s="11" t="s">
        <v>37</v>
      </c>
      <c r="C5" s="22">
        <f t="shared" si="0"/>
        <v>0.27</v>
      </c>
      <c r="D5" s="7">
        <v>58</v>
      </c>
      <c r="E5" s="24">
        <f t="shared" si="1"/>
        <v>15.66</v>
      </c>
      <c r="G5" s="9" t="s">
        <v>15</v>
      </c>
      <c r="H5" s="19">
        <v>0.27</v>
      </c>
    </row>
    <row r="6" spans="1:8" ht="15.75" x14ac:dyDescent="0.25">
      <c r="A6" s="8" t="s">
        <v>43</v>
      </c>
      <c r="B6" s="11" t="s">
        <v>39</v>
      </c>
      <c r="C6" s="22">
        <f t="shared" si="0"/>
        <v>0.87</v>
      </c>
      <c r="D6" s="7">
        <v>109</v>
      </c>
      <c r="E6" s="24">
        <f t="shared" si="1"/>
        <v>94.83</v>
      </c>
      <c r="G6" s="9" t="s">
        <v>17</v>
      </c>
      <c r="H6" s="19">
        <v>0.87</v>
      </c>
    </row>
    <row r="7" spans="1:8" ht="15.75" x14ac:dyDescent="0.25">
      <c r="A7" s="8" t="s">
        <v>44</v>
      </c>
      <c r="B7" s="6" t="s">
        <v>35</v>
      </c>
      <c r="C7" s="22">
        <f t="shared" si="0"/>
        <v>0.16</v>
      </c>
      <c r="D7" s="7">
        <v>91</v>
      </c>
      <c r="E7" s="24">
        <f t="shared" si="1"/>
        <v>14.56</v>
      </c>
      <c r="G7" s="9" t="s">
        <v>67</v>
      </c>
      <c r="H7" s="19">
        <v>0.68</v>
      </c>
    </row>
    <row r="8" spans="1:8" ht="15.75" x14ac:dyDescent="0.25">
      <c r="A8" s="8" t="s">
        <v>44</v>
      </c>
      <c r="B8" s="6" t="s">
        <v>37</v>
      </c>
      <c r="C8" s="22">
        <f t="shared" si="0"/>
        <v>0.27</v>
      </c>
      <c r="D8" s="7">
        <v>45</v>
      </c>
      <c r="E8" s="24">
        <f t="shared" si="1"/>
        <v>12.15</v>
      </c>
    </row>
    <row r="9" spans="1:8" ht="15.75" x14ac:dyDescent="0.25">
      <c r="A9" s="8" t="s">
        <v>44</v>
      </c>
      <c r="B9" s="6" t="s">
        <v>41</v>
      </c>
      <c r="C9" s="22">
        <f t="shared" si="0"/>
        <v>0.68</v>
      </c>
      <c r="D9" s="7">
        <v>63</v>
      </c>
      <c r="E9" s="24">
        <f t="shared" si="1"/>
        <v>42.84</v>
      </c>
      <c r="G9" s="30" t="s">
        <v>105</v>
      </c>
      <c r="H9" s="30"/>
    </row>
    <row r="10" spans="1:8" ht="15.75" x14ac:dyDescent="0.25">
      <c r="A10" s="8" t="s">
        <v>45</v>
      </c>
      <c r="B10" s="12" t="s">
        <v>38</v>
      </c>
      <c r="C10" s="22">
        <f t="shared" si="0"/>
        <v>0.87</v>
      </c>
      <c r="D10" s="7">
        <v>212</v>
      </c>
      <c r="E10" s="24">
        <f t="shared" si="1"/>
        <v>184.44</v>
      </c>
      <c r="G10" s="9" t="s">
        <v>97</v>
      </c>
      <c r="H10" s="9" t="s">
        <v>102</v>
      </c>
    </row>
    <row r="11" spans="1:8" ht="15.75" x14ac:dyDescent="0.25">
      <c r="A11" s="8" t="s">
        <v>46</v>
      </c>
      <c r="B11" s="12" t="s">
        <v>34</v>
      </c>
      <c r="C11" s="22">
        <f t="shared" si="0"/>
        <v>0.16</v>
      </c>
      <c r="D11" s="7">
        <v>51</v>
      </c>
      <c r="E11" s="24">
        <f t="shared" si="1"/>
        <v>8.16</v>
      </c>
      <c r="G11" s="9" t="s">
        <v>98</v>
      </c>
      <c r="H11" s="18">
        <f>SUMIF($B$3:$B$57,G11,$D$3:$D$57)</f>
        <v>1180</v>
      </c>
    </row>
    <row r="12" spans="1:8" ht="15.75" x14ac:dyDescent="0.25">
      <c r="A12" s="8" t="s">
        <v>46</v>
      </c>
      <c r="B12" s="12" t="s">
        <v>40</v>
      </c>
      <c r="C12" s="22">
        <f t="shared" si="0"/>
        <v>0.68</v>
      </c>
      <c r="D12" s="7">
        <v>32</v>
      </c>
      <c r="E12" s="24">
        <f t="shared" si="1"/>
        <v>21.76</v>
      </c>
      <c r="G12" s="15" t="s">
        <v>99</v>
      </c>
      <c r="H12" s="18">
        <f t="shared" ref="H12:H14" si="2">SUMIF($B$3:$B$57,G12,$D$3:$D$57)</f>
        <v>1328</v>
      </c>
    </row>
    <row r="13" spans="1:8" ht="15.75" x14ac:dyDescent="0.25">
      <c r="A13" s="8" t="s">
        <v>47</v>
      </c>
      <c r="B13" s="6" t="s">
        <v>35</v>
      </c>
      <c r="C13" s="22">
        <f t="shared" si="0"/>
        <v>0.16</v>
      </c>
      <c r="D13" s="7">
        <v>45</v>
      </c>
      <c r="E13" s="24">
        <f t="shared" si="1"/>
        <v>7.2</v>
      </c>
      <c r="G13" s="9" t="s">
        <v>100</v>
      </c>
      <c r="H13" s="18">
        <f t="shared" si="2"/>
        <v>1118</v>
      </c>
    </row>
    <row r="14" spans="1:8" ht="15.75" x14ac:dyDescent="0.25">
      <c r="A14" s="8" t="s">
        <v>47</v>
      </c>
      <c r="B14" s="6" t="s">
        <v>37</v>
      </c>
      <c r="C14" s="22">
        <f t="shared" si="0"/>
        <v>0.27</v>
      </c>
      <c r="D14" s="7">
        <v>54</v>
      </c>
      <c r="E14" s="24">
        <f t="shared" si="1"/>
        <v>14.580000000000002</v>
      </c>
      <c r="G14" s="9" t="s">
        <v>101</v>
      </c>
      <c r="H14" s="18">
        <f t="shared" si="2"/>
        <v>1181</v>
      </c>
    </row>
    <row r="15" spans="1:8" ht="15.75" x14ac:dyDescent="0.25">
      <c r="A15" s="8" t="s">
        <v>47</v>
      </c>
      <c r="B15" s="6" t="s">
        <v>41</v>
      </c>
      <c r="C15" s="22">
        <f t="shared" si="0"/>
        <v>0.68</v>
      </c>
      <c r="D15" s="7">
        <v>179</v>
      </c>
      <c r="E15" s="24">
        <f t="shared" si="1"/>
        <v>121.72000000000001</v>
      </c>
      <c r="G15" s="20"/>
      <c r="H15" s="21"/>
    </row>
    <row r="16" spans="1:8" ht="15.75" x14ac:dyDescent="0.25">
      <c r="A16" s="8" t="s">
        <v>48</v>
      </c>
      <c r="B16" s="6" t="s">
        <v>35</v>
      </c>
      <c r="C16" s="22">
        <f t="shared" si="0"/>
        <v>0.16</v>
      </c>
      <c r="D16" s="7">
        <v>39</v>
      </c>
      <c r="E16" s="24">
        <f t="shared" si="1"/>
        <v>6.24</v>
      </c>
      <c r="G16" s="10"/>
      <c r="H16" s="14"/>
    </row>
    <row r="17" spans="1:8" ht="15.75" x14ac:dyDescent="0.25">
      <c r="A17" s="8" t="s">
        <v>48</v>
      </c>
      <c r="B17" s="6" t="s">
        <v>39</v>
      </c>
      <c r="C17" s="22">
        <f t="shared" si="0"/>
        <v>0.87</v>
      </c>
      <c r="D17" s="7">
        <v>65</v>
      </c>
      <c r="E17" s="24">
        <f t="shared" si="1"/>
        <v>56.55</v>
      </c>
      <c r="G17" s="13"/>
      <c r="H17" s="14"/>
    </row>
    <row r="18" spans="1:8" ht="15.75" x14ac:dyDescent="0.25">
      <c r="A18" s="8" t="s">
        <v>49</v>
      </c>
      <c r="B18" s="12" t="s">
        <v>36</v>
      </c>
      <c r="C18" s="22">
        <f t="shared" si="0"/>
        <v>0.27</v>
      </c>
      <c r="D18" s="7">
        <v>59</v>
      </c>
      <c r="E18" s="24">
        <f t="shared" si="1"/>
        <v>15.930000000000001</v>
      </c>
    </row>
    <row r="19" spans="1:8" ht="15.75" x14ac:dyDescent="0.25">
      <c r="A19" s="8" t="s">
        <v>49</v>
      </c>
      <c r="B19" s="12" t="s">
        <v>40</v>
      </c>
      <c r="C19" s="22">
        <f t="shared" si="0"/>
        <v>0.68</v>
      </c>
      <c r="D19" s="7">
        <v>156</v>
      </c>
      <c r="E19" s="24">
        <f t="shared" si="1"/>
        <v>106.08000000000001</v>
      </c>
    </row>
    <row r="20" spans="1:8" ht="15.75" x14ac:dyDescent="0.25">
      <c r="A20" s="8" t="s">
        <v>50</v>
      </c>
      <c r="B20" s="12" t="s">
        <v>34</v>
      </c>
      <c r="C20" s="22">
        <f t="shared" si="0"/>
        <v>0.16</v>
      </c>
      <c r="D20" s="7">
        <v>57</v>
      </c>
      <c r="E20" s="24">
        <f t="shared" si="1"/>
        <v>9.120000000000001</v>
      </c>
    </row>
    <row r="21" spans="1:8" ht="15.75" x14ac:dyDescent="0.25">
      <c r="A21" s="8" t="s">
        <v>50</v>
      </c>
      <c r="B21" s="12" t="s">
        <v>36</v>
      </c>
      <c r="C21" s="22">
        <f t="shared" si="0"/>
        <v>0.27</v>
      </c>
      <c r="D21" s="7">
        <v>159</v>
      </c>
      <c r="E21" s="24">
        <f t="shared" si="1"/>
        <v>42.93</v>
      </c>
    </row>
    <row r="22" spans="1:8" ht="15.75" x14ac:dyDescent="0.25">
      <c r="A22" s="8" t="s">
        <v>51</v>
      </c>
      <c r="B22" s="12" t="s">
        <v>38</v>
      </c>
      <c r="C22" s="22">
        <f t="shared" si="0"/>
        <v>0.87</v>
      </c>
      <c r="D22" s="7">
        <v>61</v>
      </c>
      <c r="E22" s="24">
        <f t="shared" si="1"/>
        <v>53.07</v>
      </c>
    </row>
    <row r="23" spans="1:8" ht="15.75" x14ac:dyDescent="0.25">
      <c r="A23" s="8" t="s">
        <v>51</v>
      </c>
      <c r="B23" s="12" t="s">
        <v>36</v>
      </c>
      <c r="C23" s="22">
        <f t="shared" si="0"/>
        <v>0.27</v>
      </c>
      <c r="D23" s="7">
        <v>45</v>
      </c>
      <c r="E23" s="24">
        <f t="shared" si="1"/>
        <v>12.15</v>
      </c>
    </row>
    <row r="24" spans="1:8" ht="15.75" x14ac:dyDescent="0.25">
      <c r="A24" s="8" t="s">
        <v>51</v>
      </c>
      <c r="B24" s="12" t="s">
        <v>40</v>
      </c>
      <c r="C24" s="22">
        <f t="shared" si="0"/>
        <v>0.68</v>
      </c>
      <c r="D24" s="7">
        <v>54</v>
      </c>
      <c r="E24" s="24">
        <f t="shared" si="1"/>
        <v>36.720000000000006</v>
      </c>
    </row>
    <row r="25" spans="1:8" ht="15.75" x14ac:dyDescent="0.25">
      <c r="A25" s="8" t="s">
        <v>52</v>
      </c>
      <c r="B25" s="12" t="s">
        <v>34</v>
      </c>
      <c r="C25" s="22">
        <f t="shared" si="0"/>
        <v>0.16</v>
      </c>
      <c r="D25" s="7">
        <v>79</v>
      </c>
      <c r="E25" s="24">
        <f t="shared" si="1"/>
        <v>12.64</v>
      </c>
    </row>
    <row r="26" spans="1:8" ht="15.75" x14ac:dyDescent="0.25">
      <c r="A26" s="8" t="s">
        <v>52</v>
      </c>
      <c r="B26" s="12" t="s">
        <v>38</v>
      </c>
      <c r="C26" s="22">
        <f t="shared" si="0"/>
        <v>0.87</v>
      </c>
      <c r="D26" s="7">
        <v>39</v>
      </c>
      <c r="E26" s="24">
        <f t="shared" si="1"/>
        <v>33.93</v>
      </c>
    </row>
    <row r="27" spans="1:8" ht="15.75" x14ac:dyDescent="0.25">
      <c r="A27" s="8" t="s">
        <v>53</v>
      </c>
      <c r="B27" s="6" t="s">
        <v>35</v>
      </c>
      <c r="C27" s="22">
        <f t="shared" si="0"/>
        <v>0.16</v>
      </c>
      <c r="D27" s="7">
        <v>165</v>
      </c>
      <c r="E27" s="24">
        <f t="shared" si="1"/>
        <v>26.400000000000002</v>
      </c>
    </row>
    <row r="28" spans="1:8" ht="15.75" x14ac:dyDescent="0.25">
      <c r="A28" s="8" t="s">
        <v>53</v>
      </c>
      <c r="B28" s="6" t="s">
        <v>37</v>
      </c>
      <c r="C28" s="22">
        <f t="shared" si="0"/>
        <v>0.27</v>
      </c>
      <c r="D28" s="7">
        <v>59</v>
      </c>
      <c r="E28" s="24">
        <f t="shared" si="1"/>
        <v>15.930000000000001</v>
      </c>
    </row>
    <row r="29" spans="1:8" ht="15.75" x14ac:dyDescent="0.25">
      <c r="A29" s="8" t="s">
        <v>54</v>
      </c>
      <c r="B29" s="6" t="s">
        <v>37</v>
      </c>
      <c r="C29" s="22">
        <f t="shared" si="0"/>
        <v>0.27</v>
      </c>
      <c r="D29" s="7">
        <v>56</v>
      </c>
      <c r="E29" s="24">
        <f t="shared" si="1"/>
        <v>15.120000000000001</v>
      </c>
    </row>
    <row r="30" spans="1:8" ht="15.75" x14ac:dyDescent="0.25">
      <c r="A30" s="8" t="s">
        <v>54</v>
      </c>
      <c r="B30" s="6" t="s">
        <v>39</v>
      </c>
      <c r="C30" s="22">
        <f t="shared" si="0"/>
        <v>0.87</v>
      </c>
      <c r="D30" s="7">
        <v>57</v>
      </c>
      <c r="E30" s="24">
        <f t="shared" si="1"/>
        <v>49.589999999999996</v>
      </c>
    </row>
    <row r="31" spans="1:8" ht="15.75" x14ac:dyDescent="0.25">
      <c r="A31" s="8" t="s">
        <v>55</v>
      </c>
      <c r="B31" s="6" t="s">
        <v>35</v>
      </c>
      <c r="C31" s="22">
        <f t="shared" si="0"/>
        <v>0.16</v>
      </c>
      <c r="D31" s="7">
        <v>59</v>
      </c>
      <c r="E31" s="24">
        <f t="shared" si="1"/>
        <v>9.44</v>
      </c>
    </row>
    <row r="32" spans="1:8" ht="15.75" x14ac:dyDescent="0.25">
      <c r="A32" s="8" t="s">
        <v>55</v>
      </c>
      <c r="B32" s="6" t="s">
        <v>41</v>
      </c>
      <c r="C32" s="22">
        <f t="shared" si="0"/>
        <v>0.68</v>
      </c>
      <c r="D32" s="7">
        <v>161</v>
      </c>
      <c r="E32" s="24">
        <f t="shared" si="1"/>
        <v>109.48</v>
      </c>
    </row>
    <row r="33" spans="1:5" ht="15.75" x14ac:dyDescent="0.25">
      <c r="A33" s="8" t="s">
        <v>56</v>
      </c>
      <c r="B33" s="6" t="s">
        <v>39</v>
      </c>
      <c r="C33" s="22">
        <f t="shared" si="0"/>
        <v>0.87</v>
      </c>
      <c r="D33" s="7">
        <v>34</v>
      </c>
      <c r="E33" s="24">
        <f t="shared" si="1"/>
        <v>29.58</v>
      </c>
    </row>
    <row r="34" spans="1:5" ht="15.75" x14ac:dyDescent="0.25">
      <c r="A34" s="8" t="s">
        <v>57</v>
      </c>
      <c r="B34" s="12" t="s">
        <v>38</v>
      </c>
      <c r="C34" s="22">
        <f t="shared" si="0"/>
        <v>0.87</v>
      </c>
      <c r="D34" s="7">
        <v>67</v>
      </c>
      <c r="E34" s="24">
        <f t="shared" si="1"/>
        <v>58.29</v>
      </c>
    </row>
    <row r="35" spans="1:5" ht="15.75" x14ac:dyDescent="0.25">
      <c r="A35" s="8" t="s">
        <v>57</v>
      </c>
      <c r="B35" s="12" t="s">
        <v>40</v>
      </c>
      <c r="C35" s="22">
        <f t="shared" si="0"/>
        <v>0.68</v>
      </c>
      <c r="D35" s="7">
        <v>45</v>
      </c>
      <c r="E35" s="24">
        <f t="shared" si="1"/>
        <v>30.6</v>
      </c>
    </row>
    <row r="36" spans="1:5" ht="15.75" x14ac:dyDescent="0.25">
      <c r="A36" s="8" t="s">
        <v>58</v>
      </c>
      <c r="B36" s="6" t="s">
        <v>35</v>
      </c>
      <c r="C36" s="22">
        <f t="shared" si="0"/>
        <v>0.16</v>
      </c>
      <c r="D36" s="7">
        <v>62</v>
      </c>
      <c r="E36" s="24">
        <f t="shared" si="1"/>
        <v>9.92</v>
      </c>
    </row>
    <row r="37" spans="1:5" ht="15.75" x14ac:dyDescent="0.25">
      <c r="A37" s="8" t="s">
        <v>58</v>
      </c>
      <c r="B37" s="6" t="s">
        <v>37</v>
      </c>
      <c r="C37" s="22">
        <f t="shared" si="0"/>
        <v>0.27</v>
      </c>
      <c r="D37" s="7">
        <v>89</v>
      </c>
      <c r="E37" s="24">
        <f t="shared" si="1"/>
        <v>24.03</v>
      </c>
    </row>
    <row r="38" spans="1:5" ht="15.75" x14ac:dyDescent="0.25">
      <c r="A38" s="8" t="s">
        <v>59</v>
      </c>
      <c r="B38" s="12" t="s">
        <v>36</v>
      </c>
      <c r="C38" s="22">
        <f t="shared" si="0"/>
        <v>0.27</v>
      </c>
      <c r="D38" s="7">
        <v>112</v>
      </c>
      <c r="E38" s="24">
        <f t="shared" si="1"/>
        <v>30.240000000000002</v>
      </c>
    </row>
    <row r="39" spans="1:5" ht="15.75" x14ac:dyDescent="0.25">
      <c r="A39" s="8" t="s">
        <v>59</v>
      </c>
      <c r="B39" s="6" t="s">
        <v>39</v>
      </c>
      <c r="C39" s="22">
        <f t="shared" si="0"/>
        <v>0.87</v>
      </c>
      <c r="D39" s="7">
        <v>28</v>
      </c>
      <c r="E39" s="24">
        <f t="shared" si="1"/>
        <v>24.36</v>
      </c>
    </row>
    <row r="40" spans="1:5" ht="15.75" x14ac:dyDescent="0.25">
      <c r="A40" s="8" t="s">
        <v>59</v>
      </c>
      <c r="B40" s="12" t="s">
        <v>40</v>
      </c>
      <c r="C40" s="22">
        <f t="shared" si="0"/>
        <v>0.68</v>
      </c>
      <c r="D40" s="7">
        <v>52</v>
      </c>
      <c r="E40" s="24">
        <f t="shared" si="1"/>
        <v>35.36</v>
      </c>
    </row>
    <row r="41" spans="1:5" ht="15.75" x14ac:dyDescent="0.25">
      <c r="A41" s="8" t="s">
        <v>60</v>
      </c>
      <c r="B41" s="12" t="s">
        <v>34</v>
      </c>
      <c r="C41" s="22">
        <f t="shared" si="0"/>
        <v>0.16</v>
      </c>
      <c r="D41" s="7">
        <v>59</v>
      </c>
      <c r="E41" s="24">
        <f t="shared" si="1"/>
        <v>9.44</v>
      </c>
    </row>
    <row r="42" spans="1:5" ht="15.75" x14ac:dyDescent="0.25">
      <c r="A42" s="8" t="s">
        <v>60</v>
      </c>
      <c r="B42" s="12" t="s">
        <v>36</v>
      </c>
      <c r="C42" s="22">
        <f t="shared" si="0"/>
        <v>0.27</v>
      </c>
      <c r="D42" s="7">
        <v>46</v>
      </c>
      <c r="E42" s="24">
        <f t="shared" si="1"/>
        <v>12.420000000000002</v>
      </c>
    </row>
    <row r="43" spans="1:5" ht="15.75" x14ac:dyDescent="0.25">
      <c r="A43" s="8" t="s">
        <v>60</v>
      </c>
      <c r="B43" s="12" t="s">
        <v>38</v>
      </c>
      <c r="C43" s="22">
        <f t="shared" si="0"/>
        <v>0.87</v>
      </c>
      <c r="D43" s="7">
        <v>123</v>
      </c>
      <c r="E43" s="24">
        <f t="shared" si="1"/>
        <v>107.01</v>
      </c>
    </row>
    <row r="44" spans="1:5" ht="15.75" x14ac:dyDescent="0.25">
      <c r="A44" s="8" t="s">
        <v>61</v>
      </c>
      <c r="B44" s="12" t="s">
        <v>36</v>
      </c>
      <c r="C44" s="22">
        <f t="shared" si="0"/>
        <v>0.27</v>
      </c>
      <c r="D44" s="7">
        <v>68</v>
      </c>
      <c r="E44" s="24">
        <f t="shared" si="1"/>
        <v>18.36</v>
      </c>
    </row>
    <row r="45" spans="1:5" ht="15.75" x14ac:dyDescent="0.25">
      <c r="A45" s="8" t="s">
        <v>61</v>
      </c>
      <c r="B45" s="6" t="s">
        <v>41</v>
      </c>
      <c r="C45" s="22">
        <f t="shared" si="0"/>
        <v>0.68</v>
      </c>
      <c r="D45" s="7">
        <v>93</v>
      </c>
      <c r="E45" s="24">
        <f t="shared" si="1"/>
        <v>63.24</v>
      </c>
    </row>
    <row r="46" spans="1:5" ht="15.75" x14ac:dyDescent="0.25">
      <c r="A46" s="8" t="s">
        <v>62</v>
      </c>
      <c r="B46" s="12" t="s">
        <v>34</v>
      </c>
      <c r="C46" s="22">
        <f t="shared" si="0"/>
        <v>0.16</v>
      </c>
      <c r="D46" s="7">
        <v>78</v>
      </c>
      <c r="E46" s="24">
        <f t="shared" si="1"/>
        <v>12.48</v>
      </c>
    </row>
    <row r="47" spans="1:5" ht="15.75" x14ac:dyDescent="0.25">
      <c r="A47" s="8" t="s">
        <v>62</v>
      </c>
      <c r="B47" s="6" t="s">
        <v>37</v>
      </c>
      <c r="C47" s="22">
        <f t="shared" si="0"/>
        <v>0.27</v>
      </c>
      <c r="D47" s="7">
        <v>154</v>
      </c>
      <c r="E47" s="24">
        <f t="shared" si="1"/>
        <v>41.580000000000005</v>
      </c>
    </row>
    <row r="48" spans="1:5" ht="15.75" x14ac:dyDescent="0.25">
      <c r="A48" s="8" t="s">
        <v>62</v>
      </c>
      <c r="B48" s="12" t="s">
        <v>40</v>
      </c>
      <c r="C48" s="22">
        <f t="shared" si="0"/>
        <v>0.68</v>
      </c>
      <c r="D48" s="7">
        <v>135</v>
      </c>
      <c r="E48" s="24">
        <f t="shared" si="1"/>
        <v>91.800000000000011</v>
      </c>
    </row>
    <row r="49" spans="1:5" ht="15.75" x14ac:dyDescent="0.25">
      <c r="A49" s="8" t="s">
        <v>63</v>
      </c>
      <c r="B49" s="12" t="s">
        <v>34</v>
      </c>
      <c r="C49" s="22">
        <f t="shared" si="0"/>
        <v>0.16</v>
      </c>
      <c r="D49" s="7">
        <v>98</v>
      </c>
      <c r="E49" s="24">
        <f t="shared" si="1"/>
        <v>15.68</v>
      </c>
    </row>
    <row r="50" spans="1:5" ht="15.75" x14ac:dyDescent="0.25">
      <c r="A50" s="8" t="s">
        <v>63</v>
      </c>
      <c r="B50" s="12" t="s">
        <v>38</v>
      </c>
      <c r="C50" s="22">
        <f t="shared" si="0"/>
        <v>0.87</v>
      </c>
      <c r="D50" s="7">
        <v>102</v>
      </c>
      <c r="E50" s="24">
        <f t="shared" si="1"/>
        <v>88.74</v>
      </c>
    </row>
    <row r="51" spans="1:5" ht="15.75" x14ac:dyDescent="0.25">
      <c r="A51" s="8" t="s">
        <v>64</v>
      </c>
      <c r="B51" s="12" t="s">
        <v>36</v>
      </c>
      <c r="C51" s="22">
        <f t="shared" si="0"/>
        <v>0.27</v>
      </c>
      <c r="D51" s="7">
        <v>201</v>
      </c>
      <c r="E51" s="24">
        <f t="shared" si="1"/>
        <v>54.27</v>
      </c>
    </row>
    <row r="52" spans="1:5" ht="15.75" x14ac:dyDescent="0.25">
      <c r="A52" s="8" t="s">
        <v>64</v>
      </c>
      <c r="B52" s="6" t="s">
        <v>39</v>
      </c>
      <c r="C52" s="22">
        <f t="shared" si="0"/>
        <v>0.87</v>
      </c>
      <c r="D52" s="7">
        <v>48</v>
      </c>
      <c r="E52" s="24">
        <f t="shared" si="1"/>
        <v>41.76</v>
      </c>
    </row>
    <row r="53" spans="1:5" ht="15.75" x14ac:dyDescent="0.25">
      <c r="A53" s="8" t="s">
        <v>64</v>
      </c>
      <c r="B53" s="12" t="s">
        <v>40</v>
      </c>
      <c r="C53" s="22">
        <f t="shared" si="0"/>
        <v>0.68</v>
      </c>
      <c r="D53" s="7">
        <v>211</v>
      </c>
      <c r="E53" s="24">
        <f t="shared" si="1"/>
        <v>143.48000000000002</v>
      </c>
    </row>
    <row r="54" spans="1:5" ht="15.75" x14ac:dyDescent="0.25">
      <c r="A54" s="8" t="s">
        <v>65</v>
      </c>
      <c r="B54" s="12" t="s">
        <v>34</v>
      </c>
      <c r="C54" s="22">
        <f t="shared" si="0"/>
        <v>0.16</v>
      </c>
      <c r="D54" s="7">
        <v>152</v>
      </c>
      <c r="E54" s="24">
        <f t="shared" si="1"/>
        <v>24.32</v>
      </c>
    </row>
    <row r="55" spans="1:5" ht="15.75" x14ac:dyDescent="0.25">
      <c r="A55" s="8" t="s">
        <v>65</v>
      </c>
      <c r="B55" s="12" t="s">
        <v>38</v>
      </c>
      <c r="C55" s="22">
        <f t="shared" si="0"/>
        <v>0.87</v>
      </c>
      <c r="D55" s="7">
        <v>91</v>
      </c>
      <c r="E55" s="24">
        <f t="shared" si="1"/>
        <v>79.17</v>
      </c>
    </row>
    <row r="56" spans="1:5" ht="15.75" x14ac:dyDescent="0.25">
      <c r="A56" s="8" t="s">
        <v>33</v>
      </c>
      <c r="B56" s="6" t="s">
        <v>35</v>
      </c>
      <c r="C56" s="22">
        <f t="shared" si="0"/>
        <v>0.16</v>
      </c>
      <c r="D56" s="7">
        <v>89</v>
      </c>
      <c r="E56" s="24">
        <f t="shared" si="1"/>
        <v>14.24</v>
      </c>
    </row>
    <row r="57" spans="1:5" ht="15.75" x14ac:dyDescent="0.25">
      <c r="A57" s="8" t="s">
        <v>66</v>
      </c>
      <c r="B57" s="6" t="s">
        <v>39</v>
      </c>
      <c r="C57" s="22">
        <f t="shared" si="0"/>
        <v>0.87</v>
      </c>
      <c r="D57" s="7">
        <v>82</v>
      </c>
      <c r="E57" s="24">
        <f t="shared" si="1"/>
        <v>71.34</v>
      </c>
    </row>
    <row r="58" spans="1:5" x14ac:dyDescent="0.15">
      <c r="D58" s="16"/>
      <c r="E58" s="17"/>
    </row>
  </sheetData>
  <sortState ref="A3:F57">
    <sortCondition ref="A3:A57"/>
  </sortState>
  <mergeCells count="3">
    <mergeCell ref="G2:H2"/>
    <mergeCell ref="G9:H9"/>
    <mergeCell ref="A1:E1"/>
  </mergeCells>
  <phoneticPr fontId="1" type="noConversion"/>
  <conditionalFormatting sqref="D3:D12">
    <cfRule type="cellIs" dxfId="2" priority="7" stopIfTrue="1" operator="greaterThanOrEqual">
      <formula>130</formula>
    </cfRule>
  </conditionalFormatting>
  <conditionalFormatting sqref="D33:D42">
    <cfRule type="cellIs" dxfId="1" priority="5" stopIfTrue="1" operator="greaterThanOrEqual">
      <formula>130</formula>
    </cfRule>
  </conditionalFormatting>
  <conditionalFormatting sqref="D14 D24">
    <cfRule type="cellIs" dxfId="0" priority="6" stopIfTrue="1" operator="greaterThanOrEqual">
      <formula>130</formula>
    </cfRule>
  </conditionalFormatting>
  <conditionalFormatting sqref="E3:E5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{E2935028-2697-4F07-BFF8-AF2E26240E2E}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935028-2697-4F07-BFF8-AF2E26240E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16" zoomScaleNormal="100" workbookViewId="0">
      <selection activeCell="E45" sqref="E45"/>
    </sheetView>
  </sheetViews>
  <sheetFormatPr defaultRowHeight="14.25" x14ac:dyDescent="0.15"/>
  <cols>
    <col min="1" max="1" width="8.5" customWidth="1"/>
    <col min="2" max="2" width="17.125" customWidth="1"/>
    <col min="3" max="3" width="9.375" customWidth="1"/>
  </cols>
  <sheetData>
    <row r="1" spans="1:3" x14ac:dyDescent="0.15">
      <c r="A1" s="6" t="s">
        <v>68</v>
      </c>
      <c r="B1" s="6" t="s">
        <v>107</v>
      </c>
      <c r="C1" s="6" t="s">
        <v>69</v>
      </c>
    </row>
    <row r="2" spans="1:3" x14ac:dyDescent="0.15">
      <c r="A2" s="6" t="s">
        <v>70</v>
      </c>
      <c r="B2" s="25">
        <f>SUMIF(员工销售情况表!$A$3:$A$57,A2,员工销售情况表!$E$3:$E$57)</f>
        <v>42.17</v>
      </c>
      <c r="C2" s="23">
        <f>_xlfn.RANK.EQ(B2,$B$2:$B$26,0)</f>
        <v>22</v>
      </c>
    </row>
    <row r="3" spans="1:3" x14ac:dyDescent="0.15">
      <c r="A3" s="6" t="s">
        <v>4</v>
      </c>
      <c r="B3" s="25">
        <f>SUMIF(员工销售情况表!$A$3:$A$57,A3,员工销售情况表!$E$3:$E$57)</f>
        <v>110.49</v>
      </c>
      <c r="C3" s="23">
        <f t="shared" ref="C3:C26" si="0">_xlfn.RANK.EQ(B3,$B$2:$B$26,0)</f>
        <v>8</v>
      </c>
    </row>
    <row r="4" spans="1:3" x14ac:dyDescent="0.15">
      <c r="A4" s="6" t="s">
        <v>5</v>
      </c>
      <c r="B4" s="25">
        <f>SUMIF(员工销售情况表!$A$3:$A$57,A4,员工销售情况表!$E$3:$E$57)</f>
        <v>69.550000000000011</v>
      </c>
      <c r="C4" s="23">
        <f t="shared" si="0"/>
        <v>16</v>
      </c>
    </row>
    <row r="5" spans="1:3" x14ac:dyDescent="0.15">
      <c r="A5" s="6" t="s">
        <v>6</v>
      </c>
      <c r="B5" s="25">
        <f>SUMIF(员工销售情况表!$A$3:$A$57,A5,员工销售情况表!$E$3:$E$57)</f>
        <v>184.44</v>
      </c>
      <c r="C5" s="23">
        <f t="shared" si="0"/>
        <v>2</v>
      </c>
    </row>
    <row r="6" spans="1:3" x14ac:dyDescent="0.15">
      <c r="A6" s="6" t="s">
        <v>7</v>
      </c>
      <c r="B6" s="25">
        <f>SUMIF(员工销售情况表!$A$3:$A$57,A6,员工销售情况表!$E$3:$E$57)</f>
        <v>29.92</v>
      </c>
      <c r="C6" s="23">
        <f t="shared" si="0"/>
        <v>24</v>
      </c>
    </row>
    <row r="7" spans="1:3" x14ac:dyDescent="0.15">
      <c r="A7" s="6" t="s">
        <v>8</v>
      </c>
      <c r="B7" s="25">
        <f>SUMIF(员工销售情况表!$A$3:$A$57,A7,员工销售情况表!$E$3:$E$57)</f>
        <v>143.5</v>
      </c>
      <c r="C7" s="23">
        <f t="shared" si="0"/>
        <v>4</v>
      </c>
    </row>
    <row r="8" spans="1:3" x14ac:dyDescent="0.15">
      <c r="A8" s="6" t="s">
        <v>9</v>
      </c>
      <c r="B8" s="25">
        <f>SUMIF(员工销售情况表!$A$3:$A$57,A8,员工销售情况表!$E$3:$E$57)</f>
        <v>62.79</v>
      </c>
      <c r="C8" s="23">
        <f t="shared" si="0"/>
        <v>18</v>
      </c>
    </row>
    <row r="9" spans="1:3" x14ac:dyDescent="0.15">
      <c r="A9" s="6" t="s">
        <v>10</v>
      </c>
      <c r="B9" s="25">
        <f>SUMIF(员工销售情况表!$A$3:$A$57,A9,员工销售情况表!$E$3:$E$57)</f>
        <v>122.01000000000002</v>
      </c>
      <c r="C9" s="23">
        <f t="shared" si="0"/>
        <v>6</v>
      </c>
    </row>
    <row r="10" spans="1:3" x14ac:dyDescent="0.15">
      <c r="A10" s="6" t="s">
        <v>11</v>
      </c>
      <c r="B10" s="25">
        <f>SUMIF(员工销售情况表!$A$3:$A$57,A10,员工销售情况表!$E$3:$E$57)</f>
        <v>52.05</v>
      </c>
      <c r="C10" s="23">
        <f t="shared" si="0"/>
        <v>19</v>
      </c>
    </row>
    <row r="11" spans="1:3" x14ac:dyDescent="0.15">
      <c r="A11" s="6" t="s">
        <v>12</v>
      </c>
      <c r="B11" s="25">
        <f>SUMIF(员工销售情况表!$A$3:$A$57,A11,员工销售情况表!$E$3:$E$57)</f>
        <v>101.94</v>
      </c>
      <c r="C11" s="23">
        <f t="shared" si="0"/>
        <v>11</v>
      </c>
    </row>
    <row r="12" spans="1:3" x14ac:dyDescent="0.15">
      <c r="A12" s="6" t="s">
        <v>19</v>
      </c>
      <c r="B12" s="25">
        <f>SUMIF(员工销售情况表!$A$3:$A$57,A12,员工销售情况表!$E$3:$E$57)</f>
        <v>46.57</v>
      </c>
      <c r="C12" s="23">
        <f t="shared" si="0"/>
        <v>20</v>
      </c>
    </row>
    <row r="13" spans="1:3" x14ac:dyDescent="0.15">
      <c r="A13" s="6" t="s">
        <v>20</v>
      </c>
      <c r="B13" s="25">
        <f>SUMIF(员工销售情况表!$A$3:$A$57,A13,员工销售情况表!$E$3:$E$57)</f>
        <v>42.330000000000005</v>
      </c>
      <c r="C13" s="23">
        <f t="shared" si="0"/>
        <v>21</v>
      </c>
    </row>
    <row r="14" spans="1:3" x14ac:dyDescent="0.15">
      <c r="A14" s="6" t="s">
        <v>21</v>
      </c>
      <c r="B14" s="25">
        <f>SUMIF(员工销售情况表!$A$3:$A$57,A14,员工销售情况表!$E$3:$E$57)</f>
        <v>64.709999999999994</v>
      </c>
      <c r="C14" s="23">
        <f t="shared" si="0"/>
        <v>17</v>
      </c>
    </row>
    <row r="15" spans="1:3" x14ac:dyDescent="0.15">
      <c r="A15" s="6" t="s">
        <v>22</v>
      </c>
      <c r="B15" s="25">
        <f>SUMIF(员工销售情况表!$A$3:$A$57,A15,员工销售情况表!$E$3:$E$57)</f>
        <v>118.92</v>
      </c>
      <c r="C15" s="23">
        <f t="shared" si="0"/>
        <v>7</v>
      </c>
    </row>
    <row r="16" spans="1:3" x14ac:dyDescent="0.15">
      <c r="A16" s="6" t="s">
        <v>23</v>
      </c>
      <c r="B16" s="25">
        <f>SUMIF(员工销售情况表!$A$3:$A$57,A16,员工销售情况表!$E$3:$E$57)</f>
        <v>29.58</v>
      </c>
      <c r="C16" s="23">
        <f t="shared" si="0"/>
        <v>25</v>
      </c>
    </row>
    <row r="17" spans="1:3" x14ac:dyDescent="0.15">
      <c r="A17" s="6" t="s">
        <v>24</v>
      </c>
      <c r="B17" s="25">
        <f>SUMIF(员工销售情况表!$A$3:$A$57,A17,员工销售情况表!$E$3:$E$57)</f>
        <v>88.89</v>
      </c>
      <c r="C17" s="23">
        <f t="shared" si="0"/>
        <v>13</v>
      </c>
    </row>
    <row r="18" spans="1:3" x14ac:dyDescent="0.15">
      <c r="A18" s="6" t="s">
        <v>25</v>
      </c>
      <c r="B18" s="25">
        <f>SUMIF(员工销售情况表!$A$3:$A$57,A18,员工销售情况表!$E$3:$E$57)</f>
        <v>33.950000000000003</v>
      </c>
      <c r="C18" s="23">
        <f t="shared" si="0"/>
        <v>23</v>
      </c>
    </row>
    <row r="19" spans="1:3" x14ac:dyDescent="0.15">
      <c r="A19" s="6" t="s">
        <v>26</v>
      </c>
      <c r="B19" s="25">
        <f>SUMIF(员工销售情况表!$A$3:$A$57,A19,员工销售情况表!$E$3:$E$57)</f>
        <v>89.960000000000008</v>
      </c>
      <c r="C19" s="23">
        <f t="shared" si="0"/>
        <v>12</v>
      </c>
    </row>
    <row r="20" spans="1:3" x14ac:dyDescent="0.15">
      <c r="A20" s="6" t="s">
        <v>27</v>
      </c>
      <c r="B20" s="25">
        <f>SUMIF(员工销售情况表!$A$3:$A$57,A20,员工销售情况表!$E$3:$E$57)</f>
        <v>128.87</v>
      </c>
      <c r="C20" s="23">
        <f t="shared" si="0"/>
        <v>5</v>
      </c>
    </row>
    <row r="21" spans="1:3" x14ac:dyDescent="0.15">
      <c r="A21" s="6" t="s">
        <v>28</v>
      </c>
      <c r="B21" s="25">
        <f>SUMIF(员工销售情况表!$A$3:$A$57,A21,员工销售情况表!$E$3:$E$57)</f>
        <v>81.599999999999994</v>
      </c>
      <c r="C21" s="23">
        <f t="shared" si="0"/>
        <v>15</v>
      </c>
    </row>
    <row r="22" spans="1:3" x14ac:dyDescent="0.15">
      <c r="A22" s="6" t="s">
        <v>29</v>
      </c>
      <c r="B22" s="25">
        <f>SUMIF(员工销售情况表!$A$3:$A$57,A22,员工销售情况表!$E$3:$E$57)</f>
        <v>145.86000000000001</v>
      </c>
      <c r="C22" s="23">
        <f t="shared" si="0"/>
        <v>3</v>
      </c>
    </row>
    <row r="23" spans="1:3" x14ac:dyDescent="0.15">
      <c r="A23" s="6" t="s">
        <v>30</v>
      </c>
      <c r="B23" s="25">
        <f>SUMIF(员工销售情况表!$A$3:$A$57,A23,员工销售情况表!$E$3:$E$57)</f>
        <v>104.41999999999999</v>
      </c>
      <c r="C23" s="23">
        <f t="shared" si="0"/>
        <v>9</v>
      </c>
    </row>
    <row r="24" spans="1:3" x14ac:dyDescent="0.15">
      <c r="A24" s="6" t="s">
        <v>31</v>
      </c>
      <c r="B24" s="25">
        <f>SUMIF(员工销售情况表!$A$3:$A$57,A24,员工销售情况表!$E$3:$E$57)</f>
        <v>239.51000000000002</v>
      </c>
      <c r="C24" s="23">
        <f t="shared" si="0"/>
        <v>1</v>
      </c>
    </row>
    <row r="25" spans="1:3" x14ac:dyDescent="0.15">
      <c r="A25" s="6" t="s">
        <v>32</v>
      </c>
      <c r="B25" s="25">
        <f>SUMIF(员工销售情况表!$A$3:$A$57,A25,员工销售情况表!$E$3:$E$57)</f>
        <v>103.49000000000001</v>
      </c>
      <c r="C25" s="23">
        <f t="shared" si="0"/>
        <v>10</v>
      </c>
    </row>
    <row r="26" spans="1:3" x14ac:dyDescent="0.15">
      <c r="A26" s="6" t="s">
        <v>33</v>
      </c>
      <c r="B26" s="25">
        <f>SUMIF(员工销售情况表!$A$3:$A$57,A26,员工销售情况表!$E$3:$E$57)</f>
        <v>85.58</v>
      </c>
      <c r="C26" s="23">
        <f t="shared" si="0"/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opLeftCell="H1" workbookViewId="0">
      <selection activeCell="I11" sqref="I11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5.25" customWidth="1"/>
    <col min="6" max="6" width="13.375" customWidth="1"/>
    <col min="7" max="7" width="12.125" customWidth="1"/>
    <col min="9" max="9" width="23.375" bestFit="1" customWidth="1"/>
    <col min="10" max="13" width="10.25" bestFit="1" customWidth="1"/>
    <col min="14" max="14" width="9.625" customWidth="1"/>
  </cols>
  <sheetData>
    <row r="1" spans="1:14" x14ac:dyDescent="0.15">
      <c r="A1" s="2" t="s">
        <v>71</v>
      </c>
      <c r="B1" s="2" t="s">
        <v>72</v>
      </c>
      <c r="C1" s="2" t="s">
        <v>73</v>
      </c>
      <c r="D1" s="2" t="s">
        <v>74</v>
      </c>
      <c r="E1" s="2" t="s">
        <v>108</v>
      </c>
      <c r="F1" s="2" t="s">
        <v>75</v>
      </c>
      <c r="G1" s="2" t="s">
        <v>76</v>
      </c>
    </row>
    <row r="2" spans="1:14" ht="15.75" x14ac:dyDescent="0.25">
      <c r="A2" s="1" t="s">
        <v>77</v>
      </c>
      <c r="B2" s="6" t="s">
        <v>78</v>
      </c>
      <c r="C2" s="1">
        <v>3</v>
      </c>
      <c r="D2" s="1">
        <v>124</v>
      </c>
      <c r="E2" s="1">
        <v>8680</v>
      </c>
      <c r="F2" s="1">
        <f t="shared" ref="F2:F33" si="0">_xlfn.RANK.EQ(D2,$D$2:$D$97)</f>
        <v>91</v>
      </c>
      <c r="G2" s="1">
        <f t="shared" ref="G2:G33" si="1">_xlfn.RANK.EQ(E2,$E$2:$E$97)</f>
        <v>92</v>
      </c>
    </row>
    <row r="3" spans="1:14" ht="15.75" x14ac:dyDescent="0.25">
      <c r="A3" s="1" t="s">
        <v>77</v>
      </c>
      <c r="B3" s="6" t="s">
        <v>79</v>
      </c>
      <c r="C3" s="1">
        <v>2</v>
      </c>
      <c r="D3" s="1">
        <v>321</v>
      </c>
      <c r="E3" s="1">
        <v>9630</v>
      </c>
      <c r="F3" s="1">
        <f t="shared" si="0"/>
        <v>53</v>
      </c>
      <c r="G3" s="1">
        <f t="shared" si="1"/>
        <v>86</v>
      </c>
    </row>
    <row r="4" spans="1:14" ht="15.75" x14ac:dyDescent="0.25">
      <c r="A4" s="1" t="s">
        <v>80</v>
      </c>
      <c r="B4" s="6" t="s">
        <v>83</v>
      </c>
      <c r="C4" s="1">
        <v>2</v>
      </c>
      <c r="D4" s="1">
        <v>435</v>
      </c>
      <c r="E4" s="1">
        <v>21750</v>
      </c>
      <c r="F4" s="1">
        <f t="shared" si="0"/>
        <v>26</v>
      </c>
      <c r="G4" s="1">
        <f t="shared" si="1"/>
        <v>47</v>
      </c>
    </row>
    <row r="5" spans="1:14" ht="15.75" x14ac:dyDescent="0.25">
      <c r="A5" s="1" t="s">
        <v>84</v>
      </c>
      <c r="B5" s="6" t="s">
        <v>85</v>
      </c>
      <c r="C5" s="1">
        <v>2</v>
      </c>
      <c r="D5" s="1">
        <v>256</v>
      </c>
      <c r="E5" s="1">
        <v>17920</v>
      </c>
      <c r="F5" s="1">
        <f t="shared" si="0"/>
        <v>63</v>
      </c>
      <c r="G5" s="1">
        <f t="shared" si="1"/>
        <v>56</v>
      </c>
    </row>
    <row r="6" spans="1:14" ht="15.75" x14ac:dyDescent="0.25">
      <c r="A6" s="1" t="s">
        <v>84</v>
      </c>
      <c r="B6" s="6" t="s">
        <v>83</v>
      </c>
      <c r="C6" s="1">
        <v>1</v>
      </c>
      <c r="D6" s="1">
        <v>167</v>
      </c>
      <c r="E6" s="1">
        <v>8350</v>
      </c>
      <c r="F6" s="1">
        <f t="shared" si="0"/>
        <v>85</v>
      </c>
      <c r="G6" s="1">
        <f t="shared" si="1"/>
        <v>93</v>
      </c>
    </row>
    <row r="7" spans="1:14" ht="15.75" x14ac:dyDescent="0.25">
      <c r="A7" s="1" t="s">
        <v>86</v>
      </c>
      <c r="B7" s="6" t="s">
        <v>85</v>
      </c>
      <c r="C7" s="1">
        <v>4</v>
      </c>
      <c r="D7" s="1">
        <v>157</v>
      </c>
      <c r="E7" s="1">
        <v>10990</v>
      </c>
      <c r="F7" s="1">
        <f t="shared" si="0"/>
        <v>87</v>
      </c>
      <c r="G7" s="1">
        <f t="shared" si="1"/>
        <v>75</v>
      </c>
    </row>
    <row r="8" spans="1:14" ht="15.75" x14ac:dyDescent="0.25">
      <c r="A8" s="1" t="s">
        <v>87</v>
      </c>
      <c r="B8" s="6" t="s">
        <v>85</v>
      </c>
      <c r="C8" s="1">
        <v>4</v>
      </c>
      <c r="D8" s="1">
        <v>187</v>
      </c>
      <c r="E8" s="1">
        <v>13090</v>
      </c>
      <c r="F8" s="1">
        <f t="shared" si="0"/>
        <v>84</v>
      </c>
      <c r="G8" s="1">
        <f t="shared" si="1"/>
        <v>69</v>
      </c>
    </row>
    <row r="9" spans="1:14" ht="15.75" x14ac:dyDescent="0.25">
      <c r="A9" s="1" t="s">
        <v>86</v>
      </c>
      <c r="B9" s="6" t="s">
        <v>83</v>
      </c>
      <c r="C9" s="1">
        <v>4</v>
      </c>
      <c r="D9" s="1">
        <v>213</v>
      </c>
      <c r="E9" s="1">
        <v>10650</v>
      </c>
      <c r="F9" s="1">
        <f t="shared" si="0"/>
        <v>76</v>
      </c>
      <c r="G9" s="1">
        <f t="shared" si="1"/>
        <v>80</v>
      </c>
    </row>
    <row r="10" spans="1:14" ht="15.75" x14ac:dyDescent="0.25">
      <c r="A10" s="1" t="s">
        <v>84</v>
      </c>
      <c r="B10" s="6" t="s">
        <v>85</v>
      </c>
      <c r="C10" s="1">
        <v>4</v>
      </c>
      <c r="D10" s="1">
        <v>196</v>
      </c>
      <c r="E10" s="1">
        <v>13720</v>
      </c>
      <c r="F10" s="1">
        <f t="shared" si="0"/>
        <v>81</v>
      </c>
      <c r="G10" s="1">
        <f t="shared" si="1"/>
        <v>67</v>
      </c>
    </row>
    <row r="11" spans="1:14" ht="15.75" x14ac:dyDescent="0.25">
      <c r="A11" s="1" t="s">
        <v>84</v>
      </c>
      <c r="B11" s="6" t="s">
        <v>83</v>
      </c>
      <c r="C11" s="1">
        <v>4</v>
      </c>
      <c r="D11" s="1">
        <v>219</v>
      </c>
      <c r="E11" s="1">
        <v>10950</v>
      </c>
      <c r="F11" s="1">
        <f t="shared" si="0"/>
        <v>70</v>
      </c>
      <c r="G11" s="1">
        <f t="shared" si="1"/>
        <v>76</v>
      </c>
      <c r="I11" s="26" t="s">
        <v>118</v>
      </c>
      <c r="J11" s="26" t="s">
        <v>114</v>
      </c>
    </row>
    <row r="12" spans="1:14" ht="15.75" x14ac:dyDescent="0.25">
      <c r="A12" s="1" t="s">
        <v>84</v>
      </c>
      <c r="B12" s="6" t="s">
        <v>85</v>
      </c>
      <c r="C12" s="1">
        <v>3</v>
      </c>
      <c r="D12" s="1">
        <v>235</v>
      </c>
      <c r="E12" s="1">
        <v>16380</v>
      </c>
      <c r="F12" s="1">
        <f t="shared" si="0"/>
        <v>64</v>
      </c>
      <c r="G12" s="1">
        <f t="shared" si="1"/>
        <v>58</v>
      </c>
      <c r="I12" s="26" t="s">
        <v>109</v>
      </c>
      <c r="J12" t="s">
        <v>115</v>
      </c>
      <c r="K12" t="s">
        <v>0</v>
      </c>
      <c r="L12" t="s">
        <v>116</v>
      </c>
      <c r="M12" t="s">
        <v>117</v>
      </c>
      <c r="N12" t="s">
        <v>113</v>
      </c>
    </row>
    <row r="13" spans="1:14" ht="15.75" x14ac:dyDescent="0.25">
      <c r="A13" s="1" t="s">
        <v>84</v>
      </c>
      <c r="B13" s="6" t="s">
        <v>85</v>
      </c>
      <c r="C13" s="1">
        <v>1</v>
      </c>
      <c r="D13" s="1">
        <v>206</v>
      </c>
      <c r="E13" s="1">
        <v>14420</v>
      </c>
      <c r="F13" s="1">
        <f t="shared" si="0"/>
        <v>79</v>
      </c>
      <c r="G13" s="1">
        <f t="shared" si="1"/>
        <v>63</v>
      </c>
      <c r="I13" s="27" t="s">
        <v>1</v>
      </c>
      <c r="J13" s="28">
        <v>80750</v>
      </c>
      <c r="K13" s="28">
        <v>134065</v>
      </c>
      <c r="L13" s="28">
        <v>83780</v>
      </c>
      <c r="M13" s="28">
        <v>88690</v>
      </c>
      <c r="N13" s="28">
        <v>387285</v>
      </c>
    </row>
    <row r="14" spans="1:14" ht="15.75" x14ac:dyDescent="0.25">
      <c r="A14" s="1" t="s">
        <v>84</v>
      </c>
      <c r="B14" s="6" t="s">
        <v>83</v>
      </c>
      <c r="C14" s="1">
        <v>2</v>
      </c>
      <c r="D14" s="1">
        <v>211</v>
      </c>
      <c r="E14" s="1">
        <v>10550</v>
      </c>
      <c r="F14" s="1">
        <f t="shared" si="0"/>
        <v>78</v>
      </c>
      <c r="G14" s="1">
        <f t="shared" si="1"/>
        <v>81</v>
      </c>
      <c r="I14" s="27" t="s">
        <v>110</v>
      </c>
      <c r="J14" s="28">
        <v>40750</v>
      </c>
      <c r="K14" s="28">
        <v>99422</v>
      </c>
      <c r="L14" s="28">
        <v>48910</v>
      </c>
      <c r="M14" s="28">
        <v>62440</v>
      </c>
      <c r="N14" s="28">
        <v>251522</v>
      </c>
    </row>
    <row r="15" spans="1:14" ht="15.75" x14ac:dyDescent="0.25">
      <c r="A15" s="1" t="s">
        <v>86</v>
      </c>
      <c r="B15" s="6" t="s">
        <v>83</v>
      </c>
      <c r="C15" s="1">
        <v>3</v>
      </c>
      <c r="D15" s="1">
        <v>189</v>
      </c>
      <c r="E15" s="1">
        <v>9450</v>
      </c>
      <c r="F15" s="1">
        <f t="shared" si="0"/>
        <v>83</v>
      </c>
      <c r="G15" s="1">
        <f t="shared" si="1"/>
        <v>87</v>
      </c>
      <c r="I15" s="27" t="s">
        <v>111</v>
      </c>
      <c r="J15" s="28">
        <v>44780</v>
      </c>
      <c r="K15" s="28">
        <v>49241</v>
      </c>
      <c r="L15" s="28">
        <v>84208</v>
      </c>
      <c r="M15" s="28">
        <v>65051</v>
      </c>
      <c r="N15" s="28">
        <v>243280</v>
      </c>
    </row>
    <row r="16" spans="1:14" ht="15.75" x14ac:dyDescent="0.25">
      <c r="A16" s="1" t="s">
        <v>84</v>
      </c>
      <c r="B16" s="6" t="s">
        <v>88</v>
      </c>
      <c r="C16" s="1">
        <v>1</v>
      </c>
      <c r="D16" s="1">
        <v>221</v>
      </c>
      <c r="E16" s="1">
        <v>6630</v>
      </c>
      <c r="F16" s="1">
        <f t="shared" si="0"/>
        <v>68</v>
      </c>
      <c r="G16" s="1">
        <f t="shared" si="1"/>
        <v>96</v>
      </c>
      <c r="I16" s="27" t="s">
        <v>112</v>
      </c>
      <c r="J16" s="28">
        <v>64392</v>
      </c>
      <c r="K16" s="28">
        <v>50747</v>
      </c>
      <c r="L16" s="28">
        <v>93115</v>
      </c>
      <c r="M16" s="28">
        <v>100030</v>
      </c>
      <c r="N16" s="28">
        <v>308284</v>
      </c>
    </row>
    <row r="17" spans="1:14" ht="15.75" x14ac:dyDescent="0.25">
      <c r="A17" s="1" t="s">
        <v>86</v>
      </c>
      <c r="B17" s="6" t="s">
        <v>88</v>
      </c>
      <c r="C17" s="1">
        <v>4</v>
      </c>
      <c r="D17" s="1">
        <v>434</v>
      </c>
      <c r="E17" s="1">
        <v>32960</v>
      </c>
      <c r="F17" s="1">
        <f t="shared" si="0"/>
        <v>27</v>
      </c>
      <c r="G17" s="1">
        <f t="shared" si="1"/>
        <v>15</v>
      </c>
      <c r="I17" s="27" t="s">
        <v>81</v>
      </c>
      <c r="J17" s="28">
        <v>117625</v>
      </c>
      <c r="K17" s="28">
        <v>177532</v>
      </c>
      <c r="L17" s="28">
        <v>154804</v>
      </c>
      <c r="M17" s="28">
        <v>100761</v>
      </c>
      <c r="N17" s="28">
        <v>550722</v>
      </c>
    </row>
    <row r="18" spans="1:14" ht="15.75" x14ac:dyDescent="0.25">
      <c r="A18" s="1" t="s">
        <v>87</v>
      </c>
      <c r="B18" s="6" t="s">
        <v>85</v>
      </c>
      <c r="C18" s="1">
        <v>3</v>
      </c>
      <c r="D18" s="1">
        <v>323</v>
      </c>
      <c r="E18" s="1">
        <v>22610</v>
      </c>
      <c r="F18" s="1">
        <f t="shared" si="0"/>
        <v>51</v>
      </c>
      <c r="G18" s="1">
        <f t="shared" si="1"/>
        <v>46</v>
      </c>
      <c r="I18" s="27" t="s">
        <v>82</v>
      </c>
      <c r="J18" s="28">
        <v>140373</v>
      </c>
      <c r="K18" s="28">
        <v>97500</v>
      </c>
      <c r="L18" s="28">
        <v>99493</v>
      </c>
      <c r="M18" s="28">
        <v>138792</v>
      </c>
      <c r="N18" s="28">
        <v>476158</v>
      </c>
    </row>
    <row r="19" spans="1:14" ht="15.75" x14ac:dyDescent="0.25">
      <c r="A19" s="1" t="s">
        <v>87</v>
      </c>
      <c r="B19" s="6" t="s">
        <v>83</v>
      </c>
      <c r="C19" s="1">
        <v>3</v>
      </c>
      <c r="D19" s="1">
        <v>324</v>
      </c>
      <c r="E19" s="1">
        <v>16200</v>
      </c>
      <c r="F19" s="1">
        <f t="shared" si="0"/>
        <v>49</v>
      </c>
      <c r="G19" s="1">
        <f t="shared" si="1"/>
        <v>60</v>
      </c>
      <c r="I19" s="27" t="s">
        <v>113</v>
      </c>
      <c r="J19" s="28">
        <v>488670</v>
      </c>
      <c r="K19" s="28">
        <v>608507</v>
      </c>
      <c r="L19" s="28">
        <v>564310</v>
      </c>
      <c r="M19" s="28">
        <v>555764</v>
      </c>
      <c r="N19" s="28">
        <v>2217251</v>
      </c>
    </row>
    <row r="20" spans="1:14" ht="15.75" x14ac:dyDescent="0.25">
      <c r="A20" s="1" t="s">
        <v>87</v>
      </c>
      <c r="B20" s="6" t="s">
        <v>88</v>
      </c>
      <c r="C20" s="1">
        <v>4</v>
      </c>
      <c r="D20" s="1">
        <v>331</v>
      </c>
      <c r="E20" s="1">
        <v>10260</v>
      </c>
      <c r="F20" s="1">
        <f t="shared" si="0"/>
        <v>45</v>
      </c>
      <c r="G20" s="1">
        <f t="shared" si="1"/>
        <v>82</v>
      </c>
    </row>
    <row r="21" spans="1:14" ht="15.75" x14ac:dyDescent="0.25">
      <c r="A21" s="1" t="s">
        <v>87</v>
      </c>
      <c r="B21" s="6" t="s">
        <v>83</v>
      </c>
      <c r="C21" s="1">
        <v>4</v>
      </c>
      <c r="D21" s="1">
        <v>287</v>
      </c>
      <c r="E21" s="1">
        <v>14350</v>
      </c>
      <c r="F21" s="1">
        <f t="shared" si="0"/>
        <v>60</v>
      </c>
      <c r="G21" s="1">
        <f t="shared" si="1"/>
        <v>65</v>
      </c>
    </row>
    <row r="22" spans="1:14" ht="15.75" x14ac:dyDescent="0.25">
      <c r="A22" s="1" t="s">
        <v>84</v>
      </c>
      <c r="B22" s="6" t="s">
        <v>83</v>
      </c>
      <c r="C22" s="1">
        <v>3</v>
      </c>
      <c r="D22" s="1">
        <v>218</v>
      </c>
      <c r="E22" s="1">
        <v>10900</v>
      </c>
      <c r="F22" s="1">
        <f t="shared" si="0"/>
        <v>71</v>
      </c>
      <c r="G22" s="1">
        <f t="shared" si="1"/>
        <v>77</v>
      </c>
    </row>
    <row r="23" spans="1:14" ht="15.75" x14ac:dyDescent="0.25">
      <c r="A23" s="1" t="s">
        <v>86</v>
      </c>
      <c r="B23" s="6" t="s">
        <v>83</v>
      </c>
      <c r="C23" s="1">
        <v>1</v>
      </c>
      <c r="D23" s="1">
        <v>301</v>
      </c>
      <c r="E23" s="1">
        <v>15050</v>
      </c>
      <c r="F23" s="1">
        <f t="shared" si="0"/>
        <v>58</v>
      </c>
      <c r="G23" s="1">
        <f t="shared" si="1"/>
        <v>61</v>
      </c>
    </row>
    <row r="24" spans="1:14" ht="15.75" x14ac:dyDescent="0.25">
      <c r="A24" s="1" t="s">
        <v>86</v>
      </c>
      <c r="B24" s="6" t="s">
        <v>88</v>
      </c>
      <c r="C24" s="1">
        <v>1</v>
      </c>
      <c r="D24" s="1">
        <v>306</v>
      </c>
      <c r="E24" s="1">
        <v>29180</v>
      </c>
      <c r="F24" s="1">
        <f t="shared" si="0"/>
        <v>56</v>
      </c>
      <c r="G24" s="1">
        <f t="shared" si="1"/>
        <v>25</v>
      </c>
    </row>
    <row r="25" spans="1:14" ht="15.75" x14ac:dyDescent="0.25">
      <c r="A25" s="1" t="s">
        <v>86</v>
      </c>
      <c r="B25" s="6" t="s">
        <v>85</v>
      </c>
      <c r="C25" s="1">
        <v>2</v>
      </c>
      <c r="D25" s="1">
        <v>351</v>
      </c>
      <c r="E25" s="1">
        <v>26541</v>
      </c>
      <c r="F25" s="1">
        <f t="shared" si="0"/>
        <v>41</v>
      </c>
      <c r="G25" s="1">
        <f t="shared" si="1"/>
        <v>34</v>
      </c>
    </row>
    <row r="26" spans="1:14" ht="15.75" x14ac:dyDescent="0.25">
      <c r="A26" s="1" t="s">
        <v>84</v>
      </c>
      <c r="B26" s="6" t="s">
        <v>88</v>
      </c>
      <c r="C26" s="1">
        <v>2</v>
      </c>
      <c r="D26" s="1">
        <v>312</v>
      </c>
      <c r="E26" s="1">
        <v>13360</v>
      </c>
      <c r="F26" s="1">
        <f t="shared" si="0"/>
        <v>54</v>
      </c>
      <c r="G26" s="1">
        <f t="shared" si="1"/>
        <v>68</v>
      </c>
    </row>
    <row r="27" spans="1:14" ht="15.75" x14ac:dyDescent="0.25">
      <c r="A27" s="1" t="s">
        <v>86</v>
      </c>
      <c r="B27" s="6" t="s">
        <v>85</v>
      </c>
      <c r="C27" s="1">
        <v>1</v>
      </c>
      <c r="D27" s="1">
        <v>212</v>
      </c>
      <c r="E27" s="1">
        <v>18840</v>
      </c>
      <c r="F27" s="1">
        <f t="shared" si="0"/>
        <v>77</v>
      </c>
      <c r="G27" s="1">
        <f t="shared" si="1"/>
        <v>55</v>
      </c>
    </row>
    <row r="28" spans="1:14" ht="15.75" x14ac:dyDescent="0.25">
      <c r="A28" s="1" t="s">
        <v>87</v>
      </c>
      <c r="B28" s="6" t="s">
        <v>85</v>
      </c>
      <c r="C28" s="1">
        <v>1</v>
      </c>
      <c r="D28" s="1">
        <v>345</v>
      </c>
      <c r="E28" s="1">
        <v>24150</v>
      </c>
      <c r="F28" s="1">
        <f t="shared" si="0"/>
        <v>42</v>
      </c>
      <c r="G28" s="1">
        <f t="shared" si="1"/>
        <v>38</v>
      </c>
    </row>
    <row r="29" spans="1:14" ht="15.75" x14ac:dyDescent="0.25">
      <c r="A29" s="1" t="s">
        <v>87</v>
      </c>
      <c r="B29" s="6" t="s">
        <v>88</v>
      </c>
      <c r="C29" s="1">
        <v>3</v>
      </c>
      <c r="D29" s="1">
        <v>365</v>
      </c>
      <c r="E29" s="1">
        <v>30950</v>
      </c>
      <c r="F29" s="1">
        <f t="shared" si="0"/>
        <v>39</v>
      </c>
      <c r="G29" s="1">
        <f t="shared" si="1"/>
        <v>21</v>
      </c>
    </row>
    <row r="30" spans="1:14" ht="15.75" x14ac:dyDescent="0.25">
      <c r="A30" s="1" t="s">
        <v>87</v>
      </c>
      <c r="B30" s="6" t="s">
        <v>85</v>
      </c>
      <c r="C30" s="1">
        <v>2</v>
      </c>
      <c r="D30" s="1">
        <v>412</v>
      </c>
      <c r="E30" s="1">
        <v>28840</v>
      </c>
      <c r="F30" s="1">
        <f t="shared" si="0"/>
        <v>33</v>
      </c>
      <c r="G30" s="1">
        <f t="shared" si="1"/>
        <v>26</v>
      </c>
    </row>
    <row r="31" spans="1:14" ht="15.75" x14ac:dyDescent="0.25">
      <c r="A31" s="1" t="s">
        <v>84</v>
      </c>
      <c r="B31" s="6" t="s">
        <v>88</v>
      </c>
      <c r="C31" s="1">
        <v>4</v>
      </c>
      <c r="D31" s="1">
        <v>421</v>
      </c>
      <c r="E31" s="1">
        <v>12630</v>
      </c>
      <c r="F31" s="1">
        <f t="shared" si="0"/>
        <v>32</v>
      </c>
      <c r="G31" s="1">
        <f t="shared" si="1"/>
        <v>72</v>
      </c>
    </row>
    <row r="32" spans="1:14" ht="15.75" x14ac:dyDescent="0.25">
      <c r="A32" s="1" t="s">
        <v>87</v>
      </c>
      <c r="B32" s="6" t="s">
        <v>83</v>
      </c>
      <c r="C32" s="1">
        <v>1</v>
      </c>
      <c r="D32" s="1">
        <v>569</v>
      </c>
      <c r="E32" s="1">
        <v>28450</v>
      </c>
      <c r="F32" s="1">
        <f t="shared" si="0"/>
        <v>13</v>
      </c>
      <c r="G32" s="1">
        <f t="shared" si="1"/>
        <v>29</v>
      </c>
    </row>
    <row r="33" spans="1:7" ht="15.75" x14ac:dyDescent="0.25">
      <c r="A33" s="1" t="s">
        <v>87</v>
      </c>
      <c r="B33" s="6" t="s">
        <v>88</v>
      </c>
      <c r="C33" s="1">
        <v>2</v>
      </c>
      <c r="D33" s="1">
        <v>654</v>
      </c>
      <c r="E33" s="1">
        <v>19620</v>
      </c>
      <c r="F33" s="1">
        <f t="shared" si="0"/>
        <v>9</v>
      </c>
      <c r="G33" s="1">
        <f t="shared" si="1"/>
        <v>51</v>
      </c>
    </row>
    <row r="34" spans="1:7" ht="15.75" x14ac:dyDescent="0.25">
      <c r="A34" s="1" t="s">
        <v>87</v>
      </c>
      <c r="B34" s="6" t="s">
        <v>88</v>
      </c>
      <c r="C34" s="1">
        <v>1</v>
      </c>
      <c r="D34" s="1">
        <v>765</v>
      </c>
      <c r="E34" s="1">
        <v>22950</v>
      </c>
      <c r="F34" s="1">
        <f t="shared" ref="F34:F65" si="2">_xlfn.RANK.EQ(D34,$D$2:$D$97)</f>
        <v>4</v>
      </c>
      <c r="G34" s="1">
        <f t="shared" ref="G34:G65" si="3">_xlfn.RANK.EQ(E34,$E$2:$E$97)</f>
        <v>43</v>
      </c>
    </row>
    <row r="35" spans="1:7" x14ac:dyDescent="0.15">
      <c r="A35" s="6" t="s">
        <v>89</v>
      </c>
      <c r="B35" s="6" t="s">
        <v>85</v>
      </c>
      <c r="C35" s="1">
        <v>3</v>
      </c>
      <c r="D35" s="1">
        <v>378</v>
      </c>
      <c r="E35" s="1">
        <v>26460</v>
      </c>
      <c r="F35" s="1">
        <f t="shared" si="2"/>
        <v>36</v>
      </c>
      <c r="G35" s="1">
        <f t="shared" si="3"/>
        <v>35</v>
      </c>
    </row>
    <row r="36" spans="1:7" ht="15.75" x14ac:dyDescent="0.25">
      <c r="A36" s="1" t="s">
        <v>86</v>
      </c>
      <c r="B36" s="6" t="s">
        <v>88</v>
      </c>
      <c r="C36" s="1">
        <v>3</v>
      </c>
      <c r="D36" s="1">
        <v>220</v>
      </c>
      <c r="E36" s="1">
        <v>12990</v>
      </c>
      <c r="F36" s="1">
        <f t="shared" si="2"/>
        <v>69</v>
      </c>
      <c r="G36" s="1">
        <f t="shared" si="3"/>
        <v>70</v>
      </c>
    </row>
    <row r="37" spans="1:7" x14ac:dyDescent="0.15">
      <c r="A37" s="6" t="s">
        <v>89</v>
      </c>
      <c r="B37" s="6" t="s">
        <v>85</v>
      </c>
      <c r="C37" s="1">
        <v>1</v>
      </c>
      <c r="D37" s="1">
        <v>324</v>
      </c>
      <c r="E37" s="1">
        <v>22680</v>
      </c>
      <c r="F37" s="1">
        <f t="shared" si="2"/>
        <v>49</v>
      </c>
      <c r="G37" s="1">
        <f t="shared" si="3"/>
        <v>45</v>
      </c>
    </row>
    <row r="38" spans="1:7" x14ac:dyDescent="0.15">
      <c r="A38" s="6" t="s">
        <v>89</v>
      </c>
      <c r="B38" s="6" t="s">
        <v>85</v>
      </c>
      <c r="C38" s="1">
        <v>2</v>
      </c>
      <c r="D38" s="1">
        <v>329</v>
      </c>
      <c r="E38" s="1">
        <v>23030</v>
      </c>
      <c r="F38" s="1">
        <f t="shared" si="2"/>
        <v>47</v>
      </c>
      <c r="G38" s="1">
        <f t="shared" si="3"/>
        <v>41</v>
      </c>
    </row>
    <row r="39" spans="1:7" x14ac:dyDescent="0.15">
      <c r="A39" s="6" t="s">
        <v>89</v>
      </c>
      <c r="B39" s="6" t="s">
        <v>85</v>
      </c>
      <c r="C39" s="1">
        <v>4</v>
      </c>
      <c r="D39" s="1">
        <v>398</v>
      </c>
      <c r="E39" s="1">
        <v>27860</v>
      </c>
      <c r="F39" s="1">
        <f t="shared" si="2"/>
        <v>35</v>
      </c>
      <c r="G39" s="1">
        <f t="shared" si="3"/>
        <v>31</v>
      </c>
    </row>
    <row r="40" spans="1:7" x14ac:dyDescent="0.15">
      <c r="A40" s="6" t="s">
        <v>90</v>
      </c>
      <c r="B40" s="6" t="s">
        <v>91</v>
      </c>
      <c r="C40" s="1">
        <v>1</v>
      </c>
      <c r="D40" s="1">
        <v>436</v>
      </c>
      <c r="E40" s="1">
        <v>35648</v>
      </c>
      <c r="F40" s="1">
        <f t="shared" si="2"/>
        <v>25</v>
      </c>
      <c r="G40" s="1">
        <f t="shared" si="3"/>
        <v>14</v>
      </c>
    </row>
    <row r="41" spans="1:7" x14ac:dyDescent="0.15">
      <c r="A41" s="6" t="s">
        <v>92</v>
      </c>
      <c r="B41" s="1" t="s">
        <v>0</v>
      </c>
      <c r="C41" s="1">
        <v>3</v>
      </c>
      <c r="D41" s="1">
        <v>232</v>
      </c>
      <c r="E41" s="1">
        <v>11298</v>
      </c>
      <c r="F41" s="1">
        <f t="shared" si="2"/>
        <v>66</v>
      </c>
      <c r="G41" s="1">
        <f t="shared" si="3"/>
        <v>74</v>
      </c>
    </row>
    <row r="42" spans="1:7" x14ac:dyDescent="0.15">
      <c r="A42" s="6" t="s">
        <v>1</v>
      </c>
      <c r="B42" s="6" t="s">
        <v>91</v>
      </c>
      <c r="C42" s="1">
        <v>3</v>
      </c>
      <c r="D42" s="1">
        <v>231</v>
      </c>
      <c r="E42" s="1">
        <v>23217</v>
      </c>
      <c r="F42" s="1">
        <f t="shared" si="2"/>
        <v>67</v>
      </c>
      <c r="G42" s="1">
        <f t="shared" si="3"/>
        <v>40</v>
      </c>
    </row>
    <row r="43" spans="1:7" x14ac:dyDescent="0.15">
      <c r="A43" s="6" t="s">
        <v>92</v>
      </c>
      <c r="B43" s="1" t="s">
        <v>0</v>
      </c>
      <c r="C43" s="1">
        <v>1</v>
      </c>
      <c r="D43" s="1">
        <v>322</v>
      </c>
      <c r="E43" s="1">
        <v>18976</v>
      </c>
      <c r="F43" s="1">
        <f t="shared" si="2"/>
        <v>52</v>
      </c>
      <c r="G43" s="1">
        <f t="shared" si="3"/>
        <v>53</v>
      </c>
    </row>
    <row r="44" spans="1:7" x14ac:dyDescent="0.15">
      <c r="A44" s="6" t="s">
        <v>93</v>
      </c>
      <c r="B44" s="1" t="s">
        <v>0</v>
      </c>
      <c r="C44" s="1">
        <v>1</v>
      </c>
      <c r="D44" s="1">
        <v>123</v>
      </c>
      <c r="E44" s="1">
        <v>7685</v>
      </c>
      <c r="F44" s="1">
        <f t="shared" si="2"/>
        <v>92</v>
      </c>
      <c r="G44" s="1">
        <f t="shared" si="3"/>
        <v>95</v>
      </c>
    </row>
    <row r="45" spans="1:7" x14ac:dyDescent="0.15">
      <c r="A45" s="6" t="s">
        <v>93</v>
      </c>
      <c r="B45" s="1" t="s">
        <v>0</v>
      </c>
      <c r="C45" s="1">
        <v>2</v>
      </c>
      <c r="D45" s="1">
        <v>342</v>
      </c>
      <c r="E45" s="1">
        <v>23718</v>
      </c>
      <c r="F45" s="1">
        <f t="shared" si="2"/>
        <v>43</v>
      </c>
      <c r="G45" s="1">
        <f t="shared" si="3"/>
        <v>39</v>
      </c>
    </row>
    <row r="46" spans="1:7" x14ac:dyDescent="0.15">
      <c r="A46" s="3" t="s">
        <v>92</v>
      </c>
      <c r="B46" s="11" t="s">
        <v>83</v>
      </c>
      <c r="C46" s="4">
        <v>1</v>
      </c>
      <c r="D46" s="4">
        <v>234</v>
      </c>
      <c r="E46" s="4">
        <v>14321</v>
      </c>
      <c r="F46" s="1">
        <f t="shared" si="2"/>
        <v>65</v>
      </c>
      <c r="G46" s="1">
        <f t="shared" si="3"/>
        <v>66</v>
      </c>
    </row>
    <row r="47" spans="1:7" x14ac:dyDescent="0.15">
      <c r="A47" s="6" t="s">
        <v>93</v>
      </c>
      <c r="B47" s="1" t="s">
        <v>0</v>
      </c>
      <c r="C47" s="1">
        <v>4</v>
      </c>
      <c r="D47" s="1">
        <v>341</v>
      </c>
      <c r="E47" s="1">
        <v>26785</v>
      </c>
      <c r="F47" s="1">
        <f t="shared" si="2"/>
        <v>44</v>
      </c>
      <c r="G47" s="1">
        <f t="shared" si="3"/>
        <v>32</v>
      </c>
    </row>
    <row r="48" spans="1:7" x14ac:dyDescent="0.15">
      <c r="A48" s="3" t="s">
        <v>92</v>
      </c>
      <c r="B48" s="11" t="s">
        <v>88</v>
      </c>
      <c r="C48" s="4">
        <v>4</v>
      </c>
      <c r="D48" s="4">
        <v>431</v>
      </c>
      <c r="E48" s="4">
        <v>32534</v>
      </c>
      <c r="F48" s="1">
        <f t="shared" si="2"/>
        <v>29</v>
      </c>
      <c r="G48" s="1">
        <f t="shared" si="3"/>
        <v>16</v>
      </c>
    </row>
    <row r="49" spans="1:7" x14ac:dyDescent="0.15">
      <c r="A49" s="6" t="s">
        <v>94</v>
      </c>
      <c r="B49" s="1" t="s">
        <v>0</v>
      </c>
      <c r="C49" s="1">
        <v>1</v>
      </c>
      <c r="D49" s="1">
        <v>166</v>
      </c>
      <c r="E49" s="1">
        <v>8765</v>
      </c>
      <c r="F49" s="1">
        <f t="shared" si="2"/>
        <v>86</v>
      </c>
      <c r="G49" s="1">
        <f t="shared" si="3"/>
        <v>91</v>
      </c>
    </row>
    <row r="50" spans="1:7" x14ac:dyDescent="0.15">
      <c r="A50" s="3" t="s">
        <v>92</v>
      </c>
      <c r="B50" s="11" t="s">
        <v>83</v>
      </c>
      <c r="C50" s="4">
        <v>3</v>
      </c>
      <c r="D50" s="4">
        <v>129</v>
      </c>
      <c r="E50" s="4">
        <v>9637</v>
      </c>
      <c r="F50" s="1">
        <f t="shared" si="2"/>
        <v>90</v>
      </c>
      <c r="G50" s="1">
        <f t="shared" si="3"/>
        <v>85</v>
      </c>
    </row>
    <row r="51" spans="1:7" x14ac:dyDescent="0.15">
      <c r="A51" s="6" t="s">
        <v>94</v>
      </c>
      <c r="B51" s="1" t="s">
        <v>0</v>
      </c>
      <c r="C51" s="1">
        <v>3</v>
      </c>
      <c r="D51" s="1">
        <v>216</v>
      </c>
      <c r="E51" s="1">
        <v>10238</v>
      </c>
      <c r="F51" s="1">
        <f t="shared" si="2"/>
        <v>73</v>
      </c>
      <c r="G51" s="1">
        <f t="shared" si="3"/>
        <v>83</v>
      </c>
    </row>
    <row r="52" spans="1:7" x14ac:dyDescent="0.15">
      <c r="A52" s="3" t="s">
        <v>92</v>
      </c>
      <c r="B52" s="11" t="s">
        <v>88</v>
      </c>
      <c r="C52" s="4">
        <v>2</v>
      </c>
      <c r="D52" s="4">
        <v>217</v>
      </c>
      <c r="E52" s="4">
        <v>20453</v>
      </c>
      <c r="F52" s="1">
        <f t="shared" si="2"/>
        <v>72</v>
      </c>
      <c r="G52" s="1">
        <f t="shared" si="3"/>
        <v>50</v>
      </c>
    </row>
    <row r="53" spans="1:7" x14ac:dyDescent="0.15">
      <c r="A53" s="6" t="s">
        <v>94</v>
      </c>
      <c r="B53" s="1" t="s">
        <v>0</v>
      </c>
      <c r="C53" s="1">
        <v>4</v>
      </c>
      <c r="D53" s="1">
        <v>425</v>
      </c>
      <c r="E53" s="1">
        <v>20563</v>
      </c>
      <c r="F53" s="1">
        <f t="shared" si="2"/>
        <v>31</v>
      </c>
      <c r="G53" s="1">
        <f t="shared" si="3"/>
        <v>49</v>
      </c>
    </row>
    <row r="54" spans="1:7" x14ac:dyDescent="0.15">
      <c r="A54" s="6" t="s">
        <v>1</v>
      </c>
      <c r="B54" s="6" t="s">
        <v>91</v>
      </c>
      <c r="C54" s="1">
        <v>4</v>
      </c>
      <c r="D54" s="1">
        <v>366</v>
      </c>
      <c r="E54" s="1">
        <v>29879</v>
      </c>
      <c r="F54" s="1">
        <f t="shared" si="2"/>
        <v>38</v>
      </c>
      <c r="G54" s="1">
        <f t="shared" si="3"/>
        <v>22</v>
      </c>
    </row>
    <row r="55" spans="1:7" x14ac:dyDescent="0.15">
      <c r="A55" s="6" t="s">
        <v>92</v>
      </c>
      <c r="B55" s="1" t="s">
        <v>0</v>
      </c>
      <c r="C55" s="1">
        <v>2</v>
      </c>
      <c r="D55" s="1">
        <v>112</v>
      </c>
      <c r="E55" s="1">
        <v>8798</v>
      </c>
      <c r="F55" s="1">
        <f t="shared" si="2"/>
        <v>96</v>
      </c>
      <c r="G55" s="1">
        <f t="shared" si="3"/>
        <v>90</v>
      </c>
    </row>
    <row r="56" spans="1:7" x14ac:dyDescent="0.15">
      <c r="A56" s="6" t="s">
        <v>92</v>
      </c>
      <c r="B56" s="1" t="s">
        <v>0</v>
      </c>
      <c r="C56" s="1">
        <v>4</v>
      </c>
      <c r="D56" s="1">
        <v>261</v>
      </c>
      <c r="E56" s="1">
        <v>11675</v>
      </c>
      <c r="F56" s="1">
        <f t="shared" si="2"/>
        <v>62</v>
      </c>
      <c r="G56" s="1">
        <f t="shared" si="3"/>
        <v>73</v>
      </c>
    </row>
    <row r="57" spans="1:7" x14ac:dyDescent="0.15">
      <c r="A57" s="6" t="s">
        <v>90</v>
      </c>
      <c r="B57" s="6" t="s">
        <v>91</v>
      </c>
      <c r="C57" s="1">
        <v>2</v>
      </c>
      <c r="D57" s="1">
        <v>655</v>
      </c>
      <c r="E57" s="1">
        <v>45321</v>
      </c>
      <c r="F57" s="1">
        <f t="shared" si="2"/>
        <v>8</v>
      </c>
      <c r="G57" s="1">
        <f t="shared" si="3"/>
        <v>8</v>
      </c>
    </row>
    <row r="58" spans="1:7" x14ac:dyDescent="0.15">
      <c r="A58" s="3" t="s">
        <v>92</v>
      </c>
      <c r="B58" s="11" t="s">
        <v>83</v>
      </c>
      <c r="C58" s="4">
        <v>2</v>
      </c>
      <c r="D58" s="4">
        <v>432</v>
      </c>
      <c r="E58" s="4">
        <v>32256</v>
      </c>
      <c r="F58" s="1">
        <f t="shared" si="2"/>
        <v>28</v>
      </c>
      <c r="G58" s="1">
        <f t="shared" si="3"/>
        <v>17</v>
      </c>
    </row>
    <row r="59" spans="1:7" ht="15.75" x14ac:dyDescent="0.25">
      <c r="A59" s="1" t="s">
        <v>84</v>
      </c>
      <c r="B59" s="6" t="s">
        <v>88</v>
      </c>
      <c r="C59" s="1">
        <v>3</v>
      </c>
      <c r="D59" s="1">
        <v>543</v>
      </c>
      <c r="E59" s="1">
        <v>16290</v>
      </c>
      <c r="F59" s="1">
        <f t="shared" si="2"/>
        <v>16</v>
      </c>
      <c r="G59" s="1">
        <f t="shared" si="3"/>
        <v>59</v>
      </c>
    </row>
    <row r="60" spans="1:7" x14ac:dyDescent="0.15">
      <c r="A60" s="3" t="s">
        <v>92</v>
      </c>
      <c r="B60" s="11" t="s">
        <v>83</v>
      </c>
      <c r="C60" s="4">
        <v>4</v>
      </c>
      <c r="D60" s="4">
        <v>118</v>
      </c>
      <c r="E60" s="4">
        <v>8178</v>
      </c>
      <c r="F60" s="1">
        <f t="shared" si="2"/>
        <v>95</v>
      </c>
      <c r="G60" s="1">
        <f t="shared" si="3"/>
        <v>94</v>
      </c>
    </row>
    <row r="61" spans="1:7" x14ac:dyDescent="0.15">
      <c r="A61" s="3" t="s">
        <v>92</v>
      </c>
      <c r="B61" s="11" t="s">
        <v>88</v>
      </c>
      <c r="C61" s="4">
        <v>1</v>
      </c>
      <c r="D61" s="4">
        <v>156</v>
      </c>
      <c r="E61" s="4">
        <v>10786</v>
      </c>
      <c r="F61" s="1">
        <f t="shared" si="2"/>
        <v>88</v>
      </c>
      <c r="G61" s="1">
        <f t="shared" si="3"/>
        <v>79</v>
      </c>
    </row>
    <row r="62" spans="1:7" x14ac:dyDescent="0.15">
      <c r="A62" s="6" t="s">
        <v>94</v>
      </c>
      <c r="B62" s="1" t="s">
        <v>0</v>
      </c>
      <c r="C62" s="1">
        <v>2</v>
      </c>
      <c r="D62" s="1">
        <v>199</v>
      </c>
      <c r="E62" s="1">
        <v>9675</v>
      </c>
      <c r="F62" s="1">
        <f t="shared" si="2"/>
        <v>80</v>
      </c>
      <c r="G62" s="1">
        <f t="shared" si="3"/>
        <v>84</v>
      </c>
    </row>
    <row r="63" spans="1:7" x14ac:dyDescent="0.15">
      <c r="A63" s="3" t="s">
        <v>92</v>
      </c>
      <c r="B63" s="11" t="s">
        <v>88</v>
      </c>
      <c r="C63" s="4">
        <v>3</v>
      </c>
      <c r="D63" s="4">
        <v>356</v>
      </c>
      <c r="E63" s="4">
        <v>29342</v>
      </c>
      <c r="F63" s="1">
        <f t="shared" si="2"/>
        <v>40</v>
      </c>
      <c r="G63" s="1">
        <f t="shared" si="3"/>
        <v>24</v>
      </c>
    </row>
    <row r="64" spans="1:7" x14ac:dyDescent="0.15">
      <c r="A64" s="6" t="s">
        <v>93</v>
      </c>
      <c r="B64" s="1" t="s">
        <v>0</v>
      </c>
      <c r="C64" s="1">
        <v>3</v>
      </c>
      <c r="D64" s="1">
        <v>542</v>
      </c>
      <c r="E64" s="1">
        <v>41234</v>
      </c>
      <c r="F64" s="1">
        <f t="shared" si="2"/>
        <v>17</v>
      </c>
      <c r="G64" s="1">
        <f t="shared" si="3"/>
        <v>11</v>
      </c>
    </row>
    <row r="65" spans="1:7" x14ac:dyDescent="0.15">
      <c r="A65" s="3" t="s">
        <v>94</v>
      </c>
      <c r="B65" s="11" t="s">
        <v>88</v>
      </c>
      <c r="C65" s="4">
        <v>2</v>
      </c>
      <c r="D65" s="4">
        <v>148</v>
      </c>
      <c r="E65" s="4">
        <v>9078</v>
      </c>
      <c r="F65" s="1">
        <f t="shared" si="2"/>
        <v>89</v>
      </c>
      <c r="G65" s="1">
        <f t="shared" si="3"/>
        <v>89</v>
      </c>
    </row>
    <row r="66" spans="1:7" x14ac:dyDescent="0.15">
      <c r="A66" s="3" t="s">
        <v>95</v>
      </c>
      <c r="B66" s="6" t="s">
        <v>83</v>
      </c>
      <c r="C66" s="1">
        <v>1</v>
      </c>
      <c r="D66" s="1">
        <v>367</v>
      </c>
      <c r="E66" s="1">
        <v>10860</v>
      </c>
      <c r="F66" s="1">
        <f t="shared" ref="F66:F97" si="4">_xlfn.RANK.EQ(D66,$D$2:$D$97)</f>
        <v>37</v>
      </c>
      <c r="G66" s="1">
        <f t="shared" ref="G66:G97" si="5">_xlfn.RANK.EQ(E66,$E$2:$E$97)</f>
        <v>78</v>
      </c>
    </row>
    <row r="67" spans="1:7" x14ac:dyDescent="0.15">
      <c r="A67" s="3" t="s">
        <v>95</v>
      </c>
      <c r="B67" s="6" t="s">
        <v>85</v>
      </c>
      <c r="C67" s="1">
        <v>1</v>
      </c>
      <c r="D67" s="1">
        <v>289</v>
      </c>
      <c r="E67" s="1">
        <v>14351</v>
      </c>
      <c r="F67" s="1">
        <f t="shared" si="4"/>
        <v>59</v>
      </c>
      <c r="G67" s="1">
        <f t="shared" si="5"/>
        <v>64</v>
      </c>
    </row>
    <row r="68" spans="1:7" x14ac:dyDescent="0.15">
      <c r="A68" s="3" t="s">
        <v>81</v>
      </c>
      <c r="B68" s="6" t="s">
        <v>85</v>
      </c>
      <c r="C68" s="1">
        <v>2</v>
      </c>
      <c r="D68" s="1">
        <v>675</v>
      </c>
      <c r="E68" s="1">
        <v>50900</v>
      </c>
      <c r="F68" s="1">
        <f t="shared" si="4"/>
        <v>5</v>
      </c>
      <c r="G68" s="1">
        <f t="shared" si="5"/>
        <v>4</v>
      </c>
    </row>
    <row r="69" spans="1:7" x14ac:dyDescent="0.15">
      <c r="A69" s="3" t="s">
        <v>81</v>
      </c>
      <c r="B69" s="6" t="s">
        <v>83</v>
      </c>
      <c r="C69" s="1">
        <v>2</v>
      </c>
      <c r="D69" s="1">
        <v>873</v>
      </c>
      <c r="E69" s="1">
        <v>17050</v>
      </c>
      <c r="F69" s="1">
        <f t="shared" si="4"/>
        <v>1</v>
      </c>
      <c r="G69" s="1">
        <f t="shared" si="5"/>
        <v>57</v>
      </c>
    </row>
    <row r="70" spans="1:7" x14ac:dyDescent="0.15">
      <c r="A70" s="3" t="s">
        <v>81</v>
      </c>
      <c r="B70" s="6" t="s">
        <v>88</v>
      </c>
      <c r="C70" s="1">
        <v>1</v>
      </c>
      <c r="D70" s="1">
        <v>603</v>
      </c>
      <c r="E70" s="1">
        <v>49180</v>
      </c>
      <c r="F70" s="1">
        <f t="shared" si="4"/>
        <v>12</v>
      </c>
      <c r="G70" s="1">
        <f t="shared" si="5"/>
        <v>5</v>
      </c>
    </row>
    <row r="71" spans="1:7" x14ac:dyDescent="0.15">
      <c r="A71" s="3" t="s">
        <v>81</v>
      </c>
      <c r="B71" s="6" t="s">
        <v>83</v>
      </c>
      <c r="C71" s="1">
        <v>3</v>
      </c>
      <c r="D71" s="1">
        <v>534</v>
      </c>
      <c r="E71" s="1">
        <v>25150</v>
      </c>
      <c r="F71" s="1">
        <f t="shared" si="4"/>
        <v>18</v>
      </c>
      <c r="G71" s="1">
        <f t="shared" si="5"/>
        <v>37</v>
      </c>
    </row>
    <row r="72" spans="1:7" x14ac:dyDescent="0.15">
      <c r="A72" s="3" t="s">
        <v>81</v>
      </c>
      <c r="B72" s="6" t="s">
        <v>85</v>
      </c>
      <c r="C72" s="1">
        <v>3</v>
      </c>
      <c r="D72" s="1">
        <v>123</v>
      </c>
      <c r="E72" s="1">
        <v>9360</v>
      </c>
      <c r="F72" s="1">
        <f t="shared" si="4"/>
        <v>92</v>
      </c>
      <c r="G72" s="1">
        <f t="shared" si="5"/>
        <v>88</v>
      </c>
    </row>
    <row r="73" spans="1:7" x14ac:dyDescent="0.15">
      <c r="A73" s="3" t="s">
        <v>81</v>
      </c>
      <c r="B73" s="6" t="s">
        <v>88</v>
      </c>
      <c r="C73" s="1">
        <v>2</v>
      </c>
      <c r="D73" s="1">
        <v>122</v>
      </c>
      <c r="E73" s="1">
        <v>14840</v>
      </c>
      <c r="F73" s="1">
        <f t="shared" si="4"/>
        <v>94</v>
      </c>
      <c r="G73" s="1">
        <f t="shared" si="5"/>
        <v>62</v>
      </c>
    </row>
    <row r="74" spans="1:7" x14ac:dyDescent="0.15">
      <c r="A74" s="3" t="s">
        <v>81</v>
      </c>
      <c r="B74" s="6" t="s">
        <v>85</v>
      </c>
      <c r="C74" s="1">
        <v>4</v>
      </c>
      <c r="D74" s="1">
        <v>550</v>
      </c>
      <c r="E74" s="1">
        <v>26150</v>
      </c>
      <c r="F74" s="1">
        <f t="shared" si="4"/>
        <v>15</v>
      </c>
      <c r="G74" s="1">
        <f t="shared" si="5"/>
        <v>36</v>
      </c>
    </row>
    <row r="75" spans="1:7" x14ac:dyDescent="0.15">
      <c r="A75" s="3" t="s">
        <v>96</v>
      </c>
      <c r="B75" s="6" t="s">
        <v>83</v>
      </c>
      <c r="C75" s="1">
        <v>1</v>
      </c>
      <c r="D75" s="1">
        <v>653</v>
      </c>
      <c r="E75" s="1">
        <v>50950</v>
      </c>
      <c r="F75" s="1">
        <f t="shared" si="4"/>
        <v>10</v>
      </c>
      <c r="G75" s="1">
        <f t="shared" si="5"/>
        <v>3</v>
      </c>
    </row>
    <row r="76" spans="1:7" x14ac:dyDescent="0.15">
      <c r="A76" s="3" t="s">
        <v>96</v>
      </c>
      <c r="B76" s="6" t="s">
        <v>88</v>
      </c>
      <c r="C76" s="1">
        <v>1</v>
      </c>
      <c r="D76" s="1">
        <v>214</v>
      </c>
      <c r="E76" s="1">
        <v>28760</v>
      </c>
      <c r="F76" s="1">
        <f t="shared" si="4"/>
        <v>75</v>
      </c>
      <c r="G76" s="1">
        <f t="shared" si="5"/>
        <v>27</v>
      </c>
    </row>
    <row r="77" spans="1:7" x14ac:dyDescent="0.15">
      <c r="A77" s="3" t="s">
        <v>82</v>
      </c>
      <c r="B77" s="6" t="s">
        <v>88</v>
      </c>
      <c r="C77" s="1">
        <v>2</v>
      </c>
      <c r="D77" s="1">
        <v>456</v>
      </c>
      <c r="E77" s="1">
        <v>12830</v>
      </c>
      <c r="F77" s="1">
        <f t="shared" si="4"/>
        <v>24</v>
      </c>
      <c r="G77" s="1">
        <f t="shared" si="5"/>
        <v>71</v>
      </c>
    </row>
    <row r="78" spans="1:7" x14ac:dyDescent="0.15">
      <c r="A78" s="3" t="s">
        <v>82</v>
      </c>
      <c r="B78" s="6" t="s">
        <v>91</v>
      </c>
      <c r="C78" s="1">
        <v>1</v>
      </c>
      <c r="D78" s="1">
        <v>659</v>
      </c>
      <c r="E78" s="1">
        <v>28550</v>
      </c>
      <c r="F78" s="1">
        <f t="shared" si="4"/>
        <v>6</v>
      </c>
      <c r="G78" s="1">
        <f t="shared" si="5"/>
        <v>28</v>
      </c>
    </row>
    <row r="79" spans="1:7" x14ac:dyDescent="0.15">
      <c r="A79" s="3" t="s">
        <v>82</v>
      </c>
      <c r="B79" s="6" t="s">
        <v>91</v>
      </c>
      <c r="C79" s="1">
        <v>2</v>
      </c>
      <c r="D79" s="1">
        <v>565</v>
      </c>
      <c r="E79" s="1">
        <v>19521</v>
      </c>
      <c r="F79" s="1">
        <f t="shared" si="4"/>
        <v>14</v>
      </c>
      <c r="G79" s="1">
        <f t="shared" si="5"/>
        <v>52</v>
      </c>
    </row>
    <row r="80" spans="1:7" x14ac:dyDescent="0.15">
      <c r="A80" s="3" t="s">
        <v>82</v>
      </c>
      <c r="B80" s="6" t="s">
        <v>91</v>
      </c>
      <c r="C80" s="1">
        <v>3</v>
      </c>
      <c r="D80" s="1">
        <v>656</v>
      </c>
      <c r="E80" s="1">
        <v>22850</v>
      </c>
      <c r="F80" s="1">
        <f t="shared" si="4"/>
        <v>7</v>
      </c>
      <c r="G80" s="1">
        <f t="shared" si="5"/>
        <v>44</v>
      </c>
    </row>
    <row r="81" spans="1:7" x14ac:dyDescent="0.15">
      <c r="A81" s="3" t="s">
        <v>82</v>
      </c>
      <c r="B81" s="6" t="s">
        <v>91</v>
      </c>
      <c r="C81" s="1">
        <v>4</v>
      </c>
      <c r="D81" s="1">
        <v>789</v>
      </c>
      <c r="E81" s="1">
        <v>26579</v>
      </c>
      <c r="F81" s="1">
        <f t="shared" si="4"/>
        <v>3</v>
      </c>
      <c r="G81" s="1">
        <f t="shared" si="5"/>
        <v>33</v>
      </c>
    </row>
    <row r="82" spans="1:7" x14ac:dyDescent="0.15">
      <c r="A82" s="3" t="s">
        <v>82</v>
      </c>
      <c r="B82" s="6" t="s">
        <v>83</v>
      </c>
      <c r="C82" s="1">
        <v>2</v>
      </c>
      <c r="D82" s="1">
        <v>465</v>
      </c>
      <c r="E82" s="1">
        <v>22990</v>
      </c>
      <c r="F82" s="1">
        <f t="shared" si="4"/>
        <v>23</v>
      </c>
      <c r="G82" s="1">
        <f t="shared" si="5"/>
        <v>42</v>
      </c>
    </row>
    <row r="83" spans="1:7" x14ac:dyDescent="0.15">
      <c r="A83" s="3" t="s">
        <v>82</v>
      </c>
      <c r="B83" s="6" t="s">
        <v>85</v>
      </c>
      <c r="C83" s="1">
        <v>1</v>
      </c>
      <c r="D83" s="1">
        <v>325</v>
      </c>
      <c r="E83" s="1">
        <v>18906</v>
      </c>
      <c r="F83" s="1">
        <f t="shared" si="4"/>
        <v>48</v>
      </c>
      <c r="G83" s="1">
        <f t="shared" si="5"/>
        <v>54</v>
      </c>
    </row>
    <row r="84" spans="1:7" x14ac:dyDescent="0.15">
      <c r="A84" s="3" t="s">
        <v>82</v>
      </c>
      <c r="B84" s="6" t="s">
        <v>83</v>
      </c>
      <c r="C84" s="1">
        <v>3</v>
      </c>
      <c r="D84" s="1">
        <v>498</v>
      </c>
      <c r="E84" s="1">
        <v>21346</v>
      </c>
      <c r="F84" s="1">
        <f t="shared" si="4"/>
        <v>21</v>
      </c>
      <c r="G84" s="1">
        <f t="shared" si="5"/>
        <v>48</v>
      </c>
    </row>
    <row r="85" spans="1:7" x14ac:dyDescent="0.15">
      <c r="A85" s="3" t="s">
        <v>82</v>
      </c>
      <c r="B85" s="6" t="s">
        <v>83</v>
      </c>
      <c r="C85" s="1">
        <v>4</v>
      </c>
      <c r="D85" s="1">
        <v>832</v>
      </c>
      <c r="E85" s="1">
        <v>45087</v>
      </c>
      <c r="F85" s="1">
        <f t="shared" si="4"/>
        <v>2</v>
      </c>
      <c r="G85" s="1">
        <f t="shared" si="5"/>
        <v>9</v>
      </c>
    </row>
    <row r="86" spans="1:7" x14ac:dyDescent="0.15">
      <c r="A86" s="3" t="s">
        <v>82</v>
      </c>
      <c r="B86" s="6" t="s">
        <v>88</v>
      </c>
      <c r="C86" s="1">
        <v>3</v>
      </c>
      <c r="D86" s="1">
        <v>190</v>
      </c>
      <c r="E86" s="1">
        <v>29807</v>
      </c>
      <c r="F86" s="1">
        <f t="shared" si="4"/>
        <v>82</v>
      </c>
      <c r="G86" s="1">
        <f t="shared" si="5"/>
        <v>23</v>
      </c>
    </row>
    <row r="87" spans="1:7" x14ac:dyDescent="0.15">
      <c r="A87" s="3" t="s">
        <v>81</v>
      </c>
      <c r="B87" s="6" t="s">
        <v>91</v>
      </c>
      <c r="C87" s="1">
        <v>1</v>
      </c>
      <c r="D87" s="1">
        <v>512</v>
      </c>
      <c r="E87" s="1">
        <v>36865</v>
      </c>
      <c r="F87" s="1">
        <f t="shared" si="4"/>
        <v>19</v>
      </c>
      <c r="G87" s="1">
        <f t="shared" si="5"/>
        <v>13</v>
      </c>
    </row>
    <row r="88" spans="1:7" x14ac:dyDescent="0.15">
      <c r="A88" s="3" t="s">
        <v>81</v>
      </c>
      <c r="B88" s="6" t="s">
        <v>91</v>
      </c>
      <c r="C88" s="1">
        <v>2</v>
      </c>
      <c r="D88" s="1">
        <v>330</v>
      </c>
      <c r="E88" s="1">
        <v>31256</v>
      </c>
      <c r="F88" s="1">
        <f t="shared" si="4"/>
        <v>46</v>
      </c>
      <c r="G88" s="1">
        <f t="shared" si="5"/>
        <v>19</v>
      </c>
    </row>
    <row r="89" spans="1:7" x14ac:dyDescent="0.15">
      <c r="A89" s="3" t="s">
        <v>81</v>
      </c>
      <c r="B89" s="6" t="s">
        <v>83</v>
      </c>
      <c r="C89" s="1">
        <v>4</v>
      </c>
      <c r="D89" s="1">
        <v>467</v>
      </c>
      <c r="E89" s="1">
        <v>64565</v>
      </c>
      <c r="F89" s="1">
        <f t="shared" si="4"/>
        <v>22</v>
      </c>
      <c r="G89" s="1">
        <f t="shared" si="5"/>
        <v>2</v>
      </c>
    </row>
    <row r="90" spans="1:7" x14ac:dyDescent="0.15">
      <c r="A90" s="3" t="s">
        <v>81</v>
      </c>
      <c r="B90" s="6" t="s">
        <v>88</v>
      </c>
      <c r="C90" s="1">
        <v>3</v>
      </c>
      <c r="D90" s="1">
        <v>305</v>
      </c>
      <c r="E90" s="1">
        <v>48617</v>
      </c>
      <c r="F90" s="1">
        <f t="shared" si="4"/>
        <v>57</v>
      </c>
      <c r="G90" s="1">
        <f t="shared" si="5"/>
        <v>7</v>
      </c>
    </row>
    <row r="91" spans="1:7" x14ac:dyDescent="0.15">
      <c r="A91" s="3" t="s">
        <v>81</v>
      </c>
      <c r="B91" s="6" t="s">
        <v>91</v>
      </c>
      <c r="C91" s="1">
        <v>3</v>
      </c>
      <c r="D91" s="1">
        <v>650</v>
      </c>
      <c r="E91" s="1">
        <v>78436</v>
      </c>
      <c r="F91" s="1">
        <f t="shared" si="4"/>
        <v>11</v>
      </c>
      <c r="G91" s="1">
        <f t="shared" si="5"/>
        <v>1</v>
      </c>
    </row>
    <row r="92" spans="1:7" x14ac:dyDescent="0.15">
      <c r="A92" s="3" t="s">
        <v>81</v>
      </c>
      <c r="B92" s="6" t="s">
        <v>88</v>
      </c>
      <c r="C92" s="1">
        <v>4</v>
      </c>
      <c r="D92" s="1">
        <v>430</v>
      </c>
      <c r="E92" s="1">
        <v>42167</v>
      </c>
      <c r="F92" s="1">
        <f t="shared" si="4"/>
        <v>30</v>
      </c>
      <c r="G92" s="1">
        <f t="shared" si="5"/>
        <v>10</v>
      </c>
    </row>
    <row r="93" spans="1:7" x14ac:dyDescent="0.15">
      <c r="A93" s="3" t="s">
        <v>81</v>
      </c>
      <c r="B93" s="6" t="s">
        <v>91</v>
      </c>
      <c r="C93" s="1">
        <v>4</v>
      </c>
      <c r="D93" s="1">
        <v>215</v>
      </c>
      <c r="E93" s="1">
        <v>30975</v>
      </c>
      <c r="F93" s="1">
        <f t="shared" si="4"/>
        <v>74</v>
      </c>
      <c r="G93" s="1">
        <f t="shared" si="5"/>
        <v>20</v>
      </c>
    </row>
    <row r="94" spans="1:7" x14ac:dyDescent="0.15">
      <c r="A94" s="3" t="s">
        <v>82</v>
      </c>
      <c r="B94" s="6" t="s">
        <v>88</v>
      </c>
      <c r="C94" s="1">
        <v>4</v>
      </c>
      <c r="D94" s="1">
        <v>280</v>
      </c>
      <c r="E94" s="1">
        <v>28096</v>
      </c>
      <c r="F94" s="1">
        <f t="shared" si="4"/>
        <v>61</v>
      </c>
      <c r="G94" s="1">
        <f t="shared" si="5"/>
        <v>30</v>
      </c>
    </row>
    <row r="95" spans="1:7" x14ac:dyDescent="0.15">
      <c r="A95" s="3" t="s">
        <v>82</v>
      </c>
      <c r="B95" s="6" t="s">
        <v>85</v>
      </c>
      <c r="C95" s="1">
        <v>2</v>
      </c>
      <c r="D95" s="1">
        <v>308</v>
      </c>
      <c r="E95" s="1">
        <v>31665</v>
      </c>
      <c r="F95" s="1">
        <f t="shared" si="4"/>
        <v>55</v>
      </c>
      <c r="G95" s="1">
        <f t="shared" si="5"/>
        <v>18</v>
      </c>
    </row>
    <row r="96" spans="1:7" x14ac:dyDescent="0.15">
      <c r="A96" s="3" t="s">
        <v>82</v>
      </c>
      <c r="B96" s="6" t="s">
        <v>85</v>
      </c>
      <c r="C96" s="1">
        <v>3</v>
      </c>
      <c r="D96" s="1">
        <v>401</v>
      </c>
      <c r="E96" s="1">
        <v>39566</v>
      </c>
      <c r="F96" s="1">
        <f t="shared" si="4"/>
        <v>34</v>
      </c>
      <c r="G96" s="1">
        <f t="shared" si="5"/>
        <v>12</v>
      </c>
    </row>
    <row r="97" spans="1:7" x14ac:dyDescent="0.15">
      <c r="A97" s="3" t="s">
        <v>82</v>
      </c>
      <c r="B97" s="6" t="s">
        <v>85</v>
      </c>
      <c r="C97" s="1">
        <v>4</v>
      </c>
      <c r="D97" s="1">
        <v>509</v>
      </c>
      <c r="E97" s="1">
        <v>48655</v>
      </c>
      <c r="F97" s="1">
        <f t="shared" si="4"/>
        <v>20</v>
      </c>
      <c r="G97" s="1">
        <f t="shared" si="5"/>
        <v>6</v>
      </c>
    </row>
  </sheetData>
  <phoneticPr fontId="1" type="noConversion"/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员工销售情况表</vt:lpstr>
      <vt:lpstr>员工销售额统计表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Microsoft</cp:lastModifiedBy>
  <dcterms:created xsi:type="dcterms:W3CDTF">2005-08-24T03:08:06Z</dcterms:created>
  <dcterms:modified xsi:type="dcterms:W3CDTF">2021-04-17T05:55:49Z</dcterms:modified>
</cp:coreProperties>
</file>