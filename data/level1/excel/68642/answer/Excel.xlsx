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高校题库制作系统-副本\startfile\ExtractFile\"/>
    </mc:Choice>
  </mc:AlternateContent>
  <bookViews>
    <workbookView xWindow="0" yWindow="0" windowWidth="17520" windowHeight="8340" activeTab="2"/>
  </bookViews>
  <sheets>
    <sheet name="人员工资统计表" sheetId="1" r:id="rId1"/>
    <sheet name="绩效评分奖金计算规则" sheetId="4" r:id="rId2"/>
    <sheet name="产品销售情况表" sheetId="5" r:id="rId3"/>
  </sheets>
  <definedNames>
    <definedName name="_xlnm._FilterDatabase" localSheetId="2" hidden="1">产品销售情况表!$A$5:$G$101</definedName>
    <definedName name="_xlnm._FilterDatabase" localSheetId="0" hidden="1">人员工资统计表!$A$2:$H$100</definedName>
    <definedName name="_xlchart.0" hidden="1">人员工资统计表!$J$11:$J$13</definedName>
    <definedName name="_xlchart.1" hidden="1">人员工资统计表!$L$10</definedName>
    <definedName name="_xlchart.2" hidden="1">人员工资统计表!$L$11:$L$13</definedName>
    <definedName name="_xlchart.3" hidden="1">人员工资统计表!$N$10</definedName>
    <definedName name="_xlchart.4" hidden="1">人员工资统计表!$N$11:$N$13</definedName>
    <definedName name="_xlnm.Criteria" localSheetId="2">产品销售情况表!$A$1:$G$3</definedName>
  </definedNames>
  <calcPr calcId="162913"/>
  <fileRecoveryPr repairLoad="1"/>
</workbook>
</file>

<file path=xl/calcChain.xml><?xml version="1.0" encoding="utf-8"?>
<calcChain xmlns="http://schemas.openxmlformats.org/spreadsheetml/2006/main">
  <c r="N12" i="1" l="1"/>
  <c r="N13" i="1"/>
  <c r="N11" i="1"/>
  <c r="M12" i="1"/>
  <c r="M13" i="1"/>
  <c r="M11" i="1"/>
  <c r="L12" i="1" l="1"/>
  <c r="L13" i="1"/>
  <c r="L11" i="1"/>
  <c r="K11" i="1"/>
  <c r="K12" i="1"/>
  <c r="K13" i="1"/>
  <c r="L6" i="1"/>
  <c r="L7" i="1"/>
  <c r="L5" i="1"/>
  <c r="K6" i="1"/>
  <c r="K7" i="1"/>
  <c r="K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</calcChain>
</file>

<file path=xl/sharedStrings.xml><?xml version="1.0" encoding="utf-8"?>
<sst xmlns="http://schemas.openxmlformats.org/spreadsheetml/2006/main" count="529" uniqueCount="190">
  <si>
    <t>基本工资</t>
  </si>
  <si>
    <t>岗位津贴</t>
  </si>
  <si>
    <t>奖金</t>
  </si>
  <si>
    <t>工号</t>
  </si>
  <si>
    <t>绩效评分</t>
  </si>
  <si>
    <t>A01</t>
    <phoneticPr fontId="1" type="noConversion"/>
  </si>
  <si>
    <t>组别</t>
    <phoneticPr fontId="1" type="noConversion"/>
  </si>
  <si>
    <t>一组</t>
    <phoneticPr fontId="1" type="noConversion"/>
  </si>
  <si>
    <t>三组</t>
    <phoneticPr fontId="1" type="noConversion"/>
  </si>
  <si>
    <t>二组</t>
    <phoneticPr fontId="1" type="noConversion"/>
  </si>
  <si>
    <t>三组</t>
    <phoneticPr fontId="1" type="noConversion"/>
  </si>
  <si>
    <t>一组</t>
    <phoneticPr fontId="1" type="noConversion"/>
  </si>
  <si>
    <t>三组</t>
    <phoneticPr fontId="1" type="noConversion"/>
  </si>
  <si>
    <t>三组</t>
    <phoneticPr fontId="1" type="noConversion"/>
  </si>
  <si>
    <t>一组</t>
    <phoneticPr fontId="1" type="noConversion"/>
  </si>
  <si>
    <t>一组</t>
    <phoneticPr fontId="1" type="noConversion"/>
  </si>
  <si>
    <t>一组</t>
    <phoneticPr fontId="1" type="noConversion"/>
  </si>
  <si>
    <t>一组</t>
    <phoneticPr fontId="1" type="noConversion"/>
  </si>
  <si>
    <t>三组</t>
    <phoneticPr fontId="1" type="noConversion"/>
  </si>
  <si>
    <t>一组</t>
    <phoneticPr fontId="1" type="noConversion"/>
  </si>
  <si>
    <t>三组</t>
    <phoneticPr fontId="1" type="noConversion"/>
  </si>
  <si>
    <t>三组</t>
    <phoneticPr fontId="1" type="noConversion"/>
  </si>
  <si>
    <t>三组</t>
    <phoneticPr fontId="1" type="noConversion"/>
  </si>
  <si>
    <t>三组</t>
    <phoneticPr fontId="1" type="noConversion"/>
  </si>
  <si>
    <t>三组</t>
    <phoneticPr fontId="1" type="noConversion"/>
  </si>
  <si>
    <t>三组</t>
    <phoneticPr fontId="1" type="noConversion"/>
  </si>
  <si>
    <t>三组</t>
    <phoneticPr fontId="1" type="noConversion"/>
  </si>
  <si>
    <t>一组</t>
    <phoneticPr fontId="1" type="noConversion"/>
  </si>
  <si>
    <t>A03</t>
  </si>
  <si>
    <r>
      <t>A0</t>
    </r>
    <r>
      <rPr>
        <sz val="12"/>
        <rFont val="宋体"/>
        <family val="3"/>
        <charset val="134"/>
      </rPr>
      <t>2</t>
    </r>
    <phoneticPr fontId="1" type="noConversion"/>
  </si>
  <si>
    <t>工资合计</t>
    <phoneticPr fontId="1" type="noConversion"/>
  </si>
  <si>
    <t>奖金（元）</t>
  </si>
  <si>
    <t>小于60</t>
  </si>
  <si>
    <t>大于或等于90</t>
  </si>
  <si>
    <t>大于或等于80</t>
  </si>
  <si>
    <t>大于或等于70</t>
  </si>
  <si>
    <t>大于或等于60</t>
  </si>
  <si>
    <t>员工工资表</t>
    <phoneticPr fontId="1" type="noConversion"/>
  </si>
  <si>
    <t>组别</t>
  </si>
  <si>
    <t>组别</t>
    <phoneticPr fontId="1" type="noConversion"/>
  </si>
  <si>
    <t>一组</t>
  </si>
  <si>
    <t>一组</t>
    <phoneticPr fontId="1" type="noConversion"/>
  </si>
  <si>
    <t>二组</t>
  </si>
  <si>
    <t>二组</t>
    <phoneticPr fontId="1" type="noConversion"/>
  </si>
  <si>
    <t>三组</t>
  </si>
  <si>
    <t>三组</t>
    <phoneticPr fontId="1" type="noConversion"/>
  </si>
  <si>
    <t>奖金平均值</t>
    <phoneticPr fontId="1" type="noConversion"/>
  </si>
  <si>
    <t>人数</t>
    <phoneticPr fontId="1" type="noConversion"/>
  </si>
  <si>
    <t>A所占百分比</t>
    <phoneticPr fontId="1" type="noConversion"/>
  </si>
  <si>
    <t>B所占百分比</t>
    <phoneticPr fontId="1" type="noConversion"/>
  </si>
  <si>
    <t>季度</t>
  </si>
  <si>
    <t>销售额排名</t>
  </si>
  <si>
    <t>A04</t>
  </si>
  <si>
    <r>
      <t>A05</t>
    </r>
    <r>
      <rPr>
        <sz val="12"/>
        <rFont val="宋体"/>
        <family val="3"/>
        <charset val="134"/>
      </rPr>
      <t/>
    </r>
  </si>
  <si>
    <t>统计表1</t>
    <phoneticPr fontId="1" type="noConversion"/>
  </si>
  <si>
    <t>统计表2</t>
    <phoneticPr fontId="1" type="noConversion"/>
  </si>
  <si>
    <t>工资等级</t>
    <phoneticPr fontId="1" type="noConversion"/>
  </si>
  <si>
    <t>工资等级A人数</t>
    <phoneticPr fontId="1" type="noConversion"/>
  </si>
  <si>
    <t>工资等级B人数</t>
    <phoneticPr fontId="1" type="noConversion"/>
  </si>
  <si>
    <t>分公司</t>
  </si>
  <si>
    <t>产品类别</t>
  </si>
  <si>
    <t>产品名称</t>
  </si>
  <si>
    <t>销售数量</t>
  </si>
  <si>
    <t>销售额（万元）</t>
  </si>
  <si>
    <t>东部1</t>
  </si>
  <si>
    <t>B-1</t>
  </si>
  <si>
    <t>南部1</t>
  </si>
  <si>
    <t>北部1</t>
  </si>
  <si>
    <t>西部1</t>
  </si>
  <si>
    <t>D-1</t>
  </si>
  <si>
    <t>电视机</t>
  </si>
  <si>
    <t>西部3</t>
  </si>
  <si>
    <t>D-2</t>
  </si>
  <si>
    <t>电冰箱</t>
  </si>
  <si>
    <t>东部3</t>
  </si>
  <si>
    <t>南部3</t>
  </si>
  <si>
    <t>北部3</t>
  </si>
  <si>
    <t>南部4</t>
  </si>
  <si>
    <t>J-1</t>
  </si>
  <si>
    <t>加湿器</t>
  </si>
  <si>
    <t>东部4</t>
  </si>
  <si>
    <t>北部4</t>
  </si>
  <si>
    <t>西部4</t>
  </si>
  <si>
    <t>西部2</t>
  </si>
  <si>
    <t>K-1</t>
  </si>
  <si>
    <t>空调</t>
  </si>
  <si>
    <t>东部2</t>
  </si>
  <si>
    <t>南部2</t>
  </si>
  <si>
    <t>北部2</t>
  </si>
  <si>
    <t>P-1</t>
  </si>
  <si>
    <t>数码相机</t>
  </si>
  <si>
    <t>S-1</t>
  </si>
  <si>
    <t>手机</t>
  </si>
  <si>
    <t>W-1</t>
  </si>
  <si>
    <t>微波炉</t>
  </si>
  <si>
    <t>笔记本电脑</t>
  </si>
  <si>
    <t>A06</t>
  </si>
  <si>
    <r>
      <t>A07</t>
    </r>
    <r>
      <rPr>
        <sz val="12"/>
        <rFont val="宋体"/>
        <family val="3"/>
        <charset val="134"/>
      </rPr>
      <t/>
    </r>
  </si>
  <si>
    <t>A08</t>
  </si>
  <si>
    <t>A09</t>
  </si>
  <si>
    <r>
      <t>A10</t>
    </r>
    <r>
      <rPr>
        <sz val="12"/>
        <rFont val="宋体"/>
        <family val="3"/>
        <charset val="134"/>
      </rPr>
      <t/>
    </r>
  </si>
  <si>
    <t>A11</t>
  </si>
  <si>
    <r>
      <t>A12</t>
    </r>
    <r>
      <rPr>
        <sz val="12"/>
        <rFont val="宋体"/>
        <family val="3"/>
        <charset val="134"/>
      </rPr>
      <t/>
    </r>
  </si>
  <si>
    <t>A13</t>
  </si>
  <si>
    <t>A14</t>
  </si>
  <si>
    <r>
      <t>A15</t>
    </r>
    <r>
      <rPr>
        <sz val="12"/>
        <rFont val="宋体"/>
        <family val="3"/>
        <charset val="134"/>
      </rPr>
      <t/>
    </r>
  </si>
  <si>
    <t>A16</t>
  </si>
  <si>
    <r>
      <t>A17</t>
    </r>
    <r>
      <rPr>
        <sz val="12"/>
        <rFont val="宋体"/>
        <family val="3"/>
        <charset val="134"/>
      </rPr>
      <t/>
    </r>
  </si>
  <si>
    <t>A18</t>
  </si>
  <si>
    <t>A19</t>
  </si>
  <si>
    <r>
      <t>A20</t>
    </r>
    <r>
      <rPr>
        <sz val="12"/>
        <rFont val="宋体"/>
        <family val="3"/>
        <charset val="134"/>
      </rPr>
      <t/>
    </r>
  </si>
  <si>
    <t>A21</t>
  </si>
  <si>
    <r>
      <t>A22</t>
    </r>
    <r>
      <rPr>
        <sz val="12"/>
        <rFont val="宋体"/>
        <family val="3"/>
        <charset val="134"/>
      </rPr>
      <t/>
    </r>
  </si>
  <si>
    <t>A23</t>
  </si>
  <si>
    <t>A24</t>
  </si>
  <si>
    <r>
      <t>A25</t>
    </r>
    <r>
      <rPr>
        <sz val="12"/>
        <rFont val="宋体"/>
        <family val="3"/>
        <charset val="134"/>
      </rPr>
      <t/>
    </r>
  </si>
  <si>
    <t>A26</t>
  </si>
  <si>
    <r>
      <t>A27</t>
    </r>
    <r>
      <rPr>
        <sz val="12"/>
        <rFont val="宋体"/>
        <family val="3"/>
        <charset val="134"/>
      </rPr>
      <t/>
    </r>
  </si>
  <si>
    <t>A28</t>
  </si>
  <si>
    <t>A29</t>
  </si>
  <si>
    <r>
      <t>A30</t>
    </r>
    <r>
      <rPr>
        <sz val="12"/>
        <rFont val="宋体"/>
        <family val="3"/>
        <charset val="134"/>
      </rPr>
      <t/>
    </r>
  </si>
  <si>
    <t>A31</t>
  </si>
  <si>
    <r>
      <t>A32</t>
    </r>
    <r>
      <rPr>
        <sz val="12"/>
        <rFont val="宋体"/>
        <family val="3"/>
        <charset val="134"/>
      </rPr>
      <t/>
    </r>
  </si>
  <si>
    <t>A33</t>
  </si>
  <si>
    <t>A34</t>
  </si>
  <si>
    <r>
      <t>A35</t>
    </r>
    <r>
      <rPr>
        <sz val="12"/>
        <rFont val="宋体"/>
        <family val="3"/>
        <charset val="134"/>
      </rPr>
      <t/>
    </r>
  </si>
  <si>
    <t>A36</t>
  </si>
  <si>
    <r>
      <t>A37</t>
    </r>
    <r>
      <rPr>
        <sz val="12"/>
        <rFont val="宋体"/>
        <family val="3"/>
        <charset val="134"/>
      </rPr>
      <t/>
    </r>
  </si>
  <si>
    <t>A38</t>
  </si>
  <si>
    <t>A39</t>
  </si>
  <si>
    <r>
      <t>A40</t>
    </r>
    <r>
      <rPr>
        <sz val="12"/>
        <rFont val="宋体"/>
        <family val="3"/>
        <charset val="134"/>
      </rPr>
      <t/>
    </r>
  </si>
  <si>
    <t>A41</t>
  </si>
  <si>
    <r>
      <t>A42</t>
    </r>
    <r>
      <rPr>
        <sz val="12"/>
        <rFont val="宋体"/>
        <family val="3"/>
        <charset val="134"/>
      </rPr>
      <t/>
    </r>
  </si>
  <si>
    <t>A43</t>
  </si>
  <si>
    <t>A44</t>
  </si>
  <si>
    <r>
      <t>A45</t>
    </r>
    <r>
      <rPr>
        <sz val="12"/>
        <rFont val="宋体"/>
        <family val="3"/>
        <charset val="134"/>
      </rPr>
      <t/>
    </r>
  </si>
  <si>
    <t>A46</t>
  </si>
  <si>
    <r>
      <t>A47</t>
    </r>
    <r>
      <rPr>
        <sz val="12"/>
        <rFont val="宋体"/>
        <family val="3"/>
        <charset val="134"/>
      </rPr>
      <t/>
    </r>
  </si>
  <si>
    <t>A48</t>
  </si>
  <si>
    <t>A49</t>
  </si>
  <si>
    <r>
      <t>A50</t>
    </r>
    <r>
      <rPr>
        <sz val="12"/>
        <rFont val="宋体"/>
        <family val="3"/>
        <charset val="134"/>
      </rPr>
      <t/>
    </r>
  </si>
  <si>
    <t>A51</t>
  </si>
  <si>
    <r>
      <t>A52</t>
    </r>
    <r>
      <rPr>
        <sz val="12"/>
        <rFont val="宋体"/>
        <family val="3"/>
        <charset val="134"/>
      </rPr>
      <t/>
    </r>
  </si>
  <si>
    <t>A53</t>
  </si>
  <si>
    <t>A54</t>
  </si>
  <si>
    <r>
      <t>A55</t>
    </r>
    <r>
      <rPr>
        <sz val="12"/>
        <rFont val="宋体"/>
        <family val="3"/>
        <charset val="134"/>
      </rPr>
      <t/>
    </r>
  </si>
  <si>
    <t>A56</t>
  </si>
  <si>
    <r>
      <t>A57</t>
    </r>
    <r>
      <rPr>
        <sz val="12"/>
        <rFont val="宋体"/>
        <family val="3"/>
        <charset val="134"/>
      </rPr>
      <t/>
    </r>
  </si>
  <si>
    <t>A58</t>
  </si>
  <si>
    <t>A59</t>
  </si>
  <si>
    <r>
      <t>A60</t>
    </r>
    <r>
      <rPr>
        <sz val="12"/>
        <rFont val="宋体"/>
        <family val="3"/>
        <charset val="134"/>
      </rPr>
      <t/>
    </r>
  </si>
  <si>
    <t>A61</t>
  </si>
  <si>
    <r>
      <t>A62</t>
    </r>
    <r>
      <rPr>
        <sz val="12"/>
        <rFont val="宋体"/>
        <family val="3"/>
        <charset val="134"/>
      </rPr>
      <t/>
    </r>
  </si>
  <si>
    <t>A63</t>
  </si>
  <si>
    <t>A64</t>
  </si>
  <si>
    <r>
      <t>A65</t>
    </r>
    <r>
      <rPr>
        <sz val="12"/>
        <rFont val="宋体"/>
        <family val="3"/>
        <charset val="134"/>
      </rPr>
      <t/>
    </r>
  </si>
  <si>
    <t>A66</t>
  </si>
  <si>
    <r>
      <t>A67</t>
    </r>
    <r>
      <rPr>
        <sz val="12"/>
        <rFont val="宋体"/>
        <family val="3"/>
        <charset val="134"/>
      </rPr>
      <t/>
    </r>
  </si>
  <si>
    <t>A68</t>
  </si>
  <si>
    <t>A69</t>
  </si>
  <si>
    <r>
      <t>A70</t>
    </r>
    <r>
      <rPr>
        <sz val="12"/>
        <rFont val="宋体"/>
        <family val="3"/>
        <charset val="134"/>
      </rPr>
      <t/>
    </r>
  </si>
  <si>
    <t>A71</t>
  </si>
  <si>
    <r>
      <t>A72</t>
    </r>
    <r>
      <rPr>
        <sz val="12"/>
        <rFont val="宋体"/>
        <family val="3"/>
        <charset val="134"/>
      </rPr>
      <t/>
    </r>
  </si>
  <si>
    <t>A73</t>
  </si>
  <si>
    <t>A74</t>
  </si>
  <si>
    <r>
      <t>A75</t>
    </r>
    <r>
      <rPr>
        <sz val="12"/>
        <rFont val="宋体"/>
        <family val="3"/>
        <charset val="134"/>
      </rPr>
      <t/>
    </r>
  </si>
  <si>
    <t>A76</t>
  </si>
  <si>
    <r>
      <t>A77</t>
    </r>
    <r>
      <rPr>
        <sz val="12"/>
        <rFont val="宋体"/>
        <family val="3"/>
        <charset val="134"/>
      </rPr>
      <t/>
    </r>
  </si>
  <si>
    <t>A78</t>
  </si>
  <si>
    <t>A79</t>
  </si>
  <si>
    <r>
      <t>A80</t>
    </r>
    <r>
      <rPr>
        <sz val="12"/>
        <rFont val="宋体"/>
        <family val="3"/>
        <charset val="134"/>
      </rPr>
      <t/>
    </r>
  </si>
  <si>
    <t>A81</t>
  </si>
  <si>
    <r>
      <t>A82</t>
    </r>
    <r>
      <rPr>
        <sz val="12"/>
        <rFont val="宋体"/>
        <family val="3"/>
        <charset val="134"/>
      </rPr>
      <t/>
    </r>
  </si>
  <si>
    <t>A83</t>
  </si>
  <si>
    <t>A84</t>
  </si>
  <si>
    <r>
      <t>A85</t>
    </r>
    <r>
      <rPr>
        <sz val="12"/>
        <rFont val="宋体"/>
        <family val="3"/>
        <charset val="134"/>
      </rPr>
      <t/>
    </r>
  </si>
  <si>
    <t>A86</t>
  </si>
  <si>
    <r>
      <t>A87</t>
    </r>
    <r>
      <rPr>
        <sz val="12"/>
        <rFont val="宋体"/>
        <family val="3"/>
        <charset val="134"/>
      </rPr>
      <t/>
    </r>
  </si>
  <si>
    <t>A88</t>
  </si>
  <si>
    <t>A89</t>
  </si>
  <si>
    <r>
      <t>A90</t>
    </r>
    <r>
      <rPr>
        <sz val="12"/>
        <rFont val="宋体"/>
        <family val="3"/>
        <charset val="134"/>
      </rPr>
      <t/>
    </r>
  </si>
  <si>
    <t>A91</t>
  </si>
  <si>
    <r>
      <t>A92</t>
    </r>
    <r>
      <rPr>
        <sz val="12"/>
        <rFont val="宋体"/>
        <family val="3"/>
        <charset val="134"/>
      </rPr>
      <t/>
    </r>
  </si>
  <si>
    <t>A93</t>
  </si>
  <si>
    <t>A94</t>
  </si>
  <si>
    <r>
      <t>A95</t>
    </r>
    <r>
      <rPr>
        <sz val="12"/>
        <rFont val="宋体"/>
        <family val="3"/>
        <charset val="134"/>
      </rPr>
      <t/>
    </r>
  </si>
  <si>
    <t>A96</t>
  </si>
  <si>
    <r>
      <t>A97</t>
    </r>
    <r>
      <rPr>
        <sz val="12"/>
        <rFont val="宋体"/>
        <family val="3"/>
        <charset val="134"/>
      </rPr>
      <t/>
    </r>
  </si>
  <si>
    <t>A98</t>
  </si>
  <si>
    <r>
      <t>&lt;</t>
    </r>
    <r>
      <rPr>
        <sz val="12"/>
        <rFont val="宋体"/>
        <family val="3"/>
        <charset val="134"/>
      </rPr>
      <t>=30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</si>
</sst>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6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2"/>
      <color rgb="FF333333"/>
      <name val="宋体"/>
      <family val="3"/>
      <charset val="134"/>
    </font>
    <font>
      <sz val="9"/>
      <name val="宋体"/>
      <family val="3"/>
      <charset val="134"/>
    </font>
    <font>
      <b/>
      <sz val="12"/>
      <color rgb="FF333333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0" fontId="0" fillId="0" borderId="1" xfId="0" applyNumberFormat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1">
    <dxf>
      <fill>
        <patternFill patternType="darkHorizontal">
          <f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baseline="0" smtClean="0"/>
              <a:t>工资等级统计图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人员工资统计表!$L$10</c:f>
              <c:strCache>
                <c:ptCount val="1"/>
                <c:pt idx="0">
                  <c:v>A所占百分比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人员工资统计表!$J$11:$J$13</c:f>
              <c:strCache>
                <c:ptCount val="3"/>
                <c:pt idx="0">
                  <c:v>一组</c:v>
                </c:pt>
                <c:pt idx="1">
                  <c:v>二组</c:v>
                </c:pt>
                <c:pt idx="2">
                  <c:v>三组</c:v>
                </c:pt>
              </c:strCache>
            </c:strRef>
          </c:cat>
          <c:val>
            <c:numRef>
              <c:f>人员工资统计表!$L$11:$L$13</c:f>
              <c:numCache>
                <c:formatCode>0.00%</c:formatCode>
                <c:ptCount val="3"/>
                <c:pt idx="0">
                  <c:v>0.12</c:v>
                </c:pt>
                <c:pt idx="1">
                  <c:v>0.28205128205128205</c:v>
                </c:pt>
                <c:pt idx="2">
                  <c:v>0.23529411764705882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7B-45CB-80FE-B1EAB3F15903}"/>
            </c:ext>
          </c:extLst>
        </c:ser>
        <c:ser>
          <c:idx val="1"/>
          <c:order val="1"/>
          <c:tx>
            <c:strRef>
              <c:f>人员工资统计表!$N$10</c:f>
              <c:strCache>
                <c:ptCount val="1"/>
                <c:pt idx="0">
                  <c:v>B所占百分比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人员工资统计表!$J$11:$J$13</c:f>
              <c:strCache>
                <c:ptCount val="3"/>
                <c:pt idx="0">
                  <c:v>一组</c:v>
                </c:pt>
                <c:pt idx="1">
                  <c:v>二组</c:v>
                </c:pt>
                <c:pt idx="2">
                  <c:v>三组</c:v>
                </c:pt>
              </c:strCache>
            </c:strRef>
          </c:cat>
          <c:val>
            <c:numRef>
              <c:f>人员工资统计表!$N$11:$N$13</c:f>
              <c:numCache>
                <c:formatCode>0.00%</c:formatCode>
                <c:ptCount val="3"/>
                <c:pt idx="0">
                  <c:v>0.36</c:v>
                </c:pt>
                <c:pt idx="1">
                  <c:v>0.4358974358974359</c:v>
                </c:pt>
                <c:pt idx="2">
                  <c:v>0.35294117647058826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7B-45CB-80FE-B1EAB3F15903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80"/>
        <c:axId val="481851920"/>
        <c:axId val="481853560"/>
      </c:barChart>
      <c:catAx>
        <c:axId val="48185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1853560"/>
        <c:crosses val="autoZero"/>
        <c:auto val="1"/>
        <c:lblAlgn val="ctr"/>
        <c:lblOffset val="100"/>
        <c:noMultiLvlLbl val="0"/>
      </c:catAx>
      <c:valAx>
        <c:axId val="48185356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185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15</xdr:row>
      <xdr:rowOff>61912</xdr:rowOff>
    </xdr:from>
    <xdr:to>
      <xdr:col>13</xdr:col>
      <xdr:colOff>981075</xdr:colOff>
      <xdr:row>29</xdr:row>
      <xdr:rowOff>123825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topLeftCell="D16" zoomScaleSheetLayoutView="100" workbookViewId="0">
      <selection activeCell="K32" sqref="K32"/>
    </sheetView>
  </sheetViews>
  <sheetFormatPr defaultColWidth="9" defaultRowHeight="14.25" x14ac:dyDescent="0.15"/>
  <cols>
    <col min="1" max="1" width="6.875" customWidth="1"/>
    <col min="2" max="2" width="8.125" customWidth="1"/>
    <col min="6" max="6" width="6.625" customWidth="1"/>
    <col min="10" max="10" width="6.5" customWidth="1"/>
    <col min="11" max="11" width="15" bestFit="1" customWidth="1"/>
    <col min="12" max="12" width="15" customWidth="1"/>
    <col min="13" max="13" width="13.75" customWidth="1"/>
    <col min="14" max="14" width="13.625" customWidth="1"/>
  </cols>
  <sheetData>
    <row r="1" spans="1:14" x14ac:dyDescent="0.15">
      <c r="A1" s="12" t="s">
        <v>37</v>
      </c>
      <c r="B1" s="12"/>
      <c r="C1" s="12"/>
      <c r="D1" s="12"/>
      <c r="E1" s="12"/>
      <c r="F1" s="12"/>
      <c r="G1" s="12"/>
      <c r="H1" s="12"/>
    </row>
    <row r="2" spans="1:14" x14ac:dyDescent="0.15">
      <c r="A2" t="s">
        <v>3</v>
      </c>
      <c r="B2" t="s">
        <v>6</v>
      </c>
      <c r="C2" t="s">
        <v>4</v>
      </c>
      <c r="D2" t="s">
        <v>0</v>
      </c>
      <c r="E2" t="s">
        <v>1</v>
      </c>
      <c r="F2" t="s">
        <v>2</v>
      </c>
      <c r="G2" s="1" t="s">
        <v>30</v>
      </c>
      <c r="H2" s="1" t="s">
        <v>56</v>
      </c>
    </row>
    <row r="3" spans="1:14" x14ac:dyDescent="0.15">
      <c r="A3" t="s">
        <v>5</v>
      </c>
      <c r="B3" s="1" t="s">
        <v>7</v>
      </c>
      <c r="C3">
        <v>93</v>
      </c>
      <c r="D3">
        <v>7852</v>
      </c>
      <c r="E3">
        <v>6224</v>
      </c>
      <c r="F3">
        <f>IF(C3&gt;=90,8000,IF(C3&gt;=80,6000,IF(C3&gt;=70,4000,IF(C3&gt;=60,2000,800))))</f>
        <v>8000</v>
      </c>
      <c r="G3">
        <f>SUM(D3:F3)</f>
        <v>22076</v>
      </c>
      <c r="H3" t="str">
        <f>IF(G3&gt;=19000,"A",IF(G3&gt;=16000,"B","C"))</f>
        <v>A</v>
      </c>
      <c r="J3" s="11" t="s">
        <v>54</v>
      </c>
      <c r="K3" s="11"/>
      <c r="L3" s="11"/>
    </row>
    <row r="4" spans="1:14" x14ac:dyDescent="0.15">
      <c r="A4" s="1" t="s">
        <v>29</v>
      </c>
      <c r="B4" s="1" t="s">
        <v>8</v>
      </c>
      <c r="C4">
        <v>84</v>
      </c>
      <c r="D4">
        <v>5270</v>
      </c>
      <c r="E4">
        <v>5184</v>
      </c>
      <c r="F4" s="5">
        <f t="shared" ref="F4:F67" si="0">IF(C4&gt;=90,8000,IF(C4&gt;=80,6000,IF(C4&gt;=70,4000,IF(C4&gt;=60,2000,800))))</f>
        <v>6000</v>
      </c>
      <c r="G4" s="5">
        <f t="shared" ref="G4:G67" si="1">SUM(D4:F4)</f>
        <v>16454</v>
      </c>
      <c r="H4" s="5" t="str">
        <f t="shared" ref="H4:H67" si="2">IF(G4&gt;=19000,"A",IF(G4&gt;=16000,"B","C"))</f>
        <v>B</v>
      </c>
      <c r="J4" s="2" t="s">
        <v>39</v>
      </c>
      <c r="K4" s="8" t="s">
        <v>47</v>
      </c>
      <c r="L4" s="8" t="s">
        <v>46</v>
      </c>
    </row>
    <row r="5" spans="1:14" x14ac:dyDescent="0.15">
      <c r="A5" t="s">
        <v>28</v>
      </c>
      <c r="B5" s="1" t="s">
        <v>9</v>
      </c>
      <c r="C5">
        <v>61</v>
      </c>
      <c r="D5">
        <v>8132</v>
      </c>
      <c r="E5">
        <v>7265</v>
      </c>
      <c r="F5" s="5">
        <f t="shared" si="0"/>
        <v>2000</v>
      </c>
      <c r="G5" s="5">
        <f t="shared" si="1"/>
        <v>17397</v>
      </c>
      <c r="H5" s="5" t="str">
        <f t="shared" si="2"/>
        <v>B</v>
      </c>
      <c r="J5" s="2" t="s">
        <v>41</v>
      </c>
      <c r="K5" s="3">
        <f>COUNTIF($B$3:$B$100,J5)</f>
        <v>25</v>
      </c>
      <c r="L5" s="9">
        <f>AVERAGEIF($B$3:$B$100,J5,$F$3:$F$100)</f>
        <v>3760</v>
      </c>
    </row>
    <row r="6" spans="1:14" x14ac:dyDescent="0.15">
      <c r="A6" t="s">
        <v>52</v>
      </c>
      <c r="B6" s="1" t="s">
        <v>9</v>
      </c>
      <c r="C6">
        <v>94</v>
      </c>
      <c r="D6">
        <v>6329</v>
      </c>
      <c r="E6">
        <v>5184</v>
      </c>
      <c r="F6" s="5">
        <f t="shared" si="0"/>
        <v>8000</v>
      </c>
      <c r="G6" s="5">
        <f t="shared" si="1"/>
        <v>19513</v>
      </c>
      <c r="H6" s="5" t="str">
        <f t="shared" si="2"/>
        <v>A</v>
      </c>
      <c r="J6" s="2" t="s">
        <v>43</v>
      </c>
      <c r="K6" s="3">
        <f>COUNTIF($B$3:$B$100,J6)</f>
        <v>39</v>
      </c>
      <c r="L6" s="9">
        <f>AVERAGEIF($B$3:$B$100,J6,$F$3:$F$100)</f>
        <v>4512.8205128205127</v>
      </c>
    </row>
    <row r="7" spans="1:14" x14ac:dyDescent="0.15">
      <c r="A7" s="1" t="s">
        <v>53</v>
      </c>
      <c r="B7" s="1" t="s">
        <v>10</v>
      </c>
      <c r="C7">
        <v>97</v>
      </c>
      <c r="D7">
        <v>7412</v>
      </c>
      <c r="E7">
        <v>6224</v>
      </c>
      <c r="F7" s="5">
        <f t="shared" si="0"/>
        <v>8000</v>
      </c>
      <c r="G7" s="5">
        <f t="shared" si="1"/>
        <v>21636</v>
      </c>
      <c r="H7" s="5" t="str">
        <f t="shared" si="2"/>
        <v>A</v>
      </c>
      <c r="J7" s="2" t="s">
        <v>45</v>
      </c>
      <c r="K7" s="3">
        <f>COUNTIF($B$3:$B$100,J7)</f>
        <v>34</v>
      </c>
      <c r="L7" s="9">
        <f>AVERAGEIF($B$3:$B$100,J7,$F$3:$F$100)</f>
        <v>3929.4117647058824</v>
      </c>
    </row>
    <row r="8" spans="1:14" x14ac:dyDescent="0.15">
      <c r="A8" s="5" t="s">
        <v>96</v>
      </c>
      <c r="B8" s="1" t="s">
        <v>10</v>
      </c>
      <c r="C8">
        <v>88</v>
      </c>
      <c r="D8">
        <v>7852</v>
      </c>
      <c r="E8">
        <v>6224</v>
      </c>
      <c r="F8" s="5">
        <f t="shared" si="0"/>
        <v>6000</v>
      </c>
      <c r="G8" s="5">
        <f t="shared" si="1"/>
        <v>20076</v>
      </c>
      <c r="H8" s="5" t="str">
        <f t="shared" si="2"/>
        <v>A</v>
      </c>
    </row>
    <row r="9" spans="1:14" x14ac:dyDescent="0.15">
      <c r="A9" s="1" t="s">
        <v>97</v>
      </c>
      <c r="B9" s="1" t="s">
        <v>11</v>
      </c>
      <c r="C9">
        <v>80</v>
      </c>
      <c r="D9">
        <v>7375</v>
      </c>
      <c r="E9">
        <v>5184</v>
      </c>
      <c r="F9" s="5">
        <f t="shared" si="0"/>
        <v>6000</v>
      </c>
      <c r="G9" s="5">
        <f t="shared" si="1"/>
        <v>18559</v>
      </c>
      <c r="H9" s="5" t="str">
        <f t="shared" si="2"/>
        <v>B</v>
      </c>
      <c r="J9" s="11" t="s">
        <v>55</v>
      </c>
      <c r="K9" s="11"/>
      <c r="L9" s="11"/>
      <c r="M9" s="11"/>
      <c r="N9" s="11"/>
    </row>
    <row r="10" spans="1:14" x14ac:dyDescent="0.15">
      <c r="A10" s="5" t="s">
        <v>98</v>
      </c>
      <c r="B10" s="1" t="s">
        <v>12</v>
      </c>
      <c r="C10">
        <v>68</v>
      </c>
      <c r="D10">
        <v>8132</v>
      </c>
      <c r="E10">
        <v>7265</v>
      </c>
      <c r="F10" s="5">
        <f t="shared" si="0"/>
        <v>2000</v>
      </c>
      <c r="G10" s="5">
        <f t="shared" si="1"/>
        <v>17397</v>
      </c>
      <c r="H10" s="5" t="str">
        <f t="shared" si="2"/>
        <v>B</v>
      </c>
      <c r="J10" s="2" t="s">
        <v>38</v>
      </c>
      <c r="K10" s="8" t="s">
        <v>57</v>
      </c>
      <c r="L10" s="8" t="s">
        <v>48</v>
      </c>
      <c r="M10" s="8" t="s">
        <v>58</v>
      </c>
      <c r="N10" s="8" t="s">
        <v>49</v>
      </c>
    </row>
    <row r="11" spans="1:14" x14ac:dyDescent="0.15">
      <c r="A11" s="5" t="s">
        <v>99</v>
      </c>
      <c r="B11" s="1" t="s">
        <v>11</v>
      </c>
      <c r="C11">
        <v>78</v>
      </c>
      <c r="D11">
        <v>6329</v>
      </c>
      <c r="E11">
        <v>5184</v>
      </c>
      <c r="F11" s="5">
        <f t="shared" si="0"/>
        <v>4000</v>
      </c>
      <c r="G11" s="5">
        <f t="shared" si="1"/>
        <v>15513</v>
      </c>
      <c r="H11" s="5" t="str">
        <f t="shared" si="2"/>
        <v>C</v>
      </c>
      <c r="J11" s="3" t="s">
        <v>40</v>
      </c>
      <c r="K11" s="3">
        <f>COUNTIFS($B$3:$B$100,J11,$H$3:$H$100,"A")</f>
        <v>3</v>
      </c>
      <c r="L11" s="10">
        <f>K11/K5</f>
        <v>0.12</v>
      </c>
      <c r="M11" s="3">
        <f>COUNTIFS($B$3:$B$100,J11,$H$3:$H$100,"B")</f>
        <v>9</v>
      </c>
      <c r="N11" s="10">
        <f>M11/K5</f>
        <v>0.36</v>
      </c>
    </row>
    <row r="12" spans="1:14" x14ac:dyDescent="0.15">
      <c r="A12" s="1" t="s">
        <v>100</v>
      </c>
      <c r="B12" s="1" t="s">
        <v>9</v>
      </c>
      <c r="C12">
        <v>77</v>
      </c>
      <c r="D12">
        <v>7412</v>
      </c>
      <c r="E12">
        <v>6224</v>
      </c>
      <c r="F12" s="5">
        <f t="shared" si="0"/>
        <v>4000</v>
      </c>
      <c r="G12" s="5">
        <f t="shared" si="1"/>
        <v>17636</v>
      </c>
      <c r="H12" s="5" t="str">
        <f t="shared" si="2"/>
        <v>B</v>
      </c>
      <c r="J12" s="3" t="s">
        <v>42</v>
      </c>
      <c r="K12" s="3">
        <f>COUNTIFS($B$3:$B$100,J12,$H$3:$H$100,"A")</f>
        <v>11</v>
      </c>
      <c r="L12" s="10">
        <f>K12/K6</f>
        <v>0.28205128205128205</v>
      </c>
      <c r="M12" s="3">
        <f t="shared" ref="M12:M13" si="3">COUNTIFS($B$3:$B$100,J12,$H$3:$H$100,"B")</f>
        <v>17</v>
      </c>
      <c r="N12" s="10">
        <f t="shared" ref="N12:N13" si="4">M12/K6</f>
        <v>0.4358974358974359</v>
      </c>
    </row>
    <row r="13" spans="1:14" x14ac:dyDescent="0.15">
      <c r="A13" s="5" t="s">
        <v>101</v>
      </c>
      <c r="B13" s="1" t="s">
        <v>9</v>
      </c>
      <c r="C13">
        <v>65</v>
      </c>
      <c r="D13">
        <v>7852</v>
      </c>
      <c r="E13">
        <v>6224</v>
      </c>
      <c r="F13" s="5">
        <f t="shared" si="0"/>
        <v>2000</v>
      </c>
      <c r="G13" s="5">
        <f t="shared" si="1"/>
        <v>16076</v>
      </c>
      <c r="H13" s="5" t="str">
        <f t="shared" si="2"/>
        <v>B</v>
      </c>
      <c r="J13" s="3" t="s">
        <v>44</v>
      </c>
      <c r="K13" s="3">
        <f>COUNTIFS($B$3:$B$100,J13,$H$3:$H$100,"A")</f>
        <v>8</v>
      </c>
      <c r="L13" s="10">
        <f>K13/K7</f>
        <v>0.23529411764705882</v>
      </c>
      <c r="M13" s="3">
        <f t="shared" si="3"/>
        <v>12</v>
      </c>
      <c r="N13" s="10">
        <f t="shared" si="4"/>
        <v>0.35294117647058826</v>
      </c>
    </row>
    <row r="14" spans="1:14" x14ac:dyDescent="0.15">
      <c r="A14" s="1" t="s">
        <v>102</v>
      </c>
      <c r="B14" s="1" t="s">
        <v>13</v>
      </c>
      <c r="C14">
        <v>51</v>
      </c>
      <c r="D14">
        <v>7375</v>
      </c>
      <c r="E14">
        <v>5184</v>
      </c>
      <c r="F14" s="5">
        <f t="shared" si="0"/>
        <v>800</v>
      </c>
      <c r="G14" s="5">
        <f t="shared" si="1"/>
        <v>13359</v>
      </c>
      <c r="H14" s="5" t="str">
        <f t="shared" si="2"/>
        <v>C</v>
      </c>
    </row>
    <row r="15" spans="1:14" x14ac:dyDescent="0.15">
      <c r="A15" s="5" t="s">
        <v>103</v>
      </c>
      <c r="B15" s="1" t="s">
        <v>10</v>
      </c>
      <c r="C15">
        <v>70</v>
      </c>
      <c r="D15">
        <v>8132</v>
      </c>
      <c r="E15">
        <v>7265</v>
      </c>
      <c r="F15" s="5">
        <f t="shared" si="0"/>
        <v>4000</v>
      </c>
      <c r="G15" s="5">
        <f t="shared" si="1"/>
        <v>19397</v>
      </c>
      <c r="H15" s="5" t="str">
        <f t="shared" si="2"/>
        <v>A</v>
      </c>
    </row>
    <row r="16" spans="1:14" x14ac:dyDescent="0.15">
      <c r="A16" s="5" t="s">
        <v>104</v>
      </c>
      <c r="B16" s="1" t="s">
        <v>9</v>
      </c>
      <c r="C16">
        <v>82</v>
      </c>
      <c r="D16">
        <v>5270</v>
      </c>
      <c r="E16">
        <v>5184</v>
      </c>
      <c r="F16" s="5">
        <f t="shared" si="0"/>
        <v>6000</v>
      </c>
      <c r="G16" s="5">
        <f t="shared" si="1"/>
        <v>16454</v>
      </c>
      <c r="H16" s="5" t="str">
        <f t="shared" si="2"/>
        <v>B</v>
      </c>
    </row>
    <row r="17" spans="1:8" x14ac:dyDescent="0.15">
      <c r="A17" s="1" t="s">
        <v>105</v>
      </c>
      <c r="B17" s="1" t="s">
        <v>11</v>
      </c>
      <c r="C17">
        <v>84</v>
      </c>
      <c r="D17">
        <v>7412</v>
      </c>
      <c r="E17">
        <v>6224</v>
      </c>
      <c r="F17" s="5">
        <f t="shared" si="0"/>
        <v>6000</v>
      </c>
      <c r="G17" s="5">
        <f t="shared" si="1"/>
        <v>19636</v>
      </c>
      <c r="H17" s="5" t="str">
        <f t="shared" si="2"/>
        <v>A</v>
      </c>
    </row>
    <row r="18" spans="1:8" x14ac:dyDescent="0.15">
      <c r="A18" s="5" t="s">
        <v>106</v>
      </c>
      <c r="B18" s="1" t="s">
        <v>11</v>
      </c>
      <c r="C18">
        <v>87</v>
      </c>
      <c r="D18">
        <v>6329</v>
      </c>
      <c r="E18">
        <v>5184</v>
      </c>
      <c r="F18" s="5">
        <f t="shared" si="0"/>
        <v>6000</v>
      </c>
      <c r="G18" s="5">
        <f t="shared" si="1"/>
        <v>17513</v>
      </c>
      <c r="H18" s="5" t="str">
        <f t="shared" si="2"/>
        <v>B</v>
      </c>
    </row>
    <row r="19" spans="1:8" x14ac:dyDescent="0.15">
      <c r="A19" s="1" t="s">
        <v>107</v>
      </c>
      <c r="B19" s="1" t="s">
        <v>11</v>
      </c>
      <c r="C19">
        <v>61</v>
      </c>
      <c r="D19">
        <v>7412</v>
      </c>
      <c r="E19">
        <v>6224</v>
      </c>
      <c r="F19" s="5">
        <f t="shared" si="0"/>
        <v>2000</v>
      </c>
      <c r="G19" s="5">
        <f t="shared" si="1"/>
        <v>15636</v>
      </c>
      <c r="H19" s="5" t="str">
        <f t="shared" si="2"/>
        <v>C</v>
      </c>
    </row>
    <row r="20" spans="1:8" x14ac:dyDescent="0.15">
      <c r="A20" s="5" t="s">
        <v>108</v>
      </c>
      <c r="B20" s="1" t="s">
        <v>13</v>
      </c>
      <c r="C20">
        <v>45</v>
      </c>
      <c r="D20">
        <v>7852</v>
      </c>
      <c r="E20">
        <v>6224</v>
      </c>
      <c r="F20" s="5">
        <f t="shared" si="0"/>
        <v>800</v>
      </c>
      <c r="G20" s="5">
        <f t="shared" si="1"/>
        <v>14876</v>
      </c>
      <c r="H20" s="5" t="str">
        <f t="shared" si="2"/>
        <v>C</v>
      </c>
    </row>
    <row r="21" spans="1:8" x14ac:dyDescent="0.15">
      <c r="A21" s="5" t="s">
        <v>109</v>
      </c>
      <c r="B21" s="1" t="s">
        <v>16</v>
      </c>
      <c r="C21">
        <v>78</v>
      </c>
      <c r="D21">
        <v>7375</v>
      </c>
      <c r="E21">
        <v>5184</v>
      </c>
      <c r="F21" s="5">
        <f t="shared" si="0"/>
        <v>4000</v>
      </c>
      <c r="G21" s="5">
        <f t="shared" si="1"/>
        <v>16559</v>
      </c>
      <c r="H21" s="5" t="str">
        <f t="shared" si="2"/>
        <v>B</v>
      </c>
    </row>
    <row r="22" spans="1:8" x14ac:dyDescent="0.15">
      <c r="A22" s="1" t="s">
        <v>110</v>
      </c>
      <c r="B22" s="1" t="s">
        <v>9</v>
      </c>
      <c r="C22">
        <v>96</v>
      </c>
      <c r="D22">
        <v>8132</v>
      </c>
      <c r="E22">
        <v>7265</v>
      </c>
      <c r="F22" s="5">
        <f t="shared" si="0"/>
        <v>8000</v>
      </c>
      <c r="G22" s="5">
        <f t="shared" si="1"/>
        <v>23397</v>
      </c>
      <c r="H22" s="5" t="str">
        <f t="shared" si="2"/>
        <v>A</v>
      </c>
    </row>
    <row r="23" spans="1:8" x14ac:dyDescent="0.15">
      <c r="A23" s="5" t="s">
        <v>111</v>
      </c>
      <c r="B23" s="1" t="s">
        <v>13</v>
      </c>
      <c r="C23">
        <v>82</v>
      </c>
      <c r="D23">
        <v>6329</v>
      </c>
      <c r="E23">
        <v>5184</v>
      </c>
      <c r="F23" s="5">
        <f t="shared" si="0"/>
        <v>6000</v>
      </c>
      <c r="G23" s="5">
        <f t="shared" si="1"/>
        <v>17513</v>
      </c>
      <c r="H23" s="5" t="str">
        <f t="shared" si="2"/>
        <v>B</v>
      </c>
    </row>
    <row r="24" spans="1:8" x14ac:dyDescent="0.15">
      <c r="A24" s="1" t="s">
        <v>112</v>
      </c>
      <c r="B24" s="1" t="s">
        <v>10</v>
      </c>
      <c r="C24">
        <v>49</v>
      </c>
      <c r="D24">
        <v>6329</v>
      </c>
      <c r="E24">
        <v>5184</v>
      </c>
      <c r="F24" s="5">
        <f t="shared" si="0"/>
        <v>800</v>
      </c>
      <c r="G24" s="5">
        <f t="shared" si="1"/>
        <v>12313</v>
      </c>
      <c r="H24" s="5" t="str">
        <f t="shared" si="2"/>
        <v>C</v>
      </c>
    </row>
    <row r="25" spans="1:8" x14ac:dyDescent="0.15">
      <c r="A25" s="5" t="s">
        <v>113</v>
      </c>
      <c r="B25" s="1" t="s">
        <v>17</v>
      </c>
      <c r="C25">
        <v>48</v>
      </c>
      <c r="D25">
        <v>6329</v>
      </c>
      <c r="E25">
        <v>6224</v>
      </c>
      <c r="F25" s="5">
        <f t="shared" si="0"/>
        <v>800</v>
      </c>
      <c r="G25" s="5">
        <f t="shared" si="1"/>
        <v>13353</v>
      </c>
      <c r="H25" s="5" t="str">
        <f t="shared" si="2"/>
        <v>C</v>
      </c>
    </row>
    <row r="26" spans="1:8" x14ac:dyDescent="0.15">
      <c r="A26" s="5" t="s">
        <v>114</v>
      </c>
      <c r="B26" s="1" t="s">
        <v>9</v>
      </c>
      <c r="C26">
        <v>48</v>
      </c>
      <c r="D26">
        <v>7852</v>
      </c>
      <c r="E26">
        <v>6224</v>
      </c>
      <c r="F26" s="5">
        <f t="shared" si="0"/>
        <v>800</v>
      </c>
      <c r="G26" s="5">
        <f t="shared" si="1"/>
        <v>14876</v>
      </c>
      <c r="H26" s="5" t="str">
        <f t="shared" si="2"/>
        <v>C</v>
      </c>
    </row>
    <row r="27" spans="1:8" x14ac:dyDescent="0.15">
      <c r="A27" s="1" t="s">
        <v>115</v>
      </c>
      <c r="B27" s="1" t="s">
        <v>10</v>
      </c>
      <c r="C27">
        <v>62</v>
      </c>
      <c r="D27">
        <v>6329</v>
      </c>
      <c r="E27">
        <v>5184</v>
      </c>
      <c r="F27" s="5">
        <f t="shared" si="0"/>
        <v>2000</v>
      </c>
      <c r="G27" s="5">
        <f t="shared" si="1"/>
        <v>13513</v>
      </c>
      <c r="H27" s="5" t="str">
        <f t="shared" si="2"/>
        <v>C</v>
      </c>
    </row>
    <row r="28" spans="1:8" x14ac:dyDescent="0.15">
      <c r="A28" s="5" t="s">
        <v>116</v>
      </c>
      <c r="B28" s="1" t="s">
        <v>9</v>
      </c>
      <c r="C28">
        <v>77</v>
      </c>
      <c r="D28">
        <v>5270</v>
      </c>
      <c r="E28">
        <v>6224</v>
      </c>
      <c r="F28" s="5">
        <f t="shared" si="0"/>
        <v>4000</v>
      </c>
      <c r="G28" s="5">
        <f t="shared" si="1"/>
        <v>15494</v>
      </c>
      <c r="H28" s="5" t="str">
        <f t="shared" si="2"/>
        <v>C</v>
      </c>
    </row>
    <row r="29" spans="1:8" x14ac:dyDescent="0.15">
      <c r="A29" s="1" t="s">
        <v>117</v>
      </c>
      <c r="B29" s="1" t="s">
        <v>13</v>
      </c>
      <c r="C29">
        <v>82</v>
      </c>
      <c r="D29">
        <v>6329</v>
      </c>
      <c r="E29">
        <v>6224</v>
      </c>
      <c r="F29" s="5">
        <f t="shared" si="0"/>
        <v>6000</v>
      </c>
      <c r="G29" s="5">
        <f t="shared" si="1"/>
        <v>18553</v>
      </c>
      <c r="H29" s="5" t="str">
        <f t="shared" si="2"/>
        <v>B</v>
      </c>
    </row>
    <row r="30" spans="1:8" x14ac:dyDescent="0.15">
      <c r="A30" s="5" t="s">
        <v>118</v>
      </c>
      <c r="B30" s="1" t="s">
        <v>11</v>
      </c>
      <c r="C30">
        <v>78</v>
      </c>
      <c r="D30">
        <v>6329</v>
      </c>
      <c r="E30">
        <v>5184</v>
      </c>
      <c r="F30" s="5">
        <f t="shared" si="0"/>
        <v>4000</v>
      </c>
      <c r="G30" s="5">
        <f t="shared" si="1"/>
        <v>15513</v>
      </c>
      <c r="H30" s="5" t="str">
        <f t="shared" si="2"/>
        <v>C</v>
      </c>
    </row>
    <row r="31" spans="1:8" x14ac:dyDescent="0.15">
      <c r="A31" s="5" t="s">
        <v>119</v>
      </c>
      <c r="B31" s="1" t="s">
        <v>27</v>
      </c>
      <c r="C31">
        <v>96</v>
      </c>
      <c r="D31">
        <v>6329</v>
      </c>
      <c r="E31">
        <v>7265</v>
      </c>
      <c r="F31" s="5">
        <f t="shared" si="0"/>
        <v>8000</v>
      </c>
      <c r="G31" s="5">
        <f t="shared" si="1"/>
        <v>21594</v>
      </c>
      <c r="H31" s="5" t="str">
        <f t="shared" si="2"/>
        <v>A</v>
      </c>
    </row>
    <row r="32" spans="1:8" x14ac:dyDescent="0.15">
      <c r="A32" s="1" t="s">
        <v>120</v>
      </c>
      <c r="B32" s="1" t="s">
        <v>9</v>
      </c>
      <c r="C32">
        <v>82</v>
      </c>
      <c r="D32">
        <v>5270</v>
      </c>
      <c r="E32">
        <v>5184</v>
      </c>
      <c r="F32" s="5">
        <f t="shared" si="0"/>
        <v>6000</v>
      </c>
      <c r="G32" s="5">
        <f t="shared" si="1"/>
        <v>16454</v>
      </c>
      <c r="H32" s="5" t="str">
        <f t="shared" si="2"/>
        <v>B</v>
      </c>
    </row>
    <row r="33" spans="1:8" x14ac:dyDescent="0.15">
      <c r="A33" s="5" t="s">
        <v>121</v>
      </c>
      <c r="B33" s="1" t="s">
        <v>9</v>
      </c>
      <c r="C33">
        <v>49</v>
      </c>
      <c r="D33">
        <v>6329</v>
      </c>
      <c r="E33">
        <v>6224</v>
      </c>
      <c r="F33" s="5">
        <f t="shared" si="0"/>
        <v>800</v>
      </c>
      <c r="G33" s="5">
        <f t="shared" si="1"/>
        <v>13353</v>
      </c>
      <c r="H33" s="5" t="str">
        <f t="shared" si="2"/>
        <v>C</v>
      </c>
    </row>
    <row r="34" spans="1:8" x14ac:dyDescent="0.15">
      <c r="A34" s="1" t="s">
        <v>122</v>
      </c>
      <c r="B34" s="1" t="s">
        <v>14</v>
      </c>
      <c r="C34">
        <v>61</v>
      </c>
      <c r="D34">
        <v>6329</v>
      </c>
      <c r="E34">
        <v>6224</v>
      </c>
      <c r="F34" s="5">
        <f t="shared" si="0"/>
        <v>2000</v>
      </c>
      <c r="G34" s="5">
        <f t="shared" si="1"/>
        <v>14553</v>
      </c>
      <c r="H34" s="5" t="str">
        <f t="shared" si="2"/>
        <v>C</v>
      </c>
    </row>
    <row r="35" spans="1:8" x14ac:dyDescent="0.15">
      <c r="A35" s="5" t="s">
        <v>123</v>
      </c>
      <c r="B35" s="1" t="s">
        <v>19</v>
      </c>
      <c r="C35">
        <v>45</v>
      </c>
      <c r="D35">
        <v>6329</v>
      </c>
      <c r="E35">
        <v>5184</v>
      </c>
      <c r="F35" s="5">
        <f t="shared" si="0"/>
        <v>800</v>
      </c>
      <c r="G35" s="5">
        <f t="shared" si="1"/>
        <v>12313</v>
      </c>
      <c r="H35" s="5" t="str">
        <f t="shared" si="2"/>
        <v>C</v>
      </c>
    </row>
    <row r="36" spans="1:8" x14ac:dyDescent="0.15">
      <c r="A36" s="5" t="s">
        <v>124</v>
      </c>
      <c r="B36" s="1" t="s">
        <v>10</v>
      </c>
      <c r="C36">
        <v>78</v>
      </c>
      <c r="D36">
        <v>6329</v>
      </c>
      <c r="E36">
        <v>7265</v>
      </c>
      <c r="F36" s="5">
        <f t="shared" si="0"/>
        <v>4000</v>
      </c>
      <c r="G36" s="5">
        <f t="shared" si="1"/>
        <v>17594</v>
      </c>
      <c r="H36" s="5" t="str">
        <f t="shared" si="2"/>
        <v>B</v>
      </c>
    </row>
    <row r="37" spans="1:8" x14ac:dyDescent="0.15">
      <c r="A37" s="1" t="s">
        <v>125</v>
      </c>
      <c r="B37" s="1" t="s">
        <v>10</v>
      </c>
      <c r="C37">
        <v>96</v>
      </c>
      <c r="D37">
        <v>6329</v>
      </c>
      <c r="E37">
        <v>5184</v>
      </c>
      <c r="F37" s="5">
        <f t="shared" si="0"/>
        <v>8000</v>
      </c>
      <c r="G37" s="5">
        <f t="shared" si="1"/>
        <v>19513</v>
      </c>
      <c r="H37" s="5" t="str">
        <f t="shared" si="2"/>
        <v>A</v>
      </c>
    </row>
    <row r="38" spans="1:8" x14ac:dyDescent="0.15">
      <c r="A38" s="5" t="s">
        <v>126</v>
      </c>
      <c r="B38" s="1" t="s">
        <v>15</v>
      </c>
      <c r="C38">
        <v>44</v>
      </c>
      <c r="D38">
        <v>6329</v>
      </c>
      <c r="E38">
        <v>6224</v>
      </c>
      <c r="F38" s="5">
        <f t="shared" si="0"/>
        <v>800</v>
      </c>
      <c r="G38" s="5">
        <f t="shared" si="1"/>
        <v>13353</v>
      </c>
      <c r="H38" s="5" t="str">
        <f t="shared" si="2"/>
        <v>C</v>
      </c>
    </row>
    <row r="39" spans="1:8" x14ac:dyDescent="0.15">
      <c r="A39" s="1" t="s">
        <v>127</v>
      </c>
      <c r="B39" s="1" t="s">
        <v>10</v>
      </c>
      <c r="C39">
        <v>71</v>
      </c>
      <c r="D39">
        <v>6329</v>
      </c>
      <c r="E39">
        <v>5184</v>
      </c>
      <c r="F39" s="5">
        <f t="shared" si="0"/>
        <v>4000</v>
      </c>
      <c r="G39" s="5">
        <f t="shared" si="1"/>
        <v>15513</v>
      </c>
      <c r="H39" s="5" t="str">
        <f t="shared" si="2"/>
        <v>C</v>
      </c>
    </row>
    <row r="40" spans="1:8" x14ac:dyDescent="0.15">
      <c r="A40" s="5" t="s">
        <v>128</v>
      </c>
      <c r="B40" s="1" t="s">
        <v>11</v>
      </c>
      <c r="C40">
        <v>52</v>
      </c>
      <c r="D40">
        <v>6329</v>
      </c>
      <c r="E40">
        <v>6224</v>
      </c>
      <c r="F40" s="5">
        <f t="shared" si="0"/>
        <v>800</v>
      </c>
      <c r="G40" s="5">
        <f t="shared" si="1"/>
        <v>13353</v>
      </c>
      <c r="H40" s="5" t="str">
        <f t="shared" si="2"/>
        <v>C</v>
      </c>
    </row>
    <row r="41" spans="1:8" x14ac:dyDescent="0.15">
      <c r="A41" s="5" t="s">
        <v>129</v>
      </c>
      <c r="B41" s="1" t="s">
        <v>11</v>
      </c>
      <c r="C41">
        <v>78</v>
      </c>
      <c r="D41">
        <v>6329</v>
      </c>
      <c r="E41">
        <v>7265</v>
      </c>
      <c r="F41" s="5">
        <f t="shared" si="0"/>
        <v>4000</v>
      </c>
      <c r="G41" s="5">
        <f t="shared" si="1"/>
        <v>17594</v>
      </c>
      <c r="H41" s="5" t="str">
        <f t="shared" si="2"/>
        <v>B</v>
      </c>
    </row>
    <row r="42" spans="1:8" x14ac:dyDescent="0.15">
      <c r="A42" s="1" t="s">
        <v>130</v>
      </c>
      <c r="B42" s="1" t="s">
        <v>9</v>
      </c>
      <c r="C42">
        <v>67</v>
      </c>
      <c r="D42">
        <v>6329</v>
      </c>
      <c r="E42">
        <v>5184</v>
      </c>
      <c r="F42" s="5">
        <f t="shared" si="0"/>
        <v>2000</v>
      </c>
      <c r="G42" s="5">
        <f t="shared" si="1"/>
        <v>13513</v>
      </c>
      <c r="H42" s="5" t="str">
        <f t="shared" si="2"/>
        <v>C</v>
      </c>
    </row>
    <row r="43" spans="1:8" x14ac:dyDescent="0.15">
      <c r="A43" s="5" t="s">
        <v>131</v>
      </c>
      <c r="B43" s="1" t="s">
        <v>19</v>
      </c>
      <c r="C43">
        <v>69</v>
      </c>
      <c r="D43">
        <v>6329</v>
      </c>
      <c r="E43">
        <v>5184</v>
      </c>
      <c r="F43" s="5">
        <f t="shared" si="0"/>
        <v>2000</v>
      </c>
      <c r="G43" s="5">
        <f t="shared" si="1"/>
        <v>13513</v>
      </c>
      <c r="H43" s="5" t="str">
        <f t="shared" si="2"/>
        <v>C</v>
      </c>
    </row>
    <row r="44" spans="1:8" x14ac:dyDescent="0.15">
      <c r="A44" s="1" t="s">
        <v>132</v>
      </c>
      <c r="B44" s="1" t="s">
        <v>11</v>
      </c>
      <c r="C44">
        <v>88</v>
      </c>
      <c r="D44">
        <v>6329</v>
      </c>
      <c r="E44">
        <v>6224</v>
      </c>
      <c r="F44" s="5">
        <f t="shared" si="0"/>
        <v>6000</v>
      </c>
      <c r="G44" s="5">
        <f t="shared" si="1"/>
        <v>18553</v>
      </c>
      <c r="H44" s="5" t="str">
        <f t="shared" si="2"/>
        <v>B</v>
      </c>
    </row>
    <row r="45" spans="1:8" x14ac:dyDescent="0.15">
      <c r="A45" s="5" t="s">
        <v>133</v>
      </c>
      <c r="B45" s="1" t="s">
        <v>9</v>
      </c>
      <c r="C45">
        <v>89</v>
      </c>
      <c r="D45">
        <v>6329</v>
      </c>
      <c r="E45">
        <v>6224</v>
      </c>
      <c r="F45" s="5">
        <f t="shared" si="0"/>
        <v>6000</v>
      </c>
      <c r="G45" s="5">
        <f t="shared" si="1"/>
        <v>18553</v>
      </c>
      <c r="H45" s="5" t="str">
        <f t="shared" si="2"/>
        <v>B</v>
      </c>
    </row>
    <row r="46" spans="1:8" x14ac:dyDescent="0.15">
      <c r="A46" s="5" t="s">
        <v>134</v>
      </c>
      <c r="B46" s="1" t="s">
        <v>10</v>
      </c>
      <c r="C46">
        <v>76</v>
      </c>
      <c r="D46">
        <v>5270</v>
      </c>
      <c r="E46">
        <v>5184</v>
      </c>
      <c r="F46" s="5">
        <f t="shared" si="0"/>
        <v>4000</v>
      </c>
      <c r="G46" s="5">
        <f t="shared" si="1"/>
        <v>14454</v>
      </c>
      <c r="H46" s="5" t="str">
        <f t="shared" si="2"/>
        <v>C</v>
      </c>
    </row>
    <row r="47" spans="1:8" x14ac:dyDescent="0.15">
      <c r="A47" s="1" t="s">
        <v>135</v>
      </c>
      <c r="B47" s="1" t="s">
        <v>18</v>
      </c>
      <c r="C47">
        <v>61</v>
      </c>
      <c r="D47">
        <v>6329</v>
      </c>
      <c r="E47">
        <v>6224</v>
      </c>
      <c r="F47" s="5">
        <f t="shared" si="0"/>
        <v>2000</v>
      </c>
      <c r="G47" s="5">
        <f t="shared" si="1"/>
        <v>14553</v>
      </c>
      <c r="H47" s="5" t="str">
        <f t="shared" si="2"/>
        <v>C</v>
      </c>
    </row>
    <row r="48" spans="1:8" x14ac:dyDescent="0.15">
      <c r="A48" s="5" t="s">
        <v>136</v>
      </c>
      <c r="B48" s="1" t="s">
        <v>10</v>
      </c>
      <c r="C48">
        <v>67</v>
      </c>
      <c r="D48">
        <v>6329</v>
      </c>
      <c r="E48">
        <v>6224</v>
      </c>
      <c r="F48" s="5">
        <f t="shared" si="0"/>
        <v>2000</v>
      </c>
      <c r="G48" s="5">
        <f t="shared" si="1"/>
        <v>14553</v>
      </c>
      <c r="H48" s="5" t="str">
        <f t="shared" si="2"/>
        <v>C</v>
      </c>
    </row>
    <row r="49" spans="1:8" x14ac:dyDescent="0.15">
      <c r="A49" s="1" t="s">
        <v>137</v>
      </c>
      <c r="B49" s="1" t="s">
        <v>10</v>
      </c>
      <c r="C49">
        <v>84</v>
      </c>
      <c r="D49">
        <v>6329</v>
      </c>
      <c r="E49">
        <v>5184</v>
      </c>
      <c r="F49" s="5">
        <f t="shared" si="0"/>
        <v>6000</v>
      </c>
      <c r="G49" s="5">
        <f t="shared" si="1"/>
        <v>17513</v>
      </c>
      <c r="H49" s="5" t="str">
        <f t="shared" si="2"/>
        <v>B</v>
      </c>
    </row>
    <row r="50" spans="1:8" x14ac:dyDescent="0.15">
      <c r="A50" s="5" t="s">
        <v>138</v>
      </c>
      <c r="B50" s="1" t="s">
        <v>11</v>
      </c>
      <c r="C50">
        <v>79</v>
      </c>
      <c r="D50">
        <v>6329</v>
      </c>
      <c r="E50">
        <v>7265</v>
      </c>
      <c r="F50" s="5">
        <f t="shared" si="0"/>
        <v>4000</v>
      </c>
      <c r="G50" s="5">
        <f t="shared" si="1"/>
        <v>17594</v>
      </c>
      <c r="H50" s="5" t="str">
        <f t="shared" si="2"/>
        <v>B</v>
      </c>
    </row>
    <row r="51" spans="1:8" x14ac:dyDescent="0.15">
      <c r="A51" s="5" t="s">
        <v>139</v>
      </c>
      <c r="B51" s="1" t="s">
        <v>9</v>
      </c>
      <c r="C51">
        <v>92</v>
      </c>
      <c r="D51">
        <v>6329</v>
      </c>
      <c r="E51">
        <v>5184</v>
      </c>
      <c r="F51" s="5">
        <f t="shared" si="0"/>
        <v>8000</v>
      </c>
      <c r="G51" s="5">
        <f t="shared" si="1"/>
        <v>19513</v>
      </c>
      <c r="H51" s="5" t="str">
        <f t="shared" si="2"/>
        <v>A</v>
      </c>
    </row>
    <row r="52" spans="1:8" x14ac:dyDescent="0.15">
      <c r="A52" s="1" t="s">
        <v>140</v>
      </c>
      <c r="B52" s="1" t="s">
        <v>9</v>
      </c>
      <c r="C52">
        <v>83</v>
      </c>
      <c r="D52">
        <v>6329</v>
      </c>
      <c r="E52">
        <v>6224</v>
      </c>
      <c r="F52" s="5">
        <f t="shared" si="0"/>
        <v>6000</v>
      </c>
      <c r="G52" s="5">
        <f t="shared" si="1"/>
        <v>18553</v>
      </c>
      <c r="H52" s="5" t="str">
        <f t="shared" si="2"/>
        <v>B</v>
      </c>
    </row>
    <row r="53" spans="1:8" x14ac:dyDescent="0.15">
      <c r="A53" s="5" t="s">
        <v>141</v>
      </c>
      <c r="B53" s="1" t="s">
        <v>9</v>
      </c>
      <c r="C53">
        <v>46</v>
      </c>
      <c r="D53">
        <v>6329</v>
      </c>
      <c r="E53">
        <v>6224</v>
      </c>
      <c r="F53" s="5">
        <f t="shared" si="0"/>
        <v>800</v>
      </c>
      <c r="G53" s="5">
        <f t="shared" si="1"/>
        <v>13353</v>
      </c>
      <c r="H53" s="5" t="str">
        <f t="shared" si="2"/>
        <v>C</v>
      </c>
    </row>
    <row r="54" spans="1:8" x14ac:dyDescent="0.15">
      <c r="A54" s="1" t="s">
        <v>142</v>
      </c>
      <c r="B54" s="1" t="s">
        <v>10</v>
      </c>
      <c r="C54">
        <v>67</v>
      </c>
      <c r="D54">
        <v>7412</v>
      </c>
      <c r="E54">
        <v>5184</v>
      </c>
      <c r="F54" s="5">
        <f t="shared" si="0"/>
        <v>2000</v>
      </c>
      <c r="G54" s="5">
        <f t="shared" si="1"/>
        <v>14596</v>
      </c>
      <c r="H54" s="5" t="str">
        <f t="shared" si="2"/>
        <v>C</v>
      </c>
    </row>
    <row r="55" spans="1:8" x14ac:dyDescent="0.15">
      <c r="A55" s="5" t="s">
        <v>143</v>
      </c>
      <c r="B55" s="1" t="s">
        <v>10</v>
      </c>
      <c r="C55">
        <v>56</v>
      </c>
      <c r="D55">
        <v>7852</v>
      </c>
      <c r="E55">
        <v>7265</v>
      </c>
      <c r="F55" s="5">
        <f t="shared" si="0"/>
        <v>800</v>
      </c>
      <c r="G55" s="5">
        <f t="shared" si="1"/>
        <v>15917</v>
      </c>
      <c r="H55" s="5" t="str">
        <f t="shared" si="2"/>
        <v>C</v>
      </c>
    </row>
    <row r="56" spans="1:8" x14ac:dyDescent="0.15">
      <c r="A56" s="5" t="s">
        <v>144</v>
      </c>
      <c r="B56" s="1" t="s">
        <v>11</v>
      </c>
      <c r="C56">
        <v>78</v>
      </c>
      <c r="D56">
        <v>6329</v>
      </c>
      <c r="E56">
        <v>5184</v>
      </c>
      <c r="F56" s="5">
        <f t="shared" si="0"/>
        <v>4000</v>
      </c>
      <c r="G56" s="5">
        <f t="shared" si="1"/>
        <v>15513</v>
      </c>
      <c r="H56" s="5" t="str">
        <f t="shared" si="2"/>
        <v>C</v>
      </c>
    </row>
    <row r="57" spans="1:8" x14ac:dyDescent="0.15">
      <c r="A57" s="1" t="s">
        <v>145</v>
      </c>
      <c r="B57" s="1" t="s">
        <v>10</v>
      </c>
      <c r="C57">
        <v>96</v>
      </c>
      <c r="D57">
        <v>6329</v>
      </c>
      <c r="E57">
        <v>7265</v>
      </c>
      <c r="F57" s="5">
        <f t="shared" si="0"/>
        <v>8000</v>
      </c>
      <c r="G57" s="5">
        <f t="shared" si="1"/>
        <v>21594</v>
      </c>
      <c r="H57" s="5" t="str">
        <f t="shared" si="2"/>
        <v>A</v>
      </c>
    </row>
    <row r="58" spans="1:8" x14ac:dyDescent="0.15">
      <c r="A58" s="5" t="s">
        <v>146</v>
      </c>
      <c r="B58" s="1" t="s">
        <v>9</v>
      </c>
      <c r="C58">
        <v>54</v>
      </c>
      <c r="D58">
        <v>6329</v>
      </c>
      <c r="E58">
        <v>5184</v>
      </c>
      <c r="F58" s="5">
        <f t="shared" si="0"/>
        <v>800</v>
      </c>
      <c r="G58" s="5">
        <f t="shared" si="1"/>
        <v>12313</v>
      </c>
      <c r="H58" s="5" t="str">
        <f t="shared" si="2"/>
        <v>C</v>
      </c>
    </row>
    <row r="59" spans="1:8" x14ac:dyDescent="0.15">
      <c r="A59" s="1" t="s">
        <v>147</v>
      </c>
      <c r="B59" s="1" t="s">
        <v>9</v>
      </c>
      <c r="C59">
        <v>78</v>
      </c>
      <c r="D59">
        <v>7412</v>
      </c>
      <c r="E59">
        <v>5184</v>
      </c>
      <c r="F59" s="5">
        <f t="shared" si="0"/>
        <v>4000</v>
      </c>
      <c r="G59" s="5">
        <f t="shared" si="1"/>
        <v>16596</v>
      </c>
      <c r="H59" s="5" t="str">
        <f t="shared" si="2"/>
        <v>B</v>
      </c>
    </row>
    <row r="60" spans="1:8" x14ac:dyDescent="0.15">
      <c r="A60" s="5" t="s">
        <v>148</v>
      </c>
      <c r="B60" s="1" t="s">
        <v>11</v>
      </c>
      <c r="C60">
        <v>52</v>
      </c>
      <c r="D60">
        <v>6329</v>
      </c>
      <c r="E60">
        <v>6224</v>
      </c>
      <c r="F60" s="5">
        <f t="shared" si="0"/>
        <v>800</v>
      </c>
      <c r="G60" s="5">
        <f t="shared" si="1"/>
        <v>13353</v>
      </c>
      <c r="H60" s="5" t="str">
        <f t="shared" si="2"/>
        <v>C</v>
      </c>
    </row>
    <row r="61" spans="1:8" x14ac:dyDescent="0.15">
      <c r="A61" s="5" t="s">
        <v>149</v>
      </c>
      <c r="B61" s="1" t="s">
        <v>10</v>
      </c>
      <c r="C61">
        <v>78</v>
      </c>
      <c r="D61">
        <v>6329</v>
      </c>
      <c r="E61">
        <v>6224</v>
      </c>
      <c r="F61" s="5">
        <f t="shared" si="0"/>
        <v>4000</v>
      </c>
      <c r="G61" s="5">
        <f t="shared" si="1"/>
        <v>16553</v>
      </c>
      <c r="H61" s="5" t="str">
        <f t="shared" si="2"/>
        <v>B</v>
      </c>
    </row>
    <row r="62" spans="1:8" x14ac:dyDescent="0.15">
      <c r="A62" s="1" t="s">
        <v>150</v>
      </c>
      <c r="B62" s="1" t="s">
        <v>9</v>
      </c>
      <c r="C62">
        <v>83</v>
      </c>
      <c r="D62">
        <v>6329</v>
      </c>
      <c r="E62">
        <v>5184</v>
      </c>
      <c r="F62" s="5">
        <f t="shared" si="0"/>
        <v>6000</v>
      </c>
      <c r="G62" s="5">
        <f t="shared" si="1"/>
        <v>17513</v>
      </c>
      <c r="H62" s="5" t="str">
        <f t="shared" si="2"/>
        <v>B</v>
      </c>
    </row>
    <row r="63" spans="1:8" x14ac:dyDescent="0.15">
      <c r="A63" s="5" t="s">
        <v>151</v>
      </c>
      <c r="B63" s="1" t="s">
        <v>21</v>
      </c>
      <c r="C63">
        <v>94</v>
      </c>
      <c r="D63">
        <v>7375</v>
      </c>
      <c r="E63">
        <v>6224</v>
      </c>
      <c r="F63" s="5">
        <f t="shared" si="0"/>
        <v>8000</v>
      </c>
      <c r="G63" s="5">
        <f t="shared" si="1"/>
        <v>21599</v>
      </c>
      <c r="H63" s="5" t="str">
        <f t="shared" si="2"/>
        <v>A</v>
      </c>
    </row>
    <row r="64" spans="1:8" x14ac:dyDescent="0.15">
      <c r="A64" s="1" t="s">
        <v>152</v>
      </c>
      <c r="B64" s="1" t="s">
        <v>21</v>
      </c>
      <c r="C64">
        <v>71</v>
      </c>
      <c r="D64">
        <v>8132</v>
      </c>
      <c r="E64">
        <v>6224</v>
      </c>
      <c r="F64" s="5">
        <f t="shared" si="0"/>
        <v>4000</v>
      </c>
      <c r="G64" s="5">
        <f t="shared" si="1"/>
        <v>18356</v>
      </c>
      <c r="H64" s="5" t="str">
        <f t="shared" si="2"/>
        <v>B</v>
      </c>
    </row>
    <row r="65" spans="1:8" x14ac:dyDescent="0.15">
      <c r="A65" s="5" t="s">
        <v>153</v>
      </c>
      <c r="B65" s="1" t="s">
        <v>9</v>
      </c>
      <c r="C65">
        <v>84</v>
      </c>
      <c r="D65">
        <v>6329</v>
      </c>
      <c r="E65">
        <v>5184</v>
      </c>
      <c r="F65" s="5">
        <f t="shared" si="0"/>
        <v>6000</v>
      </c>
      <c r="G65" s="5">
        <f t="shared" si="1"/>
        <v>17513</v>
      </c>
      <c r="H65" s="5" t="str">
        <f t="shared" si="2"/>
        <v>B</v>
      </c>
    </row>
    <row r="66" spans="1:8" x14ac:dyDescent="0.15">
      <c r="A66" s="5" t="s">
        <v>154</v>
      </c>
      <c r="B66" s="1" t="s">
        <v>9</v>
      </c>
      <c r="C66">
        <v>87</v>
      </c>
      <c r="D66">
        <v>6329</v>
      </c>
      <c r="E66">
        <v>7265</v>
      </c>
      <c r="F66" s="5">
        <f t="shared" si="0"/>
        <v>6000</v>
      </c>
      <c r="G66" s="5">
        <f t="shared" si="1"/>
        <v>19594</v>
      </c>
      <c r="H66" s="5" t="str">
        <f t="shared" si="2"/>
        <v>A</v>
      </c>
    </row>
    <row r="67" spans="1:8" x14ac:dyDescent="0.15">
      <c r="A67" s="1" t="s">
        <v>155</v>
      </c>
      <c r="B67" s="1" t="s">
        <v>9</v>
      </c>
      <c r="C67">
        <v>97</v>
      </c>
      <c r="D67">
        <v>6329</v>
      </c>
      <c r="E67">
        <v>5184</v>
      </c>
      <c r="F67" s="5">
        <f t="shared" si="0"/>
        <v>8000</v>
      </c>
      <c r="G67" s="5">
        <f t="shared" si="1"/>
        <v>19513</v>
      </c>
      <c r="H67" s="5" t="str">
        <f t="shared" si="2"/>
        <v>A</v>
      </c>
    </row>
    <row r="68" spans="1:8" x14ac:dyDescent="0.15">
      <c r="A68" s="5" t="s">
        <v>156</v>
      </c>
      <c r="B68" s="1" t="s">
        <v>9</v>
      </c>
      <c r="C68">
        <v>90</v>
      </c>
      <c r="D68">
        <v>6329</v>
      </c>
      <c r="E68">
        <v>6224</v>
      </c>
      <c r="F68" s="5">
        <f t="shared" ref="F68:F100" si="5">IF(C68&gt;=90,8000,IF(C68&gt;=80,6000,IF(C68&gt;=70,4000,IF(C68&gt;=60,2000,800))))</f>
        <v>8000</v>
      </c>
      <c r="G68" s="5">
        <f t="shared" ref="G68:G100" si="6">SUM(D68:F68)</f>
        <v>20553</v>
      </c>
      <c r="H68" s="5" t="str">
        <f t="shared" ref="H68:H100" si="7">IF(G68&gt;=19000,"A",IF(G68&gt;=16000,"B","C"))</f>
        <v>A</v>
      </c>
    </row>
    <row r="69" spans="1:8" x14ac:dyDescent="0.15">
      <c r="A69" s="1" t="s">
        <v>157</v>
      </c>
      <c r="B69" s="1" t="s">
        <v>26</v>
      </c>
      <c r="C69">
        <v>86</v>
      </c>
      <c r="D69">
        <v>7412</v>
      </c>
      <c r="E69">
        <v>6224</v>
      </c>
      <c r="F69" s="5">
        <f t="shared" si="5"/>
        <v>6000</v>
      </c>
      <c r="G69" s="5">
        <f t="shared" si="6"/>
        <v>19636</v>
      </c>
      <c r="H69" s="5" t="str">
        <f t="shared" si="7"/>
        <v>A</v>
      </c>
    </row>
    <row r="70" spans="1:8" x14ac:dyDescent="0.15">
      <c r="A70" s="5" t="s">
        <v>158</v>
      </c>
      <c r="B70" s="1" t="s">
        <v>11</v>
      </c>
      <c r="C70">
        <v>75</v>
      </c>
      <c r="D70">
        <v>7852</v>
      </c>
      <c r="E70">
        <v>5184</v>
      </c>
      <c r="F70" s="5">
        <f t="shared" si="5"/>
        <v>4000</v>
      </c>
      <c r="G70" s="5">
        <f t="shared" si="6"/>
        <v>17036</v>
      </c>
      <c r="H70" s="5" t="str">
        <f t="shared" si="7"/>
        <v>B</v>
      </c>
    </row>
    <row r="71" spans="1:8" x14ac:dyDescent="0.15">
      <c r="A71" s="5" t="s">
        <v>159</v>
      </c>
      <c r="B71" s="1" t="s">
        <v>11</v>
      </c>
      <c r="C71">
        <v>72</v>
      </c>
      <c r="D71">
        <v>7375</v>
      </c>
      <c r="E71">
        <v>7265</v>
      </c>
      <c r="F71" s="5">
        <f t="shared" si="5"/>
        <v>4000</v>
      </c>
      <c r="G71" s="5">
        <f t="shared" si="6"/>
        <v>18640</v>
      </c>
      <c r="H71" s="5" t="str">
        <f t="shared" si="7"/>
        <v>B</v>
      </c>
    </row>
    <row r="72" spans="1:8" x14ac:dyDescent="0.15">
      <c r="A72" s="1" t="s">
        <v>160</v>
      </c>
      <c r="B72" s="1" t="s">
        <v>11</v>
      </c>
      <c r="C72">
        <v>68</v>
      </c>
      <c r="D72">
        <v>8132</v>
      </c>
      <c r="E72">
        <v>5184</v>
      </c>
      <c r="F72" s="5">
        <f t="shared" si="5"/>
        <v>2000</v>
      </c>
      <c r="G72" s="5">
        <f t="shared" si="6"/>
        <v>15316</v>
      </c>
      <c r="H72" s="5" t="str">
        <f t="shared" si="7"/>
        <v>C</v>
      </c>
    </row>
    <row r="73" spans="1:8" x14ac:dyDescent="0.15">
      <c r="A73" s="5" t="s">
        <v>161</v>
      </c>
      <c r="B73" s="1" t="s">
        <v>9</v>
      </c>
      <c r="C73">
        <v>53</v>
      </c>
      <c r="D73">
        <v>6329</v>
      </c>
      <c r="E73">
        <v>6224</v>
      </c>
      <c r="F73" s="5">
        <f t="shared" si="5"/>
        <v>800</v>
      </c>
      <c r="G73" s="5">
        <f t="shared" si="6"/>
        <v>13353</v>
      </c>
      <c r="H73" s="5" t="str">
        <f t="shared" si="7"/>
        <v>C</v>
      </c>
    </row>
    <row r="74" spans="1:8" x14ac:dyDescent="0.15">
      <c r="A74" s="1" t="s">
        <v>162</v>
      </c>
      <c r="B74" s="1" t="s">
        <v>9</v>
      </c>
      <c r="C74">
        <v>72</v>
      </c>
      <c r="D74">
        <v>7412</v>
      </c>
      <c r="E74">
        <v>6224</v>
      </c>
      <c r="F74" s="5">
        <f t="shared" si="5"/>
        <v>4000</v>
      </c>
      <c r="G74" s="5">
        <f t="shared" si="6"/>
        <v>17636</v>
      </c>
      <c r="H74" s="5" t="str">
        <f t="shared" si="7"/>
        <v>B</v>
      </c>
    </row>
    <row r="75" spans="1:8" x14ac:dyDescent="0.15">
      <c r="A75" s="5" t="s">
        <v>163</v>
      </c>
      <c r="B75" s="1" t="s">
        <v>9</v>
      </c>
      <c r="C75">
        <v>81</v>
      </c>
      <c r="D75">
        <v>6329</v>
      </c>
      <c r="E75">
        <v>6224</v>
      </c>
      <c r="F75" s="5">
        <f t="shared" si="5"/>
        <v>6000</v>
      </c>
      <c r="G75" s="5">
        <f t="shared" si="6"/>
        <v>18553</v>
      </c>
      <c r="H75" s="5" t="str">
        <f t="shared" si="7"/>
        <v>B</v>
      </c>
    </row>
    <row r="76" spans="1:8" x14ac:dyDescent="0.15">
      <c r="A76" s="5" t="s">
        <v>164</v>
      </c>
      <c r="B76" s="1" t="s">
        <v>16</v>
      </c>
      <c r="C76">
        <v>80</v>
      </c>
      <c r="D76">
        <v>7412</v>
      </c>
      <c r="E76">
        <v>5184</v>
      </c>
      <c r="F76" s="5">
        <f t="shared" si="5"/>
        <v>6000</v>
      </c>
      <c r="G76" s="5">
        <f t="shared" si="6"/>
        <v>18596</v>
      </c>
      <c r="H76" s="5" t="str">
        <f t="shared" si="7"/>
        <v>B</v>
      </c>
    </row>
    <row r="77" spans="1:8" x14ac:dyDescent="0.15">
      <c r="A77" s="1" t="s">
        <v>165</v>
      </c>
      <c r="B77" s="1" t="s">
        <v>20</v>
      </c>
      <c r="C77">
        <v>85</v>
      </c>
      <c r="D77">
        <v>6329</v>
      </c>
      <c r="E77">
        <v>6224</v>
      </c>
      <c r="F77" s="5">
        <f t="shared" si="5"/>
        <v>6000</v>
      </c>
      <c r="G77" s="5">
        <f t="shared" si="6"/>
        <v>18553</v>
      </c>
      <c r="H77" s="5" t="str">
        <f t="shared" si="7"/>
        <v>B</v>
      </c>
    </row>
    <row r="78" spans="1:8" x14ac:dyDescent="0.15">
      <c r="A78" s="5" t="s">
        <v>166</v>
      </c>
      <c r="B78" s="1" t="s">
        <v>9</v>
      </c>
      <c r="C78">
        <v>67</v>
      </c>
      <c r="D78">
        <v>7412</v>
      </c>
      <c r="E78">
        <v>6224</v>
      </c>
      <c r="F78" s="5">
        <f t="shared" si="5"/>
        <v>2000</v>
      </c>
      <c r="G78" s="5">
        <f t="shared" si="6"/>
        <v>15636</v>
      </c>
      <c r="H78" s="5" t="str">
        <f t="shared" si="7"/>
        <v>C</v>
      </c>
    </row>
    <row r="79" spans="1:8" x14ac:dyDescent="0.15">
      <c r="A79" s="1" t="s">
        <v>167</v>
      </c>
      <c r="B79" s="1" t="s">
        <v>9</v>
      </c>
      <c r="C79">
        <v>94</v>
      </c>
      <c r="D79">
        <v>8132</v>
      </c>
      <c r="E79">
        <v>5184</v>
      </c>
      <c r="F79" s="5">
        <f t="shared" si="5"/>
        <v>8000</v>
      </c>
      <c r="G79" s="5">
        <f t="shared" si="6"/>
        <v>21316</v>
      </c>
      <c r="H79" s="5" t="str">
        <f t="shared" si="7"/>
        <v>A</v>
      </c>
    </row>
    <row r="80" spans="1:8" x14ac:dyDescent="0.15">
      <c r="A80" s="5" t="s">
        <v>168</v>
      </c>
      <c r="B80" s="1" t="s">
        <v>9</v>
      </c>
      <c r="C80">
        <v>84</v>
      </c>
      <c r="D80">
        <v>6329</v>
      </c>
      <c r="E80">
        <v>7265</v>
      </c>
      <c r="F80" s="5">
        <f t="shared" si="5"/>
        <v>6000</v>
      </c>
      <c r="G80" s="5">
        <f t="shared" si="6"/>
        <v>19594</v>
      </c>
      <c r="H80" s="5" t="str">
        <f t="shared" si="7"/>
        <v>A</v>
      </c>
    </row>
    <row r="81" spans="1:8" x14ac:dyDescent="0.15">
      <c r="A81" s="5" t="s">
        <v>169</v>
      </c>
      <c r="B81" s="1" t="s">
        <v>22</v>
      </c>
      <c r="C81">
        <v>49</v>
      </c>
      <c r="D81">
        <v>7412</v>
      </c>
      <c r="E81">
        <v>5184</v>
      </c>
      <c r="F81" s="5">
        <f t="shared" si="5"/>
        <v>800</v>
      </c>
      <c r="G81" s="5">
        <f t="shared" si="6"/>
        <v>13396</v>
      </c>
      <c r="H81" s="5" t="str">
        <f t="shared" si="7"/>
        <v>C</v>
      </c>
    </row>
    <row r="82" spans="1:8" x14ac:dyDescent="0.15">
      <c r="A82" s="1" t="s">
        <v>170</v>
      </c>
      <c r="B82" s="1" t="s">
        <v>9</v>
      </c>
      <c r="C82">
        <v>68</v>
      </c>
      <c r="D82">
        <v>7852</v>
      </c>
      <c r="E82">
        <v>6224</v>
      </c>
      <c r="F82" s="5">
        <f t="shared" si="5"/>
        <v>2000</v>
      </c>
      <c r="G82" s="5">
        <f t="shared" si="6"/>
        <v>16076</v>
      </c>
      <c r="H82" s="5" t="str">
        <f t="shared" si="7"/>
        <v>B</v>
      </c>
    </row>
    <row r="83" spans="1:8" x14ac:dyDescent="0.15">
      <c r="A83" s="5" t="s">
        <v>171</v>
      </c>
      <c r="B83" s="1" t="s">
        <v>9</v>
      </c>
      <c r="C83">
        <v>74</v>
      </c>
      <c r="D83">
        <v>7375</v>
      </c>
      <c r="E83">
        <v>6224</v>
      </c>
      <c r="F83" s="5">
        <f t="shared" si="5"/>
        <v>4000</v>
      </c>
      <c r="G83" s="5">
        <f t="shared" si="6"/>
        <v>17599</v>
      </c>
      <c r="H83" s="5" t="str">
        <f t="shared" si="7"/>
        <v>B</v>
      </c>
    </row>
    <row r="84" spans="1:8" x14ac:dyDescent="0.15">
      <c r="A84" s="1" t="s">
        <v>172</v>
      </c>
      <c r="B84" s="1" t="s">
        <v>23</v>
      </c>
      <c r="C84">
        <v>68</v>
      </c>
      <c r="D84">
        <v>8132</v>
      </c>
      <c r="E84">
        <v>5184</v>
      </c>
      <c r="F84" s="5">
        <f t="shared" si="5"/>
        <v>2000</v>
      </c>
      <c r="G84" s="5">
        <f t="shared" si="6"/>
        <v>15316</v>
      </c>
      <c r="H84" s="5" t="str">
        <f t="shared" si="7"/>
        <v>C</v>
      </c>
    </row>
    <row r="85" spans="1:8" x14ac:dyDescent="0.15">
      <c r="A85" s="5" t="s">
        <v>173</v>
      </c>
      <c r="B85" s="1" t="s">
        <v>9</v>
      </c>
      <c r="C85">
        <v>78</v>
      </c>
      <c r="D85">
        <v>6329</v>
      </c>
      <c r="E85">
        <v>7265</v>
      </c>
      <c r="F85" s="5">
        <f t="shared" si="5"/>
        <v>4000</v>
      </c>
      <c r="G85" s="5">
        <f t="shared" si="6"/>
        <v>17594</v>
      </c>
      <c r="H85" s="5" t="str">
        <f t="shared" si="7"/>
        <v>B</v>
      </c>
    </row>
    <row r="86" spans="1:8" x14ac:dyDescent="0.15">
      <c r="A86" s="5" t="s">
        <v>174</v>
      </c>
      <c r="B86" s="1" t="s">
        <v>9</v>
      </c>
      <c r="C86">
        <v>91</v>
      </c>
      <c r="D86">
        <v>7412</v>
      </c>
      <c r="E86">
        <v>5184</v>
      </c>
      <c r="F86" s="5">
        <f t="shared" si="5"/>
        <v>8000</v>
      </c>
      <c r="G86" s="5">
        <f t="shared" si="6"/>
        <v>20596</v>
      </c>
      <c r="H86" s="5" t="str">
        <f t="shared" si="7"/>
        <v>A</v>
      </c>
    </row>
    <row r="87" spans="1:8" x14ac:dyDescent="0.15">
      <c r="A87" s="1" t="s">
        <v>175</v>
      </c>
      <c r="B87" s="1" t="s">
        <v>9</v>
      </c>
      <c r="C87">
        <v>82</v>
      </c>
      <c r="D87">
        <v>7852</v>
      </c>
      <c r="E87">
        <v>7265</v>
      </c>
      <c r="F87" s="5">
        <f t="shared" si="5"/>
        <v>6000</v>
      </c>
      <c r="G87" s="5">
        <f t="shared" si="6"/>
        <v>21117</v>
      </c>
      <c r="H87" s="5" t="str">
        <f t="shared" si="7"/>
        <v>A</v>
      </c>
    </row>
    <row r="88" spans="1:8" x14ac:dyDescent="0.15">
      <c r="A88" s="5" t="s">
        <v>176</v>
      </c>
      <c r="B88" s="1" t="s">
        <v>24</v>
      </c>
      <c r="C88">
        <v>53</v>
      </c>
      <c r="D88">
        <v>7375</v>
      </c>
      <c r="E88">
        <v>5184</v>
      </c>
      <c r="F88" s="5">
        <f t="shared" si="5"/>
        <v>800</v>
      </c>
      <c r="G88" s="5">
        <f t="shared" si="6"/>
        <v>13359</v>
      </c>
      <c r="H88" s="5" t="str">
        <f t="shared" si="7"/>
        <v>C</v>
      </c>
    </row>
    <row r="89" spans="1:8" x14ac:dyDescent="0.15">
      <c r="A89" s="1" t="s">
        <v>177</v>
      </c>
      <c r="B89" s="1" t="s">
        <v>24</v>
      </c>
      <c r="C89">
        <v>81</v>
      </c>
      <c r="D89">
        <v>8132</v>
      </c>
      <c r="E89">
        <v>5184</v>
      </c>
      <c r="F89" s="5">
        <f t="shared" si="5"/>
        <v>6000</v>
      </c>
      <c r="G89" s="5">
        <f t="shared" si="6"/>
        <v>19316</v>
      </c>
      <c r="H89" s="5" t="str">
        <f t="shared" si="7"/>
        <v>A</v>
      </c>
    </row>
    <row r="90" spans="1:8" x14ac:dyDescent="0.15">
      <c r="A90" s="5" t="s">
        <v>178</v>
      </c>
      <c r="B90" s="1" t="s">
        <v>24</v>
      </c>
      <c r="C90">
        <v>72</v>
      </c>
      <c r="D90">
        <v>6329</v>
      </c>
      <c r="E90">
        <v>6224</v>
      </c>
      <c r="F90" s="5">
        <f t="shared" si="5"/>
        <v>4000</v>
      </c>
      <c r="G90" s="5">
        <f t="shared" si="6"/>
        <v>16553</v>
      </c>
      <c r="H90" s="5" t="str">
        <f t="shared" si="7"/>
        <v>B</v>
      </c>
    </row>
    <row r="91" spans="1:8" x14ac:dyDescent="0.15">
      <c r="A91" s="5" t="s">
        <v>179</v>
      </c>
      <c r="B91" s="1" t="s">
        <v>9</v>
      </c>
      <c r="C91">
        <v>69</v>
      </c>
      <c r="D91">
        <v>7412</v>
      </c>
      <c r="E91">
        <v>6224</v>
      </c>
      <c r="F91" s="5">
        <f t="shared" si="5"/>
        <v>2000</v>
      </c>
      <c r="G91" s="5">
        <f t="shared" si="6"/>
        <v>15636</v>
      </c>
      <c r="H91" s="5" t="str">
        <f t="shared" si="7"/>
        <v>C</v>
      </c>
    </row>
    <row r="92" spans="1:8" x14ac:dyDescent="0.15">
      <c r="A92" s="1" t="s">
        <v>180</v>
      </c>
      <c r="B92" s="1" t="s">
        <v>14</v>
      </c>
      <c r="C92">
        <v>79</v>
      </c>
      <c r="D92">
        <v>6329</v>
      </c>
      <c r="E92">
        <v>5184</v>
      </c>
      <c r="F92" s="5">
        <f t="shared" si="5"/>
        <v>4000</v>
      </c>
      <c r="G92" s="5">
        <f t="shared" si="6"/>
        <v>15513</v>
      </c>
      <c r="H92" s="5" t="str">
        <f t="shared" si="7"/>
        <v>C</v>
      </c>
    </row>
    <row r="93" spans="1:8" x14ac:dyDescent="0.15">
      <c r="A93" s="5" t="s">
        <v>181</v>
      </c>
      <c r="B93" s="1" t="s">
        <v>9</v>
      </c>
      <c r="C93">
        <v>77</v>
      </c>
      <c r="D93">
        <v>7412</v>
      </c>
      <c r="E93">
        <v>7265</v>
      </c>
      <c r="F93" s="5">
        <f t="shared" si="5"/>
        <v>4000</v>
      </c>
      <c r="G93" s="5">
        <f t="shared" si="6"/>
        <v>18677</v>
      </c>
      <c r="H93" s="5" t="str">
        <f t="shared" si="7"/>
        <v>B</v>
      </c>
    </row>
    <row r="94" spans="1:8" x14ac:dyDescent="0.15">
      <c r="A94" s="1" t="s">
        <v>182</v>
      </c>
      <c r="B94" s="1" t="s">
        <v>9</v>
      </c>
      <c r="C94">
        <v>90</v>
      </c>
      <c r="D94">
        <v>7852</v>
      </c>
      <c r="E94">
        <v>5184</v>
      </c>
      <c r="F94" s="5">
        <f t="shared" si="5"/>
        <v>8000</v>
      </c>
      <c r="G94" s="5">
        <f t="shared" si="6"/>
        <v>21036</v>
      </c>
      <c r="H94" s="5" t="str">
        <f t="shared" si="7"/>
        <v>A</v>
      </c>
    </row>
    <row r="95" spans="1:8" x14ac:dyDescent="0.15">
      <c r="A95" s="5" t="s">
        <v>183</v>
      </c>
      <c r="B95" s="1" t="s">
        <v>25</v>
      </c>
      <c r="C95">
        <v>76</v>
      </c>
      <c r="D95">
        <v>6329</v>
      </c>
      <c r="E95">
        <v>6224</v>
      </c>
      <c r="F95" s="5">
        <f t="shared" si="5"/>
        <v>4000</v>
      </c>
      <c r="G95" s="5">
        <f t="shared" si="6"/>
        <v>16553</v>
      </c>
      <c r="H95" s="5" t="str">
        <f t="shared" si="7"/>
        <v>B</v>
      </c>
    </row>
    <row r="96" spans="1:8" x14ac:dyDescent="0.15">
      <c r="A96" s="5" t="s">
        <v>184</v>
      </c>
      <c r="B96" s="1" t="s">
        <v>12</v>
      </c>
      <c r="C96">
        <v>78</v>
      </c>
      <c r="D96">
        <v>7412</v>
      </c>
      <c r="E96">
        <v>5184</v>
      </c>
      <c r="F96" s="5">
        <f t="shared" si="5"/>
        <v>4000</v>
      </c>
      <c r="G96" s="5">
        <f t="shared" si="6"/>
        <v>16596</v>
      </c>
      <c r="H96" s="5" t="str">
        <f t="shared" si="7"/>
        <v>B</v>
      </c>
    </row>
    <row r="97" spans="1:8" x14ac:dyDescent="0.15">
      <c r="A97" s="1" t="s">
        <v>185</v>
      </c>
      <c r="B97" s="1" t="s">
        <v>9</v>
      </c>
      <c r="C97">
        <v>79</v>
      </c>
      <c r="D97">
        <v>5270</v>
      </c>
      <c r="E97">
        <v>6224</v>
      </c>
      <c r="F97" s="5">
        <f t="shared" si="5"/>
        <v>4000</v>
      </c>
      <c r="G97" s="5">
        <f t="shared" si="6"/>
        <v>15494</v>
      </c>
      <c r="H97" s="5" t="str">
        <f t="shared" si="7"/>
        <v>C</v>
      </c>
    </row>
    <row r="98" spans="1:8" x14ac:dyDescent="0.15">
      <c r="A98" s="5" t="s">
        <v>186</v>
      </c>
      <c r="B98" s="1" t="s">
        <v>9</v>
      </c>
      <c r="C98">
        <v>68</v>
      </c>
      <c r="D98">
        <v>7412</v>
      </c>
      <c r="E98">
        <v>7265</v>
      </c>
      <c r="F98" s="5">
        <f t="shared" si="5"/>
        <v>2000</v>
      </c>
      <c r="G98" s="5">
        <f t="shared" si="6"/>
        <v>16677</v>
      </c>
      <c r="H98" s="5" t="str">
        <f t="shared" si="7"/>
        <v>B</v>
      </c>
    </row>
    <row r="99" spans="1:8" x14ac:dyDescent="0.15">
      <c r="A99" s="1" t="s">
        <v>187</v>
      </c>
      <c r="B99" s="1" t="s">
        <v>10</v>
      </c>
      <c r="C99">
        <v>55</v>
      </c>
      <c r="D99">
        <v>6329</v>
      </c>
      <c r="E99">
        <v>5184</v>
      </c>
      <c r="F99" s="5">
        <f t="shared" si="5"/>
        <v>800</v>
      </c>
      <c r="G99" s="5">
        <f t="shared" si="6"/>
        <v>12313</v>
      </c>
      <c r="H99" s="5" t="str">
        <f t="shared" si="7"/>
        <v>C</v>
      </c>
    </row>
    <row r="100" spans="1:8" x14ac:dyDescent="0.15">
      <c r="A100" s="5" t="s">
        <v>188</v>
      </c>
      <c r="B100" s="1" t="s">
        <v>9</v>
      </c>
      <c r="C100">
        <v>68</v>
      </c>
      <c r="D100">
        <v>7412</v>
      </c>
      <c r="E100">
        <v>5184</v>
      </c>
      <c r="F100" s="5">
        <f t="shared" si="5"/>
        <v>2000</v>
      </c>
      <c r="G100" s="5">
        <f t="shared" si="6"/>
        <v>14596</v>
      </c>
      <c r="H100" s="5" t="str">
        <f t="shared" si="7"/>
        <v>C</v>
      </c>
    </row>
  </sheetData>
  <mergeCells count="3">
    <mergeCell ref="J3:L3"/>
    <mergeCell ref="J9:N9"/>
    <mergeCell ref="A1:H1"/>
  </mergeCells>
  <phoneticPr fontId="1" type="noConversion"/>
  <conditionalFormatting sqref="H3:H100">
    <cfRule type="cellIs" dxfId="0" priority="1" operator="equal">
      <formula>"C"</formula>
    </cfRule>
  </conditionalFormatting>
  <pageMargins left="0.75" right="0.75" top="1" bottom="1" header="0.51180555555555551" footer="0.51180555555555551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B10" sqref="B10"/>
    </sheetView>
  </sheetViews>
  <sheetFormatPr defaultRowHeight="14.25" x14ac:dyDescent="0.15"/>
  <cols>
    <col min="1" max="1" width="13.375" customWidth="1"/>
    <col min="2" max="2" width="11.625" bestFit="1" customWidth="1"/>
  </cols>
  <sheetData>
    <row r="1" spans="1:4" x14ac:dyDescent="0.15">
      <c r="A1" s="4" t="s">
        <v>4</v>
      </c>
      <c r="B1" s="8" t="s">
        <v>31</v>
      </c>
    </row>
    <row r="2" spans="1:4" x14ac:dyDescent="0.15">
      <c r="A2" s="6" t="s">
        <v>33</v>
      </c>
      <c r="B2" s="7">
        <v>8000</v>
      </c>
    </row>
    <row r="3" spans="1:4" x14ac:dyDescent="0.15">
      <c r="A3" s="6" t="s">
        <v>34</v>
      </c>
      <c r="B3" s="7">
        <v>6000</v>
      </c>
    </row>
    <row r="4" spans="1:4" x14ac:dyDescent="0.15">
      <c r="A4" s="6" t="s">
        <v>35</v>
      </c>
      <c r="B4" s="7">
        <v>4000</v>
      </c>
    </row>
    <row r="5" spans="1:4" x14ac:dyDescent="0.15">
      <c r="A5" s="6" t="s">
        <v>36</v>
      </c>
      <c r="B5" s="7">
        <v>2000</v>
      </c>
    </row>
    <row r="6" spans="1:4" x14ac:dyDescent="0.15">
      <c r="A6" s="6" t="s">
        <v>32</v>
      </c>
      <c r="B6" s="7">
        <v>800</v>
      </c>
    </row>
    <row r="9" spans="1:4" x14ac:dyDescent="0.15">
      <c r="D9" s="5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101"/>
  <sheetViews>
    <sheetView tabSelected="1" workbookViewId="0">
      <selection activeCell="B36" sqref="B36"/>
    </sheetView>
  </sheetViews>
  <sheetFormatPr defaultRowHeight="14.25" x14ac:dyDescent="0.15"/>
  <cols>
    <col min="4" max="4" width="11.625" bestFit="1" customWidth="1"/>
    <col min="6" max="6" width="14.625" customWidth="1"/>
    <col min="7" max="7" width="12.375" customWidth="1"/>
  </cols>
  <sheetData>
    <row r="1" spans="1:7" s="5" customFormat="1" x14ac:dyDescent="0.15">
      <c r="D1" s="5" t="s">
        <v>61</v>
      </c>
      <c r="G1" s="5" t="s">
        <v>51</v>
      </c>
    </row>
    <row r="2" spans="1:7" s="5" customFormat="1" x14ac:dyDescent="0.15">
      <c r="D2" s="5" t="s">
        <v>95</v>
      </c>
      <c r="G2" s="1" t="s">
        <v>189</v>
      </c>
    </row>
    <row r="3" spans="1:7" s="5" customFormat="1" x14ac:dyDescent="0.15">
      <c r="D3" s="5" t="s">
        <v>90</v>
      </c>
      <c r="G3" s="1" t="s">
        <v>189</v>
      </c>
    </row>
    <row r="4" spans="1:7" s="5" customFormat="1" x14ac:dyDescent="0.15"/>
    <row r="5" spans="1:7" x14ac:dyDescent="0.15">
      <c r="A5" t="s">
        <v>50</v>
      </c>
      <c r="B5" t="s">
        <v>59</v>
      </c>
      <c r="C5" t="s">
        <v>60</v>
      </c>
      <c r="D5" t="s">
        <v>61</v>
      </c>
      <c r="E5" t="s">
        <v>62</v>
      </c>
      <c r="F5" t="s">
        <v>63</v>
      </c>
      <c r="G5" t="s">
        <v>51</v>
      </c>
    </row>
    <row r="6" spans="1:7" hidden="1" x14ac:dyDescent="0.15">
      <c r="A6">
        <v>3</v>
      </c>
      <c r="B6" t="s">
        <v>76</v>
      </c>
      <c r="C6" t="s">
        <v>93</v>
      </c>
      <c r="D6" t="s">
        <v>94</v>
      </c>
      <c r="E6">
        <v>94</v>
      </c>
      <c r="F6">
        <v>23.5</v>
      </c>
      <c r="G6">
        <v>62</v>
      </c>
    </row>
    <row r="7" spans="1:7" hidden="1" x14ac:dyDescent="0.15">
      <c r="A7">
        <v>1</v>
      </c>
      <c r="B7" t="s">
        <v>76</v>
      </c>
      <c r="C7" t="s">
        <v>93</v>
      </c>
      <c r="D7" t="s">
        <v>94</v>
      </c>
      <c r="E7">
        <v>63</v>
      </c>
      <c r="F7">
        <v>15.75</v>
      </c>
      <c r="G7">
        <v>74</v>
      </c>
    </row>
    <row r="8" spans="1:7" hidden="1" x14ac:dyDescent="0.15">
      <c r="A8">
        <v>2</v>
      </c>
      <c r="B8" t="s">
        <v>76</v>
      </c>
      <c r="C8" t="s">
        <v>93</v>
      </c>
      <c r="D8" t="s">
        <v>94</v>
      </c>
      <c r="E8">
        <v>88</v>
      </c>
      <c r="F8">
        <v>22</v>
      </c>
      <c r="G8">
        <v>64</v>
      </c>
    </row>
    <row r="9" spans="1:7" hidden="1" x14ac:dyDescent="0.15">
      <c r="A9">
        <v>1</v>
      </c>
      <c r="B9" t="s">
        <v>74</v>
      </c>
      <c r="C9" t="s">
        <v>93</v>
      </c>
      <c r="D9" t="s">
        <v>94</v>
      </c>
      <c r="E9">
        <v>86</v>
      </c>
      <c r="F9">
        <v>21.5</v>
      </c>
      <c r="G9">
        <v>65</v>
      </c>
    </row>
    <row r="10" spans="1:7" hidden="1" x14ac:dyDescent="0.15">
      <c r="A10">
        <v>2</v>
      </c>
      <c r="B10" t="s">
        <v>74</v>
      </c>
      <c r="C10" t="s">
        <v>93</v>
      </c>
      <c r="D10" t="s">
        <v>94</v>
      </c>
      <c r="E10">
        <v>56</v>
      </c>
      <c r="F10">
        <v>14</v>
      </c>
      <c r="G10">
        <v>82</v>
      </c>
    </row>
    <row r="11" spans="1:7" hidden="1" x14ac:dyDescent="0.15">
      <c r="A11">
        <v>3</v>
      </c>
      <c r="B11" t="s">
        <v>74</v>
      </c>
      <c r="C11" t="s">
        <v>93</v>
      </c>
      <c r="D11" t="s">
        <v>94</v>
      </c>
      <c r="E11">
        <v>49</v>
      </c>
      <c r="F11">
        <v>12.25</v>
      </c>
      <c r="G11">
        <v>83</v>
      </c>
    </row>
    <row r="12" spans="1:7" hidden="1" x14ac:dyDescent="0.15">
      <c r="A12">
        <v>1</v>
      </c>
      <c r="B12" t="s">
        <v>75</v>
      </c>
      <c r="C12" t="s">
        <v>93</v>
      </c>
      <c r="D12" t="s">
        <v>94</v>
      </c>
      <c r="E12">
        <v>72</v>
      </c>
      <c r="F12">
        <v>18</v>
      </c>
      <c r="G12">
        <v>71</v>
      </c>
    </row>
    <row r="13" spans="1:7" hidden="1" x14ac:dyDescent="0.15">
      <c r="A13">
        <v>2</v>
      </c>
      <c r="B13" t="s">
        <v>75</v>
      </c>
      <c r="C13" t="s">
        <v>93</v>
      </c>
      <c r="D13" t="s">
        <v>94</v>
      </c>
      <c r="E13">
        <v>65</v>
      </c>
      <c r="F13">
        <v>16.25</v>
      </c>
      <c r="G13">
        <v>73</v>
      </c>
    </row>
    <row r="14" spans="1:7" hidden="1" x14ac:dyDescent="0.15">
      <c r="A14">
        <v>3</v>
      </c>
      <c r="B14" t="s">
        <v>75</v>
      </c>
      <c r="C14" t="s">
        <v>93</v>
      </c>
      <c r="D14" t="s">
        <v>94</v>
      </c>
      <c r="E14">
        <v>77</v>
      </c>
      <c r="F14">
        <v>19.25</v>
      </c>
      <c r="G14">
        <v>69</v>
      </c>
    </row>
    <row r="15" spans="1:7" hidden="1" x14ac:dyDescent="0.15">
      <c r="A15">
        <v>1</v>
      </c>
      <c r="B15" t="s">
        <v>71</v>
      </c>
      <c r="C15" t="s">
        <v>93</v>
      </c>
      <c r="D15" t="s">
        <v>94</v>
      </c>
      <c r="E15">
        <v>62</v>
      </c>
      <c r="F15">
        <v>15.5</v>
      </c>
      <c r="G15">
        <v>75</v>
      </c>
    </row>
    <row r="16" spans="1:7" hidden="1" x14ac:dyDescent="0.15">
      <c r="A16">
        <v>2</v>
      </c>
      <c r="B16" t="s">
        <v>71</v>
      </c>
      <c r="C16" t="s">
        <v>93</v>
      </c>
      <c r="D16" t="s">
        <v>94</v>
      </c>
      <c r="E16">
        <v>61</v>
      </c>
      <c r="F16">
        <v>15.25</v>
      </c>
      <c r="G16">
        <v>76</v>
      </c>
    </row>
    <row r="17" spans="1:7" hidden="1" x14ac:dyDescent="0.15">
      <c r="A17">
        <v>3</v>
      </c>
      <c r="B17" t="s">
        <v>71</v>
      </c>
      <c r="C17" t="s">
        <v>93</v>
      </c>
      <c r="D17" t="s">
        <v>94</v>
      </c>
      <c r="E17">
        <v>57</v>
      </c>
      <c r="F17">
        <v>14.25</v>
      </c>
      <c r="G17">
        <v>81</v>
      </c>
    </row>
    <row r="18" spans="1:7" hidden="1" x14ac:dyDescent="0.15">
      <c r="A18">
        <v>1</v>
      </c>
      <c r="B18" t="s">
        <v>81</v>
      </c>
      <c r="C18" t="s">
        <v>91</v>
      </c>
      <c r="D18" t="s">
        <v>92</v>
      </c>
      <c r="E18">
        <v>112</v>
      </c>
      <c r="F18">
        <v>64.73599999999999</v>
      </c>
      <c r="G18">
        <v>16</v>
      </c>
    </row>
    <row r="19" spans="1:7" hidden="1" x14ac:dyDescent="0.15">
      <c r="A19">
        <v>3</v>
      </c>
      <c r="B19" t="s">
        <v>81</v>
      </c>
      <c r="C19" t="s">
        <v>91</v>
      </c>
      <c r="D19" t="s">
        <v>92</v>
      </c>
      <c r="E19">
        <v>87</v>
      </c>
      <c r="F19">
        <v>50.285999999999994</v>
      </c>
      <c r="G19">
        <v>29</v>
      </c>
    </row>
    <row r="20" spans="1:7" hidden="1" x14ac:dyDescent="0.15">
      <c r="A20">
        <v>2</v>
      </c>
      <c r="B20" t="s">
        <v>81</v>
      </c>
      <c r="C20" t="s">
        <v>91</v>
      </c>
      <c r="D20" t="s">
        <v>92</v>
      </c>
      <c r="E20">
        <v>45</v>
      </c>
      <c r="F20">
        <v>26.009999999999998</v>
      </c>
      <c r="G20">
        <v>58</v>
      </c>
    </row>
    <row r="21" spans="1:7" hidden="1" x14ac:dyDescent="0.15">
      <c r="A21">
        <v>2</v>
      </c>
      <c r="B21" t="s">
        <v>74</v>
      </c>
      <c r="C21" t="s">
        <v>91</v>
      </c>
      <c r="D21" t="s">
        <v>92</v>
      </c>
      <c r="E21">
        <v>121</v>
      </c>
      <c r="F21">
        <v>69.937999999999988</v>
      </c>
      <c r="G21">
        <v>13</v>
      </c>
    </row>
    <row r="22" spans="1:7" hidden="1" x14ac:dyDescent="0.15">
      <c r="A22">
        <v>1</v>
      </c>
      <c r="B22" t="s">
        <v>80</v>
      </c>
      <c r="C22" t="s">
        <v>91</v>
      </c>
      <c r="D22" t="s">
        <v>92</v>
      </c>
      <c r="E22">
        <v>89</v>
      </c>
      <c r="F22">
        <v>51.441999999999993</v>
      </c>
      <c r="G22">
        <v>27</v>
      </c>
    </row>
    <row r="23" spans="1:7" hidden="1" x14ac:dyDescent="0.15">
      <c r="A23">
        <v>3</v>
      </c>
      <c r="B23" t="s">
        <v>80</v>
      </c>
      <c r="C23" t="s">
        <v>91</v>
      </c>
      <c r="D23" t="s">
        <v>92</v>
      </c>
      <c r="E23">
        <v>66</v>
      </c>
      <c r="F23">
        <v>38.147999999999996</v>
      </c>
      <c r="G23">
        <v>41</v>
      </c>
    </row>
    <row r="24" spans="1:7" hidden="1" x14ac:dyDescent="0.15">
      <c r="A24">
        <v>2</v>
      </c>
      <c r="B24" t="s">
        <v>77</v>
      </c>
      <c r="C24" t="s">
        <v>91</v>
      </c>
      <c r="D24" t="s">
        <v>92</v>
      </c>
      <c r="E24">
        <v>97</v>
      </c>
      <c r="F24">
        <v>56.065999999999995</v>
      </c>
      <c r="G24">
        <v>20</v>
      </c>
    </row>
    <row r="25" spans="1:7" hidden="1" x14ac:dyDescent="0.15">
      <c r="A25">
        <v>1</v>
      </c>
      <c r="B25" t="s">
        <v>77</v>
      </c>
      <c r="C25" t="s">
        <v>91</v>
      </c>
      <c r="D25" t="s">
        <v>92</v>
      </c>
      <c r="E25">
        <v>132</v>
      </c>
      <c r="F25">
        <v>76.295999999999992</v>
      </c>
      <c r="G25">
        <v>9</v>
      </c>
    </row>
    <row r="26" spans="1:7" hidden="1" x14ac:dyDescent="0.15">
      <c r="A26">
        <v>3</v>
      </c>
      <c r="B26" t="s">
        <v>77</v>
      </c>
      <c r="C26" t="s">
        <v>91</v>
      </c>
      <c r="D26" t="s">
        <v>92</v>
      </c>
      <c r="E26">
        <v>56</v>
      </c>
      <c r="F26">
        <v>32.367999999999995</v>
      </c>
      <c r="G26">
        <v>47</v>
      </c>
    </row>
    <row r="27" spans="1:7" hidden="1" x14ac:dyDescent="0.15">
      <c r="A27">
        <v>1</v>
      </c>
      <c r="B27" t="s">
        <v>82</v>
      </c>
      <c r="C27" t="s">
        <v>91</v>
      </c>
      <c r="D27" t="s">
        <v>92</v>
      </c>
      <c r="E27">
        <v>111</v>
      </c>
      <c r="F27">
        <v>64.158000000000001</v>
      </c>
      <c r="G27">
        <v>17</v>
      </c>
    </row>
    <row r="28" spans="1:7" hidden="1" x14ac:dyDescent="0.15">
      <c r="A28">
        <v>2</v>
      </c>
      <c r="B28" t="s">
        <v>82</v>
      </c>
      <c r="C28" t="s">
        <v>91</v>
      </c>
      <c r="D28" t="s">
        <v>92</v>
      </c>
      <c r="E28">
        <v>131</v>
      </c>
      <c r="F28">
        <v>75.717999999999989</v>
      </c>
      <c r="G28">
        <v>10</v>
      </c>
    </row>
    <row r="29" spans="1:7" hidden="1" x14ac:dyDescent="0.15">
      <c r="A29">
        <v>3</v>
      </c>
      <c r="B29" t="s">
        <v>82</v>
      </c>
      <c r="C29" t="s">
        <v>91</v>
      </c>
      <c r="D29" t="s">
        <v>92</v>
      </c>
      <c r="E29">
        <v>78</v>
      </c>
      <c r="F29">
        <v>45.083999999999996</v>
      </c>
      <c r="G29">
        <v>36</v>
      </c>
    </row>
    <row r="30" spans="1:7" hidden="1" x14ac:dyDescent="0.15">
      <c r="A30">
        <v>3</v>
      </c>
      <c r="B30" t="s">
        <v>88</v>
      </c>
      <c r="C30" t="s">
        <v>89</v>
      </c>
      <c r="D30" t="s">
        <v>90</v>
      </c>
      <c r="E30">
        <v>56</v>
      </c>
      <c r="F30">
        <v>33.6</v>
      </c>
      <c r="G30">
        <v>46</v>
      </c>
    </row>
    <row r="31" spans="1:7" x14ac:dyDescent="0.15">
      <c r="A31">
        <v>2</v>
      </c>
      <c r="B31" t="s">
        <v>88</v>
      </c>
      <c r="C31" t="s">
        <v>89</v>
      </c>
      <c r="D31" t="s">
        <v>90</v>
      </c>
      <c r="E31">
        <v>86</v>
      </c>
      <c r="F31">
        <v>51.6</v>
      </c>
      <c r="G31">
        <v>25</v>
      </c>
    </row>
    <row r="32" spans="1:7" hidden="1" x14ac:dyDescent="0.15">
      <c r="A32">
        <v>1</v>
      </c>
      <c r="B32" t="s">
        <v>88</v>
      </c>
      <c r="C32" t="s">
        <v>89</v>
      </c>
      <c r="D32" t="s">
        <v>90</v>
      </c>
      <c r="E32">
        <v>73</v>
      </c>
      <c r="F32">
        <v>43.8</v>
      </c>
      <c r="G32">
        <v>38</v>
      </c>
    </row>
    <row r="33" spans="1:7" x14ac:dyDescent="0.15">
      <c r="A33">
        <v>3</v>
      </c>
      <c r="B33" t="s">
        <v>86</v>
      </c>
      <c r="C33" t="s">
        <v>89</v>
      </c>
      <c r="D33" t="s">
        <v>90</v>
      </c>
      <c r="E33">
        <v>90</v>
      </c>
      <c r="F33">
        <v>54</v>
      </c>
      <c r="G33">
        <v>23</v>
      </c>
    </row>
    <row r="34" spans="1:7" x14ac:dyDescent="0.15">
      <c r="A34">
        <v>2</v>
      </c>
      <c r="B34" t="s">
        <v>86</v>
      </c>
      <c r="C34" t="s">
        <v>89</v>
      </c>
      <c r="D34" t="s">
        <v>90</v>
      </c>
      <c r="E34">
        <v>89</v>
      </c>
      <c r="F34">
        <v>53.4</v>
      </c>
      <c r="G34">
        <v>24</v>
      </c>
    </row>
    <row r="35" spans="1:7" hidden="1" x14ac:dyDescent="0.15">
      <c r="A35">
        <v>1</v>
      </c>
      <c r="B35" t="s">
        <v>86</v>
      </c>
      <c r="C35" t="s">
        <v>89</v>
      </c>
      <c r="D35" t="s">
        <v>90</v>
      </c>
      <c r="E35">
        <v>48</v>
      </c>
      <c r="F35">
        <v>28.799999999999997</v>
      </c>
      <c r="G35">
        <v>52</v>
      </c>
    </row>
    <row r="36" spans="1:7" x14ac:dyDescent="0.15">
      <c r="A36">
        <v>2</v>
      </c>
      <c r="B36" t="s">
        <v>87</v>
      </c>
      <c r="C36" t="s">
        <v>89</v>
      </c>
      <c r="D36" t="s">
        <v>90</v>
      </c>
      <c r="E36">
        <v>124</v>
      </c>
      <c r="F36">
        <v>74.399999999999991</v>
      </c>
      <c r="G36">
        <v>11</v>
      </c>
    </row>
    <row r="37" spans="1:7" x14ac:dyDescent="0.15">
      <c r="A37">
        <v>3</v>
      </c>
      <c r="B37" t="s">
        <v>87</v>
      </c>
      <c r="C37" t="s">
        <v>89</v>
      </c>
      <c r="D37" t="s">
        <v>90</v>
      </c>
      <c r="E37">
        <v>82</v>
      </c>
      <c r="F37">
        <v>49.199999999999996</v>
      </c>
      <c r="G37">
        <v>30</v>
      </c>
    </row>
    <row r="38" spans="1:7" hidden="1" x14ac:dyDescent="0.15">
      <c r="A38">
        <v>1</v>
      </c>
      <c r="B38" t="s">
        <v>87</v>
      </c>
      <c r="C38" t="s">
        <v>89</v>
      </c>
      <c r="D38" t="s">
        <v>90</v>
      </c>
      <c r="E38">
        <v>79</v>
      </c>
      <c r="F38">
        <v>47.4</v>
      </c>
      <c r="G38">
        <v>32</v>
      </c>
    </row>
    <row r="39" spans="1:7" x14ac:dyDescent="0.15">
      <c r="A39">
        <v>2</v>
      </c>
      <c r="B39" t="s">
        <v>83</v>
      </c>
      <c r="C39" t="s">
        <v>89</v>
      </c>
      <c r="D39" t="s">
        <v>90</v>
      </c>
      <c r="E39">
        <v>123</v>
      </c>
      <c r="F39">
        <v>73.8</v>
      </c>
      <c r="G39">
        <v>12</v>
      </c>
    </row>
    <row r="40" spans="1:7" hidden="1" x14ac:dyDescent="0.15">
      <c r="A40">
        <v>3</v>
      </c>
      <c r="B40" t="s">
        <v>83</v>
      </c>
      <c r="C40" t="s">
        <v>89</v>
      </c>
      <c r="D40" t="s">
        <v>90</v>
      </c>
      <c r="E40">
        <v>78</v>
      </c>
      <c r="F40">
        <v>46.8</v>
      </c>
      <c r="G40">
        <v>33</v>
      </c>
    </row>
    <row r="41" spans="1:7" hidden="1" x14ac:dyDescent="0.15">
      <c r="A41">
        <v>1</v>
      </c>
      <c r="B41" t="s">
        <v>83</v>
      </c>
      <c r="C41" t="s">
        <v>89</v>
      </c>
      <c r="D41" t="s">
        <v>90</v>
      </c>
      <c r="E41">
        <v>76</v>
      </c>
      <c r="F41">
        <v>45.6</v>
      </c>
      <c r="G41">
        <v>35</v>
      </c>
    </row>
    <row r="42" spans="1:7" hidden="1" x14ac:dyDescent="0.15">
      <c r="A42">
        <v>3</v>
      </c>
      <c r="B42" t="s">
        <v>88</v>
      </c>
      <c r="C42" t="s">
        <v>84</v>
      </c>
      <c r="D42" t="s">
        <v>85</v>
      </c>
      <c r="E42">
        <v>106</v>
      </c>
      <c r="F42">
        <v>34.980000000000004</v>
      </c>
      <c r="G42">
        <v>44</v>
      </c>
    </row>
    <row r="43" spans="1:7" hidden="1" x14ac:dyDescent="0.15">
      <c r="A43">
        <v>2</v>
      </c>
      <c r="B43" t="s">
        <v>88</v>
      </c>
      <c r="C43" t="s">
        <v>84</v>
      </c>
      <c r="D43" t="s">
        <v>85</v>
      </c>
      <c r="E43">
        <v>81</v>
      </c>
      <c r="F43">
        <v>26.73</v>
      </c>
      <c r="G43">
        <v>57</v>
      </c>
    </row>
    <row r="44" spans="1:7" hidden="1" x14ac:dyDescent="0.15">
      <c r="A44">
        <v>1</v>
      </c>
      <c r="B44" t="s">
        <v>88</v>
      </c>
      <c r="C44" t="s">
        <v>84</v>
      </c>
      <c r="D44" t="s">
        <v>85</v>
      </c>
      <c r="E44">
        <v>46</v>
      </c>
      <c r="F44">
        <v>15.180000000000001</v>
      </c>
      <c r="G44">
        <v>77</v>
      </c>
    </row>
    <row r="45" spans="1:7" hidden="1" x14ac:dyDescent="0.15">
      <c r="A45">
        <v>2</v>
      </c>
      <c r="B45" t="s">
        <v>86</v>
      </c>
      <c r="C45" t="s">
        <v>84</v>
      </c>
      <c r="D45" t="s">
        <v>85</v>
      </c>
      <c r="E45">
        <v>156</v>
      </c>
      <c r="F45">
        <v>51.480000000000004</v>
      </c>
      <c r="G45">
        <v>26</v>
      </c>
    </row>
    <row r="46" spans="1:7" hidden="1" x14ac:dyDescent="0.15">
      <c r="A46">
        <v>3</v>
      </c>
      <c r="B46" t="s">
        <v>86</v>
      </c>
      <c r="C46" t="s">
        <v>84</v>
      </c>
      <c r="D46" t="s">
        <v>85</v>
      </c>
      <c r="E46">
        <v>90</v>
      </c>
      <c r="F46">
        <v>29.700000000000003</v>
      </c>
      <c r="G46">
        <v>49</v>
      </c>
    </row>
    <row r="47" spans="1:7" hidden="1" x14ac:dyDescent="0.15">
      <c r="A47">
        <v>1</v>
      </c>
      <c r="B47" t="s">
        <v>86</v>
      </c>
      <c r="C47" t="s">
        <v>84</v>
      </c>
      <c r="D47" t="s">
        <v>85</v>
      </c>
      <c r="E47">
        <v>78</v>
      </c>
      <c r="F47">
        <v>25.740000000000002</v>
      </c>
      <c r="G47">
        <v>59</v>
      </c>
    </row>
    <row r="48" spans="1:7" hidden="1" x14ac:dyDescent="0.15">
      <c r="A48">
        <v>2</v>
      </c>
      <c r="B48" t="s">
        <v>87</v>
      </c>
      <c r="C48" t="s">
        <v>84</v>
      </c>
      <c r="D48" t="s">
        <v>85</v>
      </c>
      <c r="E48">
        <v>123</v>
      </c>
      <c r="F48">
        <v>40.590000000000003</v>
      </c>
      <c r="G48">
        <v>40</v>
      </c>
    </row>
    <row r="49" spans="1:7" hidden="1" x14ac:dyDescent="0.15">
      <c r="A49">
        <v>3</v>
      </c>
      <c r="B49" t="s">
        <v>87</v>
      </c>
      <c r="C49" t="s">
        <v>84</v>
      </c>
      <c r="D49" t="s">
        <v>85</v>
      </c>
      <c r="E49">
        <v>86</v>
      </c>
      <c r="F49">
        <v>28.380000000000003</v>
      </c>
      <c r="G49">
        <v>53</v>
      </c>
    </row>
    <row r="50" spans="1:7" hidden="1" x14ac:dyDescent="0.15">
      <c r="A50">
        <v>1</v>
      </c>
      <c r="B50" t="s">
        <v>87</v>
      </c>
      <c r="C50" t="s">
        <v>84</v>
      </c>
      <c r="D50" t="s">
        <v>85</v>
      </c>
      <c r="E50">
        <v>45</v>
      </c>
      <c r="F50">
        <v>14.850000000000001</v>
      </c>
      <c r="G50">
        <v>79</v>
      </c>
    </row>
    <row r="51" spans="1:7" hidden="1" x14ac:dyDescent="0.15">
      <c r="A51">
        <v>3</v>
      </c>
      <c r="B51" t="s">
        <v>83</v>
      </c>
      <c r="C51" t="s">
        <v>84</v>
      </c>
      <c r="D51" t="s">
        <v>85</v>
      </c>
      <c r="E51">
        <v>176</v>
      </c>
      <c r="F51">
        <v>58.080000000000005</v>
      </c>
      <c r="G51">
        <v>19</v>
      </c>
    </row>
    <row r="52" spans="1:7" hidden="1" x14ac:dyDescent="0.15">
      <c r="A52">
        <v>2</v>
      </c>
      <c r="B52" t="s">
        <v>83</v>
      </c>
      <c r="C52" t="s">
        <v>84</v>
      </c>
      <c r="D52" t="s">
        <v>85</v>
      </c>
      <c r="E52">
        <v>112</v>
      </c>
      <c r="F52">
        <v>36.96</v>
      </c>
      <c r="G52">
        <v>42</v>
      </c>
    </row>
    <row r="53" spans="1:7" hidden="1" x14ac:dyDescent="0.15">
      <c r="A53">
        <v>1</v>
      </c>
      <c r="B53" t="s">
        <v>83</v>
      </c>
      <c r="C53" t="s">
        <v>84</v>
      </c>
      <c r="D53" t="s">
        <v>85</v>
      </c>
      <c r="E53">
        <v>67</v>
      </c>
      <c r="F53">
        <v>22.11</v>
      </c>
      <c r="G53">
        <v>63</v>
      </c>
    </row>
    <row r="54" spans="1:7" hidden="1" x14ac:dyDescent="0.15">
      <c r="A54">
        <v>1</v>
      </c>
      <c r="B54" t="s">
        <v>81</v>
      </c>
      <c r="C54" t="s">
        <v>78</v>
      </c>
      <c r="D54" t="s">
        <v>79</v>
      </c>
      <c r="E54">
        <v>91</v>
      </c>
      <c r="F54">
        <v>8.1808999999999994</v>
      </c>
      <c r="G54">
        <v>90</v>
      </c>
    </row>
    <row r="55" spans="1:7" hidden="1" x14ac:dyDescent="0.15">
      <c r="A55">
        <v>2</v>
      </c>
      <c r="B55" t="s">
        <v>81</v>
      </c>
      <c r="C55" t="s">
        <v>78</v>
      </c>
      <c r="D55" t="s">
        <v>79</v>
      </c>
      <c r="E55">
        <v>67</v>
      </c>
      <c r="F55">
        <v>6.0232999999999999</v>
      </c>
      <c r="G55">
        <v>94</v>
      </c>
    </row>
    <row r="56" spans="1:7" hidden="1" x14ac:dyDescent="0.15">
      <c r="A56">
        <v>3</v>
      </c>
      <c r="B56" t="s">
        <v>81</v>
      </c>
      <c r="C56" t="s">
        <v>78</v>
      </c>
      <c r="D56" t="s">
        <v>79</v>
      </c>
      <c r="E56">
        <v>69</v>
      </c>
      <c r="F56">
        <v>6.2030999999999992</v>
      </c>
      <c r="G56">
        <v>93</v>
      </c>
    </row>
    <row r="57" spans="1:7" hidden="1" x14ac:dyDescent="0.15">
      <c r="A57">
        <v>2</v>
      </c>
      <c r="B57" t="s">
        <v>74</v>
      </c>
      <c r="C57" t="s">
        <v>78</v>
      </c>
      <c r="D57" t="s">
        <v>79</v>
      </c>
      <c r="E57">
        <v>123</v>
      </c>
      <c r="F57">
        <v>11.057699999999999</v>
      </c>
      <c r="G57">
        <v>86</v>
      </c>
    </row>
    <row r="58" spans="1:7" hidden="1" x14ac:dyDescent="0.15">
      <c r="A58">
        <v>3</v>
      </c>
      <c r="B58" t="s">
        <v>80</v>
      </c>
      <c r="C58" t="s">
        <v>78</v>
      </c>
      <c r="D58" t="s">
        <v>79</v>
      </c>
      <c r="E58">
        <v>121</v>
      </c>
      <c r="F58">
        <v>10.877899999999999</v>
      </c>
      <c r="G58">
        <v>87</v>
      </c>
    </row>
    <row r="59" spans="1:7" hidden="1" x14ac:dyDescent="0.15">
      <c r="A59">
        <v>1</v>
      </c>
      <c r="B59" t="s">
        <v>80</v>
      </c>
      <c r="C59" t="s">
        <v>78</v>
      </c>
      <c r="D59" t="s">
        <v>79</v>
      </c>
      <c r="E59">
        <v>56</v>
      </c>
      <c r="F59">
        <v>5.0343999999999998</v>
      </c>
      <c r="G59">
        <v>95</v>
      </c>
    </row>
    <row r="60" spans="1:7" hidden="1" x14ac:dyDescent="0.15">
      <c r="A60">
        <v>3</v>
      </c>
      <c r="B60" t="s">
        <v>77</v>
      </c>
      <c r="C60" t="s">
        <v>78</v>
      </c>
      <c r="D60" t="s">
        <v>79</v>
      </c>
      <c r="E60">
        <v>167</v>
      </c>
      <c r="F60">
        <v>15.013299999999999</v>
      </c>
      <c r="G60">
        <v>78</v>
      </c>
    </row>
    <row r="61" spans="1:7" hidden="1" x14ac:dyDescent="0.15">
      <c r="A61">
        <v>2</v>
      </c>
      <c r="B61" t="s">
        <v>77</v>
      </c>
      <c r="C61" t="s">
        <v>78</v>
      </c>
      <c r="D61" t="s">
        <v>79</v>
      </c>
      <c r="E61">
        <v>97</v>
      </c>
      <c r="F61">
        <v>8.7202999999999999</v>
      </c>
      <c r="G61">
        <v>89</v>
      </c>
    </row>
    <row r="62" spans="1:7" hidden="1" x14ac:dyDescent="0.15">
      <c r="A62">
        <v>1</v>
      </c>
      <c r="B62" t="s">
        <v>77</v>
      </c>
      <c r="C62" t="s">
        <v>78</v>
      </c>
      <c r="D62" t="s">
        <v>79</v>
      </c>
      <c r="E62">
        <v>41</v>
      </c>
      <c r="F62">
        <v>3.6858999999999997</v>
      </c>
      <c r="G62">
        <v>96</v>
      </c>
    </row>
    <row r="63" spans="1:7" hidden="1" x14ac:dyDescent="0.15">
      <c r="A63">
        <v>1</v>
      </c>
      <c r="B63" t="s">
        <v>82</v>
      </c>
      <c r="C63" t="s">
        <v>78</v>
      </c>
      <c r="D63" t="s">
        <v>79</v>
      </c>
      <c r="E63">
        <v>89</v>
      </c>
      <c r="F63">
        <v>8.0010999999999992</v>
      </c>
      <c r="G63">
        <v>91</v>
      </c>
    </row>
    <row r="64" spans="1:7" hidden="1" x14ac:dyDescent="0.15">
      <c r="A64">
        <v>3</v>
      </c>
      <c r="B64" t="s">
        <v>82</v>
      </c>
      <c r="C64" t="s">
        <v>78</v>
      </c>
      <c r="D64" t="s">
        <v>79</v>
      </c>
      <c r="E64">
        <v>78</v>
      </c>
      <c r="F64">
        <v>7.0121999999999991</v>
      </c>
      <c r="G64">
        <v>92</v>
      </c>
    </row>
    <row r="65" spans="1:7" hidden="1" x14ac:dyDescent="0.15">
      <c r="A65">
        <v>2</v>
      </c>
      <c r="B65" t="s">
        <v>82</v>
      </c>
      <c r="C65" t="s">
        <v>78</v>
      </c>
      <c r="D65" t="s">
        <v>79</v>
      </c>
      <c r="E65">
        <v>131</v>
      </c>
      <c r="F65">
        <v>11.776899999999999</v>
      </c>
      <c r="G65">
        <v>84</v>
      </c>
    </row>
    <row r="66" spans="1:7" hidden="1" x14ac:dyDescent="0.15">
      <c r="A66">
        <v>2</v>
      </c>
      <c r="B66" t="s">
        <v>76</v>
      </c>
      <c r="C66" t="s">
        <v>72</v>
      </c>
      <c r="D66" t="s">
        <v>73</v>
      </c>
      <c r="E66">
        <v>84</v>
      </c>
      <c r="F66">
        <v>27.720000000000002</v>
      </c>
      <c r="G66">
        <v>55</v>
      </c>
    </row>
    <row r="67" spans="1:7" hidden="1" x14ac:dyDescent="0.15">
      <c r="A67">
        <v>3</v>
      </c>
      <c r="B67" t="s">
        <v>76</v>
      </c>
      <c r="C67" t="s">
        <v>72</v>
      </c>
      <c r="D67" t="s">
        <v>73</v>
      </c>
      <c r="E67">
        <v>32</v>
      </c>
      <c r="F67">
        <v>10.56</v>
      </c>
      <c r="G67">
        <v>88</v>
      </c>
    </row>
    <row r="68" spans="1:7" hidden="1" x14ac:dyDescent="0.15">
      <c r="A68">
        <v>1</v>
      </c>
      <c r="B68" t="s">
        <v>76</v>
      </c>
      <c r="C68" t="s">
        <v>72</v>
      </c>
      <c r="D68" t="s">
        <v>73</v>
      </c>
      <c r="E68">
        <v>56</v>
      </c>
      <c r="F68">
        <v>18.48</v>
      </c>
      <c r="G68">
        <v>70</v>
      </c>
    </row>
    <row r="69" spans="1:7" hidden="1" x14ac:dyDescent="0.15">
      <c r="A69">
        <v>3</v>
      </c>
      <c r="B69" t="s">
        <v>74</v>
      </c>
      <c r="C69" t="s">
        <v>72</v>
      </c>
      <c r="D69" t="s">
        <v>73</v>
      </c>
      <c r="E69">
        <v>89</v>
      </c>
      <c r="F69">
        <v>29.37</v>
      </c>
      <c r="G69">
        <v>50</v>
      </c>
    </row>
    <row r="70" spans="1:7" hidden="1" x14ac:dyDescent="0.15">
      <c r="A70">
        <v>2</v>
      </c>
      <c r="B70" t="s">
        <v>74</v>
      </c>
      <c r="C70" t="s">
        <v>72</v>
      </c>
      <c r="D70" t="s">
        <v>73</v>
      </c>
      <c r="E70">
        <v>65</v>
      </c>
      <c r="F70">
        <v>21.45</v>
      </c>
      <c r="G70">
        <v>66</v>
      </c>
    </row>
    <row r="71" spans="1:7" hidden="1" x14ac:dyDescent="0.15">
      <c r="A71">
        <v>1</v>
      </c>
      <c r="B71" t="s">
        <v>74</v>
      </c>
      <c r="C71" t="s">
        <v>72</v>
      </c>
      <c r="D71" t="s">
        <v>73</v>
      </c>
      <c r="E71">
        <v>61</v>
      </c>
      <c r="F71">
        <v>20.130000000000003</v>
      </c>
      <c r="G71">
        <v>68</v>
      </c>
    </row>
    <row r="72" spans="1:7" hidden="1" x14ac:dyDescent="0.15">
      <c r="A72">
        <v>1</v>
      </c>
      <c r="B72" t="s">
        <v>75</v>
      </c>
      <c r="C72" t="s">
        <v>72</v>
      </c>
      <c r="D72" t="s">
        <v>73</v>
      </c>
      <c r="E72">
        <v>88</v>
      </c>
      <c r="F72">
        <v>29.040000000000003</v>
      </c>
      <c r="G72">
        <v>51</v>
      </c>
    </row>
    <row r="73" spans="1:7" hidden="1" x14ac:dyDescent="0.15">
      <c r="A73">
        <v>3</v>
      </c>
      <c r="B73" t="s">
        <v>75</v>
      </c>
      <c r="C73" t="s">
        <v>72</v>
      </c>
      <c r="D73" t="s">
        <v>73</v>
      </c>
      <c r="E73">
        <v>45</v>
      </c>
      <c r="F73">
        <v>14.850000000000001</v>
      </c>
      <c r="G73">
        <v>79</v>
      </c>
    </row>
    <row r="74" spans="1:7" hidden="1" x14ac:dyDescent="0.15">
      <c r="A74">
        <v>2</v>
      </c>
      <c r="B74" t="s">
        <v>75</v>
      </c>
      <c r="C74" t="s">
        <v>72</v>
      </c>
      <c r="D74" t="s">
        <v>73</v>
      </c>
      <c r="E74">
        <v>53</v>
      </c>
      <c r="F74">
        <v>17.490000000000002</v>
      </c>
      <c r="G74">
        <v>72</v>
      </c>
    </row>
    <row r="75" spans="1:7" hidden="1" x14ac:dyDescent="0.15">
      <c r="A75">
        <v>2</v>
      </c>
      <c r="B75" t="s">
        <v>71</v>
      </c>
      <c r="C75" t="s">
        <v>72</v>
      </c>
      <c r="D75" t="s">
        <v>73</v>
      </c>
      <c r="E75">
        <v>96</v>
      </c>
      <c r="F75">
        <v>31.68</v>
      </c>
      <c r="G75">
        <v>48</v>
      </c>
    </row>
    <row r="76" spans="1:7" hidden="1" x14ac:dyDescent="0.15">
      <c r="A76">
        <v>3</v>
      </c>
      <c r="B76" t="s">
        <v>71</v>
      </c>
      <c r="C76" t="s">
        <v>72</v>
      </c>
      <c r="D76" t="s">
        <v>73</v>
      </c>
      <c r="E76">
        <v>75</v>
      </c>
      <c r="F76">
        <v>24.75</v>
      </c>
      <c r="G76">
        <v>61</v>
      </c>
    </row>
    <row r="77" spans="1:7" hidden="1" x14ac:dyDescent="0.15">
      <c r="A77">
        <v>1</v>
      </c>
      <c r="B77" t="s">
        <v>71</v>
      </c>
      <c r="C77" t="s">
        <v>72</v>
      </c>
      <c r="D77" t="s">
        <v>73</v>
      </c>
      <c r="E77">
        <v>34</v>
      </c>
      <c r="F77">
        <v>11.22</v>
      </c>
      <c r="G77">
        <v>85</v>
      </c>
    </row>
    <row r="78" spans="1:7" hidden="1" x14ac:dyDescent="0.15">
      <c r="A78">
        <v>3</v>
      </c>
      <c r="B78" t="s">
        <v>67</v>
      </c>
      <c r="C78" t="s">
        <v>69</v>
      </c>
      <c r="D78" t="s">
        <v>70</v>
      </c>
      <c r="E78">
        <v>134</v>
      </c>
      <c r="F78">
        <v>67</v>
      </c>
      <c r="G78">
        <v>15</v>
      </c>
    </row>
    <row r="79" spans="1:7" hidden="1" x14ac:dyDescent="0.15">
      <c r="A79">
        <v>1</v>
      </c>
      <c r="B79" t="s">
        <v>67</v>
      </c>
      <c r="C79" t="s">
        <v>69</v>
      </c>
      <c r="D79" t="s">
        <v>70</v>
      </c>
      <c r="E79">
        <v>96</v>
      </c>
      <c r="F79">
        <v>48</v>
      </c>
      <c r="G79">
        <v>31</v>
      </c>
    </row>
    <row r="80" spans="1:7" hidden="1" x14ac:dyDescent="0.15">
      <c r="A80">
        <v>2</v>
      </c>
      <c r="B80" t="s">
        <v>67</v>
      </c>
      <c r="C80" t="s">
        <v>69</v>
      </c>
      <c r="D80" t="s">
        <v>70</v>
      </c>
      <c r="E80">
        <v>73</v>
      </c>
      <c r="F80">
        <v>36.5</v>
      </c>
      <c r="G80">
        <v>43</v>
      </c>
    </row>
    <row r="81" spans="1:7" hidden="1" x14ac:dyDescent="0.15">
      <c r="A81">
        <v>3</v>
      </c>
      <c r="B81" t="s">
        <v>64</v>
      </c>
      <c r="C81" t="s">
        <v>69</v>
      </c>
      <c r="D81" t="s">
        <v>70</v>
      </c>
      <c r="E81">
        <v>167</v>
      </c>
      <c r="F81">
        <v>83.5</v>
      </c>
      <c r="G81">
        <v>5</v>
      </c>
    </row>
    <row r="82" spans="1:7" hidden="1" x14ac:dyDescent="0.15">
      <c r="A82">
        <v>2</v>
      </c>
      <c r="B82" t="s">
        <v>64</v>
      </c>
      <c r="C82" t="s">
        <v>69</v>
      </c>
      <c r="D82" t="s">
        <v>70</v>
      </c>
      <c r="E82">
        <v>112</v>
      </c>
      <c r="F82">
        <v>56</v>
      </c>
      <c r="G82">
        <v>21</v>
      </c>
    </row>
    <row r="83" spans="1:7" hidden="1" x14ac:dyDescent="0.15">
      <c r="A83">
        <v>1</v>
      </c>
      <c r="B83" t="s">
        <v>64</v>
      </c>
      <c r="C83" t="s">
        <v>69</v>
      </c>
      <c r="D83" t="s">
        <v>70</v>
      </c>
      <c r="E83">
        <v>56</v>
      </c>
      <c r="F83">
        <v>28</v>
      </c>
      <c r="G83">
        <v>54</v>
      </c>
    </row>
    <row r="84" spans="1:7" hidden="1" x14ac:dyDescent="0.15">
      <c r="A84">
        <v>1</v>
      </c>
      <c r="B84" t="s">
        <v>66</v>
      </c>
      <c r="C84" t="s">
        <v>69</v>
      </c>
      <c r="D84" t="s">
        <v>70</v>
      </c>
      <c r="E84">
        <v>124</v>
      </c>
      <c r="F84">
        <v>62</v>
      </c>
      <c r="G84">
        <v>18</v>
      </c>
    </row>
    <row r="85" spans="1:7" hidden="1" x14ac:dyDescent="0.15">
      <c r="A85">
        <v>3</v>
      </c>
      <c r="B85" t="s">
        <v>66</v>
      </c>
      <c r="C85" t="s">
        <v>69</v>
      </c>
      <c r="D85" t="s">
        <v>70</v>
      </c>
      <c r="E85">
        <v>92</v>
      </c>
      <c r="F85">
        <v>46</v>
      </c>
      <c r="G85">
        <v>34</v>
      </c>
    </row>
    <row r="86" spans="1:7" hidden="1" x14ac:dyDescent="0.15">
      <c r="A86">
        <v>2</v>
      </c>
      <c r="B86" t="s">
        <v>66</v>
      </c>
      <c r="C86" t="s">
        <v>69</v>
      </c>
      <c r="D86" t="s">
        <v>70</v>
      </c>
      <c r="E86">
        <v>54</v>
      </c>
      <c r="F86">
        <v>27</v>
      </c>
      <c r="G86">
        <v>56</v>
      </c>
    </row>
    <row r="87" spans="1:7" hidden="1" x14ac:dyDescent="0.15">
      <c r="A87">
        <v>2</v>
      </c>
      <c r="B87" t="s">
        <v>68</v>
      </c>
      <c r="C87" t="s">
        <v>69</v>
      </c>
      <c r="D87" t="s">
        <v>70</v>
      </c>
      <c r="E87">
        <v>84</v>
      </c>
      <c r="F87">
        <v>42</v>
      </c>
      <c r="G87">
        <v>39</v>
      </c>
    </row>
    <row r="88" spans="1:7" hidden="1" x14ac:dyDescent="0.15">
      <c r="A88">
        <v>3</v>
      </c>
      <c r="B88" t="s">
        <v>68</v>
      </c>
      <c r="C88" t="s">
        <v>69</v>
      </c>
      <c r="D88" t="s">
        <v>70</v>
      </c>
      <c r="E88">
        <v>89</v>
      </c>
      <c r="F88">
        <v>44.5</v>
      </c>
      <c r="G88">
        <v>37</v>
      </c>
    </row>
    <row r="89" spans="1:7" hidden="1" x14ac:dyDescent="0.15">
      <c r="A89">
        <v>1</v>
      </c>
      <c r="B89" t="s">
        <v>68</v>
      </c>
      <c r="C89" t="s">
        <v>69</v>
      </c>
      <c r="D89" t="s">
        <v>70</v>
      </c>
      <c r="E89">
        <v>42</v>
      </c>
      <c r="F89">
        <v>21</v>
      </c>
      <c r="G89">
        <v>67</v>
      </c>
    </row>
    <row r="90" spans="1:7" x14ac:dyDescent="0.15">
      <c r="A90">
        <v>1</v>
      </c>
      <c r="B90" t="s">
        <v>67</v>
      </c>
      <c r="C90" t="s">
        <v>65</v>
      </c>
      <c r="D90" t="s">
        <v>95</v>
      </c>
      <c r="E90">
        <v>172</v>
      </c>
      <c r="F90">
        <v>103.2</v>
      </c>
      <c r="G90">
        <v>2</v>
      </c>
    </row>
    <row r="91" spans="1:7" x14ac:dyDescent="0.15">
      <c r="A91">
        <v>2</v>
      </c>
      <c r="B91" t="s">
        <v>67</v>
      </c>
      <c r="C91" t="s">
        <v>65</v>
      </c>
      <c r="D91" t="s">
        <v>95</v>
      </c>
      <c r="E91">
        <v>146</v>
      </c>
      <c r="F91">
        <v>87.6</v>
      </c>
      <c r="G91">
        <v>4</v>
      </c>
    </row>
    <row r="92" spans="1:7" x14ac:dyDescent="0.15">
      <c r="A92">
        <v>3</v>
      </c>
      <c r="B92" t="s">
        <v>67</v>
      </c>
      <c r="C92" t="s">
        <v>65</v>
      </c>
      <c r="D92" t="s">
        <v>95</v>
      </c>
      <c r="E92">
        <v>128</v>
      </c>
      <c r="F92">
        <v>76.8</v>
      </c>
      <c r="G92">
        <v>8</v>
      </c>
    </row>
    <row r="93" spans="1:7" x14ac:dyDescent="0.15">
      <c r="A93">
        <v>2</v>
      </c>
      <c r="B93" t="s">
        <v>64</v>
      </c>
      <c r="C93" t="s">
        <v>65</v>
      </c>
      <c r="D93" t="s">
        <v>95</v>
      </c>
      <c r="E93">
        <v>112</v>
      </c>
      <c r="F93">
        <v>67.2</v>
      </c>
      <c r="G93">
        <v>14</v>
      </c>
    </row>
    <row r="94" spans="1:7" x14ac:dyDescent="0.15">
      <c r="A94">
        <v>1</v>
      </c>
      <c r="B94" t="s">
        <v>64</v>
      </c>
      <c r="C94" t="s">
        <v>65</v>
      </c>
      <c r="D94" t="s">
        <v>95</v>
      </c>
      <c r="E94">
        <v>134</v>
      </c>
      <c r="F94">
        <v>80.399999999999991</v>
      </c>
      <c r="G94">
        <v>6</v>
      </c>
    </row>
    <row r="95" spans="1:7" x14ac:dyDescent="0.15">
      <c r="A95">
        <v>3</v>
      </c>
      <c r="B95" t="s">
        <v>64</v>
      </c>
      <c r="C95" t="s">
        <v>65</v>
      </c>
      <c r="D95" t="s">
        <v>95</v>
      </c>
      <c r="E95">
        <v>132</v>
      </c>
      <c r="F95">
        <v>79.2</v>
      </c>
      <c r="G95">
        <v>7</v>
      </c>
    </row>
    <row r="96" spans="1:7" x14ac:dyDescent="0.15">
      <c r="A96">
        <v>1</v>
      </c>
      <c r="B96" t="s">
        <v>66</v>
      </c>
      <c r="C96" t="s">
        <v>65</v>
      </c>
      <c r="D96" t="s">
        <v>95</v>
      </c>
      <c r="E96">
        <v>236</v>
      </c>
      <c r="F96">
        <v>141.6</v>
      </c>
      <c r="G96">
        <v>1</v>
      </c>
    </row>
    <row r="97" spans="1:7" x14ac:dyDescent="0.15">
      <c r="A97">
        <v>3</v>
      </c>
      <c r="B97" t="s">
        <v>66</v>
      </c>
      <c r="C97" t="s">
        <v>65</v>
      </c>
      <c r="D97" t="s">
        <v>95</v>
      </c>
      <c r="E97">
        <v>92</v>
      </c>
      <c r="F97">
        <v>55.199999999999996</v>
      </c>
      <c r="G97">
        <v>22</v>
      </c>
    </row>
    <row r="98" spans="1:7" hidden="1" x14ac:dyDescent="0.15">
      <c r="A98">
        <v>2</v>
      </c>
      <c r="B98" t="s">
        <v>66</v>
      </c>
      <c r="C98" t="s">
        <v>65</v>
      </c>
      <c r="D98" t="s">
        <v>95</v>
      </c>
      <c r="E98">
        <v>58</v>
      </c>
      <c r="F98">
        <v>34.799999999999997</v>
      </c>
      <c r="G98">
        <v>45</v>
      </c>
    </row>
    <row r="99" spans="1:7" x14ac:dyDescent="0.15">
      <c r="A99">
        <v>3</v>
      </c>
      <c r="B99" t="s">
        <v>68</v>
      </c>
      <c r="C99" t="s">
        <v>65</v>
      </c>
      <c r="D99" t="s">
        <v>95</v>
      </c>
      <c r="E99">
        <v>156</v>
      </c>
      <c r="F99">
        <v>93.6</v>
      </c>
      <c r="G99">
        <v>3</v>
      </c>
    </row>
    <row r="100" spans="1:7" x14ac:dyDescent="0.15">
      <c r="A100">
        <v>2</v>
      </c>
      <c r="B100" t="s">
        <v>68</v>
      </c>
      <c r="C100" t="s">
        <v>65</v>
      </c>
      <c r="D100" t="s">
        <v>95</v>
      </c>
      <c r="E100">
        <v>84</v>
      </c>
      <c r="F100">
        <v>50.4</v>
      </c>
      <c r="G100">
        <v>28</v>
      </c>
    </row>
    <row r="101" spans="1:7" hidden="1" x14ac:dyDescent="0.15">
      <c r="A101">
        <v>1</v>
      </c>
      <c r="B101" t="s">
        <v>68</v>
      </c>
      <c r="C101" t="s">
        <v>65</v>
      </c>
      <c r="D101" t="s">
        <v>95</v>
      </c>
      <c r="E101">
        <v>42</v>
      </c>
      <c r="F101">
        <v>25.2</v>
      </c>
      <c r="G101">
        <v>60</v>
      </c>
    </row>
  </sheetData>
  <sortState ref="A2:G97">
    <sortCondition descending="1" ref="C2:C97"/>
    <sortCondition ref="B2:B97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人员工资统计表</vt:lpstr>
      <vt:lpstr>绩效评分奖金计算规则</vt:lpstr>
      <vt:lpstr>产品销售情况表</vt:lpstr>
      <vt:lpstr>产品销售情况表!Criteria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</cp:lastModifiedBy>
  <cp:revision/>
  <dcterms:created xsi:type="dcterms:W3CDTF">2013-11-27T13:44:15Z</dcterms:created>
  <dcterms:modified xsi:type="dcterms:W3CDTF">2021-04-15T09:36:56Z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2052-9.1.0.4249</vt:lpwstr>
  </property>
</Properties>
</file>