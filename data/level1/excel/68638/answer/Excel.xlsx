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EndFile\ExtractFile\"/>
    </mc:Choice>
  </mc:AlternateContent>
  <bookViews>
    <workbookView xWindow="15" yWindow="-45" windowWidth="12510" windowHeight="3930"/>
  </bookViews>
  <sheets>
    <sheet name="学生成绩统计表" sheetId="1" r:id="rId1"/>
    <sheet name="产品销售情况表" sheetId="2" r:id="rId2"/>
    <sheet name="Sheet3" sheetId="3" r:id="rId3"/>
  </sheets>
  <definedNames>
    <definedName name="_xlnm._FilterDatabase" localSheetId="0" hidden="1">学生成绩统计表!$A$2:$N$32</definedName>
  </definedNames>
  <calcPr calcId="162913"/>
  <pivotCaches>
    <pivotCache cacheId="0" r:id="rId4"/>
  </pivotCaches>
</workbook>
</file>

<file path=xl/calcChain.xml><?xml version="1.0" encoding="utf-8"?>
<calcChain xmlns="http://schemas.openxmlformats.org/spreadsheetml/2006/main">
  <c r="L4" i="1" l="1"/>
  <c r="L5" i="1"/>
  <c r="L6" i="1"/>
  <c r="L3" i="1"/>
  <c r="J3" i="1"/>
  <c r="I4" i="1"/>
  <c r="J4" i="1"/>
  <c r="K4" i="1"/>
  <c r="I5" i="1"/>
  <c r="J5" i="1"/>
  <c r="K5" i="1"/>
  <c r="I6" i="1"/>
  <c r="J6" i="1"/>
  <c r="K6" i="1"/>
  <c r="K3" i="1"/>
  <c r="I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" i="1"/>
</calcChain>
</file>

<file path=xl/sharedStrings.xml><?xml version="1.0" encoding="utf-8"?>
<sst xmlns="http://schemas.openxmlformats.org/spreadsheetml/2006/main" count="390" uniqueCount="109">
  <si>
    <t>分公司</t>
  </si>
  <si>
    <t>产品类别</t>
  </si>
  <si>
    <t>产品名称</t>
  </si>
  <si>
    <t>销售数量</t>
  </si>
  <si>
    <t>销售额（万元）</t>
  </si>
  <si>
    <t>销售额排名</t>
  </si>
  <si>
    <t>东部1</t>
  </si>
  <si>
    <t>B-1</t>
  </si>
  <si>
    <t>笔记本</t>
  </si>
  <si>
    <t>南部1</t>
  </si>
  <si>
    <t>北部1</t>
  </si>
  <si>
    <t>西部1</t>
  </si>
  <si>
    <t>D-1</t>
  </si>
  <si>
    <t>电视机</t>
  </si>
  <si>
    <t>西部3</t>
  </si>
  <si>
    <t>D-2</t>
  </si>
  <si>
    <t>电冰箱</t>
  </si>
  <si>
    <t>东部3</t>
  </si>
  <si>
    <t>南部3</t>
  </si>
  <si>
    <t>北部3</t>
  </si>
  <si>
    <t>南部4</t>
  </si>
  <si>
    <t>J-1</t>
  </si>
  <si>
    <t>加湿器</t>
  </si>
  <si>
    <t>东部4</t>
  </si>
  <si>
    <t>北部4</t>
  </si>
  <si>
    <t>西部4</t>
  </si>
  <si>
    <t>西部2</t>
  </si>
  <si>
    <t>K-1</t>
  </si>
  <si>
    <t>空调</t>
  </si>
  <si>
    <t>东部2</t>
  </si>
  <si>
    <t>南部2</t>
  </si>
  <si>
    <t>北部2</t>
  </si>
  <si>
    <t>P-1</t>
  </si>
  <si>
    <t>数码相机</t>
  </si>
  <si>
    <t>S-1</t>
  </si>
  <si>
    <t>手机</t>
  </si>
  <si>
    <t>W-1</t>
  </si>
  <si>
    <t>微波炉</t>
  </si>
  <si>
    <t>季度</t>
  </si>
  <si>
    <t>学号</t>
  </si>
  <si>
    <t>基础知识（占50%）</t>
  </si>
  <si>
    <t>实践能力（占30%）</t>
  </si>
  <si>
    <t>表达能力（占20%）</t>
  </si>
  <si>
    <t>总成绩</t>
  </si>
  <si>
    <t>成绩排名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</si>
  <si>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</si>
  <si>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</si>
  <si>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</si>
  <si>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</si>
  <si>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</si>
  <si>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</si>
  <si>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</si>
  <si>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</si>
  <si>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</si>
  <si>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</si>
  <si>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</si>
  <si>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</si>
  <si>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</si>
  <si>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</si>
  <si>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</si>
  <si>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</si>
  <si>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</si>
  <si>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</si>
  <si>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</si>
  <si>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</si>
  <si>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</si>
  <si>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</si>
  <si>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</si>
  <si>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</si>
  <si>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</si>
  <si>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</si>
  <si>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</si>
  <si>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</si>
  <si>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</si>
  <si>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小组</t>
    <phoneticPr fontId="1" type="noConversion"/>
  </si>
  <si>
    <t>一组</t>
    <phoneticPr fontId="1" type="noConversion"/>
  </si>
  <si>
    <t>二组</t>
    <phoneticPr fontId="1" type="noConversion"/>
  </si>
  <si>
    <t>三组</t>
    <phoneticPr fontId="1" type="noConversion"/>
  </si>
  <si>
    <t>四组</t>
    <phoneticPr fontId="1" type="noConversion"/>
  </si>
  <si>
    <t>组平均成绩</t>
    <phoneticPr fontId="1" type="noConversion"/>
  </si>
  <si>
    <t>某班学生成绩统计表</t>
    <phoneticPr fontId="1" type="noConversion"/>
  </si>
  <si>
    <t>三组</t>
    <phoneticPr fontId="1" type="noConversion"/>
  </si>
  <si>
    <t>二组</t>
    <phoneticPr fontId="1" type="noConversion"/>
  </si>
  <si>
    <t>S30</t>
  </si>
  <si>
    <t>二组</t>
  </si>
  <si>
    <t>二组</t>
    <phoneticPr fontId="1" type="noConversion"/>
  </si>
  <si>
    <t>一组</t>
  </si>
  <si>
    <t>一组</t>
    <phoneticPr fontId="1" type="noConversion"/>
  </si>
  <si>
    <t>三组</t>
  </si>
  <si>
    <t>三组</t>
    <phoneticPr fontId="1" type="noConversion"/>
  </si>
  <si>
    <t>一组</t>
    <phoneticPr fontId="1" type="noConversion"/>
  </si>
  <si>
    <t>二组</t>
    <phoneticPr fontId="1" type="noConversion"/>
  </si>
  <si>
    <t>二组</t>
    <phoneticPr fontId="1" type="noConversion"/>
  </si>
  <si>
    <t>二组</t>
    <phoneticPr fontId="1" type="noConversion"/>
  </si>
  <si>
    <t>S31</t>
  </si>
  <si>
    <t>S32</t>
  </si>
  <si>
    <t>四组</t>
    <phoneticPr fontId="1" type="noConversion"/>
  </si>
  <si>
    <t>四组</t>
    <phoneticPr fontId="1" type="noConversion"/>
  </si>
  <si>
    <t>四组</t>
    <phoneticPr fontId="1" type="noConversion"/>
  </si>
  <si>
    <t>四组</t>
    <phoneticPr fontId="1" type="noConversion"/>
  </si>
  <si>
    <t>小组名</t>
    <phoneticPr fontId="1" type="noConversion"/>
  </si>
  <si>
    <t>基础知识部分</t>
    <phoneticPr fontId="1" type="noConversion"/>
  </si>
  <si>
    <t>实践能力部分</t>
    <phoneticPr fontId="1" type="noConversion"/>
  </si>
  <si>
    <t>表达能力部分</t>
    <phoneticPr fontId="1" type="noConversion"/>
  </si>
  <si>
    <t>平均成绩统计表</t>
    <phoneticPr fontId="1" type="noConversion"/>
  </si>
  <si>
    <t>行标签</t>
  </si>
  <si>
    <t>总计</t>
  </si>
  <si>
    <t>列标签</t>
  </si>
  <si>
    <t>求和项:销售数量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</si>
</sst>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 ;[Red]\-0\ "/>
    <numFmt numFmtId="177" formatCode="0.00_ "/>
    <numFmt numFmtId="178" formatCode="0.0_ "/>
  </numFmts>
  <fonts count="6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2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NumberFormat="1" applyFont="1" applyFill="1" applyBorder="1" applyAlignment="1"/>
    <xf numFmtId="0" fontId="0" fillId="0" borderId="0" xfId="0" applyNumberFormat="1" applyFill="1" applyBorder="1" applyAlignment="1"/>
    <xf numFmtId="0" fontId="5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2" fillId="0" borderId="1" xfId="0" applyFont="1" applyBorder="1"/>
    <xf numFmtId="177" fontId="4" fillId="0" borderId="1" xfId="0" applyNumberFormat="1" applyFont="1" applyBorder="1"/>
    <xf numFmtId="0" fontId="2" fillId="0" borderId="0" xfId="0" applyFont="1" applyAlignment="1"/>
    <xf numFmtId="0" fontId="4" fillId="0" borderId="0" xfId="0" applyFont="1" applyAlignment="1"/>
    <xf numFmtId="177" fontId="4" fillId="0" borderId="0" xfId="0" applyNumberFormat="1" applyFont="1"/>
    <xf numFmtId="178" fontId="0" fillId="0" borderId="0" xfId="0" applyNumberFormat="1" applyFont="1" applyFill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6" fontId="2" fillId="0" borderId="2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常规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baseline="0" smtClean="0"/>
              <a:t>各部分平均成绩统计图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学生成绩统计表!$H$3</c:f>
              <c:strCache>
                <c:ptCount val="1"/>
                <c:pt idx="0">
                  <c:v>一组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学生成绩统计表!$I$2:$L$2</c:f>
              <c:strCache>
                <c:ptCount val="4"/>
                <c:pt idx="0">
                  <c:v>基础知识部分</c:v>
                </c:pt>
                <c:pt idx="1">
                  <c:v>实践能力部分</c:v>
                </c:pt>
                <c:pt idx="2">
                  <c:v>表达能力部分</c:v>
                </c:pt>
                <c:pt idx="3">
                  <c:v>组平均成绩</c:v>
                </c:pt>
              </c:strCache>
            </c:strRef>
          </c:cat>
          <c:val>
            <c:numRef>
              <c:f>学生成绩统计表!$I$3:$L$3</c:f>
              <c:numCache>
                <c:formatCode>0.00_ </c:formatCode>
                <c:ptCount val="4"/>
                <c:pt idx="0">
                  <c:v>78.75</c:v>
                </c:pt>
                <c:pt idx="1">
                  <c:v>76.75</c:v>
                </c:pt>
                <c:pt idx="2">
                  <c:v>80</c:v>
                </c:pt>
                <c:pt idx="3">
                  <c:v>78.40000000000002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7-430A-A6CC-4CC1C96DA7C6}"/>
            </c:ext>
          </c:extLst>
        </c:ser>
        <c:ser>
          <c:idx val="1"/>
          <c:order val="1"/>
          <c:tx>
            <c:strRef>
              <c:f>学生成绩统计表!$H$4</c:f>
              <c:strCache>
                <c:ptCount val="1"/>
                <c:pt idx="0">
                  <c:v>二组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学生成绩统计表!$I$2:$L$2</c:f>
              <c:strCache>
                <c:ptCount val="4"/>
                <c:pt idx="0">
                  <c:v>基础知识部分</c:v>
                </c:pt>
                <c:pt idx="1">
                  <c:v>实践能力部分</c:v>
                </c:pt>
                <c:pt idx="2">
                  <c:v>表达能力部分</c:v>
                </c:pt>
                <c:pt idx="3">
                  <c:v>组平均成绩</c:v>
                </c:pt>
              </c:strCache>
            </c:strRef>
          </c:cat>
          <c:val>
            <c:numRef>
              <c:f>学生成绩统计表!$I$4:$L$4</c:f>
              <c:numCache>
                <c:formatCode>0.00_ </c:formatCode>
                <c:ptCount val="4"/>
                <c:pt idx="0">
                  <c:v>81.75</c:v>
                </c:pt>
                <c:pt idx="1">
                  <c:v>81.375</c:v>
                </c:pt>
                <c:pt idx="2">
                  <c:v>80.125</c:v>
                </c:pt>
                <c:pt idx="3">
                  <c:v>81.3125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77-430A-A6CC-4CC1C96DA7C6}"/>
            </c:ext>
          </c:extLst>
        </c:ser>
        <c:ser>
          <c:idx val="2"/>
          <c:order val="2"/>
          <c:tx>
            <c:strRef>
              <c:f>学生成绩统计表!$H$5</c:f>
              <c:strCache>
                <c:ptCount val="1"/>
                <c:pt idx="0">
                  <c:v>三组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学生成绩统计表!$I$2:$L$2</c:f>
              <c:strCache>
                <c:ptCount val="4"/>
                <c:pt idx="0">
                  <c:v>基础知识部分</c:v>
                </c:pt>
                <c:pt idx="1">
                  <c:v>实践能力部分</c:v>
                </c:pt>
                <c:pt idx="2">
                  <c:v>表达能力部分</c:v>
                </c:pt>
                <c:pt idx="3">
                  <c:v>组平均成绩</c:v>
                </c:pt>
              </c:strCache>
            </c:strRef>
          </c:cat>
          <c:val>
            <c:numRef>
              <c:f>学生成绩统计表!$I$5:$L$5</c:f>
              <c:numCache>
                <c:formatCode>0.00_ </c:formatCode>
                <c:ptCount val="4"/>
                <c:pt idx="0">
                  <c:v>78.5</c:v>
                </c:pt>
                <c:pt idx="1">
                  <c:v>84.125</c:v>
                </c:pt>
                <c:pt idx="2">
                  <c:v>78.875</c:v>
                </c:pt>
                <c:pt idx="3">
                  <c:v>80.262499999999989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77-430A-A6CC-4CC1C96DA7C6}"/>
            </c:ext>
          </c:extLst>
        </c:ser>
        <c:ser>
          <c:idx val="3"/>
          <c:order val="3"/>
          <c:tx>
            <c:strRef>
              <c:f>学生成绩统计表!$H$6</c:f>
              <c:strCache>
                <c:ptCount val="1"/>
                <c:pt idx="0">
                  <c:v>四组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学生成绩统计表!$I$2:$L$2</c:f>
              <c:strCache>
                <c:ptCount val="4"/>
                <c:pt idx="0">
                  <c:v>基础知识部分</c:v>
                </c:pt>
                <c:pt idx="1">
                  <c:v>实践能力部分</c:v>
                </c:pt>
                <c:pt idx="2">
                  <c:v>表达能力部分</c:v>
                </c:pt>
                <c:pt idx="3">
                  <c:v>组平均成绩</c:v>
                </c:pt>
              </c:strCache>
            </c:strRef>
          </c:cat>
          <c:val>
            <c:numRef>
              <c:f>学生成绩统计表!$I$6:$L$6</c:f>
              <c:numCache>
                <c:formatCode>0.00_ </c:formatCode>
                <c:ptCount val="4"/>
                <c:pt idx="0">
                  <c:v>81</c:v>
                </c:pt>
                <c:pt idx="1">
                  <c:v>80.25</c:v>
                </c:pt>
                <c:pt idx="2">
                  <c:v>78.25</c:v>
                </c:pt>
                <c:pt idx="3">
                  <c:v>80.224999999999994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77-430A-A6CC-4CC1C96DA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3312832"/>
        <c:axId val="640217456"/>
      </c:barChart>
      <c:catAx>
        <c:axId val="64331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0217456"/>
        <c:crosses val="autoZero"/>
        <c:auto val="1"/>
        <c:lblAlgn val="ctr"/>
        <c:lblOffset val="100"/>
        <c:noMultiLvlLbl val="0"/>
      </c:catAx>
      <c:valAx>
        <c:axId val="640217456"/>
        <c:scaling>
          <c:orientation val="minMax"/>
          <c:max val="88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cross"/>
        <c:minorTickMark val="in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331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7</xdr:row>
      <xdr:rowOff>57149</xdr:rowOff>
    </xdr:from>
    <xdr:to>
      <xdr:col>11</xdr:col>
      <xdr:colOff>781050</xdr:colOff>
      <xdr:row>22</xdr:row>
      <xdr:rowOff>133349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uyou" refreshedDate="44833.620013310188" createdVersion="6" refreshedVersion="6" minRefreshableVersion="3" recordCount="96">
  <cacheSource type="worksheet">
    <worksheetSource ref="A1:G97" sheet="产品销售情况表"/>
  </cacheSource>
  <cacheFields count="7">
    <cacheField name="季度" numFmtId="0">
      <sharedItems containsSemiMixedTypes="0" containsString="0" containsNumber="1" containsInteger="1" minValue="1" maxValue="3" count="3">
        <n v="1"/>
        <n v="2"/>
        <n v="3"/>
      </sharedItems>
    </cacheField>
    <cacheField name="分公司" numFmtId="0">
      <sharedItems/>
    </cacheField>
    <cacheField name="产品类别" numFmtId="0">
      <sharedItems/>
    </cacheField>
    <cacheField name="产品名称" numFmtId="0">
      <sharedItems count="8">
        <s v="微波炉"/>
        <s v="数码相机"/>
        <s v="手机"/>
        <s v="空调"/>
        <s v="加湿器"/>
        <s v="电视机"/>
        <s v="电冰箱"/>
        <s v="笔记本"/>
      </sharedItems>
    </cacheField>
    <cacheField name="销售数量" numFmtId="0">
      <sharedItems containsSemiMixedTypes="0" containsString="0" containsNumber="1" containsInteger="1" minValue="32" maxValue="236"/>
    </cacheField>
    <cacheField name="销售额（万元）" numFmtId="0">
      <sharedItems containsSemiMixedTypes="0" containsString="0" containsNumber="1" minValue="3.6858999999999997" maxValue="141.6"/>
    </cacheField>
    <cacheField name="销售额排名" numFmtId="0">
      <sharedItems containsSemiMixedTypes="0" containsString="0" containsNumber="1" containsInteger="1" minValue="1" maxValue="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">
  <r>
    <x v="0"/>
    <s v="东部3"/>
    <s v="W-1"/>
    <x v="0"/>
    <n v="86"/>
    <n v="21.5"/>
    <n v="65"/>
  </r>
  <r>
    <x v="0"/>
    <s v="南部3"/>
    <s v="W-1"/>
    <x v="0"/>
    <n v="72"/>
    <n v="18"/>
    <n v="71"/>
  </r>
  <r>
    <x v="0"/>
    <s v="北部3"/>
    <s v="W-1"/>
    <x v="0"/>
    <n v="63"/>
    <n v="15.75"/>
    <n v="74"/>
  </r>
  <r>
    <x v="0"/>
    <s v="西部3"/>
    <s v="W-1"/>
    <x v="0"/>
    <n v="62"/>
    <n v="15.5"/>
    <n v="75"/>
  </r>
  <r>
    <x v="0"/>
    <s v="南部2"/>
    <s v="P-1"/>
    <x v="1"/>
    <n v="79"/>
    <n v="47.4"/>
    <n v="32"/>
  </r>
  <r>
    <x v="0"/>
    <s v="西部2"/>
    <s v="P-1"/>
    <x v="1"/>
    <n v="76"/>
    <n v="45.6"/>
    <n v="35"/>
  </r>
  <r>
    <x v="0"/>
    <s v="北部2"/>
    <s v="P-1"/>
    <x v="1"/>
    <n v="73"/>
    <n v="43.8"/>
    <n v="38"/>
  </r>
  <r>
    <x v="0"/>
    <s v="东部2"/>
    <s v="P-1"/>
    <x v="1"/>
    <n v="48"/>
    <n v="28.799999999999997"/>
    <n v="52"/>
  </r>
  <r>
    <x v="0"/>
    <s v="南部4"/>
    <s v="S-1"/>
    <x v="2"/>
    <n v="132"/>
    <n v="76.295999999999992"/>
    <n v="9"/>
  </r>
  <r>
    <x v="0"/>
    <s v="北部4"/>
    <s v="S-1"/>
    <x v="2"/>
    <n v="112"/>
    <n v="64.73599999999999"/>
    <n v="16"/>
  </r>
  <r>
    <x v="0"/>
    <s v="西部4"/>
    <s v="S-1"/>
    <x v="2"/>
    <n v="111"/>
    <n v="64.158000000000001"/>
    <n v="17"/>
  </r>
  <r>
    <x v="0"/>
    <s v="东部4"/>
    <s v="S-1"/>
    <x v="2"/>
    <n v="89"/>
    <n v="51.441999999999993"/>
    <n v="27"/>
  </r>
  <r>
    <x v="0"/>
    <s v="东部2"/>
    <s v="K-1"/>
    <x v="3"/>
    <n v="78"/>
    <n v="25.740000000000002"/>
    <n v="59"/>
  </r>
  <r>
    <x v="0"/>
    <s v="西部2"/>
    <s v="K-1"/>
    <x v="3"/>
    <n v="67"/>
    <n v="22.11"/>
    <n v="63"/>
  </r>
  <r>
    <x v="0"/>
    <s v="北部2"/>
    <s v="K-1"/>
    <x v="3"/>
    <n v="46"/>
    <n v="15.180000000000001"/>
    <n v="77"/>
  </r>
  <r>
    <x v="0"/>
    <s v="南部2"/>
    <s v="K-1"/>
    <x v="3"/>
    <n v="45"/>
    <n v="14.850000000000001"/>
    <n v="79"/>
  </r>
  <r>
    <x v="0"/>
    <s v="北部4"/>
    <s v="J-1"/>
    <x v="4"/>
    <n v="91"/>
    <n v="8.1808999999999994"/>
    <n v="90"/>
  </r>
  <r>
    <x v="0"/>
    <s v="西部4"/>
    <s v="J-1"/>
    <x v="4"/>
    <n v="89"/>
    <n v="8.0010999999999992"/>
    <n v="91"/>
  </r>
  <r>
    <x v="0"/>
    <s v="东部4"/>
    <s v="J-1"/>
    <x v="4"/>
    <n v="56"/>
    <n v="5.0343999999999998"/>
    <n v="95"/>
  </r>
  <r>
    <x v="0"/>
    <s v="南部4"/>
    <s v="J-1"/>
    <x v="4"/>
    <n v="41"/>
    <n v="3.6858999999999997"/>
    <n v="96"/>
  </r>
  <r>
    <x v="0"/>
    <s v="南部1"/>
    <s v="D-1"/>
    <x v="5"/>
    <n v="124"/>
    <n v="62"/>
    <n v="18"/>
  </r>
  <r>
    <x v="0"/>
    <s v="北部1"/>
    <s v="D-1"/>
    <x v="5"/>
    <n v="96"/>
    <n v="48"/>
    <n v="31"/>
  </r>
  <r>
    <x v="0"/>
    <s v="东部1"/>
    <s v="D-1"/>
    <x v="5"/>
    <n v="56"/>
    <n v="28"/>
    <n v="54"/>
  </r>
  <r>
    <x v="0"/>
    <s v="西部1"/>
    <s v="D-1"/>
    <x v="5"/>
    <n v="42"/>
    <n v="21"/>
    <n v="67"/>
  </r>
  <r>
    <x v="0"/>
    <s v="南部3"/>
    <s v="D-2"/>
    <x v="6"/>
    <n v="88"/>
    <n v="29.040000000000003"/>
    <n v="51"/>
  </r>
  <r>
    <x v="0"/>
    <s v="东部3"/>
    <s v="D-2"/>
    <x v="6"/>
    <n v="61"/>
    <n v="20.130000000000003"/>
    <n v="68"/>
  </r>
  <r>
    <x v="0"/>
    <s v="北部3"/>
    <s v="D-2"/>
    <x v="6"/>
    <n v="56"/>
    <n v="18.48"/>
    <n v="70"/>
  </r>
  <r>
    <x v="0"/>
    <s v="西部3"/>
    <s v="D-2"/>
    <x v="6"/>
    <n v="34"/>
    <n v="11.22"/>
    <n v="85"/>
  </r>
  <r>
    <x v="0"/>
    <s v="南部1"/>
    <s v="B-1"/>
    <x v="7"/>
    <n v="236"/>
    <n v="141.6"/>
    <n v="1"/>
  </r>
  <r>
    <x v="0"/>
    <s v="北部1"/>
    <s v="B-1"/>
    <x v="7"/>
    <n v="172"/>
    <n v="103.2"/>
    <n v="2"/>
  </r>
  <r>
    <x v="0"/>
    <s v="东部1"/>
    <s v="B-1"/>
    <x v="7"/>
    <n v="134"/>
    <n v="80.399999999999991"/>
    <n v="6"/>
  </r>
  <r>
    <x v="0"/>
    <s v="西部1"/>
    <s v="B-1"/>
    <x v="7"/>
    <n v="42"/>
    <n v="25.2"/>
    <n v="60"/>
  </r>
  <r>
    <x v="1"/>
    <s v="北部3"/>
    <s v="W-1"/>
    <x v="0"/>
    <n v="88"/>
    <n v="22"/>
    <n v="64"/>
  </r>
  <r>
    <x v="1"/>
    <s v="南部3"/>
    <s v="W-1"/>
    <x v="0"/>
    <n v="65"/>
    <n v="16.25"/>
    <n v="73"/>
  </r>
  <r>
    <x v="1"/>
    <s v="西部3"/>
    <s v="W-1"/>
    <x v="0"/>
    <n v="61"/>
    <n v="15.25"/>
    <n v="76"/>
  </r>
  <r>
    <x v="1"/>
    <s v="东部3"/>
    <s v="W-1"/>
    <x v="0"/>
    <n v="56"/>
    <n v="14"/>
    <n v="82"/>
  </r>
  <r>
    <x v="1"/>
    <s v="南部2"/>
    <s v="P-1"/>
    <x v="1"/>
    <n v="124"/>
    <n v="74.399999999999991"/>
    <n v="11"/>
  </r>
  <r>
    <x v="1"/>
    <s v="西部2"/>
    <s v="P-1"/>
    <x v="1"/>
    <n v="123"/>
    <n v="73.8"/>
    <n v="12"/>
  </r>
  <r>
    <x v="1"/>
    <s v="东部2"/>
    <s v="P-1"/>
    <x v="1"/>
    <n v="89"/>
    <n v="53.4"/>
    <n v="24"/>
  </r>
  <r>
    <x v="1"/>
    <s v="北部2"/>
    <s v="P-1"/>
    <x v="1"/>
    <n v="86"/>
    <n v="51.6"/>
    <n v="25"/>
  </r>
  <r>
    <x v="1"/>
    <s v="西部4"/>
    <s v="S-1"/>
    <x v="2"/>
    <n v="131"/>
    <n v="75.717999999999989"/>
    <n v="10"/>
  </r>
  <r>
    <x v="1"/>
    <s v="东部3"/>
    <s v="S-1"/>
    <x v="2"/>
    <n v="121"/>
    <n v="69.937999999999988"/>
    <n v="13"/>
  </r>
  <r>
    <x v="1"/>
    <s v="南部4"/>
    <s v="S-1"/>
    <x v="2"/>
    <n v="97"/>
    <n v="56.065999999999995"/>
    <n v="20"/>
  </r>
  <r>
    <x v="1"/>
    <s v="北部4"/>
    <s v="S-1"/>
    <x v="2"/>
    <n v="45"/>
    <n v="26.009999999999998"/>
    <n v="58"/>
  </r>
  <r>
    <x v="1"/>
    <s v="东部2"/>
    <s v="K-1"/>
    <x v="3"/>
    <n v="156"/>
    <n v="51.480000000000004"/>
    <n v="26"/>
  </r>
  <r>
    <x v="1"/>
    <s v="南部2"/>
    <s v="K-1"/>
    <x v="3"/>
    <n v="123"/>
    <n v="40.590000000000003"/>
    <n v="40"/>
  </r>
  <r>
    <x v="1"/>
    <s v="西部2"/>
    <s v="K-1"/>
    <x v="3"/>
    <n v="112"/>
    <n v="36.96"/>
    <n v="42"/>
  </r>
  <r>
    <x v="1"/>
    <s v="北部2"/>
    <s v="K-1"/>
    <x v="3"/>
    <n v="81"/>
    <n v="26.73"/>
    <n v="57"/>
  </r>
  <r>
    <x v="1"/>
    <s v="西部4"/>
    <s v="J-1"/>
    <x v="4"/>
    <n v="131"/>
    <n v="11.776899999999999"/>
    <n v="84"/>
  </r>
  <r>
    <x v="1"/>
    <s v="东部3"/>
    <s v="J-1"/>
    <x v="4"/>
    <n v="123"/>
    <n v="11.057699999999999"/>
    <n v="86"/>
  </r>
  <r>
    <x v="1"/>
    <s v="南部4"/>
    <s v="J-1"/>
    <x v="4"/>
    <n v="97"/>
    <n v="8.7202999999999999"/>
    <n v="89"/>
  </r>
  <r>
    <x v="1"/>
    <s v="北部4"/>
    <s v="J-1"/>
    <x v="4"/>
    <n v="67"/>
    <n v="6.0232999999999999"/>
    <n v="94"/>
  </r>
  <r>
    <x v="1"/>
    <s v="东部1"/>
    <s v="D-1"/>
    <x v="5"/>
    <n v="112"/>
    <n v="56"/>
    <n v="21"/>
  </r>
  <r>
    <x v="1"/>
    <s v="西部1"/>
    <s v="D-1"/>
    <x v="5"/>
    <n v="84"/>
    <n v="42"/>
    <n v="39"/>
  </r>
  <r>
    <x v="1"/>
    <s v="北部1"/>
    <s v="D-1"/>
    <x v="5"/>
    <n v="73"/>
    <n v="36.5"/>
    <n v="43"/>
  </r>
  <r>
    <x v="1"/>
    <s v="南部1"/>
    <s v="D-1"/>
    <x v="5"/>
    <n v="54"/>
    <n v="27"/>
    <n v="56"/>
  </r>
  <r>
    <x v="1"/>
    <s v="西部3"/>
    <s v="D-2"/>
    <x v="6"/>
    <n v="96"/>
    <n v="31.68"/>
    <n v="48"/>
  </r>
  <r>
    <x v="1"/>
    <s v="北部3"/>
    <s v="D-2"/>
    <x v="6"/>
    <n v="84"/>
    <n v="27.720000000000002"/>
    <n v="55"/>
  </r>
  <r>
    <x v="1"/>
    <s v="东部3"/>
    <s v="D-2"/>
    <x v="6"/>
    <n v="65"/>
    <n v="21.45"/>
    <n v="66"/>
  </r>
  <r>
    <x v="1"/>
    <s v="南部3"/>
    <s v="D-2"/>
    <x v="6"/>
    <n v="53"/>
    <n v="17.490000000000002"/>
    <n v="72"/>
  </r>
  <r>
    <x v="1"/>
    <s v="北部1"/>
    <s v="B-1"/>
    <x v="7"/>
    <n v="146"/>
    <n v="87.6"/>
    <n v="4"/>
  </r>
  <r>
    <x v="1"/>
    <s v="东部1"/>
    <s v="B-1"/>
    <x v="7"/>
    <n v="112"/>
    <n v="67.2"/>
    <n v="14"/>
  </r>
  <r>
    <x v="1"/>
    <s v="西部1"/>
    <s v="B-1"/>
    <x v="7"/>
    <n v="84"/>
    <n v="50.4"/>
    <n v="28"/>
  </r>
  <r>
    <x v="1"/>
    <s v="南部1"/>
    <s v="B-1"/>
    <x v="7"/>
    <n v="58"/>
    <n v="34.799999999999997"/>
    <n v="45"/>
  </r>
  <r>
    <x v="2"/>
    <s v="北部3"/>
    <s v="W-1"/>
    <x v="0"/>
    <n v="94"/>
    <n v="23.5"/>
    <n v="62"/>
  </r>
  <r>
    <x v="2"/>
    <s v="南部3"/>
    <s v="W-1"/>
    <x v="0"/>
    <n v="77"/>
    <n v="19.25"/>
    <n v="69"/>
  </r>
  <r>
    <x v="2"/>
    <s v="西部3"/>
    <s v="W-1"/>
    <x v="0"/>
    <n v="57"/>
    <n v="14.25"/>
    <n v="81"/>
  </r>
  <r>
    <x v="2"/>
    <s v="东部3"/>
    <s v="W-1"/>
    <x v="0"/>
    <n v="49"/>
    <n v="12.25"/>
    <n v="83"/>
  </r>
  <r>
    <x v="2"/>
    <s v="东部2"/>
    <s v="P-1"/>
    <x v="1"/>
    <n v="90"/>
    <n v="54"/>
    <n v="23"/>
  </r>
  <r>
    <x v="2"/>
    <s v="南部2"/>
    <s v="P-1"/>
    <x v="1"/>
    <n v="82"/>
    <n v="49.199999999999996"/>
    <n v="30"/>
  </r>
  <r>
    <x v="2"/>
    <s v="西部2"/>
    <s v="P-1"/>
    <x v="1"/>
    <n v="78"/>
    <n v="46.8"/>
    <n v="33"/>
  </r>
  <r>
    <x v="2"/>
    <s v="北部2"/>
    <s v="P-1"/>
    <x v="1"/>
    <n v="56"/>
    <n v="33.6"/>
    <n v="46"/>
  </r>
  <r>
    <x v="2"/>
    <s v="北部4"/>
    <s v="S-1"/>
    <x v="2"/>
    <n v="87"/>
    <n v="50.285999999999994"/>
    <n v="29"/>
  </r>
  <r>
    <x v="2"/>
    <s v="西部4"/>
    <s v="S-1"/>
    <x v="2"/>
    <n v="78"/>
    <n v="45.083999999999996"/>
    <n v="36"/>
  </r>
  <r>
    <x v="2"/>
    <s v="东部4"/>
    <s v="S-1"/>
    <x v="2"/>
    <n v="66"/>
    <n v="38.147999999999996"/>
    <n v="41"/>
  </r>
  <r>
    <x v="2"/>
    <s v="南部4"/>
    <s v="S-1"/>
    <x v="2"/>
    <n v="56"/>
    <n v="32.367999999999995"/>
    <n v="47"/>
  </r>
  <r>
    <x v="2"/>
    <s v="西部2"/>
    <s v="K-1"/>
    <x v="3"/>
    <n v="176"/>
    <n v="58.080000000000005"/>
    <n v="19"/>
  </r>
  <r>
    <x v="2"/>
    <s v="北部2"/>
    <s v="K-1"/>
    <x v="3"/>
    <n v="106"/>
    <n v="34.980000000000004"/>
    <n v="44"/>
  </r>
  <r>
    <x v="2"/>
    <s v="东部2"/>
    <s v="K-1"/>
    <x v="3"/>
    <n v="90"/>
    <n v="29.700000000000003"/>
    <n v="49"/>
  </r>
  <r>
    <x v="2"/>
    <s v="南部2"/>
    <s v="K-1"/>
    <x v="3"/>
    <n v="86"/>
    <n v="28.380000000000003"/>
    <n v="53"/>
  </r>
  <r>
    <x v="2"/>
    <s v="南部4"/>
    <s v="J-1"/>
    <x v="4"/>
    <n v="167"/>
    <n v="15.013299999999999"/>
    <n v="78"/>
  </r>
  <r>
    <x v="2"/>
    <s v="东部4"/>
    <s v="J-1"/>
    <x v="4"/>
    <n v="121"/>
    <n v="10.877899999999999"/>
    <n v="87"/>
  </r>
  <r>
    <x v="2"/>
    <s v="西部4"/>
    <s v="J-1"/>
    <x v="4"/>
    <n v="78"/>
    <n v="7.0121999999999991"/>
    <n v="92"/>
  </r>
  <r>
    <x v="2"/>
    <s v="北部4"/>
    <s v="J-1"/>
    <x v="4"/>
    <n v="69"/>
    <n v="6.2030999999999992"/>
    <n v="93"/>
  </r>
  <r>
    <x v="2"/>
    <s v="东部1"/>
    <s v="D-1"/>
    <x v="5"/>
    <n v="167"/>
    <n v="83.5"/>
    <n v="5"/>
  </r>
  <r>
    <x v="2"/>
    <s v="北部1"/>
    <s v="D-1"/>
    <x v="5"/>
    <n v="134"/>
    <n v="67"/>
    <n v="15"/>
  </r>
  <r>
    <x v="2"/>
    <s v="南部1"/>
    <s v="D-1"/>
    <x v="5"/>
    <n v="92"/>
    <n v="46"/>
    <n v="34"/>
  </r>
  <r>
    <x v="2"/>
    <s v="西部1"/>
    <s v="D-1"/>
    <x v="5"/>
    <n v="89"/>
    <n v="44.5"/>
    <n v="37"/>
  </r>
  <r>
    <x v="2"/>
    <s v="东部3"/>
    <s v="D-2"/>
    <x v="6"/>
    <n v="89"/>
    <n v="29.37"/>
    <n v="50"/>
  </r>
  <r>
    <x v="2"/>
    <s v="西部3"/>
    <s v="D-2"/>
    <x v="6"/>
    <n v="75"/>
    <n v="24.75"/>
    <n v="61"/>
  </r>
  <r>
    <x v="2"/>
    <s v="南部3"/>
    <s v="D-2"/>
    <x v="6"/>
    <n v="45"/>
    <n v="14.850000000000001"/>
    <n v="79"/>
  </r>
  <r>
    <x v="2"/>
    <s v="北部3"/>
    <s v="D-2"/>
    <x v="6"/>
    <n v="32"/>
    <n v="10.56"/>
    <n v="88"/>
  </r>
  <r>
    <x v="2"/>
    <s v="西部1"/>
    <s v="B-1"/>
    <x v="7"/>
    <n v="156"/>
    <n v="93.6"/>
    <n v="3"/>
  </r>
  <r>
    <x v="2"/>
    <s v="东部1"/>
    <s v="B-1"/>
    <x v="7"/>
    <n v="132"/>
    <n v="79.2"/>
    <n v="7"/>
  </r>
  <r>
    <x v="2"/>
    <s v="北部1"/>
    <s v="B-1"/>
    <x v="7"/>
    <n v="128"/>
    <n v="76.8"/>
    <n v="8"/>
  </r>
  <r>
    <x v="2"/>
    <s v="南部1"/>
    <s v="B-1"/>
    <x v="7"/>
    <n v="92"/>
    <n v="55.199999999999996"/>
    <n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H6:L16" firstHeaderRow="1" firstDataRow="2" firstDataCol="1"/>
  <pivotFields count="7">
    <pivotField axis="axisCol"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9"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求和项:销售数量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workbookViewId="0">
      <selection activeCell="D15" sqref="D15"/>
    </sheetView>
  </sheetViews>
  <sheetFormatPr defaultColWidth="8.625" defaultRowHeight="14.25" x14ac:dyDescent="0.15"/>
  <cols>
    <col min="1" max="2" width="5.625" style="1" customWidth="1"/>
    <col min="3" max="3" width="9.75" style="1" customWidth="1"/>
    <col min="4" max="4" width="13" style="1" customWidth="1"/>
    <col min="5" max="5" width="11.875" style="1" customWidth="1"/>
    <col min="6" max="6" width="7.875" style="1" customWidth="1"/>
    <col min="7" max="7" width="8.75" style="1" customWidth="1"/>
    <col min="8" max="8" width="6.375" style="1" customWidth="1"/>
    <col min="9" max="9" width="13" style="1" customWidth="1"/>
    <col min="10" max="10" width="13.125" style="1" customWidth="1"/>
    <col min="11" max="11" width="13.25" style="1" customWidth="1"/>
    <col min="12" max="12" width="11.5" style="1" customWidth="1"/>
    <col min="13" max="13" width="16.875" style="1" customWidth="1"/>
    <col min="14" max="14" width="17.5" style="1" customWidth="1"/>
    <col min="15" max="16384" width="8.625" style="1"/>
  </cols>
  <sheetData>
    <row r="1" spans="1:12" x14ac:dyDescent="0.15">
      <c r="A1" s="18" t="s">
        <v>80</v>
      </c>
      <c r="B1" s="18"/>
      <c r="C1" s="18"/>
      <c r="D1" s="18"/>
      <c r="E1" s="18"/>
      <c r="F1" s="18"/>
      <c r="G1" s="18"/>
      <c r="H1" s="17" t="s">
        <v>104</v>
      </c>
      <c r="I1" s="17"/>
      <c r="J1" s="17"/>
      <c r="K1" s="17"/>
      <c r="L1" s="17"/>
    </row>
    <row r="2" spans="1:12" x14ac:dyDescent="0.15">
      <c r="A2" s="5" t="s">
        <v>39</v>
      </c>
      <c r="B2" s="5" t="s">
        <v>74</v>
      </c>
      <c r="C2" s="5" t="s">
        <v>40</v>
      </c>
      <c r="D2" s="5" t="s">
        <v>41</v>
      </c>
      <c r="E2" s="5" t="s">
        <v>42</v>
      </c>
      <c r="F2" s="5" t="s">
        <v>43</v>
      </c>
      <c r="G2" s="6" t="s">
        <v>44</v>
      </c>
      <c r="H2" s="8" t="s">
        <v>100</v>
      </c>
      <c r="I2" s="8" t="s">
        <v>101</v>
      </c>
      <c r="J2" s="8" t="s">
        <v>102</v>
      </c>
      <c r="K2" s="8" t="s">
        <v>103</v>
      </c>
      <c r="L2" s="8" t="s">
        <v>79</v>
      </c>
    </row>
    <row r="3" spans="1:12" x14ac:dyDescent="0.15">
      <c r="A3" s="5" t="s">
        <v>45</v>
      </c>
      <c r="B3" s="7" t="s">
        <v>81</v>
      </c>
      <c r="C3" s="4">
        <v>78</v>
      </c>
      <c r="D3" s="4">
        <v>89</v>
      </c>
      <c r="E3" s="4">
        <v>79</v>
      </c>
      <c r="F3" s="13">
        <f>C3*50%+D3*30%+E3*20%</f>
        <v>81.5</v>
      </c>
      <c r="G3" s="4">
        <f>_xlfn.RANK.EQ(F3,$F$3:$F$34,0)</f>
        <v>14</v>
      </c>
      <c r="H3" s="8" t="s">
        <v>75</v>
      </c>
      <c r="I3" s="9">
        <f>AVERAGEIF($B$3:$B$34,H3,$C$3:$C$34)</f>
        <v>78.75</v>
      </c>
      <c r="J3" s="9">
        <f>AVERAGEIF($B$3:$B$34,H3,$D$3:$D$34)</f>
        <v>76.75</v>
      </c>
      <c r="K3" s="9">
        <f>AVERAGEIF($B$3:$B$34,H3,$E$3:$E$34)</f>
        <v>80</v>
      </c>
      <c r="L3" s="9">
        <f>AVERAGEIF($B$3:$B$34,H3,$F$3:$F$34)</f>
        <v>78.40000000000002</v>
      </c>
    </row>
    <row r="4" spans="1:12" x14ac:dyDescent="0.15">
      <c r="A4" s="5" t="s">
        <v>46</v>
      </c>
      <c r="B4" s="7" t="s">
        <v>82</v>
      </c>
      <c r="C4" s="4">
        <v>65</v>
      </c>
      <c r="D4" s="4">
        <v>78</v>
      </c>
      <c r="E4" s="4">
        <v>63</v>
      </c>
      <c r="F4" s="13">
        <f t="shared" ref="F4:F34" si="0">C4*50%+D4*30%+E4*20%</f>
        <v>68.5</v>
      </c>
      <c r="G4" s="4">
        <f t="shared" ref="G4:G34" si="1">_xlfn.RANK.EQ(F4,$F$3:$F$34,0)</f>
        <v>32</v>
      </c>
      <c r="H4" s="8" t="s">
        <v>76</v>
      </c>
      <c r="I4" s="9">
        <f t="shared" ref="I4:I6" si="2">AVERAGEIF($B$3:$B$34,H4,$C$3:$C$34)</f>
        <v>81.75</v>
      </c>
      <c r="J4" s="9">
        <f t="shared" ref="J4:J6" si="3">AVERAGEIF($B$3:$B$34,H4,$D$3:$D$34)</f>
        <v>81.375</v>
      </c>
      <c r="K4" s="9">
        <f t="shared" ref="K4:K6" si="4">AVERAGEIF($B$3:$B$34,H4,$E$3:$E$34)</f>
        <v>80.125</v>
      </c>
      <c r="L4" s="9">
        <f t="shared" ref="L4:L6" si="5">AVERAGEIF($B$3:$B$34,H4,$F$3:$F$34)</f>
        <v>81.3125</v>
      </c>
    </row>
    <row r="5" spans="1:12" x14ac:dyDescent="0.15">
      <c r="A5" s="5" t="s">
        <v>47</v>
      </c>
      <c r="B5" s="7" t="s">
        <v>85</v>
      </c>
      <c r="C5" s="4">
        <v>90</v>
      </c>
      <c r="D5" s="4">
        <v>96</v>
      </c>
      <c r="E5" s="4">
        <v>92</v>
      </c>
      <c r="F5" s="13">
        <f t="shared" si="0"/>
        <v>92.2</v>
      </c>
      <c r="G5" s="4">
        <f t="shared" si="1"/>
        <v>2</v>
      </c>
      <c r="H5" s="8" t="s">
        <v>77</v>
      </c>
      <c r="I5" s="9">
        <f t="shared" si="2"/>
        <v>78.5</v>
      </c>
      <c r="J5" s="9">
        <f t="shared" si="3"/>
        <v>84.125</v>
      </c>
      <c r="K5" s="9">
        <f t="shared" si="4"/>
        <v>78.875</v>
      </c>
      <c r="L5" s="9">
        <f t="shared" si="5"/>
        <v>80.262499999999989</v>
      </c>
    </row>
    <row r="6" spans="1:12" x14ac:dyDescent="0.15">
      <c r="A6" s="5" t="s">
        <v>48</v>
      </c>
      <c r="B6" s="7" t="s">
        <v>97</v>
      </c>
      <c r="C6" s="4">
        <v>73</v>
      </c>
      <c r="D6" s="4">
        <v>67</v>
      </c>
      <c r="E6" s="4">
        <v>69</v>
      </c>
      <c r="F6" s="13">
        <f t="shared" si="0"/>
        <v>70.399999999999991</v>
      </c>
      <c r="G6" s="4">
        <f t="shared" si="1"/>
        <v>30</v>
      </c>
      <c r="H6" s="8" t="s">
        <v>78</v>
      </c>
      <c r="I6" s="9">
        <f t="shared" si="2"/>
        <v>81</v>
      </c>
      <c r="J6" s="9">
        <f t="shared" si="3"/>
        <v>80.25</v>
      </c>
      <c r="K6" s="9">
        <f t="shared" si="4"/>
        <v>78.25</v>
      </c>
      <c r="L6" s="9">
        <f t="shared" si="5"/>
        <v>80.224999999999994</v>
      </c>
    </row>
    <row r="7" spans="1:12" x14ac:dyDescent="0.15">
      <c r="A7" s="5" t="s">
        <v>49</v>
      </c>
      <c r="B7" s="7" t="s">
        <v>89</v>
      </c>
      <c r="C7" s="4">
        <v>92</v>
      </c>
      <c r="D7" s="4">
        <v>85</v>
      </c>
      <c r="E7" s="4">
        <v>76</v>
      </c>
      <c r="F7" s="13">
        <f t="shared" si="0"/>
        <v>86.7</v>
      </c>
      <c r="G7" s="4">
        <f t="shared" si="1"/>
        <v>6</v>
      </c>
      <c r="I7" s="12"/>
      <c r="J7" s="12"/>
      <c r="K7" s="12"/>
      <c r="L7" s="12"/>
    </row>
    <row r="8" spans="1:12" x14ac:dyDescent="0.15">
      <c r="A8" s="5" t="s">
        <v>50</v>
      </c>
      <c r="B8" s="7" t="s">
        <v>87</v>
      </c>
      <c r="C8" s="4">
        <v>85</v>
      </c>
      <c r="D8" s="4">
        <v>74</v>
      </c>
      <c r="E8" s="4">
        <v>82</v>
      </c>
      <c r="F8" s="13">
        <f t="shared" si="0"/>
        <v>81.100000000000009</v>
      </c>
      <c r="G8" s="4">
        <f t="shared" si="1"/>
        <v>16</v>
      </c>
    </row>
    <row r="9" spans="1:12" x14ac:dyDescent="0.15">
      <c r="A9" s="5" t="s">
        <v>51</v>
      </c>
      <c r="B9" s="7" t="s">
        <v>90</v>
      </c>
      <c r="C9" s="4">
        <v>79</v>
      </c>
      <c r="D9" s="4">
        <v>91</v>
      </c>
      <c r="E9" s="4">
        <v>73</v>
      </c>
      <c r="F9" s="13">
        <f t="shared" si="0"/>
        <v>81.400000000000006</v>
      </c>
      <c r="G9" s="4">
        <f t="shared" si="1"/>
        <v>15</v>
      </c>
    </row>
    <row r="10" spans="1:12" x14ac:dyDescent="0.15">
      <c r="A10" s="5" t="s">
        <v>52</v>
      </c>
      <c r="B10" s="7" t="s">
        <v>91</v>
      </c>
      <c r="C10" s="4">
        <v>66</v>
      </c>
      <c r="D10" s="4">
        <v>82</v>
      </c>
      <c r="E10" s="4">
        <v>91</v>
      </c>
      <c r="F10" s="13">
        <f t="shared" si="0"/>
        <v>75.8</v>
      </c>
      <c r="G10" s="4">
        <f t="shared" si="1"/>
        <v>21</v>
      </c>
    </row>
    <row r="11" spans="1:12" x14ac:dyDescent="0.15">
      <c r="A11" s="5" t="s">
        <v>53</v>
      </c>
      <c r="B11" s="7" t="s">
        <v>78</v>
      </c>
      <c r="C11" s="4">
        <v>78</v>
      </c>
      <c r="D11" s="1">
        <v>68</v>
      </c>
      <c r="E11" s="1">
        <v>67</v>
      </c>
      <c r="F11" s="13">
        <f t="shared" si="0"/>
        <v>72.8</v>
      </c>
      <c r="G11" s="4">
        <f t="shared" si="1"/>
        <v>25</v>
      </c>
    </row>
    <row r="12" spans="1:12" x14ac:dyDescent="0.15">
      <c r="A12" s="5" t="s">
        <v>54</v>
      </c>
      <c r="B12" s="7" t="s">
        <v>92</v>
      </c>
      <c r="C12" s="4">
        <v>88</v>
      </c>
      <c r="D12" s="1">
        <v>65</v>
      </c>
      <c r="E12" s="1">
        <v>66</v>
      </c>
      <c r="F12" s="13">
        <f t="shared" si="0"/>
        <v>76.7</v>
      </c>
      <c r="G12" s="4">
        <f t="shared" si="1"/>
        <v>20</v>
      </c>
    </row>
    <row r="13" spans="1:12" x14ac:dyDescent="0.15">
      <c r="A13" s="5" t="s">
        <v>55</v>
      </c>
      <c r="B13" s="5" t="s">
        <v>86</v>
      </c>
      <c r="C13" s="4">
        <v>93</v>
      </c>
      <c r="D13" s="1">
        <v>89</v>
      </c>
      <c r="E13" s="1">
        <v>87</v>
      </c>
      <c r="F13" s="13">
        <f t="shared" si="0"/>
        <v>90.600000000000009</v>
      </c>
      <c r="G13" s="4">
        <f t="shared" si="1"/>
        <v>3</v>
      </c>
    </row>
    <row r="14" spans="1:12" x14ac:dyDescent="0.15">
      <c r="A14" s="5" t="s">
        <v>56</v>
      </c>
      <c r="B14" s="7" t="s">
        <v>99</v>
      </c>
      <c r="C14" s="4">
        <v>68</v>
      </c>
      <c r="D14" s="1">
        <v>73</v>
      </c>
      <c r="E14" s="1">
        <v>78</v>
      </c>
      <c r="F14" s="13">
        <f t="shared" si="0"/>
        <v>71.5</v>
      </c>
      <c r="G14" s="4">
        <f t="shared" si="1"/>
        <v>28</v>
      </c>
    </row>
    <row r="15" spans="1:12" x14ac:dyDescent="0.15">
      <c r="A15" s="5" t="s">
        <v>57</v>
      </c>
      <c r="B15" s="5" t="s">
        <v>88</v>
      </c>
      <c r="C15" s="1">
        <v>77</v>
      </c>
      <c r="D15" s="1">
        <v>94</v>
      </c>
      <c r="E15" s="1">
        <v>91</v>
      </c>
      <c r="F15" s="13">
        <f t="shared" si="0"/>
        <v>84.9</v>
      </c>
      <c r="G15" s="4">
        <f t="shared" si="1"/>
        <v>9</v>
      </c>
    </row>
    <row r="16" spans="1:12" x14ac:dyDescent="0.15">
      <c r="A16" s="5" t="s">
        <v>58</v>
      </c>
      <c r="B16" s="5" t="s">
        <v>86</v>
      </c>
      <c r="C16" s="1">
        <v>73</v>
      </c>
      <c r="D16" s="1">
        <v>85</v>
      </c>
      <c r="E16" s="1">
        <v>68</v>
      </c>
      <c r="F16" s="13">
        <f t="shared" si="0"/>
        <v>75.599999999999994</v>
      </c>
      <c r="G16" s="4">
        <f t="shared" si="1"/>
        <v>22</v>
      </c>
    </row>
    <row r="17" spans="1:7" x14ac:dyDescent="0.15">
      <c r="A17" s="5" t="s">
        <v>59</v>
      </c>
      <c r="B17" s="5" t="s">
        <v>88</v>
      </c>
      <c r="C17" s="1">
        <v>81</v>
      </c>
      <c r="D17" s="1">
        <v>89</v>
      </c>
      <c r="E17" s="1">
        <v>67</v>
      </c>
      <c r="F17" s="13">
        <f t="shared" si="0"/>
        <v>80.600000000000009</v>
      </c>
      <c r="G17" s="4">
        <f t="shared" si="1"/>
        <v>17</v>
      </c>
    </row>
    <row r="18" spans="1:7" x14ac:dyDescent="0.15">
      <c r="A18" s="5" t="s">
        <v>60</v>
      </c>
      <c r="B18" s="5" t="s">
        <v>84</v>
      </c>
      <c r="C18" s="1">
        <v>69</v>
      </c>
      <c r="D18" s="1">
        <v>76</v>
      </c>
      <c r="E18" s="1">
        <v>73</v>
      </c>
      <c r="F18" s="13">
        <f t="shared" si="0"/>
        <v>71.900000000000006</v>
      </c>
      <c r="G18" s="4">
        <f t="shared" si="1"/>
        <v>27</v>
      </c>
    </row>
    <row r="19" spans="1:7" x14ac:dyDescent="0.15">
      <c r="A19" s="5" t="s">
        <v>61</v>
      </c>
      <c r="B19" s="5" t="s">
        <v>86</v>
      </c>
      <c r="C19" s="1">
        <v>66</v>
      </c>
      <c r="D19" s="1">
        <v>68</v>
      </c>
      <c r="E19" s="1">
        <v>81</v>
      </c>
      <c r="F19" s="13">
        <f t="shared" si="0"/>
        <v>69.599999999999994</v>
      </c>
      <c r="G19" s="4">
        <f t="shared" si="1"/>
        <v>31</v>
      </c>
    </row>
    <row r="20" spans="1:7" x14ac:dyDescent="0.15">
      <c r="A20" s="5" t="s">
        <v>62</v>
      </c>
      <c r="B20" s="4" t="s">
        <v>93</v>
      </c>
      <c r="C20" s="1">
        <v>92</v>
      </c>
      <c r="D20" s="1">
        <v>88</v>
      </c>
      <c r="E20" s="1">
        <v>69</v>
      </c>
      <c r="F20" s="13">
        <f t="shared" si="0"/>
        <v>86.2</v>
      </c>
      <c r="G20" s="4">
        <f t="shared" si="1"/>
        <v>8</v>
      </c>
    </row>
    <row r="21" spans="1:7" x14ac:dyDescent="0.15">
      <c r="A21" s="5" t="s">
        <v>63</v>
      </c>
      <c r="B21" s="7" t="s">
        <v>98</v>
      </c>
      <c r="C21" s="1">
        <v>73</v>
      </c>
      <c r="D21" s="1">
        <v>92</v>
      </c>
      <c r="E21" s="1">
        <v>76</v>
      </c>
      <c r="F21" s="13">
        <f t="shared" si="0"/>
        <v>79.3</v>
      </c>
      <c r="G21" s="4">
        <f t="shared" si="1"/>
        <v>18</v>
      </c>
    </row>
    <row r="22" spans="1:7" x14ac:dyDescent="0.15">
      <c r="A22" s="5" t="s">
        <v>64</v>
      </c>
      <c r="B22" s="5" t="s">
        <v>86</v>
      </c>
      <c r="C22" s="1">
        <v>91</v>
      </c>
      <c r="D22" s="1">
        <v>68</v>
      </c>
      <c r="E22" s="1">
        <v>92</v>
      </c>
      <c r="F22" s="13">
        <f t="shared" si="0"/>
        <v>84.300000000000011</v>
      </c>
      <c r="G22" s="4">
        <f t="shared" si="1"/>
        <v>10</v>
      </c>
    </row>
    <row r="23" spans="1:7" x14ac:dyDescent="0.15">
      <c r="A23" s="5" t="s">
        <v>65</v>
      </c>
      <c r="B23" s="5" t="s">
        <v>88</v>
      </c>
      <c r="C23" s="1">
        <v>70</v>
      </c>
      <c r="D23" s="1">
        <v>75</v>
      </c>
      <c r="E23" s="1">
        <v>83</v>
      </c>
      <c r="F23" s="13">
        <f t="shared" si="0"/>
        <v>74.099999999999994</v>
      </c>
      <c r="G23" s="4">
        <f t="shared" si="1"/>
        <v>23</v>
      </c>
    </row>
    <row r="24" spans="1:7" x14ac:dyDescent="0.15">
      <c r="A24" s="5" t="s">
        <v>66</v>
      </c>
      <c r="B24" s="5" t="s">
        <v>84</v>
      </c>
      <c r="C24" s="1">
        <v>96</v>
      </c>
      <c r="D24" s="1">
        <v>96</v>
      </c>
      <c r="E24" s="1">
        <v>91</v>
      </c>
      <c r="F24" s="13">
        <f t="shared" si="0"/>
        <v>95</v>
      </c>
      <c r="G24" s="4">
        <f t="shared" si="1"/>
        <v>1</v>
      </c>
    </row>
    <row r="25" spans="1:7" x14ac:dyDescent="0.15">
      <c r="A25" s="5" t="s">
        <v>67</v>
      </c>
      <c r="B25" s="7" t="s">
        <v>96</v>
      </c>
      <c r="C25" s="1">
        <v>96</v>
      </c>
      <c r="D25" s="1">
        <v>93</v>
      </c>
      <c r="E25" s="1">
        <v>70</v>
      </c>
      <c r="F25" s="13">
        <f t="shared" si="0"/>
        <v>89.9</v>
      </c>
      <c r="G25" s="4">
        <f t="shared" si="1"/>
        <v>4</v>
      </c>
    </row>
    <row r="26" spans="1:7" x14ac:dyDescent="0.15">
      <c r="A26" s="5" t="s">
        <v>68</v>
      </c>
      <c r="B26" s="5" t="s">
        <v>88</v>
      </c>
      <c r="C26" s="1">
        <v>67</v>
      </c>
      <c r="D26" s="1">
        <v>69</v>
      </c>
      <c r="E26" s="1">
        <v>90</v>
      </c>
      <c r="F26" s="13">
        <f t="shared" si="0"/>
        <v>72.2</v>
      </c>
      <c r="G26" s="4">
        <f t="shared" si="1"/>
        <v>26</v>
      </c>
    </row>
    <row r="27" spans="1:7" x14ac:dyDescent="0.15">
      <c r="A27" s="5" t="s">
        <v>69</v>
      </c>
      <c r="B27" s="5" t="s">
        <v>84</v>
      </c>
      <c r="C27" s="1">
        <v>88</v>
      </c>
      <c r="D27" s="1">
        <v>70</v>
      </c>
      <c r="E27" s="1">
        <v>96</v>
      </c>
      <c r="F27" s="13">
        <f t="shared" si="0"/>
        <v>84.2</v>
      </c>
      <c r="G27" s="4">
        <f t="shared" si="1"/>
        <v>11</v>
      </c>
    </row>
    <row r="28" spans="1:7" x14ac:dyDescent="0.15">
      <c r="A28" s="5" t="s">
        <v>70</v>
      </c>
      <c r="B28" s="5" t="s">
        <v>86</v>
      </c>
      <c r="C28" s="1">
        <v>75</v>
      </c>
      <c r="D28" s="2">
        <v>66</v>
      </c>
      <c r="E28" s="1">
        <v>68</v>
      </c>
      <c r="F28" s="13">
        <f t="shared" si="0"/>
        <v>70.900000000000006</v>
      </c>
      <c r="G28" s="4">
        <f t="shared" si="1"/>
        <v>29</v>
      </c>
    </row>
    <row r="29" spans="1:7" x14ac:dyDescent="0.15">
      <c r="A29" s="5" t="s">
        <v>71</v>
      </c>
      <c r="B29" s="7" t="s">
        <v>96</v>
      </c>
      <c r="C29" s="1">
        <v>92</v>
      </c>
      <c r="D29" s="2">
        <v>76</v>
      </c>
      <c r="E29" s="1">
        <v>88</v>
      </c>
      <c r="F29" s="13">
        <f t="shared" si="0"/>
        <v>86.4</v>
      </c>
      <c r="G29" s="4">
        <f t="shared" si="1"/>
        <v>7</v>
      </c>
    </row>
    <row r="30" spans="1:7" x14ac:dyDescent="0.15">
      <c r="A30" s="5" t="s">
        <v>72</v>
      </c>
      <c r="B30" s="5" t="s">
        <v>88</v>
      </c>
      <c r="C30" s="1">
        <v>82</v>
      </c>
      <c r="D30" s="2">
        <v>81</v>
      </c>
      <c r="E30" s="2">
        <v>67</v>
      </c>
      <c r="F30" s="13">
        <f t="shared" si="0"/>
        <v>78.7</v>
      </c>
      <c r="G30" s="4">
        <f t="shared" si="1"/>
        <v>19</v>
      </c>
    </row>
    <row r="31" spans="1:7" x14ac:dyDescent="0.15">
      <c r="A31" s="5" t="s">
        <v>73</v>
      </c>
      <c r="B31" s="5" t="s">
        <v>88</v>
      </c>
      <c r="C31" s="2">
        <v>81</v>
      </c>
      <c r="D31" s="2">
        <v>91</v>
      </c>
      <c r="E31" s="2">
        <v>78</v>
      </c>
      <c r="F31" s="13">
        <f t="shared" si="0"/>
        <v>83.4</v>
      </c>
      <c r="G31" s="4">
        <f t="shared" si="1"/>
        <v>13</v>
      </c>
    </row>
    <row r="32" spans="1:7" x14ac:dyDescent="0.15">
      <c r="A32" s="5" t="s">
        <v>83</v>
      </c>
      <c r="B32" s="1" t="s">
        <v>86</v>
      </c>
      <c r="C32" s="2">
        <v>68</v>
      </c>
      <c r="D32" s="2">
        <v>73</v>
      </c>
      <c r="E32" s="2">
        <v>89</v>
      </c>
      <c r="F32" s="13">
        <f t="shared" si="0"/>
        <v>73.7</v>
      </c>
      <c r="G32" s="4">
        <f t="shared" si="1"/>
        <v>24</v>
      </c>
    </row>
    <row r="33" spans="1:7" x14ac:dyDescent="0.15">
      <c r="A33" s="5" t="s">
        <v>94</v>
      </c>
      <c r="B33" s="2" t="s">
        <v>96</v>
      </c>
      <c r="C33" s="2">
        <v>78</v>
      </c>
      <c r="D33" s="2">
        <v>88</v>
      </c>
      <c r="E33" s="2">
        <v>91</v>
      </c>
      <c r="F33" s="13">
        <f t="shared" si="0"/>
        <v>83.600000000000009</v>
      </c>
      <c r="G33" s="4">
        <f t="shared" si="1"/>
        <v>12</v>
      </c>
    </row>
    <row r="34" spans="1:7" x14ac:dyDescent="0.15">
      <c r="A34" s="5" t="s">
        <v>95</v>
      </c>
      <c r="B34" s="2" t="s">
        <v>96</v>
      </c>
      <c r="C34" s="2">
        <v>90</v>
      </c>
      <c r="D34" s="2">
        <v>85</v>
      </c>
      <c r="E34" s="2">
        <v>87</v>
      </c>
      <c r="F34" s="13">
        <f t="shared" si="0"/>
        <v>87.9</v>
      </c>
      <c r="G34" s="4">
        <f t="shared" si="1"/>
        <v>5</v>
      </c>
    </row>
    <row r="35" spans="1:7" x14ac:dyDescent="0.15">
      <c r="A35" s="10"/>
      <c r="B35" s="11"/>
      <c r="C35" s="11"/>
      <c r="D35" s="11"/>
      <c r="E35" s="11"/>
      <c r="F35" s="11"/>
      <c r="G35" s="4"/>
    </row>
  </sheetData>
  <mergeCells count="2">
    <mergeCell ref="H1:L1"/>
    <mergeCell ref="A1:G1"/>
  </mergeCells>
  <phoneticPr fontId="1" type="noConversion"/>
  <conditionalFormatting sqref="C2:D3 H1 F2">
    <cfRule type="cellIs" dxfId="2" priority="32" stopIfTrue="1" operator="greaterThanOrEqual">
      <formula>130</formula>
    </cfRule>
  </conditionalFormatting>
  <conditionalFormatting sqref="I18:K18">
    <cfRule type="top10" dxfId="1" priority="9" percent="1" rank="30"/>
  </conditionalFormatting>
  <conditionalFormatting sqref="I11:K11">
    <cfRule type="dataBar" priority="6">
      <dataBar>
        <cfvo type="min"/>
        <cfvo type="max"/>
        <color theme="5" tint="0.59999389629810485"/>
      </dataBar>
      <extLst>
        <ext xmlns:x14="http://schemas.microsoft.com/office/spreadsheetml/2009/9/main" uri="{B025F937-C7B1-47D3-B67F-A62EFF666E3E}">
          <x14:id>{95BA8D0A-D201-490A-9E54-413038F6C51F}</x14:id>
        </ext>
      </extLst>
    </cfRule>
  </conditionalFormatting>
  <conditionalFormatting sqref="F3:F34">
    <cfRule type="top10" dxfId="0" priority="2" percent="1" rank="30"/>
  </conditionalFormatting>
  <conditionalFormatting sqref="G3:G34">
    <cfRule type="dataBar" priority="1">
      <dataBar>
        <cfvo type="min"/>
        <cfvo type="max"/>
        <color theme="5" tint="0.59999389629810485"/>
      </dataBar>
      <extLst>
        <ext xmlns:x14="http://schemas.microsoft.com/office/spreadsheetml/2009/9/main" uri="{B025F937-C7B1-47D3-B67F-A62EFF666E3E}">
          <x14:id>{A1CF8E00-52DA-4C4E-889C-7ADFABCA4F58}</x14:id>
        </ext>
      </extLst>
    </cfRule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BA8D0A-D201-490A-9E54-413038F6C51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I11:K11</xm:sqref>
        </x14:conditionalFormatting>
        <x14:conditionalFormatting xmlns:xm="http://schemas.microsoft.com/office/excel/2006/main">
          <x14:cfRule type="dataBar" id="{A1CF8E00-52DA-4C4E-889C-7ADFABCA4F58}">
            <x14:dataBar minLength="0" maxLength="10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G3:G34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"/>
  <sheetViews>
    <sheetView topLeftCell="A22" workbookViewId="0">
      <selection activeCell="H6" sqref="H6"/>
    </sheetView>
  </sheetViews>
  <sheetFormatPr defaultRowHeight="14.25" x14ac:dyDescent="0.15"/>
  <cols>
    <col min="1" max="1" width="5.875" customWidth="1"/>
    <col min="2" max="2" width="9.875" customWidth="1"/>
    <col min="3" max="3" width="9.75" customWidth="1"/>
    <col min="4" max="4" width="9.375" customWidth="1"/>
    <col min="5" max="5" width="9.875" customWidth="1"/>
    <col min="6" max="6" width="15.25" customWidth="1"/>
    <col min="7" max="7" width="13" customWidth="1"/>
    <col min="8" max="8" width="18.625" customWidth="1"/>
    <col min="9" max="9" width="10.125" customWidth="1"/>
    <col min="10" max="12" width="6.25" customWidth="1"/>
  </cols>
  <sheetData>
    <row r="1" spans="1:12" x14ac:dyDescent="0.15">
      <c r="A1" s="3" t="s">
        <v>38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12" x14ac:dyDescent="0.15">
      <c r="A2">
        <v>1</v>
      </c>
      <c r="B2" t="s">
        <v>17</v>
      </c>
      <c r="C2" t="s">
        <v>36</v>
      </c>
      <c r="D2" t="s">
        <v>37</v>
      </c>
      <c r="E2">
        <v>86</v>
      </c>
      <c r="F2">
        <v>21.5</v>
      </c>
      <c r="G2">
        <v>65</v>
      </c>
    </row>
    <row r="3" spans="1:12" x14ac:dyDescent="0.15">
      <c r="A3">
        <v>1</v>
      </c>
      <c r="B3" t="s">
        <v>18</v>
      </c>
      <c r="C3" t="s">
        <v>36</v>
      </c>
      <c r="D3" t="s">
        <v>37</v>
      </c>
      <c r="E3">
        <v>72</v>
      </c>
      <c r="F3">
        <v>18</v>
      </c>
      <c r="G3">
        <v>71</v>
      </c>
    </row>
    <row r="4" spans="1:12" x14ac:dyDescent="0.15">
      <c r="A4">
        <v>1</v>
      </c>
      <c r="B4" t="s">
        <v>19</v>
      </c>
      <c r="C4" t="s">
        <v>36</v>
      </c>
      <c r="D4" t="s">
        <v>37</v>
      </c>
      <c r="E4">
        <v>63</v>
      </c>
      <c r="F4">
        <v>15.75</v>
      </c>
      <c r="G4">
        <v>74</v>
      </c>
    </row>
    <row r="5" spans="1:12" x14ac:dyDescent="0.15">
      <c r="A5">
        <v>1</v>
      </c>
      <c r="B5" t="s">
        <v>14</v>
      </c>
      <c r="C5" t="s">
        <v>36</v>
      </c>
      <c r="D5" t="s">
        <v>37</v>
      </c>
      <c r="E5">
        <v>62</v>
      </c>
      <c r="F5">
        <v>15.5</v>
      </c>
      <c r="G5">
        <v>75</v>
      </c>
    </row>
    <row r="6" spans="1:12" x14ac:dyDescent="0.15">
      <c r="A6">
        <v>1</v>
      </c>
      <c r="B6" t="s">
        <v>30</v>
      </c>
      <c r="C6" t="s">
        <v>32</v>
      </c>
      <c r="D6" t="s">
        <v>33</v>
      </c>
      <c r="E6">
        <v>79</v>
      </c>
      <c r="F6">
        <v>47.4</v>
      </c>
      <c r="G6">
        <v>32</v>
      </c>
      <c r="H6" s="14" t="s">
        <v>108</v>
      </c>
      <c r="I6" s="14" t="s">
        <v>107</v>
      </c>
    </row>
    <row r="7" spans="1:12" x14ac:dyDescent="0.15">
      <c r="A7">
        <v>1</v>
      </c>
      <c r="B7" t="s">
        <v>26</v>
      </c>
      <c r="C7" t="s">
        <v>32</v>
      </c>
      <c r="D7" t="s">
        <v>33</v>
      </c>
      <c r="E7">
        <v>76</v>
      </c>
      <c r="F7">
        <v>45.6</v>
      </c>
      <c r="G7">
        <v>35</v>
      </c>
      <c r="H7" s="14" t="s">
        <v>105</v>
      </c>
      <c r="I7">
        <v>1</v>
      </c>
      <c r="J7">
        <v>2</v>
      </c>
      <c r="K7">
        <v>3</v>
      </c>
      <c r="L7" t="s">
        <v>106</v>
      </c>
    </row>
    <row r="8" spans="1:12" x14ac:dyDescent="0.15">
      <c r="A8">
        <v>1</v>
      </c>
      <c r="B8" t="s">
        <v>31</v>
      </c>
      <c r="C8" t="s">
        <v>32</v>
      </c>
      <c r="D8" t="s">
        <v>33</v>
      </c>
      <c r="E8">
        <v>73</v>
      </c>
      <c r="F8">
        <v>43.8</v>
      </c>
      <c r="G8">
        <v>38</v>
      </c>
      <c r="H8" s="15" t="s">
        <v>8</v>
      </c>
      <c r="I8" s="16">
        <v>584</v>
      </c>
      <c r="J8" s="16">
        <v>400</v>
      </c>
      <c r="K8" s="16">
        <v>508</v>
      </c>
      <c r="L8" s="16">
        <v>1492</v>
      </c>
    </row>
    <row r="9" spans="1:12" x14ac:dyDescent="0.15">
      <c r="A9">
        <v>1</v>
      </c>
      <c r="B9" t="s">
        <v>29</v>
      </c>
      <c r="C9" t="s">
        <v>32</v>
      </c>
      <c r="D9" t="s">
        <v>33</v>
      </c>
      <c r="E9">
        <v>48</v>
      </c>
      <c r="F9">
        <v>28.799999999999997</v>
      </c>
      <c r="G9">
        <v>52</v>
      </c>
      <c r="H9" s="15" t="s">
        <v>16</v>
      </c>
      <c r="I9" s="16">
        <v>239</v>
      </c>
      <c r="J9" s="16">
        <v>298</v>
      </c>
      <c r="K9" s="16">
        <v>241</v>
      </c>
      <c r="L9" s="16">
        <v>778</v>
      </c>
    </row>
    <row r="10" spans="1:12" x14ac:dyDescent="0.15">
      <c r="A10">
        <v>1</v>
      </c>
      <c r="B10" t="s">
        <v>20</v>
      </c>
      <c r="C10" t="s">
        <v>34</v>
      </c>
      <c r="D10" t="s">
        <v>35</v>
      </c>
      <c r="E10">
        <v>132</v>
      </c>
      <c r="F10">
        <v>76.295999999999992</v>
      </c>
      <c r="G10">
        <v>9</v>
      </c>
      <c r="H10" s="15" t="s">
        <v>13</v>
      </c>
      <c r="I10" s="16">
        <v>318</v>
      </c>
      <c r="J10" s="16">
        <v>323</v>
      </c>
      <c r="K10" s="16">
        <v>482</v>
      </c>
      <c r="L10" s="16">
        <v>1123</v>
      </c>
    </row>
    <row r="11" spans="1:12" x14ac:dyDescent="0.15">
      <c r="A11">
        <v>1</v>
      </c>
      <c r="B11" t="s">
        <v>24</v>
      </c>
      <c r="C11" t="s">
        <v>34</v>
      </c>
      <c r="D11" t="s">
        <v>35</v>
      </c>
      <c r="E11">
        <v>112</v>
      </c>
      <c r="F11">
        <v>64.73599999999999</v>
      </c>
      <c r="G11">
        <v>16</v>
      </c>
      <c r="H11" s="15" t="s">
        <v>22</v>
      </c>
      <c r="I11" s="16">
        <v>277</v>
      </c>
      <c r="J11" s="16">
        <v>418</v>
      </c>
      <c r="K11" s="16">
        <v>435</v>
      </c>
      <c r="L11" s="16">
        <v>1130</v>
      </c>
    </row>
    <row r="12" spans="1:12" x14ac:dyDescent="0.15">
      <c r="A12">
        <v>1</v>
      </c>
      <c r="B12" t="s">
        <v>25</v>
      </c>
      <c r="C12" t="s">
        <v>34</v>
      </c>
      <c r="D12" t="s">
        <v>35</v>
      </c>
      <c r="E12">
        <v>111</v>
      </c>
      <c r="F12">
        <v>64.158000000000001</v>
      </c>
      <c r="G12">
        <v>17</v>
      </c>
      <c r="H12" s="15" t="s">
        <v>28</v>
      </c>
      <c r="I12" s="16">
        <v>236</v>
      </c>
      <c r="J12" s="16">
        <v>472</v>
      </c>
      <c r="K12" s="16">
        <v>458</v>
      </c>
      <c r="L12" s="16">
        <v>1166</v>
      </c>
    </row>
    <row r="13" spans="1:12" x14ac:dyDescent="0.15">
      <c r="A13">
        <v>1</v>
      </c>
      <c r="B13" t="s">
        <v>23</v>
      </c>
      <c r="C13" t="s">
        <v>34</v>
      </c>
      <c r="D13" t="s">
        <v>35</v>
      </c>
      <c r="E13">
        <v>89</v>
      </c>
      <c r="F13">
        <v>51.441999999999993</v>
      </c>
      <c r="G13">
        <v>27</v>
      </c>
      <c r="H13" s="15" t="s">
        <v>35</v>
      </c>
      <c r="I13" s="16">
        <v>444</v>
      </c>
      <c r="J13" s="16">
        <v>394</v>
      </c>
      <c r="K13" s="16">
        <v>287</v>
      </c>
      <c r="L13" s="16">
        <v>1125</v>
      </c>
    </row>
    <row r="14" spans="1:12" x14ac:dyDescent="0.15">
      <c r="A14">
        <v>1</v>
      </c>
      <c r="B14" t="s">
        <v>29</v>
      </c>
      <c r="C14" t="s">
        <v>27</v>
      </c>
      <c r="D14" t="s">
        <v>28</v>
      </c>
      <c r="E14">
        <v>78</v>
      </c>
      <c r="F14">
        <v>25.740000000000002</v>
      </c>
      <c r="G14">
        <v>59</v>
      </c>
      <c r="H14" s="15" t="s">
        <v>33</v>
      </c>
      <c r="I14" s="16">
        <v>276</v>
      </c>
      <c r="J14" s="16">
        <v>422</v>
      </c>
      <c r="K14" s="16">
        <v>306</v>
      </c>
      <c r="L14" s="16">
        <v>1004</v>
      </c>
    </row>
    <row r="15" spans="1:12" x14ac:dyDescent="0.15">
      <c r="A15">
        <v>1</v>
      </c>
      <c r="B15" t="s">
        <v>26</v>
      </c>
      <c r="C15" t="s">
        <v>27</v>
      </c>
      <c r="D15" t="s">
        <v>28</v>
      </c>
      <c r="E15">
        <v>67</v>
      </c>
      <c r="F15">
        <v>22.11</v>
      </c>
      <c r="G15">
        <v>63</v>
      </c>
      <c r="H15" s="15" t="s">
        <v>37</v>
      </c>
      <c r="I15" s="16">
        <v>283</v>
      </c>
      <c r="J15" s="16">
        <v>270</v>
      </c>
      <c r="K15" s="16">
        <v>277</v>
      </c>
      <c r="L15" s="16">
        <v>830</v>
      </c>
    </row>
    <row r="16" spans="1:12" x14ac:dyDescent="0.15">
      <c r="A16">
        <v>1</v>
      </c>
      <c r="B16" t="s">
        <v>31</v>
      </c>
      <c r="C16" t="s">
        <v>27</v>
      </c>
      <c r="D16" t="s">
        <v>28</v>
      </c>
      <c r="E16">
        <v>46</v>
      </c>
      <c r="F16">
        <v>15.180000000000001</v>
      </c>
      <c r="G16">
        <v>77</v>
      </c>
      <c r="H16" s="15" t="s">
        <v>106</v>
      </c>
      <c r="I16" s="16">
        <v>2657</v>
      </c>
      <c r="J16" s="16">
        <v>2997</v>
      </c>
      <c r="K16" s="16">
        <v>2994</v>
      </c>
      <c r="L16" s="16">
        <v>8648</v>
      </c>
    </row>
    <row r="17" spans="1:7" x14ac:dyDescent="0.15">
      <c r="A17">
        <v>1</v>
      </c>
      <c r="B17" t="s">
        <v>30</v>
      </c>
      <c r="C17" t="s">
        <v>27</v>
      </c>
      <c r="D17" t="s">
        <v>28</v>
      </c>
      <c r="E17">
        <v>45</v>
      </c>
      <c r="F17">
        <v>14.850000000000001</v>
      </c>
      <c r="G17">
        <v>79</v>
      </c>
    </row>
    <row r="18" spans="1:7" x14ac:dyDescent="0.15">
      <c r="A18">
        <v>1</v>
      </c>
      <c r="B18" t="s">
        <v>24</v>
      </c>
      <c r="C18" t="s">
        <v>21</v>
      </c>
      <c r="D18" t="s">
        <v>22</v>
      </c>
      <c r="E18">
        <v>91</v>
      </c>
      <c r="F18">
        <v>8.1808999999999994</v>
      </c>
      <c r="G18">
        <v>90</v>
      </c>
    </row>
    <row r="19" spans="1:7" x14ac:dyDescent="0.15">
      <c r="A19">
        <v>1</v>
      </c>
      <c r="B19" t="s">
        <v>25</v>
      </c>
      <c r="C19" t="s">
        <v>21</v>
      </c>
      <c r="D19" t="s">
        <v>22</v>
      </c>
      <c r="E19">
        <v>89</v>
      </c>
      <c r="F19">
        <v>8.0010999999999992</v>
      </c>
      <c r="G19">
        <v>91</v>
      </c>
    </row>
    <row r="20" spans="1:7" x14ac:dyDescent="0.15">
      <c r="A20">
        <v>1</v>
      </c>
      <c r="B20" t="s">
        <v>23</v>
      </c>
      <c r="C20" t="s">
        <v>21</v>
      </c>
      <c r="D20" t="s">
        <v>22</v>
      </c>
      <c r="E20">
        <v>56</v>
      </c>
      <c r="F20">
        <v>5.0343999999999998</v>
      </c>
      <c r="G20">
        <v>95</v>
      </c>
    </row>
    <row r="21" spans="1:7" x14ac:dyDescent="0.15">
      <c r="A21">
        <v>1</v>
      </c>
      <c r="B21" t="s">
        <v>20</v>
      </c>
      <c r="C21" t="s">
        <v>21</v>
      </c>
      <c r="D21" t="s">
        <v>22</v>
      </c>
      <c r="E21">
        <v>41</v>
      </c>
      <c r="F21">
        <v>3.6858999999999997</v>
      </c>
      <c r="G21">
        <v>96</v>
      </c>
    </row>
    <row r="22" spans="1:7" x14ac:dyDescent="0.15">
      <c r="A22">
        <v>1</v>
      </c>
      <c r="B22" t="s">
        <v>9</v>
      </c>
      <c r="C22" t="s">
        <v>12</v>
      </c>
      <c r="D22" t="s">
        <v>13</v>
      </c>
      <c r="E22">
        <v>124</v>
      </c>
      <c r="F22">
        <v>62</v>
      </c>
      <c r="G22">
        <v>18</v>
      </c>
    </row>
    <row r="23" spans="1:7" x14ac:dyDescent="0.15">
      <c r="A23">
        <v>1</v>
      </c>
      <c r="B23" t="s">
        <v>10</v>
      </c>
      <c r="C23" t="s">
        <v>12</v>
      </c>
      <c r="D23" t="s">
        <v>13</v>
      </c>
      <c r="E23">
        <v>96</v>
      </c>
      <c r="F23">
        <v>48</v>
      </c>
      <c r="G23">
        <v>31</v>
      </c>
    </row>
    <row r="24" spans="1:7" x14ac:dyDescent="0.15">
      <c r="A24">
        <v>1</v>
      </c>
      <c r="B24" t="s">
        <v>6</v>
      </c>
      <c r="C24" t="s">
        <v>12</v>
      </c>
      <c r="D24" t="s">
        <v>13</v>
      </c>
      <c r="E24">
        <v>56</v>
      </c>
      <c r="F24">
        <v>28</v>
      </c>
      <c r="G24">
        <v>54</v>
      </c>
    </row>
    <row r="25" spans="1:7" x14ac:dyDescent="0.15">
      <c r="A25">
        <v>1</v>
      </c>
      <c r="B25" t="s">
        <v>11</v>
      </c>
      <c r="C25" t="s">
        <v>12</v>
      </c>
      <c r="D25" t="s">
        <v>13</v>
      </c>
      <c r="E25">
        <v>42</v>
      </c>
      <c r="F25">
        <v>21</v>
      </c>
      <c r="G25">
        <v>67</v>
      </c>
    </row>
    <row r="26" spans="1:7" x14ac:dyDescent="0.15">
      <c r="A26">
        <v>1</v>
      </c>
      <c r="B26" t="s">
        <v>18</v>
      </c>
      <c r="C26" t="s">
        <v>15</v>
      </c>
      <c r="D26" t="s">
        <v>16</v>
      </c>
      <c r="E26">
        <v>88</v>
      </c>
      <c r="F26">
        <v>29.040000000000003</v>
      </c>
      <c r="G26">
        <v>51</v>
      </c>
    </row>
    <row r="27" spans="1:7" x14ac:dyDescent="0.15">
      <c r="A27">
        <v>1</v>
      </c>
      <c r="B27" t="s">
        <v>17</v>
      </c>
      <c r="C27" t="s">
        <v>15</v>
      </c>
      <c r="D27" t="s">
        <v>16</v>
      </c>
      <c r="E27">
        <v>61</v>
      </c>
      <c r="F27">
        <v>20.130000000000003</v>
      </c>
      <c r="G27">
        <v>68</v>
      </c>
    </row>
    <row r="28" spans="1:7" x14ac:dyDescent="0.15">
      <c r="A28">
        <v>1</v>
      </c>
      <c r="B28" t="s">
        <v>19</v>
      </c>
      <c r="C28" t="s">
        <v>15</v>
      </c>
      <c r="D28" t="s">
        <v>16</v>
      </c>
      <c r="E28">
        <v>56</v>
      </c>
      <c r="F28">
        <v>18.48</v>
      </c>
      <c r="G28">
        <v>70</v>
      </c>
    </row>
    <row r="29" spans="1:7" x14ac:dyDescent="0.15">
      <c r="A29">
        <v>1</v>
      </c>
      <c r="B29" t="s">
        <v>14</v>
      </c>
      <c r="C29" t="s">
        <v>15</v>
      </c>
      <c r="D29" t="s">
        <v>16</v>
      </c>
      <c r="E29">
        <v>34</v>
      </c>
      <c r="F29">
        <v>11.22</v>
      </c>
      <c r="G29">
        <v>85</v>
      </c>
    </row>
    <row r="30" spans="1:7" x14ac:dyDescent="0.15">
      <c r="A30">
        <v>1</v>
      </c>
      <c r="B30" t="s">
        <v>9</v>
      </c>
      <c r="C30" t="s">
        <v>7</v>
      </c>
      <c r="D30" t="s">
        <v>8</v>
      </c>
      <c r="E30">
        <v>236</v>
      </c>
      <c r="F30">
        <v>141.6</v>
      </c>
      <c r="G30">
        <v>1</v>
      </c>
    </row>
    <row r="31" spans="1:7" x14ac:dyDescent="0.15">
      <c r="A31">
        <v>1</v>
      </c>
      <c r="B31" t="s">
        <v>10</v>
      </c>
      <c r="C31" t="s">
        <v>7</v>
      </c>
      <c r="D31" t="s">
        <v>8</v>
      </c>
      <c r="E31">
        <v>172</v>
      </c>
      <c r="F31">
        <v>103.2</v>
      </c>
      <c r="G31">
        <v>2</v>
      </c>
    </row>
    <row r="32" spans="1:7" x14ac:dyDescent="0.15">
      <c r="A32">
        <v>1</v>
      </c>
      <c r="B32" t="s">
        <v>6</v>
      </c>
      <c r="C32" t="s">
        <v>7</v>
      </c>
      <c r="D32" t="s">
        <v>8</v>
      </c>
      <c r="E32">
        <v>134</v>
      </c>
      <c r="F32">
        <v>80.399999999999991</v>
      </c>
      <c r="G32">
        <v>6</v>
      </c>
    </row>
    <row r="33" spans="1:7" x14ac:dyDescent="0.15">
      <c r="A33">
        <v>1</v>
      </c>
      <c r="B33" t="s">
        <v>11</v>
      </c>
      <c r="C33" t="s">
        <v>7</v>
      </c>
      <c r="D33" t="s">
        <v>8</v>
      </c>
      <c r="E33">
        <v>42</v>
      </c>
      <c r="F33">
        <v>25.2</v>
      </c>
      <c r="G33">
        <v>60</v>
      </c>
    </row>
    <row r="34" spans="1:7" x14ac:dyDescent="0.15">
      <c r="A34">
        <v>2</v>
      </c>
      <c r="B34" t="s">
        <v>19</v>
      </c>
      <c r="C34" t="s">
        <v>36</v>
      </c>
      <c r="D34" t="s">
        <v>37</v>
      </c>
      <c r="E34">
        <v>88</v>
      </c>
      <c r="F34">
        <v>22</v>
      </c>
      <c r="G34">
        <v>64</v>
      </c>
    </row>
    <row r="35" spans="1:7" x14ac:dyDescent="0.15">
      <c r="A35">
        <v>2</v>
      </c>
      <c r="B35" t="s">
        <v>18</v>
      </c>
      <c r="C35" t="s">
        <v>36</v>
      </c>
      <c r="D35" t="s">
        <v>37</v>
      </c>
      <c r="E35">
        <v>65</v>
      </c>
      <c r="F35">
        <v>16.25</v>
      </c>
      <c r="G35">
        <v>73</v>
      </c>
    </row>
    <row r="36" spans="1:7" x14ac:dyDescent="0.15">
      <c r="A36">
        <v>2</v>
      </c>
      <c r="B36" t="s">
        <v>14</v>
      </c>
      <c r="C36" t="s">
        <v>36</v>
      </c>
      <c r="D36" t="s">
        <v>37</v>
      </c>
      <c r="E36">
        <v>61</v>
      </c>
      <c r="F36">
        <v>15.25</v>
      </c>
      <c r="G36">
        <v>76</v>
      </c>
    </row>
    <row r="37" spans="1:7" x14ac:dyDescent="0.15">
      <c r="A37">
        <v>2</v>
      </c>
      <c r="B37" t="s">
        <v>17</v>
      </c>
      <c r="C37" t="s">
        <v>36</v>
      </c>
      <c r="D37" t="s">
        <v>37</v>
      </c>
      <c r="E37">
        <v>56</v>
      </c>
      <c r="F37">
        <v>14</v>
      </c>
      <c r="G37">
        <v>82</v>
      </c>
    </row>
    <row r="38" spans="1:7" x14ac:dyDescent="0.15">
      <c r="A38">
        <v>2</v>
      </c>
      <c r="B38" t="s">
        <v>30</v>
      </c>
      <c r="C38" t="s">
        <v>32</v>
      </c>
      <c r="D38" t="s">
        <v>33</v>
      </c>
      <c r="E38">
        <v>124</v>
      </c>
      <c r="F38">
        <v>74.399999999999991</v>
      </c>
      <c r="G38">
        <v>11</v>
      </c>
    </row>
    <row r="39" spans="1:7" x14ac:dyDescent="0.15">
      <c r="A39">
        <v>2</v>
      </c>
      <c r="B39" t="s">
        <v>26</v>
      </c>
      <c r="C39" t="s">
        <v>32</v>
      </c>
      <c r="D39" t="s">
        <v>33</v>
      </c>
      <c r="E39">
        <v>123</v>
      </c>
      <c r="F39">
        <v>73.8</v>
      </c>
      <c r="G39">
        <v>12</v>
      </c>
    </row>
    <row r="40" spans="1:7" x14ac:dyDescent="0.15">
      <c r="A40">
        <v>2</v>
      </c>
      <c r="B40" t="s">
        <v>29</v>
      </c>
      <c r="C40" t="s">
        <v>32</v>
      </c>
      <c r="D40" t="s">
        <v>33</v>
      </c>
      <c r="E40">
        <v>89</v>
      </c>
      <c r="F40">
        <v>53.4</v>
      </c>
      <c r="G40">
        <v>24</v>
      </c>
    </row>
    <row r="41" spans="1:7" x14ac:dyDescent="0.15">
      <c r="A41">
        <v>2</v>
      </c>
      <c r="B41" t="s">
        <v>31</v>
      </c>
      <c r="C41" t="s">
        <v>32</v>
      </c>
      <c r="D41" t="s">
        <v>33</v>
      </c>
      <c r="E41">
        <v>86</v>
      </c>
      <c r="F41">
        <v>51.6</v>
      </c>
      <c r="G41">
        <v>25</v>
      </c>
    </row>
    <row r="42" spans="1:7" x14ac:dyDescent="0.15">
      <c r="A42">
        <v>2</v>
      </c>
      <c r="B42" t="s">
        <v>25</v>
      </c>
      <c r="C42" t="s">
        <v>34</v>
      </c>
      <c r="D42" t="s">
        <v>35</v>
      </c>
      <c r="E42">
        <v>131</v>
      </c>
      <c r="F42">
        <v>75.717999999999989</v>
      </c>
      <c r="G42">
        <v>10</v>
      </c>
    </row>
    <row r="43" spans="1:7" x14ac:dyDescent="0.15">
      <c r="A43">
        <v>2</v>
      </c>
      <c r="B43" t="s">
        <v>17</v>
      </c>
      <c r="C43" t="s">
        <v>34</v>
      </c>
      <c r="D43" t="s">
        <v>35</v>
      </c>
      <c r="E43">
        <v>121</v>
      </c>
      <c r="F43">
        <v>69.937999999999988</v>
      </c>
      <c r="G43">
        <v>13</v>
      </c>
    </row>
    <row r="44" spans="1:7" x14ac:dyDescent="0.15">
      <c r="A44">
        <v>2</v>
      </c>
      <c r="B44" t="s">
        <v>20</v>
      </c>
      <c r="C44" t="s">
        <v>34</v>
      </c>
      <c r="D44" t="s">
        <v>35</v>
      </c>
      <c r="E44">
        <v>97</v>
      </c>
      <c r="F44">
        <v>56.065999999999995</v>
      </c>
      <c r="G44">
        <v>20</v>
      </c>
    </row>
    <row r="45" spans="1:7" x14ac:dyDescent="0.15">
      <c r="A45">
        <v>2</v>
      </c>
      <c r="B45" t="s">
        <v>24</v>
      </c>
      <c r="C45" t="s">
        <v>34</v>
      </c>
      <c r="D45" t="s">
        <v>35</v>
      </c>
      <c r="E45">
        <v>45</v>
      </c>
      <c r="F45">
        <v>26.009999999999998</v>
      </c>
      <c r="G45">
        <v>58</v>
      </c>
    </row>
    <row r="46" spans="1:7" x14ac:dyDescent="0.15">
      <c r="A46">
        <v>2</v>
      </c>
      <c r="B46" t="s">
        <v>29</v>
      </c>
      <c r="C46" t="s">
        <v>27</v>
      </c>
      <c r="D46" t="s">
        <v>28</v>
      </c>
      <c r="E46">
        <v>156</v>
      </c>
      <c r="F46">
        <v>51.480000000000004</v>
      </c>
      <c r="G46">
        <v>26</v>
      </c>
    </row>
    <row r="47" spans="1:7" x14ac:dyDescent="0.15">
      <c r="A47">
        <v>2</v>
      </c>
      <c r="B47" t="s">
        <v>30</v>
      </c>
      <c r="C47" t="s">
        <v>27</v>
      </c>
      <c r="D47" t="s">
        <v>28</v>
      </c>
      <c r="E47">
        <v>123</v>
      </c>
      <c r="F47">
        <v>40.590000000000003</v>
      </c>
      <c r="G47">
        <v>40</v>
      </c>
    </row>
    <row r="48" spans="1:7" x14ac:dyDescent="0.15">
      <c r="A48">
        <v>2</v>
      </c>
      <c r="B48" t="s">
        <v>26</v>
      </c>
      <c r="C48" t="s">
        <v>27</v>
      </c>
      <c r="D48" t="s">
        <v>28</v>
      </c>
      <c r="E48">
        <v>112</v>
      </c>
      <c r="F48">
        <v>36.96</v>
      </c>
      <c r="G48">
        <v>42</v>
      </c>
    </row>
    <row r="49" spans="1:7" x14ac:dyDescent="0.15">
      <c r="A49">
        <v>2</v>
      </c>
      <c r="B49" t="s">
        <v>31</v>
      </c>
      <c r="C49" t="s">
        <v>27</v>
      </c>
      <c r="D49" t="s">
        <v>28</v>
      </c>
      <c r="E49">
        <v>81</v>
      </c>
      <c r="F49">
        <v>26.73</v>
      </c>
      <c r="G49">
        <v>57</v>
      </c>
    </row>
    <row r="50" spans="1:7" x14ac:dyDescent="0.15">
      <c r="A50">
        <v>2</v>
      </c>
      <c r="B50" t="s">
        <v>25</v>
      </c>
      <c r="C50" t="s">
        <v>21</v>
      </c>
      <c r="D50" t="s">
        <v>22</v>
      </c>
      <c r="E50">
        <v>131</v>
      </c>
      <c r="F50">
        <v>11.776899999999999</v>
      </c>
      <c r="G50">
        <v>84</v>
      </c>
    </row>
    <row r="51" spans="1:7" x14ac:dyDescent="0.15">
      <c r="A51">
        <v>2</v>
      </c>
      <c r="B51" t="s">
        <v>17</v>
      </c>
      <c r="C51" t="s">
        <v>21</v>
      </c>
      <c r="D51" t="s">
        <v>22</v>
      </c>
      <c r="E51">
        <v>123</v>
      </c>
      <c r="F51">
        <v>11.057699999999999</v>
      </c>
      <c r="G51">
        <v>86</v>
      </c>
    </row>
    <row r="52" spans="1:7" x14ac:dyDescent="0.15">
      <c r="A52">
        <v>2</v>
      </c>
      <c r="B52" t="s">
        <v>20</v>
      </c>
      <c r="C52" t="s">
        <v>21</v>
      </c>
      <c r="D52" t="s">
        <v>22</v>
      </c>
      <c r="E52">
        <v>97</v>
      </c>
      <c r="F52">
        <v>8.7202999999999999</v>
      </c>
      <c r="G52">
        <v>89</v>
      </c>
    </row>
    <row r="53" spans="1:7" x14ac:dyDescent="0.15">
      <c r="A53">
        <v>2</v>
      </c>
      <c r="B53" t="s">
        <v>24</v>
      </c>
      <c r="C53" t="s">
        <v>21</v>
      </c>
      <c r="D53" t="s">
        <v>22</v>
      </c>
      <c r="E53">
        <v>67</v>
      </c>
      <c r="F53">
        <v>6.0232999999999999</v>
      </c>
      <c r="G53">
        <v>94</v>
      </c>
    </row>
    <row r="54" spans="1:7" x14ac:dyDescent="0.15">
      <c r="A54">
        <v>2</v>
      </c>
      <c r="B54" t="s">
        <v>6</v>
      </c>
      <c r="C54" t="s">
        <v>12</v>
      </c>
      <c r="D54" t="s">
        <v>13</v>
      </c>
      <c r="E54">
        <v>112</v>
      </c>
      <c r="F54">
        <v>56</v>
      </c>
      <c r="G54">
        <v>21</v>
      </c>
    </row>
    <row r="55" spans="1:7" x14ac:dyDescent="0.15">
      <c r="A55">
        <v>2</v>
      </c>
      <c r="B55" t="s">
        <v>11</v>
      </c>
      <c r="C55" t="s">
        <v>12</v>
      </c>
      <c r="D55" t="s">
        <v>13</v>
      </c>
      <c r="E55">
        <v>84</v>
      </c>
      <c r="F55">
        <v>42</v>
      </c>
      <c r="G55">
        <v>39</v>
      </c>
    </row>
    <row r="56" spans="1:7" x14ac:dyDescent="0.15">
      <c r="A56">
        <v>2</v>
      </c>
      <c r="B56" t="s">
        <v>10</v>
      </c>
      <c r="C56" t="s">
        <v>12</v>
      </c>
      <c r="D56" t="s">
        <v>13</v>
      </c>
      <c r="E56">
        <v>73</v>
      </c>
      <c r="F56">
        <v>36.5</v>
      </c>
      <c r="G56">
        <v>43</v>
      </c>
    </row>
    <row r="57" spans="1:7" x14ac:dyDescent="0.15">
      <c r="A57">
        <v>2</v>
      </c>
      <c r="B57" t="s">
        <v>9</v>
      </c>
      <c r="C57" t="s">
        <v>12</v>
      </c>
      <c r="D57" t="s">
        <v>13</v>
      </c>
      <c r="E57">
        <v>54</v>
      </c>
      <c r="F57">
        <v>27</v>
      </c>
      <c r="G57">
        <v>56</v>
      </c>
    </row>
    <row r="58" spans="1:7" x14ac:dyDescent="0.15">
      <c r="A58">
        <v>2</v>
      </c>
      <c r="B58" t="s">
        <v>14</v>
      </c>
      <c r="C58" t="s">
        <v>15</v>
      </c>
      <c r="D58" t="s">
        <v>16</v>
      </c>
      <c r="E58">
        <v>96</v>
      </c>
      <c r="F58">
        <v>31.68</v>
      </c>
      <c r="G58">
        <v>48</v>
      </c>
    </row>
    <row r="59" spans="1:7" x14ac:dyDescent="0.15">
      <c r="A59">
        <v>2</v>
      </c>
      <c r="B59" t="s">
        <v>19</v>
      </c>
      <c r="C59" t="s">
        <v>15</v>
      </c>
      <c r="D59" t="s">
        <v>16</v>
      </c>
      <c r="E59">
        <v>84</v>
      </c>
      <c r="F59">
        <v>27.720000000000002</v>
      </c>
      <c r="G59">
        <v>55</v>
      </c>
    </row>
    <row r="60" spans="1:7" x14ac:dyDescent="0.15">
      <c r="A60">
        <v>2</v>
      </c>
      <c r="B60" t="s">
        <v>17</v>
      </c>
      <c r="C60" t="s">
        <v>15</v>
      </c>
      <c r="D60" t="s">
        <v>16</v>
      </c>
      <c r="E60">
        <v>65</v>
      </c>
      <c r="F60">
        <v>21.45</v>
      </c>
      <c r="G60">
        <v>66</v>
      </c>
    </row>
    <row r="61" spans="1:7" x14ac:dyDescent="0.15">
      <c r="A61">
        <v>2</v>
      </c>
      <c r="B61" t="s">
        <v>18</v>
      </c>
      <c r="C61" t="s">
        <v>15</v>
      </c>
      <c r="D61" t="s">
        <v>16</v>
      </c>
      <c r="E61">
        <v>53</v>
      </c>
      <c r="F61">
        <v>17.490000000000002</v>
      </c>
      <c r="G61">
        <v>72</v>
      </c>
    </row>
    <row r="62" spans="1:7" x14ac:dyDescent="0.15">
      <c r="A62">
        <v>2</v>
      </c>
      <c r="B62" t="s">
        <v>10</v>
      </c>
      <c r="C62" t="s">
        <v>7</v>
      </c>
      <c r="D62" t="s">
        <v>8</v>
      </c>
      <c r="E62">
        <v>146</v>
      </c>
      <c r="F62">
        <v>87.6</v>
      </c>
      <c r="G62">
        <v>4</v>
      </c>
    </row>
    <row r="63" spans="1:7" x14ac:dyDescent="0.15">
      <c r="A63">
        <v>2</v>
      </c>
      <c r="B63" t="s">
        <v>6</v>
      </c>
      <c r="C63" t="s">
        <v>7</v>
      </c>
      <c r="D63" t="s">
        <v>8</v>
      </c>
      <c r="E63">
        <v>112</v>
      </c>
      <c r="F63">
        <v>67.2</v>
      </c>
      <c r="G63">
        <v>14</v>
      </c>
    </row>
    <row r="64" spans="1:7" x14ac:dyDescent="0.15">
      <c r="A64">
        <v>2</v>
      </c>
      <c r="B64" t="s">
        <v>11</v>
      </c>
      <c r="C64" t="s">
        <v>7</v>
      </c>
      <c r="D64" t="s">
        <v>8</v>
      </c>
      <c r="E64">
        <v>84</v>
      </c>
      <c r="F64">
        <v>50.4</v>
      </c>
      <c r="G64">
        <v>28</v>
      </c>
    </row>
    <row r="65" spans="1:7" x14ac:dyDescent="0.15">
      <c r="A65">
        <v>2</v>
      </c>
      <c r="B65" t="s">
        <v>9</v>
      </c>
      <c r="C65" t="s">
        <v>7</v>
      </c>
      <c r="D65" t="s">
        <v>8</v>
      </c>
      <c r="E65">
        <v>58</v>
      </c>
      <c r="F65">
        <v>34.799999999999997</v>
      </c>
      <c r="G65">
        <v>45</v>
      </c>
    </row>
    <row r="66" spans="1:7" x14ac:dyDescent="0.15">
      <c r="A66">
        <v>3</v>
      </c>
      <c r="B66" t="s">
        <v>19</v>
      </c>
      <c r="C66" t="s">
        <v>36</v>
      </c>
      <c r="D66" t="s">
        <v>37</v>
      </c>
      <c r="E66">
        <v>94</v>
      </c>
      <c r="F66">
        <v>23.5</v>
      </c>
      <c r="G66">
        <v>62</v>
      </c>
    </row>
    <row r="67" spans="1:7" x14ac:dyDescent="0.15">
      <c r="A67">
        <v>3</v>
      </c>
      <c r="B67" t="s">
        <v>18</v>
      </c>
      <c r="C67" t="s">
        <v>36</v>
      </c>
      <c r="D67" t="s">
        <v>37</v>
      </c>
      <c r="E67">
        <v>77</v>
      </c>
      <c r="F67">
        <v>19.25</v>
      </c>
      <c r="G67">
        <v>69</v>
      </c>
    </row>
    <row r="68" spans="1:7" x14ac:dyDescent="0.15">
      <c r="A68">
        <v>3</v>
      </c>
      <c r="B68" t="s">
        <v>14</v>
      </c>
      <c r="C68" t="s">
        <v>36</v>
      </c>
      <c r="D68" t="s">
        <v>37</v>
      </c>
      <c r="E68">
        <v>57</v>
      </c>
      <c r="F68">
        <v>14.25</v>
      </c>
      <c r="G68">
        <v>81</v>
      </c>
    </row>
    <row r="69" spans="1:7" x14ac:dyDescent="0.15">
      <c r="A69">
        <v>3</v>
      </c>
      <c r="B69" t="s">
        <v>17</v>
      </c>
      <c r="C69" t="s">
        <v>36</v>
      </c>
      <c r="D69" t="s">
        <v>37</v>
      </c>
      <c r="E69">
        <v>49</v>
      </c>
      <c r="F69">
        <v>12.25</v>
      </c>
      <c r="G69">
        <v>83</v>
      </c>
    </row>
    <row r="70" spans="1:7" x14ac:dyDescent="0.15">
      <c r="A70">
        <v>3</v>
      </c>
      <c r="B70" t="s">
        <v>29</v>
      </c>
      <c r="C70" t="s">
        <v>32</v>
      </c>
      <c r="D70" t="s">
        <v>33</v>
      </c>
      <c r="E70">
        <v>90</v>
      </c>
      <c r="F70">
        <v>54</v>
      </c>
      <c r="G70">
        <v>23</v>
      </c>
    </row>
    <row r="71" spans="1:7" x14ac:dyDescent="0.15">
      <c r="A71">
        <v>3</v>
      </c>
      <c r="B71" t="s">
        <v>30</v>
      </c>
      <c r="C71" t="s">
        <v>32</v>
      </c>
      <c r="D71" t="s">
        <v>33</v>
      </c>
      <c r="E71">
        <v>82</v>
      </c>
      <c r="F71">
        <v>49.199999999999996</v>
      </c>
      <c r="G71">
        <v>30</v>
      </c>
    </row>
    <row r="72" spans="1:7" x14ac:dyDescent="0.15">
      <c r="A72">
        <v>3</v>
      </c>
      <c r="B72" t="s">
        <v>26</v>
      </c>
      <c r="C72" t="s">
        <v>32</v>
      </c>
      <c r="D72" t="s">
        <v>33</v>
      </c>
      <c r="E72">
        <v>78</v>
      </c>
      <c r="F72">
        <v>46.8</v>
      </c>
      <c r="G72">
        <v>33</v>
      </c>
    </row>
    <row r="73" spans="1:7" x14ac:dyDescent="0.15">
      <c r="A73">
        <v>3</v>
      </c>
      <c r="B73" t="s">
        <v>31</v>
      </c>
      <c r="C73" t="s">
        <v>32</v>
      </c>
      <c r="D73" t="s">
        <v>33</v>
      </c>
      <c r="E73">
        <v>56</v>
      </c>
      <c r="F73">
        <v>33.6</v>
      </c>
      <c r="G73">
        <v>46</v>
      </c>
    </row>
    <row r="74" spans="1:7" x14ac:dyDescent="0.15">
      <c r="A74">
        <v>3</v>
      </c>
      <c r="B74" t="s">
        <v>24</v>
      </c>
      <c r="C74" t="s">
        <v>34</v>
      </c>
      <c r="D74" t="s">
        <v>35</v>
      </c>
      <c r="E74">
        <v>87</v>
      </c>
      <c r="F74">
        <v>50.285999999999994</v>
      </c>
      <c r="G74">
        <v>29</v>
      </c>
    </row>
    <row r="75" spans="1:7" x14ac:dyDescent="0.15">
      <c r="A75">
        <v>3</v>
      </c>
      <c r="B75" t="s">
        <v>25</v>
      </c>
      <c r="C75" t="s">
        <v>34</v>
      </c>
      <c r="D75" t="s">
        <v>35</v>
      </c>
      <c r="E75">
        <v>78</v>
      </c>
      <c r="F75">
        <v>45.083999999999996</v>
      </c>
      <c r="G75">
        <v>36</v>
      </c>
    </row>
    <row r="76" spans="1:7" x14ac:dyDescent="0.15">
      <c r="A76">
        <v>3</v>
      </c>
      <c r="B76" t="s">
        <v>23</v>
      </c>
      <c r="C76" t="s">
        <v>34</v>
      </c>
      <c r="D76" t="s">
        <v>35</v>
      </c>
      <c r="E76">
        <v>66</v>
      </c>
      <c r="F76">
        <v>38.147999999999996</v>
      </c>
      <c r="G76">
        <v>41</v>
      </c>
    </row>
    <row r="77" spans="1:7" x14ac:dyDescent="0.15">
      <c r="A77">
        <v>3</v>
      </c>
      <c r="B77" t="s">
        <v>20</v>
      </c>
      <c r="C77" t="s">
        <v>34</v>
      </c>
      <c r="D77" t="s">
        <v>35</v>
      </c>
      <c r="E77">
        <v>56</v>
      </c>
      <c r="F77">
        <v>32.367999999999995</v>
      </c>
      <c r="G77">
        <v>47</v>
      </c>
    </row>
    <row r="78" spans="1:7" x14ac:dyDescent="0.15">
      <c r="A78">
        <v>3</v>
      </c>
      <c r="B78" t="s">
        <v>26</v>
      </c>
      <c r="C78" t="s">
        <v>27</v>
      </c>
      <c r="D78" t="s">
        <v>28</v>
      </c>
      <c r="E78">
        <v>176</v>
      </c>
      <c r="F78">
        <v>58.080000000000005</v>
      </c>
      <c r="G78">
        <v>19</v>
      </c>
    </row>
    <row r="79" spans="1:7" x14ac:dyDescent="0.15">
      <c r="A79">
        <v>3</v>
      </c>
      <c r="B79" t="s">
        <v>31</v>
      </c>
      <c r="C79" t="s">
        <v>27</v>
      </c>
      <c r="D79" t="s">
        <v>28</v>
      </c>
      <c r="E79">
        <v>106</v>
      </c>
      <c r="F79">
        <v>34.980000000000004</v>
      </c>
      <c r="G79">
        <v>44</v>
      </c>
    </row>
    <row r="80" spans="1:7" x14ac:dyDescent="0.15">
      <c r="A80">
        <v>3</v>
      </c>
      <c r="B80" t="s">
        <v>29</v>
      </c>
      <c r="C80" t="s">
        <v>27</v>
      </c>
      <c r="D80" t="s">
        <v>28</v>
      </c>
      <c r="E80">
        <v>90</v>
      </c>
      <c r="F80">
        <v>29.700000000000003</v>
      </c>
      <c r="G80">
        <v>49</v>
      </c>
    </row>
    <row r="81" spans="1:7" x14ac:dyDescent="0.15">
      <c r="A81">
        <v>3</v>
      </c>
      <c r="B81" t="s">
        <v>30</v>
      </c>
      <c r="C81" t="s">
        <v>27</v>
      </c>
      <c r="D81" t="s">
        <v>28</v>
      </c>
      <c r="E81">
        <v>86</v>
      </c>
      <c r="F81">
        <v>28.380000000000003</v>
      </c>
      <c r="G81">
        <v>53</v>
      </c>
    </row>
    <row r="82" spans="1:7" x14ac:dyDescent="0.15">
      <c r="A82">
        <v>3</v>
      </c>
      <c r="B82" t="s">
        <v>20</v>
      </c>
      <c r="C82" t="s">
        <v>21</v>
      </c>
      <c r="D82" t="s">
        <v>22</v>
      </c>
      <c r="E82">
        <v>167</v>
      </c>
      <c r="F82">
        <v>15.013299999999999</v>
      </c>
      <c r="G82">
        <v>78</v>
      </c>
    </row>
    <row r="83" spans="1:7" x14ac:dyDescent="0.15">
      <c r="A83">
        <v>3</v>
      </c>
      <c r="B83" t="s">
        <v>23</v>
      </c>
      <c r="C83" t="s">
        <v>21</v>
      </c>
      <c r="D83" t="s">
        <v>22</v>
      </c>
      <c r="E83">
        <v>121</v>
      </c>
      <c r="F83">
        <v>10.877899999999999</v>
      </c>
      <c r="G83">
        <v>87</v>
      </c>
    </row>
    <row r="84" spans="1:7" x14ac:dyDescent="0.15">
      <c r="A84">
        <v>3</v>
      </c>
      <c r="B84" t="s">
        <v>25</v>
      </c>
      <c r="C84" t="s">
        <v>21</v>
      </c>
      <c r="D84" t="s">
        <v>22</v>
      </c>
      <c r="E84">
        <v>78</v>
      </c>
      <c r="F84">
        <v>7.0121999999999991</v>
      </c>
      <c r="G84">
        <v>92</v>
      </c>
    </row>
    <row r="85" spans="1:7" x14ac:dyDescent="0.15">
      <c r="A85">
        <v>3</v>
      </c>
      <c r="B85" t="s">
        <v>24</v>
      </c>
      <c r="C85" t="s">
        <v>21</v>
      </c>
      <c r="D85" t="s">
        <v>22</v>
      </c>
      <c r="E85">
        <v>69</v>
      </c>
      <c r="F85">
        <v>6.2030999999999992</v>
      </c>
      <c r="G85">
        <v>93</v>
      </c>
    </row>
    <row r="86" spans="1:7" x14ac:dyDescent="0.15">
      <c r="A86">
        <v>3</v>
      </c>
      <c r="B86" t="s">
        <v>6</v>
      </c>
      <c r="C86" t="s">
        <v>12</v>
      </c>
      <c r="D86" t="s">
        <v>13</v>
      </c>
      <c r="E86">
        <v>167</v>
      </c>
      <c r="F86">
        <v>83.5</v>
      </c>
      <c r="G86">
        <v>5</v>
      </c>
    </row>
    <row r="87" spans="1:7" x14ac:dyDescent="0.15">
      <c r="A87">
        <v>3</v>
      </c>
      <c r="B87" t="s">
        <v>10</v>
      </c>
      <c r="C87" t="s">
        <v>12</v>
      </c>
      <c r="D87" t="s">
        <v>13</v>
      </c>
      <c r="E87">
        <v>134</v>
      </c>
      <c r="F87">
        <v>67</v>
      </c>
      <c r="G87">
        <v>15</v>
      </c>
    </row>
    <row r="88" spans="1:7" x14ac:dyDescent="0.15">
      <c r="A88">
        <v>3</v>
      </c>
      <c r="B88" t="s">
        <v>9</v>
      </c>
      <c r="C88" t="s">
        <v>12</v>
      </c>
      <c r="D88" t="s">
        <v>13</v>
      </c>
      <c r="E88">
        <v>92</v>
      </c>
      <c r="F88">
        <v>46</v>
      </c>
      <c r="G88">
        <v>34</v>
      </c>
    </row>
    <row r="89" spans="1:7" x14ac:dyDescent="0.15">
      <c r="A89">
        <v>3</v>
      </c>
      <c r="B89" t="s">
        <v>11</v>
      </c>
      <c r="C89" t="s">
        <v>12</v>
      </c>
      <c r="D89" t="s">
        <v>13</v>
      </c>
      <c r="E89">
        <v>89</v>
      </c>
      <c r="F89">
        <v>44.5</v>
      </c>
      <c r="G89">
        <v>37</v>
      </c>
    </row>
    <row r="90" spans="1:7" x14ac:dyDescent="0.15">
      <c r="A90">
        <v>3</v>
      </c>
      <c r="B90" t="s">
        <v>17</v>
      </c>
      <c r="C90" t="s">
        <v>15</v>
      </c>
      <c r="D90" t="s">
        <v>16</v>
      </c>
      <c r="E90">
        <v>89</v>
      </c>
      <c r="F90">
        <v>29.37</v>
      </c>
      <c r="G90">
        <v>50</v>
      </c>
    </row>
    <row r="91" spans="1:7" x14ac:dyDescent="0.15">
      <c r="A91">
        <v>3</v>
      </c>
      <c r="B91" t="s">
        <v>14</v>
      </c>
      <c r="C91" t="s">
        <v>15</v>
      </c>
      <c r="D91" t="s">
        <v>16</v>
      </c>
      <c r="E91">
        <v>75</v>
      </c>
      <c r="F91">
        <v>24.75</v>
      </c>
      <c r="G91">
        <v>61</v>
      </c>
    </row>
    <row r="92" spans="1:7" x14ac:dyDescent="0.15">
      <c r="A92">
        <v>3</v>
      </c>
      <c r="B92" t="s">
        <v>18</v>
      </c>
      <c r="C92" t="s">
        <v>15</v>
      </c>
      <c r="D92" t="s">
        <v>16</v>
      </c>
      <c r="E92">
        <v>45</v>
      </c>
      <c r="F92">
        <v>14.850000000000001</v>
      </c>
      <c r="G92">
        <v>79</v>
      </c>
    </row>
    <row r="93" spans="1:7" x14ac:dyDescent="0.15">
      <c r="A93">
        <v>3</v>
      </c>
      <c r="B93" t="s">
        <v>19</v>
      </c>
      <c r="C93" t="s">
        <v>15</v>
      </c>
      <c r="D93" t="s">
        <v>16</v>
      </c>
      <c r="E93">
        <v>32</v>
      </c>
      <c r="F93">
        <v>10.56</v>
      </c>
      <c r="G93">
        <v>88</v>
      </c>
    </row>
    <row r="94" spans="1:7" x14ac:dyDescent="0.15">
      <c r="A94">
        <v>3</v>
      </c>
      <c r="B94" t="s">
        <v>11</v>
      </c>
      <c r="C94" t="s">
        <v>7</v>
      </c>
      <c r="D94" t="s">
        <v>8</v>
      </c>
      <c r="E94">
        <v>156</v>
      </c>
      <c r="F94">
        <v>93.6</v>
      </c>
      <c r="G94">
        <v>3</v>
      </c>
    </row>
    <row r="95" spans="1:7" x14ac:dyDescent="0.15">
      <c r="A95">
        <v>3</v>
      </c>
      <c r="B95" t="s">
        <v>6</v>
      </c>
      <c r="C95" t="s">
        <v>7</v>
      </c>
      <c r="D95" t="s">
        <v>8</v>
      </c>
      <c r="E95">
        <v>132</v>
      </c>
      <c r="F95">
        <v>79.2</v>
      </c>
      <c r="G95">
        <v>7</v>
      </c>
    </row>
    <row r="96" spans="1:7" x14ac:dyDescent="0.15">
      <c r="A96">
        <v>3</v>
      </c>
      <c r="B96" t="s">
        <v>10</v>
      </c>
      <c r="C96" t="s">
        <v>7</v>
      </c>
      <c r="D96" t="s">
        <v>8</v>
      </c>
      <c r="E96">
        <v>128</v>
      </c>
      <c r="F96">
        <v>76.8</v>
      </c>
      <c r="G96">
        <v>8</v>
      </c>
    </row>
    <row r="97" spans="1:7" x14ac:dyDescent="0.15">
      <c r="A97">
        <v>3</v>
      </c>
      <c r="B97" t="s">
        <v>9</v>
      </c>
      <c r="C97" t="s">
        <v>7</v>
      </c>
      <c r="D97" t="s">
        <v>8</v>
      </c>
      <c r="E97">
        <v>92</v>
      </c>
      <c r="F97">
        <v>55.199999999999996</v>
      </c>
      <c r="G97">
        <v>22</v>
      </c>
    </row>
  </sheetData>
  <sortState ref="A2:G97">
    <sortCondition ref="A2:A97"/>
    <sortCondition descending="1" ref="D2:D97"/>
  </sortState>
  <phoneticPr fontId="1" type="noConversion"/>
  <pageMargins left="0.75" right="0.75" top="1" bottom="1" header="0.5" footer="0.5"/>
  <pageSetup paperSize="9" orientation="portrait" horizontalDpi="300" verticalDpi="300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学生成绩统计表</vt:lpstr>
      <vt:lpstr>产品销售情况表</vt:lpstr>
      <vt:lpstr>Sheet3</vt:lpstr>
    </vt:vector>
  </TitlesOfParts>
  <Company>ysy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wuyou</cp:lastModifiedBy>
  <dcterms:created xsi:type="dcterms:W3CDTF">2005-08-24T03:08:06Z</dcterms:created>
  <dcterms:modified xsi:type="dcterms:W3CDTF">2022-10-08T07:54:51Z</dcterms:modified>
</cp:coreProperties>
</file>