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10" tabRatio="600" firstSheet="0" activeTab="0" autoFilterDateGrouping="1"/>
  </bookViews>
  <sheets>
    <sheet xmlns:r="http://schemas.openxmlformats.org/officeDocument/2006/relationships" name="产品销售表" sheetId="1" state="visible" r:id="rId1"/>
    <sheet xmlns:r="http://schemas.openxmlformats.org/officeDocument/2006/relationships" name="产品价格表" sheetId="2" state="visible" r:id="rId2"/>
    <sheet xmlns:r="http://schemas.openxmlformats.org/officeDocument/2006/relationships" name="销售统计" sheetId="3" state="visible" r:id="rId3"/>
    <sheet xmlns:r="http://schemas.openxmlformats.org/officeDocument/2006/relationships" name="图表数据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¥#,##0.0"/>
  </numFmts>
  <fonts count="28">
    <font>
      <name val="宋体"/>
      <charset val="134"/>
      <color theme="1"/>
      <sz val="11"/>
      <scheme val="minor"/>
    </font>
    <font>
      <name val="Arial"/>
      <charset val="134"/>
      <b val="1"/>
      <sz val="10"/>
    </font>
    <font>
      <name val="宋体"/>
      <charset val="134"/>
      <color theme="1"/>
      <sz val="10"/>
      <scheme val="minor"/>
    </font>
    <font>
      <name val="Arial"/>
      <charset val="134"/>
      <sz val="10"/>
    </font>
    <font>
      <name val="宋体"/>
      <charset val="134"/>
      <sz val="10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4"/>
      <scheme val="minor"/>
    </font>
    <font>
      <name val="宋体"/>
      <charset val="0"/>
      <color theme="1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006100"/>
      <sz val="11"/>
      <scheme val="minor"/>
    </font>
    <font>
      <name val="隶书"/>
      <sz val="36"/>
    </font>
  </fonts>
  <fills count="36">
    <fill>
      <patternFill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0090EE90"/>
        <bgColor rgb="0090EE90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11" fillId="0" borderId="0" applyAlignment="1">
      <alignment vertical="center"/>
    </xf>
    <xf numFmtId="42" fontId="11" fillId="0" borderId="0" applyAlignment="1">
      <alignment vertical="center"/>
    </xf>
    <xf numFmtId="0" fontId="7" fillId="27" borderId="0" applyAlignment="1">
      <alignment vertical="center"/>
    </xf>
    <xf numFmtId="0" fontId="23" fillId="24" borderId="12" applyAlignment="1">
      <alignment vertical="center"/>
    </xf>
    <xf numFmtId="44" fontId="11" fillId="0" borderId="0" applyAlignment="1">
      <alignment vertical="center"/>
    </xf>
    <xf numFmtId="41" fontId="11" fillId="0" borderId="0" applyAlignment="1">
      <alignment vertical="center"/>
    </xf>
    <xf numFmtId="0" fontId="7" fillId="7" borderId="0" applyAlignment="1">
      <alignment vertical="center"/>
    </xf>
    <xf numFmtId="0" fontId="15" fillId="11" borderId="0" applyAlignment="1">
      <alignment vertical="center"/>
    </xf>
    <xf numFmtId="43" fontId="11" fillId="0" borderId="0" applyAlignment="1">
      <alignment vertical="center"/>
    </xf>
    <xf numFmtId="0" fontId="16" fillId="30" borderId="0" applyAlignment="1">
      <alignment vertical="center"/>
    </xf>
    <xf numFmtId="0" fontId="21" fillId="0" borderId="0" applyAlignment="1">
      <alignment vertical="center"/>
    </xf>
    <xf numFmtId="9" fontId="11" fillId="0" borderId="0" applyAlignment="1">
      <alignment vertical="center"/>
    </xf>
    <xf numFmtId="0" fontId="14" fillId="0" borderId="0" applyAlignment="1">
      <alignment vertical="center"/>
    </xf>
    <xf numFmtId="0" fontId="11" fillId="16" borderId="9" applyAlignment="1">
      <alignment vertical="center"/>
    </xf>
    <xf numFmtId="0" fontId="16" fillId="23" borderId="0" applyAlignment="1">
      <alignment vertical="center"/>
    </xf>
    <xf numFmtId="0" fontId="13" fillId="0" borderId="0" applyAlignment="1">
      <alignment vertical="center"/>
    </xf>
    <xf numFmtId="0" fontId="10" fillId="0" borderId="0" applyAlignment="1">
      <alignment vertical="center"/>
    </xf>
    <xf numFmtId="0" fontId="20" fillId="0" borderId="0" applyAlignment="1">
      <alignment vertical="center"/>
    </xf>
    <xf numFmtId="0" fontId="12" fillId="0" borderId="0" applyAlignment="1">
      <alignment vertical="center"/>
    </xf>
    <xf numFmtId="0" fontId="18" fillId="0" borderId="7" applyAlignment="1">
      <alignment vertical="center"/>
    </xf>
    <xf numFmtId="0" fontId="9" fillId="0" borderId="7" applyAlignment="1">
      <alignment vertical="center"/>
    </xf>
    <xf numFmtId="0" fontId="16" fillId="29" borderId="0" applyAlignment="1">
      <alignment vertical="center"/>
    </xf>
    <xf numFmtId="0" fontId="13" fillId="0" borderId="11" applyAlignment="1">
      <alignment vertical="center"/>
    </xf>
    <xf numFmtId="0" fontId="16" fillId="22" borderId="0" applyAlignment="1">
      <alignment vertical="center"/>
    </xf>
    <xf numFmtId="0" fontId="17" fillId="15" borderId="8" applyAlignment="1">
      <alignment vertical="center"/>
    </xf>
    <xf numFmtId="0" fontId="24" fillId="15" borderId="12" applyAlignment="1">
      <alignment vertical="center"/>
    </xf>
    <xf numFmtId="0" fontId="8" fillId="6" borderId="6" applyAlignment="1">
      <alignment vertical="center"/>
    </xf>
    <xf numFmtId="0" fontId="7" fillId="34" borderId="0" applyAlignment="1">
      <alignment vertical="center"/>
    </xf>
    <xf numFmtId="0" fontId="16" fillId="19" borderId="0" applyAlignment="1">
      <alignment vertical="center"/>
    </xf>
    <xf numFmtId="0" fontId="25" fillId="0" borderId="13" applyAlignment="1">
      <alignment vertical="center"/>
    </xf>
    <xf numFmtId="0" fontId="19" fillId="0" borderId="10" applyAlignment="1">
      <alignment vertical="center"/>
    </xf>
    <xf numFmtId="0" fontId="26" fillId="33" borderId="0" applyAlignment="1">
      <alignment vertical="center"/>
    </xf>
    <xf numFmtId="0" fontId="22" fillId="21" borderId="0" applyAlignment="1">
      <alignment vertical="center"/>
    </xf>
    <xf numFmtId="0" fontId="7" fillId="26" borderId="0" applyAlignment="1">
      <alignment vertical="center"/>
    </xf>
    <xf numFmtId="0" fontId="16" fillId="14" borderId="0" applyAlignment="1">
      <alignment vertical="center"/>
    </xf>
    <xf numFmtId="0" fontId="7" fillId="25" borderId="0" applyAlignment="1">
      <alignment vertical="center"/>
    </xf>
    <xf numFmtId="0" fontId="7" fillId="5" borderId="0" applyAlignment="1">
      <alignment vertical="center"/>
    </xf>
    <xf numFmtId="0" fontId="7" fillId="32" borderId="0" applyAlignment="1">
      <alignment vertical="center"/>
    </xf>
    <xf numFmtId="0" fontId="7" fillId="10" borderId="0" applyAlignment="1">
      <alignment vertical="center"/>
    </xf>
    <xf numFmtId="0" fontId="16" fillId="13" borderId="0" applyAlignment="1">
      <alignment vertical="center"/>
    </xf>
    <xf numFmtId="0" fontId="16" fillId="18" borderId="0" applyAlignment="1">
      <alignment vertical="center"/>
    </xf>
    <xf numFmtId="0" fontId="7" fillId="31" borderId="0" applyAlignment="1">
      <alignment vertical="center"/>
    </xf>
    <xf numFmtId="0" fontId="7" fillId="9" borderId="0" applyAlignment="1">
      <alignment vertical="center"/>
    </xf>
    <xf numFmtId="0" fontId="16" fillId="12" borderId="0" applyAlignment="1">
      <alignment vertical="center"/>
    </xf>
    <xf numFmtId="0" fontId="7" fillId="4" borderId="0" applyAlignment="1">
      <alignment vertical="center"/>
    </xf>
    <xf numFmtId="0" fontId="16" fillId="28" borderId="0" applyAlignment="1">
      <alignment vertical="center"/>
    </xf>
    <xf numFmtId="0" fontId="16" fillId="17" borderId="0" applyAlignment="1">
      <alignment vertical="center"/>
    </xf>
    <xf numFmtId="0" fontId="7" fillId="8" borderId="0" applyAlignment="1">
      <alignment vertical="center"/>
    </xf>
    <xf numFmtId="0" fontId="16" fillId="2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Continuous" vertical="center"/>
    </xf>
    <xf numFmtId="0" fontId="6" fillId="0" borderId="1" applyAlignment="1" pivotButton="0" quotePrefix="0" xfId="0">
      <alignment horizontal="centerContinuous" vertical="center"/>
    </xf>
    <xf numFmtId="0" fontId="5" fillId="0" borderId="1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27" fillId="35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left" vertical="center" wrapText="1"/>
    </xf>
    <xf numFmtId="164" fontId="2" fillId="0" borderId="4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B企业销售额与销售数量统计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'图表数据'!C1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'图表数据'!$A$2:$A$1</f>
            </numRef>
          </cat>
          <val>
            <numRef>
              <f>'图表数据'!$D$1:$C$1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'图表数据'!B1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'图表数据'!$C$1:$B$1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tabSelected="1" topLeftCell="A61" workbookViewId="0">
      <selection activeCell="C61" sqref="C61"/>
    </sheetView>
  </sheetViews>
  <sheetFormatPr baseColWidth="8" defaultColWidth="9" defaultRowHeight="12"/>
  <cols>
    <col width="6" customWidth="1" style="8" min="1" max="1"/>
    <col width="10.875" customWidth="1" style="9" min="2" max="2"/>
    <col width="54.25" customWidth="1" style="9" min="3" max="3"/>
    <col width="6" customWidth="1" style="9" min="4" max="4"/>
    <col width="9.25" customWidth="1" style="9" min="5" max="5"/>
    <col width="10.25" customWidth="1" style="9" min="6" max="6"/>
    <col width="7.625" customWidth="1" style="9" min="7" max="7"/>
    <col width="19.75" customWidth="1" style="9" min="8" max="8"/>
    <col width="16.25" customWidth="1" style="9" min="9" max="9"/>
    <col width="9" customWidth="1" style="9" min="10" max="16384"/>
  </cols>
  <sheetData>
    <row r="1" ht="20.1" customFormat="1" customHeight="1" s="7">
      <c r="A1" s="29" t="inlineStr">
        <is>
          <t>销售订单</t>
        </is>
      </c>
    </row>
    <row r="2" ht="20.1" customFormat="1" customHeight="1" s="7">
      <c r="A2" s="10" t="inlineStr">
        <is>
          <t>序号</t>
        </is>
      </c>
      <c r="B2" s="10" t="inlineStr">
        <is>
          <t>结算单日期</t>
        </is>
      </c>
      <c r="C2" s="10" t="inlineStr">
        <is>
          <t>名称</t>
        </is>
      </c>
      <c r="D2" s="10" t="inlineStr">
        <is>
          <t>数量</t>
        </is>
      </c>
      <c r="E2" s="11" t="inlineStr">
        <is>
          <t>单价</t>
        </is>
      </c>
      <c r="F2" s="11" t="inlineStr">
        <is>
          <t>销售额</t>
        </is>
      </c>
      <c r="G2" s="11" t="inlineStr">
        <is>
          <t>供货商</t>
        </is>
      </c>
      <c r="H2" s="10" t="inlineStr">
        <is>
          <t>部门</t>
        </is>
      </c>
      <c r="I2" s="17" t="inlineStr">
        <is>
          <t>关键字</t>
        </is>
      </c>
      <c r="J2" s="11" t="inlineStr">
        <is>
          <t>销售表现</t>
        </is>
      </c>
    </row>
    <row r="3" ht="20.1" customFormat="1" customHeight="1" s="7">
      <c r="A3" s="15" t="n">
        <v>1</v>
      </c>
      <c r="B3" s="13" t="inlineStr">
        <is>
          <t>2017-12-19</t>
        </is>
      </c>
      <c r="C3" s="13" t="inlineStr">
        <is>
          <t>金士顿（Kingston）128GB 80MB/s TF Class10 UHS-I高速存储卡</t>
        </is>
      </c>
      <c r="D3" s="15" t="n">
        <v>3</v>
      </c>
      <c r="E3" s="14">
        <f>VLOOKUP(C3,产品价格表!$A:$B,2,FALSE)</f>
        <v/>
      </c>
      <c r="F3" s="30">
        <f>D3*E3</f>
        <v/>
      </c>
      <c r="G3" s="14" t="inlineStr">
        <is>
          <t>A企业</t>
        </is>
      </c>
      <c r="H3" s="14" t="inlineStr">
        <is>
          <t>北京A2大学</t>
        </is>
      </c>
      <c r="I3" s="18" t="inlineStr">
        <is>
          <t>金士顿</t>
        </is>
      </c>
      <c r="J3" s="19">
        <f>IF(OR(F3/$F$73&gt;0.05,D3/$D$73&gt;0.1),"优",IF(F3/$F$73&lt;0.001,"差","中等"))</f>
        <v/>
      </c>
    </row>
    <row r="4" ht="20.1" customFormat="1" customHeight="1" s="7">
      <c r="A4" s="15" t="n">
        <v>2</v>
      </c>
      <c r="B4" s="13" t="inlineStr">
        <is>
          <t>2017-12-15</t>
        </is>
      </c>
      <c r="C4" s="13" t="inlineStr">
        <is>
          <t>KINGSTON 金士顿 DT 100G3 32GB USB3.0 U盘</t>
        </is>
      </c>
      <c r="D4" s="15" t="n">
        <v>48</v>
      </c>
      <c r="E4" s="14">
        <f>VLOOKUP(C4,产品价格表!$A:$B,2,FALSE)</f>
        <v/>
      </c>
      <c r="F4" s="30">
        <f>D4*E4</f>
        <v/>
      </c>
      <c r="G4" s="14" t="inlineStr">
        <is>
          <t>B企业</t>
        </is>
      </c>
      <c r="H4" s="14" t="inlineStr">
        <is>
          <t>北京A2大学</t>
        </is>
      </c>
      <c r="I4" s="18" t="inlineStr">
        <is>
          <t>金士顿</t>
        </is>
      </c>
      <c r="J4" s="20">
        <f>IF(OR(F4/$F$73&gt;0.05,D4/$D$73&gt;0.1),"优",IF(F4/$F$73&lt;0.001,"差","中等"))</f>
        <v/>
      </c>
    </row>
    <row r="5" ht="20.1" customFormat="1" customHeight="1" s="7">
      <c r="A5" s="15" t="n">
        <v>3</v>
      </c>
      <c r="B5" s="13" t="inlineStr">
        <is>
          <t>2017-12-8</t>
        </is>
      </c>
      <c r="C5" s="13" t="inlineStr">
        <is>
          <t>惠普 原厂耗材-CE742A</t>
        </is>
      </c>
      <c r="D5" s="15" t="n">
        <v>1</v>
      </c>
      <c r="E5" s="14">
        <f>VLOOKUP(C5,产品价格表!$A:$B,2,FALSE)</f>
        <v/>
      </c>
      <c r="F5" s="30">
        <f>D5*E5</f>
        <v/>
      </c>
      <c r="G5" s="16" t="inlineStr">
        <is>
          <t>C企业</t>
        </is>
      </c>
      <c r="H5" s="14" t="inlineStr">
        <is>
          <t>北京A21研究所</t>
        </is>
      </c>
      <c r="I5" s="18" t="inlineStr">
        <is>
          <t>惠普</t>
        </is>
      </c>
      <c r="J5" s="20">
        <f>IF(OR(F5/$F$73&gt;0.05,D5/$D$73&gt;0.1),"优",IF(F5/$F$73&lt;0.001,"差","中等"))</f>
        <v/>
      </c>
    </row>
    <row r="6" ht="20.1" customFormat="1" customHeight="1" s="7">
      <c r="A6" s="15" t="n">
        <v>4</v>
      </c>
      <c r="B6" s="13" t="inlineStr">
        <is>
          <t>2017-12-6</t>
        </is>
      </c>
      <c r="C6" s="13" t="inlineStr">
        <is>
          <t>TP-LINK交换设备TL-SG1008+</t>
        </is>
      </c>
      <c r="D6" s="15" t="n">
        <v>2</v>
      </c>
      <c r="E6" s="14">
        <f>VLOOKUP(C6,产品价格表!$A:$B,2,FALSE)</f>
        <v/>
      </c>
      <c r="F6" s="30">
        <f>D6*E6</f>
        <v/>
      </c>
      <c r="G6" s="14" t="inlineStr">
        <is>
          <t>D企业</t>
        </is>
      </c>
      <c r="H6" s="14" t="inlineStr">
        <is>
          <t>北京A3大学</t>
        </is>
      </c>
      <c r="I6" s="18" t="inlineStr">
        <is>
          <t>TP-LINK</t>
        </is>
      </c>
      <c r="J6" s="20">
        <f>IF(OR(F6/$F$73&gt;0.05,D6/$D$73&gt;0.1),"优",IF(F6/$F$73&lt;0.001,"差","中等"))</f>
        <v/>
      </c>
    </row>
    <row r="7" ht="20.1" customFormat="1" customHeight="1" s="7">
      <c r="A7" s="15" t="n">
        <v>5</v>
      </c>
      <c r="B7" s="13" t="inlineStr">
        <is>
          <t>2017-11-15</t>
        </is>
      </c>
      <c r="C7" s="13" t="inlineStr">
        <is>
          <t>希捷（seagate） 6TB3.5寸NAS级SATA</t>
        </is>
      </c>
      <c r="D7" s="15" t="n">
        <v>4</v>
      </c>
      <c r="E7" s="14">
        <f>VLOOKUP(C7,产品价格表!$A:$B,2,FALSE)</f>
        <v/>
      </c>
      <c r="F7" s="30">
        <f>D7*E7</f>
        <v/>
      </c>
      <c r="G7" s="14" t="inlineStr">
        <is>
          <t>C企业</t>
        </is>
      </c>
      <c r="H7" s="14" t="inlineStr">
        <is>
          <t>北京A5中心</t>
        </is>
      </c>
      <c r="I7" s="18" t="inlineStr">
        <is>
          <t>希捷</t>
        </is>
      </c>
      <c r="J7" s="20">
        <f>IF(OR(F7/$F$73&gt;0.05,D7/$D$73&gt;0.1),"优",IF(F7/$F$73&lt;0.001,"差","中等"))</f>
        <v/>
      </c>
    </row>
    <row r="8" ht="20.1" customFormat="1" customHeight="1" s="7">
      <c r="A8" s="15" t="n">
        <v>6</v>
      </c>
      <c r="B8" s="13" t="inlineStr">
        <is>
          <t>2017-11-17</t>
        </is>
      </c>
      <c r="C8" s="13" t="inlineStr">
        <is>
          <t>KINGSTON 金士顿 DT 100G3 32GB USB3.0 U盘</t>
        </is>
      </c>
      <c r="D8" s="15" t="n">
        <v>5</v>
      </c>
      <c r="E8" s="14">
        <f>VLOOKUP(C8,产品价格表!$A:$B,2,FALSE)</f>
        <v/>
      </c>
      <c r="F8" s="30">
        <f>D8*E8</f>
        <v/>
      </c>
      <c r="G8" s="14" t="inlineStr">
        <is>
          <t>B企业</t>
        </is>
      </c>
      <c r="H8" s="14" t="inlineStr">
        <is>
          <t>北京A12学区</t>
        </is>
      </c>
      <c r="I8" s="18" t="inlineStr">
        <is>
          <t>金士顿</t>
        </is>
      </c>
      <c r="J8" s="20">
        <f>IF(OR(F8/$F$73&gt;0.05,D8/$D$73&gt;0.1),"优",IF(F8/$F$73&lt;0.001,"差","中等"))</f>
        <v/>
      </c>
    </row>
    <row r="9" ht="20.1" customFormat="1" customHeight="1" s="7">
      <c r="A9" s="15" t="n">
        <v>7</v>
      </c>
      <c r="B9" s="13" t="inlineStr">
        <is>
          <t>2017-11-14</t>
        </is>
      </c>
      <c r="C9" s="13" t="inlineStr">
        <is>
          <t>莱盛（laser）LS-88A 硒鼓</t>
        </is>
      </c>
      <c r="D9" s="15" t="n">
        <v>2</v>
      </c>
      <c r="E9" s="14">
        <f>VLOOKUP(C9,产品价格表!$A:$B,2,FALSE)</f>
        <v/>
      </c>
      <c r="F9" s="30">
        <f>D9*E9</f>
        <v/>
      </c>
      <c r="G9" s="16" t="inlineStr">
        <is>
          <t>E企业</t>
        </is>
      </c>
      <c r="H9" s="14" t="inlineStr">
        <is>
          <t>北京A24学院</t>
        </is>
      </c>
      <c r="I9" s="18" t="inlineStr">
        <is>
          <t>莱盛光标</t>
        </is>
      </c>
      <c r="J9" s="20">
        <f>IF(OR(F9/$F$73&gt;0.05,D9/$D$73&gt;0.1),"优",IF(F9/$F$73&lt;0.001,"差","中等"))</f>
        <v/>
      </c>
    </row>
    <row r="10" ht="20.1" customFormat="1" customHeight="1" s="7">
      <c r="A10" s="15" t="n">
        <v>8</v>
      </c>
      <c r="B10" s="13" t="inlineStr">
        <is>
          <t>2017-11-13</t>
        </is>
      </c>
      <c r="C10" s="13" t="inlineStr">
        <is>
          <t>神龙灭火器-手提式灭火器MFZ/ABC5</t>
        </is>
      </c>
      <c r="D10" s="15" t="n">
        <v>30</v>
      </c>
      <c r="E10" s="14">
        <f>VLOOKUP(C10,产品价格表!$A:$B,2,FALSE)</f>
        <v/>
      </c>
      <c r="F10" s="30">
        <f>D10*E10</f>
        <v/>
      </c>
      <c r="G10" s="14" t="inlineStr">
        <is>
          <t>D企业</t>
        </is>
      </c>
      <c r="H10" s="14" t="inlineStr">
        <is>
          <t>北京A18办公室</t>
        </is>
      </c>
      <c r="I10" s="18" t="inlineStr">
        <is>
          <t>神龙</t>
        </is>
      </c>
      <c r="J10" s="20">
        <f>IF(OR(F10/$F$73&gt;0.05,D10/$D$73&gt;0.1),"优",IF(F10/$F$73&lt;0.001,"差","中等"))</f>
        <v/>
      </c>
    </row>
    <row r="11" ht="20.1" customFormat="1" customHeight="1" s="7">
      <c r="A11" s="15" t="n">
        <v>9</v>
      </c>
      <c r="B11" s="13" t="inlineStr">
        <is>
          <t>2017-11-3</t>
        </is>
      </c>
      <c r="C11" s="13" t="inlineStr">
        <is>
          <t>西部数据（WD 2TB 2.5英寸  移动硬盘 WDBYFT0020BBK-CESN</t>
        </is>
      </c>
      <c r="D11" s="15" t="n">
        <v>2</v>
      </c>
      <c r="E11" s="14">
        <f>VLOOKUP(C11,产品价格表!$A:$B,2,FALSE)</f>
        <v/>
      </c>
      <c r="F11" s="30">
        <f>D11*E11</f>
        <v/>
      </c>
      <c r="G11" s="14" t="inlineStr">
        <is>
          <t>C企业</t>
        </is>
      </c>
      <c r="H11" s="14" t="inlineStr">
        <is>
          <t>北京A10管理处</t>
        </is>
      </c>
      <c r="I11" s="18" t="inlineStr">
        <is>
          <t>西部数据</t>
        </is>
      </c>
      <c r="J11" s="20">
        <f>IF(OR(F11/$F$73&gt;0.05,D11/$D$73&gt;0.1),"优",IF(F11/$F$73&lt;0.001,"差","中等"))</f>
        <v/>
      </c>
    </row>
    <row r="12" ht="20.1" customFormat="1" customHeight="1" s="7">
      <c r="A12" s="15" t="n">
        <v>10</v>
      </c>
      <c r="B12" s="13" t="inlineStr">
        <is>
          <t>2017-11-2</t>
        </is>
      </c>
      <c r="C12" s="13" t="inlineStr">
        <is>
          <t>惠普 原厂耗材 78A</t>
        </is>
      </c>
      <c r="D12" s="15" t="n">
        <v>4</v>
      </c>
      <c r="E12" s="14">
        <f>VLOOKUP(C12,产品价格表!$A:$B,2,FALSE)</f>
        <v/>
      </c>
      <c r="F12" s="30">
        <f>D12*E12</f>
        <v/>
      </c>
      <c r="G12" s="14" t="inlineStr">
        <is>
          <t>A企业</t>
        </is>
      </c>
      <c r="H12" s="14" t="inlineStr">
        <is>
          <t>北京A20大队</t>
        </is>
      </c>
      <c r="I12" s="18" t="inlineStr">
        <is>
          <t>惠普</t>
        </is>
      </c>
      <c r="J12" s="20">
        <f>IF(OR(F12/$F$73&gt;0.05,D12/$D$73&gt;0.1),"优",IF(F12/$F$73&lt;0.001,"差","中等"))</f>
        <v/>
      </c>
    </row>
    <row r="13" ht="20.1" customFormat="1" customHeight="1" s="7">
      <c r="A13" s="15" t="n">
        <v>11</v>
      </c>
      <c r="B13" s="13" t="inlineStr">
        <is>
          <t>2017-10-17</t>
        </is>
      </c>
      <c r="C13" s="13" t="inlineStr">
        <is>
          <t>格力空调KFR-32GW/(32570)Aa-2</t>
        </is>
      </c>
      <c r="D13" s="15" t="n">
        <v>3</v>
      </c>
      <c r="E13" s="14">
        <f>VLOOKUP(C13,产品价格表!$A:$B,2,FALSE)</f>
        <v/>
      </c>
      <c r="F13" s="30">
        <f>D13*E13</f>
        <v/>
      </c>
      <c r="G13" s="14" t="inlineStr">
        <is>
          <t>D企业</t>
        </is>
      </c>
      <c r="H13" s="14" t="inlineStr">
        <is>
          <t>北京A5中心</t>
        </is>
      </c>
      <c r="I13" s="18" t="inlineStr">
        <is>
          <t>格力</t>
        </is>
      </c>
      <c r="J13" s="20">
        <f>IF(OR(F13/$F$73&gt;0.05,D13/$D$73&gt;0.1),"优",IF(F13/$F$73&lt;0.001,"差","中等"))</f>
        <v/>
      </c>
    </row>
    <row r="14" ht="20.1" customFormat="1" customHeight="1" s="7">
      <c r="A14" s="15" t="n">
        <v>12</v>
      </c>
      <c r="B14" s="13" t="inlineStr">
        <is>
          <t>2017-10-10</t>
        </is>
      </c>
      <c r="C14" s="13" t="inlineStr">
        <is>
          <t>NPG-51</t>
        </is>
      </c>
      <c r="D14" s="15" t="n">
        <v>7</v>
      </c>
      <c r="E14" s="14">
        <f>VLOOKUP(C14,产品价格表!$A:$B,2,FALSE)</f>
        <v/>
      </c>
      <c r="F14" s="30">
        <f>D14*E14</f>
        <v/>
      </c>
      <c r="G14" s="14" t="inlineStr">
        <is>
          <t>F企业</t>
        </is>
      </c>
      <c r="H14" s="14" t="inlineStr">
        <is>
          <t>北京A22局</t>
        </is>
      </c>
      <c r="I14" s="18" t="inlineStr">
        <is>
          <t>佳能</t>
        </is>
      </c>
      <c r="J14" s="20">
        <f>IF(OR(F14/$F$73&gt;0.05,D14/$D$73&gt;0.1),"优",IF(F14/$F$73&lt;0.001,"差","中等"))</f>
        <v/>
      </c>
    </row>
    <row r="15" ht="20.1" customFormat="1" customHeight="1" s="7">
      <c r="A15" s="15" t="n">
        <v>13</v>
      </c>
      <c r="B15" s="13" t="inlineStr">
        <is>
          <t>2017-9-11</t>
        </is>
      </c>
      <c r="C15" s="13" t="inlineStr">
        <is>
          <t>施乐捷印 500张70/80g A4/A3复印纸</t>
        </is>
      </c>
      <c r="D15" s="15" t="n">
        <v>500</v>
      </c>
      <c r="E15" s="14">
        <f>VLOOKUP(C15,产品价格表!$A:$B,2,FALSE)</f>
        <v/>
      </c>
      <c r="F15" s="30">
        <f>D15*E15</f>
        <v/>
      </c>
      <c r="G15" s="14" t="inlineStr">
        <is>
          <t>G企业</t>
        </is>
      </c>
      <c r="H15" s="14" t="inlineStr">
        <is>
          <t>北京A17中心</t>
        </is>
      </c>
      <c r="I15" s="18" t="inlineStr">
        <is>
          <t>施乐</t>
        </is>
      </c>
      <c r="J15" s="20">
        <f>IF(OR(F15/$F$73&gt;0.05,D15/$D$73&gt;0.1),"优",IF(F15/$F$73&lt;0.001,"差","中等"))</f>
        <v/>
      </c>
    </row>
    <row r="16" ht="20.1" customFormat="1" customHeight="1" s="7">
      <c r="A16" s="15" t="n">
        <v>14</v>
      </c>
      <c r="B16" s="13" t="inlineStr">
        <is>
          <t>2017-9-11</t>
        </is>
      </c>
      <c r="C16" s="13" t="inlineStr">
        <is>
          <t>惠普（HP）CE313A 红色硒鼓 126A</t>
        </is>
      </c>
      <c r="D16" s="15" t="n">
        <v>25</v>
      </c>
      <c r="E16" s="14">
        <f>VLOOKUP(C16,产品价格表!$A:$B,2,FALSE)</f>
        <v/>
      </c>
      <c r="F16" s="30">
        <f>D16*E16</f>
        <v/>
      </c>
      <c r="G16" s="14" t="inlineStr">
        <is>
          <t>G企业</t>
        </is>
      </c>
      <c r="H16" s="14" t="inlineStr">
        <is>
          <t>北京A17中心</t>
        </is>
      </c>
      <c r="I16" s="18" t="inlineStr">
        <is>
          <t>惠普</t>
        </is>
      </c>
      <c r="J16" s="20">
        <f>IF(OR(F16/$F$73&gt;0.05,D16/$D$73&gt;0.1),"优",IF(F16/$F$73&lt;0.001,"差","中等"))</f>
        <v/>
      </c>
    </row>
    <row r="17" ht="20.1" customFormat="1" customHeight="1" s="7">
      <c r="A17" s="15" t="n">
        <v>15</v>
      </c>
      <c r="B17" s="13" t="inlineStr">
        <is>
          <t>2017-9-7</t>
        </is>
      </c>
      <c r="C17" s="13" t="inlineStr">
        <is>
          <t>硒鼓 318 Y</t>
        </is>
      </c>
      <c r="D17" s="15" t="n">
        <v>2</v>
      </c>
      <c r="E17" s="14">
        <f>VLOOKUP(C17,产品价格表!$A:$B,2,FALSE)</f>
        <v/>
      </c>
      <c r="F17" s="30">
        <f>D17*E17</f>
        <v/>
      </c>
      <c r="G17" s="14" t="inlineStr">
        <is>
          <t>C企业</t>
        </is>
      </c>
      <c r="H17" s="14" t="inlineStr">
        <is>
          <t>北京A11机关</t>
        </is>
      </c>
      <c r="I17" s="18" t="inlineStr">
        <is>
          <t>佳能</t>
        </is>
      </c>
      <c r="J17" s="20">
        <f>IF(OR(F17/$F$73&gt;0.05,D17/$D$73&gt;0.1),"优",IF(F17/$F$73&lt;0.001,"差","中等"))</f>
        <v/>
      </c>
    </row>
    <row r="18" ht="20.1" customFormat="1" customHeight="1" s="7">
      <c r="A18" s="15" t="n">
        <v>16</v>
      </c>
      <c r="B18" s="13" t="inlineStr">
        <is>
          <t>2017-9-6</t>
        </is>
      </c>
      <c r="C18" s="13" t="inlineStr">
        <is>
          <t>希捷Backup Plus睿品2.5英寸 USB3.0 (STDR1000300) 黑色 1T</t>
        </is>
      </c>
      <c r="D18" s="15" t="n">
        <v>1</v>
      </c>
      <c r="E18" s="14">
        <f>VLOOKUP(C18,产品价格表!$A:$B,2,FALSE)</f>
        <v/>
      </c>
      <c r="F18" s="30">
        <f>D18*E18</f>
        <v/>
      </c>
      <c r="G18" s="14" t="inlineStr">
        <is>
          <t>C企业</t>
        </is>
      </c>
      <c r="H18" s="14" t="inlineStr">
        <is>
          <t>北京A11机关</t>
        </is>
      </c>
      <c r="I18" s="18" t="inlineStr">
        <is>
          <t>希捷</t>
        </is>
      </c>
      <c r="J18" s="20">
        <f>IF(OR(F18/$F$73&gt;0.05,D18/$D$73&gt;0.1),"优",IF(F18/$F$73&lt;0.001,"差","中等"))</f>
        <v/>
      </c>
    </row>
    <row r="19" ht="20.1" customFormat="1" customHeight="1" s="7">
      <c r="A19" s="15" t="n">
        <v>17</v>
      </c>
      <c r="B19" s="13" t="inlineStr">
        <is>
          <t>2017-8-30</t>
        </is>
      </c>
      <c r="C19" s="13" t="inlineStr">
        <is>
          <t>MFZ/ABC5kg</t>
        </is>
      </c>
      <c r="D19" s="15" t="n">
        <v>10</v>
      </c>
      <c r="E19" s="14">
        <f>VLOOKUP(C19,产品价格表!$A:$B,2,FALSE)</f>
        <v/>
      </c>
      <c r="F19" s="30">
        <f>D19*E19</f>
        <v/>
      </c>
      <c r="G19" s="14" t="inlineStr">
        <is>
          <t>F企业</t>
        </is>
      </c>
      <c r="H19" s="14" t="inlineStr">
        <is>
          <t>北京A13局</t>
        </is>
      </c>
      <c r="I19" s="18" t="inlineStr">
        <is>
          <t>神龙</t>
        </is>
      </c>
      <c r="J19" s="20">
        <f>IF(OR(F19/$F$73&gt;0.05,D19/$D$73&gt;0.1),"优",IF(F19/$F$73&lt;0.001,"差","中等"))</f>
        <v/>
      </c>
    </row>
    <row r="20" ht="20.1" customFormat="1" customHeight="1" s="7">
      <c r="A20" s="15" t="n">
        <v>18</v>
      </c>
      <c r="B20" s="13" t="inlineStr">
        <is>
          <t>2017-6-28</t>
        </is>
      </c>
      <c r="C20" s="13" t="inlineStr">
        <is>
          <t>微软 surface book I7/16G内存/1TB硬盘/13.5寸触摸屏/GTX965显卡</t>
        </is>
      </c>
      <c r="D20" s="15" t="n">
        <v>1</v>
      </c>
      <c r="E20" s="14">
        <f>VLOOKUP(C20,产品价格表!$A:$B,2,FALSE)</f>
        <v/>
      </c>
      <c r="F20" s="30">
        <f>D20*E20</f>
        <v/>
      </c>
      <c r="G20" s="14" t="inlineStr">
        <is>
          <t>C企业</t>
        </is>
      </c>
      <c r="H20" s="14" t="inlineStr">
        <is>
          <t>北京A2大学</t>
        </is>
      </c>
      <c r="I20" s="18" t="inlineStr">
        <is>
          <t>微软</t>
        </is>
      </c>
      <c r="J20" s="20">
        <f>IF(OR(F20/$F$73&gt;0.05,D20/$D$73&gt;0.1),"优",IF(F20/$F$73&lt;0.001,"差","中等"))</f>
        <v/>
      </c>
    </row>
    <row r="21" ht="20.1" customFormat="1" customHeight="1" s="7">
      <c r="A21" s="15" t="n">
        <v>19</v>
      </c>
      <c r="B21" s="13" t="inlineStr">
        <is>
          <t>2017-6-26</t>
        </is>
      </c>
      <c r="C21" s="13" t="inlineStr">
        <is>
          <t>惠普 CF300A</t>
        </is>
      </c>
      <c r="D21" s="15" t="n">
        <v>1</v>
      </c>
      <c r="E21" s="14">
        <f>VLOOKUP(C21,产品价格表!$A:$B,2,FALSE)</f>
        <v/>
      </c>
      <c r="F21" s="30">
        <f>D21*E21</f>
        <v/>
      </c>
      <c r="G21" s="14" t="inlineStr">
        <is>
          <t>C企业</t>
        </is>
      </c>
      <c r="H21" s="14" t="inlineStr">
        <is>
          <t>北京A23办事处</t>
        </is>
      </c>
      <c r="I21" s="18" t="inlineStr">
        <is>
          <t>惠普</t>
        </is>
      </c>
      <c r="J21" s="20">
        <f>IF(OR(F21/$F$73&gt;0.05,D21/$D$73&gt;0.1),"优",IF(F21/$F$73&lt;0.001,"差","中等"))</f>
        <v/>
      </c>
    </row>
    <row r="22" ht="20.1" customFormat="1" customHeight="1" s="7">
      <c r="A22" s="15" t="n">
        <v>20</v>
      </c>
      <c r="B22" s="13" t="inlineStr">
        <is>
          <t>2017-6-19</t>
        </is>
      </c>
      <c r="C22" s="13" t="inlineStr">
        <is>
          <t>索尼（SONY）ICD-SX2000 数码录音棒</t>
        </is>
      </c>
      <c r="D22" s="15" t="n">
        <v>2</v>
      </c>
      <c r="E22" s="14">
        <f>VLOOKUP(C22,产品价格表!$A:$B,2,FALSE)</f>
        <v/>
      </c>
      <c r="F22" s="30">
        <f>D22*E22</f>
        <v/>
      </c>
      <c r="G22" s="14" t="inlineStr">
        <is>
          <t>H企业</t>
        </is>
      </c>
      <c r="H22" s="14" t="inlineStr">
        <is>
          <t>北京A12学区</t>
        </is>
      </c>
      <c r="I22" s="18" t="inlineStr">
        <is>
          <t>索尼</t>
        </is>
      </c>
      <c r="J22" s="20">
        <f>IF(OR(F22/$F$73&gt;0.05,D22/$D$73&gt;0.1),"优",IF(F22/$F$73&lt;0.001,"差","中等"))</f>
        <v/>
      </c>
    </row>
    <row r="23" ht="20.1" customFormat="1" customHeight="1" s="7">
      <c r="A23" s="15" t="n">
        <v>21</v>
      </c>
      <c r="B23" s="13" t="inlineStr">
        <is>
          <t>2017-6-19</t>
        </is>
      </c>
      <c r="C23" s="13" t="inlineStr">
        <is>
          <t>五星红鸟 70gA4</t>
        </is>
      </c>
      <c r="D23" s="15" t="n">
        <v>125</v>
      </c>
      <c r="E23" s="14">
        <f>VLOOKUP(C23,产品价格表!$A:$B,2,FALSE)</f>
        <v/>
      </c>
      <c r="F23" s="30">
        <f>D23*E23</f>
        <v/>
      </c>
      <c r="G23" s="14" t="inlineStr">
        <is>
          <t>C企业</t>
        </is>
      </c>
      <c r="H23" s="14" t="inlineStr">
        <is>
          <t>北京A11机关</t>
        </is>
      </c>
      <c r="I23" s="18" t="inlineStr">
        <is>
          <t>五星红鸟</t>
        </is>
      </c>
      <c r="J23" s="20">
        <f>IF(OR(F23/$F$73&gt;0.05,D23/$D$73&gt;0.1),"优",IF(F23/$F$73&lt;0.001,"差","中等"))</f>
        <v/>
      </c>
    </row>
    <row r="24" ht="20.1" customFormat="1" customHeight="1" s="7">
      <c r="A24" s="15" t="n">
        <v>22</v>
      </c>
      <c r="B24" s="13" t="inlineStr">
        <is>
          <t>2017-6-16</t>
        </is>
      </c>
      <c r="C24" s="13" t="inlineStr">
        <is>
          <t>金旗舰 A3 80g/m2</t>
        </is>
      </c>
      <c r="D24" s="15" t="n">
        <v>50</v>
      </c>
      <c r="E24" s="14">
        <f>VLOOKUP(C24,产品价格表!$A:$B,2,FALSE)</f>
        <v/>
      </c>
      <c r="F24" s="30">
        <f>D24*E24</f>
        <v/>
      </c>
      <c r="G24" s="14" t="inlineStr">
        <is>
          <t>B企业</t>
        </is>
      </c>
      <c r="H24" s="14" t="inlineStr">
        <is>
          <t>北京A19研究院</t>
        </is>
      </c>
      <c r="I24" s="18" t="inlineStr">
        <is>
          <t>金旗舰</t>
        </is>
      </c>
      <c r="J24" s="20">
        <f>IF(OR(F24/$F$73&gt;0.05,D24/$D$73&gt;0.1),"优",IF(F24/$F$73&lt;0.001,"差","中等"))</f>
        <v/>
      </c>
    </row>
    <row r="25" ht="20.1" customFormat="1" customHeight="1" s="7">
      <c r="A25" s="15" t="n">
        <v>23</v>
      </c>
      <c r="B25" s="13" t="inlineStr">
        <is>
          <t>2017-6-15</t>
        </is>
      </c>
      <c r="C25" s="13" t="inlineStr">
        <is>
          <t>东芝 2050C</t>
        </is>
      </c>
      <c r="D25" s="15" t="n">
        <v>2</v>
      </c>
      <c r="E25" s="14">
        <f>VLOOKUP(C25,产品价格表!$A:$B,2,FALSE)</f>
        <v/>
      </c>
      <c r="F25" s="30">
        <f>D25*E25</f>
        <v/>
      </c>
      <c r="G25" s="14" t="inlineStr">
        <is>
          <t>C企业</t>
        </is>
      </c>
      <c r="H25" s="14" t="inlineStr">
        <is>
          <t>北京A8学院</t>
        </is>
      </c>
      <c r="I25" s="18" t="inlineStr">
        <is>
          <t>东芝</t>
        </is>
      </c>
      <c r="J25" s="20">
        <f>IF(OR(F25/$F$73&gt;0.05,D25/$D$73&gt;0.1),"优",IF(F25/$F$73&lt;0.001,"差","中等"))</f>
        <v/>
      </c>
    </row>
    <row r="26" ht="20.1" customFormat="1" customHeight="1" s="7">
      <c r="A26" s="15" t="n">
        <v>24</v>
      </c>
      <c r="B26" s="13" t="inlineStr">
        <is>
          <t>2017-6-15</t>
        </is>
      </c>
      <c r="C26" s="13" t="inlineStr">
        <is>
          <t>闪迪 SANDISK 至尊高速酷豆 CZ43 USB 3.0 U盘 32GB</t>
        </is>
      </c>
      <c r="D26" s="15" t="n">
        <v>8</v>
      </c>
      <c r="E26" s="14">
        <f>VLOOKUP(C26,产品价格表!$A:$B,2,FALSE)</f>
        <v/>
      </c>
      <c r="F26" s="30">
        <f>D26*E26</f>
        <v/>
      </c>
      <c r="G26" s="14" t="inlineStr">
        <is>
          <t>H企业</t>
        </is>
      </c>
      <c r="H26" s="14" t="inlineStr">
        <is>
          <t>北京A8学院</t>
        </is>
      </c>
      <c r="I26" s="18" t="inlineStr">
        <is>
          <t>闪迪</t>
        </is>
      </c>
      <c r="J26" s="20">
        <f>IF(OR(F26/$F$73&gt;0.05,D26/$D$73&gt;0.1),"优",IF(F26/$F$73&lt;0.001,"差","中等"))</f>
        <v/>
      </c>
    </row>
    <row r="27" ht="20.1" customFormat="1" customHeight="1" s="7">
      <c r="A27" s="15" t="n">
        <v>25</v>
      </c>
      <c r="B27" s="13" t="inlineStr">
        <is>
          <t>2017-6-6</t>
        </is>
      </c>
      <c r="C27" s="13" t="inlineStr">
        <is>
          <t>aigo爱国者无线移动硬盘 2T</t>
        </is>
      </c>
      <c r="D27" s="15" t="n">
        <v>1</v>
      </c>
      <c r="E27" s="14">
        <f>VLOOKUP(C27,产品价格表!$A:$B,2,FALSE)</f>
        <v/>
      </c>
      <c r="F27" s="30">
        <f>D27*E27</f>
        <v/>
      </c>
      <c r="G27" s="14" t="inlineStr">
        <is>
          <t>C企业</t>
        </is>
      </c>
      <c r="H27" s="14" t="inlineStr">
        <is>
          <t>北京A1大学</t>
        </is>
      </c>
      <c r="I27" s="18" t="inlineStr">
        <is>
          <t>爱国者</t>
        </is>
      </c>
      <c r="J27" s="20">
        <f>IF(OR(F27/$F$73&gt;0.05,D27/$D$73&gt;0.1),"优",IF(F27/$F$73&lt;0.001,"差","中等"))</f>
        <v/>
      </c>
    </row>
    <row r="28" ht="20.1" customFormat="1" customHeight="1" s="7">
      <c r="A28" s="15" t="n">
        <v>26</v>
      </c>
      <c r="B28" s="13" t="inlineStr">
        <is>
          <t>2017-5-15</t>
        </is>
      </c>
      <c r="C28" s="13" t="inlineStr">
        <is>
          <t>针式打印机</t>
        </is>
      </c>
      <c r="D28" s="15" t="n">
        <v>2</v>
      </c>
      <c r="E28" s="14">
        <f>VLOOKUP(C28,产品价格表!$A:$B,2,FALSE)</f>
        <v/>
      </c>
      <c r="F28" s="30">
        <f>D28*E28</f>
        <v/>
      </c>
      <c r="G28" s="14" t="inlineStr">
        <is>
          <t>I企业</t>
        </is>
      </c>
      <c r="H28" s="14" t="inlineStr">
        <is>
          <t>北京A10管理处</t>
        </is>
      </c>
      <c r="I28" s="18" t="inlineStr">
        <is>
          <t>爱普生</t>
        </is>
      </c>
      <c r="J28" s="20">
        <f>IF(OR(F28/$F$73&gt;0.05,D28/$D$73&gt;0.1),"优",IF(F28/$F$73&lt;0.001,"差","中等"))</f>
        <v/>
      </c>
    </row>
    <row r="29" ht="20.1" customFormat="1" customHeight="1" s="7">
      <c r="A29" s="15" t="n">
        <v>27</v>
      </c>
      <c r="B29" s="13" t="inlineStr">
        <is>
          <t>2017-5-9</t>
        </is>
      </c>
      <c r="C29" s="13" t="inlineStr">
        <is>
          <t>西部数据 WD ELEMENTS 新元素系列 2.5英寸 USB3.0 500G</t>
        </is>
      </c>
      <c r="D29" s="15" t="n">
        <v>1</v>
      </c>
      <c r="E29" s="14">
        <f>VLOOKUP(C29,产品价格表!$A:$B,2,FALSE)</f>
        <v/>
      </c>
      <c r="F29" s="30">
        <f>D29*E29</f>
        <v/>
      </c>
      <c r="G29" s="14" t="inlineStr">
        <is>
          <t>C企业</t>
        </is>
      </c>
      <c r="H29" s="14" t="inlineStr">
        <is>
          <t>北京A6学院</t>
        </is>
      </c>
      <c r="I29" s="18" t="inlineStr">
        <is>
          <t>西部数据</t>
        </is>
      </c>
      <c r="J29" s="20">
        <f>IF(OR(F29/$F$73&gt;0.05,D29/$D$73&gt;0.1),"优",IF(F29/$F$73&lt;0.001,"差","中等"))</f>
        <v/>
      </c>
    </row>
    <row r="30" ht="20.1" customFormat="1" customHeight="1" s="7">
      <c r="A30" s="15" t="n">
        <v>28</v>
      </c>
      <c r="B30" s="13" t="inlineStr">
        <is>
          <t>2017-3-27</t>
        </is>
      </c>
      <c r="C30" s="13" t="inlineStr">
        <is>
          <t>浪潮 NF8465M4 机架式服务器</t>
        </is>
      </c>
      <c r="D30" s="15" t="n">
        <v>1</v>
      </c>
      <c r="E30" s="14">
        <f>VLOOKUP(C30,产品价格表!$A:$B,2,FALSE)</f>
        <v/>
      </c>
      <c r="F30" s="30">
        <f>D30*E30</f>
        <v/>
      </c>
      <c r="G30" s="14" t="inlineStr">
        <is>
          <t>A企业</t>
        </is>
      </c>
      <c r="H30" s="14" t="inlineStr">
        <is>
          <t>北京A13局</t>
        </is>
      </c>
      <c r="I30" s="18" t="inlineStr">
        <is>
          <t>浪潮</t>
        </is>
      </c>
      <c r="J30" s="20">
        <f>IF(OR(F30/$F$73&gt;0.05,D30/$D$73&gt;0.1),"优",IF(F30/$F$73&lt;0.001,"差","中等"))</f>
        <v/>
      </c>
    </row>
    <row r="31" ht="20.1" customFormat="1" customHeight="1" s="7">
      <c r="A31" s="15" t="n">
        <v>29</v>
      </c>
      <c r="B31" s="13" t="inlineStr">
        <is>
          <t>2017-3-23</t>
        </is>
      </c>
      <c r="C31" s="13" t="inlineStr">
        <is>
          <t>酷刃U盘</t>
        </is>
      </c>
      <c r="D31" s="15" t="n">
        <v>10</v>
      </c>
      <c r="E31" s="14">
        <f>VLOOKUP(C31,产品价格表!$A:$B,2,FALSE)</f>
        <v/>
      </c>
      <c r="F31" s="30">
        <f>D31*E31</f>
        <v/>
      </c>
      <c r="G31" s="16" t="inlineStr">
        <is>
          <t>I企业</t>
        </is>
      </c>
      <c r="H31" s="14" t="inlineStr">
        <is>
          <t>北京A10管理处</t>
        </is>
      </c>
      <c r="I31" s="18" t="inlineStr">
        <is>
          <t>闪迪</t>
        </is>
      </c>
      <c r="J31" s="20">
        <f>IF(OR(F31/$F$73&gt;0.05,D31/$D$73&gt;0.1),"优",IF(F31/$F$73&lt;0.001,"差","中等"))</f>
        <v/>
      </c>
    </row>
    <row r="32" ht="20.1" customFormat="1" customHeight="1" s="7">
      <c r="A32" s="15" t="n">
        <v>30</v>
      </c>
      <c r="B32" s="13" t="inlineStr">
        <is>
          <t>2017-2-14</t>
        </is>
      </c>
      <c r="C32" s="13" t="inlineStr">
        <is>
          <t>莱盛光标LS-78A</t>
        </is>
      </c>
      <c r="D32" s="15" t="n">
        <v>12</v>
      </c>
      <c r="E32" s="14">
        <f>VLOOKUP(C32,产品价格表!$A:$B,2,FALSE)</f>
        <v/>
      </c>
      <c r="F32" s="30">
        <f>D32*E32</f>
        <v/>
      </c>
      <c r="G32" s="14" t="inlineStr">
        <is>
          <t>H企业</t>
        </is>
      </c>
      <c r="H32" s="14" t="inlineStr">
        <is>
          <t>北京A22局</t>
        </is>
      </c>
      <c r="I32" s="18" t="inlineStr">
        <is>
          <t>莱盛光标</t>
        </is>
      </c>
      <c r="J32" s="20">
        <f>IF(OR(F32/$F$73&gt;0.05,D32/$D$73&gt;0.1),"优",IF(F32/$F$73&lt;0.001,"差","中等"))</f>
        <v/>
      </c>
    </row>
    <row r="33" ht="20.1" customFormat="1" customHeight="1" s="7">
      <c r="A33" s="15" t="n">
        <v>31</v>
      </c>
      <c r="B33" s="13" t="inlineStr">
        <is>
          <t>2017-1-12</t>
        </is>
      </c>
      <c r="C33" s="13" t="inlineStr">
        <is>
          <t>惠普 原厂耗材 78A</t>
        </is>
      </c>
      <c r="D33" s="15" t="n">
        <v>2</v>
      </c>
      <c r="E33" s="14">
        <f>VLOOKUP(C33,产品价格表!$A:$B,2,FALSE)</f>
        <v/>
      </c>
      <c r="F33" s="30">
        <f>D33*E33</f>
        <v/>
      </c>
      <c r="G33" s="14" t="inlineStr">
        <is>
          <t>C企业</t>
        </is>
      </c>
      <c r="H33" s="14" t="inlineStr">
        <is>
          <t>北京A6学院</t>
        </is>
      </c>
      <c r="I33" s="18" t="inlineStr">
        <is>
          <t>惠普</t>
        </is>
      </c>
      <c r="J33" s="20">
        <f>IF(OR(F33/$F$73&gt;0.05,D33/$D$73&gt;0.1),"优",IF(F33/$F$73&lt;0.001,"差","中等"))</f>
        <v/>
      </c>
    </row>
    <row r="34" ht="20.1" customFormat="1" customHeight="1" s="7">
      <c r="A34" s="15" t="n">
        <v>32</v>
      </c>
      <c r="B34" s="13" t="inlineStr">
        <is>
          <t>2017-12-19</t>
        </is>
      </c>
      <c r="C34" s="13" t="inlineStr">
        <is>
          <t>广丰 LED屏播放控制系统</t>
        </is>
      </c>
      <c r="D34" s="15" t="n">
        <v>1</v>
      </c>
      <c r="E34" s="14">
        <f>VLOOKUP(C34,产品价格表!$A:$B,2,FALSE)</f>
        <v/>
      </c>
      <c r="F34" s="30">
        <f>D34*E34</f>
        <v/>
      </c>
      <c r="G34" s="14" t="inlineStr">
        <is>
          <t>G企业</t>
        </is>
      </c>
      <c r="H34" s="14" t="inlineStr">
        <is>
          <t>北京A23办事处</t>
        </is>
      </c>
      <c r="I34" s="18" t="inlineStr">
        <is>
          <t>广丰</t>
        </is>
      </c>
      <c r="J34" s="20">
        <f>IF(OR(F34/$F$73&gt;0.05,D34/$D$73&gt;0.1),"优",IF(F34/$F$73&lt;0.001,"差","中等"))</f>
        <v/>
      </c>
    </row>
    <row r="35" ht="20.1" customFormat="1" customHeight="1" s="7">
      <c r="A35" s="15" t="n">
        <v>33</v>
      </c>
      <c r="B35" s="13" t="inlineStr">
        <is>
          <t>2017-12-15</t>
        </is>
      </c>
      <c r="C35" s="13" t="inlineStr">
        <is>
          <t>惠普（HP）CF228A 黑色硒鼓 28A</t>
        </is>
      </c>
      <c r="D35" s="15" t="n">
        <v>1</v>
      </c>
      <c r="E35" s="14">
        <f>VLOOKUP(C35,产品价格表!$A:$B,2,FALSE)</f>
        <v/>
      </c>
      <c r="F35" s="30">
        <f>D35*E35</f>
        <v/>
      </c>
      <c r="G35" s="14" t="inlineStr">
        <is>
          <t>G企业</t>
        </is>
      </c>
      <c r="H35" s="14" t="inlineStr">
        <is>
          <t>北京A3大学</t>
        </is>
      </c>
      <c r="I35" s="18" t="inlineStr">
        <is>
          <t>惠普</t>
        </is>
      </c>
      <c r="J35" s="20">
        <f>IF(OR(F35/$F$73&gt;0.05,D35/$D$73&gt;0.1),"优",IF(F35/$F$73&lt;0.001,"差","中等"))</f>
        <v/>
      </c>
    </row>
    <row r="36" ht="20.1" customFormat="1" customHeight="1" s="7">
      <c r="A36" s="15" t="n">
        <v>34</v>
      </c>
      <c r="B36" s="13" t="inlineStr">
        <is>
          <t>2017-12-13</t>
        </is>
      </c>
      <c r="C36" s="13" t="inlineStr">
        <is>
          <t>金士顿U盘DT50 64G USB3.1</t>
        </is>
      </c>
      <c r="D36" s="15" t="n">
        <v>20</v>
      </c>
      <c r="E36" s="14">
        <f>VLOOKUP(C36,产品价格表!$A:$B,2,FALSE)</f>
        <v/>
      </c>
      <c r="F36" s="30">
        <f>D36*E36</f>
        <v/>
      </c>
      <c r="G36" s="14" t="inlineStr">
        <is>
          <t>D企业</t>
        </is>
      </c>
      <c r="H36" s="14" t="inlineStr">
        <is>
          <t>北京A17中心</t>
        </is>
      </c>
      <c r="I36" s="18" t="inlineStr">
        <is>
          <t>金士顿</t>
        </is>
      </c>
      <c r="J36" s="20">
        <f>IF(OR(F36/$F$73&gt;0.05,D36/$D$73&gt;0.1),"优",IF(F36/$F$73&lt;0.001,"差","中等"))</f>
        <v/>
      </c>
    </row>
    <row r="37" ht="20.1" customFormat="1" customHeight="1" s="7">
      <c r="A37" s="15" t="n">
        <v>35</v>
      </c>
      <c r="B37" s="13" t="inlineStr">
        <is>
          <t>2017-12-11</t>
        </is>
      </c>
      <c r="C37" s="13" t="inlineStr">
        <is>
          <t>复印纸 A3 70G 500张/包</t>
        </is>
      </c>
      <c r="D37" s="15" t="n">
        <v>5</v>
      </c>
      <c r="E37" s="14">
        <f>VLOOKUP(C37,产品价格表!$A:$B,2,FALSE)</f>
        <v/>
      </c>
      <c r="F37" s="30">
        <f>D37*E37</f>
        <v/>
      </c>
      <c r="G37" s="14" t="inlineStr">
        <is>
          <t>I企业</t>
        </is>
      </c>
      <c r="H37" s="14" t="inlineStr">
        <is>
          <t>北京A11机关</t>
        </is>
      </c>
      <c r="I37" s="18" t="inlineStr">
        <is>
          <t>金旗舰</t>
        </is>
      </c>
      <c r="J37" s="20">
        <f>IF(OR(F37/$F$73&gt;0.05,D37/$D$73&gt;0.1),"优",IF(F37/$F$73&lt;0.001,"差","中等"))</f>
        <v/>
      </c>
    </row>
    <row r="38" ht="20.1" customFormat="1" customHeight="1" s="7">
      <c r="A38" s="15" t="n">
        <v>36</v>
      </c>
      <c r="B38" s="13" t="inlineStr">
        <is>
          <t>2017-12-7</t>
        </is>
      </c>
      <c r="C38" s="13" t="inlineStr">
        <is>
          <t>金旗舰 A4 80g/m2</t>
        </is>
      </c>
      <c r="D38" s="15" t="n">
        <v>100</v>
      </c>
      <c r="E38" s="14">
        <f>VLOOKUP(C38,产品价格表!$A:$B,2,FALSE)</f>
        <v/>
      </c>
      <c r="F38" s="30">
        <f>D38*E38</f>
        <v/>
      </c>
      <c r="G38" s="14" t="inlineStr">
        <is>
          <t>C企业</t>
        </is>
      </c>
      <c r="H38" s="14" t="inlineStr">
        <is>
          <t>北京A1大学</t>
        </is>
      </c>
      <c r="I38" s="18" t="inlineStr">
        <is>
          <t>金旗舰</t>
        </is>
      </c>
      <c r="J38" s="20">
        <f>IF(OR(F38/$F$73&gt;0.05,D38/$D$73&gt;0.1),"优",IF(F38/$F$73&lt;0.001,"差","中等"))</f>
        <v/>
      </c>
    </row>
    <row r="39" ht="20.1" customFormat="1" customHeight="1" s="7">
      <c r="A39" s="15" t="n">
        <v>37</v>
      </c>
      <c r="B39" s="13" t="inlineStr">
        <is>
          <t>2017-12-4</t>
        </is>
      </c>
      <c r="C39" s="13" t="inlineStr">
        <is>
          <t>STDR2000301</t>
        </is>
      </c>
      <c r="D39" s="15" t="n">
        <v>3</v>
      </c>
      <c r="E39" s="14">
        <f>VLOOKUP(C39,产品价格表!$A:$B,2,FALSE)</f>
        <v/>
      </c>
      <c r="F39" s="30">
        <f>D39*E39</f>
        <v/>
      </c>
      <c r="G39" s="14" t="inlineStr">
        <is>
          <t>F企业</t>
        </is>
      </c>
      <c r="H39" s="14" t="inlineStr">
        <is>
          <t>北京A7大学</t>
        </is>
      </c>
      <c r="I39" s="18" t="inlineStr">
        <is>
          <t>希捷</t>
        </is>
      </c>
      <c r="J39" s="20">
        <f>IF(OR(F39/$F$73&gt;0.05,D39/$D$73&gt;0.1),"优",IF(F39/$F$73&lt;0.001,"差","中等"))</f>
        <v/>
      </c>
    </row>
    <row r="40" ht="20.1" customFormat="1" customHeight="1" s="7">
      <c r="A40" s="15" t="n">
        <v>38</v>
      </c>
      <c r="B40" s="13" t="inlineStr">
        <is>
          <t>2017-11-24</t>
        </is>
      </c>
      <c r="C40" s="13" t="inlineStr">
        <is>
          <t>利市 A3 70g/m2</t>
        </is>
      </c>
      <c r="D40" s="15" t="n">
        <v>60</v>
      </c>
      <c r="E40" s="14">
        <f>VLOOKUP(C40,产品价格表!$A:$B,2,FALSE)</f>
        <v/>
      </c>
      <c r="F40" s="30">
        <f>D40*E40</f>
        <v/>
      </c>
      <c r="G40" s="14" t="inlineStr">
        <is>
          <t>B企业</t>
        </is>
      </c>
      <c r="H40" s="14" t="inlineStr">
        <is>
          <t>北京A21研究所</t>
        </is>
      </c>
      <c r="I40" s="18" t="inlineStr">
        <is>
          <t>利市</t>
        </is>
      </c>
      <c r="J40" s="20">
        <f>IF(OR(F40/$F$73&gt;0.05,D40/$D$73&gt;0.1),"优",IF(F40/$F$73&lt;0.001,"差","中等"))</f>
        <v/>
      </c>
    </row>
    <row r="41" ht="20.1" customFormat="1" customHeight="1" s="7">
      <c r="A41" s="15" t="n">
        <v>39</v>
      </c>
      <c r="B41" s="13" t="inlineStr">
        <is>
          <t>2017-11-21</t>
        </is>
      </c>
      <c r="C41" s="13" t="inlineStr">
        <is>
          <t>理光 SP 200C黑色硒鼓 Print Cartridge SP 200C</t>
        </is>
      </c>
      <c r="D41" s="15" t="n">
        <v>4</v>
      </c>
      <c r="E41" s="14">
        <f>VLOOKUP(C41,产品价格表!$A:$B,2,FALSE)</f>
        <v/>
      </c>
      <c r="F41" s="30">
        <f>D41*E41</f>
        <v/>
      </c>
      <c r="G41" s="14" t="inlineStr">
        <is>
          <t>G企业</t>
        </is>
      </c>
      <c r="H41" s="14" t="inlineStr">
        <is>
          <t>北京A22局</t>
        </is>
      </c>
      <c r="I41" s="18" t="inlineStr">
        <is>
          <t>理光</t>
        </is>
      </c>
      <c r="J41" s="20">
        <f>IF(OR(F41/$F$73&gt;0.05,D41/$D$73&gt;0.1),"优",IF(F41/$F$73&lt;0.001,"差","中等"))</f>
        <v/>
      </c>
    </row>
    <row r="42" ht="20.1" customFormat="1" customHeight="1" s="7">
      <c r="A42" s="15" t="n">
        <v>40</v>
      </c>
      <c r="B42" s="13" t="inlineStr">
        <is>
          <t>2017-11-13</t>
        </is>
      </c>
      <c r="C42" s="13" t="inlineStr">
        <is>
          <t>闪迪 至尊高速Type-C 64GB USB3.1双接口OTG U盘</t>
        </is>
      </c>
      <c r="D42" s="15" t="n">
        <v>4</v>
      </c>
      <c r="E42" s="14">
        <f>VLOOKUP(C42,产品价格表!$A:$B,2,FALSE)</f>
        <v/>
      </c>
      <c r="F42" s="30">
        <f>D42*E42</f>
        <v/>
      </c>
      <c r="G42" s="14" t="inlineStr">
        <is>
          <t>A企业</t>
        </is>
      </c>
      <c r="H42" s="14" t="inlineStr">
        <is>
          <t>北京A3大学</t>
        </is>
      </c>
      <c r="I42" s="18" t="inlineStr">
        <is>
          <t>闪迪</t>
        </is>
      </c>
      <c r="J42" s="20">
        <f>IF(OR(F42/$F$73&gt;0.05,D42/$D$73&gt;0.1),"优",IF(F42/$F$73&lt;0.001,"差","中等"))</f>
        <v/>
      </c>
    </row>
    <row r="43" ht="20.1" customFormat="1" customHeight="1" s="7">
      <c r="A43" s="15" t="n">
        <v>41</v>
      </c>
      <c r="B43" s="13" t="inlineStr">
        <is>
          <t>2017-11-6</t>
        </is>
      </c>
      <c r="C43" s="13" t="inlineStr">
        <is>
          <t>柯尼卡美能达-打印设备-多功能一体机-TNP31</t>
        </is>
      </c>
      <c r="D43" s="15" t="n">
        <v>5</v>
      </c>
      <c r="E43" s="14">
        <f>VLOOKUP(C43,产品价格表!$A:$B,2,FALSE)</f>
        <v/>
      </c>
      <c r="F43" s="30">
        <f>D43*E43</f>
        <v/>
      </c>
      <c r="G43" s="14" t="inlineStr">
        <is>
          <t>D企业</t>
        </is>
      </c>
      <c r="H43" s="14" t="inlineStr">
        <is>
          <t>北京A4大学</t>
        </is>
      </c>
      <c r="I43" s="18" t="inlineStr">
        <is>
          <t>柯尼卡美能达</t>
        </is>
      </c>
      <c r="J43" s="20">
        <f>IF(OR(F43/$F$73&gt;0.05,D43/$D$73&gt;0.1),"优",IF(F43/$F$73&lt;0.001,"差","中等"))</f>
        <v/>
      </c>
    </row>
    <row r="44" ht="20.1" customFormat="1" customHeight="1" s="7">
      <c r="A44" s="15" t="n">
        <v>42</v>
      </c>
      <c r="B44" s="13" t="inlineStr">
        <is>
          <t>2017-10-24</t>
        </is>
      </c>
      <c r="C44" s="13" t="inlineStr">
        <is>
          <t>忆捷（EAGET）U90 U盘64G USB3.0高速全金属防水防震便携款银色亮薄</t>
        </is>
      </c>
      <c r="D44" s="15" t="n">
        <v>29</v>
      </c>
      <c r="E44" s="14">
        <f>VLOOKUP(C44,产品价格表!$A:$B,2,FALSE)</f>
        <v/>
      </c>
      <c r="F44" s="30">
        <f>D44*E44</f>
        <v/>
      </c>
      <c r="G44" s="14" t="inlineStr">
        <is>
          <t>J企业</t>
        </is>
      </c>
      <c r="H44" s="14" t="inlineStr">
        <is>
          <t>北京A15小学</t>
        </is>
      </c>
      <c r="I44" s="18" t="inlineStr">
        <is>
          <t>忆捷</t>
        </is>
      </c>
      <c r="J44" s="20">
        <f>IF(OR(F44/$F$73&gt;0.05,D44/$D$73&gt;0.1),"优",IF(F44/$F$73&lt;0.001,"差","中等"))</f>
        <v/>
      </c>
    </row>
    <row r="45" ht="20.1" customFormat="1" customHeight="1" s="7">
      <c r="A45" s="15" t="n">
        <v>43</v>
      </c>
      <c r="B45" s="13" t="inlineStr">
        <is>
          <t>2017-10-23</t>
        </is>
      </c>
      <c r="C45" s="13" t="inlineStr">
        <is>
          <t>惠普 原厂耗材-Q7516A</t>
        </is>
      </c>
      <c r="D45" s="15" t="n">
        <v>5</v>
      </c>
      <c r="E45" s="14">
        <f>VLOOKUP(C45,产品价格表!$A:$B,2,FALSE)</f>
        <v/>
      </c>
      <c r="F45" s="30">
        <f>D45*E45</f>
        <v/>
      </c>
      <c r="G45" s="14" t="inlineStr">
        <is>
          <t>C企业</t>
        </is>
      </c>
      <c r="H45" s="14" t="inlineStr">
        <is>
          <t>北京A6学院</t>
        </is>
      </c>
      <c r="I45" s="18" t="inlineStr">
        <is>
          <t>惠普</t>
        </is>
      </c>
      <c r="J45" s="20">
        <f>IF(OR(F45/$F$73&gt;0.05,D45/$D$73&gt;0.1),"优",IF(F45/$F$73&lt;0.001,"差","中等"))</f>
        <v/>
      </c>
    </row>
    <row r="46" ht="20.1" customFormat="1" customHeight="1" s="7">
      <c r="A46" s="15" t="n">
        <v>44</v>
      </c>
      <c r="B46" s="13" t="inlineStr">
        <is>
          <t>2017-10-18</t>
        </is>
      </c>
      <c r="C46" s="13" t="inlineStr">
        <is>
          <t>富士施乐FujiXerox VC2263/2265彩色复合机</t>
        </is>
      </c>
      <c r="D46" s="15" t="n">
        <v>1</v>
      </c>
      <c r="E46" s="14">
        <f>VLOOKUP(C46,产品价格表!$A:$B,2,FALSE)</f>
        <v/>
      </c>
      <c r="F46" s="30">
        <f>D46*E46</f>
        <v/>
      </c>
      <c r="G46" s="14" t="inlineStr">
        <is>
          <t>H企业</t>
        </is>
      </c>
      <c r="H46" s="14" t="inlineStr">
        <is>
          <t>北京A10管理处</t>
        </is>
      </c>
      <c r="I46" s="18" t="inlineStr">
        <is>
          <t>富士施乐</t>
        </is>
      </c>
      <c r="J46" s="20">
        <f>IF(OR(F46/$F$73&gt;0.05,D46/$D$73&gt;0.1),"优",IF(F46/$F$73&lt;0.001,"差","中等"))</f>
        <v/>
      </c>
    </row>
    <row r="47" ht="20.1" customFormat="1" customHeight="1" s="7">
      <c r="A47" s="15" t="n">
        <v>45</v>
      </c>
      <c r="B47" s="13" t="inlineStr">
        <is>
          <t>2017-10-16</t>
        </is>
      </c>
      <c r="C47" s="13" t="inlineStr">
        <is>
          <t>惠普（HP）CD973AA 920XL号超高容品红色墨盒</t>
        </is>
      </c>
      <c r="D47" s="15" t="n">
        <v>1</v>
      </c>
      <c r="E47" s="14">
        <f>VLOOKUP(C47,产品价格表!$A:$B,2,FALSE)</f>
        <v/>
      </c>
      <c r="F47" s="30">
        <f>D47*E47</f>
        <v/>
      </c>
      <c r="G47" s="14" t="inlineStr">
        <is>
          <t>G企业</t>
        </is>
      </c>
      <c r="H47" s="14" t="inlineStr">
        <is>
          <t>北京A10管理处</t>
        </is>
      </c>
      <c r="I47" s="18" t="inlineStr">
        <is>
          <t>惠普</t>
        </is>
      </c>
      <c r="J47" s="20">
        <f>IF(OR(F47/$F$73&gt;0.05,D47/$D$73&gt;0.1),"优",IF(F47/$F$73&lt;0.001,"差","中等"))</f>
        <v/>
      </c>
    </row>
    <row r="48" ht="20.1" customFormat="1" customHeight="1" s="7">
      <c r="A48" s="15" t="n">
        <v>46</v>
      </c>
      <c r="B48" s="13" t="inlineStr">
        <is>
          <t>2017-10-11</t>
        </is>
      </c>
      <c r="C48" s="13" t="inlineStr">
        <is>
          <t>原厂耗材-CE410A</t>
        </is>
      </c>
      <c r="D48" s="15" t="n">
        <v>2</v>
      </c>
      <c r="E48" s="14">
        <f>VLOOKUP(C48,产品价格表!$A:$B,2,FALSE)</f>
        <v/>
      </c>
      <c r="F48" s="30">
        <f>D48*E48</f>
        <v/>
      </c>
      <c r="G48" s="14" t="inlineStr">
        <is>
          <t>D企业</t>
        </is>
      </c>
      <c r="H48" s="14" t="inlineStr">
        <is>
          <t>北京A26总队</t>
        </is>
      </c>
      <c r="I48" s="18" t="inlineStr">
        <is>
          <t>惠普</t>
        </is>
      </c>
      <c r="J48" s="20">
        <f>IF(OR(F48/$F$73&gt;0.05,D48/$D$73&gt;0.1),"优",IF(F48/$F$73&lt;0.001,"差","中等"))</f>
        <v/>
      </c>
    </row>
    <row r="49" ht="20.1" customFormat="1" customHeight="1" s="7">
      <c r="A49" s="15" t="n">
        <v>47</v>
      </c>
      <c r="B49" s="13" t="inlineStr">
        <is>
          <t>2017-9-28</t>
        </is>
      </c>
      <c r="C49" s="13" t="inlineStr">
        <is>
          <t>惠普 原厂耗材-Q7516A</t>
        </is>
      </c>
      <c r="D49" s="15" t="n">
        <v>1</v>
      </c>
      <c r="E49" s="14">
        <f>VLOOKUP(C49,产品价格表!$A:$B,2,FALSE)</f>
        <v/>
      </c>
      <c r="F49" s="30">
        <f>D49*E49</f>
        <v/>
      </c>
      <c r="G49" s="14" t="inlineStr">
        <is>
          <t>A企业</t>
        </is>
      </c>
      <c r="H49" s="14" t="inlineStr">
        <is>
          <t>北京A14中学</t>
        </is>
      </c>
      <c r="I49" s="18" t="inlineStr">
        <is>
          <t>惠普</t>
        </is>
      </c>
      <c r="J49" s="20">
        <f>IF(OR(F49/$F$73&gt;0.05,D49/$D$73&gt;0.1),"优",IF(F49/$F$73&lt;0.001,"差","中等"))</f>
        <v/>
      </c>
    </row>
    <row r="50" ht="20.1" customFormat="1" customHeight="1" s="7">
      <c r="A50" s="15" t="n">
        <v>48</v>
      </c>
      <c r="B50" s="13" t="inlineStr">
        <is>
          <t>2017-9-28</t>
        </is>
      </c>
      <c r="C50" s="13" t="inlineStr">
        <is>
          <t>得力 A4 70g/m2</t>
        </is>
      </c>
      <c r="D50" s="15" t="n">
        <v>300</v>
      </c>
      <c r="E50" s="14">
        <f>VLOOKUP(C50,产品价格表!$A:$B,2,FALSE)</f>
        <v/>
      </c>
      <c r="F50" s="30">
        <f>D50*E50</f>
        <v/>
      </c>
      <c r="G50" s="14" t="inlineStr">
        <is>
          <t>C企业</t>
        </is>
      </c>
      <c r="H50" s="14" t="inlineStr">
        <is>
          <t>北京A25医院</t>
        </is>
      </c>
      <c r="I50" s="18" t="inlineStr">
        <is>
          <t>得力</t>
        </is>
      </c>
      <c r="J50" s="20">
        <f>IF(OR(F50/$F$73&gt;0.05,D50/$D$73&gt;0.1),"优",IF(F50/$F$73&lt;0.001,"差","中等"))</f>
        <v/>
      </c>
    </row>
    <row r="51" ht="20.1" customFormat="1" customHeight="1" s="7">
      <c r="A51" s="15" t="n">
        <v>49</v>
      </c>
      <c r="B51" s="13" t="inlineStr">
        <is>
          <t>2017-9-28</t>
        </is>
      </c>
      <c r="C51" s="13" t="inlineStr">
        <is>
          <t>希捷（Seagate） 1TB USB3.0 2.5英寸 移动硬盘 (STDR1000300)</t>
        </is>
      </c>
      <c r="D51" s="15" t="n">
        <v>6</v>
      </c>
      <c r="E51" s="14">
        <f>VLOOKUP(C51,产品价格表!$A:$B,2,FALSE)</f>
        <v/>
      </c>
      <c r="F51" s="30">
        <f>D51*E51</f>
        <v/>
      </c>
      <c r="G51" s="14" t="inlineStr">
        <is>
          <t>G企业</t>
        </is>
      </c>
      <c r="H51" s="14" t="inlineStr">
        <is>
          <t>北京A13局</t>
        </is>
      </c>
      <c r="I51" s="18" t="inlineStr">
        <is>
          <t>希捷</t>
        </is>
      </c>
      <c r="J51" s="20">
        <f>IF(OR(F51/$F$73&gt;0.05,D51/$D$73&gt;0.1),"优",IF(F51/$F$73&lt;0.001,"差","中等"))</f>
        <v/>
      </c>
    </row>
    <row r="52" ht="20.1" customFormat="1" customHeight="1" s="7">
      <c r="A52" s="15" t="n">
        <v>50</v>
      </c>
      <c r="B52" s="13" t="inlineStr">
        <is>
          <t>2017-9-21</t>
        </is>
      </c>
      <c r="C52" s="13" t="inlineStr">
        <is>
          <t>索尼（SONY）ICD-UX565F 数码录音棒</t>
        </is>
      </c>
      <c r="D52" s="15" t="n">
        <v>50</v>
      </c>
      <c r="E52" s="14">
        <f>VLOOKUP(C52,产品价格表!$A:$B,2,FALSE)</f>
        <v/>
      </c>
      <c r="F52" s="30">
        <f>D52*E52</f>
        <v/>
      </c>
      <c r="G52" s="14" t="inlineStr">
        <is>
          <t>H企业</t>
        </is>
      </c>
      <c r="H52" s="14" t="inlineStr">
        <is>
          <t>北京A13局</t>
        </is>
      </c>
      <c r="I52" s="18" t="inlineStr">
        <is>
          <t>索尼</t>
        </is>
      </c>
      <c r="J52" s="20">
        <f>IF(OR(F52/$F$73&gt;0.05,D52/$D$73&gt;0.1),"优",IF(F52/$F$73&lt;0.001,"差","中等"))</f>
        <v/>
      </c>
    </row>
    <row r="53" ht="20.1" customFormat="1" customHeight="1" s="7">
      <c r="A53" s="15" t="n">
        <v>51</v>
      </c>
      <c r="B53" s="13" t="inlineStr">
        <is>
          <t>2017-8-28</t>
        </is>
      </c>
      <c r="C53" s="13" t="inlineStr">
        <is>
          <t>惠普（HP）LaserJet C7115A黑色硒鼓 15A</t>
        </is>
      </c>
      <c r="D53" s="15" t="n">
        <v>6</v>
      </c>
      <c r="E53" s="14">
        <f>VLOOKUP(C53,产品价格表!$A:$B,2,FALSE)</f>
        <v/>
      </c>
      <c r="F53" s="30">
        <f>D53*E53</f>
        <v/>
      </c>
      <c r="G53" s="14" t="inlineStr">
        <is>
          <t>G企业</t>
        </is>
      </c>
      <c r="H53" s="14" t="inlineStr">
        <is>
          <t>北京A19研究院</t>
        </is>
      </c>
      <c r="I53" s="18" t="inlineStr">
        <is>
          <t>惠普</t>
        </is>
      </c>
      <c r="J53" s="20">
        <f>IF(OR(F53/$F$73&gt;0.05,D53/$D$73&gt;0.1),"优",IF(F53/$F$73&lt;0.001,"差","中等"))</f>
        <v/>
      </c>
    </row>
    <row r="54" ht="20.1" customFormat="1" customHeight="1" s="7">
      <c r="A54" s="15" t="n">
        <v>52</v>
      </c>
      <c r="B54" s="13" t="inlineStr">
        <is>
          <t>2017-7-21</t>
        </is>
      </c>
      <c r="C54" s="13" t="inlineStr">
        <is>
          <t>闪迪 CZ50 16G U盘</t>
        </is>
      </c>
      <c r="D54" s="15" t="n">
        <v>95</v>
      </c>
      <c r="E54" s="14">
        <f>VLOOKUP(C54,产品价格表!$A:$B,2,FALSE)</f>
        <v/>
      </c>
      <c r="F54" s="30">
        <f>D54*E54</f>
        <v/>
      </c>
      <c r="G54" s="14" t="inlineStr">
        <is>
          <t>A企业</t>
        </is>
      </c>
      <c r="H54" s="14" t="inlineStr">
        <is>
          <t>北京A16办公室</t>
        </is>
      </c>
      <c r="I54" s="18" t="inlineStr">
        <is>
          <t>闪迪</t>
        </is>
      </c>
      <c r="J54" s="20">
        <f>IF(OR(F54/$F$73&gt;0.05,D54/$D$73&gt;0.1),"优",IF(F54/$F$73&lt;0.001,"差","中等"))</f>
        <v/>
      </c>
    </row>
    <row r="55" ht="20.1" customFormat="1" customHeight="1" s="7">
      <c r="A55" s="15" t="n">
        <v>53</v>
      </c>
      <c r="B55" s="13" t="inlineStr">
        <is>
          <t>2017-7-4</t>
        </is>
      </c>
      <c r="C55" s="13" t="inlineStr">
        <is>
          <t>Lowepro-BP250摄影包</t>
        </is>
      </c>
      <c r="D55" s="15" t="n">
        <v>2</v>
      </c>
      <c r="E55" s="14">
        <f>VLOOKUP(C55,产品价格表!$A:$B,2,FALSE)</f>
        <v/>
      </c>
      <c r="F55" s="30">
        <f>D55*E55</f>
        <v/>
      </c>
      <c r="G55" s="14" t="inlineStr">
        <is>
          <t>C企业</t>
        </is>
      </c>
      <c r="H55" s="14" t="inlineStr">
        <is>
          <t>北京A24学院</t>
        </is>
      </c>
      <c r="I55" s="18" t="inlineStr">
        <is>
          <t>佳能</t>
        </is>
      </c>
      <c r="J55" s="20">
        <f>IF(OR(F55/$F$73&gt;0.05,D55/$D$73&gt;0.1),"优",IF(F55/$F$73&lt;0.001,"差","中等"))</f>
        <v/>
      </c>
    </row>
    <row r="56" ht="20.1" customFormat="1" customHeight="1" s="7">
      <c r="A56" s="15" t="n">
        <v>54</v>
      </c>
      <c r="B56" s="13" t="inlineStr">
        <is>
          <t>2017-6-30</t>
        </is>
      </c>
      <c r="C56" s="13" t="inlineStr">
        <is>
          <t>盈佳  YJ-3119</t>
        </is>
      </c>
      <c r="D56" s="15" t="n">
        <v>1</v>
      </c>
      <c r="E56" s="14">
        <f>VLOOKUP(C56,产品价格表!$A:$B,2,FALSE)</f>
        <v/>
      </c>
      <c r="F56" s="30">
        <f>D56*E56</f>
        <v/>
      </c>
      <c r="G56" s="14" t="inlineStr">
        <is>
          <t>C企业</t>
        </is>
      </c>
      <c r="H56" s="14" t="inlineStr">
        <is>
          <t>北京A6学院</t>
        </is>
      </c>
      <c r="I56" s="18" t="inlineStr">
        <is>
          <t>盈佳</t>
        </is>
      </c>
      <c r="J56" s="20">
        <f>IF(OR(F56/$F$73&gt;0.05,D56/$D$73&gt;0.1),"优",IF(F56/$F$73&lt;0.001,"差","中等"))</f>
        <v/>
      </c>
    </row>
    <row r="57" ht="20.1" customFormat="1" customHeight="1" s="7">
      <c r="A57" s="15" t="n">
        <v>55</v>
      </c>
      <c r="B57" s="13" t="inlineStr">
        <is>
          <t>2017-5-23</t>
        </is>
      </c>
      <c r="C57" s="13" t="inlineStr">
        <is>
          <t>佳信捷 管理平台系统-JXJ-VN5000</t>
        </is>
      </c>
      <c r="D57" s="15" t="n">
        <v>1</v>
      </c>
      <c r="E57" s="14">
        <f>VLOOKUP(C57,产品价格表!$A:$B,2,FALSE)</f>
        <v/>
      </c>
      <c r="F57" s="30">
        <f>D57*E57</f>
        <v/>
      </c>
      <c r="G57" s="14" t="inlineStr">
        <is>
          <t>A企业</t>
        </is>
      </c>
      <c r="H57" s="14" t="inlineStr">
        <is>
          <t>北京A16办公室</t>
        </is>
      </c>
      <c r="I57" s="18" t="inlineStr">
        <is>
          <t>佳信捷</t>
        </is>
      </c>
      <c r="J57" s="20">
        <f>IF(OR(F57/$F$73&gt;0.05,D57/$D$73&gt;0.1),"优",IF(F57/$F$73&lt;0.001,"差","中等"))</f>
        <v/>
      </c>
    </row>
    <row r="58" ht="20.1" customFormat="1" customHeight="1" s="7">
      <c r="A58" s="15" t="n">
        <v>56</v>
      </c>
      <c r="B58" s="13" t="inlineStr">
        <is>
          <t>2017-5-19</t>
        </is>
      </c>
      <c r="C58" s="13" t="inlineStr">
        <is>
          <t>惠普 原厂耗材-CE742A</t>
        </is>
      </c>
      <c r="D58" s="15" t="n">
        <v>1</v>
      </c>
      <c r="E58" s="14">
        <f>VLOOKUP(C58,产品价格表!$A:$B,2,FALSE)</f>
        <v/>
      </c>
      <c r="F58" s="30">
        <f>D58*E58</f>
        <v/>
      </c>
      <c r="G58" s="14" t="inlineStr">
        <is>
          <t>A企业</t>
        </is>
      </c>
      <c r="H58" s="14" t="inlineStr">
        <is>
          <t>北京A26总队</t>
        </is>
      </c>
      <c r="I58" s="18" t="inlineStr">
        <is>
          <t>惠普</t>
        </is>
      </c>
      <c r="J58" s="20">
        <f>IF(OR(F58/$F$73&gt;0.05,D58/$D$73&gt;0.1),"优",IF(F58/$F$73&lt;0.001,"差","中等"))</f>
        <v/>
      </c>
    </row>
    <row r="59" ht="20.1" customFormat="1" customHeight="1" s="7">
      <c r="A59" s="15" t="n">
        <v>57</v>
      </c>
      <c r="B59" s="13" t="inlineStr">
        <is>
          <t>2017-5-16</t>
        </is>
      </c>
      <c r="C59" s="13" t="inlineStr">
        <is>
          <t>忆捷 EAGET U90 USB3.0极速防水防尘防静电全金属刀锋U盘 16g 银色</t>
        </is>
      </c>
      <c r="D59" s="15" t="n">
        <v>10</v>
      </c>
      <c r="E59" s="14">
        <f>VLOOKUP(C59,产品价格表!$A:$B,2,FALSE)</f>
        <v/>
      </c>
      <c r="F59" s="30">
        <f>D59*E59</f>
        <v/>
      </c>
      <c r="G59" s="14" t="inlineStr">
        <is>
          <t>C企业</t>
        </is>
      </c>
      <c r="H59" s="14" t="inlineStr">
        <is>
          <t>北京A8学院</t>
        </is>
      </c>
      <c r="I59" s="18" t="inlineStr">
        <is>
          <t>忆捷</t>
        </is>
      </c>
      <c r="J59" s="20">
        <f>IF(OR(F59/$F$73&gt;0.05,D59/$D$73&gt;0.1),"优",IF(F59/$F$73&lt;0.001,"差","中等"))</f>
        <v/>
      </c>
    </row>
    <row r="60" ht="20.1" customFormat="1" customHeight="1" s="7">
      <c r="A60" s="15" t="n">
        <v>58</v>
      </c>
      <c r="B60" s="13" t="inlineStr">
        <is>
          <t>2017-5-9</t>
        </is>
      </c>
      <c r="C60" s="13" t="inlineStr">
        <is>
          <t>惠普 78A</t>
        </is>
      </c>
      <c r="D60" s="15" t="n">
        <v>1</v>
      </c>
      <c r="E60" s="14">
        <f>VLOOKUP(C60,产品价格表!$A:$B,2,FALSE)</f>
        <v/>
      </c>
      <c r="F60" s="30">
        <f>D60*E60</f>
        <v/>
      </c>
      <c r="G60" s="14" t="inlineStr">
        <is>
          <t>C企业</t>
        </is>
      </c>
      <c r="H60" s="14" t="inlineStr">
        <is>
          <t>北京A22局</t>
        </is>
      </c>
      <c r="I60" s="18" t="inlineStr">
        <is>
          <t>惠普</t>
        </is>
      </c>
      <c r="J60" s="20">
        <f>IF(OR(F60/$F$73&gt;0.05,D60/$D$73&gt;0.1),"优",IF(F60/$F$73&lt;0.001,"差","中等"))</f>
        <v/>
      </c>
    </row>
    <row r="61" ht="20.1" customFormat="1" customHeight="1" s="7">
      <c r="A61" s="15" t="n">
        <v>59</v>
      </c>
      <c r="B61" s="13" t="inlineStr">
        <is>
          <t>2017-5-5</t>
        </is>
      </c>
      <c r="C61" s="13" t="inlineStr">
        <is>
          <t xml:space="preserve">联想 F309 1T 移动硬盘 </t>
        </is>
      </c>
      <c r="D61" s="15" t="n">
        <v>5</v>
      </c>
      <c r="E61" s="14">
        <f>VLOOKUP(C61,产品价格表!$A:$B,2,FALSE)</f>
        <v/>
      </c>
      <c r="F61" s="30">
        <f>D61*E61</f>
        <v/>
      </c>
      <c r="G61" s="14" t="inlineStr">
        <is>
          <t>A企业</t>
        </is>
      </c>
      <c r="H61" s="14" t="inlineStr">
        <is>
          <t>北京A3大学</t>
        </is>
      </c>
      <c r="I61" s="18" t="inlineStr">
        <is>
          <t>联想</t>
        </is>
      </c>
      <c r="J61" s="20">
        <f>IF(OR(F61/$F$73&gt;0.05,D61/$D$73&gt;0.1),"优",IF(F61/$F$73&lt;0.001,"差","中等"))</f>
        <v/>
      </c>
    </row>
    <row r="62" ht="20.1" customFormat="1" customHeight="1" s="7">
      <c r="A62" s="15" t="n">
        <v>60</v>
      </c>
      <c r="B62" s="13" t="inlineStr">
        <is>
          <t>2017-5-2</t>
        </is>
      </c>
      <c r="C62" s="13" t="inlineStr">
        <is>
          <t>金旗舰 A3 80g/m2</t>
        </is>
      </c>
      <c r="D62" s="15" t="n">
        <v>50</v>
      </c>
      <c r="E62" s="14">
        <f>VLOOKUP(C62,产品价格表!$A:$B,2,FALSE)</f>
        <v/>
      </c>
      <c r="F62" s="30">
        <f>D62*E62</f>
        <v/>
      </c>
      <c r="G62" s="14" t="inlineStr">
        <is>
          <t>B企业</t>
        </is>
      </c>
      <c r="H62" s="14" t="inlineStr">
        <is>
          <t>北京A8学院</t>
        </is>
      </c>
      <c r="I62" s="18" t="inlineStr">
        <is>
          <t>金旗舰</t>
        </is>
      </c>
      <c r="J62" s="20">
        <f>IF(OR(F62/$F$73&gt;0.05,D62/$D$73&gt;0.1),"优",IF(F62/$F$73&lt;0.001,"差","中等"))</f>
        <v/>
      </c>
    </row>
    <row r="63" ht="20.1" customFormat="1" customHeight="1" s="7">
      <c r="A63" s="15" t="n">
        <v>61</v>
      </c>
      <c r="B63" s="13" t="inlineStr">
        <is>
          <t>2017-4-11</t>
        </is>
      </c>
      <c r="C63" s="13" t="inlineStr">
        <is>
          <t>兄弟 HL-3150CDN 激光打印机</t>
        </is>
      </c>
      <c r="D63" s="15" t="n">
        <v>1</v>
      </c>
      <c r="E63" s="14">
        <f>VLOOKUP(C63,产品价格表!$A:$B,2,FALSE)</f>
        <v/>
      </c>
      <c r="F63" s="30">
        <f>D63*E63</f>
        <v/>
      </c>
      <c r="G63" s="14" t="inlineStr">
        <is>
          <t>A企业</t>
        </is>
      </c>
      <c r="H63" s="14" t="inlineStr">
        <is>
          <t>北京A13局</t>
        </is>
      </c>
      <c r="I63" s="18" t="inlineStr">
        <is>
          <t>兄弟</t>
        </is>
      </c>
      <c r="J63" s="20">
        <f>IF(OR(F63/$F$73&gt;0.05,D63/$D$73&gt;0.1),"优",IF(F63/$F$73&lt;0.001,"差","中等"))</f>
        <v/>
      </c>
    </row>
    <row r="64" ht="20.1" customFormat="1" customHeight="1" s="7">
      <c r="A64" s="15" t="n">
        <v>62</v>
      </c>
      <c r="B64" s="13" t="inlineStr">
        <is>
          <t>2017-2-6</t>
        </is>
      </c>
      <c r="C64" s="13" t="inlineStr">
        <is>
          <t>得力电子密码防盗保险箱3617</t>
        </is>
      </c>
      <c r="D64" s="15" t="n">
        <v>1</v>
      </c>
      <c r="E64" s="14">
        <f>VLOOKUP(C64,产品价格表!$A:$B,2,FALSE)</f>
        <v/>
      </c>
      <c r="F64" s="30">
        <f>D64*E64</f>
        <v/>
      </c>
      <c r="G64" s="14" t="inlineStr">
        <is>
          <t>G企业</t>
        </is>
      </c>
      <c r="H64" s="14" t="inlineStr">
        <is>
          <t>北京A16办公室</t>
        </is>
      </c>
      <c r="I64" s="18" t="inlineStr">
        <is>
          <t>得力</t>
        </is>
      </c>
      <c r="J64" s="20">
        <f>IF(OR(F64/$F$73&gt;0.05,D64/$D$73&gt;0.1),"优",IF(F64/$F$73&lt;0.001,"差","中等"))</f>
        <v/>
      </c>
    </row>
    <row r="65" ht="20.1" customFormat="1" customHeight="1" s="7">
      <c r="A65" s="15" t="n">
        <v>63</v>
      </c>
      <c r="B65" s="13" t="inlineStr">
        <is>
          <t>2017-12-20</t>
        </is>
      </c>
      <c r="C65" s="13" t="inlineStr">
        <is>
          <t>铁三角 T-VGA</t>
        </is>
      </c>
      <c r="D65" s="15" t="n">
        <v>15</v>
      </c>
      <c r="E65" s="14">
        <f>VLOOKUP(C65,产品价格表!$A:$B,2,FALSE)</f>
        <v/>
      </c>
      <c r="F65" s="30">
        <f>D65*E65</f>
        <v/>
      </c>
      <c r="G65" s="14" t="inlineStr">
        <is>
          <t>C企业</t>
        </is>
      </c>
      <c r="H65" s="14" t="inlineStr">
        <is>
          <t>北京A6学院</t>
        </is>
      </c>
      <c r="I65" s="18" t="inlineStr">
        <is>
          <t>铁三角</t>
        </is>
      </c>
      <c r="J65" s="20">
        <f>IF(OR(F65/$F$73&gt;0.05,D65/$D$73&gt;0.1),"优",IF(F65/$F$73&lt;0.001,"差","中等"))</f>
        <v/>
      </c>
    </row>
    <row r="66" ht="20.1" customFormat="1" customHeight="1" s="7">
      <c r="A66" s="15" t="n">
        <v>64</v>
      </c>
      <c r="B66" s="13" t="inlineStr">
        <is>
          <t>2017-12-14</t>
        </is>
      </c>
      <c r="C66" s="13" t="inlineStr">
        <is>
          <t>盈佳  YJ-CE310A K</t>
        </is>
      </c>
      <c r="D66" s="15" t="n">
        <v>2</v>
      </c>
      <c r="E66" s="14">
        <f>VLOOKUP(C66,产品价格表!$A:$B,2,FALSE)</f>
        <v/>
      </c>
      <c r="F66" s="30">
        <f>D66*E66</f>
        <v/>
      </c>
      <c r="G66" s="14" t="inlineStr">
        <is>
          <t>C企业</t>
        </is>
      </c>
      <c r="H66" s="14" t="inlineStr">
        <is>
          <t>北京A6学院</t>
        </is>
      </c>
      <c r="I66" s="18" t="inlineStr">
        <is>
          <t>盈佳</t>
        </is>
      </c>
      <c r="J66" s="20">
        <f>IF(OR(F66/$F$73&gt;0.05,D66/$D$73&gt;0.1),"优",IF(F66/$F$73&lt;0.001,"差","中等"))</f>
        <v/>
      </c>
    </row>
    <row r="67" ht="20.1" customFormat="1" customHeight="1" s="7">
      <c r="A67" s="15" t="n">
        <v>65</v>
      </c>
      <c r="B67" s="13" t="inlineStr">
        <is>
          <t>2017-12-11</t>
        </is>
      </c>
      <c r="C67" s="13" t="inlineStr">
        <is>
          <t>东芝  DP-2802AF  数码复合机</t>
        </is>
      </c>
      <c r="D67" s="15" t="n">
        <v>1</v>
      </c>
      <c r="E67" s="14">
        <f>VLOOKUP(C67,产品价格表!$A:$B,2,FALSE)</f>
        <v/>
      </c>
      <c r="F67" s="30">
        <f>D67*E67</f>
        <v/>
      </c>
      <c r="G67" s="14" t="inlineStr">
        <is>
          <t>C企业</t>
        </is>
      </c>
      <c r="H67" s="14" t="inlineStr">
        <is>
          <t>北京A16办公室</t>
        </is>
      </c>
      <c r="I67" s="18" t="inlineStr">
        <is>
          <t>东芝</t>
        </is>
      </c>
      <c r="J67" s="20">
        <f>IF(OR(F67/$F$73&gt;0.05,D67/$D$73&gt;0.1),"优",IF(F67/$F$73&lt;0.001,"差","中等"))</f>
        <v/>
      </c>
    </row>
    <row r="68" ht="20.1" customFormat="1" customHeight="1" s="7">
      <c r="A68" s="15" t="n">
        <v>66</v>
      </c>
      <c r="B68" s="13" t="inlineStr">
        <is>
          <t>2017-12-7</t>
        </is>
      </c>
      <c r="C68" s="13" t="inlineStr">
        <is>
          <t>西部数据（WD）2.5英寸 USB3.0 移动硬盘 1TB（WDBUZG0010BBK）</t>
        </is>
      </c>
      <c r="D68" s="15" t="n">
        <v>1</v>
      </c>
      <c r="E68" s="14">
        <f>VLOOKUP(C68,产品价格表!$A:$B,2,FALSE)</f>
        <v/>
      </c>
      <c r="F68" s="30">
        <f>D68*E68</f>
        <v/>
      </c>
      <c r="G68" s="14" t="inlineStr">
        <is>
          <t>G企业</t>
        </is>
      </c>
      <c r="H68" s="14" t="inlineStr">
        <is>
          <t>北京A14中学</t>
        </is>
      </c>
      <c r="I68" s="18" t="inlineStr">
        <is>
          <t>西部数据</t>
        </is>
      </c>
      <c r="J68" s="20">
        <f>IF(OR(F68/$F$73&gt;0.05,D68/$D$73&gt;0.1),"优",IF(F68/$F$73&lt;0.001,"差","中等"))</f>
        <v/>
      </c>
    </row>
    <row r="69" ht="20.1" customFormat="1" customHeight="1" s="7">
      <c r="A69" s="15" t="n">
        <v>67</v>
      </c>
      <c r="B69" s="13" t="inlineStr">
        <is>
          <t>2017-12-7</t>
        </is>
      </c>
      <c r="C69" s="13" t="inlineStr">
        <is>
          <t>闪迪 高速金属迷你优盘 3.0高速版(64G)</t>
        </is>
      </c>
      <c r="D69" s="15" t="n">
        <v>1</v>
      </c>
      <c r="E69" s="14">
        <f>VLOOKUP(C69,产品价格表!$A:$B,2,FALSE)</f>
        <v/>
      </c>
      <c r="F69" s="30">
        <f>D69*E69</f>
        <v/>
      </c>
      <c r="G69" s="14" t="inlineStr">
        <is>
          <t>D企业</t>
        </is>
      </c>
      <c r="H69" s="14" t="inlineStr">
        <is>
          <t>北京A21研究所</t>
        </is>
      </c>
      <c r="I69" s="18" t="inlineStr">
        <is>
          <t>闪迪</t>
        </is>
      </c>
      <c r="J69" s="20">
        <f>IF(OR(F69/$F$73&gt;0.05,D69/$D$73&gt;0.1),"优",IF(F69/$F$73&lt;0.001,"差","中等"))</f>
        <v/>
      </c>
    </row>
    <row r="70" ht="20.1" customFormat="1" customHeight="1" s="7">
      <c r="A70" s="15" t="n">
        <v>68</v>
      </c>
      <c r="B70" s="13" t="inlineStr">
        <is>
          <t>2017-11-28</t>
        </is>
      </c>
      <c r="C70" s="13" t="inlineStr">
        <is>
          <t>金士顿（Kingston） DT 100G3 128GB USB3.0 U盘</t>
        </is>
      </c>
      <c r="D70" s="15" t="n">
        <v>6</v>
      </c>
      <c r="E70" s="14">
        <f>VLOOKUP(C70,产品价格表!$A:$B,2,FALSE)</f>
        <v/>
      </c>
      <c r="F70" s="30">
        <f>D70*E70</f>
        <v/>
      </c>
      <c r="G70" s="14" t="inlineStr">
        <is>
          <t>B企业</t>
        </is>
      </c>
      <c r="H70" s="14" t="inlineStr">
        <is>
          <t>北京A7大学</t>
        </is>
      </c>
      <c r="I70" s="18" t="inlineStr">
        <is>
          <t>金士顿</t>
        </is>
      </c>
      <c r="J70" s="20">
        <f>IF(OR(F70/$F$73&gt;0.05,D70/$D$73&gt;0.1),"优",IF(F70/$F$73&lt;0.001,"差","中等"))</f>
        <v/>
      </c>
    </row>
    <row r="71" ht="20.1" customFormat="1" customHeight="1" s="7">
      <c r="A71" s="15" t="n">
        <v>69</v>
      </c>
      <c r="B71" s="13" t="inlineStr">
        <is>
          <t>2017-11-27</t>
        </is>
      </c>
      <c r="C71" s="13" t="inlineStr">
        <is>
          <t>金旗舰 B5 70g/m2</t>
        </is>
      </c>
      <c r="D71" s="15" t="n">
        <v>5</v>
      </c>
      <c r="E71" s="14">
        <f>VLOOKUP(C71,产品价格表!$A:$B,2,FALSE)</f>
        <v/>
      </c>
      <c r="F71" s="30">
        <f>D71*E71</f>
        <v/>
      </c>
      <c r="G71" s="14" t="inlineStr">
        <is>
          <t>C企业</t>
        </is>
      </c>
      <c r="H71" s="14" t="inlineStr">
        <is>
          <t>北京A1大学</t>
        </is>
      </c>
      <c r="I71" s="18" t="inlineStr">
        <is>
          <t>金旗舰</t>
        </is>
      </c>
      <c r="J71" s="20">
        <f>IF(OR(F71/$F$73&gt;0.05,D71/$D$73&gt;0.1),"优",IF(F71/$F$73&lt;0.001,"差","中等"))</f>
        <v/>
      </c>
    </row>
    <row r="72" ht="18.75" customHeight="1" s="1">
      <c r="A72" s="21" t="n">
        <v>70</v>
      </c>
      <c r="B72" s="22" t="inlineStr">
        <is>
          <t>2017-11-24</t>
        </is>
      </c>
      <c r="C72" s="22" t="inlineStr">
        <is>
          <t>惠普 HP Color LaserJet Pro MFP M477fdwA4</t>
        </is>
      </c>
      <c r="D72" s="21" t="n">
        <v>1</v>
      </c>
      <c r="E72" s="23">
        <f>VLOOKUP(C72,产品价格表!$A:$B,2,FALSE)</f>
        <v/>
      </c>
      <c r="F72" s="31">
        <f>D72*E72</f>
        <v/>
      </c>
      <c r="G72" s="23" t="inlineStr">
        <is>
          <t>A企业</t>
        </is>
      </c>
      <c r="H72" s="23" t="inlineStr">
        <is>
          <t>北京A16办公室</t>
        </is>
      </c>
      <c r="I72" s="27" t="inlineStr">
        <is>
          <t>惠普</t>
        </is>
      </c>
      <c r="J72" s="20">
        <f>IF(OR(F72/$F$73&gt;0.05,D72/$D$73&gt;0.1),"优",IF(F72/$F$73&lt;0.001,"差","中等"))</f>
        <v/>
      </c>
    </row>
    <row r="73">
      <c r="A73" s="25" t="inlineStr">
        <is>
          <t>合计</t>
        </is>
      </c>
      <c r="B73" s="25" t="n"/>
      <c r="C73" s="25" t="n"/>
      <c r="D73" s="26">
        <f>SUM(D3:D72)</f>
        <v/>
      </c>
      <c r="E73" s="20" t="n"/>
      <c r="F73" s="32">
        <f>SUM(F3:F72)</f>
        <v/>
      </c>
      <c r="G73" s="20" t="n"/>
      <c r="H73" s="20" t="n"/>
      <c r="I73" s="28" t="n"/>
      <c r="J73" s="20" t="n"/>
    </row>
  </sheetData>
  <mergeCells count="1">
    <mergeCell ref="A1:J1"/>
  </mergeCells>
  <conditionalFormatting sqref="J3:J72">
    <cfRule type="cellIs" priority="1" operator="equal" dxfId="0">
      <formula>"优"</formula>
    </cfRule>
    <cfRule type="cellIs" priority="2" operator="equal" dxfId="1">
      <formula>"差"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ColWidth="9" defaultRowHeight="13.5"/>
  <cols>
    <col width="73.625" customWidth="1" style="2" min="1" max="1"/>
    <col width="9" customWidth="1" style="3" min="2" max="2"/>
  </cols>
  <sheetData>
    <row r="1" ht="20.1" customHeight="1" s="1">
      <c r="A1" s="4" t="inlineStr">
        <is>
          <t>名称</t>
        </is>
      </c>
      <c r="B1" s="4" t="inlineStr">
        <is>
          <t>单价</t>
        </is>
      </c>
    </row>
    <row r="2" ht="20.1" customHeight="1" s="1">
      <c r="A2" s="5" t="inlineStr">
        <is>
          <t>aigo爱国者无线移动硬盘 2T</t>
        </is>
      </c>
      <c r="B2" s="6" t="n">
        <v>1349</v>
      </c>
    </row>
    <row r="3" ht="20.1" customHeight="1" s="1">
      <c r="A3" s="5" t="inlineStr">
        <is>
          <t>KINGSTON 金士顿 DT 100G3 32GB USB3.0 U盘</t>
        </is>
      </c>
      <c r="B3" s="6" t="n">
        <v>155</v>
      </c>
    </row>
    <row r="4" ht="20.1" customHeight="1" s="1">
      <c r="A4" s="5" t="inlineStr">
        <is>
          <t>Lowepro-BP250摄影包</t>
        </is>
      </c>
      <c r="B4" s="6" t="n">
        <v>1078</v>
      </c>
    </row>
    <row r="5" ht="20.1" customHeight="1" s="1">
      <c r="A5" s="5" t="inlineStr">
        <is>
          <t>MFZ/ABC5kg</t>
        </is>
      </c>
      <c r="B5" s="6" t="n">
        <v>115</v>
      </c>
    </row>
    <row r="6" ht="20.1" customHeight="1" s="1">
      <c r="A6" s="5" t="inlineStr">
        <is>
          <t>NPG-51</t>
        </is>
      </c>
      <c r="B6" s="6" t="n">
        <v>346</v>
      </c>
    </row>
    <row r="7" ht="20.1" customHeight="1" s="1">
      <c r="A7" s="5" t="inlineStr">
        <is>
          <t>STDR2000301</t>
        </is>
      </c>
      <c r="B7" s="6" t="n">
        <v>760</v>
      </c>
    </row>
    <row r="8" ht="20.1" customHeight="1" s="1">
      <c r="A8" s="5" t="inlineStr">
        <is>
          <t>TP-LINK交换设备TL-SG1008+</t>
        </is>
      </c>
      <c r="B8" s="6" t="n">
        <v>250</v>
      </c>
    </row>
    <row r="9" ht="20.1" customHeight="1" s="1">
      <c r="A9" s="5" t="inlineStr">
        <is>
          <t>得力 A4 70g/m2</t>
        </is>
      </c>
      <c r="B9" s="6" t="n">
        <v>17.5</v>
      </c>
    </row>
    <row r="10" ht="20.1" customHeight="1" s="1">
      <c r="A10" s="5" t="inlineStr">
        <is>
          <t>得力电子密码防盗保险箱3617</t>
        </is>
      </c>
      <c r="B10" s="6" t="n">
        <v>2754</v>
      </c>
    </row>
    <row r="11" ht="20.1" customHeight="1" s="1">
      <c r="A11" s="5" t="inlineStr">
        <is>
          <t>东芝  DP-2802AF  数码复合机</t>
        </is>
      </c>
      <c r="B11" s="6" t="n">
        <v>5799</v>
      </c>
    </row>
    <row r="12" ht="20.1" customHeight="1" s="1">
      <c r="A12" s="5" t="inlineStr">
        <is>
          <t>东芝 2050C</t>
        </is>
      </c>
      <c r="B12" s="6" t="n">
        <v>499</v>
      </c>
    </row>
    <row r="13" ht="20.1" customHeight="1" s="1">
      <c r="A13" s="5" t="inlineStr">
        <is>
          <t>复印纸 A3 70G 500张/包</t>
        </is>
      </c>
      <c r="B13" s="6" t="n">
        <v>51.8</v>
      </c>
    </row>
    <row r="14" ht="20.1" customHeight="1" s="1">
      <c r="A14" s="5" t="inlineStr">
        <is>
          <t>富士施乐FujiXerox VC2263/2265彩色复合机</t>
        </is>
      </c>
      <c r="B14" s="6" t="n">
        <v>25479</v>
      </c>
    </row>
    <row r="15" ht="20.1" customHeight="1" s="1">
      <c r="A15" s="5" t="inlineStr">
        <is>
          <t>格力空调KFR-32GW/(32570)Aa-2</t>
        </is>
      </c>
      <c r="B15" s="6" t="n">
        <v>2880</v>
      </c>
    </row>
    <row r="16" ht="20.1" customHeight="1" s="1">
      <c r="A16" s="5" t="inlineStr">
        <is>
          <t>广丰 LED屏播放控制系统</t>
        </is>
      </c>
      <c r="B16" s="6" t="n">
        <v>12150</v>
      </c>
    </row>
    <row r="17" ht="20.1" customHeight="1" s="1">
      <c r="A17" s="5" t="inlineStr">
        <is>
          <t>惠普 78A</t>
        </is>
      </c>
      <c r="B17" s="6" t="n">
        <v>465</v>
      </c>
    </row>
    <row r="18" ht="20.1" customHeight="1" s="1">
      <c r="A18" s="5" t="inlineStr">
        <is>
          <t>惠普 CF300A</t>
        </is>
      </c>
      <c r="B18" s="6" t="n">
        <v>801</v>
      </c>
    </row>
    <row r="19" ht="20.1" customHeight="1" s="1">
      <c r="A19" s="5" t="inlineStr">
        <is>
          <t>惠普 HP Color LaserJet Pro MFP M477fdwA4</t>
        </is>
      </c>
      <c r="B19" s="6" t="n">
        <v>7999</v>
      </c>
    </row>
    <row r="20" ht="20.1" customHeight="1" s="1">
      <c r="A20" s="5" t="inlineStr">
        <is>
          <t>惠普 原厂耗材 78A</t>
        </is>
      </c>
      <c r="B20" s="6" t="n">
        <v>499</v>
      </c>
    </row>
    <row r="21" ht="20.1" customHeight="1" s="1">
      <c r="A21" s="5" t="inlineStr">
        <is>
          <t>惠普 原厂耗材-CC388A</t>
        </is>
      </c>
      <c r="B21" s="6" t="n">
        <v>449</v>
      </c>
    </row>
    <row r="22" ht="20.1" customHeight="1" s="1">
      <c r="A22" s="5" t="inlineStr">
        <is>
          <t>惠普 原厂耗材-CE742A</t>
        </is>
      </c>
      <c r="B22" s="6" t="n">
        <v>1699</v>
      </c>
    </row>
    <row r="23" ht="20.1" customHeight="1" s="1">
      <c r="A23" s="5" t="inlineStr">
        <is>
          <t>惠普 原厂耗材-Q5949A</t>
        </is>
      </c>
      <c r="B23" s="6" t="n">
        <v>550</v>
      </c>
    </row>
    <row r="24" ht="20.1" customHeight="1" s="1">
      <c r="A24" s="5" t="inlineStr">
        <is>
          <t>惠普 原厂耗材-Q7516A</t>
        </is>
      </c>
      <c r="B24" s="6" t="n">
        <v>1119</v>
      </c>
    </row>
    <row r="25" ht="20.1" customHeight="1" s="1">
      <c r="A25" s="5" t="inlineStr">
        <is>
          <t>惠普 原厂耗材-Q7553A</t>
        </is>
      </c>
      <c r="B25" s="6" t="n">
        <v>559</v>
      </c>
    </row>
    <row r="26" ht="20.1" customHeight="1" s="1">
      <c r="A26" s="5" t="inlineStr">
        <is>
          <t>惠普（HP）CD973AA 920XL号超高容品红色墨盒</t>
        </is>
      </c>
      <c r="B26" s="6" t="n">
        <v>95</v>
      </c>
    </row>
    <row r="27" ht="20.1" customHeight="1" s="1">
      <c r="A27" s="5" t="inlineStr">
        <is>
          <t>惠普（HP）CE313A 红色硒鼓 126A</t>
        </is>
      </c>
      <c r="B27" s="6" t="n">
        <v>335</v>
      </c>
    </row>
    <row r="28" ht="20.1" customHeight="1" s="1">
      <c r="A28" s="5" t="inlineStr">
        <is>
          <t>惠普（HP）CF228A 黑色硒鼓 28A</t>
        </is>
      </c>
      <c r="B28" s="6" t="n">
        <v>645</v>
      </c>
    </row>
    <row r="29" ht="20.1" customHeight="1" s="1">
      <c r="A29" s="5" t="inlineStr">
        <is>
          <t>惠普（HP）LaserJet C7115A黑色硒鼓 15A</t>
        </is>
      </c>
      <c r="B29" s="6" t="n">
        <v>734</v>
      </c>
    </row>
    <row r="30" ht="20.1" customHeight="1" s="1">
      <c r="A30" s="5" t="inlineStr">
        <is>
          <t>佳信捷 管理平台系统-JXJ-VN5000</t>
        </is>
      </c>
      <c r="B30" s="6" t="n">
        <v>11500</v>
      </c>
    </row>
    <row r="31" ht="20.1" customHeight="1" s="1">
      <c r="A31" s="5" t="inlineStr">
        <is>
          <t>金旗舰 A3 80g/m2</t>
        </is>
      </c>
      <c r="B31" s="6" t="n">
        <v>57.35</v>
      </c>
    </row>
    <row r="32" ht="20.1" customHeight="1" s="1">
      <c r="A32" s="5" t="inlineStr">
        <is>
          <t>金旗舰 A4 70g/m2</t>
        </is>
      </c>
      <c r="B32" s="6" t="n">
        <v>25.9</v>
      </c>
    </row>
    <row r="33" ht="20.1" customHeight="1" s="1">
      <c r="A33" s="5" t="inlineStr">
        <is>
          <t>金旗舰 A4 80g/m2</t>
        </is>
      </c>
      <c r="B33" s="6" t="n">
        <v>29.1</v>
      </c>
    </row>
    <row r="34" ht="20.1" customHeight="1" s="1">
      <c r="A34" s="5" t="inlineStr">
        <is>
          <t>金旗舰 B5 70g/m2</t>
        </is>
      </c>
      <c r="B34" s="6" t="n">
        <v>19.1</v>
      </c>
    </row>
    <row r="35" ht="20.1" customHeight="1" s="1">
      <c r="A35" s="5" t="inlineStr">
        <is>
          <t>金士顿（Kingston） DT 100G3 128GB USB3.0 U盘</t>
        </is>
      </c>
      <c r="B35" s="6" t="n">
        <v>358</v>
      </c>
    </row>
    <row r="36" ht="20.1" customHeight="1" s="1">
      <c r="A36" s="5" t="inlineStr">
        <is>
          <t>金士顿（Kingston）128GB 80MB/s TF Class10 UHS-I高速存储卡</t>
        </is>
      </c>
      <c r="B36" s="6" t="n">
        <v>438</v>
      </c>
    </row>
    <row r="37" ht="20.1" customHeight="1" s="1">
      <c r="A37" s="5" t="inlineStr">
        <is>
          <t>金士顿U盘DT50 64G USB3.1</t>
        </is>
      </c>
      <c r="B37" s="6" t="n">
        <v>216</v>
      </c>
    </row>
    <row r="38" ht="20.1" customHeight="1" s="1">
      <c r="A38" s="5" t="inlineStr">
        <is>
          <t>柯尼卡美能达-打印设备-多功能一体机-TNP31</t>
        </is>
      </c>
      <c r="B38" s="6" t="n">
        <v>320</v>
      </c>
    </row>
    <row r="39" ht="20.1" customHeight="1" s="1">
      <c r="A39" s="5" t="inlineStr">
        <is>
          <t>酷刃U盘</t>
        </is>
      </c>
      <c r="B39" s="6" t="n">
        <v>120</v>
      </c>
    </row>
    <row r="40" ht="20.1" customHeight="1" s="1">
      <c r="A40" s="5" t="inlineStr">
        <is>
          <t>莱盛（laser）LS-88A 硒鼓</t>
        </is>
      </c>
      <c r="B40" s="6" t="n">
        <v>159</v>
      </c>
    </row>
    <row r="41" ht="20.1" customHeight="1" s="1">
      <c r="A41" s="5" t="inlineStr">
        <is>
          <t>莱盛光标LS-78A</t>
        </is>
      </c>
      <c r="B41" s="6" t="n">
        <v>164</v>
      </c>
    </row>
    <row r="42" ht="20.1" customHeight="1" s="1">
      <c r="A42" s="5" t="inlineStr">
        <is>
          <t>浪潮 NF8465M4 机架式服务器</t>
        </is>
      </c>
      <c r="B42" s="6" t="n">
        <v>84000</v>
      </c>
    </row>
    <row r="43" ht="20.1" customHeight="1" s="1">
      <c r="A43" s="5" t="inlineStr">
        <is>
          <t>理光 SP 200C黑色硒鼓 Print Cartridge SP 200C</t>
        </is>
      </c>
      <c r="B43" s="6" t="n">
        <v>602.5</v>
      </c>
    </row>
    <row r="44" ht="20.1" customHeight="1" s="1">
      <c r="A44" s="5" t="inlineStr">
        <is>
          <t>利市 A3 70g/m2</t>
        </is>
      </c>
      <c r="B44" s="6" t="n">
        <v>38.8</v>
      </c>
    </row>
    <row r="45" ht="20.1" customHeight="1" s="1">
      <c r="A45" s="5" t="inlineStr">
        <is>
          <t xml:space="preserve">联想 F309 1T 移动硬盘 </t>
        </is>
      </c>
      <c r="B45" s="6" t="n">
        <v>460</v>
      </c>
    </row>
    <row r="46" ht="20.1" customHeight="1" s="1">
      <c r="A46" s="5" t="inlineStr">
        <is>
          <t>闪迪 CZ50 16G U盘</t>
        </is>
      </c>
      <c r="B46" s="6" t="n">
        <v>37</v>
      </c>
    </row>
    <row r="47" ht="20.1" customHeight="1" s="1">
      <c r="A47" s="5" t="inlineStr">
        <is>
          <t>闪迪 SANDISK 至尊高速酷豆 CZ43 USB 3.0 U盘 32GB</t>
        </is>
      </c>
      <c r="B47" s="6" t="n">
        <v>80</v>
      </c>
    </row>
    <row r="48" ht="20.1" customHeight="1" s="1">
      <c r="A48" s="5" t="inlineStr">
        <is>
          <t>闪迪 至尊高速Type-C 64GB USB3.1双接口OTG U盘</t>
        </is>
      </c>
      <c r="B48" s="6" t="n">
        <v>220</v>
      </c>
    </row>
    <row r="49" ht="20.1" customHeight="1" s="1">
      <c r="A49" s="5" t="inlineStr">
        <is>
          <t>闪迪 高速金属迷你优盘 3.0高速版(64G)</t>
        </is>
      </c>
      <c r="B49" s="6" t="n">
        <v>179</v>
      </c>
    </row>
    <row r="50" ht="20.1" customHeight="1" s="1">
      <c r="A50" s="5" t="inlineStr">
        <is>
          <t>神龙灭火器-手提式灭火器MFZ/ABC5</t>
        </is>
      </c>
      <c r="B50" s="6" t="n">
        <v>117</v>
      </c>
    </row>
    <row r="51" ht="20.1" customHeight="1" s="1">
      <c r="A51" s="5" t="inlineStr">
        <is>
          <t>施乐捷印 500张70/80g A4/A3复印纸</t>
        </is>
      </c>
      <c r="B51" s="6" t="n">
        <v>19</v>
      </c>
    </row>
    <row r="52" ht="20.1" customHeight="1" s="1">
      <c r="A52" s="5" t="inlineStr">
        <is>
          <t>索尼（SONY）ICD-SX2000 数码录音棒</t>
        </is>
      </c>
      <c r="B52" s="6" t="n">
        <v>1999</v>
      </c>
    </row>
    <row r="53" ht="20.1" customHeight="1" s="1">
      <c r="A53" s="5" t="inlineStr">
        <is>
          <t>索尼（SONY）ICD-UX565F 数码录音棒</t>
        </is>
      </c>
      <c r="B53" s="6" t="n">
        <v>1299</v>
      </c>
    </row>
    <row r="54" ht="20.1" customHeight="1" s="1">
      <c r="A54" s="5" t="inlineStr">
        <is>
          <t>铁三角 T-VGA</t>
        </is>
      </c>
      <c r="B54" s="6" t="n">
        <v>135</v>
      </c>
    </row>
    <row r="55" ht="20.1" customHeight="1" s="1">
      <c r="A55" s="5" t="inlineStr">
        <is>
          <t>微软 surface book I7/16G内存/1TB硬盘/13.5寸触摸屏/GTX965显卡</t>
        </is>
      </c>
      <c r="B55" s="6" t="n">
        <v>24588</v>
      </c>
    </row>
    <row r="56" ht="20.1" customHeight="1" s="1">
      <c r="A56" s="5" t="inlineStr">
        <is>
          <t>五星红鸟 70gA4</t>
        </is>
      </c>
      <c r="B56" s="6" t="n">
        <v>21</v>
      </c>
    </row>
    <row r="57" ht="20.1" customHeight="1" s="1">
      <c r="A57" s="5" t="inlineStr">
        <is>
          <t>西部数据 WD ELEMENTS 新元素系列 2.5英寸 USB3.0 500G</t>
        </is>
      </c>
      <c r="B57" s="6" t="n">
        <v>389</v>
      </c>
    </row>
    <row r="58" ht="20.1" customHeight="1" s="1">
      <c r="A58" s="5" t="inlineStr">
        <is>
          <t>西部数据（WD）2.5英寸 USB3.0 移动硬盘 1TB（WDBUZG0010BBK）</t>
        </is>
      </c>
      <c r="B58" s="6" t="n">
        <v>418</v>
      </c>
    </row>
    <row r="59" ht="20.1" customHeight="1" s="1">
      <c r="A59" s="5" t="inlineStr">
        <is>
          <t>西部数据（WD 2TB 2.5英寸  移动硬盘 WDBYFT0020BBK-CESN</t>
        </is>
      </c>
      <c r="B59" s="6" t="n">
        <v>689</v>
      </c>
    </row>
    <row r="60" ht="20.1" customHeight="1" s="1">
      <c r="A60" s="5" t="inlineStr">
        <is>
          <t>希捷（seagate） 6TB3.5寸NAS级SATA</t>
        </is>
      </c>
      <c r="B60" s="6" t="n">
        <v>2950</v>
      </c>
    </row>
    <row r="61" ht="20.1" customHeight="1" s="1">
      <c r="A61" s="5" t="inlineStr">
        <is>
          <t>希捷（Seagate） 1TB USB3.0 2.5英寸 移动硬盘 (STDR1000300)</t>
        </is>
      </c>
      <c r="B61" s="6" t="n">
        <v>438</v>
      </c>
    </row>
    <row r="62" ht="20.1" customHeight="1" s="1">
      <c r="A62" s="5" t="inlineStr">
        <is>
          <t>希捷Backup Plus睿品2.5英寸 USB3.0 (STDR1000300) 黑色 1T</t>
        </is>
      </c>
      <c r="B62" s="6" t="n">
        <v>478</v>
      </c>
    </row>
    <row r="63" ht="20.1" customHeight="1" s="1">
      <c r="A63" s="5" t="inlineStr">
        <is>
          <t>硒鼓 318 Y</t>
        </is>
      </c>
      <c r="B63" s="6" t="n">
        <v>966</v>
      </c>
    </row>
    <row r="64" ht="20.1" customHeight="1" s="1">
      <c r="A64" s="5" t="inlineStr">
        <is>
          <t>兄弟 HL-3150CDN 激光打印机</t>
        </is>
      </c>
      <c r="B64" s="6" t="n">
        <v>2480</v>
      </c>
    </row>
    <row r="65" ht="20.1" customHeight="1" s="1">
      <c r="A65" s="5" t="inlineStr">
        <is>
          <t>忆捷 EAGET U90 USB3.0极速防水防尘防静电全金属刀锋U盘 16g 银色</t>
        </is>
      </c>
      <c r="B65" s="6" t="n">
        <v>62.6</v>
      </c>
    </row>
    <row r="66" ht="20.1" customHeight="1" s="1">
      <c r="A66" s="5" t="inlineStr">
        <is>
          <t>忆捷（EAGET）U90 U盘64G USB3.0高速全金属防水防震便携款银色亮薄</t>
        </is>
      </c>
      <c r="B66" s="6" t="n">
        <v>132.17</v>
      </c>
    </row>
    <row r="67" ht="20.1" customHeight="1" s="1">
      <c r="A67" s="5" t="inlineStr">
        <is>
          <t>盈佳  YJ-3119</t>
        </is>
      </c>
      <c r="B67" s="6" t="n">
        <v>135</v>
      </c>
    </row>
    <row r="68" ht="20.1" customHeight="1" s="1">
      <c r="A68" s="5" t="inlineStr">
        <is>
          <t>盈佳  YJ-CE310A K</t>
        </is>
      </c>
      <c r="B68" s="6" t="n">
        <v>135</v>
      </c>
    </row>
    <row r="69" ht="20.1" customHeight="1" s="1">
      <c r="A69" s="5" t="inlineStr">
        <is>
          <t>原厂耗材-CE410A</t>
        </is>
      </c>
      <c r="B69" s="6" t="n">
        <v>479</v>
      </c>
    </row>
    <row r="70" ht="20.1" customHeight="1" s="1">
      <c r="A70" s="5" t="inlineStr">
        <is>
          <t>针式打印机</t>
        </is>
      </c>
      <c r="B70" s="6" t="n">
        <v>4888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ColWidth="9" defaultRowHeight="12"/>
  <cols>
    <col width="6" customWidth="1" style="8" min="1" max="1"/>
    <col width="10.875" customWidth="1" style="9" min="2" max="2"/>
    <col width="54.25" customWidth="1" style="9" min="3" max="3"/>
    <col width="6" customWidth="1" style="9" min="4" max="4"/>
    <col width="9.25" customWidth="1" style="9" min="5" max="5"/>
    <col width="10.25" customWidth="1" style="9" min="6" max="6"/>
    <col width="7.625" customWidth="1" style="9" min="7" max="7"/>
    <col width="19.75" customWidth="1" style="9" min="8" max="8"/>
    <col width="16.25" customWidth="1" style="9" min="9" max="9"/>
    <col width="9" customWidth="1" style="9" min="10" max="16384"/>
  </cols>
  <sheetData>
    <row r="1" ht="20.1" customFormat="1" customHeight="1" s="7">
      <c r="A1" s="29" t="inlineStr">
        <is>
          <t>销售订单</t>
        </is>
      </c>
    </row>
    <row r="2" ht="20.1" customFormat="1" customHeight="1" s="7">
      <c r="A2" s="10" t="inlineStr">
        <is>
          <t>序号</t>
        </is>
      </c>
      <c r="B2" s="10" t="inlineStr">
        <is>
          <t>结算单日期</t>
        </is>
      </c>
      <c r="C2" s="10" t="inlineStr">
        <is>
          <t>名称</t>
        </is>
      </c>
      <c r="D2" s="10" t="inlineStr">
        <is>
          <t>数量</t>
        </is>
      </c>
      <c r="E2" s="11" t="inlineStr">
        <is>
          <t>单价</t>
        </is>
      </c>
      <c r="F2" s="11" t="inlineStr">
        <is>
          <t>销售额</t>
        </is>
      </c>
      <c r="G2" s="11" t="inlineStr">
        <is>
          <t>供货商</t>
        </is>
      </c>
      <c r="H2" s="10" t="inlineStr">
        <is>
          <t>部门</t>
        </is>
      </c>
      <c r="I2" s="17" t="inlineStr">
        <is>
          <t>关键字</t>
        </is>
      </c>
      <c r="J2" s="11" t="inlineStr">
        <is>
          <t>销售表现</t>
        </is>
      </c>
    </row>
    <row r="3" ht="20.1" customFormat="1" customHeight="1" s="7">
      <c r="A3" s="15" t="n">
        <v>4</v>
      </c>
      <c r="B3" s="13" t="inlineStr">
        <is>
          <t>2017-12-6</t>
        </is>
      </c>
      <c r="C3" s="13" t="inlineStr">
        <is>
          <t>TP-LINK交换设备TL-SG1008+</t>
        </is>
      </c>
      <c r="D3" s="15" t="n">
        <v>2</v>
      </c>
      <c r="E3" s="14" t="n">
        <v>250</v>
      </c>
      <c r="F3" s="30" t="n">
        <v>500</v>
      </c>
      <c r="G3" s="14" t="inlineStr">
        <is>
          <t>D企业</t>
        </is>
      </c>
      <c r="H3" s="14" t="inlineStr">
        <is>
          <t>北京A3大学</t>
        </is>
      </c>
      <c r="I3" s="18" t="inlineStr">
        <is>
          <t>TP-LINK</t>
        </is>
      </c>
      <c r="J3" s="19" t="inlineStr">
        <is>
          <t>中等</t>
        </is>
      </c>
    </row>
    <row r="4" ht="20.1" customFormat="1" customHeight="1" s="7">
      <c r="A4" s="15" t="n">
        <v>65</v>
      </c>
      <c r="B4" s="13" t="inlineStr">
        <is>
          <t>2017-12-11</t>
        </is>
      </c>
      <c r="C4" s="13" t="inlineStr">
        <is>
          <t>东芝  DP-2802AF  数码复合机</t>
        </is>
      </c>
      <c r="D4" s="15" t="n">
        <v>1</v>
      </c>
      <c r="E4" s="14" t="n">
        <v>5799</v>
      </c>
      <c r="F4" s="30" t="n">
        <v>5799</v>
      </c>
      <c r="G4" s="14" t="inlineStr">
        <is>
          <t>C企业</t>
        </is>
      </c>
      <c r="H4" s="14" t="inlineStr">
        <is>
          <t>北京A16办公室</t>
        </is>
      </c>
      <c r="I4" s="18" t="inlineStr">
        <is>
          <t>东芝</t>
        </is>
      </c>
      <c r="J4" s="20" t="inlineStr">
        <is>
          <t>中等</t>
        </is>
      </c>
    </row>
    <row r="5" ht="20.1" customFormat="1" customHeight="1" s="7">
      <c r="A5" s="15" t="n">
        <v>23</v>
      </c>
      <c r="B5" s="13" t="inlineStr">
        <is>
          <t>2017-6-15</t>
        </is>
      </c>
      <c r="C5" s="13" t="inlineStr">
        <is>
          <t>东芝 2050C</t>
        </is>
      </c>
      <c r="D5" s="15" t="n">
        <v>2</v>
      </c>
      <c r="E5" s="14" t="n">
        <v>499</v>
      </c>
      <c r="F5" s="30" t="n">
        <v>998</v>
      </c>
      <c r="G5" s="16" t="inlineStr">
        <is>
          <t>C企业</t>
        </is>
      </c>
      <c r="H5" s="14" t="inlineStr">
        <is>
          <t>北京A8学院</t>
        </is>
      </c>
      <c r="I5" s="18" t="inlineStr">
        <is>
          <t>东芝</t>
        </is>
      </c>
      <c r="J5" s="20" t="inlineStr">
        <is>
          <t>中等</t>
        </is>
      </c>
    </row>
    <row r="6" ht="20.1" customFormat="1" customHeight="1" s="7">
      <c r="A6" s="15" t="n">
        <v>21</v>
      </c>
      <c r="B6" s="13" t="inlineStr">
        <is>
          <t>2017-6-19</t>
        </is>
      </c>
      <c r="C6" s="13" t="inlineStr">
        <is>
          <t>五星红鸟 70gA4</t>
        </is>
      </c>
      <c r="D6" s="15" t="n">
        <v>125</v>
      </c>
      <c r="E6" s="14" t="n">
        <v>21</v>
      </c>
      <c r="F6" s="30" t="n">
        <v>2625</v>
      </c>
      <c r="G6" s="14" t="inlineStr">
        <is>
          <t>C企业</t>
        </is>
      </c>
      <c r="H6" s="14" t="inlineStr">
        <is>
          <t>北京A11机关</t>
        </is>
      </c>
      <c r="I6" s="18" t="inlineStr">
        <is>
          <t>五星红鸟</t>
        </is>
      </c>
      <c r="J6" s="20" t="inlineStr">
        <is>
          <t>中等</t>
        </is>
      </c>
    </row>
    <row r="7" ht="20.1" customFormat="1" customHeight="1" s="7">
      <c r="A7" s="15" t="n">
        <v>55</v>
      </c>
      <c r="B7" s="13" t="inlineStr">
        <is>
          <t>2017-5-23</t>
        </is>
      </c>
      <c r="C7" s="13" t="inlineStr">
        <is>
          <t>佳信捷 管理平台系统-JXJ-VN5000</t>
        </is>
      </c>
      <c r="D7" s="15" t="n">
        <v>1</v>
      </c>
      <c r="E7" s="14" t="n">
        <v>11500</v>
      </c>
      <c r="F7" s="30" t="n">
        <v>11500</v>
      </c>
      <c r="G7" s="14" t="inlineStr">
        <is>
          <t>A企业</t>
        </is>
      </c>
      <c r="H7" s="14" t="inlineStr">
        <is>
          <t>北京A16办公室</t>
        </is>
      </c>
      <c r="I7" s="18" t="inlineStr">
        <is>
          <t>佳信捷</t>
        </is>
      </c>
      <c r="J7" s="20" t="inlineStr">
        <is>
          <t>中等</t>
        </is>
      </c>
    </row>
    <row r="8" ht="20.1" customFormat="1" customHeight="1" s="7">
      <c r="A8" s="15" t="n">
        <v>12</v>
      </c>
      <c r="B8" s="13" t="inlineStr">
        <is>
          <t>2017-10-10</t>
        </is>
      </c>
      <c r="C8" s="13" t="inlineStr">
        <is>
          <t>NPG-51</t>
        </is>
      </c>
      <c r="D8" s="15" t="n">
        <v>7</v>
      </c>
      <c r="E8" s="14" t="n">
        <v>346</v>
      </c>
      <c r="F8" s="30" t="n">
        <v>2422</v>
      </c>
      <c r="G8" s="14" t="inlineStr">
        <is>
          <t>F企业</t>
        </is>
      </c>
      <c r="H8" s="14" t="inlineStr">
        <is>
          <t>北京A22局</t>
        </is>
      </c>
      <c r="I8" s="18" t="inlineStr">
        <is>
          <t>佳能</t>
        </is>
      </c>
      <c r="J8" s="20" t="inlineStr">
        <is>
          <t>中等</t>
        </is>
      </c>
    </row>
    <row r="9" ht="20.1" customFormat="1" customHeight="1" s="7">
      <c r="A9" s="15" t="n">
        <v>53</v>
      </c>
      <c r="B9" s="13" t="inlineStr">
        <is>
          <t>2017-7-4</t>
        </is>
      </c>
      <c r="C9" s="13" t="inlineStr">
        <is>
          <t>Lowepro-BP250摄影包</t>
        </is>
      </c>
      <c r="D9" s="15" t="n">
        <v>2</v>
      </c>
      <c r="E9" s="14" t="n">
        <v>1078</v>
      </c>
      <c r="F9" s="30" t="n">
        <v>2156</v>
      </c>
      <c r="G9" s="16" t="inlineStr">
        <is>
          <t>C企业</t>
        </is>
      </c>
      <c r="H9" s="14" t="inlineStr">
        <is>
          <t>北京A24学院</t>
        </is>
      </c>
      <c r="I9" s="18" t="inlineStr">
        <is>
          <t>佳能</t>
        </is>
      </c>
      <c r="J9" s="20" t="inlineStr">
        <is>
          <t>中等</t>
        </is>
      </c>
    </row>
    <row r="10" ht="20.1" customFormat="1" customHeight="1" s="7">
      <c r="A10" s="15" t="n">
        <v>15</v>
      </c>
      <c r="B10" s="13" t="inlineStr">
        <is>
          <t>2017-9-7</t>
        </is>
      </c>
      <c r="C10" s="13" t="inlineStr">
        <is>
          <t>硒鼓 318 Y</t>
        </is>
      </c>
      <c r="D10" s="15" t="n">
        <v>2</v>
      </c>
      <c r="E10" s="14" t="n">
        <v>966</v>
      </c>
      <c r="F10" s="30" t="n">
        <v>1932</v>
      </c>
      <c r="G10" s="14" t="inlineStr">
        <is>
          <t>C企业</t>
        </is>
      </c>
      <c r="H10" s="14" t="inlineStr">
        <is>
          <t>北京A11机关</t>
        </is>
      </c>
      <c r="I10" s="18" t="inlineStr">
        <is>
          <t>佳能</t>
        </is>
      </c>
      <c r="J10" s="20" t="inlineStr">
        <is>
          <t>中等</t>
        </is>
      </c>
    </row>
    <row r="11" ht="20.1" customFormat="1" customHeight="1" s="7">
      <c r="A11" s="15" t="n">
        <v>61</v>
      </c>
      <c r="B11" s="13" t="inlineStr">
        <is>
          <t>2017-4-11</t>
        </is>
      </c>
      <c r="C11" s="13" t="inlineStr">
        <is>
          <t>兄弟 HL-3150CDN 激光打印机</t>
        </is>
      </c>
      <c r="D11" s="15" t="n">
        <v>1</v>
      </c>
      <c r="E11" s="14" t="n">
        <v>2480</v>
      </c>
      <c r="F11" s="30" t="n">
        <v>2480</v>
      </c>
      <c r="G11" s="14" t="inlineStr">
        <is>
          <t>A企业</t>
        </is>
      </c>
      <c r="H11" s="14" t="inlineStr">
        <is>
          <t>北京A13局</t>
        </is>
      </c>
      <c r="I11" s="18" t="inlineStr">
        <is>
          <t>兄弟</t>
        </is>
      </c>
      <c r="J11" s="20" t="inlineStr">
        <is>
          <t>中等</t>
        </is>
      </c>
    </row>
    <row r="12" ht="20.1" customFormat="1" customHeight="1" s="7">
      <c r="A12" s="15" t="n">
        <v>38</v>
      </c>
      <c r="B12" s="13" t="inlineStr">
        <is>
          <t>2017-11-24</t>
        </is>
      </c>
      <c r="C12" s="13" t="inlineStr">
        <is>
          <t>利市 A3 70g/m2</t>
        </is>
      </c>
      <c r="D12" s="15" t="n">
        <v>60</v>
      </c>
      <c r="E12" s="14" t="n">
        <v>38.8</v>
      </c>
      <c r="F12" s="30" t="n">
        <v>2328</v>
      </c>
      <c r="G12" s="14" t="inlineStr">
        <is>
          <t>B企业</t>
        </is>
      </c>
      <c r="H12" s="14" t="inlineStr">
        <is>
          <t>北京A21研究所</t>
        </is>
      </c>
      <c r="I12" s="18" t="inlineStr">
        <is>
          <t>利市</t>
        </is>
      </c>
      <c r="J12" s="20" t="inlineStr">
        <is>
          <t>中等</t>
        </is>
      </c>
    </row>
    <row r="13" ht="20.1" customFormat="1" customHeight="1" s="7">
      <c r="A13" s="15" t="n">
        <v>44</v>
      </c>
      <c r="B13" s="13" t="inlineStr">
        <is>
          <t>2017-10-18</t>
        </is>
      </c>
      <c r="C13" s="13" t="inlineStr">
        <is>
          <t>富士施乐FujiXerox VC2263/2265彩色复合机</t>
        </is>
      </c>
      <c r="D13" s="15" t="n">
        <v>1</v>
      </c>
      <c r="E13" s="14" t="n">
        <v>25479</v>
      </c>
      <c r="F13" s="30" t="n">
        <v>25479</v>
      </c>
      <c r="G13" s="14" t="inlineStr">
        <is>
          <t>H企业</t>
        </is>
      </c>
      <c r="H13" s="14" t="inlineStr">
        <is>
          <t>北京A10管理处</t>
        </is>
      </c>
      <c r="I13" s="18" t="inlineStr">
        <is>
          <t>富士施乐</t>
        </is>
      </c>
      <c r="J13" s="20" t="inlineStr">
        <is>
          <t>优</t>
        </is>
      </c>
    </row>
    <row r="14" ht="20.1" customFormat="1" customHeight="1" s="7">
      <c r="A14" s="15" t="n">
        <v>5</v>
      </c>
      <c r="B14" s="13" t="inlineStr">
        <is>
          <t>2017-11-15</t>
        </is>
      </c>
      <c r="C14" s="13" t="inlineStr">
        <is>
          <t>希捷（seagate） 6TB3.5寸NAS级SATA</t>
        </is>
      </c>
      <c r="D14" s="15" t="n">
        <v>4</v>
      </c>
      <c r="E14" s="14" t="n">
        <v>2950</v>
      </c>
      <c r="F14" s="30" t="n">
        <v>11800</v>
      </c>
      <c r="G14" s="14" t="inlineStr">
        <is>
          <t>C企业</t>
        </is>
      </c>
      <c r="H14" s="14" t="inlineStr">
        <is>
          <t>北京A5中心</t>
        </is>
      </c>
      <c r="I14" s="18" t="inlineStr">
        <is>
          <t>希捷</t>
        </is>
      </c>
      <c r="J14" s="20" t="inlineStr">
        <is>
          <t>中等</t>
        </is>
      </c>
    </row>
    <row r="15" ht="20.1" customFormat="1" customHeight="1" s="7">
      <c r="A15" s="15" t="n">
        <v>49</v>
      </c>
      <c r="B15" s="13" t="inlineStr">
        <is>
          <t>2017-9-28</t>
        </is>
      </c>
      <c r="C15" s="13" t="inlineStr">
        <is>
          <t>希捷（Seagate） 1TB USB3.0 2.5英寸 移动硬盘 (STDR1000300)</t>
        </is>
      </c>
      <c r="D15" s="15" t="n">
        <v>6</v>
      </c>
      <c r="E15" s="14" t="n">
        <v>438</v>
      </c>
      <c r="F15" s="30" t="n">
        <v>2628</v>
      </c>
      <c r="G15" s="14" t="inlineStr">
        <is>
          <t>G企业</t>
        </is>
      </c>
      <c r="H15" s="14" t="inlineStr">
        <is>
          <t>北京A13局</t>
        </is>
      </c>
      <c r="I15" s="18" t="inlineStr">
        <is>
          <t>希捷</t>
        </is>
      </c>
      <c r="J15" s="20" t="inlineStr">
        <is>
          <t>中等</t>
        </is>
      </c>
    </row>
    <row r="16" ht="20.1" customFormat="1" customHeight="1" s="7">
      <c r="A16" s="15" t="n">
        <v>37</v>
      </c>
      <c r="B16" s="13" t="inlineStr">
        <is>
          <t>2017-12-4</t>
        </is>
      </c>
      <c r="C16" s="13" t="inlineStr">
        <is>
          <t>STDR2000301</t>
        </is>
      </c>
      <c r="D16" s="15" t="n">
        <v>3</v>
      </c>
      <c r="E16" s="14" t="n">
        <v>760</v>
      </c>
      <c r="F16" s="30" t="n">
        <v>2280</v>
      </c>
      <c r="G16" s="14" t="inlineStr">
        <is>
          <t>F企业</t>
        </is>
      </c>
      <c r="H16" s="14" t="inlineStr">
        <is>
          <t>北京A7大学</t>
        </is>
      </c>
      <c r="I16" s="18" t="inlineStr">
        <is>
          <t>希捷</t>
        </is>
      </c>
      <c r="J16" s="20" t="inlineStr">
        <is>
          <t>中等</t>
        </is>
      </c>
    </row>
    <row r="17" ht="20.1" customFormat="1" customHeight="1" s="7">
      <c r="A17" s="15" t="n">
        <v>16</v>
      </c>
      <c r="B17" s="13" t="inlineStr">
        <is>
          <t>2017-9-6</t>
        </is>
      </c>
      <c r="C17" s="13" t="inlineStr">
        <is>
          <t>希捷Backup Plus睿品2.5英寸 USB3.0 (STDR1000300) 黑色 1T</t>
        </is>
      </c>
      <c r="D17" s="15" t="n">
        <v>1</v>
      </c>
      <c r="E17" s="14" t="n">
        <v>478</v>
      </c>
      <c r="F17" s="30" t="n">
        <v>478</v>
      </c>
      <c r="G17" s="14" t="inlineStr">
        <is>
          <t>C企业</t>
        </is>
      </c>
      <c r="H17" s="14" t="inlineStr">
        <is>
          <t>北京A11机关</t>
        </is>
      </c>
      <c r="I17" s="18" t="inlineStr">
        <is>
          <t>希捷</t>
        </is>
      </c>
      <c r="J17" s="20" t="inlineStr">
        <is>
          <t>中等</t>
        </is>
      </c>
    </row>
    <row r="18" ht="20.1" customFormat="1" customHeight="1" s="7">
      <c r="A18" s="15" t="n">
        <v>32</v>
      </c>
      <c r="B18" s="13" t="inlineStr">
        <is>
          <t>2017-12-19</t>
        </is>
      </c>
      <c r="C18" s="13" t="inlineStr">
        <is>
          <t>广丰 LED屏播放控制系统</t>
        </is>
      </c>
      <c r="D18" s="15" t="n">
        <v>1</v>
      </c>
      <c r="E18" s="14" t="n">
        <v>12150</v>
      </c>
      <c r="F18" s="30" t="n">
        <v>12150</v>
      </c>
      <c r="G18" s="14" t="inlineStr">
        <is>
          <t>G企业</t>
        </is>
      </c>
      <c r="H18" s="14" t="inlineStr">
        <is>
          <t>北京A23办事处</t>
        </is>
      </c>
      <c r="I18" s="18" t="inlineStr">
        <is>
          <t>广丰</t>
        </is>
      </c>
      <c r="J18" s="20" t="inlineStr">
        <is>
          <t>中等</t>
        </is>
      </c>
    </row>
    <row r="19" ht="20.1" customFormat="1" customHeight="1" s="7">
      <c r="A19" s="15" t="n">
        <v>48</v>
      </c>
      <c r="B19" s="13" t="inlineStr">
        <is>
          <t>2017-9-28</t>
        </is>
      </c>
      <c r="C19" s="13" t="inlineStr">
        <is>
          <t>得力 A4 70g/m2</t>
        </is>
      </c>
      <c r="D19" s="15" t="n">
        <v>300</v>
      </c>
      <c r="E19" s="14" t="n">
        <v>17.5</v>
      </c>
      <c r="F19" s="30" t="n">
        <v>5250</v>
      </c>
      <c r="G19" s="14" t="inlineStr">
        <is>
          <t>C企业</t>
        </is>
      </c>
      <c r="H19" s="14" t="inlineStr">
        <is>
          <t>北京A25医院</t>
        </is>
      </c>
      <c r="I19" s="18" t="inlineStr">
        <is>
          <t>得力</t>
        </is>
      </c>
      <c r="J19" s="20" t="inlineStr">
        <is>
          <t>优</t>
        </is>
      </c>
    </row>
    <row r="20" ht="20.1" customFormat="1" customHeight="1" s="7">
      <c r="A20" s="15" t="n">
        <v>62</v>
      </c>
      <c r="B20" s="13" t="inlineStr">
        <is>
          <t>2017-2-6</t>
        </is>
      </c>
      <c r="C20" s="13" t="inlineStr">
        <is>
          <t>得力电子密码防盗保险箱3617</t>
        </is>
      </c>
      <c r="D20" s="15" t="n">
        <v>1</v>
      </c>
      <c r="E20" s="14" t="n">
        <v>2754</v>
      </c>
      <c r="F20" s="30" t="n">
        <v>2754</v>
      </c>
      <c r="G20" s="14" t="inlineStr">
        <is>
          <t>G企业</t>
        </is>
      </c>
      <c r="H20" s="14" t="inlineStr">
        <is>
          <t>北京A16办公室</t>
        </is>
      </c>
      <c r="I20" s="18" t="inlineStr">
        <is>
          <t>得力</t>
        </is>
      </c>
      <c r="J20" s="20" t="inlineStr">
        <is>
          <t>中等</t>
        </is>
      </c>
    </row>
    <row r="21" ht="20.1" customFormat="1" customHeight="1" s="7">
      <c r="A21" s="15" t="n">
        <v>18</v>
      </c>
      <c r="B21" s="13" t="inlineStr">
        <is>
          <t>2017-6-28</t>
        </is>
      </c>
      <c r="C21" s="13" t="inlineStr">
        <is>
          <t>微软 surface book I7/16G内存/1TB硬盘/13.5寸触摸屏/GTX965显卡</t>
        </is>
      </c>
      <c r="D21" s="15" t="n">
        <v>1</v>
      </c>
      <c r="E21" s="14" t="n">
        <v>24588</v>
      </c>
      <c r="F21" s="30" t="n">
        <v>24588</v>
      </c>
      <c r="G21" s="14" t="inlineStr">
        <is>
          <t>C企业</t>
        </is>
      </c>
      <c r="H21" s="14" t="inlineStr">
        <is>
          <t>北京A2大学</t>
        </is>
      </c>
      <c r="I21" s="18" t="inlineStr">
        <is>
          <t>微软</t>
        </is>
      </c>
      <c r="J21" s="20" t="inlineStr">
        <is>
          <t>优</t>
        </is>
      </c>
    </row>
    <row r="22" ht="20.1" customFormat="1" customHeight="1" s="7">
      <c r="A22" s="15" t="n">
        <v>42</v>
      </c>
      <c r="B22" s="13" t="inlineStr">
        <is>
          <t>2017-10-24</t>
        </is>
      </c>
      <c r="C22" s="13" t="inlineStr">
        <is>
          <t>忆捷（EAGET）U90 U盘64G USB3.0高速全金属防水防震便携款银色亮薄</t>
        </is>
      </c>
      <c r="D22" s="15" t="n">
        <v>29</v>
      </c>
      <c r="E22" s="14" t="n">
        <v>132.17</v>
      </c>
      <c r="F22" s="30" t="n">
        <v>3832.93</v>
      </c>
      <c r="G22" s="14" t="inlineStr">
        <is>
          <t>J企业</t>
        </is>
      </c>
      <c r="H22" s="14" t="inlineStr">
        <is>
          <t>北京A15小学</t>
        </is>
      </c>
      <c r="I22" s="18" t="inlineStr">
        <is>
          <t>忆捷</t>
        </is>
      </c>
      <c r="J22" s="20" t="inlineStr">
        <is>
          <t>中等</t>
        </is>
      </c>
    </row>
    <row r="23" ht="20.1" customFormat="1" customHeight="1" s="7">
      <c r="A23" s="15" t="n">
        <v>57</v>
      </c>
      <c r="B23" s="13" t="inlineStr">
        <is>
          <t>2017-5-16</t>
        </is>
      </c>
      <c r="C23" s="13" t="inlineStr">
        <is>
          <t>忆捷 EAGET U90 USB3.0极速防水防尘防静电全金属刀锋U盘 16g 银色</t>
        </is>
      </c>
      <c r="D23" s="15" t="n">
        <v>10</v>
      </c>
      <c r="E23" s="14" t="n">
        <v>62.6</v>
      </c>
      <c r="F23" s="30" t="n">
        <v>626</v>
      </c>
      <c r="G23" s="14" t="inlineStr">
        <is>
          <t>C企业</t>
        </is>
      </c>
      <c r="H23" s="14" t="inlineStr">
        <is>
          <t>北京A8学院</t>
        </is>
      </c>
      <c r="I23" s="18" t="inlineStr">
        <is>
          <t>忆捷</t>
        </is>
      </c>
      <c r="J23" s="20" t="inlineStr">
        <is>
          <t>中等</t>
        </is>
      </c>
    </row>
    <row r="24" ht="20.1" customFormat="1" customHeight="1" s="7">
      <c r="A24" s="15" t="n">
        <v>14</v>
      </c>
      <c r="B24" s="13" t="inlineStr">
        <is>
          <t>2017-9-11</t>
        </is>
      </c>
      <c r="C24" s="13" t="inlineStr">
        <is>
          <t>惠普（HP）CE313A 红色硒鼓 126A</t>
        </is>
      </c>
      <c r="D24" s="15" t="n">
        <v>25</v>
      </c>
      <c r="E24" s="14" t="n">
        <v>335</v>
      </c>
      <c r="F24" s="30" t="n">
        <v>8375</v>
      </c>
      <c r="G24" s="14" t="inlineStr">
        <is>
          <t>G企业</t>
        </is>
      </c>
      <c r="H24" s="14" t="inlineStr">
        <is>
          <t>北京A17中心</t>
        </is>
      </c>
      <c r="I24" s="18" t="inlineStr">
        <is>
          <t>惠普</t>
        </is>
      </c>
      <c r="J24" s="20" t="inlineStr">
        <is>
          <t>中等</t>
        </is>
      </c>
    </row>
    <row r="25" ht="20.1" customFormat="1" customHeight="1" s="7">
      <c r="A25" s="15" t="n">
        <v>70</v>
      </c>
      <c r="B25" s="13" t="inlineStr">
        <is>
          <t>2017-11-24</t>
        </is>
      </c>
      <c r="C25" s="13" t="inlineStr">
        <is>
          <t>惠普 HP Color LaserJet Pro MFP M477fdwA4</t>
        </is>
      </c>
      <c r="D25" s="15" t="n">
        <v>1</v>
      </c>
      <c r="E25" s="14" t="n">
        <v>7999</v>
      </c>
      <c r="F25" s="30" t="n">
        <v>7999</v>
      </c>
      <c r="G25" s="14" t="inlineStr">
        <is>
          <t>A企业</t>
        </is>
      </c>
      <c r="H25" s="14" t="inlineStr">
        <is>
          <t>北京A16办公室</t>
        </is>
      </c>
      <c r="I25" s="18" t="inlineStr">
        <is>
          <t>惠普</t>
        </is>
      </c>
      <c r="J25" s="20" t="inlineStr">
        <is>
          <t>中等</t>
        </is>
      </c>
    </row>
    <row r="26" ht="20.1" customFormat="1" customHeight="1" s="7">
      <c r="A26" s="15" t="n">
        <v>43</v>
      </c>
      <c r="B26" s="13" t="inlineStr">
        <is>
          <t>2017-10-23</t>
        </is>
      </c>
      <c r="C26" s="13" t="inlineStr">
        <is>
          <t>惠普 原厂耗材-Q7516A</t>
        </is>
      </c>
      <c r="D26" s="15" t="n">
        <v>5</v>
      </c>
      <c r="E26" s="14" t="n">
        <v>1119</v>
      </c>
      <c r="F26" s="30" t="n">
        <v>5595</v>
      </c>
      <c r="G26" s="14" t="inlineStr">
        <is>
          <t>C企业</t>
        </is>
      </c>
      <c r="H26" s="14" t="inlineStr">
        <is>
          <t>北京A6学院</t>
        </is>
      </c>
      <c r="I26" s="18" t="inlineStr">
        <is>
          <t>惠普</t>
        </is>
      </c>
      <c r="J26" s="20" t="inlineStr">
        <is>
          <t>中等</t>
        </is>
      </c>
    </row>
    <row r="27" ht="20.1" customFormat="1" customHeight="1" s="7">
      <c r="A27" s="15" t="n">
        <v>51</v>
      </c>
      <c r="B27" s="13" t="inlineStr">
        <is>
          <t>2017-8-28</t>
        </is>
      </c>
      <c r="C27" s="13" t="inlineStr">
        <is>
          <t>惠普（HP）LaserJet C7115A黑色硒鼓 15A</t>
        </is>
      </c>
      <c r="D27" s="15" t="n">
        <v>6</v>
      </c>
      <c r="E27" s="14" t="n">
        <v>734</v>
      </c>
      <c r="F27" s="30" t="n">
        <v>4404</v>
      </c>
      <c r="G27" s="14" t="inlineStr">
        <is>
          <t>G企业</t>
        </is>
      </c>
      <c r="H27" s="14" t="inlineStr">
        <is>
          <t>北京A19研究院</t>
        </is>
      </c>
      <c r="I27" s="18" t="inlineStr">
        <is>
          <t>惠普</t>
        </is>
      </c>
      <c r="J27" s="20" t="inlineStr">
        <is>
          <t>中等</t>
        </is>
      </c>
    </row>
    <row r="28" ht="20.1" customFormat="1" customHeight="1" s="7">
      <c r="A28" s="15" t="n">
        <v>10</v>
      </c>
      <c r="B28" s="13" t="inlineStr">
        <is>
          <t>2017-11-2</t>
        </is>
      </c>
      <c r="C28" s="13" t="inlineStr">
        <is>
          <t>惠普 原厂耗材 78A</t>
        </is>
      </c>
      <c r="D28" s="15" t="n">
        <v>4</v>
      </c>
      <c r="E28" s="14" t="n">
        <v>499</v>
      </c>
      <c r="F28" s="30" t="n">
        <v>1996</v>
      </c>
      <c r="G28" s="14" t="inlineStr">
        <is>
          <t>A企业</t>
        </is>
      </c>
      <c r="H28" s="14" t="inlineStr">
        <is>
          <t>北京A20大队</t>
        </is>
      </c>
      <c r="I28" s="18" t="inlineStr">
        <is>
          <t>惠普</t>
        </is>
      </c>
      <c r="J28" s="20" t="inlineStr">
        <is>
          <t>中等</t>
        </is>
      </c>
    </row>
    <row r="29" ht="20.1" customFormat="1" customHeight="1" s="7">
      <c r="A29" s="15" t="n">
        <v>3</v>
      </c>
      <c r="B29" s="13" t="inlineStr">
        <is>
          <t>2017-12-8</t>
        </is>
      </c>
      <c r="C29" s="13" t="inlineStr">
        <is>
          <t>惠普 原厂耗材-CE742A</t>
        </is>
      </c>
      <c r="D29" s="15" t="n">
        <v>1</v>
      </c>
      <c r="E29" s="14" t="n">
        <v>1699</v>
      </c>
      <c r="F29" s="30" t="n">
        <v>1699</v>
      </c>
      <c r="G29" s="14" t="inlineStr">
        <is>
          <t>C企业</t>
        </is>
      </c>
      <c r="H29" s="14" t="inlineStr">
        <is>
          <t>北京A21研究所</t>
        </is>
      </c>
      <c r="I29" s="18" t="inlineStr">
        <is>
          <t>惠普</t>
        </is>
      </c>
      <c r="J29" s="20" t="inlineStr">
        <is>
          <t>中等</t>
        </is>
      </c>
    </row>
    <row r="30" ht="20.1" customFormat="1" customHeight="1" s="7">
      <c r="A30" s="15" t="n">
        <v>56</v>
      </c>
      <c r="B30" s="13" t="inlineStr">
        <is>
          <t>2017-5-19</t>
        </is>
      </c>
      <c r="C30" s="13" t="inlineStr">
        <is>
          <t>惠普 原厂耗材-CE742A</t>
        </is>
      </c>
      <c r="D30" s="15" t="n">
        <v>1</v>
      </c>
      <c r="E30" s="14" t="n">
        <v>1699</v>
      </c>
      <c r="F30" s="30" t="n">
        <v>1699</v>
      </c>
      <c r="G30" s="14" t="inlineStr">
        <is>
          <t>A企业</t>
        </is>
      </c>
      <c r="H30" s="14" t="inlineStr">
        <is>
          <t>北京A26总队</t>
        </is>
      </c>
      <c r="I30" s="18" t="inlineStr">
        <is>
          <t>惠普</t>
        </is>
      </c>
      <c r="J30" s="20" t="inlineStr">
        <is>
          <t>中等</t>
        </is>
      </c>
    </row>
    <row r="31" ht="20.1" customFormat="1" customHeight="1" s="7">
      <c r="A31" s="15" t="n">
        <v>47</v>
      </c>
      <c r="B31" s="13" t="inlineStr">
        <is>
          <t>2017-9-28</t>
        </is>
      </c>
      <c r="C31" s="13" t="inlineStr">
        <is>
          <t>惠普 原厂耗材-Q7516A</t>
        </is>
      </c>
      <c r="D31" s="15" t="n">
        <v>1</v>
      </c>
      <c r="E31" s="14" t="n">
        <v>1119</v>
      </c>
      <c r="F31" s="30" t="n">
        <v>1119</v>
      </c>
      <c r="G31" s="16" t="inlineStr">
        <is>
          <t>A企业</t>
        </is>
      </c>
      <c r="H31" s="14" t="inlineStr">
        <is>
          <t>北京A14中学</t>
        </is>
      </c>
      <c r="I31" s="18" t="inlineStr">
        <is>
          <t>惠普</t>
        </is>
      </c>
      <c r="J31" s="20" t="inlineStr">
        <is>
          <t>中等</t>
        </is>
      </c>
    </row>
    <row r="32" ht="20.1" customFormat="1" customHeight="1" s="7">
      <c r="A32" s="15" t="n">
        <v>31</v>
      </c>
      <c r="B32" s="13" t="inlineStr">
        <is>
          <t>2017-1-12</t>
        </is>
      </c>
      <c r="C32" s="13" t="inlineStr">
        <is>
          <t>惠普 原厂耗材 78A</t>
        </is>
      </c>
      <c r="D32" s="15" t="n">
        <v>2</v>
      </c>
      <c r="E32" s="14" t="n">
        <v>499</v>
      </c>
      <c r="F32" s="30" t="n">
        <v>998</v>
      </c>
      <c r="G32" s="14" t="inlineStr">
        <is>
          <t>C企业</t>
        </is>
      </c>
      <c r="H32" s="14" t="inlineStr">
        <is>
          <t>北京A6学院</t>
        </is>
      </c>
      <c r="I32" s="18" t="inlineStr">
        <is>
          <t>惠普</t>
        </is>
      </c>
      <c r="J32" s="20" t="inlineStr">
        <is>
          <t>中等</t>
        </is>
      </c>
    </row>
    <row r="33" ht="20.1" customFormat="1" customHeight="1" s="7">
      <c r="A33" s="15" t="n">
        <v>46</v>
      </c>
      <c r="B33" s="13" t="inlineStr">
        <is>
          <t>2017-10-11</t>
        </is>
      </c>
      <c r="C33" s="13" t="inlineStr">
        <is>
          <t>原厂耗材-CE410A</t>
        </is>
      </c>
      <c r="D33" s="15" t="n">
        <v>2</v>
      </c>
      <c r="E33" s="14" t="n">
        <v>479</v>
      </c>
      <c r="F33" s="30" t="n">
        <v>958</v>
      </c>
      <c r="G33" s="14" t="inlineStr">
        <is>
          <t>D企业</t>
        </is>
      </c>
      <c r="H33" s="14" t="inlineStr">
        <is>
          <t>北京A26总队</t>
        </is>
      </c>
      <c r="I33" s="18" t="inlineStr">
        <is>
          <t>惠普</t>
        </is>
      </c>
      <c r="J33" s="20" t="inlineStr">
        <is>
          <t>中等</t>
        </is>
      </c>
    </row>
    <row r="34" ht="20.1" customFormat="1" customHeight="1" s="7">
      <c r="A34" s="15" t="n">
        <v>19</v>
      </c>
      <c r="B34" s="13" t="inlineStr">
        <is>
          <t>2017-6-26</t>
        </is>
      </c>
      <c r="C34" s="13" t="inlineStr">
        <is>
          <t>惠普 CF300A</t>
        </is>
      </c>
      <c r="D34" s="15" t="n">
        <v>1</v>
      </c>
      <c r="E34" s="14" t="n">
        <v>801</v>
      </c>
      <c r="F34" s="30" t="n">
        <v>801</v>
      </c>
      <c r="G34" s="14" t="inlineStr">
        <is>
          <t>C企业</t>
        </is>
      </c>
      <c r="H34" s="14" t="inlineStr">
        <is>
          <t>北京A23办事处</t>
        </is>
      </c>
      <c r="I34" s="18" t="inlineStr">
        <is>
          <t>惠普</t>
        </is>
      </c>
      <c r="J34" s="20" t="inlineStr">
        <is>
          <t>中等</t>
        </is>
      </c>
    </row>
    <row r="35" ht="20.1" customFormat="1" customHeight="1" s="7">
      <c r="A35" s="15" t="n">
        <v>33</v>
      </c>
      <c r="B35" s="13" t="inlineStr">
        <is>
          <t>2017-12-15</t>
        </is>
      </c>
      <c r="C35" s="13" t="inlineStr">
        <is>
          <t>惠普（HP）CF228A 黑色硒鼓 28A</t>
        </is>
      </c>
      <c r="D35" s="15" t="n">
        <v>1</v>
      </c>
      <c r="E35" s="14" t="n">
        <v>645</v>
      </c>
      <c r="F35" s="30" t="n">
        <v>645</v>
      </c>
      <c r="G35" s="14" t="inlineStr">
        <is>
          <t>G企业</t>
        </is>
      </c>
      <c r="H35" s="14" t="inlineStr">
        <is>
          <t>北京A3大学</t>
        </is>
      </c>
      <c r="I35" s="18" t="inlineStr">
        <is>
          <t>惠普</t>
        </is>
      </c>
      <c r="J35" s="20" t="inlineStr">
        <is>
          <t>中等</t>
        </is>
      </c>
    </row>
    <row r="36" ht="20.1" customFormat="1" customHeight="1" s="7">
      <c r="A36" s="15" t="n">
        <v>58</v>
      </c>
      <c r="B36" s="13" t="inlineStr">
        <is>
          <t>2017-5-9</t>
        </is>
      </c>
      <c r="C36" s="13" t="inlineStr">
        <is>
          <t>惠普 78A</t>
        </is>
      </c>
      <c r="D36" s="15" t="n">
        <v>1</v>
      </c>
      <c r="E36" s="14" t="n">
        <v>465</v>
      </c>
      <c r="F36" s="30" t="n">
        <v>465</v>
      </c>
      <c r="G36" s="14" t="inlineStr">
        <is>
          <t>C企业</t>
        </is>
      </c>
      <c r="H36" s="14" t="inlineStr">
        <is>
          <t>北京A22局</t>
        </is>
      </c>
      <c r="I36" s="18" t="inlineStr">
        <is>
          <t>惠普</t>
        </is>
      </c>
      <c r="J36" s="20" t="inlineStr">
        <is>
          <t>中等</t>
        </is>
      </c>
    </row>
    <row r="37" ht="20.1" customFormat="1" customHeight="1" s="7">
      <c r="A37" s="15" t="n">
        <v>45</v>
      </c>
      <c r="B37" s="13" t="inlineStr">
        <is>
          <t>2017-10-16</t>
        </is>
      </c>
      <c r="C37" s="13" t="inlineStr">
        <is>
          <t>惠普（HP）CD973AA 920XL号超高容品红色墨盒</t>
        </is>
      </c>
      <c r="D37" s="15" t="n">
        <v>1</v>
      </c>
      <c r="E37" s="14" t="n">
        <v>95</v>
      </c>
      <c r="F37" s="30" t="n">
        <v>95</v>
      </c>
      <c r="G37" s="14" t="inlineStr">
        <is>
          <t>G企业</t>
        </is>
      </c>
      <c r="H37" s="14" t="inlineStr">
        <is>
          <t>北京A10管理处</t>
        </is>
      </c>
      <c r="I37" s="18" t="inlineStr">
        <is>
          <t>惠普</t>
        </is>
      </c>
      <c r="J37" s="20" t="inlineStr">
        <is>
          <t>差</t>
        </is>
      </c>
    </row>
    <row r="38" ht="20.1" customFormat="1" customHeight="1" s="7">
      <c r="A38" s="15" t="n">
        <v>13</v>
      </c>
      <c r="B38" s="13" t="inlineStr">
        <is>
          <t>2017-9-11</t>
        </is>
      </c>
      <c r="C38" s="13" t="inlineStr">
        <is>
          <t>施乐捷印 500张70/80g A4/A3复印纸</t>
        </is>
      </c>
      <c r="D38" s="15" t="n">
        <v>500</v>
      </c>
      <c r="E38" s="14" t="n">
        <v>19</v>
      </c>
      <c r="F38" s="30" t="n">
        <v>9500</v>
      </c>
      <c r="G38" s="14" t="inlineStr">
        <is>
          <t>G企业</t>
        </is>
      </c>
      <c r="H38" s="14" t="inlineStr">
        <is>
          <t>北京A17中心</t>
        </is>
      </c>
      <c r="I38" s="18" t="inlineStr">
        <is>
          <t>施乐</t>
        </is>
      </c>
      <c r="J38" s="20" t="inlineStr">
        <is>
          <t>优</t>
        </is>
      </c>
    </row>
    <row r="39" ht="20.1" customFormat="1" customHeight="1" s="7">
      <c r="A39" s="15" t="n">
        <v>41</v>
      </c>
      <c r="B39" s="13" t="inlineStr">
        <is>
          <t>2017-11-6</t>
        </is>
      </c>
      <c r="C39" s="13" t="inlineStr">
        <is>
          <t>柯尼卡美能达-打印设备-多功能一体机-TNP31</t>
        </is>
      </c>
      <c r="D39" s="15" t="n">
        <v>5</v>
      </c>
      <c r="E39" s="14" t="n">
        <v>320</v>
      </c>
      <c r="F39" s="30" t="n">
        <v>1600</v>
      </c>
      <c r="G39" s="14" t="inlineStr">
        <is>
          <t>D企业</t>
        </is>
      </c>
      <c r="H39" s="14" t="inlineStr">
        <is>
          <t>北京A4大学</t>
        </is>
      </c>
      <c r="I39" s="18" t="inlineStr">
        <is>
          <t>柯尼卡美能达</t>
        </is>
      </c>
      <c r="J39" s="20" t="inlineStr">
        <is>
          <t>中等</t>
        </is>
      </c>
    </row>
    <row r="40" ht="20.1" customFormat="1" customHeight="1" s="7">
      <c r="A40" s="15" t="n">
        <v>11</v>
      </c>
      <c r="B40" s="13" t="inlineStr">
        <is>
          <t>2017-10-17</t>
        </is>
      </c>
      <c r="C40" s="13" t="inlineStr">
        <is>
          <t>格力空调KFR-32GW/(32570)Aa-2</t>
        </is>
      </c>
      <c r="D40" s="15" t="n">
        <v>3</v>
      </c>
      <c r="E40" s="14" t="n">
        <v>2880</v>
      </c>
      <c r="F40" s="30" t="n">
        <v>8640</v>
      </c>
      <c r="G40" s="14" t="inlineStr">
        <is>
          <t>D企业</t>
        </is>
      </c>
      <c r="H40" s="14" t="inlineStr">
        <is>
          <t>北京A5中心</t>
        </is>
      </c>
      <c r="I40" s="18" t="inlineStr">
        <is>
          <t>格力</t>
        </is>
      </c>
      <c r="J40" s="20" t="inlineStr">
        <is>
          <t>中等</t>
        </is>
      </c>
    </row>
    <row r="41" ht="20.1" customFormat="1" customHeight="1" s="7">
      <c r="A41" s="15" t="n">
        <v>28</v>
      </c>
      <c r="B41" s="13" t="inlineStr">
        <is>
          <t>2017-3-27</t>
        </is>
      </c>
      <c r="C41" s="13" t="inlineStr">
        <is>
          <t>浪潮 NF8465M4 机架式服务器</t>
        </is>
      </c>
      <c r="D41" s="15" t="n">
        <v>1</v>
      </c>
      <c r="E41" s="14" t="n">
        <v>84000</v>
      </c>
      <c r="F41" s="30" t="n">
        <v>84000</v>
      </c>
      <c r="G41" s="14" t="inlineStr">
        <is>
          <t>A企业</t>
        </is>
      </c>
      <c r="H41" s="14" t="inlineStr">
        <is>
          <t>北京A13局</t>
        </is>
      </c>
      <c r="I41" s="18" t="inlineStr">
        <is>
          <t>浪潮</t>
        </is>
      </c>
      <c r="J41" s="20" t="inlineStr">
        <is>
          <t>优</t>
        </is>
      </c>
    </row>
    <row r="42" ht="20.1" customFormat="1" customHeight="1" s="7">
      <c r="A42" s="15" t="n">
        <v>25</v>
      </c>
      <c r="B42" s="13" t="inlineStr">
        <is>
          <t>2017-6-6</t>
        </is>
      </c>
      <c r="C42" s="13" t="inlineStr">
        <is>
          <t>aigo爱国者无线移动硬盘 2T</t>
        </is>
      </c>
      <c r="D42" s="15" t="n">
        <v>1</v>
      </c>
      <c r="E42" s="14" t="n">
        <v>1349</v>
      </c>
      <c r="F42" s="30" t="n">
        <v>1349</v>
      </c>
      <c r="G42" s="14" t="inlineStr">
        <is>
          <t>C企业</t>
        </is>
      </c>
      <c r="H42" s="14" t="inlineStr">
        <is>
          <t>北京A1大学</t>
        </is>
      </c>
      <c r="I42" s="18" t="inlineStr">
        <is>
          <t>爱国者</t>
        </is>
      </c>
      <c r="J42" s="20" t="inlineStr">
        <is>
          <t>中等</t>
        </is>
      </c>
    </row>
    <row r="43" ht="20.1" customFormat="1" customHeight="1" s="7">
      <c r="A43" s="15" t="n">
        <v>26</v>
      </c>
      <c r="B43" s="13" t="inlineStr">
        <is>
          <t>2017-5-15</t>
        </is>
      </c>
      <c r="C43" s="13" t="inlineStr">
        <is>
          <t>针式打印机</t>
        </is>
      </c>
      <c r="D43" s="15" t="n">
        <v>2</v>
      </c>
      <c r="E43" s="14" t="n">
        <v>4888</v>
      </c>
      <c r="F43" s="30" t="n">
        <v>9776</v>
      </c>
      <c r="G43" s="14" t="inlineStr">
        <is>
          <t>I企业</t>
        </is>
      </c>
      <c r="H43" s="14" t="inlineStr">
        <is>
          <t>北京A10管理处</t>
        </is>
      </c>
      <c r="I43" s="18" t="inlineStr">
        <is>
          <t>爱普生</t>
        </is>
      </c>
      <c r="J43" s="20" t="inlineStr">
        <is>
          <t>中等</t>
        </is>
      </c>
    </row>
    <row r="44" ht="20.1" customFormat="1" customHeight="1" s="7">
      <c r="A44" s="15" t="n">
        <v>39</v>
      </c>
      <c r="B44" s="13" t="inlineStr">
        <is>
          <t>2017-11-21</t>
        </is>
      </c>
      <c r="C44" s="13" t="inlineStr">
        <is>
          <t>理光 SP 200C黑色硒鼓 Print Cartridge SP 200C</t>
        </is>
      </c>
      <c r="D44" s="15" t="n">
        <v>4</v>
      </c>
      <c r="E44" s="14" t="n">
        <v>602.5</v>
      </c>
      <c r="F44" s="30" t="n">
        <v>2410</v>
      </c>
      <c r="G44" s="14" t="inlineStr">
        <is>
          <t>G企业</t>
        </is>
      </c>
      <c r="H44" s="14" t="inlineStr">
        <is>
          <t>北京A22局</t>
        </is>
      </c>
      <c r="I44" s="18" t="inlineStr">
        <is>
          <t>理光</t>
        </is>
      </c>
      <c r="J44" s="20" t="inlineStr">
        <is>
          <t>中等</t>
        </is>
      </c>
    </row>
    <row r="45" ht="20.1" customFormat="1" customHeight="1" s="7">
      <c r="A45" s="15" t="n">
        <v>64</v>
      </c>
      <c r="B45" s="13" t="inlineStr">
        <is>
          <t>2017-12-14</t>
        </is>
      </c>
      <c r="C45" s="13" t="inlineStr">
        <is>
          <t>盈佳  YJ-CE310A K</t>
        </is>
      </c>
      <c r="D45" s="15" t="n">
        <v>2</v>
      </c>
      <c r="E45" s="14" t="n">
        <v>135</v>
      </c>
      <c r="F45" s="30" t="n">
        <v>270</v>
      </c>
      <c r="G45" s="14" t="inlineStr">
        <is>
          <t>C企业</t>
        </is>
      </c>
      <c r="H45" s="14" t="inlineStr">
        <is>
          <t>北京A6学院</t>
        </is>
      </c>
      <c r="I45" s="18" t="inlineStr">
        <is>
          <t>盈佳</t>
        </is>
      </c>
      <c r="J45" s="20" t="inlineStr">
        <is>
          <t>差</t>
        </is>
      </c>
    </row>
    <row r="46" ht="20.1" customFormat="1" customHeight="1" s="7">
      <c r="A46" s="15" t="n">
        <v>54</v>
      </c>
      <c r="B46" s="13" t="inlineStr">
        <is>
          <t>2017-6-30</t>
        </is>
      </c>
      <c r="C46" s="13" t="inlineStr">
        <is>
          <t>盈佳  YJ-3119</t>
        </is>
      </c>
      <c r="D46" s="15" t="n">
        <v>1</v>
      </c>
      <c r="E46" s="14" t="n">
        <v>135</v>
      </c>
      <c r="F46" s="30" t="n">
        <v>135</v>
      </c>
      <c r="G46" s="14" t="inlineStr">
        <is>
          <t>C企业</t>
        </is>
      </c>
      <c r="H46" s="14" t="inlineStr">
        <is>
          <t>北京A6学院</t>
        </is>
      </c>
      <c r="I46" s="18" t="inlineStr">
        <is>
          <t>盈佳</t>
        </is>
      </c>
      <c r="J46" s="20" t="inlineStr">
        <is>
          <t>差</t>
        </is>
      </c>
    </row>
    <row r="47" ht="20.1" customFormat="1" customHeight="1" s="7">
      <c r="A47" s="15" t="n">
        <v>8</v>
      </c>
      <c r="B47" s="13" t="inlineStr">
        <is>
          <t>2017-11-13</t>
        </is>
      </c>
      <c r="C47" s="13" t="inlineStr">
        <is>
          <t>神龙灭火器-手提式灭火器MFZ/ABC5</t>
        </is>
      </c>
      <c r="D47" s="15" t="n">
        <v>30</v>
      </c>
      <c r="E47" s="14" t="n">
        <v>117</v>
      </c>
      <c r="F47" s="30" t="n">
        <v>3510</v>
      </c>
      <c r="G47" s="14" t="inlineStr">
        <is>
          <t>D企业</t>
        </is>
      </c>
      <c r="H47" s="14" t="inlineStr">
        <is>
          <t>北京A18办公室</t>
        </is>
      </c>
      <c r="I47" s="18" t="inlineStr">
        <is>
          <t>神龙</t>
        </is>
      </c>
      <c r="J47" s="20" t="inlineStr">
        <is>
          <t>中等</t>
        </is>
      </c>
    </row>
    <row r="48" ht="20.1" customFormat="1" customHeight="1" s="7">
      <c r="A48" s="15" t="n">
        <v>17</v>
      </c>
      <c r="B48" s="13" t="inlineStr">
        <is>
          <t>2017-8-30</t>
        </is>
      </c>
      <c r="C48" s="13" t="inlineStr">
        <is>
          <t>MFZ/ABC5kg</t>
        </is>
      </c>
      <c r="D48" s="15" t="n">
        <v>10</v>
      </c>
      <c r="E48" s="14" t="n">
        <v>115</v>
      </c>
      <c r="F48" s="30" t="n">
        <v>1150</v>
      </c>
      <c r="G48" s="14" t="inlineStr">
        <is>
          <t>F企业</t>
        </is>
      </c>
      <c r="H48" s="14" t="inlineStr">
        <is>
          <t>北京A13局</t>
        </is>
      </c>
      <c r="I48" s="18" t="inlineStr">
        <is>
          <t>神龙</t>
        </is>
      </c>
      <c r="J48" s="20" t="inlineStr">
        <is>
          <t>中等</t>
        </is>
      </c>
    </row>
    <row r="49" ht="20.1" customFormat="1" customHeight="1" s="7">
      <c r="A49" s="15" t="n">
        <v>50</v>
      </c>
      <c r="B49" s="13" t="inlineStr">
        <is>
          <t>2017-9-21</t>
        </is>
      </c>
      <c r="C49" s="13" t="inlineStr">
        <is>
          <t>索尼（SONY）ICD-UX565F 数码录音棒</t>
        </is>
      </c>
      <c r="D49" s="15" t="n">
        <v>50</v>
      </c>
      <c r="E49" s="14" t="n">
        <v>1299</v>
      </c>
      <c r="F49" s="30" t="n">
        <v>64950</v>
      </c>
      <c r="G49" s="14" t="inlineStr">
        <is>
          <t>H企业</t>
        </is>
      </c>
      <c r="H49" s="14" t="inlineStr">
        <is>
          <t>北京A13局</t>
        </is>
      </c>
      <c r="I49" s="18" t="inlineStr">
        <is>
          <t>索尼</t>
        </is>
      </c>
      <c r="J49" s="20" t="inlineStr">
        <is>
          <t>优</t>
        </is>
      </c>
    </row>
    <row r="50" ht="20.1" customFormat="1" customHeight="1" s="7">
      <c r="A50" s="15" t="n">
        <v>20</v>
      </c>
      <c r="B50" s="13" t="inlineStr">
        <is>
          <t>2017-6-19</t>
        </is>
      </c>
      <c r="C50" s="13" t="inlineStr">
        <is>
          <t>索尼（SONY）ICD-SX2000 数码录音棒</t>
        </is>
      </c>
      <c r="D50" s="15" t="n">
        <v>2</v>
      </c>
      <c r="E50" s="14" t="n">
        <v>1999</v>
      </c>
      <c r="F50" s="30" t="n">
        <v>3998</v>
      </c>
      <c r="G50" s="14" t="inlineStr">
        <is>
          <t>H企业</t>
        </is>
      </c>
      <c r="H50" s="14" t="inlineStr">
        <is>
          <t>北京A12学区</t>
        </is>
      </c>
      <c r="I50" s="18" t="inlineStr">
        <is>
          <t>索尼</t>
        </is>
      </c>
      <c r="J50" s="20" t="inlineStr">
        <is>
          <t>中等</t>
        </is>
      </c>
    </row>
    <row r="51" ht="20.1" customFormat="1" customHeight="1" s="7">
      <c r="A51" s="15" t="n">
        <v>59</v>
      </c>
      <c r="B51" s="13" t="inlineStr">
        <is>
          <t>2017-5-5</t>
        </is>
      </c>
      <c r="C51" s="13" t="inlineStr">
        <is>
          <t xml:space="preserve">联想 F309 1T 移动硬盘 </t>
        </is>
      </c>
      <c r="D51" s="15" t="n">
        <v>5</v>
      </c>
      <c r="E51" s="14" t="n">
        <v>460</v>
      </c>
      <c r="F51" s="30" t="n">
        <v>2300</v>
      </c>
      <c r="G51" s="14" t="inlineStr">
        <is>
          <t>A企业</t>
        </is>
      </c>
      <c r="H51" s="14" t="inlineStr">
        <is>
          <t>北京A3大学</t>
        </is>
      </c>
      <c r="I51" s="18" t="inlineStr">
        <is>
          <t>联想</t>
        </is>
      </c>
      <c r="J51" s="20" t="inlineStr">
        <is>
          <t>中等</t>
        </is>
      </c>
    </row>
    <row r="52" ht="20.1" customFormat="1" customHeight="1" s="7">
      <c r="A52" s="15" t="n">
        <v>30</v>
      </c>
      <c r="B52" s="13" t="inlineStr">
        <is>
          <t>2017-2-14</t>
        </is>
      </c>
      <c r="C52" s="13" t="inlineStr">
        <is>
          <t>莱盛光标LS-78A</t>
        </is>
      </c>
      <c r="D52" s="15" t="n">
        <v>12</v>
      </c>
      <c r="E52" s="14" t="n">
        <v>164</v>
      </c>
      <c r="F52" s="30" t="n">
        <v>1968</v>
      </c>
      <c r="G52" s="14" t="inlineStr">
        <is>
          <t>H企业</t>
        </is>
      </c>
      <c r="H52" s="14" t="inlineStr">
        <is>
          <t>北京A22局</t>
        </is>
      </c>
      <c r="I52" s="18" t="inlineStr">
        <is>
          <t>莱盛光标</t>
        </is>
      </c>
      <c r="J52" s="20" t="inlineStr">
        <is>
          <t>中等</t>
        </is>
      </c>
    </row>
    <row r="53" ht="20.1" customFormat="1" customHeight="1" s="7">
      <c r="A53" s="15" t="n">
        <v>7</v>
      </c>
      <c r="B53" s="13" t="inlineStr">
        <is>
          <t>2017-11-14</t>
        </is>
      </c>
      <c r="C53" s="13" t="inlineStr">
        <is>
          <t>莱盛（laser）LS-88A 硒鼓</t>
        </is>
      </c>
      <c r="D53" s="15" t="n">
        <v>2</v>
      </c>
      <c r="E53" s="14" t="n">
        <v>159</v>
      </c>
      <c r="F53" s="30" t="n">
        <v>318</v>
      </c>
      <c r="G53" s="14" t="inlineStr">
        <is>
          <t>E企业</t>
        </is>
      </c>
      <c r="H53" s="14" t="inlineStr">
        <is>
          <t>北京A24学院</t>
        </is>
      </c>
      <c r="I53" s="18" t="inlineStr">
        <is>
          <t>莱盛光标</t>
        </is>
      </c>
      <c r="J53" s="20" t="inlineStr">
        <is>
          <t>差</t>
        </is>
      </c>
    </row>
    <row r="54" ht="20.1" customFormat="1" customHeight="1" s="7">
      <c r="A54" s="15" t="n">
        <v>9</v>
      </c>
      <c r="B54" s="13" t="inlineStr">
        <is>
          <t>2017-11-3</t>
        </is>
      </c>
      <c r="C54" s="13" t="inlineStr">
        <is>
          <t>西部数据（WD 2TB 2.5英寸  移动硬盘 WDBYFT0020BBK-CESN</t>
        </is>
      </c>
      <c r="D54" s="15" t="n">
        <v>2</v>
      </c>
      <c r="E54" s="14" t="n">
        <v>689</v>
      </c>
      <c r="F54" s="30" t="n">
        <v>1378</v>
      </c>
      <c r="G54" s="14" t="inlineStr">
        <is>
          <t>C企业</t>
        </is>
      </c>
      <c r="H54" s="14" t="inlineStr">
        <is>
          <t>北京A10管理处</t>
        </is>
      </c>
      <c r="I54" s="18" t="inlineStr">
        <is>
          <t>西部数据</t>
        </is>
      </c>
      <c r="J54" s="20" t="inlineStr">
        <is>
          <t>中等</t>
        </is>
      </c>
    </row>
    <row r="55" ht="20.1" customFormat="1" customHeight="1" s="7">
      <c r="A55" s="15" t="n">
        <v>66</v>
      </c>
      <c r="B55" s="13" t="inlineStr">
        <is>
          <t>2017-12-7</t>
        </is>
      </c>
      <c r="C55" s="13" t="inlineStr">
        <is>
          <t>西部数据（WD）2.5英寸 USB3.0 移动硬盘 1TB（WDBUZG0010BBK）</t>
        </is>
      </c>
      <c r="D55" s="15" t="n">
        <v>1</v>
      </c>
      <c r="E55" s="14" t="n">
        <v>418</v>
      </c>
      <c r="F55" s="30" t="n">
        <v>418</v>
      </c>
      <c r="G55" s="14" t="inlineStr">
        <is>
          <t>G企业</t>
        </is>
      </c>
      <c r="H55" s="14" t="inlineStr">
        <is>
          <t>北京A14中学</t>
        </is>
      </c>
      <c r="I55" s="18" t="inlineStr">
        <is>
          <t>西部数据</t>
        </is>
      </c>
      <c r="J55" s="20" t="inlineStr">
        <is>
          <t>中等</t>
        </is>
      </c>
    </row>
    <row r="56" ht="20.1" customFormat="1" customHeight="1" s="7">
      <c r="A56" s="15" t="n">
        <v>27</v>
      </c>
      <c r="B56" s="13" t="inlineStr">
        <is>
          <t>2017-5-9</t>
        </is>
      </c>
      <c r="C56" s="13" t="inlineStr">
        <is>
          <t>西部数据 WD ELEMENTS 新元素系列 2.5英寸 USB3.0 500G</t>
        </is>
      </c>
      <c r="D56" s="15" t="n">
        <v>1</v>
      </c>
      <c r="E56" s="14" t="n">
        <v>389</v>
      </c>
      <c r="F56" s="30" t="n">
        <v>389</v>
      </c>
      <c r="G56" s="14" t="inlineStr">
        <is>
          <t>C企业</t>
        </is>
      </c>
      <c r="H56" s="14" t="inlineStr">
        <is>
          <t>北京A6学院</t>
        </is>
      </c>
      <c r="I56" s="18" t="inlineStr">
        <is>
          <t>西部数据</t>
        </is>
      </c>
      <c r="J56" s="20" t="inlineStr">
        <is>
          <t>差</t>
        </is>
      </c>
    </row>
    <row r="57" ht="20.1" customFormat="1" customHeight="1" s="7">
      <c r="A57" s="15" t="n">
        <v>2</v>
      </c>
      <c r="B57" s="13" t="inlineStr">
        <is>
          <t>2017-12-15</t>
        </is>
      </c>
      <c r="C57" s="13" t="inlineStr">
        <is>
          <t>KINGSTON 金士顿 DT 100G3 32GB USB3.0 U盘</t>
        </is>
      </c>
      <c r="D57" s="15" t="n">
        <v>48</v>
      </c>
      <c r="E57" s="14" t="n">
        <v>155</v>
      </c>
      <c r="F57" s="30" t="n">
        <v>7440</v>
      </c>
      <c r="G57" s="14" t="inlineStr">
        <is>
          <t>B企业</t>
        </is>
      </c>
      <c r="H57" s="14" t="inlineStr">
        <is>
          <t>北京A2大学</t>
        </is>
      </c>
      <c r="I57" s="18" t="inlineStr">
        <is>
          <t>金士顿</t>
        </is>
      </c>
      <c r="J57" s="20" t="inlineStr">
        <is>
          <t>中等</t>
        </is>
      </c>
    </row>
    <row r="58" ht="20.1" customFormat="1" customHeight="1" s="7">
      <c r="A58" s="15" t="n">
        <v>34</v>
      </c>
      <c r="B58" s="13" t="inlineStr">
        <is>
          <t>2017-12-13</t>
        </is>
      </c>
      <c r="C58" s="13" t="inlineStr">
        <is>
          <t>金士顿U盘DT50 64G USB3.1</t>
        </is>
      </c>
      <c r="D58" s="15" t="n">
        <v>20</v>
      </c>
      <c r="E58" s="14" t="n">
        <v>216</v>
      </c>
      <c r="F58" s="30" t="n">
        <v>4320</v>
      </c>
      <c r="G58" s="14" t="inlineStr">
        <is>
          <t>D企业</t>
        </is>
      </c>
      <c r="H58" s="14" t="inlineStr">
        <is>
          <t>北京A17中心</t>
        </is>
      </c>
      <c r="I58" s="18" t="inlineStr">
        <is>
          <t>金士顿</t>
        </is>
      </c>
      <c r="J58" s="20" t="inlineStr">
        <is>
          <t>中等</t>
        </is>
      </c>
    </row>
    <row r="59" ht="20.1" customFormat="1" customHeight="1" s="7">
      <c r="A59" s="15" t="n">
        <v>68</v>
      </c>
      <c r="B59" s="13" t="inlineStr">
        <is>
          <t>2017-11-28</t>
        </is>
      </c>
      <c r="C59" s="13" t="inlineStr">
        <is>
          <t>金士顿（Kingston） DT 100G3 128GB USB3.0 U盘</t>
        </is>
      </c>
      <c r="D59" s="15" t="n">
        <v>6</v>
      </c>
      <c r="E59" s="14" t="n">
        <v>358</v>
      </c>
      <c r="F59" s="30" t="n">
        <v>2148</v>
      </c>
      <c r="G59" s="14" t="inlineStr">
        <is>
          <t>B企业</t>
        </is>
      </c>
      <c r="H59" s="14" t="inlineStr">
        <is>
          <t>北京A7大学</t>
        </is>
      </c>
      <c r="I59" s="18" t="inlineStr">
        <is>
          <t>金士顿</t>
        </is>
      </c>
      <c r="J59" s="20" t="inlineStr">
        <is>
          <t>中等</t>
        </is>
      </c>
    </row>
    <row r="60" ht="20.1" customFormat="1" customHeight="1" s="7">
      <c r="A60" s="15" t="n">
        <v>1</v>
      </c>
      <c r="B60" s="13" t="inlineStr">
        <is>
          <t>2017-12-19</t>
        </is>
      </c>
      <c r="C60" s="13" t="inlineStr">
        <is>
          <t>金士顿（Kingston）128GB 80MB/s TF Class10 UHS-I高速存储卡</t>
        </is>
      </c>
      <c r="D60" s="15" t="n">
        <v>3</v>
      </c>
      <c r="E60" s="14" t="n">
        <v>438</v>
      </c>
      <c r="F60" s="30" t="n">
        <v>1314</v>
      </c>
      <c r="G60" s="14" t="inlineStr">
        <is>
          <t>A企业</t>
        </is>
      </c>
      <c r="H60" s="14" t="inlineStr">
        <is>
          <t>北京A2大学</t>
        </is>
      </c>
      <c r="I60" s="18" t="inlineStr">
        <is>
          <t>金士顿</t>
        </is>
      </c>
      <c r="J60" s="20" t="inlineStr">
        <is>
          <t>中等</t>
        </is>
      </c>
    </row>
    <row r="61" ht="20.1" customFormat="1" customHeight="1" s="7">
      <c r="A61" s="15" t="n">
        <v>6</v>
      </c>
      <c r="B61" s="13" t="inlineStr">
        <is>
          <t>2017-11-17</t>
        </is>
      </c>
      <c r="C61" s="13" t="inlineStr">
        <is>
          <t>KINGSTON 金士顿 DT 100G3 32GB USB3.0 U盘</t>
        </is>
      </c>
      <c r="D61" s="15" t="n">
        <v>5</v>
      </c>
      <c r="E61" s="14" t="n">
        <v>155</v>
      </c>
      <c r="F61" s="30" t="n">
        <v>775</v>
      </c>
      <c r="G61" s="14" t="inlineStr">
        <is>
          <t>B企业</t>
        </is>
      </c>
      <c r="H61" s="14" t="inlineStr">
        <is>
          <t>北京A12学区</t>
        </is>
      </c>
      <c r="I61" s="18" t="inlineStr">
        <is>
          <t>金士顿</t>
        </is>
      </c>
      <c r="J61" s="20" t="inlineStr">
        <is>
          <t>中等</t>
        </is>
      </c>
    </row>
    <row r="62" ht="20.1" customFormat="1" customHeight="1" s="7">
      <c r="A62" s="15" t="n">
        <v>36</v>
      </c>
      <c r="B62" s="13" t="inlineStr">
        <is>
          <t>2017-12-7</t>
        </is>
      </c>
      <c r="C62" s="13" t="inlineStr">
        <is>
          <t>金旗舰 A4 80g/m2</t>
        </is>
      </c>
      <c r="D62" s="15" t="n">
        <v>100</v>
      </c>
      <c r="E62" s="14" t="n">
        <v>29.1</v>
      </c>
      <c r="F62" s="30" t="n">
        <v>2910</v>
      </c>
      <c r="G62" s="14" t="inlineStr">
        <is>
          <t>C企业</t>
        </is>
      </c>
      <c r="H62" s="14" t="inlineStr">
        <is>
          <t>北京A1大学</t>
        </is>
      </c>
      <c r="I62" s="18" t="inlineStr">
        <is>
          <t>金旗舰</t>
        </is>
      </c>
      <c r="J62" s="20" t="inlineStr">
        <is>
          <t>中等</t>
        </is>
      </c>
    </row>
    <row r="63" ht="20.1" customFormat="1" customHeight="1" s="7">
      <c r="A63" s="15" t="n">
        <v>22</v>
      </c>
      <c r="B63" s="13" t="inlineStr">
        <is>
          <t>2017-6-16</t>
        </is>
      </c>
      <c r="C63" s="13" t="inlineStr">
        <is>
          <t>金旗舰 A3 80g/m2</t>
        </is>
      </c>
      <c r="D63" s="15" t="n">
        <v>50</v>
      </c>
      <c r="E63" s="14" t="n">
        <v>57.35</v>
      </c>
      <c r="F63" s="30" t="n">
        <v>2867.5</v>
      </c>
      <c r="G63" s="14" t="inlineStr">
        <is>
          <t>B企业</t>
        </is>
      </c>
      <c r="H63" s="14" t="inlineStr">
        <is>
          <t>北京A19研究院</t>
        </is>
      </c>
      <c r="I63" s="18" t="inlineStr">
        <is>
          <t>金旗舰</t>
        </is>
      </c>
      <c r="J63" s="20" t="inlineStr">
        <is>
          <t>中等</t>
        </is>
      </c>
    </row>
    <row r="64" ht="20.1" customFormat="1" customHeight="1" s="7">
      <c r="A64" s="15" t="n">
        <v>60</v>
      </c>
      <c r="B64" s="13" t="inlineStr">
        <is>
          <t>2017-5-2</t>
        </is>
      </c>
      <c r="C64" s="13" t="inlineStr">
        <is>
          <t>金旗舰 A3 80g/m2</t>
        </is>
      </c>
      <c r="D64" s="15" t="n">
        <v>50</v>
      </c>
      <c r="E64" s="14" t="n">
        <v>57.35</v>
      </c>
      <c r="F64" s="30" t="n">
        <v>2867.5</v>
      </c>
      <c r="G64" s="14" t="inlineStr">
        <is>
          <t>B企业</t>
        </is>
      </c>
      <c r="H64" s="14" t="inlineStr">
        <is>
          <t>北京A8学院</t>
        </is>
      </c>
      <c r="I64" s="18" t="inlineStr">
        <is>
          <t>金旗舰</t>
        </is>
      </c>
      <c r="J64" s="20" t="inlineStr">
        <is>
          <t>中等</t>
        </is>
      </c>
    </row>
    <row r="65" ht="20.1" customFormat="1" customHeight="1" s="7">
      <c r="A65" s="15" t="n">
        <v>35</v>
      </c>
      <c r="B65" s="13" t="inlineStr">
        <is>
          <t>2017-12-11</t>
        </is>
      </c>
      <c r="C65" s="13" t="inlineStr">
        <is>
          <t>复印纸 A3 70G 500张/包</t>
        </is>
      </c>
      <c r="D65" s="15" t="n">
        <v>5</v>
      </c>
      <c r="E65" s="14" t="n">
        <v>51.8</v>
      </c>
      <c r="F65" s="30" t="n">
        <v>259</v>
      </c>
      <c r="G65" s="14" t="inlineStr">
        <is>
          <t>I企业</t>
        </is>
      </c>
      <c r="H65" s="14" t="inlineStr">
        <is>
          <t>北京A11机关</t>
        </is>
      </c>
      <c r="I65" s="18" t="inlineStr">
        <is>
          <t>金旗舰</t>
        </is>
      </c>
      <c r="J65" s="20" t="inlineStr">
        <is>
          <t>差</t>
        </is>
      </c>
    </row>
    <row r="66" ht="20.1" customFormat="1" customHeight="1" s="7">
      <c r="A66" s="15" t="n">
        <v>69</v>
      </c>
      <c r="B66" s="13" t="inlineStr">
        <is>
          <t>2017-11-27</t>
        </is>
      </c>
      <c r="C66" s="13" t="inlineStr">
        <is>
          <t>金旗舰 B5 70g/m2</t>
        </is>
      </c>
      <c r="D66" s="15" t="n">
        <v>5</v>
      </c>
      <c r="E66" s="14" t="n">
        <v>19.1</v>
      </c>
      <c r="F66" s="30" t="n">
        <v>95.5</v>
      </c>
      <c r="G66" s="14" t="inlineStr">
        <is>
          <t>C企业</t>
        </is>
      </c>
      <c r="H66" s="14" t="inlineStr">
        <is>
          <t>北京A1大学</t>
        </is>
      </c>
      <c r="I66" s="18" t="inlineStr">
        <is>
          <t>金旗舰</t>
        </is>
      </c>
      <c r="J66" s="20" t="inlineStr">
        <is>
          <t>差</t>
        </is>
      </c>
    </row>
    <row r="67" ht="20.1" customFormat="1" customHeight="1" s="7">
      <c r="A67" s="15" t="n">
        <v>63</v>
      </c>
      <c r="B67" s="13" t="inlineStr">
        <is>
          <t>2017-12-20</t>
        </is>
      </c>
      <c r="C67" s="13" t="inlineStr">
        <is>
          <t>铁三角 T-VGA</t>
        </is>
      </c>
      <c r="D67" s="15" t="n">
        <v>15</v>
      </c>
      <c r="E67" s="14" t="n">
        <v>135</v>
      </c>
      <c r="F67" s="30" t="n">
        <v>2025</v>
      </c>
      <c r="G67" s="14" t="inlineStr">
        <is>
          <t>C企业</t>
        </is>
      </c>
      <c r="H67" s="14" t="inlineStr">
        <is>
          <t>北京A6学院</t>
        </is>
      </c>
      <c r="I67" s="18" t="inlineStr">
        <is>
          <t>铁三角</t>
        </is>
      </c>
      <c r="J67" s="20" t="inlineStr">
        <is>
          <t>中等</t>
        </is>
      </c>
    </row>
    <row r="68" ht="20.1" customFormat="1" customHeight="1" s="7">
      <c r="A68" s="15" t="n">
        <v>52</v>
      </c>
      <c r="B68" s="13" t="inlineStr">
        <is>
          <t>2017-7-21</t>
        </is>
      </c>
      <c r="C68" s="13" t="inlineStr">
        <is>
          <t>闪迪 CZ50 16G U盘</t>
        </is>
      </c>
      <c r="D68" s="15" t="n">
        <v>95</v>
      </c>
      <c r="E68" s="14" t="n">
        <v>37</v>
      </c>
      <c r="F68" s="30" t="n">
        <v>3515</v>
      </c>
      <c r="G68" s="14" t="inlineStr">
        <is>
          <t>A企业</t>
        </is>
      </c>
      <c r="H68" s="14" t="inlineStr">
        <is>
          <t>北京A16办公室</t>
        </is>
      </c>
      <c r="I68" s="18" t="inlineStr">
        <is>
          <t>闪迪</t>
        </is>
      </c>
      <c r="J68" s="20" t="inlineStr">
        <is>
          <t>中等</t>
        </is>
      </c>
    </row>
    <row r="69" ht="20.1" customFormat="1" customHeight="1" s="7">
      <c r="A69" s="15" t="n">
        <v>29</v>
      </c>
      <c r="B69" s="13" t="inlineStr">
        <is>
          <t>2017-3-23</t>
        </is>
      </c>
      <c r="C69" s="13" t="inlineStr">
        <is>
          <t>酷刃U盘</t>
        </is>
      </c>
      <c r="D69" s="15" t="n">
        <v>10</v>
      </c>
      <c r="E69" s="14" t="n">
        <v>120</v>
      </c>
      <c r="F69" s="30" t="n">
        <v>1200</v>
      </c>
      <c r="G69" s="14" t="inlineStr">
        <is>
          <t>I企业</t>
        </is>
      </c>
      <c r="H69" s="14" t="inlineStr">
        <is>
          <t>北京A10管理处</t>
        </is>
      </c>
      <c r="I69" s="18" t="inlineStr">
        <is>
          <t>闪迪</t>
        </is>
      </c>
      <c r="J69" s="20" t="inlineStr">
        <is>
          <t>中等</t>
        </is>
      </c>
    </row>
    <row r="70" ht="20.1" customFormat="1" customHeight="1" s="7">
      <c r="A70" s="15" t="n">
        <v>40</v>
      </c>
      <c r="B70" s="13" t="inlineStr">
        <is>
          <t>2017-11-13</t>
        </is>
      </c>
      <c r="C70" s="13" t="inlineStr">
        <is>
          <t>闪迪 至尊高速Type-C 64GB USB3.1双接口OTG U盘</t>
        </is>
      </c>
      <c r="D70" s="15" t="n">
        <v>4</v>
      </c>
      <c r="E70" s="14" t="n">
        <v>220</v>
      </c>
      <c r="F70" s="30" t="n">
        <v>880</v>
      </c>
      <c r="G70" s="14" t="inlineStr">
        <is>
          <t>A企业</t>
        </is>
      </c>
      <c r="H70" s="14" t="inlineStr">
        <is>
          <t>北京A3大学</t>
        </is>
      </c>
      <c r="I70" s="18" t="inlineStr">
        <is>
          <t>闪迪</t>
        </is>
      </c>
      <c r="J70" s="20" t="inlineStr">
        <is>
          <t>中等</t>
        </is>
      </c>
    </row>
    <row r="71" ht="20.1" customFormat="1" customHeight="1" s="7">
      <c r="A71" s="15" t="n">
        <v>24</v>
      </c>
      <c r="B71" s="13" t="inlineStr">
        <is>
          <t>2017-6-15</t>
        </is>
      </c>
      <c r="C71" s="13" t="inlineStr">
        <is>
          <t>闪迪 SANDISK 至尊高速酷豆 CZ43 USB 3.0 U盘 32GB</t>
        </is>
      </c>
      <c r="D71" s="15" t="n">
        <v>8</v>
      </c>
      <c r="E71" s="14" t="n">
        <v>80</v>
      </c>
      <c r="F71" s="30" t="n">
        <v>640</v>
      </c>
      <c r="G71" s="14" t="inlineStr">
        <is>
          <t>H企业</t>
        </is>
      </c>
      <c r="H71" s="14" t="inlineStr">
        <is>
          <t>北京A8学院</t>
        </is>
      </c>
      <c r="I71" s="18" t="inlineStr">
        <is>
          <t>闪迪</t>
        </is>
      </c>
      <c r="J71" s="20" t="inlineStr">
        <is>
          <t>中等</t>
        </is>
      </c>
    </row>
    <row r="72" ht="18.75" customHeight="1" s="1">
      <c r="A72" s="21" t="n">
        <v>67</v>
      </c>
      <c r="B72" s="22" t="inlineStr">
        <is>
          <t>2017-12-7</t>
        </is>
      </c>
      <c r="C72" s="22" t="inlineStr">
        <is>
          <t>闪迪 高速金属迷你优盘 3.0高速版(64G)</t>
        </is>
      </c>
      <c r="D72" s="21" t="n">
        <v>1</v>
      </c>
      <c r="E72" s="23" t="n">
        <v>179</v>
      </c>
      <c r="F72" s="31" t="n">
        <v>179</v>
      </c>
      <c r="G72" s="23" t="inlineStr">
        <is>
          <t>D企业</t>
        </is>
      </c>
      <c r="H72" s="23" t="inlineStr">
        <is>
          <t>北京A21研究所</t>
        </is>
      </c>
      <c r="I72" s="27" t="inlineStr">
        <is>
          <t>闪迪</t>
        </is>
      </c>
      <c r="J72" s="20" t="inlineStr">
        <is>
          <t>差</t>
        </is>
      </c>
    </row>
    <row r="73">
      <c r="A73" s="25" t="inlineStr">
        <is>
          <t>合计</t>
        </is>
      </c>
      <c r="B73" s="25" t="n"/>
      <c r="C73" s="25" t="n"/>
      <c r="D73" s="26" t="n">
        <v>1671</v>
      </c>
      <c r="E73" s="20" t="n"/>
      <c r="F73" s="32" t="n">
        <v>392948.43</v>
      </c>
      <c r="G73" s="20" t="n"/>
      <c r="H73" s="20" t="n"/>
      <c r="I73" s="28" t="n"/>
      <c r="J73" s="20" t="n"/>
    </row>
  </sheetData>
  <mergeCells count="1">
    <mergeCell ref="A1:J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  <c r="C1" t="inlineStr">
        <is>
          <t>销售额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PC605</dc:creator>
  <dcterms:created xmlns:dcterms="http://purl.org/dc/terms/" xmlns:xsi="http://www.w3.org/2001/XMLSchema-instance" xsi:type="dcterms:W3CDTF">2018-10-11T06:19:00Z</dcterms:created>
  <dcterms:modified xmlns:dcterms="http://purl.org/dc/terms/" xmlns:xsi="http://www.w3.org/2001/XMLSchema-instance" xsi:type="dcterms:W3CDTF">2026-06-15T07:13:44Z</dcterms:modified>
  <cp:lastModifiedBy>樱桃子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