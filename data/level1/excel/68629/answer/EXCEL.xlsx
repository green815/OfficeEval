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0" yWindow="0" windowWidth="19200" windowHeight="8010" activeTab="1"/>
  </bookViews>
  <sheets>
    <sheet name="销售统计" sheetId="3" r:id="rId1"/>
    <sheet name="产品销售表" sheetId="1" r:id="rId2"/>
    <sheet name="产品价格表" sheetId="2" r:id="rId3"/>
  </sheets>
  <definedNames>
    <definedName name="_xlnm._FilterDatabase" localSheetId="1" hidden="1">产品销售表!$A$2:$I$73</definedName>
    <definedName name="_xlnm._FilterDatabase" localSheetId="0" hidden="1">销售统计!$A$2:$I$73</definedName>
  </definedNames>
  <calcPr calcId="162913"/>
</workbook>
</file>

<file path=xl/calcChain.xml><?xml version="1.0" encoding="utf-8"?>
<calcChain xmlns="http://schemas.openxmlformats.org/spreadsheetml/2006/main">
  <c r="F64" i="1" l="1"/>
  <c r="F65" i="1"/>
  <c r="F66" i="1"/>
  <c r="F67" i="1"/>
  <c r="F68" i="1"/>
  <c r="F69" i="1"/>
  <c r="F70" i="1"/>
  <c r="F71" i="1"/>
  <c r="F72" i="1"/>
  <c r="D73" i="3" l="1"/>
  <c r="E5" i="3"/>
  <c r="F5" i="3" s="1"/>
  <c r="E42" i="3"/>
  <c r="F42" i="3" s="1"/>
  <c r="E18" i="3"/>
  <c r="F18" i="3" s="1"/>
  <c r="E49" i="3"/>
  <c r="F49" i="3" s="1"/>
  <c r="E62" i="3"/>
  <c r="F62" i="3" s="1"/>
  <c r="E22" i="3"/>
  <c r="F22" i="3" s="1"/>
  <c r="E40" i="3"/>
  <c r="F40" i="3" s="1"/>
  <c r="E28" i="3"/>
  <c r="F28" i="3" s="1"/>
  <c r="E58" i="3"/>
  <c r="F58" i="3" s="1"/>
  <c r="E7" i="3"/>
  <c r="F7" i="3" s="1"/>
  <c r="E16" i="3"/>
  <c r="F16" i="3" s="1"/>
  <c r="E8" i="3"/>
  <c r="F8" i="3" s="1"/>
  <c r="E38" i="3"/>
  <c r="F38" i="3" s="1"/>
  <c r="E36" i="3"/>
  <c r="F36" i="3" s="1"/>
  <c r="E10" i="3"/>
  <c r="F10" i="3" s="1"/>
  <c r="F4" i="3"/>
  <c r="E4" i="3"/>
  <c r="E41" i="3"/>
  <c r="F41" i="3" s="1"/>
  <c r="E27" i="3"/>
  <c r="F27" i="3" s="1"/>
  <c r="E6" i="3"/>
  <c r="F6" i="3" s="1"/>
  <c r="E57" i="3"/>
  <c r="F57" i="3" s="1"/>
  <c r="E64" i="3"/>
  <c r="F64" i="3" s="1"/>
  <c r="E59" i="3"/>
  <c r="F59" i="3" s="1"/>
  <c r="E24" i="3"/>
  <c r="F24" i="3" s="1"/>
  <c r="E12" i="3"/>
  <c r="F12" i="3" s="1"/>
  <c r="E47" i="3"/>
  <c r="F47" i="3" s="1"/>
  <c r="E63" i="3"/>
  <c r="F63" i="3" s="1"/>
  <c r="E65" i="3"/>
  <c r="F65" i="3" s="1"/>
  <c r="E23" i="3"/>
  <c r="F23" i="3" s="1"/>
  <c r="E72" i="3"/>
  <c r="F72" i="3" s="1"/>
  <c r="F46" i="3"/>
  <c r="E46" i="3"/>
  <c r="E13" i="3"/>
  <c r="F13" i="3" s="1"/>
  <c r="E60" i="3"/>
  <c r="F60" i="3" s="1"/>
  <c r="E17" i="3"/>
  <c r="F17" i="3" s="1"/>
  <c r="E52" i="3"/>
  <c r="F52" i="3" s="1"/>
  <c r="E25" i="3"/>
  <c r="F25" i="3" s="1"/>
  <c r="E71" i="3"/>
  <c r="F71" i="3" s="1"/>
  <c r="F44" i="3"/>
  <c r="E44" i="3"/>
  <c r="E61" i="3"/>
  <c r="F61" i="3" s="1"/>
  <c r="E54" i="3"/>
  <c r="F54" i="3" s="1"/>
  <c r="E34" i="3"/>
  <c r="F34" i="3" s="1"/>
  <c r="E67" i="3"/>
  <c r="F67" i="3" s="1"/>
  <c r="E70" i="3"/>
  <c r="F70" i="3" s="1"/>
  <c r="E3" i="3"/>
  <c r="F3" i="3" s="1"/>
  <c r="E39" i="3"/>
  <c r="F39" i="3" s="1"/>
  <c r="E69" i="3"/>
  <c r="F69" i="3" s="1"/>
  <c r="F32" i="3"/>
  <c r="E32" i="3"/>
  <c r="E68" i="3"/>
  <c r="F68" i="3" s="1"/>
  <c r="E33" i="3"/>
  <c r="F33" i="3" s="1"/>
  <c r="E15" i="3"/>
  <c r="F15" i="3" s="1"/>
  <c r="E26" i="3"/>
  <c r="F26" i="3" s="1"/>
  <c r="E66" i="3"/>
  <c r="F66" i="3" s="1"/>
  <c r="E35" i="3"/>
  <c r="F35" i="3" s="1"/>
  <c r="E20" i="3"/>
  <c r="F20" i="3" s="1"/>
  <c r="E53" i="3"/>
  <c r="F53" i="3" s="1"/>
  <c r="E37" i="3"/>
  <c r="F37" i="3" s="1"/>
  <c r="E29" i="3"/>
  <c r="F29" i="3" s="1"/>
  <c r="E56" i="3"/>
  <c r="F56" i="3" s="1"/>
  <c r="E55" i="3"/>
  <c r="F55" i="3" s="1"/>
  <c r="E51" i="3"/>
  <c r="F51" i="3" s="1"/>
  <c r="E43" i="3"/>
  <c r="F43" i="3" s="1"/>
  <c r="E9" i="3"/>
  <c r="F9" i="3" s="1"/>
  <c r="E31" i="3"/>
  <c r="F31" i="3" s="1"/>
  <c r="E45" i="3"/>
  <c r="F45" i="3" s="1"/>
  <c r="E50" i="3"/>
  <c r="F50" i="3" s="1"/>
  <c r="E19" i="3"/>
  <c r="F19" i="3" s="1"/>
  <c r="E21" i="3"/>
  <c r="F21" i="3" s="1"/>
  <c r="E48" i="3"/>
  <c r="F48" i="3" s="1"/>
  <c r="E30" i="3"/>
  <c r="F30" i="3" s="1"/>
  <c r="E14" i="3"/>
  <c r="F14" i="3" s="1"/>
  <c r="E11" i="3"/>
  <c r="F11" i="3" s="1"/>
  <c r="J6" i="1"/>
  <c r="J7" i="1"/>
  <c r="J15" i="1"/>
  <c r="J17" i="1"/>
  <c r="J22" i="1"/>
  <c r="J23" i="1"/>
  <c r="J27" i="1"/>
  <c r="J31" i="1"/>
  <c r="J33" i="1"/>
  <c r="J38" i="1"/>
  <c r="J39" i="1"/>
  <c r="J43" i="1"/>
  <c r="J46" i="1"/>
  <c r="J47" i="1"/>
  <c r="J49" i="1"/>
  <c r="J54" i="1"/>
  <c r="J55" i="1"/>
  <c r="J59" i="1"/>
  <c r="J62" i="1"/>
  <c r="J63" i="1"/>
  <c r="J65" i="1"/>
  <c r="J70" i="1"/>
  <c r="J71" i="1"/>
  <c r="F73" i="1"/>
  <c r="J9" i="1" s="1"/>
  <c r="D7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3" i="1"/>
  <c r="J72" i="1" l="1"/>
  <c r="J56" i="1"/>
  <c r="J40" i="1"/>
  <c r="J24" i="1"/>
  <c r="J8" i="1"/>
  <c r="J37" i="1"/>
  <c r="J21" i="1"/>
  <c r="J5" i="1"/>
  <c r="J69" i="1"/>
  <c r="J68" i="1"/>
  <c r="J52" i="1"/>
  <c r="J36" i="1"/>
  <c r="J20" i="1"/>
  <c r="J4" i="1"/>
  <c r="J53" i="1"/>
  <c r="J67" i="1"/>
  <c r="J51" i="1"/>
  <c r="J35" i="1"/>
  <c r="J19" i="1"/>
  <c r="J66" i="1"/>
  <c r="J50" i="1"/>
  <c r="J34" i="1"/>
  <c r="J18" i="1"/>
  <c r="J64" i="1"/>
  <c r="J48" i="1"/>
  <c r="J32" i="1"/>
  <c r="J16" i="1"/>
  <c r="J30" i="1"/>
  <c r="J14" i="1"/>
  <c r="J61" i="1"/>
  <c r="J45" i="1"/>
  <c r="J29" i="1"/>
  <c r="J13" i="1"/>
  <c r="J60" i="1"/>
  <c r="J44" i="1"/>
  <c r="J28" i="1"/>
  <c r="J12" i="1"/>
  <c r="J58" i="1"/>
  <c r="J42" i="1"/>
  <c r="J26" i="1"/>
  <c r="J10" i="1"/>
  <c r="J11" i="1"/>
  <c r="J3" i="1"/>
  <c r="J57" i="1"/>
  <c r="J41" i="1"/>
  <c r="J25" i="1"/>
  <c r="F73" i="3"/>
  <c r="J11" i="3" s="1"/>
  <c r="J46" i="3" l="1"/>
  <c r="J71" i="3"/>
  <c r="J50" i="3"/>
  <c r="J51" i="3"/>
  <c r="J48" i="3"/>
  <c r="J54" i="3"/>
  <c r="J61" i="3"/>
  <c r="J55" i="3"/>
  <c r="J41" i="3"/>
  <c r="J49" i="3"/>
  <c r="J14" i="3"/>
  <c r="J52" i="3"/>
  <c r="J26" i="3"/>
  <c r="J23" i="3"/>
  <c r="J57" i="3"/>
  <c r="J58" i="3"/>
  <c r="J66" i="3"/>
  <c r="J7" i="3"/>
  <c r="J17" i="3"/>
  <c r="J10" i="3"/>
  <c r="J28" i="3"/>
  <c r="J45" i="3"/>
  <c r="J69" i="3"/>
  <c r="J39" i="3"/>
  <c r="J5" i="3"/>
  <c r="J36" i="3"/>
  <c r="J31" i="3"/>
  <c r="J53" i="3"/>
  <c r="J64" i="3"/>
  <c r="J63" i="3"/>
  <c r="J6" i="3"/>
  <c r="J3" i="3"/>
  <c r="J65" i="3"/>
  <c r="J35" i="3"/>
  <c r="J56" i="3"/>
  <c r="J33" i="3"/>
  <c r="J4" i="3"/>
  <c r="J60" i="3"/>
  <c r="J27" i="3"/>
  <c r="J42" i="3"/>
  <c r="J59" i="3"/>
  <c r="J47" i="3"/>
  <c r="J44" i="3"/>
  <c r="J20" i="3"/>
  <c r="J13" i="3"/>
  <c r="J24" i="3"/>
  <c r="J22" i="3"/>
  <c r="J16" i="3"/>
  <c r="J62" i="3"/>
  <c r="J72" i="3"/>
  <c r="J38" i="3"/>
  <c r="J40" i="3"/>
  <c r="J12" i="3"/>
  <c r="J25" i="3"/>
  <c r="J15" i="3"/>
  <c r="J21" i="3"/>
  <c r="J70" i="3"/>
  <c r="J68" i="3"/>
  <c r="J19" i="3"/>
  <c r="J29" i="3"/>
  <c r="J67" i="3"/>
  <c r="J32" i="3"/>
  <c r="J34" i="3"/>
  <c r="J8" i="3"/>
  <c r="J9" i="3"/>
  <c r="J18" i="3"/>
  <c r="J30" i="3"/>
  <c r="J37" i="3"/>
  <c r="J43" i="3"/>
</calcChain>
</file>

<file path=xl/sharedStrings.xml><?xml version="1.0" encoding="utf-8"?>
<sst xmlns="http://schemas.openxmlformats.org/spreadsheetml/2006/main" count="795" uniqueCount="204">
  <si>
    <t>序号</t>
  </si>
  <si>
    <t>结算单日期</t>
  </si>
  <si>
    <t>名称</t>
  </si>
  <si>
    <t>数量</t>
  </si>
  <si>
    <t>单价</t>
  </si>
  <si>
    <t>销售额</t>
  </si>
  <si>
    <t>供货商</t>
  </si>
  <si>
    <t>部门</t>
  </si>
  <si>
    <t>关键字</t>
  </si>
  <si>
    <t>销售表现</t>
  </si>
  <si>
    <t>2017-12-19</t>
  </si>
  <si>
    <t>金士顿（Kingston）128GB 80MB/s TF Class10 UHS-I高速存储卡</t>
  </si>
  <si>
    <t>A企业</t>
  </si>
  <si>
    <t>北京A2大学</t>
  </si>
  <si>
    <t>金士顿</t>
  </si>
  <si>
    <t>2017-12-15</t>
  </si>
  <si>
    <t>KINGSTON 金士顿 DT 100G3 32GB USB3.0 U盘</t>
  </si>
  <si>
    <t>B企业</t>
  </si>
  <si>
    <t>2017-12-8</t>
  </si>
  <si>
    <t>惠普 原厂耗材-CE742A</t>
  </si>
  <si>
    <t>C企业</t>
  </si>
  <si>
    <t>北京A21研究所</t>
  </si>
  <si>
    <t>惠普</t>
  </si>
  <si>
    <t>2017-12-6</t>
  </si>
  <si>
    <t>TP-LINK交换设备TL-SG1008+</t>
  </si>
  <si>
    <t>D企业</t>
  </si>
  <si>
    <t>北京A3大学</t>
  </si>
  <si>
    <t>TP-LINK</t>
  </si>
  <si>
    <t>2017-11-15</t>
  </si>
  <si>
    <t>希捷（seagate） 6TB3.5寸NAS级SATA</t>
  </si>
  <si>
    <t>北京A5中心</t>
  </si>
  <si>
    <t>希捷</t>
  </si>
  <si>
    <t>2017-11-17</t>
  </si>
  <si>
    <t>北京A12学区</t>
  </si>
  <si>
    <t>2017-11-14</t>
  </si>
  <si>
    <t>莱盛（laser）LS-88A 硒鼓</t>
  </si>
  <si>
    <t>E企业</t>
  </si>
  <si>
    <t>北京A24学院</t>
  </si>
  <si>
    <t>莱盛光标</t>
  </si>
  <si>
    <t>2017-11-13</t>
  </si>
  <si>
    <t>神龙灭火器-手提式灭火器MFZ/ABC5</t>
  </si>
  <si>
    <t>北京A18办公室</t>
  </si>
  <si>
    <t>神龙</t>
  </si>
  <si>
    <t>2017-11-3</t>
  </si>
  <si>
    <t>西部数据（WD 2TB 2.5英寸  移动硬盘 WDBYFT0020BBK-CESN</t>
  </si>
  <si>
    <t>北京A10管理处</t>
  </si>
  <si>
    <t>西部数据</t>
  </si>
  <si>
    <t>2017-11-2</t>
  </si>
  <si>
    <t>惠普 原厂耗材 78A</t>
  </si>
  <si>
    <t>北京A20大队</t>
  </si>
  <si>
    <t>2017-10-17</t>
  </si>
  <si>
    <t>格力空调KFR-32GW/(32570)Aa-2</t>
  </si>
  <si>
    <t>格力</t>
  </si>
  <si>
    <t>2017-10-10</t>
  </si>
  <si>
    <t>NPG-51</t>
  </si>
  <si>
    <t>F企业</t>
  </si>
  <si>
    <t>北京A22局</t>
  </si>
  <si>
    <t>佳能</t>
  </si>
  <si>
    <t>2017-9-11</t>
  </si>
  <si>
    <t>施乐捷印 500张70/80g A4/A3复印纸</t>
  </si>
  <si>
    <t>G企业</t>
  </si>
  <si>
    <t>北京A17中心</t>
  </si>
  <si>
    <t>施乐</t>
  </si>
  <si>
    <t>惠普（HP）CE313A 红色硒鼓 126A</t>
  </si>
  <si>
    <t>2017-9-7</t>
  </si>
  <si>
    <t>硒鼓 318 Y</t>
  </si>
  <si>
    <t>北京A11机关</t>
  </si>
  <si>
    <t>2017-9-6</t>
  </si>
  <si>
    <t>希捷Backup Plus睿品2.5英寸 USB3.0 (STDR1000300) 黑色 1T</t>
  </si>
  <si>
    <t>2017-8-30</t>
  </si>
  <si>
    <t>MFZ/ABC5kg</t>
  </si>
  <si>
    <t>北京A13局</t>
  </si>
  <si>
    <t>2017-6-28</t>
  </si>
  <si>
    <t>微软 surface book I7/16G内存/1TB硬盘/13.5寸触摸屏/GTX965显卡</t>
  </si>
  <si>
    <t>微软</t>
  </si>
  <si>
    <t>2017-6-26</t>
  </si>
  <si>
    <t>惠普 CF300A</t>
  </si>
  <si>
    <t>北京A23办事处</t>
  </si>
  <si>
    <t>2017-6-19</t>
  </si>
  <si>
    <t>索尼（SONY）ICD-SX2000 数码录音棒</t>
  </si>
  <si>
    <t>H企业</t>
  </si>
  <si>
    <t>索尼</t>
  </si>
  <si>
    <t>五星红鸟 70gA4</t>
  </si>
  <si>
    <t>五星红鸟</t>
  </si>
  <si>
    <t>2017-6-16</t>
  </si>
  <si>
    <t>金旗舰 A3 80g/m2</t>
  </si>
  <si>
    <t>北京A19研究院</t>
  </si>
  <si>
    <t>金旗舰</t>
  </si>
  <si>
    <t>2017-6-15</t>
  </si>
  <si>
    <t>东芝 2050C</t>
  </si>
  <si>
    <t>北京A8学院</t>
  </si>
  <si>
    <t>东芝</t>
  </si>
  <si>
    <t>闪迪 SANDISK 至尊高速酷豆 CZ43 USB 3.0 U盘 32GB</t>
  </si>
  <si>
    <t>闪迪</t>
  </si>
  <si>
    <t>2017-6-6</t>
  </si>
  <si>
    <t>aigo爱国者无线移动硬盘 2T</t>
  </si>
  <si>
    <t>北京A1大学</t>
  </si>
  <si>
    <t>爱国者</t>
  </si>
  <si>
    <t>2017-5-15</t>
  </si>
  <si>
    <t>针式打印机</t>
  </si>
  <si>
    <t>I企业</t>
  </si>
  <si>
    <t>爱普生</t>
  </si>
  <si>
    <t>2017-5-9</t>
  </si>
  <si>
    <t>西部数据 WD ELEMENTS 新元素系列 2.5英寸 USB3.0 500G</t>
  </si>
  <si>
    <t>北京A6学院</t>
  </si>
  <si>
    <t>2017-3-27</t>
  </si>
  <si>
    <t>浪潮 NF8465M4 机架式服务器</t>
  </si>
  <si>
    <t>浪潮</t>
  </si>
  <si>
    <t>2017-3-23</t>
  </si>
  <si>
    <t>酷刃U盘</t>
  </si>
  <si>
    <t>2017-2-14</t>
  </si>
  <si>
    <t>莱盛光标LS-78A</t>
  </si>
  <si>
    <t>2017-1-12</t>
  </si>
  <si>
    <t>广丰 LED屏播放控制系统</t>
  </si>
  <si>
    <t>广丰</t>
  </si>
  <si>
    <t>惠普（HP）CF228A 黑色硒鼓 28A</t>
  </si>
  <si>
    <t>2017-12-13</t>
  </si>
  <si>
    <t>金士顿U盘DT50 64G USB3.1</t>
  </si>
  <si>
    <t>2017-12-11</t>
  </si>
  <si>
    <t>复印纸 A3 70G 500张/包</t>
  </si>
  <si>
    <t>2017-12-7</t>
  </si>
  <si>
    <t>金旗舰 A4 80g/m2</t>
  </si>
  <si>
    <t>2017-12-4</t>
  </si>
  <si>
    <t>STDR2000301</t>
  </si>
  <si>
    <t>北京A7大学</t>
  </si>
  <si>
    <t>2017-11-24</t>
  </si>
  <si>
    <t>利市 A3 70g/m2</t>
  </si>
  <si>
    <t>利市</t>
  </si>
  <si>
    <t>2017-11-21</t>
  </si>
  <si>
    <t>理光 SP 200C黑色硒鼓 Print Cartridge SP 200C</t>
  </si>
  <si>
    <t>理光</t>
  </si>
  <si>
    <t>闪迪 至尊高速Type-C 64GB USB3.1双接口OTG U盘</t>
  </si>
  <si>
    <t>2017-11-6</t>
  </si>
  <si>
    <t>柯尼卡美能达-打印设备-多功能一体机-TNP31</t>
  </si>
  <si>
    <t>北京A4大学</t>
  </si>
  <si>
    <t>柯尼卡美能达</t>
  </si>
  <si>
    <t>2017-10-24</t>
  </si>
  <si>
    <t>忆捷（EAGET）U90 U盘64G USB3.0高速全金属防水防震便携款银色亮薄</t>
  </si>
  <si>
    <t>J企业</t>
  </si>
  <si>
    <t>北京A15小学</t>
  </si>
  <si>
    <t>忆捷</t>
  </si>
  <si>
    <t>2017-10-23</t>
  </si>
  <si>
    <t>惠普 原厂耗材-Q7516A</t>
  </si>
  <si>
    <t>2017-10-18</t>
  </si>
  <si>
    <t>富士施乐FujiXerox VC2263/2265彩色复合机</t>
  </si>
  <si>
    <t>富士施乐</t>
  </si>
  <si>
    <t>2017-10-16</t>
  </si>
  <si>
    <t>惠普（HP）CD973AA 920XL号超高容品红色墨盒</t>
  </si>
  <si>
    <t>2017-10-11</t>
  </si>
  <si>
    <t>原厂耗材-CE410A</t>
  </si>
  <si>
    <t>北京A26总队</t>
  </si>
  <si>
    <t>2017-9-28</t>
  </si>
  <si>
    <t>北京A14中学</t>
  </si>
  <si>
    <t>得力 A4 70g/m2</t>
  </si>
  <si>
    <t>北京A25医院</t>
  </si>
  <si>
    <t>得力</t>
  </si>
  <si>
    <t>希捷（Seagate） 1TB USB3.0 2.5英寸 移动硬盘 (STDR1000300)</t>
  </si>
  <si>
    <t>2017-9-21</t>
  </si>
  <si>
    <t>索尼（SONY）ICD-UX565F 数码录音棒</t>
  </si>
  <si>
    <t>2017-8-28</t>
  </si>
  <si>
    <t>惠普（HP）LaserJet C7115A黑色硒鼓 15A</t>
  </si>
  <si>
    <t>2017-7-21</t>
  </si>
  <si>
    <t>闪迪 CZ50 16G U盘</t>
  </si>
  <si>
    <t>北京A16办公室</t>
  </si>
  <si>
    <t>2017-7-4</t>
  </si>
  <si>
    <t>Lowepro-BP250摄影包</t>
  </si>
  <si>
    <t>2017-6-30</t>
  </si>
  <si>
    <t>盈佳  YJ-3119</t>
  </si>
  <si>
    <t>盈佳</t>
  </si>
  <si>
    <t>2017-5-23</t>
  </si>
  <si>
    <t>佳信捷 管理平台系统-JXJ-VN5000</t>
  </si>
  <si>
    <t>佳信捷</t>
  </si>
  <si>
    <t>2017-5-19</t>
  </si>
  <si>
    <t>2017-5-16</t>
  </si>
  <si>
    <t>忆捷 EAGET U90 USB3.0极速防水防尘防静电全金属刀锋U盘 16g 银色</t>
  </si>
  <si>
    <t>惠普 78A</t>
  </si>
  <si>
    <t>2017-5-5</t>
  </si>
  <si>
    <t xml:space="preserve">联想 F309 1T 移动硬盘 </t>
  </si>
  <si>
    <t>联想</t>
  </si>
  <si>
    <t>2017-5-2</t>
  </si>
  <si>
    <t>2017-4-11</t>
  </si>
  <si>
    <t>兄弟 HL-3150CDN 激光打印机</t>
  </si>
  <si>
    <t>兄弟</t>
  </si>
  <si>
    <t>2017-2-6</t>
  </si>
  <si>
    <t>得力电子密码防盗保险箱3617</t>
  </si>
  <si>
    <t>2017-12-20</t>
  </si>
  <si>
    <t>铁三角 T-VGA</t>
  </si>
  <si>
    <t>铁三角</t>
  </si>
  <si>
    <t>2017-12-14</t>
  </si>
  <si>
    <t>盈佳  YJ-CE310A K</t>
  </si>
  <si>
    <t>东芝  DP-2802AF  数码复合机</t>
  </si>
  <si>
    <t>西部数据（WD）2.5英寸 USB3.0 移动硬盘 1TB（WDBUZG0010BBK）</t>
  </si>
  <si>
    <t>闪迪 高速金属迷你优盘 3.0高速版(64G)</t>
  </si>
  <si>
    <t>2017-11-28</t>
  </si>
  <si>
    <t>金士顿（Kingston） DT 100G3 128GB USB3.0 U盘</t>
  </si>
  <si>
    <t>2017-11-27</t>
  </si>
  <si>
    <t>金旗舰 B5 70g/m2</t>
  </si>
  <si>
    <t>惠普 HP Color LaserJet Pro MFP M477fdwA4</t>
  </si>
  <si>
    <t>合计</t>
  </si>
  <si>
    <t>惠普 原厂耗材-CC388A</t>
  </si>
  <si>
    <t>惠普 原厂耗材-Q5949A</t>
  </si>
  <si>
    <t>惠普 原厂耗材-Q7553A</t>
  </si>
  <si>
    <t>金旗舰 A4 70g/m2</t>
  </si>
  <si>
    <t>销售订单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</si>
</sst>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¥&quot;#,##0.0;&quot;¥&quot;\-#,##0.0"/>
  </numFmts>
  <fonts count="9" x14ac:knownFonts="1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0"/>
      <color theme="1"/>
      <name val="宋体"/>
      <charset val="134"/>
      <scheme val="minor"/>
    </font>
    <font>
      <sz val="10"/>
      <name val="Arial"/>
      <family val="2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36"/>
      <color theme="1"/>
      <name val="隶书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6" fillId="0" borderId="1" xfId="0" applyNumberFormat="1" applyFont="1" applyBorder="1" applyAlignment="1">
      <alignment horizontal="centerContinuous" vertical="center"/>
    </xf>
    <xf numFmtId="0" fontId="6" fillId="0" borderId="1" xfId="0" applyFont="1" applyBorder="1" applyAlignment="1">
      <alignment horizontal="centerContinuous" vertical="center"/>
    </xf>
    <xf numFmtId="0" fontId="5" fillId="0" borderId="1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/>
    </xf>
  </cellXfs>
  <cellStyles count="1">
    <cellStyle name="常规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 smtClean="0"/>
              <a:t>B</a:t>
            </a:r>
            <a:r>
              <a:rPr lang="zh-CN" altLang="en-US" sz="1400" b="0" i="0" u="none" strike="noStrike" baseline="0" smtClean="0"/>
              <a:t>企业销售额与销售数量统计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销售统计!$F$2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销售统计!$C$14:$C$19</c:f>
              <c:strCache>
                <c:ptCount val="6"/>
                <c:pt idx="0">
                  <c:v>KINGSTON 金士顿 DT 100G3 32GB USB3.0 U盘</c:v>
                </c:pt>
                <c:pt idx="1">
                  <c:v>金旗舰 A3 80g/m2</c:v>
                </c:pt>
                <c:pt idx="2">
                  <c:v>金旗舰 A3 80g/m2</c:v>
                </c:pt>
                <c:pt idx="3">
                  <c:v>利市 A3 70g/m2</c:v>
                </c:pt>
                <c:pt idx="4">
                  <c:v>金士顿（Kingston） DT 100G3 128GB USB3.0 U盘</c:v>
                </c:pt>
                <c:pt idx="5">
                  <c:v>KINGSTON 金士顿 DT 100G3 32GB USB3.0 U盘</c:v>
                </c:pt>
              </c:strCache>
            </c:strRef>
          </c:cat>
          <c:val>
            <c:numRef>
              <c:f>销售统计!$F$14:$F$19</c:f>
              <c:numCache>
                <c:formatCode>"¥"#,##0.0;"¥"\-#,##0.0</c:formatCode>
                <c:ptCount val="6"/>
                <c:pt idx="0">
                  <c:v>7440</c:v>
                </c:pt>
                <c:pt idx="1">
                  <c:v>2867.5</c:v>
                </c:pt>
                <c:pt idx="2">
                  <c:v>2867.5</c:v>
                </c:pt>
                <c:pt idx="3">
                  <c:v>2328</c:v>
                </c:pt>
                <c:pt idx="4">
                  <c:v>2148</c:v>
                </c:pt>
                <c:pt idx="5">
                  <c:v>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C-4003-BF60-BACEFF8555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10037152"/>
        <c:axId val="1110034240"/>
      </c:barChart>
      <c:lineChart>
        <c:grouping val="standard"/>
        <c:varyColors val="0"/>
        <c:ser>
          <c:idx val="0"/>
          <c:order val="0"/>
          <c:tx>
            <c:strRef>
              <c:f>销售统计!$D$2</c:f>
              <c:strCache>
                <c:ptCount val="1"/>
                <c:pt idx="0">
                  <c:v>数量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销售统计!$C$14:$C$19</c:f>
              <c:strCache>
                <c:ptCount val="6"/>
                <c:pt idx="0">
                  <c:v>KINGSTON 金士顿 DT 100G3 32GB USB3.0 U盘</c:v>
                </c:pt>
                <c:pt idx="1">
                  <c:v>金旗舰 A3 80g/m2</c:v>
                </c:pt>
                <c:pt idx="2">
                  <c:v>金旗舰 A3 80g/m2</c:v>
                </c:pt>
                <c:pt idx="3">
                  <c:v>利市 A3 70g/m2</c:v>
                </c:pt>
                <c:pt idx="4">
                  <c:v>金士顿（Kingston） DT 100G3 128GB USB3.0 U盘</c:v>
                </c:pt>
                <c:pt idx="5">
                  <c:v>KINGSTON 金士顿 DT 100G3 32GB USB3.0 U盘</c:v>
                </c:pt>
              </c:strCache>
            </c:strRef>
          </c:cat>
          <c:val>
            <c:numRef>
              <c:f>销售统计!$D$14:$D$19</c:f>
              <c:numCache>
                <c:formatCode>General</c:formatCode>
                <c:ptCount val="6"/>
                <c:pt idx="0">
                  <c:v>48</c:v>
                </c:pt>
                <c:pt idx="1">
                  <c:v>50</c:v>
                </c:pt>
                <c:pt idx="2">
                  <c:v>50</c:v>
                </c:pt>
                <c:pt idx="3">
                  <c:v>60</c:v>
                </c:pt>
                <c:pt idx="4">
                  <c:v>6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0C-4003-BF60-BACEFF8555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10036736"/>
        <c:axId val="1110036320"/>
      </c:lineChart>
      <c:catAx>
        <c:axId val="1110037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0034240"/>
        <c:crosses val="autoZero"/>
        <c:auto val="1"/>
        <c:lblAlgn val="ctr"/>
        <c:lblOffset val="100"/>
        <c:noMultiLvlLbl val="0"/>
      </c:catAx>
      <c:valAx>
        <c:axId val="111003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¥&quot;#,##0.0;&quot;¥&quot;\-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0037152"/>
        <c:crosses val="autoZero"/>
        <c:crossBetween val="between"/>
      </c:valAx>
      <c:valAx>
        <c:axId val="1110036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0036736"/>
        <c:crosses val="max"/>
        <c:crossBetween val="between"/>
      </c:valAx>
      <c:catAx>
        <c:axId val="1110036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0036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233361</xdr:colOff>
      <xdr:row>4</xdr:row>
      <xdr:rowOff>42862</xdr:rowOff>
    </xdr:from>
    <xdr:to>
      <xdr:col>6</xdr:col>
      <xdr:colOff>76199</xdr:colOff>
      <xdr:row>15</xdr:row>
      <xdr:rowOff>61912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selection activeCell="C17" sqref="C17"/>
    </sheetView>
  </sheetViews>
  <sheetFormatPr defaultColWidth="9" defaultRowHeight="12" x14ac:dyDescent="0.15"/>
  <cols>
    <col min="1" max="1" width="6" style="8" customWidth="1"/>
    <col min="2" max="2" width="10.875" style="9" customWidth="1"/>
    <col min="3" max="3" width="54.25" style="9" customWidth="1"/>
    <col min="4" max="4" width="6" style="9" customWidth="1"/>
    <col min="5" max="5" width="9.25" style="9" customWidth="1"/>
    <col min="6" max="6" width="10.25" style="9" customWidth="1"/>
    <col min="7" max="7" width="7.625" style="9" customWidth="1"/>
    <col min="8" max="8" width="19.75" style="9" customWidth="1"/>
    <col min="9" max="9" width="16.25" style="9" customWidth="1"/>
    <col min="10" max="16384" width="9" style="9"/>
  </cols>
  <sheetData>
    <row r="1" spans="1:10" ht="46.5" x14ac:dyDescent="0.15">
      <c r="A1" s="30" t="s">
        <v>203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s="7" customFormat="1" ht="20.100000000000001" customHeight="1" x14ac:dyDescent="0.15">
      <c r="A2" s="10" t="s">
        <v>0</v>
      </c>
      <c r="B2" s="10" t="s">
        <v>1</v>
      </c>
      <c r="C2" s="10" t="s">
        <v>2</v>
      </c>
      <c r="D2" s="10" t="s">
        <v>3</v>
      </c>
      <c r="E2" s="11" t="s">
        <v>4</v>
      </c>
      <c r="F2" s="11" t="s">
        <v>5</v>
      </c>
      <c r="G2" s="11" t="s">
        <v>6</v>
      </c>
      <c r="H2" s="10" t="s">
        <v>7</v>
      </c>
      <c r="I2" s="17" t="s">
        <v>8</v>
      </c>
      <c r="J2" s="11" t="s">
        <v>9</v>
      </c>
    </row>
    <row r="3" spans="1:10" s="7" customFormat="1" ht="20.100000000000001" customHeight="1" x14ac:dyDescent="0.15">
      <c r="A3" s="12">
        <v>28</v>
      </c>
      <c r="B3" s="13" t="s">
        <v>105</v>
      </c>
      <c r="C3" s="13" t="s">
        <v>106</v>
      </c>
      <c r="D3" s="15">
        <v>1</v>
      </c>
      <c r="E3" s="14">
        <f>VLOOKUP(C3,产品价格表!$A$2:$B$70,2,0)</f>
        <v>84000</v>
      </c>
      <c r="F3" s="29">
        <f t="shared" ref="F3:F34" si="0">D3*E3</f>
        <v>84000</v>
      </c>
      <c r="G3" s="14" t="s">
        <v>12</v>
      </c>
      <c r="H3" s="14" t="s">
        <v>71</v>
      </c>
      <c r="I3" s="18" t="s">
        <v>107</v>
      </c>
      <c r="J3" s="19" t="str">
        <f t="shared" ref="J3:J34" si="1">IF(OR(F3/$F$73&gt;5%,D3/$D$73&gt;10%),"优",IF(F3/$F$73&lt;0.1%,"差","中等"))</f>
        <v>优</v>
      </c>
    </row>
    <row r="4" spans="1:10" s="7" customFormat="1" ht="20.100000000000001" customHeight="1" x14ac:dyDescent="0.15">
      <c r="A4" s="12">
        <v>55</v>
      </c>
      <c r="B4" s="13" t="s">
        <v>169</v>
      </c>
      <c r="C4" s="13" t="s">
        <v>170</v>
      </c>
      <c r="D4" s="12">
        <v>1</v>
      </c>
      <c r="E4" s="14">
        <f>VLOOKUP(C4,产品价格表!$A$2:$B$70,2,0)</f>
        <v>11500</v>
      </c>
      <c r="F4" s="29">
        <f t="shared" si="0"/>
        <v>11500</v>
      </c>
      <c r="G4" s="14" t="s">
        <v>12</v>
      </c>
      <c r="H4" s="14" t="s">
        <v>163</v>
      </c>
      <c r="I4" s="18" t="s">
        <v>171</v>
      </c>
      <c r="J4" s="19" t="str">
        <f t="shared" si="1"/>
        <v>中等</v>
      </c>
    </row>
    <row r="5" spans="1:10" s="7" customFormat="1" ht="20.100000000000001" customHeight="1" x14ac:dyDescent="0.15">
      <c r="A5" s="12">
        <v>70</v>
      </c>
      <c r="B5" s="13" t="s">
        <v>125</v>
      </c>
      <c r="C5" s="13" t="s">
        <v>197</v>
      </c>
      <c r="D5" s="12">
        <v>1</v>
      </c>
      <c r="E5" s="14">
        <f>VLOOKUP(C5,产品价格表!$A$2:$B$70,2,0)</f>
        <v>7999</v>
      </c>
      <c r="F5" s="29">
        <f t="shared" si="0"/>
        <v>7999</v>
      </c>
      <c r="G5" s="14" t="s">
        <v>12</v>
      </c>
      <c r="H5" s="14" t="s">
        <v>163</v>
      </c>
      <c r="I5" s="18" t="s">
        <v>22</v>
      </c>
      <c r="J5" s="19" t="str">
        <f t="shared" si="1"/>
        <v>中等</v>
      </c>
    </row>
    <row r="6" spans="1:10" s="7" customFormat="1" ht="20.100000000000001" customHeight="1" x14ac:dyDescent="0.15">
      <c r="A6" s="12">
        <v>52</v>
      </c>
      <c r="B6" s="13" t="s">
        <v>161</v>
      </c>
      <c r="C6" s="13" t="s">
        <v>162</v>
      </c>
      <c r="D6" s="12">
        <v>95</v>
      </c>
      <c r="E6" s="14">
        <f>VLOOKUP(C6,产品价格表!$A$2:$B$70,2,0)</f>
        <v>37</v>
      </c>
      <c r="F6" s="29">
        <f t="shared" si="0"/>
        <v>3515</v>
      </c>
      <c r="G6" s="14" t="s">
        <v>12</v>
      </c>
      <c r="H6" s="14" t="s">
        <v>163</v>
      </c>
      <c r="I6" s="18" t="s">
        <v>93</v>
      </c>
      <c r="J6" s="19" t="str">
        <f t="shared" si="1"/>
        <v>中等</v>
      </c>
    </row>
    <row r="7" spans="1:10" s="7" customFormat="1" ht="20.100000000000001" customHeight="1" x14ac:dyDescent="0.15">
      <c r="A7" s="12">
        <v>61</v>
      </c>
      <c r="B7" s="13" t="s">
        <v>180</v>
      </c>
      <c r="C7" s="13" t="s">
        <v>181</v>
      </c>
      <c r="D7" s="12">
        <v>1</v>
      </c>
      <c r="E7" s="14">
        <f>VLOOKUP(C7,产品价格表!$A$2:$B$70,2,0)</f>
        <v>2480</v>
      </c>
      <c r="F7" s="29">
        <f t="shared" si="0"/>
        <v>2480</v>
      </c>
      <c r="G7" s="14" t="s">
        <v>12</v>
      </c>
      <c r="H7" s="14" t="s">
        <v>71</v>
      </c>
      <c r="I7" s="18" t="s">
        <v>182</v>
      </c>
      <c r="J7" s="19" t="str">
        <f t="shared" si="1"/>
        <v>中等</v>
      </c>
    </row>
    <row r="8" spans="1:10" s="7" customFormat="1" ht="20.100000000000001" customHeight="1" x14ac:dyDescent="0.15">
      <c r="A8" s="12">
        <v>59</v>
      </c>
      <c r="B8" s="13" t="s">
        <v>176</v>
      </c>
      <c r="C8" s="13" t="s">
        <v>177</v>
      </c>
      <c r="D8" s="12">
        <v>5</v>
      </c>
      <c r="E8" s="14">
        <f>VLOOKUP(C8,产品价格表!$A$2:$B$70,2,0)</f>
        <v>460</v>
      </c>
      <c r="F8" s="29">
        <f t="shared" si="0"/>
        <v>2300</v>
      </c>
      <c r="G8" s="14" t="s">
        <v>12</v>
      </c>
      <c r="H8" s="14" t="s">
        <v>26</v>
      </c>
      <c r="I8" s="18" t="s">
        <v>178</v>
      </c>
      <c r="J8" s="19" t="str">
        <f t="shared" si="1"/>
        <v>中等</v>
      </c>
    </row>
    <row r="9" spans="1:10" s="7" customFormat="1" ht="20.100000000000001" customHeight="1" x14ac:dyDescent="0.15">
      <c r="A9" s="12">
        <v>10</v>
      </c>
      <c r="B9" s="13" t="s">
        <v>47</v>
      </c>
      <c r="C9" s="13" t="s">
        <v>48</v>
      </c>
      <c r="D9" s="12">
        <v>4</v>
      </c>
      <c r="E9" s="14">
        <f>VLOOKUP(C9,产品价格表!$A$2:$B$70,2,0)</f>
        <v>499</v>
      </c>
      <c r="F9" s="29">
        <f t="shared" si="0"/>
        <v>1996</v>
      </c>
      <c r="G9" s="14" t="s">
        <v>12</v>
      </c>
      <c r="H9" s="14" t="s">
        <v>49</v>
      </c>
      <c r="I9" s="18" t="s">
        <v>22</v>
      </c>
      <c r="J9" s="19" t="str">
        <f t="shared" si="1"/>
        <v>中等</v>
      </c>
    </row>
    <row r="10" spans="1:10" s="7" customFormat="1" ht="20.100000000000001" customHeight="1" x14ac:dyDescent="0.15">
      <c r="A10" s="12">
        <v>56</v>
      </c>
      <c r="B10" s="13" t="s">
        <v>172</v>
      </c>
      <c r="C10" s="13" t="s">
        <v>19</v>
      </c>
      <c r="D10" s="12">
        <v>1</v>
      </c>
      <c r="E10" s="14">
        <f>VLOOKUP(C10,产品价格表!$A$2:$B$70,2,0)</f>
        <v>1699</v>
      </c>
      <c r="F10" s="29">
        <f t="shared" si="0"/>
        <v>1699</v>
      </c>
      <c r="G10" s="14" t="s">
        <v>12</v>
      </c>
      <c r="H10" s="14" t="s">
        <v>150</v>
      </c>
      <c r="I10" s="18" t="s">
        <v>22</v>
      </c>
      <c r="J10" s="19" t="str">
        <f t="shared" si="1"/>
        <v>中等</v>
      </c>
    </row>
    <row r="11" spans="1:10" s="7" customFormat="1" ht="20.100000000000001" customHeight="1" x14ac:dyDescent="0.15">
      <c r="A11" s="12">
        <v>1</v>
      </c>
      <c r="B11" s="13" t="s">
        <v>10</v>
      </c>
      <c r="C11" s="13" t="s">
        <v>11</v>
      </c>
      <c r="D11" s="12">
        <v>3</v>
      </c>
      <c r="E11" s="14">
        <f>VLOOKUP(C11,产品价格表!$A$2:$B$70,2,0)</f>
        <v>438</v>
      </c>
      <c r="F11" s="29">
        <f t="shared" si="0"/>
        <v>1314</v>
      </c>
      <c r="G11" s="14" t="s">
        <v>12</v>
      </c>
      <c r="H11" s="14" t="s">
        <v>13</v>
      </c>
      <c r="I11" s="18" t="s">
        <v>14</v>
      </c>
      <c r="J11" s="19" t="str">
        <f t="shared" si="1"/>
        <v>中等</v>
      </c>
    </row>
    <row r="12" spans="1:10" s="7" customFormat="1" ht="20.100000000000001" customHeight="1" x14ac:dyDescent="0.15">
      <c r="A12" s="12">
        <v>47</v>
      </c>
      <c r="B12" s="13" t="s">
        <v>151</v>
      </c>
      <c r="C12" s="13" t="s">
        <v>142</v>
      </c>
      <c r="D12" s="12">
        <v>1</v>
      </c>
      <c r="E12" s="14">
        <f>VLOOKUP(C12,产品价格表!$A$2:$B$70,2,0)</f>
        <v>1119</v>
      </c>
      <c r="F12" s="29">
        <f t="shared" si="0"/>
        <v>1119</v>
      </c>
      <c r="G12" s="14" t="s">
        <v>12</v>
      </c>
      <c r="H12" s="14" t="s">
        <v>152</v>
      </c>
      <c r="I12" s="18" t="s">
        <v>22</v>
      </c>
      <c r="J12" s="19" t="str">
        <f t="shared" si="1"/>
        <v>中等</v>
      </c>
    </row>
    <row r="13" spans="1:10" s="7" customFormat="1" ht="20.100000000000001" customHeight="1" x14ac:dyDescent="0.15">
      <c r="A13" s="12">
        <v>40</v>
      </c>
      <c r="B13" s="13" t="s">
        <v>39</v>
      </c>
      <c r="C13" s="13" t="s">
        <v>131</v>
      </c>
      <c r="D13" s="12">
        <v>4</v>
      </c>
      <c r="E13" s="14">
        <f>VLOOKUP(C13,产品价格表!$A$2:$B$70,2,0)</f>
        <v>220</v>
      </c>
      <c r="F13" s="29">
        <f t="shared" si="0"/>
        <v>880</v>
      </c>
      <c r="G13" s="14" t="s">
        <v>12</v>
      </c>
      <c r="H13" s="14" t="s">
        <v>26</v>
      </c>
      <c r="I13" s="18" t="s">
        <v>93</v>
      </c>
      <c r="J13" s="19" t="str">
        <f t="shared" si="1"/>
        <v>中等</v>
      </c>
    </row>
    <row r="14" spans="1:10" s="7" customFormat="1" ht="20.100000000000001" customHeight="1" x14ac:dyDescent="0.15">
      <c r="A14" s="12">
        <v>2</v>
      </c>
      <c r="B14" s="13" t="s">
        <v>15</v>
      </c>
      <c r="C14" s="13" t="s">
        <v>16</v>
      </c>
      <c r="D14" s="15">
        <v>48</v>
      </c>
      <c r="E14" s="14">
        <f>VLOOKUP(C14,产品价格表!$A$2:$B$70,2,0)</f>
        <v>155</v>
      </c>
      <c r="F14" s="29">
        <f t="shared" si="0"/>
        <v>7440</v>
      </c>
      <c r="G14" s="14" t="s">
        <v>17</v>
      </c>
      <c r="H14" s="14" t="s">
        <v>13</v>
      </c>
      <c r="I14" s="18" t="s">
        <v>14</v>
      </c>
      <c r="J14" s="19" t="str">
        <f t="shared" si="1"/>
        <v>中等</v>
      </c>
    </row>
    <row r="15" spans="1:10" s="7" customFormat="1" ht="20.100000000000001" customHeight="1" x14ac:dyDescent="0.15">
      <c r="A15" s="12">
        <v>22</v>
      </c>
      <c r="B15" s="13" t="s">
        <v>84</v>
      </c>
      <c r="C15" s="13" t="s">
        <v>85</v>
      </c>
      <c r="D15" s="12">
        <v>50</v>
      </c>
      <c r="E15" s="14">
        <f>VLOOKUP(C15,产品价格表!$A$2:$B$70,2,0)</f>
        <v>57.35</v>
      </c>
      <c r="F15" s="29">
        <f t="shared" si="0"/>
        <v>2867.5</v>
      </c>
      <c r="G15" s="14" t="s">
        <v>17</v>
      </c>
      <c r="H15" s="14" t="s">
        <v>86</v>
      </c>
      <c r="I15" s="18" t="s">
        <v>87</v>
      </c>
      <c r="J15" s="19" t="str">
        <f t="shared" si="1"/>
        <v>中等</v>
      </c>
    </row>
    <row r="16" spans="1:10" s="7" customFormat="1" ht="20.100000000000001" customHeight="1" x14ac:dyDescent="0.15">
      <c r="A16" s="12">
        <v>60</v>
      </c>
      <c r="B16" s="13" t="s">
        <v>179</v>
      </c>
      <c r="C16" s="13" t="s">
        <v>85</v>
      </c>
      <c r="D16" s="12">
        <v>50</v>
      </c>
      <c r="E16" s="14">
        <f>VLOOKUP(C16,产品价格表!$A$2:$B$70,2,0)</f>
        <v>57.35</v>
      </c>
      <c r="F16" s="29">
        <f t="shared" si="0"/>
        <v>2867.5</v>
      </c>
      <c r="G16" s="14" t="s">
        <v>17</v>
      </c>
      <c r="H16" s="14" t="s">
        <v>90</v>
      </c>
      <c r="I16" s="18" t="s">
        <v>87</v>
      </c>
      <c r="J16" s="19" t="str">
        <f t="shared" si="1"/>
        <v>中等</v>
      </c>
    </row>
    <row r="17" spans="1:10" s="7" customFormat="1" ht="20.100000000000001" customHeight="1" x14ac:dyDescent="0.15">
      <c r="A17" s="12">
        <v>38</v>
      </c>
      <c r="B17" s="13" t="s">
        <v>125</v>
      </c>
      <c r="C17" s="13" t="s">
        <v>126</v>
      </c>
      <c r="D17" s="12">
        <v>60</v>
      </c>
      <c r="E17" s="14">
        <f>VLOOKUP(C17,产品价格表!$A$2:$B$70,2,0)</f>
        <v>38.799999999999997</v>
      </c>
      <c r="F17" s="29">
        <f t="shared" si="0"/>
        <v>2328</v>
      </c>
      <c r="G17" s="14" t="s">
        <v>17</v>
      </c>
      <c r="H17" s="14" t="s">
        <v>21</v>
      </c>
      <c r="I17" s="18" t="s">
        <v>127</v>
      </c>
      <c r="J17" s="19" t="str">
        <f t="shared" si="1"/>
        <v>中等</v>
      </c>
    </row>
    <row r="18" spans="1:10" s="7" customFormat="1" ht="20.100000000000001" customHeight="1" x14ac:dyDescent="0.15">
      <c r="A18" s="12">
        <v>68</v>
      </c>
      <c r="B18" s="13" t="s">
        <v>193</v>
      </c>
      <c r="C18" s="13" t="s">
        <v>194</v>
      </c>
      <c r="D18" s="12">
        <v>6</v>
      </c>
      <c r="E18" s="14">
        <f>VLOOKUP(C18,产品价格表!$A$2:$B$70,2,0)</f>
        <v>358</v>
      </c>
      <c r="F18" s="29">
        <f t="shared" si="0"/>
        <v>2148</v>
      </c>
      <c r="G18" s="14" t="s">
        <v>17</v>
      </c>
      <c r="H18" s="14" t="s">
        <v>124</v>
      </c>
      <c r="I18" s="18" t="s">
        <v>14</v>
      </c>
      <c r="J18" s="19" t="str">
        <f t="shared" si="1"/>
        <v>中等</v>
      </c>
    </row>
    <row r="19" spans="1:10" s="7" customFormat="1" ht="20.100000000000001" customHeight="1" x14ac:dyDescent="0.15">
      <c r="A19" s="12">
        <v>6</v>
      </c>
      <c r="B19" s="13" t="s">
        <v>32</v>
      </c>
      <c r="C19" s="13" t="s">
        <v>16</v>
      </c>
      <c r="D19" s="12">
        <v>5</v>
      </c>
      <c r="E19" s="14">
        <f>VLOOKUP(C19,产品价格表!$A$2:$B$70,2,0)</f>
        <v>155</v>
      </c>
      <c r="F19" s="29">
        <f t="shared" si="0"/>
        <v>775</v>
      </c>
      <c r="G19" s="14" t="s">
        <v>17</v>
      </c>
      <c r="H19" s="14" t="s">
        <v>33</v>
      </c>
      <c r="I19" s="18" t="s">
        <v>14</v>
      </c>
      <c r="J19" s="19" t="str">
        <f t="shared" si="1"/>
        <v>中等</v>
      </c>
    </row>
    <row r="20" spans="1:10" s="7" customFormat="1" ht="20.100000000000001" customHeight="1" x14ac:dyDescent="0.15">
      <c r="A20" s="12">
        <v>18</v>
      </c>
      <c r="B20" s="13" t="s">
        <v>72</v>
      </c>
      <c r="C20" s="13" t="s">
        <v>73</v>
      </c>
      <c r="D20" s="12">
        <v>1</v>
      </c>
      <c r="E20" s="14">
        <f>VLOOKUP(C20,产品价格表!$A$2:$B$70,2,0)</f>
        <v>24588</v>
      </c>
      <c r="F20" s="29">
        <f t="shared" si="0"/>
        <v>24588</v>
      </c>
      <c r="G20" s="14" t="s">
        <v>20</v>
      </c>
      <c r="H20" s="14" t="s">
        <v>13</v>
      </c>
      <c r="I20" s="18" t="s">
        <v>74</v>
      </c>
      <c r="J20" s="19" t="str">
        <f t="shared" si="1"/>
        <v>优</v>
      </c>
    </row>
    <row r="21" spans="1:10" s="7" customFormat="1" ht="20.100000000000001" customHeight="1" x14ac:dyDescent="0.15">
      <c r="A21" s="12">
        <v>5</v>
      </c>
      <c r="B21" s="13" t="s">
        <v>28</v>
      </c>
      <c r="C21" s="13" t="s">
        <v>29</v>
      </c>
      <c r="D21" s="12">
        <v>4</v>
      </c>
      <c r="E21" s="14">
        <f>VLOOKUP(C21,产品价格表!$A$2:$B$70,2,0)</f>
        <v>2950</v>
      </c>
      <c r="F21" s="29">
        <f t="shared" si="0"/>
        <v>11800</v>
      </c>
      <c r="G21" s="14" t="s">
        <v>20</v>
      </c>
      <c r="H21" s="14" t="s">
        <v>30</v>
      </c>
      <c r="I21" s="18" t="s">
        <v>31</v>
      </c>
      <c r="J21" s="19" t="str">
        <f t="shared" si="1"/>
        <v>中等</v>
      </c>
    </row>
    <row r="22" spans="1:10" s="7" customFormat="1" ht="20.100000000000001" customHeight="1" x14ac:dyDescent="0.15">
      <c r="A22" s="12">
        <v>65</v>
      </c>
      <c r="B22" s="13" t="s">
        <v>118</v>
      </c>
      <c r="C22" s="13" t="s">
        <v>190</v>
      </c>
      <c r="D22" s="12">
        <v>1</v>
      </c>
      <c r="E22" s="14">
        <f>VLOOKUP(C22,产品价格表!$A$2:$B$70,2,0)</f>
        <v>5799</v>
      </c>
      <c r="F22" s="29">
        <f t="shared" si="0"/>
        <v>5799</v>
      </c>
      <c r="G22" s="14" t="s">
        <v>20</v>
      </c>
      <c r="H22" s="14" t="s">
        <v>163</v>
      </c>
      <c r="I22" s="18" t="s">
        <v>91</v>
      </c>
      <c r="J22" s="19" t="str">
        <f t="shared" si="1"/>
        <v>中等</v>
      </c>
    </row>
    <row r="23" spans="1:10" s="7" customFormat="1" ht="20.100000000000001" customHeight="1" x14ac:dyDescent="0.15">
      <c r="A23" s="12">
        <v>43</v>
      </c>
      <c r="B23" s="13" t="s">
        <v>141</v>
      </c>
      <c r="C23" s="13" t="s">
        <v>142</v>
      </c>
      <c r="D23" s="12">
        <v>5</v>
      </c>
      <c r="E23" s="14">
        <f>VLOOKUP(C23,产品价格表!$A$2:$B$70,2,0)</f>
        <v>1119</v>
      </c>
      <c r="F23" s="29">
        <f t="shared" si="0"/>
        <v>5595</v>
      </c>
      <c r="G23" s="14" t="s">
        <v>20</v>
      </c>
      <c r="H23" s="14" t="s">
        <v>104</v>
      </c>
      <c r="I23" s="18" t="s">
        <v>22</v>
      </c>
      <c r="J23" s="19" t="str">
        <f t="shared" si="1"/>
        <v>中等</v>
      </c>
    </row>
    <row r="24" spans="1:10" s="7" customFormat="1" ht="20.100000000000001" customHeight="1" x14ac:dyDescent="0.15">
      <c r="A24" s="12">
        <v>48</v>
      </c>
      <c r="B24" s="13" t="s">
        <v>151</v>
      </c>
      <c r="C24" s="13" t="s">
        <v>153</v>
      </c>
      <c r="D24" s="12">
        <v>300</v>
      </c>
      <c r="E24" s="14">
        <f>VLOOKUP(C24,产品价格表!$A$2:$B$70,2,0)</f>
        <v>17.5</v>
      </c>
      <c r="F24" s="29">
        <f t="shared" si="0"/>
        <v>5250</v>
      </c>
      <c r="G24" s="14" t="s">
        <v>20</v>
      </c>
      <c r="H24" s="14" t="s">
        <v>154</v>
      </c>
      <c r="I24" s="18" t="s">
        <v>155</v>
      </c>
      <c r="J24" s="19" t="str">
        <f t="shared" si="1"/>
        <v>优</v>
      </c>
    </row>
    <row r="25" spans="1:10" s="7" customFormat="1" ht="20.100000000000001" customHeight="1" x14ac:dyDescent="0.15">
      <c r="A25" s="12">
        <v>36</v>
      </c>
      <c r="B25" s="13" t="s">
        <v>120</v>
      </c>
      <c r="C25" s="13" t="s">
        <v>121</v>
      </c>
      <c r="D25" s="12">
        <v>100</v>
      </c>
      <c r="E25" s="14">
        <f>VLOOKUP(C25,产品价格表!$A$2:$B$70,2,0)</f>
        <v>29.1</v>
      </c>
      <c r="F25" s="29">
        <f t="shared" si="0"/>
        <v>2910</v>
      </c>
      <c r="G25" s="14" t="s">
        <v>20</v>
      </c>
      <c r="H25" s="14" t="s">
        <v>96</v>
      </c>
      <c r="I25" s="18" t="s">
        <v>87</v>
      </c>
      <c r="J25" s="19" t="str">
        <f t="shared" si="1"/>
        <v>中等</v>
      </c>
    </row>
    <row r="26" spans="1:10" s="7" customFormat="1" ht="20.100000000000001" customHeight="1" x14ac:dyDescent="0.15">
      <c r="A26" s="12">
        <v>21</v>
      </c>
      <c r="B26" s="13" t="s">
        <v>78</v>
      </c>
      <c r="C26" s="13" t="s">
        <v>82</v>
      </c>
      <c r="D26" s="12">
        <v>125</v>
      </c>
      <c r="E26" s="14">
        <f>VLOOKUP(C26,产品价格表!$A$2:$B$70,2,0)</f>
        <v>21</v>
      </c>
      <c r="F26" s="29">
        <f t="shared" si="0"/>
        <v>2625</v>
      </c>
      <c r="G26" s="14" t="s">
        <v>20</v>
      </c>
      <c r="H26" s="14" t="s">
        <v>66</v>
      </c>
      <c r="I26" s="18" t="s">
        <v>83</v>
      </c>
      <c r="J26" s="19" t="str">
        <f t="shared" si="1"/>
        <v>中等</v>
      </c>
    </row>
    <row r="27" spans="1:10" s="7" customFormat="1" ht="20.100000000000001" customHeight="1" x14ac:dyDescent="0.15">
      <c r="A27" s="12">
        <v>53</v>
      </c>
      <c r="B27" s="13" t="s">
        <v>164</v>
      </c>
      <c r="C27" s="13" t="s">
        <v>165</v>
      </c>
      <c r="D27" s="12">
        <v>2</v>
      </c>
      <c r="E27" s="14">
        <f>VLOOKUP(C27,产品价格表!$A$2:$B$70,2,0)</f>
        <v>1078</v>
      </c>
      <c r="F27" s="29">
        <f t="shared" si="0"/>
        <v>2156</v>
      </c>
      <c r="G27" s="14" t="s">
        <v>20</v>
      </c>
      <c r="H27" s="14" t="s">
        <v>37</v>
      </c>
      <c r="I27" s="18" t="s">
        <v>57</v>
      </c>
      <c r="J27" s="19" t="str">
        <f t="shared" si="1"/>
        <v>中等</v>
      </c>
    </row>
    <row r="28" spans="1:10" s="7" customFormat="1" ht="20.100000000000001" customHeight="1" x14ac:dyDescent="0.15">
      <c r="A28" s="12">
        <v>63</v>
      </c>
      <c r="B28" s="13" t="s">
        <v>185</v>
      </c>
      <c r="C28" s="13" t="s">
        <v>186</v>
      </c>
      <c r="D28" s="12">
        <v>15</v>
      </c>
      <c r="E28" s="14">
        <f>VLOOKUP(C28,产品价格表!$A$2:$B$70,2,0)</f>
        <v>135</v>
      </c>
      <c r="F28" s="29">
        <f t="shared" si="0"/>
        <v>2025</v>
      </c>
      <c r="G28" s="14" t="s">
        <v>20</v>
      </c>
      <c r="H28" s="14" t="s">
        <v>104</v>
      </c>
      <c r="I28" s="18" t="s">
        <v>187</v>
      </c>
      <c r="J28" s="19" t="str">
        <f t="shared" si="1"/>
        <v>中等</v>
      </c>
    </row>
    <row r="29" spans="1:10" s="7" customFormat="1" ht="20.100000000000001" customHeight="1" x14ac:dyDescent="0.15">
      <c r="A29" s="12">
        <v>15</v>
      </c>
      <c r="B29" s="13" t="s">
        <v>64</v>
      </c>
      <c r="C29" s="13" t="s">
        <v>65</v>
      </c>
      <c r="D29" s="12">
        <v>2</v>
      </c>
      <c r="E29" s="14">
        <f>VLOOKUP(C29,产品价格表!$A$2:$B$70,2,0)</f>
        <v>966</v>
      </c>
      <c r="F29" s="29">
        <f t="shared" si="0"/>
        <v>1932</v>
      </c>
      <c r="G29" s="14" t="s">
        <v>20</v>
      </c>
      <c r="H29" s="14" t="s">
        <v>66</v>
      </c>
      <c r="I29" s="18" t="s">
        <v>57</v>
      </c>
      <c r="J29" s="19" t="str">
        <f t="shared" si="1"/>
        <v>中等</v>
      </c>
    </row>
    <row r="30" spans="1:10" s="7" customFormat="1" ht="20.100000000000001" customHeight="1" x14ac:dyDescent="0.15">
      <c r="A30" s="12">
        <v>3</v>
      </c>
      <c r="B30" s="13" t="s">
        <v>18</v>
      </c>
      <c r="C30" s="13" t="s">
        <v>19</v>
      </c>
      <c r="D30" s="12">
        <v>1</v>
      </c>
      <c r="E30" s="14">
        <f>VLOOKUP(C30,产品价格表!$A$2:$B$70,2,0)</f>
        <v>1699</v>
      </c>
      <c r="F30" s="29">
        <f t="shared" si="0"/>
        <v>1699</v>
      </c>
      <c r="G30" s="16" t="s">
        <v>20</v>
      </c>
      <c r="H30" s="14" t="s">
        <v>21</v>
      </c>
      <c r="I30" s="18" t="s">
        <v>22</v>
      </c>
      <c r="J30" s="19" t="str">
        <f t="shared" si="1"/>
        <v>中等</v>
      </c>
    </row>
    <row r="31" spans="1:10" s="7" customFormat="1" ht="20.100000000000001" customHeight="1" x14ac:dyDescent="0.15">
      <c r="A31" s="12">
        <v>9</v>
      </c>
      <c r="B31" s="13" t="s">
        <v>43</v>
      </c>
      <c r="C31" s="13" t="s">
        <v>44</v>
      </c>
      <c r="D31" s="12">
        <v>2</v>
      </c>
      <c r="E31" s="14">
        <f>VLOOKUP(C31,产品价格表!$A$2:$B$70,2,0)</f>
        <v>689</v>
      </c>
      <c r="F31" s="29">
        <f t="shared" si="0"/>
        <v>1378</v>
      </c>
      <c r="G31" s="14" t="s">
        <v>20</v>
      </c>
      <c r="H31" s="14" t="s">
        <v>45</v>
      </c>
      <c r="I31" s="18" t="s">
        <v>46</v>
      </c>
      <c r="J31" s="19" t="str">
        <f t="shared" si="1"/>
        <v>中等</v>
      </c>
    </row>
    <row r="32" spans="1:10" s="7" customFormat="1" ht="20.100000000000001" customHeight="1" x14ac:dyDescent="0.15">
      <c r="A32" s="12">
        <v>25</v>
      </c>
      <c r="B32" s="13" t="s">
        <v>94</v>
      </c>
      <c r="C32" s="13" t="s">
        <v>95</v>
      </c>
      <c r="D32" s="12">
        <v>1</v>
      </c>
      <c r="E32" s="14">
        <f>VLOOKUP(C32,产品价格表!$A$2:$B$70,2,0)</f>
        <v>1349</v>
      </c>
      <c r="F32" s="29">
        <f t="shared" si="0"/>
        <v>1349</v>
      </c>
      <c r="G32" s="14" t="s">
        <v>20</v>
      </c>
      <c r="H32" s="14" t="s">
        <v>96</v>
      </c>
      <c r="I32" s="18" t="s">
        <v>97</v>
      </c>
      <c r="J32" s="19" t="str">
        <f t="shared" si="1"/>
        <v>中等</v>
      </c>
    </row>
    <row r="33" spans="1:10" s="7" customFormat="1" ht="20.100000000000001" customHeight="1" x14ac:dyDescent="0.15">
      <c r="A33" s="12">
        <v>23</v>
      </c>
      <c r="B33" s="13" t="s">
        <v>88</v>
      </c>
      <c r="C33" s="13" t="s">
        <v>89</v>
      </c>
      <c r="D33" s="12">
        <v>2</v>
      </c>
      <c r="E33" s="14">
        <f>VLOOKUP(C33,产品价格表!$A$2:$B$70,2,0)</f>
        <v>499</v>
      </c>
      <c r="F33" s="29">
        <f t="shared" si="0"/>
        <v>998</v>
      </c>
      <c r="G33" s="14" t="s">
        <v>20</v>
      </c>
      <c r="H33" s="14" t="s">
        <v>90</v>
      </c>
      <c r="I33" s="18" t="s">
        <v>91</v>
      </c>
      <c r="J33" s="19" t="str">
        <f t="shared" si="1"/>
        <v>中等</v>
      </c>
    </row>
    <row r="34" spans="1:10" s="7" customFormat="1" ht="20.100000000000001" customHeight="1" x14ac:dyDescent="0.15">
      <c r="A34" s="12">
        <v>31</v>
      </c>
      <c r="B34" s="13" t="s">
        <v>112</v>
      </c>
      <c r="C34" s="13" t="s">
        <v>48</v>
      </c>
      <c r="D34" s="12">
        <v>2</v>
      </c>
      <c r="E34" s="14">
        <f>VLOOKUP(C34,产品价格表!$A$2:$B$70,2,0)</f>
        <v>499</v>
      </c>
      <c r="F34" s="29">
        <f t="shared" si="0"/>
        <v>998</v>
      </c>
      <c r="G34" s="14" t="s">
        <v>20</v>
      </c>
      <c r="H34" s="14" t="s">
        <v>104</v>
      </c>
      <c r="I34" s="18" t="s">
        <v>22</v>
      </c>
      <c r="J34" s="19" t="str">
        <f t="shared" si="1"/>
        <v>中等</v>
      </c>
    </row>
    <row r="35" spans="1:10" s="7" customFormat="1" ht="20.100000000000001" customHeight="1" x14ac:dyDescent="0.15">
      <c r="A35" s="12">
        <v>19</v>
      </c>
      <c r="B35" s="13" t="s">
        <v>75</v>
      </c>
      <c r="C35" s="13" t="s">
        <v>76</v>
      </c>
      <c r="D35" s="12">
        <v>1</v>
      </c>
      <c r="E35" s="14">
        <f>VLOOKUP(C35,产品价格表!$A$2:$B$70,2,0)</f>
        <v>801</v>
      </c>
      <c r="F35" s="29">
        <f t="shared" ref="F35:F66" si="2">D35*E35</f>
        <v>801</v>
      </c>
      <c r="G35" s="14" t="s">
        <v>20</v>
      </c>
      <c r="H35" s="14" t="s">
        <v>77</v>
      </c>
      <c r="I35" s="18" t="s">
        <v>22</v>
      </c>
      <c r="J35" s="19" t="str">
        <f t="shared" ref="J35:J66" si="3">IF(OR(F35/$F$73&gt;5%,D35/$D$73&gt;10%),"优",IF(F35/$F$73&lt;0.1%,"差","中等"))</f>
        <v>中等</v>
      </c>
    </row>
    <row r="36" spans="1:10" s="7" customFormat="1" ht="20.100000000000001" customHeight="1" x14ac:dyDescent="0.15">
      <c r="A36" s="12">
        <v>57</v>
      </c>
      <c r="B36" s="13" t="s">
        <v>173</v>
      </c>
      <c r="C36" s="13" t="s">
        <v>174</v>
      </c>
      <c r="D36" s="12">
        <v>10</v>
      </c>
      <c r="E36" s="14">
        <f>VLOOKUP(C36,产品价格表!$A$2:$B$70,2,0)</f>
        <v>62.6</v>
      </c>
      <c r="F36" s="29">
        <f t="shared" si="2"/>
        <v>626</v>
      </c>
      <c r="G36" s="14" t="s">
        <v>20</v>
      </c>
      <c r="H36" s="14" t="s">
        <v>90</v>
      </c>
      <c r="I36" s="18" t="s">
        <v>140</v>
      </c>
      <c r="J36" s="19" t="str">
        <f t="shared" si="3"/>
        <v>中等</v>
      </c>
    </row>
    <row r="37" spans="1:10" s="7" customFormat="1" ht="20.100000000000001" customHeight="1" x14ac:dyDescent="0.15">
      <c r="A37" s="12">
        <v>16</v>
      </c>
      <c r="B37" s="13" t="s">
        <v>67</v>
      </c>
      <c r="C37" s="13" t="s">
        <v>68</v>
      </c>
      <c r="D37" s="12">
        <v>1</v>
      </c>
      <c r="E37" s="14">
        <f>VLOOKUP(C37,产品价格表!$A$2:$B$70,2,0)</f>
        <v>478</v>
      </c>
      <c r="F37" s="29">
        <f t="shared" si="2"/>
        <v>478</v>
      </c>
      <c r="G37" s="14" t="s">
        <v>20</v>
      </c>
      <c r="H37" s="14" t="s">
        <v>66</v>
      </c>
      <c r="I37" s="18" t="s">
        <v>31</v>
      </c>
      <c r="J37" s="19" t="str">
        <f t="shared" si="3"/>
        <v>中等</v>
      </c>
    </row>
    <row r="38" spans="1:10" s="7" customFormat="1" ht="20.100000000000001" customHeight="1" x14ac:dyDescent="0.15">
      <c r="A38" s="12">
        <v>58</v>
      </c>
      <c r="B38" s="13" t="s">
        <v>102</v>
      </c>
      <c r="C38" s="13" t="s">
        <v>175</v>
      </c>
      <c r="D38" s="15">
        <v>1</v>
      </c>
      <c r="E38" s="14">
        <f>VLOOKUP(C38,产品价格表!$A$2:$B$70,2,0)</f>
        <v>465</v>
      </c>
      <c r="F38" s="29">
        <f t="shared" si="2"/>
        <v>465</v>
      </c>
      <c r="G38" s="14" t="s">
        <v>20</v>
      </c>
      <c r="H38" s="14" t="s">
        <v>56</v>
      </c>
      <c r="I38" s="18" t="s">
        <v>22</v>
      </c>
      <c r="J38" s="19" t="str">
        <f t="shared" si="3"/>
        <v>中等</v>
      </c>
    </row>
    <row r="39" spans="1:10" s="7" customFormat="1" ht="20.100000000000001" customHeight="1" x14ac:dyDescent="0.15">
      <c r="A39" s="12">
        <v>27</v>
      </c>
      <c r="B39" s="13" t="s">
        <v>102</v>
      </c>
      <c r="C39" s="13" t="s">
        <v>103</v>
      </c>
      <c r="D39" s="12">
        <v>1</v>
      </c>
      <c r="E39" s="14">
        <f>VLOOKUP(C39,产品价格表!$A$2:$B$70,2,0)</f>
        <v>389</v>
      </c>
      <c r="F39" s="29">
        <f t="shared" si="2"/>
        <v>389</v>
      </c>
      <c r="G39" s="14" t="s">
        <v>20</v>
      </c>
      <c r="H39" s="14" t="s">
        <v>104</v>
      </c>
      <c r="I39" s="18" t="s">
        <v>46</v>
      </c>
      <c r="J39" s="19" t="str">
        <f t="shared" si="3"/>
        <v>差</v>
      </c>
    </row>
    <row r="40" spans="1:10" s="7" customFormat="1" ht="20.100000000000001" customHeight="1" x14ac:dyDescent="0.15">
      <c r="A40" s="12">
        <v>64</v>
      </c>
      <c r="B40" s="13" t="s">
        <v>188</v>
      </c>
      <c r="C40" s="13" t="s">
        <v>189</v>
      </c>
      <c r="D40" s="12">
        <v>2</v>
      </c>
      <c r="E40" s="14">
        <f>VLOOKUP(C40,产品价格表!$A$2:$B$70,2,0)</f>
        <v>135</v>
      </c>
      <c r="F40" s="29">
        <f t="shared" si="2"/>
        <v>270</v>
      </c>
      <c r="G40" s="14" t="s">
        <v>20</v>
      </c>
      <c r="H40" s="14" t="s">
        <v>104</v>
      </c>
      <c r="I40" s="18" t="s">
        <v>168</v>
      </c>
      <c r="J40" s="19" t="str">
        <f t="shared" si="3"/>
        <v>差</v>
      </c>
    </row>
    <row r="41" spans="1:10" s="7" customFormat="1" ht="20.100000000000001" customHeight="1" x14ac:dyDescent="0.15">
      <c r="A41" s="12">
        <v>54</v>
      </c>
      <c r="B41" s="13" t="s">
        <v>166</v>
      </c>
      <c r="C41" s="13" t="s">
        <v>167</v>
      </c>
      <c r="D41" s="12">
        <v>1</v>
      </c>
      <c r="E41" s="14">
        <f>VLOOKUP(C41,产品价格表!$A$2:$B$70,2,0)</f>
        <v>135</v>
      </c>
      <c r="F41" s="29">
        <f t="shared" si="2"/>
        <v>135</v>
      </c>
      <c r="G41" s="14" t="s">
        <v>20</v>
      </c>
      <c r="H41" s="14" t="s">
        <v>104</v>
      </c>
      <c r="I41" s="18" t="s">
        <v>168</v>
      </c>
      <c r="J41" s="19" t="str">
        <f t="shared" si="3"/>
        <v>差</v>
      </c>
    </row>
    <row r="42" spans="1:10" s="7" customFormat="1" ht="20.100000000000001" customHeight="1" x14ac:dyDescent="0.15">
      <c r="A42" s="12">
        <v>69</v>
      </c>
      <c r="B42" s="13" t="s">
        <v>195</v>
      </c>
      <c r="C42" s="13" t="s">
        <v>196</v>
      </c>
      <c r="D42" s="12">
        <v>5</v>
      </c>
      <c r="E42" s="14">
        <f>VLOOKUP(C42,产品价格表!$A$2:$B$70,2,0)</f>
        <v>19.100000000000001</v>
      </c>
      <c r="F42" s="29">
        <f t="shared" si="2"/>
        <v>95.5</v>
      </c>
      <c r="G42" s="14" t="s">
        <v>20</v>
      </c>
      <c r="H42" s="14" t="s">
        <v>96</v>
      </c>
      <c r="I42" s="18" t="s">
        <v>87</v>
      </c>
      <c r="J42" s="19" t="str">
        <f t="shared" si="3"/>
        <v>差</v>
      </c>
    </row>
    <row r="43" spans="1:10" s="7" customFormat="1" ht="20.100000000000001" customHeight="1" x14ac:dyDescent="0.15">
      <c r="A43" s="12">
        <v>11</v>
      </c>
      <c r="B43" s="13" t="s">
        <v>50</v>
      </c>
      <c r="C43" s="13" t="s">
        <v>51</v>
      </c>
      <c r="D43" s="12">
        <v>3</v>
      </c>
      <c r="E43" s="14">
        <f>VLOOKUP(C43,产品价格表!$A$2:$B$70,2,0)</f>
        <v>2880</v>
      </c>
      <c r="F43" s="29">
        <f t="shared" si="2"/>
        <v>8640</v>
      </c>
      <c r="G43" s="14" t="s">
        <v>25</v>
      </c>
      <c r="H43" s="14" t="s">
        <v>30</v>
      </c>
      <c r="I43" s="18" t="s">
        <v>52</v>
      </c>
      <c r="J43" s="19" t="str">
        <f t="shared" si="3"/>
        <v>中等</v>
      </c>
    </row>
    <row r="44" spans="1:10" s="7" customFormat="1" ht="20.100000000000001" customHeight="1" x14ac:dyDescent="0.15">
      <c r="A44" s="12">
        <v>34</v>
      </c>
      <c r="B44" s="13" t="s">
        <v>116</v>
      </c>
      <c r="C44" s="13" t="s">
        <v>117</v>
      </c>
      <c r="D44" s="12">
        <v>20</v>
      </c>
      <c r="E44" s="14">
        <f>VLOOKUP(C44,产品价格表!$A$2:$B$70,2,0)</f>
        <v>216</v>
      </c>
      <c r="F44" s="29">
        <f t="shared" si="2"/>
        <v>4320</v>
      </c>
      <c r="G44" s="14" t="s">
        <v>25</v>
      </c>
      <c r="H44" s="14" t="s">
        <v>61</v>
      </c>
      <c r="I44" s="18" t="s">
        <v>14</v>
      </c>
      <c r="J44" s="19" t="str">
        <f t="shared" si="3"/>
        <v>中等</v>
      </c>
    </row>
    <row r="45" spans="1:10" s="7" customFormat="1" ht="20.100000000000001" customHeight="1" x14ac:dyDescent="0.15">
      <c r="A45" s="12">
        <v>8</v>
      </c>
      <c r="B45" s="13" t="s">
        <v>39</v>
      </c>
      <c r="C45" s="13" t="s">
        <v>40</v>
      </c>
      <c r="D45" s="15">
        <v>30</v>
      </c>
      <c r="E45" s="14">
        <f>VLOOKUP(C45,产品价格表!$A$2:$B$70,2,0)</f>
        <v>117</v>
      </c>
      <c r="F45" s="29">
        <f t="shared" si="2"/>
        <v>3510</v>
      </c>
      <c r="G45" s="14" t="s">
        <v>25</v>
      </c>
      <c r="H45" s="14" t="s">
        <v>41</v>
      </c>
      <c r="I45" s="18" t="s">
        <v>42</v>
      </c>
      <c r="J45" s="19" t="str">
        <f t="shared" si="3"/>
        <v>中等</v>
      </c>
    </row>
    <row r="46" spans="1:10" s="7" customFormat="1" ht="20.100000000000001" customHeight="1" x14ac:dyDescent="0.15">
      <c r="A46" s="12">
        <v>41</v>
      </c>
      <c r="B46" s="13" t="s">
        <v>132</v>
      </c>
      <c r="C46" s="13" t="s">
        <v>133</v>
      </c>
      <c r="D46" s="12">
        <v>5</v>
      </c>
      <c r="E46" s="14">
        <f>VLOOKUP(C46,产品价格表!$A$2:$B$70,2,0)</f>
        <v>320</v>
      </c>
      <c r="F46" s="29">
        <f t="shared" si="2"/>
        <v>1600</v>
      </c>
      <c r="G46" s="14" t="s">
        <v>25</v>
      </c>
      <c r="H46" s="14" t="s">
        <v>134</v>
      </c>
      <c r="I46" s="18" t="s">
        <v>135</v>
      </c>
      <c r="J46" s="19" t="str">
        <f t="shared" si="3"/>
        <v>中等</v>
      </c>
    </row>
    <row r="47" spans="1:10" s="7" customFormat="1" ht="20.100000000000001" customHeight="1" x14ac:dyDescent="0.15">
      <c r="A47" s="12">
        <v>46</v>
      </c>
      <c r="B47" s="13" t="s">
        <v>148</v>
      </c>
      <c r="C47" s="13" t="s">
        <v>149</v>
      </c>
      <c r="D47" s="12">
        <v>2</v>
      </c>
      <c r="E47" s="14">
        <f>VLOOKUP(C47,产品价格表!$A$2:$B$70,2,0)</f>
        <v>479</v>
      </c>
      <c r="F47" s="29">
        <f t="shared" si="2"/>
        <v>958</v>
      </c>
      <c r="G47" s="14" t="s">
        <v>25</v>
      </c>
      <c r="H47" s="14" t="s">
        <v>150</v>
      </c>
      <c r="I47" s="18" t="s">
        <v>22</v>
      </c>
      <c r="J47" s="19" t="str">
        <f t="shared" si="3"/>
        <v>中等</v>
      </c>
    </row>
    <row r="48" spans="1:10" s="7" customFormat="1" ht="20.100000000000001" customHeight="1" x14ac:dyDescent="0.15">
      <c r="A48" s="12">
        <v>4</v>
      </c>
      <c r="B48" s="13" t="s">
        <v>23</v>
      </c>
      <c r="C48" s="13" t="s">
        <v>24</v>
      </c>
      <c r="D48" s="12">
        <v>2</v>
      </c>
      <c r="E48" s="14">
        <f>VLOOKUP(C48,产品价格表!$A$2:$B$70,2,0)</f>
        <v>250</v>
      </c>
      <c r="F48" s="29">
        <f t="shared" si="2"/>
        <v>500</v>
      </c>
      <c r="G48" s="14" t="s">
        <v>25</v>
      </c>
      <c r="H48" s="14" t="s">
        <v>26</v>
      </c>
      <c r="I48" s="18" t="s">
        <v>27</v>
      </c>
      <c r="J48" s="19" t="str">
        <f t="shared" si="3"/>
        <v>中等</v>
      </c>
    </row>
    <row r="49" spans="1:10" s="7" customFormat="1" ht="20.100000000000001" customHeight="1" x14ac:dyDescent="0.15">
      <c r="A49" s="12">
        <v>67</v>
      </c>
      <c r="B49" s="13" t="s">
        <v>120</v>
      </c>
      <c r="C49" s="13" t="s">
        <v>192</v>
      </c>
      <c r="D49" s="12">
        <v>1</v>
      </c>
      <c r="E49" s="14">
        <f>VLOOKUP(C49,产品价格表!$A$2:$B$70,2,0)</f>
        <v>179</v>
      </c>
      <c r="F49" s="29">
        <f t="shared" si="2"/>
        <v>179</v>
      </c>
      <c r="G49" s="14" t="s">
        <v>25</v>
      </c>
      <c r="H49" s="14" t="s">
        <v>21</v>
      </c>
      <c r="I49" s="18" t="s">
        <v>93</v>
      </c>
      <c r="J49" s="19" t="str">
        <f t="shared" si="3"/>
        <v>差</v>
      </c>
    </row>
    <row r="50" spans="1:10" s="7" customFormat="1" ht="20.100000000000001" customHeight="1" x14ac:dyDescent="0.15">
      <c r="A50" s="12">
        <v>7</v>
      </c>
      <c r="B50" s="13" t="s">
        <v>34</v>
      </c>
      <c r="C50" s="13" t="s">
        <v>35</v>
      </c>
      <c r="D50" s="12">
        <v>2</v>
      </c>
      <c r="E50" s="14">
        <f>VLOOKUP(C50,产品价格表!$A$2:$B$70,2,0)</f>
        <v>159</v>
      </c>
      <c r="F50" s="29">
        <f t="shared" si="2"/>
        <v>318</v>
      </c>
      <c r="G50" s="16" t="s">
        <v>36</v>
      </c>
      <c r="H50" s="14" t="s">
        <v>37</v>
      </c>
      <c r="I50" s="18" t="s">
        <v>38</v>
      </c>
      <c r="J50" s="19" t="str">
        <f t="shared" si="3"/>
        <v>差</v>
      </c>
    </row>
    <row r="51" spans="1:10" s="7" customFormat="1" ht="20.100000000000001" customHeight="1" x14ac:dyDescent="0.15">
      <c r="A51" s="12">
        <v>12</v>
      </c>
      <c r="B51" s="13" t="s">
        <v>53</v>
      </c>
      <c r="C51" s="13" t="s">
        <v>54</v>
      </c>
      <c r="D51" s="12">
        <v>7</v>
      </c>
      <c r="E51" s="14">
        <f>VLOOKUP(C51,产品价格表!$A$2:$B$70,2,0)</f>
        <v>346</v>
      </c>
      <c r="F51" s="29">
        <f t="shared" si="2"/>
        <v>2422</v>
      </c>
      <c r="G51" s="14" t="s">
        <v>55</v>
      </c>
      <c r="H51" s="14" t="s">
        <v>56</v>
      </c>
      <c r="I51" s="18" t="s">
        <v>57</v>
      </c>
      <c r="J51" s="19" t="str">
        <f t="shared" si="3"/>
        <v>中等</v>
      </c>
    </row>
    <row r="52" spans="1:10" s="7" customFormat="1" ht="20.100000000000001" customHeight="1" x14ac:dyDescent="0.15">
      <c r="A52" s="12">
        <v>37</v>
      </c>
      <c r="B52" s="13" t="s">
        <v>122</v>
      </c>
      <c r="C52" s="13" t="s">
        <v>123</v>
      </c>
      <c r="D52" s="12">
        <v>3</v>
      </c>
      <c r="E52" s="14">
        <f>VLOOKUP(C52,产品价格表!$A$2:$B$70,2,0)</f>
        <v>760</v>
      </c>
      <c r="F52" s="29">
        <f t="shared" si="2"/>
        <v>2280</v>
      </c>
      <c r="G52" s="14" t="s">
        <v>55</v>
      </c>
      <c r="H52" s="14" t="s">
        <v>124</v>
      </c>
      <c r="I52" s="18" t="s">
        <v>31</v>
      </c>
      <c r="J52" s="19" t="str">
        <f t="shared" si="3"/>
        <v>中等</v>
      </c>
    </row>
    <row r="53" spans="1:10" s="7" customFormat="1" ht="20.100000000000001" customHeight="1" x14ac:dyDescent="0.15">
      <c r="A53" s="12">
        <v>17</v>
      </c>
      <c r="B53" s="13" t="s">
        <v>69</v>
      </c>
      <c r="C53" s="13" t="s">
        <v>70</v>
      </c>
      <c r="D53" s="12">
        <v>10</v>
      </c>
      <c r="E53" s="14">
        <f>VLOOKUP(C53,产品价格表!$A$2:$B$70,2,0)</f>
        <v>115</v>
      </c>
      <c r="F53" s="29">
        <f t="shared" si="2"/>
        <v>1150</v>
      </c>
      <c r="G53" s="14" t="s">
        <v>55</v>
      </c>
      <c r="H53" s="14" t="s">
        <v>71</v>
      </c>
      <c r="I53" s="18" t="s">
        <v>42</v>
      </c>
      <c r="J53" s="19" t="str">
        <f t="shared" si="3"/>
        <v>中等</v>
      </c>
    </row>
    <row r="54" spans="1:10" s="7" customFormat="1" ht="20.100000000000001" customHeight="1" x14ac:dyDescent="0.15">
      <c r="A54" s="12">
        <v>32</v>
      </c>
      <c r="B54" s="13" t="s">
        <v>10</v>
      </c>
      <c r="C54" s="13" t="s">
        <v>113</v>
      </c>
      <c r="D54" s="15">
        <v>1</v>
      </c>
      <c r="E54" s="14">
        <f>VLOOKUP(C54,产品价格表!$A$2:$B$70,2,0)</f>
        <v>12150</v>
      </c>
      <c r="F54" s="29">
        <f t="shared" si="2"/>
        <v>12150</v>
      </c>
      <c r="G54" s="14" t="s">
        <v>60</v>
      </c>
      <c r="H54" s="14" t="s">
        <v>77</v>
      </c>
      <c r="I54" s="18" t="s">
        <v>114</v>
      </c>
      <c r="J54" s="19" t="str">
        <f t="shared" si="3"/>
        <v>中等</v>
      </c>
    </row>
    <row r="55" spans="1:10" s="7" customFormat="1" ht="20.100000000000001" customHeight="1" x14ac:dyDescent="0.15">
      <c r="A55" s="12">
        <v>13</v>
      </c>
      <c r="B55" s="13" t="s">
        <v>58</v>
      </c>
      <c r="C55" s="13" t="s">
        <v>59</v>
      </c>
      <c r="D55" s="12">
        <v>500</v>
      </c>
      <c r="E55" s="14">
        <f>VLOOKUP(C55,产品价格表!$A$2:$B$70,2,0)</f>
        <v>19</v>
      </c>
      <c r="F55" s="29">
        <f t="shared" si="2"/>
        <v>9500</v>
      </c>
      <c r="G55" s="14" t="s">
        <v>60</v>
      </c>
      <c r="H55" s="14" t="s">
        <v>61</v>
      </c>
      <c r="I55" s="18" t="s">
        <v>62</v>
      </c>
      <c r="J55" s="19" t="str">
        <f t="shared" si="3"/>
        <v>优</v>
      </c>
    </row>
    <row r="56" spans="1:10" s="7" customFormat="1" ht="20.100000000000001" customHeight="1" x14ac:dyDescent="0.15">
      <c r="A56" s="12">
        <v>14</v>
      </c>
      <c r="B56" s="13" t="s">
        <v>58</v>
      </c>
      <c r="C56" s="13" t="s">
        <v>63</v>
      </c>
      <c r="D56" s="12">
        <v>25</v>
      </c>
      <c r="E56" s="14">
        <f>VLOOKUP(C56,产品价格表!$A$2:$B$70,2,0)</f>
        <v>335</v>
      </c>
      <c r="F56" s="29">
        <f t="shared" si="2"/>
        <v>8375</v>
      </c>
      <c r="G56" s="14" t="s">
        <v>60</v>
      </c>
      <c r="H56" s="14" t="s">
        <v>61</v>
      </c>
      <c r="I56" s="18" t="s">
        <v>22</v>
      </c>
      <c r="J56" s="19" t="str">
        <f t="shared" si="3"/>
        <v>中等</v>
      </c>
    </row>
    <row r="57" spans="1:10" s="7" customFormat="1" ht="20.100000000000001" customHeight="1" x14ac:dyDescent="0.15">
      <c r="A57" s="12">
        <v>51</v>
      </c>
      <c r="B57" s="13" t="s">
        <v>159</v>
      </c>
      <c r="C57" s="13" t="s">
        <v>160</v>
      </c>
      <c r="D57" s="15">
        <v>6</v>
      </c>
      <c r="E57" s="14">
        <f>VLOOKUP(C57,产品价格表!$A$2:$B$70,2,0)</f>
        <v>734</v>
      </c>
      <c r="F57" s="29">
        <f t="shared" si="2"/>
        <v>4404</v>
      </c>
      <c r="G57" s="14" t="s">
        <v>60</v>
      </c>
      <c r="H57" s="14" t="s">
        <v>86</v>
      </c>
      <c r="I57" s="18" t="s">
        <v>22</v>
      </c>
      <c r="J57" s="19" t="str">
        <f t="shared" si="3"/>
        <v>中等</v>
      </c>
    </row>
    <row r="58" spans="1:10" s="7" customFormat="1" ht="20.100000000000001" customHeight="1" x14ac:dyDescent="0.15">
      <c r="A58" s="12">
        <v>62</v>
      </c>
      <c r="B58" s="13" t="s">
        <v>183</v>
      </c>
      <c r="C58" s="13" t="s">
        <v>184</v>
      </c>
      <c r="D58" s="12">
        <v>1</v>
      </c>
      <c r="E58" s="14">
        <f>VLOOKUP(C58,产品价格表!$A$2:$B$70,2,0)</f>
        <v>2754</v>
      </c>
      <c r="F58" s="29">
        <f t="shared" si="2"/>
        <v>2754</v>
      </c>
      <c r="G58" s="14" t="s">
        <v>60</v>
      </c>
      <c r="H58" s="14" t="s">
        <v>163</v>
      </c>
      <c r="I58" s="18" t="s">
        <v>155</v>
      </c>
      <c r="J58" s="19" t="str">
        <f t="shared" si="3"/>
        <v>中等</v>
      </c>
    </row>
    <row r="59" spans="1:10" s="7" customFormat="1" ht="20.100000000000001" customHeight="1" x14ac:dyDescent="0.15">
      <c r="A59" s="12">
        <v>49</v>
      </c>
      <c r="B59" s="13" t="s">
        <v>151</v>
      </c>
      <c r="C59" s="13" t="s">
        <v>156</v>
      </c>
      <c r="D59" s="12">
        <v>6</v>
      </c>
      <c r="E59" s="14">
        <f>VLOOKUP(C59,产品价格表!$A$2:$B$70,2,0)</f>
        <v>438</v>
      </c>
      <c r="F59" s="29">
        <f t="shared" si="2"/>
        <v>2628</v>
      </c>
      <c r="G59" s="14" t="s">
        <v>60</v>
      </c>
      <c r="H59" s="14" t="s">
        <v>71</v>
      </c>
      <c r="I59" s="18" t="s">
        <v>31</v>
      </c>
      <c r="J59" s="19" t="str">
        <f t="shared" si="3"/>
        <v>中等</v>
      </c>
    </row>
    <row r="60" spans="1:10" s="7" customFormat="1" ht="20.100000000000001" customHeight="1" x14ac:dyDescent="0.15">
      <c r="A60" s="12">
        <v>39</v>
      </c>
      <c r="B60" s="13" t="s">
        <v>128</v>
      </c>
      <c r="C60" s="13" t="s">
        <v>129</v>
      </c>
      <c r="D60" s="12">
        <v>4</v>
      </c>
      <c r="E60" s="14">
        <f>VLOOKUP(C60,产品价格表!$A$2:$B$70,2,0)</f>
        <v>602.5</v>
      </c>
      <c r="F60" s="29">
        <f t="shared" si="2"/>
        <v>2410</v>
      </c>
      <c r="G60" s="14" t="s">
        <v>60</v>
      </c>
      <c r="H60" s="14" t="s">
        <v>56</v>
      </c>
      <c r="I60" s="18" t="s">
        <v>130</v>
      </c>
      <c r="J60" s="19" t="str">
        <f t="shared" si="3"/>
        <v>中等</v>
      </c>
    </row>
    <row r="61" spans="1:10" s="7" customFormat="1" ht="20.100000000000001" customHeight="1" x14ac:dyDescent="0.15">
      <c r="A61" s="12">
        <v>33</v>
      </c>
      <c r="B61" s="13" t="s">
        <v>15</v>
      </c>
      <c r="C61" s="13" t="s">
        <v>115</v>
      </c>
      <c r="D61" s="12">
        <v>1</v>
      </c>
      <c r="E61" s="14">
        <f>VLOOKUP(C61,产品价格表!$A$2:$B$70,2,0)</f>
        <v>645</v>
      </c>
      <c r="F61" s="29">
        <f t="shared" si="2"/>
        <v>645</v>
      </c>
      <c r="G61" s="14" t="s">
        <v>60</v>
      </c>
      <c r="H61" s="14" t="s">
        <v>26</v>
      </c>
      <c r="I61" s="18" t="s">
        <v>22</v>
      </c>
      <c r="J61" s="19" t="str">
        <f t="shared" si="3"/>
        <v>中等</v>
      </c>
    </row>
    <row r="62" spans="1:10" s="7" customFormat="1" ht="20.100000000000001" customHeight="1" x14ac:dyDescent="0.15">
      <c r="A62" s="12">
        <v>66</v>
      </c>
      <c r="B62" s="13" t="s">
        <v>120</v>
      </c>
      <c r="C62" s="13" t="s">
        <v>191</v>
      </c>
      <c r="D62" s="12">
        <v>1</v>
      </c>
      <c r="E62" s="14">
        <f>VLOOKUP(C62,产品价格表!$A$2:$B$70,2,0)</f>
        <v>418</v>
      </c>
      <c r="F62" s="29">
        <f t="shared" si="2"/>
        <v>418</v>
      </c>
      <c r="G62" s="14" t="s">
        <v>60</v>
      </c>
      <c r="H62" s="14" t="s">
        <v>152</v>
      </c>
      <c r="I62" s="18" t="s">
        <v>46</v>
      </c>
      <c r="J62" s="19" t="str">
        <f t="shared" si="3"/>
        <v>中等</v>
      </c>
    </row>
    <row r="63" spans="1:10" s="7" customFormat="1" ht="20.100000000000001" customHeight="1" x14ac:dyDescent="0.15">
      <c r="A63" s="12">
        <v>45</v>
      </c>
      <c r="B63" s="13" t="s">
        <v>146</v>
      </c>
      <c r="C63" s="13" t="s">
        <v>147</v>
      </c>
      <c r="D63" s="12">
        <v>1</v>
      </c>
      <c r="E63" s="14">
        <f>VLOOKUP(C63,产品价格表!$A$2:$B$70,2,0)</f>
        <v>95</v>
      </c>
      <c r="F63" s="29">
        <f t="shared" si="2"/>
        <v>95</v>
      </c>
      <c r="G63" s="14" t="s">
        <v>60</v>
      </c>
      <c r="H63" s="14" t="s">
        <v>45</v>
      </c>
      <c r="I63" s="18" t="s">
        <v>22</v>
      </c>
      <c r="J63" s="19" t="str">
        <f t="shared" si="3"/>
        <v>差</v>
      </c>
    </row>
    <row r="64" spans="1:10" s="7" customFormat="1" ht="20.100000000000001" customHeight="1" x14ac:dyDescent="0.15">
      <c r="A64" s="12">
        <v>50</v>
      </c>
      <c r="B64" s="13" t="s">
        <v>157</v>
      </c>
      <c r="C64" s="13" t="s">
        <v>158</v>
      </c>
      <c r="D64" s="12">
        <v>50</v>
      </c>
      <c r="E64" s="14">
        <f>VLOOKUP(C64,产品价格表!$A$2:$B$70,2,0)</f>
        <v>1299</v>
      </c>
      <c r="F64" s="29">
        <f t="shared" si="2"/>
        <v>64950</v>
      </c>
      <c r="G64" s="14" t="s">
        <v>80</v>
      </c>
      <c r="H64" s="14" t="s">
        <v>71</v>
      </c>
      <c r="I64" s="18" t="s">
        <v>81</v>
      </c>
      <c r="J64" s="19" t="str">
        <f t="shared" si="3"/>
        <v>优</v>
      </c>
    </row>
    <row r="65" spans="1:10" s="7" customFormat="1" ht="20.100000000000001" customHeight="1" x14ac:dyDescent="0.15">
      <c r="A65" s="12">
        <v>44</v>
      </c>
      <c r="B65" s="13" t="s">
        <v>143</v>
      </c>
      <c r="C65" s="13" t="s">
        <v>144</v>
      </c>
      <c r="D65" s="12">
        <v>1</v>
      </c>
      <c r="E65" s="14">
        <f>VLOOKUP(C65,产品价格表!$A$2:$B$70,2,0)</f>
        <v>25479</v>
      </c>
      <c r="F65" s="29">
        <f t="shared" si="2"/>
        <v>25479</v>
      </c>
      <c r="G65" s="14" t="s">
        <v>80</v>
      </c>
      <c r="H65" s="14" t="s">
        <v>45</v>
      </c>
      <c r="I65" s="18" t="s">
        <v>145</v>
      </c>
      <c r="J65" s="19" t="str">
        <f t="shared" si="3"/>
        <v>优</v>
      </c>
    </row>
    <row r="66" spans="1:10" s="7" customFormat="1" ht="20.100000000000001" customHeight="1" x14ac:dyDescent="0.15">
      <c r="A66" s="12">
        <v>20</v>
      </c>
      <c r="B66" s="13" t="s">
        <v>78</v>
      </c>
      <c r="C66" s="13" t="s">
        <v>79</v>
      </c>
      <c r="D66" s="12">
        <v>2</v>
      </c>
      <c r="E66" s="14">
        <f>VLOOKUP(C66,产品价格表!$A$2:$B$70,2,0)</f>
        <v>1999</v>
      </c>
      <c r="F66" s="29">
        <f t="shared" si="2"/>
        <v>3998</v>
      </c>
      <c r="G66" s="14" t="s">
        <v>80</v>
      </c>
      <c r="H66" s="14" t="s">
        <v>33</v>
      </c>
      <c r="I66" s="18" t="s">
        <v>81</v>
      </c>
      <c r="J66" s="19" t="str">
        <f t="shared" si="3"/>
        <v>中等</v>
      </c>
    </row>
    <row r="67" spans="1:10" s="7" customFormat="1" ht="20.100000000000001" customHeight="1" x14ac:dyDescent="0.15">
      <c r="A67" s="12">
        <v>30</v>
      </c>
      <c r="B67" s="13" t="s">
        <v>110</v>
      </c>
      <c r="C67" s="13" t="s">
        <v>111</v>
      </c>
      <c r="D67" s="12">
        <v>12</v>
      </c>
      <c r="E67" s="14">
        <f>VLOOKUP(C67,产品价格表!$A$2:$B$70,2,0)</f>
        <v>164</v>
      </c>
      <c r="F67" s="29">
        <f t="shared" ref="F67:F98" si="4">D67*E67</f>
        <v>1968</v>
      </c>
      <c r="G67" s="14" t="s">
        <v>80</v>
      </c>
      <c r="H67" s="14" t="s">
        <v>56</v>
      </c>
      <c r="I67" s="18" t="s">
        <v>38</v>
      </c>
      <c r="J67" s="19" t="str">
        <f t="shared" ref="J67:J72" si="5">IF(OR(F67/$F$73&gt;5%,D67/$D$73&gt;10%),"优",IF(F67/$F$73&lt;0.1%,"差","中等"))</f>
        <v>中等</v>
      </c>
    </row>
    <row r="68" spans="1:10" s="7" customFormat="1" ht="20.100000000000001" customHeight="1" x14ac:dyDescent="0.15">
      <c r="A68" s="12">
        <v>24</v>
      </c>
      <c r="B68" s="13" t="s">
        <v>88</v>
      </c>
      <c r="C68" s="13" t="s">
        <v>92</v>
      </c>
      <c r="D68" s="12">
        <v>8</v>
      </c>
      <c r="E68" s="14">
        <f>VLOOKUP(C68,产品价格表!$A$2:$B$70,2,0)</f>
        <v>80</v>
      </c>
      <c r="F68" s="29">
        <f t="shared" si="4"/>
        <v>640</v>
      </c>
      <c r="G68" s="14" t="s">
        <v>80</v>
      </c>
      <c r="H68" s="14" t="s">
        <v>90</v>
      </c>
      <c r="I68" s="18" t="s">
        <v>93</v>
      </c>
      <c r="J68" s="19" t="str">
        <f t="shared" si="5"/>
        <v>中等</v>
      </c>
    </row>
    <row r="69" spans="1:10" s="7" customFormat="1" ht="20.100000000000001" customHeight="1" x14ac:dyDescent="0.15">
      <c r="A69" s="12">
        <v>26</v>
      </c>
      <c r="B69" s="13" t="s">
        <v>98</v>
      </c>
      <c r="C69" s="13" t="s">
        <v>99</v>
      </c>
      <c r="D69" s="12">
        <v>2</v>
      </c>
      <c r="E69" s="14">
        <f>VLOOKUP(C69,产品价格表!$A$2:$B$70,2,0)</f>
        <v>4888</v>
      </c>
      <c r="F69" s="29">
        <f t="shared" si="4"/>
        <v>9776</v>
      </c>
      <c r="G69" s="14" t="s">
        <v>100</v>
      </c>
      <c r="H69" s="14" t="s">
        <v>45</v>
      </c>
      <c r="I69" s="18" t="s">
        <v>101</v>
      </c>
      <c r="J69" s="19" t="str">
        <f t="shared" si="5"/>
        <v>中等</v>
      </c>
    </row>
    <row r="70" spans="1:10" s="7" customFormat="1" ht="20.100000000000001" customHeight="1" x14ac:dyDescent="0.15">
      <c r="A70" s="12">
        <v>29</v>
      </c>
      <c r="B70" s="13" t="s">
        <v>108</v>
      </c>
      <c r="C70" s="13" t="s">
        <v>109</v>
      </c>
      <c r="D70" s="12">
        <v>10</v>
      </c>
      <c r="E70" s="14">
        <f>VLOOKUP(C70,产品价格表!$A$2:$B$70,2,0)</f>
        <v>120</v>
      </c>
      <c r="F70" s="29">
        <f t="shared" si="4"/>
        <v>1200</v>
      </c>
      <c r="G70" s="16" t="s">
        <v>100</v>
      </c>
      <c r="H70" s="14" t="s">
        <v>45</v>
      </c>
      <c r="I70" s="18" t="s">
        <v>93</v>
      </c>
      <c r="J70" s="19" t="str">
        <f t="shared" si="5"/>
        <v>中等</v>
      </c>
    </row>
    <row r="71" spans="1:10" s="7" customFormat="1" ht="20.100000000000001" customHeight="1" x14ac:dyDescent="0.15">
      <c r="A71" s="12">
        <v>35</v>
      </c>
      <c r="B71" s="13" t="s">
        <v>118</v>
      </c>
      <c r="C71" s="13" t="s">
        <v>119</v>
      </c>
      <c r="D71" s="12">
        <v>5</v>
      </c>
      <c r="E71" s="14">
        <f>VLOOKUP(C71,产品价格表!$A$2:$B$70,2,0)</f>
        <v>51.8</v>
      </c>
      <c r="F71" s="29">
        <f t="shared" si="4"/>
        <v>259</v>
      </c>
      <c r="G71" s="14" t="s">
        <v>100</v>
      </c>
      <c r="H71" s="14" t="s">
        <v>66</v>
      </c>
      <c r="I71" s="18" t="s">
        <v>87</v>
      </c>
      <c r="J71" s="19" t="str">
        <f t="shared" si="5"/>
        <v>差</v>
      </c>
    </row>
    <row r="72" spans="1:10" s="7" customFormat="1" ht="20.100000000000001" customHeight="1" x14ac:dyDescent="0.15">
      <c r="A72" s="21">
        <v>42</v>
      </c>
      <c r="B72" s="22" t="s">
        <v>136</v>
      </c>
      <c r="C72" s="22" t="s">
        <v>137</v>
      </c>
      <c r="D72" s="21">
        <v>29</v>
      </c>
      <c r="E72" s="14">
        <f>VLOOKUP(C72,产品价格表!$A$2:$B$70,2,0)</f>
        <v>132.16999999999999</v>
      </c>
      <c r="F72" s="29">
        <f t="shared" si="4"/>
        <v>3832.93</v>
      </c>
      <c r="G72" s="23" t="s">
        <v>138</v>
      </c>
      <c r="H72" s="23" t="s">
        <v>139</v>
      </c>
      <c r="I72" s="27" t="s">
        <v>140</v>
      </c>
      <c r="J72" s="19" t="str">
        <f t="shared" si="5"/>
        <v>中等</v>
      </c>
    </row>
    <row r="73" spans="1:10" ht="18.75" x14ac:dyDescent="0.15">
      <c r="A73" s="24" t="s">
        <v>198</v>
      </c>
      <c r="B73" s="25"/>
      <c r="C73" s="25"/>
      <c r="D73" s="26">
        <f>SUM(D3:D72)</f>
        <v>1671</v>
      </c>
      <c r="E73" s="26"/>
      <c r="F73" s="26">
        <f t="shared" ref="F73" si="6">SUM(F3:F72)</f>
        <v>392948.43</v>
      </c>
      <c r="G73" s="20"/>
      <c r="H73" s="20"/>
      <c r="I73" s="28"/>
      <c r="J73" s="20"/>
    </row>
  </sheetData>
  <sortState ref="A3:J72">
    <sortCondition ref="G3:G72"/>
    <sortCondition descending="1" ref="F3:F72"/>
  </sortState>
  <mergeCells count="1">
    <mergeCell ref="A1:J1"/>
  </mergeCells>
  <phoneticPr fontId="7" type="noConversion"/>
  <conditionalFormatting sqref="J3:J72">
    <cfRule type="cellIs" dxfId="3" priority="1" operator="equal">
      <formula>"差"</formula>
    </cfRule>
    <cfRule type="cellIs" dxfId="2" priority="2" operator="equal">
      <formula>"优"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abSelected="1" topLeftCell="A64" workbookViewId="0">
      <selection activeCell="C78" sqref="C78"/>
    </sheetView>
  </sheetViews>
  <sheetFormatPr defaultColWidth="9" defaultRowHeight="12" x14ac:dyDescent="0.15"/>
  <cols>
    <col min="1" max="1" width="6" style="8" customWidth="1"/>
    <col min="2" max="2" width="10.875" style="9" customWidth="1"/>
    <col min="3" max="3" width="54.25" style="9" customWidth="1"/>
    <col min="4" max="4" width="6" style="9" customWidth="1"/>
    <col min="5" max="5" width="9.25" style="9" customWidth="1"/>
    <col min="6" max="6" width="10.25" style="9" customWidth="1"/>
    <col min="7" max="7" width="7.625" style="9" customWidth="1"/>
    <col min="8" max="8" width="19.75" style="9" customWidth="1"/>
    <col min="9" max="9" width="16.25" style="9" customWidth="1"/>
    <col min="10" max="16384" width="9" style="9"/>
  </cols>
  <sheetData>
    <row r="1" spans="1:10" ht="46.5" x14ac:dyDescent="0.15">
      <c r="A1" s="30" t="s">
        <v>203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s="7" customFormat="1" ht="20.100000000000001" customHeight="1" x14ac:dyDescent="0.15">
      <c r="A2" s="10" t="s">
        <v>0</v>
      </c>
      <c r="B2" s="10" t="s">
        <v>1</v>
      </c>
      <c r="C2" s="10" t="s">
        <v>2</v>
      </c>
      <c r="D2" s="10" t="s">
        <v>3</v>
      </c>
      <c r="E2" s="11" t="s">
        <v>4</v>
      </c>
      <c r="F2" s="11" t="s">
        <v>5</v>
      </c>
      <c r="G2" s="11" t="s">
        <v>6</v>
      </c>
      <c r="H2" s="10" t="s">
        <v>7</v>
      </c>
      <c r="I2" s="17" t="s">
        <v>8</v>
      </c>
      <c r="J2" s="11" t="s">
        <v>9</v>
      </c>
    </row>
    <row r="3" spans="1:10" s="7" customFormat="1" ht="20.100000000000001" customHeight="1" x14ac:dyDescent="0.15">
      <c r="A3" s="12">
        <v>1</v>
      </c>
      <c r="B3" s="13" t="s">
        <v>10</v>
      </c>
      <c r="C3" s="13" t="s">
        <v>11</v>
      </c>
      <c r="D3" s="12">
        <v>3</v>
      </c>
      <c r="E3" s="14">
        <f>VLOOKUP(C3,产品价格表!$A$2:$B$70,2,0)</f>
        <v>438</v>
      </c>
      <c r="F3" s="29">
        <f>D3*E3</f>
        <v>1314</v>
      </c>
      <c r="G3" s="14" t="s">
        <v>12</v>
      </c>
      <c r="H3" s="14" t="s">
        <v>13</v>
      </c>
      <c r="I3" s="18" t="s">
        <v>14</v>
      </c>
      <c r="J3" s="19" t="str">
        <f>IF(OR(F3/$F$73&gt;5%,D3/$D$73&gt;10%),"优",IF(F3/$F$73&lt;0.1%,"差","中等"))</f>
        <v>中等</v>
      </c>
    </row>
    <row r="4" spans="1:10" s="7" customFormat="1" ht="20.100000000000001" customHeight="1" x14ac:dyDescent="0.15">
      <c r="A4" s="12">
        <v>2</v>
      </c>
      <c r="B4" s="13" t="s">
        <v>15</v>
      </c>
      <c r="C4" s="13" t="s">
        <v>16</v>
      </c>
      <c r="D4" s="15">
        <v>48</v>
      </c>
      <c r="E4" s="14">
        <f>VLOOKUP(C4,产品价格表!$A$2:$B$70,2,0)</f>
        <v>155</v>
      </c>
      <c r="F4" s="29">
        <f t="shared" ref="F4:F67" si="0">D4*E4</f>
        <v>7440</v>
      </c>
      <c r="G4" s="14" t="s">
        <v>17</v>
      </c>
      <c r="H4" s="14" t="s">
        <v>13</v>
      </c>
      <c r="I4" s="18" t="s">
        <v>14</v>
      </c>
      <c r="J4" s="19" t="str">
        <f t="shared" ref="J4:J67" si="1">IF(OR(F4/$F$73&gt;5%,D4/$D$73&gt;10%),"优",IF(F4/$F$73&lt;0.1%,"差","中等"))</f>
        <v>中等</v>
      </c>
    </row>
    <row r="5" spans="1:10" s="7" customFormat="1" ht="20.100000000000001" customHeight="1" x14ac:dyDescent="0.15">
      <c r="A5" s="12">
        <v>3</v>
      </c>
      <c r="B5" s="13" t="s">
        <v>18</v>
      </c>
      <c r="C5" s="13" t="s">
        <v>19</v>
      </c>
      <c r="D5" s="12">
        <v>1</v>
      </c>
      <c r="E5" s="14">
        <f>VLOOKUP(C5,产品价格表!$A$2:$B$70,2,0)</f>
        <v>1699</v>
      </c>
      <c r="F5" s="29">
        <f t="shared" si="0"/>
        <v>1699</v>
      </c>
      <c r="G5" s="16" t="s">
        <v>20</v>
      </c>
      <c r="H5" s="14" t="s">
        <v>21</v>
      </c>
      <c r="I5" s="18" t="s">
        <v>22</v>
      </c>
      <c r="J5" s="19" t="str">
        <f t="shared" si="1"/>
        <v>中等</v>
      </c>
    </row>
    <row r="6" spans="1:10" s="7" customFormat="1" ht="20.100000000000001" customHeight="1" x14ac:dyDescent="0.15">
      <c r="A6" s="12">
        <v>4</v>
      </c>
      <c r="B6" s="13" t="s">
        <v>23</v>
      </c>
      <c r="C6" s="13" t="s">
        <v>24</v>
      </c>
      <c r="D6" s="12">
        <v>2</v>
      </c>
      <c r="E6" s="14">
        <f>VLOOKUP(C6,产品价格表!$A$2:$B$70,2,0)</f>
        <v>250</v>
      </c>
      <c r="F6" s="29">
        <f t="shared" si="0"/>
        <v>500</v>
      </c>
      <c r="G6" s="14" t="s">
        <v>25</v>
      </c>
      <c r="H6" s="14" t="s">
        <v>26</v>
      </c>
      <c r="I6" s="18" t="s">
        <v>27</v>
      </c>
      <c r="J6" s="19" t="str">
        <f t="shared" si="1"/>
        <v>中等</v>
      </c>
    </row>
    <row r="7" spans="1:10" s="7" customFormat="1" ht="20.100000000000001" customHeight="1" x14ac:dyDescent="0.15">
      <c r="A7" s="12">
        <v>5</v>
      </c>
      <c r="B7" s="13" t="s">
        <v>28</v>
      </c>
      <c r="C7" s="13" t="s">
        <v>29</v>
      </c>
      <c r="D7" s="12">
        <v>4</v>
      </c>
      <c r="E7" s="14">
        <f>VLOOKUP(C7,产品价格表!$A$2:$B$70,2,0)</f>
        <v>2950</v>
      </c>
      <c r="F7" s="29">
        <f t="shared" si="0"/>
        <v>11800</v>
      </c>
      <c r="G7" s="14" t="s">
        <v>20</v>
      </c>
      <c r="H7" s="14" t="s">
        <v>30</v>
      </c>
      <c r="I7" s="18" t="s">
        <v>31</v>
      </c>
      <c r="J7" s="19" t="str">
        <f t="shared" si="1"/>
        <v>中等</v>
      </c>
    </row>
    <row r="8" spans="1:10" s="7" customFormat="1" ht="20.100000000000001" customHeight="1" x14ac:dyDescent="0.15">
      <c r="A8" s="12">
        <v>6</v>
      </c>
      <c r="B8" s="13" t="s">
        <v>32</v>
      </c>
      <c r="C8" s="13" t="s">
        <v>16</v>
      </c>
      <c r="D8" s="12">
        <v>5</v>
      </c>
      <c r="E8" s="14">
        <f>VLOOKUP(C8,产品价格表!$A$2:$B$70,2,0)</f>
        <v>155</v>
      </c>
      <c r="F8" s="29">
        <f t="shared" si="0"/>
        <v>775</v>
      </c>
      <c r="G8" s="14" t="s">
        <v>17</v>
      </c>
      <c r="H8" s="14" t="s">
        <v>33</v>
      </c>
      <c r="I8" s="18" t="s">
        <v>14</v>
      </c>
      <c r="J8" s="19" t="str">
        <f t="shared" si="1"/>
        <v>中等</v>
      </c>
    </row>
    <row r="9" spans="1:10" s="7" customFormat="1" ht="20.100000000000001" customHeight="1" x14ac:dyDescent="0.15">
      <c r="A9" s="12">
        <v>7</v>
      </c>
      <c r="B9" s="13" t="s">
        <v>34</v>
      </c>
      <c r="C9" s="13" t="s">
        <v>35</v>
      </c>
      <c r="D9" s="12">
        <v>2</v>
      </c>
      <c r="E9" s="14">
        <f>VLOOKUP(C9,产品价格表!$A$2:$B$70,2,0)</f>
        <v>159</v>
      </c>
      <c r="F9" s="29">
        <f t="shared" si="0"/>
        <v>318</v>
      </c>
      <c r="G9" s="16" t="s">
        <v>36</v>
      </c>
      <c r="H9" s="14" t="s">
        <v>37</v>
      </c>
      <c r="I9" s="18" t="s">
        <v>38</v>
      </c>
      <c r="J9" s="19" t="str">
        <f t="shared" si="1"/>
        <v>差</v>
      </c>
    </row>
    <row r="10" spans="1:10" s="7" customFormat="1" ht="20.100000000000001" customHeight="1" x14ac:dyDescent="0.15">
      <c r="A10" s="12">
        <v>8</v>
      </c>
      <c r="B10" s="13" t="s">
        <v>39</v>
      </c>
      <c r="C10" s="13" t="s">
        <v>40</v>
      </c>
      <c r="D10" s="15">
        <v>30</v>
      </c>
      <c r="E10" s="14">
        <f>VLOOKUP(C10,产品价格表!$A$2:$B$70,2,0)</f>
        <v>117</v>
      </c>
      <c r="F10" s="29">
        <f t="shared" si="0"/>
        <v>3510</v>
      </c>
      <c r="G10" s="14" t="s">
        <v>25</v>
      </c>
      <c r="H10" s="14" t="s">
        <v>41</v>
      </c>
      <c r="I10" s="18" t="s">
        <v>42</v>
      </c>
      <c r="J10" s="19" t="str">
        <f t="shared" si="1"/>
        <v>中等</v>
      </c>
    </row>
    <row r="11" spans="1:10" s="7" customFormat="1" ht="20.100000000000001" customHeight="1" x14ac:dyDescent="0.15">
      <c r="A11" s="12">
        <v>9</v>
      </c>
      <c r="B11" s="13" t="s">
        <v>43</v>
      </c>
      <c r="C11" s="13" t="s">
        <v>44</v>
      </c>
      <c r="D11" s="12">
        <v>2</v>
      </c>
      <c r="E11" s="14">
        <f>VLOOKUP(C11,产品价格表!$A$2:$B$70,2,0)</f>
        <v>689</v>
      </c>
      <c r="F11" s="29">
        <f t="shared" si="0"/>
        <v>1378</v>
      </c>
      <c r="G11" s="14" t="s">
        <v>20</v>
      </c>
      <c r="H11" s="14" t="s">
        <v>45</v>
      </c>
      <c r="I11" s="18" t="s">
        <v>46</v>
      </c>
      <c r="J11" s="19" t="str">
        <f t="shared" si="1"/>
        <v>中等</v>
      </c>
    </row>
    <row r="12" spans="1:10" s="7" customFormat="1" ht="20.100000000000001" customHeight="1" x14ac:dyDescent="0.15">
      <c r="A12" s="12">
        <v>10</v>
      </c>
      <c r="B12" s="13" t="s">
        <v>47</v>
      </c>
      <c r="C12" s="13" t="s">
        <v>48</v>
      </c>
      <c r="D12" s="12">
        <v>4</v>
      </c>
      <c r="E12" s="14">
        <f>VLOOKUP(C12,产品价格表!$A$2:$B$70,2,0)</f>
        <v>499</v>
      </c>
      <c r="F12" s="29">
        <f t="shared" si="0"/>
        <v>1996</v>
      </c>
      <c r="G12" s="14" t="s">
        <v>12</v>
      </c>
      <c r="H12" s="14" t="s">
        <v>49</v>
      </c>
      <c r="I12" s="18" t="s">
        <v>22</v>
      </c>
      <c r="J12" s="19" t="str">
        <f t="shared" si="1"/>
        <v>中等</v>
      </c>
    </row>
    <row r="13" spans="1:10" s="7" customFormat="1" ht="20.100000000000001" customHeight="1" x14ac:dyDescent="0.15">
      <c r="A13" s="12">
        <v>11</v>
      </c>
      <c r="B13" s="13" t="s">
        <v>50</v>
      </c>
      <c r="C13" s="13" t="s">
        <v>51</v>
      </c>
      <c r="D13" s="12">
        <v>3</v>
      </c>
      <c r="E13" s="14">
        <f>VLOOKUP(C13,产品价格表!$A$2:$B$70,2,0)</f>
        <v>2880</v>
      </c>
      <c r="F13" s="29">
        <f t="shared" si="0"/>
        <v>8640</v>
      </c>
      <c r="G13" s="14" t="s">
        <v>25</v>
      </c>
      <c r="H13" s="14" t="s">
        <v>30</v>
      </c>
      <c r="I13" s="18" t="s">
        <v>52</v>
      </c>
      <c r="J13" s="19" t="str">
        <f t="shared" si="1"/>
        <v>中等</v>
      </c>
    </row>
    <row r="14" spans="1:10" s="7" customFormat="1" ht="20.100000000000001" customHeight="1" x14ac:dyDescent="0.15">
      <c r="A14" s="12">
        <v>12</v>
      </c>
      <c r="B14" s="13" t="s">
        <v>53</v>
      </c>
      <c r="C14" s="13" t="s">
        <v>54</v>
      </c>
      <c r="D14" s="12">
        <v>7</v>
      </c>
      <c r="E14" s="14">
        <f>VLOOKUP(C14,产品价格表!$A$2:$B$70,2,0)</f>
        <v>346</v>
      </c>
      <c r="F14" s="29">
        <f t="shared" si="0"/>
        <v>2422</v>
      </c>
      <c r="G14" s="14" t="s">
        <v>55</v>
      </c>
      <c r="H14" s="14" t="s">
        <v>56</v>
      </c>
      <c r="I14" s="18" t="s">
        <v>57</v>
      </c>
      <c r="J14" s="19" t="str">
        <f t="shared" si="1"/>
        <v>中等</v>
      </c>
    </row>
    <row r="15" spans="1:10" s="7" customFormat="1" ht="20.100000000000001" customHeight="1" x14ac:dyDescent="0.15">
      <c r="A15" s="12">
        <v>13</v>
      </c>
      <c r="B15" s="13" t="s">
        <v>58</v>
      </c>
      <c r="C15" s="13" t="s">
        <v>59</v>
      </c>
      <c r="D15" s="12">
        <v>500</v>
      </c>
      <c r="E15" s="14">
        <f>VLOOKUP(C15,产品价格表!$A$2:$B$70,2,0)</f>
        <v>19</v>
      </c>
      <c r="F15" s="29">
        <f t="shared" si="0"/>
        <v>9500</v>
      </c>
      <c r="G15" s="14" t="s">
        <v>60</v>
      </c>
      <c r="H15" s="14" t="s">
        <v>61</v>
      </c>
      <c r="I15" s="18" t="s">
        <v>62</v>
      </c>
      <c r="J15" s="19" t="str">
        <f t="shared" si="1"/>
        <v>优</v>
      </c>
    </row>
    <row r="16" spans="1:10" s="7" customFormat="1" ht="20.100000000000001" customHeight="1" x14ac:dyDescent="0.15">
      <c r="A16" s="12">
        <v>14</v>
      </c>
      <c r="B16" s="13" t="s">
        <v>58</v>
      </c>
      <c r="C16" s="13" t="s">
        <v>63</v>
      </c>
      <c r="D16" s="12">
        <v>25</v>
      </c>
      <c r="E16" s="14">
        <f>VLOOKUP(C16,产品价格表!$A$2:$B$70,2,0)</f>
        <v>335</v>
      </c>
      <c r="F16" s="29">
        <f t="shared" si="0"/>
        <v>8375</v>
      </c>
      <c r="G16" s="14" t="s">
        <v>60</v>
      </c>
      <c r="H16" s="14" t="s">
        <v>61</v>
      </c>
      <c r="I16" s="18" t="s">
        <v>22</v>
      </c>
      <c r="J16" s="19" t="str">
        <f t="shared" si="1"/>
        <v>中等</v>
      </c>
    </row>
    <row r="17" spans="1:10" s="7" customFormat="1" ht="20.100000000000001" customHeight="1" x14ac:dyDescent="0.15">
      <c r="A17" s="12">
        <v>15</v>
      </c>
      <c r="B17" s="13" t="s">
        <v>64</v>
      </c>
      <c r="C17" s="13" t="s">
        <v>65</v>
      </c>
      <c r="D17" s="12">
        <v>2</v>
      </c>
      <c r="E17" s="14">
        <f>VLOOKUP(C17,产品价格表!$A$2:$B$70,2,0)</f>
        <v>966</v>
      </c>
      <c r="F17" s="29">
        <f t="shared" si="0"/>
        <v>1932</v>
      </c>
      <c r="G17" s="14" t="s">
        <v>20</v>
      </c>
      <c r="H17" s="14" t="s">
        <v>66</v>
      </c>
      <c r="I17" s="18" t="s">
        <v>57</v>
      </c>
      <c r="J17" s="19" t="str">
        <f t="shared" si="1"/>
        <v>中等</v>
      </c>
    </row>
    <row r="18" spans="1:10" s="7" customFormat="1" ht="20.100000000000001" customHeight="1" x14ac:dyDescent="0.15">
      <c r="A18" s="12">
        <v>16</v>
      </c>
      <c r="B18" s="13" t="s">
        <v>67</v>
      </c>
      <c r="C18" s="13" t="s">
        <v>68</v>
      </c>
      <c r="D18" s="12">
        <v>1</v>
      </c>
      <c r="E18" s="14">
        <f>VLOOKUP(C18,产品价格表!$A$2:$B$70,2,0)</f>
        <v>478</v>
      </c>
      <c r="F18" s="29">
        <f t="shared" si="0"/>
        <v>478</v>
      </c>
      <c r="G18" s="14" t="s">
        <v>20</v>
      </c>
      <c r="H18" s="14" t="s">
        <v>66</v>
      </c>
      <c r="I18" s="18" t="s">
        <v>31</v>
      </c>
      <c r="J18" s="19" t="str">
        <f t="shared" si="1"/>
        <v>中等</v>
      </c>
    </row>
    <row r="19" spans="1:10" s="7" customFormat="1" ht="20.100000000000001" customHeight="1" x14ac:dyDescent="0.15">
      <c r="A19" s="12">
        <v>17</v>
      </c>
      <c r="B19" s="13" t="s">
        <v>69</v>
      </c>
      <c r="C19" s="13" t="s">
        <v>70</v>
      </c>
      <c r="D19" s="12">
        <v>10</v>
      </c>
      <c r="E19" s="14">
        <f>VLOOKUP(C19,产品价格表!$A$2:$B$70,2,0)</f>
        <v>115</v>
      </c>
      <c r="F19" s="29">
        <f t="shared" si="0"/>
        <v>1150</v>
      </c>
      <c r="G19" s="14" t="s">
        <v>55</v>
      </c>
      <c r="H19" s="14" t="s">
        <v>71</v>
      </c>
      <c r="I19" s="18" t="s">
        <v>42</v>
      </c>
      <c r="J19" s="19" t="str">
        <f t="shared" si="1"/>
        <v>中等</v>
      </c>
    </row>
    <row r="20" spans="1:10" s="7" customFormat="1" ht="20.100000000000001" customHeight="1" x14ac:dyDescent="0.15">
      <c r="A20" s="12">
        <v>18</v>
      </c>
      <c r="B20" s="13" t="s">
        <v>72</v>
      </c>
      <c r="C20" s="13" t="s">
        <v>73</v>
      </c>
      <c r="D20" s="12">
        <v>1</v>
      </c>
      <c r="E20" s="14">
        <f>VLOOKUP(C20,产品价格表!$A$2:$B$70,2,0)</f>
        <v>24588</v>
      </c>
      <c r="F20" s="29">
        <f t="shared" si="0"/>
        <v>24588</v>
      </c>
      <c r="G20" s="14" t="s">
        <v>20</v>
      </c>
      <c r="H20" s="14" t="s">
        <v>13</v>
      </c>
      <c r="I20" s="18" t="s">
        <v>74</v>
      </c>
      <c r="J20" s="19" t="str">
        <f t="shared" si="1"/>
        <v>优</v>
      </c>
    </row>
    <row r="21" spans="1:10" s="7" customFormat="1" ht="20.100000000000001" customHeight="1" x14ac:dyDescent="0.15">
      <c r="A21" s="12">
        <v>19</v>
      </c>
      <c r="B21" s="13" t="s">
        <v>75</v>
      </c>
      <c r="C21" s="13" t="s">
        <v>76</v>
      </c>
      <c r="D21" s="12">
        <v>1</v>
      </c>
      <c r="E21" s="14">
        <f>VLOOKUP(C21,产品价格表!$A$2:$B$70,2,0)</f>
        <v>801</v>
      </c>
      <c r="F21" s="29">
        <f t="shared" si="0"/>
        <v>801</v>
      </c>
      <c r="G21" s="14" t="s">
        <v>20</v>
      </c>
      <c r="H21" s="14" t="s">
        <v>77</v>
      </c>
      <c r="I21" s="18" t="s">
        <v>22</v>
      </c>
      <c r="J21" s="19" t="str">
        <f t="shared" si="1"/>
        <v>中等</v>
      </c>
    </row>
    <row r="22" spans="1:10" s="7" customFormat="1" ht="20.100000000000001" customHeight="1" x14ac:dyDescent="0.15">
      <c r="A22" s="12">
        <v>20</v>
      </c>
      <c r="B22" s="13" t="s">
        <v>78</v>
      </c>
      <c r="C22" s="13" t="s">
        <v>79</v>
      </c>
      <c r="D22" s="12">
        <v>2</v>
      </c>
      <c r="E22" s="14">
        <f>VLOOKUP(C22,产品价格表!$A$2:$B$70,2,0)</f>
        <v>1999</v>
      </c>
      <c r="F22" s="29">
        <f t="shared" si="0"/>
        <v>3998</v>
      </c>
      <c r="G22" s="14" t="s">
        <v>80</v>
      </c>
      <c r="H22" s="14" t="s">
        <v>33</v>
      </c>
      <c r="I22" s="18" t="s">
        <v>81</v>
      </c>
      <c r="J22" s="19" t="str">
        <f t="shared" si="1"/>
        <v>中等</v>
      </c>
    </row>
    <row r="23" spans="1:10" s="7" customFormat="1" ht="20.100000000000001" customHeight="1" x14ac:dyDescent="0.15">
      <c r="A23" s="12">
        <v>21</v>
      </c>
      <c r="B23" s="13" t="s">
        <v>78</v>
      </c>
      <c r="C23" s="13" t="s">
        <v>82</v>
      </c>
      <c r="D23" s="12">
        <v>125</v>
      </c>
      <c r="E23" s="14">
        <f>VLOOKUP(C23,产品价格表!$A$2:$B$70,2,0)</f>
        <v>21</v>
      </c>
      <c r="F23" s="29">
        <f t="shared" si="0"/>
        <v>2625</v>
      </c>
      <c r="G23" s="14" t="s">
        <v>20</v>
      </c>
      <c r="H23" s="14" t="s">
        <v>66</v>
      </c>
      <c r="I23" s="18" t="s">
        <v>83</v>
      </c>
      <c r="J23" s="19" t="str">
        <f t="shared" si="1"/>
        <v>中等</v>
      </c>
    </row>
    <row r="24" spans="1:10" s="7" customFormat="1" ht="20.100000000000001" customHeight="1" x14ac:dyDescent="0.15">
      <c r="A24" s="12">
        <v>22</v>
      </c>
      <c r="B24" s="13" t="s">
        <v>84</v>
      </c>
      <c r="C24" s="13" t="s">
        <v>85</v>
      </c>
      <c r="D24" s="12">
        <v>50</v>
      </c>
      <c r="E24" s="14">
        <f>VLOOKUP(C24,产品价格表!$A$2:$B$70,2,0)</f>
        <v>57.35</v>
      </c>
      <c r="F24" s="29">
        <f t="shared" si="0"/>
        <v>2867.5</v>
      </c>
      <c r="G24" s="14" t="s">
        <v>17</v>
      </c>
      <c r="H24" s="14" t="s">
        <v>86</v>
      </c>
      <c r="I24" s="18" t="s">
        <v>87</v>
      </c>
      <c r="J24" s="19" t="str">
        <f t="shared" si="1"/>
        <v>中等</v>
      </c>
    </row>
    <row r="25" spans="1:10" s="7" customFormat="1" ht="20.100000000000001" customHeight="1" x14ac:dyDescent="0.15">
      <c r="A25" s="12">
        <v>23</v>
      </c>
      <c r="B25" s="13" t="s">
        <v>88</v>
      </c>
      <c r="C25" s="13" t="s">
        <v>89</v>
      </c>
      <c r="D25" s="12">
        <v>2</v>
      </c>
      <c r="E25" s="14">
        <f>VLOOKUP(C25,产品价格表!$A$2:$B$70,2,0)</f>
        <v>499</v>
      </c>
      <c r="F25" s="29">
        <f t="shared" si="0"/>
        <v>998</v>
      </c>
      <c r="G25" s="14" t="s">
        <v>20</v>
      </c>
      <c r="H25" s="14" t="s">
        <v>90</v>
      </c>
      <c r="I25" s="18" t="s">
        <v>91</v>
      </c>
      <c r="J25" s="19" t="str">
        <f t="shared" si="1"/>
        <v>中等</v>
      </c>
    </row>
    <row r="26" spans="1:10" s="7" customFormat="1" ht="20.100000000000001" customHeight="1" x14ac:dyDescent="0.15">
      <c r="A26" s="12">
        <v>24</v>
      </c>
      <c r="B26" s="13" t="s">
        <v>88</v>
      </c>
      <c r="C26" s="13" t="s">
        <v>92</v>
      </c>
      <c r="D26" s="12">
        <v>8</v>
      </c>
      <c r="E26" s="14">
        <f>VLOOKUP(C26,产品价格表!$A$2:$B$70,2,0)</f>
        <v>80</v>
      </c>
      <c r="F26" s="29">
        <f t="shared" si="0"/>
        <v>640</v>
      </c>
      <c r="G26" s="14" t="s">
        <v>80</v>
      </c>
      <c r="H26" s="14" t="s">
        <v>90</v>
      </c>
      <c r="I26" s="18" t="s">
        <v>93</v>
      </c>
      <c r="J26" s="19" t="str">
        <f t="shared" si="1"/>
        <v>中等</v>
      </c>
    </row>
    <row r="27" spans="1:10" s="7" customFormat="1" ht="20.100000000000001" customHeight="1" x14ac:dyDescent="0.15">
      <c r="A27" s="12">
        <v>25</v>
      </c>
      <c r="B27" s="13" t="s">
        <v>94</v>
      </c>
      <c r="C27" s="13" t="s">
        <v>95</v>
      </c>
      <c r="D27" s="12">
        <v>1</v>
      </c>
      <c r="E27" s="14">
        <f>VLOOKUP(C27,产品价格表!$A$2:$B$70,2,0)</f>
        <v>1349</v>
      </c>
      <c r="F27" s="29">
        <f t="shared" si="0"/>
        <v>1349</v>
      </c>
      <c r="G27" s="14" t="s">
        <v>20</v>
      </c>
      <c r="H27" s="14" t="s">
        <v>96</v>
      </c>
      <c r="I27" s="18" t="s">
        <v>97</v>
      </c>
      <c r="J27" s="19" t="str">
        <f t="shared" si="1"/>
        <v>中等</v>
      </c>
    </row>
    <row r="28" spans="1:10" s="7" customFormat="1" ht="20.100000000000001" customHeight="1" x14ac:dyDescent="0.15">
      <c r="A28" s="12">
        <v>26</v>
      </c>
      <c r="B28" s="13" t="s">
        <v>98</v>
      </c>
      <c r="C28" s="13" t="s">
        <v>99</v>
      </c>
      <c r="D28" s="12">
        <v>2</v>
      </c>
      <c r="E28" s="14">
        <f>VLOOKUP(C28,产品价格表!$A$2:$B$70,2,0)</f>
        <v>4888</v>
      </c>
      <c r="F28" s="29">
        <f t="shared" si="0"/>
        <v>9776</v>
      </c>
      <c r="G28" s="14" t="s">
        <v>100</v>
      </c>
      <c r="H28" s="14" t="s">
        <v>45</v>
      </c>
      <c r="I28" s="18" t="s">
        <v>101</v>
      </c>
      <c r="J28" s="19" t="str">
        <f t="shared" si="1"/>
        <v>中等</v>
      </c>
    </row>
    <row r="29" spans="1:10" s="7" customFormat="1" ht="20.100000000000001" customHeight="1" x14ac:dyDescent="0.15">
      <c r="A29" s="12">
        <v>27</v>
      </c>
      <c r="B29" s="13" t="s">
        <v>102</v>
      </c>
      <c r="C29" s="13" t="s">
        <v>103</v>
      </c>
      <c r="D29" s="12">
        <v>1</v>
      </c>
      <c r="E29" s="14">
        <f>VLOOKUP(C29,产品价格表!$A$2:$B$70,2,0)</f>
        <v>389</v>
      </c>
      <c r="F29" s="29">
        <f t="shared" si="0"/>
        <v>389</v>
      </c>
      <c r="G29" s="14" t="s">
        <v>20</v>
      </c>
      <c r="H29" s="14" t="s">
        <v>104</v>
      </c>
      <c r="I29" s="18" t="s">
        <v>46</v>
      </c>
      <c r="J29" s="19" t="str">
        <f t="shared" si="1"/>
        <v>差</v>
      </c>
    </row>
    <row r="30" spans="1:10" s="7" customFormat="1" ht="20.100000000000001" customHeight="1" x14ac:dyDescent="0.15">
      <c r="A30" s="12">
        <v>28</v>
      </c>
      <c r="B30" s="13" t="s">
        <v>105</v>
      </c>
      <c r="C30" s="13" t="s">
        <v>106</v>
      </c>
      <c r="D30" s="15">
        <v>1</v>
      </c>
      <c r="E30" s="14">
        <f>VLOOKUP(C30,产品价格表!$A$2:$B$70,2,0)</f>
        <v>84000</v>
      </c>
      <c r="F30" s="29">
        <f t="shared" si="0"/>
        <v>84000</v>
      </c>
      <c r="G30" s="14" t="s">
        <v>12</v>
      </c>
      <c r="H30" s="14" t="s">
        <v>71</v>
      </c>
      <c r="I30" s="18" t="s">
        <v>107</v>
      </c>
      <c r="J30" s="19" t="str">
        <f t="shared" si="1"/>
        <v>优</v>
      </c>
    </row>
    <row r="31" spans="1:10" s="7" customFormat="1" ht="20.100000000000001" customHeight="1" x14ac:dyDescent="0.15">
      <c r="A31" s="12">
        <v>29</v>
      </c>
      <c r="B31" s="13" t="s">
        <v>108</v>
      </c>
      <c r="C31" s="13" t="s">
        <v>109</v>
      </c>
      <c r="D31" s="12">
        <v>10</v>
      </c>
      <c r="E31" s="14">
        <f>VLOOKUP(C31,产品价格表!$A$2:$B$70,2,0)</f>
        <v>120</v>
      </c>
      <c r="F31" s="29">
        <f t="shared" si="0"/>
        <v>1200</v>
      </c>
      <c r="G31" s="16" t="s">
        <v>100</v>
      </c>
      <c r="H31" s="14" t="s">
        <v>45</v>
      </c>
      <c r="I31" s="18" t="s">
        <v>93</v>
      </c>
      <c r="J31" s="19" t="str">
        <f t="shared" si="1"/>
        <v>中等</v>
      </c>
    </row>
    <row r="32" spans="1:10" s="7" customFormat="1" ht="20.100000000000001" customHeight="1" x14ac:dyDescent="0.15">
      <c r="A32" s="12">
        <v>30</v>
      </c>
      <c r="B32" s="13" t="s">
        <v>110</v>
      </c>
      <c r="C32" s="13" t="s">
        <v>111</v>
      </c>
      <c r="D32" s="12">
        <v>12</v>
      </c>
      <c r="E32" s="14">
        <f>VLOOKUP(C32,产品价格表!$A$2:$B$70,2,0)</f>
        <v>164</v>
      </c>
      <c r="F32" s="29">
        <f t="shared" si="0"/>
        <v>1968</v>
      </c>
      <c r="G32" s="14" t="s">
        <v>80</v>
      </c>
      <c r="H32" s="14" t="s">
        <v>56</v>
      </c>
      <c r="I32" s="18" t="s">
        <v>38</v>
      </c>
      <c r="J32" s="19" t="str">
        <f t="shared" si="1"/>
        <v>中等</v>
      </c>
    </row>
    <row r="33" spans="1:10" s="7" customFormat="1" ht="20.100000000000001" customHeight="1" x14ac:dyDescent="0.15">
      <c r="A33" s="12">
        <v>31</v>
      </c>
      <c r="B33" s="13" t="s">
        <v>112</v>
      </c>
      <c r="C33" s="13" t="s">
        <v>48</v>
      </c>
      <c r="D33" s="12">
        <v>2</v>
      </c>
      <c r="E33" s="14">
        <f>VLOOKUP(C33,产品价格表!$A$2:$B$70,2,0)</f>
        <v>499</v>
      </c>
      <c r="F33" s="29">
        <f t="shared" si="0"/>
        <v>998</v>
      </c>
      <c r="G33" s="14" t="s">
        <v>20</v>
      </c>
      <c r="H33" s="14" t="s">
        <v>104</v>
      </c>
      <c r="I33" s="18" t="s">
        <v>22</v>
      </c>
      <c r="J33" s="19" t="str">
        <f t="shared" si="1"/>
        <v>中等</v>
      </c>
    </row>
    <row r="34" spans="1:10" s="7" customFormat="1" ht="20.100000000000001" customHeight="1" x14ac:dyDescent="0.15">
      <c r="A34" s="12">
        <v>32</v>
      </c>
      <c r="B34" s="13" t="s">
        <v>10</v>
      </c>
      <c r="C34" s="13" t="s">
        <v>113</v>
      </c>
      <c r="D34" s="15">
        <v>1</v>
      </c>
      <c r="E34" s="14">
        <f>VLOOKUP(C34,产品价格表!$A$2:$B$70,2,0)</f>
        <v>12150</v>
      </c>
      <c r="F34" s="29">
        <f t="shared" si="0"/>
        <v>12150</v>
      </c>
      <c r="G34" s="14" t="s">
        <v>60</v>
      </c>
      <c r="H34" s="14" t="s">
        <v>77</v>
      </c>
      <c r="I34" s="18" t="s">
        <v>114</v>
      </c>
      <c r="J34" s="19" t="str">
        <f t="shared" si="1"/>
        <v>中等</v>
      </c>
    </row>
    <row r="35" spans="1:10" s="7" customFormat="1" ht="20.100000000000001" customHeight="1" x14ac:dyDescent="0.15">
      <c r="A35" s="12">
        <v>33</v>
      </c>
      <c r="B35" s="13" t="s">
        <v>15</v>
      </c>
      <c r="C35" s="13" t="s">
        <v>115</v>
      </c>
      <c r="D35" s="12">
        <v>1</v>
      </c>
      <c r="E35" s="14">
        <f>VLOOKUP(C35,产品价格表!$A$2:$B$70,2,0)</f>
        <v>645</v>
      </c>
      <c r="F35" s="29">
        <f t="shared" si="0"/>
        <v>645</v>
      </c>
      <c r="G35" s="14" t="s">
        <v>60</v>
      </c>
      <c r="H35" s="14" t="s">
        <v>26</v>
      </c>
      <c r="I35" s="18" t="s">
        <v>22</v>
      </c>
      <c r="J35" s="19" t="str">
        <f t="shared" si="1"/>
        <v>中等</v>
      </c>
    </row>
    <row r="36" spans="1:10" s="7" customFormat="1" ht="20.100000000000001" customHeight="1" x14ac:dyDescent="0.15">
      <c r="A36" s="12">
        <v>34</v>
      </c>
      <c r="B36" s="13" t="s">
        <v>116</v>
      </c>
      <c r="C36" s="13" t="s">
        <v>117</v>
      </c>
      <c r="D36" s="12">
        <v>20</v>
      </c>
      <c r="E36" s="14">
        <f>VLOOKUP(C36,产品价格表!$A$2:$B$70,2,0)</f>
        <v>216</v>
      </c>
      <c r="F36" s="29">
        <f t="shared" si="0"/>
        <v>4320</v>
      </c>
      <c r="G36" s="14" t="s">
        <v>25</v>
      </c>
      <c r="H36" s="14" t="s">
        <v>61</v>
      </c>
      <c r="I36" s="18" t="s">
        <v>14</v>
      </c>
      <c r="J36" s="19" t="str">
        <f t="shared" si="1"/>
        <v>中等</v>
      </c>
    </row>
    <row r="37" spans="1:10" s="7" customFormat="1" ht="20.100000000000001" customHeight="1" x14ac:dyDescent="0.15">
      <c r="A37" s="12">
        <v>35</v>
      </c>
      <c r="B37" s="13" t="s">
        <v>118</v>
      </c>
      <c r="C37" s="13" t="s">
        <v>119</v>
      </c>
      <c r="D37" s="12">
        <v>5</v>
      </c>
      <c r="E37" s="14">
        <f>VLOOKUP(C37,产品价格表!$A$2:$B$70,2,0)</f>
        <v>51.8</v>
      </c>
      <c r="F37" s="29">
        <f t="shared" si="0"/>
        <v>259</v>
      </c>
      <c r="G37" s="14" t="s">
        <v>100</v>
      </c>
      <c r="H37" s="14" t="s">
        <v>66</v>
      </c>
      <c r="I37" s="18" t="s">
        <v>87</v>
      </c>
      <c r="J37" s="19" t="str">
        <f t="shared" si="1"/>
        <v>差</v>
      </c>
    </row>
    <row r="38" spans="1:10" s="7" customFormat="1" ht="20.100000000000001" customHeight="1" x14ac:dyDescent="0.15">
      <c r="A38" s="12">
        <v>36</v>
      </c>
      <c r="B38" s="13" t="s">
        <v>120</v>
      </c>
      <c r="C38" s="13" t="s">
        <v>121</v>
      </c>
      <c r="D38" s="12">
        <v>100</v>
      </c>
      <c r="E38" s="14">
        <f>VLOOKUP(C38,产品价格表!$A$2:$B$70,2,0)</f>
        <v>29.1</v>
      </c>
      <c r="F38" s="29">
        <f t="shared" si="0"/>
        <v>2910</v>
      </c>
      <c r="G38" s="14" t="s">
        <v>20</v>
      </c>
      <c r="H38" s="14" t="s">
        <v>96</v>
      </c>
      <c r="I38" s="18" t="s">
        <v>87</v>
      </c>
      <c r="J38" s="19" t="str">
        <f t="shared" si="1"/>
        <v>中等</v>
      </c>
    </row>
    <row r="39" spans="1:10" s="7" customFormat="1" ht="20.100000000000001" customHeight="1" x14ac:dyDescent="0.15">
      <c r="A39" s="12">
        <v>37</v>
      </c>
      <c r="B39" s="13" t="s">
        <v>122</v>
      </c>
      <c r="C39" s="13" t="s">
        <v>123</v>
      </c>
      <c r="D39" s="12">
        <v>3</v>
      </c>
      <c r="E39" s="14">
        <f>VLOOKUP(C39,产品价格表!$A$2:$B$70,2,0)</f>
        <v>760</v>
      </c>
      <c r="F39" s="29">
        <f t="shared" si="0"/>
        <v>2280</v>
      </c>
      <c r="G39" s="14" t="s">
        <v>55</v>
      </c>
      <c r="H39" s="14" t="s">
        <v>124</v>
      </c>
      <c r="I39" s="18" t="s">
        <v>31</v>
      </c>
      <c r="J39" s="19" t="str">
        <f t="shared" si="1"/>
        <v>中等</v>
      </c>
    </row>
    <row r="40" spans="1:10" s="7" customFormat="1" ht="20.100000000000001" customHeight="1" x14ac:dyDescent="0.15">
      <c r="A40" s="12">
        <v>38</v>
      </c>
      <c r="B40" s="13" t="s">
        <v>125</v>
      </c>
      <c r="C40" s="13" t="s">
        <v>126</v>
      </c>
      <c r="D40" s="12">
        <v>60</v>
      </c>
      <c r="E40" s="14">
        <f>VLOOKUP(C40,产品价格表!$A$2:$B$70,2,0)</f>
        <v>38.799999999999997</v>
      </c>
      <c r="F40" s="29">
        <f t="shared" si="0"/>
        <v>2328</v>
      </c>
      <c r="G40" s="14" t="s">
        <v>17</v>
      </c>
      <c r="H40" s="14" t="s">
        <v>21</v>
      </c>
      <c r="I40" s="18" t="s">
        <v>127</v>
      </c>
      <c r="J40" s="19" t="str">
        <f t="shared" si="1"/>
        <v>中等</v>
      </c>
    </row>
    <row r="41" spans="1:10" s="7" customFormat="1" ht="20.100000000000001" customHeight="1" x14ac:dyDescent="0.15">
      <c r="A41" s="12">
        <v>39</v>
      </c>
      <c r="B41" s="13" t="s">
        <v>128</v>
      </c>
      <c r="C41" s="13" t="s">
        <v>129</v>
      </c>
      <c r="D41" s="12">
        <v>4</v>
      </c>
      <c r="E41" s="14">
        <f>VLOOKUP(C41,产品价格表!$A$2:$B$70,2,0)</f>
        <v>602.5</v>
      </c>
      <c r="F41" s="29">
        <f t="shared" si="0"/>
        <v>2410</v>
      </c>
      <c r="G41" s="14" t="s">
        <v>60</v>
      </c>
      <c r="H41" s="14" t="s">
        <v>56</v>
      </c>
      <c r="I41" s="18" t="s">
        <v>130</v>
      </c>
      <c r="J41" s="19" t="str">
        <f t="shared" si="1"/>
        <v>中等</v>
      </c>
    </row>
    <row r="42" spans="1:10" s="7" customFormat="1" ht="20.100000000000001" customHeight="1" x14ac:dyDescent="0.15">
      <c r="A42" s="12">
        <v>40</v>
      </c>
      <c r="B42" s="13" t="s">
        <v>39</v>
      </c>
      <c r="C42" s="13" t="s">
        <v>131</v>
      </c>
      <c r="D42" s="12">
        <v>4</v>
      </c>
      <c r="E42" s="14">
        <f>VLOOKUP(C42,产品价格表!$A$2:$B$70,2,0)</f>
        <v>220</v>
      </c>
      <c r="F42" s="29">
        <f t="shared" si="0"/>
        <v>880</v>
      </c>
      <c r="G42" s="14" t="s">
        <v>12</v>
      </c>
      <c r="H42" s="14" t="s">
        <v>26</v>
      </c>
      <c r="I42" s="18" t="s">
        <v>93</v>
      </c>
      <c r="J42" s="19" t="str">
        <f t="shared" si="1"/>
        <v>中等</v>
      </c>
    </row>
    <row r="43" spans="1:10" s="7" customFormat="1" ht="20.100000000000001" customHeight="1" x14ac:dyDescent="0.15">
      <c r="A43" s="12">
        <v>41</v>
      </c>
      <c r="B43" s="13" t="s">
        <v>132</v>
      </c>
      <c r="C43" s="13" t="s">
        <v>133</v>
      </c>
      <c r="D43" s="12">
        <v>5</v>
      </c>
      <c r="E43" s="14">
        <f>VLOOKUP(C43,产品价格表!$A$2:$B$70,2,0)</f>
        <v>320</v>
      </c>
      <c r="F43" s="29">
        <f t="shared" si="0"/>
        <v>1600</v>
      </c>
      <c r="G43" s="14" t="s">
        <v>25</v>
      </c>
      <c r="H43" s="14" t="s">
        <v>134</v>
      </c>
      <c r="I43" s="18" t="s">
        <v>135</v>
      </c>
      <c r="J43" s="19" t="str">
        <f t="shared" si="1"/>
        <v>中等</v>
      </c>
    </row>
    <row r="44" spans="1:10" s="7" customFormat="1" ht="20.100000000000001" customHeight="1" x14ac:dyDescent="0.15">
      <c r="A44" s="12">
        <v>42</v>
      </c>
      <c r="B44" s="13" t="s">
        <v>136</v>
      </c>
      <c r="C44" s="13" t="s">
        <v>137</v>
      </c>
      <c r="D44" s="12">
        <v>29</v>
      </c>
      <c r="E44" s="14">
        <f>VLOOKUP(C44,产品价格表!$A$2:$B$70,2,0)</f>
        <v>132.16999999999999</v>
      </c>
      <c r="F44" s="29">
        <f t="shared" si="0"/>
        <v>3832.93</v>
      </c>
      <c r="G44" s="14" t="s">
        <v>138</v>
      </c>
      <c r="H44" s="14" t="s">
        <v>139</v>
      </c>
      <c r="I44" s="18" t="s">
        <v>140</v>
      </c>
      <c r="J44" s="19" t="str">
        <f t="shared" si="1"/>
        <v>中等</v>
      </c>
    </row>
    <row r="45" spans="1:10" s="7" customFormat="1" ht="20.100000000000001" customHeight="1" x14ac:dyDescent="0.15">
      <c r="A45" s="12">
        <v>43</v>
      </c>
      <c r="B45" s="13" t="s">
        <v>141</v>
      </c>
      <c r="C45" s="13" t="s">
        <v>142</v>
      </c>
      <c r="D45" s="12">
        <v>5</v>
      </c>
      <c r="E45" s="14">
        <f>VLOOKUP(C45,产品价格表!$A$2:$B$70,2,0)</f>
        <v>1119</v>
      </c>
      <c r="F45" s="29">
        <f t="shared" si="0"/>
        <v>5595</v>
      </c>
      <c r="G45" s="14" t="s">
        <v>20</v>
      </c>
      <c r="H45" s="14" t="s">
        <v>104</v>
      </c>
      <c r="I45" s="18" t="s">
        <v>22</v>
      </c>
      <c r="J45" s="19" t="str">
        <f t="shared" si="1"/>
        <v>中等</v>
      </c>
    </row>
    <row r="46" spans="1:10" s="7" customFormat="1" ht="20.100000000000001" customHeight="1" x14ac:dyDescent="0.15">
      <c r="A46" s="12">
        <v>44</v>
      </c>
      <c r="B46" s="13" t="s">
        <v>143</v>
      </c>
      <c r="C46" s="13" t="s">
        <v>144</v>
      </c>
      <c r="D46" s="12">
        <v>1</v>
      </c>
      <c r="E46" s="14">
        <f>VLOOKUP(C46,产品价格表!$A$2:$B$70,2,0)</f>
        <v>25479</v>
      </c>
      <c r="F46" s="29">
        <f t="shared" si="0"/>
        <v>25479</v>
      </c>
      <c r="G46" s="14" t="s">
        <v>80</v>
      </c>
      <c r="H46" s="14" t="s">
        <v>45</v>
      </c>
      <c r="I46" s="18" t="s">
        <v>145</v>
      </c>
      <c r="J46" s="19" t="str">
        <f t="shared" si="1"/>
        <v>优</v>
      </c>
    </row>
    <row r="47" spans="1:10" s="7" customFormat="1" ht="20.100000000000001" customHeight="1" x14ac:dyDescent="0.15">
      <c r="A47" s="12">
        <v>45</v>
      </c>
      <c r="B47" s="13" t="s">
        <v>146</v>
      </c>
      <c r="C47" s="13" t="s">
        <v>147</v>
      </c>
      <c r="D47" s="12">
        <v>1</v>
      </c>
      <c r="E47" s="14">
        <f>VLOOKUP(C47,产品价格表!$A$2:$B$70,2,0)</f>
        <v>95</v>
      </c>
      <c r="F47" s="29">
        <f t="shared" si="0"/>
        <v>95</v>
      </c>
      <c r="G47" s="14" t="s">
        <v>60</v>
      </c>
      <c r="H47" s="14" t="s">
        <v>45</v>
      </c>
      <c r="I47" s="18" t="s">
        <v>22</v>
      </c>
      <c r="J47" s="19" t="str">
        <f t="shared" si="1"/>
        <v>差</v>
      </c>
    </row>
    <row r="48" spans="1:10" s="7" customFormat="1" ht="20.100000000000001" customHeight="1" x14ac:dyDescent="0.15">
      <c r="A48" s="12">
        <v>46</v>
      </c>
      <c r="B48" s="13" t="s">
        <v>148</v>
      </c>
      <c r="C48" s="13" t="s">
        <v>149</v>
      </c>
      <c r="D48" s="12">
        <v>2</v>
      </c>
      <c r="E48" s="14">
        <f>VLOOKUP(C48,产品价格表!$A$2:$B$70,2,0)</f>
        <v>479</v>
      </c>
      <c r="F48" s="29">
        <f t="shared" si="0"/>
        <v>958</v>
      </c>
      <c r="G48" s="14" t="s">
        <v>25</v>
      </c>
      <c r="H48" s="14" t="s">
        <v>150</v>
      </c>
      <c r="I48" s="18" t="s">
        <v>22</v>
      </c>
      <c r="J48" s="19" t="str">
        <f t="shared" si="1"/>
        <v>中等</v>
      </c>
    </row>
    <row r="49" spans="1:10" s="7" customFormat="1" ht="20.100000000000001" customHeight="1" x14ac:dyDescent="0.15">
      <c r="A49" s="12">
        <v>47</v>
      </c>
      <c r="B49" s="13" t="s">
        <v>151</v>
      </c>
      <c r="C49" s="13" t="s">
        <v>142</v>
      </c>
      <c r="D49" s="12">
        <v>1</v>
      </c>
      <c r="E49" s="14">
        <f>VLOOKUP(C49,产品价格表!$A$2:$B$70,2,0)</f>
        <v>1119</v>
      </c>
      <c r="F49" s="29">
        <f t="shared" si="0"/>
        <v>1119</v>
      </c>
      <c r="G49" s="14" t="s">
        <v>12</v>
      </c>
      <c r="H49" s="14" t="s">
        <v>152</v>
      </c>
      <c r="I49" s="18" t="s">
        <v>22</v>
      </c>
      <c r="J49" s="19" t="str">
        <f t="shared" si="1"/>
        <v>中等</v>
      </c>
    </row>
    <row r="50" spans="1:10" s="7" customFormat="1" ht="20.100000000000001" customHeight="1" x14ac:dyDescent="0.15">
      <c r="A50" s="12">
        <v>48</v>
      </c>
      <c r="B50" s="13" t="s">
        <v>151</v>
      </c>
      <c r="C50" s="13" t="s">
        <v>153</v>
      </c>
      <c r="D50" s="12">
        <v>300</v>
      </c>
      <c r="E50" s="14">
        <f>VLOOKUP(C50,产品价格表!$A$2:$B$70,2,0)</f>
        <v>17.5</v>
      </c>
      <c r="F50" s="29">
        <f t="shared" si="0"/>
        <v>5250</v>
      </c>
      <c r="G50" s="14" t="s">
        <v>20</v>
      </c>
      <c r="H50" s="14" t="s">
        <v>154</v>
      </c>
      <c r="I50" s="18" t="s">
        <v>155</v>
      </c>
      <c r="J50" s="19" t="str">
        <f t="shared" si="1"/>
        <v>优</v>
      </c>
    </row>
    <row r="51" spans="1:10" s="7" customFormat="1" ht="20.100000000000001" customHeight="1" x14ac:dyDescent="0.15">
      <c r="A51" s="12">
        <v>49</v>
      </c>
      <c r="B51" s="13" t="s">
        <v>151</v>
      </c>
      <c r="C51" s="13" t="s">
        <v>156</v>
      </c>
      <c r="D51" s="12">
        <v>6</v>
      </c>
      <c r="E51" s="14">
        <f>VLOOKUP(C51,产品价格表!$A$2:$B$70,2,0)</f>
        <v>438</v>
      </c>
      <c r="F51" s="29">
        <f t="shared" si="0"/>
        <v>2628</v>
      </c>
      <c r="G51" s="14" t="s">
        <v>60</v>
      </c>
      <c r="H51" s="14" t="s">
        <v>71</v>
      </c>
      <c r="I51" s="18" t="s">
        <v>31</v>
      </c>
      <c r="J51" s="19" t="str">
        <f t="shared" si="1"/>
        <v>中等</v>
      </c>
    </row>
    <row r="52" spans="1:10" s="7" customFormat="1" ht="20.100000000000001" customHeight="1" x14ac:dyDescent="0.15">
      <c r="A52" s="12">
        <v>50</v>
      </c>
      <c r="B52" s="13" t="s">
        <v>157</v>
      </c>
      <c r="C52" s="13" t="s">
        <v>158</v>
      </c>
      <c r="D52" s="12">
        <v>50</v>
      </c>
      <c r="E52" s="14">
        <f>VLOOKUP(C52,产品价格表!$A$2:$B$70,2,0)</f>
        <v>1299</v>
      </c>
      <c r="F52" s="29">
        <f t="shared" si="0"/>
        <v>64950</v>
      </c>
      <c r="G52" s="14" t="s">
        <v>80</v>
      </c>
      <c r="H52" s="14" t="s">
        <v>71</v>
      </c>
      <c r="I52" s="18" t="s">
        <v>81</v>
      </c>
      <c r="J52" s="19" t="str">
        <f t="shared" si="1"/>
        <v>优</v>
      </c>
    </row>
    <row r="53" spans="1:10" s="7" customFormat="1" ht="20.100000000000001" customHeight="1" x14ac:dyDescent="0.15">
      <c r="A53" s="12">
        <v>51</v>
      </c>
      <c r="B53" s="13" t="s">
        <v>159</v>
      </c>
      <c r="C53" s="13" t="s">
        <v>160</v>
      </c>
      <c r="D53" s="15">
        <v>6</v>
      </c>
      <c r="E53" s="14">
        <f>VLOOKUP(C53,产品价格表!$A$2:$B$70,2,0)</f>
        <v>734</v>
      </c>
      <c r="F53" s="29">
        <f t="shared" si="0"/>
        <v>4404</v>
      </c>
      <c r="G53" s="14" t="s">
        <v>60</v>
      </c>
      <c r="H53" s="14" t="s">
        <v>86</v>
      </c>
      <c r="I53" s="18" t="s">
        <v>22</v>
      </c>
      <c r="J53" s="19" t="str">
        <f t="shared" si="1"/>
        <v>中等</v>
      </c>
    </row>
    <row r="54" spans="1:10" s="7" customFormat="1" ht="20.100000000000001" customHeight="1" x14ac:dyDescent="0.15">
      <c r="A54" s="12">
        <v>52</v>
      </c>
      <c r="B54" s="13" t="s">
        <v>161</v>
      </c>
      <c r="C54" s="13" t="s">
        <v>162</v>
      </c>
      <c r="D54" s="12">
        <v>95</v>
      </c>
      <c r="E54" s="14">
        <f>VLOOKUP(C54,产品价格表!$A$2:$B$70,2,0)</f>
        <v>37</v>
      </c>
      <c r="F54" s="29">
        <f t="shared" si="0"/>
        <v>3515</v>
      </c>
      <c r="G54" s="14" t="s">
        <v>12</v>
      </c>
      <c r="H54" s="14" t="s">
        <v>163</v>
      </c>
      <c r="I54" s="18" t="s">
        <v>93</v>
      </c>
      <c r="J54" s="19" t="str">
        <f t="shared" si="1"/>
        <v>中等</v>
      </c>
    </row>
    <row r="55" spans="1:10" s="7" customFormat="1" ht="20.100000000000001" customHeight="1" x14ac:dyDescent="0.15">
      <c r="A55" s="12">
        <v>53</v>
      </c>
      <c r="B55" s="13" t="s">
        <v>164</v>
      </c>
      <c r="C55" s="13" t="s">
        <v>165</v>
      </c>
      <c r="D55" s="12">
        <v>2</v>
      </c>
      <c r="E55" s="14">
        <f>VLOOKUP(C55,产品价格表!$A$2:$B$70,2,0)</f>
        <v>1078</v>
      </c>
      <c r="F55" s="29">
        <f t="shared" si="0"/>
        <v>2156</v>
      </c>
      <c r="G55" s="14" t="s">
        <v>20</v>
      </c>
      <c r="H55" s="14" t="s">
        <v>37</v>
      </c>
      <c r="I55" s="18" t="s">
        <v>57</v>
      </c>
      <c r="J55" s="19" t="str">
        <f t="shared" si="1"/>
        <v>中等</v>
      </c>
    </row>
    <row r="56" spans="1:10" s="7" customFormat="1" ht="20.100000000000001" customHeight="1" x14ac:dyDescent="0.15">
      <c r="A56" s="12">
        <v>54</v>
      </c>
      <c r="B56" s="13" t="s">
        <v>166</v>
      </c>
      <c r="C56" s="13" t="s">
        <v>167</v>
      </c>
      <c r="D56" s="12">
        <v>1</v>
      </c>
      <c r="E56" s="14">
        <f>VLOOKUP(C56,产品价格表!$A$2:$B$70,2,0)</f>
        <v>135</v>
      </c>
      <c r="F56" s="29">
        <f t="shared" si="0"/>
        <v>135</v>
      </c>
      <c r="G56" s="14" t="s">
        <v>20</v>
      </c>
      <c r="H56" s="14" t="s">
        <v>104</v>
      </c>
      <c r="I56" s="18" t="s">
        <v>168</v>
      </c>
      <c r="J56" s="19" t="str">
        <f t="shared" si="1"/>
        <v>差</v>
      </c>
    </row>
    <row r="57" spans="1:10" s="7" customFormat="1" ht="20.100000000000001" customHeight="1" x14ac:dyDescent="0.15">
      <c r="A57" s="12">
        <v>55</v>
      </c>
      <c r="B57" s="13" t="s">
        <v>169</v>
      </c>
      <c r="C57" s="13" t="s">
        <v>170</v>
      </c>
      <c r="D57" s="12">
        <v>1</v>
      </c>
      <c r="E57" s="14">
        <f>VLOOKUP(C57,产品价格表!$A$2:$B$70,2,0)</f>
        <v>11500</v>
      </c>
      <c r="F57" s="29">
        <f t="shared" si="0"/>
        <v>11500</v>
      </c>
      <c r="G57" s="14" t="s">
        <v>12</v>
      </c>
      <c r="H57" s="14" t="s">
        <v>163</v>
      </c>
      <c r="I57" s="18" t="s">
        <v>171</v>
      </c>
      <c r="J57" s="19" t="str">
        <f t="shared" si="1"/>
        <v>中等</v>
      </c>
    </row>
    <row r="58" spans="1:10" s="7" customFormat="1" ht="20.100000000000001" customHeight="1" x14ac:dyDescent="0.15">
      <c r="A58" s="12">
        <v>56</v>
      </c>
      <c r="B58" s="13" t="s">
        <v>172</v>
      </c>
      <c r="C58" s="13" t="s">
        <v>19</v>
      </c>
      <c r="D58" s="12">
        <v>1</v>
      </c>
      <c r="E58" s="14">
        <f>VLOOKUP(C58,产品价格表!$A$2:$B$70,2,0)</f>
        <v>1699</v>
      </c>
      <c r="F58" s="29">
        <f t="shared" si="0"/>
        <v>1699</v>
      </c>
      <c r="G58" s="14" t="s">
        <v>12</v>
      </c>
      <c r="H58" s="14" t="s">
        <v>150</v>
      </c>
      <c r="I58" s="18" t="s">
        <v>22</v>
      </c>
      <c r="J58" s="19" t="str">
        <f t="shared" si="1"/>
        <v>中等</v>
      </c>
    </row>
    <row r="59" spans="1:10" s="7" customFormat="1" ht="20.100000000000001" customHeight="1" x14ac:dyDescent="0.15">
      <c r="A59" s="12">
        <v>57</v>
      </c>
      <c r="B59" s="13" t="s">
        <v>173</v>
      </c>
      <c r="C59" s="13" t="s">
        <v>174</v>
      </c>
      <c r="D59" s="12">
        <v>10</v>
      </c>
      <c r="E59" s="14">
        <f>VLOOKUP(C59,产品价格表!$A$2:$B$70,2,0)</f>
        <v>62.6</v>
      </c>
      <c r="F59" s="29">
        <f t="shared" si="0"/>
        <v>626</v>
      </c>
      <c r="G59" s="14" t="s">
        <v>20</v>
      </c>
      <c r="H59" s="14" t="s">
        <v>90</v>
      </c>
      <c r="I59" s="18" t="s">
        <v>140</v>
      </c>
      <c r="J59" s="19" t="str">
        <f t="shared" si="1"/>
        <v>中等</v>
      </c>
    </row>
    <row r="60" spans="1:10" s="7" customFormat="1" ht="20.100000000000001" customHeight="1" x14ac:dyDescent="0.15">
      <c r="A60" s="12">
        <v>58</v>
      </c>
      <c r="B60" s="13" t="s">
        <v>102</v>
      </c>
      <c r="C60" s="13" t="s">
        <v>175</v>
      </c>
      <c r="D60" s="15">
        <v>1</v>
      </c>
      <c r="E60" s="14">
        <f>VLOOKUP(C60,产品价格表!$A$2:$B$70,2,0)</f>
        <v>465</v>
      </c>
      <c r="F60" s="29">
        <f t="shared" si="0"/>
        <v>465</v>
      </c>
      <c r="G60" s="14" t="s">
        <v>20</v>
      </c>
      <c r="H60" s="14" t="s">
        <v>56</v>
      </c>
      <c r="I60" s="18" t="s">
        <v>22</v>
      </c>
      <c r="J60" s="19" t="str">
        <f t="shared" si="1"/>
        <v>中等</v>
      </c>
    </row>
    <row r="61" spans="1:10" s="7" customFormat="1" ht="20.100000000000001" customHeight="1" x14ac:dyDescent="0.15">
      <c r="A61" s="12">
        <v>59</v>
      </c>
      <c r="B61" s="13" t="s">
        <v>176</v>
      </c>
      <c r="C61" s="13" t="s">
        <v>177</v>
      </c>
      <c r="D61" s="12">
        <v>5</v>
      </c>
      <c r="E61" s="14">
        <f>VLOOKUP(C61,产品价格表!$A$2:$B$70,2,0)</f>
        <v>460</v>
      </c>
      <c r="F61" s="29">
        <f t="shared" si="0"/>
        <v>2300</v>
      </c>
      <c r="G61" s="14" t="s">
        <v>12</v>
      </c>
      <c r="H61" s="14" t="s">
        <v>26</v>
      </c>
      <c r="I61" s="18" t="s">
        <v>178</v>
      </c>
      <c r="J61" s="19" t="str">
        <f t="shared" si="1"/>
        <v>中等</v>
      </c>
    </row>
    <row r="62" spans="1:10" s="7" customFormat="1" ht="20.100000000000001" customHeight="1" x14ac:dyDescent="0.15">
      <c r="A62" s="12">
        <v>60</v>
      </c>
      <c r="B62" s="13" t="s">
        <v>179</v>
      </c>
      <c r="C62" s="13" t="s">
        <v>85</v>
      </c>
      <c r="D62" s="12">
        <v>50</v>
      </c>
      <c r="E62" s="14">
        <f>VLOOKUP(C62,产品价格表!$A$2:$B$70,2,0)</f>
        <v>57.35</v>
      </c>
      <c r="F62" s="29">
        <f t="shared" si="0"/>
        <v>2867.5</v>
      </c>
      <c r="G62" s="14" t="s">
        <v>17</v>
      </c>
      <c r="H62" s="14" t="s">
        <v>90</v>
      </c>
      <c r="I62" s="18" t="s">
        <v>87</v>
      </c>
      <c r="J62" s="19" t="str">
        <f t="shared" si="1"/>
        <v>中等</v>
      </c>
    </row>
    <row r="63" spans="1:10" s="7" customFormat="1" ht="20.100000000000001" customHeight="1" x14ac:dyDescent="0.15">
      <c r="A63" s="12">
        <v>61</v>
      </c>
      <c r="B63" s="13" t="s">
        <v>180</v>
      </c>
      <c r="C63" s="13" t="s">
        <v>181</v>
      </c>
      <c r="D63" s="12">
        <v>1</v>
      </c>
      <c r="E63" s="14">
        <f>VLOOKUP(C63,产品价格表!$A$2:$B$70,2,0)</f>
        <v>2480</v>
      </c>
      <c r="F63" s="29">
        <f t="shared" si="0"/>
        <v>2480</v>
      </c>
      <c r="G63" s="14" t="s">
        <v>12</v>
      </c>
      <c r="H63" s="14" t="s">
        <v>71</v>
      </c>
      <c r="I63" s="18" t="s">
        <v>182</v>
      </c>
      <c r="J63" s="19" t="str">
        <f t="shared" si="1"/>
        <v>中等</v>
      </c>
    </row>
    <row r="64" spans="1:10" s="7" customFormat="1" ht="20.100000000000001" customHeight="1" x14ac:dyDescent="0.15">
      <c r="A64" s="12">
        <v>62</v>
      </c>
      <c r="B64" s="13" t="s">
        <v>183</v>
      </c>
      <c r="C64" s="13" t="s">
        <v>184</v>
      </c>
      <c r="D64" s="12">
        <v>1</v>
      </c>
      <c r="E64" s="14">
        <f>VLOOKUP(C64,产品价格表!$A$2:$B$70,2,0)</f>
        <v>2754</v>
      </c>
      <c r="F64" s="29">
        <f>D64*E64</f>
        <v>2754</v>
      </c>
      <c r="G64" s="14" t="s">
        <v>60</v>
      </c>
      <c r="H64" s="14" t="s">
        <v>163</v>
      </c>
      <c r="I64" s="18" t="s">
        <v>155</v>
      </c>
      <c r="J64" s="19" t="str">
        <f t="shared" si="1"/>
        <v>中等</v>
      </c>
    </row>
    <row r="65" spans="1:10" s="7" customFormat="1" ht="20.100000000000001" customHeight="1" x14ac:dyDescent="0.15">
      <c r="A65" s="12">
        <v>63</v>
      </c>
      <c r="B65" s="13" t="s">
        <v>185</v>
      </c>
      <c r="C65" s="13" t="s">
        <v>186</v>
      </c>
      <c r="D65" s="12">
        <v>15</v>
      </c>
      <c r="E65" s="14">
        <f>VLOOKUP(C65,产品价格表!$A$2:$B$70,2,0)</f>
        <v>135</v>
      </c>
      <c r="F65" s="29">
        <f t="shared" si="0"/>
        <v>2025</v>
      </c>
      <c r="G65" s="14" t="s">
        <v>20</v>
      </c>
      <c r="H65" s="14" t="s">
        <v>104</v>
      </c>
      <c r="I65" s="18" t="s">
        <v>187</v>
      </c>
      <c r="J65" s="19" t="str">
        <f t="shared" si="1"/>
        <v>中等</v>
      </c>
    </row>
    <row r="66" spans="1:10" s="7" customFormat="1" ht="20.100000000000001" customHeight="1" x14ac:dyDescent="0.15">
      <c r="A66" s="12">
        <v>64</v>
      </c>
      <c r="B66" s="13" t="s">
        <v>188</v>
      </c>
      <c r="C66" s="13" t="s">
        <v>189</v>
      </c>
      <c r="D66" s="12">
        <v>2</v>
      </c>
      <c r="E66" s="14">
        <f>VLOOKUP(C66,产品价格表!$A$2:$B$70,2,0)</f>
        <v>135</v>
      </c>
      <c r="F66" s="29">
        <f t="shared" si="0"/>
        <v>270</v>
      </c>
      <c r="G66" s="14" t="s">
        <v>20</v>
      </c>
      <c r="H66" s="14" t="s">
        <v>104</v>
      </c>
      <c r="I66" s="18" t="s">
        <v>168</v>
      </c>
      <c r="J66" s="19" t="str">
        <f t="shared" si="1"/>
        <v>差</v>
      </c>
    </row>
    <row r="67" spans="1:10" s="7" customFormat="1" ht="20.100000000000001" customHeight="1" x14ac:dyDescent="0.15">
      <c r="A67" s="12">
        <v>65</v>
      </c>
      <c r="B67" s="13" t="s">
        <v>118</v>
      </c>
      <c r="C67" s="13" t="s">
        <v>190</v>
      </c>
      <c r="D67" s="12">
        <v>1</v>
      </c>
      <c r="E67" s="14">
        <f>VLOOKUP(C67,产品价格表!$A$2:$B$70,2,0)</f>
        <v>5799</v>
      </c>
      <c r="F67" s="29">
        <f t="shared" si="0"/>
        <v>5799</v>
      </c>
      <c r="G67" s="14" t="s">
        <v>20</v>
      </c>
      <c r="H67" s="14" t="s">
        <v>163</v>
      </c>
      <c r="I67" s="18" t="s">
        <v>91</v>
      </c>
      <c r="J67" s="19" t="str">
        <f t="shared" si="1"/>
        <v>中等</v>
      </c>
    </row>
    <row r="68" spans="1:10" s="7" customFormat="1" ht="20.100000000000001" customHeight="1" x14ac:dyDescent="0.15">
      <c r="A68" s="12">
        <v>66</v>
      </c>
      <c r="B68" s="13" t="s">
        <v>120</v>
      </c>
      <c r="C68" s="13" t="s">
        <v>191</v>
      </c>
      <c r="D68" s="12">
        <v>1</v>
      </c>
      <c r="E68" s="14">
        <f>VLOOKUP(C68,产品价格表!$A$2:$B$70,2,0)</f>
        <v>418</v>
      </c>
      <c r="F68" s="29">
        <f t="shared" ref="F68:F72" si="2">D68*E68</f>
        <v>418</v>
      </c>
      <c r="G68" s="14" t="s">
        <v>60</v>
      </c>
      <c r="H68" s="14" t="s">
        <v>152</v>
      </c>
      <c r="I68" s="18" t="s">
        <v>46</v>
      </c>
      <c r="J68" s="19" t="str">
        <f t="shared" ref="J68:J72" si="3">IF(OR(F68/$F$73&gt;5%,D68/$D$73&gt;10%),"优",IF(F68/$F$73&lt;0.1%,"差","中等"))</f>
        <v>中等</v>
      </c>
    </row>
    <row r="69" spans="1:10" s="7" customFormat="1" ht="20.100000000000001" customHeight="1" x14ac:dyDescent="0.15">
      <c r="A69" s="12">
        <v>67</v>
      </c>
      <c r="B69" s="13" t="s">
        <v>120</v>
      </c>
      <c r="C69" s="13" t="s">
        <v>192</v>
      </c>
      <c r="D69" s="12">
        <v>1</v>
      </c>
      <c r="E69" s="14">
        <f>VLOOKUP(C69,产品价格表!$A$2:$B$70,2,0)</f>
        <v>179</v>
      </c>
      <c r="F69" s="29">
        <f t="shared" si="2"/>
        <v>179</v>
      </c>
      <c r="G69" s="14" t="s">
        <v>25</v>
      </c>
      <c r="H69" s="14" t="s">
        <v>21</v>
      </c>
      <c r="I69" s="18" t="s">
        <v>93</v>
      </c>
      <c r="J69" s="19" t="str">
        <f t="shared" si="3"/>
        <v>差</v>
      </c>
    </row>
    <row r="70" spans="1:10" s="7" customFormat="1" ht="20.100000000000001" customHeight="1" x14ac:dyDescent="0.15">
      <c r="A70" s="12">
        <v>68</v>
      </c>
      <c r="B70" s="13" t="s">
        <v>193</v>
      </c>
      <c r="C70" s="13" t="s">
        <v>194</v>
      </c>
      <c r="D70" s="12">
        <v>6</v>
      </c>
      <c r="E70" s="14">
        <f>VLOOKUP(C70,产品价格表!$A$2:$B$70,2,0)</f>
        <v>358</v>
      </c>
      <c r="F70" s="29">
        <f t="shared" si="2"/>
        <v>2148</v>
      </c>
      <c r="G70" s="14" t="s">
        <v>17</v>
      </c>
      <c r="H70" s="14" t="s">
        <v>124</v>
      </c>
      <c r="I70" s="18" t="s">
        <v>14</v>
      </c>
      <c r="J70" s="19" t="str">
        <f t="shared" si="3"/>
        <v>中等</v>
      </c>
    </row>
    <row r="71" spans="1:10" s="7" customFormat="1" ht="20.100000000000001" customHeight="1" x14ac:dyDescent="0.15">
      <c r="A71" s="12">
        <v>69</v>
      </c>
      <c r="B71" s="13" t="s">
        <v>195</v>
      </c>
      <c r="C71" s="13" t="s">
        <v>196</v>
      </c>
      <c r="D71" s="12">
        <v>5</v>
      </c>
      <c r="E71" s="14">
        <f>VLOOKUP(C71,产品价格表!$A$2:$B$70,2,0)</f>
        <v>19.100000000000001</v>
      </c>
      <c r="F71" s="29">
        <f t="shared" si="2"/>
        <v>95.5</v>
      </c>
      <c r="G71" s="14" t="s">
        <v>20</v>
      </c>
      <c r="H71" s="14" t="s">
        <v>96</v>
      </c>
      <c r="I71" s="18" t="s">
        <v>87</v>
      </c>
      <c r="J71" s="19" t="str">
        <f t="shared" si="3"/>
        <v>差</v>
      </c>
    </row>
    <row r="72" spans="1:10" s="7" customFormat="1" ht="20.100000000000001" customHeight="1" x14ac:dyDescent="0.15">
      <c r="A72" s="21">
        <v>70</v>
      </c>
      <c r="B72" s="22" t="s">
        <v>125</v>
      </c>
      <c r="C72" s="22" t="s">
        <v>197</v>
      </c>
      <c r="D72" s="21">
        <v>1</v>
      </c>
      <c r="E72" s="14">
        <f>VLOOKUP(C72,产品价格表!$A$2:$B$70,2,0)</f>
        <v>7999</v>
      </c>
      <c r="F72" s="29">
        <f t="shared" si="2"/>
        <v>7999</v>
      </c>
      <c r="G72" s="23" t="s">
        <v>12</v>
      </c>
      <c r="H72" s="23" t="s">
        <v>163</v>
      </c>
      <c r="I72" s="27" t="s">
        <v>22</v>
      </c>
      <c r="J72" s="19" t="str">
        <f t="shared" si="3"/>
        <v>中等</v>
      </c>
    </row>
    <row r="73" spans="1:10" ht="18.75" x14ac:dyDescent="0.15">
      <c r="A73" s="24" t="s">
        <v>198</v>
      </c>
      <c r="B73" s="25"/>
      <c r="C73" s="25"/>
      <c r="D73" s="26">
        <f>SUM(D3:D72)</f>
        <v>1671</v>
      </c>
      <c r="E73" s="26"/>
      <c r="F73" s="26">
        <f t="shared" ref="F73" si="4">SUM(F3:F72)</f>
        <v>392948.43</v>
      </c>
      <c r="G73" s="20"/>
      <c r="H73" s="20"/>
      <c r="I73" s="28"/>
      <c r="J73" s="20"/>
    </row>
  </sheetData>
  <sortState ref="A2:I71">
    <sortCondition ref="A1"/>
  </sortState>
  <mergeCells count="1">
    <mergeCell ref="A1:J1"/>
  </mergeCells>
  <phoneticPr fontId="7" type="noConversion"/>
  <conditionalFormatting sqref="J3:J72">
    <cfRule type="cellIs" dxfId="1" priority="2" operator="equal">
      <formula>"优"</formula>
    </cfRule>
    <cfRule type="cellIs" dxfId="0" priority="1" operator="equal">
      <formula>"差"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opLeftCell="A59" workbookViewId="0"/>
  </sheetViews>
  <sheetFormatPr defaultColWidth="9" defaultRowHeight="13.5" x14ac:dyDescent="0.15"/>
  <cols>
    <col min="1" max="1" width="73.625" style="2" customWidth="1"/>
    <col min="2" max="2" width="9" style="3"/>
  </cols>
  <sheetData>
    <row r="1" spans="1:2" s="1" customFormat="1" ht="20.100000000000001" customHeight="1" x14ac:dyDescent="0.15">
      <c r="A1" s="4" t="s">
        <v>2</v>
      </c>
      <c r="B1" s="4" t="s">
        <v>4</v>
      </c>
    </row>
    <row r="2" spans="1:2" s="1" customFormat="1" ht="20.100000000000001" customHeight="1" x14ac:dyDescent="0.15">
      <c r="A2" s="5" t="s">
        <v>95</v>
      </c>
      <c r="B2" s="6">
        <v>1349</v>
      </c>
    </row>
    <row r="3" spans="1:2" s="1" customFormat="1" ht="20.100000000000001" customHeight="1" x14ac:dyDescent="0.15">
      <c r="A3" s="5" t="s">
        <v>16</v>
      </c>
      <c r="B3" s="6">
        <v>155</v>
      </c>
    </row>
    <row r="4" spans="1:2" s="1" customFormat="1" ht="20.100000000000001" customHeight="1" x14ac:dyDescent="0.15">
      <c r="A4" s="5" t="s">
        <v>165</v>
      </c>
      <c r="B4" s="6">
        <v>1078</v>
      </c>
    </row>
    <row r="5" spans="1:2" s="1" customFormat="1" ht="20.100000000000001" customHeight="1" x14ac:dyDescent="0.15">
      <c r="A5" s="5" t="s">
        <v>70</v>
      </c>
      <c r="B5" s="6">
        <v>115</v>
      </c>
    </row>
    <row r="6" spans="1:2" s="1" customFormat="1" ht="20.100000000000001" customHeight="1" x14ac:dyDescent="0.15">
      <c r="A6" s="5" t="s">
        <v>54</v>
      </c>
      <c r="B6" s="6">
        <v>346</v>
      </c>
    </row>
    <row r="7" spans="1:2" s="1" customFormat="1" ht="20.100000000000001" customHeight="1" x14ac:dyDescent="0.15">
      <c r="A7" s="5" t="s">
        <v>123</v>
      </c>
      <c r="B7" s="6">
        <v>760</v>
      </c>
    </row>
    <row r="8" spans="1:2" s="1" customFormat="1" ht="20.100000000000001" customHeight="1" x14ac:dyDescent="0.15">
      <c r="A8" s="5" t="s">
        <v>24</v>
      </c>
      <c r="B8" s="6">
        <v>250</v>
      </c>
    </row>
    <row r="9" spans="1:2" s="1" customFormat="1" ht="20.100000000000001" customHeight="1" x14ac:dyDescent="0.15">
      <c r="A9" s="5" t="s">
        <v>153</v>
      </c>
      <c r="B9" s="6">
        <v>17.5</v>
      </c>
    </row>
    <row r="10" spans="1:2" s="1" customFormat="1" ht="20.100000000000001" customHeight="1" x14ac:dyDescent="0.15">
      <c r="A10" s="5" t="s">
        <v>184</v>
      </c>
      <c r="B10" s="6">
        <v>2754</v>
      </c>
    </row>
    <row r="11" spans="1:2" s="1" customFormat="1" ht="20.100000000000001" customHeight="1" x14ac:dyDescent="0.15">
      <c r="A11" s="5" t="s">
        <v>190</v>
      </c>
      <c r="B11" s="6">
        <v>5799</v>
      </c>
    </row>
    <row r="12" spans="1:2" s="1" customFormat="1" ht="20.100000000000001" customHeight="1" x14ac:dyDescent="0.15">
      <c r="A12" s="5" t="s">
        <v>89</v>
      </c>
      <c r="B12" s="6">
        <v>499</v>
      </c>
    </row>
    <row r="13" spans="1:2" s="1" customFormat="1" ht="20.100000000000001" customHeight="1" x14ac:dyDescent="0.15">
      <c r="A13" s="5" t="s">
        <v>119</v>
      </c>
      <c r="B13" s="6">
        <v>51.8</v>
      </c>
    </row>
    <row r="14" spans="1:2" s="1" customFormat="1" ht="20.100000000000001" customHeight="1" x14ac:dyDescent="0.15">
      <c r="A14" s="5" t="s">
        <v>144</v>
      </c>
      <c r="B14" s="6">
        <v>25479</v>
      </c>
    </row>
    <row r="15" spans="1:2" s="1" customFormat="1" ht="20.100000000000001" customHeight="1" x14ac:dyDescent="0.15">
      <c r="A15" s="5" t="s">
        <v>51</v>
      </c>
      <c r="B15" s="6">
        <v>2880</v>
      </c>
    </row>
    <row r="16" spans="1:2" s="1" customFormat="1" ht="20.100000000000001" customHeight="1" x14ac:dyDescent="0.15">
      <c r="A16" s="5" t="s">
        <v>113</v>
      </c>
      <c r="B16" s="6">
        <v>12150</v>
      </c>
    </row>
    <row r="17" spans="1:2" s="1" customFormat="1" ht="20.100000000000001" customHeight="1" x14ac:dyDescent="0.15">
      <c r="A17" s="5" t="s">
        <v>175</v>
      </c>
      <c r="B17" s="6">
        <v>465</v>
      </c>
    </row>
    <row r="18" spans="1:2" s="1" customFormat="1" ht="20.100000000000001" customHeight="1" x14ac:dyDescent="0.15">
      <c r="A18" s="5" t="s">
        <v>76</v>
      </c>
      <c r="B18" s="6">
        <v>801</v>
      </c>
    </row>
    <row r="19" spans="1:2" s="1" customFormat="1" ht="20.100000000000001" customHeight="1" x14ac:dyDescent="0.15">
      <c r="A19" s="5" t="s">
        <v>197</v>
      </c>
      <c r="B19" s="6">
        <v>7999</v>
      </c>
    </row>
    <row r="20" spans="1:2" s="1" customFormat="1" ht="20.100000000000001" customHeight="1" x14ac:dyDescent="0.15">
      <c r="A20" s="5" t="s">
        <v>48</v>
      </c>
      <c r="B20" s="6">
        <v>499</v>
      </c>
    </row>
    <row r="21" spans="1:2" s="1" customFormat="1" ht="20.100000000000001" customHeight="1" x14ac:dyDescent="0.15">
      <c r="A21" s="5" t="s">
        <v>199</v>
      </c>
      <c r="B21" s="6">
        <v>449</v>
      </c>
    </row>
    <row r="22" spans="1:2" s="1" customFormat="1" ht="20.100000000000001" customHeight="1" x14ac:dyDescent="0.15">
      <c r="A22" s="5" t="s">
        <v>19</v>
      </c>
      <c r="B22" s="6">
        <v>1699</v>
      </c>
    </row>
    <row r="23" spans="1:2" s="1" customFormat="1" ht="20.100000000000001" customHeight="1" x14ac:dyDescent="0.15">
      <c r="A23" s="5" t="s">
        <v>200</v>
      </c>
      <c r="B23" s="6">
        <v>550</v>
      </c>
    </row>
    <row r="24" spans="1:2" s="1" customFormat="1" ht="20.100000000000001" customHeight="1" x14ac:dyDescent="0.15">
      <c r="A24" s="5" t="s">
        <v>142</v>
      </c>
      <c r="B24" s="6">
        <v>1119</v>
      </c>
    </row>
    <row r="25" spans="1:2" s="1" customFormat="1" ht="20.100000000000001" customHeight="1" x14ac:dyDescent="0.15">
      <c r="A25" s="5" t="s">
        <v>201</v>
      </c>
      <c r="B25" s="6">
        <v>559</v>
      </c>
    </row>
    <row r="26" spans="1:2" s="1" customFormat="1" ht="20.100000000000001" customHeight="1" x14ac:dyDescent="0.15">
      <c r="A26" s="5" t="s">
        <v>147</v>
      </c>
      <c r="B26" s="6">
        <v>95</v>
      </c>
    </row>
    <row r="27" spans="1:2" s="1" customFormat="1" ht="20.100000000000001" customHeight="1" x14ac:dyDescent="0.15">
      <c r="A27" s="5" t="s">
        <v>63</v>
      </c>
      <c r="B27" s="6">
        <v>335</v>
      </c>
    </row>
    <row r="28" spans="1:2" s="1" customFormat="1" ht="20.100000000000001" customHeight="1" x14ac:dyDescent="0.15">
      <c r="A28" s="5" t="s">
        <v>115</v>
      </c>
      <c r="B28" s="6">
        <v>645</v>
      </c>
    </row>
    <row r="29" spans="1:2" s="1" customFormat="1" ht="20.100000000000001" customHeight="1" x14ac:dyDescent="0.15">
      <c r="A29" s="5" t="s">
        <v>160</v>
      </c>
      <c r="B29" s="6">
        <v>734</v>
      </c>
    </row>
    <row r="30" spans="1:2" s="1" customFormat="1" ht="20.100000000000001" customHeight="1" x14ac:dyDescent="0.15">
      <c r="A30" s="5" t="s">
        <v>170</v>
      </c>
      <c r="B30" s="6">
        <v>11500</v>
      </c>
    </row>
    <row r="31" spans="1:2" s="1" customFormat="1" ht="20.100000000000001" customHeight="1" x14ac:dyDescent="0.15">
      <c r="A31" s="5" t="s">
        <v>85</v>
      </c>
      <c r="B31" s="6">
        <v>57.35</v>
      </c>
    </row>
    <row r="32" spans="1:2" s="1" customFormat="1" ht="20.100000000000001" customHeight="1" x14ac:dyDescent="0.15">
      <c r="A32" s="5" t="s">
        <v>202</v>
      </c>
      <c r="B32" s="6">
        <v>25.9</v>
      </c>
    </row>
    <row r="33" spans="1:2" s="1" customFormat="1" ht="20.100000000000001" customHeight="1" x14ac:dyDescent="0.15">
      <c r="A33" s="5" t="s">
        <v>121</v>
      </c>
      <c r="B33" s="6">
        <v>29.1</v>
      </c>
    </row>
    <row r="34" spans="1:2" s="1" customFormat="1" ht="20.100000000000001" customHeight="1" x14ac:dyDescent="0.15">
      <c r="A34" s="5" t="s">
        <v>196</v>
      </c>
      <c r="B34" s="6">
        <v>19.100000000000001</v>
      </c>
    </row>
    <row r="35" spans="1:2" s="1" customFormat="1" ht="20.100000000000001" customHeight="1" x14ac:dyDescent="0.15">
      <c r="A35" s="5" t="s">
        <v>194</v>
      </c>
      <c r="B35" s="6">
        <v>358</v>
      </c>
    </row>
    <row r="36" spans="1:2" s="1" customFormat="1" ht="20.100000000000001" customHeight="1" x14ac:dyDescent="0.15">
      <c r="A36" s="5" t="s">
        <v>11</v>
      </c>
      <c r="B36" s="6">
        <v>438</v>
      </c>
    </row>
    <row r="37" spans="1:2" s="1" customFormat="1" ht="20.100000000000001" customHeight="1" x14ac:dyDescent="0.15">
      <c r="A37" s="5" t="s">
        <v>117</v>
      </c>
      <c r="B37" s="6">
        <v>216</v>
      </c>
    </row>
    <row r="38" spans="1:2" s="1" customFormat="1" ht="20.100000000000001" customHeight="1" x14ac:dyDescent="0.15">
      <c r="A38" s="5" t="s">
        <v>133</v>
      </c>
      <c r="B38" s="6">
        <v>320</v>
      </c>
    </row>
    <row r="39" spans="1:2" s="1" customFormat="1" ht="20.100000000000001" customHeight="1" x14ac:dyDescent="0.15">
      <c r="A39" s="5" t="s">
        <v>109</v>
      </c>
      <c r="B39" s="6">
        <v>120</v>
      </c>
    </row>
    <row r="40" spans="1:2" s="1" customFormat="1" ht="20.100000000000001" customHeight="1" x14ac:dyDescent="0.15">
      <c r="A40" s="5" t="s">
        <v>35</v>
      </c>
      <c r="B40" s="6">
        <v>159</v>
      </c>
    </row>
    <row r="41" spans="1:2" s="1" customFormat="1" ht="20.100000000000001" customHeight="1" x14ac:dyDescent="0.15">
      <c r="A41" s="5" t="s">
        <v>111</v>
      </c>
      <c r="B41" s="6">
        <v>164</v>
      </c>
    </row>
    <row r="42" spans="1:2" s="1" customFormat="1" ht="20.100000000000001" customHeight="1" x14ac:dyDescent="0.15">
      <c r="A42" s="5" t="s">
        <v>106</v>
      </c>
      <c r="B42" s="6">
        <v>84000</v>
      </c>
    </row>
    <row r="43" spans="1:2" s="1" customFormat="1" ht="20.100000000000001" customHeight="1" x14ac:dyDescent="0.15">
      <c r="A43" s="5" t="s">
        <v>129</v>
      </c>
      <c r="B43" s="6">
        <v>602.5</v>
      </c>
    </row>
    <row r="44" spans="1:2" s="1" customFormat="1" ht="20.100000000000001" customHeight="1" x14ac:dyDescent="0.15">
      <c r="A44" s="5" t="s">
        <v>126</v>
      </c>
      <c r="B44" s="6">
        <v>38.799999999999997</v>
      </c>
    </row>
    <row r="45" spans="1:2" s="1" customFormat="1" ht="20.100000000000001" customHeight="1" x14ac:dyDescent="0.15">
      <c r="A45" s="5" t="s">
        <v>177</v>
      </c>
      <c r="B45" s="6">
        <v>460</v>
      </c>
    </row>
    <row r="46" spans="1:2" s="1" customFormat="1" ht="20.100000000000001" customHeight="1" x14ac:dyDescent="0.15">
      <c r="A46" s="5" t="s">
        <v>162</v>
      </c>
      <c r="B46" s="6">
        <v>37</v>
      </c>
    </row>
    <row r="47" spans="1:2" s="1" customFormat="1" ht="20.100000000000001" customHeight="1" x14ac:dyDescent="0.15">
      <c r="A47" s="5" t="s">
        <v>92</v>
      </c>
      <c r="B47" s="6">
        <v>80</v>
      </c>
    </row>
    <row r="48" spans="1:2" s="1" customFormat="1" ht="20.100000000000001" customHeight="1" x14ac:dyDescent="0.15">
      <c r="A48" s="5" t="s">
        <v>131</v>
      </c>
      <c r="B48" s="6">
        <v>220</v>
      </c>
    </row>
    <row r="49" spans="1:2" s="1" customFormat="1" ht="20.100000000000001" customHeight="1" x14ac:dyDescent="0.15">
      <c r="A49" s="5" t="s">
        <v>192</v>
      </c>
      <c r="B49" s="6">
        <v>179</v>
      </c>
    </row>
    <row r="50" spans="1:2" s="1" customFormat="1" ht="20.100000000000001" customHeight="1" x14ac:dyDescent="0.15">
      <c r="A50" s="5" t="s">
        <v>40</v>
      </c>
      <c r="B50" s="6">
        <v>117</v>
      </c>
    </row>
    <row r="51" spans="1:2" s="1" customFormat="1" ht="20.100000000000001" customHeight="1" x14ac:dyDescent="0.15">
      <c r="A51" s="5" t="s">
        <v>59</v>
      </c>
      <c r="B51" s="6">
        <v>19</v>
      </c>
    </row>
    <row r="52" spans="1:2" s="1" customFormat="1" ht="20.100000000000001" customHeight="1" x14ac:dyDescent="0.15">
      <c r="A52" s="5" t="s">
        <v>79</v>
      </c>
      <c r="B52" s="6">
        <v>1999</v>
      </c>
    </row>
    <row r="53" spans="1:2" s="1" customFormat="1" ht="20.100000000000001" customHeight="1" x14ac:dyDescent="0.15">
      <c r="A53" s="5" t="s">
        <v>158</v>
      </c>
      <c r="B53" s="6">
        <v>1299</v>
      </c>
    </row>
    <row r="54" spans="1:2" s="1" customFormat="1" ht="20.100000000000001" customHeight="1" x14ac:dyDescent="0.15">
      <c r="A54" s="5" t="s">
        <v>186</v>
      </c>
      <c r="B54" s="6">
        <v>135</v>
      </c>
    </row>
    <row r="55" spans="1:2" s="1" customFormat="1" ht="20.100000000000001" customHeight="1" x14ac:dyDescent="0.15">
      <c r="A55" s="5" t="s">
        <v>73</v>
      </c>
      <c r="B55" s="6">
        <v>24588</v>
      </c>
    </row>
    <row r="56" spans="1:2" s="1" customFormat="1" ht="20.100000000000001" customHeight="1" x14ac:dyDescent="0.15">
      <c r="A56" s="5" t="s">
        <v>82</v>
      </c>
      <c r="B56" s="6">
        <v>21</v>
      </c>
    </row>
    <row r="57" spans="1:2" s="1" customFormat="1" ht="20.100000000000001" customHeight="1" x14ac:dyDescent="0.15">
      <c r="A57" s="5" t="s">
        <v>103</v>
      </c>
      <c r="B57" s="6">
        <v>389</v>
      </c>
    </row>
    <row r="58" spans="1:2" s="1" customFormat="1" ht="20.100000000000001" customHeight="1" x14ac:dyDescent="0.15">
      <c r="A58" s="5" t="s">
        <v>191</v>
      </c>
      <c r="B58" s="6">
        <v>418</v>
      </c>
    </row>
    <row r="59" spans="1:2" s="1" customFormat="1" ht="20.100000000000001" customHeight="1" x14ac:dyDescent="0.15">
      <c r="A59" s="5" t="s">
        <v>44</v>
      </c>
      <c r="B59" s="6">
        <v>689</v>
      </c>
    </row>
    <row r="60" spans="1:2" s="1" customFormat="1" ht="20.100000000000001" customHeight="1" x14ac:dyDescent="0.15">
      <c r="A60" s="5" t="s">
        <v>29</v>
      </c>
      <c r="B60" s="6">
        <v>2950</v>
      </c>
    </row>
    <row r="61" spans="1:2" s="1" customFormat="1" ht="20.100000000000001" customHeight="1" x14ac:dyDescent="0.15">
      <c r="A61" s="5" t="s">
        <v>156</v>
      </c>
      <c r="B61" s="6">
        <v>438</v>
      </c>
    </row>
    <row r="62" spans="1:2" s="1" customFormat="1" ht="20.100000000000001" customHeight="1" x14ac:dyDescent="0.15">
      <c r="A62" s="5" t="s">
        <v>68</v>
      </c>
      <c r="B62" s="6">
        <v>478</v>
      </c>
    </row>
    <row r="63" spans="1:2" s="1" customFormat="1" ht="20.100000000000001" customHeight="1" x14ac:dyDescent="0.15">
      <c r="A63" s="5" t="s">
        <v>65</v>
      </c>
      <c r="B63" s="6">
        <v>966</v>
      </c>
    </row>
    <row r="64" spans="1:2" s="1" customFormat="1" ht="20.100000000000001" customHeight="1" x14ac:dyDescent="0.15">
      <c r="A64" s="5" t="s">
        <v>181</v>
      </c>
      <c r="B64" s="6">
        <v>2480</v>
      </c>
    </row>
    <row r="65" spans="1:2" s="1" customFormat="1" ht="20.100000000000001" customHeight="1" x14ac:dyDescent="0.15">
      <c r="A65" s="5" t="s">
        <v>174</v>
      </c>
      <c r="B65" s="6">
        <v>62.6</v>
      </c>
    </row>
    <row r="66" spans="1:2" s="1" customFormat="1" ht="20.100000000000001" customHeight="1" x14ac:dyDescent="0.15">
      <c r="A66" s="5" t="s">
        <v>137</v>
      </c>
      <c r="B66" s="6">
        <v>132.16999999999999</v>
      </c>
    </row>
    <row r="67" spans="1:2" s="1" customFormat="1" ht="20.100000000000001" customHeight="1" x14ac:dyDescent="0.15">
      <c r="A67" s="5" t="s">
        <v>167</v>
      </c>
      <c r="B67" s="6">
        <v>135</v>
      </c>
    </row>
    <row r="68" spans="1:2" s="1" customFormat="1" ht="20.100000000000001" customHeight="1" x14ac:dyDescent="0.15">
      <c r="A68" s="5" t="s">
        <v>189</v>
      </c>
      <c r="B68" s="6">
        <v>135</v>
      </c>
    </row>
    <row r="69" spans="1:2" s="1" customFormat="1" ht="20.100000000000001" customHeight="1" x14ac:dyDescent="0.15">
      <c r="A69" s="5" t="s">
        <v>149</v>
      </c>
      <c r="B69" s="6">
        <v>479</v>
      </c>
    </row>
    <row r="70" spans="1:2" s="1" customFormat="1" ht="20.100000000000001" customHeight="1" x14ac:dyDescent="0.15">
      <c r="A70" s="5" t="s">
        <v>99</v>
      </c>
      <c r="B70" s="6">
        <v>4888</v>
      </c>
    </row>
  </sheetData>
  <sortState ref="A2:C71">
    <sortCondition ref="A1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销售统计</vt:lpstr>
      <vt:lpstr>产品销售表</vt:lpstr>
      <vt:lpstr>产品价格表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PC605</dc:creator>
  <cp:lastModifiedBy>PC</cp:lastModifiedBy>
  <dcterms:created xsi:type="dcterms:W3CDTF">2018-10-11T06:19:00Z</dcterms:created>
  <dcterms:modified xsi:type="dcterms:W3CDTF">2023-10-11T03:48:36Z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