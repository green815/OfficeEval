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高校题库制作系统-副本\StartFile\ExtractFile\"/>
    </mc:Choice>
  </mc:AlternateContent>
  <bookViews>
    <workbookView xWindow="0" yWindow="0" windowWidth="19185" windowHeight="6990" activeTab="2"/>
  </bookViews>
  <sheets>
    <sheet name="企业销售情况表" sheetId="4" r:id="rId1"/>
    <sheet name="产品名称编号对照表" sheetId="2" r:id="rId2"/>
    <sheet name="图书销售情况表" sheetId="3" r:id="rId3"/>
  </sheets>
  <definedNames>
    <definedName name="_xlnm._FilterDatabase" localSheetId="0" hidden="1">企业销售情况表!$F$2:$I$19</definedName>
    <definedName name="_xlnm._FilterDatabase" localSheetId="2" hidden="1">图书销售情况表!$A$5:$G$69</definedName>
    <definedName name="_xlnm.Criteria" localSheetId="2">图书销售情况表!$A$1:$G$3</definedName>
  </definedNames>
  <calcPr calcId="162913"/>
</workbook>
</file>

<file path=xl/calcChain.xml><?xml version="1.0" encoding="utf-8"?>
<calcChain xmlns="http://schemas.openxmlformats.org/spreadsheetml/2006/main">
  <c r="I4" i="4" l="1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" i="4"/>
  <c r="G33" i="3" l="1"/>
  <c r="F33" i="3"/>
  <c r="G45" i="3"/>
  <c r="F45" i="3"/>
  <c r="G53" i="3"/>
  <c r="F53" i="3"/>
  <c r="G32" i="3"/>
  <c r="F32" i="3"/>
  <c r="G21" i="3"/>
  <c r="F21" i="3"/>
  <c r="G69" i="3"/>
  <c r="F69" i="3"/>
  <c r="G44" i="3"/>
  <c r="F44" i="3"/>
  <c r="G37" i="3"/>
  <c r="F37" i="3"/>
  <c r="G25" i="3"/>
  <c r="F25" i="3"/>
  <c r="G68" i="3"/>
  <c r="F68" i="3"/>
  <c r="G36" i="3"/>
  <c r="F36" i="3"/>
  <c r="G57" i="3"/>
  <c r="F57" i="3"/>
  <c r="G65" i="3"/>
  <c r="F65" i="3"/>
  <c r="G35" i="3"/>
  <c r="F35" i="3"/>
  <c r="G49" i="3"/>
  <c r="F49" i="3"/>
  <c r="G52" i="3"/>
  <c r="F52" i="3"/>
  <c r="G17" i="3"/>
  <c r="F17" i="3"/>
  <c r="G67" i="3"/>
  <c r="F67" i="3"/>
  <c r="G61" i="3"/>
  <c r="F61" i="3"/>
  <c r="G20" i="3"/>
  <c r="F20" i="3"/>
  <c r="G29" i="3"/>
  <c r="F29" i="3"/>
  <c r="G13" i="3"/>
  <c r="F13" i="3"/>
  <c r="G19" i="3"/>
  <c r="F19" i="3"/>
  <c r="G41" i="3"/>
  <c r="F41" i="3"/>
  <c r="G51" i="3"/>
  <c r="F51" i="3"/>
  <c r="G9" i="3"/>
  <c r="F9" i="3"/>
  <c r="G66" i="3"/>
  <c r="F66" i="3"/>
  <c r="G34" i="3"/>
  <c r="F34" i="3"/>
  <c r="G18" i="3"/>
  <c r="F18" i="3"/>
  <c r="G48" i="3"/>
  <c r="F48" i="3"/>
  <c r="G50" i="3"/>
  <c r="F50" i="3"/>
  <c r="G8" i="3"/>
  <c r="F8" i="3"/>
  <c r="G24" i="3"/>
  <c r="F24" i="3"/>
  <c r="G7" i="3"/>
  <c r="F7" i="3"/>
  <c r="G60" i="3"/>
  <c r="F60" i="3"/>
  <c r="G23" i="3"/>
  <c r="F23" i="3"/>
  <c r="G40" i="3"/>
  <c r="F40" i="3"/>
  <c r="G6" i="3"/>
  <c r="F6" i="3"/>
  <c r="G16" i="3"/>
  <c r="F16" i="3"/>
  <c r="G28" i="3"/>
  <c r="F28" i="3"/>
  <c r="G31" i="3"/>
  <c r="F31" i="3"/>
  <c r="G15" i="3"/>
  <c r="F15" i="3"/>
  <c r="G14" i="3"/>
  <c r="F14" i="3"/>
  <c r="G43" i="3"/>
  <c r="F43" i="3"/>
  <c r="G56" i="3"/>
  <c r="F56" i="3"/>
  <c r="G55" i="3"/>
  <c r="F55" i="3"/>
  <c r="G39" i="3"/>
  <c r="F39" i="3"/>
  <c r="G38" i="3"/>
  <c r="F38" i="3"/>
  <c r="G64" i="3"/>
  <c r="F64" i="3"/>
  <c r="G12" i="3"/>
  <c r="F12" i="3"/>
  <c r="G47" i="3"/>
  <c r="F47" i="3"/>
  <c r="G27" i="3"/>
  <c r="F27" i="3"/>
  <c r="G11" i="3"/>
  <c r="F11" i="3"/>
  <c r="G42" i="3"/>
  <c r="F42" i="3"/>
  <c r="G59" i="3"/>
  <c r="F59" i="3"/>
  <c r="G58" i="3"/>
  <c r="F58" i="3"/>
  <c r="G63" i="3"/>
  <c r="F63" i="3"/>
  <c r="G54" i="3"/>
  <c r="F54" i="3"/>
  <c r="G62" i="3"/>
  <c r="F62" i="3"/>
  <c r="G10" i="3"/>
  <c r="F10" i="3"/>
  <c r="G26" i="3"/>
  <c r="F26" i="3"/>
  <c r="G22" i="3"/>
  <c r="F22" i="3"/>
  <c r="G30" i="3"/>
  <c r="F30" i="3"/>
  <c r="G46" i="3"/>
  <c r="F46" i="3"/>
</calcChain>
</file>

<file path=xl/sharedStrings.xml><?xml version="1.0" encoding="utf-8"?>
<sst xmlns="http://schemas.openxmlformats.org/spreadsheetml/2006/main" count="263" uniqueCount="82">
  <si>
    <t>A13</t>
  </si>
  <si>
    <t>A14</t>
  </si>
  <si>
    <t>A15</t>
  </si>
  <si>
    <t>A16</t>
  </si>
  <si>
    <t>C35</t>
  </si>
  <si>
    <t>B22</t>
  </si>
  <si>
    <t>B23</t>
  </si>
  <si>
    <t>B24</t>
  </si>
  <si>
    <t>B25</t>
  </si>
  <si>
    <t>B26</t>
  </si>
  <si>
    <t>C32</t>
  </si>
  <si>
    <t>C33</t>
  </si>
  <si>
    <t>C34</t>
  </si>
  <si>
    <t>C36</t>
  </si>
  <si>
    <t>部门1</t>
  </si>
  <si>
    <t>部门2</t>
  </si>
  <si>
    <t>A12</t>
  </si>
  <si>
    <t>B21</t>
  </si>
  <si>
    <t>C31</t>
  </si>
  <si>
    <t>总销售量</t>
    <phoneticPr fontId="1" type="noConversion"/>
  </si>
  <si>
    <t>产品名称</t>
    <phoneticPr fontId="1" type="noConversion"/>
  </si>
  <si>
    <t>备注</t>
  </si>
  <si>
    <t>第1分部</t>
  </si>
  <si>
    <t>交通科学</t>
  </si>
  <si>
    <t>备注填写要求</t>
  </si>
  <si>
    <t>产品编号</t>
    <phoneticPr fontId="1" type="noConversion"/>
  </si>
  <si>
    <t>A</t>
    <phoneticPr fontId="1" type="noConversion"/>
  </si>
  <si>
    <t>B</t>
    <phoneticPr fontId="1" type="noConversion"/>
  </si>
  <si>
    <r>
      <t>&gt;=800</t>
    </r>
    <r>
      <rPr>
        <sz val="12"/>
        <rFont val="宋体"/>
        <family val="3"/>
        <charset val="134"/>
      </rPr>
      <t>且&lt;</t>
    </r>
    <r>
      <rPr>
        <sz val="12"/>
        <rFont val="宋体"/>
        <family val="3"/>
        <charset val="134"/>
      </rPr>
      <t>1200</t>
    </r>
    <phoneticPr fontId="1" type="noConversion"/>
  </si>
  <si>
    <t>&lt;800</t>
    <phoneticPr fontId="1" type="noConversion"/>
  </si>
  <si>
    <t xml:space="preserve">C </t>
    <phoneticPr fontId="1" type="noConversion"/>
  </si>
  <si>
    <t>&gt;=1200</t>
    <phoneticPr fontId="1" type="noConversion"/>
  </si>
  <si>
    <t>经销部门</t>
    <phoneticPr fontId="5" type="noConversion"/>
  </si>
  <si>
    <t>图书类别</t>
    <phoneticPr fontId="5" type="noConversion"/>
  </si>
  <si>
    <t>季度</t>
    <phoneticPr fontId="5" type="noConversion"/>
  </si>
  <si>
    <t>销售数量(册)</t>
    <phoneticPr fontId="5" type="noConversion"/>
  </si>
  <si>
    <t>销售额(元)</t>
    <phoneticPr fontId="5" type="noConversion"/>
  </si>
  <si>
    <t>销售数量排名</t>
    <phoneticPr fontId="5" type="noConversion"/>
  </si>
  <si>
    <t>销售额排名</t>
    <phoneticPr fontId="5" type="noConversion"/>
  </si>
  <si>
    <r>
      <t>第</t>
    </r>
    <r>
      <rPr>
        <sz val="12"/>
        <rFont val="Times New Roman"/>
        <family val="1"/>
      </rPr>
      <t>3</t>
    </r>
    <r>
      <rPr>
        <sz val="12"/>
        <rFont val="宋体"/>
        <family val="3"/>
        <charset val="134"/>
      </rPr>
      <t>分部</t>
    </r>
    <phoneticPr fontId="5" type="noConversion"/>
  </si>
  <si>
    <t>生物科学</t>
    <phoneticPr fontId="5" type="noConversion"/>
  </si>
  <si>
    <r>
      <t>第</t>
    </r>
    <r>
      <rPr>
        <sz val="12"/>
        <rFont val="Times New Roman"/>
        <family val="1"/>
      </rPr>
      <t>3</t>
    </r>
    <r>
      <rPr>
        <sz val="12"/>
        <rFont val="宋体"/>
        <family val="3"/>
        <charset val="134"/>
      </rPr>
      <t>分部</t>
    </r>
    <phoneticPr fontId="5" type="noConversion"/>
  </si>
  <si>
    <t>工业技术</t>
    <phoneticPr fontId="5" type="noConversion"/>
  </si>
  <si>
    <r>
      <t>第</t>
    </r>
    <r>
      <rPr>
        <sz val="12"/>
        <rFont val="Times New Roman"/>
        <family val="1"/>
      </rPr>
      <t>1</t>
    </r>
    <r>
      <rPr>
        <sz val="12"/>
        <rFont val="宋体"/>
        <family val="3"/>
        <charset val="134"/>
      </rPr>
      <t>分部</t>
    </r>
    <phoneticPr fontId="5" type="noConversion"/>
  </si>
  <si>
    <t>工业技术</t>
    <phoneticPr fontId="5" type="noConversion"/>
  </si>
  <si>
    <r>
      <t>第</t>
    </r>
    <r>
      <rPr>
        <sz val="12"/>
        <rFont val="Times New Roman"/>
        <family val="1"/>
      </rPr>
      <t>2</t>
    </r>
    <r>
      <rPr>
        <sz val="12"/>
        <rFont val="宋体"/>
        <family val="3"/>
        <charset val="134"/>
      </rPr>
      <t>分部</t>
    </r>
    <phoneticPr fontId="5" type="noConversion"/>
  </si>
  <si>
    <t>工业技术</t>
    <phoneticPr fontId="5" type="noConversion"/>
  </si>
  <si>
    <r>
      <t>第</t>
    </r>
    <r>
      <rPr>
        <sz val="12"/>
        <rFont val="Times New Roman"/>
        <family val="1"/>
      </rPr>
      <t>1</t>
    </r>
    <r>
      <rPr>
        <sz val="12"/>
        <rFont val="宋体"/>
        <family val="3"/>
        <charset val="134"/>
      </rPr>
      <t>分部</t>
    </r>
    <phoneticPr fontId="5" type="noConversion"/>
  </si>
  <si>
    <r>
      <t>第</t>
    </r>
    <r>
      <rPr>
        <sz val="12"/>
        <rFont val="Times New Roman"/>
        <family val="1"/>
      </rPr>
      <t>2</t>
    </r>
    <r>
      <rPr>
        <sz val="12"/>
        <rFont val="宋体"/>
        <family val="3"/>
        <charset val="134"/>
      </rPr>
      <t>分部</t>
    </r>
    <phoneticPr fontId="5" type="noConversion"/>
  </si>
  <si>
    <t>生物科学</t>
    <phoneticPr fontId="5" type="noConversion"/>
  </si>
  <si>
    <r>
      <t>第</t>
    </r>
    <r>
      <rPr>
        <sz val="12"/>
        <rFont val="Times New Roman"/>
        <family val="1"/>
      </rPr>
      <t>2</t>
    </r>
    <r>
      <rPr>
        <sz val="12"/>
        <rFont val="宋体"/>
        <family val="3"/>
        <charset val="134"/>
      </rPr>
      <t>分部</t>
    </r>
    <phoneticPr fontId="5" type="noConversion"/>
  </si>
  <si>
    <t>农业科学</t>
    <phoneticPr fontId="5" type="noConversion"/>
  </si>
  <si>
    <t>农业科学</t>
    <phoneticPr fontId="5" type="noConversion"/>
  </si>
  <si>
    <r>
      <t>第</t>
    </r>
    <r>
      <rPr>
        <sz val="12"/>
        <rFont val="Times New Roman"/>
        <family val="1"/>
      </rPr>
      <t>3</t>
    </r>
    <r>
      <rPr>
        <sz val="12"/>
        <rFont val="宋体"/>
        <family val="3"/>
        <charset val="134"/>
      </rPr>
      <t>分部</t>
    </r>
    <phoneticPr fontId="5" type="noConversion"/>
  </si>
  <si>
    <t>生物科学</t>
    <phoneticPr fontId="5" type="noConversion"/>
  </si>
  <si>
    <r>
      <t>第</t>
    </r>
    <r>
      <rPr>
        <sz val="12"/>
        <rFont val="Times New Roman"/>
        <family val="1"/>
      </rPr>
      <t>1</t>
    </r>
    <r>
      <rPr>
        <sz val="12"/>
        <rFont val="宋体"/>
        <family val="3"/>
        <charset val="134"/>
      </rPr>
      <t>分部</t>
    </r>
    <phoneticPr fontId="5" type="noConversion"/>
  </si>
  <si>
    <t>农业科学</t>
    <phoneticPr fontId="5" type="noConversion"/>
  </si>
  <si>
    <r>
      <t>第</t>
    </r>
    <r>
      <rPr>
        <sz val="12"/>
        <rFont val="宋体"/>
        <family val="3"/>
        <charset val="134"/>
      </rPr>
      <t>4</t>
    </r>
    <r>
      <rPr>
        <sz val="12"/>
        <rFont val="宋体"/>
        <family val="3"/>
        <charset val="134"/>
      </rPr>
      <t>分部</t>
    </r>
    <phoneticPr fontId="5" type="noConversion"/>
  </si>
  <si>
    <r>
      <t>第</t>
    </r>
    <r>
      <rPr>
        <sz val="12"/>
        <rFont val="宋体"/>
        <family val="3"/>
        <charset val="134"/>
      </rPr>
      <t>4</t>
    </r>
    <r>
      <rPr>
        <sz val="12"/>
        <rFont val="宋体"/>
        <family val="3"/>
        <charset val="134"/>
      </rPr>
      <t>分部</t>
    </r>
    <phoneticPr fontId="5" type="noConversion"/>
  </si>
  <si>
    <t>第1分部</t>
    <phoneticPr fontId="5" type="noConversion"/>
  </si>
  <si>
    <t>交通科学</t>
    <phoneticPr fontId="5" type="noConversion"/>
  </si>
  <si>
    <t>第4分部</t>
    <phoneticPr fontId="5" type="noConversion"/>
  </si>
  <si>
    <t>第2分部</t>
    <phoneticPr fontId="5" type="noConversion"/>
  </si>
  <si>
    <t>第2分部</t>
    <phoneticPr fontId="5" type="noConversion"/>
  </si>
  <si>
    <t>第3分部</t>
    <phoneticPr fontId="5" type="noConversion"/>
  </si>
  <si>
    <t>第4分部</t>
    <phoneticPr fontId="5" type="noConversion"/>
  </si>
  <si>
    <t>第3分部</t>
    <phoneticPr fontId="5" type="noConversion"/>
  </si>
  <si>
    <t>第4分部</t>
    <phoneticPr fontId="5" type="noConversion"/>
  </si>
  <si>
    <t>第1分部</t>
    <phoneticPr fontId="5" type="noConversion"/>
  </si>
  <si>
    <t>交通科学</t>
    <phoneticPr fontId="5" type="noConversion"/>
  </si>
  <si>
    <t>第2分部</t>
    <phoneticPr fontId="5" type="noConversion"/>
  </si>
  <si>
    <t>第3分部</t>
    <phoneticPr fontId="5" type="noConversion"/>
  </si>
  <si>
    <t>某企业产品销售情况表</t>
  </si>
  <si>
    <t>经销部门</t>
  </si>
  <si>
    <t>产品名称</t>
  </si>
  <si>
    <t>产品编号</t>
  </si>
  <si>
    <t>产品名称系列</t>
  </si>
  <si>
    <t>总销售量（台）</t>
  </si>
  <si>
    <t>销售量排名</t>
  </si>
  <si>
    <t>部门3</t>
  </si>
  <si>
    <t>销售量（台）</t>
    <phoneticPr fontId="6" type="noConversion"/>
  </si>
  <si>
    <r>
      <t>&lt;</t>
    </r>
    <r>
      <rPr>
        <sz val="12"/>
        <rFont val="宋体"/>
        <family val="3"/>
        <charset val="134"/>
      </rPr>
      <t>=30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</si>
</sst>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2"/>
      <name val="宋体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b/>
      <sz val="12"/>
      <name val="宋体"/>
      <family val="3"/>
      <charset val="134"/>
    </font>
    <font>
      <sz val="12"/>
      <name val="Times New Roman"/>
      <family val="1"/>
    </font>
    <font>
      <sz val="9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3" fillId="0" borderId="1" xfId="0" applyFont="1" applyBorder="1"/>
    <xf numFmtId="0" fontId="0" fillId="0" borderId="1" xfId="0" applyBorder="1"/>
    <xf numFmtId="0" fontId="2" fillId="0" borderId="1" xfId="0" applyFont="1" applyBorder="1"/>
    <xf numFmtId="0" fontId="0" fillId="0" borderId="1" xfId="0" applyFont="1" applyFill="1" applyBorder="1"/>
    <xf numFmtId="0" fontId="2" fillId="0" borderId="1" xfId="0" applyFont="1" applyFill="1" applyBorder="1"/>
    <xf numFmtId="0" fontId="0" fillId="0" borderId="1" xfId="0" applyFill="1" applyBorder="1"/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3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6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zh-CN" altLang="en-US"/>
              <a:t>产品销售量统计图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企业销售情况表!$G$2</c:f>
              <c:strCache>
                <c:ptCount val="1"/>
                <c:pt idx="0">
                  <c:v>总销售量（台）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>
              <a:glow rad="101600">
                <a:schemeClr val="accent5">
                  <a:satMod val="175000"/>
                  <a:alpha val="40000"/>
                </a:schemeClr>
              </a:glow>
            </a:effectLst>
          </c:spPr>
          <c:invertIfNegative val="0"/>
          <c:cat>
            <c:strRef>
              <c:f>企业销售情况表!$F$3:$F$19</c:f>
              <c:strCache>
                <c:ptCount val="17"/>
                <c:pt idx="0">
                  <c:v>A12</c:v>
                </c:pt>
                <c:pt idx="1">
                  <c:v>A13</c:v>
                </c:pt>
                <c:pt idx="2">
                  <c:v>A14</c:v>
                </c:pt>
                <c:pt idx="3">
                  <c:v>A15</c:v>
                </c:pt>
                <c:pt idx="4">
                  <c:v>A16</c:v>
                </c:pt>
                <c:pt idx="5">
                  <c:v>B21</c:v>
                </c:pt>
                <c:pt idx="6">
                  <c:v>B22</c:v>
                </c:pt>
                <c:pt idx="7">
                  <c:v>B23</c:v>
                </c:pt>
                <c:pt idx="8">
                  <c:v>B24</c:v>
                </c:pt>
                <c:pt idx="9">
                  <c:v>B25</c:v>
                </c:pt>
                <c:pt idx="10">
                  <c:v>B26</c:v>
                </c:pt>
                <c:pt idx="11">
                  <c:v>C31</c:v>
                </c:pt>
                <c:pt idx="12">
                  <c:v>C32</c:v>
                </c:pt>
                <c:pt idx="13">
                  <c:v>C33</c:v>
                </c:pt>
                <c:pt idx="14">
                  <c:v>C34</c:v>
                </c:pt>
                <c:pt idx="15">
                  <c:v>C35</c:v>
                </c:pt>
                <c:pt idx="16">
                  <c:v>C36</c:v>
                </c:pt>
              </c:strCache>
            </c:strRef>
          </c:cat>
          <c:val>
            <c:numRef>
              <c:f>企业销售情况表!$G$3:$G$19</c:f>
              <c:numCache>
                <c:formatCode>General</c:formatCode>
                <c:ptCount val="17"/>
                <c:pt idx="0">
                  <c:v>921</c:v>
                </c:pt>
                <c:pt idx="1">
                  <c:v>1215</c:v>
                </c:pt>
                <c:pt idx="2">
                  <c:v>810</c:v>
                </c:pt>
                <c:pt idx="3">
                  <c:v>632</c:v>
                </c:pt>
                <c:pt idx="4">
                  <c:v>1099</c:v>
                </c:pt>
                <c:pt idx="5">
                  <c:v>677</c:v>
                </c:pt>
                <c:pt idx="6">
                  <c:v>880</c:v>
                </c:pt>
                <c:pt idx="7">
                  <c:v>740</c:v>
                </c:pt>
                <c:pt idx="8">
                  <c:v>1190</c:v>
                </c:pt>
                <c:pt idx="9">
                  <c:v>933</c:v>
                </c:pt>
                <c:pt idx="10">
                  <c:v>1848</c:v>
                </c:pt>
                <c:pt idx="11">
                  <c:v>1387</c:v>
                </c:pt>
                <c:pt idx="12">
                  <c:v>990</c:v>
                </c:pt>
                <c:pt idx="13">
                  <c:v>1780</c:v>
                </c:pt>
                <c:pt idx="14">
                  <c:v>1868</c:v>
                </c:pt>
                <c:pt idx="15">
                  <c:v>1185</c:v>
                </c:pt>
                <c:pt idx="16">
                  <c:v>1424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5D-436C-B4B0-03DBAE640D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7"/>
        <c:overlap val="-43"/>
        <c:axId val="624100680"/>
        <c:axId val="624101008"/>
      </c:barChart>
      <c:catAx>
        <c:axId val="624100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产品名称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24101008"/>
        <c:crosses val="autoZero"/>
        <c:auto val="1"/>
        <c:lblAlgn val="ctr"/>
        <c:lblOffset val="100"/>
        <c:noMultiLvlLbl val="0"/>
      </c:catAx>
      <c:valAx>
        <c:axId val="624101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24100680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42861</xdr:colOff>
      <xdr:row>19</xdr:row>
      <xdr:rowOff>80961</xdr:rowOff>
    </xdr:from>
    <xdr:to>
      <xdr:col>10</xdr:col>
      <xdr:colOff>1066799</xdr:colOff>
      <xdr:row>35</xdr:row>
      <xdr:rowOff>123824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表1" displayName="表1" ref="F2:I19" totalsRowShown="0" headerRowDxfId="1" dataDxfId="0">
  <autoFilter ref="F2:I19"/>
  <tableColumns count="4">
    <tableColumn id="1" name="产品名称系列" dataDxfId="5"/>
    <tableColumn id="2" name="总销售量（台）" dataDxfId="4">
      <calculatedColumnFormula>SUMIF($B$3:$B$36,F3,$D$3:$D$36)</calculatedColumnFormula>
    </tableColumn>
    <tableColumn id="3" name="备注" dataDxfId="3">
      <calculatedColumnFormula>IF(G3&gt;=1200,"A",IF(G3&gt;=800,"B","C"))</calculatedColumnFormula>
    </tableColumn>
    <tableColumn id="4" name="销售量排名" dataDxfId="2">
      <calculatedColumnFormula>_xlfn.RANK.EQ(G3,$G$3:$G$19,0)</calculatedColumnFormula>
    </tableColumn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6"/>
  <sheetViews>
    <sheetView topLeftCell="A14" workbookViewId="0">
      <selection activeCell="E33" sqref="E33"/>
    </sheetView>
  </sheetViews>
  <sheetFormatPr defaultRowHeight="14.25" x14ac:dyDescent="0.15"/>
  <cols>
    <col min="4" max="4" width="14.25" customWidth="1"/>
    <col min="6" max="6" width="15.125" customWidth="1"/>
    <col min="7" max="7" width="16.75" customWidth="1"/>
    <col min="9" max="9" width="12.75" customWidth="1"/>
    <col min="10" max="10" width="12" customWidth="1"/>
    <col min="11" max="11" width="14.75" customWidth="1"/>
    <col min="12" max="12" width="15.375" customWidth="1"/>
  </cols>
  <sheetData>
    <row r="1" spans="1:12" x14ac:dyDescent="0.15">
      <c r="A1" s="11" t="s">
        <v>72</v>
      </c>
      <c r="B1" s="11"/>
      <c r="C1" s="11"/>
      <c r="D1" s="11"/>
    </row>
    <row r="2" spans="1:12" x14ac:dyDescent="0.15">
      <c r="A2" t="s">
        <v>73</v>
      </c>
      <c r="B2" t="s">
        <v>74</v>
      </c>
      <c r="C2" t="s">
        <v>75</v>
      </c>
      <c r="D2" s="1" t="s">
        <v>80</v>
      </c>
      <c r="F2" s="12" t="s">
        <v>76</v>
      </c>
      <c r="G2" s="12" t="s">
        <v>77</v>
      </c>
      <c r="H2" s="12" t="s">
        <v>21</v>
      </c>
      <c r="I2" s="12" t="s">
        <v>78</v>
      </c>
      <c r="K2" s="10" t="s">
        <v>24</v>
      </c>
      <c r="L2" s="10"/>
    </row>
    <row r="3" spans="1:12" x14ac:dyDescent="0.15">
      <c r="A3" t="s">
        <v>14</v>
      </c>
      <c r="B3" t="s">
        <v>16</v>
      </c>
      <c r="C3">
        <f>VLOOKUP(B3,产品名称编号对照表!$A$1:$B$18,2,0)</f>
        <v>1811</v>
      </c>
      <c r="D3">
        <v>675</v>
      </c>
      <c r="F3" s="12" t="s">
        <v>16</v>
      </c>
      <c r="G3" s="12">
        <f>SUMIF($B$3:$B$36,F3,$D$3:$D$36)</f>
        <v>921</v>
      </c>
      <c r="H3" s="12" t="str">
        <f>IF(G3&gt;=1200,"A",IF(G3&gt;=800,"B","C"))</f>
        <v>B</v>
      </c>
      <c r="I3" s="12">
        <f>_xlfn.RANK.EQ(G3,$G$3:$G$19,0)</f>
        <v>12</v>
      </c>
      <c r="K3" s="8" t="s">
        <v>19</v>
      </c>
      <c r="L3" s="9" t="s">
        <v>21</v>
      </c>
    </row>
    <row r="4" spans="1:12" x14ac:dyDescent="0.15">
      <c r="A4" t="s">
        <v>14</v>
      </c>
      <c r="B4" t="s">
        <v>0</v>
      </c>
      <c r="C4">
        <f>VLOOKUP(B4,产品名称编号对照表!$A$1:$B$18,2,0)</f>
        <v>1721</v>
      </c>
      <c r="D4">
        <v>950</v>
      </c>
      <c r="F4" s="12" t="s">
        <v>0</v>
      </c>
      <c r="G4" s="12">
        <f t="shared" ref="G4:G19" si="0">SUMIF($B$3:$B$36,F4,$D$3:$D$36)</f>
        <v>1215</v>
      </c>
      <c r="H4" s="12" t="str">
        <f t="shared" ref="H4:H19" si="1">IF(G4&gt;=1200,"A",IF(G4&gt;=800,"B","C"))</f>
        <v>A</v>
      </c>
      <c r="I4" s="12">
        <f t="shared" ref="I4:I19" si="2">_xlfn.RANK.EQ(G4,$G$3:$G$19,0)</f>
        <v>6</v>
      </c>
      <c r="K4" s="8" t="s">
        <v>31</v>
      </c>
      <c r="L4" s="8" t="s">
        <v>26</v>
      </c>
    </row>
    <row r="5" spans="1:12" x14ac:dyDescent="0.15">
      <c r="A5" t="s">
        <v>14</v>
      </c>
      <c r="B5" t="s">
        <v>2</v>
      </c>
      <c r="C5">
        <f>VLOOKUP(B5,产品名称编号对照表!$A$1:$B$18,2,0)</f>
        <v>2021</v>
      </c>
      <c r="D5">
        <v>267</v>
      </c>
      <c r="F5" s="12" t="s">
        <v>1</v>
      </c>
      <c r="G5" s="12">
        <f t="shared" si="0"/>
        <v>810</v>
      </c>
      <c r="H5" s="12" t="str">
        <f t="shared" si="1"/>
        <v>B</v>
      </c>
      <c r="I5" s="12">
        <f t="shared" si="2"/>
        <v>14</v>
      </c>
      <c r="K5" s="8" t="s">
        <v>28</v>
      </c>
      <c r="L5" s="8" t="s">
        <v>27</v>
      </c>
    </row>
    <row r="6" spans="1:12" x14ac:dyDescent="0.15">
      <c r="A6" t="s">
        <v>14</v>
      </c>
      <c r="B6" t="s">
        <v>17</v>
      </c>
      <c r="C6">
        <f>VLOOKUP(B6,产品名称编号对照表!$A$1:$B$18,2,0)</f>
        <v>2133</v>
      </c>
      <c r="D6">
        <v>490</v>
      </c>
      <c r="F6" s="12" t="s">
        <v>2</v>
      </c>
      <c r="G6" s="12">
        <f t="shared" si="0"/>
        <v>632</v>
      </c>
      <c r="H6" s="12" t="str">
        <f t="shared" si="1"/>
        <v>C</v>
      </c>
      <c r="I6" s="12">
        <f t="shared" si="2"/>
        <v>17</v>
      </c>
      <c r="K6" s="8" t="s">
        <v>29</v>
      </c>
      <c r="L6" s="8" t="s">
        <v>30</v>
      </c>
    </row>
    <row r="7" spans="1:12" x14ac:dyDescent="0.15">
      <c r="A7" t="s">
        <v>14</v>
      </c>
      <c r="B7" t="s">
        <v>5</v>
      </c>
      <c r="C7">
        <f>VLOOKUP(B7,产品名称编号对照表!$A$1:$B$18,2,0)</f>
        <v>2155</v>
      </c>
      <c r="D7">
        <v>657</v>
      </c>
      <c r="F7" s="12" t="s">
        <v>3</v>
      </c>
      <c r="G7" s="12">
        <f t="shared" si="0"/>
        <v>1099</v>
      </c>
      <c r="H7" s="12" t="str">
        <f t="shared" si="1"/>
        <v>B</v>
      </c>
      <c r="I7" s="12">
        <f t="shared" si="2"/>
        <v>9</v>
      </c>
    </row>
    <row r="8" spans="1:12" x14ac:dyDescent="0.15">
      <c r="A8" t="s">
        <v>14</v>
      </c>
      <c r="B8" t="s">
        <v>7</v>
      </c>
      <c r="C8">
        <f>VLOOKUP(B8,产品名称编号对照表!$A$1:$B$18,2,0)</f>
        <v>1977</v>
      </c>
      <c r="D8">
        <v>612</v>
      </c>
      <c r="F8" s="12" t="s">
        <v>17</v>
      </c>
      <c r="G8" s="12">
        <f t="shared" si="0"/>
        <v>677</v>
      </c>
      <c r="H8" s="12" t="str">
        <f t="shared" si="1"/>
        <v>C</v>
      </c>
      <c r="I8" s="12">
        <f t="shared" si="2"/>
        <v>16</v>
      </c>
    </row>
    <row r="9" spans="1:12" x14ac:dyDescent="0.15">
      <c r="A9" t="s">
        <v>14</v>
      </c>
      <c r="B9" t="s">
        <v>8</v>
      </c>
      <c r="C9">
        <f>VLOOKUP(B9,产品名称编号对照表!$A$1:$B$18,2,0)</f>
        <v>1833</v>
      </c>
      <c r="D9">
        <v>480</v>
      </c>
      <c r="F9" s="12" t="s">
        <v>5</v>
      </c>
      <c r="G9" s="12">
        <f t="shared" si="0"/>
        <v>880</v>
      </c>
      <c r="H9" s="12" t="str">
        <f t="shared" si="1"/>
        <v>B</v>
      </c>
      <c r="I9" s="12">
        <f t="shared" si="2"/>
        <v>13</v>
      </c>
    </row>
    <row r="10" spans="1:12" x14ac:dyDescent="0.15">
      <c r="A10" t="s">
        <v>14</v>
      </c>
      <c r="B10" t="s">
        <v>18</v>
      </c>
      <c r="C10">
        <f>VLOOKUP(B10,产品名称编号对照表!$A$1:$B$18,2,0)</f>
        <v>1911</v>
      </c>
      <c r="D10">
        <v>712</v>
      </c>
      <c r="F10" s="12" t="s">
        <v>6</v>
      </c>
      <c r="G10" s="12">
        <f t="shared" si="0"/>
        <v>740</v>
      </c>
      <c r="H10" s="12" t="str">
        <f t="shared" si="1"/>
        <v>C</v>
      </c>
      <c r="I10" s="12">
        <f t="shared" si="2"/>
        <v>15</v>
      </c>
    </row>
    <row r="11" spans="1:12" x14ac:dyDescent="0.15">
      <c r="A11" t="s">
        <v>14</v>
      </c>
      <c r="B11" t="s">
        <v>10</v>
      </c>
      <c r="C11">
        <f>VLOOKUP(B11,产品名称编号对照表!$A$1:$B$18,2,0)</f>
        <v>1889</v>
      </c>
      <c r="D11">
        <v>423</v>
      </c>
      <c r="F11" s="12" t="s">
        <v>7</v>
      </c>
      <c r="G11" s="12">
        <f t="shared" si="0"/>
        <v>1190</v>
      </c>
      <c r="H11" s="12" t="str">
        <f t="shared" si="1"/>
        <v>B</v>
      </c>
      <c r="I11" s="12">
        <f t="shared" si="2"/>
        <v>7</v>
      </c>
    </row>
    <row r="12" spans="1:12" x14ac:dyDescent="0.15">
      <c r="A12" t="s">
        <v>14</v>
      </c>
      <c r="B12" t="s">
        <v>13</v>
      </c>
      <c r="C12">
        <f>VLOOKUP(B12,产品名称编号对照表!$A$1:$B$18,2,0)</f>
        <v>2152</v>
      </c>
      <c r="D12">
        <v>734</v>
      </c>
      <c r="F12" s="12" t="s">
        <v>8</v>
      </c>
      <c r="G12" s="12">
        <f t="shared" si="0"/>
        <v>933</v>
      </c>
      <c r="H12" s="12" t="str">
        <f t="shared" si="1"/>
        <v>B</v>
      </c>
      <c r="I12" s="12">
        <f t="shared" si="2"/>
        <v>11</v>
      </c>
    </row>
    <row r="13" spans="1:12" x14ac:dyDescent="0.15">
      <c r="A13" t="s">
        <v>15</v>
      </c>
      <c r="B13" t="s">
        <v>4</v>
      </c>
      <c r="C13">
        <f>VLOOKUP(B13,产品名称编号对照表!$A$1:$B$18,2,0)</f>
        <v>2166</v>
      </c>
      <c r="D13">
        <v>420</v>
      </c>
      <c r="F13" s="12" t="s">
        <v>9</v>
      </c>
      <c r="G13" s="12">
        <f t="shared" si="0"/>
        <v>1848</v>
      </c>
      <c r="H13" s="12" t="str">
        <f t="shared" si="1"/>
        <v>A</v>
      </c>
      <c r="I13" s="12">
        <f t="shared" si="2"/>
        <v>2</v>
      </c>
    </row>
    <row r="14" spans="1:12" x14ac:dyDescent="0.15">
      <c r="A14" t="s">
        <v>15</v>
      </c>
      <c r="B14" t="s">
        <v>16</v>
      </c>
      <c r="C14">
        <f>VLOOKUP(B14,产品名称编号对照表!$A$1:$B$18,2,0)</f>
        <v>1811</v>
      </c>
      <c r="D14">
        <v>246</v>
      </c>
      <c r="F14" s="12" t="s">
        <v>18</v>
      </c>
      <c r="G14" s="12">
        <f t="shared" si="0"/>
        <v>1387</v>
      </c>
      <c r="H14" s="12" t="str">
        <f t="shared" si="1"/>
        <v>A</v>
      </c>
      <c r="I14" s="12">
        <f t="shared" si="2"/>
        <v>5</v>
      </c>
    </row>
    <row r="15" spans="1:12" x14ac:dyDescent="0.15">
      <c r="A15" t="s">
        <v>15</v>
      </c>
      <c r="B15" t="s">
        <v>0</v>
      </c>
      <c r="C15">
        <f>VLOOKUP(B15,产品名称编号对照表!$A$1:$B$18,2,0)</f>
        <v>1721</v>
      </c>
      <c r="D15">
        <v>265</v>
      </c>
      <c r="F15" s="12" t="s">
        <v>10</v>
      </c>
      <c r="G15" s="12">
        <f t="shared" si="0"/>
        <v>990</v>
      </c>
      <c r="H15" s="12" t="str">
        <f t="shared" si="1"/>
        <v>B</v>
      </c>
      <c r="I15" s="12">
        <f t="shared" si="2"/>
        <v>10</v>
      </c>
    </row>
    <row r="16" spans="1:12" x14ac:dyDescent="0.15">
      <c r="A16" t="s">
        <v>15</v>
      </c>
      <c r="B16" t="s">
        <v>2</v>
      </c>
      <c r="C16">
        <f>VLOOKUP(B16,产品名称编号对照表!$A$1:$B$18,2,0)</f>
        <v>2021</v>
      </c>
      <c r="D16">
        <v>365</v>
      </c>
      <c r="F16" s="12" t="s">
        <v>11</v>
      </c>
      <c r="G16" s="12">
        <f t="shared" si="0"/>
        <v>1780</v>
      </c>
      <c r="H16" s="12" t="str">
        <f t="shared" si="1"/>
        <v>A</v>
      </c>
      <c r="I16" s="12">
        <f t="shared" si="2"/>
        <v>3</v>
      </c>
    </row>
    <row r="17" spans="1:9" x14ac:dyDescent="0.15">
      <c r="A17" t="s">
        <v>15</v>
      </c>
      <c r="B17" t="s">
        <v>3</v>
      </c>
      <c r="C17">
        <f>VLOOKUP(B17,产品名称编号对照表!$A$1:$B$18,2,0)</f>
        <v>2156</v>
      </c>
      <c r="D17">
        <v>321</v>
      </c>
      <c r="F17" s="12" t="s">
        <v>12</v>
      </c>
      <c r="G17" s="12">
        <f t="shared" si="0"/>
        <v>1868</v>
      </c>
      <c r="H17" s="12" t="str">
        <f t="shared" si="1"/>
        <v>A</v>
      </c>
      <c r="I17" s="12">
        <f t="shared" si="2"/>
        <v>1</v>
      </c>
    </row>
    <row r="18" spans="1:9" x14ac:dyDescent="0.15">
      <c r="A18" t="s">
        <v>15</v>
      </c>
      <c r="B18" t="s">
        <v>17</v>
      </c>
      <c r="C18">
        <f>VLOOKUP(B18,产品名称编号对照表!$A$1:$B$18,2,0)</f>
        <v>2133</v>
      </c>
      <c r="D18">
        <v>187</v>
      </c>
      <c r="F18" s="12" t="s">
        <v>4</v>
      </c>
      <c r="G18" s="12">
        <f t="shared" si="0"/>
        <v>1185</v>
      </c>
      <c r="H18" s="12" t="str">
        <f t="shared" si="1"/>
        <v>B</v>
      </c>
      <c r="I18" s="12">
        <f t="shared" si="2"/>
        <v>8</v>
      </c>
    </row>
    <row r="19" spans="1:9" x14ac:dyDescent="0.15">
      <c r="A19" t="s">
        <v>15</v>
      </c>
      <c r="B19" t="s">
        <v>6</v>
      </c>
      <c r="C19">
        <f>VLOOKUP(B19,产品名称编号对照表!$A$1:$B$18,2,0)</f>
        <v>2089</v>
      </c>
      <c r="D19">
        <v>398</v>
      </c>
      <c r="F19" s="12" t="s">
        <v>13</v>
      </c>
      <c r="G19" s="12">
        <f t="shared" si="0"/>
        <v>1424</v>
      </c>
      <c r="H19" s="12" t="str">
        <f t="shared" si="1"/>
        <v>A</v>
      </c>
      <c r="I19" s="12">
        <f t="shared" si="2"/>
        <v>4</v>
      </c>
    </row>
    <row r="20" spans="1:9" x14ac:dyDescent="0.15">
      <c r="A20" t="s">
        <v>15</v>
      </c>
      <c r="B20" t="s">
        <v>7</v>
      </c>
      <c r="C20">
        <f>VLOOKUP(B20,产品名称编号对照表!$A$1:$B$18,2,0)</f>
        <v>1977</v>
      </c>
      <c r="D20">
        <v>578</v>
      </c>
    </row>
    <row r="21" spans="1:9" x14ac:dyDescent="0.15">
      <c r="A21" t="s">
        <v>15</v>
      </c>
      <c r="B21" t="s">
        <v>8</v>
      </c>
      <c r="C21">
        <f>VLOOKUP(B21,产品名称编号对照表!$A$1:$B$18,2,0)</f>
        <v>1833</v>
      </c>
      <c r="D21">
        <v>453</v>
      </c>
    </row>
    <row r="22" spans="1:9" x14ac:dyDescent="0.15">
      <c r="A22" t="s">
        <v>15</v>
      </c>
      <c r="B22" t="s">
        <v>9</v>
      </c>
      <c r="C22">
        <f>VLOOKUP(B22,产品名称编号对照表!$A$1:$B$18,2,0)</f>
        <v>1655</v>
      </c>
      <c r="D22">
        <v>978</v>
      </c>
    </row>
    <row r="23" spans="1:9" x14ac:dyDescent="0.15">
      <c r="A23" t="s">
        <v>15</v>
      </c>
      <c r="B23" t="s">
        <v>18</v>
      </c>
      <c r="C23">
        <f>VLOOKUP(B23,产品名称编号对照表!$A$1:$B$18,2,0)</f>
        <v>1911</v>
      </c>
      <c r="D23">
        <v>675</v>
      </c>
    </row>
    <row r="24" spans="1:9" x14ac:dyDescent="0.15">
      <c r="A24" t="s">
        <v>15</v>
      </c>
      <c r="B24" t="s">
        <v>11</v>
      </c>
      <c r="C24">
        <f>VLOOKUP(B24,产品名称编号对照表!$A$1:$B$18,2,0)</f>
        <v>1726</v>
      </c>
      <c r="D24">
        <v>890</v>
      </c>
    </row>
    <row r="25" spans="1:9" x14ac:dyDescent="0.15">
      <c r="A25" t="s">
        <v>15</v>
      </c>
      <c r="B25" t="s">
        <v>12</v>
      </c>
      <c r="C25">
        <f>VLOOKUP(B25,产品名称编号对照表!$A$1:$B$18,2,0)</f>
        <v>1922</v>
      </c>
      <c r="D25">
        <v>912</v>
      </c>
    </row>
    <row r="26" spans="1:9" x14ac:dyDescent="0.15">
      <c r="A26" t="s">
        <v>15</v>
      </c>
      <c r="B26" t="s">
        <v>4</v>
      </c>
      <c r="C26">
        <f>VLOOKUP(B26,产品名称编号对照表!$A$1:$B$18,2,0)</f>
        <v>2166</v>
      </c>
      <c r="D26">
        <v>765</v>
      </c>
    </row>
    <row r="27" spans="1:9" x14ac:dyDescent="0.15">
      <c r="A27" t="s">
        <v>15</v>
      </c>
      <c r="B27" t="s">
        <v>13</v>
      </c>
      <c r="C27">
        <f>VLOOKUP(B27,产品名称编号对照表!$A$1:$B$18,2,0)</f>
        <v>2152</v>
      </c>
      <c r="D27">
        <v>690</v>
      </c>
    </row>
    <row r="28" spans="1:9" x14ac:dyDescent="0.15">
      <c r="A28" t="s">
        <v>15</v>
      </c>
      <c r="B28" t="s">
        <v>1</v>
      </c>
      <c r="C28">
        <f>VLOOKUP(B28,产品名称编号对照表!$A$1:$B$18,2,0)</f>
        <v>1936</v>
      </c>
      <c r="D28">
        <v>345</v>
      </c>
    </row>
    <row r="29" spans="1:9" x14ac:dyDescent="0.15">
      <c r="A29" t="s">
        <v>79</v>
      </c>
      <c r="B29" t="s">
        <v>12</v>
      </c>
      <c r="C29">
        <f>VLOOKUP(B29,产品名称编号对照表!$A$1:$B$18,2,0)</f>
        <v>1922</v>
      </c>
      <c r="D29">
        <v>956</v>
      </c>
    </row>
    <row r="30" spans="1:9" x14ac:dyDescent="0.15">
      <c r="A30" t="s">
        <v>79</v>
      </c>
      <c r="B30" t="s">
        <v>1</v>
      </c>
      <c r="C30">
        <f>VLOOKUP(B30,产品名称编号对照表!$A$1:$B$18,2,0)</f>
        <v>1936</v>
      </c>
      <c r="D30">
        <v>465</v>
      </c>
    </row>
    <row r="31" spans="1:9" x14ac:dyDescent="0.15">
      <c r="A31" t="s">
        <v>79</v>
      </c>
      <c r="B31" t="s">
        <v>3</v>
      </c>
      <c r="C31">
        <f>VLOOKUP(B31,产品名称编号对照表!$A$1:$B$18,2,0)</f>
        <v>2156</v>
      </c>
      <c r="D31">
        <v>778</v>
      </c>
    </row>
    <row r="32" spans="1:9" x14ac:dyDescent="0.15">
      <c r="A32" t="s">
        <v>79</v>
      </c>
      <c r="B32" t="s">
        <v>6</v>
      </c>
      <c r="C32">
        <f>VLOOKUP(B32,产品名称编号对照表!$A$1:$B$18,2,0)</f>
        <v>2089</v>
      </c>
      <c r="D32">
        <v>342</v>
      </c>
    </row>
    <row r="33" spans="1:4" x14ac:dyDescent="0.15">
      <c r="A33" t="s">
        <v>79</v>
      </c>
      <c r="B33" t="s">
        <v>9</v>
      </c>
      <c r="C33">
        <f>VLOOKUP(B33,产品名称编号对照表!$A$1:$B$18,2,0)</f>
        <v>1655</v>
      </c>
      <c r="D33">
        <v>870</v>
      </c>
    </row>
    <row r="34" spans="1:4" x14ac:dyDescent="0.15">
      <c r="A34" t="s">
        <v>79</v>
      </c>
      <c r="B34" t="s">
        <v>11</v>
      </c>
      <c r="C34">
        <f>VLOOKUP(B34,产品名称编号对照表!$A$1:$B$18,2,0)</f>
        <v>1726</v>
      </c>
      <c r="D34">
        <v>890</v>
      </c>
    </row>
    <row r="35" spans="1:4" x14ac:dyDescent="0.15">
      <c r="A35" t="s">
        <v>79</v>
      </c>
      <c r="B35" t="s">
        <v>5</v>
      </c>
      <c r="C35">
        <f>VLOOKUP(B35,产品名称编号对照表!$A$1:$B$18,2,0)</f>
        <v>2155</v>
      </c>
      <c r="D35">
        <v>223</v>
      </c>
    </row>
    <row r="36" spans="1:4" x14ac:dyDescent="0.15">
      <c r="A36" t="s">
        <v>79</v>
      </c>
      <c r="B36" t="s">
        <v>10</v>
      </c>
      <c r="C36">
        <f>VLOOKUP(B36,产品名称编号对照表!$A$1:$B$18,2,0)</f>
        <v>1889</v>
      </c>
      <c r="D36">
        <v>567</v>
      </c>
    </row>
  </sheetData>
  <mergeCells count="2">
    <mergeCell ref="K2:L2"/>
    <mergeCell ref="A1:D1"/>
  </mergeCells>
  <phoneticPr fontId="6" type="noConversion"/>
  <conditionalFormatting sqref="I3:I19">
    <cfRule type="iconSet" priority="1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workbookViewId="0">
      <selection activeCell="E29" sqref="E29"/>
    </sheetView>
  </sheetViews>
  <sheetFormatPr defaultRowHeight="14.25" x14ac:dyDescent="0.15"/>
  <cols>
    <col min="2" max="2" width="9.125" customWidth="1"/>
  </cols>
  <sheetData>
    <row r="1" spans="1:2" x14ac:dyDescent="0.15">
      <c r="A1" s="1" t="s">
        <v>20</v>
      </c>
      <c r="B1" s="1" t="s">
        <v>25</v>
      </c>
    </row>
    <row r="2" spans="1:2" x14ac:dyDescent="0.15">
      <c r="A2" t="s">
        <v>16</v>
      </c>
      <c r="B2">
        <v>1811</v>
      </c>
    </row>
    <row r="3" spans="1:2" x14ac:dyDescent="0.15">
      <c r="A3" t="s">
        <v>0</v>
      </c>
      <c r="B3">
        <v>1721</v>
      </c>
    </row>
    <row r="4" spans="1:2" x14ac:dyDescent="0.15">
      <c r="A4" t="s">
        <v>1</v>
      </c>
      <c r="B4">
        <v>1936</v>
      </c>
    </row>
    <row r="5" spans="1:2" x14ac:dyDescent="0.15">
      <c r="A5" t="s">
        <v>2</v>
      </c>
      <c r="B5">
        <v>2021</v>
      </c>
    </row>
    <row r="6" spans="1:2" x14ac:dyDescent="0.15">
      <c r="A6" t="s">
        <v>3</v>
      </c>
      <c r="B6">
        <v>2156</v>
      </c>
    </row>
    <row r="7" spans="1:2" x14ac:dyDescent="0.15">
      <c r="A7" t="s">
        <v>17</v>
      </c>
      <c r="B7">
        <v>2133</v>
      </c>
    </row>
    <row r="8" spans="1:2" x14ac:dyDescent="0.15">
      <c r="A8" t="s">
        <v>5</v>
      </c>
      <c r="B8">
        <v>2155</v>
      </c>
    </row>
    <row r="9" spans="1:2" x14ac:dyDescent="0.15">
      <c r="A9" t="s">
        <v>6</v>
      </c>
      <c r="B9">
        <v>2089</v>
      </c>
    </row>
    <row r="10" spans="1:2" x14ac:dyDescent="0.15">
      <c r="A10" t="s">
        <v>7</v>
      </c>
      <c r="B10">
        <v>1977</v>
      </c>
    </row>
    <row r="11" spans="1:2" x14ac:dyDescent="0.15">
      <c r="A11" t="s">
        <v>8</v>
      </c>
      <c r="B11">
        <v>1833</v>
      </c>
    </row>
    <row r="12" spans="1:2" x14ac:dyDescent="0.15">
      <c r="A12" t="s">
        <v>9</v>
      </c>
      <c r="B12">
        <v>1655</v>
      </c>
    </row>
    <row r="13" spans="1:2" x14ac:dyDescent="0.15">
      <c r="A13" t="s">
        <v>18</v>
      </c>
      <c r="B13">
        <v>1911</v>
      </c>
    </row>
    <row r="14" spans="1:2" x14ac:dyDescent="0.15">
      <c r="A14" t="s">
        <v>10</v>
      </c>
      <c r="B14">
        <v>1889</v>
      </c>
    </row>
    <row r="15" spans="1:2" x14ac:dyDescent="0.15">
      <c r="A15" t="s">
        <v>11</v>
      </c>
      <c r="B15">
        <v>1726</v>
      </c>
    </row>
    <row r="16" spans="1:2" x14ac:dyDescent="0.15">
      <c r="A16" t="s">
        <v>12</v>
      </c>
      <c r="B16">
        <v>1922</v>
      </c>
    </row>
    <row r="17" spans="1:2" x14ac:dyDescent="0.15">
      <c r="A17" t="s">
        <v>4</v>
      </c>
      <c r="B17">
        <v>2166</v>
      </c>
    </row>
    <row r="18" spans="1:2" x14ac:dyDescent="0.15">
      <c r="A18" t="s">
        <v>13</v>
      </c>
      <c r="B18">
        <v>2152</v>
      </c>
    </row>
  </sheetData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G69"/>
  <sheetViews>
    <sheetView tabSelected="1" workbookViewId="0">
      <selection activeCell="E8" sqref="E8"/>
    </sheetView>
  </sheetViews>
  <sheetFormatPr defaultRowHeight="14.25" x14ac:dyDescent="0.15"/>
  <cols>
    <col min="1" max="1" width="9.125" customWidth="1"/>
    <col min="2" max="2" width="9.875" customWidth="1"/>
    <col min="3" max="3" width="5.875" customWidth="1"/>
    <col min="5" max="5" width="11.5" customWidth="1"/>
    <col min="6" max="6" width="14" customWidth="1"/>
    <col min="7" max="7" width="11.625" customWidth="1"/>
  </cols>
  <sheetData>
    <row r="1" spans="1:7" x14ac:dyDescent="0.15">
      <c r="B1" s="2" t="s">
        <v>33</v>
      </c>
      <c r="F1" s="2" t="s">
        <v>37</v>
      </c>
    </row>
    <row r="2" spans="1:7" x14ac:dyDescent="0.15">
      <c r="B2" s="4" t="s">
        <v>60</v>
      </c>
      <c r="F2" s="1" t="s">
        <v>81</v>
      </c>
    </row>
    <row r="3" spans="1:7" x14ac:dyDescent="0.15">
      <c r="B3" s="4" t="s">
        <v>42</v>
      </c>
      <c r="F3" s="1" t="s">
        <v>81</v>
      </c>
    </row>
    <row r="5" spans="1:7" x14ac:dyDescent="0.15">
      <c r="A5" s="2" t="s">
        <v>32</v>
      </c>
      <c r="B5" s="2" t="s">
        <v>33</v>
      </c>
      <c r="C5" s="2" t="s">
        <v>34</v>
      </c>
      <c r="D5" s="2" t="s">
        <v>35</v>
      </c>
      <c r="E5" s="2" t="s">
        <v>36</v>
      </c>
      <c r="F5" s="2" t="s">
        <v>37</v>
      </c>
      <c r="G5" s="2" t="s">
        <v>38</v>
      </c>
    </row>
    <row r="6" spans="1:7" ht="15.75" hidden="1" x14ac:dyDescent="0.25">
      <c r="A6" s="3" t="s">
        <v>43</v>
      </c>
      <c r="B6" s="4" t="s">
        <v>49</v>
      </c>
      <c r="C6" s="3">
        <v>1</v>
      </c>
      <c r="D6" s="3">
        <v>345</v>
      </c>
      <c r="E6" s="3">
        <v>24150</v>
      </c>
      <c r="F6" s="3">
        <f>_xlfn.RANK.EQ(D6,$D$6:$D$69)</f>
        <v>20</v>
      </c>
      <c r="G6" s="3">
        <f>_xlfn.RANK.EQ(E6,$E$6:$E$69)</f>
        <v>15</v>
      </c>
    </row>
    <row r="7" spans="1:7" ht="15.75" x14ac:dyDescent="0.25">
      <c r="A7" s="3" t="s">
        <v>43</v>
      </c>
      <c r="B7" s="4" t="s">
        <v>46</v>
      </c>
      <c r="C7" s="3">
        <v>1</v>
      </c>
      <c r="D7" s="3">
        <v>569</v>
      </c>
      <c r="E7" s="3">
        <v>28450</v>
      </c>
      <c r="F7" s="3">
        <f>_xlfn.RANK.EQ(D7,$D$6:$D$69)</f>
        <v>4</v>
      </c>
      <c r="G7" s="3">
        <f>_xlfn.RANK.EQ(E7,$E$6:$E$69)</f>
        <v>11</v>
      </c>
    </row>
    <row r="8" spans="1:7" ht="15.75" hidden="1" x14ac:dyDescent="0.25">
      <c r="A8" s="3" t="s">
        <v>43</v>
      </c>
      <c r="B8" s="4" t="s">
        <v>51</v>
      </c>
      <c r="C8" s="3">
        <v>1</v>
      </c>
      <c r="D8" s="3">
        <v>765</v>
      </c>
      <c r="E8" s="3">
        <v>22950</v>
      </c>
      <c r="F8" s="3">
        <f>_xlfn.RANK.EQ(D8,$D$6:$D$69)</f>
        <v>1</v>
      </c>
      <c r="G8" s="3">
        <f>_xlfn.RANK.EQ(E8,$E$6:$E$69)</f>
        <v>20</v>
      </c>
    </row>
    <row r="9" spans="1:7" x14ac:dyDescent="0.15">
      <c r="A9" s="4" t="s">
        <v>59</v>
      </c>
      <c r="B9" s="4" t="s">
        <v>60</v>
      </c>
      <c r="C9" s="3">
        <v>1</v>
      </c>
      <c r="D9" s="3">
        <v>436</v>
      </c>
      <c r="E9" s="3">
        <v>35648</v>
      </c>
      <c r="F9" s="3">
        <f>_xlfn.RANK.EQ(D9,$D$6:$D$69)</f>
        <v>7</v>
      </c>
      <c r="G9" s="3">
        <f>_xlfn.RANK.EQ(E9,$E$6:$E$69)</f>
        <v>3</v>
      </c>
    </row>
    <row r="10" spans="1:7" ht="15.75" hidden="1" x14ac:dyDescent="0.25">
      <c r="A10" s="3" t="s">
        <v>45</v>
      </c>
      <c r="B10" s="4" t="s">
        <v>46</v>
      </c>
      <c r="C10" s="3">
        <v>1</v>
      </c>
      <c r="D10" s="3">
        <v>167</v>
      </c>
      <c r="E10" s="3">
        <v>8350</v>
      </c>
      <c r="F10" s="3">
        <f>_xlfn.RANK.EQ(D10,$D$6:$D$69)</f>
        <v>55</v>
      </c>
      <c r="G10" s="3">
        <f>_xlfn.RANK.EQ(E10,$E$6:$E$69)</f>
        <v>61</v>
      </c>
    </row>
    <row r="11" spans="1:7" ht="15.75" hidden="1" x14ac:dyDescent="0.25">
      <c r="A11" s="3" t="s">
        <v>50</v>
      </c>
      <c r="B11" s="4" t="s">
        <v>40</v>
      </c>
      <c r="C11" s="3">
        <v>1</v>
      </c>
      <c r="D11" s="3">
        <v>206</v>
      </c>
      <c r="E11" s="3">
        <v>14420</v>
      </c>
      <c r="F11" s="3">
        <f>_xlfn.RANK.EQ(D11,$D$6:$D$69)</f>
        <v>50</v>
      </c>
      <c r="G11" s="3">
        <f>_xlfn.RANK.EQ(E11,$E$6:$E$69)</f>
        <v>34</v>
      </c>
    </row>
    <row r="12" spans="1:7" ht="15.75" hidden="1" x14ac:dyDescent="0.25">
      <c r="A12" s="3" t="s">
        <v>50</v>
      </c>
      <c r="B12" s="4" t="s">
        <v>51</v>
      </c>
      <c r="C12" s="3">
        <v>1</v>
      </c>
      <c r="D12" s="3">
        <v>221</v>
      </c>
      <c r="E12" s="3">
        <v>6630</v>
      </c>
      <c r="F12" s="3">
        <f>_xlfn.RANK.EQ(D12,$D$6:$D$69)</f>
        <v>41</v>
      </c>
      <c r="G12" s="3">
        <f>_xlfn.RANK.EQ(E12,$E$6:$E$69)</f>
        <v>64</v>
      </c>
    </row>
    <row r="13" spans="1:7" hidden="1" x14ac:dyDescent="0.15">
      <c r="A13" s="4" t="s">
        <v>62</v>
      </c>
      <c r="B13" s="3" t="s">
        <v>23</v>
      </c>
      <c r="C13" s="3">
        <v>1</v>
      </c>
      <c r="D13" s="3">
        <v>123</v>
      </c>
      <c r="E13" s="3">
        <v>7685</v>
      </c>
      <c r="F13" s="3">
        <f>_xlfn.RANK.EQ(D13,$D$6:$D$69)</f>
        <v>62</v>
      </c>
      <c r="G13" s="3">
        <f>_xlfn.RANK.EQ(E13,$E$6:$E$69)</f>
        <v>63</v>
      </c>
    </row>
    <row r="14" spans="1:7" ht="15.75" hidden="1" x14ac:dyDescent="0.25">
      <c r="A14" s="3" t="s">
        <v>39</v>
      </c>
      <c r="B14" s="4" t="s">
        <v>46</v>
      </c>
      <c r="C14" s="3">
        <v>1</v>
      </c>
      <c r="D14" s="3">
        <v>301</v>
      </c>
      <c r="E14" s="3">
        <v>15050</v>
      </c>
      <c r="F14" s="3">
        <f>_xlfn.RANK.EQ(D14,$D$6:$D$69)</f>
        <v>33</v>
      </c>
      <c r="G14" s="3">
        <f>_xlfn.RANK.EQ(E14,$E$6:$E$69)</f>
        <v>32</v>
      </c>
    </row>
    <row r="15" spans="1:7" ht="15.75" hidden="1" x14ac:dyDescent="0.25">
      <c r="A15" s="3" t="s">
        <v>39</v>
      </c>
      <c r="B15" s="4" t="s">
        <v>51</v>
      </c>
      <c r="C15" s="3">
        <v>1</v>
      </c>
      <c r="D15" s="3">
        <v>306</v>
      </c>
      <c r="E15" s="3">
        <v>29180</v>
      </c>
      <c r="F15" s="3">
        <f>_xlfn.RANK.EQ(D15,$D$6:$D$69)</f>
        <v>32</v>
      </c>
      <c r="G15" s="3">
        <f>_xlfn.RANK.EQ(E15,$E$6:$E$69)</f>
        <v>9</v>
      </c>
    </row>
    <row r="16" spans="1:7" ht="15.75" hidden="1" x14ac:dyDescent="0.25">
      <c r="A16" s="3" t="s">
        <v>39</v>
      </c>
      <c r="B16" s="4" t="s">
        <v>54</v>
      </c>
      <c r="C16" s="3">
        <v>1</v>
      </c>
      <c r="D16" s="3">
        <v>212</v>
      </c>
      <c r="E16" s="3">
        <v>14840</v>
      </c>
      <c r="F16" s="3">
        <f>_xlfn.RANK.EQ(D16,$D$6:$D$69)</f>
        <v>48</v>
      </c>
      <c r="G16" s="3">
        <f>_xlfn.RANK.EQ(E16,$E$6:$E$69)</f>
        <v>33</v>
      </c>
    </row>
    <row r="17" spans="1:7" hidden="1" x14ac:dyDescent="0.15">
      <c r="A17" s="4" t="s">
        <v>64</v>
      </c>
      <c r="B17" s="3" t="s">
        <v>23</v>
      </c>
      <c r="C17" s="3">
        <v>1</v>
      </c>
      <c r="D17" s="3">
        <v>166</v>
      </c>
      <c r="E17" s="3">
        <v>8765</v>
      </c>
      <c r="F17" s="3">
        <f>_xlfn.RANK.EQ(D17,$D$6:$D$69)</f>
        <v>56</v>
      </c>
      <c r="G17" s="3">
        <f>_xlfn.RANK.EQ(E17,$E$6:$E$69)</f>
        <v>59</v>
      </c>
    </row>
    <row r="18" spans="1:7" hidden="1" x14ac:dyDescent="0.15">
      <c r="A18" s="4" t="s">
        <v>57</v>
      </c>
      <c r="B18" s="4" t="s">
        <v>49</v>
      </c>
      <c r="C18" s="3">
        <v>1</v>
      </c>
      <c r="D18" s="3">
        <v>324</v>
      </c>
      <c r="E18" s="3">
        <v>22680</v>
      </c>
      <c r="F18" s="3">
        <f>_xlfn.RANK.EQ(D18,$D$6:$D$69)</f>
        <v>26</v>
      </c>
      <c r="G18" s="3">
        <f>_xlfn.RANK.EQ(E18,$E$6:$E$69)</f>
        <v>21</v>
      </c>
    </row>
    <row r="19" spans="1:7" x14ac:dyDescent="0.15">
      <c r="A19" s="4" t="s">
        <v>61</v>
      </c>
      <c r="B19" s="3" t="s">
        <v>23</v>
      </c>
      <c r="C19" s="3">
        <v>1</v>
      </c>
      <c r="D19" s="3">
        <v>321</v>
      </c>
      <c r="E19" s="3">
        <v>18976</v>
      </c>
      <c r="F19" s="3">
        <f>_xlfn.RANK.EQ(D19,$D$6:$D$69)</f>
        <v>29</v>
      </c>
      <c r="G19" s="3">
        <f>_xlfn.RANK.EQ(E19,$E$6:$E$69)</f>
        <v>27</v>
      </c>
    </row>
    <row r="20" spans="1:7" hidden="1" x14ac:dyDescent="0.15">
      <c r="A20" s="5" t="s">
        <v>61</v>
      </c>
      <c r="B20" s="6" t="s">
        <v>42</v>
      </c>
      <c r="C20" s="7">
        <v>1</v>
      </c>
      <c r="D20" s="7">
        <v>234</v>
      </c>
      <c r="E20" s="7">
        <v>14321</v>
      </c>
      <c r="F20" s="3">
        <f>_xlfn.RANK.EQ(D20,$D$6:$D$69)</f>
        <v>37</v>
      </c>
      <c r="G20" s="3">
        <f>_xlfn.RANK.EQ(E20,$E$6:$E$69)</f>
        <v>36</v>
      </c>
    </row>
    <row r="21" spans="1:7" hidden="1" x14ac:dyDescent="0.15">
      <c r="A21" s="5" t="s">
        <v>67</v>
      </c>
      <c r="B21" s="6" t="s">
        <v>56</v>
      </c>
      <c r="C21" s="7">
        <v>1</v>
      </c>
      <c r="D21" s="7">
        <v>156</v>
      </c>
      <c r="E21" s="7">
        <v>10786</v>
      </c>
      <c r="F21" s="3">
        <f>_xlfn.RANK.EQ(D21,$D$6:$D$69)</f>
        <v>58</v>
      </c>
      <c r="G21" s="3">
        <f>_xlfn.RANK.EQ(E21,$E$6:$E$69)</f>
        <v>47</v>
      </c>
    </row>
    <row r="22" spans="1:7" ht="15.75" x14ac:dyDescent="0.25">
      <c r="A22" s="3" t="s">
        <v>43</v>
      </c>
      <c r="B22" s="4" t="s">
        <v>44</v>
      </c>
      <c r="C22" s="3">
        <v>2</v>
      </c>
      <c r="D22" s="3">
        <v>435</v>
      </c>
      <c r="E22" s="3">
        <v>21750</v>
      </c>
      <c r="F22" s="3">
        <f>_xlfn.RANK.EQ(D22,$D$6:$D$69)</f>
        <v>8</v>
      </c>
      <c r="G22" s="3">
        <f>_xlfn.RANK.EQ(E22,$E$6:$E$69)</f>
        <v>23</v>
      </c>
    </row>
    <row r="23" spans="1:7" ht="15.75" hidden="1" x14ac:dyDescent="0.25">
      <c r="A23" s="3" t="s">
        <v>55</v>
      </c>
      <c r="B23" s="4" t="s">
        <v>40</v>
      </c>
      <c r="C23" s="3">
        <v>2</v>
      </c>
      <c r="D23" s="3">
        <v>412</v>
      </c>
      <c r="E23" s="3">
        <v>28840</v>
      </c>
      <c r="F23" s="3">
        <f>_xlfn.RANK.EQ(D23,$D$6:$D$69)</f>
        <v>14</v>
      </c>
      <c r="G23" s="3">
        <f>_xlfn.RANK.EQ(E23,$E$6:$E$69)</f>
        <v>10</v>
      </c>
    </row>
    <row r="24" spans="1:7" ht="15.75" hidden="1" x14ac:dyDescent="0.25">
      <c r="A24" s="3" t="s">
        <v>43</v>
      </c>
      <c r="B24" s="4" t="s">
        <v>52</v>
      </c>
      <c r="C24" s="3">
        <v>2</v>
      </c>
      <c r="D24" s="3">
        <v>654</v>
      </c>
      <c r="E24" s="3">
        <v>19620</v>
      </c>
      <c r="F24" s="3">
        <f>_xlfn.RANK.EQ(D24,$D$6:$D$69)</f>
        <v>2</v>
      </c>
      <c r="G24" s="3">
        <f>_xlfn.RANK.EQ(E24,$E$6:$E$69)</f>
        <v>26</v>
      </c>
    </row>
    <row r="25" spans="1:7" x14ac:dyDescent="0.15">
      <c r="A25" s="4" t="s">
        <v>68</v>
      </c>
      <c r="B25" s="4" t="s">
        <v>69</v>
      </c>
      <c r="C25" s="3">
        <v>2</v>
      </c>
      <c r="D25" s="3">
        <v>654</v>
      </c>
      <c r="E25" s="3">
        <v>45321</v>
      </c>
      <c r="F25" s="3">
        <f>_xlfn.RANK.EQ(D25,$D$6:$D$69)</f>
        <v>2</v>
      </c>
      <c r="G25" s="3">
        <f>_xlfn.RANK.EQ(E25,$E$6:$E$69)</f>
        <v>1</v>
      </c>
    </row>
    <row r="26" spans="1:7" ht="15.75" hidden="1" x14ac:dyDescent="0.25">
      <c r="A26" s="3" t="s">
        <v>45</v>
      </c>
      <c r="B26" s="4" t="s">
        <v>40</v>
      </c>
      <c r="C26" s="3">
        <v>2</v>
      </c>
      <c r="D26" s="3">
        <v>256</v>
      </c>
      <c r="E26" s="3">
        <v>17920</v>
      </c>
      <c r="F26" s="3">
        <f>_xlfn.RANK.EQ(D26,$D$6:$D$69)</f>
        <v>36</v>
      </c>
      <c r="G26" s="3">
        <f>_xlfn.RANK.EQ(E26,$E$6:$E$69)</f>
        <v>28</v>
      </c>
    </row>
    <row r="27" spans="1:7" ht="15.75" hidden="1" x14ac:dyDescent="0.25">
      <c r="A27" s="3" t="s">
        <v>48</v>
      </c>
      <c r="B27" s="4" t="s">
        <v>42</v>
      </c>
      <c r="C27" s="3">
        <v>2</v>
      </c>
      <c r="D27" s="3">
        <v>211</v>
      </c>
      <c r="E27" s="3">
        <v>10550</v>
      </c>
      <c r="F27" s="3">
        <f>_xlfn.RANK.EQ(D27,$D$6:$D$69)</f>
        <v>49</v>
      </c>
      <c r="G27" s="3">
        <f>_xlfn.RANK.EQ(E27,$E$6:$E$69)</f>
        <v>49</v>
      </c>
    </row>
    <row r="28" spans="1:7" ht="15.75" hidden="1" x14ac:dyDescent="0.25">
      <c r="A28" s="3" t="s">
        <v>48</v>
      </c>
      <c r="B28" s="4" t="s">
        <v>51</v>
      </c>
      <c r="C28" s="3">
        <v>2</v>
      </c>
      <c r="D28" s="3">
        <v>312</v>
      </c>
      <c r="E28" s="3">
        <v>9360</v>
      </c>
      <c r="F28" s="3">
        <f>_xlfn.RANK.EQ(D28,$D$6:$D$69)</f>
        <v>31</v>
      </c>
      <c r="G28" s="3">
        <f>_xlfn.RANK.EQ(E28,$E$6:$E$69)</f>
        <v>56</v>
      </c>
    </row>
    <row r="29" spans="1:7" x14ac:dyDescent="0.15">
      <c r="A29" s="4" t="s">
        <v>63</v>
      </c>
      <c r="B29" s="3" t="s">
        <v>23</v>
      </c>
      <c r="C29" s="3">
        <v>2</v>
      </c>
      <c r="D29" s="3">
        <v>342</v>
      </c>
      <c r="E29" s="3">
        <v>23718</v>
      </c>
      <c r="F29" s="3">
        <f>_xlfn.RANK.EQ(D29,$D$6:$D$69)</f>
        <v>22</v>
      </c>
      <c r="G29" s="3">
        <f>_xlfn.RANK.EQ(E29,$E$6:$E$69)</f>
        <v>17</v>
      </c>
    </row>
    <row r="30" spans="1:7" ht="15.75" x14ac:dyDescent="0.25">
      <c r="A30" s="3" t="s">
        <v>41</v>
      </c>
      <c r="B30" s="4" t="s">
        <v>42</v>
      </c>
      <c r="C30" s="3">
        <v>2</v>
      </c>
      <c r="D30" s="3">
        <v>321</v>
      </c>
      <c r="E30" s="3">
        <v>9630</v>
      </c>
      <c r="F30" s="3">
        <f>_xlfn.RANK.EQ(D30,$D$6:$D$69)</f>
        <v>29</v>
      </c>
      <c r="G30" s="3">
        <f>_xlfn.RANK.EQ(E30,$E$6:$E$69)</f>
        <v>54</v>
      </c>
    </row>
    <row r="31" spans="1:7" ht="15.75" hidden="1" x14ac:dyDescent="0.25">
      <c r="A31" s="3" t="s">
        <v>53</v>
      </c>
      <c r="B31" s="4" t="s">
        <v>49</v>
      </c>
      <c r="C31" s="3">
        <v>2</v>
      </c>
      <c r="D31" s="3">
        <v>345</v>
      </c>
      <c r="E31" s="3">
        <v>24150</v>
      </c>
      <c r="F31" s="3">
        <f>_xlfn.RANK.EQ(D31,$D$6:$D$69)</f>
        <v>20</v>
      </c>
      <c r="G31" s="3">
        <f>_xlfn.RANK.EQ(E31,$E$6:$E$69)</f>
        <v>15</v>
      </c>
    </row>
    <row r="32" spans="1:7" hidden="1" x14ac:dyDescent="0.15">
      <c r="A32" s="4" t="s">
        <v>66</v>
      </c>
      <c r="B32" s="3" t="s">
        <v>23</v>
      </c>
      <c r="C32" s="3">
        <v>2</v>
      </c>
      <c r="D32" s="3">
        <v>199</v>
      </c>
      <c r="E32" s="3">
        <v>9675</v>
      </c>
      <c r="F32" s="3">
        <f>_xlfn.RANK.EQ(D32,$D$6:$D$69)</f>
        <v>51</v>
      </c>
      <c r="G32" s="3">
        <f>_xlfn.RANK.EQ(E32,$E$6:$E$69)</f>
        <v>52</v>
      </c>
    </row>
    <row r="33" spans="1:7" hidden="1" x14ac:dyDescent="0.15">
      <c r="A33" s="5" t="s">
        <v>71</v>
      </c>
      <c r="B33" s="6" t="s">
        <v>52</v>
      </c>
      <c r="C33" s="7">
        <v>2</v>
      </c>
      <c r="D33" s="7">
        <v>148</v>
      </c>
      <c r="E33" s="7">
        <v>9078</v>
      </c>
      <c r="F33" s="3">
        <f>_xlfn.RANK.EQ(D33,$D$6:$D$69)</f>
        <v>59</v>
      </c>
      <c r="G33" s="3">
        <f>_xlfn.RANK.EQ(E33,$E$6:$E$69)</f>
        <v>57</v>
      </c>
    </row>
    <row r="34" spans="1:7" hidden="1" x14ac:dyDescent="0.15">
      <c r="A34" s="4" t="s">
        <v>58</v>
      </c>
      <c r="B34" s="4" t="s">
        <v>40</v>
      </c>
      <c r="C34" s="3">
        <v>2</v>
      </c>
      <c r="D34" s="3">
        <v>329</v>
      </c>
      <c r="E34" s="3">
        <v>23030</v>
      </c>
      <c r="F34" s="3">
        <f>_xlfn.RANK.EQ(D34,$D$6:$D$69)</f>
        <v>25</v>
      </c>
      <c r="G34" s="3">
        <f>_xlfn.RANK.EQ(E34,$E$6:$E$69)</f>
        <v>19</v>
      </c>
    </row>
    <row r="35" spans="1:7" hidden="1" x14ac:dyDescent="0.15">
      <c r="A35" s="5" t="s">
        <v>61</v>
      </c>
      <c r="B35" s="6" t="s">
        <v>51</v>
      </c>
      <c r="C35" s="7">
        <v>2</v>
      </c>
      <c r="D35" s="7">
        <v>217</v>
      </c>
      <c r="E35" s="7">
        <v>20453</v>
      </c>
      <c r="F35" s="3">
        <f>_xlfn.RANK.EQ(D35,$D$6:$D$69)</f>
        <v>45</v>
      </c>
      <c r="G35" s="3">
        <f>_xlfn.RANK.EQ(E35,$E$6:$E$69)</f>
        <v>25</v>
      </c>
    </row>
    <row r="36" spans="1:7" hidden="1" x14ac:dyDescent="0.15">
      <c r="A36" s="4" t="s">
        <v>61</v>
      </c>
      <c r="B36" s="3" t="s">
        <v>23</v>
      </c>
      <c r="C36" s="3">
        <v>2</v>
      </c>
      <c r="D36" s="3">
        <v>112</v>
      </c>
      <c r="E36" s="3">
        <v>8798</v>
      </c>
      <c r="F36" s="3">
        <f>_xlfn.RANK.EQ(D36,$D$6:$D$69)</f>
        <v>63</v>
      </c>
      <c r="G36" s="3">
        <f>_xlfn.RANK.EQ(E36,$E$6:$E$69)</f>
        <v>58</v>
      </c>
    </row>
    <row r="37" spans="1:7" x14ac:dyDescent="0.15">
      <c r="A37" s="5" t="s">
        <v>61</v>
      </c>
      <c r="B37" s="6" t="s">
        <v>46</v>
      </c>
      <c r="C37" s="7">
        <v>2</v>
      </c>
      <c r="D37" s="7">
        <v>432</v>
      </c>
      <c r="E37" s="7">
        <v>31256</v>
      </c>
      <c r="F37" s="3">
        <f>_xlfn.RANK.EQ(D37,$D$6:$D$69)</f>
        <v>9</v>
      </c>
      <c r="G37" s="3">
        <f>_xlfn.RANK.EQ(E37,$E$6:$E$69)</f>
        <v>6</v>
      </c>
    </row>
    <row r="38" spans="1:7" ht="15.75" hidden="1" x14ac:dyDescent="0.25">
      <c r="A38" s="3" t="s">
        <v>47</v>
      </c>
      <c r="B38" s="4" t="s">
        <v>49</v>
      </c>
      <c r="C38" s="3">
        <v>3</v>
      </c>
      <c r="D38" s="3">
        <v>323</v>
      </c>
      <c r="E38" s="3">
        <v>22610</v>
      </c>
      <c r="F38" s="3">
        <f>_xlfn.RANK.EQ(D38,$D$6:$D$69)</f>
        <v>28</v>
      </c>
      <c r="G38" s="3">
        <f>_xlfn.RANK.EQ(E38,$E$6:$E$69)</f>
        <v>22</v>
      </c>
    </row>
    <row r="39" spans="1:7" ht="15.75" x14ac:dyDescent="0.25">
      <c r="A39" s="3" t="s">
        <v>43</v>
      </c>
      <c r="B39" s="4" t="s">
        <v>46</v>
      </c>
      <c r="C39" s="3">
        <v>3</v>
      </c>
      <c r="D39" s="3">
        <v>324</v>
      </c>
      <c r="E39" s="3">
        <v>16200</v>
      </c>
      <c r="F39" s="3">
        <f>_xlfn.RANK.EQ(D39,$D$6:$D$69)</f>
        <v>26</v>
      </c>
      <c r="G39" s="3">
        <f>_xlfn.RANK.EQ(E39,$E$6:$E$69)</f>
        <v>31</v>
      </c>
    </row>
    <row r="40" spans="1:7" ht="15.75" hidden="1" x14ac:dyDescent="0.25">
      <c r="A40" s="3" t="s">
        <v>55</v>
      </c>
      <c r="B40" s="4" t="s">
        <v>52</v>
      </c>
      <c r="C40" s="3">
        <v>3</v>
      </c>
      <c r="D40" s="3">
        <v>365</v>
      </c>
      <c r="E40" s="3">
        <v>10950</v>
      </c>
      <c r="F40" s="3">
        <f>_xlfn.RANK.EQ(D40,$D$6:$D$69)</f>
        <v>17</v>
      </c>
      <c r="G40" s="3">
        <f>_xlfn.RANK.EQ(E40,$E$6:$E$69)</f>
        <v>44</v>
      </c>
    </row>
    <row r="41" spans="1:7" hidden="1" x14ac:dyDescent="0.15">
      <c r="A41" s="4" t="s">
        <v>22</v>
      </c>
      <c r="B41" s="4" t="s">
        <v>60</v>
      </c>
      <c r="C41" s="3">
        <v>3</v>
      </c>
      <c r="D41" s="3">
        <v>231</v>
      </c>
      <c r="E41" s="3">
        <v>23217</v>
      </c>
      <c r="F41" s="3">
        <f>_xlfn.RANK.EQ(D41,$D$6:$D$69)</f>
        <v>40</v>
      </c>
      <c r="G41" s="3">
        <f>_xlfn.RANK.EQ(E41,$E$6:$E$69)</f>
        <v>18</v>
      </c>
    </row>
    <row r="42" spans="1:7" ht="15.75" hidden="1" x14ac:dyDescent="0.25">
      <c r="A42" s="3" t="s">
        <v>48</v>
      </c>
      <c r="B42" s="4" t="s">
        <v>40</v>
      </c>
      <c r="C42" s="3">
        <v>3</v>
      </c>
      <c r="D42" s="3">
        <v>234</v>
      </c>
      <c r="E42" s="3">
        <v>16380</v>
      </c>
      <c r="F42" s="3">
        <f>_xlfn.RANK.EQ(D42,$D$6:$D$69)</f>
        <v>37</v>
      </c>
      <c r="G42" s="3">
        <f>_xlfn.RANK.EQ(E42,$E$6:$E$69)</f>
        <v>29</v>
      </c>
    </row>
    <row r="43" spans="1:7" ht="15.75" hidden="1" x14ac:dyDescent="0.25">
      <c r="A43" s="3" t="s">
        <v>48</v>
      </c>
      <c r="B43" s="4" t="s">
        <v>44</v>
      </c>
      <c r="C43" s="3">
        <v>3</v>
      </c>
      <c r="D43" s="3">
        <v>218</v>
      </c>
      <c r="E43" s="3">
        <v>10900</v>
      </c>
      <c r="F43" s="3">
        <f>_xlfn.RANK.EQ(D43,$D$6:$D$69)</f>
        <v>44</v>
      </c>
      <c r="G43" s="3">
        <f>_xlfn.RANK.EQ(E43,$E$6:$E$69)</f>
        <v>46</v>
      </c>
    </row>
    <row r="44" spans="1:7" ht="15.75" hidden="1" x14ac:dyDescent="0.25">
      <c r="A44" s="3" t="s">
        <v>45</v>
      </c>
      <c r="B44" s="4" t="s">
        <v>56</v>
      </c>
      <c r="C44" s="3">
        <v>3</v>
      </c>
      <c r="D44" s="3">
        <v>543</v>
      </c>
      <c r="E44" s="3">
        <v>16290</v>
      </c>
      <c r="F44" s="3">
        <f>_xlfn.RANK.EQ(D44,$D$6:$D$69)</f>
        <v>5</v>
      </c>
      <c r="G44" s="3">
        <f>_xlfn.RANK.EQ(E44,$E$6:$E$69)</f>
        <v>30</v>
      </c>
    </row>
    <row r="45" spans="1:7" x14ac:dyDescent="0.15">
      <c r="A45" s="4" t="s">
        <v>70</v>
      </c>
      <c r="B45" s="3" t="s">
        <v>23</v>
      </c>
      <c r="C45" s="3">
        <v>3</v>
      </c>
      <c r="D45" s="3">
        <v>542</v>
      </c>
      <c r="E45" s="3">
        <v>41234</v>
      </c>
      <c r="F45" s="3">
        <f>_xlfn.RANK.EQ(D45,$D$6:$D$69)</f>
        <v>6</v>
      </c>
      <c r="G45" s="3">
        <f>_xlfn.RANK.EQ(E45,$E$6:$E$69)</f>
        <v>2</v>
      </c>
    </row>
    <row r="46" spans="1:7" ht="15.75" hidden="1" x14ac:dyDescent="0.25">
      <c r="A46" s="3" t="s">
        <v>39</v>
      </c>
      <c r="B46" s="4" t="s">
        <v>40</v>
      </c>
      <c r="C46" s="3">
        <v>3</v>
      </c>
      <c r="D46" s="3">
        <v>124</v>
      </c>
      <c r="E46" s="3">
        <v>8680</v>
      </c>
      <c r="F46" s="3">
        <f>_xlfn.RANK.EQ(D46,$D$6:$D$69)</f>
        <v>61</v>
      </c>
      <c r="G46" s="3">
        <f>_xlfn.RANK.EQ(E46,$E$6:$E$69)</f>
        <v>60</v>
      </c>
    </row>
    <row r="47" spans="1:7" ht="15.75" hidden="1" x14ac:dyDescent="0.25">
      <c r="A47" s="3" t="s">
        <v>39</v>
      </c>
      <c r="B47" s="4" t="s">
        <v>46</v>
      </c>
      <c r="C47" s="3">
        <v>3</v>
      </c>
      <c r="D47" s="3">
        <v>189</v>
      </c>
      <c r="E47" s="3">
        <v>9450</v>
      </c>
      <c r="F47" s="3">
        <f>_xlfn.RANK.EQ(D47,$D$6:$D$69)</f>
        <v>53</v>
      </c>
      <c r="G47" s="3">
        <f>_xlfn.RANK.EQ(E47,$E$6:$E$69)</f>
        <v>55</v>
      </c>
    </row>
    <row r="48" spans="1:7" ht="15.75" hidden="1" x14ac:dyDescent="0.25">
      <c r="A48" s="3" t="s">
        <v>39</v>
      </c>
      <c r="B48" s="4" t="s">
        <v>56</v>
      </c>
      <c r="C48" s="3">
        <v>3</v>
      </c>
      <c r="D48" s="3">
        <v>219</v>
      </c>
      <c r="E48" s="3">
        <v>12990</v>
      </c>
      <c r="F48" s="3">
        <f>_xlfn.RANK.EQ(D48,$D$6:$D$69)</f>
        <v>42</v>
      </c>
      <c r="G48" s="3">
        <f>_xlfn.RANK.EQ(E48,$E$6:$E$69)</f>
        <v>39</v>
      </c>
    </row>
    <row r="49" spans="1:7" hidden="1" x14ac:dyDescent="0.15">
      <c r="A49" s="4" t="s">
        <v>66</v>
      </c>
      <c r="B49" s="3" t="s">
        <v>23</v>
      </c>
      <c r="C49" s="3">
        <v>3</v>
      </c>
      <c r="D49" s="3">
        <v>216</v>
      </c>
      <c r="E49" s="3">
        <v>10238</v>
      </c>
      <c r="F49" s="3">
        <f>_xlfn.RANK.EQ(D49,$D$6:$D$69)</f>
        <v>46</v>
      </c>
      <c r="G49" s="3">
        <f>_xlfn.RANK.EQ(E49,$E$6:$E$69)</f>
        <v>51</v>
      </c>
    </row>
    <row r="50" spans="1:7" hidden="1" x14ac:dyDescent="0.15">
      <c r="A50" s="4" t="s">
        <v>57</v>
      </c>
      <c r="B50" s="4" t="s">
        <v>40</v>
      </c>
      <c r="C50" s="3">
        <v>3</v>
      </c>
      <c r="D50" s="3">
        <v>378</v>
      </c>
      <c r="E50" s="3">
        <v>26460</v>
      </c>
      <c r="F50" s="3">
        <f>_xlfn.RANK.EQ(D50,$D$6:$D$69)</f>
        <v>16</v>
      </c>
      <c r="G50" s="3">
        <f>_xlfn.RANK.EQ(E50,$E$6:$E$69)</f>
        <v>14</v>
      </c>
    </row>
    <row r="51" spans="1:7" hidden="1" x14ac:dyDescent="0.15">
      <c r="A51" s="4" t="s">
        <v>61</v>
      </c>
      <c r="B51" s="3" t="s">
        <v>23</v>
      </c>
      <c r="C51" s="3">
        <v>3</v>
      </c>
      <c r="D51" s="3">
        <v>232</v>
      </c>
      <c r="E51" s="3">
        <v>11298</v>
      </c>
      <c r="F51" s="3">
        <f>_xlfn.RANK.EQ(D51,$D$6:$D$69)</f>
        <v>39</v>
      </c>
      <c r="G51" s="3">
        <f>_xlfn.RANK.EQ(E51,$E$6:$E$69)</f>
        <v>42</v>
      </c>
    </row>
    <row r="52" spans="1:7" hidden="1" x14ac:dyDescent="0.15">
      <c r="A52" s="5" t="s">
        <v>65</v>
      </c>
      <c r="B52" s="6" t="s">
        <v>44</v>
      </c>
      <c r="C52" s="7">
        <v>3</v>
      </c>
      <c r="D52" s="7">
        <v>129</v>
      </c>
      <c r="E52" s="7">
        <v>9637</v>
      </c>
      <c r="F52" s="3">
        <f>_xlfn.RANK.EQ(D52,$D$6:$D$69)</f>
        <v>60</v>
      </c>
      <c r="G52" s="3">
        <f>_xlfn.RANK.EQ(E52,$E$6:$E$69)</f>
        <v>53</v>
      </c>
    </row>
    <row r="53" spans="1:7" hidden="1" x14ac:dyDescent="0.15">
      <c r="A53" s="5" t="s">
        <v>61</v>
      </c>
      <c r="B53" s="6" t="s">
        <v>56</v>
      </c>
      <c r="C53" s="7">
        <v>3</v>
      </c>
      <c r="D53" s="7">
        <v>356</v>
      </c>
      <c r="E53" s="7">
        <v>29342</v>
      </c>
      <c r="F53" s="3">
        <f>_xlfn.RANK.EQ(D53,$D$6:$D$69)</f>
        <v>19</v>
      </c>
      <c r="G53" s="3">
        <f>_xlfn.RANK.EQ(E53,$E$6:$E$69)</f>
        <v>8</v>
      </c>
    </row>
    <row r="54" spans="1:7" ht="15.75" hidden="1" x14ac:dyDescent="0.25">
      <c r="A54" s="3" t="s">
        <v>47</v>
      </c>
      <c r="B54" s="4" t="s">
        <v>40</v>
      </c>
      <c r="C54" s="3">
        <v>4</v>
      </c>
      <c r="D54" s="3">
        <v>187</v>
      </c>
      <c r="E54" s="3">
        <v>13090</v>
      </c>
      <c r="F54" s="3">
        <f>_xlfn.RANK.EQ(D54,$D$6:$D$69)</f>
        <v>54</v>
      </c>
      <c r="G54" s="3">
        <f>_xlfn.RANK.EQ(E54,$E$6:$E$69)</f>
        <v>38</v>
      </c>
    </row>
    <row r="55" spans="1:7" ht="15.75" hidden="1" x14ac:dyDescent="0.25">
      <c r="A55" s="3" t="s">
        <v>47</v>
      </c>
      <c r="B55" s="4" t="s">
        <v>51</v>
      </c>
      <c r="C55" s="3">
        <v>4</v>
      </c>
      <c r="D55" s="3">
        <v>342</v>
      </c>
      <c r="E55" s="3">
        <v>10260</v>
      </c>
      <c r="F55" s="3">
        <f>_xlfn.RANK.EQ(D55,$D$6:$D$69)</f>
        <v>22</v>
      </c>
      <c r="G55" s="3">
        <f>_xlfn.RANK.EQ(E55,$E$6:$E$69)</f>
        <v>50</v>
      </c>
    </row>
    <row r="56" spans="1:7" ht="15.75" hidden="1" x14ac:dyDescent="0.25">
      <c r="A56" s="3" t="s">
        <v>43</v>
      </c>
      <c r="B56" s="4" t="s">
        <v>46</v>
      </c>
      <c r="C56" s="3">
        <v>4</v>
      </c>
      <c r="D56" s="3">
        <v>287</v>
      </c>
      <c r="E56" s="3">
        <v>14350</v>
      </c>
      <c r="F56" s="3">
        <f>_xlfn.RANK.EQ(D56,$D$6:$D$69)</f>
        <v>34</v>
      </c>
      <c r="G56" s="3">
        <f>_xlfn.RANK.EQ(E56,$E$6:$E$69)</f>
        <v>35</v>
      </c>
    </row>
    <row r="57" spans="1:7" x14ac:dyDescent="0.15">
      <c r="A57" s="4" t="s">
        <v>22</v>
      </c>
      <c r="B57" s="4" t="s">
        <v>60</v>
      </c>
      <c r="C57" s="3">
        <v>4</v>
      </c>
      <c r="D57" s="3">
        <v>365</v>
      </c>
      <c r="E57" s="3">
        <v>29879</v>
      </c>
      <c r="F57" s="3">
        <f>_xlfn.RANK.EQ(D57,$D$6:$D$69)</f>
        <v>17</v>
      </c>
      <c r="G57" s="3">
        <f>_xlfn.RANK.EQ(E57,$E$6:$E$69)</f>
        <v>7</v>
      </c>
    </row>
    <row r="58" spans="1:7" ht="15.75" hidden="1" x14ac:dyDescent="0.25">
      <c r="A58" s="3" t="s">
        <v>48</v>
      </c>
      <c r="B58" s="4" t="s">
        <v>49</v>
      </c>
      <c r="C58" s="3">
        <v>4</v>
      </c>
      <c r="D58" s="3">
        <v>196</v>
      </c>
      <c r="E58" s="3">
        <v>13720</v>
      </c>
      <c r="F58" s="3">
        <f>_xlfn.RANK.EQ(D58,$D$6:$D$69)</f>
        <v>52</v>
      </c>
      <c r="G58" s="3">
        <f>_xlfn.RANK.EQ(E58,$E$6:$E$69)</f>
        <v>37</v>
      </c>
    </row>
    <row r="59" spans="1:7" ht="15.75" hidden="1" x14ac:dyDescent="0.25">
      <c r="A59" s="3" t="s">
        <v>48</v>
      </c>
      <c r="B59" s="4" t="s">
        <v>46</v>
      </c>
      <c r="C59" s="3">
        <v>4</v>
      </c>
      <c r="D59" s="3">
        <v>219</v>
      </c>
      <c r="E59" s="3">
        <v>10950</v>
      </c>
      <c r="F59" s="3">
        <f>_xlfn.RANK.EQ(D59,$D$6:$D$69)</f>
        <v>42</v>
      </c>
      <c r="G59" s="3">
        <f>_xlfn.RANK.EQ(E59,$E$6:$E$69)</f>
        <v>44</v>
      </c>
    </row>
    <row r="60" spans="1:7" ht="15.75" hidden="1" x14ac:dyDescent="0.25">
      <c r="A60" s="3" t="s">
        <v>50</v>
      </c>
      <c r="B60" s="4" t="s">
        <v>56</v>
      </c>
      <c r="C60" s="3">
        <v>4</v>
      </c>
      <c r="D60" s="3">
        <v>421</v>
      </c>
      <c r="E60" s="3">
        <v>12630</v>
      </c>
      <c r="F60" s="3">
        <f>_xlfn.RANK.EQ(D60,$D$6:$D$69)</f>
        <v>12</v>
      </c>
      <c r="G60" s="3">
        <f>_xlfn.RANK.EQ(E60,$E$6:$E$69)</f>
        <v>40</v>
      </c>
    </row>
    <row r="61" spans="1:7" x14ac:dyDescent="0.15">
      <c r="A61" s="4" t="s">
        <v>63</v>
      </c>
      <c r="B61" s="3" t="s">
        <v>23</v>
      </c>
      <c r="C61" s="3">
        <v>4</v>
      </c>
      <c r="D61" s="3">
        <v>341</v>
      </c>
      <c r="E61" s="3">
        <v>26785</v>
      </c>
      <c r="F61" s="3">
        <f>_xlfn.RANK.EQ(D61,$D$6:$D$69)</f>
        <v>24</v>
      </c>
      <c r="G61" s="3">
        <f>_xlfn.RANK.EQ(E61,$E$6:$E$69)</f>
        <v>13</v>
      </c>
    </row>
    <row r="62" spans="1:7" ht="15.75" hidden="1" x14ac:dyDescent="0.25">
      <c r="A62" s="3" t="s">
        <v>39</v>
      </c>
      <c r="B62" s="4" t="s">
        <v>40</v>
      </c>
      <c r="C62" s="3">
        <v>4</v>
      </c>
      <c r="D62" s="3">
        <v>157</v>
      </c>
      <c r="E62" s="3">
        <v>10990</v>
      </c>
      <c r="F62" s="3">
        <f>_xlfn.RANK.EQ(D62,$D$6:$D$69)</f>
        <v>57</v>
      </c>
      <c r="G62" s="3">
        <f>_xlfn.RANK.EQ(E62,$E$6:$E$69)</f>
        <v>43</v>
      </c>
    </row>
    <row r="63" spans="1:7" ht="15.75" hidden="1" x14ac:dyDescent="0.25">
      <c r="A63" s="3" t="s">
        <v>41</v>
      </c>
      <c r="B63" s="4" t="s">
        <v>44</v>
      </c>
      <c r="C63" s="3">
        <v>4</v>
      </c>
      <c r="D63" s="3">
        <v>213</v>
      </c>
      <c r="E63" s="3">
        <v>10650</v>
      </c>
      <c r="F63" s="3">
        <f>_xlfn.RANK.EQ(D63,$D$6:$D$69)</f>
        <v>47</v>
      </c>
      <c r="G63" s="3">
        <f>_xlfn.RANK.EQ(E63,$E$6:$E$69)</f>
        <v>48</v>
      </c>
    </row>
    <row r="64" spans="1:7" ht="15.75" hidden="1" x14ac:dyDescent="0.25">
      <c r="A64" s="3" t="s">
        <v>39</v>
      </c>
      <c r="B64" s="4" t="s">
        <v>52</v>
      </c>
      <c r="C64" s="3">
        <v>4</v>
      </c>
      <c r="D64" s="3">
        <v>432</v>
      </c>
      <c r="E64" s="3">
        <v>32960</v>
      </c>
      <c r="F64" s="3">
        <f>_xlfn.RANK.EQ(D64,$D$6:$D$69)</f>
        <v>9</v>
      </c>
      <c r="G64" s="3">
        <f>_xlfn.RANK.EQ(E64,$E$6:$E$69)</f>
        <v>4</v>
      </c>
    </row>
    <row r="65" spans="1:7" x14ac:dyDescent="0.15">
      <c r="A65" s="4" t="s">
        <v>66</v>
      </c>
      <c r="B65" s="3" t="s">
        <v>23</v>
      </c>
      <c r="C65" s="3">
        <v>4</v>
      </c>
      <c r="D65" s="3">
        <v>432</v>
      </c>
      <c r="E65" s="3">
        <v>20563</v>
      </c>
      <c r="F65" s="3">
        <f>_xlfn.RANK.EQ(D65,$D$6:$D$69)</f>
        <v>9</v>
      </c>
      <c r="G65" s="3">
        <f>_xlfn.RANK.EQ(E65,$E$6:$E$69)</f>
        <v>24</v>
      </c>
    </row>
    <row r="66" spans="1:7" hidden="1" x14ac:dyDescent="0.15">
      <c r="A66" s="4" t="s">
        <v>57</v>
      </c>
      <c r="B66" s="4" t="s">
        <v>49</v>
      </c>
      <c r="C66" s="3">
        <v>4</v>
      </c>
      <c r="D66" s="3">
        <v>398</v>
      </c>
      <c r="E66" s="3">
        <v>27860</v>
      </c>
      <c r="F66" s="3">
        <f>_xlfn.RANK.EQ(D66,$D$6:$D$69)</f>
        <v>15</v>
      </c>
      <c r="G66" s="3">
        <f>_xlfn.RANK.EQ(E66,$E$6:$E$69)</f>
        <v>12</v>
      </c>
    </row>
    <row r="67" spans="1:7" hidden="1" x14ac:dyDescent="0.15">
      <c r="A67" s="5" t="s">
        <v>61</v>
      </c>
      <c r="B67" s="6" t="s">
        <v>52</v>
      </c>
      <c r="C67" s="7">
        <v>4</v>
      </c>
      <c r="D67" s="7">
        <v>421</v>
      </c>
      <c r="E67" s="7">
        <v>32534</v>
      </c>
      <c r="F67" s="3">
        <f>_xlfn.RANK.EQ(D67,$D$6:$D$69)</f>
        <v>12</v>
      </c>
      <c r="G67" s="3">
        <f>_xlfn.RANK.EQ(E67,$E$6:$E$69)</f>
        <v>5</v>
      </c>
    </row>
    <row r="68" spans="1:7" hidden="1" x14ac:dyDescent="0.15">
      <c r="A68" s="4" t="s">
        <v>67</v>
      </c>
      <c r="B68" s="3" t="s">
        <v>23</v>
      </c>
      <c r="C68" s="3">
        <v>4</v>
      </c>
      <c r="D68" s="3">
        <v>261</v>
      </c>
      <c r="E68" s="3">
        <v>11675</v>
      </c>
      <c r="F68" s="3">
        <f>_xlfn.RANK.EQ(D68,$D$6:$D$69)</f>
        <v>35</v>
      </c>
      <c r="G68" s="3">
        <f>_xlfn.RANK.EQ(E68,$E$6:$E$69)</f>
        <v>41</v>
      </c>
    </row>
    <row r="69" spans="1:7" hidden="1" x14ac:dyDescent="0.15">
      <c r="A69" s="5" t="s">
        <v>61</v>
      </c>
      <c r="B69" s="6" t="s">
        <v>44</v>
      </c>
      <c r="C69" s="7">
        <v>4</v>
      </c>
      <c r="D69" s="7">
        <v>112</v>
      </c>
      <c r="E69" s="7">
        <v>8178</v>
      </c>
      <c r="F69" s="3">
        <f>_xlfn.RANK.EQ(D69,$D$6:$D$69)</f>
        <v>63</v>
      </c>
      <c r="G69" s="3">
        <f>_xlfn.RANK.EQ(E69,$E$6:$E$69)</f>
        <v>62</v>
      </c>
    </row>
  </sheetData>
  <sortState ref="A2:G65">
    <sortCondition ref="C2:C65"/>
    <sortCondition ref="A2:A65"/>
  </sortState>
  <phoneticPr fontId="1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企业销售情况表</vt:lpstr>
      <vt:lpstr>产品名称编号对照表</vt:lpstr>
      <vt:lpstr>图书销售情况表</vt:lpstr>
      <vt:lpstr>图书销售情况表!Criteria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zt</dc:creator>
  <cp:lastModifiedBy>wuyou</cp:lastModifiedBy>
  <dcterms:created xsi:type="dcterms:W3CDTF">2001-12-20T11:26:03Z</dcterms:created>
  <dcterms:modified xsi:type="dcterms:W3CDTF">2023-03-30T05:43:34Z</dcterms:modified>
</cp:coreProperties>
</file>