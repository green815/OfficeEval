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（3套）-于老师\1\素材\"/>
    </mc:Choice>
  </mc:AlternateContent>
  <xr:revisionPtr revIDLastSave="0" documentId="13_ncr:1_{AE929505-08A2-4B59-A814-8EFCA15CBDE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基础工资对照表" sheetId="3" r:id="rId2"/>
    <sheet name="图书销售统计表" sheetId="2" r:id="rId3"/>
  </sheets>
  <definedNames>
    <definedName name="_xlnm._FilterDatabase" localSheetId="0" hidden="1">Sheet1!$A$2:$L$51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2" l="1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<sst xmlns="http://schemas.openxmlformats.org/spreadsheetml/2006/main" count="427" uniqueCount="125">
  <si>
    <t>交通科学</t>
  </si>
  <si>
    <t>第1分部</t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</si>
  <si>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</si>
  <si>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</si>
  <si>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</si>
  <si>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销售数量(册)</t>
    <phoneticPr fontId="1" type="noConversion"/>
  </si>
  <si>
    <t>销售额(元)</t>
    <phoneticPr fontId="1" type="noConversion"/>
  </si>
  <si>
    <t>销售数量排名</t>
    <phoneticPr fontId="1" type="noConversion"/>
  </si>
  <si>
    <t>销售额排名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</si>
  <si>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</si>
  <si>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</si>
  <si>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</si>
  <si>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</si>
  <si>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第5分部</t>
  </si>
  <si>
    <t>第6分部</t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</si>
  <si>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</si>
  <si>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</si>
  <si>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</si>
  <si>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</si>
  <si>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</si>
  <si>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</si>
  <si>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</si>
  <si>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</si>
  <si>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交通科学</t>
    <phoneticPr fontId="1" type="noConversion"/>
  </si>
  <si>
    <t>第4分部</t>
    <phoneticPr fontId="1" type="noConversion"/>
  </si>
  <si>
    <t>第2分部</t>
    <phoneticPr fontId="1" type="noConversion"/>
  </si>
  <si>
    <t>第3分部</t>
    <phoneticPr fontId="1" type="noConversion"/>
  </si>
  <si>
    <t>第5分部</t>
    <phoneticPr fontId="1" type="noConversion"/>
  </si>
  <si>
    <t>第6分部</t>
    <phoneticPr fontId="1" type="noConversion"/>
  </si>
  <si>
    <t>职工号</t>
    <phoneticPr fontId="1" type="noConversion"/>
  </si>
  <si>
    <t>职称</t>
    <phoneticPr fontId="1" type="noConversion"/>
  </si>
  <si>
    <t>工资合计</t>
    <phoneticPr fontId="1" type="noConversion"/>
  </si>
  <si>
    <t>HR001</t>
    <phoneticPr fontId="1" type="noConversion"/>
  </si>
  <si>
    <t>高工</t>
    <phoneticPr fontId="1" type="noConversion"/>
  </si>
  <si>
    <t>硕士</t>
    <phoneticPr fontId="1" type="noConversion"/>
  </si>
  <si>
    <t>HR002</t>
  </si>
  <si>
    <t>HR003</t>
  </si>
  <si>
    <t>工程师</t>
    <phoneticPr fontId="1" type="noConversion"/>
  </si>
  <si>
    <t>博士</t>
    <phoneticPr fontId="1" type="noConversion"/>
  </si>
  <si>
    <t>HR004</t>
  </si>
  <si>
    <t>HR005</t>
  </si>
  <si>
    <t>HR006</t>
  </si>
  <si>
    <t>助工</t>
    <phoneticPr fontId="1" type="noConversion"/>
  </si>
  <si>
    <t>人数</t>
    <phoneticPr fontId="1" type="noConversion"/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</si>
  <si>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</si>
  <si>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</si>
  <si>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</si>
  <si>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</si>
  <si>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</si>
  <si>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</si>
  <si>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</si>
  <si>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</si>
  <si>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</si>
  <si>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</si>
  <si>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</si>
  <si>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</si>
  <si>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</si>
  <si>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</si>
  <si>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</si>
  <si>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</si>
  <si>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某企业人员情况统计表</t>
    <phoneticPr fontId="1" type="noConversion"/>
  </si>
  <si>
    <t>部门</t>
    <phoneticPr fontId="1" type="noConversion"/>
  </si>
  <si>
    <t>销售部</t>
    <phoneticPr fontId="1" type="noConversion"/>
  </si>
  <si>
    <t>开发部</t>
    <phoneticPr fontId="1" type="noConversion"/>
  </si>
  <si>
    <t>技术部</t>
    <phoneticPr fontId="1" type="noConversion"/>
  </si>
  <si>
    <t>HR023</t>
  </si>
  <si>
    <t>HR024</t>
  </si>
  <si>
    <t>HR025</t>
  </si>
  <si>
    <t>HR026</t>
  </si>
  <si>
    <t>HR027</t>
  </si>
  <si>
    <t>HR028</t>
  </si>
  <si>
    <t>HR029</t>
  </si>
  <si>
    <t>HR030</t>
  </si>
  <si>
    <t>HR031</t>
  </si>
  <si>
    <t>HR032</t>
  </si>
  <si>
    <t>HR033</t>
  </si>
  <si>
    <t>HR034</t>
  </si>
  <si>
    <t>HR035</t>
  </si>
  <si>
    <t>HR036</t>
  </si>
  <si>
    <t>HR037</t>
  </si>
  <si>
    <t>HR038</t>
  </si>
  <si>
    <t>HR039</t>
  </si>
  <si>
    <t>HR040</t>
  </si>
  <si>
    <t>HR041</t>
  </si>
  <si>
    <t>HR042</t>
  </si>
  <si>
    <t>HR043</t>
  </si>
  <si>
    <t>HR044</t>
  </si>
  <si>
    <t>HR045</t>
  </si>
  <si>
    <t>HR046</t>
  </si>
  <si>
    <t>HR047</t>
  </si>
  <si>
    <t>HR048</t>
  </si>
  <si>
    <t>HR049</t>
  </si>
  <si>
    <t>工程师</t>
    <phoneticPr fontId="1" type="noConversion"/>
  </si>
  <si>
    <t>助工</t>
    <phoneticPr fontId="1" type="noConversion"/>
  </si>
  <si>
    <t>高工</t>
    <phoneticPr fontId="1" type="noConversion"/>
  </si>
  <si>
    <t>硕士</t>
    <phoneticPr fontId="1" type="noConversion"/>
  </si>
  <si>
    <t>工程部</t>
    <phoneticPr fontId="1" type="noConversion"/>
  </si>
  <si>
    <t>基础工资对照表</t>
    <phoneticPr fontId="1" type="noConversion"/>
  </si>
  <si>
    <t>基础工资</t>
    <phoneticPr fontId="1" type="noConversion"/>
  </si>
  <si>
    <t>基础工资（元）</t>
    <phoneticPr fontId="1" type="noConversion"/>
  </si>
  <si>
    <t>岗位工资（元）</t>
    <phoneticPr fontId="1" type="noConversion"/>
  </si>
  <si>
    <t>工资合计（元）</t>
    <phoneticPr fontId="1" type="noConversion"/>
  </si>
  <si>
    <t>部门</t>
    <phoneticPr fontId="1" type="noConversion"/>
  </si>
  <si>
    <t>销售部</t>
    <phoneticPr fontId="1" type="noConversion"/>
  </si>
  <si>
    <t>开发部</t>
    <phoneticPr fontId="1" type="noConversion"/>
  </si>
  <si>
    <t>技术部</t>
    <phoneticPr fontId="1" type="noConversion"/>
  </si>
  <si>
    <t>工程部</t>
    <phoneticPr fontId="1" type="noConversion"/>
  </si>
  <si>
    <t>统计表2</t>
    <phoneticPr fontId="1" type="noConversion"/>
  </si>
  <si>
    <t>统计表1</t>
    <phoneticPr fontId="1" type="noConversion"/>
  </si>
  <si>
    <t>平均岗位工资（元）</t>
    <phoneticPr fontId="1" type="noConversion"/>
  </si>
  <si>
    <t>工程师</t>
    <phoneticPr fontId="1" type="noConversion"/>
  </si>
  <si>
    <t>助工</t>
    <phoneticPr fontId="1" type="noConversion"/>
  </si>
  <si>
    <t>高工</t>
    <phoneticPr fontId="1" type="noConversion"/>
  </si>
  <si>
    <t>硕士</t>
    <phoneticPr fontId="1" type="noConversion"/>
  </si>
  <si>
    <t>博士</t>
    <phoneticPr fontId="1" type="noConversion"/>
  </si>
  <si>
    <t>硕士</t>
    <phoneticPr fontId="1" type="noConversion"/>
  </si>
  <si>
    <t>销售部</t>
    <phoneticPr fontId="1" type="noConversion"/>
  </si>
  <si>
    <t>技术部</t>
    <phoneticPr fontId="1" type="noConversion"/>
  </si>
  <si>
    <t>开发部</t>
    <phoneticPr fontId="1" type="noConversion"/>
  </si>
  <si>
    <t>平均工资（元）</t>
    <phoneticPr fontId="1" type="noConversion"/>
  </si>
  <si>
    <t>学士</t>
    <phoneticPr fontId="1" type="noConversion"/>
  </si>
  <si>
    <t>学位</t>
    <phoneticPr fontId="1" type="noConversion"/>
  </si>
  <si>
    <t>&gt;=8000</t>
    <phoneticPr fontId="1" type="noConversion"/>
  </si>
  <si>
    <t>&gt;=10000</t>
    <phoneticPr fontId="1" type="noConversion"/>
  </si>
  <si>
    <t>&gt;=15000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</si>
</sst>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5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/>
    <xf numFmtId="0" fontId="3" fillId="0" borderId="1" xfId="0" applyNumberFormat="1" applyFont="1" applyBorder="1"/>
    <xf numFmtId="0" fontId="2" fillId="0" borderId="0" xfId="0" applyFont="1"/>
    <xf numFmtId="0" fontId="3" fillId="0" borderId="1" xfId="0" applyFont="1" applyBorder="1" applyAlignment="1"/>
    <xf numFmtId="177" fontId="3" fillId="0" borderId="1" xfId="0" applyNumberFormat="1" applyFont="1" applyBorder="1"/>
    <xf numFmtId="177" fontId="5" fillId="0" borderId="1" xfId="0" applyNumberFormat="1" applyFont="1" applyBorder="1"/>
    <xf numFmtId="0" fontId="3" fillId="0" borderId="2" xfId="0" applyFont="1" applyBorder="1" applyAlignment="1"/>
    <xf numFmtId="0" fontId="0" fillId="0" borderId="2" xfId="0" applyBorder="1" applyAlignment="1"/>
    <xf numFmtId="0" fontId="5" fillId="0" borderId="3" xfId="0" applyFont="1" applyBorder="1"/>
    <xf numFmtId="176" fontId="3" fillId="0" borderId="3" xfId="0" applyNumberFormat="1" applyFont="1" applyFill="1" applyBorder="1"/>
    <xf numFmtId="0" fontId="3" fillId="0" borderId="0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NumberFormat="1" applyFont="1" applyBorder="1"/>
  </cellXfs>
  <cellStyles count="1">
    <cellStyle name="常规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A2" sqref="A2"/>
    </sheetView>
  </sheetViews>
  <sheetFormatPr defaultRowHeight="15" x14ac:dyDescent="0.25"/>
  <cols>
    <col min="1" max="1" width="8" style="5" customWidth="1"/>
    <col min="2" max="2" width="7.9140625" style="5" customWidth="1"/>
    <col min="3" max="3" width="9.08203125" style="5" customWidth="1"/>
    <col min="4" max="4" width="8.5" style="5" customWidth="1"/>
    <col min="5" max="5" width="14.33203125" style="5" customWidth="1"/>
    <col min="6" max="6" width="14.83203125" style="5" customWidth="1"/>
    <col min="7" max="7" width="14.33203125" style="5" customWidth="1"/>
    <col min="8" max="8" width="10" style="5" customWidth="1"/>
    <col min="9" max="9" width="9.1640625" style="5" customWidth="1"/>
    <col min="10" max="10" width="17.9140625" style="5" customWidth="1"/>
    <col min="11" max="11" width="15.08203125" style="5" customWidth="1"/>
    <col min="12" max="16384" width="8.6640625" style="5"/>
  </cols>
  <sheetData>
    <row r="1" spans="1:12" x14ac:dyDescent="0.25">
      <c r="A1" s="14" t="s">
        <v>60</v>
      </c>
      <c r="B1" s="15"/>
      <c r="C1" s="15"/>
      <c r="D1" s="15"/>
      <c r="E1" s="15"/>
      <c r="F1" s="15"/>
      <c r="G1" s="15"/>
      <c r="H1" s="8"/>
      <c r="I1" s="8"/>
      <c r="L1" s="8"/>
    </row>
    <row r="2" spans="1:12" x14ac:dyDescent="0.25">
      <c r="A2" s="11" t="s">
        <v>29</v>
      </c>
      <c r="B2" s="11" t="s">
        <v>30</v>
      </c>
      <c r="C2" s="11" t="s">
        <v>121</v>
      </c>
      <c r="D2" s="11" t="s">
        <v>61</v>
      </c>
      <c r="E2" s="11" t="s">
        <v>99</v>
      </c>
      <c r="F2" s="6" t="s">
        <v>100</v>
      </c>
      <c r="G2" s="6" t="s">
        <v>101</v>
      </c>
      <c r="H2" s="8"/>
      <c r="I2" s="8"/>
      <c r="L2" s="8"/>
    </row>
    <row r="3" spans="1:12" x14ac:dyDescent="0.25">
      <c r="A3" s="11" t="s">
        <v>32</v>
      </c>
      <c r="B3" s="11" t="s">
        <v>33</v>
      </c>
      <c r="C3" s="11" t="s">
        <v>34</v>
      </c>
      <c r="D3" s="11" t="s">
        <v>62</v>
      </c>
      <c r="E3" s="6"/>
      <c r="F3" s="12">
        <v>6000</v>
      </c>
      <c r="G3" s="9"/>
      <c r="H3" s="8"/>
      <c r="L3" s="8"/>
    </row>
    <row r="4" spans="1:12" x14ac:dyDescent="0.25">
      <c r="A4" s="11" t="s">
        <v>35</v>
      </c>
      <c r="B4" s="11" t="s">
        <v>33</v>
      </c>
      <c r="C4" s="11" t="s">
        <v>34</v>
      </c>
      <c r="D4" s="11" t="s">
        <v>63</v>
      </c>
      <c r="E4" s="6"/>
      <c r="F4" s="12">
        <v>8200</v>
      </c>
      <c r="G4" s="9"/>
      <c r="H4" s="8"/>
      <c r="L4" s="8"/>
    </row>
    <row r="5" spans="1:12" x14ac:dyDescent="0.25">
      <c r="A5" s="11" t="s">
        <v>36</v>
      </c>
      <c r="B5" s="11" t="s">
        <v>37</v>
      </c>
      <c r="C5" s="11" t="s">
        <v>120</v>
      </c>
      <c r="D5" s="11" t="s">
        <v>62</v>
      </c>
      <c r="E5" s="6"/>
      <c r="F5" s="12">
        <v>3500</v>
      </c>
      <c r="G5" s="9"/>
      <c r="H5" s="8"/>
      <c r="I5" s="19" t="s">
        <v>108</v>
      </c>
      <c r="J5" s="19"/>
      <c r="K5" s="19"/>
      <c r="L5" s="8"/>
    </row>
    <row r="6" spans="1:12" x14ac:dyDescent="0.25">
      <c r="A6" s="11" t="s">
        <v>39</v>
      </c>
      <c r="B6" s="11" t="s">
        <v>33</v>
      </c>
      <c r="C6" s="11" t="s">
        <v>34</v>
      </c>
      <c r="D6" s="11" t="s">
        <v>64</v>
      </c>
      <c r="E6" s="6"/>
      <c r="F6" s="12">
        <v>7200</v>
      </c>
      <c r="G6" s="9"/>
      <c r="H6" s="8"/>
      <c r="I6" s="6" t="s">
        <v>31</v>
      </c>
      <c r="J6" s="6" t="s">
        <v>30</v>
      </c>
      <c r="K6" s="6" t="s">
        <v>43</v>
      </c>
      <c r="L6" s="8"/>
    </row>
    <row r="7" spans="1:12" x14ac:dyDescent="0.25">
      <c r="A7" s="11" t="s">
        <v>40</v>
      </c>
      <c r="B7" s="11" t="s">
        <v>37</v>
      </c>
      <c r="C7" s="11" t="s">
        <v>120</v>
      </c>
      <c r="D7" s="11" t="s">
        <v>63</v>
      </c>
      <c r="E7" s="6"/>
      <c r="F7" s="12">
        <v>4800</v>
      </c>
      <c r="G7" s="9"/>
      <c r="H7" s="8"/>
      <c r="I7" s="6" t="s">
        <v>122</v>
      </c>
      <c r="J7" s="9" t="s">
        <v>42</v>
      </c>
      <c r="K7" s="9"/>
    </row>
    <row r="8" spans="1:12" x14ac:dyDescent="0.25">
      <c r="A8" s="11" t="s">
        <v>41</v>
      </c>
      <c r="B8" s="11" t="s">
        <v>42</v>
      </c>
      <c r="C8" s="11" t="s">
        <v>120</v>
      </c>
      <c r="D8" s="11" t="s">
        <v>63</v>
      </c>
      <c r="E8" s="6"/>
      <c r="F8" s="12">
        <v>2900</v>
      </c>
      <c r="G8" s="9"/>
      <c r="H8" s="8"/>
      <c r="I8" s="6" t="s">
        <v>123</v>
      </c>
      <c r="J8" s="9" t="s">
        <v>37</v>
      </c>
      <c r="K8" s="9"/>
    </row>
    <row r="9" spans="1:12" x14ac:dyDescent="0.25">
      <c r="A9" s="11" t="s">
        <v>44</v>
      </c>
      <c r="B9" s="11" t="s">
        <v>37</v>
      </c>
      <c r="C9" s="11" t="s">
        <v>120</v>
      </c>
      <c r="D9" s="11" t="s">
        <v>62</v>
      </c>
      <c r="E9" s="6"/>
      <c r="F9" s="12">
        <v>3100</v>
      </c>
      <c r="G9" s="9"/>
      <c r="H9" s="8"/>
      <c r="I9" s="6" t="s">
        <v>124</v>
      </c>
      <c r="J9" s="9" t="s">
        <v>33</v>
      </c>
      <c r="K9" s="9"/>
    </row>
    <row r="10" spans="1:12" x14ac:dyDescent="0.25">
      <c r="A10" s="11" t="s">
        <v>45</v>
      </c>
      <c r="B10" s="11" t="s">
        <v>33</v>
      </c>
      <c r="C10" s="11" t="s">
        <v>38</v>
      </c>
      <c r="D10" s="11" t="s">
        <v>64</v>
      </c>
      <c r="E10" s="6"/>
      <c r="F10" s="12">
        <v>8090</v>
      </c>
      <c r="G10" s="9"/>
      <c r="H10" s="8"/>
    </row>
    <row r="11" spans="1:12" x14ac:dyDescent="0.25">
      <c r="A11" s="11" t="s">
        <v>46</v>
      </c>
      <c r="B11" s="11" t="s">
        <v>42</v>
      </c>
      <c r="C11" s="11" t="s">
        <v>120</v>
      </c>
      <c r="D11" s="11" t="s">
        <v>62</v>
      </c>
      <c r="E11" s="6"/>
      <c r="F11" s="12">
        <v>1800</v>
      </c>
      <c r="G11" s="9"/>
      <c r="H11" s="8"/>
    </row>
    <row r="12" spans="1:12" x14ac:dyDescent="0.25">
      <c r="A12" s="11" t="s">
        <v>47</v>
      </c>
      <c r="B12" s="11" t="s">
        <v>33</v>
      </c>
      <c r="C12" s="11" t="s">
        <v>120</v>
      </c>
      <c r="D12" s="11" t="s">
        <v>96</v>
      </c>
      <c r="E12" s="6"/>
      <c r="F12" s="12">
        <v>6000</v>
      </c>
      <c r="G12" s="9"/>
      <c r="H12" s="8"/>
      <c r="I12" s="20" t="s">
        <v>107</v>
      </c>
      <c r="J12" s="20"/>
      <c r="K12" s="20"/>
      <c r="L12" s="8"/>
    </row>
    <row r="13" spans="1:12" x14ac:dyDescent="0.25">
      <c r="A13" s="11" t="s">
        <v>48</v>
      </c>
      <c r="B13" s="11" t="s">
        <v>37</v>
      </c>
      <c r="C13" s="11" t="s">
        <v>120</v>
      </c>
      <c r="D13" s="11" t="s">
        <v>63</v>
      </c>
      <c r="E13" s="6"/>
      <c r="F13" s="12">
        <v>4600</v>
      </c>
      <c r="G13" s="9"/>
      <c r="H13" s="8"/>
      <c r="I13" s="6" t="s">
        <v>102</v>
      </c>
      <c r="J13" s="6" t="s">
        <v>109</v>
      </c>
      <c r="K13" s="6" t="s">
        <v>119</v>
      </c>
      <c r="L13" s="8"/>
    </row>
    <row r="14" spans="1:12" x14ac:dyDescent="0.25">
      <c r="A14" s="11" t="s">
        <v>49</v>
      </c>
      <c r="B14" s="11" t="s">
        <v>33</v>
      </c>
      <c r="C14" s="11" t="s">
        <v>95</v>
      </c>
      <c r="D14" s="11" t="s">
        <v>64</v>
      </c>
      <c r="E14" s="6"/>
      <c r="F14" s="12">
        <v>7300</v>
      </c>
      <c r="G14" s="9"/>
      <c r="H14" s="8"/>
      <c r="I14" s="6" t="s">
        <v>103</v>
      </c>
      <c r="J14" s="9"/>
      <c r="K14" s="22"/>
      <c r="L14" s="8"/>
    </row>
    <row r="15" spans="1:12" x14ac:dyDescent="0.25">
      <c r="A15" s="11" t="s">
        <v>50</v>
      </c>
      <c r="B15" s="11" t="s">
        <v>37</v>
      </c>
      <c r="C15" s="11" t="s">
        <v>120</v>
      </c>
      <c r="D15" s="11" t="s">
        <v>63</v>
      </c>
      <c r="E15" s="6"/>
      <c r="F15" s="12">
        <v>4300</v>
      </c>
      <c r="G15" s="9"/>
      <c r="H15" s="8"/>
      <c r="I15" s="6" t="s">
        <v>104</v>
      </c>
      <c r="J15" s="9"/>
      <c r="K15" s="22"/>
      <c r="L15" s="8"/>
    </row>
    <row r="16" spans="1:12" x14ac:dyDescent="0.25">
      <c r="A16" s="11" t="s">
        <v>51</v>
      </c>
      <c r="B16" s="11" t="s">
        <v>37</v>
      </c>
      <c r="C16" s="11" t="s">
        <v>34</v>
      </c>
      <c r="D16" s="11" t="s">
        <v>63</v>
      </c>
      <c r="E16" s="6"/>
      <c r="F16" s="12">
        <v>4800</v>
      </c>
      <c r="G16" s="9"/>
      <c r="H16" s="8"/>
      <c r="I16" s="6" t="s">
        <v>105</v>
      </c>
      <c r="J16" s="9"/>
      <c r="K16" s="22"/>
      <c r="L16" s="8"/>
    </row>
    <row r="17" spans="1:12" x14ac:dyDescent="0.25">
      <c r="A17" s="11" t="s">
        <v>52</v>
      </c>
      <c r="B17" s="11" t="s">
        <v>33</v>
      </c>
      <c r="C17" s="11" t="s">
        <v>38</v>
      </c>
      <c r="D17" s="11" t="s">
        <v>64</v>
      </c>
      <c r="E17" s="6"/>
      <c r="F17" s="12">
        <v>9090</v>
      </c>
      <c r="G17" s="9"/>
      <c r="H17" s="8"/>
      <c r="I17" s="7" t="s">
        <v>106</v>
      </c>
      <c r="J17" s="9"/>
      <c r="K17" s="22"/>
      <c r="L17" s="8"/>
    </row>
    <row r="18" spans="1:12" x14ac:dyDescent="0.25">
      <c r="A18" s="11" t="s">
        <v>53</v>
      </c>
      <c r="B18" s="11" t="s">
        <v>33</v>
      </c>
      <c r="C18" s="11" t="s">
        <v>95</v>
      </c>
      <c r="D18" s="11" t="s">
        <v>64</v>
      </c>
      <c r="E18" s="6"/>
      <c r="F18" s="12">
        <v>7500</v>
      </c>
      <c r="G18" s="9"/>
      <c r="H18" s="8"/>
      <c r="L18" s="8"/>
    </row>
    <row r="19" spans="1:12" x14ac:dyDescent="0.25">
      <c r="A19" s="11" t="s">
        <v>54</v>
      </c>
      <c r="B19" s="11" t="s">
        <v>37</v>
      </c>
      <c r="C19" s="11" t="s">
        <v>120</v>
      </c>
      <c r="D19" s="11" t="s">
        <v>63</v>
      </c>
      <c r="E19" s="6"/>
      <c r="F19" s="12">
        <v>4600</v>
      </c>
      <c r="G19" s="9"/>
      <c r="H19" s="8"/>
      <c r="L19" s="8"/>
    </row>
    <row r="20" spans="1:12" x14ac:dyDescent="0.25">
      <c r="A20" s="11" t="s">
        <v>55</v>
      </c>
      <c r="B20" s="11" t="s">
        <v>37</v>
      </c>
      <c r="C20" s="11" t="s">
        <v>120</v>
      </c>
      <c r="D20" s="11" t="s">
        <v>62</v>
      </c>
      <c r="E20" s="6"/>
      <c r="F20" s="12">
        <v>2890</v>
      </c>
      <c r="G20" s="9"/>
      <c r="H20" s="8"/>
      <c r="L20" s="8"/>
    </row>
    <row r="21" spans="1:12" x14ac:dyDescent="0.25">
      <c r="A21" s="11" t="s">
        <v>56</v>
      </c>
      <c r="B21" s="11" t="s">
        <v>42</v>
      </c>
      <c r="C21" s="11" t="s">
        <v>120</v>
      </c>
      <c r="D21" s="11" t="s">
        <v>96</v>
      </c>
      <c r="E21" s="6"/>
      <c r="F21" s="12">
        <v>3100</v>
      </c>
      <c r="G21" s="9"/>
      <c r="H21" s="8"/>
      <c r="L21" s="8"/>
    </row>
    <row r="22" spans="1:12" ht="16" x14ac:dyDescent="0.35">
      <c r="A22" s="11" t="s">
        <v>57</v>
      </c>
      <c r="B22" s="11" t="s">
        <v>37</v>
      </c>
      <c r="C22" s="11" t="s">
        <v>34</v>
      </c>
      <c r="D22" s="11" t="s">
        <v>96</v>
      </c>
      <c r="E22" s="6"/>
      <c r="F22" s="12">
        <v>4100</v>
      </c>
      <c r="G22" s="9"/>
      <c r="H22" s="8"/>
      <c r="K22" s="10"/>
      <c r="L22" s="8"/>
    </row>
    <row r="23" spans="1:12" ht="16" x14ac:dyDescent="0.35">
      <c r="A23" s="11" t="s">
        <v>58</v>
      </c>
      <c r="B23" s="11" t="s">
        <v>42</v>
      </c>
      <c r="C23" s="11" t="s">
        <v>120</v>
      </c>
      <c r="D23" s="11" t="s">
        <v>63</v>
      </c>
      <c r="E23" s="6"/>
      <c r="F23" s="12">
        <v>2890</v>
      </c>
      <c r="G23" s="9"/>
      <c r="H23" s="8"/>
      <c r="K23" s="10"/>
      <c r="L23" s="8"/>
    </row>
    <row r="24" spans="1:12" ht="16" x14ac:dyDescent="0.35">
      <c r="A24" s="11" t="s">
        <v>59</v>
      </c>
      <c r="B24" s="11" t="s">
        <v>37</v>
      </c>
      <c r="C24" s="11" t="s">
        <v>34</v>
      </c>
      <c r="D24" s="11" t="s">
        <v>64</v>
      </c>
      <c r="E24" s="6"/>
      <c r="F24" s="12">
        <v>4800</v>
      </c>
      <c r="G24" s="9"/>
      <c r="H24" s="8"/>
      <c r="K24" s="10"/>
      <c r="L24" s="8"/>
    </row>
    <row r="25" spans="1:12" x14ac:dyDescent="0.25">
      <c r="A25" s="11" t="s">
        <v>65</v>
      </c>
      <c r="B25" s="11" t="s">
        <v>33</v>
      </c>
      <c r="C25" s="11" t="s">
        <v>34</v>
      </c>
      <c r="D25" s="11" t="s">
        <v>64</v>
      </c>
      <c r="E25" s="6"/>
      <c r="F25" s="12">
        <v>6600</v>
      </c>
      <c r="G25" s="9"/>
      <c r="H25" s="8"/>
      <c r="K25" s="18"/>
    </row>
    <row r="26" spans="1:12" x14ac:dyDescent="0.25">
      <c r="A26" s="11" t="s">
        <v>66</v>
      </c>
      <c r="B26" s="11" t="s">
        <v>92</v>
      </c>
      <c r="C26" s="11" t="s">
        <v>34</v>
      </c>
      <c r="D26" s="11" t="s">
        <v>64</v>
      </c>
      <c r="E26" s="6"/>
      <c r="F26" s="12">
        <v>4600</v>
      </c>
      <c r="G26" s="9"/>
      <c r="H26" s="8"/>
    </row>
    <row r="27" spans="1:12" x14ac:dyDescent="0.25">
      <c r="A27" s="11" t="s">
        <v>67</v>
      </c>
      <c r="B27" s="11" t="s">
        <v>37</v>
      </c>
      <c r="C27" s="11" t="s">
        <v>120</v>
      </c>
      <c r="D27" s="11" t="s">
        <v>64</v>
      </c>
      <c r="E27" s="6"/>
      <c r="F27" s="12">
        <v>3900</v>
      </c>
      <c r="G27" s="9"/>
      <c r="H27" s="8"/>
    </row>
    <row r="28" spans="1:12" x14ac:dyDescent="0.25">
      <c r="A28" s="11" t="s">
        <v>68</v>
      </c>
      <c r="B28" s="11" t="s">
        <v>33</v>
      </c>
      <c r="C28" s="11" t="s">
        <v>34</v>
      </c>
      <c r="D28" s="11" t="s">
        <v>64</v>
      </c>
      <c r="E28" s="6"/>
      <c r="F28" s="12">
        <v>6980</v>
      </c>
      <c r="G28" s="9"/>
      <c r="H28" s="8"/>
    </row>
    <row r="29" spans="1:12" x14ac:dyDescent="0.25">
      <c r="A29" s="11" t="s">
        <v>69</v>
      </c>
      <c r="B29" s="11" t="s">
        <v>37</v>
      </c>
      <c r="C29" s="11" t="s">
        <v>95</v>
      </c>
      <c r="D29" s="11" t="s">
        <v>63</v>
      </c>
      <c r="E29" s="6"/>
      <c r="F29" s="12">
        <v>5980</v>
      </c>
      <c r="G29" s="9"/>
      <c r="H29" s="8"/>
    </row>
    <row r="30" spans="1:12" x14ac:dyDescent="0.25">
      <c r="A30" s="11" t="s">
        <v>70</v>
      </c>
      <c r="B30" s="11" t="s">
        <v>37</v>
      </c>
      <c r="C30" s="11" t="s">
        <v>120</v>
      </c>
      <c r="D30" s="11" t="s">
        <v>96</v>
      </c>
      <c r="E30" s="6"/>
      <c r="F30" s="12">
        <v>3800</v>
      </c>
      <c r="G30" s="9"/>
      <c r="H30" s="8"/>
    </row>
    <row r="31" spans="1:12" x14ac:dyDescent="0.25">
      <c r="A31" s="11" t="s">
        <v>71</v>
      </c>
      <c r="B31" s="11" t="s">
        <v>42</v>
      </c>
      <c r="C31" s="11" t="s">
        <v>120</v>
      </c>
      <c r="D31" s="11" t="s">
        <v>62</v>
      </c>
      <c r="E31" s="6"/>
      <c r="F31" s="12">
        <v>2100</v>
      </c>
      <c r="G31" s="9"/>
      <c r="H31" s="8"/>
    </row>
    <row r="32" spans="1:12" x14ac:dyDescent="0.25">
      <c r="A32" s="11" t="s">
        <v>72</v>
      </c>
      <c r="B32" s="11" t="s">
        <v>33</v>
      </c>
      <c r="C32" s="11" t="s">
        <v>38</v>
      </c>
      <c r="D32" s="11" t="s">
        <v>63</v>
      </c>
      <c r="E32" s="6"/>
      <c r="F32" s="12">
        <v>7860</v>
      </c>
      <c r="G32" s="9"/>
      <c r="H32" s="8"/>
    </row>
    <row r="33" spans="1:8" x14ac:dyDescent="0.25">
      <c r="A33" s="11" t="s">
        <v>73</v>
      </c>
      <c r="B33" s="11" t="s">
        <v>92</v>
      </c>
      <c r="C33" s="11" t="s">
        <v>120</v>
      </c>
      <c r="D33" s="11" t="s">
        <v>63</v>
      </c>
      <c r="E33" s="6"/>
      <c r="F33" s="12">
        <v>3990</v>
      </c>
      <c r="G33" s="9"/>
      <c r="H33" s="8"/>
    </row>
    <row r="34" spans="1:8" x14ac:dyDescent="0.25">
      <c r="A34" s="11" t="s">
        <v>74</v>
      </c>
      <c r="B34" s="11" t="s">
        <v>92</v>
      </c>
      <c r="C34" s="11" t="s">
        <v>95</v>
      </c>
      <c r="D34" s="11" t="s">
        <v>64</v>
      </c>
      <c r="E34" s="6"/>
      <c r="F34" s="12">
        <v>4680</v>
      </c>
      <c r="G34" s="9"/>
      <c r="H34" s="8"/>
    </row>
    <row r="35" spans="1:8" x14ac:dyDescent="0.25">
      <c r="A35" s="11" t="s">
        <v>75</v>
      </c>
      <c r="B35" s="11" t="s">
        <v>37</v>
      </c>
      <c r="C35" s="11" t="s">
        <v>120</v>
      </c>
      <c r="D35" s="11" t="s">
        <v>96</v>
      </c>
      <c r="E35" s="6"/>
      <c r="F35" s="12">
        <v>3900</v>
      </c>
      <c r="G35" s="9"/>
      <c r="H35" s="8"/>
    </row>
    <row r="36" spans="1:8" x14ac:dyDescent="0.25">
      <c r="A36" s="11" t="s">
        <v>76</v>
      </c>
      <c r="B36" s="11" t="s">
        <v>33</v>
      </c>
      <c r="C36" s="11" t="s">
        <v>95</v>
      </c>
      <c r="D36" s="11" t="s">
        <v>64</v>
      </c>
      <c r="E36" s="6"/>
      <c r="F36" s="12">
        <v>5950</v>
      </c>
      <c r="G36" s="9"/>
      <c r="H36" s="8"/>
    </row>
    <row r="37" spans="1:8" x14ac:dyDescent="0.25">
      <c r="A37" s="11" t="s">
        <v>77</v>
      </c>
      <c r="B37" s="11" t="s">
        <v>93</v>
      </c>
      <c r="C37" s="11" t="s">
        <v>120</v>
      </c>
      <c r="D37" s="11" t="s">
        <v>96</v>
      </c>
      <c r="E37" s="6"/>
      <c r="F37" s="12">
        <v>3100</v>
      </c>
      <c r="G37" s="9"/>
      <c r="H37" s="8"/>
    </row>
    <row r="38" spans="1:8" x14ac:dyDescent="0.25">
      <c r="A38" s="11" t="s">
        <v>78</v>
      </c>
      <c r="B38" s="11" t="s">
        <v>37</v>
      </c>
      <c r="C38" s="11" t="s">
        <v>34</v>
      </c>
      <c r="D38" s="11" t="s">
        <v>62</v>
      </c>
      <c r="E38" s="6"/>
      <c r="F38" s="12">
        <v>3200</v>
      </c>
      <c r="G38" s="9"/>
      <c r="H38" s="8"/>
    </row>
    <row r="39" spans="1:8" x14ac:dyDescent="0.25">
      <c r="A39" s="11" t="s">
        <v>79</v>
      </c>
      <c r="B39" s="11" t="s">
        <v>33</v>
      </c>
      <c r="C39" s="11" t="s">
        <v>38</v>
      </c>
      <c r="D39" s="11" t="s">
        <v>63</v>
      </c>
      <c r="E39" s="6"/>
      <c r="F39" s="12">
        <v>7300</v>
      </c>
      <c r="G39" s="9"/>
      <c r="H39" s="8"/>
    </row>
    <row r="40" spans="1:8" x14ac:dyDescent="0.25">
      <c r="A40" s="11" t="s">
        <v>80</v>
      </c>
      <c r="B40" s="11" t="s">
        <v>33</v>
      </c>
      <c r="C40" s="11" t="s">
        <v>120</v>
      </c>
      <c r="D40" s="11" t="s">
        <v>64</v>
      </c>
      <c r="E40" s="6"/>
      <c r="F40" s="12">
        <v>4569</v>
      </c>
      <c r="G40" s="9"/>
      <c r="H40" s="8"/>
    </row>
    <row r="41" spans="1:8" x14ac:dyDescent="0.25">
      <c r="A41" s="11" t="s">
        <v>81</v>
      </c>
      <c r="B41" s="11" t="s">
        <v>37</v>
      </c>
      <c r="C41" s="11" t="s">
        <v>120</v>
      </c>
      <c r="D41" s="11" t="s">
        <v>96</v>
      </c>
      <c r="E41" s="6"/>
      <c r="F41" s="12">
        <v>3700</v>
      </c>
      <c r="G41" s="9"/>
      <c r="H41" s="8"/>
    </row>
    <row r="42" spans="1:8" x14ac:dyDescent="0.25">
      <c r="A42" s="11" t="s">
        <v>82</v>
      </c>
      <c r="B42" s="11" t="s">
        <v>94</v>
      </c>
      <c r="C42" s="11" t="s">
        <v>120</v>
      </c>
      <c r="D42" s="11" t="s">
        <v>96</v>
      </c>
      <c r="E42" s="6"/>
      <c r="F42" s="13">
        <v>6200</v>
      </c>
      <c r="G42" s="9"/>
      <c r="H42" s="8"/>
    </row>
    <row r="43" spans="1:8" x14ac:dyDescent="0.25">
      <c r="A43" s="11" t="s">
        <v>83</v>
      </c>
      <c r="B43" s="11" t="s">
        <v>92</v>
      </c>
      <c r="C43" s="11" t="s">
        <v>120</v>
      </c>
      <c r="D43" s="11" t="s">
        <v>62</v>
      </c>
      <c r="E43" s="6"/>
      <c r="F43" s="12">
        <v>2980</v>
      </c>
      <c r="G43" s="9"/>
      <c r="H43" s="8"/>
    </row>
    <row r="44" spans="1:8" x14ac:dyDescent="0.25">
      <c r="A44" s="11" t="s">
        <v>84</v>
      </c>
      <c r="B44" s="11" t="s">
        <v>37</v>
      </c>
      <c r="C44" s="11" t="s">
        <v>34</v>
      </c>
      <c r="D44" s="11" t="s">
        <v>63</v>
      </c>
      <c r="E44" s="6"/>
      <c r="F44" s="12">
        <v>3910</v>
      </c>
      <c r="G44" s="9"/>
      <c r="H44" s="8"/>
    </row>
    <row r="45" spans="1:8" x14ac:dyDescent="0.25">
      <c r="A45" s="11" t="s">
        <v>85</v>
      </c>
      <c r="B45" s="11" t="s">
        <v>42</v>
      </c>
      <c r="C45" s="11" t="s">
        <v>120</v>
      </c>
      <c r="D45" s="11" t="s">
        <v>62</v>
      </c>
      <c r="E45" s="6"/>
      <c r="F45" s="12">
        <v>1700</v>
      </c>
      <c r="G45" s="9"/>
      <c r="H45" s="8"/>
    </row>
    <row r="46" spans="1:8" x14ac:dyDescent="0.25">
      <c r="A46" s="11" t="s">
        <v>86</v>
      </c>
      <c r="B46" s="11" t="s">
        <v>37</v>
      </c>
      <c r="C46" s="11" t="s">
        <v>34</v>
      </c>
      <c r="D46" s="11" t="s">
        <v>63</v>
      </c>
      <c r="E46" s="6"/>
      <c r="F46" s="12">
        <v>4180</v>
      </c>
      <c r="G46" s="9"/>
      <c r="H46" s="8"/>
    </row>
    <row r="47" spans="1:8" x14ac:dyDescent="0.25">
      <c r="A47" s="11" t="s">
        <v>87</v>
      </c>
      <c r="B47" s="11" t="s">
        <v>110</v>
      </c>
      <c r="C47" s="11" t="s">
        <v>115</v>
      </c>
      <c r="D47" s="11" t="s">
        <v>116</v>
      </c>
      <c r="E47" s="6"/>
      <c r="F47" s="12">
        <v>3700</v>
      </c>
      <c r="G47" s="9"/>
      <c r="H47" s="8"/>
    </row>
    <row r="48" spans="1:8" x14ac:dyDescent="0.25">
      <c r="A48" s="11" t="s">
        <v>88</v>
      </c>
      <c r="B48" s="11" t="s">
        <v>111</v>
      </c>
      <c r="C48" s="11" t="s">
        <v>120</v>
      </c>
      <c r="D48" s="11" t="s">
        <v>106</v>
      </c>
      <c r="E48" s="6"/>
      <c r="F48" s="12">
        <v>2690</v>
      </c>
      <c r="G48" s="9"/>
      <c r="H48" s="8"/>
    </row>
    <row r="49" spans="1:8" x14ac:dyDescent="0.25">
      <c r="A49" s="11" t="s">
        <v>89</v>
      </c>
      <c r="B49" s="11" t="s">
        <v>112</v>
      </c>
      <c r="C49" s="11" t="s">
        <v>115</v>
      </c>
      <c r="D49" s="11" t="s">
        <v>106</v>
      </c>
      <c r="E49" s="6"/>
      <c r="F49" s="12">
        <v>4800</v>
      </c>
      <c r="G49" s="9"/>
      <c r="H49" s="8"/>
    </row>
    <row r="50" spans="1:8" x14ac:dyDescent="0.25">
      <c r="A50" s="11" t="s">
        <v>90</v>
      </c>
      <c r="B50" s="6" t="s">
        <v>112</v>
      </c>
      <c r="C50" s="6" t="s">
        <v>114</v>
      </c>
      <c r="D50" s="11" t="s">
        <v>117</v>
      </c>
      <c r="E50" s="6"/>
      <c r="F50" s="12">
        <v>6290</v>
      </c>
      <c r="G50" s="9"/>
      <c r="H50" s="8"/>
    </row>
    <row r="51" spans="1:8" x14ac:dyDescent="0.25">
      <c r="A51" s="11" t="s">
        <v>91</v>
      </c>
      <c r="B51" s="6" t="s">
        <v>110</v>
      </c>
      <c r="C51" s="6" t="s">
        <v>113</v>
      </c>
      <c r="D51" s="11" t="s">
        <v>118</v>
      </c>
      <c r="E51" s="6"/>
      <c r="F51" s="12">
        <v>4560</v>
      </c>
      <c r="G51" s="9"/>
      <c r="H51" s="8"/>
    </row>
    <row r="52" spans="1:8" x14ac:dyDescent="0.25">
      <c r="F52" s="16"/>
      <c r="G52" s="17"/>
    </row>
  </sheetData>
  <sortState ref="A3:F57">
    <sortCondition ref="A3:A57"/>
  </sortState>
  <mergeCells count="2">
    <mergeCell ref="I5:K5"/>
    <mergeCell ref="I12:K12"/>
  </mergeCells>
  <phoneticPr fontId="1" type="noConversion"/>
  <conditionalFormatting sqref="B26:B29 B31 H3:H51">
    <cfRule type="cellIs" dxfId="3" priority="9" stopIfTrue="1" operator="greaterThanOrEqual">
      <formula>130</formula>
    </cfRule>
  </conditionalFormatting>
  <conditionalFormatting sqref="B10:B14 F10:F14 B3:D3 B4:B8 F3:F8 C4:D24 F31 F38 F43 F45 D25:D51">
    <cfRule type="cellIs" dxfId="2" priority="8" stopIfTrue="1" operator="greaterThanOrEqual">
      <formula>130</formula>
    </cfRule>
  </conditionalFormatting>
  <conditionalFormatting sqref="I6 I8 I13:J13">
    <cfRule type="cellIs" dxfId="1" priority="7" stopIfTrue="1" operator="greaterThanOrEqual">
      <formula>130</formula>
    </cfRule>
  </conditionalFormatting>
  <conditionalFormatting sqref="B32:B36 B25:C25 C26:C49">
    <cfRule type="cellIs" dxfId="0" priority="3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3F68-3F48-4871-9739-12CDD57F2D94}">
  <dimension ref="A1:B5"/>
  <sheetViews>
    <sheetView workbookViewId="0">
      <selection activeCell="I13" sqref="I13"/>
    </sheetView>
  </sheetViews>
  <sheetFormatPr defaultRowHeight="15" x14ac:dyDescent="0.25"/>
  <sheetData>
    <row r="1" spans="1:2" x14ac:dyDescent="0.25">
      <c r="A1" s="21" t="s">
        <v>97</v>
      </c>
      <c r="B1" s="21"/>
    </row>
    <row r="2" spans="1:2" x14ac:dyDescent="0.25">
      <c r="A2" s="6" t="s">
        <v>121</v>
      </c>
      <c r="B2" s="6" t="s">
        <v>98</v>
      </c>
    </row>
    <row r="3" spans="1:2" x14ac:dyDescent="0.25">
      <c r="A3" s="6" t="s">
        <v>38</v>
      </c>
      <c r="B3" s="13">
        <v>12800</v>
      </c>
    </row>
    <row r="4" spans="1:2" x14ac:dyDescent="0.25">
      <c r="A4" s="6" t="s">
        <v>34</v>
      </c>
      <c r="B4" s="12">
        <v>8600</v>
      </c>
    </row>
    <row r="5" spans="1:2" x14ac:dyDescent="0.25">
      <c r="A5" s="6" t="s">
        <v>120</v>
      </c>
      <c r="B5" s="13">
        <v>5200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workbookViewId="0"/>
  </sheetViews>
  <sheetFormatPr defaultRowHeight="15" x14ac:dyDescent="0.25"/>
  <cols>
    <col min="1" max="1" width="9.83203125" customWidth="1"/>
    <col min="2" max="2" width="9.75" customWidth="1"/>
    <col min="3" max="3" width="6.5" customWidth="1"/>
    <col min="4" max="4" width="13.5" customWidth="1"/>
    <col min="5" max="5" width="11.58203125" customWidth="1"/>
    <col min="6" max="6" width="13.33203125" customWidth="1"/>
    <col min="7" max="7" width="12.08203125" customWidth="1"/>
  </cols>
  <sheetData>
    <row r="1" spans="1:7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ht="16" x14ac:dyDescent="0.35">
      <c r="A2" s="1" t="s">
        <v>9</v>
      </c>
      <c r="B2" s="6" t="s">
        <v>10</v>
      </c>
      <c r="C2" s="1">
        <v>3</v>
      </c>
      <c r="D2" s="1">
        <v>124</v>
      </c>
      <c r="E2" s="1">
        <v>8680</v>
      </c>
      <c r="F2" s="1">
        <f t="shared" ref="F2:F33" si="0">_xlfn.RANK.EQ(D2,$D$2:$D$97)</f>
        <v>91</v>
      </c>
      <c r="G2" s="1">
        <f t="shared" ref="G2:G33" si="1">_xlfn.RANK.EQ(E2,$E$2:$E$97)</f>
        <v>92</v>
      </c>
    </row>
    <row r="3" spans="1:7" ht="16" x14ac:dyDescent="0.35">
      <c r="A3" s="1" t="s">
        <v>9</v>
      </c>
      <c r="B3" s="6" t="s">
        <v>11</v>
      </c>
      <c r="C3" s="1">
        <v>2</v>
      </c>
      <c r="D3" s="1">
        <v>321</v>
      </c>
      <c r="E3" s="1">
        <v>9630</v>
      </c>
      <c r="F3" s="1">
        <f t="shared" si="0"/>
        <v>53</v>
      </c>
      <c r="G3" s="1">
        <f t="shared" si="1"/>
        <v>86</v>
      </c>
    </row>
    <row r="4" spans="1:7" ht="16" x14ac:dyDescent="0.35">
      <c r="A4" s="1" t="s">
        <v>12</v>
      </c>
      <c r="B4" s="6" t="s">
        <v>15</v>
      </c>
      <c r="C4" s="1">
        <v>2</v>
      </c>
      <c r="D4" s="1">
        <v>435</v>
      </c>
      <c r="E4" s="1">
        <v>21750</v>
      </c>
      <c r="F4" s="1">
        <f t="shared" si="0"/>
        <v>26</v>
      </c>
      <c r="G4" s="1">
        <f t="shared" si="1"/>
        <v>47</v>
      </c>
    </row>
    <row r="5" spans="1:7" ht="16" x14ac:dyDescent="0.35">
      <c r="A5" s="1" t="s">
        <v>16</v>
      </c>
      <c r="B5" s="6" t="s">
        <v>17</v>
      </c>
      <c r="C5" s="1">
        <v>2</v>
      </c>
      <c r="D5" s="1">
        <v>256</v>
      </c>
      <c r="E5" s="1">
        <v>17920</v>
      </c>
      <c r="F5" s="1">
        <f t="shared" si="0"/>
        <v>63</v>
      </c>
      <c r="G5" s="1">
        <f t="shared" si="1"/>
        <v>56</v>
      </c>
    </row>
    <row r="6" spans="1:7" ht="16" x14ac:dyDescent="0.35">
      <c r="A6" s="1" t="s">
        <v>16</v>
      </c>
      <c r="B6" s="6" t="s">
        <v>15</v>
      </c>
      <c r="C6" s="1">
        <v>1</v>
      </c>
      <c r="D6" s="1">
        <v>167</v>
      </c>
      <c r="E6" s="1">
        <v>8350</v>
      </c>
      <c r="F6" s="1">
        <f t="shared" si="0"/>
        <v>85</v>
      </c>
      <c r="G6" s="1">
        <f t="shared" si="1"/>
        <v>93</v>
      </c>
    </row>
    <row r="7" spans="1:7" ht="16" x14ac:dyDescent="0.35">
      <c r="A7" s="1" t="s">
        <v>18</v>
      </c>
      <c r="B7" s="6" t="s">
        <v>17</v>
      </c>
      <c r="C7" s="1">
        <v>4</v>
      </c>
      <c r="D7" s="1">
        <v>157</v>
      </c>
      <c r="E7" s="1">
        <v>10990</v>
      </c>
      <c r="F7" s="1">
        <f t="shared" si="0"/>
        <v>87</v>
      </c>
      <c r="G7" s="1">
        <f t="shared" si="1"/>
        <v>75</v>
      </c>
    </row>
    <row r="8" spans="1:7" ht="16" x14ac:dyDescent="0.35">
      <c r="A8" s="1" t="s">
        <v>19</v>
      </c>
      <c r="B8" s="6" t="s">
        <v>17</v>
      </c>
      <c r="C8" s="1">
        <v>4</v>
      </c>
      <c r="D8" s="1">
        <v>187</v>
      </c>
      <c r="E8" s="1">
        <v>13090</v>
      </c>
      <c r="F8" s="1">
        <f t="shared" si="0"/>
        <v>84</v>
      </c>
      <c r="G8" s="1">
        <f t="shared" si="1"/>
        <v>69</v>
      </c>
    </row>
    <row r="9" spans="1:7" ht="16" x14ac:dyDescent="0.35">
      <c r="A9" s="1" t="s">
        <v>18</v>
      </c>
      <c r="B9" s="6" t="s">
        <v>15</v>
      </c>
      <c r="C9" s="1">
        <v>4</v>
      </c>
      <c r="D9" s="1">
        <v>213</v>
      </c>
      <c r="E9" s="1">
        <v>10650</v>
      </c>
      <c r="F9" s="1">
        <f t="shared" si="0"/>
        <v>76</v>
      </c>
      <c r="G9" s="1">
        <f t="shared" si="1"/>
        <v>80</v>
      </c>
    </row>
    <row r="10" spans="1:7" ht="16" x14ac:dyDescent="0.35">
      <c r="A10" s="1" t="s">
        <v>16</v>
      </c>
      <c r="B10" s="6" t="s">
        <v>17</v>
      </c>
      <c r="C10" s="1">
        <v>4</v>
      </c>
      <c r="D10" s="1">
        <v>196</v>
      </c>
      <c r="E10" s="1">
        <v>13720</v>
      </c>
      <c r="F10" s="1">
        <f t="shared" si="0"/>
        <v>81</v>
      </c>
      <c r="G10" s="1">
        <f t="shared" si="1"/>
        <v>67</v>
      </c>
    </row>
    <row r="11" spans="1:7" ht="16" x14ac:dyDescent="0.35">
      <c r="A11" s="1" t="s">
        <v>16</v>
      </c>
      <c r="B11" s="6" t="s">
        <v>15</v>
      </c>
      <c r="C11" s="1">
        <v>4</v>
      </c>
      <c r="D11" s="1">
        <v>219</v>
      </c>
      <c r="E11" s="1">
        <v>10950</v>
      </c>
      <c r="F11" s="1">
        <f t="shared" si="0"/>
        <v>70</v>
      </c>
      <c r="G11" s="1">
        <f t="shared" si="1"/>
        <v>76</v>
      </c>
    </row>
    <row r="12" spans="1:7" ht="16" x14ac:dyDescent="0.35">
      <c r="A12" s="1" t="s">
        <v>16</v>
      </c>
      <c r="B12" s="6" t="s">
        <v>17</v>
      </c>
      <c r="C12" s="1">
        <v>3</v>
      </c>
      <c r="D12" s="1">
        <v>235</v>
      </c>
      <c r="E12" s="1">
        <v>16380</v>
      </c>
      <c r="F12" s="1">
        <f t="shared" si="0"/>
        <v>64</v>
      </c>
      <c r="G12" s="1">
        <f t="shared" si="1"/>
        <v>58</v>
      </c>
    </row>
    <row r="13" spans="1:7" ht="16" x14ac:dyDescent="0.35">
      <c r="A13" s="1" t="s">
        <v>16</v>
      </c>
      <c r="B13" s="6" t="s">
        <v>17</v>
      </c>
      <c r="C13" s="1">
        <v>1</v>
      </c>
      <c r="D13" s="1">
        <v>206</v>
      </c>
      <c r="E13" s="1">
        <v>14420</v>
      </c>
      <c r="F13" s="1">
        <f t="shared" si="0"/>
        <v>79</v>
      </c>
      <c r="G13" s="1">
        <f t="shared" si="1"/>
        <v>63</v>
      </c>
    </row>
    <row r="14" spans="1:7" ht="16" x14ac:dyDescent="0.35">
      <c r="A14" s="1" t="s">
        <v>16</v>
      </c>
      <c r="B14" s="6" t="s">
        <v>15</v>
      </c>
      <c r="C14" s="1">
        <v>2</v>
      </c>
      <c r="D14" s="1">
        <v>211</v>
      </c>
      <c r="E14" s="1">
        <v>10550</v>
      </c>
      <c r="F14" s="1">
        <f t="shared" si="0"/>
        <v>78</v>
      </c>
      <c r="G14" s="1">
        <f t="shared" si="1"/>
        <v>81</v>
      </c>
    </row>
    <row r="15" spans="1:7" ht="16" x14ac:dyDescent="0.35">
      <c r="A15" s="1" t="s">
        <v>18</v>
      </c>
      <c r="B15" s="6" t="s">
        <v>15</v>
      </c>
      <c r="C15" s="1">
        <v>3</v>
      </c>
      <c r="D15" s="1">
        <v>189</v>
      </c>
      <c r="E15" s="1">
        <v>9450</v>
      </c>
      <c r="F15" s="1">
        <f t="shared" si="0"/>
        <v>83</v>
      </c>
      <c r="G15" s="1">
        <f t="shared" si="1"/>
        <v>87</v>
      </c>
    </row>
    <row r="16" spans="1:7" ht="16" x14ac:dyDescent="0.35">
      <c r="A16" s="1" t="s">
        <v>16</v>
      </c>
      <c r="B16" s="6" t="s">
        <v>20</v>
      </c>
      <c r="C16" s="1">
        <v>1</v>
      </c>
      <c r="D16" s="1">
        <v>221</v>
      </c>
      <c r="E16" s="1">
        <v>6630</v>
      </c>
      <c r="F16" s="1">
        <f t="shared" si="0"/>
        <v>68</v>
      </c>
      <c r="G16" s="1">
        <f t="shared" si="1"/>
        <v>96</v>
      </c>
    </row>
    <row r="17" spans="1:7" ht="16" x14ac:dyDescent="0.35">
      <c r="A17" s="1" t="s">
        <v>18</v>
      </c>
      <c r="B17" s="6" t="s">
        <v>20</v>
      </c>
      <c r="C17" s="1">
        <v>4</v>
      </c>
      <c r="D17" s="1">
        <v>434</v>
      </c>
      <c r="E17" s="1">
        <v>32960</v>
      </c>
      <c r="F17" s="1">
        <f t="shared" si="0"/>
        <v>27</v>
      </c>
      <c r="G17" s="1">
        <f t="shared" si="1"/>
        <v>15</v>
      </c>
    </row>
    <row r="18" spans="1:7" ht="16" x14ac:dyDescent="0.35">
      <c r="A18" s="1" t="s">
        <v>19</v>
      </c>
      <c r="B18" s="6" t="s">
        <v>17</v>
      </c>
      <c r="C18" s="1">
        <v>3</v>
      </c>
      <c r="D18" s="1">
        <v>323</v>
      </c>
      <c r="E18" s="1">
        <v>22610</v>
      </c>
      <c r="F18" s="1">
        <f t="shared" si="0"/>
        <v>51</v>
      </c>
      <c r="G18" s="1">
        <f t="shared" si="1"/>
        <v>46</v>
      </c>
    </row>
    <row r="19" spans="1:7" ht="16" x14ac:dyDescent="0.35">
      <c r="A19" s="1" t="s">
        <v>19</v>
      </c>
      <c r="B19" s="6" t="s">
        <v>15</v>
      </c>
      <c r="C19" s="1">
        <v>3</v>
      </c>
      <c r="D19" s="1">
        <v>324</v>
      </c>
      <c r="E19" s="1">
        <v>16200</v>
      </c>
      <c r="F19" s="1">
        <f t="shared" si="0"/>
        <v>49</v>
      </c>
      <c r="G19" s="1">
        <f t="shared" si="1"/>
        <v>60</v>
      </c>
    </row>
    <row r="20" spans="1:7" ht="16" x14ac:dyDescent="0.35">
      <c r="A20" s="1" t="s">
        <v>19</v>
      </c>
      <c r="B20" s="6" t="s">
        <v>20</v>
      </c>
      <c r="C20" s="1">
        <v>4</v>
      </c>
      <c r="D20" s="1">
        <v>331</v>
      </c>
      <c r="E20" s="1">
        <v>10260</v>
      </c>
      <c r="F20" s="1">
        <f t="shared" si="0"/>
        <v>45</v>
      </c>
      <c r="G20" s="1">
        <f t="shared" si="1"/>
        <v>82</v>
      </c>
    </row>
    <row r="21" spans="1:7" ht="16" x14ac:dyDescent="0.35">
      <c r="A21" s="1" t="s">
        <v>19</v>
      </c>
      <c r="B21" s="6" t="s">
        <v>15</v>
      </c>
      <c r="C21" s="1">
        <v>4</v>
      </c>
      <c r="D21" s="1">
        <v>287</v>
      </c>
      <c r="E21" s="1">
        <v>14350</v>
      </c>
      <c r="F21" s="1">
        <f t="shared" si="0"/>
        <v>60</v>
      </c>
      <c r="G21" s="1">
        <f t="shared" si="1"/>
        <v>65</v>
      </c>
    </row>
    <row r="22" spans="1:7" ht="16" x14ac:dyDescent="0.35">
      <c r="A22" s="1" t="s">
        <v>16</v>
      </c>
      <c r="B22" s="6" t="s">
        <v>15</v>
      </c>
      <c r="C22" s="1">
        <v>3</v>
      </c>
      <c r="D22" s="1">
        <v>218</v>
      </c>
      <c r="E22" s="1">
        <v>10900</v>
      </c>
      <c r="F22" s="1">
        <f t="shared" si="0"/>
        <v>71</v>
      </c>
      <c r="G22" s="1">
        <f t="shared" si="1"/>
        <v>77</v>
      </c>
    </row>
    <row r="23" spans="1:7" ht="16" x14ac:dyDescent="0.35">
      <c r="A23" s="1" t="s">
        <v>18</v>
      </c>
      <c r="B23" s="6" t="s">
        <v>15</v>
      </c>
      <c r="C23" s="1">
        <v>1</v>
      </c>
      <c r="D23" s="1">
        <v>301</v>
      </c>
      <c r="E23" s="1">
        <v>15050</v>
      </c>
      <c r="F23" s="1">
        <f t="shared" si="0"/>
        <v>58</v>
      </c>
      <c r="G23" s="1">
        <f t="shared" si="1"/>
        <v>61</v>
      </c>
    </row>
    <row r="24" spans="1:7" ht="16" x14ac:dyDescent="0.35">
      <c r="A24" s="1" t="s">
        <v>18</v>
      </c>
      <c r="B24" s="6" t="s">
        <v>20</v>
      </c>
      <c r="C24" s="1">
        <v>1</v>
      </c>
      <c r="D24" s="1">
        <v>306</v>
      </c>
      <c r="E24" s="1">
        <v>29180</v>
      </c>
      <c r="F24" s="1">
        <f t="shared" si="0"/>
        <v>56</v>
      </c>
      <c r="G24" s="1">
        <f t="shared" si="1"/>
        <v>25</v>
      </c>
    </row>
    <row r="25" spans="1:7" ht="16" x14ac:dyDescent="0.35">
      <c r="A25" s="1" t="s">
        <v>18</v>
      </c>
      <c r="B25" s="6" t="s">
        <v>17</v>
      </c>
      <c r="C25" s="1">
        <v>2</v>
      </c>
      <c r="D25" s="1">
        <v>351</v>
      </c>
      <c r="E25" s="1">
        <v>26541</v>
      </c>
      <c r="F25" s="1">
        <f t="shared" si="0"/>
        <v>41</v>
      </c>
      <c r="G25" s="1">
        <f t="shared" si="1"/>
        <v>34</v>
      </c>
    </row>
    <row r="26" spans="1:7" ht="16" x14ac:dyDescent="0.35">
      <c r="A26" s="1" t="s">
        <v>16</v>
      </c>
      <c r="B26" s="6" t="s">
        <v>20</v>
      </c>
      <c r="C26" s="1">
        <v>2</v>
      </c>
      <c r="D26" s="1">
        <v>312</v>
      </c>
      <c r="E26" s="1">
        <v>13360</v>
      </c>
      <c r="F26" s="1">
        <f t="shared" si="0"/>
        <v>54</v>
      </c>
      <c r="G26" s="1">
        <f t="shared" si="1"/>
        <v>68</v>
      </c>
    </row>
    <row r="27" spans="1:7" ht="16" x14ac:dyDescent="0.35">
      <c r="A27" s="1" t="s">
        <v>18</v>
      </c>
      <c r="B27" s="6" t="s">
        <v>17</v>
      </c>
      <c r="C27" s="1">
        <v>1</v>
      </c>
      <c r="D27" s="1">
        <v>212</v>
      </c>
      <c r="E27" s="1">
        <v>18840</v>
      </c>
      <c r="F27" s="1">
        <f t="shared" si="0"/>
        <v>77</v>
      </c>
      <c r="G27" s="1">
        <f t="shared" si="1"/>
        <v>55</v>
      </c>
    </row>
    <row r="28" spans="1:7" ht="16" x14ac:dyDescent="0.35">
      <c r="A28" s="1" t="s">
        <v>19</v>
      </c>
      <c r="B28" s="6" t="s">
        <v>17</v>
      </c>
      <c r="C28" s="1">
        <v>1</v>
      </c>
      <c r="D28" s="1">
        <v>345</v>
      </c>
      <c r="E28" s="1">
        <v>24150</v>
      </c>
      <c r="F28" s="1">
        <f t="shared" si="0"/>
        <v>42</v>
      </c>
      <c r="G28" s="1">
        <f t="shared" si="1"/>
        <v>38</v>
      </c>
    </row>
    <row r="29" spans="1:7" ht="16" x14ac:dyDescent="0.35">
      <c r="A29" s="1" t="s">
        <v>19</v>
      </c>
      <c r="B29" s="6" t="s">
        <v>20</v>
      </c>
      <c r="C29" s="1">
        <v>3</v>
      </c>
      <c r="D29" s="1">
        <v>365</v>
      </c>
      <c r="E29" s="1">
        <v>30950</v>
      </c>
      <c r="F29" s="1">
        <f t="shared" si="0"/>
        <v>39</v>
      </c>
      <c r="G29" s="1">
        <f t="shared" si="1"/>
        <v>21</v>
      </c>
    </row>
    <row r="30" spans="1:7" ht="16" x14ac:dyDescent="0.35">
      <c r="A30" s="1" t="s">
        <v>19</v>
      </c>
      <c r="B30" s="6" t="s">
        <v>17</v>
      </c>
      <c r="C30" s="1">
        <v>2</v>
      </c>
      <c r="D30" s="1">
        <v>412</v>
      </c>
      <c r="E30" s="1">
        <v>28840</v>
      </c>
      <c r="F30" s="1">
        <f t="shared" si="0"/>
        <v>33</v>
      </c>
      <c r="G30" s="1">
        <f t="shared" si="1"/>
        <v>26</v>
      </c>
    </row>
    <row r="31" spans="1:7" ht="16" x14ac:dyDescent="0.35">
      <c r="A31" s="1" t="s">
        <v>16</v>
      </c>
      <c r="B31" s="6" t="s">
        <v>20</v>
      </c>
      <c r="C31" s="1">
        <v>4</v>
      </c>
      <c r="D31" s="1">
        <v>421</v>
      </c>
      <c r="E31" s="1">
        <v>12630</v>
      </c>
      <c r="F31" s="1">
        <f t="shared" si="0"/>
        <v>32</v>
      </c>
      <c r="G31" s="1">
        <f t="shared" si="1"/>
        <v>72</v>
      </c>
    </row>
    <row r="32" spans="1:7" ht="16" x14ac:dyDescent="0.35">
      <c r="A32" s="1" t="s">
        <v>19</v>
      </c>
      <c r="B32" s="6" t="s">
        <v>15</v>
      </c>
      <c r="C32" s="1">
        <v>1</v>
      </c>
      <c r="D32" s="1">
        <v>569</v>
      </c>
      <c r="E32" s="1">
        <v>28450</v>
      </c>
      <c r="F32" s="1">
        <f t="shared" si="0"/>
        <v>13</v>
      </c>
      <c r="G32" s="1">
        <f t="shared" si="1"/>
        <v>29</v>
      </c>
    </row>
    <row r="33" spans="1:7" ht="16" x14ac:dyDescent="0.35">
      <c r="A33" s="1" t="s">
        <v>19</v>
      </c>
      <c r="B33" s="6" t="s">
        <v>20</v>
      </c>
      <c r="C33" s="1">
        <v>2</v>
      </c>
      <c r="D33" s="1">
        <v>654</v>
      </c>
      <c r="E33" s="1">
        <v>19620</v>
      </c>
      <c r="F33" s="1">
        <f t="shared" si="0"/>
        <v>9</v>
      </c>
      <c r="G33" s="1">
        <f t="shared" si="1"/>
        <v>51</v>
      </c>
    </row>
    <row r="34" spans="1:7" ht="16" x14ac:dyDescent="0.35">
      <c r="A34" s="1" t="s">
        <v>19</v>
      </c>
      <c r="B34" s="6" t="s">
        <v>20</v>
      </c>
      <c r="C34" s="1">
        <v>1</v>
      </c>
      <c r="D34" s="1">
        <v>765</v>
      </c>
      <c r="E34" s="1">
        <v>22950</v>
      </c>
      <c r="F34" s="1">
        <f t="shared" ref="F34:F65" si="2">_xlfn.RANK.EQ(D34,$D$2:$D$97)</f>
        <v>4</v>
      </c>
      <c r="G34" s="1">
        <f t="shared" ref="G34:G65" si="3">_xlfn.RANK.EQ(E34,$E$2:$E$97)</f>
        <v>43</v>
      </c>
    </row>
    <row r="35" spans="1:7" x14ac:dyDescent="0.25">
      <c r="A35" s="6" t="s">
        <v>21</v>
      </c>
      <c r="B35" s="6" t="s">
        <v>17</v>
      </c>
      <c r="C35" s="1">
        <v>3</v>
      </c>
      <c r="D35" s="1">
        <v>378</v>
      </c>
      <c r="E35" s="1">
        <v>26460</v>
      </c>
      <c r="F35" s="1">
        <f t="shared" si="2"/>
        <v>36</v>
      </c>
      <c r="G35" s="1">
        <f t="shared" si="3"/>
        <v>35</v>
      </c>
    </row>
    <row r="36" spans="1:7" ht="16" x14ac:dyDescent="0.35">
      <c r="A36" s="1" t="s">
        <v>18</v>
      </c>
      <c r="B36" s="6" t="s">
        <v>20</v>
      </c>
      <c r="C36" s="1">
        <v>3</v>
      </c>
      <c r="D36" s="1">
        <v>220</v>
      </c>
      <c r="E36" s="1">
        <v>12990</v>
      </c>
      <c r="F36" s="1">
        <f t="shared" si="2"/>
        <v>69</v>
      </c>
      <c r="G36" s="1">
        <f t="shared" si="3"/>
        <v>70</v>
      </c>
    </row>
    <row r="37" spans="1:7" x14ac:dyDescent="0.25">
      <c r="A37" s="6" t="s">
        <v>21</v>
      </c>
      <c r="B37" s="6" t="s">
        <v>17</v>
      </c>
      <c r="C37" s="1">
        <v>1</v>
      </c>
      <c r="D37" s="1">
        <v>324</v>
      </c>
      <c r="E37" s="1">
        <v>22680</v>
      </c>
      <c r="F37" s="1">
        <f t="shared" si="2"/>
        <v>49</v>
      </c>
      <c r="G37" s="1">
        <f t="shared" si="3"/>
        <v>45</v>
      </c>
    </row>
    <row r="38" spans="1:7" x14ac:dyDescent="0.25">
      <c r="A38" s="6" t="s">
        <v>21</v>
      </c>
      <c r="B38" s="6" t="s">
        <v>17</v>
      </c>
      <c r="C38" s="1">
        <v>2</v>
      </c>
      <c r="D38" s="1">
        <v>329</v>
      </c>
      <c r="E38" s="1">
        <v>23030</v>
      </c>
      <c r="F38" s="1">
        <f t="shared" si="2"/>
        <v>47</v>
      </c>
      <c r="G38" s="1">
        <f t="shared" si="3"/>
        <v>41</v>
      </c>
    </row>
    <row r="39" spans="1:7" x14ac:dyDescent="0.25">
      <c r="A39" s="6" t="s">
        <v>21</v>
      </c>
      <c r="B39" s="6" t="s">
        <v>17</v>
      </c>
      <c r="C39" s="1">
        <v>4</v>
      </c>
      <c r="D39" s="1">
        <v>398</v>
      </c>
      <c r="E39" s="1">
        <v>27860</v>
      </c>
      <c r="F39" s="1">
        <f t="shared" si="2"/>
        <v>35</v>
      </c>
      <c r="G39" s="1">
        <f t="shared" si="3"/>
        <v>31</v>
      </c>
    </row>
    <row r="40" spans="1:7" x14ac:dyDescent="0.25">
      <c r="A40" s="6" t="s">
        <v>22</v>
      </c>
      <c r="B40" s="6" t="s">
        <v>23</v>
      </c>
      <c r="C40" s="1">
        <v>1</v>
      </c>
      <c r="D40" s="1">
        <v>436</v>
      </c>
      <c r="E40" s="1">
        <v>35648</v>
      </c>
      <c r="F40" s="1">
        <f t="shared" si="2"/>
        <v>25</v>
      </c>
      <c r="G40" s="1">
        <f t="shared" si="3"/>
        <v>14</v>
      </c>
    </row>
    <row r="41" spans="1:7" x14ac:dyDescent="0.25">
      <c r="A41" s="6" t="s">
        <v>24</v>
      </c>
      <c r="B41" s="1" t="s">
        <v>0</v>
      </c>
      <c r="C41" s="1">
        <v>3</v>
      </c>
      <c r="D41" s="1">
        <v>232</v>
      </c>
      <c r="E41" s="1">
        <v>11298</v>
      </c>
      <c r="F41" s="1">
        <f t="shared" si="2"/>
        <v>66</v>
      </c>
      <c r="G41" s="1">
        <f t="shared" si="3"/>
        <v>74</v>
      </c>
    </row>
    <row r="42" spans="1:7" x14ac:dyDescent="0.25">
      <c r="A42" s="6" t="s">
        <v>1</v>
      </c>
      <c r="B42" s="6" t="s">
        <v>23</v>
      </c>
      <c r="C42" s="1">
        <v>3</v>
      </c>
      <c r="D42" s="1">
        <v>231</v>
      </c>
      <c r="E42" s="1">
        <v>23217</v>
      </c>
      <c r="F42" s="1">
        <f t="shared" si="2"/>
        <v>67</v>
      </c>
      <c r="G42" s="1">
        <f t="shared" si="3"/>
        <v>40</v>
      </c>
    </row>
    <row r="43" spans="1:7" x14ac:dyDescent="0.25">
      <c r="A43" s="6" t="s">
        <v>24</v>
      </c>
      <c r="B43" s="1" t="s">
        <v>0</v>
      </c>
      <c r="C43" s="1">
        <v>1</v>
      </c>
      <c r="D43" s="1">
        <v>322</v>
      </c>
      <c r="E43" s="1">
        <v>18976</v>
      </c>
      <c r="F43" s="1">
        <f t="shared" si="2"/>
        <v>52</v>
      </c>
      <c r="G43" s="1">
        <f t="shared" si="3"/>
        <v>53</v>
      </c>
    </row>
    <row r="44" spans="1:7" x14ac:dyDescent="0.25">
      <c r="A44" s="6" t="s">
        <v>25</v>
      </c>
      <c r="B44" s="1" t="s">
        <v>0</v>
      </c>
      <c r="C44" s="1">
        <v>1</v>
      </c>
      <c r="D44" s="1">
        <v>123</v>
      </c>
      <c r="E44" s="1">
        <v>7685</v>
      </c>
      <c r="F44" s="1">
        <f t="shared" si="2"/>
        <v>92</v>
      </c>
      <c r="G44" s="1">
        <f t="shared" si="3"/>
        <v>95</v>
      </c>
    </row>
    <row r="45" spans="1:7" x14ac:dyDescent="0.25">
      <c r="A45" s="6" t="s">
        <v>25</v>
      </c>
      <c r="B45" s="1" t="s">
        <v>0</v>
      </c>
      <c r="C45" s="1">
        <v>2</v>
      </c>
      <c r="D45" s="1">
        <v>342</v>
      </c>
      <c r="E45" s="1">
        <v>23718</v>
      </c>
      <c r="F45" s="1">
        <f t="shared" si="2"/>
        <v>43</v>
      </c>
      <c r="G45" s="1">
        <f t="shared" si="3"/>
        <v>39</v>
      </c>
    </row>
    <row r="46" spans="1:7" x14ac:dyDescent="0.25">
      <c r="A46" s="3" t="s">
        <v>24</v>
      </c>
      <c r="B46" s="7" t="s">
        <v>15</v>
      </c>
      <c r="C46" s="4">
        <v>1</v>
      </c>
      <c r="D46" s="4">
        <v>234</v>
      </c>
      <c r="E46" s="4">
        <v>14321</v>
      </c>
      <c r="F46" s="1">
        <f t="shared" si="2"/>
        <v>65</v>
      </c>
      <c r="G46" s="1">
        <f t="shared" si="3"/>
        <v>66</v>
      </c>
    </row>
    <row r="47" spans="1:7" x14ac:dyDescent="0.25">
      <c r="A47" s="6" t="s">
        <v>25</v>
      </c>
      <c r="B47" s="1" t="s">
        <v>0</v>
      </c>
      <c r="C47" s="1">
        <v>4</v>
      </c>
      <c r="D47" s="1">
        <v>341</v>
      </c>
      <c r="E47" s="1">
        <v>26785</v>
      </c>
      <c r="F47" s="1">
        <f t="shared" si="2"/>
        <v>44</v>
      </c>
      <c r="G47" s="1">
        <f t="shared" si="3"/>
        <v>32</v>
      </c>
    </row>
    <row r="48" spans="1:7" x14ac:dyDescent="0.25">
      <c r="A48" s="3" t="s">
        <v>24</v>
      </c>
      <c r="B48" s="7" t="s">
        <v>20</v>
      </c>
      <c r="C48" s="4">
        <v>4</v>
      </c>
      <c r="D48" s="4">
        <v>431</v>
      </c>
      <c r="E48" s="4">
        <v>32534</v>
      </c>
      <c r="F48" s="1">
        <f t="shared" si="2"/>
        <v>29</v>
      </c>
      <c r="G48" s="1">
        <f t="shared" si="3"/>
        <v>16</v>
      </c>
    </row>
    <row r="49" spans="1:7" x14ac:dyDescent="0.25">
      <c r="A49" s="6" t="s">
        <v>26</v>
      </c>
      <c r="B49" s="1" t="s">
        <v>0</v>
      </c>
      <c r="C49" s="1">
        <v>1</v>
      </c>
      <c r="D49" s="1">
        <v>166</v>
      </c>
      <c r="E49" s="1">
        <v>8765</v>
      </c>
      <c r="F49" s="1">
        <f t="shared" si="2"/>
        <v>86</v>
      </c>
      <c r="G49" s="1">
        <f t="shared" si="3"/>
        <v>91</v>
      </c>
    </row>
    <row r="50" spans="1:7" x14ac:dyDescent="0.25">
      <c r="A50" s="3" t="s">
        <v>24</v>
      </c>
      <c r="B50" s="7" t="s">
        <v>15</v>
      </c>
      <c r="C50" s="4">
        <v>3</v>
      </c>
      <c r="D50" s="4">
        <v>129</v>
      </c>
      <c r="E50" s="4">
        <v>9637</v>
      </c>
      <c r="F50" s="1">
        <f t="shared" si="2"/>
        <v>90</v>
      </c>
      <c r="G50" s="1">
        <f t="shared" si="3"/>
        <v>85</v>
      </c>
    </row>
    <row r="51" spans="1:7" x14ac:dyDescent="0.25">
      <c r="A51" s="6" t="s">
        <v>26</v>
      </c>
      <c r="B51" s="1" t="s">
        <v>0</v>
      </c>
      <c r="C51" s="1">
        <v>3</v>
      </c>
      <c r="D51" s="1">
        <v>216</v>
      </c>
      <c r="E51" s="1">
        <v>10238</v>
      </c>
      <c r="F51" s="1">
        <f t="shared" si="2"/>
        <v>73</v>
      </c>
      <c r="G51" s="1">
        <f t="shared" si="3"/>
        <v>83</v>
      </c>
    </row>
    <row r="52" spans="1:7" x14ac:dyDescent="0.25">
      <c r="A52" s="3" t="s">
        <v>24</v>
      </c>
      <c r="B52" s="7" t="s">
        <v>20</v>
      </c>
      <c r="C52" s="4">
        <v>2</v>
      </c>
      <c r="D52" s="4">
        <v>217</v>
      </c>
      <c r="E52" s="4">
        <v>20453</v>
      </c>
      <c r="F52" s="1">
        <f t="shared" si="2"/>
        <v>72</v>
      </c>
      <c r="G52" s="1">
        <f t="shared" si="3"/>
        <v>50</v>
      </c>
    </row>
    <row r="53" spans="1:7" x14ac:dyDescent="0.25">
      <c r="A53" s="6" t="s">
        <v>26</v>
      </c>
      <c r="B53" s="1" t="s">
        <v>0</v>
      </c>
      <c r="C53" s="1">
        <v>4</v>
      </c>
      <c r="D53" s="1">
        <v>425</v>
      </c>
      <c r="E53" s="1">
        <v>20563</v>
      </c>
      <c r="F53" s="1">
        <f t="shared" si="2"/>
        <v>31</v>
      </c>
      <c r="G53" s="1">
        <f t="shared" si="3"/>
        <v>49</v>
      </c>
    </row>
    <row r="54" spans="1:7" x14ac:dyDescent="0.25">
      <c r="A54" s="6" t="s">
        <v>1</v>
      </c>
      <c r="B54" s="6" t="s">
        <v>23</v>
      </c>
      <c r="C54" s="1">
        <v>4</v>
      </c>
      <c r="D54" s="1">
        <v>366</v>
      </c>
      <c r="E54" s="1">
        <v>29879</v>
      </c>
      <c r="F54" s="1">
        <f t="shared" si="2"/>
        <v>38</v>
      </c>
      <c r="G54" s="1">
        <f t="shared" si="3"/>
        <v>22</v>
      </c>
    </row>
    <row r="55" spans="1:7" x14ac:dyDescent="0.25">
      <c r="A55" s="6" t="s">
        <v>24</v>
      </c>
      <c r="B55" s="1" t="s">
        <v>0</v>
      </c>
      <c r="C55" s="1">
        <v>2</v>
      </c>
      <c r="D55" s="1">
        <v>112</v>
      </c>
      <c r="E55" s="1">
        <v>8798</v>
      </c>
      <c r="F55" s="1">
        <f t="shared" si="2"/>
        <v>96</v>
      </c>
      <c r="G55" s="1">
        <f t="shared" si="3"/>
        <v>90</v>
      </c>
    </row>
    <row r="56" spans="1:7" x14ac:dyDescent="0.25">
      <c r="A56" s="6" t="s">
        <v>24</v>
      </c>
      <c r="B56" s="1" t="s">
        <v>0</v>
      </c>
      <c r="C56" s="1">
        <v>4</v>
      </c>
      <c r="D56" s="1">
        <v>261</v>
      </c>
      <c r="E56" s="1">
        <v>11675</v>
      </c>
      <c r="F56" s="1">
        <f t="shared" si="2"/>
        <v>62</v>
      </c>
      <c r="G56" s="1">
        <f t="shared" si="3"/>
        <v>73</v>
      </c>
    </row>
    <row r="57" spans="1:7" x14ac:dyDescent="0.25">
      <c r="A57" s="6" t="s">
        <v>22</v>
      </c>
      <c r="B57" s="6" t="s">
        <v>23</v>
      </c>
      <c r="C57" s="1">
        <v>2</v>
      </c>
      <c r="D57" s="1">
        <v>655</v>
      </c>
      <c r="E57" s="1">
        <v>45321</v>
      </c>
      <c r="F57" s="1">
        <f t="shared" si="2"/>
        <v>8</v>
      </c>
      <c r="G57" s="1">
        <f t="shared" si="3"/>
        <v>8</v>
      </c>
    </row>
    <row r="58" spans="1:7" x14ac:dyDescent="0.25">
      <c r="A58" s="3" t="s">
        <v>24</v>
      </c>
      <c r="B58" s="7" t="s">
        <v>15</v>
      </c>
      <c r="C58" s="4">
        <v>2</v>
      </c>
      <c r="D58" s="4">
        <v>432</v>
      </c>
      <c r="E58" s="4">
        <v>32256</v>
      </c>
      <c r="F58" s="1">
        <f t="shared" si="2"/>
        <v>28</v>
      </c>
      <c r="G58" s="1">
        <f t="shared" si="3"/>
        <v>17</v>
      </c>
    </row>
    <row r="59" spans="1:7" ht="16" x14ac:dyDescent="0.35">
      <c r="A59" s="1" t="s">
        <v>16</v>
      </c>
      <c r="B59" s="6" t="s">
        <v>20</v>
      </c>
      <c r="C59" s="1">
        <v>3</v>
      </c>
      <c r="D59" s="1">
        <v>543</v>
      </c>
      <c r="E59" s="1">
        <v>16290</v>
      </c>
      <c r="F59" s="1">
        <f t="shared" si="2"/>
        <v>16</v>
      </c>
      <c r="G59" s="1">
        <f t="shared" si="3"/>
        <v>59</v>
      </c>
    </row>
    <row r="60" spans="1:7" x14ac:dyDescent="0.25">
      <c r="A60" s="3" t="s">
        <v>24</v>
      </c>
      <c r="B60" s="7" t="s">
        <v>15</v>
      </c>
      <c r="C60" s="4">
        <v>4</v>
      </c>
      <c r="D60" s="4">
        <v>118</v>
      </c>
      <c r="E60" s="4">
        <v>8178</v>
      </c>
      <c r="F60" s="1">
        <f t="shared" si="2"/>
        <v>95</v>
      </c>
      <c r="G60" s="1">
        <f t="shared" si="3"/>
        <v>94</v>
      </c>
    </row>
    <row r="61" spans="1:7" x14ac:dyDescent="0.25">
      <c r="A61" s="3" t="s">
        <v>24</v>
      </c>
      <c r="B61" s="7" t="s">
        <v>20</v>
      </c>
      <c r="C61" s="4">
        <v>1</v>
      </c>
      <c r="D61" s="4">
        <v>156</v>
      </c>
      <c r="E61" s="4">
        <v>10786</v>
      </c>
      <c r="F61" s="1">
        <f t="shared" si="2"/>
        <v>88</v>
      </c>
      <c r="G61" s="1">
        <f t="shared" si="3"/>
        <v>79</v>
      </c>
    </row>
    <row r="62" spans="1:7" x14ac:dyDescent="0.25">
      <c r="A62" s="6" t="s">
        <v>26</v>
      </c>
      <c r="B62" s="1" t="s">
        <v>0</v>
      </c>
      <c r="C62" s="1">
        <v>2</v>
      </c>
      <c r="D62" s="1">
        <v>199</v>
      </c>
      <c r="E62" s="1">
        <v>9675</v>
      </c>
      <c r="F62" s="1">
        <f t="shared" si="2"/>
        <v>80</v>
      </c>
      <c r="G62" s="1">
        <f t="shared" si="3"/>
        <v>84</v>
      </c>
    </row>
    <row r="63" spans="1:7" x14ac:dyDescent="0.25">
      <c r="A63" s="3" t="s">
        <v>24</v>
      </c>
      <c r="B63" s="7" t="s">
        <v>20</v>
      </c>
      <c r="C63" s="4">
        <v>3</v>
      </c>
      <c r="D63" s="4">
        <v>356</v>
      </c>
      <c r="E63" s="4">
        <v>29342</v>
      </c>
      <c r="F63" s="1">
        <f t="shared" si="2"/>
        <v>40</v>
      </c>
      <c r="G63" s="1">
        <f t="shared" si="3"/>
        <v>24</v>
      </c>
    </row>
    <row r="64" spans="1:7" x14ac:dyDescent="0.25">
      <c r="A64" s="6" t="s">
        <v>25</v>
      </c>
      <c r="B64" s="1" t="s">
        <v>0</v>
      </c>
      <c r="C64" s="1">
        <v>3</v>
      </c>
      <c r="D64" s="1">
        <v>542</v>
      </c>
      <c r="E64" s="1">
        <v>41234</v>
      </c>
      <c r="F64" s="1">
        <f t="shared" si="2"/>
        <v>17</v>
      </c>
      <c r="G64" s="1">
        <f t="shared" si="3"/>
        <v>11</v>
      </c>
    </row>
    <row r="65" spans="1:7" x14ac:dyDescent="0.25">
      <c r="A65" s="3" t="s">
        <v>26</v>
      </c>
      <c r="B65" s="7" t="s">
        <v>20</v>
      </c>
      <c r="C65" s="4">
        <v>2</v>
      </c>
      <c r="D65" s="4">
        <v>148</v>
      </c>
      <c r="E65" s="4">
        <v>9078</v>
      </c>
      <c r="F65" s="1">
        <f t="shared" si="2"/>
        <v>89</v>
      </c>
      <c r="G65" s="1">
        <f t="shared" si="3"/>
        <v>89</v>
      </c>
    </row>
    <row r="66" spans="1:7" x14ac:dyDescent="0.25">
      <c r="A66" s="3" t="s">
        <v>27</v>
      </c>
      <c r="B66" s="6" t="s">
        <v>15</v>
      </c>
      <c r="C66" s="1">
        <v>1</v>
      </c>
      <c r="D66" s="1">
        <v>367</v>
      </c>
      <c r="E66" s="1">
        <v>10860</v>
      </c>
      <c r="F66" s="1">
        <f t="shared" ref="F66:F97" si="4">_xlfn.RANK.EQ(D66,$D$2:$D$97)</f>
        <v>37</v>
      </c>
      <c r="G66" s="1">
        <f t="shared" ref="G66:G97" si="5">_xlfn.RANK.EQ(E66,$E$2:$E$97)</f>
        <v>78</v>
      </c>
    </row>
    <row r="67" spans="1:7" x14ac:dyDescent="0.25">
      <c r="A67" s="3" t="s">
        <v>27</v>
      </c>
      <c r="B67" s="6" t="s">
        <v>17</v>
      </c>
      <c r="C67" s="1">
        <v>1</v>
      </c>
      <c r="D67" s="1">
        <v>289</v>
      </c>
      <c r="E67" s="1">
        <v>14351</v>
      </c>
      <c r="F67" s="1">
        <f t="shared" si="4"/>
        <v>59</v>
      </c>
      <c r="G67" s="1">
        <f t="shared" si="5"/>
        <v>64</v>
      </c>
    </row>
    <row r="68" spans="1:7" x14ac:dyDescent="0.25">
      <c r="A68" s="3" t="s">
        <v>13</v>
      </c>
      <c r="B68" s="6" t="s">
        <v>17</v>
      </c>
      <c r="C68" s="1">
        <v>2</v>
      </c>
      <c r="D68" s="1">
        <v>675</v>
      </c>
      <c r="E68" s="1">
        <v>50900</v>
      </c>
      <c r="F68" s="1">
        <f t="shared" si="4"/>
        <v>5</v>
      </c>
      <c r="G68" s="1">
        <f t="shared" si="5"/>
        <v>4</v>
      </c>
    </row>
    <row r="69" spans="1:7" x14ac:dyDescent="0.25">
      <c r="A69" s="3" t="s">
        <v>13</v>
      </c>
      <c r="B69" s="6" t="s">
        <v>15</v>
      </c>
      <c r="C69" s="1">
        <v>2</v>
      </c>
      <c r="D69" s="1">
        <v>873</v>
      </c>
      <c r="E69" s="1">
        <v>17050</v>
      </c>
      <c r="F69" s="1">
        <f t="shared" si="4"/>
        <v>1</v>
      </c>
      <c r="G69" s="1">
        <f t="shared" si="5"/>
        <v>57</v>
      </c>
    </row>
    <row r="70" spans="1:7" x14ac:dyDescent="0.25">
      <c r="A70" s="3" t="s">
        <v>13</v>
      </c>
      <c r="B70" s="6" t="s">
        <v>20</v>
      </c>
      <c r="C70" s="1">
        <v>1</v>
      </c>
      <c r="D70" s="1">
        <v>603</v>
      </c>
      <c r="E70" s="1">
        <v>49180</v>
      </c>
      <c r="F70" s="1">
        <f t="shared" si="4"/>
        <v>12</v>
      </c>
      <c r="G70" s="1">
        <f t="shared" si="5"/>
        <v>5</v>
      </c>
    </row>
    <row r="71" spans="1:7" x14ac:dyDescent="0.25">
      <c r="A71" s="3" t="s">
        <v>13</v>
      </c>
      <c r="B71" s="6" t="s">
        <v>15</v>
      </c>
      <c r="C71" s="1">
        <v>3</v>
      </c>
      <c r="D71" s="1">
        <v>534</v>
      </c>
      <c r="E71" s="1">
        <v>25150</v>
      </c>
      <c r="F71" s="1">
        <f t="shared" si="4"/>
        <v>18</v>
      </c>
      <c r="G71" s="1">
        <f t="shared" si="5"/>
        <v>37</v>
      </c>
    </row>
    <row r="72" spans="1:7" x14ac:dyDescent="0.25">
      <c r="A72" s="3" t="s">
        <v>13</v>
      </c>
      <c r="B72" s="6" t="s">
        <v>17</v>
      </c>
      <c r="C72" s="1">
        <v>3</v>
      </c>
      <c r="D72" s="1">
        <v>123</v>
      </c>
      <c r="E72" s="1">
        <v>9360</v>
      </c>
      <c r="F72" s="1">
        <f t="shared" si="4"/>
        <v>92</v>
      </c>
      <c r="G72" s="1">
        <f t="shared" si="5"/>
        <v>88</v>
      </c>
    </row>
    <row r="73" spans="1:7" x14ac:dyDescent="0.25">
      <c r="A73" s="3" t="s">
        <v>13</v>
      </c>
      <c r="B73" s="6" t="s">
        <v>20</v>
      </c>
      <c r="C73" s="1">
        <v>2</v>
      </c>
      <c r="D73" s="1">
        <v>122</v>
      </c>
      <c r="E73" s="1">
        <v>14840</v>
      </c>
      <c r="F73" s="1">
        <f t="shared" si="4"/>
        <v>94</v>
      </c>
      <c r="G73" s="1">
        <f t="shared" si="5"/>
        <v>62</v>
      </c>
    </row>
    <row r="74" spans="1:7" x14ac:dyDescent="0.25">
      <c r="A74" s="3" t="s">
        <v>13</v>
      </c>
      <c r="B74" s="6" t="s">
        <v>17</v>
      </c>
      <c r="C74" s="1">
        <v>4</v>
      </c>
      <c r="D74" s="1">
        <v>550</v>
      </c>
      <c r="E74" s="1">
        <v>26150</v>
      </c>
      <c r="F74" s="1">
        <f t="shared" si="4"/>
        <v>15</v>
      </c>
      <c r="G74" s="1">
        <f t="shared" si="5"/>
        <v>36</v>
      </c>
    </row>
    <row r="75" spans="1:7" x14ac:dyDescent="0.25">
      <c r="A75" s="3" t="s">
        <v>28</v>
      </c>
      <c r="B75" s="6" t="s">
        <v>15</v>
      </c>
      <c r="C75" s="1">
        <v>1</v>
      </c>
      <c r="D75" s="1">
        <v>653</v>
      </c>
      <c r="E75" s="1">
        <v>50950</v>
      </c>
      <c r="F75" s="1">
        <f t="shared" si="4"/>
        <v>10</v>
      </c>
      <c r="G75" s="1">
        <f t="shared" si="5"/>
        <v>3</v>
      </c>
    </row>
    <row r="76" spans="1:7" x14ac:dyDescent="0.25">
      <c r="A76" s="3" t="s">
        <v>28</v>
      </c>
      <c r="B76" s="6" t="s">
        <v>20</v>
      </c>
      <c r="C76" s="1">
        <v>1</v>
      </c>
      <c r="D76" s="1">
        <v>214</v>
      </c>
      <c r="E76" s="1">
        <v>28760</v>
      </c>
      <c r="F76" s="1">
        <f t="shared" si="4"/>
        <v>75</v>
      </c>
      <c r="G76" s="1">
        <f t="shared" si="5"/>
        <v>27</v>
      </c>
    </row>
    <row r="77" spans="1:7" x14ac:dyDescent="0.25">
      <c r="A77" s="3" t="s">
        <v>14</v>
      </c>
      <c r="B77" s="6" t="s">
        <v>20</v>
      </c>
      <c r="C77" s="1">
        <v>2</v>
      </c>
      <c r="D77" s="1">
        <v>456</v>
      </c>
      <c r="E77" s="1">
        <v>12830</v>
      </c>
      <c r="F77" s="1">
        <f t="shared" si="4"/>
        <v>24</v>
      </c>
      <c r="G77" s="1">
        <f t="shared" si="5"/>
        <v>71</v>
      </c>
    </row>
    <row r="78" spans="1:7" x14ac:dyDescent="0.25">
      <c r="A78" s="3" t="s">
        <v>14</v>
      </c>
      <c r="B78" s="6" t="s">
        <v>23</v>
      </c>
      <c r="C78" s="1">
        <v>1</v>
      </c>
      <c r="D78" s="1">
        <v>659</v>
      </c>
      <c r="E78" s="1">
        <v>28550</v>
      </c>
      <c r="F78" s="1">
        <f t="shared" si="4"/>
        <v>6</v>
      </c>
      <c r="G78" s="1">
        <f t="shared" si="5"/>
        <v>28</v>
      </c>
    </row>
    <row r="79" spans="1:7" x14ac:dyDescent="0.25">
      <c r="A79" s="3" t="s">
        <v>14</v>
      </c>
      <c r="B79" s="6" t="s">
        <v>23</v>
      </c>
      <c r="C79" s="1">
        <v>2</v>
      </c>
      <c r="D79" s="1">
        <v>565</v>
      </c>
      <c r="E79" s="1">
        <v>19521</v>
      </c>
      <c r="F79" s="1">
        <f t="shared" si="4"/>
        <v>14</v>
      </c>
      <c r="G79" s="1">
        <f t="shared" si="5"/>
        <v>52</v>
      </c>
    </row>
    <row r="80" spans="1:7" x14ac:dyDescent="0.25">
      <c r="A80" s="3" t="s">
        <v>14</v>
      </c>
      <c r="B80" s="6" t="s">
        <v>23</v>
      </c>
      <c r="C80" s="1">
        <v>3</v>
      </c>
      <c r="D80" s="1">
        <v>656</v>
      </c>
      <c r="E80" s="1">
        <v>22850</v>
      </c>
      <c r="F80" s="1">
        <f t="shared" si="4"/>
        <v>7</v>
      </c>
      <c r="G80" s="1">
        <f t="shared" si="5"/>
        <v>44</v>
      </c>
    </row>
    <row r="81" spans="1:7" x14ac:dyDescent="0.25">
      <c r="A81" s="3" t="s">
        <v>14</v>
      </c>
      <c r="B81" s="6" t="s">
        <v>23</v>
      </c>
      <c r="C81" s="1">
        <v>4</v>
      </c>
      <c r="D81" s="1">
        <v>789</v>
      </c>
      <c r="E81" s="1">
        <v>26579</v>
      </c>
      <c r="F81" s="1">
        <f t="shared" si="4"/>
        <v>3</v>
      </c>
      <c r="G81" s="1">
        <f t="shared" si="5"/>
        <v>33</v>
      </c>
    </row>
    <row r="82" spans="1:7" x14ac:dyDescent="0.25">
      <c r="A82" s="3" t="s">
        <v>14</v>
      </c>
      <c r="B82" s="6" t="s">
        <v>15</v>
      </c>
      <c r="C82" s="1">
        <v>2</v>
      </c>
      <c r="D82" s="1">
        <v>465</v>
      </c>
      <c r="E82" s="1">
        <v>22990</v>
      </c>
      <c r="F82" s="1">
        <f t="shared" si="4"/>
        <v>23</v>
      </c>
      <c r="G82" s="1">
        <f t="shared" si="5"/>
        <v>42</v>
      </c>
    </row>
    <row r="83" spans="1:7" x14ac:dyDescent="0.25">
      <c r="A83" s="3" t="s">
        <v>14</v>
      </c>
      <c r="B83" s="6" t="s">
        <v>17</v>
      </c>
      <c r="C83" s="1">
        <v>1</v>
      </c>
      <c r="D83" s="1">
        <v>325</v>
      </c>
      <c r="E83" s="1">
        <v>18906</v>
      </c>
      <c r="F83" s="1">
        <f t="shared" si="4"/>
        <v>48</v>
      </c>
      <c r="G83" s="1">
        <f t="shared" si="5"/>
        <v>54</v>
      </c>
    </row>
    <row r="84" spans="1:7" x14ac:dyDescent="0.25">
      <c r="A84" s="3" t="s">
        <v>14</v>
      </c>
      <c r="B84" s="6" t="s">
        <v>15</v>
      </c>
      <c r="C84" s="1">
        <v>3</v>
      </c>
      <c r="D84" s="1">
        <v>498</v>
      </c>
      <c r="E84" s="1">
        <v>21346</v>
      </c>
      <c r="F84" s="1">
        <f t="shared" si="4"/>
        <v>21</v>
      </c>
      <c r="G84" s="1">
        <f t="shared" si="5"/>
        <v>48</v>
      </c>
    </row>
    <row r="85" spans="1:7" x14ac:dyDescent="0.25">
      <c r="A85" s="3" t="s">
        <v>14</v>
      </c>
      <c r="B85" s="6" t="s">
        <v>15</v>
      </c>
      <c r="C85" s="1">
        <v>4</v>
      </c>
      <c r="D85" s="1">
        <v>832</v>
      </c>
      <c r="E85" s="1">
        <v>45087</v>
      </c>
      <c r="F85" s="1">
        <f t="shared" si="4"/>
        <v>2</v>
      </c>
      <c r="G85" s="1">
        <f t="shared" si="5"/>
        <v>9</v>
      </c>
    </row>
    <row r="86" spans="1:7" x14ac:dyDescent="0.25">
      <c r="A86" s="3" t="s">
        <v>14</v>
      </c>
      <c r="B86" s="6" t="s">
        <v>20</v>
      </c>
      <c r="C86" s="1">
        <v>3</v>
      </c>
      <c r="D86" s="1">
        <v>190</v>
      </c>
      <c r="E86" s="1">
        <v>29807</v>
      </c>
      <c r="F86" s="1">
        <f t="shared" si="4"/>
        <v>82</v>
      </c>
      <c r="G86" s="1">
        <f t="shared" si="5"/>
        <v>23</v>
      </c>
    </row>
    <row r="87" spans="1:7" x14ac:dyDescent="0.25">
      <c r="A87" s="3" t="s">
        <v>13</v>
      </c>
      <c r="B87" s="6" t="s">
        <v>23</v>
      </c>
      <c r="C87" s="1">
        <v>1</v>
      </c>
      <c r="D87" s="1">
        <v>512</v>
      </c>
      <c r="E87" s="1">
        <v>36865</v>
      </c>
      <c r="F87" s="1">
        <f t="shared" si="4"/>
        <v>19</v>
      </c>
      <c r="G87" s="1">
        <f t="shared" si="5"/>
        <v>13</v>
      </c>
    </row>
    <row r="88" spans="1:7" x14ac:dyDescent="0.25">
      <c r="A88" s="3" t="s">
        <v>13</v>
      </c>
      <c r="B88" s="6" t="s">
        <v>23</v>
      </c>
      <c r="C88" s="1">
        <v>2</v>
      </c>
      <c r="D88" s="1">
        <v>330</v>
      </c>
      <c r="E88" s="1">
        <v>31256</v>
      </c>
      <c r="F88" s="1">
        <f t="shared" si="4"/>
        <v>46</v>
      </c>
      <c r="G88" s="1">
        <f t="shared" si="5"/>
        <v>19</v>
      </c>
    </row>
    <row r="89" spans="1:7" x14ac:dyDescent="0.25">
      <c r="A89" s="3" t="s">
        <v>13</v>
      </c>
      <c r="B89" s="6" t="s">
        <v>15</v>
      </c>
      <c r="C89" s="1">
        <v>4</v>
      </c>
      <c r="D89" s="1">
        <v>467</v>
      </c>
      <c r="E89" s="1">
        <v>64565</v>
      </c>
      <c r="F89" s="1">
        <f t="shared" si="4"/>
        <v>22</v>
      </c>
      <c r="G89" s="1">
        <f t="shared" si="5"/>
        <v>2</v>
      </c>
    </row>
    <row r="90" spans="1:7" x14ac:dyDescent="0.25">
      <c r="A90" s="3" t="s">
        <v>13</v>
      </c>
      <c r="B90" s="6" t="s">
        <v>20</v>
      </c>
      <c r="C90" s="1">
        <v>3</v>
      </c>
      <c r="D90" s="1">
        <v>305</v>
      </c>
      <c r="E90" s="1">
        <v>48617</v>
      </c>
      <c r="F90" s="1">
        <f t="shared" si="4"/>
        <v>57</v>
      </c>
      <c r="G90" s="1">
        <f t="shared" si="5"/>
        <v>7</v>
      </c>
    </row>
    <row r="91" spans="1:7" x14ac:dyDescent="0.25">
      <c r="A91" s="3" t="s">
        <v>13</v>
      </c>
      <c r="B91" s="6" t="s">
        <v>23</v>
      </c>
      <c r="C91" s="1">
        <v>3</v>
      </c>
      <c r="D91" s="1">
        <v>650</v>
      </c>
      <c r="E91" s="1">
        <v>78436</v>
      </c>
      <c r="F91" s="1">
        <f t="shared" si="4"/>
        <v>11</v>
      </c>
      <c r="G91" s="1">
        <f t="shared" si="5"/>
        <v>1</v>
      </c>
    </row>
    <row r="92" spans="1:7" x14ac:dyDescent="0.25">
      <c r="A92" s="3" t="s">
        <v>13</v>
      </c>
      <c r="B92" s="6" t="s">
        <v>20</v>
      </c>
      <c r="C92" s="1">
        <v>4</v>
      </c>
      <c r="D92" s="1">
        <v>430</v>
      </c>
      <c r="E92" s="1">
        <v>42167</v>
      </c>
      <c r="F92" s="1">
        <f t="shared" si="4"/>
        <v>30</v>
      </c>
      <c r="G92" s="1">
        <f t="shared" si="5"/>
        <v>10</v>
      </c>
    </row>
    <row r="93" spans="1:7" x14ac:dyDescent="0.25">
      <c r="A93" s="3" t="s">
        <v>13</v>
      </c>
      <c r="B93" s="6" t="s">
        <v>23</v>
      </c>
      <c r="C93" s="1">
        <v>4</v>
      </c>
      <c r="D93" s="1">
        <v>215</v>
      </c>
      <c r="E93" s="1">
        <v>30975</v>
      </c>
      <c r="F93" s="1">
        <f t="shared" si="4"/>
        <v>74</v>
      </c>
      <c r="G93" s="1">
        <f t="shared" si="5"/>
        <v>20</v>
      </c>
    </row>
    <row r="94" spans="1:7" x14ac:dyDescent="0.25">
      <c r="A94" s="3" t="s">
        <v>14</v>
      </c>
      <c r="B94" s="6" t="s">
        <v>20</v>
      </c>
      <c r="C94" s="1">
        <v>4</v>
      </c>
      <c r="D94" s="1">
        <v>280</v>
      </c>
      <c r="E94" s="1">
        <v>28096</v>
      </c>
      <c r="F94" s="1">
        <f t="shared" si="4"/>
        <v>61</v>
      </c>
      <c r="G94" s="1">
        <f t="shared" si="5"/>
        <v>30</v>
      </c>
    </row>
    <row r="95" spans="1:7" x14ac:dyDescent="0.25">
      <c r="A95" s="3" t="s">
        <v>14</v>
      </c>
      <c r="B95" s="6" t="s">
        <v>17</v>
      </c>
      <c r="C95" s="1">
        <v>2</v>
      </c>
      <c r="D95" s="1">
        <v>308</v>
      </c>
      <c r="E95" s="1">
        <v>31665</v>
      </c>
      <c r="F95" s="1">
        <f t="shared" si="4"/>
        <v>55</v>
      </c>
      <c r="G95" s="1">
        <f t="shared" si="5"/>
        <v>18</v>
      </c>
    </row>
    <row r="96" spans="1:7" x14ac:dyDescent="0.25">
      <c r="A96" s="3" t="s">
        <v>14</v>
      </c>
      <c r="B96" s="6" t="s">
        <v>17</v>
      </c>
      <c r="C96" s="1">
        <v>3</v>
      </c>
      <c r="D96" s="1">
        <v>401</v>
      </c>
      <c r="E96" s="1">
        <v>39566</v>
      </c>
      <c r="F96" s="1">
        <f t="shared" si="4"/>
        <v>34</v>
      </c>
      <c r="G96" s="1">
        <f t="shared" si="5"/>
        <v>12</v>
      </c>
    </row>
    <row r="97" spans="1:7" x14ac:dyDescent="0.25">
      <c r="A97" s="3" t="s">
        <v>14</v>
      </c>
      <c r="B97" s="6" t="s">
        <v>17</v>
      </c>
      <c r="C97" s="1">
        <v>4</v>
      </c>
      <c r="D97" s="1">
        <v>509</v>
      </c>
      <c r="E97" s="1">
        <v>48655</v>
      </c>
      <c r="F97" s="1">
        <f t="shared" si="4"/>
        <v>20</v>
      </c>
      <c r="G97" s="1">
        <f t="shared" si="5"/>
        <v>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基础工资对照表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于双元</cp:lastModifiedBy>
  <dcterms:created xsi:type="dcterms:W3CDTF">2005-08-24T03:08:06Z</dcterms:created>
  <dcterms:modified xsi:type="dcterms:W3CDTF">2019-12-03T12:36:28Z</dcterms:modified>
</cp:coreProperties>
</file>